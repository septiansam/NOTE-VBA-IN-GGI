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_RPA - Update Resume Income dan Profit\Macro\"/>
    </mc:Choice>
  </mc:AlternateContent>
  <xr:revisionPtr revIDLastSave="0" documentId="13_ncr:1_{672AE007-840B-485B-AD8E-99EDD3CA1551}" xr6:coauthVersionLast="47" xr6:coauthVersionMax="47" xr10:uidLastSave="{00000000-0000-0000-0000-000000000000}"/>
  <bookViews>
    <workbookView xWindow="-120" yWindow="-120" windowWidth="20730" windowHeight="11160" tabRatio="816" firstSheet="3" activeTab="3" xr2:uid="{2CCE3C95-2940-4053-8BE7-2A6EFE1350AC}"/>
  </bookViews>
  <sheets>
    <sheet name="Temp - By Factory" sheetId="245" r:id="rId1"/>
    <sheet name="Temp - By Month" sheetId="244" r:id="rId2"/>
    <sheet name="SetupDB" sheetId="213" r:id="rId3"/>
    <sheet name="HOME" sheetId="2" r:id="rId4"/>
    <sheet name="RPA2" sheetId="673" r:id="rId5"/>
    <sheet name="CC1_ResumePerBuyer" sheetId="665" r:id="rId6"/>
    <sheet name="CC2_RKFS" sheetId="666" r:id="rId7"/>
    <sheet name="OLAH1_TotalDraft" sheetId="667" r:id="rId8"/>
    <sheet name="OLAH2_ByMonth" sheetId="668" r:id="rId9"/>
    <sheet name="OLAH3_ByFactory" sheetId="669" r:id="rId10"/>
    <sheet name="By Month" sheetId="670" r:id="rId11"/>
    <sheet name="By Factory" sheetId="671" r:id="rId12"/>
  </sheets>
  <functionGroups builtInGroupCount="19"/>
  <definedNames>
    <definedName name="_xlnm._FilterDatabase" localSheetId="11" hidden="1">'By Factory'!$A$1:$G$44</definedName>
    <definedName name="_xlnm._FilterDatabase" localSheetId="5" hidden="1">CC1_ResumePerBuyer!$A$4:$O$441</definedName>
    <definedName name="_xlnm._FilterDatabase" localSheetId="0" hidden="1">'Temp - By Factory'!$A$1:$G$35</definedName>
    <definedName name="_xlnm.Print_Area" localSheetId="11">'By Factory'!$A$1:$G$106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4" i="670" l="1"/>
  <c r="M54" i="670"/>
  <c r="L54" i="670"/>
  <c r="K54" i="670"/>
  <c r="J54" i="670"/>
  <c r="I54" i="670"/>
  <c r="H54" i="670"/>
  <c r="G54" i="670"/>
  <c r="F54" i="670"/>
  <c r="E54" i="670"/>
  <c r="D54" i="670"/>
  <c r="C54" i="670"/>
  <c r="N41" i="670"/>
  <c r="M41" i="670"/>
  <c r="L41" i="670"/>
  <c r="K41" i="670"/>
  <c r="J41" i="670"/>
  <c r="I41" i="670"/>
  <c r="H41" i="670"/>
  <c r="G41" i="670"/>
  <c r="F41" i="670"/>
  <c r="E41" i="670"/>
  <c r="D41" i="670"/>
  <c r="C41" i="670"/>
  <c r="N28" i="670"/>
  <c r="M28" i="670"/>
  <c r="L28" i="670"/>
  <c r="K28" i="670"/>
  <c r="J28" i="670"/>
  <c r="I28" i="670"/>
  <c r="H28" i="670"/>
  <c r="G28" i="670"/>
  <c r="F28" i="670"/>
  <c r="E28" i="670"/>
  <c r="D28" i="670"/>
  <c r="C28" i="670"/>
  <c r="N15" i="670"/>
  <c r="M15" i="670"/>
  <c r="L15" i="670"/>
  <c r="K15" i="670"/>
  <c r="J15" i="670"/>
  <c r="I15" i="670"/>
  <c r="H15" i="670"/>
  <c r="G15" i="670"/>
  <c r="I2" i="669"/>
  <c r="I3" i="669"/>
  <c r="I4" i="669"/>
  <c r="I5" i="669"/>
  <c r="I6" i="669"/>
  <c r="I7" i="669"/>
  <c r="I8" i="669"/>
  <c r="I9" i="669"/>
  <c r="I10" i="669"/>
  <c r="H2" i="669"/>
  <c r="H3" i="669"/>
  <c r="H4" i="669"/>
  <c r="H5" i="669"/>
  <c r="H6" i="669"/>
  <c r="H7" i="669"/>
  <c r="H8" i="669"/>
  <c r="H9" i="669"/>
  <c r="H10" i="669"/>
  <c r="G2" i="669"/>
  <c r="G3" i="669"/>
  <c r="G4" i="669"/>
  <c r="G5" i="669"/>
  <c r="G6" i="669"/>
  <c r="G7" i="669"/>
  <c r="G8" i="669"/>
  <c r="G9" i="669"/>
  <c r="G10" i="669"/>
  <c r="F2" i="669"/>
  <c r="F3" i="669"/>
  <c r="F4" i="669"/>
  <c r="F5" i="669"/>
  <c r="F6" i="669"/>
  <c r="F7" i="669"/>
  <c r="F8" i="669"/>
  <c r="F9" i="669"/>
  <c r="F10" i="669"/>
  <c r="E2" i="669"/>
  <c r="E3" i="669"/>
  <c r="E4" i="669"/>
  <c r="E5" i="669"/>
  <c r="E6" i="669"/>
  <c r="E7" i="669"/>
  <c r="E8" i="669"/>
  <c r="E9" i="669"/>
  <c r="E10" i="669"/>
  <c r="D2" i="669"/>
  <c r="D3" i="669"/>
  <c r="D4" i="669"/>
  <c r="D5" i="669"/>
  <c r="D6" i="669"/>
  <c r="D7" i="669"/>
  <c r="D8" i="669"/>
  <c r="D9" i="669"/>
  <c r="D10" i="669"/>
  <c r="E2" i="668"/>
  <c r="E3" i="668"/>
  <c r="E4" i="668"/>
  <c r="E5" i="668"/>
  <c r="E6" i="668"/>
  <c r="E7" i="668"/>
  <c r="E8" i="668"/>
  <c r="E9" i="668"/>
  <c r="E10" i="668"/>
  <c r="D2" i="668"/>
  <c r="D3" i="668"/>
  <c r="D4" i="668"/>
  <c r="D5" i="668"/>
  <c r="D6" i="668"/>
  <c r="D7" i="668"/>
  <c r="D8" i="668"/>
  <c r="D9" i="668"/>
  <c r="D10" i="668"/>
  <c r="C2" i="668"/>
  <c r="C3" i="668"/>
  <c r="C4" i="668"/>
  <c r="C5" i="668"/>
  <c r="C6" i="668"/>
  <c r="C7" i="668"/>
  <c r="C8" i="668"/>
  <c r="C9" i="668"/>
  <c r="C10" i="668"/>
  <c r="B2" i="668"/>
  <c r="B3" i="668"/>
  <c r="B4" i="668"/>
  <c r="B5" i="668"/>
  <c r="B6" i="668"/>
  <c r="B7" i="668"/>
  <c r="B8" i="668"/>
  <c r="B9" i="668"/>
  <c r="B10" i="668"/>
  <c r="K2" i="667"/>
  <c r="K3" i="667"/>
  <c r="K4" i="667"/>
  <c r="K5" i="667"/>
  <c r="K6" i="667"/>
  <c r="K7" i="667"/>
  <c r="K8" i="667"/>
  <c r="K9" i="667"/>
  <c r="K10" i="667"/>
  <c r="A2" i="667"/>
  <c r="A3" i="667"/>
  <c r="A4" i="667"/>
  <c r="A5" i="667"/>
  <c r="A6" i="667"/>
  <c r="A7" i="667"/>
  <c r="A8" i="667"/>
  <c r="A9" i="667"/>
  <c r="A10" i="667"/>
  <c r="AB2" i="666"/>
  <c r="AB3" i="666"/>
  <c r="AB4" i="666"/>
  <c r="AB5" i="666"/>
  <c r="AB6" i="666"/>
  <c r="AB7" i="666"/>
  <c r="AB8" i="666"/>
  <c r="AB9" i="666"/>
  <c r="AB10" i="666"/>
  <c r="AB11" i="666"/>
  <c r="AB12" i="666"/>
  <c r="AB13" i="666"/>
  <c r="AB14" i="666"/>
  <c r="AB15" i="666"/>
  <c r="AB16" i="666"/>
  <c r="AB17" i="666"/>
  <c r="AB18" i="666"/>
  <c r="AB19" i="666"/>
  <c r="AB20" i="666"/>
  <c r="AB21" i="666"/>
  <c r="AB22" i="666"/>
  <c r="AB23" i="666"/>
  <c r="AB24" i="666"/>
  <c r="AB25" i="666"/>
  <c r="AB26" i="666"/>
  <c r="AB27" i="666"/>
  <c r="AB28" i="666"/>
  <c r="AB29" i="666"/>
  <c r="AB30" i="666"/>
  <c r="AB31" i="666"/>
  <c r="AB32" i="666"/>
  <c r="AB33" i="666"/>
  <c r="AB34" i="666"/>
  <c r="AB35" i="666"/>
  <c r="AB36" i="666"/>
  <c r="AB37" i="666"/>
  <c r="AB38" i="666"/>
  <c r="AB39" i="666"/>
  <c r="AB40" i="666"/>
  <c r="AB41" i="666"/>
  <c r="AB42" i="666"/>
  <c r="AB43" i="666"/>
  <c r="AB44" i="666"/>
  <c r="AB45" i="666"/>
  <c r="AB46" i="666"/>
  <c r="AB47" i="666"/>
  <c r="AB48" i="666"/>
  <c r="AB49" i="666"/>
  <c r="AB50" i="666"/>
  <c r="AB51" i="666"/>
  <c r="AB52" i="666"/>
  <c r="AB53" i="666"/>
  <c r="AB54" i="666"/>
  <c r="AB55" i="666"/>
  <c r="AB56" i="666"/>
  <c r="AB57" i="666"/>
  <c r="AB58" i="666"/>
  <c r="AB59" i="666"/>
  <c r="AB60" i="666"/>
  <c r="AB61" i="666"/>
  <c r="AB62" i="666"/>
  <c r="AB63" i="666"/>
  <c r="AB64" i="666"/>
  <c r="AB65" i="666"/>
  <c r="AB66" i="666"/>
  <c r="AB67" i="666"/>
  <c r="AB68" i="666"/>
  <c r="AB69" i="666"/>
  <c r="AB70" i="666"/>
  <c r="AB71" i="666"/>
  <c r="AB72" i="666"/>
  <c r="AB73" i="666"/>
  <c r="AB74" i="666"/>
  <c r="AB75" i="666"/>
  <c r="AB76" i="666"/>
  <c r="AB77" i="666"/>
  <c r="AB78" i="666"/>
  <c r="AB79" i="666"/>
  <c r="AB80" i="666"/>
  <c r="AB81" i="666"/>
  <c r="AB82" i="666"/>
  <c r="AB83" i="666"/>
  <c r="AB84" i="666"/>
  <c r="AB85" i="666"/>
  <c r="AB86" i="666"/>
  <c r="AB87" i="666"/>
  <c r="AB88" i="666"/>
  <c r="AB89" i="666"/>
  <c r="AB90" i="666"/>
  <c r="AB91" i="666"/>
  <c r="AB92" i="666"/>
  <c r="AB93" i="666"/>
  <c r="AB94" i="666"/>
  <c r="AB95" i="666"/>
  <c r="AB96" i="666"/>
  <c r="AB97" i="666"/>
  <c r="AB98" i="666"/>
  <c r="AB99" i="666"/>
  <c r="AB100" i="666"/>
  <c r="AB101" i="666"/>
  <c r="AB102" i="666"/>
  <c r="AB103" i="666"/>
  <c r="AB104" i="666"/>
  <c r="AB105" i="666"/>
  <c r="AB106" i="666"/>
  <c r="AB107" i="666"/>
  <c r="AB108" i="666"/>
  <c r="AB109" i="666"/>
  <c r="AB110" i="666"/>
  <c r="AB111" i="666"/>
  <c r="AB112" i="666"/>
  <c r="AB113" i="666"/>
  <c r="AB114" i="666"/>
  <c r="AB115" i="666"/>
  <c r="AB116" i="666"/>
  <c r="AB117" i="666"/>
  <c r="AB118" i="666"/>
  <c r="AB119" i="666"/>
  <c r="AB120" i="666"/>
  <c r="AB121" i="666"/>
  <c r="AB122" i="666"/>
  <c r="AB123" i="666"/>
  <c r="AB124" i="666"/>
  <c r="AB125" i="666"/>
  <c r="AB126" i="666"/>
  <c r="AB127" i="666"/>
  <c r="AB128" i="666"/>
  <c r="AB129" i="666"/>
  <c r="AB130" i="666"/>
  <c r="AB131" i="666"/>
  <c r="AB132" i="666"/>
  <c r="AB133" i="666"/>
  <c r="AB134" i="666"/>
  <c r="AB135" i="666"/>
  <c r="AB136" i="666"/>
  <c r="AB137" i="666"/>
  <c r="AB138" i="666"/>
  <c r="AB139" i="666"/>
  <c r="AB140" i="666"/>
  <c r="AB141" i="666"/>
  <c r="AB142" i="666"/>
  <c r="AB143" i="666"/>
  <c r="AB144" i="666"/>
  <c r="AB145" i="666"/>
  <c r="AB146" i="666"/>
  <c r="AB147" i="666"/>
  <c r="AB148" i="666"/>
  <c r="AB149" i="666"/>
  <c r="AB150" i="666"/>
  <c r="AB151" i="666"/>
  <c r="AB152" i="666"/>
  <c r="AB153" i="666"/>
  <c r="AB154" i="666"/>
  <c r="AB155" i="666"/>
  <c r="AB156" i="666"/>
  <c r="AB157" i="666"/>
  <c r="AB158" i="666"/>
  <c r="AB159" i="666"/>
  <c r="AB160" i="666"/>
  <c r="AB161" i="666"/>
  <c r="AB162" i="666"/>
  <c r="AB163" i="666"/>
  <c r="AB164" i="666"/>
  <c r="AB165" i="666"/>
  <c r="AB166" i="666"/>
  <c r="AB167" i="666"/>
  <c r="AB168" i="666"/>
  <c r="AB169" i="666"/>
  <c r="AB170" i="666"/>
  <c r="AB171" i="666"/>
  <c r="AB172" i="666"/>
  <c r="AB173" i="666"/>
  <c r="AB174" i="666"/>
  <c r="AB175" i="666"/>
  <c r="AB176" i="666"/>
  <c r="AB177" i="666"/>
  <c r="AB178" i="666"/>
  <c r="AB179" i="666"/>
  <c r="AB180" i="666"/>
  <c r="AB181" i="666"/>
  <c r="AB182" i="666"/>
  <c r="AB183" i="666"/>
  <c r="AB184" i="666"/>
  <c r="AB185" i="666"/>
  <c r="AB186" i="666"/>
  <c r="AB187" i="666"/>
  <c r="AB188" i="666"/>
  <c r="AB189" i="666"/>
  <c r="AB190" i="666"/>
  <c r="AB191" i="666"/>
  <c r="AB192" i="666"/>
  <c r="AB193" i="666"/>
  <c r="AB194" i="666"/>
  <c r="AB195" i="666"/>
  <c r="AB196" i="666"/>
  <c r="AB197" i="666"/>
  <c r="AB198" i="666"/>
  <c r="AB199" i="666"/>
  <c r="AB200" i="666"/>
  <c r="AB201" i="666"/>
  <c r="AB202" i="666"/>
  <c r="AB203" i="666"/>
  <c r="AB204" i="666"/>
  <c r="AB205" i="666"/>
  <c r="AB206" i="666"/>
  <c r="AB207" i="666"/>
  <c r="AB208" i="666"/>
  <c r="AB209" i="666"/>
  <c r="AB210" i="666"/>
  <c r="AB211" i="666"/>
  <c r="AB212" i="666"/>
  <c r="AB213" i="666"/>
  <c r="AB214" i="666"/>
  <c r="AB215" i="666"/>
  <c r="AB216" i="666"/>
  <c r="AB217" i="666"/>
  <c r="AB218" i="666"/>
  <c r="AB219" i="666"/>
  <c r="AB220" i="666"/>
  <c r="AB221" i="666"/>
  <c r="AB222" i="666"/>
  <c r="AB223" i="666"/>
  <c r="AB224" i="666"/>
  <c r="AB225" i="666"/>
  <c r="AB226" i="666"/>
  <c r="AB227" i="666"/>
  <c r="AB228" i="666"/>
  <c r="AB229" i="666"/>
  <c r="AB230" i="666"/>
  <c r="AB231" i="666"/>
  <c r="AB232" i="666"/>
  <c r="AB233" i="666"/>
  <c r="AB234" i="666"/>
  <c r="AB235" i="666"/>
  <c r="AB236" i="666"/>
  <c r="AB237" i="666"/>
  <c r="AB238" i="666"/>
  <c r="AB239" i="666"/>
  <c r="AB240" i="666"/>
  <c r="AB241" i="666"/>
  <c r="AB242" i="666"/>
  <c r="AB243" i="666"/>
  <c r="AB244" i="666"/>
  <c r="AB245" i="666"/>
  <c r="AB246" i="666"/>
  <c r="AB247" i="666"/>
  <c r="AB248" i="666"/>
  <c r="AB249" i="666"/>
  <c r="AB250" i="666"/>
  <c r="AB251" i="666"/>
  <c r="AB252" i="666"/>
  <c r="AB253" i="666"/>
  <c r="AB254" i="666"/>
  <c r="AB255" i="666"/>
  <c r="AB256" i="666"/>
  <c r="AB257" i="666"/>
  <c r="AB258" i="666"/>
  <c r="AB259" i="666"/>
  <c r="AB260" i="666"/>
  <c r="AB261" i="666"/>
  <c r="AB262" i="666"/>
  <c r="AB263" i="666"/>
  <c r="AB264" i="666"/>
  <c r="AB265" i="666"/>
  <c r="AB266" i="666"/>
  <c r="AB267" i="666"/>
  <c r="AB268" i="666"/>
  <c r="AB269" i="666"/>
  <c r="AB270" i="666"/>
  <c r="AB271" i="666"/>
  <c r="AB272" i="666"/>
  <c r="AB273" i="666"/>
  <c r="AB274" i="666"/>
  <c r="AB275" i="666"/>
  <c r="AB276" i="666"/>
  <c r="AB277" i="666"/>
  <c r="AB278" i="666"/>
  <c r="AB279" i="666"/>
  <c r="AB280" i="666"/>
  <c r="AB281" i="666"/>
  <c r="AB282" i="666"/>
  <c r="AB283" i="666"/>
  <c r="AB284" i="666"/>
  <c r="AB285" i="666"/>
  <c r="AB286" i="666"/>
  <c r="AB287" i="666"/>
  <c r="AB288" i="666"/>
  <c r="AB289" i="666"/>
  <c r="AB290" i="666"/>
  <c r="AB291" i="666"/>
  <c r="AB292" i="666"/>
  <c r="AB293" i="666"/>
  <c r="AB294" i="666"/>
  <c r="AB295" i="666"/>
  <c r="AB296" i="666"/>
  <c r="AB297" i="666"/>
  <c r="AB298" i="666"/>
  <c r="AB299" i="666"/>
  <c r="AB300" i="666"/>
  <c r="AB301" i="666"/>
  <c r="AB302" i="666"/>
  <c r="AB303" i="666"/>
  <c r="AB304" i="666"/>
  <c r="AB305" i="666"/>
  <c r="AB306" i="666"/>
  <c r="AB307" i="666"/>
  <c r="AB308" i="666"/>
  <c r="AB309" i="666"/>
  <c r="AB310" i="666"/>
  <c r="AB311" i="666"/>
  <c r="AB312" i="666"/>
  <c r="AB313" i="666"/>
  <c r="AB314" i="666"/>
  <c r="AB315" i="666"/>
  <c r="AB316" i="666"/>
  <c r="AB317" i="666"/>
  <c r="AB318" i="666"/>
  <c r="AB319" i="666"/>
  <c r="AB320" i="666"/>
  <c r="AB321" i="666"/>
  <c r="AB322" i="666"/>
  <c r="AB323" i="666"/>
  <c r="AB324" i="666"/>
  <c r="AB325" i="666"/>
  <c r="AB326" i="666"/>
  <c r="AB327" i="666"/>
  <c r="AB328" i="666"/>
  <c r="AB329" i="666"/>
  <c r="AB330" i="666"/>
  <c r="AB331" i="666"/>
  <c r="AB332" i="666"/>
  <c r="AB333" i="666"/>
  <c r="AB334" i="666"/>
  <c r="AB335" i="666"/>
  <c r="AB336" i="666"/>
  <c r="AB337" i="666"/>
  <c r="AB338" i="666"/>
  <c r="AB339" i="666"/>
  <c r="AB340" i="666"/>
  <c r="AB341" i="666"/>
  <c r="AB342" i="666"/>
  <c r="AB343" i="666"/>
  <c r="AB344" i="666"/>
  <c r="AB345" i="666"/>
  <c r="AB346" i="666"/>
  <c r="AB347" i="666"/>
  <c r="AB348" i="666"/>
  <c r="AB349" i="666"/>
  <c r="AB350" i="666"/>
  <c r="AB351" i="666"/>
  <c r="AB352" i="666"/>
  <c r="AB353" i="666"/>
  <c r="AB354" i="666"/>
  <c r="AB355" i="666"/>
  <c r="AB356" i="666"/>
  <c r="AB357" i="666"/>
  <c r="AB358" i="666"/>
  <c r="AB359" i="666"/>
  <c r="AB360" i="666"/>
  <c r="AB361" i="666"/>
  <c r="AB362" i="666"/>
  <c r="AB363" i="666"/>
  <c r="AB364" i="666"/>
  <c r="AB365" i="666"/>
  <c r="AB366" i="666"/>
  <c r="AB367" i="666"/>
  <c r="AB368" i="666"/>
  <c r="AB369" i="666"/>
  <c r="AB370" i="666"/>
  <c r="AB371" i="666"/>
  <c r="AB372" i="666"/>
  <c r="AB373" i="666"/>
  <c r="AB374" i="666"/>
  <c r="AB375" i="666"/>
  <c r="AB376" i="666"/>
  <c r="AB377" i="666"/>
  <c r="AB378" i="666"/>
  <c r="AB379" i="666"/>
  <c r="AB380" i="666"/>
  <c r="AB381" i="666"/>
  <c r="AB382" i="666"/>
  <c r="AB383" i="666"/>
  <c r="AB384" i="666"/>
  <c r="AB385" i="666"/>
  <c r="AB386" i="666"/>
  <c r="AB387" i="666"/>
  <c r="AB388" i="666"/>
  <c r="AB389" i="666"/>
  <c r="AB390" i="666"/>
  <c r="AB391" i="666"/>
  <c r="AB392" i="666"/>
  <c r="AB393" i="666"/>
  <c r="AB394" i="666"/>
  <c r="AB395" i="666"/>
  <c r="AB396" i="666"/>
  <c r="AB397" i="666"/>
  <c r="AB398" i="666"/>
  <c r="AB399" i="666"/>
  <c r="AB400" i="666"/>
  <c r="AB401" i="666"/>
  <c r="AB402" i="666"/>
  <c r="AB403" i="666"/>
  <c r="AB404" i="666"/>
  <c r="AB405" i="666"/>
  <c r="AB406" i="666"/>
  <c r="AB407" i="666"/>
  <c r="AB408" i="666"/>
  <c r="AB409" i="666"/>
  <c r="AB410" i="666"/>
  <c r="AB411" i="666"/>
  <c r="AB412" i="666"/>
  <c r="AB413" i="666"/>
  <c r="AB414" i="666"/>
  <c r="AB415" i="666"/>
  <c r="AB416" i="666"/>
  <c r="AB417" i="666"/>
  <c r="AB418" i="666"/>
  <c r="AB419" i="666"/>
  <c r="AB420" i="666"/>
  <c r="AB421" i="666"/>
  <c r="AB422" i="666"/>
  <c r="AB423" i="666"/>
  <c r="AB424" i="666"/>
  <c r="AB425" i="666"/>
  <c r="AB426" i="666"/>
  <c r="AB427" i="666"/>
  <c r="AB428" i="666"/>
  <c r="AB429" i="666"/>
  <c r="AB430" i="666"/>
  <c r="AB431" i="666"/>
  <c r="AB432" i="666"/>
  <c r="AB433" i="666"/>
  <c r="AB434" i="666"/>
  <c r="AB435" i="666"/>
  <c r="AB436" i="666"/>
  <c r="AB437" i="666"/>
  <c r="AB438" i="666"/>
  <c r="AB439" i="666"/>
  <c r="AB440" i="666"/>
  <c r="AB441" i="666"/>
  <c r="AB442" i="666"/>
  <c r="AB443" i="666"/>
  <c r="AB444" i="666"/>
  <c r="AB445" i="666"/>
  <c r="AB446" i="666"/>
  <c r="AB447" i="666"/>
  <c r="AB448" i="666"/>
  <c r="AB449" i="666"/>
  <c r="AB450" i="666"/>
  <c r="AB451" i="666"/>
  <c r="AB452" i="666"/>
  <c r="AB453" i="666"/>
  <c r="AB454" i="666"/>
  <c r="AB455" i="666"/>
  <c r="AB456" i="666"/>
  <c r="AB457" i="666"/>
  <c r="AB458" i="666"/>
  <c r="AB459" i="666"/>
  <c r="AB460" i="666"/>
  <c r="AB461" i="666"/>
  <c r="AB462" i="666"/>
  <c r="AB463" i="666"/>
  <c r="AB464" i="666"/>
  <c r="AB465" i="666"/>
  <c r="AB466" i="666"/>
  <c r="AB467" i="666"/>
  <c r="AB468" i="666"/>
  <c r="AB469" i="666"/>
  <c r="AB470" i="666"/>
  <c r="AB471" i="666"/>
  <c r="AB472" i="666"/>
  <c r="AB473" i="666"/>
  <c r="AB474" i="666"/>
  <c r="AB475" i="666"/>
  <c r="AB476" i="666"/>
  <c r="AB477" i="666"/>
  <c r="AB478" i="666"/>
  <c r="AB479" i="666"/>
  <c r="AB480" i="666"/>
  <c r="AB481" i="666"/>
  <c r="AB482" i="666"/>
  <c r="AB483" i="666"/>
  <c r="AB484" i="666"/>
  <c r="AB485" i="666"/>
  <c r="AB486" i="666"/>
  <c r="AB487" i="666"/>
  <c r="AB488" i="666"/>
  <c r="AB489" i="666"/>
  <c r="AB490" i="666"/>
  <c r="AB491" i="666"/>
  <c r="AB492" i="666"/>
  <c r="AB493" i="666"/>
  <c r="AB494" i="666"/>
  <c r="AB495" i="666"/>
  <c r="AB496" i="666"/>
  <c r="AB497" i="666"/>
  <c r="AB498" i="666"/>
  <c r="AB499" i="666"/>
  <c r="AB500" i="666"/>
  <c r="AB501" i="666"/>
  <c r="AB502" i="666"/>
  <c r="AB503" i="666"/>
  <c r="AB504" i="666"/>
  <c r="AB505" i="666"/>
  <c r="AB506" i="666"/>
  <c r="AB507" i="666"/>
  <c r="AB508" i="666"/>
  <c r="AB509" i="666"/>
  <c r="AB510" i="666"/>
  <c r="AB511" i="666"/>
  <c r="AB512" i="666"/>
  <c r="AB513" i="666"/>
  <c r="AB514" i="666"/>
  <c r="AB515" i="666"/>
  <c r="AB516" i="666"/>
  <c r="AB517" i="666"/>
  <c r="AB518" i="666"/>
  <c r="AB519" i="666"/>
  <c r="AB520" i="666"/>
  <c r="AB521" i="666"/>
  <c r="AB522" i="666"/>
  <c r="AB523" i="666"/>
  <c r="AB524" i="666"/>
  <c r="AB525" i="666"/>
  <c r="AB526" i="666"/>
  <c r="AB527" i="666"/>
  <c r="AB528" i="666"/>
  <c r="AB529" i="666"/>
  <c r="AB530" i="666"/>
  <c r="AB531" i="666"/>
  <c r="AB532" i="666"/>
  <c r="AB533" i="666"/>
  <c r="AB534" i="666"/>
  <c r="AB535" i="666"/>
  <c r="AB536" i="666"/>
  <c r="AB537" i="666"/>
  <c r="AB538" i="666"/>
  <c r="AB539" i="666"/>
  <c r="AB540" i="666"/>
  <c r="AB541" i="666"/>
  <c r="AB542" i="666"/>
  <c r="AB543" i="666"/>
  <c r="AB544" i="666"/>
  <c r="AB545" i="666"/>
  <c r="AB546" i="666"/>
  <c r="AB547" i="666"/>
  <c r="AB548" i="666"/>
  <c r="AB549" i="666"/>
  <c r="AB550" i="666"/>
  <c r="AB551" i="666"/>
  <c r="AB552" i="666"/>
  <c r="AB553" i="666"/>
  <c r="AB554" i="666"/>
  <c r="AB555" i="666"/>
  <c r="AB556" i="666"/>
  <c r="AB557" i="666"/>
  <c r="AB558" i="666"/>
  <c r="AB559" i="666"/>
  <c r="AB560" i="666"/>
  <c r="AB561" i="666"/>
  <c r="AB562" i="666"/>
  <c r="AB563" i="666"/>
  <c r="AB564" i="666"/>
  <c r="AB565" i="666"/>
  <c r="AB566" i="666"/>
  <c r="AB567" i="666"/>
  <c r="AB568" i="666"/>
  <c r="AB569" i="666"/>
  <c r="AB570" i="666"/>
  <c r="AB571" i="666"/>
  <c r="AB572" i="666"/>
  <c r="AB573" i="666"/>
  <c r="AB574" i="666"/>
  <c r="AB575" i="666"/>
  <c r="AB576" i="666"/>
  <c r="AB577" i="666"/>
  <c r="AB578" i="666"/>
  <c r="AB579" i="666"/>
  <c r="AB580" i="666"/>
  <c r="AB581" i="666"/>
  <c r="AB582" i="666"/>
  <c r="AB583" i="666"/>
  <c r="AB584" i="666"/>
  <c r="AB585" i="666"/>
  <c r="AB586" i="666"/>
  <c r="AB587" i="666"/>
  <c r="AB588" i="666"/>
  <c r="AB589" i="666"/>
  <c r="AB590" i="666"/>
  <c r="AB591" i="666"/>
  <c r="AB592" i="666"/>
  <c r="AB593" i="666"/>
  <c r="AB594" i="666"/>
  <c r="AB595" i="666"/>
  <c r="AB596" i="666"/>
  <c r="AB597" i="666"/>
  <c r="AB598" i="666"/>
  <c r="AB599" i="666"/>
  <c r="AB600" i="666"/>
  <c r="AB601" i="666"/>
  <c r="AB602" i="666"/>
  <c r="AB603" i="666"/>
  <c r="AB604" i="666"/>
  <c r="AB605" i="666"/>
  <c r="AB606" i="666"/>
  <c r="AB607" i="666"/>
  <c r="AB608" i="666"/>
  <c r="AB609" i="666"/>
  <c r="AB610" i="666"/>
  <c r="AB611" i="666"/>
  <c r="AB612" i="666"/>
  <c r="AB613" i="666"/>
  <c r="AB614" i="666"/>
  <c r="AB615" i="666"/>
  <c r="AB616" i="666"/>
  <c r="AB617" i="666"/>
  <c r="AB618" i="666"/>
  <c r="AB619" i="666"/>
  <c r="AB620" i="666"/>
  <c r="AB621" i="666"/>
  <c r="AB622" i="666"/>
  <c r="AB623" i="666"/>
  <c r="AB624" i="666"/>
  <c r="AB625" i="666"/>
  <c r="AB626" i="666"/>
  <c r="AB627" i="666"/>
  <c r="AB628" i="666"/>
  <c r="AB629" i="666"/>
  <c r="AB630" i="666"/>
  <c r="AB631" i="666"/>
  <c r="AB632" i="666"/>
  <c r="AB633" i="666"/>
  <c r="AB634" i="666"/>
  <c r="AB635" i="666"/>
  <c r="AB636" i="666"/>
  <c r="AB637" i="666"/>
  <c r="AB638" i="666"/>
  <c r="AB639" i="666"/>
  <c r="AB640" i="666"/>
  <c r="AB641" i="666"/>
  <c r="AB642" i="666"/>
  <c r="AB643" i="666"/>
  <c r="AB644" i="666"/>
  <c r="AB645" i="666"/>
  <c r="AB646" i="666"/>
  <c r="AB647" i="666"/>
  <c r="AB648" i="666"/>
  <c r="AB649" i="666"/>
  <c r="AB650" i="666"/>
  <c r="AB651" i="666"/>
  <c r="AB652" i="666"/>
  <c r="AB653" i="666"/>
  <c r="AB654" i="666"/>
  <c r="AB655" i="666"/>
  <c r="AB656" i="666"/>
  <c r="AB657" i="666"/>
  <c r="AB658" i="666"/>
  <c r="AB659" i="666"/>
  <c r="AB660" i="666"/>
  <c r="AB661" i="666"/>
  <c r="AB662" i="666"/>
  <c r="AB663" i="666"/>
  <c r="AB664" i="666"/>
  <c r="AB665" i="666"/>
  <c r="AB666" i="666"/>
  <c r="AB667" i="666"/>
  <c r="AB668" i="666"/>
  <c r="AB669" i="666"/>
  <c r="AB670" i="666"/>
  <c r="AB671" i="666"/>
  <c r="AB672" i="666"/>
  <c r="AB673" i="666"/>
  <c r="AB674" i="666"/>
  <c r="AB675" i="666"/>
  <c r="AB676" i="666"/>
  <c r="AB677" i="666"/>
  <c r="AB678" i="666"/>
  <c r="AB679" i="666"/>
  <c r="AB680" i="666"/>
  <c r="AB681" i="666"/>
  <c r="AB682" i="666"/>
  <c r="AB683" i="666"/>
  <c r="AB684" i="666"/>
  <c r="AB685" i="666"/>
  <c r="AB686" i="666"/>
  <c r="AB687" i="666"/>
  <c r="AB688" i="666"/>
  <c r="AB689" i="666"/>
  <c r="AB690" i="666"/>
  <c r="AB691" i="666"/>
  <c r="AB692" i="666"/>
  <c r="AB693" i="666"/>
  <c r="AB694" i="666"/>
  <c r="AB695" i="666"/>
  <c r="AB696" i="666"/>
  <c r="AB697" i="666"/>
  <c r="AB698" i="666"/>
  <c r="AB699" i="666"/>
  <c r="AB700" i="666"/>
  <c r="AB701" i="666"/>
  <c r="AB702" i="666"/>
  <c r="AB703" i="666"/>
  <c r="AB704" i="666"/>
  <c r="AB705" i="666"/>
  <c r="AB706" i="666"/>
  <c r="AB707" i="666"/>
  <c r="AB708" i="666"/>
  <c r="AB709" i="666"/>
  <c r="AB710" i="666"/>
  <c r="AB711" i="666"/>
  <c r="AB712" i="666"/>
  <c r="AB713" i="666"/>
  <c r="AB714" i="666"/>
  <c r="AB715" i="666"/>
  <c r="AB716" i="666"/>
  <c r="AB717" i="666"/>
  <c r="AB718" i="666"/>
  <c r="AB719" i="666"/>
  <c r="AB720" i="666"/>
  <c r="AB721" i="666"/>
  <c r="AB722" i="666"/>
  <c r="AB723" i="666"/>
  <c r="AB724" i="666"/>
  <c r="AB725" i="666"/>
  <c r="AB726" i="666"/>
  <c r="AB727" i="666"/>
  <c r="AB728" i="666"/>
  <c r="AB729" i="666"/>
  <c r="AA2" i="666"/>
  <c r="AA3" i="666"/>
  <c r="AA4" i="666"/>
  <c r="AA5" i="666"/>
  <c r="AA6" i="666"/>
  <c r="AA7" i="666"/>
  <c r="AA8" i="666"/>
  <c r="AA9" i="666"/>
  <c r="AA10" i="666"/>
  <c r="AA11" i="666"/>
  <c r="AA12" i="666"/>
  <c r="AA13" i="666"/>
  <c r="AA14" i="666"/>
  <c r="AA15" i="666"/>
  <c r="AA16" i="666"/>
  <c r="AA17" i="666"/>
  <c r="AA18" i="666"/>
  <c r="AA19" i="666"/>
  <c r="AA20" i="666"/>
  <c r="AA21" i="666"/>
  <c r="AA22" i="666"/>
  <c r="AA23" i="666"/>
  <c r="AA24" i="666"/>
  <c r="AA25" i="666"/>
  <c r="AA26" i="666"/>
  <c r="AA27" i="666"/>
  <c r="AA28" i="666"/>
  <c r="AA29" i="666"/>
  <c r="AA30" i="666"/>
  <c r="AA31" i="666"/>
  <c r="AA32" i="666"/>
  <c r="AA33" i="666"/>
  <c r="AA34" i="666"/>
  <c r="AA35" i="666"/>
  <c r="AA36" i="666"/>
  <c r="AA37" i="666"/>
  <c r="AA38" i="666"/>
  <c r="AA39" i="666"/>
  <c r="AA40" i="666"/>
  <c r="AA41" i="666"/>
  <c r="AA42" i="666"/>
  <c r="AA43" i="666"/>
  <c r="AA44" i="666"/>
  <c r="AA45" i="666"/>
  <c r="AA46" i="666"/>
  <c r="AA47" i="666"/>
  <c r="AA48" i="666"/>
  <c r="AA49" i="666"/>
  <c r="AA50" i="666"/>
  <c r="AA51" i="666"/>
  <c r="AA52" i="666"/>
  <c r="AA53" i="666"/>
  <c r="AA54" i="666"/>
  <c r="AA55" i="666"/>
  <c r="AA56" i="666"/>
  <c r="AA57" i="666"/>
  <c r="AA58" i="666"/>
  <c r="AA59" i="666"/>
  <c r="AA60" i="666"/>
  <c r="AA61" i="666"/>
  <c r="AA62" i="666"/>
  <c r="AA63" i="666"/>
  <c r="AA64" i="666"/>
  <c r="AA65" i="666"/>
  <c r="AA66" i="666"/>
  <c r="AA67" i="666"/>
  <c r="AA68" i="666"/>
  <c r="AA69" i="666"/>
  <c r="AA70" i="666"/>
  <c r="AA71" i="666"/>
  <c r="AA72" i="666"/>
  <c r="AA73" i="666"/>
  <c r="AA74" i="666"/>
  <c r="AA75" i="666"/>
  <c r="AA76" i="666"/>
  <c r="AA77" i="666"/>
  <c r="AA78" i="666"/>
  <c r="AA79" i="666"/>
  <c r="AA80" i="666"/>
  <c r="AA81" i="666"/>
  <c r="AA82" i="666"/>
  <c r="AA83" i="666"/>
  <c r="AA84" i="666"/>
  <c r="AA85" i="666"/>
  <c r="AA86" i="666"/>
  <c r="AA87" i="666"/>
  <c r="AA88" i="666"/>
  <c r="AA89" i="666"/>
  <c r="AA90" i="666"/>
  <c r="AA91" i="666"/>
  <c r="AA92" i="666"/>
  <c r="AA93" i="666"/>
  <c r="AA94" i="666"/>
  <c r="AA95" i="666"/>
  <c r="AA96" i="666"/>
  <c r="AA97" i="666"/>
  <c r="AA98" i="666"/>
  <c r="AA99" i="666"/>
  <c r="AA100" i="666"/>
  <c r="AA101" i="666"/>
  <c r="AA102" i="666"/>
  <c r="AA103" i="666"/>
  <c r="AA104" i="666"/>
  <c r="AA105" i="666"/>
  <c r="AA106" i="666"/>
  <c r="AA107" i="666"/>
  <c r="AA108" i="666"/>
  <c r="AA109" i="666"/>
  <c r="AA110" i="666"/>
  <c r="AA111" i="666"/>
  <c r="AA112" i="666"/>
  <c r="AA113" i="666"/>
  <c r="AA114" i="666"/>
  <c r="AA115" i="666"/>
  <c r="AA116" i="666"/>
  <c r="AA117" i="666"/>
  <c r="AA118" i="666"/>
  <c r="AA119" i="666"/>
  <c r="AA120" i="666"/>
  <c r="AA121" i="666"/>
  <c r="AA122" i="666"/>
  <c r="AA123" i="666"/>
  <c r="AA124" i="666"/>
  <c r="AA125" i="666"/>
  <c r="AA126" i="666"/>
  <c r="AA127" i="666"/>
  <c r="AA128" i="666"/>
  <c r="AA129" i="666"/>
  <c r="AA130" i="666"/>
  <c r="AA131" i="666"/>
  <c r="AA132" i="666"/>
  <c r="AA133" i="666"/>
  <c r="AA134" i="666"/>
  <c r="AA135" i="666"/>
  <c r="AA136" i="666"/>
  <c r="AA137" i="666"/>
  <c r="AA138" i="666"/>
  <c r="AA139" i="666"/>
  <c r="AA140" i="666"/>
  <c r="AA141" i="666"/>
  <c r="AA142" i="666"/>
  <c r="AA143" i="666"/>
  <c r="AA144" i="666"/>
  <c r="AA145" i="666"/>
  <c r="AA146" i="666"/>
  <c r="AA147" i="666"/>
  <c r="AA148" i="666"/>
  <c r="AA149" i="666"/>
  <c r="AA150" i="666"/>
  <c r="AA151" i="666"/>
  <c r="AA152" i="666"/>
  <c r="AA153" i="666"/>
  <c r="AA154" i="666"/>
  <c r="AA155" i="666"/>
  <c r="AA156" i="666"/>
  <c r="AA157" i="666"/>
  <c r="AA158" i="666"/>
  <c r="AA159" i="666"/>
  <c r="AA160" i="666"/>
  <c r="AA161" i="666"/>
  <c r="AA162" i="666"/>
  <c r="AA163" i="666"/>
  <c r="AA164" i="666"/>
  <c r="AA165" i="666"/>
  <c r="AA166" i="666"/>
  <c r="AA167" i="666"/>
  <c r="AA168" i="666"/>
  <c r="AA169" i="666"/>
  <c r="AA170" i="666"/>
  <c r="AA171" i="666"/>
  <c r="AA172" i="666"/>
  <c r="AA173" i="666"/>
  <c r="AA174" i="666"/>
  <c r="AA175" i="666"/>
  <c r="AA176" i="666"/>
  <c r="AA177" i="666"/>
  <c r="AA178" i="666"/>
  <c r="AA179" i="666"/>
  <c r="AA180" i="666"/>
  <c r="AA181" i="666"/>
  <c r="AA182" i="666"/>
  <c r="AA183" i="666"/>
  <c r="AA184" i="666"/>
  <c r="AA185" i="666"/>
  <c r="AA186" i="666"/>
  <c r="AA187" i="666"/>
  <c r="AA188" i="666"/>
  <c r="AA189" i="666"/>
  <c r="AA190" i="666"/>
  <c r="AA191" i="666"/>
  <c r="AA192" i="666"/>
  <c r="AA193" i="666"/>
  <c r="AA194" i="666"/>
  <c r="AA195" i="666"/>
  <c r="AA196" i="666"/>
  <c r="AA197" i="666"/>
  <c r="AA198" i="666"/>
  <c r="AA199" i="666"/>
  <c r="AA200" i="666"/>
  <c r="AA201" i="666"/>
  <c r="AA202" i="666"/>
  <c r="AA203" i="666"/>
  <c r="AA204" i="666"/>
  <c r="AA205" i="666"/>
  <c r="AA206" i="666"/>
  <c r="AA207" i="666"/>
  <c r="AA208" i="666"/>
  <c r="AA209" i="666"/>
  <c r="AA210" i="666"/>
  <c r="AA211" i="666"/>
  <c r="AA212" i="666"/>
  <c r="AA213" i="666"/>
  <c r="AA214" i="666"/>
  <c r="AA215" i="666"/>
  <c r="AA216" i="666"/>
  <c r="AA217" i="666"/>
  <c r="AA218" i="666"/>
  <c r="AA219" i="666"/>
  <c r="AA220" i="666"/>
  <c r="AA221" i="666"/>
  <c r="AA222" i="666"/>
  <c r="AA223" i="666"/>
  <c r="AA224" i="666"/>
  <c r="AA225" i="666"/>
  <c r="AA226" i="666"/>
  <c r="AA227" i="666"/>
  <c r="AA228" i="666"/>
  <c r="AA229" i="666"/>
  <c r="AA230" i="666"/>
  <c r="AA231" i="666"/>
  <c r="AA232" i="666"/>
  <c r="AA233" i="666"/>
  <c r="AA234" i="666"/>
  <c r="AA235" i="666"/>
  <c r="AA236" i="666"/>
  <c r="AA237" i="666"/>
  <c r="AA238" i="666"/>
  <c r="AA239" i="666"/>
  <c r="AA240" i="666"/>
  <c r="AA241" i="666"/>
  <c r="AA242" i="666"/>
  <c r="AA243" i="666"/>
  <c r="AA244" i="666"/>
  <c r="AA245" i="666"/>
  <c r="AA246" i="666"/>
  <c r="AA247" i="666"/>
  <c r="AA248" i="666"/>
  <c r="AA249" i="666"/>
  <c r="AA250" i="666"/>
  <c r="AA251" i="666"/>
  <c r="AA252" i="666"/>
  <c r="AA253" i="666"/>
  <c r="AA254" i="666"/>
  <c r="AA255" i="666"/>
  <c r="AA256" i="666"/>
  <c r="AA257" i="666"/>
  <c r="AA258" i="666"/>
  <c r="AA259" i="666"/>
  <c r="AA260" i="666"/>
  <c r="AA261" i="666"/>
  <c r="AA262" i="666"/>
  <c r="AA263" i="666"/>
  <c r="AA264" i="666"/>
  <c r="AA265" i="666"/>
  <c r="AA266" i="666"/>
  <c r="AA267" i="666"/>
  <c r="AA268" i="666"/>
  <c r="AA269" i="666"/>
  <c r="AA270" i="666"/>
  <c r="AA271" i="666"/>
  <c r="AA272" i="666"/>
  <c r="AA273" i="666"/>
  <c r="AA274" i="666"/>
  <c r="AA275" i="666"/>
  <c r="AA276" i="666"/>
  <c r="AA277" i="666"/>
  <c r="AA278" i="666"/>
  <c r="AA279" i="666"/>
  <c r="AA280" i="666"/>
  <c r="AA281" i="666"/>
  <c r="AA282" i="666"/>
  <c r="AA283" i="666"/>
  <c r="AA284" i="666"/>
  <c r="AA285" i="666"/>
  <c r="AA286" i="666"/>
  <c r="AA287" i="666"/>
  <c r="AA288" i="666"/>
  <c r="AA289" i="666"/>
  <c r="AA290" i="666"/>
  <c r="AA291" i="666"/>
  <c r="AA292" i="666"/>
  <c r="AA293" i="666"/>
  <c r="AA294" i="666"/>
  <c r="AA295" i="666"/>
  <c r="AA296" i="666"/>
  <c r="AA297" i="666"/>
  <c r="AA298" i="666"/>
  <c r="AA299" i="666"/>
  <c r="AA300" i="666"/>
  <c r="AA301" i="666"/>
  <c r="AA302" i="666"/>
  <c r="AA303" i="666"/>
  <c r="AA304" i="666"/>
  <c r="AA305" i="666"/>
  <c r="AA306" i="666"/>
  <c r="AA307" i="666"/>
  <c r="AA308" i="666"/>
  <c r="AA309" i="666"/>
  <c r="AA310" i="666"/>
  <c r="AA311" i="666"/>
  <c r="AA312" i="666"/>
  <c r="AA313" i="666"/>
  <c r="AA314" i="666"/>
  <c r="AA315" i="666"/>
  <c r="AA316" i="666"/>
  <c r="AA317" i="666"/>
  <c r="AA318" i="666"/>
  <c r="AA319" i="666"/>
  <c r="AA320" i="666"/>
  <c r="AA321" i="666"/>
  <c r="AA322" i="666"/>
  <c r="AA323" i="666"/>
  <c r="AA324" i="666"/>
  <c r="AA325" i="666"/>
  <c r="AA326" i="666"/>
  <c r="AA327" i="666"/>
  <c r="AA328" i="666"/>
  <c r="AA329" i="666"/>
  <c r="AA330" i="666"/>
  <c r="AA331" i="666"/>
  <c r="AA332" i="666"/>
  <c r="AA333" i="666"/>
  <c r="AA334" i="666"/>
  <c r="AA335" i="666"/>
  <c r="AA336" i="666"/>
  <c r="AA337" i="666"/>
  <c r="AA338" i="666"/>
  <c r="AA339" i="666"/>
  <c r="AA340" i="666"/>
  <c r="AA341" i="666"/>
  <c r="AA342" i="666"/>
  <c r="AA343" i="666"/>
  <c r="AA344" i="666"/>
  <c r="AA345" i="666"/>
  <c r="AA346" i="666"/>
  <c r="AA347" i="666"/>
  <c r="AA348" i="666"/>
  <c r="AA349" i="666"/>
  <c r="AA350" i="666"/>
  <c r="AA351" i="666"/>
  <c r="AA352" i="666"/>
  <c r="AA353" i="666"/>
  <c r="AA354" i="666"/>
  <c r="AA355" i="666"/>
  <c r="AA356" i="666"/>
  <c r="AA357" i="666"/>
  <c r="AA358" i="666"/>
  <c r="AA359" i="666"/>
  <c r="AA360" i="666"/>
  <c r="AA361" i="666"/>
  <c r="AA362" i="666"/>
  <c r="AA363" i="666"/>
  <c r="AA364" i="666"/>
  <c r="AA365" i="666"/>
  <c r="AA366" i="666"/>
  <c r="AA367" i="666"/>
  <c r="AA368" i="666"/>
  <c r="AA369" i="666"/>
  <c r="AA370" i="666"/>
  <c r="AA371" i="666"/>
  <c r="AA372" i="666"/>
  <c r="AA373" i="666"/>
  <c r="AA374" i="666"/>
  <c r="AA375" i="666"/>
  <c r="AA376" i="666"/>
  <c r="AA377" i="666"/>
  <c r="AA378" i="666"/>
  <c r="AA379" i="666"/>
  <c r="AA380" i="666"/>
  <c r="AA381" i="666"/>
  <c r="AA382" i="666"/>
  <c r="AA383" i="666"/>
  <c r="AA384" i="666"/>
  <c r="AA385" i="666"/>
  <c r="AA386" i="666"/>
  <c r="AA387" i="666"/>
  <c r="AA388" i="666"/>
  <c r="AA389" i="666"/>
  <c r="AA390" i="666"/>
  <c r="AA391" i="666"/>
  <c r="AA392" i="666"/>
  <c r="AA393" i="666"/>
  <c r="AA394" i="666"/>
  <c r="AA395" i="666"/>
  <c r="AA396" i="666"/>
  <c r="AA397" i="666"/>
  <c r="AA398" i="666"/>
  <c r="AA399" i="666"/>
  <c r="AA400" i="666"/>
  <c r="AA401" i="666"/>
  <c r="AA402" i="666"/>
  <c r="AA403" i="666"/>
  <c r="AA404" i="666"/>
  <c r="AA405" i="666"/>
  <c r="AA406" i="666"/>
  <c r="AA407" i="666"/>
  <c r="AA408" i="666"/>
  <c r="AA409" i="666"/>
  <c r="AA410" i="666"/>
  <c r="AA411" i="666"/>
  <c r="AA412" i="666"/>
  <c r="AA413" i="666"/>
  <c r="AA414" i="666"/>
  <c r="AA415" i="666"/>
  <c r="AA416" i="666"/>
  <c r="AA417" i="666"/>
  <c r="AA418" i="666"/>
  <c r="AA419" i="666"/>
  <c r="AA420" i="666"/>
  <c r="AA421" i="666"/>
  <c r="AA422" i="666"/>
  <c r="AA423" i="666"/>
  <c r="AA424" i="666"/>
  <c r="AA425" i="666"/>
  <c r="AA426" i="666"/>
  <c r="AA427" i="666"/>
  <c r="AA428" i="666"/>
  <c r="AA429" i="666"/>
  <c r="AA430" i="666"/>
  <c r="AA431" i="666"/>
  <c r="AA432" i="666"/>
  <c r="AA433" i="666"/>
  <c r="AA434" i="666"/>
  <c r="AA435" i="666"/>
  <c r="AA436" i="666"/>
  <c r="AA437" i="666"/>
  <c r="AA438" i="666"/>
  <c r="AA439" i="666"/>
  <c r="AA440" i="666"/>
  <c r="AA441" i="666"/>
  <c r="AA442" i="666"/>
  <c r="AA443" i="666"/>
  <c r="AA444" i="666"/>
  <c r="AA445" i="666"/>
  <c r="AA446" i="666"/>
  <c r="AA447" i="666"/>
  <c r="AA448" i="666"/>
  <c r="AA449" i="666"/>
  <c r="AA450" i="666"/>
  <c r="AA451" i="666"/>
  <c r="AA452" i="666"/>
  <c r="AA453" i="666"/>
  <c r="AA454" i="666"/>
  <c r="AA455" i="666"/>
  <c r="AA456" i="666"/>
  <c r="AA457" i="666"/>
  <c r="AA458" i="666"/>
  <c r="AA459" i="666"/>
  <c r="AA460" i="666"/>
  <c r="AA461" i="666"/>
  <c r="AA462" i="666"/>
  <c r="AA463" i="666"/>
  <c r="AA464" i="666"/>
  <c r="AA465" i="666"/>
  <c r="AA466" i="666"/>
  <c r="AA467" i="666"/>
  <c r="AA468" i="666"/>
  <c r="AA469" i="666"/>
  <c r="AA470" i="666"/>
  <c r="AA471" i="666"/>
  <c r="AA472" i="666"/>
  <c r="AA473" i="666"/>
  <c r="AA474" i="666"/>
  <c r="AA475" i="666"/>
  <c r="AA476" i="666"/>
  <c r="AA477" i="666"/>
  <c r="AA478" i="666"/>
  <c r="AA479" i="666"/>
  <c r="AA480" i="666"/>
  <c r="AA481" i="666"/>
  <c r="AA482" i="666"/>
  <c r="AA483" i="666"/>
  <c r="AA484" i="666"/>
  <c r="AA485" i="666"/>
  <c r="AA486" i="666"/>
  <c r="AA487" i="666"/>
  <c r="AA488" i="666"/>
  <c r="AA489" i="666"/>
  <c r="AA490" i="666"/>
  <c r="AA491" i="666"/>
  <c r="AA492" i="666"/>
  <c r="AA493" i="666"/>
  <c r="AA494" i="666"/>
  <c r="AA495" i="666"/>
  <c r="AA496" i="666"/>
  <c r="AA497" i="666"/>
  <c r="AA498" i="666"/>
  <c r="AA499" i="666"/>
  <c r="AA500" i="666"/>
  <c r="AA501" i="666"/>
  <c r="AA502" i="666"/>
  <c r="AA503" i="666"/>
  <c r="AA504" i="666"/>
  <c r="AA505" i="666"/>
  <c r="AA506" i="666"/>
  <c r="AA507" i="666"/>
  <c r="AA508" i="666"/>
  <c r="AA509" i="666"/>
  <c r="AA510" i="666"/>
  <c r="AA511" i="666"/>
  <c r="AA512" i="666"/>
  <c r="AA513" i="666"/>
  <c r="AA514" i="666"/>
  <c r="AA515" i="666"/>
  <c r="AA516" i="666"/>
  <c r="AA517" i="666"/>
  <c r="AA518" i="666"/>
  <c r="AA519" i="666"/>
  <c r="AA520" i="666"/>
  <c r="AA521" i="666"/>
  <c r="AA522" i="666"/>
  <c r="AA523" i="666"/>
  <c r="AA524" i="666"/>
  <c r="AA525" i="666"/>
  <c r="AA526" i="666"/>
  <c r="AA527" i="666"/>
  <c r="AA528" i="666"/>
  <c r="AA529" i="666"/>
  <c r="AA530" i="666"/>
  <c r="AA531" i="666"/>
  <c r="AA532" i="666"/>
  <c r="AA533" i="666"/>
  <c r="AA534" i="666"/>
  <c r="AA535" i="666"/>
  <c r="AA536" i="666"/>
  <c r="AA537" i="666"/>
  <c r="AA538" i="666"/>
  <c r="AA539" i="666"/>
  <c r="AA540" i="666"/>
  <c r="AA541" i="666"/>
  <c r="AA542" i="666"/>
  <c r="AA543" i="666"/>
  <c r="AA544" i="666"/>
  <c r="AA545" i="666"/>
  <c r="AA546" i="666"/>
  <c r="AA547" i="666"/>
  <c r="AA548" i="666"/>
  <c r="AA549" i="666"/>
  <c r="AA550" i="666"/>
  <c r="AA551" i="666"/>
  <c r="AA552" i="666"/>
  <c r="AA553" i="666"/>
  <c r="AA554" i="666"/>
  <c r="AA555" i="666"/>
  <c r="AA556" i="666"/>
  <c r="AA557" i="666"/>
  <c r="AA558" i="666"/>
  <c r="AA559" i="666"/>
  <c r="AA560" i="666"/>
  <c r="AA561" i="666"/>
  <c r="AA562" i="666"/>
  <c r="AA563" i="666"/>
  <c r="AA564" i="666"/>
  <c r="AA565" i="666"/>
  <c r="AA566" i="666"/>
  <c r="AA567" i="666"/>
  <c r="AA568" i="666"/>
  <c r="AA569" i="666"/>
  <c r="AA570" i="666"/>
  <c r="AA571" i="666"/>
  <c r="AA572" i="666"/>
  <c r="AA573" i="666"/>
  <c r="AA574" i="666"/>
  <c r="AA575" i="666"/>
  <c r="AA576" i="666"/>
  <c r="AA577" i="666"/>
  <c r="AA578" i="666"/>
  <c r="AA579" i="666"/>
  <c r="AA580" i="666"/>
  <c r="AA581" i="666"/>
  <c r="AA582" i="666"/>
  <c r="AA583" i="666"/>
  <c r="AA584" i="666"/>
  <c r="AA585" i="666"/>
  <c r="AA586" i="666"/>
  <c r="AA587" i="666"/>
  <c r="AA588" i="666"/>
  <c r="AA589" i="666"/>
  <c r="AA590" i="666"/>
  <c r="AA591" i="666"/>
  <c r="AA592" i="666"/>
  <c r="AA593" i="666"/>
  <c r="AA594" i="666"/>
  <c r="AA595" i="666"/>
  <c r="AA596" i="666"/>
  <c r="AA597" i="666"/>
  <c r="AA598" i="666"/>
  <c r="AA599" i="666"/>
  <c r="AA600" i="666"/>
  <c r="AA601" i="666"/>
  <c r="AA602" i="666"/>
  <c r="AA603" i="666"/>
  <c r="AA604" i="666"/>
  <c r="AA605" i="666"/>
  <c r="AA606" i="666"/>
  <c r="AA607" i="666"/>
  <c r="AA608" i="666"/>
  <c r="AA609" i="666"/>
  <c r="AA610" i="666"/>
  <c r="AA611" i="666"/>
  <c r="AA612" i="666"/>
  <c r="AA613" i="666"/>
  <c r="AA614" i="666"/>
  <c r="AA615" i="666"/>
  <c r="AA616" i="666"/>
  <c r="AA617" i="666"/>
  <c r="AA618" i="666"/>
  <c r="AA619" i="666"/>
  <c r="AA620" i="666"/>
  <c r="AA621" i="666"/>
  <c r="AA622" i="666"/>
  <c r="AA623" i="666"/>
  <c r="AA624" i="666"/>
  <c r="AA625" i="666"/>
  <c r="AA626" i="666"/>
  <c r="AA627" i="666"/>
  <c r="AA628" i="666"/>
  <c r="AA629" i="666"/>
  <c r="AA630" i="666"/>
  <c r="AA631" i="666"/>
  <c r="AA632" i="666"/>
  <c r="AA633" i="666"/>
  <c r="AA634" i="666"/>
  <c r="AA635" i="666"/>
  <c r="AA636" i="666"/>
  <c r="AA637" i="666"/>
  <c r="AA638" i="666"/>
  <c r="AA639" i="666"/>
  <c r="AA640" i="666"/>
  <c r="AA641" i="666"/>
  <c r="AA642" i="666"/>
  <c r="AA643" i="666"/>
  <c r="AA644" i="666"/>
  <c r="AA645" i="666"/>
  <c r="AA646" i="666"/>
  <c r="AA647" i="666"/>
  <c r="AA648" i="666"/>
  <c r="AA649" i="666"/>
  <c r="AA650" i="666"/>
  <c r="AA651" i="666"/>
  <c r="AA652" i="666"/>
  <c r="AA653" i="666"/>
  <c r="AA654" i="666"/>
  <c r="AA655" i="666"/>
  <c r="AA656" i="666"/>
  <c r="AA657" i="666"/>
  <c r="AA658" i="666"/>
  <c r="AA659" i="666"/>
  <c r="AA660" i="666"/>
  <c r="AA661" i="666"/>
  <c r="AA662" i="666"/>
  <c r="AA663" i="666"/>
  <c r="AA664" i="666"/>
  <c r="AA665" i="666"/>
  <c r="AA666" i="666"/>
  <c r="AA667" i="666"/>
  <c r="AA668" i="666"/>
  <c r="AA669" i="666"/>
  <c r="AA670" i="666"/>
  <c r="AA671" i="666"/>
  <c r="AA672" i="666"/>
  <c r="AA673" i="666"/>
  <c r="AA674" i="666"/>
  <c r="AA675" i="666"/>
  <c r="AA676" i="666"/>
  <c r="AA677" i="666"/>
  <c r="AA678" i="666"/>
  <c r="AA679" i="666"/>
  <c r="AA680" i="666"/>
  <c r="AA681" i="666"/>
  <c r="AA682" i="666"/>
  <c r="AA683" i="666"/>
  <c r="AA684" i="666"/>
  <c r="AA685" i="666"/>
  <c r="AA686" i="666"/>
  <c r="AA687" i="666"/>
  <c r="AA688" i="666"/>
  <c r="AA689" i="666"/>
  <c r="AA690" i="666"/>
  <c r="AA691" i="666"/>
  <c r="AA692" i="666"/>
  <c r="AA693" i="666"/>
  <c r="AA694" i="666"/>
  <c r="AA695" i="666"/>
  <c r="AA696" i="666"/>
  <c r="AA697" i="666"/>
  <c r="AA698" i="666"/>
  <c r="AA699" i="666"/>
  <c r="AA700" i="666"/>
  <c r="AA701" i="666"/>
  <c r="AA702" i="666"/>
  <c r="AA703" i="666"/>
  <c r="AA704" i="666"/>
  <c r="AA705" i="666"/>
  <c r="AA706" i="666"/>
  <c r="AA707" i="666"/>
  <c r="AA708" i="666"/>
  <c r="AA709" i="666"/>
  <c r="AA710" i="666"/>
  <c r="AA711" i="666"/>
  <c r="AA712" i="666"/>
  <c r="AA713" i="666"/>
  <c r="AA714" i="666"/>
  <c r="AA715" i="666"/>
  <c r="AA716" i="666"/>
  <c r="AA717" i="666"/>
  <c r="AA718" i="666"/>
  <c r="AA719" i="666"/>
  <c r="AA720" i="666"/>
  <c r="AA721" i="666"/>
  <c r="AA722" i="666"/>
  <c r="AA723" i="666"/>
  <c r="AA724" i="666"/>
  <c r="AA725" i="666"/>
  <c r="AA726" i="666"/>
  <c r="AA727" i="666"/>
  <c r="AA728" i="666"/>
  <c r="AA729" i="666"/>
  <c r="N438" i="665"/>
  <c r="M438" i="665"/>
  <c r="O438" i="665" s="1"/>
  <c r="N437" i="665"/>
  <c r="M437" i="665"/>
  <c r="N436" i="665"/>
  <c r="M436" i="665"/>
  <c r="O435" i="665"/>
  <c r="N435" i="665"/>
  <c r="M435" i="665"/>
  <c r="N434" i="665"/>
  <c r="M434" i="665"/>
  <c r="O434" i="665" s="1"/>
  <c r="N433" i="665"/>
  <c r="M433" i="665"/>
  <c r="O433" i="665" s="1"/>
  <c r="N432" i="665"/>
  <c r="M432" i="665"/>
  <c r="N431" i="665"/>
  <c r="M431" i="665"/>
  <c r="N430" i="665"/>
  <c r="M430" i="665"/>
  <c r="N429" i="665"/>
  <c r="M429" i="665"/>
  <c r="O429" i="665" s="1"/>
  <c r="N428" i="665"/>
  <c r="M428" i="665"/>
  <c r="N427" i="665"/>
  <c r="M427" i="665"/>
  <c r="O427" i="665" s="1"/>
  <c r="N426" i="665"/>
  <c r="M426" i="665"/>
  <c r="O426" i="665" s="1"/>
  <c r="N425" i="665"/>
  <c r="M425" i="665"/>
  <c r="N424" i="665"/>
  <c r="M424" i="665"/>
  <c r="N423" i="665"/>
  <c r="M423" i="665"/>
  <c r="O423" i="665" s="1"/>
  <c r="N422" i="665"/>
  <c r="M422" i="665"/>
  <c r="N421" i="665"/>
  <c r="M421" i="665"/>
  <c r="O421" i="665" s="1"/>
  <c r="N420" i="665"/>
  <c r="M420" i="665"/>
  <c r="O420" i="665" s="1"/>
  <c r="N419" i="665"/>
  <c r="M419" i="665"/>
  <c r="O419" i="665" s="1"/>
  <c r="N418" i="665"/>
  <c r="M418" i="665"/>
  <c r="N417" i="665"/>
  <c r="M417" i="665"/>
  <c r="N416" i="665"/>
  <c r="M416" i="665"/>
  <c r="O416" i="665" s="1"/>
  <c r="N415" i="665"/>
  <c r="M415" i="665"/>
  <c r="N414" i="665"/>
  <c r="M414" i="665"/>
  <c r="N413" i="665"/>
  <c r="M413" i="665"/>
  <c r="O413" i="665" s="1"/>
  <c r="N412" i="665"/>
  <c r="M412" i="665"/>
  <c r="N411" i="665"/>
  <c r="M411" i="665"/>
  <c r="N410" i="665"/>
  <c r="M410" i="665"/>
  <c r="N409" i="665"/>
  <c r="M409" i="665"/>
  <c r="N408" i="665"/>
  <c r="M408" i="665"/>
  <c r="N407" i="665"/>
  <c r="M407" i="665"/>
  <c r="O407" i="665" s="1"/>
  <c r="N406" i="665"/>
  <c r="M406" i="665"/>
  <c r="N405" i="665"/>
  <c r="M405" i="665"/>
  <c r="N404" i="665"/>
  <c r="M404" i="665"/>
  <c r="O404" i="665" s="1"/>
  <c r="N403" i="665"/>
  <c r="M403" i="665"/>
  <c r="O403" i="665" s="1"/>
  <c r="N402" i="665"/>
  <c r="M402" i="665"/>
  <c r="N401" i="665"/>
  <c r="M401" i="665"/>
  <c r="N400" i="665"/>
  <c r="M400" i="665"/>
  <c r="O400" i="665" s="1"/>
  <c r="N399" i="665"/>
  <c r="M399" i="665"/>
  <c r="N398" i="665"/>
  <c r="M398" i="665"/>
  <c r="N397" i="665"/>
  <c r="M397" i="665"/>
  <c r="O397" i="665" s="1"/>
  <c r="N396" i="665"/>
  <c r="M396" i="665"/>
  <c r="O396" i="665" s="1"/>
  <c r="N395" i="665"/>
  <c r="M395" i="665"/>
  <c r="O395" i="665" s="1"/>
  <c r="N394" i="665"/>
  <c r="M394" i="665"/>
  <c r="N393" i="665"/>
  <c r="M393" i="665"/>
  <c r="N392" i="665"/>
  <c r="M392" i="665"/>
  <c r="O392" i="665" s="1"/>
  <c r="N391" i="665"/>
  <c r="M391" i="665"/>
  <c r="O391" i="665" s="1"/>
  <c r="N390" i="665"/>
  <c r="M390" i="665"/>
  <c r="O390" i="665" s="1"/>
  <c r="N389" i="665"/>
  <c r="M389" i="665"/>
  <c r="O389" i="665" s="1"/>
  <c r="N388" i="665"/>
  <c r="M388" i="665"/>
  <c r="O388" i="665" s="1"/>
  <c r="N387" i="665"/>
  <c r="M387" i="665"/>
  <c r="O387" i="665" s="1"/>
  <c r="N386" i="665"/>
  <c r="M386" i="665"/>
  <c r="O386" i="665" s="1"/>
  <c r="N385" i="665"/>
  <c r="M385" i="665"/>
  <c r="O385" i="665" s="1"/>
  <c r="N384" i="665"/>
  <c r="M384" i="665"/>
  <c r="N383" i="665"/>
  <c r="M383" i="665"/>
  <c r="O383" i="665" s="1"/>
  <c r="N382" i="665"/>
  <c r="M382" i="665"/>
  <c r="N381" i="665"/>
  <c r="M381" i="665"/>
  <c r="O381" i="665" s="1"/>
  <c r="N380" i="665"/>
  <c r="M380" i="665"/>
  <c r="O380" i="665" s="1"/>
  <c r="N379" i="665"/>
  <c r="M379" i="665"/>
  <c r="O379" i="665" s="1"/>
  <c r="N378" i="665"/>
  <c r="M378" i="665"/>
  <c r="N377" i="665"/>
  <c r="M377" i="665"/>
  <c r="N376" i="665"/>
  <c r="M376" i="665"/>
  <c r="N375" i="665"/>
  <c r="M375" i="665"/>
  <c r="O375" i="665" s="1"/>
  <c r="N374" i="665"/>
  <c r="M374" i="665"/>
  <c r="N373" i="665"/>
  <c r="M373" i="665"/>
  <c r="O373" i="665" s="1"/>
  <c r="N372" i="665"/>
  <c r="M372" i="665"/>
  <c r="O372" i="665" s="1"/>
  <c r="N371" i="665"/>
  <c r="O371" i="665" s="1"/>
  <c r="M371" i="665"/>
  <c r="N370" i="665"/>
  <c r="M370" i="665"/>
  <c r="N369" i="665"/>
  <c r="M369" i="665"/>
  <c r="O369" i="665" s="1"/>
  <c r="N368" i="665"/>
  <c r="M368" i="665"/>
  <c r="N367" i="665"/>
  <c r="M367" i="665"/>
  <c r="N366" i="665"/>
  <c r="M366" i="665"/>
  <c r="O366" i="665" s="1"/>
  <c r="N365" i="665"/>
  <c r="M365" i="665"/>
  <c r="N364" i="665"/>
  <c r="M364" i="665"/>
  <c r="N363" i="665"/>
  <c r="M363" i="665"/>
  <c r="O363" i="665" s="1"/>
  <c r="N362" i="665"/>
  <c r="M362" i="665"/>
  <c r="N361" i="665"/>
  <c r="M361" i="665"/>
  <c r="N360" i="665"/>
  <c r="M360" i="665"/>
  <c r="N359" i="665"/>
  <c r="M359" i="665"/>
  <c r="N358" i="665"/>
  <c r="M358" i="665"/>
  <c r="N357" i="665"/>
  <c r="M357" i="665"/>
  <c r="O357" i="665" s="1"/>
  <c r="N356" i="665"/>
  <c r="M356" i="665"/>
  <c r="O356" i="665" s="1"/>
  <c r="N355" i="665"/>
  <c r="M355" i="665"/>
  <c r="N354" i="665"/>
  <c r="M354" i="665"/>
  <c r="N353" i="665"/>
  <c r="M353" i="665"/>
  <c r="N352" i="665"/>
  <c r="M352" i="665"/>
  <c r="N351" i="665"/>
  <c r="M351" i="665"/>
  <c r="O351" i="665" s="1"/>
  <c r="N350" i="665"/>
  <c r="M350" i="665"/>
  <c r="N349" i="665"/>
  <c r="M349" i="665"/>
  <c r="N348" i="665"/>
  <c r="M348" i="665"/>
  <c r="O348" i="665" s="1"/>
  <c r="N347" i="665"/>
  <c r="M347" i="665"/>
  <c r="N346" i="665"/>
  <c r="M346" i="665"/>
  <c r="N345" i="665"/>
  <c r="M345" i="665"/>
  <c r="N344" i="665"/>
  <c r="M344" i="665"/>
  <c r="O344" i="665" s="1"/>
  <c r="N343" i="665"/>
  <c r="M343" i="665"/>
  <c r="N342" i="665"/>
  <c r="M342" i="665"/>
  <c r="O342" i="665" s="1"/>
  <c r="N341" i="665"/>
  <c r="M341" i="665"/>
  <c r="N340" i="665"/>
  <c r="M340" i="665"/>
  <c r="N339" i="665"/>
  <c r="M339" i="665"/>
  <c r="O339" i="665" s="1"/>
  <c r="N338" i="665"/>
  <c r="M338" i="665"/>
  <c r="N337" i="665"/>
  <c r="M337" i="665"/>
  <c r="N336" i="665"/>
  <c r="M336" i="665"/>
  <c r="N335" i="665"/>
  <c r="M335" i="665"/>
  <c r="N334" i="665"/>
  <c r="M334" i="665"/>
  <c r="N333" i="665"/>
  <c r="M333" i="665"/>
  <c r="O333" i="665" s="1"/>
  <c r="N332" i="665"/>
  <c r="M332" i="665"/>
  <c r="O332" i="665" s="1"/>
  <c r="N331" i="665"/>
  <c r="M331" i="665"/>
  <c r="N330" i="665"/>
  <c r="M330" i="665"/>
  <c r="N329" i="665"/>
  <c r="M329" i="665"/>
  <c r="N328" i="665"/>
  <c r="M328" i="665"/>
  <c r="N327" i="665"/>
  <c r="M327" i="665"/>
  <c r="O327" i="665" s="1"/>
  <c r="N326" i="665"/>
  <c r="M326" i="665"/>
  <c r="O326" i="665" s="1"/>
  <c r="N325" i="665"/>
  <c r="M325" i="665"/>
  <c r="O325" i="665" s="1"/>
  <c r="N324" i="665"/>
  <c r="M324" i="665"/>
  <c r="O324" i="665" s="1"/>
  <c r="N323" i="665"/>
  <c r="M323" i="665"/>
  <c r="O323" i="665" s="1"/>
  <c r="N322" i="665"/>
  <c r="M322" i="665"/>
  <c r="N321" i="665"/>
  <c r="M321" i="665"/>
  <c r="O321" i="665" s="1"/>
  <c r="N320" i="665"/>
  <c r="M320" i="665"/>
  <c r="O320" i="665" s="1"/>
  <c r="N319" i="665"/>
  <c r="M319" i="665"/>
  <c r="O319" i="665" s="1"/>
  <c r="N318" i="665"/>
  <c r="M318" i="665"/>
  <c r="O318" i="665" s="1"/>
  <c r="N317" i="665"/>
  <c r="M317" i="665"/>
  <c r="O317" i="665" s="1"/>
  <c r="N316" i="665"/>
  <c r="M316" i="665"/>
  <c r="N315" i="665"/>
  <c r="M315" i="665"/>
  <c r="O315" i="665" s="1"/>
  <c r="N314" i="665"/>
  <c r="M314" i="665"/>
  <c r="N313" i="665"/>
  <c r="M313" i="665"/>
  <c r="N312" i="665"/>
  <c r="M312" i="665"/>
  <c r="O312" i="665" s="1"/>
  <c r="N311" i="665"/>
  <c r="M311" i="665"/>
  <c r="O311" i="665" s="1"/>
  <c r="N310" i="665"/>
  <c r="M310" i="665"/>
  <c r="N309" i="665"/>
  <c r="M309" i="665"/>
  <c r="N308" i="665"/>
  <c r="M308" i="665"/>
  <c r="N307" i="665"/>
  <c r="M307" i="665"/>
  <c r="O307" i="665" s="1"/>
  <c r="N306" i="665"/>
  <c r="M306" i="665"/>
  <c r="O306" i="665" s="1"/>
  <c r="N305" i="665"/>
  <c r="M305" i="665"/>
  <c r="O305" i="665" s="1"/>
  <c r="N304" i="665"/>
  <c r="M304" i="665"/>
  <c r="O304" i="665" s="1"/>
  <c r="N303" i="665"/>
  <c r="M303" i="665"/>
  <c r="N302" i="665"/>
  <c r="M302" i="665"/>
  <c r="O302" i="665" s="1"/>
  <c r="N301" i="665"/>
  <c r="M301" i="665"/>
  <c r="O301" i="665" s="1"/>
  <c r="N300" i="665"/>
  <c r="M300" i="665"/>
  <c r="N299" i="665"/>
  <c r="M299" i="665"/>
  <c r="O299" i="665" s="1"/>
  <c r="N298" i="665"/>
  <c r="M298" i="665"/>
  <c r="O298" i="665" s="1"/>
  <c r="N297" i="665"/>
  <c r="M297" i="665"/>
  <c r="N296" i="665"/>
  <c r="M296" i="665"/>
  <c r="N295" i="665"/>
  <c r="M295" i="665"/>
  <c r="O295" i="665" s="1"/>
  <c r="N294" i="665"/>
  <c r="M294" i="665"/>
  <c r="O294" i="665" s="1"/>
  <c r="N293" i="665"/>
  <c r="M293" i="665"/>
  <c r="N292" i="665"/>
  <c r="M292" i="665"/>
  <c r="N291" i="665"/>
  <c r="M291" i="665"/>
  <c r="O291" i="665" s="1"/>
  <c r="N290" i="665"/>
  <c r="M290" i="665"/>
  <c r="O290" i="665" s="1"/>
  <c r="N289" i="665"/>
  <c r="M289" i="665"/>
  <c r="O289" i="665" s="1"/>
  <c r="N288" i="665"/>
  <c r="M288" i="665"/>
  <c r="O288" i="665" s="1"/>
  <c r="N287" i="665"/>
  <c r="M287" i="665"/>
  <c r="N286" i="665"/>
  <c r="M286" i="665"/>
  <c r="O286" i="665" s="1"/>
  <c r="N285" i="665"/>
  <c r="M285" i="665"/>
  <c r="O285" i="665" s="1"/>
  <c r="N284" i="665"/>
  <c r="M284" i="665"/>
  <c r="N283" i="665"/>
  <c r="M283" i="665"/>
  <c r="O283" i="665" s="1"/>
  <c r="N282" i="665"/>
  <c r="M282" i="665"/>
  <c r="O282" i="665" s="1"/>
  <c r="N281" i="665"/>
  <c r="M281" i="665"/>
  <c r="O281" i="665" s="1"/>
  <c r="N280" i="665"/>
  <c r="M280" i="665"/>
  <c r="N279" i="665"/>
  <c r="M279" i="665"/>
  <c r="O279" i="665" s="1"/>
  <c r="N278" i="665"/>
  <c r="M278" i="665"/>
  <c r="O278" i="665" s="1"/>
  <c r="N277" i="665"/>
  <c r="M277" i="665"/>
  <c r="N276" i="665"/>
  <c r="O276" i="665" s="1"/>
  <c r="M276" i="665"/>
  <c r="N275" i="665"/>
  <c r="M275" i="665"/>
  <c r="N274" i="665"/>
  <c r="M274" i="665"/>
  <c r="O274" i="665" s="1"/>
  <c r="N273" i="665"/>
  <c r="M273" i="665"/>
  <c r="N272" i="665"/>
  <c r="M272" i="665"/>
  <c r="N271" i="665"/>
  <c r="M271" i="665"/>
  <c r="O271" i="665" s="1"/>
  <c r="N270" i="665"/>
  <c r="M270" i="665"/>
  <c r="O270" i="665" s="1"/>
  <c r="N269" i="665"/>
  <c r="M269" i="665"/>
  <c r="O269" i="665" s="1"/>
  <c r="N268" i="665"/>
  <c r="M268" i="665"/>
  <c r="O268" i="665" s="1"/>
  <c r="N267" i="665"/>
  <c r="M267" i="665"/>
  <c r="O267" i="665" s="1"/>
  <c r="N266" i="665"/>
  <c r="M266" i="665"/>
  <c r="N265" i="665"/>
  <c r="M265" i="665"/>
  <c r="O265" i="665" s="1"/>
  <c r="N264" i="665"/>
  <c r="M264" i="665"/>
  <c r="N263" i="665"/>
  <c r="M263" i="665"/>
  <c r="N262" i="665"/>
  <c r="M262" i="665"/>
  <c r="O262" i="665" s="1"/>
  <c r="N261" i="665"/>
  <c r="M261" i="665"/>
  <c r="N260" i="665"/>
  <c r="M260" i="665"/>
  <c r="N259" i="665"/>
  <c r="M259" i="665"/>
  <c r="O259" i="665" s="1"/>
  <c r="N258" i="665"/>
  <c r="M258" i="665"/>
  <c r="O258" i="665" s="1"/>
  <c r="N257" i="665"/>
  <c r="M257" i="665"/>
  <c r="N256" i="665"/>
  <c r="M256" i="665"/>
  <c r="O256" i="665" s="1"/>
  <c r="N255" i="665"/>
  <c r="M255" i="665"/>
  <c r="O255" i="665" s="1"/>
  <c r="N254" i="665"/>
  <c r="M254" i="665"/>
  <c r="N253" i="665"/>
  <c r="M253" i="665"/>
  <c r="N252" i="665"/>
  <c r="M252" i="665"/>
  <c r="O252" i="665" s="1"/>
  <c r="N251" i="665"/>
  <c r="M251" i="665"/>
  <c r="O251" i="665" s="1"/>
  <c r="N250" i="665"/>
  <c r="M250" i="665"/>
  <c r="O250" i="665" s="1"/>
  <c r="N249" i="665"/>
  <c r="M249" i="665"/>
  <c r="O249" i="665" s="1"/>
  <c r="N248" i="665"/>
  <c r="M248" i="665"/>
  <c r="O248" i="665" s="1"/>
  <c r="N247" i="665"/>
  <c r="M247" i="665"/>
  <c r="O247" i="665" s="1"/>
  <c r="N246" i="665"/>
  <c r="M246" i="665"/>
  <c r="O246" i="665" s="1"/>
  <c r="N245" i="665"/>
  <c r="M245" i="665"/>
  <c r="O245" i="665" s="1"/>
  <c r="N244" i="665"/>
  <c r="M244" i="665"/>
  <c r="O244" i="665" s="1"/>
  <c r="N243" i="665"/>
  <c r="M243" i="665"/>
  <c r="O243" i="665" s="1"/>
  <c r="N242" i="665"/>
  <c r="M242" i="665"/>
  <c r="O242" i="665" s="1"/>
  <c r="N241" i="665"/>
  <c r="M241" i="665"/>
  <c r="O241" i="665" s="1"/>
  <c r="N240" i="665"/>
  <c r="M240" i="665"/>
  <c r="N239" i="665"/>
  <c r="M239" i="665"/>
  <c r="O239" i="665" s="1"/>
  <c r="N238" i="665"/>
  <c r="M238" i="665"/>
  <c r="N237" i="665"/>
  <c r="M237" i="665"/>
  <c r="N236" i="665"/>
  <c r="M236" i="665"/>
  <c r="N235" i="665"/>
  <c r="M235" i="665"/>
  <c r="N234" i="665"/>
  <c r="M234" i="665"/>
  <c r="N233" i="665"/>
  <c r="M233" i="665"/>
  <c r="O233" i="665" s="1"/>
  <c r="N232" i="665"/>
  <c r="M232" i="665"/>
  <c r="N229" i="665"/>
  <c r="M229" i="665"/>
  <c r="O229" i="665" s="1"/>
  <c r="N228" i="665"/>
  <c r="M228" i="665"/>
  <c r="O228" i="665" s="1"/>
  <c r="N227" i="665"/>
  <c r="M227" i="665"/>
  <c r="N226" i="665"/>
  <c r="M226" i="665"/>
  <c r="N225" i="665"/>
  <c r="M225" i="665"/>
  <c r="N224" i="665"/>
  <c r="M224" i="665"/>
  <c r="N223" i="665"/>
  <c r="M223" i="665"/>
  <c r="N222" i="665"/>
  <c r="M222" i="665"/>
  <c r="N221" i="665"/>
  <c r="M221" i="665"/>
  <c r="N220" i="665"/>
  <c r="O220" i="665" s="1"/>
  <c r="M220" i="665"/>
  <c r="N219" i="665"/>
  <c r="M219" i="665"/>
  <c r="O219" i="665" s="1"/>
  <c r="N218" i="665"/>
  <c r="M218" i="665"/>
  <c r="O217" i="665"/>
  <c r="N217" i="665"/>
  <c r="M217" i="665"/>
  <c r="N216" i="665"/>
  <c r="M216" i="665"/>
  <c r="O216" i="665" s="1"/>
  <c r="N215" i="665"/>
  <c r="M215" i="665"/>
  <c r="N213" i="665"/>
  <c r="M213" i="665"/>
  <c r="O213" i="665" s="1"/>
  <c r="N212" i="665"/>
  <c r="M212" i="665"/>
  <c r="O212" i="665" s="1"/>
  <c r="N211" i="665"/>
  <c r="M211" i="665"/>
  <c r="O211" i="665" s="1"/>
  <c r="N210" i="665"/>
  <c r="M210" i="665"/>
  <c r="N209" i="665"/>
  <c r="M209" i="665"/>
  <c r="N208" i="665"/>
  <c r="M208" i="665"/>
  <c r="O208" i="665" s="1"/>
  <c r="N207" i="665"/>
  <c r="M207" i="665"/>
  <c r="O207" i="665" s="1"/>
  <c r="N206" i="665"/>
  <c r="M206" i="665"/>
  <c r="N205" i="665"/>
  <c r="M205" i="665"/>
  <c r="O205" i="665" s="1"/>
  <c r="N204" i="665"/>
  <c r="M204" i="665"/>
  <c r="O204" i="665" s="1"/>
  <c r="N203" i="665"/>
  <c r="M203" i="665"/>
  <c r="O203" i="665" s="1"/>
  <c r="N202" i="665"/>
  <c r="M202" i="665"/>
  <c r="N201" i="665"/>
  <c r="M201" i="665"/>
  <c r="O201" i="665" s="1"/>
  <c r="N200" i="665"/>
  <c r="M200" i="665"/>
  <c r="O200" i="665" s="1"/>
  <c r="N199" i="665"/>
  <c r="M199" i="665"/>
  <c r="N196" i="665"/>
  <c r="M196" i="665"/>
  <c r="N195" i="665"/>
  <c r="M195" i="665"/>
  <c r="O195" i="665" s="1"/>
  <c r="N194" i="665"/>
  <c r="M194" i="665"/>
  <c r="O194" i="665" s="1"/>
  <c r="N193" i="665"/>
  <c r="M193" i="665"/>
  <c r="N192" i="665"/>
  <c r="M192" i="665"/>
  <c r="O192" i="665" s="1"/>
  <c r="N191" i="665"/>
  <c r="M191" i="665"/>
  <c r="N190" i="665"/>
  <c r="M190" i="665"/>
  <c r="N189" i="665"/>
  <c r="M189" i="665"/>
  <c r="O189" i="665" s="1"/>
  <c r="N188" i="665"/>
  <c r="M188" i="665"/>
  <c r="N187" i="665"/>
  <c r="M187" i="665"/>
  <c r="N186" i="665"/>
  <c r="M186" i="665"/>
  <c r="N185" i="665"/>
  <c r="M185" i="665"/>
  <c r="N184" i="665"/>
  <c r="M184" i="665"/>
  <c r="O184" i="665" s="1"/>
  <c r="N183" i="665"/>
  <c r="M183" i="665"/>
  <c r="N182" i="665"/>
  <c r="M182" i="665"/>
  <c r="N181" i="665"/>
  <c r="M181" i="665"/>
  <c r="O181" i="665" s="1"/>
  <c r="N180" i="665"/>
  <c r="M180" i="665"/>
  <c r="O180" i="665" s="1"/>
  <c r="N179" i="665"/>
  <c r="M179" i="665"/>
  <c r="N178" i="665"/>
  <c r="M178" i="665"/>
  <c r="O178" i="665" s="1"/>
  <c r="N177" i="665"/>
  <c r="M177" i="665"/>
  <c r="N176" i="665"/>
  <c r="M176" i="665"/>
  <c r="N175" i="665"/>
  <c r="M175" i="665"/>
  <c r="O175" i="665" s="1"/>
  <c r="N174" i="665"/>
  <c r="M174" i="665"/>
  <c r="O174" i="665" s="1"/>
  <c r="N173" i="665"/>
  <c r="M173" i="665"/>
  <c r="N172" i="665"/>
  <c r="M172" i="665"/>
  <c r="O172" i="665" s="1"/>
  <c r="N171" i="665"/>
  <c r="M171" i="665"/>
  <c r="N170" i="665"/>
  <c r="M170" i="665"/>
  <c r="N169" i="665"/>
  <c r="M169" i="665"/>
  <c r="O169" i="665" s="1"/>
  <c r="N168" i="665"/>
  <c r="M168" i="665"/>
  <c r="O168" i="665" s="1"/>
  <c r="N167" i="665"/>
  <c r="M167" i="665"/>
  <c r="N166" i="665"/>
  <c r="M166" i="665"/>
  <c r="N165" i="665"/>
  <c r="M165" i="665"/>
  <c r="N164" i="665"/>
  <c r="M164" i="665"/>
  <c r="N163" i="665"/>
  <c r="M163" i="665"/>
  <c r="N162" i="665"/>
  <c r="M162" i="665"/>
  <c r="N161" i="665"/>
  <c r="M161" i="665"/>
  <c r="N160" i="665"/>
  <c r="M160" i="665"/>
  <c r="N159" i="665"/>
  <c r="M159" i="665"/>
  <c r="N158" i="665"/>
  <c r="M158" i="665"/>
  <c r="N157" i="665"/>
  <c r="M157" i="665"/>
  <c r="N156" i="665"/>
  <c r="M156" i="665"/>
  <c r="N155" i="665"/>
  <c r="M155" i="665"/>
  <c r="N154" i="665"/>
  <c r="M154" i="665"/>
  <c r="N153" i="665"/>
  <c r="M153" i="665"/>
  <c r="N152" i="665"/>
  <c r="M152" i="665"/>
  <c r="N151" i="665"/>
  <c r="M151" i="665"/>
  <c r="O151" i="665" s="1"/>
  <c r="N150" i="665"/>
  <c r="M150" i="665"/>
  <c r="O150" i="665" s="1"/>
  <c r="N149" i="665"/>
  <c r="M149" i="665"/>
  <c r="N148" i="665"/>
  <c r="M148" i="665"/>
  <c r="O148" i="665" s="1"/>
  <c r="N147" i="665"/>
  <c r="M147" i="665"/>
  <c r="N146" i="665"/>
  <c r="M146" i="665"/>
  <c r="N145" i="665"/>
  <c r="M145" i="665"/>
  <c r="O145" i="665" s="1"/>
  <c r="N144" i="665"/>
  <c r="M144" i="665"/>
  <c r="O144" i="665" s="1"/>
  <c r="N143" i="665"/>
  <c r="M143" i="665"/>
  <c r="N142" i="665"/>
  <c r="M142" i="665"/>
  <c r="O142" i="665" s="1"/>
  <c r="N141" i="665"/>
  <c r="M141" i="665"/>
  <c r="N140" i="665"/>
  <c r="M140" i="665"/>
  <c r="N139" i="665"/>
  <c r="M139" i="665"/>
  <c r="O139" i="665" s="1"/>
  <c r="N138" i="665"/>
  <c r="M138" i="665"/>
  <c r="O138" i="665" s="1"/>
  <c r="N137" i="665"/>
  <c r="M137" i="665"/>
  <c r="N136" i="665"/>
  <c r="M136" i="665"/>
  <c r="O136" i="665" s="1"/>
  <c r="N135" i="665"/>
  <c r="M135" i="665"/>
  <c r="N134" i="665"/>
  <c r="M134" i="665"/>
  <c r="N133" i="665"/>
  <c r="M133" i="665"/>
  <c r="N132" i="665"/>
  <c r="M132" i="665"/>
  <c r="N131" i="665"/>
  <c r="M131" i="665"/>
  <c r="N130" i="665"/>
  <c r="M130" i="665"/>
  <c r="N129" i="665"/>
  <c r="M129" i="665"/>
  <c r="N128" i="665"/>
  <c r="M128" i="665"/>
  <c r="N127" i="665"/>
  <c r="M127" i="665"/>
  <c r="N126" i="665"/>
  <c r="M126" i="665"/>
  <c r="N125" i="665"/>
  <c r="M125" i="665"/>
  <c r="N124" i="665"/>
  <c r="M124" i="665"/>
  <c r="N123" i="665"/>
  <c r="M123" i="665"/>
  <c r="N122" i="665"/>
  <c r="M122" i="665"/>
  <c r="N121" i="665"/>
  <c r="M121" i="665"/>
  <c r="N120" i="665"/>
  <c r="M120" i="665"/>
  <c r="O120" i="665" s="1"/>
  <c r="N119" i="665"/>
  <c r="M119" i="665"/>
  <c r="O119" i="665" s="1"/>
  <c r="N118" i="665"/>
  <c r="M118" i="665"/>
  <c r="O118" i="665" s="1"/>
  <c r="N117" i="665"/>
  <c r="M117" i="665"/>
  <c r="O117" i="665" s="1"/>
  <c r="N116" i="665"/>
  <c r="M116" i="665"/>
  <c r="O116" i="665" s="1"/>
  <c r="N115" i="665"/>
  <c r="M115" i="665"/>
  <c r="O115" i="665" s="1"/>
  <c r="N114" i="665"/>
  <c r="M114" i="665"/>
  <c r="O114" i="665" s="1"/>
  <c r="N113" i="665"/>
  <c r="M113" i="665"/>
  <c r="O113" i="665" s="1"/>
  <c r="N110" i="665"/>
  <c r="M110" i="665"/>
  <c r="N109" i="665"/>
  <c r="M109" i="665"/>
  <c r="O109" i="665" s="1"/>
  <c r="N108" i="665"/>
  <c r="M108" i="665"/>
  <c r="O108" i="665" s="1"/>
  <c r="N107" i="665"/>
  <c r="M107" i="665"/>
  <c r="O107" i="665" s="1"/>
  <c r="N106" i="665"/>
  <c r="M106" i="665"/>
  <c r="N105" i="665"/>
  <c r="M105" i="665"/>
  <c r="N104" i="665"/>
  <c r="M104" i="665"/>
  <c r="O104" i="665" s="1"/>
  <c r="N103" i="665"/>
  <c r="M103" i="665"/>
  <c r="O103" i="665" s="1"/>
  <c r="N102" i="665"/>
  <c r="M102" i="665"/>
  <c r="N101" i="665"/>
  <c r="M101" i="665"/>
  <c r="O101" i="665" s="1"/>
  <c r="N100" i="665"/>
  <c r="M100" i="665"/>
  <c r="O100" i="665" s="1"/>
  <c r="N99" i="665"/>
  <c r="M99" i="665"/>
  <c r="O99" i="665" s="1"/>
  <c r="N98" i="665"/>
  <c r="M98" i="665"/>
  <c r="N97" i="665"/>
  <c r="M97" i="665"/>
  <c r="O97" i="665" s="1"/>
  <c r="N96" i="665"/>
  <c r="M96" i="665"/>
  <c r="O96" i="665" s="1"/>
  <c r="N95" i="665"/>
  <c r="M95" i="665"/>
  <c r="N93" i="665"/>
  <c r="M93" i="665"/>
  <c r="O93" i="665" s="1"/>
  <c r="N92" i="665"/>
  <c r="M92" i="665"/>
  <c r="N91" i="665"/>
  <c r="M91" i="665"/>
  <c r="N90" i="665"/>
  <c r="O90" i="665" s="1"/>
  <c r="M90" i="665"/>
  <c r="N88" i="665"/>
  <c r="M88" i="665"/>
  <c r="N87" i="665"/>
  <c r="M87" i="665"/>
  <c r="N86" i="665"/>
  <c r="M86" i="665"/>
  <c r="N83" i="665"/>
  <c r="M83" i="665"/>
  <c r="N82" i="665"/>
  <c r="M82" i="665"/>
  <c r="N81" i="665"/>
  <c r="M81" i="665"/>
  <c r="N80" i="665"/>
  <c r="M80" i="665"/>
  <c r="N79" i="665"/>
  <c r="O79" i="665" s="1"/>
  <c r="M79" i="665"/>
  <c r="N78" i="665"/>
  <c r="M78" i="665"/>
  <c r="O78" i="665" s="1"/>
  <c r="N77" i="665"/>
  <c r="M77" i="665"/>
  <c r="O77" i="665" s="1"/>
  <c r="N76" i="665"/>
  <c r="M76" i="665"/>
  <c r="N75" i="665"/>
  <c r="O75" i="665" s="1"/>
  <c r="M75" i="665"/>
  <c r="N74" i="665"/>
  <c r="M74" i="665"/>
  <c r="O74" i="665" s="1"/>
  <c r="N73" i="665"/>
  <c r="M73" i="665"/>
  <c r="O73" i="665" s="1"/>
  <c r="N72" i="665"/>
  <c r="M72" i="665"/>
  <c r="N71" i="665"/>
  <c r="M71" i="665"/>
  <c r="N70" i="665"/>
  <c r="M70" i="665"/>
  <c r="O70" i="665" s="1"/>
  <c r="N69" i="665"/>
  <c r="O69" i="665" s="1"/>
  <c r="M69" i="665"/>
  <c r="N68" i="665"/>
  <c r="M68" i="665"/>
  <c r="O68" i="665" s="1"/>
  <c r="N67" i="665"/>
  <c r="M67" i="665"/>
  <c r="N66" i="665"/>
  <c r="M66" i="665"/>
  <c r="O66" i="665" s="1"/>
  <c r="N65" i="665"/>
  <c r="M65" i="665"/>
  <c r="O65" i="665" s="1"/>
  <c r="N64" i="665"/>
  <c r="M64" i="665"/>
  <c r="N63" i="665"/>
  <c r="M63" i="665"/>
  <c r="N62" i="665"/>
  <c r="M62" i="665"/>
  <c r="O62" i="665" s="1"/>
  <c r="N61" i="665"/>
  <c r="M61" i="665"/>
  <c r="N60" i="665"/>
  <c r="M60" i="665"/>
  <c r="N59" i="665"/>
  <c r="O59" i="665" s="1"/>
  <c r="M59" i="665"/>
  <c r="N58" i="665"/>
  <c r="M58" i="665"/>
  <c r="O58" i="665" s="1"/>
  <c r="N57" i="665"/>
  <c r="M57" i="665"/>
  <c r="O57" i="665" s="1"/>
  <c r="N56" i="665"/>
  <c r="M56" i="665"/>
  <c r="N55" i="665"/>
  <c r="O55" i="665" s="1"/>
  <c r="M55" i="665"/>
  <c r="N54" i="665"/>
  <c r="M54" i="665"/>
  <c r="O54" i="665" s="1"/>
  <c r="N53" i="665"/>
  <c r="M53" i="665"/>
  <c r="O53" i="665" s="1"/>
  <c r="N52" i="665"/>
  <c r="M52" i="665"/>
  <c r="O52" i="665" s="1"/>
  <c r="N51" i="665"/>
  <c r="O51" i="665" s="1"/>
  <c r="M51" i="665"/>
  <c r="N50" i="665"/>
  <c r="M50" i="665"/>
  <c r="O50" i="665" s="1"/>
  <c r="N49" i="665"/>
  <c r="M49" i="665"/>
  <c r="O49" i="665" s="1"/>
  <c r="N47" i="665"/>
  <c r="M47" i="665"/>
  <c r="N46" i="665"/>
  <c r="M46" i="665"/>
  <c r="O46" i="665" s="1"/>
  <c r="N45" i="665"/>
  <c r="M45" i="665"/>
  <c r="O45" i="665" s="1"/>
  <c r="N44" i="665"/>
  <c r="M44" i="665"/>
  <c r="N43" i="665"/>
  <c r="M43" i="665"/>
  <c r="N42" i="665"/>
  <c r="M42" i="665"/>
  <c r="O42" i="665" s="1"/>
  <c r="N41" i="665"/>
  <c r="M41" i="665"/>
  <c r="O41" i="665" s="1"/>
  <c r="N40" i="665"/>
  <c r="M40" i="665"/>
  <c r="N39" i="665"/>
  <c r="M39" i="665"/>
  <c r="O38" i="665"/>
  <c r="N38" i="665"/>
  <c r="M38" i="665"/>
  <c r="N37" i="665"/>
  <c r="M37" i="665"/>
  <c r="N36" i="665"/>
  <c r="M36" i="665"/>
  <c r="O36" i="665" s="1"/>
  <c r="N35" i="665"/>
  <c r="M35" i="665"/>
  <c r="N34" i="665"/>
  <c r="M34" i="665"/>
  <c r="O34" i="665" s="1"/>
  <c r="N33" i="665"/>
  <c r="M33" i="665"/>
  <c r="N30" i="665"/>
  <c r="M30" i="665"/>
  <c r="N29" i="665"/>
  <c r="M29" i="665"/>
  <c r="O29" i="665" s="1"/>
  <c r="N28" i="665"/>
  <c r="M28" i="665"/>
  <c r="O28" i="665" s="1"/>
  <c r="N25" i="665"/>
  <c r="M25" i="665"/>
  <c r="N24" i="665"/>
  <c r="M24" i="665"/>
  <c r="N23" i="665"/>
  <c r="O23" i="665" s="1"/>
  <c r="M23" i="665"/>
  <c r="N22" i="665"/>
  <c r="M22" i="665"/>
  <c r="O22" i="665" s="1"/>
  <c r="N20" i="665"/>
  <c r="M20" i="665"/>
  <c r="O20" i="665" s="1"/>
  <c r="O21" i="665" s="1"/>
  <c r="N18" i="665"/>
  <c r="M18" i="665"/>
  <c r="O18" i="665" s="1"/>
  <c r="N17" i="665"/>
  <c r="M17" i="665"/>
  <c r="N14" i="665"/>
  <c r="O14" i="665" s="1"/>
  <c r="M14" i="665"/>
  <c r="N13" i="665"/>
  <c r="M13" i="665"/>
  <c r="N12" i="665"/>
  <c r="M12" i="665"/>
  <c r="N11" i="665"/>
  <c r="M11" i="665"/>
  <c r="O11" i="665" s="1"/>
  <c r="N8" i="665"/>
  <c r="M8" i="665"/>
  <c r="N7" i="665"/>
  <c r="O7" i="665" s="1"/>
  <c r="M7" i="665"/>
  <c r="N6" i="665"/>
  <c r="M6" i="665"/>
  <c r="O6" i="665" s="1"/>
  <c r="N5" i="665"/>
  <c r="M5" i="665"/>
  <c r="O209" i="665" l="1"/>
  <c r="O17" i="665"/>
  <c r="O82" i="665"/>
  <c r="O91" i="665"/>
  <c r="O141" i="665"/>
  <c r="O147" i="665"/>
  <c r="O171" i="665"/>
  <c r="O177" i="665"/>
  <c r="O183" i="665"/>
  <c r="O202" i="665"/>
  <c r="O221" i="665"/>
  <c r="O240" i="665"/>
  <c r="O287" i="665"/>
  <c r="O335" i="665"/>
  <c r="O341" i="665"/>
  <c r="O347" i="665"/>
  <c r="O359" i="665"/>
  <c r="O365" i="665"/>
  <c r="O412" i="665"/>
  <c r="O418" i="665"/>
  <c r="O83" i="665"/>
  <c r="O425" i="665"/>
  <c r="O431" i="665"/>
  <c r="O37" i="665"/>
  <c r="O61" i="665"/>
  <c r="O105" i="665"/>
  <c r="O137" i="665"/>
  <c r="O143" i="665"/>
  <c r="O149" i="665"/>
  <c r="O173" i="665"/>
  <c r="O179" i="665"/>
  <c r="O223" i="665"/>
  <c r="O272" i="665"/>
  <c r="O331" i="665"/>
  <c r="O337" i="665"/>
  <c r="O343" i="665"/>
  <c r="O349" i="665"/>
  <c r="O355" i="665"/>
  <c r="O367" i="665"/>
  <c r="O408" i="665"/>
  <c r="O437" i="665"/>
  <c r="O47" i="665"/>
  <c r="O67" i="665"/>
  <c r="O95" i="665"/>
  <c r="O224" i="665"/>
  <c r="O368" i="665"/>
  <c r="O415" i="665"/>
  <c r="O44" i="665"/>
  <c r="O297" i="665"/>
  <c r="O13" i="665"/>
  <c r="O206" i="665"/>
  <c r="O225" i="665"/>
  <c r="O303" i="665"/>
  <c r="O310" i="665"/>
  <c r="O316" i="665"/>
  <c r="O399" i="665"/>
  <c r="O39" i="665"/>
  <c r="O81" i="665"/>
  <c r="O140" i="665"/>
  <c r="O146" i="665"/>
  <c r="O152" i="665"/>
  <c r="O170" i="665"/>
  <c r="O176" i="665"/>
  <c r="O182" i="665"/>
  <c r="O275" i="665"/>
  <c r="O334" i="665"/>
  <c r="O340" i="665"/>
  <c r="O358" i="665"/>
  <c r="O364" i="665"/>
  <c r="O370" i="665"/>
  <c r="O405" i="665"/>
  <c r="O411" i="665"/>
  <c r="O33" i="665"/>
  <c r="O43" i="665"/>
  <c r="O64" i="665"/>
  <c r="O92" i="665"/>
  <c r="O102" i="665"/>
  <c r="O126" i="665"/>
  <c r="O132" i="665"/>
  <c r="O155" i="665"/>
  <c r="O161" i="665"/>
  <c r="O167" i="665"/>
  <c r="O190" i="665"/>
  <c r="O196" i="665"/>
  <c r="O215" i="665"/>
  <c r="O237" i="665"/>
  <c r="O260" i="665"/>
  <c r="O266" i="665"/>
  <c r="O292" i="665"/>
  <c r="O308" i="665"/>
  <c r="O313" i="665"/>
  <c r="O329" i="665"/>
  <c r="O345" i="665"/>
  <c r="O361" i="665"/>
  <c r="O377" i="665"/>
  <c r="O393" i="665"/>
  <c r="O409" i="665"/>
  <c r="O430" i="665"/>
  <c r="O24" i="665"/>
  <c r="O26" i="665" s="1"/>
  <c r="O60" i="665"/>
  <c r="O86" i="665"/>
  <c r="O98" i="665"/>
  <c r="O121" i="665"/>
  <c r="O127" i="665"/>
  <c r="O133" i="665"/>
  <c r="O156" i="665"/>
  <c r="O162" i="665"/>
  <c r="O185" i="665"/>
  <c r="O191" i="665"/>
  <c r="O199" i="665"/>
  <c r="O232" i="665"/>
  <c r="O238" i="665"/>
  <c r="O261" i="665"/>
  <c r="O277" i="665"/>
  <c r="O293" i="665"/>
  <c r="O309" i="665"/>
  <c r="O314" i="665"/>
  <c r="O330" i="665"/>
  <c r="O346" i="665"/>
  <c r="O362" i="665"/>
  <c r="O378" i="665"/>
  <c r="O394" i="665"/>
  <c r="O410" i="665"/>
  <c r="O436" i="665"/>
  <c r="O8" i="665"/>
  <c r="O25" i="665"/>
  <c r="O40" i="665"/>
  <c r="O56" i="665"/>
  <c r="O80" i="665"/>
  <c r="O87" i="665"/>
  <c r="O122" i="665"/>
  <c r="O197" i="665" s="1"/>
  <c r="O128" i="665"/>
  <c r="O134" i="665"/>
  <c r="O157" i="665"/>
  <c r="O163" i="665"/>
  <c r="O186" i="665"/>
  <c r="O210" i="665"/>
  <c r="O336" i="665"/>
  <c r="O352" i="665"/>
  <c r="O384" i="665"/>
  <c r="O273" i="665"/>
  <c r="O374" i="665"/>
  <c r="O406" i="665"/>
  <c r="O432" i="665"/>
  <c r="O35" i="665"/>
  <c r="O76" i="665"/>
  <c r="O88" i="665"/>
  <c r="O123" i="665"/>
  <c r="O129" i="665"/>
  <c r="O135" i="665"/>
  <c r="O158" i="665"/>
  <c r="O164" i="665"/>
  <c r="O187" i="665"/>
  <c r="O193" i="665"/>
  <c r="O222" i="665"/>
  <c r="O227" i="665"/>
  <c r="O234" i="665"/>
  <c r="O257" i="665"/>
  <c r="O263" i="665"/>
  <c r="O284" i="665"/>
  <c r="O300" i="665"/>
  <c r="O353" i="665"/>
  <c r="O401" i="665"/>
  <c r="O417" i="665"/>
  <c r="O422" i="665"/>
  <c r="O71" i="665"/>
  <c r="O72" i="665"/>
  <c r="O110" i="665"/>
  <c r="O124" i="665"/>
  <c r="O130" i="665"/>
  <c r="O153" i="665"/>
  <c r="O159" i="665"/>
  <c r="O165" i="665"/>
  <c r="O188" i="665"/>
  <c r="O235" i="665"/>
  <c r="O264" i="665"/>
  <c r="O322" i="665"/>
  <c r="O338" i="665"/>
  <c r="O354" i="665"/>
  <c r="O402" i="665"/>
  <c r="O428" i="665"/>
  <c r="O5" i="665"/>
  <c r="O253" i="665"/>
  <c r="O280" i="665"/>
  <c r="O296" i="665"/>
  <c r="O30" i="665"/>
  <c r="O106" i="665"/>
  <c r="O125" i="665"/>
  <c r="O131" i="665"/>
  <c r="O154" i="665"/>
  <c r="O160" i="665"/>
  <c r="O166" i="665"/>
  <c r="O236" i="665"/>
  <c r="O328" i="665"/>
  <c r="O360" i="665"/>
  <c r="O376" i="665"/>
  <c r="O63" i="665"/>
  <c r="O254" i="665"/>
  <c r="O350" i="665"/>
  <c r="O382" i="665"/>
  <c r="O398" i="665"/>
  <c r="O414" i="665"/>
  <c r="O424" i="665"/>
  <c r="O31" i="665"/>
  <c r="O12" i="665"/>
  <c r="O15" i="665" s="1"/>
  <c r="O94" i="665"/>
  <c r="O226" i="665"/>
  <c r="O19" i="665"/>
  <c r="O218" i="665"/>
  <c r="O48" i="665" l="1"/>
  <c r="O111" i="665"/>
  <c r="O84" i="665"/>
  <c r="O439" i="665"/>
  <c r="O214" i="665"/>
  <c r="O230" i="665"/>
  <c r="O89" i="665"/>
  <c r="O9" i="665"/>
  <c r="O441" i="665" l="1"/>
  <c r="F17" i="2"/>
  <c r="G12" i="2" s="1"/>
  <c r="B2" i="670" l="1"/>
  <c r="G18" i="2"/>
  <c r="G19" i="2"/>
  <c r="F12" i="2"/>
  <c r="H12" i="2" l="1"/>
  <c r="C2" i="669" l="1"/>
  <c r="A2" i="669" s="1"/>
  <c r="C3" i="669"/>
  <c r="A3" i="669" s="1"/>
  <c r="C4" i="669"/>
  <c r="A4" i="669" s="1"/>
  <c r="C5" i="669"/>
  <c r="A5" i="669" s="1"/>
  <c r="C6" i="669"/>
  <c r="A6" i="669" s="1"/>
  <c r="C7" i="669"/>
  <c r="A7" i="669" s="1"/>
  <c r="C8" i="669"/>
  <c r="A8" i="669" s="1"/>
  <c r="C9" i="669"/>
  <c r="A9" i="669" s="1"/>
  <c r="C10" i="669"/>
  <c r="A10" i="669" s="1"/>
  <c r="F13" i="2"/>
  <c r="G15" i="2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<sst xmlns="http://schemas.openxmlformats.org/spreadsheetml/2006/main" count="6650" uniqueCount="507">
  <si>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</si>
  <si>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</si>
  <si>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</si>
  <si>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</si>
  <si>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</si>
  <si>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</si>
  <si>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</si>
  <si>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</si>
  <si>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</si>
  <si>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</si>
  <si>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</si>
  <si>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</si>
  <si>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</si>
  <si>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</si>
  <si>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</si>
  <si>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</si>
  <si>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</si>
  <si>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</si>
  <si>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</si>
  <si>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</si>
  <si>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</si>
  <si>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</si>
  <si>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</si>
  <si>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</si>
  <si>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</si>
  <si>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</si>
  <si>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</si>
  <si>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</si>
  <si>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</si>
  <si>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</si>
  <si>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</si>
  <si>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</si>
  <si>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</si>
  <si>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</si>
  <si>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</si>
  <si>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</si>
  <si>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</si>
  <si>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</si>
  <si>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</si>
  <si>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</si>
  <si>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</si>
  <si>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</si>
  <si>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</si>
  <si>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</si>
  <si>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</si>
  <si>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</si>
  <si>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</si>
  <si>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</si>
  <si>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</si>
  <si>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</si>
  <si>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</si>
  <si>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LOKASI FOLDER - Resume Income Factory (Hasil Pengolahan Macro)</t>
  </si>
  <si>
    <t>LOKASI FOLDER - Data Income per-factory (Hasil Pengolahan Macro)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</si>
  <si>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</si>
  <si>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\\10.8.0.35\masterdata$\OPERASIONAL\Income dan Profit</t>
  </si>
  <si>
    <t>\\10.8.0.35\Bersama\IT\RPA 00\MACRO_RPA - Update Resume Income dan Profit\Source\Tarikan GCC\GCC - Report Kapasitas From Sales.xlsx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</si>
  <si>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</si>
  <si>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</si>
  <si>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</si>
  <si>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</si>
  <si>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</si>
  <si>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</si>
  <si>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</si>
  <si>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</si>
  <si>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</si>
  <si>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</si>
  <si>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</si>
  <si>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</si>
  <si>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</si>
  <si>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</si>
  <si>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</si>
  <si>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EIGERINDO MULTI PRODUK INDUSTRI, PT.</t>
  </si>
  <si>
    <t>L1</t>
  </si>
  <si>
    <t xml:space="preserve">JCT  </t>
  </si>
  <si>
    <t>SHIRT</t>
  </si>
  <si>
    <t>EIGERINDO MULTI PRODUK INDUSTRI, PT. Total</t>
  </si>
  <si>
    <t>MARUBENI CORPORATION JEPANG</t>
  </si>
  <si>
    <t>L3</t>
  </si>
  <si>
    <t>PANTS</t>
  </si>
  <si>
    <t xml:space="preserve">TOP  </t>
  </si>
  <si>
    <t>MARUBENI CORPORATION JEPANG Total</t>
  </si>
  <si>
    <t>MARUBENI INTEX Co., Ltd.</t>
  </si>
  <si>
    <t>L2</t>
  </si>
  <si>
    <t>CRPAN</t>
  </si>
  <si>
    <t>CRPANMIXGA-3915   24R2</t>
  </si>
  <si>
    <t>MARUBENI INTEX Co., Ltd. Total</t>
  </si>
  <si>
    <t>CBA Total</t>
  </si>
  <si>
    <t>TSHRT</t>
  </si>
  <si>
    <t>SPANT</t>
  </si>
  <si>
    <t>RS MITRA KELUARGA</t>
  </si>
  <si>
    <t>CHW Total</t>
  </si>
  <si>
    <t>L4</t>
  </si>
  <si>
    <t>CNJ2 Total</t>
  </si>
  <si>
    <t>KANMO RETAIL GROUP</t>
  </si>
  <si>
    <t>L7</t>
  </si>
  <si>
    <t>L8</t>
  </si>
  <si>
    <t>KANMO RETAIL GROUP Total</t>
  </si>
  <si>
    <t>MARUBENI FASHION LINK LTD.</t>
  </si>
  <si>
    <t xml:space="preserve">LEG  </t>
  </si>
  <si>
    <t>L10</t>
  </si>
  <si>
    <t>LEG  MFL 24444    SP25</t>
  </si>
  <si>
    <t>LEG  MFL54451     SP25</t>
  </si>
  <si>
    <t>L9</t>
  </si>
  <si>
    <t>MARUBENI FASHION LINK LTD. Total</t>
  </si>
  <si>
    <t>CVA Total</t>
  </si>
  <si>
    <t>CVA2 Total</t>
  </si>
  <si>
    <t>AGRON, INC.</t>
  </si>
  <si>
    <t>L1A</t>
  </si>
  <si>
    <t xml:space="preserve">BRF  </t>
  </si>
  <si>
    <t>L1B</t>
  </si>
  <si>
    <t>L2A</t>
  </si>
  <si>
    <t>L2B</t>
  </si>
  <si>
    <t>L3A</t>
  </si>
  <si>
    <t>L3B</t>
  </si>
  <si>
    <t>L4A</t>
  </si>
  <si>
    <t>L5A</t>
  </si>
  <si>
    <t>AGRON, INC. Total</t>
  </si>
  <si>
    <t>KLB Total</t>
  </si>
  <si>
    <t>L11</t>
  </si>
  <si>
    <t>HEXAPOLE COMPANY LIMITED</t>
  </si>
  <si>
    <t xml:space="preserve">VEST </t>
  </si>
  <si>
    <t>HEXAPOLE COMPANY LIMITED Total</t>
  </si>
  <si>
    <t>RED WING SHOE COMPANY</t>
  </si>
  <si>
    <t>L12</t>
  </si>
  <si>
    <t xml:space="preserve">CVRL </t>
  </si>
  <si>
    <t>L13</t>
  </si>
  <si>
    <t>L5</t>
  </si>
  <si>
    <t>L6</t>
  </si>
  <si>
    <t>RED WING SHOE COMPANY Total</t>
  </si>
  <si>
    <t>RED WING SHOE COMPANY LLC</t>
  </si>
  <si>
    <t>RED WING SHOE COMPANY LLC Total</t>
  </si>
  <si>
    <t>MJ1 Total</t>
  </si>
  <si>
    <t>L14</t>
  </si>
  <si>
    <t>L15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</si>
  <si>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</si>
  <si>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</si>
  <si>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</si>
  <si>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</si>
  <si>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</si>
  <si>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</si>
  <si>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</si>
  <si>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</si>
  <si>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</si>
  <si>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</si>
  <si>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</si>
  <si>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</si>
  <si>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</si>
  <si>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</si>
  <si>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</si>
  <si>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</si>
  <si>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10.Oct</t>
  </si>
  <si>
    <t>Ontime</t>
  </si>
  <si>
    <t>11.Nov</t>
  </si>
  <si>
    <t>12.Dec</t>
  </si>
  <si>
    <t>CMTP</t>
  </si>
  <si>
    <t>Delay</t>
  </si>
  <si>
    <t>09.Sep</t>
  </si>
  <si>
    <t>61105-57</t>
  </si>
  <si>
    <t>61105-54</t>
  </si>
  <si>
    <t>61105-55</t>
  </si>
  <si>
    <t>61805-54</t>
  </si>
  <si>
    <t>81905-57</t>
  </si>
  <si>
    <t>61805-55</t>
  </si>
  <si>
    <t>81905-54</t>
  </si>
  <si>
    <t>61105-81</t>
  </si>
  <si>
    <t>5159296XXL</t>
  </si>
  <si>
    <t>5159310XXL</t>
  </si>
  <si>
    <t>5159303XXL</t>
  </si>
  <si>
    <t>5159305XXL</t>
  </si>
  <si>
    <t>5159307XXL</t>
  </si>
  <si>
    <t>5159295XXL</t>
  </si>
  <si>
    <t>5159299XXL</t>
  </si>
  <si>
    <t>5159308XXL</t>
  </si>
  <si>
    <t>5157992XXL</t>
  </si>
  <si>
    <t>5159304XXL</t>
  </si>
  <si>
    <t>5157983XXL</t>
  </si>
  <si>
    <t>5158599XXL</t>
  </si>
  <si>
    <t>5158583XXL</t>
  </si>
  <si>
    <t>5158607XXL</t>
  </si>
  <si>
    <t>5158614XXL</t>
  </si>
  <si>
    <t>5158590XXL</t>
  </si>
  <si>
    <t>Z4726012</t>
  </si>
  <si>
    <t>AUA3400</t>
  </si>
  <si>
    <t>Z4726020</t>
  </si>
  <si>
    <t>133-98</t>
  </si>
  <si>
    <t>133-78</t>
  </si>
  <si>
    <t>CVC BABY FLAT KNIT LEGGIN</t>
  </si>
  <si>
    <t>C BABY GIRL FLAT KNIT LEG</t>
  </si>
  <si>
    <t>EC25HA54451</t>
  </si>
  <si>
    <t>BABYS LEGGINGS WAFFLE LEG</t>
  </si>
  <si>
    <t>01.Jan</t>
  </si>
  <si>
    <t>C BABY GIRLS RIBKNIT LEGG</t>
  </si>
  <si>
    <t>GA-3910</t>
  </si>
  <si>
    <t>GA-3915</t>
  </si>
  <si>
    <t>Sum of Am.CM</t>
  </si>
  <si>
    <t>SERI Factory</t>
  </si>
  <si>
    <t>PK</t>
  </si>
  <si>
    <t>NAMA</t>
  </si>
  <si>
    <t>HADI CHARN</t>
  </si>
  <si>
    <t>PATH FILE</t>
  </si>
  <si>
    <t>LEG  MFL27444     SP25</t>
  </si>
  <si>
    <t>LEG  MFL54240     SP25</t>
  </si>
  <si>
    <t xml:space="preserve">TATO </t>
  </si>
  <si>
    <t>61102-52</t>
  </si>
  <si>
    <t>5158618XXL</t>
  </si>
  <si>
    <t>5157976XXL</t>
  </si>
  <si>
    <t>5158587XXL</t>
  </si>
  <si>
    <t>5158619XXL</t>
  </si>
  <si>
    <t>5158584XXL</t>
  </si>
  <si>
    <t>5157985XXL</t>
  </si>
  <si>
    <t>5157994XXL</t>
  </si>
  <si>
    <t>5158002XXL</t>
  </si>
  <si>
    <t>133-73</t>
  </si>
  <si>
    <t>133-91</t>
  </si>
  <si>
    <t>EC25SS54240</t>
  </si>
  <si>
    <t>BLSON</t>
  </si>
  <si>
    <t>PANTSMOTLK889     SS25</t>
  </si>
  <si>
    <t>SHIRTMFL07ML301   SU25</t>
  </si>
  <si>
    <t>PANTSMOTLJ978     SS25</t>
  </si>
  <si>
    <t>L4B</t>
  </si>
  <si>
    <t>PANTSMEC6026495   S25</t>
  </si>
  <si>
    <t>5158596XXL</t>
  </si>
  <si>
    <t>5158602XXL</t>
  </si>
  <si>
    <t>5158592XXL</t>
  </si>
  <si>
    <t>02.Feb</t>
  </si>
  <si>
    <t>BP.1370</t>
  </si>
  <si>
    <t>03.Mar</t>
  </si>
  <si>
    <t>EC25SS28352</t>
  </si>
  <si>
    <t>EC25SS07ML301</t>
  </si>
  <si>
    <t>GIRLS POLO MESH  SHIRT</t>
  </si>
  <si>
    <t>LJ978</t>
  </si>
  <si>
    <t>MB JM 2PK JOGGERS</t>
  </si>
  <si>
    <t>LK651</t>
  </si>
  <si>
    <t>MB JM 3PK LS TEES</t>
  </si>
  <si>
    <t>LK889</t>
  </si>
  <si>
    <t>MB T 3PK JERSEY SHORTS</t>
  </si>
  <si>
    <t>AUE36400</t>
  </si>
  <si>
    <t>04.Apr</t>
  </si>
  <si>
    <t>BLSONMIX30430     SN25</t>
  </si>
  <si>
    <t>BLSONMIX30530     SN25</t>
  </si>
  <si>
    <t xml:space="preserve">LSL  </t>
  </si>
  <si>
    <t>SPANTEIG910009476 LC24</t>
  </si>
  <si>
    <t>SHIRTEIG910007674 LC25</t>
  </si>
  <si>
    <t>CVRL RED61105-55  25R1</t>
  </si>
  <si>
    <t>CVRL RED61105-57  25R4</t>
  </si>
  <si>
    <t>CJL Total</t>
  </si>
  <si>
    <t>JCT  MIXK-AOKI005 SN25</t>
  </si>
  <si>
    <t>PANTSMOTLK654     SS25</t>
  </si>
  <si>
    <t>TS SS</t>
  </si>
  <si>
    <t>TSHRTMOTLK887     SS25</t>
  </si>
  <si>
    <t>TSHRTMFL34330     SU25</t>
  </si>
  <si>
    <t>PANTSMFLMGTS322   SU25</t>
  </si>
  <si>
    <t>PANTSMFLMGTS324   SU25</t>
  </si>
  <si>
    <t>PANTSMFLASSB710   SU25</t>
  </si>
  <si>
    <t>SHIRTMFL37ML301   SU25</t>
  </si>
  <si>
    <t>PANTSMOTEB188     SS25</t>
  </si>
  <si>
    <t>TOP  MCU133-91    SN25</t>
  </si>
  <si>
    <t>PANTSMFLASSB711   SU25</t>
  </si>
  <si>
    <t>BRF  ADS5158599   SN25</t>
  </si>
  <si>
    <t>BRF  ADS5158599XXLSN25</t>
  </si>
  <si>
    <t>BRF  ADS5158607   SN25</t>
  </si>
  <si>
    <t>BRF  ADS5158607XXLSN25</t>
  </si>
  <si>
    <t>BRF  ADS5158610   SN25</t>
  </si>
  <si>
    <t>BRF  ADS5158610XXLSN25</t>
  </si>
  <si>
    <t>BRF  ADS5159766   25R1</t>
  </si>
  <si>
    <t>BRF  ADS5159767   SN25</t>
  </si>
  <si>
    <t>BRF  ADS5159769   SN25</t>
  </si>
  <si>
    <t>BRF  ADS5159774   SN25</t>
  </si>
  <si>
    <t>BRF  ADS5159775   SN25</t>
  </si>
  <si>
    <t>BRF  ADS5158592   SN25</t>
  </si>
  <si>
    <t>BRF  ADS5158592XXLSN25</t>
  </si>
  <si>
    <t>BRF  ADS5159305   SN25</t>
  </si>
  <si>
    <t>BRF  ADS5159305XXLSN25</t>
  </si>
  <si>
    <t>BRF  ADS5159768   25R1</t>
  </si>
  <si>
    <t>PT. HAHA BANDUNG SEJAHTERA</t>
  </si>
  <si>
    <t>VEST MON2306153   SS25</t>
  </si>
  <si>
    <t>JCT  MON1106644   SS25</t>
  </si>
  <si>
    <t>PANTSMON1105621   SS25</t>
  </si>
  <si>
    <t>PANTSMEC5058303   S25</t>
  </si>
  <si>
    <t>SPANTHEX3190      S25</t>
  </si>
  <si>
    <t>SPANTHEX3211      S25</t>
  </si>
  <si>
    <t>CVRL RED61105-54  SN25</t>
  </si>
  <si>
    <t>CVRL RED77135-59  24R1</t>
  </si>
  <si>
    <t>BRF  ADS5158001   SN25</t>
  </si>
  <si>
    <t>BRF  ADS5159296XXLSN25</t>
  </si>
  <si>
    <t>BRF  ADS5159307   SN25</t>
  </si>
  <si>
    <t>BRF  ADS5159310   SN25</t>
  </si>
  <si>
    <t>BRF  ADS5159766   SN25</t>
  </si>
  <si>
    <t>BRF  ADS5159770   SN25</t>
  </si>
  <si>
    <t>BRF  ADS5159772   SN25</t>
  </si>
  <si>
    <t>BRF  ADS5157983   SN25</t>
  </si>
  <si>
    <t>BRF  ADS5157985   SN25</t>
  </si>
  <si>
    <t>BRF  ADS5157992   SN25</t>
  </si>
  <si>
    <t>BRF  ADS5158596   SN25</t>
  </si>
  <si>
    <t>BRF  ADS5158596XXLSN25</t>
  </si>
  <si>
    <t>BRF  ADS5159295   SN25</t>
  </si>
  <si>
    <t>BRF  ADS5159299   SN25</t>
  </si>
  <si>
    <t>BRF  ADS5159299XXLSN25</t>
  </si>
  <si>
    <t>BRF  ADS5159303   SN25</t>
  </si>
  <si>
    <t>BRF  ADS5159304   SN25</t>
  </si>
  <si>
    <t>BRF  ADS5159304XXLSN25</t>
  </si>
  <si>
    <t>BRF  ADS5157987   SN25</t>
  </si>
  <si>
    <t>BRF  ADS5157997   SN25</t>
  </si>
  <si>
    <t>BRF  ADS5158608   SN25</t>
  </si>
  <si>
    <t>BRF  ADS5157996   SN25</t>
  </si>
  <si>
    <t>BRF  ADS5158009   SN25</t>
  </si>
  <si>
    <t>BRF  ADS5158588   SN25</t>
  </si>
  <si>
    <t>BRF  ADS5158591   SN25</t>
  </si>
  <si>
    <t>BRF  ADS5158594   SN25</t>
  </si>
  <si>
    <t>BRF  ADS5158603   SN25</t>
  </si>
  <si>
    <t>BRF  ADS5158609   SN25</t>
  </si>
  <si>
    <t>BRF  ADS5159300   SN25</t>
  </si>
  <si>
    <t>BRF  ADS5159308   SN25</t>
  </si>
  <si>
    <t>BRF  ADS5159308XXLSN25</t>
  </si>
  <si>
    <t>BRF  ADS5159770   25R1</t>
  </si>
  <si>
    <t>77135-59</t>
  </si>
  <si>
    <t>5158610XXL</t>
  </si>
  <si>
    <t>RUMAH MODE</t>
  </si>
  <si>
    <t>PC</t>
  </si>
  <si>
    <t>WOMAN BTM</t>
  </si>
  <si>
    <t>MEN'S BTM</t>
  </si>
  <si>
    <t>WOMEN TOP</t>
  </si>
  <si>
    <t>MEN'S TOP</t>
  </si>
  <si>
    <t>06.Jun</t>
  </si>
  <si>
    <t>05.May</t>
  </si>
  <si>
    <t>EC25SS34330</t>
  </si>
  <si>
    <t>C BABY GIRLS WOVEN S-SLV</t>
  </si>
  <si>
    <t>EB191</t>
  </si>
  <si>
    <t>MB ESSENTIALS GREY MARL J</t>
  </si>
  <si>
    <t>25M-MGTS322</t>
  </si>
  <si>
    <t>SUTETECO PANTS MARINE</t>
  </si>
  <si>
    <t>EC25SS37ML301</t>
  </si>
  <si>
    <t>EB188</t>
  </si>
  <si>
    <t>MB ESSENTIALS BLACK JOGGE</t>
  </si>
  <si>
    <t>LK654</t>
  </si>
  <si>
    <t>MB JM 3PK SHORTS</t>
  </si>
  <si>
    <t>LK887</t>
  </si>
  <si>
    <t>MB CB 3PK SS TEE</t>
  </si>
  <si>
    <t>25M-MGTS324</t>
  </si>
  <si>
    <t>SUTETECO PANTS SMALL FLOW</t>
  </si>
  <si>
    <t>AUA33000</t>
  </si>
  <si>
    <t>AUA33100</t>
  </si>
  <si>
    <t>25M-ASSB711</t>
  </si>
  <si>
    <t>SUTETECOM PANTS WATERMELO</t>
  </si>
  <si>
    <t>SET PERIODE</t>
  </si>
  <si>
    <t>SET PERIODE JANUARI</t>
  </si>
  <si>
    <t>Resume P&amp;L Product periode 2 - 15 January 2025</t>
  </si>
  <si>
    <t>JCT  MIXK-AOKI003 SN25</t>
  </si>
  <si>
    <t>TSHRTEIG910010231 LC25</t>
  </si>
  <si>
    <t>LSL  EIG910010789 LC25</t>
  </si>
  <si>
    <t>PANTSMEC5058306   S25</t>
  </si>
  <si>
    <t>CVRL RED61105-54  25R3</t>
  </si>
  <si>
    <t>CVRL RED61105-57  25R2</t>
  </si>
  <si>
    <t>CVRL RED61105-81  SN25</t>
  </si>
  <si>
    <t>JCT  MIXK-AOKI001 SN25</t>
  </si>
  <si>
    <t>JCT  MIXK-AOKI002 SN25</t>
  </si>
  <si>
    <t>HODYS</t>
  </si>
  <si>
    <t>HODYSMOTLL158     SS25</t>
  </si>
  <si>
    <t>HODYSMOTLL571     SS25</t>
  </si>
  <si>
    <t>PANTSMOTEB191     SS25</t>
  </si>
  <si>
    <t>TS SSMOTLK652     SS25</t>
  </si>
  <si>
    <t>PANTSMFLASSC809   SU25</t>
  </si>
  <si>
    <t>PANTSMFLMDSS421   SU25</t>
  </si>
  <si>
    <t>PANTSMFLMDTS123   SU25</t>
  </si>
  <si>
    <t>PANTSMFLMGBS021   SU25</t>
  </si>
  <si>
    <t>PANTSMFLASSB709   SU25</t>
  </si>
  <si>
    <t>PANTSMFLASSC808   SU25</t>
  </si>
  <si>
    <t>PANTSMFLASSC858   SU25</t>
  </si>
  <si>
    <t>PANTSMFLMGTS321   SU25</t>
  </si>
  <si>
    <t>PANTSMFLMDBS221   SU25</t>
  </si>
  <si>
    <t>TSHRTMOTLK647     SS25</t>
  </si>
  <si>
    <t>TSHRTMOTLL037     SS25</t>
  </si>
  <si>
    <t>TOP  MCU133-73    SN25</t>
  </si>
  <si>
    <t>TOP  MCU133-98    SN25</t>
  </si>
  <si>
    <t>TOP  MCU133-78    SN25</t>
  </si>
  <si>
    <t>BRF  ADS5158614   25R1</t>
  </si>
  <si>
    <t>BRF  ADS5159766   25R2</t>
  </si>
  <si>
    <t>BRF  ADS5159768   25R2</t>
  </si>
  <si>
    <t>BRF  ADS5159770   25R2</t>
  </si>
  <si>
    <t>BRF  ADS5159772   25R1</t>
  </si>
  <si>
    <t>BRF  ADS5158614XXL25R1</t>
  </si>
  <si>
    <t>JCT  MON1106683   SS25</t>
  </si>
  <si>
    <t>JCT  MON1106681   SS25</t>
  </si>
  <si>
    <t>PANTSMON1105653   SS25</t>
  </si>
  <si>
    <t>CVRL RED61105-55  25R2</t>
  </si>
  <si>
    <t>CVRL RED61105-57  25R1</t>
  </si>
  <si>
    <t>CVRL RED81905-54  SN25</t>
  </si>
  <si>
    <t>CVRL RED81905-57  SN25</t>
  </si>
  <si>
    <t>TATO ADS5157998   SN25</t>
  </si>
  <si>
    <t>BRF  ADS5157976   SN25</t>
  </si>
  <si>
    <t>BRF  ADS5157976XXLSN25</t>
  </si>
  <si>
    <t>BRF  ADS5157992   25R1</t>
  </si>
  <si>
    <t>BRF  ADS5157992XXLSN25</t>
  </si>
  <si>
    <t>BRF  ADS5157997   25R1</t>
  </si>
  <si>
    <t>BRF  ADS5158583   25R1</t>
  </si>
  <si>
    <t>BRF  ADS5158583XXLSN25</t>
  </si>
  <si>
    <t>BRF  ADS5158594   25R1</t>
  </si>
  <si>
    <t>BRF  ADS5159767   25R1</t>
  </si>
  <si>
    <t>BRF  ADS5157994   SN25</t>
  </si>
  <si>
    <t>BRF  ADS5158586   SN25</t>
  </si>
  <si>
    <t>BRF  ADS5158586XXLSN25</t>
  </si>
  <si>
    <t>BRF  ADS5158602   25R1</t>
  </si>
  <si>
    <t>BRF  ADS5158602XXLSN25</t>
  </si>
  <si>
    <t>BRF  ADS5158609   25R1</t>
  </si>
  <si>
    <t>BRF  ADS5158611   SN25</t>
  </si>
  <si>
    <t>BRF  ADS5158611XXLSN25</t>
  </si>
  <si>
    <t>BRF  ADS5159300   25R1</t>
  </si>
  <si>
    <t>BRF  ADS5159769   25R1</t>
  </si>
  <si>
    <t>BRF  ADS5158587   25R1</t>
  </si>
  <si>
    <t>BRF  ADS5158587XXLSN25</t>
  </si>
  <si>
    <t>BRF  ADS5158603   25R1</t>
  </si>
  <si>
    <t>BRF  ADS5158617   SN25</t>
  </si>
  <si>
    <t>BRF  ADS5159774   25R1</t>
  </si>
  <si>
    <t>RUMOD 04</t>
  </si>
  <si>
    <t>60102-53</t>
  </si>
  <si>
    <t>77140-55</t>
  </si>
  <si>
    <t>66005-54</t>
  </si>
  <si>
    <t>66005-57</t>
  </si>
  <si>
    <t>RUMOD 03</t>
  </si>
  <si>
    <t>07.Jul</t>
  </si>
  <si>
    <t>5158611XXL</t>
  </si>
  <si>
    <t>5158586XXL</t>
  </si>
  <si>
    <t>5158003XXL</t>
  </si>
  <si>
    <t>L5B</t>
  </si>
  <si>
    <t>WOMAN TOP</t>
  </si>
  <si>
    <t>K-AOKI005</t>
  </si>
  <si>
    <t>K-AOKI001</t>
  </si>
  <si>
    <t>K-AOKI002</t>
  </si>
  <si>
    <t>25M-MDSS421</t>
  </si>
  <si>
    <t>SUTETECO PANTS SHARK</t>
  </si>
  <si>
    <t>25M-MDTS123</t>
  </si>
  <si>
    <t>SUTETECO PANTS JUNK FOOD</t>
  </si>
  <si>
    <t>25M-MGBS021</t>
  </si>
  <si>
    <t>SUTETECO PANTS BEIGE FLOW</t>
  </si>
  <si>
    <t>25M-ASSB710</t>
  </si>
  <si>
    <t>SUTETECO PANTS ONIGIRI</t>
  </si>
  <si>
    <t>25M-ASSC809</t>
  </si>
  <si>
    <t>SUTETECO PANTS WATERMELON</t>
  </si>
  <si>
    <t>EC25AH24140</t>
  </si>
  <si>
    <t>LL158</t>
  </si>
  <si>
    <t>JB GD HOODY &amp; SHORT SET</t>
  </si>
  <si>
    <t>LK652</t>
  </si>
  <si>
    <t>MB JM SS TEE AND SHORT SE</t>
  </si>
  <si>
    <t>LL571</t>
  </si>
  <si>
    <t>JB FE SS HOODY AND SHORTS</t>
  </si>
  <si>
    <t>EC25SS38331</t>
  </si>
  <si>
    <t>LL537</t>
  </si>
  <si>
    <t>25M-MGTS323</t>
  </si>
  <si>
    <t>SUTETECO PANTS PEACH</t>
  </si>
  <si>
    <t>25M-MDTS121</t>
  </si>
  <si>
    <t>SUTETECO PANTS COW</t>
  </si>
  <si>
    <t>25M-ASSC808</t>
  </si>
  <si>
    <t>25M-ASSB709</t>
  </si>
  <si>
    <t>SUTETECO PANTS TRAIN</t>
  </si>
  <si>
    <t>25M-ASSC858</t>
  </si>
  <si>
    <t>SUTETECO PANTS MONOCROM F</t>
  </si>
  <si>
    <t>25M-MGTS321</t>
  </si>
  <si>
    <t>SUTETECO PANTS UNICORN</t>
  </si>
  <si>
    <t>LK225</t>
  </si>
  <si>
    <t>MG NB SWEAT DRESS</t>
  </si>
  <si>
    <t>LL254</t>
  </si>
  <si>
    <t>MG ESSENTIALS SS DRESS BE</t>
  </si>
  <si>
    <t>LK639</t>
  </si>
  <si>
    <t>MB JM AOP SWEAT ZIP THROU</t>
  </si>
  <si>
    <t>LK883</t>
  </si>
  <si>
    <t>MB SWEAT LB</t>
  </si>
  <si>
    <t>25M-MDBS221</t>
  </si>
  <si>
    <t>LL038</t>
  </si>
  <si>
    <t>JB ER 3PK SS TEE PACK</t>
  </si>
  <si>
    <t>AUE34800</t>
  </si>
  <si>
    <t>K-AOKI003</t>
  </si>
  <si>
    <t>K-AOKI004</t>
  </si>
  <si>
    <t>LSA</t>
  </si>
  <si>
    <t>GAJAH TUNGGAL</t>
  </si>
  <si>
    <t>LONG PANTS</t>
  </si>
  <si>
    <t>CELANA PANJANG, FILAMENDO</t>
  </si>
  <si>
    <t>ANGKASA INTERLAN</t>
  </si>
  <si>
    <t>SIOLA SANDIMAS</t>
  </si>
  <si>
    <t>ALMAKANA SARI</t>
  </si>
  <si>
    <t>GRAHA HEXINDO</t>
  </si>
  <si>
    <t>PRIMA SENTRA M</t>
  </si>
  <si>
    <t>TIRTA BUMI</t>
  </si>
  <si>
    <t>GRAHA MITRA</t>
  </si>
  <si>
    <t>SBR</t>
  </si>
  <si>
    <t>TIRE CORD</t>
  </si>
  <si>
    <t>SIOLA SA</t>
  </si>
  <si>
    <t>GRAHA HEX</t>
  </si>
  <si>
    <t>PRIMA SE</t>
  </si>
  <si>
    <t>FILAMENDO</t>
  </si>
  <si>
    <t>PRAKARSA</t>
  </si>
  <si>
    <t>MEGA BUANA</t>
  </si>
  <si>
    <t>PRI</t>
  </si>
  <si>
    <t>SMPL</t>
  </si>
  <si>
    <t>RUMID 02</t>
  </si>
  <si>
    <t>DEEN &amp; JEAN</t>
  </si>
  <si>
    <t>D&amp;J 16</t>
  </si>
  <si>
    <t>D&amp;J 18</t>
  </si>
  <si>
    <t>D&amp;J 17</t>
  </si>
  <si>
    <t>D&amp;J 14</t>
  </si>
  <si>
    <t>LK647</t>
  </si>
  <si>
    <t>MB JM SS BOXY TEE</t>
  </si>
  <si>
    <t>LL037</t>
  </si>
  <si>
    <t>JB ER SS TEE NEUTRAL</t>
  </si>
  <si>
    <t>133-97</t>
  </si>
  <si>
    <t>133-61</t>
  </si>
  <si>
    <t>\\10.8.0.35\masterdata$\OPERASIONAL\Income dan Profit\Resume Income Factory Th 2025.xlsx</t>
  </si>
  <si>
    <t>\\10.8.0.35\masterdata$\OPERASIONAL\Income dan Profit\Data Income per-factory Th 2025.xlsx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</si>
</sst>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89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0" fontId="0" fillId="0" borderId="0" xfId="1" applyFont="1" applyFill="1" applyAlignment="1">
      <alignment horizontal="left"/>
    </xf>
    <xf numFmtId="15" fontId="0" fillId="0" borderId="0" xfId="0" applyNumberFormat="1"/>
    <xf numFmtId="0" fontId="6" fillId="2" borderId="0" xfId="0" applyFont="1" applyFill="1" applyAlignment="1">
      <alignment vertical="center"/>
    </xf>
    <xf numFmtId="0" fontId="9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38" fontId="0" fillId="0" borderId="0" xfId="0" applyNumberFormat="1"/>
    <xf numFmtId="0" fontId="9" fillId="7" borderId="4" xfId="0" applyFont="1" applyFill="1" applyBorder="1"/>
    <xf numFmtId="0" fontId="9" fillId="7" borderId="4" xfId="0" applyFont="1" applyFill="1" applyBorder="1" applyAlignment="1">
      <alignment horizontal="center"/>
    </xf>
    <xf numFmtId="3" fontId="9" fillId="7" borderId="4" xfId="0" applyNumberFormat="1" applyFont="1" applyFill="1" applyBorder="1"/>
    <xf numFmtId="40" fontId="9" fillId="7" borderId="4" xfId="0" applyNumberFormat="1" applyFont="1" applyFill="1" applyBorder="1"/>
    <xf numFmtId="38" fontId="9" fillId="7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164" fontId="0" fillId="0" borderId="4" xfId="2" applyNumberFormat="1" applyFont="1" applyBorder="1"/>
    <xf numFmtId="164" fontId="9" fillId="0" borderId="4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right"/>
    </xf>
    <xf numFmtId="0" fontId="0" fillId="9" borderId="0" xfId="0" applyFill="1" applyAlignment="1">
      <alignment horizontal="left"/>
    </xf>
    <xf numFmtId="0" fontId="9" fillId="0" borderId="0" xfId="0" applyFont="1" applyAlignment="1">
      <alignment horizontal="left"/>
    </xf>
    <xf numFmtId="0" fontId="9" fillId="9" borderId="0" xfId="0" applyFont="1" applyFill="1"/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center"/>
    </xf>
    <xf numFmtId="22" fontId="9" fillId="9" borderId="0" xfId="0" applyNumberFormat="1" applyFont="1" applyFill="1"/>
    <xf numFmtId="0" fontId="13" fillId="0" borderId="0" xfId="1" applyFont="1" applyFill="1"/>
    <xf numFmtId="0" fontId="0" fillId="9" borderId="0" xfId="1" applyFont="1" applyFill="1" applyAlignment="1">
      <alignment horizontal="left"/>
    </xf>
    <xf numFmtId="22" fontId="9" fillId="9" borderId="0" xfId="0" applyNumberFormat="1" applyFont="1" applyFill="1" applyAlignment="1">
      <alignment horizontal="left"/>
    </xf>
    <xf numFmtId="0" fontId="9" fillId="9" borderId="0" xfId="0" applyFont="1" applyFill="1" applyAlignment="1">
      <alignment horizontal="left" vertic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811556</xdr:colOff>
      <xdr:row>2</xdr:row>
      <xdr:rowOff>11392</xdr:rowOff>
    </xdr:from>
    <xdr:to>
      <xdr:col>5</xdr:col>
      <xdr:colOff>2625680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42880" y="504451"/>
          <a:ext cx="1814124" cy="657224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2172513</xdr:colOff>
      <xdr:row>2</xdr:row>
      <xdr:rowOff>56776</xdr:rowOff>
    </xdr:from>
    <xdr:to>
      <xdr:col>2</xdr:col>
      <xdr:colOff>3921642</xdr:colOff>
      <xdr:row>6</xdr:row>
      <xdr:rowOff>139325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4601" y="549835"/>
          <a:ext cx="1749129" cy="6540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2371725</xdr:colOff>
          <xdr:row>3</xdr:row>
          <xdr:rowOff>47625</xdr:rowOff>
        </xdr:from>
        <xdr:to>
          <xdr:col>2</xdr:col>
          <xdr:colOff>3771900</xdr:colOff>
          <xdr:row>5</xdr:row>
          <xdr:rowOff>28575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25" workbookViewId="0">
      <selection activeCell="C39" sqref="C39"/>
    </sheetView>
  </sheetViews>
  <sheetFormatPr defaultColWidth="9.140625" defaultRowHeight="15" x14ac:dyDescent="0.25"/>
  <cols>
    <col min="1" max="1" width="11.28515625" style="6" bestFit="1" customWidth="1"/>
    <col min="2" max="2" width="14.28515625" style="6" bestFit="1" customWidth="1"/>
    <col min="3" max="3" width="14.5703125" style="6" bestFit="1" customWidth="1"/>
    <col min="4" max="5" width="14.28515625" style="6" bestFit="1" customWidth="1"/>
    <col min="6" max="6" width="14.42578125" style="6" customWidth="1"/>
    <col min="7" max="7" width="18.85546875" style="6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25">
      <c r="A3" s="38" t="s">
        <v>15</v>
      </c>
      <c r="B3" s="39"/>
      <c r="C3" s="39"/>
      <c r="D3" s="39"/>
      <c r="E3" s="39"/>
      <c r="F3" s="39"/>
      <c r="G3" s="40"/>
    </row>
    <row r="5" spans="1:7" x14ac:dyDescent="0.25">
      <c r="A5" s="34" t="s">
        <v>50</v>
      </c>
      <c r="B5" s="34" t="s">
        <v>8</v>
      </c>
    </row>
    <row r="6" spans="1:7" x14ac:dyDescent="0.2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25">
      <c r="A7" s="38" t="s">
        <v>15</v>
      </c>
      <c r="B7" s="39"/>
      <c r="C7" s="39"/>
      <c r="D7" s="39"/>
      <c r="E7" s="39"/>
      <c r="F7" s="39"/>
      <c r="G7" s="40"/>
    </row>
    <row r="9" spans="1:7" x14ac:dyDescent="0.25">
      <c r="A9" s="34" t="s">
        <v>50</v>
      </c>
      <c r="B9" s="34" t="s">
        <v>40</v>
      </c>
    </row>
    <row r="10" spans="1:7" x14ac:dyDescent="0.2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25">
      <c r="A11" s="38" t="s">
        <v>15</v>
      </c>
      <c r="B11" s="39"/>
      <c r="C11" s="39"/>
      <c r="D11" s="39"/>
      <c r="E11" s="39"/>
      <c r="F11" s="39"/>
      <c r="G11" s="40"/>
    </row>
    <row r="13" spans="1:7" x14ac:dyDescent="0.25">
      <c r="A13" s="34" t="s">
        <v>50</v>
      </c>
      <c r="B13" s="34" t="s">
        <v>9</v>
      </c>
    </row>
    <row r="14" spans="1:7" x14ac:dyDescent="0.2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25">
      <c r="A15" s="38" t="s">
        <v>15</v>
      </c>
      <c r="B15" s="39"/>
      <c r="C15" s="39"/>
      <c r="D15" s="39"/>
      <c r="E15" s="39"/>
      <c r="F15" s="39"/>
      <c r="G15" s="40"/>
    </row>
    <row r="17" spans="1:7" x14ac:dyDescent="0.25">
      <c r="A17" s="34" t="s">
        <v>50</v>
      </c>
      <c r="B17" s="34" t="s">
        <v>10</v>
      </c>
    </row>
    <row r="18" spans="1:7" x14ac:dyDescent="0.2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25">
      <c r="A19" s="38" t="s">
        <v>15</v>
      </c>
      <c r="B19" s="39"/>
      <c r="C19" s="39"/>
      <c r="D19" s="39"/>
      <c r="E19" s="39"/>
      <c r="F19" s="39"/>
      <c r="G19" s="40"/>
    </row>
    <row r="21" spans="1:7" x14ac:dyDescent="0.25">
      <c r="A21" s="34" t="s">
        <v>50</v>
      </c>
      <c r="B21" s="34" t="s">
        <v>11</v>
      </c>
    </row>
    <row r="22" spans="1:7" x14ac:dyDescent="0.2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25">
      <c r="A23" s="38" t="s">
        <v>15</v>
      </c>
      <c r="B23" s="39"/>
      <c r="C23" s="39"/>
      <c r="D23" s="39"/>
      <c r="E23" s="39"/>
      <c r="F23" s="39"/>
      <c r="G23" s="40"/>
    </row>
    <row r="25" spans="1:7" x14ac:dyDescent="0.25">
      <c r="A25" s="34" t="s">
        <v>50</v>
      </c>
      <c r="B25" s="34" t="s">
        <v>12</v>
      </c>
    </row>
    <row r="26" spans="1:7" x14ac:dyDescent="0.2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25">
      <c r="A27" s="38" t="s">
        <v>15</v>
      </c>
      <c r="B27" s="39"/>
      <c r="C27" s="39"/>
      <c r="D27" s="39"/>
      <c r="E27" s="39"/>
      <c r="F27" s="39"/>
      <c r="G27" s="40"/>
    </row>
    <row r="29" spans="1:7" x14ac:dyDescent="0.25">
      <c r="A29" s="34" t="s">
        <v>50</v>
      </c>
      <c r="B29" s="34" t="s">
        <v>13</v>
      </c>
    </row>
    <row r="30" spans="1:7" x14ac:dyDescent="0.2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25">
      <c r="A31" s="38" t="s">
        <v>15</v>
      </c>
      <c r="B31" s="39"/>
      <c r="C31" s="39"/>
      <c r="D31" s="39"/>
      <c r="E31" s="39"/>
      <c r="F31" s="39"/>
      <c r="G31" s="40"/>
    </row>
    <row r="33" spans="1:7" x14ac:dyDescent="0.25">
      <c r="A33" s="34" t="s">
        <v>50</v>
      </c>
      <c r="B33" s="34" t="s">
        <v>14</v>
      </c>
    </row>
    <row r="34" spans="1:7" x14ac:dyDescent="0.2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2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/>
  </sheetViews>
  <sheetFormatPr defaultRowHeight="15" x14ac:dyDescent="0.25"/>
  <cols>
    <col min="1" max="1" width="3" customWidth="1"/>
    <col min="2" max="2" width="11.28515625" bestFit="1" customWidth="1"/>
    <col min="3" max="5" width="14.28515625" bestFit="1" customWidth="1"/>
    <col min="6" max="6" width="13.42578125" bestFit="1" customWidth="1"/>
    <col min="7" max="9" width="14.28515625" bestFit="1" customWidth="1"/>
    <col min="10" max="11" width="12.5703125" bestFit="1" customWidth="1"/>
    <col min="12" max="13" width="14.28515625" bestFit="1" customWidth="1"/>
    <col min="14" max="14" width="12.5703125" bestFit="1" customWidth="1"/>
  </cols>
  <sheetData>
    <row r="2" spans="2:14" ht="23.25" x14ac:dyDescent="0.35">
      <c r="B2" s="51" t="str">
        <f ca="1">"ANALISA PLAN VS REALISASI INCOME TH " &amp;HOME!$G$12</f>
        <v>ANALISA PLAN VS REALISASI INCOME TH 2025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</row>
    <row r="4" spans="2:14" s="6" customFormat="1" x14ac:dyDescent="0.25">
      <c r="B4" s="46" t="s">
        <v>20</v>
      </c>
      <c r="C4" s="47" t="s">
        <v>37</v>
      </c>
      <c r="D4" s="47"/>
      <c r="E4" s="47"/>
      <c r="F4" s="48"/>
      <c r="G4" s="49" t="s">
        <v>38</v>
      </c>
      <c r="H4" s="47"/>
      <c r="I4" s="47"/>
      <c r="J4" s="47"/>
      <c r="K4" s="49" t="s">
        <v>39</v>
      </c>
      <c r="L4" s="47"/>
      <c r="M4" s="47"/>
      <c r="N4" s="47"/>
    </row>
    <row r="5" spans="2:14" s="24" customFormat="1" x14ac:dyDescent="0.25">
      <c r="B5" s="46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46" t="s">
        <v>20</v>
      </c>
      <c r="C17" s="47" t="s">
        <v>41</v>
      </c>
      <c r="D17" s="47"/>
      <c r="E17" s="47"/>
      <c r="F17" s="48"/>
      <c r="G17" s="49" t="s">
        <v>42</v>
      </c>
      <c r="H17" s="47"/>
      <c r="I17" s="47"/>
      <c r="J17" s="47"/>
      <c r="K17" s="50" t="s">
        <v>43</v>
      </c>
      <c r="L17" s="50"/>
      <c r="M17" s="50"/>
      <c r="N17" s="50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46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46" t="s">
        <v>20</v>
      </c>
      <c r="C30" s="47" t="s">
        <v>44</v>
      </c>
      <c r="D30" s="47"/>
      <c r="E30" s="47"/>
      <c r="F30" s="48"/>
      <c r="G30" s="49" t="s">
        <v>45</v>
      </c>
      <c r="H30" s="47"/>
      <c r="I30" s="47"/>
      <c r="J30" s="47"/>
      <c r="K30" s="49" t="s">
        <v>46</v>
      </c>
      <c r="L30" s="47"/>
      <c r="M30" s="47"/>
      <c r="N30" s="47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46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46" t="s">
        <v>20</v>
      </c>
      <c r="C43" s="47" t="s">
        <v>47</v>
      </c>
      <c r="D43" s="47"/>
      <c r="E43" s="47"/>
      <c r="F43" s="48"/>
      <c r="G43" s="49" t="s">
        <v>48</v>
      </c>
      <c r="H43" s="47"/>
      <c r="I43" s="47"/>
      <c r="J43" s="47"/>
      <c r="K43" s="49" t="s">
        <v>49</v>
      </c>
      <c r="L43" s="47"/>
      <c r="M43" s="47"/>
      <c r="N43" s="47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46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17:B18"/>
    <mergeCell ref="C17:F17"/>
    <mergeCell ref="G17:J17"/>
    <mergeCell ref="K17:N17"/>
    <mergeCell ref="B2:N2"/>
    <mergeCell ref="B4:B5"/>
    <mergeCell ref="C4:F4"/>
    <mergeCell ref="G4:J4"/>
    <mergeCell ref="K4:N4"/>
    <mergeCell ref="B30:B31"/>
    <mergeCell ref="C30:F30"/>
    <mergeCell ref="G30:J30"/>
    <mergeCell ref="K30:N30"/>
    <mergeCell ref="B43:B44"/>
    <mergeCell ref="C43:F43"/>
    <mergeCell ref="G43:J43"/>
    <mergeCell ref="K43:N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5" x14ac:dyDescent="0.25"/>
  <cols>
    <col min="1" max="1" width="54.85546875" bestFit="1" customWidth="1"/>
  </cols>
  <sheetData>
    <row r="1" spans="1:1" x14ac:dyDescent="0.25">
      <c r="A1" s="15" t="s">
        <v>28</v>
      </c>
    </row>
    <row r="2" spans="1:1" x14ac:dyDescent="0.25">
      <c r="A2" s="16" t="s">
        <v>29</v>
      </c>
    </row>
    <row r="3" spans="1:1" x14ac:dyDescent="0.25">
      <c r="A3" s="17" t="s">
        <v>30</v>
      </c>
    </row>
    <row r="4" spans="1:1" x14ac:dyDescent="0.2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1">
    <tabColor rgb="FF00B0F0"/>
  </sheetPr>
  <dimension ref="A1:I21"/>
  <sheetViews>
    <sheetView showGridLines="0" tabSelected="1" zoomScale="85" zoomScaleNormal="85" workbookViewId="0"/>
  </sheetViews>
  <sheetFormatPr defaultRowHeight="15" x14ac:dyDescent="0.25"/>
  <cols>
    <col min="1" max="1" width="5.85546875" customWidth="1"/>
    <col min="2" max="2" width="19.5703125" customWidth="1"/>
    <col min="3" max="3" width="61.85546875" customWidth="1"/>
    <col min="4" max="4" width="4.7109375" style="7" customWidth="1"/>
    <col min="5" max="5" width="3" customWidth="1"/>
    <col min="6" max="6" width="62.5703125" customWidth="1"/>
    <col min="7" max="7" width="33.7109375" customWidth="1"/>
    <col min="8" max="8" width="12" customWidth="1"/>
    <col min="9" max="9" width="23.42578125" customWidth="1"/>
  </cols>
  <sheetData>
    <row r="1" spans="1:9" ht="12" customHeight="1" x14ac:dyDescent="0.25">
      <c r="C1" s="54" t="s">
        <v>3</v>
      </c>
      <c r="D1" s="54"/>
      <c r="E1" s="54"/>
      <c r="F1" s="54"/>
      <c r="G1" s="54"/>
      <c r="H1" s="54"/>
    </row>
    <row r="2" spans="1:9" ht="26.25" customHeight="1" x14ac:dyDescent="0.25">
      <c r="C2" s="43" t="s">
        <v>4</v>
      </c>
      <c r="D2" s="43"/>
      <c r="E2" s="43"/>
      <c r="F2" s="43"/>
      <c r="G2" s="43"/>
      <c r="H2" s="43"/>
    </row>
    <row r="3" spans="1:9" ht="12" customHeight="1" x14ac:dyDescent="0.25">
      <c r="C3" s="43"/>
      <c r="D3" s="43"/>
      <c r="E3" s="43"/>
      <c r="F3" s="43"/>
      <c r="G3" s="43"/>
      <c r="H3" s="43"/>
    </row>
    <row r="4" spans="1:9" ht="12" customHeight="1" x14ac:dyDescent="0.25">
      <c r="C4" s="43"/>
      <c r="D4" s="43"/>
      <c r="E4" s="43"/>
      <c r="F4" s="43"/>
      <c r="G4" s="43"/>
      <c r="H4" s="43"/>
    </row>
    <row r="5" spans="1:9" ht="18" customHeight="1" x14ac:dyDescent="0.25">
      <c r="B5" s="1"/>
      <c r="C5" s="43"/>
      <c r="D5" s="43"/>
      <c r="E5" s="43"/>
      <c r="F5" s="43"/>
      <c r="G5" s="43"/>
      <c r="H5" s="43"/>
    </row>
    <row r="6" spans="1:9" ht="3" customHeight="1" x14ac:dyDescent="0.25">
      <c r="A6" s="3"/>
      <c r="B6" s="4"/>
      <c r="C6" s="43"/>
      <c r="D6" s="43"/>
      <c r="E6" s="43"/>
      <c r="F6" s="43"/>
      <c r="G6" s="43"/>
      <c r="H6" s="43"/>
      <c r="I6" s="5"/>
    </row>
    <row r="7" spans="1:9" ht="14.1" customHeight="1" x14ac:dyDescent="0.25">
      <c r="B7" s="2"/>
      <c r="C7" s="43"/>
      <c r="D7" s="43"/>
      <c r="E7" s="43"/>
      <c r="F7" s="43"/>
      <c r="G7" s="43"/>
      <c r="H7" s="43"/>
    </row>
    <row r="8" spans="1:9" ht="12" customHeight="1" x14ac:dyDescent="0.25">
      <c r="C8" s="43"/>
      <c r="D8" s="43"/>
      <c r="E8" s="43"/>
      <c r="F8" s="43"/>
      <c r="G8" s="43"/>
      <c r="H8" s="43"/>
    </row>
    <row r="9" spans="1:9" ht="6.75" customHeight="1" x14ac:dyDescent="0.25">
      <c r="A9" s="53"/>
      <c r="B9" s="53"/>
      <c r="C9" s="43"/>
      <c r="D9" s="43"/>
      <c r="E9" s="43"/>
      <c r="F9" s="43"/>
      <c r="G9" s="43"/>
      <c r="H9" s="43"/>
    </row>
    <row r="10" spans="1:9" ht="24" customHeight="1" x14ac:dyDescent="0.25">
      <c r="A10" s="53"/>
      <c r="B10" s="53"/>
      <c r="C10" s="55" t="s">
        <v>53</v>
      </c>
      <c r="D10" s="55"/>
      <c r="E10" s="55"/>
      <c r="F10" s="55"/>
      <c r="G10" s="55"/>
      <c r="H10" s="55"/>
    </row>
    <row r="11" spans="1:9" ht="15.75" x14ac:dyDescent="0.2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00000000000001" customHeight="1" x14ac:dyDescent="0.25">
      <c r="C12" t="s">
        <v>5</v>
      </c>
      <c r="F12" s="6" t="str">
        <f ca="1">UPPER(TEXT(F17,"[$-id]mmmm"))</f>
        <v>JANUARI</v>
      </c>
      <c r="G12" s="6" t="str">
        <f ca="1">UPPER(TEXT(F17,"yyyy"))</f>
        <v>2025</v>
      </c>
      <c r="H12" s="80" t="str">
        <f ca="1">UPPER(TEXT(F17,"[$-en-EN]mmmm"))</f>
        <v>JANUARY</v>
      </c>
      <c r="I12" s="42"/>
    </row>
    <row r="13" spans="1:9" ht="20.100000000000001" customHeight="1" x14ac:dyDescent="0.25">
      <c r="C13" t="s">
        <v>35</v>
      </c>
      <c r="F13" s="85" t="str">
        <f ca="1">"\\10.8.0.35\Bersama\IT\RPA\WAJIB BACKUP BULANAN\Detail\"&amp;$G$12&amp;"\"&amp;TEXT($F$17,"mm")&amp;". GI-IS - Cost Factory Report "&amp;$F$12&amp;".xlsx"</f>
        <v>\\10.8.0.35\Bersama\IT\RPA\WAJIB BACKUP BULANAN\Detail\2025\01. GI-IS - Cost Factory Report JANUARI.xlsx</v>
      </c>
      <c r="G13" s="13" t="s">
        <v>0</v>
      </c>
      <c r="H13" s="41" t="s">
        <v>0</v>
      </c>
    </row>
    <row r="14" spans="1:9" ht="20.100000000000001" customHeight="1" x14ac:dyDescent="0.25">
      <c r="C14" t="s">
        <v>32</v>
      </c>
      <c r="F14" t="s">
        <v>55</v>
      </c>
      <c r="G14" s="19" t="s">
        <v>34</v>
      </c>
      <c r="H14" s="41" t="s">
        <v>0</v>
      </c>
    </row>
    <row r="15" spans="1:9" ht="20.100000000000001" customHeight="1" x14ac:dyDescent="0.25">
      <c r="C15" t="s">
        <v>51</v>
      </c>
      <c r="E15" s="11"/>
      <c r="F15" t="s">
        <v>54</v>
      </c>
      <c r="G15" s="7" t="str">
        <f ca="1">"Resume Income Factory Th " &amp;$G$12</f>
        <v>Resume Income Factory Th 2025</v>
      </c>
      <c r="H15" s="41" t="s">
        <v>6</v>
      </c>
    </row>
    <row r="16" spans="1:9" ht="20.100000000000001" customHeight="1" x14ac:dyDescent="0.25">
      <c r="C16" t="s">
        <v>52</v>
      </c>
      <c r="E16" s="11"/>
      <c r="F16" t="s">
        <v>54</v>
      </c>
      <c r="G16" s="7" t="str">
        <f ca="1">"Data Income per-factory Th " &amp;$G$12</f>
        <v>Data Income per-factory Th 2025</v>
      </c>
      <c r="H16" s="41" t="s">
        <v>6</v>
      </c>
    </row>
    <row r="17" spans="3:8" ht="20.100000000000001" customHeight="1" x14ac:dyDescent="0.25">
      <c r="C17" s="81" t="s">
        <v>344</v>
      </c>
      <c r="D17" s="82"/>
      <c r="E17" s="83"/>
      <c r="F17" s="87">
        <f ca="1">NOW()</f>
        <v>45673.666298032411</v>
      </c>
      <c r="G17" s="79"/>
      <c r="H17" s="86"/>
    </row>
    <row r="18" spans="3:8" ht="20.100000000000001" customHeight="1" x14ac:dyDescent="0.25">
      <c r="C18" s="88" t="s">
        <v>345</v>
      </c>
      <c r="D18" s="82"/>
      <c r="E18" s="83"/>
      <c r="F18" s="87" t="s">
        <v>54</v>
      </c>
      <c r="G18" s="79" t="str">
        <f ca="1">"Resume Income Factory Th " &amp;$G$12-1</f>
        <v>Resume Income Factory Th 2024</v>
      </c>
      <c r="H18" s="86" t="s">
        <v>6</v>
      </c>
    </row>
    <row r="19" spans="3:8" ht="20.100000000000001" customHeight="1" x14ac:dyDescent="0.25">
      <c r="C19" s="88"/>
      <c r="D19" s="82"/>
      <c r="E19" s="83"/>
      <c r="F19" s="84" t="s">
        <v>54</v>
      </c>
      <c r="G19" s="79" t="str">
        <f ca="1">"Data Income per-factory Th " &amp;$G$12-1</f>
        <v>Data Income per-factory Th 2024</v>
      </c>
      <c r="H19" s="86" t="s">
        <v>6</v>
      </c>
    </row>
    <row r="20" spans="3:8" ht="20.100000000000001" customHeight="1" x14ac:dyDescent="0.25">
      <c r="C20" s="7"/>
      <c r="E20" s="7"/>
      <c r="F20" s="7"/>
      <c r="G20" s="14"/>
      <c r="H20" s="14"/>
    </row>
    <row r="21" spans="3:8" ht="1.5" customHeight="1" x14ac:dyDescent="0.25">
      <c r="C21" s="52"/>
      <c r="D21" s="52"/>
      <c r="E21" s="52"/>
      <c r="F21" s="52"/>
      <c r="G21" s="12"/>
      <c r="H21" s="12"/>
    </row>
  </sheetData>
  <mergeCells count="5">
    <mergeCell ref="C21:F21"/>
    <mergeCell ref="A9:B10"/>
    <mergeCell ref="C1:H1"/>
    <mergeCell ref="C10:H10"/>
    <mergeCell ref="C18:C19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_Proses">
          <controlPr defaultSize="0" autoLine="0" autoPict="0" r:id="rId6">
            <anchor moveWithCells="1">
              <from>
                <xdr:col>5</xdr:col>
                <xdr:colOff>1333500</xdr:colOff>
                <xdr:row>2</xdr:row>
                <xdr:rowOff>152400</xdr:rowOff>
              </from>
              <to>
                <xdr:col>5</xdr:col>
                <xdr:colOff>2790825</xdr:colOff>
                <xdr:row>4</xdr:row>
                <xdr:rowOff>209550</xdr:rowOff>
              </to>
            </anchor>
          </controlPr>
        </control>
      </mc:Choice>
      <mc:Fallback>
        <control shapeId="2050" r:id="rId5" name="btn_Proses"/>
      </mc:Fallback>
    </mc:AlternateContent>
    <mc:AlternateContent xmlns:mc="http://schemas.openxmlformats.org/markup-compatibility/2006">
      <mc:Choice Requires="x14">
        <control shapeId="2052" r:id="rId7" name="cmd_CreateRPA">
          <controlPr defaultSize="0" autoLine="0" autoPict="0" r:id="rId8">
            <anchor moveWithCells="1">
              <from>
                <xdr:col>2</xdr:col>
                <xdr:colOff>2371725</xdr:colOff>
                <xdr:row>3</xdr:row>
                <xdr:rowOff>47625</xdr:rowOff>
              </from>
              <to>
                <xdr:col>2</xdr:col>
                <xdr:colOff>3771900</xdr:colOff>
                <xdr:row>5</xdr:row>
                <xdr:rowOff>28575</xdr:rowOff>
              </to>
            </anchor>
          </controlPr>
        </control>
      </mc:Choice>
      <mc:Fallback>
        <control shapeId="2052" r:id="rId7" name="cmd_CreateRP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AA007-4A96-483F-87C0-B71E7CFB69C8}">
  <sheetPr codeName="Sheet138"/>
  <dimension ref="A1:B3"/>
  <sheetViews>
    <sheetView workbookViewId="0"/>
  </sheetViews>
  <sheetFormatPr defaultRowHeight="15" x14ac:dyDescent="0.25"/>
  <cols>
    <col min="1" max="1" width="12.140625" bestFit="1" customWidth="1"/>
    <col min="2" max="2" width="88.140625" bestFit="1" customWidth="1"/>
  </cols>
  <sheetData>
    <row r="1" spans="1:2" x14ac:dyDescent="0.25">
      <c r="A1" t="s">
        <v>197</v>
      </c>
      <c r="B1" t="s">
        <v>199</v>
      </c>
    </row>
    <row r="2" spans="1:2" x14ac:dyDescent="0.25">
      <c r="A2" t="s">
        <v>198</v>
      </c>
      <c r="B2" t="s">
        <v>505</v>
      </c>
    </row>
    <row r="3" spans="1:2" x14ac:dyDescent="0.25">
      <c r="A3" t="s">
        <v>198</v>
      </c>
      <c r="B3" t="s">
        <v>506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2D2D-4665-4AD0-9841-B60B0E13BE04}">
  <sheetPr codeName="Sheet132"/>
  <dimension ref="A1:P441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45" bestFit="1" customWidth="1"/>
    <col min="4" max="4" width="7.140625" bestFit="1" customWidth="1"/>
    <col min="5" max="5" width="24.5703125" bestFit="1" customWidth="1"/>
    <col min="6" max="6" width="12" bestFit="1" customWidth="1"/>
    <col min="7" max="7" width="11.140625" style="72" bestFit="1" customWidth="1"/>
    <col min="8" max="8" width="23.85546875" style="73" bestFit="1" customWidth="1"/>
    <col min="9" max="9" width="27.7109375" style="73" bestFit="1" customWidth="1"/>
    <col min="10" max="10" width="22.28515625" style="73" bestFit="1" customWidth="1"/>
    <col min="11" max="11" width="5" bestFit="1" customWidth="1"/>
    <col min="12" max="12" width="6" bestFit="1" customWidth="1"/>
    <col min="13" max="13" width="11.140625" style="56" bestFit="1" customWidth="1"/>
    <col min="14" max="14" width="11.5703125" style="56" bestFit="1" customWidth="1"/>
    <col min="15" max="15" width="10.42578125" style="56" bestFit="1" customWidth="1"/>
  </cols>
  <sheetData>
    <row r="1" spans="1:16" ht="23.25" x14ac:dyDescent="0.35">
      <c r="A1" s="51" t="s">
        <v>346</v>
      </c>
      <c r="B1" s="51"/>
      <c r="C1" s="51"/>
      <c r="D1" s="51"/>
      <c r="E1" s="51"/>
      <c r="F1" s="51"/>
      <c r="G1" s="51"/>
      <c r="H1" s="51"/>
      <c r="I1" s="51"/>
      <c r="J1" s="51"/>
    </row>
    <row r="4" spans="1:16" x14ac:dyDescent="0.25">
      <c r="A4" s="57" t="s">
        <v>56</v>
      </c>
      <c r="B4" s="57" t="s">
        <v>57</v>
      </c>
      <c r="C4" s="58" t="s">
        <v>58</v>
      </c>
      <c r="D4" s="57" t="s">
        <v>59</v>
      </c>
      <c r="E4" s="57" t="s">
        <v>60</v>
      </c>
      <c r="F4" s="57" t="s">
        <v>61</v>
      </c>
      <c r="G4" s="59" t="s">
        <v>62</v>
      </c>
      <c r="H4" s="60" t="s">
        <v>63</v>
      </c>
      <c r="I4" s="60" t="s">
        <v>64</v>
      </c>
      <c r="J4" s="60" t="s">
        <v>65</v>
      </c>
      <c r="K4" s="57" t="s">
        <v>66</v>
      </c>
      <c r="L4" s="57" t="s">
        <v>67</v>
      </c>
      <c r="M4" s="61" t="s">
        <v>68</v>
      </c>
      <c r="N4" s="61" t="s">
        <v>69</v>
      </c>
      <c r="O4" s="61" t="s">
        <v>70</v>
      </c>
      <c r="P4" s="6"/>
    </row>
    <row r="5" spans="1:16" x14ac:dyDescent="0.25">
      <c r="A5" s="62" t="s">
        <v>7</v>
      </c>
      <c r="B5" s="62" t="s">
        <v>81</v>
      </c>
      <c r="C5" s="63" t="s">
        <v>72</v>
      </c>
      <c r="D5" s="62" t="s">
        <v>215</v>
      </c>
      <c r="E5" s="62" t="s">
        <v>238</v>
      </c>
      <c r="F5" s="62">
        <v>4.45</v>
      </c>
      <c r="G5" s="64">
        <v>667</v>
      </c>
      <c r="H5" s="65">
        <v>2968.15</v>
      </c>
      <c r="I5" s="65">
        <v>3092.5699999999997</v>
      </c>
      <c r="J5" s="65">
        <v>-124.42000000000002</v>
      </c>
      <c r="K5" s="62"/>
      <c r="L5" s="62">
        <v>5.05</v>
      </c>
      <c r="M5" s="66">
        <f t="shared" ref="M5:N68" si="0">$G5*K5</f>
        <v>0</v>
      </c>
      <c r="N5" s="66">
        <f t="shared" si="0"/>
        <v>3368.35</v>
      </c>
      <c r="O5" s="66">
        <f t="shared" ref="O5:O68" si="1">M5+N5</f>
        <v>3368.35</v>
      </c>
      <c r="P5" s="6"/>
    </row>
    <row r="6" spans="1:16" x14ac:dyDescent="0.25">
      <c r="A6" s="62"/>
      <c r="B6" s="62"/>
      <c r="C6" s="63"/>
      <c r="D6" s="62" t="s">
        <v>73</v>
      </c>
      <c r="E6" s="62" t="s">
        <v>347</v>
      </c>
      <c r="F6" s="62">
        <v>2.9499999999999997</v>
      </c>
      <c r="G6" s="64">
        <v>995</v>
      </c>
      <c r="H6" s="65">
        <v>2935.25</v>
      </c>
      <c r="I6" s="65">
        <v>4404.57</v>
      </c>
      <c r="J6" s="65">
        <v>-1469.32</v>
      </c>
      <c r="K6" s="62"/>
      <c r="L6" s="62">
        <v>3.2</v>
      </c>
      <c r="M6" s="66">
        <f t="shared" si="0"/>
        <v>0</v>
      </c>
      <c r="N6" s="66">
        <f t="shared" si="0"/>
        <v>3184</v>
      </c>
      <c r="O6" s="66">
        <f t="shared" si="1"/>
        <v>3184</v>
      </c>
      <c r="P6" s="6"/>
    </row>
    <row r="7" spans="1:16" x14ac:dyDescent="0.25">
      <c r="A7" s="62"/>
      <c r="B7" s="62"/>
      <c r="C7" s="63" t="s">
        <v>82</v>
      </c>
      <c r="D7" s="62" t="s">
        <v>83</v>
      </c>
      <c r="E7" s="62" t="s">
        <v>84</v>
      </c>
      <c r="F7" s="62">
        <v>2.98</v>
      </c>
      <c r="G7" s="64">
        <v>2890</v>
      </c>
      <c r="H7" s="65">
        <v>8612.2000000000007</v>
      </c>
      <c r="I7" s="65">
        <v>7497.1399999999994</v>
      </c>
      <c r="J7" s="65">
        <v>1115.06</v>
      </c>
      <c r="K7" s="62"/>
      <c r="L7" s="62">
        <v>3.26</v>
      </c>
      <c r="M7" s="66">
        <f t="shared" si="0"/>
        <v>0</v>
      </c>
      <c r="N7" s="66">
        <f t="shared" si="0"/>
        <v>9421.4</v>
      </c>
      <c r="O7" s="66">
        <f t="shared" si="1"/>
        <v>9421.4</v>
      </c>
      <c r="P7" s="6"/>
    </row>
    <row r="8" spans="1:16" x14ac:dyDescent="0.25">
      <c r="A8" s="62"/>
      <c r="B8" s="62"/>
      <c r="C8" s="63" t="s">
        <v>77</v>
      </c>
      <c r="D8" s="62" t="s">
        <v>215</v>
      </c>
      <c r="E8" s="62" t="s">
        <v>239</v>
      </c>
      <c r="F8" s="62">
        <v>4.3999999999999995</v>
      </c>
      <c r="G8" s="64">
        <v>1676</v>
      </c>
      <c r="H8" s="65">
        <v>7374.4</v>
      </c>
      <c r="I8" s="65">
        <v>7497.1399999999994</v>
      </c>
      <c r="J8" s="65">
        <v>-122.74000000000001</v>
      </c>
      <c r="K8" s="62"/>
      <c r="L8" s="62">
        <v>5</v>
      </c>
      <c r="M8" s="66">
        <f t="shared" si="0"/>
        <v>0</v>
      </c>
      <c r="N8" s="66">
        <f t="shared" si="0"/>
        <v>8380</v>
      </c>
      <c r="O8" s="66">
        <f t="shared" si="1"/>
        <v>8380</v>
      </c>
      <c r="P8" s="6"/>
    </row>
    <row r="9" spans="1:16" s="6" customFormat="1" x14ac:dyDescent="0.25">
      <c r="A9" s="67"/>
      <c r="B9" s="67" t="s">
        <v>85</v>
      </c>
      <c r="C9" s="68"/>
      <c r="D9" s="67"/>
      <c r="E9" s="67"/>
      <c r="F9" s="67"/>
      <c r="G9" s="69">
        <v>6228</v>
      </c>
      <c r="H9" s="70">
        <v>21890</v>
      </c>
      <c r="I9" s="70">
        <v>22491.42</v>
      </c>
      <c r="J9" s="70">
        <v>-601.42000000000007</v>
      </c>
      <c r="K9" s="67"/>
      <c r="L9" s="67"/>
      <c r="M9" s="71"/>
      <c r="N9" s="71"/>
      <c r="O9" s="71">
        <f>SUM(O5:O8)</f>
        <v>24353.75</v>
      </c>
    </row>
    <row r="10" spans="1:16" s="6" customFormat="1" x14ac:dyDescent="0.25">
      <c r="A10" s="57" t="s">
        <v>86</v>
      </c>
      <c r="B10" s="57"/>
      <c r="C10" s="58"/>
      <c r="D10" s="57"/>
      <c r="E10" s="57"/>
      <c r="F10" s="57"/>
      <c r="G10" s="59">
        <v>6228</v>
      </c>
      <c r="H10" s="60">
        <v>21890</v>
      </c>
      <c r="I10" s="60">
        <v>22491.42</v>
      </c>
      <c r="J10" s="60">
        <v>-601.42000000000007</v>
      </c>
      <c r="K10" s="57"/>
      <c r="L10" s="57"/>
      <c r="M10" s="61"/>
      <c r="N10" s="61"/>
      <c r="O10" s="61"/>
    </row>
    <row r="11" spans="1:16" x14ac:dyDescent="0.25">
      <c r="A11" s="62" t="s">
        <v>8</v>
      </c>
      <c r="B11" s="62" t="s">
        <v>71</v>
      </c>
      <c r="C11" s="63" t="s">
        <v>72</v>
      </c>
      <c r="D11" s="62" t="s">
        <v>88</v>
      </c>
      <c r="E11" s="62" t="s">
        <v>241</v>
      </c>
      <c r="F11" s="62">
        <v>3.5099999999999989</v>
      </c>
      <c r="G11" s="64">
        <v>1584</v>
      </c>
      <c r="H11" s="65">
        <v>5559.8399999999992</v>
      </c>
      <c r="I11" s="65">
        <v>3451.46</v>
      </c>
      <c r="J11" s="65">
        <v>2108.38</v>
      </c>
      <c r="K11" s="62">
        <v>6.69</v>
      </c>
      <c r="L11" s="62"/>
      <c r="M11" s="66">
        <f t="shared" si="0"/>
        <v>10596.960000000001</v>
      </c>
      <c r="N11" s="66">
        <f t="shared" si="0"/>
        <v>0</v>
      </c>
      <c r="O11" s="66">
        <f t="shared" si="1"/>
        <v>10596.960000000001</v>
      </c>
      <c r="P11" s="6"/>
    </row>
    <row r="12" spans="1:16" x14ac:dyDescent="0.25">
      <c r="A12" s="62"/>
      <c r="B12" s="62"/>
      <c r="C12" s="63"/>
      <c r="D12" s="62" t="s">
        <v>87</v>
      </c>
      <c r="E12" s="62" t="s">
        <v>348</v>
      </c>
      <c r="F12" s="62">
        <v>1.74</v>
      </c>
      <c r="G12" s="64">
        <v>470</v>
      </c>
      <c r="H12" s="65">
        <v>817.8</v>
      </c>
      <c r="I12" s="65">
        <v>1116.54</v>
      </c>
      <c r="J12" s="65">
        <v>-298.74</v>
      </c>
      <c r="K12" s="62">
        <v>3.88</v>
      </c>
      <c r="L12" s="62"/>
      <c r="M12" s="66">
        <f t="shared" si="0"/>
        <v>1823.6</v>
      </c>
      <c r="N12" s="66">
        <f t="shared" si="0"/>
        <v>0</v>
      </c>
      <c r="O12" s="66">
        <f t="shared" si="1"/>
        <v>1823.6</v>
      </c>
      <c r="P12" s="6"/>
    </row>
    <row r="13" spans="1:16" x14ac:dyDescent="0.25">
      <c r="A13" s="62"/>
      <c r="B13" s="62"/>
      <c r="C13" s="63" t="s">
        <v>82</v>
      </c>
      <c r="D13" s="62" t="s">
        <v>240</v>
      </c>
      <c r="E13" s="62" t="s">
        <v>349</v>
      </c>
      <c r="F13" s="62">
        <v>1</v>
      </c>
      <c r="G13" s="64">
        <v>1710</v>
      </c>
      <c r="H13" s="65">
        <v>1710</v>
      </c>
      <c r="I13" s="65">
        <v>2284</v>
      </c>
      <c r="J13" s="65">
        <v>-574</v>
      </c>
      <c r="K13" s="62">
        <v>3.75</v>
      </c>
      <c r="L13" s="62"/>
      <c r="M13" s="66">
        <f t="shared" si="0"/>
        <v>6412.5</v>
      </c>
      <c r="N13" s="66">
        <f t="shared" si="0"/>
        <v>0</v>
      </c>
      <c r="O13" s="66">
        <f t="shared" si="1"/>
        <v>6412.5</v>
      </c>
      <c r="P13" s="6"/>
    </row>
    <row r="14" spans="1:16" x14ac:dyDescent="0.25">
      <c r="A14" s="62"/>
      <c r="B14" s="62"/>
      <c r="C14" s="63"/>
      <c r="D14" s="62" t="s">
        <v>74</v>
      </c>
      <c r="E14" s="62" t="s">
        <v>242</v>
      </c>
      <c r="F14" s="62">
        <v>2.06</v>
      </c>
      <c r="G14" s="64">
        <v>196</v>
      </c>
      <c r="H14" s="65">
        <v>403.76</v>
      </c>
      <c r="I14" s="65">
        <v>571</v>
      </c>
      <c r="J14" s="65">
        <v>-167.24</v>
      </c>
      <c r="K14" s="62">
        <v>4.96</v>
      </c>
      <c r="L14" s="62"/>
      <c r="M14" s="66">
        <f t="shared" si="0"/>
        <v>972.16</v>
      </c>
      <c r="N14" s="66">
        <f t="shared" si="0"/>
        <v>0</v>
      </c>
      <c r="O14" s="66">
        <f t="shared" si="1"/>
        <v>972.16</v>
      </c>
      <c r="P14" s="6"/>
    </row>
    <row r="15" spans="1:16" s="6" customFormat="1" x14ac:dyDescent="0.25">
      <c r="A15" s="67"/>
      <c r="B15" s="67" t="s">
        <v>75</v>
      </c>
      <c r="C15" s="68"/>
      <c r="D15" s="67"/>
      <c r="E15" s="67"/>
      <c r="F15" s="67"/>
      <c r="G15" s="69">
        <v>3960</v>
      </c>
      <c r="H15" s="70">
        <v>8491.4</v>
      </c>
      <c r="I15" s="70">
        <v>7423</v>
      </c>
      <c r="J15" s="70">
        <v>1068.4000000000001</v>
      </c>
      <c r="K15" s="67"/>
      <c r="L15" s="67"/>
      <c r="M15" s="71"/>
      <c r="N15" s="71"/>
      <c r="O15" s="71">
        <f>SUM(O11:O14)</f>
        <v>19805.22</v>
      </c>
    </row>
    <row r="16" spans="1:16" s="6" customFormat="1" x14ac:dyDescent="0.25">
      <c r="A16" s="57" t="s">
        <v>90</v>
      </c>
      <c r="B16" s="57"/>
      <c r="C16" s="58"/>
      <c r="D16" s="57"/>
      <c r="E16" s="57"/>
      <c r="F16" s="57"/>
      <c r="G16" s="59">
        <v>3960</v>
      </c>
      <c r="H16" s="60">
        <v>8491.4</v>
      </c>
      <c r="I16" s="60">
        <v>7423</v>
      </c>
      <c r="J16" s="60">
        <v>1068.4000000000001</v>
      </c>
      <c r="K16" s="57"/>
      <c r="L16" s="57"/>
      <c r="M16" s="61"/>
      <c r="N16" s="61"/>
      <c r="O16" s="61"/>
    </row>
    <row r="17" spans="1:16" x14ac:dyDescent="0.25">
      <c r="A17" s="62" t="s">
        <v>40</v>
      </c>
      <c r="B17" s="62" t="s">
        <v>119</v>
      </c>
      <c r="C17" s="63" t="s">
        <v>91</v>
      </c>
      <c r="D17" s="62" t="s">
        <v>78</v>
      </c>
      <c r="E17" s="62" t="s">
        <v>277</v>
      </c>
      <c r="F17" s="62">
        <v>5.82</v>
      </c>
      <c r="G17" s="64">
        <v>91</v>
      </c>
      <c r="H17" s="65">
        <v>529.62</v>
      </c>
      <c r="I17" s="65">
        <v>3496</v>
      </c>
      <c r="J17" s="65">
        <v>-2966.38</v>
      </c>
      <c r="K17" s="62"/>
      <c r="L17" s="62">
        <v>6.2</v>
      </c>
      <c r="M17" s="66">
        <f t="shared" si="0"/>
        <v>0</v>
      </c>
      <c r="N17" s="66">
        <f t="shared" si="0"/>
        <v>564.20000000000005</v>
      </c>
      <c r="O17" s="66">
        <f t="shared" si="1"/>
        <v>564.20000000000005</v>
      </c>
      <c r="P17" s="6"/>
    </row>
    <row r="18" spans="1:16" x14ac:dyDescent="0.25">
      <c r="A18" s="62"/>
      <c r="B18" s="62"/>
      <c r="C18" s="63" t="s">
        <v>126</v>
      </c>
      <c r="D18" s="62" t="s">
        <v>78</v>
      </c>
      <c r="E18" s="62" t="s">
        <v>350</v>
      </c>
      <c r="F18" s="62">
        <v>3.45</v>
      </c>
      <c r="G18" s="64">
        <v>221</v>
      </c>
      <c r="H18" s="65">
        <v>762.45</v>
      </c>
      <c r="I18" s="65">
        <v>4370</v>
      </c>
      <c r="J18" s="65">
        <v>-3607.55</v>
      </c>
      <c r="K18" s="62"/>
      <c r="L18" s="62">
        <v>3.45</v>
      </c>
      <c r="M18" s="66">
        <f t="shared" si="0"/>
        <v>0</v>
      </c>
      <c r="N18" s="66">
        <f t="shared" si="0"/>
        <v>762.45</v>
      </c>
      <c r="O18" s="66">
        <f t="shared" si="1"/>
        <v>762.45</v>
      </c>
    </row>
    <row r="19" spans="1:16" s="6" customFormat="1" x14ac:dyDescent="0.25">
      <c r="A19" s="67"/>
      <c r="B19" s="67" t="s">
        <v>121</v>
      </c>
      <c r="C19" s="68"/>
      <c r="D19" s="67"/>
      <c r="E19" s="67"/>
      <c r="F19" s="67"/>
      <c r="G19" s="69">
        <v>312</v>
      </c>
      <c r="H19" s="70">
        <v>1292.07</v>
      </c>
      <c r="I19" s="70">
        <v>7866</v>
      </c>
      <c r="J19" s="70">
        <v>-6573.9299999999994</v>
      </c>
      <c r="K19" s="67"/>
      <c r="L19" s="67"/>
      <c r="M19" s="71"/>
      <c r="N19" s="71"/>
      <c r="O19" s="71">
        <f>SUM(O17:O18)</f>
        <v>1326.65</v>
      </c>
      <c r="P19"/>
    </row>
    <row r="20" spans="1:16" x14ac:dyDescent="0.25">
      <c r="A20" s="62"/>
      <c r="B20" s="62" t="s">
        <v>122</v>
      </c>
      <c r="C20" s="63" t="s">
        <v>72</v>
      </c>
      <c r="D20" s="62" t="s">
        <v>124</v>
      </c>
      <c r="E20" s="62" t="s">
        <v>243</v>
      </c>
      <c r="F20" s="62">
        <v>12.47</v>
      </c>
      <c r="G20" s="64">
        <v>19</v>
      </c>
      <c r="H20" s="65">
        <v>236.93</v>
      </c>
      <c r="I20" s="65">
        <v>0</v>
      </c>
      <c r="J20" s="65">
        <v>236.93</v>
      </c>
      <c r="K20" s="62"/>
      <c r="L20" s="62"/>
      <c r="M20" s="66">
        <f t="shared" si="0"/>
        <v>0</v>
      </c>
      <c r="N20" s="66">
        <f t="shared" si="0"/>
        <v>0</v>
      </c>
      <c r="O20" s="66">
        <f t="shared" si="1"/>
        <v>0</v>
      </c>
    </row>
    <row r="21" spans="1:16" s="6" customFormat="1" x14ac:dyDescent="0.25">
      <c r="A21" s="67"/>
      <c r="B21" s="67" t="s">
        <v>128</v>
      </c>
      <c r="C21" s="68"/>
      <c r="D21" s="67"/>
      <c r="E21" s="67"/>
      <c r="F21" s="67"/>
      <c r="G21" s="69">
        <v>19</v>
      </c>
      <c r="H21" s="70">
        <v>236.93</v>
      </c>
      <c r="I21" s="70">
        <v>0</v>
      </c>
      <c r="J21" s="70">
        <v>236.93</v>
      </c>
      <c r="K21" s="67"/>
      <c r="L21" s="67"/>
      <c r="M21" s="71"/>
      <c r="N21" s="71"/>
      <c r="O21" s="71">
        <f>SUM(O20:O20)</f>
        <v>0</v>
      </c>
      <c r="P21"/>
    </row>
    <row r="22" spans="1:16" x14ac:dyDescent="0.25">
      <c r="A22" s="62"/>
      <c r="B22" s="62" t="s">
        <v>129</v>
      </c>
      <c r="C22" s="63" t="s">
        <v>72</v>
      </c>
      <c r="D22" s="62" t="s">
        <v>124</v>
      </c>
      <c r="E22" s="62" t="s">
        <v>351</v>
      </c>
      <c r="F22" s="62">
        <v>12.47</v>
      </c>
      <c r="G22" s="64">
        <v>201</v>
      </c>
      <c r="H22" s="65">
        <v>2506.4700000000003</v>
      </c>
      <c r="I22" s="65">
        <v>1400.49</v>
      </c>
      <c r="J22" s="65">
        <v>1105.98</v>
      </c>
      <c r="K22" s="62"/>
      <c r="L22" s="62">
        <v>20.28</v>
      </c>
      <c r="M22" s="66">
        <f t="shared" si="0"/>
        <v>0</v>
      </c>
      <c r="N22" s="66">
        <f t="shared" si="0"/>
        <v>4076.28</v>
      </c>
      <c r="O22" s="66">
        <f t="shared" si="1"/>
        <v>4076.28</v>
      </c>
    </row>
    <row r="23" spans="1:16" x14ac:dyDescent="0.25">
      <c r="A23" s="62"/>
      <c r="B23" s="62"/>
      <c r="C23" s="63"/>
      <c r="D23" s="62"/>
      <c r="E23" s="62" t="s">
        <v>352</v>
      </c>
      <c r="F23" s="62">
        <v>12.47</v>
      </c>
      <c r="G23" s="64">
        <v>28</v>
      </c>
      <c r="H23" s="65">
        <v>349.15999999999997</v>
      </c>
      <c r="I23" s="65">
        <v>198.29</v>
      </c>
      <c r="J23" s="65">
        <v>150.87</v>
      </c>
      <c r="K23" s="62"/>
      <c r="L23" s="62">
        <v>20.28</v>
      </c>
      <c r="M23" s="66">
        <f t="shared" si="0"/>
        <v>0</v>
      </c>
      <c r="N23" s="66">
        <f t="shared" si="0"/>
        <v>567.84</v>
      </c>
      <c r="O23" s="66">
        <f t="shared" si="1"/>
        <v>567.84</v>
      </c>
    </row>
    <row r="24" spans="1:16" x14ac:dyDescent="0.25">
      <c r="A24" s="62"/>
      <c r="B24" s="62"/>
      <c r="C24" s="63"/>
      <c r="D24" s="62"/>
      <c r="E24" s="62" t="s">
        <v>244</v>
      </c>
      <c r="F24" s="62">
        <v>12.47</v>
      </c>
      <c r="G24" s="64">
        <v>883</v>
      </c>
      <c r="H24" s="65">
        <v>11011.009999999998</v>
      </c>
      <c r="I24" s="65">
        <v>1538.01</v>
      </c>
      <c r="J24" s="65">
        <v>9472.9999999999982</v>
      </c>
      <c r="K24" s="62"/>
      <c r="L24" s="62">
        <v>20.28</v>
      </c>
      <c r="M24" s="66">
        <f t="shared" si="0"/>
        <v>0</v>
      </c>
      <c r="N24" s="66">
        <f t="shared" si="0"/>
        <v>17907.240000000002</v>
      </c>
      <c r="O24" s="66">
        <f t="shared" si="1"/>
        <v>17907.240000000002</v>
      </c>
    </row>
    <row r="25" spans="1:16" x14ac:dyDescent="0.25">
      <c r="A25" s="62"/>
      <c r="B25" s="62"/>
      <c r="C25" s="63"/>
      <c r="D25" s="62"/>
      <c r="E25" s="62" t="s">
        <v>353</v>
      </c>
      <c r="F25" s="62">
        <v>12.47</v>
      </c>
      <c r="G25" s="64">
        <v>350</v>
      </c>
      <c r="H25" s="65">
        <v>4364.5</v>
      </c>
      <c r="I25" s="65">
        <v>2107.21</v>
      </c>
      <c r="J25" s="65">
        <v>2257.29</v>
      </c>
      <c r="K25" s="62"/>
      <c r="L25" s="62">
        <v>20.28</v>
      </c>
      <c r="M25" s="66">
        <f t="shared" si="0"/>
        <v>0</v>
      </c>
      <c r="N25" s="66">
        <f t="shared" si="0"/>
        <v>7098</v>
      </c>
      <c r="O25" s="66">
        <f t="shared" si="1"/>
        <v>7098</v>
      </c>
    </row>
    <row r="26" spans="1:16" s="6" customFormat="1" x14ac:dyDescent="0.25">
      <c r="A26" s="67"/>
      <c r="B26" s="67" t="s">
        <v>130</v>
      </c>
      <c r="C26" s="68"/>
      <c r="D26" s="67"/>
      <c r="E26" s="67"/>
      <c r="F26" s="67"/>
      <c r="G26" s="69">
        <v>1462</v>
      </c>
      <c r="H26" s="70">
        <v>18231.14</v>
      </c>
      <c r="I26" s="70">
        <v>5244</v>
      </c>
      <c r="J26" s="70">
        <v>12987.14</v>
      </c>
      <c r="K26" s="67"/>
      <c r="L26" s="67"/>
      <c r="M26" s="71"/>
      <c r="N26" s="71"/>
      <c r="O26" s="71">
        <f>SUM(O22:O25)</f>
        <v>29649.360000000001</v>
      </c>
      <c r="P26"/>
    </row>
    <row r="27" spans="1:16" s="6" customFormat="1" x14ac:dyDescent="0.25">
      <c r="A27" s="57" t="s">
        <v>245</v>
      </c>
      <c r="B27" s="57"/>
      <c r="C27" s="58"/>
      <c r="D27" s="57"/>
      <c r="E27" s="57"/>
      <c r="F27" s="57"/>
      <c r="G27" s="59">
        <v>1793</v>
      </c>
      <c r="H27" s="60">
        <v>19760.14</v>
      </c>
      <c r="I27" s="60">
        <v>13109.999999999998</v>
      </c>
      <c r="J27" s="60">
        <v>6650.1399999999994</v>
      </c>
      <c r="K27" s="57"/>
      <c r="L27" s="57"/>
      <c r="M27" s="61"/>
      <c r="N27" s="61"/>
      <c r="O27" s="61"/>
      <c r="P27"/>
    </row>
    <row r="28" spans="1:16" x14ac:dyDescent="0.25">
      <c r="A28" s="62" t="s">
        <v>9</v>
      </c>
      <c r="B28" s="62" t="s">
        <v>81</v>
      </c>
      <c r="C28" s="63" t="s">
        <v>72</v>
      </c>
      <c r="D28" s="62" t="s">
        <v>73</v>
      </c>
      <c r="E28" s="62" t="s">
        <v>354</v>
      </c>
      <c r="F28" s="62">
        <v>2.9499999999999997</v>
      </c>
      <c r="G28" s="64">
        <v>985</v>
      </c>
      <c r="H28" s="65">
        <v>2905.75</v>
      </c>
      <c r="I28" s="65">
        <v>3748.5699999999997</v>
      </c>
      <c r="J28" s="65">
        <v>-842.81999999999994</v>
      </c>
      <c r="K28" s="62"/>
      <c r="L28" s="62">
        <v>3.2</v>
      </c>
      <c r="M28" s="66">
        <f t="shared" si="0"/>
        <v>0</v>
      </c>
      <c r="N28" s="66">
        <f t="shared" si="0"/>
        <v>3152</v>
      </c>
      <c r="O28" s="66">
        <f t="shared" si="1"/>
        <v>3152</v>
      </c>
    </row>
    <row r="29" spans="1:16" x14ac:dyDescent="0.25">
      <c r="A29" s="62"/>
      <c r="B29" s="62"/>
      <c r="C29" s="63"/>
      <c r="D29" s="62"/>
      <c r="E29" s="62" t="s">
        <v>246</v>
      </c>
      <c r="F29" s="62">
        <v>4.8500000000000005</v>
      </c>
      <c r="G29" s="64">
        <v>595</v>
      </c>
      <c r="H29" s="65">
        <v>2885.75</v>
      </c>
      <c r="I29" s="65">
        <v>3748.5699999999997</v>
      </c>
      <c r="J29" s="65">
        <v>-862.81999999999994</v>
      </c>
      <c r="K29" s="62"/>
      <c r="L29" s="62">
        <v>5.0999999999999996</v>
      </c>
      <c r="M29" s="66">
        <f t="shared" si="0"/>
        <v>0</v>
      </c>
      <c r="N29" s="66">
        <f t="shared" si="0"/>
        <v>3034.5</v>
      </c>
      <c r="O29" s="66">
        <f t="shared" si="1"/>
        <v>3034.5</v>
      </c>
    </row>
    <row r="30" spans="1:16" x14ac:dyDescent="0.25">
      <c r="A30" s="62"/>
      <c r="B30" s="62"/>
      <c r="C30" s="63" t="s">
        <v>77</v>
      </c>
      <c r="D30" s="62" t="s">
        <v>73</v>
      </c>
      <c r="E30" s="62" t="s">
        <v>355</v>
      </c>
      <c r="F30" s="62">
        <v>2.850000000000001</v>
      </c>
      <c r="G30" s="64">
        <v>1353</v>
      </c>
      <c r="H30" s="65">
        <v>3856.05</v>
      </c>
      <c r="I30" s="65">
        <v>7497.1399999999994</v>
      </c>
      <c r="J30" s="65">
        <v>-3641.09</v>
      </c>
      <c r="K30" s="62"/>
      <c r="L30" s="62">
        <v>3.1</v>
      </c>
      <c r="M30" s="66">
        <f t="shared" si="0"/>
        <v>0</v>
      </c>
      <c r="N30" s="66">
        <f t="shared" si="0"/>
        <v>4194.3</v>
      </c>
      <c r="O30" s="66">
        <f t="shared" si="1"/>
        <v>4194.3</v>
      </c>
    </row>
    <row r="31" spans="1:16" s="6" customFormat="1" x14ac:dyDescent="0.25">
      <c r="A31" s="67"/>
      <c r="B31" s="67" t="s">
        <v>85</v>
      </c>
      <c r="C31" s="68"/>
      <c r="D31" s="67"/>
      <c r="E31" s="67"/>
      <c r="F31" s="67"/>
      <c r="G31" s="69">
        <v>2933</v>
      </c>
      <c r="H31" s="70">
        <v>9647.5499999999993</v>
      </c>
      <c r="I31" s="70">
        <v>14994.279999999999</v>
      </c>
      <c r="J31" s="70">
        <v>-5346.73</v>
      </c>
      <c r="K31" s="67"/>
      <c r="L31" s="67"/>
      <c r="M31" s="71"/>
      <c r="N31" s="71"/>
      <c r="O31" s="71">
        <f>SUM(O28:O30)</f>
        <v>10380.799999999999</v>
      </c>
      <c r="P31"/>
    </row>
    <row r="32" spans="1:16" s="6" customFormat="1" x14ac:dyDescent="0.25">
      <c r="A32" s="57" t="s">
        <v>92</v>
      </c>
      <c r="B32" s="57"/>
      <c r="C32" s="58"/>
      <c r="D32" s="57"/>
      <c r="E32" s="57"/>
      <c r="F32" s="57"/>
      <c r="G32" s="59">
        <v>2933</v>
      </c>
      <c r="H32" s="60">
        <v>9647.5499999999993</v>
      </c>
      <c r="I32" s="60">
        <v>14994.279999999999</v>
      </c>
      <c r="J32" s="60">
        <v>-5346.73</v>
      </c>
      <c r="K32" s="57"/>
      <c r="L32" s="57"/>
      <c r="M32" s="61"/>
      <c r="N32" s="61"/>
      <c r="O32" s="61"/>
      <c r="P32"/>
    </row>
    <row r="33" spans="1:16" x14ac:dyDescent="0.25">
      <c r="A33" s="62" t="s">
        <v>10</v>
      </c>
      <c r="B33" s="62" t="s">
        <v>93</v>
      </c>
      <c r="C33" s="63" t="s">
        <v>77</v>
      </c>
      <c r="D33" s="62" t="s">
        <v>356</v>
      </c>
      <c r="E33" s="62" t="s">
        <v>357</v>
      </c>
      <c r="F33" s="62">
        <v>2.09</v>
      </c>
      <c r="G33" s="64">
        <v>371</v>
      </c>
      <c r="H33" s="65">
        <v>775.39</v>
      </c>
      <c r="I33" s="65">
        <v>1539</v>
      </c>
      <c r="J33" s="65">
        <v>-763.61</v>
      </c>
      <c r="K33" s="62">
        <v>5</v>
      </c>
      <c r="L33" s="62"/>
      <c r="M33" s="66">
        <f t="shared" si="0"/>
        <v>1855</v>
      </c>
      <c r="N33" s="66">
        <f t="shared" si="0"/>
        <v>0</v>
      </c>
      <c r="O33" s="66">
        <f t="shared" si="1"/>
        <v>1855</v>
      </c>
    </row>
    <row r="34" spans="1:16" x14ac:dyDescent="0.25">
      <c r="A34" s="62"/>
      <c r="B34" s="62"/>
      <c r="C34" s="63"/>
      <c r="D34" s="62"/>
      <c r="E34" s="62" t="s">
        <v>358</v>
      </c>
      <c r="F34" s="62">
        <v>2.25</v>
      </c>
      <c r="G34" s="64">
        <v>270</v>
      </c>
      <c r="H34" s="65">
        <v>607.5</v>
      </c>
      <c r="I34" s="65">
        <v>513</v>
      </c>
      <c r="J34" s="65">
        <v>94.5</v>
      </c>
      <c r="K34" s="62">
        <v>4.84</v>
      </c>
      <c r="L34" s="62"/>
      <c r="M34" s="66">
        <f t="shared" si="0"/>
        <v>1306.8</v>
      </c>
      <c r="N34" s="66">
        <f t="shared" si="0"/>
        <v>0</v>
      </c>
      <c r="O34" s="66">
        <f t="shared" si="1"/>
        <v>1306.8</v>
      </c>
    </row>
    <row r="35" spans="1:16" x14ac:dyDescent="0.25">
      <c r="A35" s="62"/>
      <c r="B35" s="62"/>
      <c r="C35" s="63"/>
      <c r="D35" s="62" t="s">
        <v>78</v>
      </c>
      <c r="E35" s="62" t="s">
        <v>359</v>
      </c>
      <c r="F35" s="62">
        <v>1.96</v>
      </c>
      <c r="G35" s="64">
        <v>260</v>
      </c>
      <c r="H35" s="65">
        <v>509.6</v>
      </c>
      <c r="I35" s="65">
        <v>366.43</v>
      </c>
      <c r="J35" s="65">
        <v>143.17000000000002</v>
      </c>
      <c r="K35" s="62">
        <v>5.16</v>
      </c>
      <c r="L35" s="62"/>
      <c r="M35" s="66">
        <f t="shared" si="0"/>
        <v>1341.6000000000001</v>
      </c>
      <c r="N35" s="66">
        <f t="shared" si="0"/>
        <v>0</v>
      </c>
      <c r="O35" s="66">
        <f t="shared" si="1"/>
        <v>1341.6000000000001</v>
      </c>
    </row>
    <row r="36" spans="1:16" x14ac:dyDescent="0.25">
      <c r="A36" s="62"/>
      <c r="B36" s="62"/>
      <c r="C36" s="63"/>
      <c r="D36" s="62"/>
      <c r="E36" s="62" t="s">
        <v>218</v>
      </c>
      <c r="F36" s="62">
        <v>2.0699999999999998</v>
      </c>
      <c r="G36" s="64">
        <v>581</v>
      </c>
      <c r="H36" s="65">
        <v>1202.67</v>
      </c>
      <c r="I36" s="65">
        <v>767.17</v>
      </c>
      <c r="J36" s="65">
        <v>435.5</v>
      </c>
      <c r="K36" s="62">
        <v>9.35</v>
      </c>
      <c r="L36" s="62"/>
      <c r="M36" s="66">
        <f t="shared" si="0"/>
        <v>5432.3499999999995</v>
      </c>
      <c r="N36" s="66">
        <f t="shared" si="0"/>
        <v>0</v>
      </c>
      <c r="O36" s="66">
        <f t="shared" si="1"/>
        <v>5432.3499999999995</v>
      </c>
    </row>
    <row r="37" spans="1:16" x14ac:dyDescent="0.25">
      <c r="A37" s="62"/>
      <c r="B37" s="62"/>
      <c r="C37" s="63"/>
      <c r="D37" s="62"/>
      <c r="E37" s="62" t="s">
        <v>247</v>
      </c>
      <c r="F37" s="62">
        <v>1.35</v>
      </c>
      <c r="G37" s="64">
        <v>469</v>
      </c>
      <c r="H37" s="65">
        <v>633.15</v>
      </c>
      <c r="I37" s="65">
        <v>513</v>
      </c>
      <c r="J37" s="65">
        <v>120.14999999999998</v>
      </c>
      <c r="K37" s="62">
        <v>8.7100000000000009</v>
      </c>
      <c r="L37" s="62"/>
      <c r="M37" s="66">
        <f t="shared" si="0"/>
        <v>4084.9900000000002</v>
      </c>
      <c r="N37" s="66">
        <f t="shared" si="0"/>
        <v>0</v>
      </c>
      <c r="O37" s="66">
        <f t="shared" si="1"/>
        <v>4084.9900000000002</v>
      </c>
    </row>
    <row r="38" spans="1:16" x14ac:dyDescent="0.25">
      <c r="A38" s="62"/>
      <c r="B38" s="62"/>
      <c r="C38" s="63"/>
      <c r="D38" s="62"/>
      <c r="E38" s="62" t="s">
        <v>216</v>
      </c>
      <c r="F38" s="62">
        <v>1.34</v>
      </c>
      <c r="G38" s="64">
        <v>460</v>
      </c>
      <c r="H38" s="65">
        <v>616.4</v>
      </c>
      <c r="I38" s="65">
        <v>513</v>
      </c>
      <c r="J38" s="65">
        <v>103.39999999999998</v>
      </c>
      <c r="K38" s="62">
        <v>8.39</v>
      </c>
      <c r="L38" s="62"/>
      <c r="M38" s="66">
        <f t="shared" si="0"/>
        <v>3859.4</v>
      </c>
      <c r="N38" s="66">
        <f t="shared" si="0"/>
        <v>0</v>
      </c>
      <c r="O38" s="66">
        <f t="shared" si="1"/>
        <v>3859.4</v>
      </c>
    </row>
    <row r="39" spans="1:16" x14ac:dyDescent="0.25">
      <c r="A39" s="62"/>
      <c r="B39" s="62"/>
      <c r="C39" s="63"/>
      <c r="D39" s="62" t="s">
        <v>248</v>
      </c>
      <c r="E39" s="62" t="s">
        <v>360</v>
      </c>
      <c r="F39" s="62">
        <v>1.26</v>
      </c>
      <c r="G39" s="64">
        <v>318</v>
      </c>
      <c r="H39" s="65">
        <v>400.67999999999995</v>
      </c>
      <c r="I39" s="65">
        <v>625.26</v>
      </c>
      <c r="J39" s="65">
        <v>-224.58000000000004</v>
      </c>
      <c r="K39" s="62">
        <v>3.07</v>
      </c>
      <c r="L39" s="62"/>
      <c r="M39" s="66">
        <f t="shared" si="0"/>
        <v>976.26</v>
      </c>
      <c r="N39" s="66">
        <f t="shared" si="0"/>
        <v>0</v>
      </c>
      <c r="O39" s="66">
        <f t="shared" si="1"/>
        <v>976.26</v>
      </c>
    </row>
    <row r="40" spans="1:16" x14ac:dyDescent="0.25">
      <c r="A40" s="62"/>
      <c r="B40" s="62"/>
      <c r="C40" s="63" t="s">
        <v>91</v>
      </c>
      <c r="D40" s="62" t="s">
        <v>356</v>
      </c>
      <c r="E40" s="62" t="s">
        <v>357</v>
      </c>
      <c r="F40" s="62">
        <v>2.09</v>
      </c>
      <c r="G40" s="64">
        <v>502</v>
      </c>
      <c r="H40" s="65">
        <v>1049.18</v>
      </c>
      <c r="I40" s="65">
        <v>1116.05</v>
      </c>
      <c r="J40" s="65">
        <v>-66.869999999999962</v>
      </c>
      <c r="K40" s="62">
        <v>5</v>
      </c>
      <c r="L40" s="62"/>
      <c r="M40" s="66">
        <f t="shared" si="0"/>
        <v>2510</v>
      </c>
      <c r="N40" s="66">
        <f t="shared" si="0"/>
        <v>0</v>
      </c>
      <c r="O40" s="66">
        <f t="shared" si="1"/>
        <v>2510</v>
      </c>
    </row>
    <row r="41" spans="1:16" x14ac:dyDescent="0.25">
      <c r="A41" s="62"/>
      <c r="B41" s="62"/>
      <c r="C41" s="63"/>
      <c r="D41" s="62"/>
      <c r="E41" s="62" t="s">
        <v>358</v>
      </c>
      <c r="F41" s="62">
        <v>2.25</v>
      </c>
      <c r="G41" s="64">
        <v>232</v>
      </c>
      <c r="H41" s="65">
        <v>522</v>
      </c>
      <c r="I41" s="65">
        <v>635.80999999999995</v>
      </c>
      <c r="J41" s="65">
        <v>-113.81</v>
      </c>
      <c r="K41" s="62">
        <v>4.84</v>
      </c>
      <c r="L41" s="62"/>
      <c r="M41" s="66">
        <f t="shared" si="0"/>
        <v>1122.8799999999999</v>
      </c>
      <c r="N41" s="66">
        <f t="shared" si="0"/>
        <v>0</v>
      </c>
      <c r="O41" s="66">
        <f t="shared" si="1"/>
        <v>1122.8799999999999</v>
      </c>
    </row>
    <row r="42" spans="1:16" x14ac:dyDescent="0.25">
      <c r="A42" s="62"/>
      <c r="B42" s="62"/>
      <c r="C42" s="63"/>
      <c r="D42" s="62" t="s">
        <v>78</v>
      </c>
      <c r="E42" s="62" t="s">
        <v>255</v>
      </c>
      <c r="F42" s="62">
        <v>2.0299999999999998</v>
      </c>
      <c r="G42" s="64">
        <v>291</v>
      </c>
      <c r="H42" s="65">
        <v>590.73</v>
      </c>
      <c r="I42" s="65">
        <v>422.18</v>
      </c>
      <c r="J42" s="65">
        <v>168.55</v>
      </c>
      <c r="K42" s="62">
        <v>5.16</v>
      </c>
      <c r="L42" s="62"/>
      <c r="M42" s="66">
        <f t="shared" si="0"/>
        <v>1501.56</v>
      </c>
      <c r="N42" s="66">
        <f t="shared" si="0"/>
        <v>0</v>
      </c>
      <c r="O42" s="66">
        <f t="shared" si="1"/>
        <v>1501.56</v>
      </c>
    </row>
    <row r="43" spans="1:16" x14ac:dyDescent="0.25">
      <c r="A43" s="62"/>
      <c r="B43" s="62"/>
      <c r="C43" s="63"/>
      <c r="D43" s="62"/>
      <c r="E43" s="62" t="s">
        <v>359</v>
      </c>
      <c r="F43" s="62">
        <v>1.96</v>
      </c>
      <c r="G43" s="64">
        <v>67</v>
      </c>
      <c r="H43" s="65">
        <v>131.32</v>
      </c>
      <c r="I43" s="65">
        <v>77.94</v>
      </c>
      <c r="J43" s="65">
        <v>53.379999999999995</v>
      </c>
      <c r="K43" s="62">
        <v>5.16</v>
      </c>
      <c r="L43" s="62"/>
      <c r="M43" s="66">
        <f t="shared" si="0"/>
        <v>345.72</v>
      </c>
      <c r="N43" s="66">
        <f t="shared" si="0"/>
        <v>0</v>
      </c>
      <c r="O43" s="66">
        <f t="shared" si="1"/>
        <v>345.72</v>
      </c>
    </row>
    <row r="44" spans="1:16" x14ac:dyDescent="0.25">
      <c r="A44" s="62"/>
      <c r="B44" s="62"/>
      <c r="C44" s="63"/>
      <c r="D44" s="62"/>
      <c r="E44" s="62" t="s">
        <v>218</v>
      </c>
      <c r="F44" s="62">
        <v>2.0699999999999998</v>
      </c>
      <c r="G44" s="64">
        <v>355</v>
      </c>
      <c r="H44" s="65">
        <v>734.85</v>
      </c>
      <c r="I44" s="65">
        <v>513</v>
      </c>
      <c r="J44" s="65">
        <v>221.85000000000002</v>
      </c>
      <c r="K44" s="62">
        <v>9.35</v>
      </c>
      <c r="L44" s="62"/>
      <c r="M44" s="66">
        <f t="shared" si="0"/>
        <v>3319.25</v>
      </c>
      <c r="N44" s="66">
        <f t="shared" si="0"/>
        <v>0</v>
      </c>
      <c r="O44" s="66">
        <f t="shared" si="1"/>
        <v>3319.25</v>
      </c>
    </row>
    <row r="45" spans="1:16" x14ac:dyDescent="0.25">
      <c r="A45" s="62"/>
      <c r="B45" s="62"/>
      <c r="C45" s="63"/>
      <c r="D45" s="62"/>
      <c r="E45" s="62" t="s">
        <v>247</v>
      </c>
      <c r="F45" s="62">
        <v>1.35</v>
      </c>
      <c r="G45" s="64">
        <v>473</v>
      </c>
      <c r="H45" s="65">
        <v>638.54999999999995</v>
      </c>
      <c r="I45" s="65">
        <v>513</v>
      </c>
      <c r="J45" s="65">
        <v>125.54999999999995</v>
      </c>
      <c r="K45" s="62">
        <v>8.7100000000000009</v>
      </c>
      <c r="L45" s="62"/>
      <c r="M45" s="66">
        <f t="shared" si="0"/>
        <v>4119.8300000000008</v>
      </c>
      <c r="N45" s="66">
        <f t="shared" si="0"/>
        <v>0</v>
      </c>
      <c r="O45" s="66">
        <f t="shared" si="1"/>
        <v>4119.8300000000008</v>
      </c>
    </row>
    <row r="46" spans="1:16" x14ac:dyDescent="0.25">
      <c r="A46" s="62"/>
      <c r="B46" s="62"/>
      <c r="C46" s="63"/>
      <c r="D46" s="62"/>
      <c r="E46" s="62" t="s">
        <v>216</v>
      </c>
      <c r="F46" s="62">
        <v>1.34</v>
      </c>
      <c r="G46" s="64">
        <v>482</v>
      </c>
      <c r="H46" s="65">
        <v>645.88</v>
      </c>
      <c r="I46" s="65">
        <v>769.5</v>
      </c>
      <c r="J46" s="65">
        <v>-123.61999999999998</v>
      </c>
      <c r="K46" s="62">
        <v>8.39</v>
      </c>
      <c r="L46" s="62"/>
      <c r="M46" s="66">
        <f t="shared" si="0"/>
        <v>4043.9800000000005</v>
      </c>
      <c r="N46" s="66">
        <f t="shared" si="0"/>
        <v>0</v>
      </c>
      <c r="O46" s="66">
        <f t="shared" si="1"/>
        <v>4043.9800000000005</v>
      </c>
    </row>
    <row r="47" spans="1:16" x14ac:dyDescent="0.25">
      <c r="A47" s="62"/>
      <c r="B47" s="62"/>
      <c r="C47" s="63"/>
      <c r="D47" s="62" t="s">
        <v>248</v>
      </c>
      <c r="E47" s="62" t="s">
        <v>360</v>
      </c>
      <c r="F47" s="62">
        <v>1.26</v>
      </c>
      <c r="G47" s="64">
        <v>500</v>
      </c>
      <c r="H47" s="65">
        <v>630</v>
      </c>
      <c r="I47" s="65">
        <v>789.38</v>
      </c>
      <c r="J47" s="65">
        <v>-159.38</v>
      </c>
      <c r="K47" s="62">
        <v>3.07</v>
      </c>
      <c r="L47" s="62"/>
      <c r="M47" s="66">
        <f t="shared" si="0"/>
        <v>1535</v>
      </c>
      <c r="N47" s="66">
        <f t="shared" si="0"/>
        <v>0</v>
      </c>
      <c r="O47" s="66">
        <f t="shared" si="1"/>
        <v>1535</v>
      </c>
    </row>
    <row r="48" spans="1:16" s="6" customFormat="1" x14ac:dyDescent="0.25">
      <c r="A48" s="67"/>
      <c r="B48" s="67" t="s">
        <v>96</v>
      </c>
      <c r="C48" s="68"/>
      <c r="D48" s="67"/>
      <c r="E48" s="67"/>
      <c r="F48" s="67"/>
      <c r="G48" s="69">
        <v>5631</v>
      </c>
      <c r="H48" s="70">
        <v>9687.8999999999978</v>
      </c>
      <c r="I48" s="70">
        <v>9673.7200000000012</v>
      </c>
      <c r="J48" s="70">
        <v>14.179999999999922</v>
      </c>
      <c r="K48" s="67"/>
      <c r="L48" s="67"/>
      <c r="M48" s="71"/>
      <c r="N48" s="71"/>
      <c r="O48" s="71">
        <f>SUM(O33:O47)</f>
        <v>37354.620000000003</v>
      </c>
      <c r="P48"/>
    </row>
    <row r="49" spans="1:15" x14ac:dyDescent="0.25">
      <c r="A49" s="62"/>
      <c r="B49" s="62" t="s">
        <v>97</v>
      </c>
      <c r="C49" s="63" t="s">
        <v>72</v>
      </c>
      <c r="D49" s="62" t="s">
        <v>78</v>
      </c>
      <c r="E49" s="62" t="s">
        <v>253</v>
      </c>
      <c r="F49" s="62">
        <v>0.28999999999999998</v>
      </c>
      <c r="G49" s="64">
        <v>350</v>
      </c>
      <c r="H49" s="65">
        <v>101.5</v>
      </c>
      <c r="I49" s="65">
        <v>513</v>
      </c>
      <c r="J49" s="65">
        <v>-411.5</v>
      </c>
      <c r="K49" s="62">
        <v>1.18</v>
      </c>
      <c r="L49" s="62"/>
      <c r="M49" s="66">
        <f t="shared" si="0"/>
        <v>413</v>
      </c>
      <c r="N49" s="66">
        <f t="shared" si="0"/>
        <v>0</v>
      </c>
      <c r="O49" s="66">
        <f t="shared" si="1"/>
        <v>413</v>
      </c>
    </row>
    <row r="50" spans="1:15" x14ac:dyDescent="0.25">
      <c r="A50" s="62"/>
      <c r="B50" s="62"/>
      <c r="C50" s="63"/>
      <c r="D50" s="62"/>
      <c r="E50" s="62" t="s">
        <v>361</v>
      </c>
      <c r="F50" s="62">
        <v>0.28999999999999998</v>
      </c>
      <c r="G50" s="64">
        <v>837</v>
      </c>
      <c r="H50" s="65">
        <v>242.73000000000002</v>
      </c>
      <c r="I50" s="65">
        <v>373.27</v>
      </c>
      <c r="J50" s="65">
        <v>-130.54</v>
      </c>
      <c r="K50" s="62">
        <v>1.42</v>
      </c>
      <c r="L50" s="62"/>
      <c r="M50" s="66">
        <f t="shared" si="0"/>
        <v>1188.54</v>
      </c>
      <c r="N50" s="66">
        <f t="shared" si="0"/>
        <v>0</v>
      </c>
      <c r="O50" s="66">
        <f t="shared" si="1"/>
        <v>1188.54</v>
      </c>
    </row>
    <row r="51" spans="1:15" x14ac:dyDescent="0.25">
      <c r="A51" s="62"/>
      <c r="B51" s="62"/>
      <c r="C51" s="63"/>
      <c r="D51" s="62"/>
      <c r="E51" s="62" t="s">
        <v>362</v>
      </c>
      <c r="F51" s="62">
        <v>0.28999999999999998</v>
      </c>
      <c r="G51" s="64">
        <v>650</v>
      </c>
      <c r="H51" s="65">
        <v>188.5</v>
      </c>
      <c r="I51" s="65">
        <v>513</v>
      </c>
      <c r="J51" s="65">
        <v>-324.5</v>
      </c>
      <c r="K51" s="62">
        <v>1.45</v>
      </c>
      <c r="L51" s="62"/>
      <c r="M51" s="66">
        <f t="shared" si="0"/>
        <v>942.5</v>
      </c>
      <c r="N51" s="66">
        <f t="shared" si="0"/>
        <v>0</v>
      </c>
      <c r="O51" s="66">
        <f t="shared" si="1"/>
        <v>942.5</v>
      </c>
    </row>
    <row r="52" spans="1:15" x14ac:dyDescent="0.25">
      <c r="A52" s="62"/>
      <c r="B52" s="62"/>
      <c r="C52" s="63"/>
      <c r="D52" s="62"/>
      <c r="E52" s="62" t="s">
        <v>363</v>
      </c>
      <c r="F52" s="62">
        <v>0.28999999999999998</v>
      </c>
      <c r="G52" s="64">
        <v>4070</v>
      </c>
      <c r="H52" s="65">
        <v>1180.3</v>
      </c>
      <c r="I52" s="65">
        <v>2931.4300000000003</v>
      </c>
      <c r="J52" s="65">
        <v>-1751.13</v>
      </c>
      <c r="K52" s="62">
        <v>1.3</v>
      </c>
      <c r="L52" s="62"/>
      <c r="M52" s="66">
        <f t="shared" si="0"/>
        <v>5291</v>
      </c>
      <c r="N52" s="66">
        <f t="shared" si="0"/>
        <v>0</v>
      </c>
      <c r="O52" s="66">
        <f t="shared" si="1"/>
        <v>5291</v>
      </c>
    </row>
    <row r="53" spans="1:15" x14ac:dyDescent="0.25">
      <c r="A53" s="62"/>
      <c r="B53" s="62"/>
      <c r="C53" s="63"/>
      <c r="D53" s="62"/>
      <c r="E53" s="62" t="s">
        <v>364</v>
      </c>
      <c r="F53" s="62">
        <v>0.28999999999999998</v>
      </c>
      <c r="G53" s="64">
        <v>2620</v>
      </c>
      <c r="H53" s="65">
        <v>759.8</v>
      </c>
      <c r="I53" s="65">
        <v>1010.32</v>
      </c>
      <c r="J53" s="65">
        <v>-250.52000000000004</v>
      </c>
      <c r="K53" s="62">
        <v>1.18</v>
      </c>
      <c r="L53" s="62"/>
      <c r="M53" s="66">
        <f t="shared" si="0"/>
        <v>3091.6</v>
      </c>
      <c r="N53" s="66">
        <f t="shared" si="0"/>
        <v>0</v>
      </c>
      <c r="O53" s="66">
        <f t="shared" si="1"/>
        <v>3091.6</v>
      </c>
    </row>
    <row r="54" spans="1:15" x14ac:dyDescent="0.25">
      <c r="A54" s="62"/>
      <c r="B54" s="62"/>
      <c r="C54" s="63"/>
      <c r="D54" s="62"/>
      <c r="E54" s="62" t="s">
        <v>251</v>
      </c>
      <c r="F54" s="62">
        <v>0.28999999999999998</v>
      </c>
      <c r="G54" s="64">
        <v>20</v>
      </c>
      <c r="H54" s="65">
        <v>5.8</v>
      </c>
      <c r="I54" s="65">
        <v>8.84</v>
      </c>
      <c r="J54" s="65">
        <v>-3.04</v>
      </c>
      <c r="K54" s="62">
        <v>1.3</v>
      </c>
      <c r="L54" s="62"/>
      <c r="M54" s="66">
        <f t="shared" si="0"/>
        <v>26</v>
      </c>
      <c r="N54" s="66">
        <f t="shared" si="0"/>
        <v>0</v>
      </c>
      <c r="O54" s="66">
        <f t="shared" si="1"/>
        <v>26</v>
      </c>
    </row>
    <row r="55" spans="1:15" x14ac:dyDescent="0.25">
      <c r="A55" s="62"/>
      <c r="B55" s="62"/>
      <c r="C55" s="63" t="s">
        <v>99</v>
      </c>
      <c r="D55" s="62" t="s">
        <v>78</v>
      </c>
      <c r="E55" s="62" t="s">
        <v>361</v>
      </c>
      <c r="F55" s="62">
        <v>0.28999999999999998</v>
      </c>
      <c r="G55" s="64">
        <v>1070</v>
      </c>
      <c r="H55" s="65">
        <v>310.3</v>
      </c>
      <c r="I55" s="65">
        <v>513</v>
      </c>
      <c r="J55" s="65">
        <v>-202.7</v>
      </c>
      <c r="K55" s="62">
        <v>1.42</v>
      </c>
      <c r="L55" s="62"/>
      <c r="M55" s="66">
        <f t="shared" si="0"/>
        <v>1519.3999999999999</v>
      </c>
      <c r="N55" s="66">
        <f t="shared" si="0"/>
        <v>0</v>
      </c>
      <c r="O55" s="66">
        <f t="shared" si="1"/>
        <v>1519.3999999999999</v>
      </c>
    </row>
    <row r="56" spans="1:15" x14ac:dyDescent="0.25">
      <c r="A56" s="62"/>
      <c r="B56" s="62"/>
      <c r="C56" s="63" t="s">
        <v>82</v>
      </c>
      <c r="D56" s="62" t="s">
        <v>78</v>
      </c>
      <c r="E56" s="62" t="s">
        <v>253</v>
      </c>
      <c r="F56" s="62">
        <v>0.28999999999999998</v>
      </c>
      <c r="G56" s="64">
        <v>414</v>
      </c>
      <c r="H56" s="65">
        <v>120.06</v>
      </c>
      <c r="I56" s="65">
        <v>513</v>
      </c>
      <c r="J56" s="65">
        <v>-392.94</v>
      </c>
      <c r="K56" s="62">
        <v>1.18</v>
      </c>
      <c r="L56" s="62"/>
      <c r="M56" s="66">
        <f t="shared" si="0"/>
        <v>488.52</v>
      </c>
      <c r="N56" s="66">
        <f t="shared" si="0"/>
        <v>0</v>
      </c>
      <c r="O56" s="66">
        <f t="shared" si="1"/>
        <v>488.52</v>
      </c>
    </row>
    <row r="57" spans="1:15" x14ac:dyDescent="0.25">
      <c r="A57" s="62"/>
      <c r="B57" s="62"/>
      <c r="C57" s="63"/>
      <c r="D57" s="62"/>
      <c r="E57" s="62" t="s">
        <v>361</v>
      </c>
      <c r="F57" s="62">
        <v>0.28999999999999998</v>
      </c>
      <c r="G57" s="64">
        <v>297</v>
      </c>
      <c r="H57" s="65">
        <v>86.13</v>
      </c>
      <c r="I57" s="65">
        <v>879.43000000000006</v>
      </c>
      <c r="J57" s="65">
        <v>-793.3</v>
      </c>
      <c r="K57" s="62">
        <v>1.42</v>
      </c>
      <c r="L57" s="62"/>
      <c r="M57" s="66">
        <f t="shared" si="0"/>
        <v>421.73999999999995</v>
      </c>
      <c r="N57" s="66">
        <f t="shared" si="0"/>
        <v>0</v>
      </c>
      <c r="O57" s="66">
        <f t="shared" si="1"/>
        <v>421.73999999999995</v>
      </c>
    </row>
    <row r="58" spans="1:15" x14ac:dyDescent="0.25">
      <c r="A58" s="62"/>
      <c r="B58" s="62"/>
      <c r="C58" s="63"/>
      <c r="D58" s="62"/>
      <c r="E58" s="62" t="s">
        <v>362</v>
      </c>
      <c r="F58" s="62">
        <v>0.28999999999999998</v>
      </c>
      <c r="G58" s="64">
        <v>1180</v>
      </c>
      <c r="H58" s="65">
        <v>342.2</v>
      </c>
      <c r="I58" s="65">
        <v>846</v>
      </c>
      <c r="J58" s="65">
        <v>-503.8</v>
      </c>
      <c r="K58" s="62">
        <v>1.45</v>
      </c>
      <c r="L58" s="62"/>
      <c r="M58" s="66">
        <f t="shared" si="0"/>
        <v>1711</v>
      </c>
      <c r="N58" s="66">
        <f t="shared" si="0"/>
        <v>0</v>
      </c>
      <c r="O58" s="66">
        <f t="shared" si="1"/>
        <v>1711</v>
      </c>
    </row>
    <row r="59" spans="1:15" x14ac:dyDescent="0.25">
      <c r="A59" s="62"/>
      <c r="B59" s="62"/>
      <c r="C59" s="63"/>
      <c r="D59" s="62"/>
      <c r="E59" s="62" t="s">
        <v>363</v>
      </c>
      <c r="F59" s="62">
        <v>0.28999999999999998</v>
      </c>
      <c r="G59" s="64">
        <v>2940</v>
      </c>
      <c r="H59" s="65">
        <v>852.6</v>
      </c>
      <c r="I59" s="65">
        <v>2085.4300000000003</v>
      </c>
      <c r="J59" s="65">
        <v>-1232.83</v>
      </c>
      <c r="K59" s="62">
        <v>1.3</v>
      </c>
      <c r="L59" s="62"/>
      <c r="M59" s="66">
        <f t="shared" si="0"/>
        <v>3822</v>
      </c>
      <c r="N59" s="66">
        <f t="shared" si="0"/>
        <v>0</v>
      </c>
      <c r="O59" s="66">
        <f t="shared" si="1"/>
        <v>3822</v>
      </c>
    </row>
    <row r="60" spans="1:15" x14ac:dyDescent="0.25">
      <c r="A60" s="62"/>
      <c r="B60" s="62"/>
      <c r="C60" s="63"/>
      <c r="D60" s="62"/>
      <c r="E60" s="62" t="s">
        <v>364</v>
      </c>
      <c r="F60" s="62">
        <v>0.28999999999999998</v>
      </c>
      <c r="G60" s="64">
        <v>2420</v>
      </c>
      <c r="H60" s="65">
        <v>701.8</v>
      </c>
      <c r="I60" s="65">
        <v>1026</v>
      </c>
      <c r="J60" s="65">
        <v>-324.2</v>
      </c>
      <c r="K60" s="62">
        <v>1.18</v>
      </c>
      <c r="L60" s="62"/>
      <c r="M60" s="66">
        <f t="shared" si="0"/>
        <v>2855.6</v>
      </c>
      <c r="N60" s="66">
        <f t="shared" si="0"/>
        <v>0</v>
      </c>
      <c r="O60" s="66">
        <f t="shared" si="1"/>
        <v>2855.6</v>
      </c>
    </row>
    <row r="61" spans="1:15" x14ac:dyDescent="0.25">
      <c r="A61" s="62"/>
      <c r="B61" s="62"/>
      <c r="C61" s="63" t="s">
        <v>77</v>
      </c>
      <c r="D61" s="62" t="s">
        <v>78</v>
      </c>
      <c r="E61" s="62" t="s">
        <v>361</v>
      </c>
      <c r="F61" s="62">
        <v>0.28999999999999998</v>
      </c>
      <c r="G61" s="64">
        <v>960</v>
      </c>
      <c r="H61" s="65">
        <v>278.39999999999998</v>
      </c>
      <c r="I61" s="65">
        <v>393.98</v>
      </c>
      <c r="J61" s="65">
        <v>-115.58000000000004</v>
      </c>
      <c r="K61" s="62">
        <v>1.42</v>
      </c>
      <c r="L61" s="62"/>
      <c r="M61" s="66">
        <f t="shared" si="0"/>
        <v>1363.1999999999998</v>
      </c>
      <c r="N61" s="66">
        <f t="shared" si="0"/>
        <v>0</v>
      </c>
      <c r="O61" s="66">
        <f t="shared" si="1"/>
        <v>1363.1999999999998</v>
      </c>
    </row>
    <row r="62" spans="1:15" x14ac:dyDescent="0.25">
      <c r="A62" s="62"/>
      <c r="B62" s="62"/>
      <c r="C62" s="63"/>
      <c r="D62" s="62"/>
      <c r="E62" s="62" t="s">
        <v>251</v>
      </c>
      <c r="F62" s="62">
        <v>0.28999999999999998</v>
      </c>
      <c r="G62" s="64">
        <v>290</v>
      </c>
      <c r="H62" s="65">
        <v>84.1</v>
      </c>
      <c r="I62" s="65">
        <v>119.02</v>
      </c>
      <c r="J62" s="65">
        <v>-34.92</v>
      </c>
      <c r="K62" s="62">
        <v>1.3</v>
      </c>
      <c r="L62" s="62"/>
      <c r="M62" s="66">
        <f t="shared" si="0"/>
        <v>377</v>
      </c>
      <c r="N62" s="66">
        <f t="shared" si="0"/>
        <v>0</v>
      </c>
      <c r="O62" s="66">
        <f t="shared" si="1"/>
        <v>377</v>
      </c>
    </row>
    <row r="63" spans="1:15" x14ac:dyDescent="0.25">
      <c r="A63" s="62"/>
      <c r="B63" s="62"/>
      <c r="C63" s="63" t="s">
        <v>126</v>
      </c>
      <c r="D63" s="62" t="s">
        <v>78</v>
      </c>
      <c r="E63" s="62" t="s">
        <v>365</v>
      </c>
      <c r="F63" s="62">
        <v>0.28999999999999998</v>
      </c>
      <c r="G63" s="64">
        <v>2790</v>
      </c>
      <c r="H63" s="65">
        <v>809.1</v>
      </c>
      <c r="I63" s="65">
        <v>1351.63</v>
      </c>
      <c r="J63" s="65">
        <v>-542.53</v>
      </c>
      <c r="K63" s="62">
        <v>1.18</v>
      </c>
      <c r="L63" s="62"/>
      <c r="M63" s="66">
        <f t="shared" si="0"/>
        <v>3292.2</v>
      </c>
      <c r="N63" s="66">
        <f t="shared" si="0"/>
        <v>0</v>
      </c>
      <c r="O63" s="66">
        <f t="shared" si="1"/>
        <v>3292.2</v>
      </c>
    </row>
    <row r="64" spans="1:15" x14ac:dyDescent="0.25">
      <c r="A64" s="62"/>
      <c r="B64" s="62"/>
      <c r="C64" s="63"/>
      <c r="D64" s="62"/>
      <c r="E64" s="62" t="s">
        <v>253</v>
      </c>
      <c r="F64" s="62">
        <v>0.28999999999999998</v>
      </c>
      <c r="G64" s="64">
        <v>2020</v>
      </c>
      <c r="H64" s="65">
        <v>585.79999999999995</v>
      </c>
      <c r="I64" s="65">
        <v>1034.24</v>
      </c>
      <c r="J64" s="65">
        <v>-448.44</v>
      </c>
      <c r="K64" s="62">
        <v>1.18</v>
      </c>
      <c r="L64" s="62"/>
      <c r="M64" s="66">
        <f t="shared" si="0"/>
        <v>2383.6</v>
      </c>
      <c r="N64" s="66">
        <f t="shared" si="0"/>
        <v>0</v>
      </c>
      <c r="O64" s="66">
        <f t="shared" si="1"/>
        <v>2383.6</v>
      </c>
    </row>
    <row r="65" spans="1:15" x14ac:dyDescent="0.25">
      <c r="A65" s="62"/>
      <c r="B65" s="62"/>
      <c r="C65" s="63"/>
      <c r="D65" s="62"/>
      <c r="E65" s="62" t="s">
        <v>366</v>
      </c>
      <c r="F65" s="62">
        <v>0.28999999999999998</v>
      </c>
      <c r="G65" s="64">
        <v>1810</v>
      </c>
      <c r="H65" s="65">
        <v>524.9</v>
      </c>
      <c r="I65" s="65">
        <v>1058.56</v>
      </c>
      <c r="J65" s="65">
        <v>-533.66</v>
      </c>
      <c r="K65" s="62">
        <v>1.42</v>
      </c>
      <c r="L65" s="62"/>
      <c r="M65" s="66">
        <f t="shared" si="0"/>
        <v>2570.1999999999998</v>
      </c>
      <c r="N65" s="66">
        <f t="shared" si="0"/>
        <v>0</v>
      </c>
      <c r="O65" s="66">
        <f t="shared" si="1"/>
        <v>2570.1999999999998</v>
      </c>
    </row>
    <row r="66" spans="1:15" x14ac:dyDescent="0.25">
      <c r="A66" s="62"/>
      <c r="B66" s="62"/>
      <c r="C66" s="63"/>
      <c r="D66" s="62"/>
      <c r="E66" s="62" t="s">
        <v>367</v>
      </c>
      <c r="F66" s="62">
        <v>0.28999999999999998</v>
      </c>
      <c r="G66" s="64">
        <v>744</v>
      </c>
      <c r="H66" s="65">
        <v>215.76</v>
      </c>
      <c r="I66" s="65">
        <v>366.43</v>
      </c>
      <c r="J66" s="65">
        <v>-150.67000000000002</v>
      </c>
      <c r="K66" s="62">
        <v>1.42</v>
      </c>
      <c r="L66" s="62"/>
      <c r="M66" s="66">
        <f t="shared" si="0"/>
        <v>1056.48</v>
      </c>
      <c r="N66" s="66">
        <f t="shared" si="0"/>
        <v>0</v>
      </c>
      <c r="O66" s="66">
        <f t="shared" si="1"/>
        <v>1056.48</v>
      </c>
    </row>
    <row r="67" spans="1:15" x14ac:dyDescent="0.25">
      <c r="A67" s="62"/>
      <c r="B67" s="62"/>
      <c r="C67" s="63"/>
      <c r="D67" s="62"/>
      <c r="E67" s="62" t="s">
        <v>368</v>
      </c>
      <c r="F67" s="62">
        <v>0.28999999999999998</v>
      </c>
      <c r="G67" s="64">
        <v>1815</v>
      </c>
      <c r="H67" s="65">
        <v>526.34999999999991</v>
      </c>
      <c r="I67" s="65">
        <v>1026</v>
      </c>
      <c r="J67" s="65">
        <v>-499.65000000000003</v>
      </c>
      <c r="K67" s="62">
        <v>1.42</v>
      </c>
      <c r="L67" s="62"/>
      <c r="M67" s="66">
        <f t="shared" si="0"/>
        <v>2577.2999999999997</v>
      </c>
      <c r="N67" s="66">
        <f t="shared" si="0"/>
        <v>0</v>
      </c>
      <c r="O67" s="66">
        <f t="shared" si="1"/>
        <v>2577.2999999999997</v>
      </c>
    </row>
    <row r="68" spans="1:15" x14ac:dyDescent="0.25">
      <c r="A68" s="62"/>
      <c r="B68" s="62"/>
      <c r="C68" s="63" t="s">
        <v>127</v>
      </c>
      <c r="D68" s="62" t="s">
        <v>78</v>
      </c>
      <c r="E68" s="62" t="s">
        <v>365</v>
      </c>
      <c r="F68" s="62">
        <v>0.28999999999999998</v>
      </c>
      <c r="G68" s="64">
        <v>2810</v>
      </c>
      <c r="H68" s="65">
        <v>814.9</v>
      </c>
      <c r="I68" s="65">
        <v>1195.42</v>
      </c>
      <c r="J68" s="65">
        <v>-380.52</v>
      </c>
      <c r="K68" s="62">
        <v>1.18</v>
      </c>
      <c r="L68" s="62"/>
      <c r="M68" s="66">
        <f t="shared" si="0"/>
        <v>3315.7999999999997</v>
      </c>
      <c r="N68" s="66">
        <f t="shared" si="0"/>
        <v>0</v>
      </c>
      <c r="O68" s="66">
        <f t="shared" si="1"/>
        <v>3315.7999999999997</v>
      </c>
    </row>
    <row r="69" spans="1:15" x14ac:dyDescent="0.25">
      <c r="A69" s="62"/>
      <c r="B69" s="62"/>
      <c r="C69" s="63"/>
      <c r="D69" s="62"/>
      <c r="E69" s="62" t="s">
        <v>253</v>
      </c>
      <c r="F69" s="62">
        <v>0.28999999999999998</v>
      </c>
      <c r="G69" s="64">
        <v>1580</v>
      </c>
      <c r="H69" s="65">
        <v>458.20000000000005</v>
      </c>
      <c r="I69" s="65">
        <v>663.43000000000006</v>
      </c>
      <c r="J69" s="65">
        <v>-205.23</v>
      </c>
      <c r="K69" s="62">
        <v>1.18</v>
      </c>
      <c r="L69" s="62"/>
      <c r="M69" s="66">
        <f t="shared" ref="M69:N132" si="2">$G69*K69</f>
        <v>1864.3999999999999</v>
      </c>
      <c r="N69" s="66">
        <f t="shared" si="2"/>
        <v>0</v>
      </c>
      <c r="O69" s="66">
        <f t="shared" ref="O69:O132" si="3">M69+N69</f>
        <v>1864.3999999999999</v>
      </c>
    </row>
    <row r="70" spans="1:15" x14ac:dyDescent="0.25">
      <c r="A70" s="62"/>
      <c r="B70" s="62"/>
      <c r="C70" s="63"/>
      <c r="D70" s="62"/>
      <c r="E70" s="62" t="s">
        <v>366</v>
      </c>
      <c r="F70" s="62">
        <v>0.28999999999999998</v>
      </c>
      <c r="G70" s="64">
        <v>3467</v>
      </c>
      <c r="H70" s="65">
        <v>1005.4300000000001</v>
      </c>
      <c r="I70" s="65">
        <v>1736.01</v>
      </c>
      <c r="J70" s="65">
        <v>-730.57999999999993</v>
      </c>
      <c r="K70" s="62">
        <v>1.42</v>
      </c>
      <c r="L70" s="62"/>
      <c r="M70" s="66">
        <f t="shared" si="2"/>
        <v>4923.1399999999994</v>
      </c>
      <c r="N70" s="66">
        <f t="shared" si="2"/>
        <v>0</v>
      </c>
      <c r="O70" s="66">
        <f t="shared" si="3"/>
        <v>4923.1399999999994</v>
      </c>
    </row>
    <row r="71" spans="1:15" x14ac:dyDescent="0.25">
      <c r="A71" s="62"/>
      <c r="B71" s="62"/>
      <c r="C71" s="63"/>
      <c r="D71" s="62"/>
      <c r="E71" s="62" t="s">
        <v>368</v>
      </c>
      <c r="F71" s="62">
        <v>0.28999999999999998</v>
      </c>
      <c r="G71" s="64">
        <v>2300</v>
      </c>
      <c r="H71" s="65">
        <v>667</v>
      </c>
      <c r="I71" s="65">
        <v>1242</v>
      </c>
      <c r="J71" s="65">
        <v>-575</v>
      </c>
      <c r="K71" s="62">
        <v>1.42</v>
      </c>
      <c r="L71" s="62"/>
      <c r="M71" s="66">
        <f t="shared" si="2"/>
        <v>3266</v>
      </c>
      <c r="N71" s="66">
        <f t="shared" si="2"/>
        <v>0</v>
      </c>
      <c r="O71" s="66">
        <f t="shared" si="3"/>
        <v>3266</v>
      </c>
    </row>
    <row r="72" spans="1:15" x14ac:dyDescent="0.25">
      <c r="A72" s="62"/>
      <c r="B72" s="62"/>
      <c r="C72" s="63" t="s">
        <v>94</v>
      </c>
      <c r="D72" s="62" t="s">
        <v>78</v>
      </c>
      <c r="E72" s="62" t="s">
        <v>257</v>
      </c>
      <c r="F72" s="62">
        <v>0.28999999999999998</v>
      </c>
      <c r="G72" s="64">
        <v>15</v>
      </c>
      <c r="H72" s="65">
        <v>4.3499999999999996</v>
      </c>
      <c r="I72" s="65">
        <v>6.69</v>
      </c>
      <c r="J72" s="65">
        <v>-2.3400000000000007</v>
      </c>
      <c r="K72" s="62">
        <v>1.18</v>
      </c>
      <c r="L72" s="62"/>
      <c r="M72" s="66">
        <f t="shared" si="2"/>
        <v>17.7</v>
      </c>
      <c r="N72" s="66">
        <f t="shared" si="2"/>
        <v>0</v>
      </c>
      <c r="O72" s="66">
        <f t="shared" si="3"/>
        <v>17.7</v>
      </c>
    </row>
    <row r="73" spans="1:15" x14ac:dyDescent="0.25">
      <c r="A73" s="62"/>
      <c r="B73" s="62"/>
      <c r="C73" s="63"/>
      <c r="D73" s="62"/>
      <c r="E73" s="62" t="s">
        <v>361</v>
      </c>
      <c r="F73" s="62">
        <v>0.28999999999999998</v>
      </c>
      <c r="G73" s="64">
        <v>1090</v>
      </c>
      <c r="H73" s="65">
        <v>316.10000000000002</v>
      </c>
      <c r="I73" s="65">
        <v>366.43</v>
      </c>
      <c r="J73" s="65">
        <v>-50.329999999999984</v>
      </c>
      <c r="K73" s="62">
        <v>1.42</v>
      </c>
      <c r="L73" s="62"/>
      <c r="M73" s="66">
        <f t="shared" si="2"/>
        <v>1547.8</v>
      </c>
      <c r="N73" s="66">
        <f t="shared" si="2"/>
        <v>0</v>
      </c>
      <c r="O73" s="66">
        <f t="shared" si="3"/>
        <v>1547.8</v>
      </c>
    </row>
    <row r="74" spans="1:15" x14ac:dyDescent="0.25">
      <c r="A74" s="62"/>
      <c r="B74" s="62"/>
      <c r="C74" s="63"/>
      <c r="D74" s="62"/>
      <c r="E74" s="62" t="s">
        <v>369</v>
      </c>
      <c r="F74" s="62">
        <v>0.28999999999999998</v>
      </c>
      <c r="G74" s="64">
        <v>3585</v>
      </c>
      <c r="H74" s="65">
        <v>1039.6500000000001</v>
      </c>
      <c r="I74" s="65">
        <v>1532.31</v>
      </c>
      <c r="J74" s="65">
        <v>-492.66</v>
      </c>
      <c r="K74" s="62">
        <v>1.18</v>
      </c>
      <c r="L74" s="62"/>
      <c r="M74" s="66">
        <f t="shared" si="2"/>
        <v>4230.3</v>
      </c>
      <c r="N74" s="66">
        <f t="shared" si="2"/>
        <v>0</v>
      </c>
      <c r="O74" s="66">
        <f t="shared" si="3"/>
        <v>4230.3</v>
      </c>
    </row>
    <row r="75" spans="1:15" x14ac:dyDescent="0.25">
      <c r="A75" s="62"/>
      <c r="B75" s="62"/>
      <c r="C75" s="63"/>
      <c r="D75" s="62" t="s">
        <v>74</v>
      </c>
      <c r="E75" s="62" t="s">
        <v>217</v>
      </c>
      <c r="F75" s="62">
        <v>0.91</v>
      </c>
      <c r="G75" s="64">
        <v>479</v>
      </c>
      <c r="H75" s="65">
        <v>435.89</v>
      </c>
      <c r="I75" s="65">
        <v>813.96</v>
      </c>
      <c r="J75" s="65">
        <v>-378.07000000000005</v>
      </c>
      <c r="K75" s="62">
        <v>1.79</v>
      </c>
      <c r="L75" s="62"/>
      <c r="M75" s="66">
        <f t="shared" si="2"/>
        <v>857.41</v>
      </c>
      <c r="N75" s="66">
        <f t="shared" si="2"/>
        <v>0</v>
      </c>
      <c r="O75" s="66">
        <f t="shared" si="3"/>
        <v>857.41</v>
      </c>
    </row>
    <row r="76" spans="1:15" x14ac:dyDescent="0.25">
      <c r="A76" s="62"/>
      <c r="B76" s="62"/>
      <c r="C76" s="63"/>
      <c r="D76" s="62"/>
      <c r="E76" s="62" t="s">
        <v>254</v>
      </c>
      <c r="F76" s="62">
        <v>0.91</v>
      </c>
      <c r="G76" s="64">
        <v>829</v>
      </c>
      <c r="H76" s="65">
        <v>754.3900000000001</v>
      </c>
      <c r="I76" s="65">
        <v>2117.4700000000003</v>
      </c>
      <c r="J76" s="65">
        <v>-1363.08</v>
      </c>
      <c r="K76" s="62">
        <v>1.79</v>
      </c>
      <c r="L76" s="62"/>
      <c r="M76" s="66">
        <f t="shared" si="2"/>
        <v>1483.91</v>
      </c>
      <c r="N76" s="66">
        <f t="shared" si="2"/>
        <v>0</v>
      </c>
      <c r="O76" s="66">
        <f t="shared" si="3"/>
        <v>1483.91</v>
      </c>
    </row>
    <row r="77" spans="1:15" x14ac:dyDescent="0.25">
      <c r="A77" s="62"/>
      <c r="B77" s="62"/>
      <c r="C77" s="63" t="s">
        <v>95</v>
      </c>
      <c r="D77" s="62" t="s">
        <v>78</v>
      </c>
      <c r="E77" s="62" t="s">
        <v>361</v>
      </c>
      <c r="F77" s="62">
        <v>0.28999999999999998</v>
      </c>
      <c r="G77" s="64">
        <v>19</v>
      </c>
      <c r="H77" s="65">
        <v>5.51</v>
      </c>
      <c r="I77" s="65">
        <v>9.9499999999999993</v>
      </c>
      <c r="J77" s="65">
        <v>-4.4399999999999995</v>
      </c>
      <c r="K77" s="62">
        <v>1.42</v>
      </c>
      <c r="L77" s="62"/>
      <c r="M77" s="66">
        <f t="shared" si="2"/>
        <v>26.979999999999997</v>
      </c>
      <c r="N77" s="66">
        <f t="shared" si="2"/>
        <v>0</v>
      </c>
      <c r="O77" s="66">
        <f t="shared" si="3"/>
        <v>26.979999999999997</v>
      </c>
    </row>
    <row r="78" spans="1:15" x14ac:dyDescent="0.25">
      <c r="A78" s="62"/>
      <c r="B78" s="62"/>
      <c r="C78" s="63"/>
      <c r="D78" s="62"/>
      <c r="E78" s="62" t="s">
        <v>367</v>
      </c>
      <c r="F78" s="62">
        <v>0.28999999999999998</v>
      </c>
      <c r="G78" s="64">
        <v>890</v>
      </c>
      <c r="H78" s="65">
        <v>258.10000000000002</v>
      </c>
      <c r="I78" s="65">
        <v>513</v>
      </c>
      <c r="J78" s="65">
        <v>-254.89999999999998</v>
      </c>
      <c r="K78" s="62">
        <v>1.42</v>
      </c>
      <c r="L78" s="62"/>
      <c r="M78" s="66">
        <f t="shared" si="2"/>
        <v>1263.8</v>
      </c>
      <c r="N78" s="66">
        <f t="shared" si="2"/>
        <v>0</v>
      </c>
      <c r="O78" s="66">
        <f t="shared" si="3"/>
        <v>1263.8</v>
      </c>
    </row>
    <row r="79" spans="1:15" x14ac:dyDescent="0.25">
      <c r="A79" s="62"/>
      <c r="B79" s="62"/>
      <c r="C79" s="63"/>
      <c r="D79" s="62"/>
      <c r="E79" s="62" t="s">
        <v>369</v>
      </c>
      <c r="F79" s="62">
        <v>0.28999999999999998</v>
      </c>
      <c r="G79" s="64">
        <v>4515</v>
      </c>
      <c r="H79" s="65">
        <v>1309.3500000000001</v>
      </c>
      <c r="I79" s="65">
        <v>2408.48</v>
      </c>
      <c r="J79" s="65">
        <v>-1099.1300000000001</v>
      </c>
      <c r="K79" s="62">
        <v>1.18</v>
      </c>
      <c r="L79" s="62"/>
      <c r="M79" s="66">
        <f t="shared" si="2"/>
        <v>5327.7</v>
      </c>
      <c r="N79" s="66">
        <f t="shared" si="2"/>
        <v>0</v>
      </c>
      <c r="O79" s="66">
        <f t="shared" si="3"/>
        <v>5327.7</v>
      </c>
    </row>
    <row r="80" spans="1:15" x14ac:dyDescent="0.25">
      <c r="A80" s="62"/>
      <c r="B80" s="62"/>
      <c r="C80" s="63"/>
      <c r="D80" s="62" t="s">
        <v>74</v>
      </c>
      <c r="E80" s="62" t="s">
        <v>217</v>
      </c>
      <c r="F80" s="62">
        <v>0.91</v>
      </c>
      <c r="G80" s="64">
        <v>285</v>
      </c>
      <c r="H80" s="65">
        <v>259.35000000000002</v>
      </c>
      <c r="I80" s="65">
        <v>775.91000000000008</v>
      </c>
      <c r="J80" s="65">
        <v>-516.56000000000006</v>
      </c>
      <c r="K80" s="62">
        <v>1.79</v>
      </c>
      <c r="L80" s="62"/>
      <c r="M80" s="66">
        <f t="shared" si="2"/>
        <v>510.15000000000003</v>
      </c>
      <c r="N80" s="66">
        <f t="shared" si="2"/>
        <v>0</v>
      </c>
      <c r="O80" s="66">
        <f t="shared" si="3"/>
        <v>510.15000000000003</v>
      </c>
    </row>
    <row r="81" spans="1:16" x14ac:dyDescent="0.25">
      <c r="A81" s="62"/>
      <c r="B81" s="62"/>
      <c r="C81" s="63"/>
      <c r="D81" s="62"/>
      <c r="E81" s="62" t="s">
        <v>254</v>
      </c>
      <c r="F81" s="62">
        <v>0.91</v>
      </c>
      <c r="G81" s="64">
        <v>545</v>
      </c>
      <c r="H81" s="65">
        <v>495.95</v>
      </c>
      <c r="I81" s="65">
        <v>1642.52</v>
      </c>
      <c r="J81" s="65">
        <v>-1146.5700000000002</v>
      </c>
      <c r="K81" s="62">
        <v>1.79</v>
      </c>
      <c r="L81" s="62"/>
      <c r="M81" s="66">
        <f t="shared" si="2"/>
        <v>975.55000000000007</v>
      </c>
      <c r="N81" s="66">
        <f t="shared" si="2"/>
        <v>0</v>
      </c>
      <c r="O81" s="66">
        <f t="shared" si="3"/>
        <v>975.55000000000007</v>
      </c>
    </row>
    <row r="82" spans="1:16" x14ac:dyDescent="0.25">
      <c r="A82" s="62"/>
      <c r="B82" s="62"/>
      <c r="C82" s="63" t="s">
        <v>102</v>
      </c>
      <c r="D82" s="62" t="s">
        <v>78</v>
      </c>
      <c r="E82" s="62" t="s">
        <v>367</v>
      </c>
      <c r="F82" s="62">
        <v>0.28999999999999998</v>
      </c>
      <c r="G82" s="64">
        <v>366</v>
      </c>
      <c r="H82" s="65">
        <v>106.14</v>
      </c>
      <c r="I82" s="65">
        <v>136.16</v>
      </c>
      <c r="J82" s="65">
        <v>-30.019999999999996</v>
      </c>
      <c r="K82" s="62">
        <v>1.42</v>
      </c>
      <c r="L82" s="62"/>
      <c r="M82" s="66">
        <f t="shared" si="2"/>
        <v>519.72</v>
      </c>
      <c r="N82" s="66">
        <f t="shared" si="2"/>
        <v>0</v>
      </c>
      <c r="O82" s="66">
        <f t="shared" si="3"/>
        <v>519.72</v>
      </c>
    </row>
    <row r="83" spans="1:16" x14ac:dyDescent="0.25">
      <c r="A83" s="62"/>
      <c r="B83" s="62"/>
      <c r="C83" s="63"/>
      <c r="D83" s="62"/>
      <c r="E83" s="62" t="s">
        <v>252</v>
      </c>
      <c r="F83" s="62">
        <v>0.28999999999999998</v>
      </c>
      <c r="G83" s="64">
        <v>1013</v>
      </c>
      <c r="H83" s="65">
        <v>293.77</v>
      </c>
      <c r="I83" s="65">
        <v>376.84</v>
      </c>
      <c r="J83" s="65">
        <v>-83.07</v>
      </c>
      <c r="K83" s="62">
        <v>1.42</v>
      </c>
      <c r="L83" s="62"/>
      <c r="M83" s="66">
        <f t="shared" si="2"/>
        <v>1438.46</v>
      </c>
      <c r="N83" s="66">
        <f t="shared" si="2"/>
        <v>0</v>
      </c>
      <c r="O83" s="66">
        <f t="shared" si="3"/>
        <v>1438.46</v>
      </c>
    </row>
    <row r="84" spans="1:16" s="6" customFormat="1" x14ac:dyDescent="0.25">
      <c r="A84" s="67"/>
      <c r="B84" s="67" t="s">
        <v>103</v>
      </c>
      <c r="C84" s="68"/>
      <c r="D84" s="67"/>
      <c r="E84" s="67"/>
      <c r="F84" s="67"/>
      <c r="G84" s="69">
        <v>51085</v>
      </c>
      <c r="H84" s="70">
        <v>16140.210000000001</v>
      </c>
      <c r="I84" s="70">
        <v>32099.160000000003</v>
      </c>
      <c r="J84" s="70">
        <v>-15958.949999999995</v>
      </c>
      <c r="K84" s="67"/>
      <c r="L84" s="67"/>
      <c r="M84" s="71"/>
      <c r="N84" s="71"/>
      <c r="O84" s="71">
        <f>SUM(O49:O83)</f>
        <v>66959.700000000026</v>
      </c>
      <c r="P84"/>
    </row>
    <row r="85" spans="1:16" s="6" customFormat="1" x14ac:dyDescent="0.25">
      <c r="A85" s="57" t="s">
        <v>104</v>
      </c>
      <c r="B85" s="57"/>
      <c r="C85" s="58"/>
      <c r="D85" s="57"/>
      <c r="E85" s="57"/>
      <c r="F85" s="57"/>
      <c r="G85" s="59">
        <v>56716</v>
      </c>
      <c r="H85" s="60">
        <v>25828.109999999993</v>
      </c>
      <c r="I85" s="60">
        <v>41772.880000000012</v>
      </c>
      <c r="J85" s="60">
        <v>-15944.769999999995</v>
      </c>
      <c r="K85" s="57"/>
      <c r="L85" s="57"/>
      <c r="M85" s="61"/>
      <c r="N85" s="61"/>
      <c r="O85" s="61"/>
      <c r="P85"/>
    </row>
    <row r="86" spans="1:16" x14ac:dyDescent="0.25">
      <c r="A86" s="62" t="s">
        <v>11</v>
      </c>
      <c r="B86" s="62" t="s">
        <v>93</v>
      </c>
      <c r="C86" s="63" t="s">
        <v>91</v>
      </c>
      <c r="D86" s="62" t="s">
        <v>87</v>
      </c>
      <c r="E86" s="62" t="s">
        <v>370</v>
      </c>
      <c r="F86" s="62">
        <v>1.28</v>
      </c>
      <c r="G86" s="64">
        <v>300</v>
      </c>
      <c r="H86" s="65">
        <v>384</v>
      </c>
      <c r="I86" s="65">
        <v>256.5</v>
      </c>
      <c r="J86" s="65">
        <v>127.5</v>
      </c>
      <c r="K86" s="62">
        <v>3.81</v>
      </c>
      <c r="L86" s="62"/>
      <c r="M86" s="66">
        <f t="shared" si="2"/>
        <v>1143</v>
      </c>
      <c r="N86" s="66">
        <f t="shared" si="2"/>
        <v>0</v>
      </c>
      <c r="O86" s="66">
        <f t="shared" si="3"/>
        <v>1143</v>
      </c>
    </row>
    <row r="87" spans="1:16" x14ac:dyDescent="0.25">
      <c r="A87" s="62"/>
      <c r="B87" s="62"/>
      <c r="C87" s="63"/>
      <c r="D87" s="62"/>
      <c r="E87" s="62" t="s">
        <v>249</v>
      </c>
      <c r="F87" s="62">
        <v>1.1499999999999999</v>
      </c>
      <c r="G87" s="64">
        <v>24</v>
      </c>
      <c r="H87" s="65">
        <v>27.6</v>
      </c>
      <c r="I87" s="65">
        <v>166.38</v>
      </c>
      <c r="J87" s="65">
        <v>-138.78</v>
      </c>
      <c r="K87" s="62">
        <v>2.8</v>
      </c>
      <c r="L87" s="62"/>
      <c r="M87" s="66">
        <f t="shared" si="2"/>
        <v>67.199999999999989</v>
      </c>
      <c r="N87" s="66">
        <f t="shared" si="2"/>
        <v>0</v>
      </c>
      <c r="O87" s="66">
        <f t="shared" si="3"/>
        <v>67.199999999999989</v>
      </c>
    </row>
    <row r="88" spans="1:16" x14ac:dyDescent="0.25">
      <c r="A88" s="62"/>
      <c r="B88" s="62"/>
      <c r="C88" s="63"/>
      <c r="D88" s="62"/>
      <c r="E88" s="62" t="s">
        <v>371</v>
      </c>
      <c r="F88" s="62">
        <v>1.32</v>
      </c>
      <c r="G88" s="64">
        <v>300</v>
      </c>
      <c r="H88" s="65">
        <v>396</v>
      </c>
      <c r="I88" s="65">
        <v>256.5</v>
      </c>
      <c r="J88" s="65">
        <v>139.5</v>
      </c>
      <c r="K88" s="62">
        <v>3.87</v>
      </c>
      <c r="L88" s="62"/>
      <c r="M88" s="66">
        <f t="shared" si="2"/>
        <v>1161</v>
      </c>
      <c r="N88" s="66">
        <f t="shared" si="2"/>
        <v>0</v>
      </c>
      <c r="O88" s="66">
        <f t="shared" si="3"/>
        <v>1161</v>
      </c>
    </row>
    <row r="89" spans="1:16" s="6" customFormat="1" x14ac:dyDescent="0.25">
      <c r="A89" s="67"/>
      <c r="B89" s="67" t="s">
        <v>96</v>
      </c>
      <c r="C89" s="68"/>
      <c r="D89" s="67"/>
      <c r="E89" s="67"/>
      <c r="F89" s="67"/>
      <c r="G89" s="69">
        <v>624</v>
      </c>
      <c r="H89" s="70">
        <v>807.6</v>
      </c>
      <c r="I89" s="70">
        <v>679.38</v>
      </c>
      <c r="J89" s="70">
        <v>128.22</v>
      </c>
      <c r="K89" s="67"/>
      <c r="L89" s="67"/>
      <c r="M89" s="71"/>
      <c r="N89" s="71"/>
      <c r="O89" s="71">
        <f>SUM(O86:O88)</f>
        <v>2371.1999999999998</v>
      </c>
      <c r="P89"/>
    </row>
    <row r="90" spans="1:16" x14ac:dyDescent="0.25">
      <c r="A90" s="62"/>
      <c r="B90" s="62" t="s">
        <v>76</v>
      </c>
      <c r="C90" s="63" t="s">
        <v>77</v>
      </c>
      <c r="D90" s="62" t="s">
        <v>79</v>
      </c>
      <c r="E90" s="62" t="s">
        <v>372</v>
      </c>
      <c r="F90" s="62">
        <v>1.54</v>
      </c>
      <c r="G90" s="64">
        <v>769</v>
      </c>
      <c r="H90" s="65">
        <v>1184.26</v>
      </c>
      <c r="I90" s="65">
        <v>1249.3699999999999</v>
      </c>
      <c r="J90" s="65">
        <v>-65.110000000000056</v>
      </c>
      <c r="K90" s="62"/>
      <c r="L90" s="62">
        <v>1.65</v>
      </c>
      <c r="M90" s="66">
        <f t="shared" si="2"/>
        <v>0</v>
      </c>
      <c r="N90" s="66">
        <f t="shared" si="2"/>
        <v>1268.8499999999999</v>
      </c>
      <c r="O90" s="66">
        <f t="shared" si="3"/>
        <v>1268.8499999999999</v>
      </c>
    </row>
    <row r="91" spans="1:16" x14ac:dyDescent="0.25">
      <c r="A91" s="62"/>
      <c r="B91" s="62"/>
      <c r="C91" s="63"/>
      <c r="D91" s="62"/>
      <c r="E91" s="62" t="s">
        <v>256</v>
      </c>
      <c r="F91" s="62">
        <v>1.54</v>
      </c>
      <c r="G91" s="64">
        <v>1700</v>
      </c>
      <c r="H91" s="65">
        <v>2618</v>
      </c>
      <c r="I91" s="65">
        <v>3834.1200000000003</v>
      </c>
      <c r="J91" s="65">
        <v>-1216.1200000000001</v>
      </c>
      <c r="K91" s="62"/>
      <c r="L91" s="62">
        <v>1.65</v>
      </c>
      <c r="M91" s="66">
        <f t="shared" si="2"/>
        <v>0</v>
      </c>
      <c r="N91" s="66">
        <f t="shared" si="2"/>
        <v>2805</v>
      </c>
      <c r="O91" s="66">
        <f t="shared" si="3"/>
        <v>2805</v>
      </c>
    </row>
    <row r="92" spans="1:16" x14ac:dyDescent="0.25">
      <c r="A92" s="62"/>
      <c r="B92" s="62"/>
      <c r="C92" s="63"/>
      <c r="D92" s="62"/>
      <c r="E92" s="62" t="s">
        <v>373</v>
      </c>
      <c r="F92" s="62">
        <v>1.54</v>
      </c>
      <c r="G92" s="64">
        <v>657</v>
      </c>
      <c r="H92" s="65">
        <v>1011.78</v>
      </c>
      <c r="I92" s="65">
        <v>925.94</v>
      </c>
      <c r="J92" s="65">
        <v>85.839999999999975</v>
      </c>
      <c r="K92" s="62"/>
      <c r="L92" s="62">
        <v>1.65</v>
      </c>
      <c r="M92" s="66">
        <f t="shared" si="2"/>
        <v>0</v>
      </c>
      <c r="N92" s="66">
        <f t="shared" si="2"/>
        <v>1084.05</v>
      </c>
      <c r="O92" s="66">
        <f t="shared" si="3"/>
        <v>1084.05</v>
      </c>
    </row>
    <row r="93" spans="1:16" x14ac:dyDescent="0.25">
      <c r="A93" s="62"/>
      <c r="B93" s="62"/>
      <c r="C93" s="63" t="s">
        <v>91</v>
      </c>
      <c r="D93" s="62" t="s">
        <v>79</v>
      </c>
      <c r="E93" s="62" t="s">
        <v>374</v>
      </c>
      <c r="F93" s="62">
        <v>1.5400000000000003</v>
      </c>
      <c r="G93" s="64">
        <v>1086</v>
      </c>
      <c r="H93" s="65">
        <v>1672.44</v>
      </c>
      <c r="I93" s="65">
        <v>3591</v>
      </c>
      <c r="J93" s="65">
        <v>-1918.5600000000002</v>
      </c>
      <c r="K93" s="62"/>
      <c r="L93" s="62">
        <v>1.65</v>
      </c>
      <c r="M93" s="66">
        <f t="shared" si="2"/>
        <v>0</v>
      </c>
      <c r="N93" s="66">
        <f t="shared" si="2"/>
        <v>1791.8999999999999</v>
      </c>
      <c r="O93" s="66">
        <f t="shared" si="3"/>
        <v>1791.8999999999999</v>
      </c>
    </row>
    <row r="94" spans="1:16" s="6" customFormat="1" x14ac:dyDescent="0.25">
      <c r="A94" s="67"/>
      <c r="B94" s="67" t="s">
        <v>80</v>
      </c>
      <c r="C94" s="68"/>
      <c r="D94" s="67"/>
      <c r="E94" s="67"/>
      <c r="F94" s="67"/>
      <c r="G94" s="69">
        <v>4212</v>
      </c>
      <c r="H94" s="70">
        <v>6486.48</v>
      </c>
      <c r="I94" s="70">
        <v>9600.43</v>
      </c>
      <c r="J94" s="70">
        <v>-3113.9500000000003</v>
      </c>
      <c r="K94" s="67"/>
      <c r="L94" s="67"/>
      <c r="M94" s="71"/>
      <c r="N94" s="71"/>
      <c r="O94" s="71">
        <f>SUM(O90:O93)</f>
        <v>6949.7999999999993</v>
      </c>
      <c r="P94"/>
    </row>
    <row r="95" spans="1:16" x14ac:dyDescent="0.25">
      <c r="A95" s="62"/>
      <c r="B95" s="62" t="s">
        <v>97</v>
      </c>
      <c r="C95" s="63" t="s">
        <v>72</v>
      </c>
      <c r="D95" s="62" t="s">
        <v>98</v>
      </c>
      <c r="E95" s="62" t="s">
        <v>100</v>
      </c>
      <c r="F95" s="62">
        <v>0.38</v>
      </c>
      <c r="G95" s="64">
        <v>1409</v>
      </c>
      <c r="H95" s="65">
        <v>535.42000000000007</v>
      </c>
      <c r="I95" s="65">
        <v>427.17</v>
      </c>
      <c r="J95" s="65">
        <v>108.25</v>
      </c>
      <c r="K95" s="62">
        <v>0.95</v>
      </c>
      <c r="L95" s="62"/>
      <c r="M95" s="66">
        <f t="shared" si="2"/>
        <v>1338.55</v>
      </c>
      <c r="N95" s="66">
        <f t="shared" si="2"/>
        <v>0</v>
      </c>
      <c r="O95" s="66">
        <f t="shared" si="3"/>
        <v>1338.55</v>
      </c>
    </row>
    <row r="96" spans="1:16" x14ac:dyDescent="0.25">
      <c r="A96" s="62"/>
      <c r="B96" s="62"/>
      <c r="C96" s="63"/>
      <c r="D96" s="62"/>
      <c r="E96" s="62" t="s">
        <v>200</v>
      </c>
      <c r="F96" s="62">
        <v>0.38</v>
      </c>
      <c r="G96" s="64">
        <v>1545</v>
      </c>
      <c r="H96" s="65">
        <v>587.1</v>
      </c>
      <c r="I96" s="65">
        <v>582.39</v>
      </c>
      <c r="J96" s="65">
        <v>4.710000000000008</v>
      </c>
      <c r="K96" s="62">
        <v>1</v>
      </c>
      <c r="L96" s="62"/>
      <c r="M96" s="66">
        <f t="shared" si="2"/>
        <v>1545</v>
      </c>
      <c r="N96" s="66">
        <f t="shared" si="2"/>
        <v>0</v>
      </c>
      <c r="O96" s="66">
        <f t="shared" si="3"/>
        <v>1545</v>
      </c>
    </row>
    <row r="97" spans="1:16" x14ac:dyDescent="0.25">
      <c r="A97" s="62"/>
      <c r="B97" s="62"/>
      <c r="C97" s="63"/>
      <c r="D97" s="62"/>
      <c r="E97" s="62" t="s">
        <v>201</v>
      </c>
      <c r="F97" s="62">
        <v>0.44</v>
      </c>
      <c r="G97" s="64">
        <v>760</v>
      </c>
      <c r="H97" s="65">
        <v>334.4</v>
      </c>
      <c r="I97" s="65">
        <v>414.95</v>
      </c>
      <c r="J97" s="65">
        <v>-80.549999999999983</v>
      </c>
      <c r="K97" s="62">
        <v>1.05</v>
      </c>
      <c r="L97" s="62"/>
      <c r="M97" s="66">
        <f t="shared" si="2"/>
        <v>798</v>
      </c>
      <c r="N97" s="66">
        <f t="shared" si="2"/>
        <v>0</v>
      </c>
      <c r="O97" s="66">
        <f t="shared" si="3"/>
        <v>798</v>
      </c>
    </row>
    <row r="98" spans="1:16" x14ac:dyDescent="0.25">
      <c r="A98" s="62"/>
      <c r="B98" s="62"/>
      <c r="C98" s="63"/>
      <c r="D98" s="62"/>
      <c r="E98" s="62" t="s">
        <v>101</v>
      </c>
      <c r="F98" s="62">
        <v>0.38000000000000006</v>
      </c>
      <c r="G98" s="64">
        <v>2747</v>
      </c>
      <c r="H98" s="65">
        <v>1043.8599999999999</v>
      </c>
      <c r="I98" s="65">
        <v>981.32</v>
      </c>
      <c r="J98" s="65">
        <v>62.539999999999935</v>
      </c>
      <c r="K98" s="62">
        <v>0.95</v>
      </c>
      <c r="L98" s="62"/>
      <c r="M98" s="66">
        <f t="shared" si="2"/>
        <v>2609.65</v>
      </c>
      <c r="N98" s="66">
        <f t="shared" si="2"/>
        <v>0</v>
      </c>
      <c r="O98" s="66">
        <f t="shared" si="3"/>
        <v>2609.65</v>
      </c>
    </row>
    <row r="99" spans="1:16" x14ac:dyDescent="0.25">
      <c r="A99" s="62"/>
      <c r="B99" s="62"/>
      <c r="C99" s="63"/>
      <c r="D99" s="62" t="s">
        <v>78</v>
      </c>
      <c r="E99" s="62" t="s">
        <v>253</v>
      </c>
      <c r="F99" s="62">
        <v>0.28999999999999998</v>
      </c>
      <c r="G99" s="64">
        <v>2060</v>
      </c>
      <c r="H99" s="65">
        <v>597.4</v>
      </c>
      <c r="I99" s="65">
        <v>753.76</v>
      </c>
      <c r="J99" s="65">
        <v>-156.36000000000001</v>
      </c>
      <c r="K99" s="62">
        <v>1.18</v>
      </c>
      <c r="L99" s="62"/>
      <c r="M99" s="66">
        <f t="shared" si="2"/>
        <v>2430.7999999999997</v>
      </c>
      <c r="N99" s="66">
        <f t="shared" si="2"/>
        <v>0</v>
      </c>
      <c r="O99" s="66">
        <f t="shared" si="3"/>
        <v>2430.7999999999997</v>
      </c>
    </row>
    <row r="100" spans="1:16" x14ac:dyDescent="0.25">
      <c r="A100" s="62"/>
      <c r="B100" s="62"/>
      <c r="C100" s="63"/>
      <c r="D100" s="62"/>
      <c r="E100" s="62" t="s">
        <v>257</v>
      </c>
      <c r="F100" s="62">
        <v>0.28999999999999998</v>
      </c>
      <c r="G100" s="64">
        <v>1800</v>
      </c>
      <c r="H100" s="65">
        <v>522</v>
      </c>
      <c r="I100" s="65">
        <v>1026</v>
      </c>
      <c r="J100" s="65">
        <v>-504</v>
      </c>
      <c r="K100" s="62">
        <v>1.18</v>
      </c>
      <c r="L100" s="62"/>
      <c r="M100" s="66">
        <f t="shared" si="2"/>
        <v>2124</v>
      </c>
      <c r="N100" s="66">
        <f t="shared" si="2"/>
        <v>0</v>
      </c>
      <c r="O100" s="66">
        <f t="shared" si="3"/>
        <v>2124</v>
      </c>
    </row>
    <row r="101" spans="1:16" x14ac:dyDescent="0.25">
      <c r="A101" s="62"/>
      <c r="B101" s="62"/>
      <c r="C101" s="63"/>
      <c r="D101" s="62"/>
      <c r="E101" s="62" t="s">
        <v>366</v>
      </c>
      <c r="F101" s="62">
        <v>0.28999999999999998</v>
      </c>
      <c r="G101" s="64">
        <v>2</v>
      </c>
      <c r="H101" s="65">
        <v>0.57999999999999996</v>
      </c>
      <c r="I101" s="65">
        <v>0.86</v>
      </c>
      <c r="J101" s="65">
        <v>-0.28000000000000003</v>
      </c>
      <c r="K101" s="62">
        <v>1.42</v>
      </c>
      <c r="L101" s="62"/>
      <c r="M101" s="66">
        <f t="shared" si="2"/>
        <v>2.84</v>
      </c>
      <c r="N101" s="66">
        <f t="shared" si="2"/>
        <v>0</v>
      </c>
      <c r="O101" s="66">
        <f t="shared" si="3"/>
        <v>2.84</v>
      </c>
    </row>
    <row r="102" spans="1:16" x14ac:dyDescent="0.25">
      <c r="A102" s="62"/>
      <c r="B102" s="62"/>
      <c r="C102" s="63"/>
      <c r="D102" s="62" t="s">
        <v>87</v>
      </c>
      <c r="E102" s="62" t="s">
        <v>250</v>
      </c>
      <c r="F102" s="62">
        <v>1.23</v>
      </c>
      <c r="G102" s="64">
        <v>1405</v>
      </c>
      <c r="H102" s="65">
        <v>1728.1499999999999</v>
      </c>
      <c r="I102" s="65">
        <v>1822.98</v>
      </c>
      <c r="J102" s="65">
        <v>-94.829999999999927</v>
      </c>
      <c r="K102" s="62">
        <v>2.19</v>
      </c>
      <c r="L102" s="62"/>
      <c r="M102" s="66">
        <f t="shared" si="2"/>
        <v>3076.95</v>
      </c>
      <c r="N102" s="66">
        <f t="shared" si="2"/>
        <v>0</v>
      </c>
      <c r="O102" s="66">
        <f t="shared" si="3"/>
        <v>3076.95</v>
      </c>
    </row>
    <row r="103" spans="1:16" x14ac:dyDescent="0.25">
      <c r="A103" s="62"/>
      <c r="B103" s="62"/>
      <c r="C103" s="63" t="s">
        <v>82</v>
      </c>
      <c r="D103" s="62" t="s">
        <v>98</v>
      </c>
      <c r="E103" s="62" t="s">
        <v>100</v>
      </c>
      <c r="F103" s="62">
        <v>0.38</v>
      </c>
      <c r="G103" s="64">
        <v>264</v>
      </c>
      <c r="H103" s="65">
        <v>100.32</v>
      </c>
      <c r="I103" s="65">
        <v>97.29</v>
      </c>
      <c r="J103" s="65">
        <v>3.0299999999999869</v>
      </c>
      <c r="K103" s="62">
        <v>0.95</v>
      </c>
      <c r="L103" s="62"/>
      <c r="M103" s="66">
        <f t="shared" si="2"/>
        <v>250.79999999999998</v>
      </c>
      <c r="N103" s="66">
        <f t="shared" si="2"/>
        <v>0</v>
      </c>
      <c r="O103" s="66">
        <f t="shared" si="3"/>
        <v>250.79999999999998</v>
      </c>
    </row>
    <row r="104" spans="1:16" x14ac:dyDescent="0.25">
      <c r="A104" s="62"/>
      <c r="B104" s="62"/>
      <c r="C104" s="63"/>
      <c r="D104" s="62"/>
      <c r="E104" s="62" t="s">
        <v>200</v>
      </c>
      <c r="F104" s="62">
        <v>0.38</v>
      </c>
      <c r="G104" s="64">
        <v>1128</v>
      </c>
      <c r="H104" s="65">
        <v>428.64</v>
      </c>
      <c r="I104" s="65">
        <v>415.71</v>
      </c>
      <c r="J104" s="65">
        <v>12.930000000000007</v>
      </c>
      <c r="K104" s="62">
        <v>1</v>
      </c>
      <c r="L104" s="62"/>
      <c r="M104" s="66">
        <f t="shared" si="2"/>
        <v>1128</v>
      </c>
      <c r="N104" s="66">
        <f t="shared" si="2"/>
        <v>0</v>
      </c>
      <c r="O104" s="66">
        <f t="shared" si="3"/>
        <v>1128</v>
      </c>
    </row>
    <row r="105" spans="1:16" x14ac:dyDescent="0.25">
      <c r="A105" s="62"/>
      <c r="B105" s="62"/>
      <c r="C105" s="63"/>
      <c r="D105" s="62"/>
      <c r="E105" s="62" t="s">
        <v>201</v>
      </c>
      <c r="F105" s="62">
        <v>0.44</v>
      </c>
      <c r="G105" s="64">
        <v>1620</v>
      </c>
      <c r="H105" s="65">
        <v>712.8</v>
      </c>
      <c r="I105" s="65">
        <v>513</v>
      </c>
      <c r="J105" s="65">
        <v>199.79999999999995</v>
      </c>
      <c r="K105" s="62">
        <v>1.05</v>
      </c>
      <c r="L105" s="62"/>
      <c r="M105" s="66">
        <f t="shared" si="2"/>
        <v>1701</v>
      </c>
      <c r="N105" s="66">
        <f t="shared" si="2"/>
        <v>0</v>
      </c>
      <c r="O105" s="66">
        <f t="shared" si="3"/>
        <v>1701</v>
      </c>
    </row>
    <row r="106" spans="1:16" x14ac:dyDescent="0.25">
      <c r="A106" s="62"/>
      <c r="B106" s="62"/>
      <c r="C106" s="63"/>
      <c r="D106" s="62"/>
      <c r="E106" s="62" t="s">
        <v>101</v>
      </c>
      <c r="F106" s="62">
        <v>0.38</v>
      </c>
      <c r="G106" s="64">
        <v>2621</v>
      </c>
      <c r="H106" s="65">
        <v>995.98</v>
      </c>
      <c r="I106" s="65">
        <v>1026</v>
      </c>
      <c r="J106" s="65">
        <v>-30.019999999999982</v>
      </c>
      <c r="K106" s="62">
        <v>0.95</v>
      </c>
      <c r="L106" s="62"/>
      <c r="M106" s="66">
        <f t="shared" si="2"/>
        <v>2489.9499999999998</v>
      </c>
      <c r="N106" s="66">
        <f t="shared" si="2"/>
        <v>0</v>
      </c>
      <c r="O106" s="66">
        <f t="shared" si="3"/>
        <v>2489.9499999999998</v>
      </c>
    </row>
    <row r="107" spans="1:16" x14ac:dyDescent="0.25">
      <c r="A107" s="62"/>
      <c r="B107" s="62"/>
      <c r="C107" s="63"/>
      <c r="D107" s="62" t="s">
        <v>78</v>
      </c>
      <c r="E107" s="62" t="s">
        <v>253</v>
      </c>
      <c r="F107" s="62">
        <v>0.28999999999999998</v>
      </c>
      <c r="G107" s="64">
        <v>964</v>
      </c>
      <c r="H107" s="65">
        <v>279.56</v>
      </c>
      <c r="I107" s="65">
        <v>374.49</v>
      </c>
      <c r="J107" s="65">
        <v>-94.929999999999993</v>
      </c>
      <c r="K107" s="62">
        <v>1.18</v>
      </c>
      <c r="L107" s="62"/>
      <c r="M107" s="66">
        <f t="shared" si="2"/>
        <v>1137.52</v>
      </c>
      <c r="N107" s="66">
        <f t="shared" si="2"/>
        <v>0</v>
      </c>
      <c r="O107" s="66">
        <f t="shared" si="3"/>
        <v>1137.52</v>
      </c>
    </row>
    <row r="108" spans="1:16" x14ac:dyDescent="0.25">
      <c r="A108" s="62"/>
      <c r="B108" s="62"/>
      <c r="C108" s="63"/>
      <c r="D108" s="62"/>
      <c r="E108" s="62" t="s">
        <v>257</v>
      </c>
      <c r="F108" s="62">
        <v>0.28999999999999998</v>
      </c>
      <c r="G108" s="64">
        <v>1811</v>
      </c>
      <c r="H108" s="65">
        <v>525.19000000000005</v>
      </c>
      <c r="I108" s="65">
        <v>1026</v>
      </c>
      <c r="J108" s="65">
        <v>-500.81</v>
      </c>
      <c r="K108" s="62">
        <v>1.18</v>
      </c>
      <c r="L108" s="62"/>
      <c r="M108" s="66">
        <f t="shared" si="2"/>
        <v>2136.98</v>
      </c>
      <c r="N108" s="66">
        <f t="shared" si="2"/>
        <v>0</v>
      </c>
      <c r="O108" s="66">
        <f t="shared" si="3"/>
        <v>2136.98</v>
      </c>
    </row>
    <row r="109" spans="1:16" x14ac:dyDescent="0.25">
      <c r="A109" s="62"/>
      <c r="B109" s="62"/>
      <c r="C109" s="63"/>
      <c r="D109" s="62"/>
      <c r="E109" s="62" t="s">
        <v>366</v>
      </c>
      <c r="F109" s="62">
        <v>0.28999999999999998</v>
      </c>
      <c r="G109" s="64">
        <v>1204</v>
      </c>
      <c r="H109" s="65">
        <v>349.15999999999997</v>
      </c>
      <c r="I109" s="65">
        <v>504.94</v>
      </c>
      <c r="J109" s="65">
        <v>-155.78000000000003</v>
      </c>
      <c r="K109" s="62">
        <v>1.42</v>
      </c>
      <c r="L109" s="62"/>
      <c r="M109" s="66">
        <f t="shared" si="2"/>
        <v>1709.6799999999998</v>
      </c>
      <c r="N109" s="66">
        <f t="shared" si="2"/>
        <v>0</v>
      </c>
      <c r="O109" s="66">
        <f t="shared" si="3"/>
        <v>1709.6799999999998</v>
      </c>
    </row>
    <row r="110" spans="1:16" x14ac:dyDescent="0.25">
      <c r="A110" s="62"/>
      <c r="B110" s="62"/>
      <c r="C110" s="63"/>
      <c r="D110" s="62" t="s">
        <v>87</v>
      </c>
      <c r="E110" s="62" t="s">
        <v>250</v>
      </c>
      <c r="F110" s="62">
        <v>1.23</v>
      </c>
      <c r="G110" s="64">
        <v>1270</v>
      </c>
      <c r="H110" s="65">
        <v>1562.1000000000001</v>
      </c>
      <c r="I110" s="65">
        <v>2052</v>
      </c>
      <c r="J110" s="65">
        <v>-489.89999999999992</v>
      </c>
      <c r="K110" s="62">
        <v>2.19</v>
      </c>
      <c r="L110" s="62"/>
      <c r="M110" s="66">
        <f t="shared" si="2"/>
        <v>2781.2999999999997</v>
      </c>
      <c r="N110" s="66">
        <f t="shared" si="2"/>
        <v>0</v>
      </c>
      <c r="O110" s="66">
        <f t="shared" si="3"/>
        <v>2781.2999999999997</v>
      </c>
    </row>
    <row r="111" spans="1:16" s="6" customFormat="1" x14ac:dyDescent="0.25">
      <c r="A111" s="67"/>
      <c r="B111" s="67" t="s">
        <v>103</v>
      </c>
      <c r="C111" s="68"/>
      <c r="D111" s="67"/>
      <c r="E111" s="67"/>
      <c r="F111" s="67"/>
      <c r="G111" s="69">
        <v>22610</v>
      </c>
      <c r="H111" s="70">
        <v>10302.660000000003</v>
      </c>
      <c r="I111" s="70">
        <v>12018.86</v>
      </c>
      <c r="J111" s="70">
        <v>-1716.1999999999998</v>
      </c>
      <c r="K111" s="67"/>
      <c r="L111" s="67"/>
      <c r="M111" s="71"/>
      <c r="N111" s="71"/>
      <c r="O111" s="71">
        <f>SUM(O95:O110)</f>
        <v>27261.02</v>
      </c>
      <c r="P111"/>
    </row>
    <row r="112" spans="1:16" s="6" customFormat="1" x14ac:dyDescent="0.25">
      <c r="A112" s="57" t="s">
        <v>105</v>
      </c>
      <c r="B112" s="57"/>
      <c r="C112" s="58"/>
      <c r="D112" s="57"/>
      <c r="E112" s="57"/>
      <c r="F112" s="57"/>
      <c r="G112" s="59">
        <v>27446</v>
      </c>
      <c r="H112" s="60">
        <v>17596.739999999998</v>
      </c>
      <c r="I112" s="60">
        <v>22298.670000000002</v>
      </c>
      <c r="J112" s="60">
        <v>-4701.93</v>
      </c>
      <c r="K112" s="57"/>
      <c r="L112" s="57"/>
      <c r="M112" s="61"/>
      <c r="N112" s="61"/>
      <c r="O112" s="61"/>
      <c r="P112"/>
    </row>
    <row r="113" spans="1:15" x14ac:dyDescent="0.25">
      <c r="A113" s="62" t="s">
        <v>12</v>
      </c>
      <c r="B113" s="62" t="s">
        <v>106</v>
      </c>
      <c r="C113" s="63" t="s">
        <v>107</v>
      </c>
      <c r="D113" s="62" t="s">
        <v>108</v>
      </c>
      <c r="E113" s="62" t="s">
        <v>262</v>
      </c>
      <c r="F113" s="62">
        <v>0.69999999999999984</v>
      </c>
      <c r="G113" s="64">
        <v>11</v>
      </c>
      <c r="H113" s="65">
        <v>7.7000000000000011</v>
      </c>
      <c r="I113" s="65">
        <v>3.8999999999999995</v>
      </c>
      <c r="J113" s="65">
        <v>3.8000000000000007</v>
      </c>
      <c r="K113" s="62">
        <v>1.79</v>
      </c>
      <c r="L113" s="62"/>
      <c r="M113" s="66">
        <f t="shared" si="2"/>
        <v>19.690000000000001</v>
      </c>
      <c r="N113" s="66">
        <f t="shared" si="2"/>
        <v>0</v>
      </c>
      <c r="O113" s="66">
        <f t="shared" si="3"/>
        <v>19.690000000000001</v>
      </c>
    </row>
    <row r="114" spans="1:15" x14ac:dyDescent="0.25">
      <c r="A114" s="62"/>
      <c r="B114" s="62"/>
      <c r="C114" s="63"/>
      <c r="D114" s="62"/>
      <c r="E114" s="62" t="s">
        <v>263</v>
      </c>
      <c r="F114" s="62">
        <v>0.67</v>
      </c>
      <c r="G114" s="64">
        <v>7</v>
      </c>
      <c r="H114" s="65">
        <v>4.6900000000000004</v>
      </c>
      <c r="I114" s="65">
        <v>2.66</v>
      </c>
      <c r="J114" s="65">
        <v>2.0300000000000002</v>
      </c>
      <c r="K114" s="62">
        <v>1.93</v>
      </c>
      <c r="L114" s="62"/>
      <c r="M114" s="66">
        <f t="shared" si="2"/>
        <v>13.51</v>
      </c>
      <c r="N114" s="66">
        <f t="shared" si="2"/>
        <v>0</v>
      </c>
      <c r="O114" s="66">
        <f t="shared" si="3"/>
        <v>13.51</v>
      </c>
    </row>
    <row r="115" spans="1:15" x14ac:dyDescent="0.25">
      <c r="A115" s="62"/>
      <c r="B115" s="62"/>
      <c r="C115" s="63"/>
      <c r="D115" s="62"/>
      <c r="E115" s="62" t="s">
        <v>375</v>
      </c>
      <c r="F115" s="62">
        <v>0.7</v>
      </c>
      <c r="G115" s="64">
        <v>8335</v>
      </c>
      <c r="H115" s="65">
        <v>5834.5</v>
      </c>
      <c r="I115" s="65">
        <v>2925.1499999999996</v>
      </c>
      <c r="J115" s="65">
        <v>2909.3500000000004</v>
      </c>
      <c r="K115" s="62">
        <v>5.14</v>
      </c>
      <c r="L115" s="62"/>
      <c r="M115" s="66">
        <f t="shared" si="2"/>
        <v>42841.899999999994</v>
      </c>
      <c r="N115" s="66">
        <f t="shared" si="2"/>
        <v>0</v>
      </c>
      <c r="O115" s="66">
        <f t="shared" si="3"/>
        <v>42841.899999999994</v>
      </c>
    </row>
    <row r="116" spans="1:15" x14ac:dyDescent="0.25">
      <c r="A116" s="62"/>
      <c r="B116" s="62"/>
      <c r="C116" s="63"/>
      <c r="D116" s="62"/>
      <c r="E116" s="62" t="s">
        <v>264</v>
      </c>
      <c r="F116" s="62">
        <v>0.61</v>
      </c>
      <c r="G116" s="64">
        <v>7780</v>
      </c>
      <c r="H116" s="65">
        <v>4745.8</v>
      </c>
      <c r="I116" s="65">
        <v>2633.0499999999997</v>
      </c>
      <c r="J116" s="65">
        <v>2112.75</v>
      </c>
      <c r="K116" s="62">
        <v>1.37</v>
      </c>
      <c r="L116" s="62"/>
      <c r="M116" s="66">
        <f t="shared" si="2"/>
        <v>10658.6</v>
      </c>
      <c r="N116" s="66">
        <f t="shared" si="2"/>
        <v>0</v>
      </c>
      <c r="O116" s="66">
        <f t="shared" si="3"/>
        <v>10658.6</v>
      </c>
    </row>
    <row r="117" spans="1:15" x14ac:dyDescent="0.25">
      <c r="A117" s="62"/>
      <c r="B117" s="62"/>
      <c r="C117" s="63"/>
      <c r="D117" s="62"/>
      <c r="E117" s="62" t="s">
        <v>376</v>
      </c>
      <c r="F117" s="62">
        <v>0.61</v>
      </c>
      <c r="G117" s="64">
        <v>2150</v>
      </c>
      <c r="H117" s="65">
        <v>1311.5</v>
      </c>
      <c r="I117" s="65">
        <v>764.9</v>
      </c>
      <c r="J117" s="65">
        <v>546.6</v>
      </c>
      <c r="K117" s="62">
        <v>5.48</v>
      </c>
      <c r="L117" s="62"/>
      <c r="M117" s="66">
        <f t="shared" si="2"/>
        <v>11782.000000000002</v>
      </c>
      <c r="N117" s="66">
        <f t="shared" si="2"/>
        <v>0</v>
      </c>
      <c r="O117" s="66">
        <f t="shared" si="3"/>
        <v>11782.000000000002</v>
      </c>
    </row>
    <row r="118" spans="1:15" x14ac:dyDescent="0.25">
      <c r="A118" s="62"/>
      <c r="B118" s="62"/>
      <c r="C118" s="63"/>
      <c r="D118" s="62"/>
      <c r="E118" s="62" t="s">
        <v>377</v>
      </c>
      <c r="F118" s="62">
        <v>0.61</v>
      </c>
      <c r="G118" s="64">
        <v>2655</v>
      </c>
      <c r="H118" s="65">
        <v>1619.55</v>
      </c>
      <c r="I118" s="65">
        <v>861.54</v>
      </c>
      <c r="J118" s="65">
        <v>758.01</v>
      </c>
      <c r="K118" s="62">
        <v>4.21</v>
      </c>
      <c r="L118" s="62"/>
      <c r="M118" s="66">
        <f t="shared" si="2"/>
        <v>11177.55</v>
      </c>
      <c r="N118" s="66">
        <f t="shared" si="2"/>
        <v>0</v>
      </c>
      <c r="O118" s="66">
        <f t="shared" si="3"/>
        <v>11177.55</v>
      </c>
    </row>
    <row r="119" spans="1:15" x14ac:dyDescent="0.25">
      <c r="A119" s="62"/>
      <c r="B119" s="62"/>
      <c r="C119" s="63"/>
      <c r="D119" s="62"/>
      <c r="E119" s="62" t="s">
        <v>266</v>
      </c>
      <c r="F119" s="62">
        <v>0.61</v>
      </c>
      <c r="G119" s="64">
        <v>4</v>
      </c>
      <c r="H119" s="65">
        <v>2.44</v>
      </c>
      <c r="I119" s="65">
        <v>1.4</v>
      </c>
      <c r="J119" s="65">
        <v>1.04</v>
      </c>
      <c r="K119" s="62">
        <v>1.4</v>
      </c>
      <c r="L119" s="62"/>
      <c r="M119" s="66">
        <f t="shared" si="2"/>
        <v>5.6</v>
      </c>
      <c r="N119" s="66">
        <f t="shared" si="2"/>
        <v>0</v>
      </c>
      <c r="O119" s="66">
        <f t="shared" si="3"/>
        <v>5.6</v>
      </c>
    </row>
    <row r="120" spans="1:15" x14ac:dyDescent="0.25">
      <c r="A120" s="62"/>
      <c r="B120" s="62"/>
      <c r="C120" s="63"/>
      <c r="D120" s="62"/>
      <c r="E120" s="62" t="s">
        <v>378</v>
      </c>
      <c r="F120" s="62">
        <v>0.63</v>
      </c>
      <c r="G120" s="64">
        <v>2495</v>
      </c>
      <c r="H120" s="65">
        <v>1571.85</v>
      </c>
      <c r="I120" s="65">
        <v>841.06</v>
      </c>
      <c r="J120" s="65">
        <v>730.79</v>
      </c>
      <c r="K120" s="62">
        <v>5.72</v>
      </c>
      <c r="L120" s="62"/>
      <c r="M120" s="66">
        <f t="shared" si="2"/>
        <v>14271.4</v>
      </c>
      <c r="N120" s="66">
        <f t="shared" si="2"/>
        <v>0</v>
      </c>
      <c r="O120" s="66">
        <f t="shared" si="3"/>
        <v>14271.4</v>
      </c>
    </row>
    <row r="121" spans="1:15" x14ac:dyDescent="0.25">
      <c r="A121" s="62"/>
      <c r="B121" s="62"/>
      <c r="C121" s="63"/>
      <c r="D121" s="62"/>
      <c r="E121" s="62" t="s">
        <v>379</v>
      </c>
      <c r="F121" s="62">
        <v>0.61</v>
      </c>
      <c r="G121" s="64">
        <v>1159</v>
      </c>
      <c r="H121" s="65">
        <v>706.99</v>
      </c>
      <c r="I121" s="65">
        <v>425.38000000000005</v>
      </c>
      <c r="J121" s="65">
        <v>281.6099999999999</v>
      </c>
      <c r="K121" s="62">
        <v>1.37</v>
      </c>
      <c r="L121" s="62"/>
      <c r="M121" s="66">
        <f t="shared" si="2"/>
        <v>1587.8300000000002</v>
      </c>
      <c r="N121" s="66">
        <f t="shared" si="2"/>
        <v>0</v>
      </c>
      <c r="O121" s="66">
        <f t="shared" si="3"/>
        <v>1587.8300000000002</v>
      </c>
    </row>
    <row r="122" spans="1:15" x14ac:dyDescent="0.25">
      <c r="A122" s="62"/>
      <c r="B122" s="62"/>
      <c r="C122" s="63"/>
      <c r="D122" s="62"/>
      <c r="E122" s="62" t="s">
        <v>267</v>
      </c>
      <c r="F122" s="62">
        <v>0.63</v>
      </c>
      <c r="G122" s="64">
        <v>948</v>
      </c>
      <c r="H122" s="65">
        <v>597.2399999999999</v>
      </c>
      <c r="I122" s="65">
        <v>376.36999999999995</v>
      </c>
      <c r="J122" s="65">
        <v>220.86999999999992</v>
      </c>
      <c r="K122" s="62">
        <v>1.48</v>
      </c>
      <c r="L122" s="62"/>
      <c r="M122" s="66">
        <f t="shared" si="2"/>
        <v>1403.04</v>
      </c>
      <c r="N122" s="66">
        <f t="shared" si="2"/>
        <v>0</v>
      </c>
      <c r="O122" s="66">
        <f t="shared" si="3"/>
        <v>1403.04</v>
      </c>
    </row>
    <row r="123" spans="1:15" x14ac:dyDescent="0.25">
      <c r="A123" s="62"/>
      <c r="B123" s="62"/>
      <c r="C123" s="63"/>
      <c r="D123" s="62"/>
      <c r="E123" s="62" t="s">
        <v>268</v>
      </c>
      <c r="F123" s="62">
        <v>0.63</v>
      </c>
      <c r="G123" s="64">
        <v>293</v>
      </c>
      <c r="H123" s="65">
        <v>184.59</v>
      </c>
      <c r="I123" s="65">
        <v>114.58000000000001</v>
      </c>
      <c r="J123" s="65">
        <v>70.010000000000005</v>
      </c>
      <c r="K123" s="62">
        <v>1.48</v>
      </c>
      <c r="L123" s="62"/>
      <c r="M123" s="66">
        <f t="shared" si="2"/>
        <v>433.64</v>
      </c>
      <c r="N123" s="66">
        <f t="shared" si="2"/>
        <v>0</v>
      </c>
      <c r="O123" s="66">
        <f t="shared" si="3"/>
        <v>433.64</v>
      </c>
    </row>
    <row r="124" spans="1:15" x14ac:dyDescent="0.25">
      <c r="A124" s="62"/>
      <c r="B124" s="62"/>
      <c r="C124" s="63" t="s">
        <v>109</v>
      </c>
      <c r="D124" s="62" t="s">
        <v>108</v>
      </c>
      <c r="E124" s="62" t="s">
        <v>258</v>
      </c>
      <c r="F124" s="62">
        <v>0.69999999999999984</v>
      </c>
      <c r="G124" s="64">
        <v>54</v>
      </c>
      <c r="H124" s="65">
        <v>37.799999999999997</v>
      </c>
      <c r="I124" s="65">
        <v>17.740000000000002</v>
      </c>
      <c r="J124" s="65">
        <v>20.060000000000002</v>
      </c>
      <c r="K124" s="62">
        <v>1.71</v>
      </c>
      <c r="L124" s="62"/>
      <c r="M124" s="66">
        <f t="shared" si="2"/>
        <v>92.34</v>
      </c>
      <c r="N124" s="66">
        <f t="shared" si="2"/>
        <v>0</v>
      </c>
      <c r="O124" s="66">
        <f t="shared" si="3"/>
        <v>92.34</v>
      </c>
    </row>
    <row r="125" spans="1:15" x14ac:dyDescent="0.25">
      <c r="A125" s="62"/>
      <c r="B125" s="62"/>
      <c r="C125" s="63"/>
      <c r="D125" s="62"/>
      <c r="E125" s="62" t="s">
        <v>260</v>
      </c>
      <c r="F125" s="62">
        <v>0.7</v>
      </c>
      <c r="G125" s="64">
        <v>4</v>
      </c>
      <c r="H125" s="65">
        <v>2.8</v>
      </c>
      <c r="I125" s="65">
        <v>1.4</v>
      </c>
      <c r="J125" s="65">
        <v>1.4</v>
      </c>
      <c r="K125" s="62">
        <v>1.71</v>
      </c>
      <c r="L125" s="62"/>
      <c r="M125" s="66">
        <f t="shared" si="2"/>
        <v>6.84</v>
      </c>
      <c r="N125" s="66">
        <f t="shared" si="2"/>
        <v>0</v>
      </c>
      <c r="O125" s="66">
        <f t="shared" si="3"/>
        <v>6.84</v>
      </c>
    </row>
    <row r="126" spans="1:15" x14ac:dyDescent="0.25">
      <c r="A126" s="62"/>
      <c r="B126" s="62"/>
      <c r="C126" s="63"/>
      <c r="D126" s="62"/>
      <c r="E126" s="62" t="s">
        <v>262</v>
      </c>
      <c r="F126" s="62">
        <v>0.7</v>
      </c>
      <c r="G126" s="64">
        <v>12</v>
      </c>
      <c r="H126" s="65">
        <v>8.4</v>
      </c>
      <c r="I126" s="65">
        <v>4.07</v>
      </c>
      <c r="J126" s="65">
        <v>4.33</v>
      </c>
      <c r="K126" s="62">
        <v>1.79</v>
      </c>
      <c r="L126" s="62"/>
      <c r="M126" s="66">
        <f t="shared" si="2"/>
        <v>21.48</v>
      </c>
      <c r="N126" s="66">
        <f t="shared" si="2"/>
        <v>0</v>
      </c>
      <c r="O126" s="66">
        <f t="shared" si="3"/>
        <v>21.48</v>
      </c>
    </row>
    <row r="127" spans="1:15" x14ac:dyDescent="0.25">
      <c r="A127" s="62"/>
      <c r="B127" s="62"/>
      <c r="C127" s="63"/>
      <c r="D127" s="62"/>
      <c r="E127" s="62" t="s">
        <v>263</v>
      </c>
      <c r="F127" s="62">
        <v>0.67</v>
      </c>
      <c r="G127" s="64">
        <v>1</v>
      </c>
      <c r="H127" s="65">
        <v>0.67</v>
      </c>
      <c r="I127" s="65">
        <v>0.33</v>
      </c>
      <c r="J127" s="65">
        <v>0.34</v>
      </c>
      <c r="K127" s="62">
        <v>1.93</v>
      </c>
      <c r="L127" s="62"/>
      <c r="M127" s="66">
        <f t="shared" si="2"/>
        <v>1.93</v>
      </c>
      <c r="N127" s="66">
        <f t="shared" si="2"/>
        <v>0</v>
      </c>
      <c r="O127" s="66">
        <f t="shared" si="3"/>
        <v>1.93</v>
      </c>
    </row>
    <row r="128" spans="1:15" x14ac:dyDescent="0.25">
      <c r="A128" s="62"/>
      <c r="B128" s="62"/>
      <c r="C128" s="63"/>
      <c r="D128" s="62"/>
      <c r="E128" s="62" t="s">
        <v>375</v>
      </c>
      <c r="F128" s="62">
        <v>0.70000000000000007</v>
      </c>
      <c r="G128" s="64">
        <v>11605</v>
      </c>
      <c r="H128" s="65">
        <v>8123.5</v>
      </c>
      <c r="I128" s="65">
        <v>3841.63</v>
      </c>
      <c r="J128" s="65">
        <v>4281.87</v>
      </c>
      <c r="K128" s="62">
        <v>5.14</v>
      </c>
      <c r="L128" s="62"/>
      <c r="M128" s="66">
        <f t="shared" si="2"/>
        <v>59649.7</v>
      </c>
      <c r="N128" s="66">
        <f t="shared" si="2"/>
        <v>0</v>
      </c>
      <c r="O128" s="66">
        <f t="shared" si="3"/>
        <v>59649.7</v>
      </c>
    </row>
    <row r="129" spans="1:15" x14ac:dyDescent="0.25">
      <c r="A129" s="62"/>
      <c r="B129" s="62"/>
      <c r="C129" s="63"/>
      <c r="D129" s="62"/>
      <c r="E129" s="62" t="s">
        <v>264</v>
      </c>
      <c r="F129" s="62">
        <v>0.61</v>
      </c>
      <c r="G129" s="64">
        <v>5065</v>
      </c>
      <c r="H129" s="65">
        <v>3089.65</v>
      </c>
      <c r="I129" s="65">
        <v>1790.09</v>
      </c>
      <c r="J129" s="65">
        <v>1299.56</v>
      </c>
      <c r="K129" s="62">
        <v>1.37</v>
      </c>
      <c r="L129" s="62"/>
      <c r="M129" s="66">
        <f t="shared" si="2"/>
        <v>6939.05</v>
      </c>
      <c r="N129" s="66">
        <f t="shared" si="2"/>
        <v>0</v>
      </c>
      <c r="O129" s="66">
        <f t="shared" si="3"/>
        <v>6939.05</v>
      </c>
    </row>
    <row r="130" spans="1:15" x14ac:dyDescent="0.25">
      <c r="A130" s="62"/>
      <c r="B130" s="62"/>
      <c r="C130" s="63"/>
      <c r="D130" s="62"/>
      <c r="E130" s="62" t="s">
        <v>376</v>
      </c>
      <c r="F130" s="62">
        <v>0.61</v>
      </c>
      <c r="G130" s="64">
        <v>4569</v>
      </c>
      <c r="H130" s="65">
        <v>2787.09</v>
      </c>
      <c r="I130" s="65">
        <v>1572.3799999999999</v>
      </c>
      <c r="J130" s="65">
        <v>1214.7099999999998</v>
      </c>
      <c r="K130" s="62">
        <v>5.48</v>
      </c>
      <c r="L130" s="62"/>
      <c r="M130" s="66">
        <f t="shared" si="2"/>
        <v>25038.120000000003</v>
      </c>
      <c r="N130" s="66">
        <f t="shared" si="2"/>
        <v>0</v>
      </c>
      <c r="O130" s="66">
        <f t="shared" si="3"/>
        <v>25038.120000000003</v>
      </c>
    </row>
    <row r="131" spans="1:15" x14ac:dyDescent="0.25">
      <c r="A131" s="62"/>
      <c r="B131" s="62"/>
      <c r="C131" s="63"/>
      <c r="D131" s="62"/>
      <c r="E131" s="62" t="s">
        <v>377</v>
      </c>
      <c r="F131" s="62">
        <v>0.61</v>
      </c>
      <c r="G131" s="64">
        <v>582</v>
      </c>
      <c r="H131" s="65">
        <v>355.02000000000004</v>
      </c>
      <c r="I131" s="65">
        <v>205.86</v>
      </c>
      <c r="J131" s="65">
        <v>149.16</v>
      </c>
      <c r="K131" s="62">
        <v>4.21</v>
      </c>
      <c r="L131" s="62"/>
      <c r="M131" s="66">
        <f t="shared" si="2"/>
        <v>2450.2199999999998</v>
      </c>
      <c r="N131" s="66">
        <f t="shared" si="2"/>
        <v>0</v>
      </c>
      <c r="O131" s="66">
        <f t="shared" si="3"/>
        <v>2450.2199999999998</v>
      </c>
    </row>
    <row r="132" spans="1:15" x14ac:dyDescent="0.25">
      <c r="A132" s="62"/>
      <c r="B132" s="62"/>
      <c r="C132" s="63"/>
      <c r="D132" s="62"/>
      <c r="E132" s="62" t="s">
        <v>266</v>
      </c>
      <c r="F132" s="62">
        <v>0.61</v>
      </c>
      <c r="G132" s="64">
        <v>16</v>
      </c>
      <c r="H132" s="65">
        <v>9.76</v>
      </c>
      <c r="I132" s="65">
        <v>5.53</v>
      </c>
      <c r="J132" s="65">
        <v>4.2300000000000004</v>
      </c>
      <c r="K132" s="62">
        <v>1.4</v>
      </c>
      <c r="L132" s="62"/>
      <c r="M132" s="66">
        <f t="shared" si="2"/>
        <v>22.4</v>
      </c>
      <c r="N132" s="66">
        <f t="shared" si="2"/>
        <v>0</v>
      </c>
      <c r="O132" s="66">
        <f t="shared" si="3"/>
        <v>22.4</v>
      </c>
    </row>
    <row r="133" spans="1:15" x14ac:dyDescent="0.25">
      <c r="A133" s="62"/>
      <c r="B133" s="62"/>
      <c r="C133" s="63"/>
      <c r="D133" s="62"/>
      <c r="E133" s="62" t="s">
        <v>378</v>
      </c>
      <c r="F133" s="62">
        <v>0.63</v>
      </c>
      <c r="G133" s="64">
        <v>1695</v>
      </c>
      <c r="H133" s="65">
        <v>1067.8499999999999</v>
      </c>
      <c r="I133" s="65">
        <v>547.66</v>
      </c>
      <c r="J133" s="65">
        <v>520.18999999999994</v>
      </c>
      <c r="K133" s="62">
        <v>5.72</v>
      </c>
      <c r="L133" s="62"/>
      <c r="M133" s="66">
        <f t="shared" ref="M133:N196" si="4">$G133*K133</f>
        <v>9695.4</v>
      </c>
      <c r="N133" s="66">
        <f t="shared" si="4"/>
        <v>0</v>
      </c>
      <c r="O133" s="66">
        <f t="shared" ref="O133:O196" si="5">M133+N133</f>
        <v>9695.4</v>
      </c>
    </row>
    <row r="134" spans="1:15" x14ac:dyDescent="0.25">
      <c r="A134" s="62"/>
      <c r="B134" s="62"/>
      <c r="C134" s="63"/>
      <c r="D134" s="62"/>
      <c r="E134" s="62" t="s">
        <v>379</v>
      </c>
      <c r="F134" s="62">
        <v>0.61</v>
      </c>
      <c r="G134" s="64">
        <v>2583</v>
      </c>
      <c r="H134" s="65">
        <v>1575.6299999999999</v>
      </c>
      <c r="I134" s="65">
        <v>886.31000000000006</v>
      </c>
      <c r="J134" s="65">
        <v>689.31999999999994</v>
      </c>
      <c r="K134" s="62">
        <v>1.37</v>
      </c>
      <c r="L134" s="62"/>
      <c r="M134" s="66">
        <f t="shared" si="4"/>
        <v>3538.7100000000005</v>
      </c>
      <c r="N134" s="66">
        <f t="shared" si="4"/>
        <v>0</v>
      </c>
      <c r="O134" s="66">
        <f t="shared" si="5"/>
        <v>3538.7100000000005</v>
      </c>
    </row>
    <row r="135" spans="1:15" x14ac:dyDescent="0.25">
      <c r="A135" s="62"/>
      <c r="B135" s="62"/>
      <c r="C135" s="63"/>
      <c r="D135" s="62"/>
      <c r="E135" s="62" t="s">
        <v>267</v>
      </c>
      <c r="F135" s="62">
        <v>0.63</v>
      </c>
      <c r="G135" s="64">
        <v>34</v>
      </c>
      <c r="H135" s="65">
        <v>21.42</v>
      </c>
      <c r="I135" s="65">
        <v>11.72</v>
      </c>
      <c r="J135" s="65">
        <v>9.7000000000000011</v>
      </c>
      <c r="K135" s="62">
        <v>1.48</v>
      </c>
      <c r="L135" s="62"/>
      <c r="M135" s="66">
        <f t="shared" si="4"/>
        <v>50.32</v>
      </c>
      <c r="N135" s="66">
        <f t="shared" si="4"/>
        <v>0</v>
      </c>
      <c r="O135" s="66">
        <f t="shared" si="5"/>
        <v>50.32</v>
      </c>
    </row>
    <row r="136" spans="1:15" x14ac:dyDescent="0.25">
      <c r="A136" s="62"/>
      <c r="B136" s="62"/>
      <c r="C136" s="63"/>
      <c r="D136" s="62"/>
      <c r="E136" s="62" t="s">
        <v>268</v>
      </c>
      <c r="F136" s="62">
        <v>0.63</v>
      </c>
      <c r="G136" s="64">
        <v>194</v>
      </c>
      <c r="H136" s="65">
        <v>122.22000000000001</v>
      </c>
      <c r="I136" s="65">
        <v>65.27</v>
      </c>
      <c r="J136" s="65">
        <v>56.95</v>
      </c>
      <c r="K136" s="62">
        <v>1.48</v>
      </c>
      <c r="L136" s="62"/>
      <c r="M136" s="66">
        <f t="shared" si="4"/>
        <v>287.12</v>
      </c>
      <c r="N136" s="66">
        <f t="shared" si="4"/>
        <v>0</v>
      </c>
      <c r="O136" s="66">
        <f t="shared" si="5"/>
        <v>287.12</v>
      </c>
    </row>
    <row r="137" spans="1:15" x14ac:dyDescent="0.25">
      <c r="A137" s="62"/>
      <c r="B137" s="62"/>
      <c r="C137" s="63" t="s">
        <v>110</v>
      </c>
      <c r="D137" s="62" t="s">
        <v>108</v>
      </c>
      <c r="E137" s="62" t="s">
        <v>258</v>
      </c>
      <c r="F137" s="62">
        <v>0.7</v>
      </c>
      <c r="G137" s="64">
        <v>6</v>
      </c>
      <c r="H137" s="65">
        <v>4.2</v>
      </c>
      <c r="I137" s="65">
        <v>1.86</v>
      </c>
      <c r="J137" s="65">
        <v>2.34</v>
      </c>
      <c r="K137" s="62">
        <v>1.71</v>
      </c>
      <c r="L137" s="62"/>
      <c r="M137" s="66">
        <f t="shared" si="4"/>
        <v>10.26</v>
      </c>
      <c r="N137" s="66">
        <f t="shared" si="4"/>
        <v>0</v>
      </c>
      <c r="O137" s="66">
        <f t="shared" si="5"/>
        <v>10.26</v>
      </c>
    </row>
    <row r="138" spans="1:15" x14ac:dyDescent="0.25">
      <c r="A138" s="62"/>
      <c r="B138" s="62"/>
      <c r="C138" s="63"/>
      <c r="D138" s="62"/>
      <c r="E138" s="62" t="s">
        <v>375</v>
      </c>
      <c r="F138" s="62">
        <v>0.70000000000000007</v>
      </c>
      <c r="G138" s="64">
        <v>8700</v>
      </c>
      <c r="H138" s="65">
        <v>6090</v>
      </c>
      <c r="I138" s="65">
        <v>3142.3500000000004</v>
      </c>
      <c r="J138" s="65">
        <v>2947.6499999999996</v>
      </c>
      <c r="K138" s="62">
        <v>5.14</v>
      </c>
      <c r="L138" s="62"/>
      <c r="M138" s="66">
        <f t="shared" si="4"/>
        <v>44718</v>
      </c>
      <c r="N138" s="66">
        <f t="shared" si="4"/>
        <v>0</v>
      </c>
      <c r="O138" s="66">
        <f t="shared" si="5"/>
        <v>44718</v>
      </c>
    </row>
    <row r="139" spans="1:15" x14ac:dyDescent="0.25">
      <c r="A139" s="62"/>
      <c r="B139" s="62"/>
      <c r="C139" s="63"/>
      <c r="D139" s="62"/>
      <c r="E139" s="62" t="s">
        <v>271</v>
      </c>
      <c r="F139" s="62">
        <v>0.83</v>
      </c>
      <c r="G139" s="64">
        <v>5921</v>
      </c>
      <c r="H139" s="65">
        <v>4914.4299999999994</v>
      </c>
      <c r="I139" s="65">
        <v>2936.0399999999995</v>
      </c>
      <c r="J139" s="65">
        <v>1978.3900000000003</v>
      </c>
      <c r="K139" s="62">
        <v>2.17</v>
      </c>
      <c r="L139" s="62"/>
      <c r="M139" s="66">
        <f t="shared" si="4"/>
        <v>12848.57</v>
      </c>
      <c r="N139" s="66">
        <f t="shared" si="4"/>
        <v>0</v>
      </c>
      <c r="O139" s="66">
        <f t="shared" si="5"/>
        <v>12848.57</v>
      </c>
    </row>
    <row r="140" spans="1:15" x14ac:dyDescent="0.25">
      <c r="A140" s="62"/>
      <c r="B140" s="62"/>
      <c r="C140" s="63"/>
      <c r="D140" s="62"/>
      <c r="E140" s="62" t="s">
        <v>272</v>
      </c>
      <c r="F140" s="62">
        <v>0.84</v>
      </c>
      <c r="G140" s="64">
        <v>365</v>
      </c>
      <c r="H140" s="65">
        <v>306.59999999999997</v>
      </c>
      <c r="I140" s="65">
        <v>188.78</v>
      </c>
      <c r="J140" s="65">
        <v>117.82000000000001</v>
      </c>
      <c r="K140" s="62">
        <v>2.39</v>
      </c>
      <c r="L140" s="62"/>
      <c r="M140" s="66">
        <f t="shared" si="4"/>
        <v>872.35</v>
      </c>
      <c r="N140" s="66">
        <f t="shared" si="4"/>
        <v>0</v>
      </c>
      <c r="O140" s="66">
        <f t="shared" si="5"/>
        <v>872.35</v>
      </c>
    </row>
    <row r="141" spans="1:15" x14ac:dyDescent="0.25">
      <c r="A141" s="62"/>
      <c r="B141" s="62"/>
      <c r="C141" s="63"/>
      <c r="D141" s="62"/>
      <c r="E141" s="62" t="s">
        <v>376</v>
      </c>
      <c r="F141" s="62">
        <v>0.61</v>
      </c>
      <c r="G141" s="64">
        <v>2645</v>
      </c>
      <c r="H141" s="65">
        <v>1613.45</v>
      </c>
      <c r="I141" s="65">
        <v>901.43000000000006</v>
      </c>
      <c r="J141" s="65">
        <v>712.0200000000001</v>
      </c>
      <c r="K141" s="62">
        <v>5.48</v>
      </c>
      <c r="L141" s="62"/>
      <c r="M141" s="66">
        <f t="shared" si="4"/>
        <v>14494.6</v>
      </c>
      <c r="N141" s="66">
        <f t="shared" si="4"/>
        <v>0</v>
      </c>
      <c r="O141" s="66">
        <f t="shared" si="5"/>
        <v>14494.6</v>
      </c>
    </row>
    <row r="142" spans="1:15" x14ac:dyDescent="0.25">
      <c r="A142" s="62"/>
      <c r="B142" s="62"/>
      <c r="C142" s="63"/>
      <c r="D142" s="62"/>
      <c r="E142" s="62" t="s">
        <v>265</v>
      </c>
      <c r="F142" s="62">
        <v>0.61</v>
      </c>
      <c r="G142" s="64">
        <v>25</v>
      </c>
      <c r="H142" s="65">
        <v>15.25</v>
      </c>
      <c r="I142" s="65">
        <v>12.47</v>
      </c>
      <c r="J142" s="65">
        <v>2.7799999999999994</v>
      </c>
      <c r="K142" s="62">
        <v>1.4</v>
      </c>
      <c r="L142" s="62"/>
      <c r="M142" s="66">
        <f t="shared" si="4"/>
        <v>35</v>
      </c>
      <c r="N142" s="66">
        <f t="shared" si="4"/>
        <v>0</v>
      </c>
      <c r="O142" s="66">
        <f t="shared" si="5"/>
        <v>35</v>
      </c>
    </row>
    <row r="143" spans="1:15" x14ac:dyDescent="0.25">
      <c r="A143" s="62"/>
      <c r="B143" s="62"/>
      <c r="C143" s="63"/>
      <c r="D143" s="62"/>
      <c r="E143" s="62" t="s">
        <v>377</v>
      </c>
      <c r="F143" s="62">
        <v>0.61</v>
      </c>
      <c r="G143" s="64">
        <v>2680</v>
      </c>
      <c r="H143" s="65">
        <v>1634.8</v>
      </c>
      <c r="I143" s="65">
        <v>879.25</v>
      </c>
      <c r="J143" s="65">
        <v>755.55</v>
      </c>
      <c r="K143" s="62">
        <v>4.21</v>
      </c>
      <c r="L143" s="62"/>
      <c r="M143" s="66">
        <f t="shared" si="4"/>
        <v>11282.8</v>
      </c>
      <c r="N143" s="66">
        <f t="shared" si="4"/>
        <v>0</v>
      </c>
      <c r="O143" s="66">
        <f t="shared" si="5"/>
        <v>11282.8</v>
      </c>
    </row>
    <row r="144" spans="1:15" x14ac:dyDescent="0.25">
      <c r="A144" s="62"/>
      <c r="B144" s="62"/>
      <c r="C144" s="63"/>
      <c r="D144" s="62"/>
      <c r="E144" s="62" t="s">
        <v>378</v>
      </c>
      <c r="F144" s="62">
        <v>0.63</v>
      </c>
      <c r="G144" s="64">
        <v>2855</v>
      </c>
      <c r="H144" s="65">
        <v>1798.65</v>
      </c>
      <c r="I144" s="65">
        <v>883.55</v>
      </c>
      <c r="J144" s="65">
        <v>915.10000000000014</v>
      </c>
      <c r="K144" s="62">
        <v>5.72</v>
      </c>
      <c r="L144" s="62"/>
      <c r="M144" s="66">
        <f t="shared" si="4"/>
        <v>16330.599999999999</v>
      </c>
      <c r="N144" s="66">
        <f t="shared" si="4"/>
        <v>0</v>
      </c>
      <c r="O144" s="66">
        <f t="shared" si="5"/>
        <v>16330.599999999999</v>
      </c>
    </row>
    <row r="145" spans="1:15" x14ac:dyDescent="0.25">
      <c r="A145" s="62"/>
      <c r="B145" s="62"/>
      <c r="C145" s="63"/>
      <c r="D145" s="62"/>
      <c r="E145" s="62" t="s">
        <v>267</v>
      </c>
      <c r="F145" s="62">
        <v>0.63</v>
      </c>
      <c r="G145" s="64">
        <v>13</v>
      </c>
      <c r="H145" s="65">
        <v>8.19</v>
      </c>
      <c r="I145" s="65">
        <v>4.2699999999999996</v>
      </c>
      <c r="J145" s="65">
        <v>3.92</v>
      </c>
      <c r="K145" s="62">
        <v>1.48</v>
      </c>
      <c r="L145" s="62"/>
      <c r="M145" s="66">
        <f t="shared" si="4"/>
        <v>19.239999999999998</v>
      </c>
      <c r="N145" s="66">
        <f t="shared" si="4"/>
        <v>0</v>
      </c>
      <c r="O145" s="66">
        <f t="shared" si="5"/>
        <v>19.239999999999998</v>
      </c>
    </row>
    <row r="146" spans="1:15" x14ac:dyDescent="0.25">
      <c r="A146" s="62"/>
      <c r="B146" s="62"/>
      <c r="C146" s="63" t="s">
        <v>111</v>
      </c>
      <c r="D146" s="62" t="s">
        <v>108</v>
      </c>
      <c r="E146" s="62" t="s">
        <v>258</v>
      </c>
      <c r="F146" s="62">
        <v>0.69999999999999984</v>
      </c>
      <c r="G146" s="64">
        <v>123</v>
      </c>
      <c r="H146" s="65">
        <v>86.1</v>
      </c>
      <c r="I146" s="65">
        <v>43.449999999999996</v>
      </c>
      <c r="J146" s="65">
        <v>42.65</v>
      </c>
      <c r="K146" s="62">
        <v>1.71</v>
      </c>
      <c r="L146" s="62"/>
      <c r="M146" s="66">
        <f t="shared" si="4"/>
        <v>210.32999999999998</v>
      </c>
      <c r="N146" s="66">
        <f t="shared" si="4"/>
        <v>0</v>
      </c>
      <c r="O146" s="66">
        <f t="shared" si="5"/>
        <v>210.32999999999998</v>
      </c>
    </row>
    <row r="147" spans="1:15" x14ac:dyDescent="0.25">
      <c r="A147" s="62"/>
      <c r="B147" s="62"/>
      <c r="C147" s="63"/>
      <c r="D147" s="62"/>
      <c r="E147" s="62" t="s">
        <v>259</v>
      </c>
      <c r="F147" s="62">
        <v>0.67</v>
      </c>
      <c r="G147" s="64">
        <v>1</v>
      </c>
      <c r="H147" s="65">
        <v>0.67</v>
      </c>
      <c r="I147" s="65">
        <v>0.34</v>
      </c>
      <c r="J147" s="65">
        <v>0.33</v>
      </c>
      <c r="K147" s="62">
        <v>1.83</v>
      </c>
      <c r="L147" s="62"/>
      <c r="M147" s="66">
        <f t="shared" si="4"/>
        <v>1.83</v>
      </c>
      <c r="N147" s="66">
        <f t="shared" si="4"/>
        <v>0</v>
      </c>
      <c r="O147" s="66">
        <f t="shared" si="5"/>
        <v>1.83</v>
      </c>
    </row>
    <row r="148" spans="1:15" x14ac:dyDescent="0.25">
      <c r="A148" s="62"/>
      <c r="B148" s="62"/>
      <c r="C148" s="63"/>
      <c r="D148" s="62"/>
      <c r="E148" s="62" t="s">
        <v>375</v>
      </c>
      <c r="F148" s="62">
        <v>0.70000000000000007</v>
      </c>
      <c r="G148" s="64">
        <v>11660</v>
      </c>
      <c r="H148" s="65">
        <v>8162</v>
      </c>
      <c r="I148" s="65">
        <v>4256.45</v>
      </c>
      <c r="J148" s="65">
        <v>3905.55</v>
      </c>
      <c r="K148" s="62">
        <v>5.14</v>
      </c>
      <c r="L148" s="62"/>
      <c r="M148" s="66">
        <f t="shared" si="4"/>
        <v>59932.399999999994</v>
      </c>
      <c r="N148" s="66">
        <f t="shared" si="4"/>
        <v>0</v>
      </c>
      <c r="O148" s="66">
        <f t="shared" si="5"/>
        <v>59932.399999999994</v>
      </c>
    </row>
    <row r="149" spans="1:15" x14ac:dyDescent="0.25">
      <c r="A149" s="62"/>
      <c r="B149" s="62"/>
      <c r="C149" s="63"/>
      <c r="D149" s="62"/>
      <c r="E149" s="62" t="s">
        <v>271</v>
      </c>
      <c r="F149" s="62">
        <v>0.83</v>
      </c>
      <c r="G149" s="64">
        <v>5173</v>
      </c>
      <c r="H149" s="65">
        <v>4293.59</v>
      </c>
      <c r="I149" s="65">
        <v>2716.12</v>
      </c>
      <c r="J149" s="65">
        <v>1577.47</v>
      </c>
      <c r="K149" s="62">
        <v>2.17</v>
      </c>
      <c r="L149" s="62"/>
      <c r="M149" s="66">
        <f t="shared" si="4"/>
        <v>11225.41</v>
      </c>
      <c r="N149" s="66">
        <f t="shared" si="4"/>
        <v>0</v>
      </c>
      <c r="O149" s="66">
        <f t="shared" si="5"/>
        <v>11225.41</v>
      </c>
    </row>
    <row r="150" spans="1:15" x14ac:dyDescent="0.25">
      <c r="A150" s="62"/>
      <c r="B150" s="62"/>
      <c r="C150" s="63"/>
      <c r="D150" s="62"/>
      <c r="E150" s="62" t="s">
        <v>272</v>
      </c>
      <c r="F150" s="62">
        <v>0.84</v>
      </c>
      <c r="G150" s="64">
        <v>15</v>
      </c>
      <c r="H150" s="65">
        <v>12.600000000000001</v>
      </c>
      <c r="I150" s="65">
        <v>6.56</v>
      </c>
      <c r="J150" s="65">
        <v>6.0400000000000009</v>
      </c>
      <c r="K150" s="62">
        <v>2.39</v>
      </c>
      <c r="L150" s="62"/>
      <c r="M150" s="66">
        <f t="shared" si="4"/>
        <v>35.85</v>
      </c>
      <c r="N150" s="66">
        <f t="shared" si="4"/>
        <v>0</v>
      </c>
      <c r="O150" s="66">
        <f t="shared" si="5"/>
        <v>35.85</v>
      </c>
    </row>
    <row r="151" spans="1:15" x14ac:dyDescent="0.25">
      <c r="A151" s="62"/>
      <c r="B151" s="62"/>
      <c r="C151" s="63"/>
      <c r="D151" s="62"/>
      <c r="E151" s="62" t="s">
        <v>376</v>
      </c>
      <c r="F151" s="62">
        <v>0.61</v>
      </c>
      <c r="G151" s="64">
        <v>2539</v>
      </c>
      <c r="H151" s="65">
        <v>1548.79</v>
      </c>
      <c r="I151" s="65">
        <v>889.21</v>
      </c>
      <c r="J151" s="65">
        <v>659.58</v>
      </c>
      <c r="K151" s="62">
        <v>5.48</v>
      </c>
      <c r="L151" s="62"/>
      <c r="M151" s="66">
        <f t="shared" si="4"/>
        <v>13913.720000000001</v>
      </c>
      <c r="N151" s="66">
        <f t="shared" si="4"/>
        <v>0</v>
      </c>
      <c r="O151" s="66">
        <f t="shared" si="5"/>
        <v>13913.720000000001</v>
      </c>
    </row>
    <row r="152" spans="1:15" x14ac:dyDescent="0.25">
      <c r="A152" s="62"/>
      <c r="B152" s="62"/>
      <c r="C152" s="63"/>
      <c r="D152" s="62"/>
      <c r="E152" s="62" t="s">
        <v>265</v>
      </c>
      <c r="F152" s="62">
        <v>0.61</v>
      </c>
      <c r="G152" s="64">
        <v>25</v>
      </c>
      <c r="H152" s="65">
        <v>15.25</v>
      </c>
      <c r="I152" s="65">
        <v>12.13</v>
      </c>
      <c r="J152" s="65">
        <v>3.1199999999999992</v>
      </c>
      <c r="K152" s="62">
        <v>1.4</v>
      </c>
      <c r="L152" s="62"/>
      <c r="M152" s="66">
        <f t="shared" si="4"/>
        <v>35</v>
      </c>
      <c r="N152" s="66">
        <f t="shared" si="4"/>
        <v>0</v>
      </c>
      <c r="O152" s="66">
        <f t="shared" si="5"/>
        <v>35</v>
      </c>
    </row>
    <row r="153" spans="1:15" x14ac:dyDescent="0.25">
      <c r="A153" s="62"/>
      <c r="B153" s="62"/>
      <c r="C153" s="63"/>
      <c r="D153" s="62"/>
      <c r="E153" s="62" t="s">
        <v>377</v>
      </c>
      <c r="F153" s="62">
        <v>0.61</v>
      </c>
      <c r="G153" s="64">
        <v>2347</v>
      </c>
      <c r="H153" s="65">
        <v>1431.67</v>
      </c>
      <c r="I153" s="65">
        <v>831.49</v>
      </c>
      <c r="J153" s="65">
        <v>600.17999999999995</v>
      </c>
      <c r="K153" s="62">
        <v>4.21</v>
      </c>
      <c r="L153" s="62"/>
      <c r="M153" s="66">
        <f t="shared" si="4"/>
        <v>9880.8700000000008</v>
      </c>
      <c r="N153" s="66">
        <f t="shared" si="4"/>
        <v>0</v>
      </c>
      <c r="O153" s="66">
        <f t="shared" si="5"/>
        <v>9880.8700000000008</v>
      </c>
    </row>
    <row r="154" spans="1:15" x14ac:dyDescent="0.25">
      <c r="A154" s="62"/>
      <c r="B154" s="62"/>
      <c r="C154" s="63"/>
      <c r="D154" s="62"/>
      <c r="E154" s="62" t="s">
        <v>378</v>
      </c>
      <c r="F154" s="62">
        <v>0.63</v>
      </c>
      <c r="G154" s="64">
        <v>500</v>
      </c>
      <c r="H154" s="65">
        <v>315</v>
      </c>
      <c r="I154" s="65">
        <v>173.11</v>
      </c>
      <c r="J154" s="65">
        <v>141.88999999999999</v>
      </c>
      <c r="K154" s="62">
        <v>5.72</v>
      </c>
      <c r="L154" s="62"/>
      <c r="M154" s="66">
        <f t="shared" si="4"/>
        <v>2860</v>
      </c>
      <c r="N154" s="66">
        <f t="shared" si="4"/>
        <v>0</v>
      </c>
      <c r="O154" s="66">
        <f t="shared" si="5"/>
        <v>2860</v>
      </c>
    </row>
    <row r="155" spans="1:15" x14ac:dyDescent="0.25">
      <c r="A155" s="62"/>
      <c r="B155" s="62"/>
      <c r="C155" s="63"/>
      <c r="D155" s="62"/>
      <c r="E155" s="62" t="s">
        <v>267</v>
      </c>
      <c r="F155" s="62">
        <v>0.63</v>
      </c>
      <c r="G155" s="64">
        <v>56</v>
      </c>
      <c r="H155" s="65">
        <v>35.28</v>
      </c>
      <c r="I155" s="65">
        <v>21.12</v>
      </c>
      <c r="J155" s="65">
        <v>14.16</v>
      </c>
      <c r="K155" s="62">
        <v>1.48</v>
      </c>
      <c r="L155" s="62"/>
      <c r="M155" s="66">
        <f t="shared" si="4"/>
        <v>82.88</v>
      </c>
      <c r="N155" s="66">
        <f t="shared" si="4"/>
        <v>0</v>
      </c>
      <c r="O155" s="66">
        <f t="shared" si="5"/>
        <v>82.88</v>
      </c>
    </row>
    <row r="156" spans="1:15" x14ac:dyDescent="0.25">
      <c r="A156" s="62"/>
      <c r="B156" s="62"/>
      <c r="C156" s="63" t="s">
        <v>112</v>
      </c>
      <c r="D156" s="62" t="s">
        <v>108</v>
      </c>
      <c r="E156" s="62" t="s">
        <v>375</v>
      </c>
      <c r="F156" s="62">
        <v>0.7</v>
      </c>
      <c r="G156" s="64">
        <v>8070</v>
      </c>
      <c r="H156" s="65">
        <v>5649</v>
      </c>
      <c r="I156" s="65">
        <v>2659.23</v>
      </c>
      <c r="J156" s="65">
        <v>2989.77</v>
      </c>
      <c r="K156" s="62">
        <v>5.14</v>
      </c>
      <c r="L156" s="62"/>
      <c r="M156" s="66">
        <f t="shared" si="4"/>
        <v>41479.799999999996</v>
      </c>
      <c r="N156" s="66">
        <f t="shared" si="4"/>
        <v>0</v>
      </c>
      <c r="O156" s="66">
        <f t="shared" si="5"/>
        <v>41479.799999999996</v>
      </c>
    </row>
    <row r="157" spans="1:15" x14ac:dyDescent="0.25">
      <c r="A157" s="62"/>
      <c r="B157" s="62"/>
      <c r="C157" s="63"/>
      <c r="D157" s="62"/>
      <c r="E157" s="62" t="s">
        <v>264</v>
      </c>
      <c r="F157" s="62">
        <v>0.61</v>
      </c>
      <c r="G157" s="64">
        <v>10439</v>
      </c>
      <c r="H157" s="65">
        <v>6367.79</v>
      </c>
      <c r="I157" s="65">
        <v>3288.55</v>
      </c>
      <c r="J157" s="65">
        <v>3079.24</v>
      </c>
      <c r="K157" s="62">
        <v>1.37</v>
      </c>
      <c r="L157" s="62"/>
      <c r="M157" s="66">
        <f t="shared" si="4"/>
        <v>14301.43</v>
      </c>
      <c r="N157" s="66">
        <f t="shared" si="4"/>
        <v>0</v>
      </c>
      <c r="O157" s="66">
        <f t="shared" si="5"/>
        <v>14301.43</v>
      </c>
    </row>
    <row r="158" spans="1:15" x14ac:dyDescent="0.25">
      <c r="A158" s="62"/>
      <c r="B158" s="62"/>
      <c r="C158" s="63"/>
      <c r="D158" s="62"/>
      <c r="E158" s="62" t="s">
        <v>376</v>
      </c>
      <c r="F158" s="62">
        <v>0.61</v>
      </c>
      <c r="G158" s="64">
        <v>5035</v>
      </c>
      <c r="H158" s="65">
        <v>3071.35</v>
      </c>
      <c r="I158" s="65">
        <v>1608.77</v>
      </c>
      <c r="J158" s="65">
        <v>1462.58</v>
      </c>
      <c r="K158" s="62">
        <v>5.48</v>
      </c>
      <c r="L158" s="62"/>
      <c r="M158" s="66">
        <f t="shared" si="4"/>
        <v>27591.800000000003</v>
      </c>
      <c r="N158" s="66">
        <f t="shared" si="4"/>
        <v>0</v>
      </c>
      <c r="O158" s="66">
        <f t="shared" si="5"/>
        <v>27591.800000000003</v>
      </c>
    </row>
    <row r="159" spans="1:15" x14ac:dyDescent="0.25">
      <c r="A159" s="62"/>
      <c r="B159" s="62"/>
      <c r="C159" s="63"/>
      <c r="D159" s="62"/>
      <c r="E159" s="62" t="s">
        <v>377</v>
      </c>
      <c r="F159" s="62">
        <v>0.61</v>
      </c>
      <c r="G159" s="64">
        <v>515</v>
      </c>
      <c r="H159" s="65">
        <v>314.14999999999998</v>
      </c>
      <c r="I159" s="65">
        <v>159.82</v>
      </c>
      <c r="J159" s="65">
        <v>154.32999999999998</v>
      </c>
      <c r="K159" s="62">
        <v>4.21</v>
      </c>
      <c r="L159" s="62"/>
      <c r="M159" s="66">
        <f t="shared" si="4"/>
        <v>2168.15</v>
      </c>
      <c r="N159" s="66">
        <f t="shared" si="4"/>
        <v>0</v>
      </c>
      <c r="O159" s="66">
        <f t="shared" si="5"/>
        <v>2168.15</v>
      </c>
    </row>
    <row r="160" spans="1:15" x14ac:dyDescent="0.25">
      <c r="A160" s="62"/>
      <c r="B160" s="62"/>
      <c r="C160" s="63"/>
      <c r="D160" s="62"/>
      <c r="E160" s="62" t="s">
        <v>266</v>
      </c>
      <c r="F160" s="62">
        <v>0.61</v>
      </c>
      <c r="G160" s="64">
        <v>14</v>
      </c>
      <c r="H160" s="65">
        <v>8.5399999999999991</v>
      </c>
      <c r="I160" s="65">
        <v>4.34</v>
      </c>
      <c r="J160" s="65">
        <v>4.1999999999999993</v>
      </c>
      <c r="K160" s="62">
        <v>1.4</v>
      </c>
      <c r="L160" s="62"/>
      <c r="M160" s="66">
        <f t="shared" si="4"/>
        <v>19.599999999999998</v>
      </c>
      <c r="N160" s="66">
        <f t="shared" si="4"/>
        <v>0</v>
      </c>
      <c r="O160" s="66">
        <f t="shared" si="5"/>
        <v>19.599999999999998</v>
      </c>
    </row>
    <row r="161" spans="1:15" x14ac:dyDescent="0.25">
      <c r="A161" s="62"/>
      <c r="B161" s="62"/>
      <c r="C161" s="63"/>
      <c r="D161" s="62"/>
      <c r="E161" s="62" t="s">
        <v>378</v>
      </c>
      <c r="F161" s="62">
        <v>0.63</v>
      </c>
      <c r="G161" s="64">
        <v>2805</v>
      </c>
      <c r="H161" s="65">
        <v>1767.15</v>
      </c>
      <c r="I161" s="65">
        <v>895</v>
      </c>
      <c r="J161" s="65">
        <v>872.15000000000009</v>
      </c>
      <c r="K161" s="62">
        <v>5.72</v>
      </c>
      <c r="L161" s="62"/>
      <c r="M161" s="66">
        <f t="shared" si="4"/>
        <v>16044.599999999999</v>
      </c>
      <c r="N161" s="66">
        <f t="shared" si="4"/>
        <v>0</v>
      </c>
      <c r="O161" s="66">
        <f t="shared" si="5"/>
        <v>16044.599999999999</v>
      </c>
    </row>
    <row r="162" spans="1:15" x14ac:dyDescent="0.25">
      <c r="A162" s="62"/>
      <c r="B162" s="62"/>
      <c r="C162" s="63"/>
      <c r="D162" s="62"/>
      <c r="E162" s="62" t="s">
        <v>379</v>
      </c>
      <c r="F162" s="62">
        <v>0.61</v>
      </c>
      <c r="G162" s="64">
        <v>929</v>
      </c>
      <c r="H162" s="65">
        <v>566.69000000000005</v>
      </c>
      <c r="I162" s="65">
        <v>306.77</v>
      </c>
      <c r="J162" s="65">
        <v>259.92</v>
      </c>
      <c r="K162" s="62">
        <v>1.37</v>
      </c>
      <c r="L162" s="62"/>
      <c r="M162" s="66">
        <f t="shared" si="4"/>
        <v>1272.73</v>
      </c>
      <c r="N162" s="66">
        <f t="shared" si="4"/>
        <v>0</v>
      </c>
      <c r="O162" s="66">
        <f t="shared" si="5"/>
        <v>1272.73</v>
      </c>
    </row>
    <row r="163" spans="1:15" x14ac:dyDescent="0.25">
      <c r="A163" s="62"/>
      <c r="B163" s="62"/>
      <c r="C163" s="63"/>
      <c r="D163" s="62"/>
      <c r="E163" s="62" t="s">
        <v>268</v>
      </c>
      <c r="F163" s="62">
        <v>0.63</v>
      </c>
      <c r="G163" s="64">
        <v>87</v>
      </c>
      <c r="H163" s="65">
        <v>54.81</v>
      </c>
      <c r="I163" s="65">
        <v>27.519999999999996</v>
      </c>
      <c r="J163" s="65">
        <v>27.290000000000003</v>
      </c>
      <c r="K163" s="62">
        <v>1.48</v>
      </c>
      <c r="L163" s="62"/>
      <c r="M163" s="66">
        <f t="shared" si="4"/>
        <v>128.76</v>
      </c>
      <c r="N163" s="66">
        <f t="shared" si="4"/>
        <v>0</v>
      </c>
      <c r="O163" s="66">
        <f t="shared" si="5"/>
        <v>128.76</v>
      </c>
    </row>
    <row r="164" spans="1:15" x14ac:dyDescent="0.25">
      <c r="A164" s="62"/>
      <c r="B164" s="62"/>
      <c r="C164" s="63" t="s">
        <v>113</v>
      </c>
      <c r="D164" s="62" t="s">
        <v>108</v>
      </c>
      <c r="E164" s="62" t="s">
        <v>258</v>
      </c>
      <c r="F164" s="62">
        <v>0.7</v>
      </c>
      <c r="G164" s="64">
        <v>42</v>
      </c>
      <c r="H164" s="65">
        <v>29.4</v>
      </c>
      <c r="I164" s="65">
        <v>13.93</v>
      </c>
      <c r="J164" s="65">
        <v>15.469999999999999</v>
      </c>
      <c r="K164" s="62">
        <v>1.71</v>
      </c>
      <c r="L164" s="62"/>
      <c r="M164" s="66">
        <f t="shared" si="4"/>
        <v>71.819999999999993</v>
      </c>
      <c r="N164" s="66">
        <f t="shared" si="4"/>
        <v>0</v>
      </c>
      <c r="O164" s="66">
        <f t="shared" si="5"/>
        <v>71.819999999999993</v>
      </c>
    </row>
    <row r="165" spans="1:15" x14ac:dyDescent="0.25">
      <c r="A165" s="62"/>
      <c r="B165" s="62"/>
      <c r="C165" s="63"/>
      <c r="D165" s="62"/>
      <c r="E165" s="62" t="s">
        <v>375</v>
      </c>
      <c r="F165" s="62">
        <v>0.70000000000000007</v>
      </c>
      <c r="G165" s="64">
        <v>9497</v>
      </c>
      <c r="H165" s="65">
        <v>6647.9000000000005</v>
      </c>
      <c r="I165" s="65">
        <v>3145.64</v>
      </c>
      <c r="J165" s="65">
        <v>3502.26</v>
      </c>
      <c r="K165" s="62">
        <v>5.14</v>
      </c>
      <c r="L165" s="62"/>
      <c r="M165" s="66">
        <f t="shared" si="4"/>
        <v>48814.579999999994</v>
      </c>
      <c r="N165" s="66">
        <f t="shared" si="4"/>
        <v>0</v>
      </c>
      <c r="O165" s="66">
        <f t="shared" si="5"/>
        <v>48814.579999999994</v>
      </c>
    </row>
    <row r="166" spans="1:15" x14ac:dyDescent="0.25">
      <c r="A166" s="62"/>
      <c r="B166" s="62"/>
      <c r="C166" s="63"/>
      <c r="D166" s="62"/>
      <c r="E166" s="62" t="s">
        <v>264</v>
      </c>
      <c r="F166" s="62">
        <v>0.61</v>
      </c>
      <c r="G166" s="64">
        <v>7424</v>
      </c>
      <c r="H166" s="65">
        <v>4528.6400000000003</v>
      </c>
      <c r="I166" s="65">
        <v>2531.4700000000003</v>
      </c>
      <c r="J166" s="65">
        <v>1997.17</v>
      </c>
      <c r="K166" s="62">
        <v>1.37</v>
      </c>
      <c r="L166" s="62"/>
      <c r="M166" s="66">
        <f t="shared" si="4"/>
        <v>10170.880000000001</v>
      </c>
      <c r="N166" s="66">
        <f t="shared" si="4"/>
        <v>0</v>
      </c>
      <c r="O166" s="66">
        <f t="shared" si="5"/>
        <v>10170.880000000001</v>
      </c>
    </row>
    <row r="167" spans="1:15" x14ac:dyDescent="0.25">
      <c r="A167" s="62"/>
      <c r="B167" s="62"/>
      <c r="C167" s="63"/>
      <c r="D167" s="62"/>
      <c r="E167" s="62" t="s">
        <v>376</v>
      </c>
      <c r="F167" s="62">
        <v>0.61</v>
      </c>
      <c r="G167" s="64">
        <v>3842</v>
      </c>
      <c r="H167" s="65">
        <v>2343.62</v>
      </c>
      <c r="I167" s="65">
        <v>1288.6399999999999</v>
      </c>
      <c r="J167" s="65">
        <v>1054.98</v>
      </c>
      <c r="K167" s="62">
        <v>5.48</v>
      </c>
      <c r="L167" s="62"/>
      <c r="M167" s="66">
        <f t="shared" si="4"/>
        <v>21054.16</v>
      </c>
      <c r="N167" s="66">
        <f t="shared" si="4"/>
        <v>0</v>
      </c>
      <c r="O167" s="66">
        <f t="shared" si="5"/>
        <v>21054.16</v>
      </c>
    </row>
    <row r="168" spans="1:15" x14ac:dyDescent="0.25">
      <c r="A168" s="62"/>
      <c r="B168" s="62"/>
      <c r="C168" s="63"/>
      <c r="D168" s="62"/>
      <c r="E168" s="62" t="s">
        <v>377</v>
      </c>
      <c r="F168" s="62">
        <v>0.61</v>
      </c>
      <c r="G168" s="64">
        <v>1893</v>
      </c>
      <c r="H168" s="65">
        <v>1154.73</v>
      </c>
      <c r="I168" s="65">
        <v>605.08000000000004</v>
      </c>
      <c r="J168" s="65">
        <v>549.65</v>
      </c>
      <c r="K168" s="62">
        <v>4.21</v>
      </c>
      <c r="L168" s="62"/>
      <c r="M168" s="66">
        <f t="shared" si="4"/>
        <v>7969.53</v>
      </c>
      <c r="N168" s="66">
        <f t="shared" si="4"/>
        <v>0</v>
      </c>
      <c r="O168" s="66">
        <f t="shared" si="5"/>
        <v>7969.53</v>
      </c>
    </row>
    <row r="169" spans="1:15" x14ac:dyDescent="0.25">
      <c r="A169" s="62"/>
      <c r="B169" s="62"/>
      <c r="C169" s="63"/>
      <c r="D169" s="62"/>
      <c r="E169" s="62" t="s">
        <v>266</v>
      </c>
      <c r="F169" s="62">
        <v>0.61</v>
      </c>
      <c r="G169" s="64">
        <v>31</v>
      </c>
      <c r="H169" s="65">
        <v>18.909999999999997</v>
      </c>
      <c r="I169" s="65">
        <v>11.190000000000001</v>
      </c>
      <c r="J169" s="65">
        <v>7.719999999999998</v>
      </c>
      <c r="K169" s="62">
        <v>1.4</v>
      </c>
      <c r="L169" s="62"/>
      <c r="M169" s="66">
        <f t="shared" si="4"/>
        <v>43.4</v>
      </c>
      <c r="N169" s="66">
        <f t="shared" si="4"/>
        <v>0</v>
      </c>
      <c r="O169" s="66">
        <f t="shared" si="5"/>
        <v>43.4</v>
      </c>
    </row>
    <row r="170" spans="1:15" x14ac:dyDescent="0.25">
      <c r="A170" s="62"/>
      <c r="B170" s="62"/>
      <c r="C170" s="63"/>
      <c r="D170" s="62"/>
      <c r="E170" s="62" t="s">
        <v>378</v>
      </c>
      <c r="F170" s="62">
        <v>0.63</v>
      </c>
      <c r="G170" s="64">
        <v>1070</v>
      </c>
      <c r="H170" s="65">
        <v>674.1</v>
      </c>
      <c r="I170" s="65">
        <v>350.27</v>
      </c>
      <c r="J170" s="65">
        <v>323.83000000000004</v>
      </c>
      <c r="K170" s="62">
        <v>5.72</v>
      </c>
      <c r="L170" s="62"/>
      <c r="M170" s="66">
        <f t="shared" si="4"/>
        <v>6120.4</v>
      </c>
      <c r="N170" s="66">
        <f t="shared" si="4"/>
        <v>0</v>
      </c>
      <c r="O170" s="66">
        <f t="shared" si="5"/>
        <v>6120.4</v>
      </c>
    </row>
    <row r="171" spans="1:15" x14ac:dyDescent="0.25">
      <c r="A171" s="62"/>
      <c r="B171" s="62"/>
      <c r="C171" s="63"/>
      <c r="D171" s="62"/>
      <c r="E171" s="62" t="s">
        <v>379</v>
      </c>
      <c r="F171" s="62">
        <v>0.61</v>
      </c>
      <c r="G171" s="64">
        <v>2813</v>
      </c>
      <c r="H171" s="65">
        <v>1715.93</v>
      </c>
      <c r="I171" s="65">
        <v>994.88</v>
      </c>
      <c r="J171" s="65">
        <v>721.05</v>
      </c>
      <c r="K171" s="62">
        <v>1.37</v>
      </c>
      <c r="L171" s="62"/>
      <c r="M171" s="66">
        <f t="shared" si="4"/>
        <v>3853.8100000000004</v>
      </c>
      <c r="N171" s="66">
        <f t="shared" si="4"/>
        <v>0</v>
      </c>
      <c r="O171" s="66">
        <f t="shared" si="5"/>
        <v>3853.8100000000004</v>
      </c>
    </row>
    <row r="172" spans="1:15" x14ac:dyDescent="0.25">
      <c r="A172" s="62"/>
      <c r="B172" s="62"/>
      <c r="C172" s="63"/>
      <c r="D172" s="62"/>
      <c r="E172" s="62" t="s">
        <v>268</v>
      </c>
      <c r="F172" s="62">
        <v>0.63</v>
      </c>
      <c r="G172" s="64">
        <v>25</v>
      </c>
      <c r="H172" s="65">
        <v>15.75</v>
      </c>
      <c r="I172" s="65">
        <v>8.89</v>
      </c>
      <c r="J172" s="65">
        <v>6.8599999999999994</v>
      </c>
      <c r="K172" s="62">
        <v>1.48</v>
      </c>
      <c r="L172" s="62"/>
      <c r="M172" s="66">
        <f t="shared" si="4"/>
        <v>37</v>
      </c>
      <c r="N172" s="66">
        <f t="shared" si="4"/>
        <v>0</v>
      </c>
      <c r="O172" s="66">
        <f t="shared" si="5"/>
        <v>37</v>
      </c>
    </row>
    <row r="173" spans="1:15" x14ac:dyDescent="0.25">
      <c r="A173" s="62"/>
      <c r="B173" s="62"/>
      <c r="C173" s="63" t="s">
        <v>114</v>
      </c>
      <c r="D173" s="62" t="s">
        <v>108</v>
      </c>
      <c r="E173" s="62" t="s">
        <v>269</v>
      </c>
      <c r="F173" s="62">
        <v>0.7</v>
      </c>
      <c r="G173" s="64">
        <v>4</v>
      </c>
      <c r="H173" s="65">
        <v>2.8</v>
      </c>
      <c r="I173" s="65">
        <v>2.35</v>
      </c>
      <c r="J173" s="65">
        <v>0.44999999999999973</v>
      </c>
      <c r="K173" s="62">
        <v>1.71</v>
      </c>
      <c r="L173" s="62"/>
      <c r="M173" s="66">
        <f t="shared" si="4"/>
        <v>6.84</v>
      </c>
      <c r="N173" s="66">
        <f t="shared" si="4"/>
        <v>0</v>
      </c>
      <c r="O173" s="66">
        <f t="shared" si="5"/>
        <v>6.84</v>
      </c>
    </row>
    <row r="174" spans="1:15" x14ac:dyDescent="0.25">
      <c r="A174" s="62"/>
      <c r="B174" s="62"/>
      <c r="C174" s="63"/>
      <c r="D174" s="62"/>
      <c r="E174" s="62" t="s">
        <v>260</v>
      </c>
      <c r="F174" s="62">
        <v>0.7</v>
      </c>
      <c r="G174" s="64">
        <v>12</v>
      </c>
      <c r="H174" s="65">
        <v>8.3999999999999986</v>
      </c>
      <c r="I174" s="65">
        <v>7.2</v>
      </c>
      <c r="J174" s="65">
        <v>1.1999999999999993</v>
      </c>
      <c r="K174" s="62">
        <v>1.71</v>
      </c>
      <c r="L174" s="62"/>
      <c r="M174" s="66">
        <f t="shared" si="4"/>
        <v>20.52</v>
      </c>
      <c r="N174" s="66">
        <f t="shared" si="4"/>
        <v>0</v>
      </c>
      <c r="O174" s="66">
        <f t="shared" si="5"/>
        <v>20.52</v>
      </c>
    </row>
    <row r="175" spans="1:15" x14ac:dyDescent="0.25">
      <c r="A175" s="62"/>
      <c r="B175" s="62"/>
      <c r="C175" s="63"/>
      <c r="D175" s="62"/>
      <c r="E175" s="62" t="s">
        <v>261</v>
      </c>
      <c r="F175" s="62">
        <v>0.67</v>
      </c>
      <c r="G175" s="64">
        <v>26</v>
      </c>
      <c r="H175" s="65">
        <v>17.420000000000002</v>
      </c>
      <c r="I175" s="65">
        <v>14.19</v>
      </c>
      <c r="J175" s="65">
        <v>3.2300000000000022</v>
      </c>
      <c r="K175" s="62">
        <v>1.83</v>
      </c>
      <c r="L175" s="62"/>
      <c r="M175" s="66">
        <f t="shared" si="4"/>
        <v>47.58</v>
      </c>
      <c r="N175" s="66">
        <f t="shared" si="4"/>
        <v>0</v>
      </c>
      <c r="O175" s="66">
        <f t="shared" si="5"/>
        <v>47.58</v>
      </c>
    </row>
    <row r="176" spans="1:15" x14ac:dyDescent="0.25">
      <c r="A176" s="62"/>
      <c r="B176" s="62"/>
      <c r="C176" s="63"/>
      <c r="D176" s="62"/>
      <c r="E176" s="62" t="s">
        <v>262</v>
      </c>
      <c r="F176" s="62">
        <v>0.7</v>
      </c>
      <c r="G176" s="64">
        <v>427</v>
      </c>
      <c r="H176" s="65">
        <v>298.90000000000003</v>
      </c>
      <c r="I176" s="65">
        <v>247.76</v>
      </c>
      <c r="J176" s="65">
        <v>51.139999999999993</v>
      </c>
      <c r="K176" s="62">
        <v>1.79</v>
      </c>
      <c r="L176" s="62"/>
      <c r="M176" s="66">
        <f t="shared" si="4"/>
        <v>764.33</v>
      </c>
      <c r="N176" s="66">
        <f t="shared" si="4"/>
        <v>0</v>
      </c>
      <c r="O176" s="66">
        <f t="shared" si="5"/>
        <v>764.33</v>
      </c>
    </row>
    <row r="177" spans="1:15" x14ac:dyDescent="0.25">
      <c r="A177" s="62"/>
      <c r="B177" s="62"/>
      <c r="C177" s="63"/>
      <c r="D177" s="62"/>
      <c r="E177" s="62" t="s">
        <v>263</v>
      </c>
      <c r="F177" s="62">
        <v>0.67</v>
      </c>
      <c r="G177" s="64">
        <v>7</v>
      </c>
      <c r="H177" s="65">
        <v>4.6900000000000004</v>
      </c>
      <c r="I177" s="65">
        <v>3.92</v>
      </c>
      <c r="J177" s="65">
        <v>0.77000000000000024</v>
      </c>
      <c r="K177" s="62">
        <v>1.93</v>
      </c>
      <c r="L177" s="62"/>
      <c r="M177" s="66">
        <f t="shared" si="4"/>
        <v>13.51</v>
      </c>
      <c r="N177" s="66">
        <f t="shared" si="4"/>
        <v>0</v>
      </c>
      <c r="O177" s="66">
        <f t="shared" si="5"/>
        <v>13.51</v>
      </c>
    </row>
    <row r="178" spans="1:15" x14ac:dyDescent="0.25">
      <c r="A178" s="62"/>
      <c r="B178" s="62"/>
      <c r="C178" s="63"/>
      <c r="D178" s="62"/>
      <c r="E178" s="62" t="s">
        <v>375</v>
      </c>
      <c r="F178" s="62">
        <v>0.69999999999999984</v>
      </c>
      <c r="G178" s="64">
        <v>4740</v>
      </c>
      <c r="H178" s="65">
        <v>3318</v>
      </c>
      <c r="I178" s="65">
        <v>2584.83</v>
      </c>
      <c r="J178" s="65">
        <v>733.17</v>
      </c>
      <c r="K178" s="62">
        <v>5.14</v>
      </c>
      <c r="L178" s="62"/>
      <c r="M178" s="66">
        <f t="shared" si="4"/>
        <v>24363.599999999999</v>
      </c>
      <c r="N178" s="66">
        <f t="shared" si="4"/>
        <v>0</v>
      </c>
      <c r="O178" s="66">
        <f t="shared" si="5"/>
        <v>24363.599999999999</v>
      </c>
    </row>
    <row r="179" spans="1:15" x14ac:dyDescent="0.25">
      <c r="A179" s="62"/>
      <c r="B179" s="62"/>
      <c r="C179" s="63"/>
      <c r="D179" s="62"/>
      <c r="E179" s="62" t="s">
        <v>380</v>
      </c>
      <c r="F179" s="62">
        <v>0.67</v>
      </c>
      <c r="G179" s="64">
        <v>245</v>
      </c>
      <c r="H179" s="65">
        <v>164.15</v>
      </c>
      <c r="I179" s="65">
        <v>134.56</v>
      </c>
      <c r="J179" s="65">
        <v>29.589999999999996</v>
      </c>
      <c r="K179" s="62">
        <v>5.49</v>
      </c>
      <c r="L179" s="62"/>
      <c r="M179" s="66">
        <f t="shared" si="4"/>
        <v>1345.05</v>
      </c>
      <c r="N179" s="66">
        <f t="shared" si="4"/>
        <v>0</v>
      </c>
      <c r="O179" s="66">
        <f t="shared" si="5"/>
        <v>1345.05</v>
      </c>
    </row>
    <row r="180" spans="1:15" x14ac:dyDescent="0.25">
      <c r="A180" s="62"/>
      <c r="B180" s="62"/>
      <c r="C180" s="63"/>
      <c r="D180" s="62"/>
      <c r="E180" s="62" t="s">
        <v>264</v>
      </c>
      <c r="F180" s="62">
        <v>0.61</v>
      </c>
      <c r="G180" s="64">
        <v>5822</v>
      </c>
      <c r="H180" s="65">
        <v>3551.4200000000005</v>
      </c>
      <c r="I180" s="65">
        <v>3510.29</v>
      </c>
      <c r="J180" s="65">
        <v>41.130000000000081</v>
      </c>
      <c r="K180" s="62">
        <v>1.37</v>
      </c>
      <c r="L180" s="62"/>
      <c r="M180" s="66">
        <f t="shared" si="4"/>
        <v>7976.14</v>
      </c>
      <c r="N180" s="66">
        <f t="shared" si="4"/>
        <v>0</v>
      </c>
      <c r="O180" s="66">
        <f t="shared" si="5"/>
        <v>7976.14</v>
      </c>
    </row>
    <row r="181" spans="1:15" x14ac:dyDescent="0.25">
      <c r="A181" s="62"/>
      <c r="B181" s="62"/>
      <c r="C181" s="63"/>
      <c r="D181" s="62"/>
      <c r="E181" s="62" t="s">
        <v>376</v>
      </c>
      <c r="F181" s="62">
        <v>0.61</v>
      </c>
      <c r="G181" s="64">
        <v>2577</v>
      </c>
      <c r="H181" s="65">
        <v>1571.97</v>
      </c>
      <c r="I181" s="65">
        <v>1358.48</v>
      </c>
      <c r="J181" s="65">
        <v>213.49000000000007</v>
      </c>
      <c r="K181" s="62">
        <v>5.48</v>
      </c>
      <c r="L181" s="62"/>
      <c r="M181" s="66">
        <f t="shared" si="4"/>
        <v>14121.960000000001</v>
      </c>
      <c r="N181" s="66">
        <f t="shared" si="4"/>
        <v>0</v>
      </c>
      <c r="O181" s="66">
        <f t="shared" si="5"/>
        <v>14121.960000000001</v>
      </c>
    </row>
    <row r="182" spans="1:15" x14ac:dyDescent="0.25">
      <c r="A182" s="62"/>
      <c r="B182" s="62"/>
      <c r="C182" s="63"/>
      <c r="D182" s="62"/>
      <c r="E182" s="62" t="s">
        <v>377</v>
      </c>
      <c r="F182" s="62">
        <v>0.61</v>
      </c>
      <c r="G182" s="64">
        <v>1985</v>
      </c>
      <c r="H182" s="65">
        <v>1210.8499999999999</v>
      </c>
      <c r="I182" s="65">
        <v>1086.43</v>
      </c>
      <c r="J182" s="65">
        <v>124.41999999999993</v>
      </c>
      <c r="K182" s="62">
        <v>4.21</v>
      </c>
      <c r="L182" s="62"/>
      <c r="M182" s="66">
        <f t="shared" si="4"/>
        <v>8356.85</v>
      </c>
      <c r="N182" s="66">
        <f t="shared" si="4"/>
        <v>0</v>
      </c>
      <c r="O182" s="66">
        <f t="shared" si="5"/>
        <v>8356.85</v>
      </c>
    </row>
    <row r="183" spans="1:15" x14ac:dyDescent="0.25">
      <c r="A183" s="62"/>
      <c r="B183" s="62"/>
      <c r="C183" s="63" t="s">
        <v>219</v>
      </c>
      <c r="D183" s="62" t="s">
        <v>108</v>
      </c>
      <c r="E183" s="62" t="s">
        <v>269</v>
      </c>
      <c r="F183" s="62">
        <v>0.7</v>
      </c>
      <c r="G183" s="64">
        <v>36</v>
      </c>
      <c r="H183" s="65">
        <v>25.2</v>
      </c>
      <c r="I183" s="65">
        <v>26.26</v>
      </c>
      <c r="J183" s="65">
        <v>-1.0600000000000023</v>
      </c>
      <c r="K183" s="62">
        <v>1.71</v>
      </c>
      <c r="L183" s="62"/>
      <c r="M183" s="66">
        <f t="shared" si="4"/>
        <v>61.56</v>
      </c>
      <c r="N183" s="66">
        <f t="shared" si="4"/>
        <v>0</v>
      </c>
      <c r="O183" s="66">
        <f t="shared" si="5"/>
        <v>61.56</v>
      </c>
    </row>
    <row r="184" spans="1:15" x14ac:dyDescent="0.25">
      <c r="A184" s="62"/>
      <c r="B184" s="62"/>
      <c r="C184" s="63"/>
      <c r="D184" s="62"/>
      <c r="E184" s="62" t="s">
        <v>270</v>
      </c>
      <c r="F184" s="62">
        <v>0.67</v>
      </c>
      <c r="G184" s="64">
        <v>16</v>
      </c>
      <c r="H184" s="65">
        <v>10.72</v>
      </c>
      <c r="I184" s="65">
        <v>11.67</v>
      </c>
      <c r="J184" s="65">
        <v>-0.94999999999999929</v>
      </c>
      <c r="K184" s="62">
        <v>1.83</v>
      </c>
      <c r="L184" s="62"/>
      <c r="M184" s="66">
        <f t="shared" si="4"/>
        <v>29.28</v>
      </c>
      <c r="N184" s="66">
        <f t="shared" si="4"/>
        <v>0</v>
      </c>
      <c r="O184" s="66">
        <f t="shared" si="5"/>
        <v>29.28</v>
      </c>
    </row>
    <row r="185" spans="1:15" x14ac:dyDescent="0.25">
      <c r="A185" s="62"/>
      <c r="B185" s="62"/>
      <c r="C185" s="63"/>
      <c r="D185" s="62"/>
      <c r="E185" s="62" t="s">
        <v>260</v>
      </c>
      <c r="F185" s="62">
        <v>0.7</v>
      </c>
      <c r="G185" s="64">
        <v>24</v>
      </c>
      <c r="H185" s="65">
        <v>16.8</v>
      </c>
      <c r="I185" s="65">
        <v>17.510000000000002</v>
      </c>
      <c r="J185" s="65">
        <v>-0.71000000000000085</v>
      </c>
      <c r="K185" s="62">
        <v>1.71</v>
      </c>
      <c r="L185" s="62"/>
      <c r="M185" s="66">
        <f t="shared" si="4"/>
        <v>41.04</v>
      </c>
      <c r="N185" s="66">
        <f t="shared" si="4"/>
        <v>0</v>
      </c>
      <c r="O185" s="66">
        <f t="shared" si="5"/>
        <v>41.04</v>
      </c>
    </row>
    <row r="186" spans="1:15" x14ac:dyDescent="0.25">
      <c r="A186" s="62"/>
      <c r="B186" s="62"/>
      <c r="C186" s="63"/>
      <c r="D186" s="62"/>
      <c r="E186" s="62" t="s">
        <v>261</v>
      </c>
      <c r="F186" s="62">
        <v>0.67</v>
      </c>
      <c r="G186" s="64">
        <v>26</v>
      </c>
      <c r="H186" s="65">
        <v>17.420000000000002</v>
      </c>
      <c r="I186" s="65">
        <v>18.96</v>
      </c>
      <c r="J186" s="65">
        <v>-1.5399999999999991</v>
      </c>
      <c r="K186" s="62">
        <v>1.83</v>
      </c>
      <c r="L186" s="62"/>
      <c r="M186" s="66">
        <f t="shared" si="4"/>
        <v>47.58</v>
      </c>
      <c r="N186" s="66">
        <f t="shared" si="4"/>
        <v>0</v>
      </c>
      <c r="O186" s="66">
        <f t="shared" si="5"/>
        <v>47.58</v>
      </c>
    </row>
    <row r="187" spans="1:15" x14ac:dyDescent="0.25">
      <c r="A187" s="62"/>
      <c r="B187" s="62"/>
      <c r="C187" s="63"/>
      <c r="D187" s="62"/>
      <c r="E187" s="62" t="s">
        <v>262</v>
      </c>
      <c r="F187" s="62">
        <v>0.69999999999999984</v>
      </c>
      <c r="G187" s="64">
        <v>630</v>
      </c>
      <c r="H187" s="65">
        <v>441</v>
      </c>
      <c r="I187" s="65">
        <v>491.38</v>
      </c>
      <c r="J187" s="65">
        <v>-50.380000000000017</v>
      </c>
      <c r="K187" s="62">
        <v>1.79</v>
      </c>
      <c r="L187" s="62"/>
      <c r="M187" s="66">
        <f t="shared" si="4"/>
        <v>1127.7</v>
      </c>
      <c r="N187" s="66">
        <f t="shared" si="4"/>
        <v>0</v>
      </c>
      <c r="O187" s="66">
        <f t="shared" si="5"/>
        <v>1127.7</v>
      </c>
    </row>
    <row r="188" spans="1:15" x14ac:dyDescent="0.25">
      <c r="A188" s="62"/>
      <c r="B188" s="62"/>
      <c r="C188" s="63"/>
      <c r="D188" s="62"/>
      <c r="E188" s="62" t="s">
        <v>263</v>
      </c>
      <c r="F188" s="62">
        <v>0.67</v>
      </c>
      <c r="G188" s="64">
        <v>15</v>
      </c>
      <c r="H188" s="65">
        <v>10.050000000000001</v>
      </c>
      <c r="I188" s="65">
        <v>8.15</v>
      </c>
      <c r="J188" s="65">
        <v>1.9</v>
      </c>
      <c r="K188" s="62">
        <v>1.93</v>
      </c>
      <c r="L188" s="62"/>
      <c r="M188" s="66">
        <f t="shared" si="4"/>
        <v>28.95</v>
      </c>
      <c r="N188" s="66">
        <f t="shared" si="4"/>
        <v>0</v>
      </c>
      <c r="O188" s="66">
        <f t="shared" si="5"/>
        <v>28.95</v>
      </c>
    </row>
    <row r="189" spans="1:15" x14ac:dyDescent="0.25">
      <c r="A189" s="62"/>
      <c r="B189" s="62"/>
      <c r="C189" s="63"/>
      <c r="D189" s="62"/>
      <c r="E189" s="62" t="s">
        <v>375</v>
      </c>
      <c r="F189" s="62">
        <v>0.69999999999999984</v>
      </c>
      <c r="G189" s="64">
        <v>4395</v>
      </c>
      <c r="H189" s="65">
        <v>3076.5</v>
      </c>
      <c r="I189" s="65">
        <v>2373.9700000000003</v>
      </c>
      <c r="J189" s="65">
        <v>702.53</v>
      </c>
      <c r="K189" s="62">
        <v>5.14</v>
      </c>
      <c r="L189" s="62"/>
      <c r="M189" s="66">
        <f t="shared" si="4"/>
        <v>22590.3</v>
      </c>
      <c r="N189" s="66">
        <f t="shared" si="4"/>
        <v>0</v>
      </c>
      <c r="O189" s="66">
        <f t="shared" si="5"/>
        <v>22590.3</v>
      </c>
    </row>
    <row r="190" spans="1:15" x14ac:dyDescent="0.25">
      <c r="A190" s="62"/>
      <c r="B190" s="62"/>
      <c r="C190" s="63"/>
      <c r="D190" s="62"/>
      <c r="E190" s="62" t="s">
        <v>380</v>
      </c>
      <c r="F190" s="62">
        <v>0.67</v>
      </c>
      <c r="G190" s="64">
        <v>1965</v>
      </c>
      <c r="H190" s="65">
        <v>1316.55</v>
      </c>
      <c r="I190" s="65">
        <v>1131.8600000000001</v>
      </c>
      <c r="J190" s="65">
        <v>184.68999999999994</v>
      </c>
      <c r="K190" s="62">
        <v>5.49</v>
      </c>
      <c r="L190" s="62"/>
      <c r="M190" s="66">
        <f t="shared" si="4"/>
        <v>10787.85</v>
      </c>
      <c r="N190" s="66">
        <f t="shared" si="4"/>
        <v>0</v>
      </c>
      <c r="O190" s="66">
        <f t="shared" si="5"/>
        <v>10787.85</v>
      </c>
    </row>
    <row r="191" spans="1:15" x14ac:dyDescent="0.25">
      <c r="A191" s="62"/>
      <c r="B191" s="62"/>
      <c r="C191" s="63"/>
      <c r="D191" s="62"/>
      <c r="E191" s="62" t="s">
        <v>264</v>
      </c>
      <c r="F191" s="62">
        <v>0.61</v>
      </c>
      <c r="G191" s="64">
        <v>3826</v>
      </c>
      <c r="H191" s="65">
        <v>2333.8599999999997</v>
      </c>
      <c r="I191" s="65">
        <v>2516.4299999999998</v>
      </c>
      <c r="J191" s="65">
        <v>-182.56999999999996</v>
      </c>
      <c r="K191" s="62">
        <v>1.37</v>
      </c>
      <c r="L191" s="62"/>
      <c r="M191" s="66">
        <f t="shared" si="4"/>
        <v>5241.6200000000008</v>
      </c>
      <c r="N191" s="66">
        <f t="shared" si="4"/>
        <v>0</v>
      </c>
      <c r="O191" s="66">
        <f t="shared" si="5"/>
        <v>5241.6200000000008</v>
      </c>
    </row>
    <row r="192" spans="1:15" x14ac:dyDescent="0.25">
      <c r="A192" s="62"/>
      <c r="B192" s="62"/>
      <c r="C192" s="63"/>
      <c r="D192" s="62"/>
      <c r="E192" s="62" t="s">
        <v>376</v>
      </c>
      <c r="F192" s="62">
        <v>0.61</v>
      </c>
      <c r="G192" s="64">
        <v>2090</v>
      </c>
      <c r="H192" s="65">
        <v>1274.9000000000001</v>
      </c>
      <c r="I192" s="65">
        <v>1245.3899999999999</v>
      </c>
      <c r="J192" s="65">
        <v>29.509999999999934</v>
      </c>
      <c r="K192" s="62">
        <v>5.48</v>
      </c>
      <c r="L192" s="62"/>
      <c r="M192" s="66">
        <f t="shared" si="4"/>
        <v>11453.2</v>
      </c>
      <c r="N192" s="66">
        <f t="shared" si="4"/>
        <v>0</v>
      </c>
      <c r="O192" s="66">
        <f t="shared" si="5"/>
        <v>11453.2</v>
      </c>
    </row>
    <row r="193" spans="1:16" x14ac:dyDescent="0.25">
      <c r="A193" s="62"/>
      <c r="B193" s="62"/>
      <c r="C193" s="63"/>
      <c r="D193" s="62"/>
      <c r="E193" s="62" t="s">
        <v>377</v>
      </c>
      <c r="F193" s="62">
        <v>0.61</v>
      </c>
      <c r="G193" s="64">
        <v>2035</v>
      </c>
      <c r="H193" s="65">
        <v>1241.3499999999999</v>
      </c>
      <c r="I193" s="65">
        <v>1108.43</v>
      </c>
      <c r="J193" s="65">
        <v>132.91999999999999</v>
      </c>
      <c r="K193" s="62">
        <v>4.21</v>
      </c>
      <c r="L193" s="62"/>
      <c r="M193" s="66">
        <f t="shared" si="4"/>
        <v>8567.35</v>
      </c>
      <c r="N193" s="66">
        <f t="shared" si="4"/>
        <v>0</v>
      </c>
      <c r="O193" s="66">
        <f t="shared" si="5"/>
        <v>8567.35</v>
      </c>
    </row>
    <row r="194" spans="1:16" x14ac:dyDescent="0.25">
      <c r="A194" s="62"/>
      <c r="B194" s="62"/>
      <c r="C194" s="63" t="s">
        <v>115</v>
      </c>
      <c r="D194" s="62" t="s">
        <v>108</v>
      </c>
      <c r="E194" s="62" t="s">
        <v>375</v>
      </c>
      <c r="F194" s="62">
        <v>0.70000000000000007</v>
      </c>
      <c r="G194" s="64">
        <v>4975</v>
      </c>
      <c r="H194" s="65">
        <v>3482.5</v>
      </c>
      <c r="I194" s="65">
        <v>6020.36</v>
      </c>
      <c r="J194" s="65">
        <v>-2537.8599999999997</v>
      </c>
      <c r="K194" s="62">
        <v>5.14</v>
      </c>
      <c r="L194" s="62"/>
      <c r="M194" s="66">
        <f t="shared" si="4"/>
        <v>25571.5</v>
      </c>
      <c r="N194" s="66">
        <f t="shared" si="4"/>
        <v>0</v>
      </c>
      <c r="O194" s="66">
        <f t="shared" si="5"/>
        <v>25571.5</v>
      </c>
    </row>
    <row r="195" spans="1:16" x14ac:dyDescent="0.25">
      <c r="A195" s="62"/>
      <c r="B195" s="62"/>
      <c r="C195" s="63"/>
      <c r="D195" s="62"/>
      <c r="E195" s="62" t="s">
        <v>273</v>
      </c>
      <c r="F195" s="62">
        <v>0.61</v>
      </c>
      <c r="G195" s="64">
        <v>2250</v>
      </c>
      <c r="H195" s="65">
        <v>1372.5</v>
      </c>
      <c r="I195" s="65">
        <v>2834.17</v>
      </c>
      <c r="J195" s="65">
        <v>-1461.67</v>
      </c>
      <c r="K195" s="62">
        <v>1.4</v>
      </c>
      <c r="L195" s="62"/>
      <c r="M195" s="66">
        <f t="shared" si="4"/>
        <v>3150</v>
      </c>
      <c r="N195" s="66">
        <f t="shared" si="4"/>
        <v>0</v>
      </c>
      <c r="O195" s="66">
        <f t="shared" si="5"/>
        <v>3150</v>
      </c>
    </row>
    <row r="196" spans="1:16" x14ac:dyDescent="0.25">
      <c r="A196" s="62"/>
      <c r="B196" s="62"/>
      <c r="C196" s="63"/>
      <c r="D196" s="62"/>
      <c r="E196" s="62" t="s">
        <v>377</v>
      </c>
      <c r="F196" s="62">
        <v>0.61</v>
      </c>
      <c r="G196" s="64">
        <v>80</v>
      </c>
      <c r="H196" s="65">
        <v>48.8</v>
      </c>
      <c r="I196" s="65">
        <v>95.47</v>
      </c>
      <c r="J196" s="65">
        <v>-46.67</v>
      </c>
      <c r="K196" s="62">
        <v>4.21</v>
      </c>
      <c r="L196" s="62"/>
      <c r="M196" s="66">
        <f t="shared" si="4"/>
        <v>336.8</v>
      </c>
      <c r="N196" s="66">
        <f t="shared" si="4"/>
        <v>0</v>
      </c>
      <c r="O196" s="66">
        <f t="shared" si="5"/>
        <v>336.8</v>
      </c>
    </row>
    <row r="197" spans="1:16" s="6" customFormat="1" x14ac:dyDescent="0.25">
      <c r="A197" s="67"/>
      <c r="B197" s="67" t="s">
        <v>116</v>
      </c>
      <c r="C197" s="68"/>
      <c r="D197" s="67"/>
      <c r="E197" s="67"/>
      <c r="F197" s="67"/>
      <c r="G197" s="69">
        <v>190639</v>
      </c>
      <c r="H197" s="70">
        <v>125820.39000000007</v>
      </c>
      <c r="I197" s="70">
        <v>80549.969999999987</v>
      </c>
      <c r="J197" s="70">
        <v>45270.420000000049</v>
      </c>
      <c r="K197" s="67"/>
      <c r="L197" s="67"/>
      <c r="M197" s="71"/>
      <c r="N197" s="71"/>
      <c r="O197" s="71">
        <f>SUM(O113:O196)</f>
        <v>747971.6599999998</v>
      </c>
      <c r="P197"/>
    </row>
    <row r="198" spans="1:16" s="6" customFormat="1" x14ac:dyDescent="0.25">
      <c r="A198" s="57" t="s">
        <v>117</v>
      </c>
      <c r="B198" s="57"/>
      <c r="C198" s="58"/>
      <c r="D198" s="57"/>
      <c r="E198" s="57"/>
      <c r="F198" s="57"/>
      <c r="G198" s="59">
        <v>190639</v>
      </c>
      <c r="H198" s="60">
        <v>125820.39000000007</v>
      </c>
      <c r="I198" s="60">
        <v>80549.969999999987</v>
      </c>
      <c r="J198" s="60">
        <v>45270.420000000049</v>
      </c>
      <c r="K198" s="57"/>
      <c r="L198" s="57"/>
      <c r="M198" s="61"/>
      <c r="N198" s="61"/>
      <c r="O198" s="61"/>
      <c r="P198"/>
    </row>
    <row r="199" spans="1:16" x14ac:dyDescent="0.25">
      <c r="A199" s="62" t="s">
        <v>13</v>
      </c>
      <c r="B199" s="62" t="s">
        <v>119</v>
      </c>
      <c r="C199" s="63" t="s">
        <v>72</v>
      </c>
      <c r="D199" s="62" t="s">
        <v>73</v>
      </c>
      <c r="E199" s="62" t="s">
        <v>276</v>
      </c>
      <c r="F199" s="62">
        <v>7.8500000000000005</v>
      </c>
      <c r="G199" s="64">
        <v>661</v>
      </c>
      <c r="H199" s="65">
        <v>5188.8500000000004</v>
      </c>
      <c r="I199" s="65">
        <v>7888</v>
      </c>
      <c r="J199" s="65">
        <v>-2699.15</v>
      </c>
      <c r="K199" s="62"/>
      <c r="L199" s="62">
        <v>7.9</v>
      </c>
      <c r="M199" s="66">
        <f t="shared" ref="M199:N262" si="6">$G199*K199</f>
        <v>0</v>
      </c>
      <c r="N199" s="66">
        <f t="shared" si="6"/>
        <v>5221.9000000000005</v>
      </c>
      <c r="O199" s="66">
        <f t="shared" ref="O199:O262" si="7">M199+N199</f>
        <v>5221.9000000000005</v>
      </c>
    </row>
    <row r="200" spans="1:16" x14ac:dyDescent="0.25">
      <c r="A200" s="62"/>
      <c r="B200" s="62"/>
      <c r="C200" s="63"/>
      <c r="D200" s="62" t="s">
        <v>120</v>
      </c>
      <c r="E200" s="62" t="s">
        <v>275</v>
      </c>
      <c r="F200" s="62">
        <v>6.12</v>
      </c>
      <c r="G200" s="64">
        <v>54</v>
      </c>
      <c r="H200" s="65">
        <v>330.48</v>
      </c>
      <c r="I200" s="65">
        <v>1972</v>
      </c>
      <c r="J200" s="65">
        <v>-1641.52</v>
      </c>
      <c r="K200" s="62"/>
      <c r="L200" s="62">
        <v>6.5</v>
      </c>
      <c r="M200" s="66">
        <f t="shared" si="6"/>
        <v>0</v>
      </c>
      <c r="N200" s="66">
        <f t="shared" si="6"/>
        <v>351</v>
      </c>
      <c r="O200" s="66">
        <f t="shared" si="7"/>
        <v>351</v>
      </c>
    </row>
    <row r="201" spans="1:16" x14ac:dyDescent="0.25">
      <c r="A201" s="62"/>
      <c r="B201" s="62"/>
      <c r="C201" s="63" t="s">
        <v>99</v>
      </c>
      <c r="D201" s="62" t="s">
        <v>73</v>
      </c>
      <c r="E201" s="62" t="s">
        <v>276</v>
      </c>
      <c r="F201" s="62">
        <v>7.85</v>
      </c>
      <c r="G201" s="64">
        <v>581</v>
      </c>
      <c r="H201" s="65">
        <v>4560.8499999999995</v>
      </c>
      <c r="I201" s="65">
        <v>8727.36</v>
      </c>
      <c r="J201" s="65">
        <v>-4166.5099999999993</v>
      </c>
      <c r="K201" s="62"/>
      <c r="L201" s="62">
        <v>7.9</v>
      </c>
      <c r="M201" s="66">
        <f t="shared" si="6"/>
        <v>0</v>
      </c>
      <c r="N201" s="66">
        <f t="shared" si="6"/>
        <v>4589.9000000000005</v>
      </c>
      <c r="O201" s="66">
        <f t="shared" si="7"/>
        <v>4589.9000000000005</v>
      </c>
    </row>
    <row r="202" spans="1:16" x14ac:dyDescent="0.25">
      <c r="A202" s="62"/>
      <c r="B202" s="62"/>
      <c r="C202" s="63"/>
      <c r="D202" s="62"/>
      <c r="E202" s="62" t="s">
        <v>381</v>
      </c>
      <c r="F202" s="62">
        <v>6.3</v>
      </c>
      <c r="G202" s="64">
        <v>183</v>
      </c>
      <c r="H202" s="65">
        <v>1152.9000000000001</v>
      </c>
      <c r="I202" s="65">
        <v>1132.6399999999999</v>
      </c>
      <c r="J202" s="65">
        <v>20.259999999999991</v>
      </c>
      <c r="K202" s="62"/>
      <c r="L202" s="62">
        <v>6.35</v>
      </c>
      <c r="M202" s="66">
        <f t="shared" si="6"/>
        <v>0</v>
      </c>
      <c r="N202" s="66">
        <f t="shared" si="6"/>
        <v>1162.05</v>
      </c>
      <c r="O202" s="66">
        <f t="shared" si="7"/>
        <v>1162.05</v>
      </c>
    </row>
    <row r="203" spans="1:16" x14ac:dyDescent="0.25">
      <c r="A203" s="62"/>
      <c r="B203" s="62"/>
      <c r="C203" s="63" t="s">
        <v>118</v>
      </c>
      <c r="D203" s="62" t="s">
        <v>73</v>
      </c>
      <c r="E203" s="62" t="s">
        <v>382</v>
      </c>
      <c r="F203" s="62">
        <v>6.3</v>
      </c>
      <c r="G203" s="64">
        <v>12</v>
      </c>
      <c r="H203" s="65">
        <v>75.599999999999994</v>
      </c>
      <c r="I203" s="65">
        <v>2958</v>
      </c>
      <c r="J203" s="65">
        <v>-2882.4</v>
      </c>
      <c r="K203" s="62"/>
      <c r="L203" s="62">
        <v>6.35</v>
      </c>
      <c r="M203" s="66">
        <f t="shared" si="6"/>
        <v>0</v>
      </c>
      <c r="N203" s="66">
        <f t="shared" si="6"/>
        <v>76.199999999999989</v>
      </c>
      <c r="O203" s="66">
        <f t="shared" si="7"/>
        <v>76.199999999999989</v>
      </c>
    </row>
    <row r="204" spans="1:16" x14ac:dyDescent="0.25">
      <c r="A204" s="62"/>
      <c r="B204" s="62"/>
      <c r="C204" s="63"/>
      <c r="D204" s="62" t="s">
        <v>78</v>
      </c>
      <c r="E204" s="62" t="s">
        <v>220</v>
      </c>
      <c r="F204" s="62">
        <v>3.6499999999999995</v>
      </c>
      <c r="G204" s="64">
        <v>1614</v>
      </c>
      <c r="H204" s="65">
        <v>5891.1</v>
      </c>
      <c r="I204" s="65">
        <v>6902</v>
      </c>
      <c r="J204" s="65">
        <v>-1010.9000000000001</v>
      </c>
      <c r="K204" s="62"/>
      <c r="L204" s="62">
        <v>3.65</v>
      </c>
      <c r="M204" s="66">
        <f t="shared" si="6"/>
        <v>0</v>
      </c>
      <c r="N204" s="66">
        <f t="shared" si="6"/>
        <v>5891.0999999999995</v>
      </c>
      <c r="O204" s="66">
        <f t="shared" si="7"/>
        <v>5891.0999999999995</v>
      </c>
    </row>
    <row r="205" spans="1:16" x14ac:dyDescent="0.25">
      <c r="A205" s="62"/>
      <c r="B205" s="62"/>
      <c r="C205" s="63" t="s">
        <v>123</v>
      </c>
      <c r="D205" s="62" t="s">
        <v>78</v>
      </c>
      <c r="E205" s="62" t="s">
        <v>277</v>
      </c>
      <c r="F205" s="62">
        <v>5.82</v>
      </c>
      <c r="G205" s="64">
        <v>94</v>
      </c>
      <c r="H205" s="65">
        <v>547.08000000000004</v>
      </c>
      <c r="I205" s="65">
        <v>7888</v>
      </c>
      <c r="J205" s="65">
        <v>-7340.92</v>
      </c>
      <c r="K205" s="62"/>
      <c r="L205" s="62">
        <v>6.2</v>
      </c>
      <c r="M205" s="66">
        <f t="shared" si="6"/>
        <v>0</v>
      </c>
      <c r="N205" s="66">
        <f t="shared" si="6"/>
        <v>582.80000000000007</v>
      </c>
      <c r="O205" s="66">
        <f t="shared" si="7"/>
        <v>582.80000000000007</v>
      </c>
    </row>
    <row r="206" spans="1:16" x14ac:dyDescent="0.25">
      <c r="A206" s="62"/>
      <c r="B206" s="62"/>
      <c r="C206" s="63" t="s">
        <v>125</v>
      </c>
      <c r="D206" s="62" t="s">
        <v>73</v>
      </c>
      <c r="E206" s="62" t="s">
        <v>381</v>
      </c>
      <c r="F206" s="62">
        <v>6.3</v>
      </c>
      <c r="G206" s="64">
        <v>100</v>
      </c>
      <c r="H206" s="65">
        <v>630</v>
      </c>
      <c r="I206" s="65">
        <v>986</v>
      </c>
      <c r="J206" s="65">
        <v>-356</v>
      </c>
      <c r="K206" s="62"/>
      <c r="L206" s="62">
        <v>6.35</v>
      </c>
      <c r="M206" s="66">
        <f t="shared" si="6"/>
        <v>0</v>
      </c>
      <c r="N206" s="66">
        <f t="shared" si="6"/>
        <v>635</v>
      </c>
      <c r="O206" s="66">
        <f t="shared" si="7"/>
        <v>635</v>
      </c>
    </row>
    <row r="207" spans="1:16" x14ac:dyDescent="0.25">
      <c r="A207" s="62"/>
      <c r="B207" s="62"/>
      <c r="C207" s="63" t="s">
        <v>132</v>
      </c>
      <c r="D207" s="62" t="s">
        <v>78</v>
      </c>
      <c r="E207" s="62" t="s">
        <v>278</v>
      </c>
      <c r="F207" s="62">
        <v>3.45</v>
      </c>
      <c r="G207" s="64">
        <v>146</v>
      </c>
      <c r="H207" s="65">
        <v>503.7</v>
      </c>
      <c r="I207" s="65">
        <v>1972</v>
      </c>
      <c r="J207" s="65">
        <v>-1468.3</v>
      </c>
      <c r="K207" s="62"/>
      <c r="L207" s="62">
        <v>3.45</v>
      </c>
      <c r="M207" s="66">
        <f t="shared" si="6"/>
        <v>0</v>
      </c>
      <c r="N207" s="66">
        <f t="shared" si="6"/>
        <v>503.70000000000005</v>
      </c>
      <c r="O207" s="66">
        <f t="shared" si="7"/>
        <v>503.70000000000005</v>
      </c>
    </row>
    <row r="208" spans="1:16" x14ac:dyDescent="0.25">
      <c r="A208" s="62"/>
      <c r="B208" s="62"/>
      <c r="C208" s="63"/>
      <c r="D208" s="62"/>
      <c r="E208" s="62" t="s">
        <v>383</v>
      </c>
      <c r="F208" s="62">
        <v>3.03</v>
      </c>
      <c r="G208" s="64">
        <v>236</v>
      </c>
      <c r="H208" s="65">
        <v>715.08</v>
      </c>
      <c r="I208" s="65">
        <v>986</v>
      </c>
      <c r="J208" s="65">
        <v>-270.91999999999996</v>
      </c>
      <c r="K208" s="62"/>
      <c r="L208" s="62">
        <v>3.3</v>
      </c>
      <c r="M208" s="66">
        <f t="shared" si="6"/>
        <v>0</v>
      </c>
      <c r="N208" s="66">
        <f t="shared" si="6"/>
        <v>778.8</v>
      </c>
      <c r="O208" s="66">
        <f t="shared" si="7"/>
        <v>778.8</v>
      </c>
    </row>
    <row r="209" spans="1:16" x14ac:dyDescent="0.25">
      <c r="A209" s="62"/>
      <c r="B209" s="62"/>
      <c r="C209" s="63" t="s">
        <v>82</v>
      </c>
      <c r="D209" s="62" t="s">
        <v>78</v>
      </c>
      <c r="E209" s="62" t="s">
        <v>277</v>
      </c>
      <c r="F209" s="62">
        <v>5.82</v>
      </c>
      <c r="G209" s="64">
        <v>438</v>
      </c>
      <c r="H209" s="65">
        <v>2549.16</v>
      </c>
      <c r="I209" s="65">
        <v>9860</v>
      </c>
      <c r="J209" s="65">
        <v>-7310.8399999999992</v>
      </c>
      <c r="K209" s="62"/>
      <c r="L209" s="62">
        <v>6.2</v>
      </c>
      <c r="M209" s="66">
        <f t="shared" si="6"/>
        <v>0</v>
      </c>
      <c r="N209" s="66">
        <f t="shared" si="6"/>
        <v>2715.6</v>
      </c>
      <c r="O209" s="66">
        <f t="shared" si="7"/>
        <v>2715.6</v>
      </c>
    </row>
    <row r="210" spans="1:16" x14ac:dyDescent="0.25">
      <c r="A210" s="62"/>
      <c r="B210" s="62"/>
      <c r="C210" s="63" t="s">
        <v>77</v>
      </c>
      <c r="D210" s="62" t="s">
        <v>78</v>
      </c>
      <c r="E210" s="62" t="s">
        <v>278</v>
      </c>
      <c r="F210" s="62">
        <v>3.4499999999999997</v>
      </c>
      <c r="G210" s="64">
        <v>1651</v>
      </c>
      <c r="H210" s="65">
        <v>5695.95</v>
      </c>
      <c r="I210" s="65">
        <v>7200.35</v>
      </c>
      <c r="J210" s="65">
        <v>-1504.3999999999999</v>
      </c>
      <c r="K210" s="62"/>
      <c r="L210" s="62">
        <v>3.45</v>
      </c>
      <c r="M210" s="66">
        <f t="shared" si="6"/>
        <v>0</v>
      </c>
      <c r="N210" s="66">
        <f t="shared" si="6"/>
        <v>5695.9500000000007</v>
      </c>
      <c r="O210" s="66">
        <f t="shared" si="7"/>
        <v>5695.9500000000007</v>
      </c>
    </row>
    <row r="211" spans="1:16" x14ac:dyDescent="0.25">
      <c r="A211" s="62"/>
      <c r="B211" s="62"/>
      <c r="C211" s="63"/>
      <c r="D211" s="62" t="s">
        <v>88</v>
      </c>
      <c r="E211" s="62" t="s">
        <v>279</v>
      </c>
      <c r="F211" s="62">
        <v>4.75</v>
      </c>
      <c r="G211" s="64">
        <v>85</v>
      </c>
      <c r="H211" s="65">
        <v>403.75</v>
      </c>
      <c r="I211" s="65">
        <v>687.65</v>
      </c>
      <c r="J211" s="65">
        <v>-283.89999999999998</v>
      </c>
      <c r="K211" s="62"/>
      <c r="L211" s="62">
        <v>4.75</v>
      </c>
      <c r="M211" s="66">
        <f t="shared" si="6"/>
        <v>0</v>
      </c>
      <c r="N211" s="66">
        <f t="shared" si="6"/>
        <v>403.75</v>
      </c>
      <c r="O211" s="66">
        <f t="shared" si="7"/>
        <v>403.75</v>
      </c>
    </row>
    <row r="212" spans="1:16" x14ac:dyDescent="0.25">
      <c r="A212" s="62"/>
      <c r="B212" s="62"/>
      <c r="C212" s="63"/>
      <c r="D212" s="62"/>
      <c r="E212" s="62" t="s">
        <v>280</v>
      </c>
      <c r="F212" s="62">
        <v>4.75</v>
      </c>
      <c r="G212" s="64">
        <v>0</v>
      </c>
      <c r="H212" s="65">
        <v>0</v>
      </c>
      <c r="I212" s="65">
        <v>1972</v>
      </c>
      <c r="J212" s="65">
        <v>-1972</v>
      </c>
      <c r="K212" s="62"/>
      <c r="L212" s="62">
        <v>4.75</v>
      </c>
      <c r="M212" s="66">
        <f t="shared" si="6"/>
        <v>0</v>
      </c>
      <c r="N212" s="66">
        <f t="shared" si="6"/>
        <v>0</v>
      </c>
      <c r="O212" s="66">
        <f t="shared" si="7"/>
        <v>0</v>
      </c>
    </row>
    <row r="213" spans="1:16" x14ac:dyDescent="0.25">
      <c r="A213" s="62"/>
      <c r="B213" s="62"/>
      <c r="C213" s="63" t="s">
        <v>95</v>
      </c>
      <c r="D213" s="62" t="s">
        <v>73</v>
      </c>
      <c r="E213" s="62" t="s">
        <v>276</v>
      </c>
      <c r="F213" s="62">
        <v>7.85</v>
      </c>
      <c r="G213" s="64">
        <v>994</v>
      </c>
      <c r="H213" s="65">
        <v>7802.9000000000005</v>
      </c>
      <c r="I213" s="65">
        <v>9860</v>
      </c>
      <c r="J213" s="65">
        <v>-2057.1</v>
      </c>
      <c r="K213" s="62"/>
      <c r="L213" s="62">
        <v>7.9</v>
      </c>
      <c r="M213" s="66">
        <f t="shared" si="6"/>
        <v>0</v>
      </c>
      <c r="N213" s="66">
        <f t="shared" si="6"/>
        <v>7852.6</v>
      </c>
      <c r="O213" s="66">
        <f t="shared" si="7"/>
        <v>7852.6</v>
      </c>
    </row>
    <row r="214" spans="1:16" s="6" customFormat="1" x14ac:dyDescent="0.25">
      <c r="A214" s="67"/>
      <c r="B214" s="67" t="s">
        <v>121</v>
      </c>
      <c r="C214" s="68"/>
      <c r="D214" s="67"/>
      <c r="E214" s="67"/>
      <c r="F214" s="67"/>
      <c r="G214" s="69">
        <v>6849</v>
      </c>
      <c r="H214" s="70">
        <v>36047.400000000009</v>
      </c>
      <c r="I214" s="70">
        <v>70992</v>
      </c>
      <c r="J214" s="70">
        <v>-34944.599999999991</v>
      </c>
      <c r="K214" s="67"/>
      <c r="L214" s="67"/>
      <c r="M214" s="71"/>
      <c r="N214" s="71"/>
      <c r="O214" s="71">
        <f>SUM(O199:O213)</f>
        <v>36460.35</v>
      </c>
      <c r="P214"/>
    </row>
    <row r="215" spans="1:16" x14ac:dyDescent="0.25">
      <c r="A215" s="62"/>
      <c r="B215" s="62" t="s">
        <v>122</v>
      </c>
      <c r="C215" s="63" t="s">
        <v>123</v>
      </c>
      <c r="D215" s="62" t="s">
        <v>124</v>
      </c>
      <c r="E215" s="62" t="s">
        <v>281</v>
      </c>
      <c r="F215" s="62">
        <v>12.47</v>
      </c>
      <c r="G215" s="64">
        <v>140</v>
      </c>
      <c r="H215" s="65">
        <v>1745.8</v>
      </c>
      <c r="I215" s="65">
        <v>1972</v>
      </c>
      <c r="J215" s="65">
        <v>-226.20000000000005</v>
      </c>
      <c r="K215" s="62"/>
      <c r="L215" s="62"/>
      <c r="M215" s="66">
        <f t="shared" si="6"/>
        <v>0</v>
      </c>
      <c r="N215" s="66">
        <f t="shared" si="6"/>
        <v>0</v>
      </c>
      <c r="O215" s="66">
        <f t="shared" si="7"/>
        <v>0</v>
      </c>
    </row>
    <row r="216" spans="1:16" x14ac:dyDescent="0.25">
      <c r="A216" s="62"/>
      <c r="B216" s="62"/>
      <c r="C216" s="63" t="s">
        <v>125</v>
      </c>
      <c r="D216" s="62" t="s">
        <v>124</v>
      </c>
      <c r="E216" s="62" t="s">
        <v>281</v>
      </c>
      <c r="F216" s="62">
        <v>12.47</v>
      </c>
      <c r="G216" s="64">
        <v>140</v>
      </c>
      <c r="H216" s="65">
        <v>1745.8</v>
      </c>
      <c r="I216" s="65">
        <v>1972</v>
      </c>
      <c r="J216" s="65">
        <v>-226.20000000000005</v>
      </c>
      <c r="K216" s="62"/>
      <c r="L216" s="62"/>
      <c r="M216" s="66">
        <f t="shared" si="6"/>
        <v>0</v>
      </c>
      <c r="N216" s="66">
        <f t="shared" si="6"/>
        <v>0</v>
      </c>
      <c r="O216" s="66">
        <f t="shared" si="7"/>
        <v>0</v>
      </c>
    </row>
    <row r="217" spans="1:16" x14ac:dyDescent="0.25">
      <c r="A217" s="62"/>
      <c r="B217" s="62"/>
      <c r="C217" s="63" t="s">
        <v>91</v>
      </c>
      <c r="D217" s="62" t="s">
        <v>124</v>
      </c>
      <c r="E217" s="62" t="s">
        <v>281</v>
      </c>
      <c r="F217" s="62">
        <v>12.47</v>
      </c>
      <c r="G217" s="64">
        <v>104</v>
      </c>
      <c r="H217" s="65">
        <v>1296.8800000000001</v>
      </c>
      <c r="I217" s="65">
        <v>2297.5100000000002</v>
      </c>
      <c r="J217" s="65">
        <v>-1000.6299999999999</v>
      </c>
      <c r="K217" s="62"/>
      <c r="L217" s="62"/>
      <c r="M217" s="66">
        <f t="shared" si="6"/>
        <v>0</v>
      </c>
      <c r="N217" s="66">
        <f t="shared" si="6"/>
        <v>0</v>
      </c>
      <c r="O217" s="66">
        <f t="shared" si="7"/>
        <v>0</v>
      </c>
    </row>
    <row r="218" spans="1:16" x14ac:dyDescent="0.25">
      <c r="A218" s="62"/>
      <c r="B218" s="62"/>
      <c r="C218" s="63"/>
      <c r="D218" s="62"/>
      <c r="E218" s="62" t="s">
        <v>384</v>
      </c>
      <c r="F218" s="62">
        <v>12.47</v>
      </c>
      <c r="G218" s="64">
        <v>390</v>
      </c>
      <c r="H218" s="65">
        <v>4863.2999999999993</v>
      </c>
      <c r="I218" s="65">
        <v>7454.2699999999995</v>
      </c>
      <c r="J218" s="65">
        <v>-2590.9700000000003</v>
      </c>
      <c r="K218" s="62"/>
      <c r="L218" s="62"/>
      <c r="M218" s="66">
        <f t="shared" si="6"/>
        <v>0</v>
      </c>
      <c r="N218" s="66">
        <f t="shared" si="6"/>
        <v>0</v>
      </c>
      <c r="O218" s="66">
        <f t="shared" si="7"/>
        <v>0</v>
      </c>
    </row>
    <row r="219" spans="1:16" x14ac:dyDescent="0.25">
      <c r="A219" s="62"/>
      <c r="B219" s="62"/>
      <c r="C219" s="63"/>
      <c r="D219" s="62"/>
      <c r="E219" s="62" t="s">
        <v>385</v>
      </c>
      <c r="F219" s="62">
        <v>12.47</v>
      </c>
      <c r="G219" s="64">
        <v>9</v>
      </c>
      <c r="H219" s="65">
        <v>112.23</v>
      </c>
      <c r="I219" s="65">
        <v>108.22</v>
      </c>
      <c r="J219" s="65">
        <v>4.0100000000000051</v>
      </c>
      <c r="K219" s="62"/>
      <c r="L219" s="62"/>
      <c r="M219" s="66">
        <f t="shared" si="6"/>
        <v>0</v>
      </c>
      <c r="N219" s="66">
        <f t="shared" si="6"/>
        <v>0</v>
      </c>
      <c r="O219" s="66">
        <f t="shared" si="7"/>
        <v>0</v>
      </c>
    </row>
    <row r="220" spans="1:16" x14ac:dyDescent="0.25">
      <c r="A220" s="62"/>
      <c r="B220" s="62"/>
      <c r="C220" s="63" t="s">
        <v>126</v>
      </c>
      <c r="D220" s="62" t="s">
        <v>124</v>
      </c>
      <c r="E220" s="62" t="s">
        <v>384</v>
      </c>
      <c r="F220" s="62">
        <v>12.47</v>
      </c>
      <c r="G220" s="64">
        <v>515</v>
      </c>
      <c r="H220" s="65">
        <v>6422.0500000000011</v>
      </c>
      <c r="I220" s="65">
        <v>9741.2000000000007</v>
      </c>
      <c r="J220" s="65">
        <v>-3319.1500000000005</v>
      </c>
      <c r="K220" s="62"/>
      <c r="L220" s="62"/>
      <c r="M220" s="66">
        <f t="shared" si="6"/>
        <v>0</v>
      </c>
      <c r="N220" s="66">
        <f t="shared" si="6"/>
        <v>0</v>
      </c>
      <c r="O220" s="66">
        <f t="shared" si="7"/>
        <v>0</v>
      </c>
    </row>
    <row r="221" spans="1:16" x14ac:dyDescent="0.25">
      <c r="A221" s="62"/>
      <c r="B221" s="62"/>
      <c r="C221" s="63"/>
      <c r="D221" s="62"/>
      <c r="E221" s="62" t="s">
        <v>385</v>
      </c>
      <c r="F221" s="62">
        <v>12.47</v>
      </c>
      <c r="G221" s="64">
        <v>10</v>
      </c>
      <c r="H221" s="65">
        <v>124.7</v>
      </c>
      <c r="I221" s="65">
        <v>118.8</v>
      </c>
      <c r="J221" s="65">
        <v>5.9000000000000057</v>
      </c>
      <c r="K221" s="62"/>
      <c r="L221" s="62"/>
      <c r="M221" s="66">
        <f t="shared" si="6"/>
        <v>0</v>
      </c>
      <c r="N221" s="66">
        <f t="shared" si="6"/>
        <v>0</v>
      </c>
      <c r="O221" s="66">
        <f t="shared" si="7"/>
        <v>0</v>
      </c>
    </row>
    <row r="222" spans="1:16" x14ac:dyDescent="0.25">
      <c r="A222" s="62"/>
      <c r="B222" s="62"/>
      <c r="C222" s="63" t="s">
        <v>127</v>
      </c>
      <c r="D222" s="62" t="s">
        <v>124</v>
      </c>
      <c r="E222" s="62" t="s">
        <v>384</v>
      </c>
      <c r="F222" s="62">
        <v>12.47</v>
      </c>
      <c r="G222" s="64">
        <v>139</v>
      </c>
      <c r="H222" s="65">
        <v>1733.3300000000002</v>
      </c>
      <c r="I222" s="65">
        <v>1544.2755056339315</v>
      </c>
      <c r="J222" s="65">
        <v>189.05449436606864</v>
      </c>
      <c r="K222" s="62"/>
      <c r="L222" s="62"/>
      <c r="M222" s="66">
        <f t="shared" si="6"/>
        <v>0</v>
      </c>
      <c r="N222" s="66">
        <f t="shared" si="6"/>
        <v>0</v>
      </c>
      <c r="O222" s="66">
        <f t="shared" si="7"/>
        <v>0</v>
      </c>
    </row>
    <row r="223" spans="1:16" x14ac:dyDescent="0.25">
      <c r="A223" s="62"/>
      <c r="B223" s="62"/>
      <c r="C223" s="63"/>
      <c r="D223" s="62"/>
      <c r="E223" s="62" t="s">
        <v>282</v>
      </c>
      <c r="F223" s="62">
        <v>14.58</v>
      </c>
      <c r="G223" s="64">
        <v>314</v>
      </c>
      <c r="H223" s="65">
        <v>4578.12</v>
      </c>
      <c r="I223" s="65">
        <v>2958</v>
      </c>
      <c r="J223" s="65">
        <v>1620.12</v>
      </c>
      <c r="K223" s="62"/>
      <c r="L223" s="62"/>
      <c r="M223" s="66">
        <f t="shared" si="6"/>
        <v>0</v>
      </c>
      <c r="N223" s="66">
        <f t="shared" si="6"/>
        <v>0</v>
      </c>
      <c r="O223" s="66">
        <f t="shared" si="7"/>
        <v>0</v>
      </c>
    </row>
    <row r="224" spans="1:16" x14ac:dyDescent="0.25">
      <c r="A224" s="62"/>
      <c r="B224" s="62"/>
      <c r="C224" s="63"/>
      <c r="D224" s="62"/>
      <c r="E224" s="62" t="s">
        <v>386</v>
      </c>
      <c r="F224" s="62">
        <v>17.010000000000002</v>
      </c>
      <c r="G224" s="64">
        <v>161</v>
      </c>
      <c r="H224" s="65">
        <v>2738.61</v>
      </c>
      <c r="I224" s="65">
        <v>4042.280674144768</v>
      </c>
      <c r="J224" s="65">
        <v>-1303.6706741447679</v>
      </c>
      <c r="K224" s="62"/>
      <c r="L224" s="62"/>
      <c r="M224" s="66">
        <f t="shared" si="6"/>
        <v>0</v>
      </c>
      <c r="N224" s="66">
        <f t="shared" si="6"/>
        <v>0</v>
      </c>
      <c r="O224" s="66">
        <f t="shared" si="7"/>
        <v>0</v>
      </c>
    </row>
    <row r="225" spans="1:16" x14ac:dyDescent="0.25">
      <c r="A225" s="62"/>
      <c r="B225" s="62"/>
      <c r="C225" s="63"/>
      <c r="D225" s="62"/>
      <c r="E225" s="62" t="s">
        <v>387</v>
      </c>
      <c r="F225" s="62">
        <v>17.010000000000002</v>
      </c>
      <c r="G225" s="64">
        <v>38</v>
      </c>
      <c r="H225" s="65">
        <v>646.38</v>
      </c>
      <c r="I225" s="65">
        <v>419.08382022130047</v>
      </c>
      <c r="J225" s="65">
        <v>227.29617977869958</v>
      </c>
      <c r="K225" s="62"/>
      <c r="L225" s="62"/>
      <c r="M225" s="66">
        <f t="shared" si="6"/>
        <v>0</v>
      </c>
      <c r="N225" s="66">
        <f t="shared" si="6"/>
        <v>0</v>
      </c>
      <c r="O225" s="66">
        <f t="shared" si="7"/>
        <v>0</v>
      </c>
    </row>
    <row r="226" spans="1:16" x14ac:dyDescent="0.25">
      <c r="A226" s="62"/>
      <c r="B226" s="62"/>
      <c r="C226" s="63" t="s">
        <v>94</v>
      </c>
      <c r="D226" s="62" t="s">
        <v>124</v>
      </c>
      <c r="E226" s="62" t="s">
        <v>384</v>
      </c>
      <c r="F226" s="62">
        <v>12.47</v>
      </c>
      <c r="G226" s="64">
        <v>141</v>
      </c>
      <c r="H226" s="65">
        <v>1758.27</v>
      </c>
      <c r="I226" s="65">
        <v>1587.6856180082962</v>
      </c>
      <c r="J226" s="65">
        <v>170.58438199170388</v>
      </c>
      <c r="K226" s="62"/>
      <c r="L226" s="62"/>
      <c r="M226" s="66">
        <f t="shared" si="6"/>
        <v>0</v>
      </c>
      <c r="N226" s="66">
        <f t="shared" si="6"/>
        <v>0</v>
      </c>
      <c r="O226" s="66">
        <f t="shared" si="7"/>
        <v>0</v>
      </c>
    </row>
    <row r="227" spans="1:16" x14ac:dyDescent="0.25">
      <c r="A227" s="62"/>
      <c r="B227" s="62"/>
      <c r="C227" s="63"/>
      <c r="D227" s="62"/>
      <c r="E227" s="62" t="s">
        <v>282</v>
      </c>
      <c r="F227" s="62">
        <v>14.58</v>
      </c>
      <c r="G227" s="64">
        <v>314</v>
      </c>
      <c r="H227" s="65">
        <v>4578.12</v>
      </c>
      <c r="I227" s="65">
        <v>2958</v>
      </c>
      <c r="J227" s="65">
        <v>1620.12</v>
      </c>
      <c r="K227" s="62"/>
      <c r="L227" s="62"/>
      <c r="M227" s="66">
        <f t="shared" si="6"/>
        <v>0</v>
      </c>
      <c r="N227" s="66">
        <f t="shared" si="6"/>
        <v>0</v>
      </c>
      <c r="O227" s="66">
        <f t="shared" si="7"/>
        <v>0</v>
      </c>
    </row>
    <row r="228" spans="1:16" x14ac:dyDescent="0.25">
      <c r="A228" s="62"/>
      <c r="B228" s="62"/>
      <c r="C228" s="63"/>
      <c r="D228" s="62"/>
      <c r="E228" s="62" t="s">
        <v>386</v>
      </c>
      <c r="F228" s="62">
        <v>17.010000000000002</v>
      </c>
      <c r="G228" s="64">
        <v>159</v>
      </c>
      <c r="H228" s="65">
        <v>2704.59</v>
      </c>
      <c r="I228" s="65">
        <v>4020.8205617704034</v>
      </c>
      <c r="J228" s="65">
        <v>-1316.2305617704035</v>
      </c>
      <c r="K228" s="62"/>
      <c r="L228" s="62"/>
      <c r="M228" s="66">
        <f t="shared" si="6"/>
        <v>0</v>
      </c>
      <c r="N228" s="66">
        <f t="shared" si="6"/>
        <v>0</v>
      </c>
      <c r="O228" s="66">
        <f t="shared" si="7"/>
        <v>0</v>
      </c>
    </row>
    <row r="229" spans="1:16" x14ac:dyDescent="0.25">
      <c r="A229" s="62"/>
      <c r="B229" s="62"/>
      <c r="C229" s="63"/>
      <c r="D229" s="62"/>
      <c r="E229" s="62" t="s">
        <v>387</v>
      </c>
      <c r="F229" s="62">
        <v>17.010000000000002</v>
      </c>
      <c r="G229" s="64">
        <v>38</v>
      </c>
      <c r="H229" s="65">
        <v>646.38</v>
      </c>
      <c r="I229" s="65">
        <v>419.54382022130045</v>
      </c>
      <c r="J229" s="65">
        <v>226.8361797786996</v>
      </c>
      <c r="K229" s="62"/>
      <c r="L229" s="62"/>
      <c r="M229" s="66">
        <f t="shared" si="6"/>
        <v>0</v>
      </c>
      <c r="N229" s="66">
        <f t="shared" si="6"/>
        <v>0</v>
      </c>
      <c r="O229" s="66">
        <f t="shared" si="7"/>
        <v>0</v>
      </c>
    </row>
    <row r="230" spans="1:16" s="6" customFormat="1" x14ac:dyDescent="0.25">
      <c r="A230" s="67"/>
      <c r="B230" s="67" t="s">
        <v>128</v>
      </c>
      <c r="C230" s="68"/>
      <c r="D230" s="67"/>
      <c r="E230" s="67"/>
      <c r="F230" s="67"/>
      <c r="G230" s="69">
        <v>2612</v>
      </c>
      <c r="H230" s="70">
        <v>35694.55999999999</v>
      </c>
      <c r="I230" s="70">
        <v>41613.69</v>
      </c>
      <c r="J230" s="70">
        <v>-5919.1299999999992</v>
      </c>
      <c r="K230" s="67"/>
      <c r="L230" s="67"/>
      <c r="M230" s="71"/>
      <c r="N230" s="71"/>
      <c r="O230" s="71">
        <f>SUM(O215:O229)</f>
        <v>0</v>
      </c>
      <c r="P230"/>
    </row>
    <row r="231" spans="1:16" s="6" customFormat="1" x14ac:dyDescent="0.25">
      <c r="A231" s="57" t="s">
        <v>131</v>
      </c>
      <c r="B231" s="57"/>
      <c r="C231" s="58"/>
      <c r="D231" s="57"/>
      <c r="E231" s="57"/>
      <c r="F231" s="57"/>
      <c r="G231" s="59">
        <v>9461</v>
      </c>
      <c r="H231" s="60">
        <v>71741.959999999992</v>
      </c>
      <c r="I231" s="60">
        <v>112605.68999999999</v>
      </c>
      <c r="J231" s="60">
        <v>-40863.729999999996</v>
      </c>
      <c r="K231" s="57"/>
      <c r="L231" s="57"/>
      <c r="M231" s="61"/>
      <c r="N231" s="61"/>
      <c r="O231" s="61"/>
      <c r="P231"/>
    </row>
    <row r="232" spans="1:16" x14ac:dyDescent="0.25">
      <c r="A232" s="62" t="s">
        <v>14</v>
      </c>
      <c r="B232" s="62" t="s">
        <v>106</v>
      </c>
      <c r="C232" s="63" t="s">
        <v>72</v>
      </c>
      <c r="D232" s="62" t="s">
        <v>108</v>
      </c>
      <c r="E232" s="62" t="s">
        <v>285</v>
      </c>
      <c r="F232" s="62">
        <v>0.83</v>
      </c>
      <c r="G232" s="64">
        <v>8</v>
      </c>
      <c r="H232" s="65">
        <v>6.64</v>
      </c>
      <c r="I232" s="65">
        <v>34.450000000000003</v>
      </c>
      <c r="J232" s="65">
        <v>-27.810000000000002</v>
      </c>
      <c r="K232" s="62">
        <v>2.17</v>
      </c>
      <c r="L232" s="62"/>
      <c r="M232" s="66">
        <f t="shared" si="6"/>
        <v>17.36</v>
      </c>
      <c r="N232" s="66">
        <f t="shared" si="6"/>
        <v>0</v>
      </c>
      <c r="O232" s="66">
        <f t="shared" si="7"/>
        <v>17.36</v>
      </c>
    </row>
    <row r="233" spans="1:16" x14ac:dyDescent="0.25">
      <c r="A233" s="62"/>
      <c r="B233" s="62"/>
      <c r="C233" s="63"/>
      <c r="D233" s="62"/>
      <c r="E233" s="62" t="s">
        <v>286</v>
      </c>
      <c r="F233" s="62">
        <v>0.83</v>
      </c>
      <c r="G233" s="64">
        <v>10</v>
      </c>
      <c r="H233" s="65">
        <v>8.3000000000000007</v>
      </c>
      <c r="I233" s="65">
        <v>43.06</v>
      </c>
      <c r="J233" s="65">
        <v>-34.760000000000005</v>
      </c>
      <c r="K233" s="62">
        <v>2.17</v>
      </c>
      <c r="L233" s="62"/>
      <c r="M233" s="66">
        <f t="shared" si="6"/>
        <v>21.7</v>
      </c>
      <c r="N233" s="66">
        <f t="shared" si="6"/>
        <v>0</v>
      </c>
      <c r="O233" s="66">
        <f t="shared" si="7"/>
        <v>21.7</v>
      </c>
    </row>
    <row r="234" spans="1:16" x14ac:dyDescent="0.25">
      <c r="A234" s="62"/>
      <c r="B234" s="62"/>
      <c r="C234" s="63"/>
      <c r="D234" s="62"/>
      <c r="E234" s="62" t="s">
        <v>287</v>
      </c>
      <c r="F234" s="62">
        <v>0.61</v>
      </c>
      <c r="G234" s="64">
        <v>133</v>
      </c>
      <c r="H234" s="65">
        <v>81.13</v>
      </c>
      <c r="I234" s="65">
        <v>572.66999999999996</v>
      </c>
      <c r="J234" s="65">
        <v>-491.53999999999996</v>
      </c>
      <c r="K234" s="62">
        <v>1.37</v>
      </c>
      <c r="L234" s="62"/>
      <c r="M234" s="66">
        <f t="shared" si="6"/>
        <v>182.21</v>
      </c>
      <c r="N234" s="66">
        <f t="shared" si="6"/>
        <v>0</v>
      </c>
      <c r="O234" s="66">
        <f t="shared" si="7"/>
        <v>182.21</v>
      </c>
    </row>
    <row r="235" spans="1:16" x14ac:dyDescent="0.25">
      <c r="A235" s="62"/>
      <c r="B235" s="62"/>
      <c r="C235" s="63"/>
      <c r="D235" s="62"/>
      <c r="E235" s="62" t="s">
        <v>289</v>
      </c>
      <c r="F235" s="62">
        <v>0.61</v>
      </c>
      <c r="G235" s="64">
        <v>55</v>
      </c>
      <c r="H235" s="65">
        <v>33.549999999999997</v>
      </c>
      <c r="I235" s="65">
        <v>236.82</v>
      </c>
      <c r="J235" s="65">
        <v>-203.26999999999998</v>
      </c>
      <c r="K235" s="62">
        <v>1.37</v>
      </c>
      <c r="L235" s="62"/>
      <c r="M235" s="66">
        <f t="shared" si="6"/>
        <v>75.350000000000009</v>
      </c>
      <c r="N235" s="66">
        <f t="shared" si="6"/>
        <v>0</v>
      </c>
      <c r="O235" s="66">
        <f t="shared" si="7"/>
        <v>75.350000000000009</v>
      </c>
    </row>
    <row r="236" spans="1:16" x14ac:dyDescent="0.25">
      <c r="A236" s="62"/>
      <c r="B236" s="62"/>
      <c r="C236" s="63"/>
      <c r="D236" s="62" t="s">
        <v>202</v>
      </c>
      <c r="E236" s="62" t="s">
        <v>388</v>
      </c>
      <c r="F236" s="62">
        <v>1.24</v>
      </c>
      <c r="G236" s="64">
        <v>4078</v>
      </c>
      <c r="H236" s="65">
        <v>5056.7199999999993</v>
      </c>
      <c r="I236" s="65">
        <v>4435</v>
      </c>
      <c r="J236" s="65">
        <v>621.7199999999998</v>
      </c>
      <c r="K236" s="62">
        <v>3.21</v>
      </c>
      <c r="L236" s="62"/>
      <c r="M236" s="66">
        <f t="shared" si="6"/>
        <v>13090.38</v>
      </c>
      <c r="N236" s="66">
        <f t="shared" si="6"/>
        <v>0</v>
      </c>
      <c r="O236" s="66">
        <f t="shared" si="7"/>
        <v>13090.38</v>
      </c>
    </row>
    <row r="237" spans="1:16" x14ac:dyDescent="0.25">
      <c r="A237" s="62"/>
      <c r="B237" s="62"/>
      <c r="C237" s="63" t="s">
        <v>99</v>
      </c>
      <c r="D237" s="62" t="s">
        <v>108</v>
      </c>
      <c r="E237" s="62" t="s">
        <v>389</v>
      </c>
      <c r="F237" s="62">
        <v>0.83</v>
      </c>
      <c r="G237" s="64">
        <v>1975</v>
      </c>
      <c r="H237" s="65">
        <v>1639.25</v>
      </c>
      <c r="I237" s="65">
        <v>868.38000000000011</v>
      </c>
      <c r="J237" s="65">
        <v>770.86999999999989</v>
      </c>
      <c r="K237" s="62">
        <v>2.11</v>
      </c>
      <c r="L237" s="62"/>
      <c r="M237" s="66">
        <f t="shared" si="6"/>
        <v>4167.25</v>
      </c>
      <c r="N237" s="66">
        <f t="shared" si="6"/>
        <v>0</v>
      </c>
      <c r="O237" s="66">
        <f t="shared" si="7"/>
        <v>4167.25</v>
      </c>
    </row>
    <row r="238" spans="1:16" x14ac:dyDescent="0.25">
      <c r="A238" s="62"/>
      <c r="B238" s="62"/>
      <c r="C238" s="63"/>
      <c r="D238" s="62"/>
      <c r="E238" s="62" t="s">
        <v>390</v>
      </c>
      <c r="F238" s="62">
        <v>0.78</v>
      </c>
      <c r="G238" s="64">
        <v>104</v>
      </c>
      <c r="H238" s="65">
        <v>81.12</v>
      </c>
      <c r="I238" s="65">
        <v>45.56</v>
      </c>
      <c r="J238" s="65">
        <v>35.56</v>
      </c>
      <c r="K238" s="62">
        <v>2.2799999999999998</v>
      </c>
      <c r="L238" s="62"/>
      <c r="M238" s="66">
        <f t="shared" si="6"/>
        <v>237.11999999999998</v>
      </c>
      <c r="N238" s="66">
        <f t="shared" si="6"/>
        <v>0</v>
      </c>
      <c r="O238" s="66">
        <f t="shared" si="7"/>
        <v>237.11999999999998</v>
      </c>
    </row>
    <row r="239" spans="1:16" x14ac:dyDescent="0.25">
      <c r="A239" s="62"/>
      <c r="B239" s="62"/>
      <c r="C239" s="63"/>
      <c r="D239" s="62"/>
      <c r="E239" s="62" t="s">
        <v>290</v>
      </c>
      <c r="F239" s="62">
        <v>0.79</v>
      </c>
      <c r="G239" s="64">
        <v>48</v>
      </c>
      <c r="H239" s="65">
        <v>37.92</v>
      </c>
      <c r="I239" s="65">
        <v>22.049999999999997</v>
      </c>
      <c r="J239" s="65">
        <v>15.870000000000001</v>
      </c>
      <c r="K239" s="62">
        <v>2.0099999999999998</v>
      </c>
      <c r="L239" s="62"/>
      <c r="M239" s="66">
        <f t="shared" si="6"/>
        <v>96.47999999999999</v>
      </c>
      <c r="N239" s="66">
        <f t="shared" si="6"/>
        <v>0</v>
      </c>
      <c r="O239" s="66">
        <f t="shared" si="7"/>
        <v>96.47999999999999</v>
      </c>
    </row>
    <row r="240" spans="1:16" x14ac:dyDescent="0.25">
      <c r="A240" s="62"/>
      <c r="B240" s="62"/>
      <c r="C240" s="63"/>
      <c r="D240" s="62"/>
      <c r="E240" s="62" t="s">
        <v>291</v>
      </c>
      <c r="F240" s="62">
        <v>0.93</v>
      </c>
      <c r="G240" s="64">
        <v>18</v>
      </c>
      <c r="H240" s="65">
        <v>16.740000000000002</v>
      </c>
      <c r="I240" s="65">
        <v>8.3800000000000008</v>
      </c>
      <c r="J240" s="65">
        <v>8.36</v>
      </c>
      <c r="K240" s="62">
        <v>2.2400000000000002</v>
      </c>
      <c r="L240" s="62"/>
      <c r="M240" s="66">
        <f t="shared" si="6"/>
        <v>40.320000000000007</v>
      </c>
      <c r="N240" s="66">
        <f t="shared" si="6"/>
        <v>0</v>
      </c>
      <c r="O240" s="66">
        <f t="shared" si="7"/>
        <v>40.320000000000007</v>
      </c>
    </row>
    <row r="241" spans="1:15" x14ac:dyDescent="0.25">
      <c r="A241" s="62"/>
      <c r="B241" s="62"/>
      <c r="C241" s="63"/>
      <c r="D241" s="62"/>
      <c r="E241" s="62" t="s">
        <v>391</v>
      </c>
      <c r="F241" s="62">
        <v>0.79</v>
      </c>
      <c r="G241" s="64">
        <v>1182</v>
      </c>
      <c r="H241" s="65">
        <v>933.78000000000009</v>
      </c>
      <c r="I241" s="65">
        <v>570.98</v>
      </c>
      <c r="J241" s="65">
        <v>362.80000000000007</v>
      </c>
      <c r="K241" s="62">
        <v>6.04</v>
      </c>
      <c r="L241" s="62"/>
      <c r="M241" s="66">
        <f t="shared" si="6"/>
        <v>7139.28</v>
      </c>
      <c r="N241" s="66">
        <f t="shared" si="6"/>
        <v>0</v>
      </c>
      <c r="O241" s="66">
        <f t="shared" si="7"/>
        <v>7139.28</v>
      </c>
    </row>
    <row r="242" spans="1:15" x14ac:dyDescent="0.25">
      <c r="A242" s="62"/>
      <c r="B242" s="62"/>
      <c r="C242" s="63"/>
      <c r="D242" s="62"/>
      <c r="E242" s="62" t="s">
        <v>292</v>
      </c>
      <c r="F242" s="62">
        <v>0.79</v>
      </c>
      <c r="G242" s="64">
        <v>38</v>
      </c>
      <c r="H242" s="65">
        <v>30.02</v>
      </c>
      <c r="I242" s="65">
        <v>17.700000000000003</v>
      </c>
      <c r="J242" s="65">
        <v>12.319999999999999</v>
      </c>
      <c r="K242" s="62">
        <v>2.0099999999999998</v>
      </c>
      <c r="L242" s="62"/>
      <c r="M242" s="66">
        <f t="shared" si="6"/>
        <v>76.38</v>
      </c>
      <c r="N242" s="66">
        <f t="shared" si="6"/>
        <v>0</v>
      </c>
      <c r="O242" s="66">
        <f t="shared" si="7"/>
        <v>76.38</v>
      </c>
    </row>
    <row r="243" spans="1:15" x14ac:dyDescent="0.25">
      <c r="A243" s="62"/>
      <c r="B243" s="62"/>
      <c r="C243" s="63"/>
      <c r="D243" s="62"/>
      <c r="E243" s="62" t="s">
        <v>392</v>
      </c>
      <c r="F243" s="62">
        <v>0.77</v>
      </c>
      <c r="G243" s="64">
        <v>65</v>
      </c>
      <c r="H243" s="65">
        <v>50.05</v>
      </c>
      <c r="I243" s="65">
        <v>30.95</v>
      </c>
      <c r="J243" s="65">
        <v>19.099999999999998</v>
      </c>
      <c r="K243" s="62">
        <v>6.49</v>
      </c>
      <c r="L243" s="62"/>
      <c r="M243" s="66">
        <f t="shared" si="6"/>
        <v>421.85</v>
      </c>
      <c r="N243" s="66">
        <f t="shared" si="6"/>
        <v>0</v>
      </c>
      <c r="O243" s="66">
        <f t="shared" si="7"/>
        <v>421.85</v>
      </c>
    </row>
    <row r="244" spans="1:15" x14ac:dyDescent="0.25">
      <c r="A244" s="62"/>
      <c r="B244" s="62"/>
      <c r="C244" s="63"/>
      <c r="D244" s="62"/>
      <c r="E244" s="62" t="s">
        <v>393</v>
      </c>
      <c r="F244" s="62">
        <v>0.75</v>
      </c>
      <c r="G244" s="64">
        <v>1245</v>
      </c>
      <c r="H244" s="65">
        <v>933.75</v>
      </c>
      <c r="I244" s="65">
        <v>690.2</v>
      </c>
      <c r="J244" s="65">
        <v>243.54999999999995</v>
      </c>
      <c r="K244" s="62">
        <v>5.78</v>
      </c>
      <c r="L244" s="62"/>
      <c r="M244" s="66">
        <f t="shared" si="6"/>
        <v>7196.1</v>
      </c>
      <c r="N244" s="66">
        <f t="shared" si="6"/>
        <v>0</v>
      </c>
      <c r="O244" s="66">
        <f t="shared" si="7"/>
        <v>7196.1</v>
      </c>
    </row>
    <row r="245" spans="1:15" x14ac:dyDescent="0.25">
      <c r="A245" s="62"/>
      <c r="B245" s="62"/>
      <c r="C245" s="63"/>
      <c r="D245" s="62"/>
      <c r="E245" s="62" t="s">
        <v>302</v>
      </c>
      <c r="F245" s="62">
        <v>0.75</v>
      </c>
      <c r="G245" s="64">
        <v>341</v>
      </c>
      <c r="H245" s="65">
        <v>255.75</v>
      </c>
      <c r="I245" s="65">
        <v>123.76</v>
      </c>
      <c r="J245" s="65">
        <v>131.99</v>
      </c>
      <c r="K245" s="62">
        <v>1.93</v>
      </c>
      <c r="L245" s="62"/>
      <c r="M245" s="66">
        <f t="shared" si="6"/>
        <v>658.13</v>
      </c>
      <c r="N245" s="66">
        <f t="shared" si="6"/>
        <v>0</v>
      </c>
      <c r="O245" s="66">
        <f t="shared" si="7"/>
        <v>658.13</v>
      </c>
    </row>
    <row r="246" spans="1:15" x14ac:dyDescent="0.25">
      <c r="A246" s="62"/>
      <c r="B246" s="62"/>
      <c r="C246" s="63"/>
      <c r="D246" s="62"/>
      <c r="E246" s="62" t="s">
        <v>283</v>
      </c>
      <c r="F246" s="62">
        <v>0.83</v>
      </c>
      <c r="G246" s="64">
        <v>50</v>
      </c>
      <c r="H246" s="65">
        <v>41.5</v>
      </c>
      <c r="I246" s="65">
        <v>18.149999999999999</v>
      </c>
      <c r="J246" s="65">
        <v>23.35</v>
      </c>
      <c r="K246" s="62">
        <v>2.11</v>
      </c>
      <c r="L246" s="62"/>
      <c r="M246" s="66">
        <f t="shared" si="6"/>
        <v>105.5</v>
      </c>
      <c r="N246" s="66">
        <f t="shared" si="6"/>
        <v>0</v>
      </c>
      <c r="O246" s="66">
        <f t="shared" si="7"/>
        <v>105.5</v>
      </c>
    </row>
    <row r="247" spans="1:15" x14ac:dyDescent="0.25">
      <c r="A247" s="62"/>
      <c r="B247" s="62"/>
      <c r="C247" s="63"/>
      <c r="D247" s="62"/>
      <c r="E247" s="62" t="s">
        <v>394</v>
      </c>
      <c r="F247" s="62">
        <v>0.79999999999999993</v>
      </c>
      <c r="G247" s="64">
        <v>6770</v>
      </c>
      <c r="H247" s="65">
        <v>5416</v>
      </c>
      <c r="I247" s="65">
        <v>3101.32</v>
      </c>
      <c r="J247" s="65">
        <v>2314.6799999999994</v>
      </c>
      <c r="K247" s="62">
        <v>5.63</v>
      </c>
      <c r="L247" s="62"/>
      <c r="M247" s="66">
        <f t="shared" si="6"/>
        <v>38115.1</v>
      </c>
      <c r="N247" s="66">
        <f t="shared" si="6"/>
        <v>0</v>
      </c>
      <c r="O247" s="66">
        <f t="shared" si="7"/>
        <v>38115.1</v>
      </c>
    </row>
    <row r="248" spans="1:15" x14ac:dyDescent="0.25">
      <c r="A248" s="62"/>
      <c r="B248" s="62"/>
      <c r="C248" s="63"/>
      <c r="D248" s="62"/>
      <c r="E248" s="62" t="s">
        <v>395</v>
      </c>
      <c r="F248" s="62">
        <v>0.77</v>
      </c>
      <c r="G248" s="64">
        <v>310</v>
      </c>
      <c r="H248" s="65">
        <v>238.7</v>
      </c>
      <c r="I248" s="65">
        <v>142.75</v>
      </c>
      <c r="J248" s="65">
        <v>95.949999999999989</v>
      </c>
      <c r="K248" s="62">
        <v>6.02</v>
      </c>
      <c r="L248" s="62"/>
      <c r="M248" s="66">
        <f t="shared" si="6"/>
        <v>1866.1999999999998</v>
      </c>
      <c r="N248" s="66">
        <f t="shared" si="6"/>
        <v>0</v>
      </c>
      <c r="O248" s="66">
        <f t="shared" si="7"/>
        <v>1866.1999999999998</v>
      </c>
    </row>
    <row r="249" spans="1:15" x14ac:dyDescent="0.25">
      <c r="A249" s="62"/>
      <c r="B249" s="62"/>
      <c r="C249" s="63"/>
      <c r="D249" s="62"/>
      <c r="E249" s="62" t="s">
        <v>396</v>
      </c>
      <c r="F249" s="62">
        <v>0.7</v>
      </c>
      <c r="G249" s="64">
        <v>4234</v>
      </c>
      <c r="H249" s="65">
        <v>2963.8</v>
      </c>
      <c r="I249" s="65">
        <v>1700.5799999999997</v>
      </c>
      <c r="J249" s="65">
        <v>1263.22</v>
      </c>
      <c r="K249" s="62">
        <v>4.92</v>
      </c>
      <c r="L249" s="62"/>
      <c r="M249" s="66">
        <f t="shared" si="6"/>
        <v>20831.28</v>
      </c>
      <c r="N249" s="66">
        <f t="shared" si="6"/>
        <v>0</v>
      </c>
      <c r="O249" s="66">
        <f t="shared" si="7"/>
        <v>20831.28</v>
      </c>
    </row>
    <row r="250" spans="1:15" x14ac:dyDescent="0.25">
      <c r="A250" s="62"/>
      <c r="B250" s="62"/>
      <c r="C250" s="63"/>
      <c r="D250" s="62"/>
      <c r="E250" s="62" t="s">
        <v>294</v>
      </c>
      <c r="F250" s="62">
        <v>0.77</v>
      </c>
      <c r="G250" s="64">
        <v>30</v>
      </c>
      <c r="H250" s="65">
        <v>23.1</v>
      </c>
      <c r="I250" s="65">
        <v>13.44</v>
      </c>
      <c r="J250" s="65">
        <v>9.6600000000000019</v>
      </c>
      <c r="K250" s="62">
        <v>2.0099999999999998</v>
      </c>
      <c r="L250" s="62"/>
      <c r="M250" s="66">
        <f t="shared" si="6"/>
        <v>60.3</v>
      </c>
      <c r="N250" s="66">
        <f t="shared" si="6"/>
        <v>0</v>
      </c>
      <c r="O250" s="66">
        <f t="shared" si="7"/>
        <v>60.3</v>
      </c>
    </row>
    <row r="251" spans="1:15" x14ac:dyDescent="0.25">
      <c r="A251" s="62"/>
      <c r="B251" s="62"/>
      <c r="C251" s="63"/>
      <c r="D251" s="62"/>
      <c r="E251" s="62" t="s">
        <v>296</v>
      </c>
      <c r="F251" s="62">
        <v>0.8</v>
      </c>
      <c r="G251" s="64">
        <v>113</v>
      </c>
      <c r="H251" s="65">
        <v>90.4</v>
      </c>
      <c r="I251" s="65">
        <v>48.839999999999996</v>
      </c>
      <c r="J251" s="65">
        <v>41.560000000000009</v>
      </c>
      <c r="K251" s="62">
        <v>2.08</v>
      </c>
      <c r="L251" s="62"/>
      <c r="M251" s="66">
        <f t="shared" si="6"/>
        <v>235.04000000000002</v>
      </c>
      <c r="N251" s="66">
        <f t="shared" si="6"/>
        <v>0</v>
      </c>
      <c r="O251" s="66">
        <f t="shared" si="7"/>
        <v>235.04000000000002</v>
      </c>
    </row>
    <row r="252" spans="1:15" x14ac:dyDescent="0.25">
      <c r="A252" s="62"/>
      <c r="B252" s="62"/>
      <c r="C252" s="63"/>
      <c r="D252" s="62"/>
      <c r="E252" s="62" t="s">
        <v>298</v>
      </c>
      <c r="F252" s="62">
        <v>0.82999999999999985</v>
      </c>
      <c r="G252" s="64">
        <v>134</v>
      </c>
      <c r="H252" s="65">
        <v>111.22</v>
      </c>
      <c r="I252" s="65">
        <v>59.02000000000001</v>
      </c>
      <c r="J252" s="65">
        <v>52.199999999999996</v>
      </c>
      <c r="K252" s="62">
        <v>2.17</v>
      </c>
      <c r="L252" s="62"/>
      <c r="M252" s="66">
        <f t="shared" si="6"/>
        <v>290.77999999999997</v>
      </c>
      <c r="N252" s="66">
        <f t="shared" si="6"/>
        <v>0</v>
      </c>
      <c r="O252" s="66">
        <f t="shared" si="7"/>
        <v>290.77999999999997</v>
      </c>
    </row>
    <row r="253" spans="1:15" x14ac:dyDescent="0.25">
      <c r="A253" s="62"/>
      <c r="B253" s="62"/>
      <c r="C253" s="63"/>
      <c r="D253" s="62"/>
      <c r="E253" s="62" t="s">
        <v>299</v>
      </c>
      <c r="F253" s="62">
        <v>0.8</v>
      </c>
      <c r="G253" s="64">
        <v>251</v>
      </c>
      <c r="H253" s="65">
        <v>200.8</v>
      </c>
      <c r="I253" s="65">
        <v>107.80000000000001</v>
      </c>
      <c r="J253" s="65">
        <v>93</v>
      </c>
      <c r="K253" s="62">
        <v>2.08</v>
      </c>
      <c r="L253" s="62"/>
      <c r="M253" s="66">
        <f t="shared" si="6"/>
        <v>522.08000000000004</v>
      </c>
      <c r="N253" s="66">
        <f t="shared" si="6"/>
        <v>0</v>
      </c>
      <c r="O253" s="66">
        <f t="shared" si="7"/>
        <v>522.08000000000004</v>
      </c>
    </row>
    <row r="254" spans="1:15" x14ac:dyDescent="0.25">
      <c r="A254" s="62"/>
      <c r="B254" s="62"/>
      <c r="C254" s="63"/>
      <c r="D254" s="62"/>
      <c r="E254" s="62" t="s">
        <v>397</v>
      </c>
      <c r="F254" s="62">
        <v>0.61</v>
      </c>
      <c r="G254" s="64">
        <v>3159</v>
      </c>
      <c r="H254" s="65">
        <v>1926.99</v>
      </c>
      <c r="I254" s="65">
        <v>1279.72</v>
      </c>
      <c r="J254" s="65">
        <v>647.27</v>
      </c>
      <c r="K254" s="62">
        <v>4.21</v>
      </c>
      <c r="L254" s="62"/>
      <c r="M254" s="66">
        <f t="shared" si="6"/>
        <v>13299.39</v>
      </c>
      <c r="N254" s="66">
        <f t="shared" si="6"/>
        <v>0</v>
      </c>
      <c r="O254" s="66">
        <f t="shared" si="7"/>
        <v>13299.39</v>
      </c>
    </row>
    <row r="255" spans="1:15" x14ac:dyDescent="0.25">
      <c r="A255" s="62"/>
      <c r="B255" s="62"/>
      <c r="C255" s="63"/>
      <c r="D255" s="62"/>
      <c r="E255" s="62" t="s">
        <v>288</v>
      </c>
      <c r="F255" s="62">
        <v>0.63</v>
      </c>
      <c r="G255" s="64">
        <v>47</v>
      </c>
      <c r="H255" s="65">
        <v>29.61</v>
      </c>
      <c r="I255" s="65">
        <v>20.420000000000002</v>
      </c>
      <c r="J255" s="65">
        <v>9.1899999999999977</v>
      </c>
      <c r="K255" s="62">
        <v>1.43</v>
      </c>
      <c r="L255" s="62"/>
      <c r="M255" s="66">
        <f t="shared" si="6"/>
        <v>67.209999999999994</v>
      </c>
      <c r="N255" s="66">
        <f t="shared" si="6"/>
        <v>0</v>
      </c>
      <c r="O255" s="66">
        <f t="shared" si="7"/>
        <v>67.209999999999994</v>
      </c>
    </row>
    <row r="256" spans="1:15" x14ac:dyDescent="0.25">
      <c r="A256" s="62"/>
      <c r="B256" s="62"/>
      <c r="C256" s="63" t="s">
        <v>118</v>
      </c>
      <c r="D256" s="62" t="s">
        <v>108</v>
      </c>
      <c r="E256" s="62" t="s">
        <v>389</v>
      </c>
      <c r="F256" s="62">
        <v>0.83</v>
      </c>
      <c r="G256" s="64">
        <v>1975</v>
      </c>
      <c r="H256" s="65">
        <v>1639.25</v>
      </c>
      <c r="I256" s="65">
        <v>868.38000000000011</v>
      </c>
      <c r="J256" s="65">
        <v>770.86999999999989</v>
      </c>
      <c r="K256" s="62">
        <v>2.11</v>
      </c>
      <c r="L256" s="62"/>
      <c r="M256" s="66">
        <f t="shared" si="6"/>
        <v>4167.25</v>
      </c>
      <c r="N256" s="66">
        <f t="shared" si="6"/>
        <v>0</v>
      </c>
      <c r="O256" s="66">
        <f t="shared" si="7"/>
        <v>4167.25</v>
      </c>
    </row>
    <row r="257" spans="1:15" x14ac:dyDescent="0.25">
      <c r="A257" s="62"/>
      <c r="B257" s="62"/>
      <c r="C257" s="63"/>
      <c r="D257" s="62"/>
      <c r="E257" s="62" t="s">
        <v>390</v>
      </c>
      <c r="F257" s="62">
        <v>0.78</v>
      </c>
      <c r="G257" s="64">
        <v>106</v>
      </c>
      <c r="H257" s="65">
        <v>82.68</v>
      </c>
      <c r="I257" s="65">
        <v>46.43</v>
      </c>
      <c r="J257" s="65">
        <v>36.25</v>
      </c>
      <c r="K257" s="62">
        <v>2.2799999999999998</v>
      </c>
      <c r="L257" s="62"/>
      <c r="M257" s="66">
        <f t="shared" si="6"/>
        <v>241.67999999999998</v>
      </c>
      <c r="N257" s="66">
        <f t="shared" si="6"/>
        <v>0</v>
      </c>
      <c r="O257" s="66">
        <f t="shared" si="7"/>
        <v>241.67999999999998</v>
      </c>
    </row>
    <row r="258" spans="1:15" x14ac:dyDescent="0.25">
      <c r="A258" s="62"/>
      <c r="B258" s="62"/>
      <c r="C258" s="63"/>
      <c r="D258" s="62"/>
      <c r="E258" s="62" t="s">
        <v>290</v>
      </c>
      <c r="F258" s="62">
        <v>0.79</v>
      </c>
      <c r="G258" s="64">
        <v>47</v>
      </c>
      <c r="H258" s="65">
        <v>37.129999999999995</v>
      </c>
      <c r="I258" s="65">
        <v>21.53</v>
      </c>
      <c r="J258" s="65">
        <v>15.6</v>
      </c>
      <c r="K258" s="62">
        <v>2.0099999999999998</v>
      </c>
      <c r="L258" s="62"/>
      <c r="M258" s="66">
        <f t="shared" si="6"/>
        <v>94.469999999999985</v>
      </c>
      <c r="N258" s="66">
        <f t="shared" si="6"/>
        <v>0</v>
      </c>
      <c r="O258" s="66">
        <f t="shared" si="7"/>
        <v>94.469999999999985</v>
      </c>
    </row>
    <row r="259" spans="1:15" x14ac:dyDescent="0.25">
      <c r="A259" s="62"/>
      <c r="B259" s="62"/>
      <c r="C259" s="63"/>
      <c r="D259" s="62"/>
      <c r="E259" s="62" t="s">
        <v>291</v>
      </c>
      <c r="F259" s="62">
        <v>0.93</v>
      </c>
      <c r="G259" s="64">
        <v>18</v>
      </c>
      <c r="H259" s="65">
        <v>16.740000000000002</v>
      </c>
      <c r="I259" s="65">
        <v>8.3800000000000008</v>
      </c>
      <c r="J259" s="65">
        <v>8.36</v>
      </c>
      <c r="K259" s="62">
        <v>2.2400000000000002</v>
      </c>
      <c r="L259" s="62"/>
      <c r="M259" s="66">
        <f t="shared" si="6"/>
        <v>40.320000000000007</v>
      </c>
      <c r="N259" s="66">
        <f t="shared" si="6"/>
        <v>0</v>
      </c>
      <c r="O259" s="66">
        <f t="shared" si="7"/>
        <v>40.320000000000007</v>
      </c>
    </row>
    <row r="260" spans="1:15" x14ac:dyDescent="0.25">
      <c r="A260" s="62"/>
      <c r="B260" s="62"/>
      <c r="C260" s="63"/>
      <c r="D260" s="62"/>
      <c r="E260" s="62" t="s">
        <v>391</v>
      </c>
      <c r="F260" s="62">
        <v>0.79</v>
      </c>
      <c r="G260" s="64">
        <v>1183</v>
      </c>
      <c r="H260" s="65">
        <v>934.57</v>
      </c>
      <c r="I260" s="65">
        <v>571.46</v>
      </c>
      <c r="J260" s="65">
        <v>363.11</v>
      </c>
      <c r="K260" s="62">
        <v>6.04</v>
      </c>
      <c r="L260" s="62"/>
      <c r="M260" s="66">
        <f t="shared" si="6"/>
        <v>7145.32</v>
      </c>
      <c r="N260" s="66">
        <f t="shared" si="6"/>
        <v>0</v>
      </c>
      <c r="O260" s="66">
        <f t="shared" si="7"/>
        <v>7145.32</v>
      </c>
    </row>
    <row r="261" spans="1:15" x14ac:dyDescent="0.25">
      <c r="A261" s="62"/>
      <c r="B261" s="62"/>
      <c r="C261" s="63"/>
      <c r="D261" s="62"/>
      <c r="E261" s="62" t="s">
        <v>292</v>
      </c>
      <c r="F261" s="62">
        <v>0.79</v>
      </c>
      <c r="G261" s="64">
        <v>39</v>
      </c>
      <c r="H261" s="65">
        <v>30.810000000000002</v>
      </c>
      <c r="I261" s="65">
        <v>18.22</v>
      </c>
      <c r="J261" s="65">
        <v>12.59</v>
      </c>
      <c r="K261" s="62">
        <v>2.0099999999999998</v>
      </c>
      <c r="L261" s="62"/>
      <c r="M261" s="66">
        <f t="shared" si="6"/>
        <v>78.389999999999986</v>
      </c>
      <c r="N261" s="66">
        <f t="shared" si="6"/>
        <v>0</v>
      </c>
      <c r="O261" s="66">
        <f t="shared" si="7"/>
        <v>78.389999999999986</v>
      </c>
    </row>
    <row r="262" spans="1:15" x14ac:dyDescent="0.25">
      <c r="A262" s="62"/>
      <c r="B262" s="62"/>
      <c r="C262" s="63"/>
      <c r="D262" s="62"/>
      <c r="E262" s="62" t="s">
        <v>392</v>
      </c>
      <c r="F262" s="62">
        <v>0.77</v>
      </c>
      <c r="G262" s="64">
        <v>65</v>
      </c>
      <c r="H262" s="65">
        <v>50.05</v>
      </c>
      <c r="I262" s="65">
        <v>30.95</v>
      </c>
      <c r="J262" s="65">
        <v>19.099999999999998</v>
      </c>
      <c r="K262" s="62">
        <v>6.49</v>
      </c>
      <c r="L262" s="62"/>
      <c r="M262" s="66">
        <f t="shared" si="6"/>
        <v>421.85</v>
      </c>
      <c r="N262" s="66">
        <f t="shared" si="6"/>
        <v>0</v>
      </c>
      <c r="O262" s="66">
        <f t="shared" si="7"/>
        <v>421.85</v>
      </c>
    </row>
    <row r="263" spans="1:15" x14ac:dyDescent="0.25">
      <c r="A263" s="62"/>
      <c r="B263" s="62"/>
      <c r="C263" s="63"/>
      <c r="D263" s="62"/>
      <c r="E263" s="62" t="s">
        <v>393</v>
      </c>
      <c r="F263" s="62">
        <v>0.75</v>
      </c>
      <c r="G263" s="64">
        <v>1245</v>
      </c>
      <c r="H263" s="65">
        <v>933.75</v>
      </c>
      <c r="I263" s="65">
        <v>690.2</v>
      </c>
      <c r="J263" s="65">
        <v>243.54999999999995</v>
      </c>
      <c r="K263" s="62">
        <v>5.78</v>
      </c>
      <c r="L263" s="62"/>
      <c r="M263" s="66">
        <f t="shared" ref="M263:N326" si="8">$G263*K263</f>
        <v>7196.1</v>
      </c>
      <c r="N263" s="66">
        <f t="shared" si="8"/>
        <v>0</v>
      </c>
      <c r="O263" s="66">
        <f t="shared" ref="O263:O326" si="9">M263+N263</f>
        <v>7196.1</v>
      </c>
    </row>
    <row r="264" spans="1:15" x14ac:dyDescent="0.25">
      <c r="A264" s="62"/>
      <c r="B264" s="62"/>
      <c r="C264" s="63"/>
      <c r="D264" s="62"/>
      <c r="E264" s="62" t="s">
        <v>302</v>
      </c>
      <c r="F264" s="62">
        <v>0.75</v>
      </c>
      <c r="G264" s="64">
        <v>342</v>
      </c>
      <c r="H264" s="65">
        <v>256.5</v>
      </c>
      <c r="I264" s="65">
        <v>124.12</v>
      </c>
      <c r="J264" s="65">
        <v>132.38</v>
      </c>
      <c r="K264" s="62">
        <v>1.93</v>
      </c>
      <c r="L264" s="62"/>
      <c r="M264" s="66">
        <f t="shared" si="8"/>
        <v>660.06</v>
      </c>
      <c r="N264" s="66">
        <f t="shared" si="8"/>
        <v>0</v>
      </c>
      <c r="O264" s="66">
        <f t="shared" si="9"/>
        <v>660.06</v>
      </c>
    </row>
    <row r="265" spans="1:15" x14ac:dyDescent="0.25">
      <c r="A265" s="62"/>
      <c r="B265" s="62"/>
      <c r="C265" s="63"/>
      <c r="D265" s="62"/>
      <c r="E265" s="62" t="s">
        <v>283</v>
      </c>
      <c r="F265" s="62">
        <v>0.83</v>
      </c>
      <c r="G265" s="64">
        <v>50</v>
      </c>
      <c r="H265" s="65">
        <v>41.5</v>
      </c>
      <c r="I265" s="65">
        <v>18.149999999999999</v>
      </c>
      <c r="J265" s="65">
        <v>23.35</v>
      </c>
      <c r="K265" s="62">
        <v>2.11</v>
      </c>
      <c r="L265" s="62"/>
      <c r="M265" s="66">
        <f t="shared" si="8"/>
        <v>105.5</v>
      </c>
      <c r="N265" s="66">
        <f t="shared" si="8"/>
        <v>0</v>
      </c>
      <c r="O265" s="66">
        <f t="shared" si="9"/>
        <v>105.5</v>
      </c>
    </row>
    <row r="266" spans="1:15" x14ac:dyDescent="0.25">
      <c r="A266" s="62"/>
      <c r="B266" s="62"/>
      <c r="C266" s="63"/>
      <c r="D266" s="62"/>
      <c r="E266" s="62" t="s">
        <v>394</v>
      </c>
      <c r="F266" s="62">
        <v>0.79999999999999993</v>
      </c>
      <c r="G266" s="64">
        <v>6773</v>
      </c>
      <c r="H266" s="65">
        <v>5418.4</v>
      </c>
      <c r="I266" s="65">
        <v>3102.83</v>
      </c>
      <c r="J266" s="65">
        <v>2315.5700000000002</v>
      </c>
      <c r="K266" s="62">
        <v>5.63</v>
      </c>
      <c r="L266" s="62"/>
      <c r="M266" s="66">
        <f t="shared" si="8"/>
        <v>38131.99</v>
      </c>
      <c r="N266" s="66">
        <f t="shared" si="8"/>
        <v>0</v>
      </c>
      <c r="O266" s="66">
        <f t="shared" si="9"/>
        <v>38131.99</v>
      </c>
    </row>
    <row r="267" spans="1:15" x14ac:dyDescent="0.25">
      <c r="A267" s="62"/>
      <c r="B267" s="62"/>
      <c r="C267" s="63"/>
      <c r="D267" s="62"/>
      <c r="E267" s="62" t="s">
        <v>395</v>
      </c>
      <c r="F267" s="62">
        <v>0.77</v>
      </c>
      <c r="G267" s="64">
        <v>310</v>
      </c>
      <c r="H267" s="65">
        <v>238.70000000000002</v>
      </c>
      <c r="I267" s="65">
        <v>142.82999999999998</v>
      </c>
      <c r="J267" s="65">
        <v>95.86999999999999</v>
      </c>
      <c r="K267" s="62">
        <v>6.02</v>
      </c>
      <c r="L267" s="62"/>
      <c r="M267" s="66">
        <f t="shared" si="8"/>
        <v>1866.1999999999998</v>
      </c>
      <c r="N267" s="66">
        <f t="shared" si="8"/>
        <v>0</v>
      </c>
      <c r="O267" s="66">
        <f t="shared" si="9"/>
        <v>1866.1999999999998</v>
      </c>
    </row>
    <row r="268" spans="1:15" x14ac:dyDescent="0.25">
      <c r="A268" s="62"/>
      <c r="B268" s="62"/>
      <c r="C268" s="63"/>
      <c r="D268" s="62"/>
      <c r="E268" s="62" t="s">
        <v>396</v>
      </c>
      <c r="F268" s="62">
        <v>0.7</v>
      </c>
      <c r="G268" s="64">
        <v>4236</v>
      </c>
      <c r="H268" s="65">
        <v>2965.2</v>
      </c>
      <c r="I268" s="65">
        <v>1701.36</v>
      </c>
      <c r="J268" s="65">
        <v>1263.8400000000004</v>
      </c>
      <c r="K268" s="62">
        <v>4.92</v>
      </c>
      <c r="L268" s="62"/>
      <c r="M268" s="66">
        <f t="shared" si="8"/>
        <v>20841.12</v>
      </c>
      <c r="N268" s="66">
        <f t="shared" si="8"/>
        <v>0</v>
      </c>
      <c r="O268" s="66">
        <f t="shared" si="9"/>
        <v>20841.12</v>
      </c>
    </row>
    <row r="269" spans="1:15" x14ac:dyDescent="0.25">
      <c r="A269" s="62"/>
      <c r="B269" s="62"/>
      <c r="C269" s="63"/>
      <c r="D269" s="62"/>
      <c r="E269" s="62" t="s">
        <v>294</v>
      </c>
      <c r="F269" s="62">
        <v>0.77</v>
      </c>
      <c r="G269" s="64">
        <v>30</v>
      </c>
      <c r="H269" s="65">
        <v>23.1</v>
      </c>
      <c r="I269" s="65">
        <v>13.44</v>
      </c>
      <c r="J269" s="65">
        <v>9.6600000000000019</v>
      </c>
      <c r="K269" s="62">
        <v>2.0099999999999998</v>
      </c>
      <c r="L269" s="62"/>
      <c r="M269" s="66">
        <f t="shared" si="8"/>
        <v>60.3</v>
      </c>
      <c r="N269" s="66">
        <f t="shared" si="8"/>
        <v>0</v>
      </c>
      <c r="O269" s="66">
        <f t="shared" si="9"/>
        <v>60.3</v>
      </c>
    </row>
    <row r="270" spans="1:15" x14ac:dyDescent="0.25">
      <c r="A270" s="62"/>
      <c r="B270" s="62"/>
      <c r="C270" s="63"/>
      <c r="D270" s="62"/>
      <c r="E270" s="62" t="s">
        <v>296</v>
      </c>
      <c r="F270" s="62">
        <v>0.8</v>
      </c>
      <c r="G270" s="64">
        <v>112</v>
      </c>
      <c r="H270" s="65">
        <v>89.6</v>
      </c>
      <c r="I270" s="65">
        <v>48.41</v>
      </c>
      <c r="J270" s="65">
        <v>41.19</v>
      </c>
      <c r="K270" s="62">
        <v>2.08</v>
      </c>
      <c r="L270" s="62"/>
      <c r="M270" s="66">
        <f t="shared" si="8"/>
        <v>232.96</v>
      </c>
      <c r="N270" s="66">
        <f t="shared" si="8"/>
        <v>0</v>
      </c>
      <c r="O270" s="66">
        <f t="shared" si="9"/>
        <v>232.96</v>
      </c>
    </row>
    <row r="271" spans="1:15" x14ac:dyDescent="0.25">
      <c r="A271" s="62"/>
      <c r="B271" s="62"/>
      <c r="C271" s="63"/>
      <c r="D271" s="62"/>
      <c r="E271" s="62" t="s">
        <v>298</v>
      </c>
      <c r="F271" s="62">
        <v>0.82999999999999985</v>
      </c>
      <c r="G271" s="64">
        <v>131</v>
      </c>
      <c r="H271" s="65">
        <v>108.72999999999999</v>
      </c>
      <c r="I271" s="65">
        <v>57.790000000000006</v>
      </c>
      <c r="J271" s="65">
        <v>50.94</v>
      </c>
      <c r="K271" s="62">
        <v>2.17</v>
      </c>
      <c r="L271" s="62"/>
      <c r="M271" s="66">
        <f t="shared" si="8"/>
        <v>284.27</v>
      </c>
      <c r="N271" s="66">
        <f t="shared" si="8"/>
        <v>0</v>
      </c>
      <c r="O271" s="66">
        <f t="shared" si="9"/>
        <v>284.27</v>
      </c>
    </row>
    <row r="272" spans="1:15" x14ac:dyDescent="0.25">
      <c r="A272" s="62"/>
      <c r="B272" s="62"/>
      <c r="C272" s="63"/>
      <c r="D272" s="62"/>
      <c r="E272" s="62" t="s">
        <v>299</v>
      </c>
      <c r="F272" s="62">
        <v>0.8</v>
      </c>
      <c r="G272" s="64">
        <v>249</v>
      </c>
      <c r="H272" s="65">
        <v>199.2</v>
      </c>
      <c r="I272" s="65">
        <v>106.83000000000001</v>
      </c>
      <c r="J272" s="65">
        <v>92.369999999999976</v>
      </c>
      <c r="K272" s="62">
        <v>2.08</v>
      </c>
      <c r="L272" s="62"/>
      <c r="M272" s="66">
        <f t="shared" si="8"/>
        <v>517.92000000000007</v>
      </c>
      <c r="N272" s="66">
        <f t="shared" si="8"/>
        <v>0</v>
      </c>
      <c r="O272" s="66">
        <f t="shared" si="9"/>
        <v>517.92000000000007</v>
      </c>
    </row>
    <row r="273" spans="1:15" x14ac:dyDescent="0.25">
      <c r="A273" s="62"/>
      <c r="B273" s="62"/>
      <c r="C273" s="63"/>
      <c r="D273" s="62"/>
      <c r="E273" s="62" t="s">
        <v>397</v>
      </c>
      <c r="F273" s="62">
        <v>0.61</v>
      </c>
      <c r="G273" s="64">
        <v>3156</v>
      </c>
      <c r="H273" s="65">
        <v>1925.1599999999999</v>
      </c>
      <c r="I273" s="65">
        <v>1278.27</v>
      </c>
      <c r="J273" s="65">
        <v>646.89</v>
      </c>
      <c r="K273" s="62">
        <v>4.21</v>
      </c>
      <c r="L273" s="62"/>
      <c r="M273" s="66">
        <f t="shared" si="8"/>
        <v>13286.76</v>
      </c>
      <c r="N273" s="66">
        <f t="shared" si="8"/>
        <v>0</v>
      </c>
      <c r="O273" s="66">
        <f t="shared" si="9"/>
        <v>13286.76</v>
      </c>
    </row>
    <row r="274" spans="1:15" x14ac:dyDescent="0.25">
      <c r="A274" s="62"/>
      <c r="B274" s="62"/>
      <c r="C274" s="63"/>
      <c r="D274" s="62"/>
      <c r="E274" s="62" t="s">
        <v>288</v>
      </c>
      <c r="F274" s="62">
        <v>0.63</v>
      </c>
      <c r="G274" s="64">
        <v>47</v>
      </c>
      <c r="H274" s="65">
        <v>29.61</v>
      </c>
      <c r="I274" s="65">
        <v>20.420000000000002</v>
      </c>
      <c r="J274" s="65">
        <v>9.1899999999999977</v>
      </c>
      <c r="K274" s="62">
        <v>1.43</v>
      </c>
      <c r="L274" s="62"/>
      <c r="M274" s="66">
        <f t="shared" si="8"/>
        <v>67.209999999999994</v>
      </c>
      <c r="N274" s="66">
        <f t="shared" si="8"/>
        <v>0</v>
      </c>
      <c r="O274" s="66">
        <f t="shared" si="9"/>
        <v>67.209999999999994</v>
      </c>
    </row>
    <row r="275" spans="1:15" x14ac:dyDescent="0.25">
      <c r="A275" s="62"/>
      <c r="B275" s="62"/>
      <c r="C275" s="63" t="s">
        <v>123</v>
      </c>
      <c r="D275" s="62" t="s">
        <v>108</v>
      </c>
      <c r="E275" s="62" t="s">
        <v>301</v>
      </c>
      <c r="F275" s="62">
        <v>0.7</v>
      </c>
      <c r="G275" s="64">
        <v>1149</v>
      </c>
      <c r="H275" s="65">
        <v>804.3</v>
      </c>
      <c r="I275" s="65">
        <v>605.15000000000009</v>
      </c>
      <c r="J275" s="65">
        <v>199.14999999999998</v>
      </c>
      <c r="K275" s="62">
        <v>1.74</v>
      </c>
      <c r="L275" s="62"/>
      <c r="M275" s="66">
        <f t="shared" si="8"/>
        <v>1999.26</v>
      </c>
      <c r="N275" s="66">
        <f t="shared" si="8"/>
        <v>0</v>
      </c>
      <c r="O275" s="66">
        <f t="shared" si="9"/>
        <v>1999.26</v>
      </c>
    </row>
    <row r="276" spans="1:15" x14ac:dyDescent="0.25">
      <c r="A276" s="62"/>
      <c r="B276" s="62"/>
      <c r="C276" s="63"/>
      <c r="D276" s="62"/>
      <c r="E276" s="62" t="s">
        <v>398</v>
      </c>
      <c r="F276" s="62">
        <v>0.93</v>
      </c>
      <c r="G276" s="64">
        <v>1725</v>
      </c>
      <c r="H276" s="65">
        <v>1604.25</v>
      </c>
      <c r="I276" s="65">
        <v>913.44</v>
      </c>
      <c r="J276" s="65">
        <v>690.81</v>
      </c>
      <c r="K276" s="62">
        <v>6.72</v>
      </c>
      <c r="L276" s="62"/>
      <c r="M276" s="66">
        <f t="shared" si="8"/>
        <v>11592</v>
      </c>
      <c r="N276" s="66">
        <f t="shared" si="8"/>
        <v>0</v>
      </c>
      <c r="O276" s="66">
        <f t="shared" si="9"/>
        <v>11592</v>
      </c>
    </row>
    <row r="277" spans="1:15" x14ac:dyDescent="0.25">
      <c r="A277" s="62"/>
      <c r="B277" s="62"/>
      <c r="C277" s="63"/>
      <c r="D277" s="62"/>
      <c r="E277" s="62" t="s">
        <v>302</v>
      </c>
      <c r="F277" s="62">
        <v>0.75</v>
      </c>
      <c r="G277" s="64">
        <v>2658</v>
      </c>
      <c r="H277" s="65">
        <v>1993.5</v>
      </c>
      <c r="I277" s="65">
        <v>1047.8600000000001</v>
      </c>
      <c r="J277" s="65">
        <v>945.64</v>
      </c>
      <c r="K277" s="62">
        <v>1.93</v>
      </c>
      <c r="L277" s="62"/>
      <c r="M277" s="66">
        <f t="shared" si="8"/>
        <v>5129.9399999999996</v>
      </c>
      <c r="N277" s="66">
        <f t="shared" si="8"/>
        <v>0</v>
      </c>
      <c r="O277" s="66">
        <f t="shared" si="9"/>
        <v>5129.9399999999996</v>
      </c>
    </row>
    <row r="278" spans="1:15" x14ac:dyDescent="0.25">
      <c r="A278" s="62"/>
      <c r="B278" s="62"/>
      <c r="C278" s="63"/>
      <c r="D278" s="62"/>
      <c r="E278" s="62" t="s">
        <v>283</v>
      </c>
      <c r="F278" s="62">
        <v>0.83</v>
      </c>
      <c r="G278" s="64">
        <v>755</v>
      </c>
      <c r="H278" s="65">
        <v>626.65000000000009</v>
      </c>
      <c r="I278" s="65">
        <v>262.5</v>
      </c>
      <c r="J278" s="65">
        <v>364.15</v>
      </c>
      <c r="K278" s="62">
        <v>2.11</v>
      </c>
      <c r="L278" s="62"/>
      <c r="M278" s="66">
        <f t="shared" si="8"/>
        <v>1593.05</v>
      </c>
      <c r="N278" s="66">
        <f t="shared" si="8"/>
        <v>0</v>
      </c>
      <c r="O278" s="66">
        <f t="shared" si="9"/>
        <v>1593.05</v>
      </c>
    </row>
    <row r="279" spans="1:15" x14ac:dyDescent="0.25">
      <c r="A279" s="62"/>
      <c r="B279" s="62"/>
      <c r="C279" s="63"/>
      <c r="D279" s="62"/>
      <c r="E279" s="62" t="s">
        <v>305</v>
      </c>
      <c r="F279" s="62">
        <v>0.83</v>
      </c>
      <c r="G279" s="64">
        <v>2</v>
      </c>
      <c r="H279" s="65">
        <v>1.66</v>
      </c>
      <c r="I279" s="65">
        <v>0.73</v>
      </c>
      <c r="J279" s="65">
        <v>0.92999999999999994</v>
      </c>
      <c r="K279" s="62">
        <v>2.11</v>
      </c>
      <c r="L279" s="62"/>
      <c r="M279" s="66">
        <f t="shared" si="8"/>
        <v>4.22</v>
      </c>
      <c r="N279" s="66">
        <f t="shared" si="8"/>
        <v>0</v>
      </c>
      <c r="O279" s="66">
        <f t="shared" si="9"/>
        <v>4.22</v>
      </c>
    </row>
    <row r="280" spans="1:15" x14ac:dyDescent="0.25">
      <c r="A280" s="62"/>
      <c r="B280" s="62"/>
      <c r="C280" s="63"/>
      <c r="D280" s="62"/>
      <c r="E280" s="62" t="s">
        <v>399</v>
      </c>
      <c r="F280" s="62">
        <v>0.7</v>
      </c>
      <c r="G280" s="64">
        <v>3266</v>
      </c>
      <c r="H280" s="65">
        <v>2286.1999999999998</v>
      </c>
      <c r="I280" s="65">
        <v>1389.99</v>
      </c>
      <c r="J280" s="65">
        <v>896.20999999999992</v>
      </c>
      <c r="K280" s="62">
        <v>4.92</v>
      </c>
      <c r="L280" s="62"/>
      <c r="M280" s="66">
        <f t="shared" si="8"/>
        <v>16068.72</v>
      </c>
      <c r="N280" s="66">
        <f t="shared" si="8"/>
        <v>0</v>
      </c>
      <c r="O280" s="66">
        <f t="shared" si="9"/>
        <v>16068.72</v>
      </c>
    </row>
    <row r="281" spans="1:15" x14ac:dyDescent="0.25">
      <c r="A281" s="62"/>
      <c r="B281" s="62"/>
      <c r="C281" s="63"/>
      <c r="D281" s="62"/>
      <c r="E281" s="62" t="s">
        <v>400</v>
      </c>
      <c r="F281" s="62">
        <v>0.65</v>
      </c>
      <c r="G281" s="64">
        <v>370</v>
      </c>
      <c r="H281" s="65">
        <v>240.5</v>
      </c>
      <c r="I281" s="65">
        <v>160.03</v>
      </c>
      <c r="J281" s="65">
        <v>80.47</v>
      </c>
      <c r="K281" s="62">
        <v>5.22</v>
      </c>
      <c r="L281" s="62"/>
      <c r="M281" s="66">
        <f t="shared" si="8"/>
        <v>1931.3999999999999</v>
      </c>
      <c r="N281" s="66">
        <f t="shared" si="8"/>
        <v>0</v>
      </c>
      <c r="O281" s="66">
        <f t="shared" si="9"/>
        <v>1931.3999999999999</v>
      </c>
    </row>
    <row r="282" spans="1:15" x14ac:dyDescent="0.25">
      <c r="A282" s="62"/>
      <c r="B282" s="62"/>
      <c r="C282" s="63"/>
      <c r="D282" s="62"/>
      <c r="E282" s="62" t="s">
        <v>401</v>
      </c>
      <c r="F282" s="62">
        <v>0.8</v>
      </c>
      <c r="G282" s="64">
        <v>1302</v>
      </c>
      <c r="H282" s="65">
        <v>1041.5999999999999</v>
      </c>
      <c r="I282" s="65">
        <v>586.57000000000005</v>
      </c>
      <c r="J282" s="65">
        <v>455.03</v>
      </c>
      <c r="K282" s="62">
        <v>5.63</v>
      </c>
      <c r="L282" s="62"/>
      <c r="M282" s="66">
        <f t="shared" si="8"/>
        <v>7330.26</v>
      </c>
      <c r="N282" s="66">
        <f t="shared" si="8"/>
        <v>0</v>
      </c>
      <c r="O282" s="66">
        <f t="shared" si="9"/>
        <v>7330.26</v>
      </c>
    </row>
    <row r="283" spans="1:15" x14ac:dyDescent="0.25">
      <c r="A283" s="62"/>
      <c r="B283" s="62"/>
      <c r="C283" s="63"/>
      <c r="D283" s="62"/>
      <c r="E283" s="62" t="s">
        <v>402</v>
      </c>
      <c r="F283" s="62">
        <v>0.77</v>
      </c>
      <c r="G283" s="64">
        <v>78</v>
      </c>
      <c r="H283" s="65">
        <v>60.06</v>
      </c>
      <c r="I283" s="65">
        <v>31.400000000000002</v>
      </c>
      <c r="J283" s="65">
        <v>28.659999999999997</v>
      </c>
      <c r="K283" s="62">
        <v>6.02</v>
      </c>
      <c r="L283" s="62"/>
      <c r="M283" s="66">
        <f t="shared" si="8"/>
        <v>469.55999999999995</v>
      </c>
      <c r="N283" s="66">
        <f t="shared" si="8"/>
        <v>0</v>
      </c>
      <c r="O283" s="66">
        <f t="shared" si="9"/>
        <v>469.55999999999995</v>
      </c>
    </row>
    <row r="284" spans="1:15" x14ac:dyDescent="0.25">
      <c r="A284" s="62"/>
      <c r="B284" s="62"/>
      <c r="C284" s="63"/>
      <c r="D284" s="62"/>
      <c r="E284" s="62" t="s">
        <v>403</v>
      </c>
      <c r="F284" s="62">
        <v>0.74</v>
      </c>
      <c r="G284" s="64">
        <v>1967</v>
      </c>
      <c r="H284" s="65">
        <v>1455.58</v>
      </c>
      <c r="I284" s="65">
        <v>811.88</v>
      </c>
      <c r="J284" s="65">
        <v>643.69999999999993</v>
      </c>
      <c r="K284" s="62">
        <v>5.52</v>
      </c>
      <c r="L284" s="62"/>
      <c r="M284" s="66">
        <f t="shared" si="8"/>
        <v>10857.839999999998</v>
      </c>
      <c r="N284" s="66">
        <f t="shared" si="8"/>
        <v>0</v>
      </c>
      <c r="O284" s="66">
        <f t="shared" si="9"/>
        <v>10857.839999999998</v>
      </c>
    </row>
    <row r="285" spans="1:15" x14ac:dyDescent="0.25">
      <c r="A285" s="62"/>
      <c r="B285" s="62"/>
      <c r="C285" s="63"/>
      <c r="D285" s="62"/>
      <c r="E285" s="62" t="s">
        <v>404</v>
      </c>
      <c r="F285" s="62">
        <v>0.7</v>
      </c>
      <c r="G285" s="64">
        <v>2338</v>
      </c>
      <c r="H285" s="65">
        <v>1636.6</v>
      </c>
      <c r="I285" s="65">
        <v>801.59000000000015</v>
      </c>
      <c r="J285" s="65">
        <v>835.01</v>
      </c>
      <c r="K285" s="62">
        <v>4.92</v>
      </c>
      <c r="L285" s="62"/>
      <c r="M285" s="66">
        <f t="shared" si="8"/>
        <v>11502.96</v>
      </c>
      <c r="N285" s="66">
        <f t="shared" si="8"/>
        <v>0</v>
      </c>
      <c r="O285" s="66">
        <f t="shared" si="9"/>
        <v>11502.96</v>
      </c>
    </row>
    <row r="286" spans="1:15" x14ac:dyDescent="0.25">
      <c r="A286" s="62"/>
      <c r="B286" s="62"/>
      <c r="C286" s="63"/>
      <c r="D286" s="62"/>
      <c r="E286" s="62" t="s">
        <v>405</v>
      </c>
      <c r="F286" s="62">
        <v>0.65</v>
      </c>
      <c r="G286" s="64">
        <v>183</v>
      </c>
      <c r="H286" s="65">
        <v>118.95</v>
      </c>
      <c r="I286" s="65">
        <v>64.599999999999994</v>
      </c>
      <c r="J286" s="65">
        <v>54.35</v>
      </c>
      <c r="K286" s="62">
        <v>5.22</v>
      </c>
      <c r="L286" s="62"/>
      <c r="M286" s="66">
        <f t="shared" si="8"/>
        <v>955.26</v>
      </c>
      <c r="N286" s="66">
        <f t="shared" si="8"/>
        <v>0</v>
      </c>
      <c r="O286" s="66">
        <f t="shared" si="9"/>
        <v>955.26</v>
      </c>
    </row>
    <row r="287" spans="1:15" x14ac:dyDescent="0.25">
      <c r="A287" s="62"/>
      <c r="B287" s="62"/>
      <c r="C287" s="63"/>
      <c r="D287" s="62"/>
      <c r="E287" s="62" t="s">
        <v>284</v>
      </c>
      <c r="F287" s="62">
        <v>0.84</v>
      </c>
      <c r="G287" s="64">
        <v>8</v>
      </c>
      <c r="H287" s="65">
        <v>6.72</v>
      </c>
      <c r="I287" s="65">
        <v>4.3099999999999996</v>
      </c>
      <c r="J287" s="65">
        <v>2.41</v>
      </c>
      <c r="K287" s="62">
        <v>2.39</v>
      </c>
      <c r="L287" s="62"/>
      <c r="M287" s="66">
        <f t="shared" si="8"/>
        <v>19.12</v>
      </c>
      <c r="N287" s="66">
        <f t="shared" si="8"/>
        <v>0</v>
      </c>
      <c r="O287" s="66">
        <f t="shared" si="9"/>
        <v>19.12</v>
      </c>
    </row>
    <row r="288" spans="1:15" x14ac:dyDescent="0.25">
      <c r="A288" s="62"/>
      <c r="B288" s="62"/>
      <c r="C288" s="63"/>
      <c r="D288" s="62"/>
      <c r="E288" s="62" t="s">
        <v>406</v>
      </c>
      <c r="F288" s="62">
        <v>0.73999999999999988</v>
      </c>
      <c r="G288" s="64">
        <v>991</v>
      </c>
      <c r="H288" s="65">
        <v>733.34</v>
      </c>
      <c r="I288" s="65">
        <v>358.73</v>
      </c>
      <c r="J288" s="65">
        <v>374.61</v>
      </c>
      <c r="K288" s="62">
        <v>5.52</v>
      </c>
      <c r="L288" s="62"/>
      <c r="M288" s="66">
        <f t="shared" si="8"/>
        <v>5470.32</v>
      </c>
      <c r="N288" s="66">
        <f t="shared" si="8"/>
        <v>0</v>
      </c>
      <c r="O288" s="66">
        <f t="shared" si="9"/>
        <v>5470.32</v>
      </c>
    </row>
    <row r="289" spans="1:15" x14ac:dyDescent="0.25">
      <c r="A289" s="62"/>
      <c r="B289" s="62"/>
      <c r="C289" s="63"/>
      <c r="D289" s="62"/>
      <c r="E289" s="62" t="s">
        <v>311</v>
      </c>
      <c r="F289" s="62">
        <v>0.74</v>
      </c>
      <c r="G289" s="64">
        <v>716</v>
      </c>
      <c r="H289" s="65">
        <v>529.84</v>
      </c>
      <c r="I289" s="65">
        <v>261.89</v>
      </c>
      <c r="J289" s="65">
        <v>267.95000000000005</v>
      </c>
      <c r="K289" s="62">
        <v>1.38</v>
      </c>
      <c r="L289" s="62"/>
      <c r="M289" s="66">
        <f t="shared" si="8"/>
        <v>988.07999999999993</v>
      </c>
      <c r="N289" s="66">
        <f t="shared" si="8"/>
        <v>0</v>
      </c>
      <c r="O289" s="66">
        <f t="shared" si="9"/>
        <v>988.07999999999993</v>
      </c>
    </row>
    <row r="290" spans="1:15" x14ac:dyDescent="0.25">
      <c r="A290" s="62"/>
      <c r="B290" s="62"/>
      <c r="C290" s="63"/>
      <c r="D290" s="62"/>
      <c r="E290" s="62" t="s">
        <v>285</v>
      </c>
      <c r="F290" s="62">
        <v>0.83</v>
      </c>
      <c r="G290" s="64">
        <v>12</v>
      </c>
      <c r="H290" s="65">
        <v>9.9600000000000009</v>
      </c>
      <c r="I290" s="65">
        <v>6.47</v>
      </c>
      <c r="J290" s="65">
        <v>3.4900000000000011</v>
      </c>
      <c r="K290" s="62">
        <v>2.17</v>
      </c>
      <c r="L290" s="62"/>
      <c r="M290" s="66">
        <f t="shared" si="8"/>
        <v>26.04</v>
      </c>
      <c r="N290" s="66">
        <f t="shared" si="8"/>
        <v>0</v>
      </c>
      <c r="O290" s="66">
        <f t="shared" si="9"/>
        <v>26.04</v>
      </c>
    </row>
    <row r="291" spans="1:15" x14ac:dyDescent="0.25">
      <c r="A291" s="62"/>
      <c r="B291" s="62"/>
      <c r="C291" s="63"/>
      <c r="D291" s="62"/>
      <c r="E291" s="62" t="s">
        <v>407</v>
      </c>
      <c r="F291" s="62">
        <v>0.61</v>
      </c>
      <c r="G291" s="64">
        <v>2321</v>
      </c>
      <c r="H291" s="65">
        <v>1415.81</v>
      </c>
      <c r="I291" s="65">
        <v>938.51</v>
      </c>
      <c r="J291" s="65">
        <v>477.30000000000007</v>
      </c>
      <c r="K291" s="62">
        <v>4.21</v>
      </c>
      <c r="L291" s="62"/>
      <c r="M291" s="66">
        <f t="shared" si="8"/>
        <v>9771.41</v>
      </c>
      <c r="N291" s="66">
        <f t="shared" si="8"/>
        <v>0</v>
      </c>
      <c r="O291" s="66">
        <f t="shared" si="9"/>
        <v>9771.41</v>
      </c>
    </row>
    <row r="292" spans="1:15" x14ac:dyDescent="0.25">
      <c r="A292" s="62"/>
      <c r="B292" s="62"/>
      <c r="C292" s="63"/>
      <c r="D292" s="62"/>
      <c r="E292" s="62" t="s">
        <v>314</v>
      </c>
      <c r="F292" s="62">
        <v>0.61</v>
      </c>
      <c r="G292" s="64">
        <v>1707</v>
      </c>
      <c r="H292" s="65">
        <v>1041.27</v>
      </c>
      <c r="I292" s="65">
        <v>624.37</v>
      </c>
      <c r="J292" s="65">
        <v>416.9</v>
      </c>
      <c r="K292" s="62">
        <v>1.43</v>
      </c>
      <c r="L292" s="62"/>
      <c r="M292" s="66">
        <f t="shared" si="8"/>
        <v>2441.0099999999998</v>
      </c>
      <c r="N292" s="66">
        <f t="shared" si="8"/>
        <v>0</v>
      </c>
      <c r="O292" s="66">
        <f t="shared" si="9"/>
        <v>2441.0099999999998</v>
      </c>
    </row>
    <row r="293" spans="1:15" x14ac:dyDescent="0.25">
      <c r="A293" s="62"/>
      <c r="B293" s="62"/>
      <c r="C293" s="63" t="s">
        <v>125</v>
      </c>
      <c r="D293" s="62" t="s">
        <v>108</v>
      </c>
      <c r="E293" s="62" t="s">
        <v>301</v>
      </c>
      <c r="F293" s="62">
        <v>0.7</v>
      </c>
      <c r="G293" s="64">
        <v>1150</v>
      </c>
      <c r="H293" s="65">
        <v>805</v>
      </c>
      <c r="I293" s="65">
        <v>605.71</v>
      </c>
      <c r="J293" s="65">
        <v>199.28999999999996</v>
      </c>
      <c r="K293" s="62">
        <v>1.74</v>
      </c>
      <c r="L293" s="62"/>
      <c r="M293" s="66">
        <f t="shared" si="8"/>
        <v>2001</v>
      </c>
      <c r="N293" s="66">
        <f t="shared" si="8"/>
        <v>0</v>
      </c>
      <c r="O293" s="66">
        <f t="shared" si="9"/>
        <v>2001</v>
      </c>
    </row>
    <row r="294" spans="1:15" x14ac:dyDescent="0.25">
      <c r="A294" s="62"/>
      <c r="B294" s="62"/>
      <c r="C294" s="63"/>
      <c r="D294" s="62"/>
      <c r="E294" s="62" t="s">
        <v>398</v>
      </c>
      <c r="F294" s="62">
        <v>0.93</v>
      </c>
      <c r="G294" s="64">
        <v>1725</v>
      </c>
      <c r="H294" s="65">
        <v>1604.25</v>
      </c>
      <c r="I294" s="65">
        <v>914.31000000000006</v>
      </c>
      <c r="J294" s="65">
        <v>689.93999999999994</v>
      </c>
      <c r="K294" s="62">
        <v>6.72</v>
      </c>
      <c r="L294" s="62"/>
      <c r="M294" s="66">
        <f t="shared" si="8"/>
        <v>11592</v>
      </c>
      <c r="N294" s="66">
        <f t="shared" si="8"/>
        <v>0</v>
      </c>
      <c r="O294" s="66">
        <f t="shared" si="9"/>
        <v>11592</v>
      </c>
    </row>
    <row r="295" spans="1:15" x14ac:dyDescent="0.25">
      <c r="A295" s="62"/>
      <c r="B295" s="62"/>
      <c r="C295" s="63"/>
      <c r="D295" s="62"/>
      <c r="E295" s="62" t="s">
        <v>302</v>
      </c>
      <c r="F295" s="62">
        <v>0.75</v>
      </c>
      <c r="G295" s="64">
        <v>2661</v>
      </c>
      <c r="H295" s="65">
        <v>1995.75</v>
      </c>
      <c r="I295" s="65">
        <v>1048.95</v>
      </c>
      <c r="J295" s="65">
        <v>946.8</v>
      </c>
      <c r="K295" s="62">
        <v>1.93</v>
      </c>
      <c r="L295" s="62"/>
      <c r="M295" s="66">
        <f t="shared" si="8"/>
        <v>5135.7299999999996</v>
      </c>
      <c r="N295" s="66">
        <f t="shared" si="8"/>
        <v>0</v>
      </c>
      <c r="O295" s="66">
        <f t="shared" si="9"/>
        <v>5135.7299999999996</v>
      </c>
    </row>
    <row r="296" spans="1:15" x14ac:dyDescent="0.25">
      <c r="A296" s="62"/>
      <c r="B296" s="62"/>
      <c r="C296" s="63"/>
      <c r="D296" s="62"/>
      <c r="E296" s="62" t="s">
        <v>283</v>
      </c>
      <c r="F296" s="62">
        <v>0.83</v>
      </c>
      <c r="G296" s="64">
        <v>754</v>
      </c>
      <c r="H296" s="65">
        <v>625.82000000000005</v>
      </c>
      <c r="I296" s="65">
        <v>262.07</v>
      </c>
      <c r="J296" s="65">
        <v>363.75</v>
      </c>
      <c r="K296" s="62">
        <v>2.11</v>
      </c>
      <c r="L296" s="62"/>
      <c r="M296" s="66">
        <f t="shared" si="8"/>
        <v>1590.9399999999998</v>
      </c>
      <c r="N296" s="66">
        <f t="shared" si="8"/>
        <v>0</v>
      </c>
      <c r="O296" s="66">
        <f t="shared" si="9"/>
        <v>1590.9399999999998</v>
      </c>
    </row>
    <row r="297" spans="1:15" x14ac:dyDescent="0.25">
      <c r="A297" s="62"/>
      <c r="B297" s="62"/>
      <c r="C297" s="63"/>
      <c r="D297" s="62"/>
      <c r="E297" s="62" t="s">
        <v>305</v>
      </c>
      <c r="F297" s="62">
        <v>0.83</v>
      </c>
      <c r="G297" s="64">
        <v>3</v>
      </c>
      <c r="H297" s="65">
        <v>2.4900000000000002</v>
      </c>
      <c r="I297" s="65">
        <v>1.1000000000000001</v>
      </c>
      <c r="J297" s="65">
        <v>1.3900000000000001</v>
      </c>
      <c r="K297" s="62">
        <v>2.11</v>
      </c>
      <c r="L297" s="62"/>
      <c r="M297" s="66">
        <f t="shared" si="8"/>
        <v>6.33</v>
      </c>
      <c r="N297" s="66">
        <f t="shared" si="8"/>
        <v>0</v>
      </c>
      <c r="O297" s="66">
        <f t="shared" si="9"/>
        <v>6.33</v>
      </c>
    </row>
    <row r="298" spans="1:15" x14ac:dyDescent="0.25">
      <c r="A298" s="62"/>
      <c r="B298" s="62"/>
      <c r="C298" s="63"/>
      <c r="D298" s="62"/>
      <c r="E298" s="62" t="s">
        <v>399</v>
      </c>
      <c r="F298" s="62">
        <v>0.7</v>
      </c>
      <c r="G298" s="64">
        <v>3265</v>
      </c>
      <c r="H298" s="65">
        <v>2285.5</v>
      </c>
      <c r="I298" s="65">
        <v>1389.59</v>
      </c>
      <c r="J298" s="65">
        <v>895.91</v>
      </c>
      <c r="K298" s="62">
        <v>4.92</v>
      </c>
      <c r="L298" s="62"/>
      <c r="M298" s="66">
        <f t="shared" si="8"/>
        <v>16063.8</v>
      </c>
      <c r="N298" s="66">
        <f t="shared" si="8"/>
        <v>0</v>
      </c>
      <c r="O298" s="66">
        <f t="shared" si="9"/>
        <v>16063.8</v>
      </c>
    </row>
    <row r="299" spans="1:15" x14ac:dyDescent="0.25">
      <c r="A299" s="62"/>
      <c r="B299" s="62"/>
      <c r="C299" s="63"/>
      <c r="D299" s="62"/>
      <c r="E299" s="62" t="s">
        <v>400</v>
      </c>
      <c r="F299" s="62">
        <v>0.65</v>
      </c>
      <c r="G299" s="64">
        <v>370</v>
      </c>
      <c r="H299" s="65">
        <v>240.5</v>
      </c>
      <c r="I299" s="65">
        <v>160.03</v>
      </c>
      <c r="J299" s="65">
        <v>80.47</v>
      </c>
      <c r="K299" s="62">
        <v>5.22</v>
      </c>
      <c r="L299" s="62"/>
      <c r="M299" s="66">
        <f t="shared" si="8"/>
        <v>1931.3999999999999</v>
      </c>
      <c r="N299" s="66">
        <f t="shared" si="8"/>
        <v>0</v>
      </c>
      <c r="O299" s="66">
        <f t="shared" si="9"/>
        <v>1931.3999999999999</v>
      </c>
    </row>
    <row r="300" spans="1:15" x14ac:dyDescent="0.25">
      <c r="A300" s="62"/>
      <c r="B300" s="62"/>
      <c r="C300" s="63"/>
      <c r="D300" s="62"/>
      <c r="E300" s="62" t="s">
        <v>401</v>
      </c>
      <c r="F300" s="62">
        <v>0.8</v>
      </c>
      <c r="G300" s="64">
        <v>1303</v>
      </c>
      <c r="H300" s="65">
        <v>1042.4000000000001</v>
      </c>
      <c r="I300" s="65">
        <v>587</v>
      </c>
      <c r="J300" s="65">
        <v>455.4</v>
      </c>
      <c r="K300" s="62">
        <v>5.63</v>
      </c>
      <c r="L300" s="62"/>
      <c r="M300" s="66">
        <f t="shared" si="8"/>
        <v>7335.8899999999994</v>
      </c>
      <c r="N300" s="66">
        <f t="shared" si="8"/>
        <v>0</v>
      </c>
      <c r="O300" s="66">
        <f t="shared" si="9"/>
        <v>7335.8899999999994</v>
      </c>
    </row>
    <row r="301" spans="1:15" x14ac:dyDescent="0.25">
      <c r="A301" s="62"/>
      <c r="B301" s="62"/>
      <c r="C301" s="63"/>
      <c r="D301" s="62"/>
      <c r="E301" s="62" t="s">
        <v>402</v>
      </c>
      <c r="F301" s="62">
        <v>0.77</v>
      </c>
      <c r="G301" s="64">
        <v>77</v>
      </c>
      <c r="H301" s="65">
        <v>59.29</v>
      </c>
      <c r="I301" s="65">
        <v>30.970000000000002</v>
      </c>
      <c r="J301" s="65">
        <v>28.319999999999997</v>
      </c>
      <c r="K301" s="62">
        <v>6.02</v>
      </c>
      <c r="L301" s="62"/>
      <c r="M301" s="66">
        <f t="shared" si="8"/>
        <v>463.53999999999996</v>
      </c>
      <c r="N301" s="66">
        <f t="shared" si="8"/>
        <v>0</v>
      </c>
      <c r="O301" s="66">
        <f t="shared" si="9"/>
        <v>463.53999999999996</v>
      </c>
    </row>
    <row r="302" spans="1:15" x14ac:dyDescent="0.25">
      <c r="A302" s="62"/>
      <c r="B302" s="62"/>
      <c r="C302" s="63"/>
      <c r="D302" s="62"/>
      <c r="E302" s="62" t="s">
        <v>403</v>
      </c>
      <c r="F302" s="62">
        <v>0.74</v>
      </c>
      <c r="G302" s="64">
        <v>1968</v>
      </c>
      <c r="H302" s="65">
        <v>1456.32</v>
      </c>
      <c r="I302" s="65">
        <v>811.54</v>
      </c>
      <c r="J302" s="65">
        <v>644.78</v>
      </c>
      <c r="K302" s="62">
        <v>5.52</v>
      </c>
      <c r="L302" s="62"/>
      <c r="M302" s="66">
        <f t="shared" si="8"/>
        <v>10863.359999999999</v>
      </c>
      <c r="N302" s="66">
        <f t="shared" si="8"/>
        <v>0</v>
      </c>
      <c r="O302" s="66">
        <f t="shared" si="9"/>
        <v>10863.359999999999</v>
      </c>
    </row>
    <row r="303" spans="1:15" x14ac:dyDescent="0.25">
      <c r="A303" s="62"/>
      <c r="B303" s="62"/>
      <c r="C303" s="63"/>
      <c r="D303" s="62"/>
      <c r="E303" s="62" t="s">
        <v>404</v>
      </c>
      <c r="F303" s="62">
        <v>0.7</v>
      </c>
      <c r="G303" s="64">
        <v>2339</v>
      </c>
      <c r="H303" s="65">
        <v>1637.3</v>
      </c>
      <c r="I303" s="65">
        <v>801.93000000000006</v>
      </c>
      <c r="J303" s="65">
        <v>835.36999999999989</v>
      </c>
      <c r="K303" s="62">
        <v>4.92</v>
      </c>
      <c r="L303" s="62"/>
      <c r="M303" s="66">
        <f t="shared" si="8"/>
        <v>11507.88</v>
      </c>
      <c r="N303" s="66">
        <f t="shared" si="8"/>
        <v>0</v>
      </c>
      <c r="O303" s="66">
        <f t="shared" si="9"/>
        <v>11507.88</v>
      </c>
    </row>
    <row r="304" spans="1:15" x14ac:dyDescent="0.25">
      <c r="A304" s="62"/>
      <c r="B304" s="62"/>
      <c r="C304" s="63"/>
      <c r="D304" s="62"/>
      <c r="E304" s="62" t="s">
        <v>405</v>
      </c>
      <c r="F304" s="62">
        <v>0.65</v>
      </c>
      <c r="G304" s="64">
        <v>182</v>
      </c>
      <c r="H304" s="65">
        <v>118.3</v>
      </c>
      <c r="I304" s="65">
        <v>64.25</v>
      </c>
      <c r="J304" s="65">
        <v>54.05</v>
      </c>
      <c r="K304" s="62">
        <v>5.22</v>
      </c>
      <c r="L304" s="62"/>
      <c r="M304" s="66">
        <f t="shared" si="8"/>
        <v>950.04</v>
      </c>
      <c r="N304" s="66">
        <f t="shared" si="8"/>
        <v>0</v>
      </c>
      <c r="O304" s="66">
        <f t="shared" si="9"/>
        <v>950.04</v>
      </c>
    </row>
    <row r="305" spans="1:15" x14ac:dyDescent="0.25">
      <c r="A305" s="62"/>
      <c r="B305" s="62"/>
      <c r="C305" s="63"/>
      <c r="D305" s="62"/>
      <c r="E305" s="62" t="s">
        <v>284</v>
      </c>
      <c r="F305" s="62">
        <v>0.84</v>
      </c>
      <c r="G305" s="64">
        <v>8</v>
      </c>
      <c r="H305" s="65">
        <v>6.72</v>
      </c>
      <c r="I305" s="65">
        <v>4.32</v>
      </c>
      <c r="J305" s="65">
        <v>2.3999999999999995</v>
      </c>
      <c r="K305" s="62">
        <v>2.39</v>
      </c>
      <c r="L305" s="62"/>
      <c r="M305" s="66">
        <f t="shared" si="8"/>
        <v>19.12</v>
      </c>
      <c r="N305" s="66">
        <f t="shared" si="8"/>
        <v>0</v>
      </c>
      <c r="O305" s="66">
        <f t="shared" si="9"/>
        <v>19.12</v>
      </c>
    </row>
    <row r="306" spans="1:15" x14ac:dyDescent="0.25">
      <c r="A306" s="62"/>
      <c r="B306" s="62"/>
      <c r="C306" s="63"/>
      <c r="D306" s="62"/>
      <c r="E306" s="62" t="s">
        <v>406</v>
      </c>
      <c r="F306" s="62">
        <v>0.73999999999999988</v>
      </c>
      <c r="G306" s="64">
        <v>989</v>
      </c>
      <c r="H306" s="65">
        <v>731.86</v>
      </c>
      <c r="I306" s="65">
        <v>357.93</v>
      </c>
      <c r="J306" s="65">
        <v>373.92999999999995</v>
      </c>
      <c r="K306" s="62">
        <v>5.52</v>
      </c>
      <c r="L306" s="62"/>
      <c r="M306" s="66">
        <f t="shared" si="8"/>
        <v>5459.28</v>
      </c>
      <c r="N306" s="66">
        <f t="shared" si="8"/>
        <v>0</v>
      </c>
      <c r="O306" s="66">
        <f t="shared" si="9"/>
        <v>5459.28</v>
      </c>
    </row>
    <row r="307" spans="1:15" x14ac:dyDescent="0.25">
      <c r="A307" s="62"/>
      <c r="B307" s="62"/>
      <c r="C307" s="63"/>
      <c r="D307" s="62"/>
      <c r="E307" s="62" t="s">
        <v>311</v>
      </c>
      <c r="F307" s="62">
        <v>0.74</v>
      </c>
      <c r="G307" s="64">
        <v>714</v>
      </c>
      <c r="H307" s="65">
        <v>528.36</v>
      </c>
      <c r="I307" s="65">
        <v>261.16000000000003</v>
      </c>
      <c r="J307" s="65">
        <v>267.2</v>
      </c>
      <c r="K307" s="62">
        <v>1.38</v>
      </c>
      <c r="L307" s="62"/>
      <c r="M307" s="66">
        <f t="shared" si="8"/>
        <v>985.31999999999994</v>
      </c>
      <c r="N307" s="66">
        <f t="shared" si="8"/>
        <v>0</v>
      </c>
      <c r="O307" s="66">
        <f t="shared" si="9"/>
        <v>985.31999999999994</v>
      </c>
    </row>
    <row r="308" spans="1:15" x14ac:dyDescent="0.25">
      <c r="A308" s="62"/>
      <c r="B308" s="62"/>
      <c r="C308" s="63"/>
      <c r="D308" s="62"/>
      <c r="E308" s="62" t="s">
        <v>285</v>
      </c>
      <c r="F308" s="62">
        <v>0.83</v>
      </c>
      <c r="G308" s="64">
        <v>11</v>
      </c>
      <c r="H308" s="65">
        <v>9.1300000000000008</v>
      </c>
      <c r="I308" s="65">
        <v>5.94</v>
      </c>
      <c r="J308" s="65">
        <v>3.1900000000000004</v>
      </c>
      <c r="K308" s="62">
        <v>2.17</v>
      </c>
      <c r="L308" s="62"/>
      <c r="M308" s="66">
        <f t="shared" si="8"/>
        <v>23.869999999999997</v>
      </c>
      <c r="N308" s="66">
        <f t="shared" si="8"/>
        <v>0</v>
      </c>
      <c r="O308" s="66">
        <f t="shared" si="9"/>
        <v>23.869999999999997</v>
      </c>
    </row>
    <row r="309" spans="1:15" x14ac:dyDescent="0.25">
      <c r="A309" s="62"/>
      <c r="B309" s="62"/>
      <c r="C309" s="63"/>
      <c r="D309" s="62"/>
      <c r="E309" s="62" t="s">
        <v>407</v>
      </c>
      <c r="F309" s="62">
        <v>0.61</v>
      </c>
      <c r="G309" s="64">
        <v>2321</v>
      </c>
      <c r="H309" s="65">
        <v>1415.81</v>
      </c>
      <c r="I309" s="65">
        <v>938.49</v>
      </c>
      <c r="J309" s="65">
        <v>477.32000000000005</v>
      </c>
      <c r="K309" s="62">
        <v>4.21</v>
      </c>
      <c r="L309" s="62"/>
      <c r="M309" s="66">
        <f t="shared" si="8"/>
        <v>9771.41</v>
      </c>
      <c r="N309" s="66">
        <f t="shared" si="8"/>
        <v>0</v>
      </c>
      <c r="O309" s="66">
        <f t="shared" si="9"/>
        <v>9771.41</v>
      </c>
    </row>
    <row r="310" spans="1:15" x14ac:dyDescent="0.25">
      <c r="A310" s="62"/>
      <c r="B310" s="62"/>
      <c r="C310" s="63"/>
      <c r="D310" s="62"/>
      <c r="E310" s="62" t="s">
        <v>314</v>
      </c>
      <c r="F310" s="62">
        <v>0.61</v>
      </c>
      <c r="G310" s="64">
        <v>1708</v>
      </c>
      <c r="H310" s="65">
        <v>1041.8800000000001</v>
      </c>
      <c r="I310" s="65">
        <v>624.74</v>
      </c>
      <c r="J310" s="65">
        <v>417.1400000000001</v>
      </c>
      <c r="K310" s="62">
        <v>1.43</v>
      </c>
      <c r="L310" s="62"/>
      <c r="M310" s="66">
        <f t="shared" si="8"/>
        <v>2442.44</v>
      </c>
      <c r="N310" s="66">
        <f t="shared" si="8"/>
        <v>0</v>
      </c>
      <c r="O310" s="66">
        <f t="shared" si="9"/>
        <v>2442.44</v>
      </c>
    </row>
    <row r="311" spans="1:15" x14ac:dyDescent="0.25">
      <c r="A311" s="62"/>
      <c r="B311" s="62"/>
      <c r="C311" s="63" t="s">
        <v>132</v>
      </c>
      <c r="D311" s="62" t="s">
        <v>108</v>
      </c>
      <c r="E311" s="62" t="s">
        <v>283</v>
      </c>
      <c r="F311" s="62">
        <v>0.83</v>
      </c>
      <c r="G311" s="64">
        <v>378</v>
      </c>
      <c r="H311" s="65">
        <v>313.74</v>
      </c>
      <c r="I311" s="65">
        <v>234.47</v>
      </c>
      <c r="J311" s="65">
        <v>79.27000000000001</v>
      </c>
      <c r="K311" s="62">
        <v>2.11</v>
      </c>
      <c r="L311" s="62"/>
      <c r="M311" s="66">
        <f t="shared" si="8"/>
        <v>797.57999999999993</v>
      </c>
      <c r="N311" s="66">
        <f t="shared" si="8"/>
        <v>0</v>
      </c>
      <c r="O311" s="66">
        <f t="shared" si="9"/>
        <v>797.57999999999993</v>
      </c>
    </row>
    <row r="312" spans="1:15" x14ac:dyDescent="0.25">
      <c r="A312" s="62"/>
      <c r="B312" s="62"/>
      <c r="C312" s="63"/>
      <c r="D312" s="62"/>
      <c r="E312" s="62" t="s">
        <v>399</v>
      </c>
      <c r="F312" s="62">
        <v>0.69999999999999984</v>
      </c>
      <c r="G312" s="64">
        <v>1139</v>
      </c>
      <c r="H312" s="65">
        <v>797.3</v>
      </c>
      <c r="I312" s="65">
        <v>729.45</v>
      </c>
      <c r="J312" s="65">
        <v>67.849999999999994</v>
      </c>
      <c r="K312" s="62">
        <v>4.92</v>
      </c>
      <c r="L312" s="62"/>
      <c r="M312" s="66">
        <f t="shared" si="8"/>
        <v>5603.88</v>
      </c>
      <c r="N312" s="66">
        <f t="shared" si="8"/>
        <v>0</v>
      </c>
      <c r="O312" s="66">
        <f t="shared" si="9"/>
        <v>5603.88</v>
      </c>
    </row>
    <row r="313" spans="1:15" x14ac:dyDescent="0.25">
      <c r="A313" s="62"/>
      <c r="B313" s="62"/>
      <c r="C313" s="63"/>
      <c r="D313" s="62"/>
      <c r="E313" s="62" t="s">
        <v>400</v>
      </c>
      <c r="F313" s="62">
        <v>0.65</v>
      </c>
      <c r="G313" s="64">
        <v>277</v>
      </c>
      <c r="H313" s="65">
        <v>180.05</v>
      </c>
      <c r="I313" s="65">
        <v>182.56</v>
      </c>
      <c r="J313" s="65">
        <v>-2.5099999999999998</v>
      </c>
      <c r="K313" s="62">
        <v>5.22</v>
      </c>
      <c r="L313" s="62"/>
      <c r="M313" s="66">
        <f t="shared" si="8"/>
        <v>1445.9399999999998</v>
      </c>
      <c r="N313" s="66">
        <f t="shared" si="8"/>
        <v>0</v>
      </c>
      <c r="O313" s="66">
        <f t="shared" si="9"/>
        <v>1445.9399999999998</v>
      </c>
    </row>
    <row r="314" spans="1:15" x14ac:dyDescent="0.25">
      <c r="A314" s="62"/>
      <c r="B314" s="62"/>
      <c r="C314" s="63"/>
      <c r="D314" s="62"/>
      <c r="E314" s="62" t="s">
        <v>401</v>
      </c>
      <c r="F314" s="62">
        <v>0.8</v>
      </c>
      <c r="G314" s="64">
        <v>3327</v>
      </c>
      <c r="H314" s="65">
        <v>2661.6</v>
      </c>
      <c r="I314" s="65">
        <v>1992.04</v>
      </c>
      <c r="J314" s="65">
        <v>669.56000000000006</v>
      </c>
      <c r="K314" s="62">
        <v>5.63</v>
      </c>
      <c r="L314" s="62"/>
      <c r="M314" s="66">
        <f t="shared" si="8"/>
        <v>18731.009999999998</v>
      </c>
      <c r="N314" s="66">
        <f t="shared" si="8"/>
        <v>0</v>
      </c>
      <c r="O314" s="66">
        <f t="shared" si="9"/>
        <v>18731.009999999998</v>
      </c>
    </row>
    <row r="315" spans="1:15" x14ac:dyDescent="0.25">
      <c r="A315" s="62"/>
      <c r="B315" s="62"/>
      <c r="C315" s="63"/>
      <c r="D315" s="62"/>
      <c r="E315" s="62" t="s">
        <v>402</v>
      </c>
      <c r="F315" s="62">
        <v>0.77</v>
      </c>
      <c r="G315" s="64">
        <v>493</v>
      </c>
      <c r="H315" s="65">
        <v>379.61</v>
      </c>
      <c r="I315" s="65">
        <v>294.72999999999996</v>
      </c>
      <c r="J315" s="65">
        <v>84.880000000000024</v>
      </c>
      <c r="K315" s="62">
        <v>6.02</v>
      </c>
      <c r="L315" s="62"/>
      <c r="M315" s="66">
        <f t="shared" si="8"/>
        <v>2967.8599999999997</v>
      </c>
      <c r="N315" s="66">
        <f t="shared" si="8"/>
        <v>0</v>
      </c>
      <c r="O315" s="66">
        <f t="shared" si="9"/>
        <v>2967.8599999999997</v>
      </c>
    </row>
    <row r="316" spans="1:15" x14ac:dyDescent="0.25">
      <c r="A316" s="62"/>
      <c r="B316" s="62"/>
      <c r="C316" s="63"/>
      <c r="D316" s="62"/>
      <c r="E316" s="62" t="s">
        <v>303</v>
      </c>
      <c r="F316" s="62">
        <v>0.74</v>
      </c>
      <c r="G316" s="64">
        <v>58</v>
      </c>
      <c r="H316" s="65">
        <v>42.92</v>
      </c>
      <c r="I316" s="65">
        <v>35.29</v>
      </c>
      <c r="J316" s="65">
        <v>7.6300000000000026</v>
      </c>
      <c r="K316" s="62">
        <v>1.38</v>
      </c>
      <c r="L316" s="62"/>
      <c r="M316" s="66">
        <f t="shared" si="8"/>
        <v>80.039999999999992</v>
      </c>
      <c r="N316" s="66">
        <f t="shared" si="8"/>
        <v>0</v>
      </c>
      <c r="O316" s="66">
        <f t="shared" si="9"/>
        <v>80.039999999999992</v>
      </c>
    </row>
    <row r="317" spans="1:15" x14ac:dyDescent="0.25">
      <c r="A317" s="62"/>
      <c r="B317" s="62"/>
      <c r="C317" s="63"/>
      <c r="D317" s="62"/>
      <c r="E317" s="62" t="s">
        <v>404</v>
      </c>
      <c r="F317" s="62">
        <v>0.7</v>
      </c>
      <c r="G317" s="64">
        <v>565</v>
      </c>
      <c r="H317" s="65">
        <v>395.5</v>
      </c>
      <c r="I317" s="65">
        <v>726.31</v>
      </c>
      <c r="J317" s="65">
        <v>-330.80999999999995</v>
      </c>
      <c r="K317" s="62">
        <v>4.92</v>
      </c>
      <c r="L317" s="62"/>
      <c r="M317" s="66">
        <f t="shared" si="8"/>
        <v>2779.8</v>
      </c>
      <c r="N317" s="66">
        <f t="shared" si="8"/>
        <v>0</v>
      </c>
      <c r="O317" s="66">
        <f t="shared" si="9"/>
        <v>2779.8</v>
      </c>
    </row>
    <row r="318" spans="1:15" x14ac:dyDescent="0.25">
      <c r="A318" s="62"/>
      <c r="B318" s="62"/>
      <c r="C318" s="63"/>
      <c r="D318" s="62"/>
      <c r="E318" s="62" t="s">
        <v>405</v>
      </c>
      <c r="F318" s="62">
        <v>0.65</v>
      </c>
      <c r="G318" s="64">
        <v>87</v>
      </c>
      <c r="H318" s="65">
        <v>56.55</v>
      </c>
      <c r="I318" s="65">
        <v>111.84</v>
      </c>
      <c r="J318" s="65">
        <v>-55.290000000000006</v>
      </c>
      <c r="K318" s="62">
        <v>5.22</v>
      </c>
      <c r="L318" s="62"/>
      <c r="M318" s="66">
        <f t="shared" si="8"/>
        <v>454.14</v>
      </c>
      <c r="N318" s="66">
        <f t="shared" si="8"/>
        <v>0</v>
      </c>
      <c r="O318" s="66">
        <f t="shared" si="9"/>
        <v>454.14</v>
      </c>
    </row>
    <row r="319" spans="1:15" x14ac:dyDescent="0.25">
      <c r="A319" s="62"/>
      <c r="B319" s="62"/>
      <c r="C319" s="63"/>
      <c r="D319" s="62"/>
      <c r="E319" s="62" t="s">
        <v>285</v>
      </c>
      <c r="F319" s="62">
        <v>0.83</v>
      </c>
      <c r="G319" s="64">
        <v>22</v>
      </c>
      <c r="H319" s="65">
        <v>18.259999999999998</v>
      </c>
      <c r="I319" s="65">
        <v>39.270000000000003</v>
      </c>
      <c r="J319" s="65">
        <v>-21.010000000000005</v>
      </c>
      <c r="K319" s="62">
        <v>2.17</v>
      </c>
      <c r="L319" s="62"/>
      <c r="M319" s="66">
        <f t="shared" si="8"/>
        <v>47.739999999999995</v>
      </c>
      <c r="N319" s="66">
        <f t="shared" si="8"/>
        <v>0</v>
      </c>
      <c r="O319" s="66">
        <f t="shared" si="9"/>
        <v>47.739999999999995</v>
      </c>
    </row>
    <row r="320" spans="1:15" x14ac:dyDescent="0.25">
      <c r="A320" s="62"/>
      <c r="B320" s="62"/>
      <c r="C320" s="63"/>
      <c r="D320" s="62"/>
      <c r="E320" s="62" t="s">
        <v>286</v>
      </c>
      <c r="F320" s="62">
        <v>0.83</v>
      </c>
      <c r="G320" s="64">
        <v>97</v>
      </c>
      <c r="H320" s="65">
        <v>80.510000000000005</v>
      </c>
      <c r="I320" s="65">
        <v>947.57</v>
      </c>
      <c r="J320" s="65">
        <v>-867.06000000000006</v>
      </c>
      <c r="K320" s="62">
        <v>2.17</v>
      </c>
      <c r="L320" s="62"/>
      <c r="M320" s="66">
        <f t="shared" si="8"/>
        <v>210.48999999999998</v>
      </c>
      <c r="N320" s="66">
        <f t="shared" si="8"/>
        <v>0</v>
      </c>
      <c r="O320" s="66">
        <f t="shared" si="9"/>
        <v>210.48999999999998</v>
      </c>
    </row>
    <row r="321" spans="1:15" x14ac:dyDescent="0.25">
      <c r="A321" s="62"/>
      <c r="B321" s="62"/>
      <c r="C321" s="63"/>
      <c r="D321" s="62"/>
      <c r="E321" s="62" t="s">
        <v>287</v>
      </c>
      <c r="F321" s="62">
        <v>0.61</v>
      </c>
      <c r="G321" s="64">
        <v>134</v>
      </c>
      <c r="H321" s="65">
        <v>81.739999999999995</v>
      </c>
      <c r="I321" s="65">
        <v>576.98</v>
      </c>
      <c r="J321" s="65">
        <v>-495.24</v>
      </c>
      <c r="K321" s="62">
        <v>1.37</v>
      </c>
      <c r="L321" s="62"/>
      <c r="M321" s="66">
        <f t="shared" si="8"/>
        <v>183.58</v>
      </c>
      <c r="N321" s="66">
        <f t="shared" si="8"/>
        <v>0</v>
      </c>
      <c r="O321" s="66">
        <f t="shared" si="9"/>
        <v>183.58</v>
      </c>
    </row>
    <row r="322" spans="1:15" x14ac:dyDescent="0.25">
      <c r="A322" s="62"/>
      <c r="B322" s="62"/>
      <c r="C322" s="63"/>
      <c r="D322" s="62"/>
      <c r="E322" s="62" t="s">
        <v>407</v>
      </c>
      <c r="F322" s="62">
        <v>0.61</v>
      </c>
      <c r="G322" s="64">
        <v>1429</v>
      </c>
      <c r="H322" s="65">
        <v>871.68999999999994</v>
      </c>
      <c r="I322" s="65">
        <v>907.8900000000001</v>
      </c>
      <c r="J322" s="65">
        <v>-36.200000000000017</v>
      </c>
      <c r="K322" s="62">
        <v>4.21</v>
      </c>
      <c r="L322" s="62"/>
      <c r="M322" s="66">
        <f t="shared" si="8"/>
        <v>6016.09</v>
      </c>
      <c r="N322" s="66">
        <f t="shared" si="8"/>
        <v>0</v>
      </c>
      <c r="O322" s="66">
        <f t="shared" si="9"/>
        <v>6016.09</v>
      </c>
    </row>
    <row r="323" spans="1:15" x14ac:dyDescent="0.25">
      <c r="A323" s="62"/>
      <c r="B323" s="62"/>
      <c r="C323" s="63"/>
      <c r="D323" s="62"/>
      <c r="E323" s="62" t="s">
        <v>288</v>
      </c>
      <c r="F323" s="62">
        <v>0.63</v>
      </c>
      <c r="G323" s="64">
        <v>138</v>
      </c>
      <c r="H323" s="65">
        <v>86.94</v>
      </c>
      <c r="I323" s="65">
        <v>79.59</v>
      </c>
      <c r="J323" s="65">
        <v>7.3499999999999943</v>
      </c>
      <c r="K323" s="62">
        <v>1.43</v>
      </c>
      <c r="L323" s="62"/>
      <c r="M323" s="66">
        <f t="shared" si="8"/>
        <v>197.34</v>
      </c>
      <c r="N323" s="66">
        <f t="shared" si="8"/>
        <v>0</v>
      </c>
      <c r="O323" s="66">
        <f t="shared" si="9"/>
        <v>197.34</v>
      </c>
    </row>
    <row r="324" spans="1:15" x14ac:dyDescent="0.25">
      <c r="A324" s="62"/>
      <c r="B324" s="62"/>
      <c r="C324" s="63"/>
      <c r="D324" s="62"/>
      <c r="E324" s="62" t="s">
        <v>289</v>
      </c>
      <c r="F324" s="62">
        <v>0.61</v>
      </c>
      <c r="G324" s="64">
        <v>55</v>
      </c>
      <c r="H324" s="65">
        <v>33.549999999999997</v>
      </c>
      <c r="I324" s="65">
        <v>236.82</v>
      </c>
      <c r="J324" s="65">
        <v>-203.26999999999998</v>
      </c>
      <c r="K324" s="62">
        <v>1.37</v>
      </c>
      <c r="L324" s="62"/>
      <c r="M324" s="66">
        <f t="shared" si="8"/>
        <v>75.350000000000009</v>
      </c>
      <c r="N324" s="66">
        <f t="shared" si="8"/>
        <v>0</v>
      </c>
      <c r="O324" s="66">
        <f t="shared" si="9"/>
        <v>75.350000000000009</v>
      </c>
    </row>
    <row r="325" spans="1:15" x14ac:dyDescent="0.25">
      <c r="A325" s="62"/>
      <c r="B325" s="62"/>
      <c r="C325" s="63" t="s">
        <v>133</v>
      </c>
      <c r="D325" s="62" t="s">
        <v>108</v>
      </c>
      <c r="E325" s="62" t="s">
        <v>283</v>
      </c>
      <c r="F325" s="62">
        <v>0.83</v>
      </c>
      <c r="G325" s="64">
        <v>379</v>
      </c>
      <c r="H325" s="65">
        <v>314.57</v>
      </c>
      <c r="I325" s="65">
        <v>235.09</v>
      </c>
      <c r="J325" s="65">
        <v>79.47999999999999</v>
      </c>
      <c r="K325" s="62">
        <v>2.11</v>
      </c>
      <c r="L325" s="62"/>
      <c r="M325" s="66">
        <f t="shared" si="8"/>
        <v>799.68999999999994</v>
      </c>
      <c r="N325" s="66">
        <f t="shared" si="8"/>
        <v>0</v>
      </c>
      <c r="O325" s="66">
        <f t="shared" si="9"/>
        <v>799.68999999999994</v>
      </c>
    </row>
    <row r="326" spans="1:15" x14ac:dyDescent="0.25">
      <c r="A326" s="62"/>
      <c r="B326" s="62"/>
      <c r="C326" s="63"/>
      <c r="D326" s="62"/>
      <c r="E326" s="62" t="s">
        <v>399</v>
      </c>
      <c r="F326" s="62">
        <v>0.69999999999999984</v>
      </c>
      <c r="G326" s="64">
        <v>1139</v>
      </c>
      <c r="H326" s="65">
        <v>797.3</v>
      </c>
      <c r="I326" s="65">
        <v>729.45</v>
      </c>
      <c r="J326" s="65">
        <v>67.849999999999994</v>
      </c>
      <c r="K326" s="62">
        <v>4.92</v>
      </c>
      <c r="L326" s="62"/>
      <c r="M326" s="66">
        <f t="shared" si="8"/>
        <v>5603.88</v>
      </c>
      <c r="N326" s="66">
        <f t="shared" si="8"/>
        <v>0</v>
      </c>
      <c r="O326" s="66">
        <f t="shared" si="9"/>
        <v>5603.88</v>
      </c>
    </row>
    <row r="327" spans="1:15" x14ac:dyDescent="0.25">
      <c r="A327" s="62"/>
      <c r="B327" s="62"/>
      <c r="C327" s="63"/>
      <c r="D327" s="62"/>
      <c r="E327" s="62" t="s">
        <v>400</v>
      </c>
      <c r="F327" s="62">
        <v>0.65</v>
      </c>
      <c r="G327" s="64">
        <v>275</v>
      </c>
      <c r="H327" s="65">
        <v>178.75</v>
      </c>
      <c r="I327" s="65">
        <v>181.37</v>
      </c>
      <c r="J327" s="65">
        <v>-2.6199999999999957</v>
      </c>
      <c r="K327" s="62">
        <v>5.22</v>
      </c>
      <c r="L327" s="62"/>
      <c r="M327" s="66">
        <f t="shared" ref="M327:N390" si="10">$G327*K327</f>
        <v>1435.5</v>
      </c>
      <c r="N327" s="66">
        <f t="shared" si="10"/>
        <v>0</v>
      </c>
      <c r="O327" s="66">
        <f t="shared" ref="O327:O390" si="11">M327+N327</f>
        <v>1435.5</v>
      </c>
    </row>
    <row r="328" spans="1:15" x14ac:dyDescent="0.25">
      <c r="A328" s="62"/>
      <c r="B328" s="62"/>
      <c r="C328" s="63"/>
      <c r="D328" s="62"/>
      <c r="E328" s="62" t="s">
        <v>401</v>
      </c>
      <c r="F328" s="62">
        <v>0.8</v>
      </c>
      <c r="G328" s="64">
        <v>3327</v>
      </c>
      <c r="H328" s="65">
        <v>2661.6</v>
      </c>
      <c r="I328" s="65">
        <v>1991.4899999999998</v>
      </c>
      <c r="J328" s="65">
        <v>670.1099999999999</v>
      </c>
      <c r="K328" s="62">
        <v>5.63</v>
      </c>
      <c r="L328" s="62"/>
      <c r="M328" s="66">
        <f t="shared" si="10"/>
        <v>18731.009999999998</v>
      </c>
      <c r="N328" s="66">
        <f t="shared" si="10"/>
        <v>0</v>
      </c>
      <c r="O328" s="66">
        <f t="shared" si="11"/>
        <v>18731.009999999998</v>
      </c>
    </row>
    <row r="329" spans="1:15" x14ac:dyDescent="0.25">
      <c r="A329" s="62"/>
      <c r="B329" s="62"/>
      <c r="C329" s="63"/>
      <c r="D329" s="62"/>
      <c r="E329" s="62" t="s">
        <v>402</v>
      </c>
      <c r="F329" s="62">
        <v>0.77</v>
      </c>
      <c r="G329" s="64">
        <v>494</v>
      </c>
      <c r="H329" s="65">
        <v>380.38</v>
      </c>
      <c r="I329" s="65">
        <v>295.2</v>
      </c>
      <c r="J329" s="65">
        <v>85.179999999999978</v>
      </c>
      <c r="K329" s="62">
        <v>6.02</v>
      </c>
      <c r="L329" s="62"/>
      <c r="M329" s="66">
        <f t="shared" si="10"/>
        <v>2973.8799999999997</v>
      </c>
      <c r="N329" s="66">
        <f t="shared" si="10"/>
        <v>0</v>
      </c>
      <c r="O329" s="66">
        <f t="shared" si="11"/>
        <v>2973.8799999999997</v>
      </c>
    </row>
    <row r="330" spans="1:15" x14ac:dyDescent="0.25">
      <c r="A330" s="62"/>
      <c r="B330" s="62"/>
      <c r="C330" s="63"/>
      <c r="D330" s="62"/>
      <c r="E330" s="62" t="s">
        <v>303</v>
      </c>
      <c r="F330" s="62">
        <v>0.74</v>
      </c>
      <c r="G330" s="64">
        <v>58</v>
      </c>
      <c r="H330" s="65">
        <v>42.92</v>
      </c>
      <c r="I330" s="65">
        <v>35.29</v>
      </c>
      <c r="J330" s="65">
        <v>7.6300000000000026</v>
      </c>
      <c r="K330" s="62">
        <v>1.38</v>
      </c>
      <c r="L330" s="62"/>
      <c r="M330" s="66">
        <f t="shared" si="10"/>
        <v>80.039999999999992</v>
      </c>
      <c r="N330" s="66">
        <f t="shared" si="10"/>
        <v>0</v>
      </c>
      <c r="O330" s="66">
        <f t="shared" si="11"/>
        <v>80.039999999999992</v>
      </c>
    </row>
    <row r="331" spans="1:15" x14ac:dyDescent="0.25">
      <c r="A331" s="62"/>
      <c r="B331" s="62"/>
      <c r="C331" s="63"/>
      <c r="D331" s="62"/>
      <c r="E331" s="62" t="s">
        <v>404</v>
      </c>
      <c r="F331" s="62">
        <v>0.7</v>
      </c>
      <c r="G331" s="64">
        <v>565</v>
      </c>
      <c r="H331" s="65">
        <v>395.5</v>
      </c>
      <c r="I331" s="65">
        <v>726.31</v>
      </c>
      <c r="J331" s="65">
        <v>-330.80999999999995</v>
      </c>
      <c r="K331" s="62">
        <v>4.92</v>
      </c>
      <c r="L331" s="62"/>
      <c r="M331" s="66">
        <f t="shared" si="10"/>
        <v>2779.8</v>
      </c>
      <c r="N331" s="66">
        <f t="shared" si="10"/>
        <v>0</v>
      </c>
      <c r="O331" s="66">
        <f t="shared" si="11"/>
        <v>2779.8</v>
      </c>
    </row>
    <row r="332" spans="1:15" x14ac:dyDescent="0.25">
      <c r="A332" s="62"/>
      <c r="B332" s="62"/>
      <c r="C332" s="63"/>
      <c r="D332" s="62"/>
      <c r="E332" s="62" t="s">
        <v>405</v>
      </c>
      <c r="F332" s="62">
        <v>0.65</v>
      </c>
      <c r="G332" s="64">
        <v>88</v>
      </c>
      <c r="H332" s="65">
        <v>57.2</v>
      </c>
      <c r="I332" s="65">
        <v>113.12</v>
      </c>
      <c r="J332" s="65">
        <v>-55.92</v>
      </c>
      <c r="K332" s="62">
        <v>5.22</v>
      </c>
      <c r="L332" s="62"/>
      <c r="M332" s="66">
        <f t="shared" si="10"/>
        <v>459.35999999999996</v>
      </c>
      <c r="N332" s="66">
        <f t="shared" si="10"/>
        <v>0</v>
      </c>
      <c r="O332" s="66">
        <f t="shared" si="11"/>
        <v>459.35999999999996</v>
      </c>
    </row>
    <row r="333" spans="1:15" x14ac:dyDescent="0.25">
      <c r="A333" s="62"/>
      <c r="B333" s="62"/>
      <c r="C333" s="63"/>
      <c r="D333" s="62"/>
      <c r="E333" s="62" t="s">
        <v>285</v>
      </c>
      <c r="F333" s="62">
        <v>0.83</v>
      </c>
      <c r="G333" s="64">
        <v>15</v>
      </c>
      <c r="H333" s="65">
        <v>12.45</v>
      </c>
      <c r="I333" s="65">
        <v>9.1300000000000008</v>
      </c>
      <c r="J333" s="65">
        <v>3.3199999999999985</v>
      </c>
      <c r="K333" s="62">
        <v>2.17</v>
      </c>
      <c r="L333" s="62"/>
      <c r="M333" s="66">
        <f t="shared" si="10"/>
        <v>32.549999999999997</v>
      </c>
      <c r="N333" s="66">
        <f t="shared" si="10"/>
        <v>0</v>
      </c>
      <c r="O333" s="66">
        <f t="shared" si="11"/>
        <v>32.549999999999997</v>
      </c>
    </row>
    <row r="334" spans="1:15" x14ac:dyDescent="0.25">
      <c r="A334" s="62"/>
      <c r="B334" s="62"/>
      <c r="C334" s="63"/>
      <c r="D334" s="62"/>
      <c r="E334" s="62" t="s">
        <v>286</v>
      </c>
      <c r="F334" s="62">
        <v>0.83</v>
      </c>
      <c r="G334" s="64">
        <v>87</v>
      </c>
      <c r="H334" s="65">
        <v>72.210000000000008</v>
      </c>
      <c r="I334" s="65">
        <v>904.51</v>
      </c>
      <c r="J334" s="65">
        <v>-832.30000000000007</v>
      </c>
      <c r="K334" s="62">
        <v>2.17</v>
      </c>
      <c r="L334" s="62"/>
      <c r="M334" s="66">
        <f t="shared" si="10"/>
        <v>188.79</v>
      </c>
      <c r="N334" s="66">
        <f t="shared" si="10"/>
        <v>0</v>
      </c>
      <c r="O334" s="66">
        <f t="shared" si="11"/>
        <v>188.79</v>
      </c>
    </row>
    <row r="335" spans="1:15" x14ac:dyDescent="0.25">
      <c r="A335" s="62"/>
      <c r="B335" s="62"/>
      <c r="C335" s="63"/>
      <c r="D335" s="62"/>
      <c r="E335" s="62" t="s">
        <v>407</v>
      </c>
      <c r="F335" s="62">
        <v>0.61</v>
      </c>
      <c r="G335" s="64">
        <v>1429</v>
      </c>
      <c r="H335" s="65">
        <v>871.69</v>
      </c>
      <c r="I335" s="65">
        <v>907.21</v>
      </c>
      <c r="J335" s="65">
        <v>-35.520000000000017</v>
      </c>
      <c r="K335" s="62">
        <v>4.21</v>
      </c>
      <c r="L335" s="62"/>
      <c r="M335" s="66">
        <f t="shared" si="10"/>
        <v>6016.09</v>
      </c>
      <c r="N335" s="66">
        <f t="shared" si="10"/>
        <v>0</v>
      </c>
      <c r="O335" s="66">
        <f t="shared" si="11"/>
        <v>6016.09</v>
      </c>
    </row>
    <row r="336" spans="1:15" x14ac:dyDescent="0.25">
      <c r="A336" s="62"/>
      <c r="B336" s="62"/>
      <c r="C336" s="63"/>
      <c r="D336" s="62"/>
      <c r="E336" s="62" t="s">
        <v>288</v>
      </c>
      <c r="F336" s="62">
        <v>0.63</v>
      </c>
      <c r="G336" s="64">
        <v>137</v>
      </c>
      <c r="H336" s="65">
        <v>86.31</v>
      </c>
      <c r="I336" s="65">
        <v>79.010000000000005</v>
      </c>
      <c r="J336" s="65">
        <v>7.2999999999999972</v>
      </c>
      <c r="K336" s="62">
        <v>1.43</v>
      </c>
      <c r="L336" s="62"/>
      <c r="M336" s="66">
        <f t="shared" si="10"/>
        <v>195.91</v>
      </c>
      <c r="N336" s="66">
        <f t="shared" si="10"/>
        <v>0</v>
      </c>
      <c r="O336" s="66">
        <f t="shared" si="11"/>
        <v>195.91</v>
      </c>
    </row>
    <row r="337" spans="1:15" x14ac:dyDescent="0.25">
      <c r="A337" s="62"/>
      <c r="B337" s="62"/>
      <c r="C337" s="63" t="s">
        <v>91</v>
      </c>
      <c r="D337" s="62" t="s">
        <v>108</v>
      </c>
      <c r="E337" s="62" t="s">
        <v>304</v>
      </c>
      <c r="F337" s="62">
        <v>0.83</v>
      </c>
      <c r="G337" s="64">
        <v>529</v>
      </c>
      <c r="H337" s="65">
        <v>439.07000000000005</v>
      </c>
      <c r="I337" s="65">
        <v>219.16</v>
      </c>
      <c r="J337" s="65">
        <v>219.91000000000003</v>
      </c>
      <c r="K337" s="62">
        <v>2.11</v>
      </c>
      <c r="L337" s="62"/>
      <c r="M337" s="66">
        <f t="shared" si="10"/>
        <v>1116.1899999999998</v>
      </c>
      <c r="N337" s="66">
        <f t="shared" si="10"/>
        <v>0</v>
      </c>
      <c r="O337" s="66">
        <f t="shared" si="11"/>
        <v>1116.1899999999998</v>
      </c>
    </row>
    <row r="338" spans="1:15" x14ac:dyDescent="0.25">
      <c r="A338" s="62"/>
      <c r="B338" s="62"/>
      <c r="C338" s="63"/>
      <c r="D338" s="62"/>
      <c r="E338" s="62" t="s">
        <v>283</v>
      </c>
      <c r="F338" s="62">
        <v>0.83</v>
      </c>
      <c r="G338" s="64">
        <v>114</v>
      </c>
      <c r="H338" s="65">
        <v>94.62</v>
      </c>
      <c r="I338" s="65">
        <v>57.39</v>
      </c>
      <c r="J338" s="65">
        <v>37.230000000000004</v>
      </c>
      <c r="K338" s="62">
        <v>2.11</v>
      </c>
      <c r="L338" s="62"/>
      <c r="M338" s="66">
        <f t="shared" si="10"/>
        <v>240.54</v>
      </c>
      <c r="N338" s="66">
        <f t="shared" si="10"/>
        <v>0</v>
      </c>
      <c r="O338" s="66">
        <f t="shared" si="11"/>
        <v>240.54</v>
      </c>
    </row>
    <row r="339" spans="1:15" x14ac:dyDescent="0.25">
      <c r="A339" s="62"/>
      <c r="B339" s="62"/>
      <c r="C339" s="63"/>
      <c r="D339" s="62"/>
      <c r="E339" s="62" t="s">
        <v>305</v>
      </c>
      <c r="F339" s="62">
        <v>0.83</v>
      </c>
      <c r="G339" s="64">
        <v>3424</v>
      </c>
      <c r="H339" s="65">
        <v>2841.92</v>
      </c>
      <c r="I339" s="65">
        <v>1650.5500000000002</v>
      </c>
      <c r="J339" s="65">
        <v>1191.3699999999999</v>
      </c>
      <c r="K339" s="62">
        <v>2.11</v>
      </c>
      <c r="L339" s="62"/>
      <c r="M339" s="66">
        <f t="shared" si="10"/>
        <v>7224.6399999999994</v>
      </c>
      <c r="N339" s="66">
        <f t="shared" si="10"/>
        <v>0</v>
      </c>
      <c r="O339" s="66">
        <f t="shared" si="11"/>
        <v>7224.6399999999994</v>
      </c>
    </row>
    <row r="340" spans="1:15" x14ac:dyDescent="0.25">
      <c r="A340" s="62"/>
      <c r="B340" s="62"/>
      <c r="C340" s="63"/>
      <c r="D340" s="62"/>
      <c r="E340" s="62" t="s">
        <v>408</v>
      </c>
      <c r="F340" s="62">
        <v>0.80000000000000016</v>
      </c>
      <c r="G340" s="64">
        <v>734</v>
      </c>
      <c r="H340" s="65">
        <v>587.19999999999993</v>
      </c>
      <c r="I340" s="65">
        <v>324.53000000000003</v>
      </c>
      <c r="J340" s="65">
        <v>262.66999999999996</v>
      </c>
      <c r="K340" s="62">
        <v>5.63</v>
      </c>
      <c r="L340" s="62"/>
      <c r="M340" s="66">
        <f t="shared" si="10"/>
        <v>4132.42</v>
      </c>
      <c r="N340" s="66">
        <f t="shared" si="10"/>
        <v>0</v>
      </c>
      <c r="O340" s="66">
        <f t="shared" si="11"/>
        <v>4132.42</v>
      </c>
    </row>
    <row r="341" spans="1:15" x14ac:dyDescent="0.25">
      <c r="A341" s="62"/>
      <c r="B341" s="62"/>
      <c r="C341" s="63"/>
      <c r="D341" s="62"/>
      <c r="E341" s="62" t="s">
        <v>409</v>
      </c>
      <c r="F341" s="62">
        <v>0.77</v>
      </c>
      <c r="G341" s="64">
        <v>600</v>
      </c>
      <c r="H341" s="65">
        <v>462</v>
      </c>
      <c r="I341" s="65">
        <v>260.55</v>
      </c>
      <c r="J341" s="65">
        <v>201.45</v>
      </c>
      <c r="K341" s="62">
        <v>6.02</v>
      </c>
      <c r="L341" s="62"/>
      <c r="M341" s="66">
        <f t="shared" si="10"/>
        <v>3611.9999999999995</v>
      </c>
      <c r="N341" s="66">
        <f t="shared" si="10"/>
        <v>0</v>
      </c>
      <c r="O341" s="66">
        <f t="shared" si="11"/>
        <v>3611.9999999999995</v>
      </c>
    </row>
    <row r="342" spans="1:15" x14ac:dyDescent="0.25">
      <c r="A342" s="62"/>
      <c r="B342" s="62"/>
      <c r="C342" s="63"/>
      <c r="D342" s="62"/>
      <c r="E342" s="62" t="s">
        <v>396</v>
      </c>
      <c r="F342" s="62">
        <v>0.7</v>
      </c>
      <c r="G342" s="64">
        <v>511</v>
      </c>
      <c r="H342" s="65">
        <v>357.70000000000005</v>
      </c>
      <c r="I342" s="65">
        <v>258.99</v>
      </c>
      <c r="J342" s="65">
        <v>98.710000000000008</v>
      </c>
      <c r="K342" s="62">
        <v>4.92</v>
      </c>
      <c r="L342" s="62"/>
      <c r="M342" s="66">
        <f t="shared" si="10"/>
        <v>2514.12</v>
      </c>
      <c r="N342" s="66">
        <f t="shared" si="10"/>
        <v>0</v>
      </c>
      <c r="O342" s="66">
        <f t="shared" si="11"/>
        <v>2514.12</v>
      </c>
    </row>
    <row r="343" spans="1:15" x14ac:dyDescent="0.25">
      <c r="A343" s="62"/>
      <c r="B343" s="62"/>
      <c r="C343" s="63"/>
      <c r="D343" s="62"/>
      <c r="E343" s="62" t="s">
        <v>308</v>
      </c>
      <c r="F343" s="62">
        <v>0.7</v>
      </c>
      <c r="G343" s="64">
        <v>148</v>
      </c>
      <c r="H343" s="65">
        <v>103.6</v>
      </c>
      <c r="I343" s="65">
        <v>53.620000000000005</v>
      </c>
      <c r="J343" s="65">
        <v>49.980000000000004</v>
      </c>
      <c r="K343" s="62">
        <v>1.64</v>
      </c>
      <c r="L343" s="62"/>
      <c r="M343" s="66">
        <f t="shared" si="10"/>
        <v>242.72</v>
      </c>
      <c r="N343" s="66">
        <f t="shared" si="10"/>
        <v>0</v>
      </c>
      <c r="O343" s="66">
        <f t="shared" si="11"/>
        <v>242.72</v>
      </c>
    </row>
    <row r="344" spans="1:15" x14ac:dyDescent="0.25">
      <c r="A344" s="62"/>
      <c r="B344" s="62"/>
      <c r="C344" s="63"/>
      <c r="D344" s="62"/>
      <c r="E344" s="62" t="s">
        <v>410</v>
      </c>
      <c r="F344" s="62">
        <v>0.77</v>
      </c>
      <c r="G344" s="64">
        <v>4742</v>
      </c>
      <c r="H344" s="65">
        <v>3651.34</v>
      </c>
      <c r="I344" s="65">
        <v>1664.18</v>
      </c>
      <c r="J344" s="65">
        <v>1987.16</v>
      </c>
      <c r="K344" s="62">
        <v>5.82</v>
      </c>
      <c r="L344" s="62"/>
      <c r="M344" s="66">
        <f t="shared" si="10"/>
        <v>27598.440000000002</v>
      </c>
      <c r="N344" s="66">
        <f t="shared" si="10"/>
        <v>0</v>
      </c>
      <c r="O344" s="66">
        <f t="shared" si="11"/>
        <v>27598.440000000002</v>
      </c>
    </row>
    <row r="345" spans="1:15" x14ac:dyDescent="0.25">
      <c r="A345" s="62"/>
      <c r="B345" s="62"/>
      <c r="C345" s="63"/>
      <c r="D345" s="62"/>
      <c r="E345" s="62" t="s">
        <v>309</v>
      </c>
      <c r="F345" s="62">
        <v>0.77</v>
      </c>
      <c r="G345" s="64">
        <v>84</v>
      </c>
      <c r="H345" s="65">
        <v>64.680000000000007</v>
      </c>
      <c r="I345" s="65">
        <v>31.25</v>
      </c>
      <c r="J345" s="65">
        <v>33.430000000000007</v>
      </c>
      <c r="K345" s="62">
        <v>1.46</v>
      </c>
      <c r="L345" s="62"/>
      <c r="M345" s="66">
        <f t="shared" si="10"/>
        <v>122.64</v>
      </c>
      <c r="N345" s="66">
        <f t="shared" si="10"/>
        <v>0</v>
      </c>
      <c r="O345" s="66">
        <f t="shared" si="11"/>
        <v>122.64</v>
      </c>
    </row>
    <row r="346" spans="1:15" x14ac:dyDescent="0.25">
      <c r="A346" s="62"/>
      <c r="B346" s="62"/>
      <c r="C346" s="63"/>
      <c r="D346" s="62"/>
      <c r="E346" s="62" t="s">
        <v>310</v>
      </c>
      <c r="F346" s="62">
        <v>0.74</v>
      </c>
      <c r="G346" s="64">
        <v>127</v>
      </c>
      <c r="H346" s="65">
        <v>93.98</v>
      </c>
      <c r="I346" s="65">
        <v>58.52</v>
      </c>
      <c r="J346" s="65">
        <v>35.46</v>
      </c>
      <c r="K346" s="62">
        <v>1.38</v>
      </c>
      <c r="L346" s="62"/>
      <c r="M346" s="66">
        <f t="shared" si="10"/>
        <v>175.26</v>
      </c>
      <c r="N346" s="66">
        <f t="shared" si="10"/>
        <v>0</v>
      </c>
      <c r="O346" s="66">
        <f t="shared" si="11"/>
        <v>175.26</v>
      </c>
    </row>
    <row r="347" spans="1:15" x14ac:dyDescent="0.25">
      <c r="A347" s="62"/>
      <c r="B347" s="62"/>
      <c r="C347" s="63"/>
      <c r="D347" s="62"/>
      <c r="E347" s="62" t="s">
        <v>411</v>
      </c>
      <c r="F347" s="62">
        <v>0.74</v>
      </c>
      <c r="G347" s="64">
        <v>1637</v>
      </c>
      <c r="H347" s="65">
        <v>1211.3800000000001</v>
      </c>
      <c r="I347" s="65">
        <v>628.59999999999991</v>
      </c>
      <c r="J347" s="65">
        <v>582.78</v>
      </c>
      <c r="K347" s="62">
        <v>5.52</v>
      </c>
      <c r="L347" s="62"/>
      <c r="M347" s="66">
        <f t="shared" si="10"/>
        <v>9036.24</v>
      </c>
      <c r="N347" s="66">
        <f t="shared" si="10"/>
        <v>0</v>
      </c>
      <c r="O347" s="66">
        <f t="shared" si="11"/>
        <v>9036.24</v>
      </c>
    </row>
    <row r="348" spans="1:15" x14ac:dyDescent="0.25">
      <c r="A348" s="62"/>
      <c r="B348" s="62"/>
      <c r="C348" s="63"/>
      <c r="D348" s="62"/>
      <c r="E348" s="62" t="s">
        <v>406</v>
      </c>
      <c r="F348" s="62">
        <v>0.73999999999999988</v>
      </c>
      <c r="G348" s="64">
        <v>3020</v>
      </c>
      <c r="H348" s="65">
        <v>2234.8000000000002</v>
      </c>
      <c r="I348" s="65">
        <v>1101.58</v>
      </c>
      <c r="J348" s="65">
        <v>1133.2200000000003</v>
      </c>
      <c r="K348" s="62">
        <v>5.52</v>
      </c>
      <c r="L348" s="62"/>
      <c r="M348" s="66">
        <f t="shared" si="10"/>
        <v>16670.399999999998</v>
      </c>
      <c r="N348" s="66">
        <f t="shared" si="10"/>
        <v>0</v>
      </c>
      <c r="O348" s="66">
        <f t="shared" si="11"/>
        <v>16670.399999999998</v>
      </c>
    </row>
    <row r="349" spans="1:15" x14ac:dyDescent="0.25">
      <c r="A349" s="62"/>
      <c r="B349" s="62"/>
      <c r="C349" s="63"/>
      <c r="D349" s="62"/>
      <c r="E349" s="62" t="s">
        <v>311</v>
      </c>
      <c r="F349" s="62">
        <v>0.74</v>
      </c>
      <c r="G349" s="64">
        <v>1011</v>
      </c>
      <c r="H349" s="65">
        <v>748.14</v>
      </c>
      <c r="I349" s="65">
        <v>366.48</v>
      </c>
      <c r="J349" s="65">
        <v>381.65999999999997</v>
      </c>
      <c r="K349" s="62">
        <v>1.38</v>
      </c>
      <c r="L349" s="62"/>
      <c r="M349" s="66">
        <f t="shared" si="10"/>
        <v>1395.1799999999998</v>
      </c>
      <c r="N349" s="66">
        <f t="shared" si="10"/>
        <v>0</v>
      </c>
      <c r="O349" s="66">
        <f t="shared" si="11"/>
        <v>1395.1799999999998</v>
      </c>
    </row>
    <row r="350" spans="1:15" x14ac:dyDescent="0.25">
      <c r="A350" s="62"/>
      <c r="B350" s="62"/>
      <c r="C350" s="63"/>
      <c r="D350" s="62"/>
      <c r="E350" s="62" t="s">
        <v>314</v>
      </c>
      <c r="F350" s="62">
        <v>0.61</v>
      </c>
      <c r="G350" s="64">
        <v>3912</v>
      </c>
      <c r="H350" s="65">
        <v>2386.3199999999997</v>
      </c>
      <c r="I350" s="65">
        <v>1386.6699999999998</v>
      </c>
      <c r="J350" s="65">
        <v>999.65</v>
      </c>
      <c r="K350" s="62">
        <v>1.43</v>
      </c>
      <c r="L350" s="62"/>
      <c r="M350" s="66">
        <f t="shared" si="10"/>
        <v>5594.16</v>
      </c>
      <c r="N350" s="66">
        <f t="shared" si="10"/>
        <v>0</v>
      </c>
      <c r="O350" s="66">
        <f t="shared" si="11"/>
        <v>5594.16</v>
      </c>
    </row>
    <row r="351" spans="1:15" x14ac:dyDescent="0.25">
      <c r="A351" s="62"/>
      <c r="B351" s="62"/>
      <c r="C351" s="63"/>
      <c r="D351" s="62"/>
      <c r="E351" s="62" t="s">
        <v>412</v>
      </c>
      <c r="F351" s="62">
        <v>0.63</v>
      </c>
      <c r="G351" s="64">
        <v>1969</v>
      </c>
      <c r="H351" s="65">
        <v>1240.47</v>
      </c>
      <c r="I351" s="65">
        <v>807.94</v>
      </c>
      <c r="J351" s="65">
        <v>432.53</v>
      </c>
      <c r="K351" s="62">
        <v>4.45</v>
      </c>
      <c r="L351" s="62"/>
      <c r="M351" s="66">
        <f t="shared" si="10"/>
        <v>8762.0500000000011</v>
      </c>
      <c r="N351" s="66">
        <f t="shared" si="10"/>
        <v>0</v>
      </c>
      <c r="O351" s="66">
        <f t="shared" si="11"/>
        <v>8762.0500000000011</v>
      </c>
    </row>
    <row r="352" spans="1:15" x14ac:dyDescent="0.25">
      <c r="A352" s="62"/>
      <c r="B352" s="62"/>
      <c r="C352" s="63" t="s">
        <v>126</v>
      </c>
      <c r="D352" s="62" t="s">
        <v>108</v>
      </c>
      <c r="E352" s="62" t="s">
        <v>304</v>
      </c>
      <c r="F352" s="62">
        <v>0.83</v>
      </c>
      <c r="G352" s="64">
        <v>528</v>
      </c>
      <c r="H352" s="65">
        <v>438.24</v>
      </c>
      <c r="I352" s="65">
        <v>218.75999999999996</v>
      </c>
      <c r="J352" s="65">
        <v>219.48000000000002</v>
      </c>
      <c r="K352" s="62">
        <v>2.11</v>
      </c>
      <c r="L352" s="62"/>
      <c r="M352" s="66">
        <f t="shared" si="10"/>
        <v>1114.08</v>
      </c>
      <c r="N352" s="66">
        <f t="shared" si="10"/>
        <v>0</v>
      </c>
      <c r="O352" s="66">
        <f t="shared" si="11"/>
        <v>1114.08</v>
      </c>
    </row>
    <row r="353" spans="1:15" x14ac:dyDescent="0.25">
      <c r="A353" s="62"/>
      <c r="B353" s="62"/>
      <c r="C353" s="63"/>
      <c r="D353" s="62"/>
      <c r="E353" s="62" t="s">
        <v>283</v>
      </c>
      <c r="F353" s="62">
        <v>0.83</v>
      </c>
      <c r="G353" s="64">
        <v>115</v>
      </c>
      <c r="H353" s="65">
        <v>95.45</v>
      </c>
      <c r="I353" s="65">
        <v>57.89</v>
      </c>
      <c r="J353" s="65">
        <v>37.56</v>
      </c>
      <c r="K353" s="62">
        <v>2.11</v>
      </c>
      <c r="L353" s="62"/>
      <c r="M353" s="66">
        <f t="shared" si="10"/>
        <v>242.64999999999998</v>
      </c>
      <c r="N353" s="66">
        <f t="shared" si="10"/>
        <v>0</v>
      </c>
      <c r="O353" s="66">
        <f t="shared" si="11"/>
        <v>242.64999999999998</v>
      </c>
    </row>
    <row r="354" spans="1:15" x14ac:dyDescent="0.25">
      <c r="A354" s="62"/>
      <c r="B354" s="62"/>
      <c r="C354" s="63"/>
      <c r="D354" s="62"/>
      <c r="E354" s="62" t="s">
        <v>305</v>
      </c>
      <c r="F354" s="62">
        <v>0.83</v>
      </c>
      <c r="G354" s="64">
        <v>3426</v>
      </c>
      <c r="H354" s="65">
        <v>2843.58</v>
      </c>
      <c r="I354" s="65">
        <v>1651.5600000000002</v>
      </c>
      <c r="J354" s="65">
        <v>1192.0199999999998</v>
      </c>
      <c r="K354" s="62">
        <v>2.11</v>
      </c>
      <c r="L354" s="62"/>
      <c r="M354" s="66">
        <f t="shared" si="10"/>
        <v>7228.86</v>
      </c>
      <c r="N354" s="66">
        <f t="shared" si="10"/>
        <v>0</v>
      </c>
      <c r="O354" s="66">
        <f t="shared" si="11"/>
        <v>7228.86</v>
      </c>
    </row>
    <row r="355" spans="1:15" x14ac:dyDescent="0.25">
      <c r="A355" s="62"/>
      <c r="B355" s="62"/>
      <c r="C355" s="63"/>
      <c r="D355" s="62"/>
      <c r="E355" s="62" t="s">
        <v>408</v>
      </c>
      <c r="F355" s="62">
        <v>0.80000000000000016</v>
      </c>
      <c r="G355" s="64">
        <v>734</v>
      </c>
      <c r="H355" s="65">
        <v>587.19999999999993</v>
      </c>
      <c r="I355" s="65">
        <v>324.53000000000003</v>
      </c>
      <c r="J355" s="65">
        <v>262.66999999999996</v>
      </c>
      <c r="K355" s="62">
        <v>5.63</v>
      </c>
      <c r="L355" s="62"/>
      <c r="M355" s="66">
        <f t="shared" si="10"/>
        <v>4132.42</v>
      </c>
      <c r="N355" s="66">
        <f t="shared" si="10"/>
        <v>0</v>
      </c>
      <c r="O355" s="66">
        <f t="shared" si="11"/>
        <v>4132.42</v>
      </c>
    </row>
    <row r="356" spans="1:15" x14ac:dyDescent="0.25">
      <c r="A356" s="62"/>
      <c r="B356" s="62"/>
      <c r="C356" s="63"/>
      <c r="D356" s="62"/>
      <c r="E356" s="62" t="s">
        <v>409</v>
      </c>
      <c r="F356" s="62">
        <v>0.77</v>
      </c>
      <c r="G356" s="64">
        <v>601</v>
      </c>
      <c r="H356" s="65">
        <v>462.77</v>
      </c>
      <c r="I356" s="65">
        <v>261.01</v>
      </c>
      <c r="J356" s="65">
        <v>201.76</v>
      </c>
      <c r="K356" s="62">
        <v>6.02</v>
      </c>
      <c r="L356" s="62"/>
      <c r="M356" s="66">
        <f t="shared" si="10"/>
        <v>3618.0199999999995</v>
      </c>
      <c r="N356" s="66">
        <f t="shared" si="10"/>
        <v>0</v>
      </c>
      <c r="O356" s="66">
        <f t="shared" si="11"/>
        <v>3618.0199999999995</v>
      </c>
    </row>
    <row r="357" spans="1:15" x14ac:dyDescent="0.25">
      <c r="A357" s="62"/>
      <c r="B357" s="62"/>
      <c r="C357" s="63"/>
      <c r="D357" s="62"/>
      <c r="E357" s="62" t="s">
        <v>396</v>
      </c>
      <c r="F357" s="62">
        <v>0.7</v>
      </c>
      <c r="G357" s="64">
        <v>509</v>
      </c>
      <c r="H357" s="65">
        <v>356.29999999999995</v>
      </c>
      <c r="I357" s="65">
        <v>257.99</v>
      </c>
      <c r="J357" s="65">
        <v>98.30999999999996</v>
      </c>
      <c r="K357" s="62">
        <v>4.92</v>
      </c>
      <c r="L357" s="62"/>
      <c r="M357" s="66">
        <f t="shared" si="10"/>
        <v>2504.2799999999997</v>
      </c>
      <c r="N357" s="66">
        <f t="shared" si="10"/>
        <v>0</v>
      </c>
      <c r="O357" s="66">
        <f t="shared" si="11"/>
        <v>2504.2799999999997</v>
      </c>
    </row>
    <row r="358" spans="1:15" x14ac:dyDescent="0.25">
      <c r="A358" s="62"/>
      <c r="B358" s="62"/>
      <c r="C358" s="63"/>
      <c r="D358" s="62"/>
      <c r="E358" s="62" t="s">
        <v>308</v>
      </c>
      <c r="F358" s="62">
        <v>0.7</v>
      </c>
      <c r="G358" s="64">
        <v>148</v>
      </c>
      <c r="H358" s="65">
        <v>103.6</v>
      </c>
      <c r="I358" s="65">
        <v>53.47</v>
      </c>
      <c r="J358" s="65">
        <v>50.129999999999995</v>
      </c>
      <c r="K358" s="62">
        <v>1.64</v>
      </c>
      <c r="L358" s="62"/>
      <c r="M358" s="66">
        <f t="shared" si="10"/>
        <v>242.72</v>
      </c>
      <c r="N358" s="66">
        <f t="shared" si="10"/>
        <v>0</v>
      </c>
      <c r="O358" s="66">
        <f t="shared" si="11"/>
        <v>242.72</v>
      </c>
    </row>
    <row r="359" spans="1:15" x14ac:dyDescent="0.25">
      <c r="A359" s="62"/>
      <c r="B359" s="62"/>
      <c r="C359" s="63"/>
      <c r="D359" s="62"/>
      <c r="E359" s="62" t="s">
        <v>410</v>
      </c>
      <c r="F359" s="62">
        <v>0.77</v>
      </c>
      <c r="G359" s="64">
        <v>4744</v>
      </c>
      <c r="H359" s="65">
        <v>3652.88</v>
      </c>
      <c r="I359" s="65">
        <v>1664.84</v>
      </c>
      <c r="J359" s="65">
        <v>1988.04</v>
      </c>
      <c r="K359" s="62">
        <v>5.82</v>
      </c>
      <c r="L359" s="62"/>
      <c r="M359" s="66">
        <f t="shared" si="10"/>
        <v>27610.080000000002</v>
      </c>
      <c r="N359" s="66">
        <f t="shared" si="10"/>
        <v>0</v>
      </c>
      <c r="O359" s="66">
        <f t="shared" si="11"/>
        <v>27610.080000000002</v>
      </c>
    </row>
    <row r="360" spans="1:15" x14ac:dyDescent="0.25">
      <c r="A360" s="62"/>
      <c r="B360" s="62"/>
      <c r="C360" s="63"/>
      <c r="D360" s="62"/>
      <c r="E360" s="62" t="s">
        <v>309</v>
      </c>
      <c r="F360" s="62">
        <v>0.77</v>
      </c>
      <c r="G360" s="64">
        <v>84</v>
      </c>
      <c r="H360" s="65">
        <v>64.680000000000007</v>
      </c>
      <c r="I360" s="65">
        <v>31.25</v>
      </c>
      <c r="J360" s="65">
        <v>33.430000000000007</v>
      </c>
      <c r="K360" s="62">
        <v>1.46</v>
      </c>
      <c r="L360" s="62"/>
      <c r="M360" s="66">
        <f t="shared" si="10"/>
        <v>122.64</v>
      </c>
      <c r="N360" s="66">
        <f t="shared" si="10"/>
        <v>0</v>
      </c>
      <c r="O360" s="66">
        <f t="shared" si="11"/>
        <v>122.64</v>
      </c>
    </row>
    <row r="361" spans="1:15" x14ac:dyDescent="0.25">
      <c r="A361" s="62"/>
      <c r="B361" s="62"/>
      <c r="C361" s="63"/>
      <c r="D361" s="62"/>
      <c r="E361" s="62" t="s">
        <v>310</v>
      </c>
      <c r="F361" s="62">
        <v>0.74</v>
      </c>
      <c r="G361" s="64">
        <v>127</v>
      </c>
      <c r="H361" s="65">
        <v>93.98</v>
      </c>
      <c r="I361" s="65">
        <v>58.52</v>
      </c>
      <c r="J361" s="65">
        <v>35.46</v>
      </c>
      <c r="K361" s="62">
        <v>1.38</v>
      </c>
      <c r="L361" s="62"/>
      <c r="M361" s="66">
        <f t="shared" si="10"/>
        <v>175.26</v>
      </c>
      <c r="N361" s="66">
        <f t="shared" si="10"/>
        <v>0</v>
      </c>
      <c r="O361" s="66">
        <f t="shared" si="11"/>
        <v>175.26</v>
      </c>
    </row>
    <row r="362" spans="1:15" x14ac:dyDescent="0.25">
      <c r="A362" s="62"/>
      <c r="B362" s="62"/>
      <c r="C362" s="63"/>
      <c r="D362" s="62"/>
      <c r="E362" s="62" t="s">
        <v>411</v>
      </c>
      <c r="F362" s="62">
        <v>0.74</v>
      </c>
      <c r="G362" s="64">
        <v>1633</v>
      </c>
      <c r="H362" s="65">
        <v>1208.42</v>
      </c>
      <c r="I362" s="65">
        <v>627.05999999999995</v>
      </c>
      <c r="J362" s="65">
        <v>581.36</v>
      </c>
      <c r="K362" s="62">
        <v>5.52</v>
      </c>
      <c r="L362" s="62"/>
      <c r="M362" s="66">
        <f t="shared" si="10"/>
        <v>9014.16</v>
      </c>
      <c r="N362" s="66">
        <f t="shared" si="10"/>
        <v>0</v>
      </c>
      <c r="O362" s="66">
        <f t="shared" si="11"/>
        <v>9014.16</v>
      </c>
    </row>
    <row r="363" spans="1:15" x14ac:dyDescent="0.25">
      <c r="A363" s="62"/>
      <c r="B363" s="62"/>
      <c r="C363" s="63"/>
      <c r="D363" s="62"/>
      <c r="E363" s="62" t="s">
        <v>406</v>
      </c>
      <c r="F363" s="62">
        <v>0.73999999999999988</v>
      </c>
      <c r="G363" s="64">
        <v>3020</v>
      </c>
      <c r="H363" s="65">
        <v>2234.7999999999997</v>
      </c>
      <c r="I363" s="65">
        <v>1101.6500000000001</v>
      </c>
      <c r="J363" s="65">
        <v>1133.1500000000001</v>
      </c>
      <c r="K363" s="62">
        <v>5.52</v>
      </c>
      <c r="L363" s="62"/>
      <c r="M363" s="66">
        <f t="shared" si="10"/>
        <v>16670.399999999998</v>
      </c>
      <c r="N363" s="66">
        <f t="shared" si="10"/>
        <v>0</v>
      </c>
      <c r="O363" s="66">
        <f t="shared" si="11"/>
        <v>16670.399999999998</v>
      </c>
    </row>
    <row r="364" spans="1:15" x14ac:dyDescent="0.25">
      <c r="A364" s="62"/>
      <c r="B364" s="62"/>
      <c r="C364" s="63"/>
      <c r="D364" s="62"/>
      <c r="E364" s="62" t="s">
        <v>311</v>
      </c>
      <c r="F364" s="62">
        <v>0.74</v>
      </c>
      <c r="G364" s="64">
        <v>1009</v>
      </c>
      <c r="H364" s="65">
        <v>746.66</v>
      </c>
      <c r="I364" s="65">
        <v>365.77</v>
      </c>
      <c r="J364" s="65">
        <v>380.89</v>
      </c>
      <c r="K364" s="62">
        <v>1.38</v>
      </c>
      <c r="L364" s="62"/>
      <c r="M364" s="66">
        <f t="shared" si="10"/>
        <v>1392.4199999999998</v>
      </c>
      <c r="N364" s="66">
        <f t="shared" si="10"/>
        <v>0</v>
      </c>
      <c r="O364" s="66">
        <f t="shared" si="11"/>
        <v>1392.4199999999998</v>
      </c>
    </row>
    <row r="365" spans="1:15" x14ac:dyDescent="0.25">
      <c r="A365" s="62"/>
      <c r="B365" s="62"/>
      <c r="C365" s="63"/>
      <c r="D365" s="62"/>
      <c r="E365" s="62" t="s">
        <v>314</v>
      </c>
      <c r="F365" s="62">
        <v>0.61</v>
      </c>
      <c r="G365" s="64">
        <v>3913</v>
      </c>
      <c r="H365" s="65">
        <v>2386.9299999999998</v>
      </c>
      <c r="I365" s="65">
        <v>1386.87</v>
      </c>
      <c r="J365" s="65">
        <v>1000.0600000000003</v>
      </c>
      <c r="K365" s="62">
        <v>1.43</v>
      </c>
      <c r="L365" s="62"/>
      <c r="M365" s="66">
        <f t="shared" si="10"/>
        <v>5595.59</v>
      </c>
      <c r="N365" s="66">
        <f t="shared" si="10"/>
        <v>0</v>
      </c>
      <c r="O365" s="66">
        <f t="shared" si="11"/>
        <v>5595.59</v>
      </c>
    </row>
    <row r="366" spans="1:15" x14ac:dyDescent="0.25">
      <c r="A366" s="62"/>
      <c r="B366" s="62"/>
      <c r="C366" s="63"/>
      <c r="D366" s="62"/>
      <c r="E366" s="62" t="s">
        <v>412</v>
      </c>
      <c r="F366" s="62">
        <v>0.63</v>
      </c>
      <c r="G366" s="64">
        <v>1971</v>
      </c>
      <c r="H366" s="65">
        <v>1241.73</v>
      </c>
      <c r="I366" s="65">
        <v>808.83</v>
      </c>
      <c r="J366" s="65">
        <v>432.9</v>
      </c>
      <c r="K366" s="62">
        <v>4.45</v>
      </c>
      <c r="L366" s="62"/>
      <c r="M366" s="66">
        <f t="shared" si="10"/>
        <v>8770.9500000000007</v>
      </c>
      <c r="N366" s="66">
        <f t="shared" si="10"/>
        <v>0</v>
      </c>
      <c r="O366" s="66">
        <f t="shared" si="11"/>
        <v>8770.9500000000007</v>
      </c>
    </row>
    <row r="367" spans="1:15" x14ac:dyDescent="0.25">
      <c r="A367" s="62"/>
      <c r="B367" s="62"/>
      <c r="C367" s="63" t="s">
        <v>127</v>
      </c>
      <c r="D367" s="62" t="s">
        <v>108</v>
      </c>
      <c r="E367" s="62" t="s">
        <v>304</v>
      </c>
      <c r="F367" s="62">
        <v>0.83</v>
      </c>
      <c r="G367" s="64">
        <v>58</v>
      </c>
      <c r="H367" s="65">
        <v>48.14</v>
      </c>
      <c r="I367" s="65">
        <v>23.8</v>
      </c>
      <c r="J367" s="65">
        <v>24.34</v>
      </c>
      <c r="K367" s="62">
        <v>2.11</v>
      </c>
      <c r="L367" s="62"/>
      <c r="M367" s="66">
        <f t="shared" si="10"/>
        <v>122.38</v>
      </c>
      <c r="N367" s="66">
        <f t="shared" si="10"/>
        <v>0</v>
      </c>
      <c r="O367" s="66">
        <f t="shared" si="11"/>
        <v>122.38</v>
      </c>
    </row>
    <row r="368" spans="1:15" x14ac:dyDescent="0.25">
      <c r="A368" s="62"/>
      <c r="B368" s="62"/>
      <c r="C368" s="63"/>
      <c r="D368" s="62"/>
      <c r="E368" s="62" t="s">
        <v>305</v>
      </c>
      <c r="F368" s="62">
        <v>0.83</v>
      </c>
      <c r="G368" s="64">
        <v>1666</v>
      </c>
      <c r="H368" s="65">
        <v>1382.7800000000002</v>
      </c>
      <c r="I368" s="65">
        <v>682.04</v>
      </c>
      <c r="J368" s="65">
        <v>700.74000000000012</v>
      </c>
      <c r="K368" s="62">
        <v>2.11</v>
      </c>
      <c r="L368" s="62"/>
      <c r="M368" s="66">
        <f t="shared" si="10"/>
        <v>3515.2599999999998</v>
      </c>
      <c r="N368" s="66">
        <f t="shared" si="10"/>
        <v>0</v>
      </c>
      <c r="O368" s="66">
        <f t="shared" si="11"/>
        <v>3515.2599999999998</v>
      </c>
    </row>
    <row r="369" spans="1:15" x14ac:dyDescent="0.25">
      <c r="A369" s="62"/>
      <c r="B369" s="62"/>
      <c r="C369" s="63"/>
      <c r="D369" s="62"/>
      <c r="E369" s="62" t="s">
        <v>408</v>
      </c>
      <c r="F369" s="62">
        <v>0.8</v>
      </c>
      <c r="G369" s="64">
        <v>1691</v>
      </c>
      <c r="H369" s="65">
        <v>1352.8</v>
      </c>
      <c r="I369" s="65">
        <v>652.33000000000004</v>
      </c>
      <c r="J369" s="65">
        <v>700.46999999999991</v>
      </c>
      <c r="K369" s="62">
        <v>5.63</v>
      </c>
      <c r="L369" s="62"/>
      <c r="M369" s="66">
        <f t="shared" si="10"/>
        <v>9520.33</v>
      </c>
      <c r="N369" s="66">
        <f t="shared" si="10"/>
        <v>0</v>
      </c>
      <c r="O369" s="66">
        <f t="shared" si="11"/>
        <v>9520.33</v>
      </c>
    </row>
    <row r="370" spans="1:15" x14ac:dyDescent="0.25">
      <c r="A370" s="62"/>
      <c r="B370" s="62"/>
      <c r="C370" s="63"/>
      <c r="D370" s="62"/>
      <c r="E370" s="62" t="s">
        <v>409</v>
      </c>
      <c r="F370" s="62">
        <v>0.77</v>
      </c>
      <c r="G370" s="64">
        <v>251</v>
      </c>
      <c r="H370" s="65">
        <v>193.27</v>
      </c>
      <c r="I370" s="65">
        <v>98.88</v>
      </c>
      <c r="J370" s="65">
        <v>94.39</v>
      </c>
      <c r="K370" s="62">
        <v>6.02</v>
      </c>
      <c r="L370" s="62"/>
      <c r="M370" s="66">
        <f t="shared" si="10"/>
        <v>1511.02</v>
      </c>
      <c r="N370" s="66">
        <f t="shared" si="10"/>
        <v>0</v>
      </c>
      <c r="O370" s="66">
        <f t="shared" si="11"/>
        <v>1511.02</v>
      </c>
    </row>
    <row r="371" spans="1:15" x14ac:dyDescent="0.25">
      <c r="A371" s="62"/>
      <c r="B371" s="62"/>
      <c r="C371" s="63"/>
      <c r="D371" s="62"/>
      <c r="E371" s="62" t="s">
        <v>306</v>
      </c>
      <c r="F371" s="62">
        <v>0.77</v>
      </c>
      <c r="G371" s="64">
        <v>11</v>
      </c>
      <c r="H371" s="65">
        <v>8.4700000000000006</v>
      </c>
      <c r="I371" s="65">
        <v>3.43</v>
      </c>
      <c r="J371" s="65">
        <v>5.0400000000000009</v>
      </c>
      <c r="K371" s="62">
        <v>1.46</v>
      </c>
      <c r="L371" s="62"/>
      <c r="M371" s="66">
        <f t="shared" si="10"/>
        <v>16.059999999999999</v>
      </c>
      <c r="N371" s="66">
        <f t="shared" si="10"/>
        <v>0</v>
      </c>
      <c r="O371" s="66">
        <f t="shared" si="11"/>
        <v>16.059999999999999</v>
      </c>
    </row>
    <row r="372" spans="1:15" x14ac:dyDescent="0.25">
      <c r="A372" s="62"/>
      <c r="B372" s="62"/>
      <c r="C372" s="63"/>
      <c r="D372" s="62"/>
      <c r="E372" s="62" t="s">
        <v>307</v>
      </c>
      <c r="F372" s="62">
        <v>0.76</v>
      </c>
      <c r="G372" s="64">
        <v>124</v>
      </c>
      <c r="H372" s="65">
        <v>94.24</v>
      </c>
      <c r="I372" s="65">
        <v>38.659999999999997</v>
      </c>
      <c r="J372" s="65">
        <v>55.58</v>
      </c>
      <c r="K372" s="62">
        <v>1.43</v>
      </c>
      <c r="L372" s="62"/>
      <c r="M372" s="66">
        <f t="shared" si="10"/>
        <v>177.32</v>
      </c>
      <c r="N372" s="66">
        <f t="shared" si="10"/>
        <v>0</v>
      </c>
      <c r="O372" s="66">
        <f t="shared" si="11"/>
        <v>177.32</v>
      </c>
    </row>
    <row r="373" spans="1:15" x14ac:dyDescent="0.25">
      <c r="A373" s="62"/>
      <c r="B373" s="62"/>
      <c r="C373" s="63"/>
      <c r="D373" s="62"/>
      <c r="E373" s="62" t="s">
        <v>396</v>
      </c>
      <c r="F373" s="62">
        <v>0.7</v>
      </c>
      <c r="G373" s="64">
        <v>3650</v>
      </c>
      <c r="H373" s="65">
        <v>2555</v>
      </c>
      <c r="I373" s="65">
        <v>1654.8000000000002</v>
      </c>
      <c r="J373" s="65">
        <v>900.19999999999993</v>
      </c>
      <c r="K373" s="62">
        <v>4.92</v>
      </c>
      <c r="L373" s="62"/>
      <c r="M373" s="66">
        <f t="shared" si="10"/>
        <v>17958</v>
      </c>
      <c r="N373" s="66">
        <f t="shared" si="10"/>
        <v>0</v>
      </c>
      <c r="O373" s="66">
        <f t="shared" si="11"/>
        <v>17958</v>
      </c>
    </row>
    <row r="374" spans="1:15" x14ac:dyDescent="0.25">
      <c r="A374" s="62"/>
      <c r="B374" s="62"/>
      <c r="C374" s="63"/>
      <c r="D374" s="62"/>
      <c r="E374" s="62" t="s">
        <v>308</v>
      </c>
      <c r="F374" s="62">
        <v>0.7</v>
      </c>
      <c r="G374" s="64">
        <v>3</v>
      </c>
      <c r="H374" s="65">
        <v>2.1</v>
      </c>
      <c r="I374" s="65">
        <v>1.08</v>
      </c>
      <c r="J374" s="65">
        <v>1.02</v>
      </c>
      <c r="K374" s="62">
        <v>1.64</v>
      </c>
      <c r="L374" s="62"/>
      <c r="M374" s="66">
        <f t="shared" si="10"/>
        <v>4.92</v>
      </c>
      <c r="N374" s="66">
        <f t="shared" si="10"/>
        <v>0</v>
      </c>
      <c r="O374" s="66">
        <f t="shared" si="11"/>
        <v>4.92</v>
      </c>
    </row>
    <row r="375" spans="1:15" x14ac:dyDescent="0.25">
      <c r="A375" s="62"/>
      <c r="B375" s="62"/>
      <c r="C375" s="63"/>
      <c r="D375" s="62"/>
      <c r="E375" s="62" t="s">
        <v>401</v>
      </c>
      <c r="F375" s="62">
        <v>0.8</v>
      </c>
      <c r="G375" s="64">
        <v>2</v>
      </c>
      <c r="H375" s="65">
        <v>1.6</v>
      </c>
      <c r="I375" s="65">
        <v>0.97</v>
      </c>
      <c r="J375" s="65">
        <v>0.63000000000000012</v>
      </c>
      <c r="K375" s="62">
        <v>5.63</v>
      </c>
      <c r="L375" s="62"/>
      <c r="M375" s="66">
        <f t="shared" si="10"/>
        <v>11.26</v>
      </c>
      <c r="N375" s="66">
        <f t="shared" si="10"/>
        <v>0</v>
      </c>
      <c r="O375" s="66">
        <f t="shared" si="11"/>
        <v>11.26</v>
      </c>
    </row>
    <row r="376" spans="1:15" x14ac:dyDescent="0.25">
      <c r="A376" s="62"/>
      <c r="B376" s="62"/>
      <c r="C376" s="63"/>
      <c r="D376" s="62"/>
      <c r="E376" s="62" t="s">
        <v>410</v>
      </c>
      <c r="F376" s="62">
        <v>0.77</v>
      </c>
      <c r="G376" s="64">
        <v>7130</v>
      </c>
      <c r="H376" s="65">
        <v>5490.1</v>
      </c>
      <c r="I376" s="65">
        <v>2364.5100000000002</v>
      </c>
      <c r="J376" s="65">
        <v>3125.59</v>
      </c>
      <c r="K376" s="62">
        <v>5.82</v>
      </c>
      <c r="L376" s="62"/>
      <c r="M376" s="66">
        <f t="shared" si="10"/>
        <v>41496.6</v>
      </c>
      <c r="N376" s="66">
        <f t="shared" si="10"/>
        <v>0</v>
      </c>
      <c r="O376" s="66">
        <f t="shared" si="11"/>
        <v>41496.6</v>
      </c>
    </row>
    <row r="377" spans="1:15" x14ac:dyDescent="0.25">
      <c r="A377" s="62"/>
      <c r="B377" s="62"/>
      <c r="C377" s="63"/>
      <c r="D377" s="62"/>
      <c r="E377" s="62" t="s">
        <v>411</v>
      </c>
      <c r="F377" s="62">
        <v>0.74</v>
      </c>
      <c r="G377" s="64">
        <v>812</v>
      </c>
      <c r="H377" s="65">
        <v>600.88</v>
      </c>
      <c r="I377" s="65">
        <v>323.23</v>
      </c>
      <c r="J377" s="65">
        <v>277.64999999999998</v>
      </c>
      <c r="K377" s="62">
        <v>5.52</v>
      </c>
      <c r="L377" s="62"/>
      <c r="M377" s="66">
        <f t="shared" si="10"/>
        <v>4482.24</v>
      </c>
      <c r="N377" s="66">
        <f t="shared" si="10"/>
        <v>0</v>
      </c>
      <c r="O377" s="66">
        <f t="shared" si="11"/>
        <v>4482.24</v>
      </c>
    </row>
    <row r="378" spans="1:15" x14ac:dyDescent="0.25">
      <c r="A378" s="62"/>
      <c r="B378" s="62"/>
      <c r="C378" s="63"/>
      <c r="D378" s="62"/>
      <c r="E378" s="62" t="s">
        <v>406</v>
      </c>
      <c r="F378" s="62">
        <v>0.74</v>
      </c>
      <c r="G378" s="64">
        <v>10</v>
      </c>
      <c r="H378" s="65">
        <v>7.4</v>
      </c>
      <c r="I378" s="65">
        <v>3.29</v>
      </c>
      <c r="J378" s="65">
        <v>4.1100000000000003</v>
      </c>
      <c r="K378" s="62">
        <v>5.52</v>
      </c>
      <c r="L378" s="62"/>
      <c r="M378" s="66">
        <f t="shared" si="10"/>
        <v>55.199999999999996</v>
      </c>
      <c r="N378" s="66">
        <f t="shared" si="10"/>
        <v>0</v>
      </c>
      <c r="O378" s="66">
        <f t="shared" si="11"/>
        <v>55.199999999999996</v>
      </c>
    </row>
    <row r="379" spans="1:15" x14ac:dyDescent="0.25">
      <c r="A379" s="62"/>
      <c r="B379" s="62"/>
      <c r="C379" s="63"/>
      <c r="D379" s="62"/>
      <c r="E379" s="62" t="s">
        <v>311</v>
      </c>
      <c r="F379" s="62">
        <v>0.73999999999999988</v>
      </c>
      <c r="G379" s="64">
        <v>803</v>
      </c>
      <c r="H379" s="65">
        <v>594.22</v>
      </c>
      <c r="I379" s="65">
        <v>293.16999999999996</v>
      </c>
      <c r="J379" s="65">
        <v>301.05000000000007</v>
      </c>
      <c r="K379" s="62">
        <v>1.38</v>
      </c>
      <c r="L379" s="62"/>
      <c r="M379" s="66">
        <f t="shared" si="10"/>
        <v>1108.1399999999999</v>
      </c>
      <c r="N379" s="66">
        <f t="shared" si="10"/>
        <v>0</v>
      </c>
      <c r="O379" s="66">
        <f t="shared" si="11"/>
        <v>1108.1399999999999</v>
      </c>
    </row>
    <row r="380" spans="1:15" x14ac:dyDescent="0.25">
      <c r="A380" s="62"/>
      <c r="B380" s="62"/>
      <c r="C380" s="63"/>
      <c r="D380" s="62"/>
      <c r="E380" s="62" t="s">
        <v>312</v>
      </c>
      <c r="F380" s="62">
        <v>0.9</v>
      </c>
      <c r="G380" s="64">
        <v>40</v>
      </c>
      <c r="H380" s="65">
        <v>36</v>
      </c>
      <c r="I380" s="65">
        <v>13.73</v>
      </c>
      <c r="J380" s="65">
        <v>22.270000000000003</v>
      </c>
      <c r="K380" s="62">
        <v>2.06</v>
      </c>
      <c r="L380" s="62"/>
      <c r="M380" s="66">
        <f t="shared" si="10"/>
        <v>82.4</v>
      </c>
      <c r="N380" s="66">
        <f t="shared" si="10"/>
        <v>0</v>
      </c>
      <c r="O380" s="66">
        <f t="shared" si="11"/>
        <v>82.4</v>
      </c>
    </row>
    <row r="381" spans="1:15" x14ac:dyDescent="0.25">
      <c r="A381" s="62"/>
      <c r="B381" s="62"/>
      <c r="C381" s="63"/>
      <c r="D381" s="62"/>
      <c r="E381" s="62" t="s">
        <v>313</v>
      </c>
      <c r="F381" s="62">
        <v>0.92</v>
      </c>
      <c r="G381" s="64">
        <v>35</v>
      </c>
      <c r="H381" s="65">
        <v>32.200000000000003</v>
      </c>
      <c r="I381" s="65">
        <v>12.58</v>
      </c>
      <c r="J381" s="65">
        <v>19.62</v>
      </c>
      <c r="K381" s="62">
        <v>2.2599999999999998</v>
      </c>
      <c r="L381" s="62"/>
      <c r="M381" s="66">
        <f t="shared" si="10"/>
        <v>79.099999999999994</v>
      </c>
      <c r="N381" s="66">
        <f t="shared" si="10"/>
        <v>0</v>
      </c>
      <c r="O381" s="66">
        <f t="shared" si="11"/>
        <v>79.099999999999994</v>
      </c>
    </row>
    <row r="382" spans="1:15" x14ac:dyDescent="0.25">
      <c r="A382" s="62"/>
      <c r="B382" s="62"/>
      <c r="C382" s="63"/>
      <c r="D382" s="62"/>
      <c r="E382" s="62" t="s">
        <v>314</v>
      </c>
      <c r="F382" s="62">
        <v>0.61</v>
      </c>
      <c r="G382" s="64">
        <v>4555</v>
      </c>
      <c r="H382" s="65">
        <v>2778.55</v>
      </c>
      <c r="I382" s="65">
        <v>1665.6100000000001</v>
      </c>
      <c r="J382" s="65">
        <v>1112.94</v>
      </c>
      <c r="K382" s="62">
        <v>1.43</v>
      </c>
      <c r="L382" s="62"/>
      <c r="M382" s="66">
        <f t="shared" si="10"/>
        <v>6513.65</v>
      </c>
      <c r="N382" s="66">
        <f t="shared" si="10"/>
        <v>0</v>
      </c>
      <c r="O382" s="66">
        <f t="shared" si="11"/>
        <v>6513.65</v>
      </c>
    </row>
    <row r="383" spans="1:15" x14ac:dyDescent="0.25">
      <c r="A383" s="62"/>
      <c r="B383" s="62"/>
      <c r="C383" s="63"/>
      <c r="D383" s="62"/>
      <c r="E383" s="62" t="s">
        <v>288</v>
      </c>
      <c r="F383" s="62">
        <v>0.63</v>
      </c>
      <c r="G383" s="64">
        <v>102</v>
      </c>
      <c r="H383" s="65">
        <v>64.260000000000005</v>
      </c>
      <c r="I383" s="65">
        <v>36.85</v>
      </c>
      <c r="J383" s="65">
        <v>27.410000000000004</v>
      </c>
      <c r="K383" s="62">
        <v>1.43</v>
      </c>
      <c r="L383" s="62"/>
      <c r="M383" s="66">
        <f t="shared" si="10"/>
        <v>145.85999999999999</v>
      </c>
      <c r="N383" s="66">
        <f t="shared" si="10"/>
        <v>0</v>
      </c>
      <c r="O383" s="66">
        <f t="shared" si="11"/>
        <v>145.85999999999999</v>
      </c>
    </row>
    <row r="384" spans="1:15" x14ac:dyDescent="0.25">
      <c r="A384" s="62"/>
      <c r="B384" s="62"/>
      <c r="C384" s="63"/>
      <c r="D384" s="62"/>
      <c r="E384" s="62" t="s">
        <v>412</v>
      </c>
      <c r="F384" s="62">
        <v>0.63</v>
      </c>
      <c r="G384" s="64">
        <v>2830</v>
      </c>
      <c r="H384" s="65">
        <v>1782.9</v>
      </c>
      <c r="I384" s="65">
        <v>1001.0400000000001</v>
      </c>
      <c r="J384" s="65">
        <v>781.8599999999999</v>
      </c>
      <c r="K384" s="62">
        <v>4.45</v>
      </c>
      <c r="L384" s="62"/>
      <c r="M384" s="66">
        <f t="shared" si="10"/>
        <v>12593.5</v>
      </c>
      <c r="N384" s="66">
        <f t="shared" si="10"/>
        <v>0</v>
      </c>
      <c r="O384" s="66">
        <f t="shared" si="11"/>
        <v>12593.5</v>
      </c>
    </row>
    <row r="385" spans="1:15" x14ac:dyDescent="0.25">
      <c r="A385" s="62"/>
      <c r="B385" s="62"/>
      <c r="C385" s="63" t="s">
        <v>94</v>
      </c>
      <c r="D385" s="62" t="s">
        <v>108</v>
      </c>
      <c r="E385" s="62" t="s">
        <v>304</v>
      </c>
      <c r="F385" s="62">
        <v>0.83</v>
      </c>
      <c r="G385" s="64">
        <v>59</v>
      </c>
      <c r="H385" s="65">
        <v>48.97</v>
      </c>
      <c r="I385" s="65">
        <v>24.14</v>
      </c>
      <c r="J385" s="65">
        <v>24.830000000000002</v>
      </c>
      <c r="K385" s="62">
        <v>2.11</v>
      </c>
      <c r="L385" s="62"/>
      <c r="M385" s="66">
        <f t="shared" si="10"/>
        <v>124.49</v>
      </c>
      <c r="N385" s="66">
        <f t="shared" si="10"/>
        <v>0</v>
      </c>
      <c r="O385" s="66">
        <f t="shared" si="11"/>
        <v>124.49</v>
      </c>
    </row>
    <row r="386" spans="1:15" x14ac:dyDescent="0.25">
      <c r="A386" s="62"/>
      <c r="B386" s="62"/>
      <c r="C386" s="63"/>
      <c r="D386" s="62"/>
      <c r="E386" s="62" t="s">
        <v>305</v>
      </c>
      <c r="F386" s="62">
        <v>0.83</v>
      </c>
      <c r="G386" s="64">
        <v>1664</v>
      </c>
      <c r="H386" s="65">
        <v>1381.1200000000001</v>
      </c>
      <c r="I386" s="65">
        <v>681.18999999999994</v>
      </c>
      <c r="J386" s="65">
        <v>699.93000000000006</v>
      </c>
      <c r="K386" s="62">
        <v>2.11</v>
      </c>
      <c r="L386" s="62"/>
      <c r="M386" s="66">
        <f t="shared" si="10"/>
        <v>3511.04</v>
      </c>
      <c r="N386" s="66">
        <f t="shared" si="10"/>
        <v>0</v>
      </c>
      <c r="O386" s="66">
        <f t="shared" si="11"/>
        <v>3511.04</v>
      </c>
    </row>
    <row r="387" spans="1:15" x14ac:dyDescent="0.25">
      <c r="A387" s="62"/>
      <c r="B387" s="62"/>
      <c r="C387" s="63"/>
      <c r="D387" s="62"/>
      <c r="E387" s="62" t="s">
        <v>408</v>
      </c>
      <c r="F387" s="62">
        <v>0.8</v>
      </c>
      <c r="G387" s="64">
        <v>1692</v>
      </c>
      <c r="H387" s="65">
        <v>1353.6000000000001</v>
      </c>
      <c r="I387" s="65">
        <v>652.7700000000001</v>
      </c>
      <c r="J387" s="65">
        <v>700.83000000000015</v>
      </c>
      <c r="K387" s="62">
        <v>5.63</v>
      </c>
      <c r="L387" s="62"/>
      <c r="M387" s="66">
        <f t="shared" si="10"/>
        <v>9525.9599999999991</v>
      </c>
      <c r="N387" s="66">
        <f t="shared" si="10"/>
        <v>0</v>
      </c>
      <c r="O387" s="66">
        <f t="shared" si="11"/>
        <v>9525.9599999999991</v>
      </c>
    </row>
    <row r="388" spans="1:15" x14ac:dyDescent="0.25">
      <c r="A388" s="62"/>
      <c r="B388" s="62"/>
      <c r="C388" s="63"/>
      <c r="D388" s="62"/>
      <c r="E388" s="62" t="s">
        <v>409</v>
      </c>
      <c r="F388" s="62">
        <v>0.77</v>
      </c>
      <c r="G388" s="64">
        <v>249</v>
      </c>
      <c r="H388" s="65">
        <v>191.73</v>
      </c>
      <c r="I388" s="65">
        <v>98.15</v>
      </c>
      <c r="J388" s="65">
        <v>93.58</v>
      </c>
      <c r="K388" s="62">
        <v>6.02</v>
      </c>
      <c r="L388" s="62"/>
      <c r="M388" s="66">
        <f t="shared" si="10"/>
        <v>1498.9799999999998</v>
      </c>
      <c r="N388" s="66">
        <f t="shared" si="10"/>
        <v>0</v>
      </c>
      <c r="O388" s="66">
        <f t="shared" si="11"/>
        <v>1498.9799999999998</v>
      </c>
    </row>
    <row r="389" spans="1:15" x14ac:dyDescent="0.25">
      <c r="A389" s="62"/>
      <c r="B389" s="62"/>
      <c r="C389" s="63"/>
      <c r="D389" s="62"/>
      <c r="E389" s="62" t="s">
        <v>306</v>
      </c>
      <c r="F389" s="62">
        <v>0.77</v>
      </c>
      <c r="G389" s="64">
        <v>11</v>
      </c>
      <c r="H389" s="65">
        <v>8.4700000000000006</v>
      </c>
      <c r="I389" s="65">
        <v>3.43</v>
      </c>
      <c r="J389" s="65">
        <v>5.0400000000000009</v>
      </c>
      <c r="K389" s="62">
        <v>1.46</v>
      </c>
      <c r="L389" s="62"/>
      <c r="M389" s="66">
        <f t="shared" si="10"/>
        <v>16.059999999999999</v>
      </c>
      <c r="N389" s="66">
        <f t="shared" si="10"/>
        <v>0</v>
      </c>
      <c r="O389" s="66">
        <f t="shared" si="11"/>
        <v>16.059999999999999</v>
      </c>
    </row>
    <row r="390" spans="1:15" x14ac:dyDescent="0.25">
      <c r="A390" s="62"/>
      <c r="B390" s="62"/>
      <c r="C390" s="63"/>
      <c r="D390" s="62"/>
      <c r="E390" s="62" t="s">
        <v>307</v>
      </c>
      <c r="F390" s="62">
        <v>0.76</v>
      </c>
      <c r="G390" s="64">
        <v>125</v>
      </c>
      <c r="H390" s="65">
        <v>95</v>
      </c>
      <c r="I390" s="65">
        <v>38.97</v>
      </c>
      <c r="J390" s="65">
        <v>56.03</v>
      </c>
      <c r="K390" s="62">
        <v>1.43</v>
      </c>
      <c r="L390" s="62"/>
      <c r="M390" s="66">
        <f t="shared" si="10"/>
        <v>178.75</v>
      </c>
      <c r="N390" s="66">
        <f t="shared" si="10"/>
        <v>0</v>
      </c>
      <c r="O390" s="66">
        <f t="shared" si="11"/>
        <v>178.75</v>
      </c>
    </row>
    <row r="391" spans="1:15" x14ac:dyDescent="0.25">
      <c r="A391" s="62"/>
      <c r="B391" s="62"/>
      <c r="C391" s="63"/>
      <c r="D391" s="62"/>
      <c r="E391" s="62" t="s">
        <v>396</v>
      </c>
      <c r="F391" s="62">
        <v>0.7</v>
      </c>
      <c r="G391" s="64">
        <v>3650</v>
      </c>
      <c r="H391" s="65">
        <v>2555</v>
      </c>
      <c r="I391" s="65">
        <v>1654.8000000000002</v>
      </c>
      <c r="J391" s="65">
        <v>900.19999999999993</v>
      </c>
      <c r="K391" s="62">
        <v>4.92</v>
      </c>
      <c r="L391" s="62"/>
      <c r="M391" s="66">
        <f t="shared" ref="M391:N438" si="12">$G391*K391</f>
        <v>17958</v>
      </c>
      <c r="N391" s="66">
        <f t="shared" si="12"/>
        <v>0</v>
      </c>
      <c r="O391" s="66">
        <f t="shared" ref="O391:O438" si="13">M391+N391</f>
        <v>17958</v>
      </c>
    </row>
    <row r="392" spans="1:15" x14ac:dyDescent="0.25">
      <c r="A392" s="62"/>
      <c r="B392" s="62"/>
      <c r="C392" s="63"/>
      <c r="D392" s="62"/>
      <c r="E392" s="62" t="s">
        <v>308</v>
      </c>
      <c r="F392" s="62">
        <v>0.7</v>
      </c>
      <c r="G392" s="64">
        <v>2</v>
      </c>
      <c r="H392" s="65">
        <v>1.4</v>
      </c>
      <c r="I392" s="65">
        <v>0.72</v>
      </c>
      <c r="J392" s="65">
        <v>0.67999999999999994</v>
      </c>
      <c r="K392" s="62">
        <v>1.64</v>
      </c>
      <c r="L392" s="62"/>
      <c r="M392" s="66">
        <f t="shared" si="12"/>
        <v>3.28</v>
      </c>
      <c r="N392" s="66">
        <f t="shared" si="12"/>
        <v>0</v>
      </c>
      <c r="O392" s="66">
        <f t="shared" si="13"/>
        <v>3.28</v>
      </c>
    </row>
    <row r="393" spans="1:15" x14ac:dyDescent="0.25">
      <c r="A393" s="62"/>
      <c r="B393" s="62"/>
      <c r="C393" s="63"/>
      <c r="D393" s="62"/>
      <c r="E393" s="62" t="s">
        <v>401</v>
      </c>
      <c r="F393" s="62">
        <v>0.8</v>
      </c>
      <c r="G393" s="64">
        <v>3</v>
      </c>
      <c r="H393" s="65">
        <v>2.4</v>
      </c>
      <c r="I393" s="65">
        <v>1.45</v>
      </c>
      <c r="J393" s="65">
        <v>0.95</v>
      </c>
      <c r="K393" s="62">
        <v>5.63</v>
      </c>
      <c r="L393" s="62"/>
      <c r="M393" s="66">
        <f t="shared" si="12"/>
        <v>16.89</v>
      </c>
      <c r="N393" s="66">
        <f t="shared" si="12"/>
        <v>0</v>
      </c>
      <c r="O393" s="66">
        <f t="shared" si="13"/>
        <v>16.89</v>
      </c>
    </row>
    <row r="394" spans="1:15" x14ac:dyDescent="0.25">
      <c r="A394" s="62"/>
      <c r="B394" s="62"/>
      <c r="C394" s="63"/>
      <c r="D394" s="62"/>
      <c r="E394" s="62" t="s">
        <v>410</v>
      </c>
      <c r="F394" s="62">
        <v>0.77</v>
      </c>
      <c r="G394" s="64">
        <v>7130</v>
      </c>
      <c r="H394" s="65">
        <v>5490.1</v>
      </c>
      <c r="I394" s="65">
        <v>2364.5100000000002</v>
      </c>
      <c r="J394" s="65">
        <v>3125.59</v>
      </c>
      <c r="K394" s="62">
        <v>5.82</v>
      </c>
      <c r="L394" s="62"/>
      <c r="M394" s="66">
        <f t="shared" si="12"/>
        <v>41496.6</v>
      </c>
      <c r="N394" s="66">
        <f t="shared" si="12"/>
        <v>0</v>
      </c>
      <c r="O394" s="66">
        <f t="shared" si="13"/>
        <v>41496.6</v>
      </c>
    </row>
    <row r="395" spans="1:15" x14ac:dyDescent="0.25">
      <c r="A395" s="62"/>
      <c r="B395" s="62"/>
      <c r="C395" s="63"/>
      <c r="D395" s="62"/>
      <c r="E395" s="62" t="s">
        <v>411</v>
      </c>
      <c r="F395" s="62">
        <v>0.74</v>
      </c>
      <c r="G395" s="64">
        <v>813</v>
      </c>
      <c r="H395" s="65">
        <v>601.62</v>
      </c>
      <c r="I395" s="65">
        <v>323.64</v>
      </c>
      <c r="J395" s="65">
        <v>277.98</v>
      </c>
      <c r="K395" s="62">
        <v>5.52</v>
      </c>
      <c r="L395" s="62"/>
      <c r="M395" s="66">
        <f t="shared" si="12"/>
        <v>4487.7599999999993</v>
      </c>
      <c r="N395" s="66">
        <f t="shared" si="12"/>
        <v>0</v>
      </c>
      <c r="O395" s="66">
        <f t="shared" si="13"/>
        <v>4487.7599999999993</v>
      </c>
    </row>
    <row r="396" spans="1:15" x14ac:dyDescent="0.25">
      <c r="A396" s="62"/>
      <c r="B396" s="62"/>
      <c r="C396" s="63"/>
      <c r="D396" s="62"/>
      <c r="E396" s="62" t="s">
        <v>406</v>
      </c>
      <c r="F396" s="62">
        <v>0.74</v>
      </c>
      <c r="G396" s="64">
        <v>10</v>
      </c>
      <c r="H396" s="65">
        <v>7.4</v>
      </c>
      <c r="I396" s="65">
        <v>3.29</v>
      </c>
      <c r="J396" s="65">
        <v>4.1100000000000003</v>
      </c>
      <c r="K396" s="62">
        <v>5.52</v>
      </c>
      <c r="L396" s="62"/>
      <c r="M396" s="66">
        <f t="shared" si="12"/>
        <v>55.199999999999996</v>
      </c>
      <c r="N396" s="66">
        <f t="shared" si="12"/>
        <v>0</v>
      </c>
      <c r="O396" s="66">
        <f t="shared" si="13"/>
        <v>55.199999999999996</v>
      </c>
    </row>
    <row r="397" spans="1:15" x14ac:dyDescent="0.25">
      <c r="A397" s="62"/>
      <c r="B397" s="62"/>
      <c r="C397" s="63"/>
      <c r="D397" s="62"/>
      <c r="E397" s="62" t="s">
        <v>311</v>
      </c>
      <c r="F397" s="62">
        <v>0.73999999999999988</v>
      </c>
      <c r="G397" s="64">
        <v>803</v>
      </c>
      <c r="H397" s="65">
        <v>594.22</v>
      </c>
      <c r="I397" s="65">
        <v>293.16999999999996</v>
      </c>
      <c r="J397" s="65">
        <v>301.05000000000007</v>
      </c>
      <c r="K397" s="62">
        <v>1.38</v>
      </c>
      <c r="L397" s="62"/>
      <c r="M397" s="66">
        <f t="shared" si="12"/>
        <v>1108.1399999999999</v>
      </c>
      <c r="N397" s="66">
        <f t="shared" si="12"/>
        <v>0</v>
      </c>
      <c r="O397" s="66">
        <f t="shared" si="13"/>
        <v>1108.1399999999999</v>
      </c>
    </row>
    <row r="398" spans="1:15" x14ac:dyDescent="0.25">
      <c r="A398" s="62"/>
      <c r="B398" s="62"/>
      <c r="C398" s="63"/>
      <c r="D398" s="62"/>
      <c r="E398" s="62" t="s">
        <v>312</v>
      </c>
      <c r="F398" s="62">
        <v>0.9</v>
      </c>
      <c r="G398" s="64">
        <v>39</v>
      </c>
      <c r="H398" s="65">
        <v>35.1</v>
      </c>
      <c r="I398" s="65">
        <v>13.34</v>
      </c>
      <c r="J398" s="65">
        <v>21.759999999999998</v>
      </c>
      <c r="K398" s="62">
        <v>2.06</v>
      </c>
      <c r="L398" s="62"/>
      <c r="M398" s="66">
        <f t="shared" si="12"/>
        <v>80.34</v>
      </c>
      <c r="N398" s="66">
        <f t="shared" si="12"/>
        <v>0</v>
      </c>
      <c r="O398" s="66">
        <f t="shared" si="13"/>
        <v>80.34</v>
      </c>
    </row>
    <row r="399" spans="1:15" x14ac:dyDescent="0.25">
      <c r="A399" s="62"/>
      <c r="B399" s="62"/>
      <c r="C399" s="63"/>
      <c r="D399" s="62"/>
      <c r="E399" s="62" t="s">
        <v>313</v>
      </c>
      <c r="F399" s="62">
        <v>0.92</v>
      </c>
      <c r="G399" s="64">
        <v>35</v>
      </c>
      <c r="H399" s="65">
        <v>32.200000000000003</v>
      </c>
      <c r="I399" s="65">
        <v>12.58</v>
      </c>
      <c r="J399" s="65">
        <v>19.62</v>
      </c>
      <c r="K399" s="62">
        <v>2.2599999999999998</v>
      </c>
      <c r="L399" s="62"/>
      <c r="M399" s="66">
        <f t="shared" si="12"/>
        <v>79.099999999999994</v>
      </c>
      <c r="N399" s="66">
        <f t="shared" si="12"/>
        <v>0</v>
      </c>
      <c r="O399" s="66">
        <f t="shared" si="13"/>
        <v>79.099999999999994</v>
      </c>
    </row>
    <row r="400" spans="1:15" x14ac:dyDescent="0.25">
      <c r="A400" s="62"/>
      <c r="B400" s="62"/>
      <c r="C400" s="63"/>
      <c r="D400" s="62"/>
      <c r="E400" s="62" t="s">
        <v>314</v>
      </c>
      <c r="F400" s="62">
        <v>0.61</v>
      </c>
      <c r="G400" s="64">
        <v>4555</v>
      </c>
      <c r="H400" s="65">
        <v>2778.55</v>
      </c>
      <c r="I400" s="65">
        <v>1665.6</v>
      </c>
      <c r="J400" s="65">
        <v>1112.9500000000003</v>
      </c>
      <c r="K400" s="62">
        <v>1.43</v>
      </c>
      <c r="L400" s="62"/>
      <c r="M400" s="66">
        <f t="shared" si="12"/>
        <v>6513.65</v>
      </c>
      <c r="N400" s="66">
        <f t="shared" si="12"/>
        <v>0</v>
      </c>
      <c r="O400" s="66">
        <f t="shared" si="13"/>
        <v>6513.65</v>
      </c>
    </row>
    <row r="401" spans="1:15" x14ac:dyDescent="0.25">
      <c r="A401" s="62"/>
      <c r="B401" s="62"/>
      <c r="C401" s="63"/>
      <c r="D401" s="62"/>
      <c r="E401" s="62" t="s">
        <v>288</v>
      </c>
      <c r="F401" s="62">
        <v>0.63</v>
      </c>
      <c r="G401" s="64">
        <v>103</v>
      </c>
      <c r="H401" s="65">
        <v>64.89</v>
      </c>
      <c r="I401" s="65">
        <v>37.21</v>
      </c>
      <c r="J401" s="65">
        <v>27.68</v>
      </c>
      <c r="K401" s="62">
        <v>1.43</v>
      </c>
      <c r="L401" s="62"/>
      <c r="M401" s="66">
        <f t="shared" si="12"/>
        <v>147.29</v>
      </c>
      <c r="N401" s="66">
        <f t="shared" si="12"/>
        <v>0</v>
      </c>
      <c r="O401" s="66">
        <f t="shared" si="13"/>
        <v>147.29</v>
      </c>
    </row>
    <row r="402" spans="1:15" x14ac:dyDescent="0.25">
      <c r="A402" s="62"/>
      <c r="B402" s="62"/>
      <c r="C402" s="63"/>
      <c r="D402" s="62"/>
      <c r="E402" s="62" t="s">
        <v>412</v>
      </c>
      <c r="F402" s="62">
        <v>0.63</v>
      </c>
      <c r="G402" s="64">
        <v>2830</v>
      </c>
      <c r="H402" s="65">
        <v>1782.9</v>
      </c>
      <c r="I402" s="65">
        <v>1001.0400000000001</v>
      </c>
      <c r="J402" s="65">
        <v>781.8599999999999</v>
      </c>
      <c r="K402" s="62">
        <v>4.45</v>
      </c>
      <c r="L402" s="62"/>
      <c r="M402" s="66">
        <f t="shared" si="12"/>
        <v>12593.5</v>
      </c>
      <c r="N402" s="66">
        <f t="shared" si="12"/>
        <v>0</v>
      </c>
      <c r="O402" s="66">
        <f t="shared" si="13"/>
        <v>12593.5</v>
      </c>
    </row>
    <row r="403" spans="1:15" x14ac:dyDescent="0.25">
      <c r="A403" s="62"/>
      <c r="B403" s="62"/>
      <c r="C403" s="63" t="s">
        <v>95</v>
      </c>
      <c r="D403" s="62" t="s">
        <v>108</v>
      </c>
      <c r="E403" s="62" t="s">
        <v>389</v>
      </c>
      <c r="F403" s="62">
        <v>0.83</v>
      </c>
      <c r="G403" s="64">
        <v>2399</v>
      </c>
      <c r="H403" s="65">
        <v>1991.1699999999998</v>
      </c>
      <c r="I403" s="65">
        <v>1102.5400000000002</v>
      </c>
      <c r="J403" s="65">
        <v>888.62999999999988</v>
      </c>
      <c r="K403" s="62">
        <v>2.11</v>
      </c>
      <c r="L403" s="62"/>
      <c r="M403" s="66">
        <f t="shared" si="12"/>
        <v>5061.8899999999994</v>
      </c>
      <c r="N403" s="66">
        <f t="shared" si="12"/>
        <v>0</v>
      </c>
      <c r="O403" s="66">
        <f t="shared" si="13"/>
        <v>5061.8899999999994</v>
      </c>
    </row>
    <row r="404" spans="1:15" x14ac:dyDescent="0.25">
      <c r="A404" s="62"/>
      <c r="B404" s="62"/>
      <c r="C404" s="63"/>
      <c r="D404" s="62"/>
      <c r="E404" s="62" t="s">
        <v>390</v>
      </c>
      <c r="F404" s="62">
        <v>0.77999999999999992</v>
      </c>
      <c r="G404" s="64">
        <v>175</v>
      </c>
      <c r="H404" s="65">
        <v>136.5</v>
      </c>
      <c r="I404" s="65">
        <v>75.849999999999994</v>
      </c>
      <c r="J404" s="65">
        <v>60.649999999999984</v>
      </c>
      <c r="K404" s="62">
        <v>2.2799999999999998</v>
      </c>
      <c r="L404" s="62"/>
      <c r="M404" s="66">
        <f t="shared" si="12"/>
        <v>398.99999999999994</v>
      </c>
      <c r="N404" s="66">
        <f t="shared" si="12"/>
        <v>0</v>
      </c>
      <c r="O404" s="66">
        <f t="shared" si="13"/>
        <v>398.99999999999994</v>
      </c>
    </row>
    <row r="405" spans="1:15" x14ac:dyDescent="0.25">
      <c r="A405" s="62"/>
      <c r="B405" s="62"/>
      <c r="C405" s="63"/>
      <c r="D405" s="62"/>
      <c r="E405" s="62" t="s">
        <v>290</v>
      </c>
      <c r="F405" s="62">
        <v>0.79</v>
      </c>
      <c r="G405" s="64">
        <v>3</v>
      </c>
      <c r="H405" s="65">
        <v>2.37</v>
      </c>
      <c r="I405" s="65">
        <v>1.49</v>
      </c>
      <c r="J405" s="65">
        <v>0.88000000000000012</v>
      </c>
      <c r="K405" s="62">
        <v>2.0099999999999998</v>
      </c>
      <c r="L405" s="62"/>
      <c r="M405" s="66">
        <f t="shared" si="12"/>
        <v>6.0299999999999994</v>
      </c>
      <c r="N405" s="66">
        <f t="shared" si="12"/>
        <v>0</v>
      </c>
      <c r="O405" s="66">
        <f t="shared" si="13"/>
        <v>6.0299999999999994</v>
      </c>
    </row>
    <row r="406" spans="1:15" x14ac:dyDescent="0.25">
      <c r="A406" s="62"/>
      <c r="B406" s="62"/>
      <c r="C406" s="63"/>
      <c r="D406" s="62"/>
      <c r="E406" s="62" t="s">
        <v>291</v>
      </c>
      <c r="F406" s="62">
        <v>0.93</v>
      </c>
      <c r="G406" s="64">
        <v>72</v>
      </c>
      <c r="H406" s="65">
        <v>66.960000000000008</v>
      </c>
      <c r="I406" s="65">
        <v>33.24</v>
      </c>
      <c r="J406" s="65">
        <v>33.72</v>
      </c>
      <c r="K406" s="62">
        <v>2.2400000000000002</v>
      </c>
      <c r="L406" s="62"/>
      <c r="M406" s="66">
        <f t="shared" si="12"/>
        <v>161.28000000000003</v>
      </c>
      <c r="N406" s="66">
        <f t="shared" si="12"/>
        <v>0</v>
      </c>
      <c r="O406" s="66">
        <f t="shared" si="13"/>
        <v>161.28000000000003</v>
      </c>
    </row>
    <row r="407" spans="1:15" x14ac:dyDescent="0.25">
      <c r="A407" s="62"/>
      <c r="B407" s="62"/>
      <c r="C407" s="63"/>
      <c r="D407" s="62"/>
      <c r="E407" s="62" t="s">
        <v>391</v>
      </c>
      <c r="F407" s="62">
        <v>0.79</v>
      </c>
      <c r="G407" s="64">
        <v>1160</v>
      </c>
      <c r="H407" s="65">
        <v>916.4</v>
      </c>
      <c r="I407" s="65">
        <v>514.46</v>
      </c>
      <c r="J407" s="65">
        <v>401.93999999999994</v>
      </c>
      <c r="K407" s="62">
        <v>6.04</v>
      </c>
      <c r="L407" s="62"/>
      <c r="M407" s="66">
        <f t="shared" si="12"/>
        <v>7006.4</v>
      </c>
      <c r="N407" s="66">
        <f t="shared" si="12"/>
        <v>0</v>
      </c>
      <c r="O407" s="66">
        <f t="shared" si="13"/>
        <v>7006.4</v>
      </c>
    </row>
    <row r="408" spans="1:15" x14ac:dyDescent="0.25">
      <c r="A408" s="62"/>
      <c r="B408" s="62"/>
      <c r="C408" s="63"/>
      <c r="D408" s="62"/>
      <c r="E408" s="62" t="s">
        <v>392</v>
      </c>
      <c r="F408" s="62">
        <v>0.77</v>
      </c>
      <c r="G408" s="64">
        <v>177</v>
      </c>
      <c r="H408" s="65">
        <v>136.29</v>
      </c>
      <c r="I408" s="65">
        <v>78.5</v>
      </c>
      <c r="J408" s="65">
        <v>57.789999999999992</v>
      </c>
      <c r="K408" s="62">
        <v>6.49</v>
      </c>
      <c r="L408" s="62"/>
      <c r="M408" s="66">
        <f t="shared" si="12"/>
        <v>1148.73</v>
      </c>
      <c r="N408" s="66">
        <f t="shared" si="12"/>
        <v>0</v>
      </c>
      <c r="O408" s="66">
        <f t="shared" si="13"/>
        <v>1148.73</v>
      </c>
    </row>
    <row r="409" spans="1:15" x14ac:dyDescent="0.25">
      <c r="A409" s="62"/>
      <c r="B409" s="62"/>
      <c r="C409" s="63"/>
      <c r="D409" s="62"/>
      <c r="E409" s="62" t="s">
        <v>302</v>
      </c>
      <c r="F409" s="62">
        <v>0.75</v>
      </c>
      <c r="G409" s="64">
        <v>58</v>
      </c>
      <c r="H409" s="65">
        <v>43.5</v>
      </c>
      <c r="I409" s="65">
        <v>22.68</v>
      </c>
      <c r="J409" s="65">
        <v>20.82</v>
      </c>
      <c r="K409" s="62">
        <v>1.93</v>
      </c>
      <c r="L409" s="62"/>
      <c r="M409" s="66">
        <f t="shared" si="12"/>
        <v>111.94</v>
      </c>
      <c r="N409" s="66">
        <f t="shared" si="12"/>
        <v>0</v>
      </c>
      <c r="O409" s="66">
        <f t="shared" si="13"/>
        <v>111.94</v>
      </c>
    </row>
    <row r="410" spans="1:15" x14ac:dyDescent="0.25">
      <c r="A410" s="62"/>
      <c r="B410" s="62"/>
      <c r="C410" s="63"/>
      <c r="D410" s="62"/>
      <c r="E410" s="62" t="s">
        <v>394</v>
      </c>
      <c r="F410" s="62">
        <v>0.79999999999999993</v>
      </c>
      <c r="G410" s="64">
        <v>4733</v>
      </c>
      <c r="H410" s="65">
        <v>3786.4</v>
      </c>
      <c r="I410" s="65">
        <v>2088.64</v>
      </c>
      <c r="J410" s="65">
        <v>1697.7600000000002</v>
      </c>
      <c r="K410" s="62">
        <v>5.63</v>
      </c>
      <c r="L410" s="62"/>
      <c r="M410" s="66">
        <f t="shared" si="12"/>
        <v>26646.79</v>
      </c>
      <c r="N410" s="66">
        <f t="shared" si="12"/>
        <v>0</v>
      </c>
      <c r="O410" s="66">
        <f t="shared" si="13"/>
        <v>26646.79</v>
      </c>
    </row>
    <row r="411" spans="1:15" x14ac:dyDescent="0.25">
      <c r="A411" s="62"/>
      <c r="B411" s="62"/>
      <c r="C411" s="63"/>
      <c r="D411" s="62"/>
      <c r="E411" s="62" t="s">
        <v>395</v>
      </c>
      <c r="F411" s="62">
        <v>0.77</v>
      </c>
      <c r="G411" s="64">
        <v>228</v>
      </c>
      <c r="H411" s="65">
        <v>175.56</v>
      </c>
      <c r="I411" s="65">
        <v>99.36</v>
      </c>
      <c r="J411" s="65">
        <v>76.2</v>
      </c>
      <c r="K411" s="62">
        <v>6.02</v>
      </c>
      <c r="L411" s="62"/>
      <c r="M411" s="66">
        <f t="shared" si="12"/>
        <v>1372.56</v>
      </c>
      <c r="N411" s="66">
        <f t="shared" si="12"/>
        <v>0</v>
      </c>
      <c r="O411" s="66">
        <f t="shared" si="13"/>
        <v>1372.56</v>
      </c>
    </row>
    <row r="412" spans="1:15" x14ac:dyDescent="0.25">
      <c r="A412" s="62"/>
      <c r="B412" s="62"/>
      <c r="C412" s="63"/>
      <c r="D412" s="62"/>
      <c r="E412" s="62" t="s">
        <v>396</v>
      </c>
      <c r="F412" s="62">
        <v>0.7</v>
      </c>
      <c r="G412" s="64">
        <v>7152</v>
      </c>
      <c r="H412" s="65">
        <v>5006.3999999999996</v>
      </c>
      <c r="I412" s="65">
        <v>2798.4599999999996</v>
      </c>
      <c r="J412" s="65">
        <v>2207.9400000000005</v>
      </c>
      <c r="K412" s="62">
        <v>4.92</v>
      </c>
      <c r="L412" s="62"/>
      <c r="M412" s="66">
        <f t="shared" si="12"/>
        <v>35187.839999999997</v>
      </c>
      <c r="N412" s="66">
        <f t="shared" si="12"/>
        <v>0</v>
      </c>
      <c r="O412" s="66">
        <f t="shared" si="13"/>
        <v>35187.839999999997</v>
      </c>
    </row>
    <row r="413" spans="1:15" x14ac:dyDescent="0.25">
      <c r="A413" s="62"/>
      <c r="B413" s="62"/>
      <c r="C413" s="63"/>
      <c r="D413" s="62"/>
      <c r="E413" s="62" t="s">
        <v>293</v>
      </c>
      <c r="F413" s="62">
        <v>0.8</v>
      </c>
      <c r="G413" s="64">
        <v>31</v>
      </c>
      <c r="H413" s="65">
        <v>24.8</v>
      </c>
      <c r="I413" s="65">
        <v>15.44</v>
      </c>
      <c r="J413" s="65">
        <v>9.3600000000000012</v>
      </c>
      <c r="K413" s="62">
        <v>1.88</v>
      </c>
      <c r="L413" s="62"/>
      <c r="M413" s="66">
        <f t="shared" si="12"/>
        <v>58.279999999999994</v>
      </c>
      <c r="N413" s="66">
        <f t="shared" si="12"/>
        <v>0</v>
      </c>
      <c r="O413" s="66">
        <f t="shared" si="13"/>
        <v>58.279999999999994</v>
      </c>
    </row>
    <row r="414" spans="1:15" x14ac:dyDescent="0.25">
      <c r="A414" s="62"/>
      <c r="B414" s="62"/>
      <c r="C414" s="63"/>
      <c r="D414" s="62"/>
      <c r="E414" s="62" t="s">
        <v>295</v>
      </c>
      <c r="F414" s="62">
        <v>0.8</v>
      </c>
      <c r="G414" s="64">
        <v>23</v>
      </c>
      <c r="H414" s="65">
        <v>18.399999999999999</v>
      </c>
      <c r="I414" s="65">
        <v>8.9600000000000009</v>
      </c>
      <c r="J414" s="65">
        <v>9.4399999999999977</v>
      </c>
      <c r="K414" s="62">
        <v>2.08</v>
      </c>
      <c r="L414" s="62"/>
      <c r="M414" s="66">
        <f t="shared" si="12"/>
        <v>47.84</v>
      </c>
      <c r="N414" s="66">
        <f t="shared" si="12"/>
        <v>0</v>
      </c>
      <c r="O414" s="66">
        <f t="shared" si="13"/>
        <v>47.84</v>
      </c>
    </row>
    <row r="415" spans="1:15" x14ac:dyDescent="0.25">
      <c r="A415" s="62"/>
      <c r="B415" s="62"/>
      <c r="C415" s="63"/>
      <c r="D415" s="62"/>
      <c r="E415" s="62" t="s">
        <v>296</v>
      </c>
      <c r="F415" s="62">
        <v>0.8</v>
      </c>
      <c r="G415" s="64">
        <v>4</v>
      </c>
      <c r="H415" s="65">
        <v>3.2</v>
      </c>
      <c r="I415" s="65">
        <v>1.56</v>
      </c>
      <c r="J415" s="65">
        <v>1.6400000000000001</v>
      </c>
      <c r="K415" s="62">
        <v>2.08</v>
      </c>
      <c r="L415" s="62"/>
      <c r="M415" s="66">
        <f t="shared" si="12"/>
        <v>8.32</v>
      </c>
      <c r="N415" s="66">
        <f t="shared" si="12"/>
        <v>0</v>
      </c>
      <c r="O415" s="66">
        <f t="shared" si="13"/>
        <v>8.32</v>
      </c>
    </row>
    <row r="416" spans="1:15" x14ac:dyDescent="0.25">
      <c r="A416" s="62"/>
      <c r="B416" s="62"/>
      <c r="C416" s="63"/>
      <c r="D416" s="62"/>
      <c r="E416" s="62" t="s">
        <v>297</v>
      </c>
      <c r="F416" s="62">
        <v>0.78</v>
      </c>
      <c r="G416" s="64">
        <v>3</v>
      </c>
      <c r="H416" s="65">
        <v>2.34</v>
      </c>
      <c r="I416" s="65">
        <v>1.17</v>
      </c>
      <c r="J416" s="65">
        <v>1.17</v>
      </c>
      <c r="K416" s="62">
        <v>2.2400000000000002</v>
      </c>
      <c r="L416" s="62"/>
      <c r="M416" s="66">
        <f t="shared" si="12"/>
        <v>6.7200000000000006</v>
      </c>
      <c r="N416" s="66">
        <f t="shared" si="12"/>
        <v>0</v>
      </c>
      <c r="O416" s="66">
        <f t="shared" si="13"/>
        <v>6.7200000000000006</v>
      </c>
    </row>
    <row r="417" spans="1:15" x14ac:dyDescent="0.25">
      <c r="A417" s="62"/>
      <c r="B417" s="62"/>
      <c r="C417" s="63"/>
      <c r="D417" s="62"/>
      <c r="E417" s="62" t="s">
        <v>298</v>
      </c>
      <c r="F417" s="62">
        <v>0.83</v>
      </c>
      <c r="G417" s="64">
        <v>758</v>
      </c>
      <c r="H417" s="65">
        <v>629.13999999999987</v>
      </c>
      <c r="I417" s="65">
        <v>371.77000000000004</v>
      </c>
      <c r="J417" s="65">
        <v>257.37</v>
      </c>
      <c r="K417" s="62">
        <v>2.17</v>
      </c>
      <c r="L417" s="62"/>
      <c r="M417" s="66">
        <f t="shared" si="12"/>
        <v>1644.86</v>
      </c>
      <c r="N417" s="66">
        <f t="shared" si="12"/>
        <v>0</v>
      </c>
      <c r="O417" s="66">
        <f t="shared" si="13"/>
        <v>1644.86</v>
      </c>
    </row>
    <row r="418" spans="1:15" x14ac:dyDescent="0.25">
      <c r="A418" s="62"/>
      <c r="B418" s="62"/>
      <c r="C418" s="63"/>
      <c r="D418" s="62"/>
      <c r="E418" s="62" t="s">
        <v>299</v>
      </c>
      <c r="F418" s="62">
        <v>0.8</v>
      </c>
      <c r="G418" s="64">
        <v>72</v>
      </c>
      <c r="H418" s="65">
        <v>57.6</v>
      </c>
      <c r="I418" s="65">
        <v>28.01</v>
      </c>
      <c r="J418" s="65">
        <v>29.59</v>
      </c>
      <c r="K418" s="62">
        <v>2.08</v>
      </c>
      <c r="L418" s="62"/>
      <c r="M418" s="66">
        <f t="shared" si="12"/>
        <v>149.76</v>
      </c>
      <c r="N418" s="66">
        <f t="shared" si="12"/>
        <v>0</v>
      </c>
      <c r="O418" s="66">
        <f t="shared" si="13"/>
        <v>149.76</v>
      </c>
    </row>
    <row r="419" spans="1:15" x14ac:dyDescent="0.25">
      <c r="A419" s="62"/>
      <c r="B419" s="62"/>
      <c r="C419" s="63"/>
      <c r="D419" s="62"/>
      <c r="E419" s="62" t="s">
        <v>300</v>
      </c>
      <c r="F419" s="62">
        <v>0.78</v>
      </c>
      <c r="G419" s="64">
        <v>33</v>
      </c>
      <c r="H419" s="65">
        <v>25.74</v>
      </c>
      <c r="I419" s="65">
        <v>12.809999999999999</v>
      </c>
      <c r="J419" s="65">
        <v>12.93</v>
      </c>
      <c r="K419" s="62">
        <v>2.2400000000000002</v>
      </c>
      <c r="L419" s="62"/>
      <c r="M419" s="66">
        <f t="shared" si="12"/>
        <v>73.92</v>
      </c>
      <c r="N419" s="66">
        <f t="shared" si="12"/>
        <v>0</v>
      </c>
      <c r="O419" s="66">
        <f t="shared" si="13"/>
        <v>73.92</v>
      </c>
    </row>
    <row r="420" spans="1:15" x14ac:dyDescent="0.25">
      <c r="A420" s="62"/>
      <c r="B420" s="62"/>
      <c r="C420" s="63"/>
      <c r="D420" s="62"/>
      <c r="E420" s="62" t="s">
        <v>397</v>
      </c>
      <c r="F420" s="62">
        <v>0.61</v>
      </c>
      <c r="G420" s="64">
        <v>4064</v>
      </c>
      <c r="H420" s="65">
        <v>2479.04</v>
      </c>
      <c r="I420" s="65">
        <v>1615.0900000000001</v>
      </c>
      <c r="J420" s="65">
        <v>863.95</v>
      </c>
      <c r="K420" s="62">
        <v>4.21</v>
      </c>
      <c r="L420" s="62"/>
      <c r="M420" s="66">
        <f t="shared" si="12"/>
        <v>17109.439999999999</v>
      </c>
      <c r="N420" s="66">
        <f t="shared" si="12"/>
        <v>0</v>
      </c>
      <c r="O420" s="66">
        <f t="shared" si="13"/>
        <v>17109.439999999999</v>
      </c>
    </row>
    <row r="421" spans="1:15" x14ac:dyDescent="0.25">
      <c r="A421" s="57"/>
      <c r="B421" s="57"/>
      <c r="C421" s="58" t="s">
        <v>102</v>
      </c>
      <c r="D421" s="57" t="s">
        <v>108</v>
      </c>
      <c r="E421" s="57" t="s">
        <v>389</v>
      </c>
      <c r="F421" s="57"/>
      <c r="G421" s="59">
        <v>2399</v>
      </c>
      <c r="H421" s="60">
        <v>1991.17</v>
      </c>
      <c r="I421" s="60">
        <v>1102.5</v>
      </c>
      <c r="J421" s="60">
        <v>888.67</v>
      </c>
      <c r="K421" s="57">
        <v>2.11</v>
      </c>
      <c r="L421" s="57"/>
      <c r="M421" s="61">
        <f t="shared" si="12"/>
        <v>5061.8899999999994</v>
      </c>
      <c r="N421" s="61">
        <f t="shared" si="12"/>
        <v>0</v>
      </c>
      <c r="O421" s="61">
        <f t="shared" si="13"/>
        <v>5061.8899999999994</v>
      </c>
    </row>
    <row r="422" spans="1:15" x14ac:dyDescent="0.25">
      <c r="A422" s="62"/>
      <c r="B422" s="62"/>
      <c r="C422" s="63"/>
      <c r="D422" s="62"/>
      <c r="E422" s="62" t="s">
        <v>390</v>
      </c>
      <c r="F422" s="62">
        <v>0.77999999999999992</v>
      </c>
      <c r="G422" s="64">
        <v>175</v>
      </c>
      <c r="H422" s="65">
        <v>136.5</v>
      </c>
      <c r="I422" s="65">
        <v>75.900000000000006</v>
      </c>
      <c r="J422" s="65">
        <v>60.599999999999994</v>
      </c>
      <c r="K422" s="62">
        <v>2.2799999999999998</v>
      </c>
      <c r="L422" s="62"/>
      <c r="M422" s="66">
        <f t="shared" si="12"/>
        <v>398.99999999999994</v>
      </c>
      <c r="N422" s="66">
        <f t="shared" si="12"/>
        <v>0</v>
      </c>
      <c r="O422" s="66">
        <f t="shared" si="13"/>
        <v>398.99999999999994</v>
      </c>
    </row>
    <row r="423" spans="1:15" x14ac:dyDescent="0.25">
      <c r="A423" s="62"/>
      <c r="B423" s="62"/>
      <c r="C423" s="63"/>
      <c r="D423" s="62"/>
      <c r="E423" s="62" t="s">
        <v>290</v>
      </c>
      <c r="F423" s="62">
        <v>0.79</v>
      </c>
      <c r="G423" s="64">
        <v>2</v>
      </c>
      <c r="H423" s="65">
        <v>1.58</v>
      </c>
      <c r="I423" s="65">
        <v>1</v>
      </c>
      <c r="J423" s="65">
        <v>0.58000000000000007</v>
      </c>
      <c r="K423" s="62">
        <v>2.0099999999999998</v>
      </c>
      <c r="L423" s="62"/>
      <c r="M423" s="66">
        <f t="shared" si="12"/>
        <v>4.0199999999999996</v>
      </c>
      <c r="N423" s="66">
        <f t="shared" si="12"/>
        <v>0</v>
      </c>
      <c r="O423" s="66">
        <f t="shared" si="13"/>
        <v>4.0199999999999996</v>
      </c>
    </row>
    <row r="424" spans="1:15" x14ac:dyDescent="0.25">
      <c r="A424" s="62"/>
      <c r="B424" s="62"/>
      <c r="C424" s="63"/>
      <c r="D424" s="62"/>
      <c r="E424" s="62" t="s">
        <v>291</v>
      </c>
      <c r="F424" s="62">
        <v>0.93</v>
      </c>
      <c r="G424" s="64">
        <v>72</v>
      </c>
      <c r="H424" s="65">
        <v>66.960000000000008</v>
      </c>
      <c r="I424" s="65">
        <v>33.36</v>
      </c>
      <c r="J424" s="65">
        <v>33.6</v>
      </c>
      <c r="K424" s="62">
        <v>2.2400000000000002</v>
      </c>
      <c r="L424" s="62"/>
      <c r="M424" s="66">
        <f t="shared" si="12"/>
        <v>161.28000000000003</v>
      </c>
      <c r="N424" s="66">
        <f t="shared" si="12"/>
        <v>0</v>
      </c>
      <c r="O424" s="66">
        <f t="shared" si="13"/>
        <v>161.28000000000003</v>
      </c>
    </row>
    <row r="425" spans="1:15" x14ac:dyDescent="0.25">
      <c r="A425" s="62"/>
      <c r="B425" s="62"/>
      <c r="C425" s="63"/>
      <c r="D425" s="62"/>
      <c r="E425" s="62" t="s">
        <v>391</v>
      </c>
      <c r="F425" s="62">
        <v>0.79</v>
      </c>
      <c r="G425" s="64">
        <v>1160</v>
      </c>
      <c r="H425" s="65">
        <v>916.4</v>
      </c>
      <c r="I425" s="65">
        <v>514.46</v>
      </c>
      <c r="J425" s="65">
        <v>401.93999999999994</v>
      </c>
      <c r="K425" s="62">
        <v>6.04</v>
      </c>
      <c r="L425" s="62"/>
      <c r="M425" s="66">
        <f t="shared" si="12"/>
        <v>7006.4</v>
      </c>
      <c r="N425" s="66">
        <f t="shared" si="12"/>
        <v>0</v>
      </c>
      <c r="O425" s="66">
        <f t="shared" si="13"/>
        <v>7006.4</v>
      </c>
    </row>
    <row r="426" spans="1:15" x14ac:dyDescent="0.25">
      <c r="A426" s="62"/>
      <c r="B426" s="62"/>
      <c r="C426" s="63"/>
      <c r="D426" s="62"/>
      <c r="E426" s="62" t="s">
        <v>392</v>
      </c>
      <c r="F426" s="62">
        <v>0.77</v>
      </c>
      <c r="G426" s="64">
        <v>178</v>
      </c>
      <c r="H426" s="65">
        <v>137.06</v>
      </c>
      <c r="I426" s="65">
        <v>78.94</v>
      </c>
      <c r="J426" s="65">
        <v>58.120000000000005</v>
      </c>
      <c r="K426" s="62">
        <v>6.49</v>
      </c>
      <c r="L426" s="62"/>
      <c r="M426" s="66">
        <f t="shared" si="12"/>
        <v>1155.22</v>
      </c>
      <c r="N426" s="66">
        <f t="shared" si="12"/>
        <v>0</v>
      </c>
      <c r="O426" s="66">
        <f t="shared" si="13"/>
        <v>1155.22</v>
      </c>
    </row>
    <row r="427" spans="1:15" x14ac:dyDescent="0.25">
      <c r="A427" s="62"/>
      <c r="B427" s="62"/>
      <c r="C427" s="63"/>
      <c r="D427" s="62"/>
      <c r="E427" s="62" t="s">
        <v>302</v>
      </c>
      <c r="F427" s="62">
        <v>0.75</v>
      </c>
      <c r="G427" s="64">
        <v>58</v>
      </c>
      <c r="H427" s="65">
        <v>43.5</v>
      </c>
      <c r="I427" s="65">
        <v>22.68</v>
      </c>
      <c r="J427" s="65">
        <v>20.82</v>
      </c>
      <c r="K427" s="62">
        <v>1.93</v>
      </c>
      <c r="L427" s="62"/>
      <c r="M427" s="66">
        <f t="shared" si="12"/>
        <v>111.94</v>
      </c>
      <c r="N427" s="66">
        <f t="shared" si="12"/>
        <v>0</v>
      </c>
      <c r="O427" s="66">
        <f t="shared" si="13"/>
        <v>111.94</v>
      </c>
    </row>
    <row r="428" spans="1:15" x14ac:dyDescent="0.25">
      <c r="A428" s="62"/>
      <c r="B428" s="62"/>
      <c r="C428" s="63"/>
      <c r="D428" s="62"/>
      <c r="E428" s="62" t="s">
        <v>394</v>
      </c>
      <c r="F428" s="62">
        <v>0.79999999999999993</v>
      </c>
      <c r="G428" s="64">
        <v>4732</v>
      </c>
      <c r="H428" s="65">
        <v>3785.6</v>
      </c>
      <c r="I428" s="65">
        <v>2088.12</v>
      </c>
      <c r="J428" s="65">
        <v>1697.48</v>
      </c>
      <c r="K428" s="62">
        <v>5.63</v>
      </c>
      <c r="L428" s="62"/>
      <c r="M428" s="66">
        <f t="shared" si="12"/>
        <v>26641.16</v>
      </c>
      <c r="N428" s="66">
        <f t="shared" si="12"/>
        <v>0</v>
      </c>
      <c r="O428" s="66">
        <f t="shared" si="13"/>
        <v>26641.16</v>
      </c>
    </row>
    <row r="429" spans="1:15" x14ac:dyDescent="0.25">
      <c r="A429" s="62"/>
      <c r="B429" s="62"/>
      <c r="C429" s="63"/>
      <c r="D429" s="62"/>
      <c r="E429" s="62" t="s">
        <v>395</v>
      </c>
      <c r="F429" s="62">
        <v>0.77</v>
      </c>
      <c r="G429" s="64">
        <v>227</v>
      </c>
      <c r="H429" s="65">
        <v>174.79000000000002</v>
      </c>
      <c r="I429" s="65">
        <v>98.96</v>
      </c>
      <c r="J429" s="65">
        <v>75.829999999999984</v>
      </c>
      <c r="K429" s="62">
        <v>6.02</v>
      </c>
      <c r="L429" s="62"/>
      <c r="M429" s="66">
        <f t="shared" si="12"/>
        <v>1366.54</v>
      </c>
      <c r="N429" s="66">
        <f t="shared" si="12"/>
        <v>0</v>
      </c>
      <c r="O429" s="66">
        <f t="shared" si="13"/>
        <v>1366.54</v>
      </c>
    </row>
    <row r="430" spans="1:15" x14ac:dyDescent="0.25">
      <c r="A430" s="62"/>
      <c r="B430" s="62"/>
      <c r="C430" s="63"/>
      <c r="D430" s="62"/>
      <c r="E430" s="62" t="s">
        <v>396</v>
      </c>
      <c r="F430" s="62">
        <v>0.7</v>
      </c>
      <c r="G430" s="64">
        <v>7153</v>
      </c>
      <c r="H430" s="65">
        <v>5007.1000000000004</v>
      </c>
      <c r="I430" s="65">
        <v>2798.8299999999995</v>
      </c>
      <c r="J430" s="65">
        <v>2208.27</v>
      </c>
      <c r="K430" s="62">
        <v>4.92</v>
      </c>
      <c r="L430" s="62"/>
      <c r="M430" s="66">
        <f t="shared" si="12"/>
        <v>35192.76</v>
      </c>
      <c r="N430" s="66">
        <f t="shared" si="12"/>
        <v>0</v>
      </c>
      <c r="O430" s="66">
        <f t="shared" si="13"/>
        <v>35192.76</v>
      </c>
    </row>
    <row r="431" spans="1:15" x14ac:dyDescent="0.25">
      <c r="A431" s="62"/>
      <c r="B431" s="62"/>
      <c r="C431" s="63"/>
      <c r="D431" s="62"/>
      <c r="E431" s="62" t="s">
        <v>293</v>
      </c>
      <c r="F431" s="62">
        <v>0.8</v>
      </c>
      <c r="G431" s="64">
        <v>31</v>
      </c>
      <c r="H431" s="65">
        <v>24.8</v>
      </c>
      <c r="I431" s="65">
        <v>15.44</v>
      </c>
      <c r="J431" s="65">
        <v>9.3600000000000012</v>
      </c>
      <c r="K431" s="62">
        <v>1.88</v>
      </c>
      <c r="L431" s="62"/>
      <c r="M431" s="66">
        <f t="shared" si="12"/>
        <v>58.279999999999994</v>
      </c>
      <c r="N431" s="66">
        <f t="shared" si="12"/>
        <v>0</v>
      </c>
      <c r="O431" s="66">
        <f t="shared" si="13"/>
        <v>58.279999999999994</v>
      </c>
    </row>
    <row r="432" spans="1:15" x14ac:dyDescent="0.25">
      <c r="A432" s="62"/>
      <c r="B432" s="62"/>
      <c r="C432" s="63"/>
      <c r="D432" s="62"/>
      <c r="E432" s="62" t="s">
        <v>295</v>
      </c>
      <c r="F432" s="62">
        <v>0.8</v>
      </c>
      <c r="G432" s="64">
        <v>24</v>
      </c>
      <c r="H432" s="65">
        <v>19.2</v>
      </c>
      <c r="I432" s="65">
        <v>9.35</v>
      </c>
      <c r="J432" s="65">
        <v>9.85</v>
      </c>
      <c r="K432" s="62">
        <v>2.08</v>
      </c>
      <c r="L432" s="62"/>
      <c r="M432" s="66">
        <f t="shared" si="12"/>
        <v>49.92</v>
      </c>
      <c r="N432" s="66">
        <f t="shared" si="12"/>
        <v>0</v>
      </c>
      <c r="O432" s="66">
        <f t="shared" si="13"/>
        <v>49.92</v>
      </c>
    </row>
    <row r="433" spans="1:16" x14ac:dyDescent="0.25">
      <c r="A433" s="62"/>
      <c r="B433" s="62"/>
      <c r="C433" s="63"/>
      <c r="D433" s="62"/>
      <c r="E433" s="62" t="s">
        <v>296</v>
      </c>
      <c r="F433" s="62">
        <v>0.8</v>
      </c>
      <c r="G433" s="64">
        <v>4</v>
      </c>
      <c r="H433" s="65">
        <v>3.2</v>
      </c>
      <c r="I433" s="65">
        <v>1.56</v>
      </c>
      <c r="J433" s="65">
        <v>1.6400000000000001</v>
      </c>
      <c r="K433" s="62">
        <v>2.08</v>
      </c>
      <c r="L433" s="62"/>
      <c r="M433" s="66">
        <f t="shared" si="12"/>
        <v>8.32</v>
      </c>
      <c r="N433" s="66">
        <f t="shared" si="12"/>
        <v>0</v>
      </c>
      <c r="O433" s="66">
        <f t="shared" si="13"/>
        <v>8.32</v>
      </c>
    </row>
    <row r="434" spans="1:16" x14ac:dyDescent="0.25">
      <c r="A434" s="62"/>
      <c r="B434" s="62"/>
      <c r="C434" s="63"/>
      <c r="D434" s="62"/>
      <c r="E434" s="62" t="s">
        <v>297</v>
      </c>
      <c r="F434" s="62">
        <v>0.78</v>
      </c>
      <c r="G434" s="64">
        <v>3</v>
      </c>
      <c r="H434" s="65">
        <v>2.34</v>
      </c>
      <c r="I434" s="65">
        <v>1.17</v>
      </c>
      <c r="J434" s="65">
        <v>1.17</v>
      </c>
      <c r="K434" s="62">
        <v>2.2400000000000002</v>
      </c>
      <c r="L434" s="62"/>
      <c r="M434" s="66">
        <f t="shared" si="12"/>
        <v>6.7200000000000006</v>
      </c>
      <c r="N434" s="66">
        <f t="shared" si="12"/>
        <v>0</v>
      </c>
      <c r="O434" s="66">
        <f t="shared" si="13"/>
        <v>6.7200000000000006</v>
      </c>
    </row>
    <row r="435" spans="1:16" x14ac:dyDescent="0.25">
      <c r="A435" s="62"/>
      <c r="B435" s="62"/>
      <c r="C435" s="63"/>
      <c r="D435" s="62"/>
      <c r="E435" s="62" t="s">
        <v>298</v>
      </c>
      <c r="F435" s="62">
        <v>0.83</v>
      </c>
      <c r="G435" s="64">
        <v>757</v>
      </c>
      <c r="H435" s="65">
        <v>628.31000000000006</v>
      </c>
      <c r="I435" s="65">
        <v>371.43</v>
      </c>
      <c r="J435" s="65">
        <v>256.88000000000005</v>
      </c>
      <c r="K435" s="62">
        <v>2.17</v>
      </c>
      <c r="L435" s="62"/>
      <c r="M435" s="66">
        <f t="shared" si="12"/>
        <v>1642.69</v>
      </c>
      <c r="N435" s="66">
        <f t="shared" si="12"/>
        <v>0</v>
      </c>
      <c r="O435" s="66">
        <f t="shared" si="13"/>
        <v>1642.69</v>
      </c>
    </row>
    <row r="436" spans="1:16" x14ac:dyDescent="0.25">
      <c r="A436" s="62"/>
      <c r="B436" s="62"/>
      <c r="C436" s="63"/>
      <c r="D436" s="62"/>
      <c r="E436" s="62" t="s">
        <v>299</v>
      </c>
      <c r="F436" s="62">
        <v>0.8</v>
      </c>
      <c r="G436" s="64">
        <v>72</v>
      </c>
      <c r="H436" s="65">
        <v>57.6</v>
      </c>
      <c r="I436" s="65">
        <v>28.01</v>
      </c>
      <c r="J436" s="65">
        <v>29.59</v>
      </c>
      <c r="K436" s="62">
        <v>2.08</v>
      </c>
      <c r="L436" s="62"/>
      <c r="M436" s="66">
        <f t="shared" si="12"/>
        <v>149.76</v>
      </c>
      <c r="N436" s="66">
        <f t="shared" si="12"/>
        <v>0</v>
      </c>
      <c r="O436" s="66">
        <f t="shared" si="13"/>
        <v>149.76</v>
      </c>
    </row>
    <row r="437" spans="1:16" x14ac:dyDescent="0.25">
      <c r="A437" s="62"/>
      <c r="B437" s="62"/>
      <c r="C437" s="63"/>
      <c r="D437" s="62"/>
      <c r="E437" s="62" t="s">
        <v>300</v>
      </c>
      <c r="F437" s="62">
        <v>0.78</v>
      </c>
      <c r="G437" s="64">
        <v>32</v>
      </c>
      <c r="H437" s="65">
        <v>24.959999999999997</v>
      </c>
      <c r="I437" s="65">
        <v>12.43</v>
      </c>
      <c r="J437" s="65">
        <v>12.53</v>
      </c>
      <c r="K437" s="62">
        <v>2.2400000000000002</v>
      </c>
      <c r="L437" s="62"/>
      <c r="M437" s="66">
        <f t="shared" si="12"/>
        <v>71.680000000000007</v>
      </c>
      <c r="N437" s="66">
        <f t="shared" si="12"/>
        <v>0</v>
      </c>
      <c r="O437" s="66">
        <f t="shared" si="13"/>
        <v>71.680000000000007</v>
      </c>
    </row>
    <row r="438" spans="1:16" x14ac:dyDescent="0.25">
      <c r="A438" s="62"/>
      <c r="B438" s="62"/>
      <c r="C438" s="63"/>
      <c r="D438" s="62"/>
      <c r="E438" s="62" t="s">
        <v>397</v>
      </c>
      <c r="F438" s="62">
        <v>0.61</v>
      </c>
      <c r="G438" s="64">
        <v>4066</v>
      </c>
      <c r="H438" s="65">
        <v>2480.2600000000002</v>
      </c>
      <c r="I438" s="65">
        <v>1615.8700000000001</v>
      </c>
      <c r="J438" s="65">
        <v>864.3900000000001</v>
      </c>
      <c r="K438" s="62">
        <v>4.21</v>
      </c>
      <c r="L438" s="62"/>
      <c r="M438" s="66">
        <f t="shared" si="12"/>
        <v>17117.86</v>
      </c>
      <c r="N438" s="66">
        <f t="shared" si="12"/>
        <v>0</v>
      </c>
      <c r="O438" s="66">
        <f t="shared" si="13"/>
        <v>17117.86</v>
      </c>
    </row>
    <row r="439" spans="1:16" s="6" customFormat="1" x14ac:dyDescent="0.25">
      <c r="A439" s="67"/>
      <c r="B439" s="67" t="s">
        <v>116</v>
      </c>
      <c r="C439" s="68"/>
      <c r="D439" s="67"/>
      <c r="E439" s="67"/>
      <c r="F439" s="67"/>
      <c r="G439" s="69">
        <v>238760</v>
      </c>
      <c r="H439" s="70">
        <v>176398.98999999985</v>
      </c>
      <c r="I439" s="70">
        <v>107324.09000000001</v>
      </c>
      <c r="J439" s="70">
        <v>69074.89999999998</v>
      </c>
      <c r="K439" s="67"/>
      <c r="L439" s="67"/>
      <c r="M439" s="71"/>
      <c r="N439" s="71"/>
      <c r="O439" s="71">
        <f>SUM(O232:O438)</f>
        <v>1027500.4400000001</v>
      </c>
      <c r="P439"/>
    </row>
    <row r="440" spans="1:16" x14ac:dyDescent="0.25">
      <c r="A440" s="62" t="s">
        <v>134</v>
      </c>
      <c r="B440" s="62"/>
      <c r="C440" s="63"/>
      <c r="D440" s="62"/>
      <c r="E440" s="62"/>
      <c r="F440" s="62">
        <v>0.76066543438077705</v>
      </c>
      <c r="G440" s="64">
        <v>238760</v>
      </c>
      <c r="H440" s="65">
        <v>176398.98999999985</v>
      </c>
      <c r="I440" s="65">
        <v>107324.09000000001</v>
      </c>
      <c r="J440" s="65">
        <v>69074.89999999998</v>
      </c>
      <c r="K440" s="62"/>
      <c r="L440" s="62"/>
      <c r="M440" s="66"/>
      <c r="N440" s="66"/>
      <c r="O440" s="66"/>
    </row>
    <row r="441" spans="1:16" x14ac:dyDescent="0.25">
      <c r="A441" s="62" t="s">
        <v>15</v>
      </c>
      <c r="B441" s="62"/>
      <c r="C441" s="63"/>
      <c r="D441" s="62"/>
      <c r="E441" s="62"/>
      <c r="F441" s="62">
        <v>2.0756492411467109</v>
      </c>
      <c r="G441" s="64">
        <v>537936</v>
      </c>
      <c r="H441" s="65">
        <v>477175.2800000002</v>
      </c>
      <c r="I441" s="65">
        <v>422569.99999999942</v>
      </c>
      <c r="J441" s="65">
        <v>54605.279999999992</v>
      </c>
      <c r="K441" s="62"/>
      <c r="L441" s="62"/>
      <c r="M441" s="66"/>
      <c r="N441" s="66"/>
      <c r="O441" s="66">
        <f>O9+O15+O19+O21+O26+O31+O48+O84+O89+O94+O111+O197+O214+O230+O439</f>
        <v>2038344.5699999998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3765-B39E-4FA7-BE4F-D46F9F9D222C}">
  <sheetPr codeName="Sheet133"/>
  <dimension ref="A1:AB729"/>
  <sheetViews>
    <sheetView workbookViewId="0"/>
  </sheetViews>
  <sheetFormatPr defaultRowHeight="15" x14ac:dyDescent="0.25"/>
  <cols>
    <col min="1" max="1" width="4" bestFit="1" customWidth="1"/>
    <col min="2" max="3" width="9" bestFit="1" customWidth="1"/>
    <col min="4" max="4" width="7.42578125" bestFit="1" customWidth="1"/>
    <col min="5" max="5" width="37.7109375" bestFit="1" customWidth="1"/>
    <col min="6" max="6" width="19.140625" bestFit="1" customWidth="1"/>
    <col min="7" max="7" width="30.28515625" bestFit="1" customWidth="1"/>
    <col min="8" max="8" width="4.7109375" bestFit="1" customWidth="1"/>
    <col min="9" max="9" width="6" bestFit="1" customWidth="1"/>
    <col min="10" max="10" width="9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135</v>
      </c>
      <c r="B1" t="s">
        <v>136</v>
      </c>
      <c r="C1" t="s">
        <v>137</v>
      </c>
      <c r="D1" t="s">
        <v>56</v>
      </c>
      <c r="E1" t="s">
        <v>57</v>
      </c>
      <c r="F1" t="s">
        <v>60</v>
      </c>
      <c r="G1" t="s">
        <v>138</v>
      </c>
      <c r="H1" t="s">
        <v>58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66</v>
      </c>
      <c r="R1" t="s">
        <v>147</v>
      </c>
      <c r="S1" t="s">
        <v>148</v>
      </c>
      <c r="T1" t="s">
        <v>149</v>
      </c>
      <c r="AA1" t="s">
        <v>194</v>
      </c>
      <c r="AB1" t="s">
        <v>195</v>
      </c>
    </row>
    <row r="2" spans="1:28" x14ac:dyDescent="0.25">
      <c r="A2">
        <v>1</v>
      </c>
      <c r="B2">
        <v>184239</v>
      </c>
      <c r="C2">
        <v>24001494</v>
      </c>
      <c r="D2" t="s">
        <v>40</v>
      </c>
      <c r="E2" t="s">
        <v>129</v>
      </c>
      <c r="F2" t="s">
        <v>157</v>
      </c>
      <c r="H2" t="s">
        <v>72</v>
      </c>
      <c r="I2">
        <v>7</v>
      </c>
      <c r="J2" s="74">
        <v>45673</v>
      </c>
      <c r="K2" s="74">
        <v>45673</v>
      </c>
      <c r="L2" t="s">
        <v>190</v>
      </c>
      <c r="M2" s="74">
        <v>45667</v>
      </c>
      <c r="N2" t="s">
        <v>155</v>
      </c>
      <c r="O2" t="s">
        <v>190</v>
      </c>
      <c r="P2">
        <v>12.47</v>
      </c>
      <c r="Q2">
        <v>20.28</v>
      </c>
      <c r="R2">
        <v>87.29</v>
      </c>
      <c r="S2">
        <v>141.96</v>
      </c>
      <c r="T2" t="s">
        <v>67</v>
      </c>
      <c r="AA2">
        <f t="shared" ref="AA2:AA65" si="0">SUMIF($D:$D,D2,$R:$R)</f>
        <v>64315.21</v>
      </c>
      <c r="AB2">
        <f>COUNTIF($D$1:D2,D2)</f>
        <v>1</v>
      </c>
    </row>
    <row r="3" spans="1:28" x14ac:dyDescent="0.25">
      <c r="A3">
        <v>2</v>
      </c>
      <c r="B3">
        <v>184483</v>
      </c>
      <c r="C3">
        <v>24001529</v>
      </c>
      <c r="D3" t="s">
        <v>40</v>
      </c>
      <c r="E3" t="s">
        <v>129</v>
      </c>
      <c r="F3" t="s">
        <v>157</v>
      </c>
      <c r="G3">
        <v>3514637</v>
      </c>
      <c r="H3" t="s">
        <v>72</v>
      </c>
      <c r="I3">
        <v>90</v>
      </c>
      <c r="J3" s="74">
        <v>45659</v>
      </c>
      <c r="K3" s="74">
        <v>45673</v>
      </c>
      <c r="L3" t="s">
        <v>190</v>
      </c>
      <c r="M3" s="74">
        <v>45691</v>
      </c>
      <c r="N3" t="s">
        <v>151</v>
      </c>
      <c r="O3" t="s">
        <v>224</v>
      </c>
      <c r="P3">
        <v>12.47</v>
      </c>
      <c r="Q3">
        <v>20.28</v>
      </c>
      <c r="R3">
        <v>1122.3</v>
      </c>
      <c r="S3">
        <v>1825.2</v>
      </c>
      <c r="T3" t="s">
        <v>67</v>
      </c>
      <c r="AA3">
        <f t="shared" si="0"/>
        <v>64315.21</v>
      </c>
      <c r="AB3">
        <f>COUNTIF($D$1:D3,D3)</f>
        <v>2</v>
      </c>
    </row>
    <row r="4" spans="1:28" x14ac:dyDescent="0.25">
      <c r="A4">
        <v>3</v>
      </c>
      <c r="B4">
        <v>184485</v>
      </c>
      <c r="C4">
        <v>24001530</v>
      </c>
      <c r="D4" t="s">
        <v>40</v>
      </c>
      <c r="E4" t="s">
        <v>129</v>
      </c>
      <c r="F4" t="s">
        <v>164</v>
      </c>
      <c r="G4">
        <v>3514639</v>
      </c>
      <c r="H4" t="s">
        <v>72</v>
      </c>
      <c r="I4">
        <v>350</v>
      </c>
      <c r="J4" s="74">
        <v>45666</v>
      </c>
      <c r="K4" s="74">
        <v>45672</v>
      </c>
      <c r="L4" t="s">
        <v>190</v>
      </c>
      <c r="M4" s="74">
        <v>45688</v>
      </c>
      <c r="N4" t="s">
        <v>151</v>
      </c>
      <c r="O4" t="s">
        <v>190</v>
      </c>
      <c r="P4">
        <v>12.47</v>
      </c>
      <c r="Q4">
        <v>20.28</v>
      </c>
      <c r="R4">
        <v>4364.5</v>
      </c>
      <c r="S4">
        <v>7098</v>
      </c>
      <c r="T4" t="s">
        <v>67</v>
      </c>
      <c r="AA4">
        <f t="shared" si="0"/>
        <v>64315.21</v>
      </c>
      <c r="AB4">
        <f>COUNTIF($D$1:D4,D4)</f>
        <v>3</v>
      </c>
    </row>
    <row r="5" spans="1:28" x14ac:dyDescent="0.25">
      <c r="A5">
        <v>4</v>
      </c>
      <c r="B5">
        <v>184574</v>
      </c>
      <c r="C5">
        <v>24001526</v>
      </c>
      <c r="D5" t="s">
        <v>40</v>
      </c>
      <c r="E5" t="s">
        <v>129</v>
      </c>
      <c r="F5" t="s">
        <v>159</v>
      </c>
      <c r="H5" t="s">
        <v>72</v>
      </c>
      <c r="I5">
        <v>17</v>
      </c>
      <c r="J5" s="74">
        <v>45659</v>
      </c>
      <c r="K5" s="74">
        <v>45671</v>
      </c>
      <c r="L5" t="s">
        <v>190</v>
      </c>
      <c r="M5" s="74">
        <v>45663</v>
      </c>
      <c r="N5" t="s">
        <v>155</v>
      </c>
      <c r="O5" t="s">
        <v>190</v>
      </c>
      <c r="P5">
        <v>12.47</v>
      </c>
      <c r="Q5">
        <v>20.28</v>
      </c>
      <c r="R5">
        <v>211.99</v>
      </c>
      <c r="S5">
        <v>344.76</v>
      </c>
      <c r="T5" t="s">
        <v>67</v>
      </c>
      <c r="AA5">
        <f t="shared" si="0"/>
        <v>64315.21</v>
      </c>
      <c r="AB5">
        <f>COUNTIF($D$1:D5,D5)</f>
        <v>4</v>
      </c>
    </row>
    <row r="6" spans="1:28" x14ac:dyDescent="0.25">
      <c r="A6">
        <v>5</v>
      </c>
      <c r="B6">
        <v>184484</v>
      </c>
      <c r="C6">
        <v>24001540</v>
      </c>
      <c r="D6" t="s">
        <v>40</v>
      </c>
      <c r="E6" t="s">
        <v>129</v>
      </c>
      <c r="F6" t="s">
        <v>157</v>
      </c>
      <c r="G6">
        <v>3514637</v>
      </c>
      <c r="H6" t="s">
        <v>72</v>
      </c>
      <c r="I6">
        <v>582</v>
      </c>
      <c r="J6" s="74">
        <v>45659</v>
      </c>
      <c r="K6" s="74">
        <v>45670</v>
      </c>
      <c r="L6" t="s">
        <v>190</v>
      </c>
      <c r="M6" s="74">
        <v>45673</v>
      </c>
      <c r="N6" t="s">
        <v>151</v>
      </c>
      <c r="O6" t="s">
        <v>190</v>
      </c>
      <c r="P6">
        <v>12.47</v>
      </c>
      <c r="Q6">
        <v>20.28</v>
      </c>
      <c r="R6">
        <v>7257.54</v>
      </c>
      <c r="S6">
        <v>11802.96</v>
      </c>
      <c r="T6" t="s">
        <v>67</v>
      </c>
      <c r="AA6">
        <f t="shared" si="0"/>
        <v>64315.21</v>
      </c>
      <c r="AB6">
        <f>COUNTIF($D$1:D6,D6)</f>
        <v>5</v>
      </c>
    </row>
    <row r="7" spans="1:28" x14ac:dyDescent="0.25">
      <c r="A7">
        <v>6</v>
      </c>
      <c r="B7">
        <v>184615</v>
      </c>
      <c r="C7">
        <v>24001541</v>
      </c>
      <c r="D7" t="s">
        <v>40</v>
      </c>
      <c r="E7" t="s">
        <v>129</v>
      </c>
      <c r="F7" t="s">
        <v>158</v>
      </c>
      <c r="G7">
        <v>3514770</v>
      </c>
      <c r="H7" t="s">
        <v>72</v>
      </c>
      <c r="I7">
        <v>500</v>
      </c>
      <c r="J7" s="74">
        <v>45671</v>
      </c>
      <c r="K7" s="74">
        <v>45677</v>
      </c>
      <c r="L7" t="s">
        <v>190</v>
      </c>
      <c r="M7" s="74">
        <v>45679</v>
      </c>
      <c r="N7" t="s">
        <v>151</v>
      </c>
      <c r="O7" t="s">
        <v>190</v>
      </c>
      <c r="P7">
        <v>12.47</v>
      </c>
      <c r="Q7">
        <v>20.28</v>
      </c>
      <c r="R7">
        <v>6235</v>
      </c>
      <c r="S7">
        <v>10140</v>
      </c>
      <c r="T7" t="s">
        <v>67</v>
      </c>
      <c r="AA7">
        <f t="shared" si="0"/>
        <v>64315.21</v>
      </c>
      <c r="AB7">
        <f>COUNTIF($D$1:D7,D7)</f>
        <v>6</v>
      </c>
    </row>
    <row r="8" spans="1:28" x14ac:dyDescent="0.25">
      <c r="A8">
        <v>7</v>
      </c>
      <c r="B8">
        <v>184596</v>
      </c>
      <c r="C8">
        <v>24001550</v>
      </c>
      <c r="D8" t="s">
        <v>40</v>
      </c>
      <c r="E8" t="s">
        <v>129</v>
      </c>
      <c r="F8" t="s">
        <v>203</v>
      </c>
      <c r="G8">
        <v>3514700</v>
      </c>
      <c r="H8" t="s">
        <v>72</v>
      </c>
      <c r="I8">
        <v>300</v>
      </c>
      <c r="J8" s="74">
        <v>45677</v>
      </c>
      <c r="K8" s="74">
        <v>45678</v>
      </c>
      <c r="L8" t="s">
        <v>190</v>
      </c>
      <c r="M8" s="74">
        <v>45339</v>
      </c>
      <c r="N8" t="s">
        <v>155</v>
      </c>
      <c r="O8" t="s">
        <v>224</v>
      </c>
      <c r="P8">
        <v>12.47</v>
      </c>
      <c r="Q8">
        <v>20.28</v>
      </c>
      <c r="R8">
        <v>3741</v>
      </c>
      <c r="S8">
        <v>6084</v>
      </c>
      <c r="T8" t="s">
        <v>67</v>
      </c>
      <c r="AA8">
        <f t="shared" si="0"/>
        <v>64315.21</v>
      </c>
      <c r="AB8">
        <f>COUNTIF($D$1:D8,D8)</f>
        <v>7</v>
      </c>
    </row>
    <row r="9" spans="1:28" x14ac:dyDescent="0.25">
      <c r="A9">
        <v>8</v>
      </c>
      <c r="B9">
        <v>184617</v>
      </c>
      <c r="C9">
        <v>24001544</v>
      </c>
      <c r="D9" t="s">
        <v>40</v>
      </c>
      <c r="E9" t="s">
        <v>129</v>
      </c>
      <c r="F9" t="s">
        <v>157</v>
      </c>
      <c r="G9">
        <v>3514771</v>
      </c>
      <c r="H9" t="s">
        <v>72</v>
      </c>
      <c r="I9">
        <v>580</v>
      </c>
      <c r="J9" s="74">
        <v>45678</v>
      </c>
      <c r="K9" s="74">
        <v>45681</v>
      </c>
      <c r="L9" t="s">
        <v>190</v>
      </c>
      <c r="M9" s="74">
        <v>45679</v>
      </c>
      <c r="N9" t="s">
        <v>155</v>
      </c>
      <c r="O9" t="s">
        <v>190</v>
      </c>
      <c r="P9">
        <v>12.47</v>
      </c>
      <c r="Q9">
        <v>20.28</v>
      </c>
      <c r="R9">
        <v>7232.6</v>
      </c>
      <c r="S9">
        <v>11762.4</v>
      </c>
      <c r="T9" t="s">
        <v>67</v>
      </c>
      <c r="AA9">
        <f t="shared" si="0"/>
        <v>64315.21</v>
      </c>
      <c r="AB9">
        <f>COUNTIF($D$1:D9,D9)</f>
        <v>8</v>
      </c>
    </row>
    <row r="10" spans="1:28" x14ac:dyDescent="0.25">
      <c r="A10">
        <v>9</v>
      </c>
      <c r="B10">
        <v>184616</v>
      </c>
      <c r="C10">
        <v>24001543</v>
      </c>
      <c r="D10" t="s">
        <v>40</v>
      </c>
      <c r="E10" t="s">
        <v>129</v>
      </c>
      <c r="F10" t="s">
        <v>157</v>
      </c>
      <c r="G10">
        <v>3514771</v>
      </c>
      <c r="H10" t="s">
        <v>72</v>
      </c>
      <c r="I10">
        <v>50</v>
      </c>
      <c r="J10" s="74">
        <v>45681</v>
      </c>
      <c r="K10" s="74">
        <v>45681</v>
      </c>
      <c r="L10" t="s">
        <v>190</v>
      </c>
      <c r="M10" s="74">
        <v>45679</v>
      </c>
      <c r="N10" t="s">
        <v>155</v>
      </c>
      <c r="O10" t="s">
        <v>190</v>
      </c>
      <c r="P10">
        <v>12.47</v>
      </c>
      <c r="Q10">
        <v>20.28</v>
      </c>
      <c r="R10">
        <v>623.5</v>
      </c>
      <c r="S10">
        <v>1014</v>
      </c>
      <c r="T10" t="s">
        <v>67</v>
      </c>
      <c r="AA10">
        <f t="shared" si="0"/>
        <v>64315.21</v>
      </c>
      <c r="AB10">
        <f>COUNTIF($D$1:D10,D10)</f>
        <v>9</v>
      </c>
    </row>
    <row r="11" spans="1:28" x14ac:dyDescent="0.25">
      <c r="A11">
        <v>10</v>
      </c>
      <c r="B11">
        <v>184765</v>
      </c>
      <c r="C11">
        <v>24001545</v>
      </c>
      <c r="D11" t="s">
        <v>40</v>
      </c>
      <c r="E11" t="s">
        <v>129</v>
      </c>
      <c r="F11" t="s">
        <v>164</v>
      </c>
      <c r="H11" t="s">
        <v>72</v>
      </c>
      <c r="I11">
        <v>200</v>
      </c>
      <c r="J11" s="74">
        <v>45681</v>
      </c>
      <c r="K11" s="74">
        <v>45685</v>
      </c>
      <c r="L11" t="s">
        <v>190</v>
      </c>
      <c r="M11" s="74">
        <v>45679</v>
      </c>
      <c r="N11" t="s">
        <v>155</v>
      </c>
      <c r="O11" t="s">
        <v>190</v>
      </c>
      <c r="P11">
        <v>12.47</v>
      </c>
      <c r="Q11">
        <v>20.28</v>
      </c>
      <c r="R11">
        <v>2494</v>
      </c>
      <c r="S11">
        <v>4056</v>
      </c>
      <c r="T11" t="s">
        <v>67</v>
      </c>
      <c r="AA11">
        <f t="shared" si="0"/>
        <v>64315.21</v>
      </c>
      <c r="AB11">
        <f>COUNTIF($D$1:D11,D11)</f>
        <v>10</v>
      </c>
    </row>
    <row r="12" spans="1:28" x14ac:dyDescent="0.25">
      <c r="A12">
        <v>11</v>
      </c>
      <c r="B12">
        <v>184766</v>
      </c>
      <c r="C12">
        <v>24001568</v>
      </c>
      <c r="D12" t="s">
        <v>40</v>
      </c>
      <c r="E12" t="s">
        <v>129</v>
      </c>
      <c r="F12" t="s">
        <v>203</v>
      </c>
      <c r="H12" t="s">
        <v>72</v>
      </c>
      <c r="I12">
        <v>200</v>
      </c>
      <c r="J12" s="74">
        <v>45685</v>
      </c>
      <c r="K12" s="74">
        <v>45687</v>
      </c>
      <c r="L12" t="s">
        <v>190</v>
      </c>
      <c r="M12" s="74">
        <v>45720</v>
      </c>
      <c r="N12" t="s">
        <v>151</v>
      </c>
      <c r="O12" t="s">
        <v>226</v>
      </c>
      <c r="P12">
        <v>12.47</v>
      </c>
      <c r="Q12">
        <v>20.28</v>
      </c>
      <c r="R12">
        <v>2494</v>
      </c>
      <c r="S12">
        <v>4056</v>
      </c>
      <c r="T12" t="s">
        <v>67</v>
      </c>
      <c r="AA12">
        <f t="shared" si="0"/>
        <v>64315.21</v>
      </c>
      <c r="AB12">
        <f>COUNTIF($D$1:D12,D12)</f>
        <v>11</v>
      </c>
    </row>
    <row r="13" spans="1:28" x14ac:dyDescent="0.25">
      <c r="A13">
        <v>12</v>
      </c>
      <c r="B13">
        <v>184837</v>
      </c>
      <c r="C13">
        <v>25001046</v>
      </c>
      <c r="D13" t="s">
        <v>40</v>
      </c>
      <c r="E13" t="s">
        <v>274</v>
      </c>
      <c r="F13" t="s">
        <v>413</v>
      </c>
      <c r="H13" t="s">
        <v>72</v>
      </c>
      <c r="I13">
        <v>225</v>
      </c>
      <c r="J13" s="74">
        <v>45687</v>
      </c>
      <c r="K13" s="74">
        <v>45688</v>
      </c>
      <c r="L13" t="s">
        <v>190</v>
      </c>
      <c r="M13" s="74">
        <v>45701</v>
      </c>
      <c r="N13" t="s">
        <v>151</v>
      </c>
      <c r="O13" t="s">
        <v>224</v>
      </c>
      <c r="P13">
        <v>0</v>
      </c>
      <c r="Q13">
        <v>0</v>
      </c>
      <c r="R13">
        <v>0</v>
      </c>
      <c r="S13">
        <v>0</v>
      </c>
      <c r="T13" t="s">
        <v>66</v>
      </c>
      <c r="AA13">
        <f t="shared" si="0"/>
        <v>64315.21</v>
      </c>
      <c r="AB13">
        <f>COUNTIF($D$1:D13,D13)</f>
        <v>12</v>
      </c>
    </row>
    <row r="14" spans="1:28" x14ac:dyDescent="0.25">
      <c r="A14">
        <v>13</v>
      </c>
      <c r="B14">
        <v>184573</v>
      </c>
      <c r="C14">
        <v>24001525</v>
      </c>
      <c r="D14" t="s">
        <v>40</v>
      </c>
      <c r="E14" t="s">
        <v>129</v>
      </c>
      <c r="F14" t="s">
        <v>159</v>
      </c>
      <c r="H14" t="s">
        <v>82</v>
      </c>
      <c r="I14">
        <v>2</v>
      </c>
      <c r="J14" s="74">
        <v>45659</v>
      </c>
      <c r="K14" s="74">
        <v>45673</v>
      </c>
      <c r="L14" t="s">
        <v>190</v>
      </c>
      <c r="M14" s="74">
        <v>45663</v>
      </c>
      <c r="N14" t="s">
        <v>155</v>
      </c>
      <c r="O14" t="s">
        <v>190</v>
      </c>
      <c r="P14">
        <v>12.47</v>
      </c>
      <c r="Q14">
        <v>20.28</v>
      </c>
      <c r="R14">
        <v>24.94</v>
      </c>
      <c r="S14">
        <v>40.56</v>
      </c>
      <c r="T14" t="s">
        <v>67</v>
      </c>
      <c r="AA14">
        <f t="shared" si="0"/>
        <v>64315.21</v>
      </c>
      <c r="AB14">
        <f>COUNTIF($D$1:D14,D14)</f>
        <v>13</v>
      </c>
    </row>
    <row r="15" spans="1:28" x14ac:dyDescent="0.25">
      <c r="A15">
        <v>14</v>
      </c>
      <c r="B15">
        <v>184484</v>
      </c>
      <c r="C15">
        <v>24001540</v>
      </c>
      <c r="D15" t="s">
        <v>40</v>
      </c>
      <c r="E15" t="s">
        <v>129</v>
      </c>
      <c r="F15" t="s">
        <v>157</v>
      </c>
      <c r="G15">
        <v>3514637</v>
      </c>
      <c r="H15" t="s">
        <v>77</v>
      </c>
      <c r="I15">
        <v>425</v>
      </c>
      <c r="J15" s="74">
        <v>45659</v>
      </c>
      <c r="K15" s="74">
        <v>45678</v>
      </c>
      <c r="L15" t="s">
        <v>190</v>
      </c>
      <c r="M15" s="74">
        <v>45691</v>
      </c>
      <c r="N15" t="s">
        <v>151</v>
      </c>
      <c r="O15" t="s">
        <v>224</v>
      </c>
      <c r="P15">
        <v>12.47</v>
      </c>
      <c r="Q15">
        <v>20.28</v>
      </c>
      <c r="R15">
        <v>5299.75</v>
      </c>
      <c r="S15">
        <v>8619</v>
      </c>
      <c r="T15" t="s">
        <v>67</v>
      </c>
      <c r="AA15">
        <f t="shared" si="0"/>
        <v>64315.21</v>
      </c>
      <c r="AB15">
        <f>COUNTIF($D$1:D15,D15)</f>
        <v>14</v>
      </c>
    </row>
    <row r="16" spans="1:28" x14ac:dyDescent="0.25">
      <c r="A16">
        <v>15</v>
      </c>
      <c r="B16">
        <v>184671</v>
      </c>
      <c r="C16">
        <v>24001465</v>
      </c>
      <c r="D16" t="s">
        <v>40</v>
      </c>
      <c r="E16" t="s">
        <v>119</v>
      </c>
      <c r="F16">
        <v>1105621</v>
      </c>
      <c r="H16" t="s">
        <v>91</v>
      </c>
      <c r="I16">
        <v>500</v>
      </c>
      <c r="J16" s="74">
        <v>45667</v>
      </c>
      <c r="K16" s="74">
        <v>45678</v>
      </c>
      <c r="L16" t="s">
        <v>190</v>
      </c>
      <c r="M16" s="74">
        <v>45641</v>
      </c>
      <c r="N16" t="s">
        <v>155</v>
      </c>
      <c r="O16" t="s">
        <v>153</v>
      </c>
      <c r="P16">
        <v>5.82</v>
      </c>
      <c r="Q16">
        <v>6.2</v>
      </c>
      <c r="R16">
        <v>2910</v>
      </c>
      <c r="S16">
        <v>3100</v>
      </c>
      <c r="T16" t="s">
        <v>154</v>
      </c>
      <c r="AA16">
        <f t="shared" si="0"/>
        <v>64315.21</v>
      </c>
      <c r="AB16">
        <f>COUNTIF($D$1:D16,D16)</f>
        <v>15</v>
      </c>
    </row>
    <row r="17" spans="1:28" x14ac:dyDescent="0.25">
      <c r="A17">
        <v>16</v>
      </c>
      <c r="B17">
        <v>184559</v>
      </c>
      <c r="C17">
        <v>24001462</v>
      </c>
      <c r="D17" t="s">
        <v>40</v>
      </c>
      <c r="E17" t="s">
        <v>119</v>
      </c>
      <c r="F17">
        <v>5058306</v>
      </c>
      <c r="H17" t="s">
        <v>126</v>
      </c>
      <c r="I17">
        <v>2781</v>
      </c>
      <c r="J17" s="74">
        <v>45666</v>
      </c>
      <c r="K17" s="74">
        <v>45688</v>
      </c>
      <c r="L17" t="s">
        <v>190</v>
      </c>
      <c r="M17" s="74">
        <v>45688</v>
      </c>
      <c r="N17" t="s">
        <v>151</v>
      </c>
      <c r="O17" t="s">
        <v>190</v>
      </c>
      <c r="P17">
        <v>3.45</v>
      </c>
      <c r="Q17">
        <v>3.45</v>
      </c>
      <c r="R17">
        <v>9594.4500000000007</v>
      </c>
      <c r="S17">
        <v>9594.4500000000007</v>
      </c>
      <c r="T17" t="s">
        <v>67</v>
      </c>
      <c r="AA17">
        <f t="shared" si="0"/>
        <v>64315.21</v>
      </c>
      <c r="AB17">
        <f>COUNTIF($D$1:D17,D17)</f>
        <v>16</v>
      </c>
    </row>
    <row r="18" spans="1:28" x14ac:dyDescent="0.25">
      <c r="A18">
        <v>17</v>
      </c>
      <c r="B18">
        <v>184560</v>
      </c>
      <c r="C18">
        <v>24001463</v>
      </c>
      <c r="D18" t="s">
        <v>40</v>
      </c>
      <c r="E18" t="s">
        <v>119</v>
      </c>
      <c r="F18">
        <v>5058551</v>
      </c>
      <c r="H18" t="s">
        <v>127</v>
      </c>
      <c r="I18">
        <v>1204</v>
      </c>
      <c r="J18" s="74">
        <v>45667</v>
      </c>
      <c r="K18" s="74">
        <v>45679</v>
      </c>
      <c r="L18" t="s">
        <v>190</v>
      </c>
      <c r="M18" s="74">
        <v>45688</v>
      </c>
      <c r="N18" t="s">
        <v>151</v>
      </c>
      <c r="O18" t="s">
        <v>190</v>
      </c>
      <c r="P18">
        <v>4.4000000000000004</v>
      </c>
      <c r="Q18">
        <v>4.4000000000000004</v>
      </c>
      <c r="R18">
        <v>5297.6</v>
      </c>
      <c r="S18">
        <v>5297.6</v>
      </c>
      <c r="T18" t="s">
        <v>67</v>
      </c>
      <c r="AA18">
        <f t="shared" si="0"/>
        <v>64315.21</v>
      </c>
      <c r="AB18">
        <f>COUNTIF($D$1:D18,D18)</f>
        <v>17</v>
      </c>
    </row>
    <row r="19" spans="1:28" x14ac:dyDescent="0.25">
      <c r="A19">
        <v>18</v>
      </c>
      <c r="B19">
        <v>184731</v>
      </c>
      <c r="C19">
        <v>24001521</v>
      </c>
      <c r="D19" t="s">
        <v>40</v>
      </c>
      <c r="E19" t="s">
        <v>119</v>
      </c>
      <c r="F19">
        <v>3209</v>
      </c>
      <c r="H19" t="s">
        <v>127</v>
      </c>
      <c r="I19">
        <v>830</v>
      </c>
      <c r="J19" s="74">
        <v>45679</v>
      </c>
      <c r="K19" s="74">
        <v>45688</v>
      </c>
      <c r="L19" t="s">
        <v>190</v>
      </c>
      <c r="M19" s="74">
        <v>45698</v>
      </c>
      <c r="N19" t="s">
        <v>151</v>
      </c>
      <c r="O19" t="s">
        <v>224</v>
      </c>
      <c r="P19">
        <v>5.7</v>
      </c>
      <c r="Q19">
        <v>5.7</v>
      </c>
      <c r="R19">
        <v>4731</v>
      </c>
      <c r="S19">
        <v>4731</v>
      </c>
      <c r="T19" t="s">
        <v>154</v>
      </c>
      <c r="AA19">
        <f t="shared" si="0"/>
        <v>64315.21</v>
      </c>
      <c r="AB19">
        <f>COUNTIF($D$1:D19,D19)</f>
        <v>18</v>
      </c>
    </row>
    <row r="20" spans="1:28" x14ac:dyDescent="0.25">
      <c r="A20">
        <v>19</v>
      </c>
      <c r="B20">
        <v>184732</v>
      </c>
      <c r="C20">
        <v>24001522</v>
      </c>
      <c r="D20" t="s">
        <v>40</v>
      </c>
      <c r="E20" t="s">
        <v>119</v>
      </c>
      <c r="F20">
        <v>3211</v>
      </c>
      <c r="H20" t="s">
        <v>127</v>
      </c>
      <c r="I20">
        <v>125</v>
      </c>
      <c r="J20" s="74">
        <v>45688</v>
      </c>
      <c r="K20" s="74">
        <v>45688</v>
      </c>
      <c r="L20" t="s">
        <v>190</v>
      </c>
      <c r="M20" s="74">
        <v>45698</v>
      </c>
      <c r="N20" t="s">
        <v>151</v>
      </c>
      <c r="O20" t="s">
        <v>224</v>
      </c>
      <c r="P20">
        <v>4.75</v>
      </c>
      <c r="Q20">
        <v>4.75</v>
      </c>
      <c r="R20">
        <v>593.75</v>
      </c>
      <c r="S20">
        <v>593.75</v>
      </c>
      <c r="T20" t="s">
        <v>154</v>
      </c>
      <c r="AA20">
        <f t="shared" si="0"/>
        <v>64315.21</v>
      </c>
      <c r="AB20">
        <f>COUNTIF($D$1:D20,D20)</f>
        <v>19</v>
      </c>
    </row>
    <row r="21" spans="1:28" x14ac:dyDescent="0.25">
      <c r="A21">
        <v>20</v>
      </c>
      <c r="B21">
        <v>184361</v>
      </c>
      <c r="C21">
        <v>24001460</v>
      </c>
      <c r="D21" t="s">
        <v>13</v>
      </c>
      <c r="E21" t="s">
        <v>119</v>
      </c>
      <c r="F21">
        <v>5058305</v>
      </c>
      <c r="H21" t="s">
        <v>72</v>
      </c>
      <c r="I21">
        <v>1176</v>
      </c>
      <c r="J21" s="74">
        <v>45678</v>
      </c>
      <c r="K21" s="74">
        <v>45688</v>
      </c>
      <c r="L21" t="s">
        <v>190</v>
      </c>
      <c r="M21" s="74">
        <v>45698</v>
      </c>
      <c r="N21" t="s">
        <v>151</v>
      </c>
      <c r="O21" t="s">
        <v>224</v>
      </c>
      <c r="P21">
        <v>6.8</v>
      </c>
      <c r="Q21">
        <v>6.8</v>
      </c>
      <c r="R21">
        <v>7996.8</v>
      </c>
      <c r="S21">
        <v>7996.8</v>
      </c>
      <c r="T21" t="s">
        <v>67</v>
      </c>
      <c r="AA21">
        <f t="shared" si="0"/>
        <v>211605.87</v>
      </c>
      <c r="AB21">
        <f>COUNTIF($D$1:D21,D21)</f>
        <v>1</v>
      </c>
    </row>
    <row r="22" spans="1:28" x14ac:dyDescent="0.25">
      <c r="A22">
        <v>21</v>
      </c>
      <c r="B22">
        <v>184150</v>
      </c>
      <c r="C22">
        <v>24001468</v>
      </c>
      <c r="D22" t="s">
        <v>13</v>
      </c>
      <c r="E22" t="s">
        <v>119</v>
      </c>
      <c r="F22">
        <v>2306153</v>
      </c>
      <c r="H22" t="s">
        <v>72</v>
      </c>
      <c r="I22">
        <v>27</v>
      </c>
      <c r="J22" s="74">
        <v>45659</v>
      </c>
      <c r="K22" s="74">
        <v>45660</v>
      </c>
      <c r="L22" t="s">
        <v>190</v>
      </c>
      <c r="M22" s="74">
        <v>45681</v>
      </c>
      <c r="N22" t="s">
        <v>151</v>
      </c>
      <c r="O22" t="s">
        <v>190</v>
      </c>
      <c r="P22">
        <v>6.12</v>
      </c>
      <c r="Q22">
        <v>6.5</v>
      </c>
      <c r="R22">
        <v>165.24</v>
      </c>
      <c r="S22">
        <v>175.5</v>
      </c>
      <c r="T22" t="s">
        <v>154</v>
      </c>
      <c r="AA22">
        <f t="shared" si="0"/>
        <v>211605.87</v>
      </c>
      <c r="AB22">
        <f>COUNTIF($D$1:D22,D22)</f>
        <v>2</v>
      </c>
    </row>
    <row r="23" spans="1:28" x14ac:dyDescent="0.25">
      <c r="A23">
        <v>22</v>
      </c>
      <c r="B23">
        <v>184151</v>
      </c>
      <c r="C23">
        <v>24001473</v>
      </c>
      <c r="D23" t="s">
        <v>13</v>
      </c>
      <c r="E23" t="s">
        <v>119</v>
      </c>
      <c r="F23">
        <v>1106644</v>
      </c>
      <c r="H23" t="s">
        <v>72</v>
      </c>
      <c r="I23">
        <v>1342</v>
      </c>
      <c r="J23" s="74">
        <v>45663</v>
      </c>
      <c r="K23" s="74">
        <v>45678</v>
      </c>
      <c r="L23" t="s">
        <v>190</v>
      </c>
      <c r="M23" s="74">
        <v>45681</v>
      </c>
      <c r="N23" t="s">
        <v>151</v>
      </c>
      <c r="O23" t="s">
        <v>190</v>
      </c>
      <c r="P23">
        <v>7.85</v>
      </c>
      <c r="Q23">
        <v>7.9</v>
      </c>
      <c r="R23">
        <v>10534.7</v>
      </c>
      <c r="S23">
        <v>10601.8</v>
      </c>
      <c r="T23" t="s">
        <v>154</v>
      </c>
      <c r="AA23">
        <f t="shared" si="0"/>
        <v>211605.87</v>
      </c>
      <c r="AB23">
        <f>COUNTIF($D$1:D23,D23)</f>
        <v>3</v>
      </c>
    </row>
    <row r="24" spans="1:28" x14ac:dyDescent="0.25">
      <c r="A24">
        <v>23</v>
      </c>
      <c r="B24">
        <v>184245</v>
      </c>
      <c r="C24">
        <v>24001465</v>
      </c>
      <c r="D24" t="s">
        <v>13</v>
      </c>
      <c r="E24" t="s">
        <v>119</v>
      </c>
      <c r="F24">
        <v>1105621</v>
      </c>
      <c r="H24" t="s">
        <v>82</v>
      </c>
      <c r="I24">
        <v>1741</v>
      </c>
      <c r="J24" s="74">
        <v>45664</v>
      </c>
      <c r="K24" s="74">
        <v>45687</v>
      </c>
      <c r="L24" t="s">
        <v>190</v>
      </c>
      <c r="M24" s="74">
        <v>45681</v>
      </c>
      <c r="N24" t="s">
        <v>155</v>
      </c>
      <c r="O24" t="s">
        <v>190</v>
      </c>
      <c r="P24">
        <v>5.82</v>
      </c>
      <c r="Q24">
        <v>6.2</v>
      </c>
      <c r="R24">
        <v>10132.620000000001</v>
      </c>
      <c r="S24">
        <v>10794.2</v>
      </c>
      <c r="T24" t="s">
        <v>154</v>
      </c>
      <c r="AA24">
        <f t="shared" si="0"/>
        <v>211605.87</v>
      </c>
      <c r="AB24">
        <f>COUNTIF($D$1:D24,D24)</f>
        <v>4</v>
      </c>
    </row>
    <row r="25" spans="1:28" x14ac:dyDescent="0.25">
      <c r="A25">
        <v>24</v>
      </c>
      <c r="B25">
        <v>183517</v>
      </c>
      <c r="C25">
        <v>24001259</v>
      </c>
      <c r="D25" t="s">
        <v>13</v>
      </c>
      <c r="E25" t="s">
        <v>119</v>
      </c>
      <c r="F25">
        <v>3483</v>
      </c>
      <c r="H25" t="s">
        <v>82</v>
      </c>
      <c r="I25">
        <v>379</v>
      </c>
      <c r="J25" s="74">
        <v>45659</v>
      </c>
      <c r="K25" s="74">
        <v>45674</v>
      </c>
      <c r="L25" t="s">
        <v>190</v>
      </c>
      <c r="M25" s="74">
        <v>45653</v>
      </c>
      <c r="N25" t="s">
        <v>155</v>
      </c>
      <c r="O25" t="s">
        <v>153</v>
      </c>
      <c r="P25">
        <v>6.45</v>
      </c>
      <c r="Q25">
        <v>6.45</v>
      </c>
      <c r="R25">
        <v>2444.5500000000002</v>
      </c>
      <c r="S25">
        <v>2444.5500000000002</v>
      </c>
      <c r="T25" t="s">
        <v>154</v>
      </c>
      <c r="AA25">
        <f t="shared" si="0"/>
        <v>211605.87</v>
      </c>
      <c r="AB25">
        <f>COUNTIF($D$1:D25,D25)</f>
        <v>5</v>
      </c>
    </row>
    <row r="26" spans="1:28" x14ac:dyDescent="0.25">
      <c r="A26">
        <v>25</v>
      </c>
      <c r="B26">
        <v>184360</v>
      </c>
      <c r="C26">
        <v>24001459</v>
      </c>
      <c r="D26" t="s">
        <v>13</v>
      </c>
      <c r="E26" t="s">
        <v>119</v>
      </c>
      <c r="F26">
        <v>5058303</v>
      </c>
      <c r="H26" t="s">
        <v>77</v>
      </c>
      <c r="I26">
        <v>3153</v>
      </c>
      <c r="J26" s="74">
        <v>45659</v>
      </c>
      <c r="K26" s="74">
        <v>45679</v>
      </c>
      <c r="L26" t="s">
        <v>190</v>
      </c>
      <c r="M26" s="74">
        <v>45681</v>
      </c>
      <c r="N26" t="s">
        <v>151</v>
      </c>
      <c r="O26" t="s">
        <v>190</v>
      </c>
      <c r="P26">
        <v>3.45</v>
      </c>
      <c r="Q26">
        <v>3.45</v>
      </c>
      <c r="R26">
        <v>10877.85</v>
      </c>
      <c r="S26">
        <v>10877.85</v>
      </c>
      <c r="T26" t="s">
        <v>67</v>
      </c>
      <c r="AA26">
        <f t="shared" si="0"/>
        <v>211605.87</v>
      </c>
      <c r="AB26">
        <f>COUNTIF($D$1:D26,D26)</f>
        <v>6</v>
      </c>
    </row>
    <row r="27" spans="1:28" x14ac:dyDescent="0.25">
      <c r="A27">
        <v>26</v>
      </c>
      <c r="B27">
        <v>184365</v>
      </c>
      <c r="C27">
        <v>24001464</v>
      </c>
      <c r="D27" t="s">
        <v>13</v>
      </c>
      <c r="E27" t="s">
        <v>119</v>
      </c>
      <c r="F27">
        <v>5058304</v>
      </c>
      <c r="H27" t="s">
        <v>77</v>
      </c>
      <c r="I27">
        <v>1376</v>
      </c>
      <c r="J27" s="74">
        <v>45679</v>
      </c>
      <c r="K27" s="74">
        <v>45688</v>
      </c>
      <c r="L27" t="s">
        <v>190</v>
      </c>
      <c r="M27" s="74">
        <v>45698</v>
      </c>
      <c r="N27" t="s">
        <v>151</v>
      </c>
      <c r="O27" t="s">
        <v>224</v>
      </c>
      <c r="P27">
        <v>6.8</v>
      </c>
      <c r="Q27">
        <v>6.8</v>
      </c>
      <c r="R27">
        <v>9356.7999999999993</v>
      </c>
      <c r="S27">
        <v>9356.7999999999993</v>
      </c>
      <c r="T27" t="s">
        <v>67</v>
      </c>
      <c r="AA27">
        <f t="shared" si="0"/>
        <v>211605.87</v>
      </c>
      <c r="AB27">
        <f>COUNTIF($D$1:D27,D27)</f>
        <v>7</v>
      </c>
    </row>
    <row r="28" spans="1:28" x14ac:dyDescent="0.25">
      <c r="A28">
        <v>27</v>
      </c>
      <c r="B28">
        <v>184241</v>
      </c>
      <c r="C28">
        <v>24001500</v>
      </c>
      <c r="D28" t="s">
        <v>13</v>
      </c>
      <c r="E28" t="s">
        <v>129</v>
      </c>
      <c r="F28" t="s">
        <v>158</v>
      </c>
      <c r="H28" t="s">
        <v>91</v>
      </c>
      <c r="I28">
        <v>47</v>
      </c>
      <c r="J28" s="74">
        <v>45659</v>
      </c>
      <c r="K28" s="74">
        <v>45660</v>
      </c>
      <c r="L28" t="s">
        <v>190</v>
      </c>
      <c r="M28" s="74">
        <v>45656</v>
      </c>
      <c r="N28" t="s">
        <v>155</v>
      </c>
      <c r="O28" t="s">
        <v>153</v>
      </c>
      <c r="P28">
        <v>12.47</v>
      </c>
      <c r="Q28">
        <v>20.28</v>
      </c>
      <c r="R28">
        <v>586.09</v>
      </c>
      <c r="S28">
        <v>953.16</v>
      </c>
      <c r="T28" t="s">
        <v>67</v>
      </c>
      <c r="AA28">
        <f t="shared" si="0"/>
        <v>211605.87</v>
      </c>
      <c r="AB28">
        <f>COUNTIF($D$1:D28,D28)</f>
        <v>8</v>
      </c>
    </row>
    <row r="29" spans="1:28" x14ac:dyDescent="0.25">
      <c r="A29">
        <v>28</v>
      </c>
      <c r="B29">
        <v>184473</v>
      </c>
      <c r="C29">
        <v>24001535</v>
      </c>
      <c r="D29" t="s">
        <v>13</v>
      </c>
      <c r="E29" t="s">
        <v>129</v>
      </c>
      <c r="F29" t="s">
        <v>414</v>
      </c>
      <c r="G29">
        <v>3514568</v>
      </c>
      <c r="H29" t="s">
        <v>91</v>
      </c>
      <c r="I29">
        <v>450</v>
      </c>
      <c r="J29" s="74">
        <v>45681</v>
      </c>
      <c r="K29" s="74">
        <v>45688</v>
      </c>
      <c r="L29" t="s">
        <v>190</v>
      </c>
      <c r="M29" s="74">
        <v>45681</v>
      </c>
      <c r="N29" t="s">
        <v>155</v>
      </c>
      <c r="O29" t="s">
        <v>190</v>
      </c>
      <c r="P29">
        <v>11.11</v>
      </c>
      <c r="Q29">
        <v>16.11</v>
      </c>
      <c r="R29">
        <v>4999.5</v>
      </c>
      <c r="S29">
        <v>7249.5</v>
      </c>
      <c r="T29" t="s">
        <v>67</v>
      </c>
      <c r="AA29">
        <f t="shared" si="0"/>
        <v>211605.87</v>
      </c>
      <c r="AB29">
        <f>COUNTIF($D$1:D29,D29)</f>
        <v>9</v>
      </c>
    </row>
    <row r="30" spans="1:28" x14ac:dyDescent="0.25">
      <c r="A30">
        <v>29</v>
      </c>
      <c r="B30">
        <v>184472</v>
      </c>
      <c r="C30">
        <v>24001527</v>
      </c>
      <c r="D30" t="s">
        <v>13</v>
      </c>
      <c r="E30" t="s">
        <v>129</v>
      </c>
      <c r="F30" t="s">
        <v>157</v>
      </c>
      <c r="G30">
        <v>3514557</v>
      </c>
      <c r="H30" t="s">
        <v>91</v>
      </c>
      <c r="I30">
        <v>635</v>
      </c>
      <c r="J30" s="74">
        <v>45672</v>
      </c>
      <c r="K30" s="74">
        <v>45680</v>
      </c>
      <c r="L30" t="s">
        <v>190</v>
      </c>
      <c r="M30" s="74">
        <v>45673</v>
      </c>
      <c r="N30" t="s">
        <v>155</v>
      </c>
      <c r="O30" t="s">
        <v>190</v>
      </c>
      <c r="P30">
        <v>12.47</v>
      </c>
      <c r="Q30">
        <v>20.28</v>
      </c>
      <c r="R30">
        <v>7918.45</v>
      </c>
      <c r="S30">
        <v>12877.8</v>
      </c>
      <c r="T30" t="s">
        <v>67</v>
      </c>
      <c r="AA30">
        <f t="shared" si="0"/>
        <v>211605.87</v>
      </c>
      <c r="AB30">
        <f>COUNTIF($D$1:D30,D30)</f>
        <v>10</v>
      </c>
    </row>
    <row r="31" spans="1:28" x14ac:dyDescent="0.25">
      <c r="A31">
        <v>30</v>
      </c>
      <c r="B31">
        <v>184354</v>
      </c>
      <c r="C31">
        <v>24001528</v>
      </c>
      <c r="D31" t="s">
        <v>13</v>
      </c>
      <c r="E31" t="s">
        <v>129</v>
      </c>
      <c r="F31" t="s">
        <v>159</v>
      </c>
      <c r="H31" t="s">
        <v>91</v>
      </c>
      <c r="I31">
        <v>390</v>
      </c>
      <c r="J31" s="74">
        <v>45663</v>
      </c>
      <c r="K31" s="74">
        <v>45672</v>
      </c>
      <c r="L31" t="s">
        <v>190</v>
      </c>
      <c r="M31" s="74">
        <v>45700</v>
      </c>
      <c r="N31" t="s">
        <v>151</v>
      </c>
      <c r="O31" t="s">
        <v>224</v>
      </c>
      <c r="P31">
        <v>12.47</v>
      </c>
      <c r="Q31">
        <v>6.45</v>
      </c>
      <c r="R31">
        <v>4863.3</v>
      </c>
      <c r="S31">
        <v>2515.5</v>
      </c>
      <c r="T31" t="s">
        <v>67</v>
      </c>
      <c r="AA31">
        <f t="shared" si="0"/>
        <v>211605.87</v>
      </c>
      <c r="AB31">
        <f>COUNTIF($D$1:D31,D31)</f>
        <v>11</v>
      </c>
    </row>
    <row r="32" spans="1:28" x14ac:dyDescent="0.25">
      <c r="A32">
        <v>31</v>
      </c>
      <c r="B32">
        <v>184241</v>
      </c>
      <c r="C32">
        <v>24001500</v>
      </c>
      <c r="D32" t="s">
        <v>13</v>
      </c>
      <c r="E32" t="s">
        <v>129</v>
      </c>
      <c r="F32" t="s">
        <v>158</v>
      </c>
      <c r="H32" t="s">
        <v>126</v>
      </c>
      <c r="I32">
        <v>45</v>
      </c>
      <c r="J32" s="74">
        <v>45659</v>
      </c>
      <c r="K32" s="74">
        <v>45673</v>
      </c>
      <c r="L32" t="s">
        <v>190</v>
      </c>
      <c r="M32" s="74">
        <v>45656</v>
      </c>
      <c r="N32" t="s">
        <v>155</v>
      </c>
      <c r="O32" t="s">
        <v>153</v>
      </c>
      <c r="P32">
        <v>12.47</v>
      </c>
      <c r="Q32">
        <v>20.28</v>
      </c>
      <c r="R32">
        <v>561.15</v>
      </c>
      <c r="S32">
        <v>912.6</v>
      </c>
      <c r="T32" t="s">
        <v>67</v>
      </c>
      <c r="AA32">
        <f t="shared" si="0"/>
        <v>211605.87</v>
      </c>
      <c r="AB32">
        <f>COUNTIF($D$1:D32,D32)</f>
        <v>12</v>
      </c>
    </row>
    <row r="33" spans="1:28" x14ac:dyDescent="0.25">
      <c r="A33">
        <v>32</v>
      </c>
      <c r="B33">
        <v>184473</v>
      </c>
      <c r="C33">
        <v>24001535</v>
      </c>
      <c r="D33" t="s">
        <v>13</v>
      </c>
      <c r="E33" t="s">
        <v>129</v>
      </c>
      <c r="F33" t="s">
        <v>414</v>
      </c>
      <c r="G33">
        <v>3514568</v>
      </c>
      <c r="H33" t="s">
        <v>126</v>
      </c>
      <c r="I33">
        <v>428</v>
      </c>
      <c r="J33" s="74">
        <v>45681</v>
      </c>
      <c r="K33" s="74">
        <v>45688</v>
      </c>
      <c r="L33" t="s">
        <v>190</v>
      </c>
      <c r="M33" s="74">
        <v>45681</v>
      </c>
      <c r="N33" t="s">
        <v>155</v>
      </c>
      <c r="O33" t="s">
        <v>190</v>
      </c>
      <c r="P33">
        <v>11.11</v>
      </c>
      <c r="Q33">
        <v>16.11</v>
      </c>
      <c r="R33">
        <v>4755.08</v>
      </c>
      <c r="S33">
        <v>6895.08</v>
      </c>
      <c r="T33" t="s">
        <v>67</v>
      </c>
      <c r="AA33">
        <f t="shared" si="0"/>
        <v>211605.87</v>
      </c>
      <c r="AB33">
        <f>COUNTIF($D$1:D33,D33)</f>
        <v>13</v>
      </c>
    </row>
    <row r="34" spans="1:28" x14ac:dyDescent="0.25">
      <c r="A34">
        <v>33</v>
      </c>
      <c r="B34">
        <v>184472</v>
      </c>
      <c r="C34">
        <v>24001527</v>
      </c>
      <c r="D34" t="s">
        <v>13</v>
      </c>
      <c r="E34" t="s">
        <v>129</v>
      </c>
      <c r="F34" t="s">
        <v>157</v>
      </c>
      <c r="G34">
        <v>3514557</v>
      </c>
      <c r="H34" t="s">
        <v>126</v>
      </c>
      <c r="I34">
        <v>635</v>
      </c>
      <c r="J34" s="74">
        <v>45672</v>
      </c>
      <c r="K34" s="74">
        <v>45681</v>
      </c>
      <c r="L34" t="s">
        <v>190</v>
      </c>
      <c r="M34" s="74">
        <v>45673</v>
      </c>
      <c r="N34" t="s">
        <v>155</v>
      </c>
      <c r="O34" t="s">
        <v>190</v>
      </c>
      <c r="P34">
        <v>12.47</v>
      </c>
      <c r="Q34">
        <v>20.28</v>
      </c>
      <c r="R34">
        <v>7918.45</v>
      </c>
      <c r="S34">
        <v>12877.8</v>
      </c>
      <c r="T34" t="s">
        <v>67</v>
      </c>
      <c r="AA34">
        <f t="shared" si="0"/>
        <v>211605.87</v>
      </c>
      <c r="AB34">
        <f>COUNTIF($D$1:D34,D34)</f>
        <v>14</v>
      </c>
    </row>
    <row r="35" spans="1:28" x14ac:dyDescent="0.25">
      <c r="A35">
        <v>34</v>
      </c>
      <c r="B35">
        <v>184354</v>
      </c>
      <c r="C35">
        <v>24001528</v>
      </c>
      <c r="D35" t="s">
        <v>13</v>
      </c>
      <c r="E35" t="s">
        <v>129</v>
      </c>
      <c r="F35" t="s">
        <v>159</v>
      </c>
      <c r="H35" t="s">
        <v>126</v>
      </c>
      <c r="I35">
        <v>442</v>
      </c>
      <c r="J35" s="74">
        <v>45659</v>
      </c>
      <c r="K35" s="74">
        <v>45672</v>
      </c>
      <c r="L35" t="s">
        <v>190</v>
      </c>
      <c r="M35" s="74">
        <v>45700</v>
      </c>
      <c r="N35" t="s">
        <v>151</v>
      </c>
      <c r="O35" t="s">
        <v>224</v>
      </c>
      <c r="P35">
        <v>12.47</v>
      </c>
      <c r="Q35">
        <v>6.45</v>
      </c>
      <c r="R35">
        <v>5511.74</v>
      </c>
      <c r="S35">
        <v>2850.9</v>
      </c>
      <c r="T35" t="s">
        <v>67</v>
      </c>
      <c r="AA35">
        <f t="shared" si="0"/>
        <v>211605.87</v>
      </c>
      <c r="AB35">
        <f>COUNTIF($D$1:D35,D35)</f>
        <v>15</v>
      </c>
    </row>
    <row r="36" spans="1:28" x14ac:dyDescent="0.25">
      <c r="A36">
        <v>35</v>
      </c>
      <c r="B36">
        <v>184102</v>
      </c>
      <c r="C36">
        <v>24001448</v>
      </c>
      <c r="D36" t="s">
        <v>13</v>
      </c>
      <c r="E36" t="s">
        <v>129</v>
      </c>
      <c r="F36" t="s">
        <v>315</v>
      </c>
      <c r="H36" t="s">
        <v>127</v>
      </c>
      <c r="I36">
        <v>314</v>
      </c>
      <c r="J36" s="74">
        <v>45659</v>
      </c>
      <c r="K36" s="74">
        <v>45663</v>
      </c>
      <c r="L36" t="s">
        <v>190</v>
      </c>
      <c r="M36" s="74">
        <v>45663</v>
      </c>
      <c r="N36" t="s">
        <v>151</v>
      </c>
      <c r="O36" t="s">
        <v>190</v>
      </c>
      <c r="P36">
        <v>14.58</v>
      </c>
      <c r="Q36">
        <v>23.22</v>
      </c>
      <c r="R36">
        <v>4578.12</v>
      </c>
      <c r="S36">
        <v>7291.08</v>
      </c>
      <c r="T36" t="s">
        <v>67</v>
      </c>
      <c r="AA36">
        <f t="shared" si="0"/>
        <v>211605.87</v>
      </c>
      <c r="AB36">
        <f>COUNTIF($D$1:D36,D36)</f>
        <v>16</v>
      </c>
    </row>
    <row r="37" spans="1:28" x14ac:dyDescent="0.25">
      <c r="A37">
        <v>36</v>
      </c>
      <c r="B37">
        <v>184169</v>
      </c>
      <c r="C37">
        <v>24001508</v>
      </c>
      <c r="D37" t="s">
        <v>13</v>
      </c>
      <c r="E37" t="s">
        <v>129</v>
      </c>
      <c r="F37" t="s">
        <v>415</v>
      </c>
      <c r="H37" t="s">
        <v>127</v>
      </c>
      <c r="I37">
        <v>133</v>
      </c>
      <c r="J37" s="74">
        <v>45664</v>
      </c>
      <c r="K37" s="74">
        <v>45674</v>
      </c>
      <c r="L37" t="s">
        <v>190</v>
      </c>
      <c r="M37" s="74">
        <v>45691</v>
      </c>
      <c r="N37" t="s">
        <v>151</v>
      </c>
      <c r="O37" t="s">
        <v>224</v>
      </c>
      <c r="P37">
        <v>0</v>
      </c>
      <c r="Q37">
        <v>29.46</v>
      </c>
      <c r="R37">
        <v>0</v>
      </c>
      <c r="S37">
        <v>3918.18</v>
      </c>
      <c r="T37" t="s">
        <v>67</v>
      </c>
      <c r="AA37">
        <f t="shared" si="0"/>
        <v>211605.87</v>
      </c>
      <c r="AB37">
        <f>COUNTIF($D$1:D37,D37)</f>
        <v>17</v>
      </c>
    </row>
    <row r="38" spans="1:28" x14ac:dyDescent="0.25">
      <c r="A38">
        <v>37</v>
      </c>
      <c r="B38">
        <v>184243</v>
      </c>
      <c r="C38">
        <v>24001502</v>
      </c>
      <c r="D38" t="s">
        <v>13</v>
      </c>
      <c r="E38" t="s">
        <v>129</v>
      </c>
      <c r="F38" t="s">
        <v>163</v>
      </c>
      <c r="H38" t="s">
        <v>127</v>
      </c>
      <c r="I38">
        <v>152</v>
      </c>
      <c r="J38" s="74">
        <v>45664</v>
      </c>
      <c r="K38" s="74">
        <v>45671</v>
      </c>
      <c r="L38" t="s">
        <v>190</v>
      </c>
      <c r="M38" s="74">
        <v>45673</v>
      </c>
      <c r="N38" t="s">
        <v>151</v>
      </c>
      <c r="O38" t="s">
        <v>190</v>
      </c>
      <c r="P38">
        <v>17.010000000000002</v>
      </c>
      <c r="Q38">
        <v>29.29</v>
      </c>
      <c r="R38">
        <v>2585.52</v>
      </c>
      <c r="S38">
        <v>4452.08</v>
      </c>
      <c r="T38" t="s">
        <v>67</v>
      </c>
      <c r="AA38">
        <f t="shared" si="0"/>
        <v>211605.87</v>
      </c>
      <c r="AB38">
        <f>COUNTIF($D$1:D38,D38)</f>
        <v>18</v>
      </c>
    </row>
    <row r="39" spans="1:28" x14ac:dyDescent="0.25">
      <c r="A39">
        <v>38</v>
      </c>
      <c r="B39">
        <v>184244</v>
      </c>
      <c r="C39">
        <v>24001503</v>
      </c>
      <c r="D39" t="s">
        <v>13</v>
      </c>
      <c r="E39" t="s">
        <v>129</v>
      </c>
      <c r="F39" t="s">
        <v>161</v>
      </c>
      <c r="H39" t="s">
        <v>127</v>
      </c>
      <c r="I39">
        <v>100</v>
      </c>
      <c r="J39" s="74">
        <v>45670</v>
      </c>
      <c r="K39" s="74">
        <v>45679</v>
      </c>
      <c r="L39" t="s">
        <v>190</v>
      </c>
      <c r="M39" s="74">
        <v>45673</v>
      </c>
      <c r="N39" t="s">
        <v>155</v>
      </c>
      <c r="O39" t="s">
        <v>190</v>
      </c>
      <c r="P39">
        <v>17.010000000000002</v>
      </c>
      <c r="Q39">
        <v>29.29</v>
      </c>
      <c r="R39">
        <v>1701</v>
      </c>
      <c r="S39">
        <v>2929</v>
      </c>
      <c r="T39" t="s">
        <v>67</v>
      </c>
      <c r="AA39">
        <f t="shared" si="0"/>
        <v>211605.87</v>
      </c>
      <c r="AB39">
        <f>COUNTIF($D$1:D39,D39)</f>
        <v>19</v>
      </c>
    </row>
    <row r="40" spans="1:28" x14ac:dyDescent="0.25">
      <c r="A40">
        <v>39</v>
      </c>
      <c r="B40">
        <v>184334</v>
      </c>
      <c r="C40">
        <v>24001511</v>
      </c>
      <c r="D40" t="s">
        <v>13</v>
      </c>
      <c r="E40" t="s">
        <v>129</v>
      </c>
      <c r="F40" t="s">
        <v>162</v>
      </c>
      <c r="H40" t="s">
        <v>127</v>
      </c>
      <c r="I40">
        <v>251</v>
      </c>
      <c r="J40" s="74">
        <v>45679</v>
      </c>
      <c r="K40" s="74">
        <v>45681</v>
      </c>
      <c r="L40" t="s">
        <v>190</v>
      </c>
      <c r="M40" s="74">
        <v>45681</v>
      </c>
      <c r="N40" t="s">
        <v>151</v>
      </c>
      <c r="O40" t="s">
        <v>190</v>
      </c>
      <c r="P40">
        <v>0</v>
      </c>
      <c r="Q40">
        <v>29.07</v>
      </c>
      <c r="R40">
        <v>0</v>
      </c>
      <c r="S40">
        <v>7296.57</v>
      </c>
      <c r="T40" t="s">
        <v>67</v>
      </c>
      <c r="AA40">
        <f t="shared" si="0"/>
        <v>211605.87</v>
      </c>
      <c r="AB40">
        <f>COUNTIF($D$1:D40,D40)</f>
        <v>20</v>
      </c>
    </row>
    <row r="41" spans="1:28" x14ac:dyDescent="0.25">
      <c r="A41">
        <v>40</v>
      </c>
      <c r="B41">
        <v>184195</v>
      </c>
      <c r="C41">
        <v>24001506</v>
      </c>
      <c r="D41" t="s">
        <v>13</v>
      </c>
      <c r="E41" t="s">
        <v>129</v>
      </c>
      <c r="F41" t="s">
        <v>416</v>
      </c>
      <c r="H41" t="s">
        <v>127</v>
      </c>
      <c r="I41">
        <v>135</v>
      </c>
      <c r="J41" s="74">
        <v>45672</v>
      </c>
      <c r="K41" s="74">
        <v>45687</v>
      </c>
      <c r="L41" t="s">
        <v>190</v>
      </c>
      <c r="M41" s="74">
        <v>45681</v>
      </c>
      <c r="N41" t="s">
        <v>155</v>
      </c>
      <c r="O41" t="s">
        <v>190</v>
      </c>
      <c r="P41">
        <v>0</v>
      </c>
      <c r="Q41">
        <v>19.059999999999999</v>
      </c>
      <c r="R41">
        <v>0</v>
      </c>
      <c r="S41">
        <v>2573.1</v>
      </c>
      <c r="T41" t="s">
        <v>67</v>
      </c>
      <c r="AA41">
        <f t="shared" si="0"/>
        <v>211605.87</v>
      </c>
      <c r="AB41">
        <f>COUNTIF($D$1:D41,D41)</f>
        <v>21</v>
      </c>
    </row>
    <row r="42" spans="1:28" x14ac:dyDescent="0.25">
      <c r="A42">
        <v>41</v>
      </c>
      <c r="B42">
        <v>184196</v>
      </c>
      <c r="C42">
        <v>24001507</v>
      </c>
      <c r="D42" t="s">
        <v>13</v>
      </c>
      <c r="E42" t="s">
        <v>129</v>
      </c>
      <c r="F42" t="s">
        <v>417</v>
      </c>
      <c r="H42" t="s">
        <v>127</v>
      </c>
      <c r="I42">
        <v>23</v>
      </c>
      <c r="J42" s="74">
        <v>45688</v>
      </c>
      <c r="K42" s="74">
        <v>45688</v>
      </c>
      <c r="L42" t="s">
        <v>190</v>
      </c>
      <c r="M42" s="74">
        <v>45681</v>
      </c>
      <c r="N42" t="s">
        <v>155</v>
      </c>
      <c r="O42" t="s">
        <v>190</v>
      </c>
      <c r="P42">
        <v>0</v>
      </c>
      <c r="Q42">
        <v>19.059999999999999</v>
      </c>
      <c r="R42">
        <v>0</v>
      </c>
      <c r="S42">
        <v>438.38</v>
      </c>
      <c r="T42" t="s">
        <v>67</v>
      </c>
      <c r="AA42">
        <f t="shared" si="0"/>
        <v>211605.87</v>
      </c>
      <c r="AB42">
        <f>COUNTIF($D$1:D42,D42)</f>
        <v>22</v>
      </c>
    </row>
    <row r="43" spans="1:28" x14ac:dyDescent="0.25">
      <c r="A43">
        <v>42</v>
      </c>
      <c r="B43">
        <v>184354</v>
      </c>
      <c r="C43">
        <v>24001528</v>
      </c>
      <c r="D43" t="s">
        <v>13</v>
      </c>
      <c r="E43" t="s">
        <v>129</v>
      </c>
      <c r="F43" t="s">
        <v>159</v>
      </c>
      <c r="H43" t="s">
        <v>127</v>
      </c>
      <c r="I43">
        <v>388</v>
      </c>
      <c r="J43" s="74">
        <v>45670</v>
      </c>
      <c r="K43" s="74">
        <v>45678</v>
      </c>
      <c r="L43" t="s">
        <v>190</v>
      </c>
      <c r="M43" s="74">
        <v>45673</v>
      </c>
      <c r="N43" t="s">
        <v>155</v>
      </c>
      <c r="O43" t="s">
        <v>190</v>
      </c>
      <c r="P43">
        <v>12.47</v>
      </c>
      <c r="Q43">
        <v>6.45</v>
      </c>
      <c r="R43">
        <v>4838.3599999999997</v>
      </c>
      <c r="S43">
        <v>2502.6</v>
      </c>
      <c r="T43" t="s">
        <v>67</v>
      </c>
      <c r="AA43">
        <f t="shared" si="0"/>
        <v>211605.87</v>
      </c>
      <c r="AB43">
        <f>COUNTIF($D$1:D43,D43)</f>
        <v>23</v>
      </c>
    </row>
    <row r="44" spans="1:28" x14ac:dyDescent="0.25">
      <c r="A44">
        <v>43</v>
      </c>
      <c r="B44">
        <v>184475</v>
      </c>
      <c r="C44">
        <v>24001531</v>
      </c>
      <c r="D44" t="s">
        <v>13</v>
      </c>
      <c r="E44" t="s">
        <v>129</v>
      </c>
      <c r="F44" t="s">
        <v>160</v>
      </c>
      <c r="G44">
        <v>3514640</v>
      </c>
      <c r="H44" t="s">
        <v>127</v>
      </c>
      <c r="I44">
        <v>150</v>
      </c>
      <c r="J44" s="74">
        <v>45687</v>
      </c>
      <c r="K44" s="74">
        <v>45688</v>
      </c>
      <c r="L44" t="s">
        <v>190</v>
      </c>
      <c r="M44" s="74">
        <v>45691</v>
      </c>
      <c r="N44" t="s">
        <v>151</v>
      </c>
      <c r="O44" t="s">
        <v>224</v>
      </c>
      <c r="P44">
        <v>15.96</v>
      </c>
      <c r="Q44">
        <v>29.07</v>
      </c>
      <c r="R44">
        <v>2394</v>
      </c>
      <c r="S44">
        <v>4360.5</v>
      </c>
      <c r="T44" t="s">
        <v>67</v>
      </c>
      <c r="AA44">
        <f t="shared" si="0"/>
        <v>211605.87</v>
      </c>
      <c r="AB44">
        <f>COUNTIF($D$1:D44,D44)</f>
        <v>24</v>
      </c>
    </row>
    <row r="45" spans="1:28" x14ac:dyDescent="0.25">
      <c r="A45">
        <v>44</v>
      </c>
      <c r="B45">
        <v>184102</v>
      </c>
      <c r="C45">
        <v>24001448</v>
      </c>
      <c r="D45" t="s">
        <v>13</v>
      </c>
      <c r="E45" t="s">
        <v>129</v>
      </c>
      <c r="F45" t="s">
        <v>315</v>
      </c>
      <c r="H45" t="s">
        <v>94</v>
      </c>
      <c r="I45">
        <v>314</v>
      </c>
      <c r="J45" s="74">
        <v>45659</v>
      </c>
      <c r="K45" s="74">
        <v>45663</v>
      </c>
      <c r="L45" t="s">
        <v>190</v>
      </c>
      <c r="M45" s="74">
        <v>45663</v>
      </c>
      <c r="N45" t="s">
        <v>151</v>
      </c>
      <c r="O45" t="s">
        <v>190</v>
      </c>
      <c r="P45">
        <v>14.58</v>
      </c>
      <c r="Q45">
        <v>23.22</v>
      </c>
      <c r="R45">
        <v>4578.12</v>
      </c>
      <c r="S45">
        <v>7291.08</v>
      </c>
      <c r="T45" t="s">
        <v>67</v>
      </c>
      <c r="AA45">
        <f t="shared" si="0"/>
        <v>211605.87</v>
      </c>
      <c r="AB45">
        <f>COUNTIF($D$1:D45,D45)</f>
        <v>25</v>
      </c>
    </row>
    <row r="46" spans="1:28" x14ac:dyDescent="0.25">
      <c r="A46">
        <v>45</v>
      </c>
      <c r="B46">
        <v>184169</v>
      </c>
      <c r="C46">
        <v>24001508</v>
      </c>
      <c r="D46" t="s">
        <v>13</v>
      </c>
      <c r="E46" t="s">
        <v>129</v>
      </c>
      <c r="F46" t="s">
        <v>415</v>
      </c>
      <c r="H46" t="s">
        <v>94</v>
      </c>
      <c r="I46">
        <v>132</v>
      </c>
      <c r="J46" s="74">
        <v>45664</v>
      </c>
      <c r="K46" s="74">
        <v>45674</v>
      </c>
      <c r="L46" t="s">
        <v>190</v>
      </c>
      <c r="M46" s="74">
        <v>45691</v>
      </c>
      <c r="N46" t="s">
        <v>151</v>
      </c>
      <c r="O46" t="s">
        <v>224</v>
      </c>
      <c r="P46">
        <v>0</v>
      </c>
      <c r="Q46">
        <v>29.46</v>
      </c>
      <c r="R46">
        <v>0</v>
      </c>
      <c r="S46">
        <v>3888.72</v>
      </c>
      <c r="T46" t="s">
        <v>67</v>
      </c>
      <c r="AA46">
        <f t="shared" si="0"/>
        <v>211605.87</v>
      </c>
      <c r="AB46">
        <f>COUNTIF($D$1:D46,D46)</f>
        <v>26</v>
      </c>
    </row>
    <row r="47" spans="1:28" x14ac:dyDescent="0.25">
      <c r="A47">
        <v>46</v>
      </c>
      <c r="B47">
        <v>184243</v>
      </c>
      <c r="C47">
        <v>24001502</v>
      </c>
      <c r="D47" t="s">
        <v>13</v>
      </c>
      <c r="E47" t="s">
        <v>129</v>
      </c>
      <c r="F47" t="s">
        <v>163</v>
      </c>
      <c r="H47" t="s">
        <v>94</v>
      </c>
      <c r="I47">
        <v>152</v>
      </c>
      <c r="J47" s="74">
        <v>45664</v>
      </c>
      <c r="K47" s="74">
        <v>45671</v>
      </c>
      <c r="L47" t="s">
        <v>190</v>
      </c>
      <c r="M47" s="74">
        <v>45673</v>
      </c>
      <c r="N47" t="s">
        <v>151</v>
      </c>
      <c r="O47" t="s">
        <v>190</v>
      </c>
      <c r="P47">
        <v>17.010000000000002</v>
      </c>
      <c r="Q47">
        <v>29.29</v>
      </c>
      <c r="R47">
        <v>2585.52</v>
      </c>
      <c r="S47">
        <v>4452.08</v>
      </c>
      <c r="T47" t="s">
        <v>67</v>
      </c>
      <c r="AA47">
        <f t="shared" si="0"/>
        <v>211605.87</v>
      </c>
      <c r="AB47">
        <f>COUNTIF($D$1:D47,D47)</f>
        <v>27</v>
      </c>
    </row>
    <row r="48" spans="1:28" x14ac:dyDescent="0.25">
      <c r="A48">
        <v>47</v>
      </c>
      <c r="B48">
        <v>184244</v>
      </c>
      <c r="C48">
        <v>24001503</v>
      </c>
      <c r="D48" t="s">
        <v>13</v>
      </c>
      <c r="E48" t="s">
        <v>129</v>
      </c>
      <c r="F48" t="s">
        <v>161</v>
      </c>
      <c r="H48" t="s">
        <v>94</v>
      </c>
      <c r="I48">
        <v>100</v>
      </c>
      <c r="J48" s="74">
        <v>45670</v>
      </c>
      <c r="K48" s="74">
        <v>45679</v>
      </c>
      <c r="L48" t="s">
        <v>190</v>
      </c>
      <c r="M48" s="74">
        <v>45673</v>
      </c>
      <c r="N48" t="s">
        <v>155</v>
      </c>
      <c r="O48" t="s">
        <v>190</v>
      </c>
      <c r="P48">
        <v>17.010000000000002</v>
      </c>
      <c r="Q48">
        <v>29.29</v>
      </c>
      <c r="R48">
        <v>1701</v>
      </c>
      <c r="S48">
        <v>2929</v>
      </c>
      <c r="T48" t="s">
        <v>67</v>
      </c>
      <c r="AA48">
        <f t="shared" si="0"/>
        <v>211605.87</v>
      </c>
      <c r="AB48">
        <f>COUNTIF($D$1:D48,D48)</f>
        <v>28</v>
      </c>
    </row>
    <row r="49" spans="1:28" x14ac:dyDescent="0.25">
      <c r="A49">
        <v>48</v>
      </c>
      <c r="B49">
        <v>184334</v>
      </c>
      <c r="C49">
        <v>24001511</v>
      </c>
      <c r="D49" t="s">
        <v>13</v>
      </c>
      <c r="E49" t="s">
        <v>129</v>
      </c>
      <c r="F49" t="s">
        <v>162</v>
      </c>
      <c r="H49" t="s">
        <v>94</v>
      </c>
      <c r="I49">
        <v>250</v>
      </c>
      <c r="J49" s="74">
        <v>45679</v>
      </c>
      <c r="K49" s="74">
        <v>45681</v>
      </c>
      <c r="L49" t="s">
        <v>190</v>
      </c>
      <c r="M49" s="74">
        <v>45681</v>
      </c>
      <c r="N49" t="s">
        <v>151</v>
      </c>
      <c r="O49" t="s">
        <v>190</v>
      </c>
      <c r="P49">
        <v>0</v>
      </c>
      <c r="Q49">
        <v>29.07</v>
      </c>
      <c r="R49">
        <v>0</v>
      </c>
      <c r="S49">
        <v>7267.5</v>
      </c>
      <c r="T49" t="s">
        <v>67</v>
      </c>
      <c r="AA49">
        <f t="shared" si="0"/>
        <v>211605.87</v>
      </c>
      <c r="AB49">
        <f>COUNTIF($D$1:D49,D49)</f>
        <v>29</v>
      </c>
    </row>
    <row r="50" spans="1:28" x14ac:dyDescent="0.25">
      <c r="A50">
        <v>49</v>
      </c>
      <c r="B50">
        <v>184195</v>
      </c>
      <c r="C50">
        <v>24001506</v>
      </c>
      <c r="D50" t="s">
        <v>13</v>
      </c>
      <c r="E50" t="s">
        <v>129</v>
      </c>
      <c r="F50" t="s">
        <v>416</v>
      </c>
      <c r="H50" t="s">
        <v>94</v>
      </c>
      <c r="I50">
        <v>136</v>
      </c>
      <c r="J50" s="74">
        <v>45672</v>
      </c>
      <c r="K50" s="74">
        <v>45685</v>
      </c>
      <c r="L50" t="s">
        <v>190</v>
      </c>
      <c r="M50" s="74">
        <v>45681</v>
      </c>
      <c r="N50" t="s">
        <v>155</v>
      </c>
      <c r="O50" t="s">
        <v>190</v>
      </c>
      <c r="P50">
        <v>0</v>
      </c>
      <c r="Q50">
        <v>19.059999999999999</v>
      </c>
      <c r="R50">
        <v>0</v>
      </c>
      <c r="S50">
        <v>2592.16</v>
      </c>
      <c r="T50" t="s">
        <v>67</v>
      </c>
      <c r="AA50">
        <f t="shared" si="0"/>
        <v>211605.87</v>
      </c>
      <c r="AB50">
        <f>COUNTIF($D$1:D50,D50)</f>
        <v>30</v>
      </c>
    </row>
    <row r="51" spans="1:28" x14ac:dyDescent="0.25">
      <c r="A51">
        <v>50</v>
      </c>
      <c r="B51">
        <v>184196</v>
      </c>
      <c r="C51">
        <v>24001507</v>
      </c>
      <c r="D51" t="s">
        <v>13</v>
      </c>
      <c r="E51" t="s">
        <v>129</v>
      </c>
      <c r="F51" t="s">
        <v>417</v>
      </c>
      <c r="H51" t="s">
        <v>94</v>
      </c>
      <c r="I51">
        <v>60</v>
      </c>
      <c r="J51" s="74">
        <v>45688</v>
      </c>
      <c r="K51" s="74">
        <v>45688</v>
      </c>
      <c r="L51" t="s">
        <v>190</v>
      </c>
      <c r="M51" s="74">
        <v>45681</v>
      </c>
      <c r="N51" t="s">
        <v>155</v>
      </c>
      <c r="O51" t="s">
        <v>190</v>
      </c>
      <c r="P51">
        <v>0</v>
      </c>
      <c r="Q51">
        <v>19.059999999999999</v>
      </c>
      <c r="R51">
        <v>0</v>
      </c>
      <c r="S51">
        <v>1143.5999999999999</v>
      </c>
      <c r="T51" t="s">
        <v>67</v>
      </c>
      <c r="AA51">
        <f t="shared" si="0"/>
        <v>211605.87</v>
      </c>
      <c r="AB51">
        <f>COUNTIF($D$1:D51,D51)</f>
        <v>31</v>
      </c>
    </row>
    <row r="52" spans="1:28" x14ac:dyDescent="0.25">
      <c r="A52">
        <v>51</v>
      </c>
      <c r="B52">
        <v>184354</v>
      </c>
      <c r="C52">
        <v>24001528</v>
      </c>
      <c r="D52" t="s">
        <v>13</v>
      </c>
      <c r="E52" t="s">
        <v>129</v>
      </c>
      <c r="F52" t="s">
        <v>159</v>
      </c>
      <c r="H52" t="s">
        <v>94</v>
      </c>
      <c r="I52">
        <v>388</v>
      </c>
      <c r="J52" s="74">
        <v>45670</v>
      </c>
      <c r="K52" s="74">
        <v>45678</v>
      </c>
      <c r="L52" t="s">
        <v>190</v>
      </c>
      <c r="M52" s="74">
        <v>45673</v>
      </c>
      <c r="N52" t="s">
        <v>155</v>
      </c>
      <c r="O52" t="s">
        <v>190</v>
      </c>
      <c r="P52">
        <v>12.47</v>
      </c>
      <c r="Q52">
        <v>6.45</v>
      </c>
      <c r="R52">
        <v>4838.3599999999997</v>
      </c>
      <c r="S52">
        <v>2502.6</v>
      </c>
      <c r="T52" t="s">
        <v>67</v>
      </c>
      <c r="AA52">
        <f t="shared" si="0"/>
        <v>211605.87</v>
      </c>
      <c r="AB52">
        <f>COUNTIF($D$1:D52,D52)</f>
        <v>32</v>
      </c>
    </row>
    <row r="53" spans="1:28" x14ac:dyDescent="0.25">
      <c r="A53">
        <v>52</v>
      </c>
      <c r="B53">
        <v>184475</v>
      </c>
      <c r="C53">
        <v>24001531</v>
      </c>
      <c r="D53" t="s">
        <v>13</v>
      </c>
      <c r="E53" t="s">
        <v>129</v>
      </c>
      <c r="F53" t="s">
        <v>160</v>
      </c>
      <c r="G53">
        <v>3514640</v>
      </c>
      <c r="H53" t="s">
        <v>94</v>
      </c>
      <c r="I53">
        <v>150</v>
      </c>
      <c r="J53" s="74">
        <v>45685</v>
      </c>
      <c r="K53" s="74">
        <v>45687</v>
      </c>
      <c r="L53" t="s">
        <v>190</v>
      </c>
      <c r="M53" s="74">
        <v>45691</v>
      </c>
      <c r="N53" t="s">
        <v>151</v>
      </c>
      <c r="O53" t="s">
        <v>224</v>
      </c>
      <c r="P53">
        <v>15.96</v>
      </c>
      <c r="Q53">
        <v>29.07</v>
      </c>
      <c r="R53">
        <v>2394</v>
      </c>
      <c r="S53">
        <v>4360.5</v>
      </c>
      <c r="T53" t="s">
        <v>67</v>
      </c>
      <c r="AA53">
        <f t="shared" si="0"/>
        <v>211605.87</v>
      </c>
      <c r="AB53">
        <f>COUNTIF($D$1:D53,D53)</f>
        <v>33</v>
      </c>
    </row>
    <row r="54" spans="1:28" x14ac:dyDescent="0.25">
      <c r="A54">
        <v>53</v>
      </c>
      <c r="B54">
        <v>184154</v>
      </c>
      <c r="C54">
        <v>24001481</v>
      </c>
      <c r="D54" t="s">
        <v>13</v>
      </c>
      <c r="E54" t="s">
        <v>119</v>
      </c>
      <c r="F54">
        <v>1106714</v>
      </c>
      <c r="H54" t="s">
        <v>95</v>
      </c>
      <c r="I54">
        <v>1760</v>
      </c>
      <c r="J54" s="74">
        <v>45666</v>
      </c>
      <c r="K54" s="74">
        <v>45688</v>
      </c>
      <c r="L54" t="s">
        <v>190</v>
      </c>
      <c r="M54" s="74">
        <v>45702</v>
      </c>
      <c r="N54" t="s">
        <v>151</v>
      </c>
      <c r="O54" t="s">
        <v>224</v>
      </c>
      <c r="P54">
        <v>6.57</v>
      </c>
      <c r="Q54">
        <v>6.95</v>
      </c>
      <c r="R54">
        <v>11563.2</v>
      </c>
      <c r="S54">
        <v>12232</v>
      </c>
      <c r="T54" t="s">
        <v>154</v>
      </c>
      <c r="AA54">
        <f t="shared" si="0"/>
        <v>211605.87</v>
      </c>
      <c r="AB54">
        <f>COUNTIF($D$1:D54,D54)</f>
        <v>34</v>
      </c>
    </row>
    <row r="55" spans="1:28" x14ac:dyDescent="0.25">
      <c r="A55">
        <v>54</v>
      </c>
      <c r="B55">
        <v>184151</v>
      </c>
      <c r="C55">
        <v>24001473</v>
      </c>
      <c r="D55" t="s">
        <v>13</v>
      </c>
      <c r="E55" t="s">
        <v>119</v>
      </c>
      <c r="F55">
        <v>1106644</v>
      </c>
      <c r="H55" t="s">
        <v>95</v>
      </c>
      <c r="I55">
        <v>527</v>
      </c>
      <c r="J55" s="74">
        <v>45659</v>
      </c>
      <c r="K55" s="74">
        <v>45665</v>
      </c>
      <c r="L55" t="s">
        <v>190</v>
      </c>
      <c r="M55" s="74">
        <v>45681</v>
      </c>
      <c r="N55" t="s">
        <v>151</v>
      </c>
      <c r="O55" t="s">
        <v>190</v>
      </c>
      <c r="P55">
        <v>7.85</v>
      </c>
      <c r="Q55">
        <v>7.9</v>
      </c>
      <c r="R55">
        <v>4136.95</v>
      </c>
      <c r="S55">
        <v>4163.3</v>
      </c>
      <c r="T55" t="s">
        <v>154</v>
      </c>
      <c r="AA55">
        <f t="shared" si="0"/>
        <v>211605.87</v>
      </c>
      <c r="AB55">
        <f>COUNTIF($D$1:D55,D55)</f>
        <v>35</v>
      </c>
    </row>
    <row r="56" spans="1:28" x14ac:dyDescent="0.25">
      <c r="A56">
        <v>55</v>
      </c>
      <c r="B56">
        <v>179568</v>
      </c>
      <c r="C56">
        <v>23001073</v>
      </c>
      <c r="D56" t="s">
        <v>13</v>
      </c>
      <c r="E56" t="s">
        <v>119</v>
      </c>
      <c r="F56">
        <v>5034829</v>
      </c>
      <c r="H56" t="s">
        <v>102</v>
      </c>
      <c r="I56">
        <v>240</v>
      </c>
      <c r="J56" s="74">
        <v>45659</v>
      </c>
      <c r="K56" s="74">
        <v>45674</v>
      </c>
      <c r="L56" t="s">
        <v>190</v>
      </c>
      <c r="M56" s="74">
        <v>45105</v>
      </c>
      <c r="N56" t="s">
        <v>155</v>
      </c>
      <c r="O56" t="s">
        <v>323</v>
      </c>
      <c r="P56">
        <v>3.05</v>
      </c>
      <c r="Q56">
        <v>3.05</v>
      </c>
      <c r="R56">
        <v>732</v>
      </c>
      <c r="S56">
        <v>732</v>
      </c>
      <c r="T56" t="s">
        <v>67</v>
      </c>
      <c r="AA56">
        <f t="shared" si="0"/>
        <v>211605.87</v>
      </c>
      <c r="AB56">
        <f>COUNTIF($D$1:D56,D56)</f>
        <v>36</v>
      </c>
    </row>
    <row r="57" spans="1:28" x14ac:dyDescent="0.25">
      <c r="A57">
        <v>56</v>
      </c>
      <c r="B57">
        <v>184155</v>
      </c>
      <c r="C57">
        <v>24001483</v>
      </c>
      <c r="D57" t="s">
        <v>13</v>
      </c>
      <c r="E57" t="s">
        <v>119</v>
      </c>
      <c r="F57">
        <v>1106686</v>
      </c>
      <c r="H57" t="s">
        <v>102</v>
      </c>
      <c r="I57">
        <v>1364</v>
      </c>
      <c r="J57" s="74">
        <v>45677</v>
      </c>
      <c r="K57" s="74">
        <v>45688</v>
      </c>
      <c r="L57" t="s">
        <v>190</v>
      </c>
      <c r="M57" s="74">
        <v>45723</v>
      </c>
      <c r="N57" t="s">
        <v>151</v>
      </c>
      <c r="O57" t="s">
        <v>226</v>
      </c>
      <c r="P57">
        <v>7.35</v>
      </c>
      <c r="Q57">
        <v>7.4</v>
      </c>
      <c r="R57">
        <v>10025.4</v>
      </c>
      <c r="S57">
        <v>10093.6</v>
      </c>
      <c r="T57" t="s">
        <v>154</v>
      </c>
      <c r="AA57">
        <f t="shared" si="0"/>
        <v>211605.87</v>
      </c>
      <c r="AB57">
        <f>COUNTIF($D$1:D57,D57)</f>
        <v>37</v>
      </c>
    </row>
    <row r="58" spans="1:28" x14ac:dyDescent="0.25">
      <c r="A58">
        <v>57</v>
      </c>
      <c r="B58">
        <v>179567</v>
      </c>
      <c r="C58">
        <v>23001083</v>
      </c>
      <c r="D58" t="s">
        <v>13</v>
      </c>
      <c r="E58" t="s">
        <v>119</v>
      </c>
      <c r="F58">
        <v>6020518</v>
      </c>
      <c r="H58" t="s">
        <v>99</v>
      </c>
      <c r="I58">
        <v>10</v>
      </c>
      <c r="J58" s="74">
        <v>45659</v>
      </c>
      <c r="K58" s="74">
        <v>45673</v>
      </c>
      <c r="L58" t="s">
        <v>190</v>
      </c>
      <c r="M58" s="74">
        <v>45105</v>
      </c>
      <c r="N58" t="s">
        <v>155</v>
      </c>
      <c r="O58" t="s">
        <v>323</v>
      </c>
      <c r="P58">
        <v>3.85</v>
      </c>
      <c r="Q58">
        <v>3.85</v>
      </c>
      <c r="R58">
        <v>38.5</v>
      </c>
      <c r="S58">
        <v>38.5</v>
      </c>
      <c r="T58" t="s">
        <v>67</v>
      </c>
      <c r="AA58">
        <f t="shared" si="0"/>
        <v>211605.87</v>
      </c>
      <c r="AB58">
        <f>COUNTIF($D$1:D58,D58)</f>
        <v>38</v>
      </c>
    </row>
    <row r="59" spans="1:28" x14ac:dyDescent="0.25">
      <c r="A59">
        <v>58</v>
      </c>
      <c r="B59">
        <v>184151</v>
      </c>
      <c r="C59">
        <v>24001473</v>
      </c>
      <c r="D59" t="s">
        <v>13</v>
      </c>
      <c r="E59" t="s">
        <v>119</v>
      </c>
      <c r="F59">
        <v>1106644</v>
      </c>
      <c r="H59" t="s">
        <v>99</v>
      </c>
      <c r="I59">
        <v>750</v>
      </c>
      <c r="J59" s="74">
        <v>45659</v>
      </c>
      <c r="K59" s="74">
        <v>45673</v>
      </c>
      <c r="L59" t="s">
        <v>190</v>
      </c>
      <c r="M59" s="74">
        <v>45681</v>
      </c>
      <c r="N59" t="s">
        <v>151</v>
      </c>
      <c r="O59" t="s">
        <v>190</v>
      </c>
      <c r="P59">
        <v>7.85</v>
      </c>
      <c r="Q59">
        <v>7.9</v>
      </c>
      <c r="R59">
        <v>5887.5</v>
      </c>
      <c r="S59">
        <v>5925</v>
      </c>
      <c r="T59" t="s">
        <v>154</v>
      </c>
      <c r="AA59">
        <f t="shared" si="0"/>
        <v>211605.87</v>
      </c>
      <c r="AB59">
        <f>COUNTIF($D$1:D59,D59)</f>
        <v>39</v>
      </c>
    </row>
    <row r="60" spans="1:28" x14ac:dyDescent="0.25">
      <c r="A60">
        <v>59</v>
      </c>
      <c r="B60">
        <v>184164</v>
      </c>
      <c r="C60">
        <v>24001474</v>
      </c>
      <c r="D60" t="s">
        <v>13</v>
      </c>
      <c r="E60" t="s">
        <v>119</v>
      </c>
      <c r="F60">
        <v>2306160</v>
      </c>
      <c r="H60" t="s">
        <v>99</v>
      </c>
      <c r="I60">
        <v>977</v>
      </c>
      <c r="J60" s="74">
        <v>45678</v>
      </c>
      <c r="K60" s="74">
        <v>45688</v>
      </c>
      <c r="L60" t="s">
        <v>190</v>
      </c>
      <c r="M60" s="74">
        <v>45702</v>
      </c>
      <c r="N60" t="s">
        <v>151</v>
      </c>
      <c r="O60" t="s">
        <v>224</v>
      </c>
      <c r="P60">
        <v>7.85</v>
      </c>
      <c r="Q60">
        <v>7.9</v>
      </c>
      <c r="R60">
        <v>7669.45</v>
      </c>
      <c r="S60">
        <v>7718.3</v>
      </c>
      <c r="T60" t="s">
        <v>154</v>
      </c>
      <c r="AA60">
        <f t="shared" si="0"/>
        <v>211605.87</v>
      </c>
      <c r="AB60">
        <f>COUNTIF($D$1:D60,D60)</f>
        <v>40</v>
      </c>
    </row>
    <row r="61" spans="1:28" x14ac:dyDescent="0.25">
      <c r="A61">
        <v>60</v>
      </c>
      <c r="B61">
        <v>184250</v>
      </c>
      <c r="C61">
        <v>24001480</v>
      </c>
      <c r="D61" t="s">
        <v>13</v>
      </c>
      <c r="E61" t="s">
        <v>119</v>
      </c>
      <c r="F61">
        <v>1106683</v>
      </c>
      <c r="H61" t="s">
        <v>99</v>
      </c>
      <c r="I61">
        <v>300</v>
      </c>
      <c r="J61" s="74">
        <v>45671</v>
      </c>
      <c r="K61" s="74">
        <v>45677</v>
      </c>
      <c r="L61" t="s">
        <v>190</v>
      </c>
      <c r="M61" s="74">
        <v>45641</v>
      </c>
      <c r="N61" t="s">
        <v>155</v>
      </c>
      <c r="O61" t="s">
        <v>153</v>
      </c>
      <c r="P61">
        <v>6.3</v>
      </c>
      <c r="Q61">
        <v>6.35</v>
      </c>
      <c r="R61">
        <v>1890</v>
      </c>
      <c r="S61">
        <v>1905</v>
      </c>
      <c r="T61" t="s">
        <v>154</v>
      </c>
      <c r="AA61">
        <f t="shared" si="0"/>
        <v>211605.87</v>
      </c>
      <c r="AB61">
        <f>COUNTIF($D$1:D61,D61)</f>
        <v>41</v>
      </c>
    </row>
    <row r="62" spans="1:28" x14ac:dyDescent="0.25">
      <c r="A62">
        <v>61</v>
      </c>
      <c r="B62">
        <v>183874</v>
      </c>
      <c r="C62">
        <v>24001370</v>
      </c>
      <c r="D62" t="s">
        <v>13</v>
      </c>
      <c r="E62" t="s">
        <v>119</v>
      </c>
      <c r="F62">
        <v>6026495</v>
      </c>
      <c r="H62" t="s">
        <v>118</v>
      </c>
      <c r="I62">
        <v>1614</v>
      </c>
      <c r="J62" s="74">
        <v>45659</v>
      </c>
      <c r="K62" s="74">
        <v>45667</v>
      </c>
      <c r="L62" t="s">
        <v>190</v>
      </c>
      <c r="M62" s="74">
        <v>45653</v>
      </c>
      <c r="N62" t="s">
        <v>155</v>
      </c>
      <c r="O62" t="s">
        <v>153</v>
      </c>
      <c r="P62">
        <v>3.65</v>
      </c>
      <c r="Q62">
        <v>3.65</v>
      </c>
      <c r="R62">
        <v>5891.1</v>
      </c>
      <c r="S62">
        <v>5891.1</v>
      </c>
      <c r="T62" t="s">
        <v>67</v>
      </c>
      <c r="AA62">
        <f t="shared" si="0"/>
        <v>211605.87</v>
      </c>
      <c r="AB62">
        <f>COUNTIF($D$1:D62,D62)</f>
        <v>42</v>
      </c>
    </row>
    <row r="63" spans="1:28" x14ac:dyDescent="0.25">
      <c r="A63">
        <v>62</v>
      </c>
      <c r="B63">
        <v>184249</v>
      </c>
      <c r="C63">
        <v>24001479</v>
      </c>
      <c r="D63" t="s">
        <v>13</v>
      </c>
      <c r="E63" t="s">
        <v>119</v>
      </c>
      <c r="F63">
        <v>1106681</v>
      </c>
      <c r="H63" t="s">
        <v>118</v>
      </c>
      <c r="I63">
        <v>776</v>
      </c>
      <c r="J63" s="74">
        <v>45659</v>
      </c>
      <c r="K63" s="74">
        <v>45679</v>
      </c>
      <c r="L63" t="s">
        <v>190</v>
      </c>
      <c r="M63" s="74">
        <v>45681</v>
      </c>
      <c r="N63" t="s">
        <v>151</v>
      </c>
      <c r="O63" t="s">
        <v>190</v>
      </c>
      <c r="P63">
        <v>6.3</v>
      </c>
      <c r="Q63">
        <v>6.35</v>
      </c>
      <c r="R63">
        <v>4888.8</v>
      </c>
      <c r="S63">
        <v>4927.6000000000004</v>
      </c>
      <c r="T63" t="s">
        <v>154</v>
      </c>
      <c r="AA63">
        <f t="shared" si="0"/>
        <v>211605.87</v>
      </c>
      <c r="AB63">
        <f>COUNTIF($D$1:D63,D63)</f>
        <v>43</v>
      </c>
    </row>
    <row r="64" spans="1:28" x14ac:dyDescent="0.25">
      <c r="A64">
        <v>63</v>
      </c>
      <c r="B64">
        <v>184605</v>
      </c>
      <c r="C64">
        <v>24001471</v>
      </c>
      <c r="D64" t="s">
        <v>13</v>
      </c>
      <c r="E64" t="s">
        <v>119</v>
      </c>
      <c r="F64">
        <v>1106625</v>
      </c>
      <c r="H64" t="s">
        <v>118</v>
      </c>
      <c r="I64">
        <v>744</v>
      </c>
      <c r="J64" s="74">
        <v>45679</v>
      </c>
      <c r="K64" s="74">
        <v>45688</v>
      </c>
      <c r="L64" t="s">
        <v>190</v>
      </c>
      <c r="M64" s="74">
        <v>45702</v>
      </c>
      <c r="N64" t="s">
        <v>151</v>
      </c>
      <c r="O64" t="s">
        <v>224</v>
      </c>
      <c r="P64">
        <v>6.3</v>
      </c>
      <c r="Q64">
        <v>6.35</v>
      </c>
      <c r="R64">
        <v>4687.2</v>
      </c>
      <c r="S64">
        <v>4724.3999999999996</v>
      </c>
      <c r="T64" t="s">
        <v>154</v>
      </c>
      <c r="AA64">
        <f t="shared" si="0"/>
        <v>211605.87</v>
      </c>
      <c r="AB64">
        <f>COUNTIF($D$1:D64,D64)</f>
        <v>44</v>
      </c>
    </row>
    <row r="65" spans="1:28" x14ac:dyDescent="0.25">
      <c r="A65">
        <v>64</v>
      </c>
      <c r="B65">
        <v>184609</v>
      </c>
      <c r="C65">
        <v>24001485</v>
      </c>
      <c r="D65" t="s">
        <v>13</v>
      </c>
      <c r="E65" t="s">
        <v>119</v>
      </c>
      <c r="F65">
        <v>1106687</v>
      </c>
      <c r="H65" t="s">
        <v>123</v>
      </c>
      <c r="I65">
        <v>1083</v>
      </c>
      <c r="J65" s="74">
        <v>45677</v>
      </c>
      <c r="K65" s="74">
        <v>45688</v>
      </c>
      <c r="L65" t="s">
        <v>190</v>
      </c>
      <c r="M65" s="74">
        <v>45702</v>
      </c>
      <c r="N65" t="s">
        <v>151</v>
      </c>
      <c r="O65" t="s">
        <v>224</v>
      </c>
      <c r="P65">
        <v>7.35</v>
      </c>
      <c r="Q65">
        <v>7.4</v>
      </c>
      <c r="R65">
        <v>7960.05</v>
      </c>
      <c r="S65">
        <v>8014.2</v>
      </c>
      <c r="T65" t="s">
        <v>154</v>
      </c>
      <c r="AA65">
        <f t="shared" si="0"/>
        <v>211605.87</v>
      </c>
      <c r="AB65">
        <f>COUNTIF($D$1:D65,D65)</f>
        <v>45</v>
      </c>
    </row>
    <row r="66" spans="1:28" x14ac:dyDescent="0.25">
      <c r="A66">
        <v>65</v>
      </c>
      <c r="B66">
        <v>184241</v>
      </c>
      <c r="C66">
        <v>24001500</v>
      </c>
      <c r="D66" t="s">
        <v>13</v>
      </c>
      <c r="E66" t="s">
        <v>129</v>
      </c>
      <c r="F66" t="s">
        <v>158</v>
      </c>
      <c r="H66" t="s">
        <v>123</v>
      </c>
      <c r="I66">
        <v>30</v>
      </c>
      <c r="J66" s="74">
        <v>45659</v>
      </c>
      <c r="K66" s="74">
        <v>45660</v>
      </c>
      <c r="L66" t="s">
        <v>190</v>
      </c>
      <c r="M66" s="74">
        <v>45656</v>
      </c>
      <c r="N66" t="s">
        <v>155</v>
      </c>
      <c r="O66" t="s">
        <v>153</v>
      </c>
      <c r="P66">
        <v>12.47</v>
      </c>
      <c r="Q66">
        <v>20.28</v>
      </c>
      <c r="R66">
        <v>374.1</v>
      </c>
      <c r="S66">
        <v>608.4</v>
      </c>
      <c r="T66" t="s">
        <v>67</v>
      </c>
      <c r="AA66">
        <f t="shared" ref="AA66:AA129" si="1">SUMIF($D:$D,D66,$R:$R)</f>
        <v>211605.87</v>
      </c>
      <c r="AB66">
        <f>COUNTIF($D$1:D66,D66)</f>
        <v>46</v>
      </c>
    </row>
    <row r="67" spans="1:28" x14ac:dyDescent="0.25">
      <c r="A67">
        <v>66</v>
      </c>
      <c r="B67">
        <v>184245</v>
      </c>
      <c r="C67">
        <v>24001465</v>
      </c>
      <c r="D67" t="s">
        <v>13</v>
      </c>
      <c r="E67" t="s">
        <v>119</v>
      </c>
      <c r="F67">
        <v>1105621</v>
      </c>
      <c r="H67" t="s">
        <v>123</v>
      </c>
      <c r="I67">
        <v>682</v>
      </c>
      <c r="J67" s="74">
        <v>45663</v>
      </c>
      <c r="K67" s="74">
        <v>45677</v>
      </c>
      <c r="L67" t="s">
        <v>190</v>
      </c>
      <c r="M67" s="74">
        <v>45681</v>
      </c>
      <c r="N67" t="s">
        <v>151</v>
      </c>
      <c r="O67" t="s">
        <v>190</v>
      </c>
      <c r="P67">
        <v>5.82</v>
      </c>
      <c r="Q67">
        <v>6.2</v>
      </c>
      <c r="R67">
        <v>3969.24</v>
      </c>
      <c r="S67">
        <v>4228.3999999999996</v>
      </c>
      <c r="T67" t="s">
        <v>154</v>
      </c>
      <c r="AA67">
        <f t="shared" si="1"/>
        <v>211605.87</v>
      </c>
      <c r="AB67">
        <f>COUNTIF($D$1:D67,D67)</f>
        <v>47</v>
      </c>
    </row>
    <row r="68" spans="1:28" x14ac:dyDescent="0.25">
      <c r="A68">
        <v>67</v>
      </c>
      <c r="B68">
        <v>184250</v>
      </c>
      <c r="C68">
        <v>24001480</v>
      </c>
      <c r="D68" t="s">
        <v>13</v>
      </c>
      <c r="E68" t="s">
        <v>119</v>
      </c>
      <c r="F68">
        <v>1106683</v>
      </c>
      <c r="H68" t="s">
        <v>125</v>
      </c>
      <c r="I68">
        <v>301</v>
      </c>
      <c r="J68" s="74">
        <v>45670</v>
      </c>
      <c r="K68" s="74">
        <v>45677</v>
      </c>
      <c r="L68" t="s">
        <v>190</v>
      </c>
      <c r="M68" s="74">
        <v>45681</v>
      </c>
      <c r="N68" t="s">
        <v>151</v>
      </c>
      <c r="O68" t="s">
        <v>190</v>
      </c>
      <c r="P68">
        <v>6.3</v>
      </c>
      <c r="Q68">
        <v>6.35</v>
      </c>
      <c r="R68">
        <v>1896.3</v>
      </c>
      <c r="S68">
        <v>1911.35</v>
      </c>
      <c r="T68" t="s">
        <v>154</v>
      </c>
      <c r="AA68">
        <f t="shared" si="1"/>
        <v>211605.87</v>
      </c>
      <c r="AB68">
        <f>COUNTIF($D$1:D68,D68)</f>
        <v>48</v>
      </c>
    </row>
    <row r="69" spans="1:28" x14ac:dyDescent="0.25">
      <c r="A69">
        <v>68</v>
      </c>
      <c r="B69">
        <v>184246</v>
      </c>
      <c r="C69">
        <v>24001466</v>
      </c>
      <c r="D69" t="s">
        <v>13</v>
      </c>
      <c r="E69" t="s">
        <v>119</v>
      </c>
      <c r="F69">
        <v>1105653</v>
      </c>
      <c r="H69" t="s">
        <v>132</v>
      </c>
      <c r="I69">
        <v>832</v>
      </c>
      <c r="J69" s="74">
        <v>45664</v>
      </c>
      <c r="K69" s="74">
        <v>45677</v>
      </c>
      <c r="L69" t="s">
        <v>190</v>
      </c>
      <c r="M69" s="74">
        <v>45681</v>
      </c>
      <c r="N69" t="s">
        <v>151</v>
      </c>
      <c r="O69" t="s">
        <v>190</v>
      </c>
      <c r="P69">
        <v>3.03</v>
      </c>
      <c r="Q69">
        <v>3.3</v>
      </c>
      <c r="R69">
        <v>2520.96</v>
      </c>
      <c r="S69">
        <v>2745.6</v>
      </c>
      <c r="T69" t="s">
        <v>154</v>
      </c>
      <c r="AA69">
        <f t="shared" si="1"/>
        <v>211605.87</v>
      </c>
      <c r="AB69">
        <f>COUNTIF($D$1:D69,D69)</f>
        <v>49</v>
      </c>
    </row>
    <row r="70" spans="1:28" x14ac:dyDescent="0.25">
      <c r="A70">
        <v>69</v>
      </c>
      <c r="B70">
        <v>184156</v>
      </c>
      <c r="C70">
        <v>24001475</v>
      </c>
      <c r="D70" t="s">
        <v>13</v>
      </c>
      <c r="E70" t="s">
        <v>119</v>
      </c>
      <c r="F70">
        <v>1106647</v>
      </c>
      <c r="H70" t="s">
        <v>132</v>
      </c>
      <c r="I70">
        <v>1760</v>
      </c>
      <c r="J70" s="74">
        <v>45659</v>
      </c>
      <c r="K70" s="74">
        <v>45688</v>
      </c>
      <c r="L70" t="s">
        <v>190</v>
      </c>
      <c r="M70" s="74">
        <v>45716</v>
      </c>
      <c r="N70" t="s">
        <v>151</v>
      </c>
      <c r="O70" t="s">
        <v>224</v>
      </c>
      <c r="P70">
        <v>6.32</v>
      </c>
      <c r="Q70">
        <v>6.7</v>
      </c>
      <c r="R70">
        <v>11123.2</v>
      </c>
      <c r="S70">
        <v>11792</v>
      </c>
      <c r="T70" t="s">
        <v>154</v>
      </c>
      <c r="AA70">
        <f t="shared" si="1"/>
        <v>211605.87</v>
      </c>
      <c r="AB70">
        <f>COUNTIF($D$1:D70,D70)</f>
        <v>50</v>
      </c>
    </row>
    <row r="71" spans="1:28" x14ac:dyDescent="0.25">
      <c r="A71">
        <v>70</v>
      </c>
      <c r="B71">
        <v>184165</v>
      </c>
      <c r="C71">
        <v>24001476</v>
      </c>
      <c r="D71" t="s">
        <v>13</v>
      </c>
      <c r="E71" t="s">
        <v>119</v>
      </c>
      <c r="F71">
        <v>2306163</v>
      </c>
      <c r="H71" t="s">
        <v>132</v>
      </c>
      <c r="I71">
        <v>330</v>
      </c>
      <c r="J71" s="74">
        <v>45687</v>
      </c>
      <c r="K71" s="74">
        <v>45688</v>
      </c>
      <c r="L71" t="s">
        <v>190</v>
      </c>
      <c r="M71" s="74">
        <v>45723</v>
      </c>
      <c r="N71" t="s">
        <v>151</v>
      </c>
      <c r="O71" t="s">
        <v>226</v>
      </c>
      <c r="P71">
        <v>6.32</v>
      </c>
      <c r="Q71">
        <v>6.7</v>
      </c>
      <c r="R71">
        <v>2085.6</v>
      </c>
      <c r="S71">
        <v>2211</v>
      </c>
      <c r="T71" t="s">
        <v>154</v>
      </c>
      <c r="AA71">
        <f t="shared" si="1"/>
        <v>211605.87</v>
      </c>
      <c r="AB71">
        <f>COUNTIF($D$1:D71,D71)</f>
        <v>51</v>
      </c>
    </row>
    <row r="72" spans="1:28" x14ac:dyDescent="0.25">
      <c r="A72">
        <v>71</v>
      </c>
      <c r="B72">
        <v>184360</v>
      </c>
      <c r="C72">
        <v>24001459</v>
      </c>
      <c r="D72" t="s">
        <v>13</v>
      </c>
      <c r="E72" t="s">
        <v>119</v>
      </c>
      <c r="F72">
        <v>5058303</v>
      </c>
      <c r="H72" t="s">
        <v>132</v>
      </c>
      <c r="I72">
        <v>1000</v>
      </c>
      <c r="J72" s="74">
        <v>45671</v>
      </c>
      <c r="K72" s="74">
        <v>45687</v>
      </c>
      <c r="L72" t="s">
        <v>190</v>
      </c>
      <c r="M72" s="74">
        <v>45667</v>
      </c>
      <c r="N72" t="s">
        <v>155</v>
      </c>
      <c r="O72" t="s">
        <v>190</v>
      </c>
      <c r="P72">
        <v>3.45</v>
      </c>
      <c r="Q72">
        <v>3.45</v>
      </c>
      <c r="R72">
        <v>3450</v>
      </c>
      <c r="S72">
        <v>3450</v>
      </c>
      <c r="T72" t="s">
        <v>67</v>
      </c>
      <c r="AA72">
        <f t="shared" si="1"/>
        <v>211605.87</v>
      </c>
      <c r="AB72">
        <f>COUNTIF($D$1:D72,D72)</f>
        <v>52</v>
      </c>
    </row>
    <row r="73" spans="1:28" x14ac:dyDescent="0.25">
      <c r="A73">
        <v>72</v>
      </c>
      <c r="B73">
        <v>184312</v>
      </c>
      <c r="C73">
        <v>24001986</v>
      </c>
      <c r="D73" t="s">
        <v>14</v>
      </c>
      <c r="E73" t="s">
        <v>106</v>
      </c>
      <c r="F73">
        <v>5157998</v>
      </c>
      <c r="G73">
        <v>941</v>
      </c>
      <c r="H73" t="s">
        <v>72</v>
      </c>
      <c r="I73">
        <v>4176</v>
      </c>
      <c r="J73" s="74">
        <v>45659</v>
      </c>
      <c r="K73" s="74">
        <v>45673</v>
      </c>
      <c r="L73" t="s">
        <v>190</v>
      </c>
      <c r="M73" s="74">
        <v>45667</v>
      </c>
      <c r="N73" t="s">
        <v>155</v>
      </c>
      <c r="O73" t="s">
        <v>190</v>
      </c>
      <c r="P73">
        <v>1.24</v>
      </c>
      <c r="Q73">
        <v>3.21</v>
      </c>
      <c r="R73">
        <v>5178.24</v>
      </c>
      <c r="S73">
        <v>13404.96</v>
      </c>
      <c r="T73" t="s">
        <v>66</v>
      </c>
      <c r="AA73">
        <f t="shared" si="1"/>
        <v>392697.8</v>
      </c>
      <c r="AB73">
        <f>COUNTIF($D$1:D73,D73)</f>
        <v>1</v>
      </c>
    </row>
    <row r="74" spans="1:28" x14ac:dyDescent="0.25">
      <c r="A74">
        <v>73</v>
      </c>
      <c r="B74">
        <v>184262</v>
      </c>
      <c r="C74">
        <v>24001936</v>
      </c>
      <c r="D74" t="s">
        <v>14</v>
      </c>
      <c r="E74" t="s">
        <v>106</v>
      </c>
      <c r="F74">
        <v>5159772</v>
      </c>
      <c r="G74">
        <v>940</v>
      </c>
      <c r="H74" t="s">
        <v>72</v>
      </c>
      <c r="I74">
        <v>296</v>
      </c>
      <c r="J74" s="74">
        <v>45659</v>
      </c>
      <c r="K74" s="74">
        <v>45673</v>
      </c>
      <c r="L74" t="s">
        <v>190</v>
      </c>
      <c r="M74" s="74">
        <v>45653</v>
      </c>
      <c r="N74" t="s">
        <v>155</v>
      </c>
      <c r="O74" t="s">
        <v>153</v>
      </c>
      <c r="P74">
        <v>0.61</v>
      </c>
      <c r="Q74">
        <v>1.37</v>
      </c>
      <c r="R74">
        <v>180.56</v>
      </c>
      <c r="S74">
        <v>405.52</v>
      </c>
      <c r="T74" t="s">
        <v>66</v>
      </c>
      <c r="AA74">
        <f t="shared" si="1"/>
        <v>392697.8</v>
      </c>
      <c r="AB74">
        <f>COUNTIF($D$1:D74,D74)</f>
        <v>2</v>
      </c>
    </row>
    <row r="75" spans="1:28" x14ac:dyDescent="0.25">
      <c r="A75">
        <v>74</v>
      </c>
      <c r="B75">
        <v>184296</v>
      </c>
      <c r="C75">
        <v>24001970</v>
      </c>
      <c r="D75" t="s">
        <v>14</v>
      </c>
      <c r="E75" t="s">
        <v>106</v>
      </c>
      <c r="F75">
        <v>5159296</v>
      </c>
      <c r="G75">
        <v>941</v>
      </c>
      <c r="H75" t="s">
        <v>72</v>
      </c>
      <c r="I75">
        <v>626</v>
      </c>
      <c r="J75" s="74">
        <v>45673</v>
      </c>
      <c r="K75" s="74">
        <v>45673</v>
      </c>
      <c r="L75" t="s">
        <v>190</v>
      </c>
      <c r="M75" s="74">
        <v>45667</v>
      </c>
      <c r="N75" t="s">
        <v>155</v>
      </c>
      <c r="O75" t="s">
        <v>190</v>
      </c>
      <c r="P75">
        <v>0.83</v>
      </c>
      <c r="Q75">
        <v>2.17</v>
      </c>
      <c r="R75">
        <v>519.58000000000004</v>
      </c>
      <c r="S75">
        <v>1358.42</v>
      </c>
      <c r="T75" t="s">
        <v>66</v>
      </c>
      <c r="AA75">
        <f t="shared" si="1"/>
        <v>392697.8</v>
      </c>
      <c r="AB75">
        <f>COUNTIF($D$1:D75,D75)</f>
        <v>3</v>
      </c>
    </row>
    <row r="76" spans="1:28" x14ac:dyDescent="0.25">
      <c r="A76">
        <v>75</v>
      </c>
      <c r="B76">
        <v>184299</v>
      </c>
      <c r="C76">
        <v>24001973</v>
      </c>
      <c r="D76" t="s">
        <v>14</v>
      </c>
      <c r="E76" t="s">
        <v>106</v>
      </c>
      <c r="F76">
        <v>5159310</v>
      </c>
      <c r="G76">
        <v>941</v>
      </c>
      <c r="H76" t="s">
        <v>72</v>
      </c>
      <c r="I76">
        <v>10</v>
      </c>
      <c r="J76" s="74">
        <v>45659</v>
      </c>
      <c r="K76" s="74">
        <v>45660</v>
      </c>
      <c r="L76" t="s">
        <v>190</v>
      </c>
      <c r="M76" s="74">
        <v>45667</v>
      </c>
      <c r="N76" t="s">
        <v>151</v>
      </c>
      <c r="O76" t="s">
        <v>190</v>
      </c>
      <c r="P76">
        <v>0.83</v>
      </c>
      <c r="Q76">
        <v>2.17</v>
      </c>
      <c r="R76">
        <v>8.3000000000000007</v>
      </c>
      <c r="S76">
        <v>21.7</v>
      </c>
      <c r="T76" t="s">
        <v>66</v>
      </c>
      <c r="AA76">
        <f t="shared" si="1"/>
        <v>392697.8</v>
      </c>
      <c r="AB76">
        <f>COUNTIF($D$1:D76,D76)</f>
        <v>4</v>
      </c>
    </row>
    <row r="77" spans="1:28" x14ac:dyDescent="0.25">
      <c r="A77">
        <v>76</v>
      </c>
      <c r="B77">
        <v>184532</v>
      </c>
      <c r="C77">
        <v>24002044</v>
      </c>
      <c r="D77" t="s">
        <v>14</v>
      </c>
      <c r="E77" t="s">
        <v>106</v>
      </c>
      <c r="F77">
        <v>5157982</v>
      </c>
      <c r="G77">
        <v>996</v>
      </c>
      <c r="H77" t="s">
        <v>72</v>
      </c>
      <c r="I77">
        <v>2520</v>
      </c>
      <c r="J77" s="74">
        <v>45673</v>
      </c>
      <c r="K77" s="74">
        <v>45679</v>
      </c>
      <c r="L77" t="s">
        <v>190</v>
      </c>
      <c r="M77" s="74">
        <v>45695</v>
      </c>
      <c r="N77" t="s">
        <v>151</v>
      </c>
      <c r="O77" t="s">
        <v>224</v>
      </c>
      <c r="P77">
        <v>1.37</v>
      </c>
      <c r="Q77">
        <v>7.44</v>
      </c>
      <c r="R77">
        <v>3452.4</v>
      </c>
      <c r="S77">
        <v>18748.8</v>
      </c>
      <c r="T77" t="s">
        <v>66</v>
      </c>
      <c r="AA77">
        <f t="shared" si="1"/>
        <v>392697.8</v>
      </c>
      <c r="AB77">
        <f>COUNTIF($D$1:D77,D77)</f>
        <v>5</v>
      </c>
    </row>
    <row r="78" spans="1:28" x14ac:dyDescent="0.25">
      <c r="A78">
        <v>77</v>
      </c>
      <c r="B78">
        <v>184597</v>
      </c>
      <c r="C78">
        <v>24001590</v>
      </c>
      <c r="D78" t="s">
        <v>14</v>
      </c>
      <c r="E78" t="s">
        <v>317</v>
      </c>
      <c r="F78" t="s">
        <v>418</v>
      </c>
      <c r="G78">
        <v>983464</v>
      </c>
      <c r="H78" t="s">
        <v>72</v>
      </c>
      <c r="I78">
        <v>4000</v>
      </c>
      <c r="J78" s="74">
        <v>45680</v>
      </c>
      <c r="K78" s="74">
        <v>45688</v>
      </c>
      <c r="L78" t="s">
        <v>190</v>
      </c>
      <c r="M78" s="74">
        <v>45702</v>
      </c>
      <c r="N78" t="s">
        <v>151</v>
      </c>
      <c r="O78" t="s">
        <v>224</v>
      </c>
      <c r="P78">
        <v>0</v>
      </c>
      <c r="Q78">
        <v>0</v>
      </c>
      <c r="R78">
        <v>0</v>
      </c>
      <c r="S78">
        <v>0</v>
      </c>
      <c r="T78" t="s">
        <v>66</v>
      </c>
      <c r="AA78">
        <f t="shared" si="1"/>
        <v>392697.8</v>
      </c>
      <c r="AB78">
        <f>COUNTIF($D$1:D78,D78)</f>
        <v>6</v>
      </c>
    </row>
    <row r="79" spans="1:28" x14ac:dyDescent="0.25">
      <c r="A79">
        <v>78</v>
      </c>
      <c r="B79">
        <v>184293</v>
      </c>
      <c r="C79">
        <v>24001967</v>
      </c>
      <c r="D79" t="s">
        <v>14</v>
      </c>
      <c r="E79" t="s">
        <v>106</v>
      </c>
      <c r="F79">
        <v>5157987</v>
      </c>
      <c r="G79">
        <v>941</v>
      </c>
      <c r="H79" t="s">
        <v>82</v>
      </c>
      <c r="I79">
        <v>7</v>
      </c>
      <c r="J79" s="74">
        <v>45673</v>
      </c>
      <c r="K79" s="74">
        <v>45673</v>
      </c>
      <c r="L79" t="s">
        <v>190</v>
      </c>
      <c r="M79" s="74">
        <v>45667</v>
      </c>
      <c r="N79" t="s">
        <v>155</v>
      </c>
      <c r="O79" t="s">
        <v>190</v>
      </c>
      <c r="P79">
        <v>0.7</v>
      </c>
      <c r="Q79">
        <v>1.74</v>
      </c>
      <c r="R79">
        <v>4.9000000000000004</v>
      </c>
      <c r="S79">
        <v>12.18</v>
      </c>
      <c r="T79" t="s">
        <v>66</v>
      </c>
      <c r="AA79">
        <f t="shared" si="1"/>
        <v>392697.8</v>
      </c>
      <c r="AB79">
        <f>COUNTIF($D$1:D79,D79)</f>
        <v>7</v>
      </c>
    </row>
    <row r="80" spans="1:28" x14ac:dyDescent="0.25">
      <c r="A80">
        <v>79</v>
      </c>
      <c r="B80">
        <v>184298</v>
      </c>
      <c r="C80">
        <v>24001972</v>
      </c>
      <c r="D80" t="s">
        <v>14</v>
      </c>
      <c r="E80" t="s">
        <v>106</v>
      </c>
      <c r="F80">
        <v>5159307</v>
      </c>
      <c r="G80">
        <v>941</v>
      </c>
      <c r="H80" t="s">
        <v>82</v>
      </c>
      <c r="I80">
        <v>317</v>
      </c>
      <c r="J80" s="74">
        <v>45660</v>
      </c>
      <c r="K80" s="74">
        <v>45673</v>
      </c>
      <c r="L80" t="s">
        <v>190</v>
      </c>
      <c r="M80" s="74">
        <v>45667</v>
      </c>
      <c r="N80" t="s">
        <v>155</v>
      </c>
      <c r="O80" t="s">
        <v>190</v>
      </c>
      <c r="P80">
        <v>0.83</v>
      </c>
      <c r="Q80">
        <v>2.17</v>
      </c>
      <c r="R80">
        <v>263.11</v>
      </c>
      <c r="S80">
        <v>687.89</v>
      </c>
      <c r="T80" t="s">
        <v>66</v>
      </c>
      <c r="AA80">
        <f t="shared" si="1"/>
        <v>392697.8</v>
      </c>
      <c r="AB80">
        <f>COUNTIF($D$1:D80,D80)</f>
        <v>8</v>
      </c>
    </row>
    <row r="81" spans="1:28" x14ac:dyDescent="0.25">
      <c r="A81">
        <v>80</v>
      </c>
      <c r="B81">
        <v>184293</v>
      </c>
      <c r="C81">
        <v>24001967</v>
      </c>
      <c r="D81" t="s">
        <v>14</v>
      </c>
      <c r="E81" t="s">
        <v>106</v>
      </c>
      <c r="F81">
        <v>5157987</v>
      </c>
      <c r="G81">
        <v>941</v>
      </c>
      <c r="H81" t="s">
        <v>77</v>
      </c>
      <c r="I81">
        <v>6</v>
      </c>
      <c r="J81" s="74">
        <v>45673</v>
      </c>
      <c r="K81" s="74">
        <v>45673</v>
      </c>
      <c r="L81" t="s">
        <v>190</v>
      </c>
      <c r="M81" s="74">
        <v>45667</v>
      </c>
      <c r="N81" t="s">
        <v>155</v>
      </c>
      <c r="O81" t="s">
        <v>190</v>
      </c>
      <c r="P81">
        <v>0.7</v>
      </c>
      <c r="Q81">
        <v>1.74</v>
      </c>
      <c r="R81">
        <v>4.2</v>
      </c>
      <c r="S81">
        <v>10.44</v>
      </c>
      <c r="T81" t="s">
        <v>66</v>
      </c>
      <c r="AA81">
        <f t="shared" si="1"/>
        <v>392697.8</v>
      </c>
      <c r="AB81">
        <f>COUNTIF($D$1:D81,D81)</f>
        <v>9</v>
      </c>
    </row>
    <row r="82" spans="1:28" x14ac:dyDescent="0.25">
      <c r="A82">
        <v>81</v>
      </c>
      <c r="B82">
        <v>184298</v>
      </c>
      <c r="C82">
        <v>24001972</v>
      </c>
      <c r="D82" t="s">
        <v>14</v>
      </c>
      <c r="E82" t="s">
        <v>106</v>
      </c>
      <c r="F82">
        <v>5159307</v>
      </c>
      <c r="G82">
        <v>941</v>
      </c>
      <c r="H82" t="s">
        <v>77</v>
      </c>
      <c r="I82">
        <v>517</v>
      </c>
      <c r="J82" s="74">
        <v>45659</v>
      </c>
      <c r="K82" s="74">
        <v>45673</v>
      </c>
      <c r="L82" t="s">
        <v>190</v>
      </c>
      <c r="M82" s="74">
        <v>45667</v>
      </c>
      <c r="N82" t="s">
        <v>155</v>
      </c>
      <c r="O82" t="s">
        <v>190</v>
      </c>
      <c r="P82">
        <v>0.83</v>
      </c>
      <c r="Q82">
        <v>2.17</v>
      </c>
      <c r="R82">
        <v>429.11</v>
      </c>
      <c r="S82">
        <v>1121.8900000000001</v>
      </c>
      <c r="T82" t="s">
        <v>66</v>
      </c>
      <c r="AA82">
        <f t="shared" si="1"/>
        <v>392697.8</v>
      </c>
      <c r="AB82">
        <f>COUNTIF($D$1:D82,D82)</f>
        <v>10</v>
      </c>
    </row>
    <row r="83" spans="1:28" x14ac:dyDescent="0.25">
      <c r="A83">
        <v>82</v>
      </c>
      <c r="B83">
        <v>184315</v>
      </c>
      <c r="C83">
        <v>24001989</v>
      </c>
      <c r="D83" t="s">
        <v>14</v>
      </c>
      <c r="E83" t="s">
        <v>106</v>
      </c>
      <c r="F83">
        <v>5159300</v>
      </c>
      <c r="G83">
        <v>941</v>
      </c>
      <c r="H83" t="s">
        <v>91</v>
      </c>
      <c r="I83">
        <v>698</v>
      </c>
      <c r="J83" s="74">
        <v>45659</v>
      </c>
      <c r="K83" s="74">
        <v>45664</v>
      </c>
      <c r="L83" t="s">
        <v>190</v>
      </c>
      <c r="M83" s="74">
        <v>45660</v>
      </c>
      <c r="N83" t="s">
        <v>155</v>
      </c>
      <c r="O83" t="s">
        <v>190</v>
      </c>
      <c r="P83">
        <v>0.74</v>
      </c>
      <c r="Q83">
        <v>1.38</v>
      </c>
      <c r="R83">
        <v>516.52</v>
      </c>
      <c r="S83">
        <v>963.24</v>
      </c>
      <c r="T83" t="s">
        <v>66</v>
      </c>
      <c r="AA83">
        <f t="shared" si="1"/>
        <v>392697.8</v>
      </c>
      <c r="AB83">
        <f>COUNTIF($D$1:D83,D83)</f>
        <v>11</v>
      </c>
    </row>
    <row r="84" spans="1:28" x14ac:dyDescent="0.25">
      <c r="A84">
        <v>83</v>
      </c>
      <c r="B84">
        <v>184317</v>
      </c>
      <c r="C84">
        <v>24001991</v>
      </c>
      <c r="D84" t="s">
        <v>14</v>
      </c>
      <c r="E84" t="s">
        <v>106</v>
      </c>
      <c r="F84">
        <v>5158603</v>
      </c>
      <c r="G84">
        <v>941</v>
      </c>
      <c r="H84" t="s">
        <v>91</v>
      </c>
      <c r="I84">
        <v>439</v>
      </c>
      <c r="J84" s="74">
        <v>45659</v>
      </c>
      <c r="K84" s="74">
        <v>45677</v>
      </c>
      <c r="L84" t="s">
        <v>190</v>
      </c>
      <c r="M84" s="74">
        <v>45660</v>
      </c>
      <c r="N84" t="s">
        <v>155</v>
      </c>
      <c r="O84" t="s">
        <v>190</v>
      </c>
      <c r="P84">
        <v>0.77</v>
      </c>
      <c r="Q84">
        <v>1.46</v>
      </c>
      <c r="R84">
        <v>338.03</v>
      </c>
      <c r="S84">
        <v>640.94000000000005</v>
      </c>
      <c r="T84" t="s">
        <v>66</v>
      </c>
      <c r="AA84">
        <f t="shared" si="1"/>
        <v>392697.8</v>
      </c>
      <c r="AB84">
        <f>COUNTIF($D$1:D84,D84)</f>
        <v>12</v>
      </c>
    </row>
    <row r="85" spans="1:28" x14ac:dyDescent="0.25">
      <c r="A85">
        <v>84</v>
      </c>
      <c r="B85">
        <v>184302</v>
      </c>
      <c r="C85">
        <v>24001976</v>
      </c>
      <c r="D85" t="s">
        <v>14</v>
      </c>
      <c r="E85" t="s">
        <v>106</v>
      </c>
      <c r="F85" t="s">
        <v>172</v>
      </c>
      <c r="G85">
        <v>941</v>
      </c>
      <c r="H85" t="s">
        <v>91</v>
      </c>
      <c r="I85">
        <v>55</v>
      </c>
      <c r="J85" s="74">
        <v>45677</v>
      </c>
      <c r="K85" s="74">
        <v>45677</v>
      </c>
      <c r="L85" t="s">
        <v>190</v>
      </c>
      <c r="M85" s="74">
        <v>45667</v>
      </c>
      <c r="N85" t="s">
        <v>155</v>
      </c>
      <c r="O85" t="s">
        <v>190</v>
      </c>
      <c r="P85">
        <v>0.92</v>
      </c>
      <c r="Q85">
        <v>2.2599999999999998</v>
      </c>
      <c r="R85">
        <v>50.6</v>
      </c>
      <c r="S85">
        <v>124.3</v>
      </c>
      <c r="T85" t="s">
        <v>66</v>
      </c>
      <c r="AA85">
        <f t="shared" si="1"/>
        <v>392697.8</v>
      </c>
      <c r="AB85">
        <f>COUNTIF($D$1:D85,D85)</f>
        <v>13</v>
      </c>
    </row>
    <row r="86" spans="1:28" x14ac:dyDescent="0.25">
      <c r="A86">
        <v>85</v>
      </c>
      <c r="B86">
        <v>184316</v>
      </c>
      <c r="C86">
        <v>24001990</v>
      </c>
      <c r="D86" t="s">
        <v>14</v>
      </c>
      <c r="E86" t="s">
        <v>106</v>
      </c>
      <c r="F86">
        <v>5158591</v>
      </c>
      <c r="G86">
        <v>941</v>
      </c>
      <c r="H86" t="s">
        <v>91</v>
      </c>
      <c r="I86">
        <v>173</v>
      </c>
      <c r="J86" s="74">
        <v>45677</v>
      </c>
      <c r="K86" s="74">
        <v>45677</v>
      </c>
      <c r="L86" t="s">
        <v>190</v>
      </c>
      <c r="M86" s="74">
        <v>45667</v>
      </c>
      <c r="N86" t="s">
        <v>155</v>
      </c>
      <c r="O86" t="s">
        <v>190</v>
      </c>
      <c r="P86">
        <v>0.76</v>
      </c>
      <c r="Q86">
        <v>1.43</v>
      </c>
      <c r="R86">
        <v>131.47999999999999</v>
      </c>
      <c r="S86">
        <v>247.39</v>
      </c>
      <c r="T86" t="s">
        <v>66</v>
      </c>
      <c r="AA86">
        <f t="shared" si="1"/>
        <v>392697.8</v>
      </c>
      <c r="AB86">
        <f>COUNTIF($D$1:D86,D86)</f>
        <v>14</v>
      </c>
    </row>
    <row r="87" spans="1:28" x14ac:dyDescent="0.25">
      <c r="A87">
        <v>86</v>
      </c>
      <c r="B87">
        <v>184322</v>
      </c>
      <c r="C87">
        <v>24001996</v>
      </c>
      <c r="D87" t="s">
        <v>14</v>
      </c>
      <c r="E87" t="s">
        <v>106</v>
      </c>
      <c r="F87">
        <v>5159770</v>
      </c>
      <c r="G87">
        <v>942</v>
      </c>
      <c r="H87" t="s">
        <v>91</v>
      </c>
      <c r="I87">
        <v>4763</v>
      </c>
      <c r="J87" s="74">
        <v>45659</v>
      </c>
      <c r="K87" s="74">
        <v>45673</v>
      </c>
      <c r="L87" t="s">
        <v>190</v>
      </c>
      <c r="M87" s="74">
        <v>45674</v>
      </c>
      <c r="N87" t="s">
        <v>151</v>
      </c>
      <c r="O87" t="s">
        <v>190</v>
      </c>
      <c r="P87">
        <v>0.61</v>
      </c>
      <c r="Q87">
        <v>1.43</v>
      </c>
      <c r="R87">
        <v>2905.43</v>
      </c>
      <c r="S87">
        <v>6811.09</v>
      </c>
      <c r="T87" t="s">
        <v>66</v>
      </c>
      <c r="AA87">
        <f t="shared" si="1"/>
        <v>392697.8</v>
      </c>
      <c r="AB87">
        <f>COUNTIF($D$1:D87,D87)</f>
        <v>15</v>
      </c>
    </row>
    <row r="88" spans="1:28" x14ac:dyDescent="0.25">
      <c r="A88">
        <v>87</v>
      </c>
      <c r="B88">
        <v>184497</v>
      </c>
      <c r="C88">
        <v>24002009</v>
      </c>
      <c r="D88" t="s">
        <v>14</v>
      </c>
      <c r="E88" t="s">
        <v>106</v>
      </c>
      <c r="F88">
        <v>5159310</v>
      </c>
      <c r="G88">
        <v>994</v>
      </c>
      <c r="H88" t="s">
        <v>91</v>
      </c>
      <c r="I88">
        <v>1269</v>
      </c>
      <c r="J88" s="74">
        <v>45677</v>
      </c>
      <c r="K88" s="74">
        <v>45677</v>
      </c>
      <c r="L88" t="s">
        <v>190</v>
      </c>
      <c r="M88" s="74">
        <v>45695</v>
      </c>
      <c r="N88" t="s">
        <v>151</v>
      </c>
      <c r="O88" t="s">
        <v>224</v>
      </c>
      <c r="P88">
        <v>0.83</v>
      </c>
      <c r="Q88">
        <v>6.5</v>
      </c>
      <c r="R88">
        <v>1053.27</v>
      </c>
      <c r="S88">
        <v>8248.5</v>
      </c>
      <c r="T88" t="s">
        <v>66</v>
      </c>
      <c r="AA88">
        <f t="shared" si="1"/>
        <v>392697.8</v>
      </c>
      <c r="AB88">
        <f>COUNTIF($D$1:D88,D88)</f>
        <v>16</v>
      </c>
    </row>
    <row r="89" spans="1:28" x14ac:dyDescent="0.25">
      <c r="A89">
        <v>88</v>
      </c>
      <c r="B89">
        <v>184518</v>
      </c>
      <c r="C89">
        <v>24002030</v>
      </c>
      <c r="D89" t="s">
        <v>14</v>
      </c>
      <c r="E89" t="s">
        <v>106</v>
      </c>
      <c r="F89">
        <v>5158587</v>
      </c>
      <c r="G89">
        <v>995</v>
      </c>
      <c r="H89" t="s">
        <v>91</v>
      </c>
      <c r="I89">
        <v>1296</v>
      </c>
      <c r="J89" s="74">
        <v>45663</v>
      </c>
      <c r="K89" s="74">
        <v>45677</v>
      </c>
      <c r="L89" t="s">
        <v>190</v>
      </c>
      <c r="M89" s="74">
        <v>45674</v>
      </c>
      <c r="N89" t="s">
        <v>155</v>
      </c>
      <c r="O89" t="s">
        <v>190</v>
      </c>
      <c r="P89">
        <v>0.8</v>
      </c>
      <c r="Q89">
        <v>5.63</v>
      </c>
      <c r="R89">
        <v>1036.8</v>
      </c>
      <c r="S89">
        <v>7296.48</v>
      </c>
      <c r="T89" t="s">
        <v>66</v>
      </c>
      <c r="AA89">
        <f t="shared" si="1"/>
        <v>392697.8</v>
      </c>
      <c r="AB89">
        <f>COUNTIF($D$1:D89,D89)</f>
        <v>17</v>
      </c>
    </row>
    <row r="90" spans="1:28" x14ac:dyDescent="0.25">
      <c r="A90">
        <v>89</v>
      </c>
      <c r="B90">
        <v>184519</v>
      </c>
      <c r="C90">
        <v>24002031</v>
      </c>
      <c r="D90" t="s">
        <v>14</v>
      </c>
      <c r="E90" t="s">
        <v>106</v>
      </c>
      <c r="F90" t="s">
        <v>206</v>
      </c>
      <c r="G90">
        <v>995</v>
      </c>
      <c r="H90" t="s">
        <v>91</v>
      </c>
      <c r="I90">
        <v>600</v>
      </c>
      <c r="J90" s="74">
        <v>45663</v>
      </c>
      <c r="K90" s="74">
        <v>45666</v>
      </c>
      <c r="L90" t="s">
        <v>190</v>
      </c>
      <c r="M90" s="74">
        <v>45674</v>
      </c>
      <c r="N90" t="s">
        <v>151</v>
      </c>
      <c r="O90" t="s">
        <v>190</v>
      </c>
      <c r="P90">
        <v>0.77</v>
      </c>
      <c r="Q90">
        <v>6.02</v>
      </c>
      <c r="R90">
        <v>462</v>
      </c>
      <c r="S90">
        <v>3612</v>
      </c>
      <c r="T90" t="s">
        <v>66</v>
      </c>
      <c r="AA90">
        <f t="shared" si="1"/>
        <v>392697.8</v>
      </c>
      <c r="AB90">
        <f>COUNTIF($D$1:D90,D90)</f>
        <v>18</v>
      </c>
    </row>
    <row r="91" spans="1:28" x14ac:dyDescent="0.25">
      <c r="A91">
        <v>90</v>
      </c>
      <c r="B91">
        <v>184490</v>
      </c>
      <c r="C91">
        <v>24002002</v>
      </c>
      <c r="D91" t="s">
        <v>14</v>
      </c>
      <c r="E91" t="s">
        <v>106</v>
      </c>
      <c r="F91">
        <v>5159774</v>
      </c>
      <c r="G91">
        <v>993</v>
      </c>
      <c r="H91" t="s">
        <v>91</v>
      </c>
      <c r="I91">
        <v>2781</v>
      </c>
      <c r="J91" s="74">
        <v>45663</v>
      </c>
      <c r="K91" s="74">
        <v>45677</v>
      </c>
      <c r="L91" t="s">
        <v>190</v>
      </c>
      <c r="M91" s="74">
        <v>45674</v>
      </c>
      <c r="N91" t="s">
        <v>155</v>
      </c>
      <c r="O91" t="s">
        <v>190</v>
      </c>
      <c r="P91">
        <v>0.63</v>
      </c>
      <c r="Q91">
        <v>4.45</v>
      </c>
      <c r="R91">
        <v>1752.03</v>
      </c>
      <c r="S91">
        <v>12375.45</v>
      </c>
      <c r="T91" t="s">
        <v>66</v>
      </c>
      <c r="AA91">
        <f t="shared" si="1"/>
        <v>392697.8</v>
      </c>
      <c r="AB91">
        <f>COUNTIF($D$1:D91,D91)</f>
        <v>19</v>
      </c>
    </row>
    <row r="92" spans="1:28" x14ac:dyDescent="0.25">
      <c r="A92">
        <v>91</v>
      </c>
      <c r="B92">
        <v>184524</v>
      </c>
      <c r="C92">
        <v>24002036</v>
      </c>
      <c r="D92" t="s">
        <v>14</v>
      </c>
      <c r="E92" t="s">
        <v>106</v>
      </c>
      <c r="F92">
        <v>5158594</v>
      </c>
      <c r="G92">
        <v>995</v>
      </c>
      <c r="H92" t="s">
        <v>91</v>
      </c>
      <c r="I92">
        <v>4000</v>
      </c>
      <c r="J92" s="74">
        <v>45665</v>
      </c>
      <c r="K92" s="74">
        <v>45674</v>
      </c>
      <c r="L92" t="s">
        <v>190</v>
      </c>
      <c r="M92" s="74">
        <v>45688</v>
      </c>
      <c r="N92" t="s">
        <v>151</v>
      </c>
      <c r="O92" t="s">
        <v>190</v>
      </c>
      <c r="P92">
        <v>0.7</v>
      </c>
      <c r="Q92">
        <v>4.92</v>
      </c>
      <c r="R92">
        <v>2800</v>
      </c>
      <c r="S92">
        <v>19680</v>
      </c>
      <c r="T92" t="s">
        <v>66</v>
      </c>
      <c r="AA92">
        <f t="shared" si="1"/>
        <v>392697.8</v>
      </c>
      <c r="AB92">
        <f>COUNTIF($D$1:D92,D92)</f>
        <v>20</v>
      </c>
    </row>
    <row r="93" spans="1:28" x14ac:dyDescent="0.25">
      <c r="A93">
        <v>92</v>
      </c>
      <c r="B93">
        <v>184533</v>
      </c>
      <c r="C93">
        <v>24002045</v>
      </c>
      <c r="D93" t="s">
        <v>14</v>
      </c>
      <c r="E93" t="s">
        <v>106</v>
      </c>
      <c r="F93">
        <v>5157996</v>
      </c>
      <c r="G93">
        <v>996</v>
      </c>
      <c r="H93" t="s">
        <v>91</v>
      </c>
      <c r="I93">
        <v>8721</v>
      </c>
      <c r="J93" s="74">
        <v>45677</v>
      </c>
      <c r="K93" s="74">
        <v>45680</v>
      </c>
      <c r="L93" t="s">
        <v>190</v>
      </c>
      <c r="M93" s="74">
        <v>45688</v>
      </c>
      <c r="N93" t="s">
        <v>151</v>
      </c>
      <c r="O93" t="s">
        <v>190</v>
      </c>
      <c r="P93">
        <v>0.83</v>
      </c>
      <c r="Q93">
        <v>6.34</v>
      </c>
      <c r="R93">
        <v>7238.43</v>
      </c>
      <c r="S93">
        <v>55291.14</v>
      </c>
      <c r="T93" t="s">
        <v>66</v>
      </c>
      <c r="AA93">
        <f t="shared" si="1"/>
        <v>392697.8</v>
      </c>
      <c r="AB93">
        <f>COUNTIF($D$1:D93,D93)</f>
        <v>21</v>
      </c>
    </row>
    <row r="94" spans="1:28" x14ac:dyDescent="0.25">
      <c r="A94">
        <v>93</v>
      </c>
      <c r="B94">
        <v>184540</v>
      </c>
      <c r="C94">
        <v>24002052</v>
      </c>
      <c r="D94" t="s">
        <v>14</v>
      </c>
      <c r="E94" t="s">
        <v>106</v>
      </c>
      <c r="F94">
        <v>5158617</v>
      </c>
      <c r="G94">
        <v>997</v>
      </c>
      <c r="H94" t="s">
        <v>91</v>
      </c>
      <c r="I94">
        <v>1637</v>
      </c>
      <c r="J94" s="74">
        <v>45666</v>
      </c>
      <c r="K94" s="74">
        <v>45679</v>
      </c>
      <c r="L94" t="s">
        <v>190</v>
      </c>
      <c r="M94" s="74">
        <v>45688</v>
      </c>
      <c r="N94" t="s">
        <v>151</v>
      </c>
      <c r="O94" t="s">
        <v>190</v>
      </c>
      <c r="P94">
        <v>0.74</v>
      </c>
      <c r="Q94">
        <v>5.52</v>
      </c>
      <c r="R94">
        <v>1211.3800000000001</v>
      </c>
      <c r="S94">
        <v>9036.24</v>
      </c>
      <c r="T94" t="s">
        <v>66</v>
      </c>
      <c r="AA94">
        <f t="shared" si="1"/>
        <v>392697.8</v>
      </c>
      <c r="AB94">
        <f>COUNTIF($D$1:D94,D94)</f>
        <v>22</v>
      </c>
    </row>
    <row r="95" spans="1:28" x14ac:dyDescent="0.25">
      <c r="A95">
        <v>94</v>
      </c>
      <c r="B95">
        <v>184543</v>
      </c>
      <c r="C95">
        <v>24002055</v>
      </c>
      <c r="D95" t="s">
        <v>14</v>
      </c>
      <c r="E95" t="s">
        <v>106</v>
      </c>
      <c r="F95">
        <v>5159300</v>
      </c>
      <c r="G95">
        <v>997</v>
      </c>
      <c r="H95" t="s">
        <v>91</v>
      </c>
      <c r="I95">
        <v>4032</v>
      </c>
      <c r="J95" s="74">
        <v>45667</v>
      </c>
      <c r="K95" s="74">
        <v>45681</v>
      </c>
      <c r="L95" t="s">
        <v>190</v>
      </c>
      <c r="M95" s="74">
        <v>45688</v>
      </c>
      <c r="N95" t="s">
        <v>151</v>
      </c>
      <c r="O95" t="s">
        <v>190</v>
      </c>
      <c r="P95">
        <v>0.74</v>
      </c>
      <c r="Q95">
        <v>5.52</v>
      </c>
      <c r="R95">
        <v>2983.68</v>
      </c>
      <c r="S95">
        <v>22256.639999999999</v>
      </c>
      <c r="T95" t="s">
        <v>66</v>
      </c>
      <c r="AA95">
        <f t="shared" si="1"/>
        <v>392697.8</v>
      </c>
      <c r="AB95">
        <f>COUNTIF($D$1:D95,D95)</f>
        <v>23</v>
      </c>
    </row>
    <row r="96" spans="1:28" x14ac:dyDescent="0.25">
      <c r="A96">
        <v>95</v>
      </c>
      <c r="B96">
        <v>184544</v>
      </c>
      <c r="C96">
        <v>24002056</v>
      </c>
      <c r="D96" t="s">
        <v>14</v>
      </c>
      <c r="E96" t="s">
        <v>106</v>
      </c>
      <c r="F96">
        <v>5158603</v>
      </c>
      <c r="G96">
        <v>997</v>
      </c>
      <c r="H96" t="s">
        <v>91</v>
      </c>
      <c r="I96">
        <v>6948</v>
      </c>
      <c r="J96" s="74">
        <v>45670</v>
      </c>
      <c r="K96" s="74">
        <v>45685</v>
      </c>
      <c r="L96" t="s">
        <v>190</v>
      </c>
      <c r="M96" s="74">
        <v>45688</v>
      </c>
      <c r="N96" t="s">
        <v>151</v>
      </c>
      <c r="O96" t="s">
        <v>190</v>
      </c>
      <c r="P96">
        <v>0.77</v>
      </c>
      <c r="Q96">
        <v>5.82</v>
      </c>
      <c r="R96">
        <v>5349.96</v>
      </c>
      <c r="S96">
        <v>40437.360000000001</v>
      </c>
      <c r="T96" t="s">
        <v>66</v>
      </c>
      <c r="AA96">
        <f t="shared" si="1"/>
        <v>392697.8</v>
      </c>
      <c r="AB96">
        <f>COUNTIF($D$1:D96,D96)</f>
        <v>24</v>
      </c>
    </row>
    <row r="97" spans="1:28" x14ac:dyDescent="0.25">
      <c r="A97">
        <v>96</v>
      </c>
      <c r="B97">
        <v>184545</v>
      </c>
      <c r="C97">
        <v>24002057</v>
      </c>
      <c r="D97" t="s">
        <v>14</v>
      </c>
      <c r="E97" t="s">
        <v>106</v>
      </c>
      <c r="F97">
        <v>5158588</v>
      </c>
      <c r="G97">
        <v>997</v>
      </c>
      <c r="H97" t="s">
        <v>91</v>
      </c>
      <c r="I97">
        <v>1944</v>
      </c>
      <c r="J97" s="74">
        <v>45685</v>
      </c>
      <c r="K97" s="74">
        <v>45685</v>
      </c>
      <c r="L97" t="s">
        <v>190</v>
      </c>
      <c r="M97" s="74">
        <v>45695</v>
      </c>
      <c r="N97" t="s">
        <v>151</v>
      </c>
      <c r="O97" t="s">
        <v>224</v>
      </c>
      <c r="P97">
        <v>0.77</v>
      </c>
      <c r="Q97">
        <v>5.82</v>
      </c>
      <c r="R97">
        <v>1496.88</v>
      </c>
      <c r="S97">
        <v>11314.08</v>
      </c>
      <c r="T97" t="s">
        <v>66</v>
      </c>
      <c r="AA97">
        <f t="shared" si="1"/>
        <v>392697.8</v>
      </c>
      <c r="AB97">
        <f>COUNTIF($D$1:D97,D97)</f>
        <v>25</v>
      </c>
    </row>
    <row r="98" spans="1:28" x14ac:dyDescent="0.25">
      <c r="A98">
        <v>97</v>
      </c>
      <c r="B98">
        <v>184547</v>
      </c>
      <c r="C98">
        <v>24002059</v>
      </c>
      <c r="D98" t="s">
        <v>14</v>
      </c>
      <c r="E98" t="s">
        <v>106</v>
      </c>
      <c r="F98">
        <v>5158591</v>
      </c>
      <c r="G98">
        <v>997</v>
      </c>
      <c r="H98" t="s">
        <v>91</v>
      </c>
      <c r="I98">
        <v>2304</v>
      </c>
      <c r="J98" s="74">
        <v>45687</v>
      </c>
      <c r="K98" s="74">
        <v>45687</v>
      </c>
      <c r="L98" t="s">
        <v>190</v>
      </c>
      <c r="M98" s="74">
        <v>45695</v>
      </c>
      <c r="N98" t="s">
        <v>151</v>
      </c>
      <c r="O98" t="s">
        <v>224</v>
      </c>
      <c r="P98">
        <v>0.76</v>
      </c>
      <c r="Q98">
        <v>5.71</v>
      </c>
      <c r="R98">
        <v>1751.04</v>
      </c>
      <c r="S98">
        <v>13155.84</v>
      </c>
      <c r="T98" t="s">
        <v>66</v>
      </c>
      <c r="AA98">
        <f t="shared" si="1"/>
        <v>392697.8</v>
      </c>
      <c r="AB98">
        <f>COUNTIF($D$1:D98,D98)</f>
        <v>26</v>
      </c>
    </row>
    <row r="99" spans="1:28" x14ac:dyDescent="0.25">
      <c r="A99">
        <v>98</v>
      </c>
      <c r="B99">
        <v>184546</v>
      </c>
      <c r="C99">
        <v>24002058</v>
      </c>
      <c r="D99" t="s">
        <v>14</v>
      </c>
      <c r="E99" t="s">
        <v>106</v>
      </c>
      <c r="F99">
        <v>5158582</v>
      </c>
      <c r="G99">
        <v>997</v>
      </c>
      <c r="H99" t="s">
        <v>91</v>
      </c>
      <c r="I99">
        <v>2504</v>
      </c>
      <c r="J99" s="74">
        <v>45688</v>
      </c>
      <c r="K99" s="74">
        <v>45688</v>
      </c>
      <c r="L99" t="s">
        <v>190</v>
      </c>
      <c r="M99" s="74">
        <v>45695</v>
      </c>
      <c r="N99" t="s">
        <v>151</v>
      </c>
      <c r="O99" t="s">
        <v>224</v>
      </c>
      <c r="P99">
        <v>0.76</v>
      </c>
      <c r="Q99">
        <v>5.71</v>
      </c>
      <c r="R99">
        <v>1903.04</v>
      </c>
      <c r="S99">
        <v>14297.84</v>
      </c>
      <c r="T99" t="s">
        <v>66</v>
      </c>
      <c r="AA99">
        <f t="shared" si="1"/>
        <v>392697.8</v>
      </c>
      <c r="AB99">
        <f>COUNTIF($D$1:D99,D99)</f>
        <v>27</v>
      </c>
    </row>
    <row r="100" spans="1:28" x14ac:dyDescent="0.25">
      <c r="A100">
        <v>99</v>
      </c>
      <c r="B100">
        <v>184289</v>
      </c>
      <c r="C100">
        <v>24001963</v>
      </c>
      <c r="D100" t="s">
        <v>14</v>
      </c>
      <c r="E100" t="s">
        <v>106</v>
      </c>
      <c r="F100">
        <v>5158001</v>
      </c>
      <c r="G100">
        <v>941</v>
      </c>
      <c r="H100" t="s">
        <v>91</v>
      </c>
      <c r="I100">
        <v>600</v>
      </c>
      <c r="J100" s="74">
        <v>45666</v>
      </c>
      <c r="K100" s="74">
        <v>45677</v>
      </c>
      <c r="L100" t="s">
        <v>190</v>
      </c>
      <c r="M100" s="74">
        <v>45667</v>
      </c>
      <c r="N100" t="s">
        <v>155</v>
      </c>
      <c r="O100" t="s">
        <v>190</v>
      </c>
      <c r="P100">
        <v>0.83</v>
      </c>
      <c r="Q100">
        <v>2.11</v>
      </c>
      <c r="R100">
        <v>498</v>
      </c>
      <c r="S100">
        <v>1266</v>
      </c>
      <c r="T100" t="s">
        <v>66</v>
      </c>
      <c r="AA100">
        <f t="shared" si="1"/>
        <v>392697.8</v>
      </c>
      <c r="AB100">
        <f>COUNTIF($D$1:D100,D100)</f>
        <v>28</v>
      </c>
    </row>
    <row r="101" spans="1:28" x14ac:dyDescent="0.25">
      <c r="A101">
        <v>100</v>
      </c>
      <c r="B101">
        <v>181719</v>
      </c>
      <c r="C101">
        <v>23002380</v>
      </c>
      <c r="D101" t="s">
        <v>14</v>
      </c>
      <c r="E101" t="s">
        <v>106</v>
      </c>
      <c r="F101" t="s">
        <v>176</v>
      </c>
      <c r="G101">
        <v>147155</v>
      </c>
      <c r="H101" t="s">
        <v>126</v>
      </c>
      <c r="I101">
        <v>97</v>
      </c>
      <c r="J101" s="74">
        <v>45659</v>
      </c>
      <c r="K101" s="74">
        <v>45673</v>
      </c>
      <c r="L101" t="s">
        <v>190</v>
      </c>
      <c r="M101" s="74">
        <v>45359</v>
      </c>
      <c r="N101" t="s">
        <v>155</v>
      </c>
      <c r="O101" t="s">
        <v>226</v>
      </c>
      <c r="P101">
        <v>0.67</v>
      </c>
      <c r="Q101">
        <v>1.86</v>
      </c>
      <c r="R101">
        <v>64.989999999999995</v>
      </c>
      <c r="S101">
        <v>180.42</v>
      </c>
      <c r="T101" t="s">
        <v>66</v>
      </c>
      <c r="AA101">
        <f t="shared" si="1"/>
        <v>392697.8</v>
      </c>
      <c r="AB101">
        <f>COUNTIF($D$1:D101,D101)</f>
        <v>29</v>
      </c>
    </row>
    <row r="102" spans="1:28" x14ac:dyDescent="0.25">
      <c r="A102">
        <v>101</v>
      </c>
      <c r="B102">
        <v>184315</v>
      </c>
      <c r="C102">
        <v>24001989</v>
      </c>
      <c r="D102" t="s">
        <v>14</v>
      </c>
      <c r="E102" t="s">
        <v>106</v>
      </c>
      <c r="F102">
        <v>5159300</v>
      </c>
      <c r="G102">
        <v>941</v>
      </c>
      <c r="H102" t="s">
        <v>126</v>
      </c>
      <c r="I102">
        <v>697</v>
      </c>
      <c r="J102" s="74">
        <v>45659</v>
      </c>
      <c r="K102" s="74">
        <v>45664</v>
      </c>
      <c r="L102" t="s">
        <v>190</v>
      </c>
      <c r="M102" s="74">
        <v>45660</v>
      </c>
      <c r="N102" t="s">
        <v>155</v>
      </c>
      <c r="O102" t="s">
        <v>190</v>
      </c>
      <c r="P102">
        <v>0.74</v>
      </c>
      <c r="Q102">
        <v>1.38</v>
      </c>
      <c r="R102">
        <v>515.78</v>
      </c>
      <c r="S102">
        <v>961.86</v>
      </c>
      <c r="T102" t="s">
        <v>66</v>
      </c>
      <c r="AA102">
        <f t="shared" si="1"/>
        <v>392697.8</v>
      </c>
      <c r="AB102">
        <f>COUNTIF($D$1:D102,D102)</f>
        <v>30</v>
      </c>
    </row>
    <row r="103" spans="1:28" x14ac:dyDescent="0.25">
      <c r="A103">
        <v>102</v>
      </c>
      <c r="B103">
        <v>184317</v>
      </c>
      <c r="C103">
        <v>24001991</v>
      </c>
      <c r="D103" t="s">
        <v>14</v>
      </c>
      <c r="E103" t="s">
        <v>106</v>
      </c>
      <c r="F103">
        <v>5158603</v>
      </c>
      <c r="G103">
        <v>941</v>
      </c>
      <c r="H103" t="s">
        <v>126</v>
      </c>
      <c r="I103">
        <v>439</v>
      </c>
      <c r="J103" s="74">
        <v>45659</v>
      </c>
      <c r="K103" s="74">
        <v>45674</v>
      </c>
      <c r="L103" t="s">
        <v>190</v>
      </c>
      <c r="M103" s="74">
        <v>45660</v>
      </c>
      <c r="N103" t="s">
        <v>155</v>
      </c>
      <c r="O103" t="s">
        <v>190</v>
      </c>
      <c r="P103">
        <v>0.77</v>
      </c>
      <c r="Q103">
        <v>1.46</v>
      </c>
      <c r="R103">
        <v>338.03</v>
      </c>
      <c r="S103">
        <v>640.94000000000005</v>
      </c>
      <c r="T103" t="s">
        <v>66</v>
      </c>
      <c r="AA103">
        <f t="shared" si="1"/>
        <v>392697.8</v>
      </c>
      <c r="AB103">
        <f>COUNTIF($D$1:D103,D103)</f>
        <v>31</v>
      </c>
    </row>
    <row r="104" spans="1:28" x14ac:dyDescent="0.25">
      <c r="A104">
        <v>103</v>
      </c>
      <c r="B104">
        <v>184302</v>
      </c>
      <c r="C104">
        <v>24001976</v>
      </c>
      <c r="D104" t="s">
        <v>14</v>
      </c>
      <c r="E104" t="s">
        <v>106</v>
      </c>
      <c r="F104" t="s">
        <v>172</v>
      </c>
      <c r="G104">
        <v>941</v>
      </c>
      <c r="H104" t="s">
        <v>126</v>
      </c>
      <c r="I104">
        <v>55</v>
      </c>
      <c r="J104" s="74">
        <v>45678</v>
      </c>
      <c r="K104" s="74">
        <v>45678</v>
      </c>
      <c r="L104" t="s">
        <v>190</v>
      </c>
      <c r="M104" s="74">
        <v>45667</v>
      </c>
      <c r="N104" t="s">
        <v>155</v>
      </c>
      <c r="O104" t="s">
        <v>190</v>
      </c>
      <c r="P104">
        <v>0.92</v>
      </c>
      <c r="Q104">
        <v>2.2599999999999998</v>
      </c>
      <c r="R104">
        <v>50.6</v>
      </c>
      <c r="S104">
        <v>124.3</v>
      </c>
      <c r="T104" t="s">
        <v>66</v>
      </c>
      <c r="AA104">
        <f t="shared" si="1"/>
        <v>392697.8</v>
      </c>
      <c r="AB104">
        <f>COUNTIF($D$1:D104,D104)</f>
        <v>32</v>
      </c>
    </row>
    <row r="105" spans="1:28" x14ac:dyDescent="0.25">
      <c r="A105">
        <v>104</v>
      </c>
      <c r="B105">
        <v>184316</v>
      </c>
      <c r="C105">
        <v>24001990</v>
      </c>
      <c r="D105" t="s">
        <v>14</v>
      </c>
      <c r="E105" t="s">
        <v>106</v>
      </c>
      <c r="F105">
        <v>5158591</v>
      </c>
      <c r="G105">
        <v>941</v>
      </c>
      <c r="H105" t="s">
        <v>126</v>
      </c>
      <c r="I105">
        <v>172</v>
      </c>
      <c r="J105" s="74">
        <v>45678</v>
      </c>
      <c r="K105" s="74">
        <v>45678</v>
      </c>
      <c r="L105" t="s">
        <v>190</v>
      </c>
      <c r="M105" s="74">
        <v>45667</v>
      </c>
      <c r="N105" t="s">
        <v>155</v>
      </c>
      <c r="O105" t="s">
        <v>190</v>
      </c>
      <c r="P105">
        <v>0.76</v>
      </c>
      <c r="Q105">
        <v>1.43</v>
      </c>
      <c r="R105">
        <v>130.72</v>
      </c>
      <c r="S105">
        <v>245.96</v>
      </c>
      <c r="T105" t="s">
        <v>66</v>
      </c>
      <c r="AA105">
        <f t="shared" si="1"/>
        <v>392697.8</v>
      </c>
      <c r="AB105">
        <f>COUNTIF($D$1:D105,D105)</f>
        <v>33</v>
      </c>
    </row>
    <row r="106" spans="1:28" x14ac:dyDescent="0.25">
      <c r="A106">
        <v>105</v>
      </c>
      <c r="B106">
        <v>184322</v>
      </c>
      <c r="C106">
        <v>24001996</v>
      </c>
      <c r="D106" t="s">
        <v>14</v>
      </c>
      <c r="E106" t="s">
        <v>106</v>
      </c>
      <c r="F106">
        <v>5159770</v>
      </c>
      <c r="G106">
        <v>942</v>
      </c>
      <c r="H106" t="s">
        <v>126</v>
      </c>
      <c r="I106">
        <v>4763</v>
      </c>
      <c r="J106" s="74">
        <v>45659</v>
      </c>
      <c r="K106" s="74">
        <v>45678</v>
      </c>
      <c r="L106" t="s">
        <v>190</v>
      </c>
      <c r="M106" s="74">
        <v>45674</v>
      </c>
      <c r="N106" t="s">
        <v>155</v>
      </c>
      <c r="O106" t="s">
        <v>190</v>
      </c>
      <c r="P106">
        <v>0.61</v>
      </c>
      <c r="Q106">
        <v>1.43</v>
      </c>
      <c r="R106">
        <v>2905.43</v>
      </c>
      <c r="S106">
        <v>6811.09</v>
      </c>
      <c r="T106" t="s">
        <v>66</v>
      </c>
      <c r="AA106">
        <f t="shared" si="1"/>
        <v>392697.8</v>
      </c>
      <c r="AB106">
        <f>COUNTIF($D$1:D106,D106)</f>
        <v>34</v>
      </c>
    </row>
    <row r="107" spans="1:28" x14ac:dyDescent="0.25">
      <c r="A107">
        <v>106</v>
      </c>
      <c r="B107">
        <v>184497</v>
      </c>
      <c r="C107">
        <v>24002009</v>
      </c>
      <c r="D107" t="s">
        <v>14</v>
      </c>
      <c r="E107" t="s">
        <v>106</v>
      </c>
      <c r="F107">
        <v>5159310</v>
      </c>
      <c r="G107">
        <v>994</v>
      </c>
      <c r="H107" t="s">
        <v>126</v>
      </c>
      <c r="I107">
        <v>1269</v>
      </c>
      <c r="J107" s="74">
        <v>45674</v>
      </c>
      <c r="K107" s="74">
        <v>45677</v>
      </c>
      <c r="L107" t="s">
        <v>190</v>
      </c>
      <c r="M107" s="74">
        <v>45695</v>
      </c>
      <c r="N107" t="s">
        <v>151</v>
      </c>
      <c r="O107" t="s">
        <v>224</v>
      </c>
      <c r="P107">
        <v>0.83</v>
      </c>
      <c r="Q107">
        <v>6.5</v>
      </c>
      <c r="R107">
        <v>1053.27</v>
      </c>
      <c r="S107">
        <v>8248.5</v>
      </c>
      <c r="T107" t="s">
        <v>66</v>
      </c>
      <c r="AA107">
        <f t="shared" si="1"/>
        <v>392697.8</v>
      </c>
      <c r="AB107">
        <f>COUNTIF($D$1:D107,D107)</f>
        <v>35</v>
      </c>
    </row>
    <row r="108" spans="1:28" x14ac:dyDescent="0.25">
      <c r="A108">
        <v>107</v>
      </c>
      <c r="B108">
        <v>184518</v>
      </c>
      <c r="C108">
        <v>24002030</v>
      </c>
      <c r="D108" t="s">
        <v>14</v>
      </c>
      <c r="E108" t="s">
        <v>106</v>
      </c>
      <c r="F108">
        <v>5158587</v>
      </c>
      <c r="G108">
        <v>995</v>
      </c>
      <c r="H108" t="s">
        <v>126</v>
      </c>
      <c r="I108">
        <v>1296</v>
      </c>
      <c r="J108" s="74">
        <v>45663</v>
      </c>
      <c r="K108" s="74">
        <v>45677</v>
      </c>
      <c r="L108" t="s">
        <v>190</v>
      </c>
      <c r="M108" s="74">
        <v>45674</v>
      </c>
      <c r="N108" t="s">
        <v>155</v>
      </c>
      <c r="O108" t="s">
        <v>190</v>
      </c>
      <c r="P108">
        <v>0.8</v>
      </c>
      <c r="Q108">
        <v>5.63</v>
      </c>
      <c r="R108">
        <v>1036.8</v>
      </c>
      <c r="S108">
        <v>7296.48</v>
      </c>
      <c r="T108" t="s">
        <v>66</v>
      </c>
      <c r="AA108">
        <f t="shared" si="1"/>
        <v>392697.8</v>
      </c>
      <c r="AB108">
        <f>COUNTIF($D$1:D108,D108)</f>
        <v>36</v>
      </c>
    </row>
    <row r="109" spans="1:28" x14ac:dyDescent="0.25">
      <c r="A109">
        <v>108</v>
      </c>
      <c r="B109">
        <v>184519</v>
      </c>
      <c r="C109">
        <v>24002031</v>
      </c>
      <c r="D109" t="s">
        <v>14</v>
      </c>
      <c r="E109" t="s">
        <v>106</v>
      </c>
      <c r="F109" t="s">
        <v>206</v>
      </c>
      <c r="G109">
        <v>995</v>
      </c>
      <c r="H109" t="s">
        <v>126</v>
      </c>
      <c r="I109">
        <v>601</v>
      </c>
      <c r="J109" s="74">
        <v>45663</v>
      </c>
      <c r="K109" s="74">
        <v>45666</v>
      </c>
      <c r="L109" t="s">
        <v>190</v>
      </c>
      <c r="M109" s="74">
        <v>45674</v>
      </c>
      <c r="N109" t="s">
        <v>151</v>
      </c>
      <c r="O109" t="s">
        <v>190</v>
      </c>
      <c r="P109">
        <v>0.77</v>
      </c>
      <c r="Q109">
        <v>6.02</v>
      </c>
      <c r="R109">
        <v>462.77</v>
      </c>
      <c r="S109">
        <v>3618.02</v>
      </c>
      <c r="T109" t="s">
        <v>66</v>
      </c>
      <c r="AA109">
        <f t="shared" si="1"/>
        <v>392697.8</v>
      </c>
      <c r="AB109">
        <f>COUNTIF($D$1:D109,D109)</f>
        <v>37</v>
      </c>
    </row>
    <row r="110" spans="1:28" x14ac:dyDescent="0.25">
      <c r="A110">
        <v>109</v>
      </c>
      <c r="B110">
        <v>184490</v>
      </c>
      <c r="C110">
        <v>24002002</v>
      </c>
      <c r="D110" t="s">
        <v>14</v>
      </c>
      <c r="E110" t="s">
        <v>106</v>
      </c>
      <c r="F110">
        <v>5159774</v>
      </c>
      <c r="G110">
        <v>993</v>
      </c>
      <c r="H110" t="s">
        <v>126</v>
      </c>
      <c r="I110">
        <v>2781</v>
      </c>
      <c r="J110" s="74">
        <v>45663</v>
      </c>
      <c r="K110" s="74">
        <v>45678</v>
      </c>
      <c r="L110" t="s">
        <v>190</v>
      </c>
      <c r="M110" s="74">
        <v>45674</v>
      </c>
      <c r="N110" t="s">
        <v>155</v>
      </c>
      <c r="O110" t="s">
        <v>190</v>
      </c>
      <c r="P110">
        <v>0.63</v>
      </c>
      <c r="Q110">
        <v>4.45</v>
      </c>
      <c r="R110">
        <v>1752.03</v>
      </c>
      <c r="S110">
        <v>12375.45</v>
      </c>
      <c r="T110" t="s">
        <v>66</v>
      </c>
      <c r="AA110">
        <f t="shared" si="1"/>
        <v>392697.8</v>
      </c>
      <c r="AB110">
        <f>COUNTIF($D$1:D110,D110)</f>
        <v>38</v>
      </c>
    </row>
    <row r="111" spans="1:28" x14ac:dyDescent="0.25">
      <c r="A111">
        <v>110</v>
      </c>
      <c r="B111">
        <v>184524</v>
      </c>
      <c r="C111">
        <v>24002036</v>
      </c>
      <c r="D111" t="s">
        <v>14</v>
      </c>
      <c r="E111" t="s">
        <v>106</v>
      </c>
      <c r="F111">
        <v>5158594</v>
      </c>
      <c r="G111">
        <v>995</v>
      </c>
      <c r="H111" t="s">
        <v>126</v>
      </c>
      <c r="I111">
        <v>4000</v>
      </c>
      <c r="J111" s="74">
        <v>45665</v>
      </c>
      <c r="K111" s="74">
        <v>45674</v>
      </c>
      <c r="L111" t="s">
        <v>190</v>
      </c>
      <c r="M111" s="74">
        <v>45688</v>
      </c>
      <c r="N111" t="s">
        <v>151</v>
      </c>
      <c r="O111" t="s">
        <v>190</v>
      </c>
      <c r="P111">
        <v>0.7</v>
      </c>
      <c r="Q111">
        <v>4.92</v>
      </c>
      <c r="R111">
        <v>2800</v>
      </c>
      <c r="S111">
        <v>19680</v>
      </c>
      <c r="T111" t="s">
        <v>66</v>
      </c>
      <c r="AA111">
        <f t="shared" si="1"/>
        <v>392697.8</v>
      </c>
      <c r="AB111">
        <f>COUNTIF($D$1:D111,D111)</f>
        <v>39</v>
      </c>
    </row>
    <row r="112" spans="1:28" x14ac:dyDescent="0.25">
      <c r="A112">
        <v>111</v>
      </c>
      <c r="B112">
        <v>184533</v>
      </c>
      <c r="C112">
        <v>24002045</v>
      </c>
      <c r="D112" t="s">
        <v>14</v>
      </c>
      <c r="E112" t="s">
        <v>106</v>
      </c>
      <c r="F112">
        <v>5157996</v>
      </c>
      <c r="G112">
        <v>996</v>
      </c>
      <c r="H112" t="s">
        <v>126</v>
      </c>
      <c r="I112">
        <v>8721</v>
      </c>
      <c r="J112" s="74">
        <v>45678</v>
      </c>
      <c r="K112" s="74">
        <v>45681</v>
      </c>
      <c r="L112" t="s">
        <v>190</v>
      </c>
      <c r="M112" s="74">
        <v>45688</v>
      </c>
      <c r="N112" t="s">
        <v>151</v>
      </c>
      <c r="O112" t="s">
        <v>190</v>
      </c>
      <c r="P112">
        <v>0.83</v>
      </c>
      <c r="Q112">
        <v>6.34</v>
      </c>
      <c r="R112">
        <v>7238.43</v>
      </c>
      <c r="S112">
        <v>55291.14</v>
      </c>
      <c r="T112" t="s">
        <v>66</v>
      </c>
      <c r="AA112">
        <f t="shared" si="1"/>
        <v>392697.8</v>
      </c>
      <c r="AB112">
        <f>COUNTIF($D$1:D112,D112)</f>
        <v>40</v>
      </c>
    </row>
    <row r="113" spans="1:28" x14ac:dyDescent="0.25">
      <c r="A113">
        <v>112</v>
      </c>
      <c r="B113">
        <v>184540</v>
      </c>
      <c r="C113">
        <v>24002052</v>
      </c>
      <c r="D113" t="s">
        <v>14</v>
      </c>
      <c r="E113" t="s">
        <v>106</v>
      </c>
      <c r="F113">
        <v>5158617</v>
      </c>
      <c r="G113">
        <v>997</v>
      </c>
      <c r="H113" t="s">
        <v>126</v>
      </c>
      <c r="I113">
        <v>1633</v>
      </c>
      <c r="J113" s="74">
        <v>45666</v>
      </c>
      <c r="K113" s="74">
        <v>45680</v>
      </c>
      <c r="L113" t="s">
        <v>190</v>
      </c>
      <c r="M113" s="74">
        <v>45688</v>
      </c>
      <c r="N113" t="s">
        <v>151</v>
      </c>
      <c r="O113" t="s">
        <v>190</v>
      </c>
      <c r="P113">
        <v>0.74</v>
      </c>
      <c r="Q113">
        <v>5.52</v>
      </c>
      <c r="R113">
        <v>1208.42</v>
      </c>
      <c r="S113">
        <v>9014.16</v>
      </c>
      <c r="T113" t="s">
        <v>66</v>
      </c>
      <c r="AA113">
        <f t="shared" si="1"/>
        <v>392697.8</v>
      </c>
      <c r="AB113">
        <f>COUNTIF($D$1:D113,D113)</f>
        <v>41</v>
      </c>
    </row>
    <row r="114" spans="1:28" x14ac:dyDescent="0.25">
      <c r="A114">
        <v>113</v>
      </c>
      <c r="B114">
        <v>184543</v>
      </c>
      <c r="C114">
        <v>24002055</v>
      </c>
      <c r="D114" t="s">
        <v>14</v>
      </c>
      <c r="E114" t="s">
        <v>106</v>
      </c>
      <c r="F114">
        <v>5159300</v>
      </c>
      <c r="G114">
        <v>997</v>
      </c>
      <c r="H114" t="s">
        <v>126</v>
      </c>
      <c r="I114">
        <v>4032</v>
      </c>
      <c r="J114" s="74">
        <v>45667</v>
      </c>
      <c r="K114" s="74">
        <v>45685</v>
      </c>
      <c r="L114" t="s">
        <v>190</v>
      </c>
      <c r="M114" s="74">
        <v>45688</v>
      </c>
      <c r="N114" t="s">
        <v>151</v>
      </c>
      <c r="O114" t="s">
        <v>190</v>
      </c>
      <c r="P114">
        <v>0.74</v>
      </c>
      <c r="Q114">
        <v>5.52</v>
      </c>
      <c r="R114">
        <v>2983.68</v>
      </c>
      <c r="S114">
        <v>22256.639999999999</v>
      </c>
      <c r="T114" t="s">
        <v>66</v>
      </c>
      <c r="AA114">
        <f t="shared" si="1"/>
        <v>392697.8</v>
      </c>
      <c r="AB114">
        <f>COUNTIF($D$1:D114,D114)</f>
        <v>42</v>
      </c>
    </row>
    <row r="115" spans="1:28" x14ac:dyDescent="0.25">
      <c r="A115">
        <v>114</v>
      </c>
      <c r="B115">
        <v>184544</v>
      </c>
      <c r="C115">
        <v>24002056</v>
      </c>
      <c r="D115" t="s">
        <v>14</v>
      </c>
      <c r="E115" t="s">
        <v>106</v>
      </c>
      <c r="F115">
        <v>5158603</v>
      </c>
      <c r="G115">
        <v>997</v>
      </c>
      <c r="H115" t="s">
        <v>126</v>
      </c>
      <c r="I115">
        <v>6948</v>
      </c>
      <c r="J115" s="74">
        <v>45670</v>
      </c>
      <c r="K115" s="74">
        <v>45687</v>
      </c>
      <c r="L115" t="s">
        <v>190</v>
      </c>
      <c r="M115" s="74">
        <v>45688</v>
      </c>
      <c r="N115" t="s">
        <v>151</v>
      </c>
      <c r="O115" t="s">
        <v>190</v>
      </c>
      <c r="P115">
        <v>0.77</v>
      </c>
      <c r="Q115">
        <v>5.82</v>
      </c>
      <c r="R115">
        <v>5349.96</v>
      </c>
      <c r="S115">
        <v>40437.360000000001</v>
      </c>
      <c r="T115" t="s">
        <v>66</v>
      </c>
      <c r="AA115">
        <f t="shared" si="1"/>
        <v>392697.8</v>
      </c>
      <c r="AB115">
        <f>COUNTIF($D$1:D115,D115)</f>
        <v>43</v>
      </c>
    </row>
    <row r="116" spans="1:28" x14ac:dyDescent="0.25">
      <c r="A116">
        <v>115</v>
      </c>
      <c r="B116">
        <v>184545</v>
      </c>
      <c r="C116">
        <v>24002057</v>
      </c>
      <c r="D116" t="s">
        <v>14</v>
      </c>
      <c r="E116" t="s">
        <v>106</v>
      </c>
      <c r="F116">
        <v>5158588</v>
      </c>
      <c r="G116">
        <v>997</v>
      </c>
      <c r="H116" t="s">
        <v>126</v>
      </c>
      <c r="I116">
        <v>1944</v>
      </c>
      <c r="J116" s="74">
        <v>45687</v>
      </c>
      <c r="K116" s="74">
        <v>45687</v>
      </c>
      <c r="L116" t="s">
        <v>190</v>
      </c>
      <c r="M116" s="74">
        <v>45695</v>
      </c>
      <c r="N116" t="s">
        <v>151</v>
      </c>
      <c r="O116" t="s">
        <v>224</v>
      </c>
      <c r="P116">
        <v>0.77</v>
      </c>
      <c r="Q116">
        <v>5.82</v>
      </c>
      <c r="R116">
        <v>1496.88</v>
      </c>
      <c r="S116">
        <v>11314.08</v>
      </c>
      <c r="T116" t="s">
        <v>66</v>
      </c>
      <c r="AA116">
        <f t="shared" si="1"/>
        <v>392697.8</v>
      </c>
      <c r="AB116">
        <f>COUNTIF($D$1:D116,D116)</f>
        <v>44</v>
      </c>
    </row>
    <row r="117" spans="1:28" x14ac:dyDescent="0.25">
      <c r="A117">
        <v>116</v>
      </c>
      <c r="B117">
        <v>184547</v>
      </c>
      <c r="C117">
        <v>24002059</v>
      </c>
      <c r="D117" t="s">
        <v>14</v>
      </c>
      <c r="E117" t="s">
        <v>106</v>
      </c>
      <c r="F117">
        <v>5158591</v>
      </c>
      <c r="G117">
        <v>997</v>
      </c>
      <c r="H117" t="s">
        <v>126</v>
      </c>
      <c r="I117">
        <v>2304</v>
      </c>
      <c r="J117" s="74">
        <v>45688</v>
      </c>
      <c r="K117" s="74">
        <v>45688</v>
      </c>
      <c r="L117" t="s">
        <v>190</v>
      </c>
      <c r="M117" s="74">
        <v>45695</v>
      </c>
      <c r="N117" t="s">
        <v>151</v>
      </c>
      <c r="O117" t="s">
        <v>224</v>
      </c>
      <c r="P117">
        <v>0.76</v>
      </c>
      <c r="Q117">
        <v>5.71</v>
      </c>
      <c r="R117">
        <v>1751.04</v>
      </c>
      <c r="S117">
        <v>13155.84</v>
      </c>
      <c r="T117" t="s">
        <v>66</v>
      </c>
      <c r="AA117">
        <f t="shared" si="1"/>
        <v>392697.8</v>
      </c>
      <c r="AB117">
        <f>COUNTIF($D$1:D117,D117)</f>
        <v>45</v>
      </c>
    </row>
    <row r="118" spans="1:28" x14ac:dyDescent="0.25">
      <c r="A118">
        <v>117</v>
      </c>
      <c r="B118">
        <v>184289</v>
      </c>
      <c r="C118">
        <v>24001963</v>
      </c>
      <c r="D118" t="s">
        <v>14</v>
      </c>
      <c r="E118" t="s">
        <v>106</v>
      </c>
      <c r="F118">
        <v>5158001</v>
      </c>
      <c r="G118">
        <v>941</v>
      </c>
      <c r="H118" t="s">
        <v>126</v>
      </c>
      <c r="I118">
        <v>600</v>
      </c>
      <c r="J118" s="74">
        <v>45666</v>
      </c>
      <c r="K118" s="74">
        <v>45674</v>
      </c>
      <c r="L118" t="s">
        <v>190</v>
      </c>
      <c r="M118" s="74">
        <v>45667</v>
      </c>
      <c r="N118" t="s">
        <v>155</v>
      </c>
      <c r="O118" t="s">
        <v>190</v>
      </c>
      <c r="P118">
        <v>0.83</v>
      </c>
      <c r="Q118">
        <v>2.11</v>
      </c>
      <c r="R118">
        <v>498</v>
      </c>
      <c r="S118">
        <v>1266</v>
      </c>
      <c r="T118" t="s">
        <v>66</v>
      </c>
      <c r="AA118">
        <f t="shared" si="1"/>
        <v>392697.8</v>
      </c>
      <c r="AB118">
        <f>COUNTIF($D$1:D118,D118)</f>
        <v>46</v>
      </c>
    </row>
    <row r="119" spans="1:28" x14ac:dyDescent="0.25">
      <c r="A119">
        <v>118</v>
      </c>
      <c r="B119">
        <v>184287</v>
      </c>
      <c r="C119">
        <v>24001961</v>
      </c>
      <c r="D119" t="s">
        <v>14</v>
      </c>
      <c r="E119" t="s">
        <v>106</v>
      </c>
      <c r="F119">
        <v>5157996</v>
      </c>
      <c r="G119">
        <v>941</v>
      </c>
      <c r="H119" t="s">
        <v>127</v>
      </c>
      <c r="I119">
        <v>58</v>
      </c>
      <c r="J119" s="74">
        <v>45659</v>
      </c>
      <c r="K119" s="74">
        <v>45667</v>
      </c>
      <c r="L119" t="s">
        <v>190</v>
      </c>
      <c r="M119" s="74">
        <v>45667</v>
      </c>
      <c r="N119" t="s">
        <v>151</v>
      </c>
      <c r="O119" t="s">
        <v>190</v>
      </c>
      <c r="P119">
        <v>0.83</v>
      </c>
      <c r="Q119">
        <v>2.11</v>
      </c>
      <c r="R119">
        <v>48.14</v>
      </c>
      <c r="S119">
        <v>122.38</v>
      </c>
      <c r="T119" t="s">
        <v>66</v>
      </c>
      <c r="AA119">
        <f t="shared" si="1"/>
        <v>392697.8</v>
      </c>
      <c r="AB119">
        <f>COUNTIF($D$1:D119,D119)</f>
        <v>47</v>
      </c>
    </row>
    <row r="120" spans="1:28" x14ac:dyDescent="0.25">
      <c r="A120">
        <v>119</v>
      </c>
      <c r="B120">
        <v>184288</v>
      </c>
      <c r="C120">
        <v>24001962</v>
      </c>
      <c r="D120" t="s">
        <v>14</v>
      </c>
      <c r="E120" t="s">
        <v>106</v>
      </c>
      <c r="F120">
        <v>5158009</v>
      </c>
      <c r="G120">
        <v>941</v>
      </c>
      <c r="H120" t="s">
        <v>127</v>
      </c>
      <c r="I120">
        <v>2345</v>
      </c>
      <c r="J120" s="74">
        <v>45659</v>
      </c>
      <c r="K120" s="74">
        <v>45673</v>
      </c>
      <c r="L120" t="s">
        <v>190</v>
      </c>
      <c r="M120" s="74">
        <v>45667</v>
      </c>
      <c r="N120" t="s">
        <v>155</v>
      </c>
      <c r="O120" t="s">
        <v>190</v>
      </c>
      <c r="P120">
        <v>0.83</v>
      </c>
      <c r="Q120">
        <v>2.11</v>
      </c>
      <c r="R120">
        <v>1946.35</v>
      </c>
      <c r="S120">
        <v>4947.95</v>
      </c>
      <c r="T120" t="s">
        <v>66</v>
      </c>
      <c r="AA120">
        <f t="shared" si="1"/>
        <v>392697.8</v>
      </c>
      <c r="AB120">
        <f>COUNTIF($D$1:D120,D120)</f>
        <v>48</v>
      </c>
    </row>
    <row r="121" spans="1:28" x14ac:dyDescent="0.25">
      <c r="A121">
        <v>120</v>
      </c>
      <c r="B121">
        <v>184263</v>
      </c>
      <c r="C121">
        <v>24001937</v>
      </c>
      <c r="D121" t="s">
        <v>14</v>
      </c>
      <c r="E121" t="s">
        <v>106</v>
      </c>
      <c r="F121">
        <v>5159770</v>
      </c>
      <c r="G121">
        <v>940</v>
      </c>
      <c r="H121" t="s">
        <v>127</v>
      </c>
      <c r="I121">
        <v>102</v>
      </c>
      <c r="J121" s="74">
        <v>45660</v>
      </c>
      <c r="K121" s="74">
        <v>45665</v>
      </c>
      <c r="L121" t="s">
        <v>190</v>
      </c>
      <c r="M121" s="74">
        <v>45660</v>
      </c>
      <c r="N121" t="s">
        <v>155</v>
      </c>
      <c r="O121" t="s">
        <v>190</v>
      </c>
      <c r="P121">
        <v>0.63</v>
      </c>
      <c r="Q121">
        <v>1.43</v>
      </c>
      <c r="R121">
        <v>64.260000000000005</v>
      </c>
      <c r="S121">
        <v>145.86000000000001</v>
      </c>
      <c r="T121" t="s">
        <v>66</v>
      </c>
      <c r="AA121">
        <f t="shared" si="1"/>
        <v>392697.8</v>
      </c>
      <c r="AB121">
        <f>COUNTIF($D$1:D121,D121)</f>
        <v>49</v>
      </c>
    </row>
    <row r="122" spans="1:28" x14ac:dyDescent="0.25">
      <c r="A122">
        <v>121</v>
      </c>
      <c r="B122">
        <v>184314</v>
      </c>
      <c r="C122">
        <v>24001988</v>
      </c>
      <c r="D122" t="s">
        <v>14</v>
      </c>
      <c r="E122" t="s">
        <v>106</v>
      </c>
      <c r="F122">
        <v>5158609</v>
      </c>
      <c r="G122">
        <v>941</v>
      </c>
      <c r="H122" t="s">
        <v>127</v>
      </c>
      <c r="I122">
        <v>310</v>
      </c>
      <c r="J122" s="74">
        <v>45673</v>
      </c>
      <c r="K122" s="74">
        <v>45673</v>
      </c>
      <c r="L122" t="s">
        <v>190</v>
      </c>
      <c r="M122" s="74">
        <v>45660</v>
      </c>
      <c r="N122" t="s">
        <v>155</v>
      </c>
      <c r="O122" t="s">
        <v>190</v>
      </c>
      <c r="P122">
        <v>0.74</v>
      </c>
      <c r="Q122">
        <v>1.38</v>
      </c>
      <c r="R122">
        <v>229.4</v>
      </c>
      <c r="S122">
        <v>427.8</v>
      </c>
      <c r="T122" t="s">
        <v>66</v>
      </c>
      <c r="AA122">
        <f t="shared" si="1"/>
        <v>392697.8</v>
      </c>
      <c r="AB122">
        <f>COUNTIF($D$1:D122,D122)</f>
        <v>50</v>
      </c>
    </row>
    <row r="123" spans="1:28" x14ac:dyDescent="0.25">
      <c r="A123">
        <v>122</v>
      </c>
      <c r="B123">
        <v>184281</v>
      </c>
      <c r="C123">
        <v>24001955</v>
      </c>
      <c r="D123" t="s">
        <v>14</v>
      </c>
      <c r="E123" t="s">
        <v>106</v>
      </c>
      <c r="F123">
        <v>5158594</v>
      </c>
      <c r="G123">
        <v>941</v>
      </c>
      <c r="H123" t="s">
        <v>127</v>
      </c>
      <c r="I123">
        <v>564</v>
      </c>
      <c r="J123" s="74">
        <v>45664</v>
      </c>
      <c r="K123" s="74">
        <v>45673</v>
      </c>
      <c r="L123" t="s">
        <v>190</v>
      </c>
      <c r="M123" s="74">
        <v>45667</v>
      </c>
      <c r="N123" t="s">
        <v>155</v>
      </c>
      <c r="O123" t="s">
        <v>190</v>
      </c>
      <c r="P123">
        <v>0.7</v>
      </c>
      <c r="Q123">
        <v>1.64</v>
      </c>
      <c r="R123">
        <v>394.8</v>
      </c>
      <c r="S123">
        <v>924.96</v>
      </c>
      <c r="T123" t="s">
        <v>66</v>
      </c>
      <c r="AA123">
        <f t="shared" si="1"/>
        <v>392697.8</v>
      </c>
      <c r="AB123">
        <f>COUNTIF($D$1:D123,D123)</f>
        <v>51</v>
      </c>
    </row>
    <row r="124" spans="1:28" x14ac:dyDescent="0.25">
      <c r="A124">
        <v>123</v>
      </c>
      <c r="B124">
        <v>184301</v>
      </c>
      <c r="C124">
        <v>24001975</v>
      </c>
      <c r="D124" t="s">
        <v>14</v>
      </c>
      <c r="E124" t="s">
        <v>106</v>
      </c>
      <c r="F124">
        <v>5159308</v>
      </c>
      <c r="G124">
        <v>941</v>
      </c>
      <c r="H124" t="s">
        <v>127</v>
      </c>
      <c r="I124">
        <v>101</v>
      </c>
      <c r="J124" s="74">
        <v>45663</v>
      </c>
      <c r="K124" s="74">
        <v>45674</v>
      </c>
      <c r="L124" t="s">
        <v>190</v>
      </c>
      <c r="M124" s="74">
        <v>45667</v>
      </c>
      <c r="N124" t="s">
        <v>155</v>
      </c>
      <c r="O124" t="s">
        <v>190</v>
      </c>
      <c r="P124">
        <v>0.9</v>
      </c>
      <c r="Q124">
        <v>2.06</v>
      </c>
      <c r="R124">
        <v>90.9</v>
      </c>
      <c r="S124">
        <v>208.06</v>
      </c>
      <c r="T124" t="s">
        <v>66</v>
      </c>
      <c r="AA124">
        <f t="shared" si="1"/>
        <v>392697.8</v>
      </c>
      <c r="AB124">
        <f>COUNTIF($D$1:D124,D124)</f>
        <v>52</v>
      </c>
    </row>
    <row r="125" spans="1:28" x14ac:dyDescent="0.25">
      <c r="A125">
        <v>124</v>
      </c>
      <c r="B125">
        <v>184318</v>
      </c>
      <c r="C125">
        <v>24001992</v>
      </c>
      <c r="D125" t="s">
        <v>14</v>
      </c>
      <c r="E125" t="s">
        <v>106</v>
      </c>
      <c r="F125">
        <v>5158588</v>
      </c>
      <c r="G125">
        <v>941</v>
      </c>
      <c r="H125" t="s">
        <v>127</v>
      </c>
      <c r="I125">
        <v>164</v>
      </c>
      <c r="J125" s="74">
        <v>45671</v>
      </c>
      <c r="K125" s="74">
        <v>45677</v>
      </c>
      <c r="L125" t="s">
        <v>190</v>
      </c>
      <c r="M125" s="74">
        <v>45667</v>
      </c>
      <c r="N125" t="s">
        <v>155</v>
      </c>
      <c r="O125" t="s">
        <v>190</v>
      </c>
      <c r="P125">
        <v>0.77</v>
      </c>
      <c r="Q125">
        <v>1.46</v>
      </c>
      <c r="R125">
        <v>126.28</v>
      </c>
      <c r="S125">
        <v>239.44</v>
      </c>
      <c r="T125" t="s">
        <v>66</v>
      </c>
      <c r="AA125">
        <f t="shared" si="1"/>
        <v>392697.8</v>
      </c>
      <c r="AB125">
        <f>COUNTIF($D$1:D125,D125)</f>
        <v>53</v>
      </c>
    </row>
    <row r="126" spans="1:28" x14ac:dyDescent="0.25">
      <c r="A126">
        <v>125</v>
      </c>
      <c r="B126">
        <v>184322</v>
      </c>
      <c r="C126">
        <v>24001996</v>
      </c>
      <c r="D126" t="s">
        <v>14</v>
      </c>
      <c r="E126" t="s">
        <v>106</v>
      </c>
      <c r="F126">
        <v>5159770</v>
      </c>
      <c r="G126">
        <v>942</v>
      </c>
      <c r="H126" t="s">
        <v>127</v>
      </c>
      <c r="I126">
        <v>4052</v>
      </c>
      <c r="J126" s="74">
        <v>45659</v>
      </c>
      <c r="K126" s="74">
        <v>45664</v>
      </c>
      <c r="L126" t="s">
        <v>190</v>
      </c>
      <c r="M126" s="74">
        <v>45674</v>
      </c>
      <c r="N126" t="s">
        <v>151</v>
      </c>
      <c r="O126" t="s">
        <v>190</v>
      </c>
      <c r="P126">
        <v>0.61</v>
      </c>
      <c r="Q126">
        <v>1.43</v>
      </c>
      <c r="R126">
        <v>2471.7199999999998</v>
      </c>
      <c r="S126">
        <v>5794.36</v>
      </c>
      <c r="T126" t="s">
        <v>66</v>
      </c>
      <c r="AA126">
        <f t="shared" si="1"/>
        <v>392697.8</v>
      </c>
      <c r="AB126">
        <f>COUNTIF($D$1:D126,D126)</f>
        <v>54</v>
      </c>
    </row>
    <row r="127" spans="1:28" x14ac:dyDescent="0.25">
      <c r="A127">
        <v>126</v>
      </c>
      <c r="B127">
        <v>184497</v>
      </c>
      <c r="C127">
        <v>24002009</v>
      </c>
      <c r="D127" t="s">
        <v>14</v>
      </c>
      <c r="E127" t="s">
        <v>106</v>
      </c>
      <c r="F127">
        <v>5159310</v>
      </c>
      <c r="G127">
        <v>994</v>
      </c>
      <c r="H127" t="s">
        <v>127</v>
      </c>
      <c r="I127">
        <v>1269</v>
      </c>
      <c r="J127" s="74">
        <v>45673</v>
      </c>
      <c r="K127" s="74">
        <v>45674</v>
      </c>
      <c r="L127" t="s">
        <v>190</v>
      </c>
      <c r="M127" s="74">
        <v>45695</v>
      </c>
      <c r="N127" t="s">
        <v>151</v>
      </c>
      <c r="O127" t="s">
        <v>224</v>
      </c>
      <c r="P127">
        <v>0.83</v>
      </c>
      <c r="Q127">
        <v>6.5</v>
      </c>
      <c r="R127">
        <v>1053.27</v>
      </c>
      <c r="S127">
        <v>8248.5</v>
      </c>
      <c r="T127" t="s">
        <v>66</v>
      </c>
      <c r="AA127">
        <f t="shared" si="1"/>
        <v>392697.8</v>
      </c>
      <c r="AB127">
        <f>COUNTIF($D$1:D127,D127)</f>
        <v>55</v>
      </c>
    </row>
    <row r="128" spans="1:28" x14ac:dyDescent="0.25">
      <c r="A128">
        <v>127</v>
      </c>
      <c r="B128">
        <v>184518</v>
      </c>
      <c r="C128">
        <v>24002030</v>
      </c>
      <c r="D128" t="s">
        <v>14</v>
      </c>
      <c r="E128" t="s">
        <v>106</v>
      </c>
      <c r="F128">
        <v>5158587</v>
      </c>
      <c r="G128">
        <v>995</v>
      </c>
      <c r="H128" t="s">
        <v>127</v>
      </c>
      <c r="I128">
        <v>1417</v>
      </c>
      <c r="J128" s="74">
        <v>45663</v>
      </c>
      <c r="K128" s="74">
        <v>45666</v>
      </c>
      <c r="L128" t="s">
        <v>190</v>
      </c>
      <c r="M128" s="74">
        <v>45674</v>
      </c>
      <c r="N128" t="s">
        <v>151</v>
      </c>
      <c r="O128" t="s">
        <v>190</v>
      </c>
      <c r="P128">
        <v>0.8</v>
      </c>
      <c r="Q128">
        <v>5.63</v>
      </c>
      <c r="R128">
        <v>1133.5999999999999</v>
      </c>
      <c r="S128">
        <v>7977.71</v>
      </c>
      <c r="T128" t="s">
        <v>66</v>
      </c>
      <c r="AA128">
        <f t="shared" si="1"/>
        <v>392697.8</v>
      </c>
      <c r="AB128">
        <f>COUNTIF($D$1:D128,D128)</f>
        <v>56</v>
      </c>
    </row>
    <row r="129" spans="1:28" x14ac:dyDescent="0.25">
      <c r="A129">
        <v>128</v>
      </c>
      <c r="B129">
        <v>184519</v>
      </c>
      <c r="C129">
        <v>24002031</v>
      </c>
      <c r="D129" t="s">
        <v>14</v>
      </c>
      <c r="E129" t="s">
        <v>106</v>
      </c>
      <c r="F129" t="s">
        <v>206</v>
      </c>
      <c r="G129">
        <v>995</v>
      </c>
      <c r="H129" t="s">
        <v>127</v>
      </c>
      <c r="I129">
        <v>486</v>
      </c>
      <c r="J129" s="74">
        <v>45663</v>
      </c>
      <c r="K129" s="74">
        <v>45674</v>
      </c>
      <c r="L129" t="s">
        <v>190</v>
      </c>
      <c r="M129" s="74">
        <v>45674</v>
      </c>
      <c r="N129" t="s">
        <v>151</v>
      </c>
      <c r="O129" t="s">
        <v>190</v>
      </c>
      <c r="P129">
        <v>0.77</v>
      </c>
      <c r="Q129">
        <v>6.02</v>
      </c>
      <c r="R129">
        <v>374.22</v>
      </c>
      <c r="S129">
        <v>2925.72</v>
      </c>
      <c r="T129" t="s">
        <v>66</v>
      </c>
      <c r="AA129">
        <f t="shared" si="1"/>
        <v>392697.8</v>
      </c>
      <c r="AB129">
        <f>COUNTIF($D$1:D129,D129)</f>
        <v>57</v>
      </c>
    </row>
    <row r="130" spans="1:28" x14ac:dyDescent="0.25">
      <c r="A130">
        <v>129</v>
      </c>
      <c r="B130">
        <v>184490</v>
      </c>
      <c r="C130">
        <v>24002002</v>
      </c>
      <c r="D130" t="s">
        <v>14</v>
      </c>
      <c r="E130" t="s">
        <v>106</v>
      </c>
      <c r="F130">
        <v>5159774</v>
      </c>
      <c r="G130">
        <v>993</v>
      </c>
      <c r="H130" t="s">
        <v>127</v>
      </c>
      <c r="I130">
        <v>2830</v>
      </c>
      <c r="J130" s="74">
        <v>45664</v>
      </c>
      <c r="K130" s="74">
        <v>45672</v>
      </c>
      <c r="L130" t="s">
        <v>190</v>
      </c>
      <c r="M130" s="74">
        <v>45674</v>
      </c>
      <c r="N130" t="s">
        <v>151</v>
      </c>
      <c r="O130" t="s">
        <v>190</v>
      </c>
      <c r="P130">
        <v>0.63</v>
      </c>
      <c r="Q130">
        <v>4.45</v>
      </c>
      <c r="R130">
        <v>1782.9</v>
      </c>
      <c r="S130">
        <v>12593.5</v>
      </c>
      <c r="T130" t="s">
        <v>66</v>
      </c>
      <c r="AA130">
        <f t="shared" ref="AA130:AA193" si="2">SUMIF($D:$D,D130,$R:$R)</f>
        <v>392697.8</v>
      </c>
      <c r="AB130">
        <f>COUNTIF($D$1:D130,D130)</f>
        <v>58</v>
      </c>
    </row>
    <row r="131" spans="1:28" x14ac:dyDescent="0.25">
      <c r="A131">
        <v>130</v>
      </c>
      <c r="B131">
        <v>184524</v>
      </c>
      <c r="C131">
        <v>24002036</v>
      </c>
      <c r="D131" t="s">
        <v>14</v>
      </c>
      <c r="E131" t="s">
        <v>106</v>
      </c>
      <c r="F131">
        <v>5158594</v>
      </c>
      <c r="G131">
        <v>995</v>
      </c>
      <c r="H131" t="s">
        <v>127</v>
      </c>
      <c r="I131">
        <v>4000</v>
      </c>
      <c r="J131" s="74">
        <v>45665</v>
      </c>
      <c r="K131" s="74">
        <v>45674</v>
      </c>
      <c r="L131" t="s">
        <v>190</v>
      </c>
      <c r="M131" s="74">
        <v>45688</v>
      </c>
      <c r="N131" t="s">
        <v>151</v>
      </c>
      <c r="O131" t="s">
        <v>190</v>
      </c>
      <c r="P131">
        <v>0.7</v>
      </c>
      <c r="Q131">
        <v>4.92</v>
      </c>
      <c r="R131">
        <v>2800</v>
      </c>
      <c r="S131">
        <v>19680</v>
      </c>
      <c r="T131" t="s">
        <v>66</v>
      </c>
      <c r="AA131">
        <f t="shared" si="2"/>
        <v>392697.8</v>
      </c>
      <c r="AB131">
        <f>COUNTIF($D$1:D131,D131)</f>
        <v>59</v>
      </c>
    </row>
    <row r="132" spans="1:28" x14ac:dyDescent="0.25">
      <c r="A132">
        <v>131</v>
      </c>
      <c r="B132">
        <v>184533</v>
      </c>
      <c r="C132">
        <v>24002045</v>
      </c>
      <c r="D132" t="s">
        <v>14</v>
      </c>
      <c r="E132" t="s">
        <v>106</v>
      </c>
      <c r="F132">
        <v>5157996</v>
      </c>
      <c r="G132">
        <v>996</v>
      </c>
      <c r="H132" t="s">
        <v>127</v>
      </c>
      <c r="I132">
        <v>8721</v>
      </c>
      <c r="J132" s="74">
        <v>45677</v>
      </c>
      <c r="K132" s="74">
        <v>45680</v>
      </c>
      <c r="L132" t="s">
        <v>190</v>
      </c>
      <c r="M132" s="74">
        <v>45688</v>
      </c>
      <c r="N132" t="s">
        <v>151</v>
      </c>
      <c r="O132" t="s">
        <v>190</v>
      </c>
      <c r="P132">
        <v>0.83</v>
      </c>
      <c r="Q132">
        <v>6.34</v>
      </c>
      <c r="R132">
        <v>7238.43</v>
      </c>
      <c r="S132">
        <v>55291.14</v>
      </c>
      <c r="T132" t="s">
        <v>66</v>
      </c>
      <c r="AA132">
        <f t="shared" si="2"/>
        <v>392697.8</v>
      </c>
      <c r="AB132">
        <f>COUNTIF($D$1:D132,D132)</f>
        <v>60</v>
      </c>
    </row>
    <row r="133" spans="1:28" x14ac:dyDescent="0.25">
      <c r="A133">
        <v>132</v>
      </c>
      <c r="B133">
        <v>184540</v>
      </c>
      <c r="C133">
        <v>24002052</v>
      </c>
      <c r="D133" t="s">
        <v>14</v>
      </c>
      <c r="E133" t="s">
        <v>106</v>
      </c>
      <c r="F133">
        <v>5158617</v>
      </c>
      <c r="G133">
        <v>997</v>
      </c>
      <c r="H133" t="s">
        <v>127</v>
      </c>
      <c r="I133">
        <v>1584</v>
      </c>
      <c r="J133" s="74">
        <v>45667</v>
      </c>
      <c r="K133" s="74">
        <v>45681</v>
      </c>
      <c r="L133" t="s">
        <v>190</v>
      </c>
      <c r="M133" s="74">
        <v>45688</v>
      </c>
      <c r="N133" t="s">
        <v>151</v>
      </c>
      <c r="O133" t="s">
        <v>190</v>
      </c>
      <c r="P133">
        <v>0.74</v>
      </c>
      <c r="Q133">
        <v>5.52</v>
      </c>
      <c r="R133">
        <v>1172.1600000000001</v>
      </c>
      <c r="S133">
        <v>8743.68</v>
      </c>
      <c r="T133" t="s">
        <v>66</v>
      </c>
      <c r="AA133">
        <f t="shared" si="2"/>
        <v>392697.8</v>
      </c>
      <c r="AB133">
        <f>COUNTIF($D$1:D133,D133)</f>
        <v>61</v>
      </c>
    </row>
    <row r="134" spans="1:28" x14ac:dyDescent="0.25">
      <c r="A134">
        <v>133</v>
      </c>
      <c r="B134">
        <v>184544</v>
      </c>
      <c r="C134">
        <v>24002056</v>
      </c>
      <c r="D134" t="s">
        <v>14</v>
      </c>
      <c r="E134" t="s">
        <v>106</v>
      </c>
      <c r="F134">
        <v>5158603</v>
      </c>
      <c r="G134">
        <v>997</v>
      </c>
      <c r="H134" t="s">
        <v>127</v>
      </c>
      <c r="I134">
        <v>7130</v>
      </c>
      <c r="J134" s="74">
        <v>45670</v>
      </c>
      <c r="K134" s="74">
        <v>45681</v>
      </c>
      <c r="L134" t="s">
        <v>190</v>
      </c>
      <c r="M134" s="74">
        <v>45688</v>
      </c>
      <c r="N134" t="s">
        <v>151</v>
      </c>
      <c r="O134" t="s">
        <v>190</v>
      </c>
      <c r="P134">
        <v>0.77</v>
      </c>
      <c r="Q134">
        <v>5.82</v>
      </c>
      <c r="R134">
        <v>5490.1</v>
      </c>
      <c r="S134">
        <v>41496.6</v>
      </c>
      <c r="T134" t="s">
        <v>66</v>
      </c>
      <c r="AA134">
        <f t="shared" si="2"/>
        <v>392697.8</v>
      </c>
      <c r="AB134">
        <f>COUNTIF($D$1:D134,D134)</f>
        <v>62</v>
      </c>
    </row>
    <row r="135" spans="1:28" x14ac:dyDescent="0.25">
      <c r="A135">
        <v>134</v>
      </c>
      <c r="B135">
        <v>184542</v>
      </c>
      <c r="C135">
        <v>24002054</v>
      </c>
      <c r="D135" t="s">
        <v>14</v>
      </c>
      <c r="E135" t="s">
        <v>106</v>
      </c>
      <c r="F135">
        <v>5158609</v>
      </c>
      <c r="G135">
        <v>997</v>
      </c>
      <c r="H135" t="s">
        <v>127</v>
      </c>
      <c r="I135">
        <v>8316</v>
      </c>
      <c r="J135" s="74">
        <v>45681</v>
      </c>
      <c r="K135" s="74">
        <v>45688</v>
      </c>
      <c r="L135" t="s">
        <v>190</v>
      </c>
      <c r="M135" s="74">
        <v>45695</v>
      </c>
      <c r="N135" t="s">
        <v>151</v>
      </c>
      <c r="O135" t="s">
        <v>224</v>
      </c>
      <c r="P135">
        <v>0.74</v>
      </c>
      <c r="Q135">
        <v>5.52</v>
      </c>
      <c r="R135">
        <v>6153.84</v>
      </c>
      <c r="S135">
        <v>45904.32</v>
      </c>
      <c r="T135" t="s">
        <v>66</v>
      </c>
      <c r="AA135">
        <f t="shared" si="2"/>
        <v>392697.8</v>
      </c>
      <c r="AB135">
        <f>COUNTIF($D$1:D135,D135)</f>
        <v>63</v>
      </c>
    </row>
    <row r="136" spans="1:28" x14ac:dyDescent="0.25">
      <c r="A136">
        <v>135</v>
      </c>
      <c r="B136">
        <v>184545</v>
      </c>
      <c r="C136">
        <v>24002057</v>
      </c>
      <c r="D136" t="s">
        <v>14</v>
      </c>
      <c r="E136" t="s">
        <v>106</v>
      </c>
      <c r="F136">
        <v>5158588</v>
      </c>
      <c r="G136">
        <v>997</v>
      </c>
      <c r="H136" t="s">
        <v>127</v>
      </c>
      <c r="I136">
        <v>1565</v>
      </c>
      <c r="J136" s="74">
        <v>45688</v>
      </c>
      <c r="K136" s="74">
        <v>45688</v>
      </c>
      <c r="L136" t="s">
        <v>190</v>
      </c>
      <c r="M136" s="74">
        <v>45695</v>
      </c>
      <c r="N136" t="s">
        <v>151</v>
      </c>
      <c r="O136" t="s">
        <v>224</v>
      </c>
      <c r="P136">
        <v>0.77</v>
      </c>
      <c r="Q136">
        <v>5.82</v>
      </c>
      <c r="R136">
        <v>1205.05</v>
      </c>
      <c r="S136">
        <v>9108.2999999999993</v>
      </c>
      <c r="T136" t="s">
        <v>66</v>
      </c>
      <c r="AA136">
        <f t="shared" si="2"/>
        <v>392697.8</v>
      </c>
      <c r="AB136">
        <f>COUNTIF($D$1:D136,D136)</f>
        <v>64</v>
      </c>
    </row>
    <row r="137" spans="1:28" x14ac:dyDescent="0.25">
      <c r="A137">
        <v>136</v>
      </c>
      <c r="B137">
        <v>184516</v>
      </c>
      <c r="C137">
        <v>24002028</v>
      </c>
      <c r="D137" t="s">
        <v>14</v>
      </c>
      <c r="E137" t="s">
        <v>106</v>
      </c>
      <c r="F137">
        <v>5158602</v>
      </c>
      <c r="G137">
        <v>995</v>
      </c>
      <c r="H137" t="s">
        <v>127</v>
      </c>
      <c r="I137">
        <v>1178</v>
      </c>
      <c r="J137" s="74">
        <v>45666</v>
      </c>
      <c r="K137" s="74">
        <v>45673</v>
      </c>
      <c r="L137" t="s">
        <v>190</v>
      </c>
      <c r="M137" s="74">
        <v>45674</v>
      </c>
      <c r="N137" t="s">
        <v>151</v>
      </c>
      <c r="O137" t="s">
        <v>190</v>
      </c>
      <c r="P137">
        <v>0.8</v>
      </c>
      <c r="Q137">
        <v>5.63</v>
      </c>
      <c r="R137">
        <v>942.4</v>
      </c>
      <c r="S137">
        <v>6632.14</v>
      </c>
      <c r="T137" t="s">
        <v>66</v>
      </c>
      <c r="AA137">
        <f t="shared" si="2"/>
        <v>392697.8</v>
      </c>
      <c r="AB137">
        <f>COUNTIF($D$1:D137,D137)</f>
        <v>65</v>
      </c>
    </row>
    <row r="138" spans="1:28" x14ac:dyDescent="0.25">
      <c r="A138">
        <v>137</v>
      </c>
      <c r="B138">
        <v>184543</v>
      </c>
      <c r="C138">
        <v>24002055</v>
      </c>
      <c r="D138" t="s">
        <v>14</v>
      </c>
      <c r="E138" t="s">
        <v>106</v>
      </c>
      <c r="F138">
        <v>5159300</v>
      </c>
      <c r="G138">
        <v>997</v>
      </c>
      <c r="H138" t="s">
        <v>127</v>
      </c>
      <c r="I138">
        <v>1032</v>
      </c>
      <c r="J138" s="74">
        <v>45670</v>
      </c>
      <c r="K138" s="74">
        <v>45677</v>
      </c>
      <c r="L138" t="s">
        <v>190</v>
      </c>
      <c r="M138" s="74">
        <v>45688</v>
      </c>
      <c r="N138" t="s">
        <v>151</v>
      </c>
      <c r="O138" t="s">
        <v>190</v>
      </c>
      <c r="P138">
        <v>0.74</v>
      </c>
      <c r="Q138">
        <v>5.52</v>
      </c>
      <c r="R138">
        <v>763.68</v>
      </c>
      <c r="S138">
        <v>5696.64</v>
      </c>
      <c r="T138" t="s">
        <v>66</v>
      </c>
      <c r="AA138">
        <f t="shared" si="2"/>
        <v>392697.8</v>
      </c>
      <c r="AB138">
        <f>COUNTIF($D$1:D138,D138)</f>
        <v>66</v>
      </c>
    </row>
    <row r="139" spans="1:28" x14ac:dyDescent="0.25">
      <c r="A139">
        <v>138</v>
      </c>
      <c r="B139">
        <v>184287</v>
      </c>
      <c r="C139">
        <v>24001961</v>
      </c>
      <c r="D139" t="s">
        <v>14</v>
      </c>
      <c r="E139" t="s">
        <v>106</v>
      </c>
      <c r="F139">
        <v>5157996</v>
      </c>
      <c r="G139">
        <v>941</v>
      </c>
      <c r="H139" t="s">
        <v>94</v>
      </c>
      <c r="I139">
        <v>59</v>
      </c>
      <c r="J139" s="74">
        <v>45659</v>
      </c>
      <c r="K139" s="74">
        <v>45667</v>
      </c>
      <c r="L139" t="s">
        <v>190</v>
      </c>
      <c r="M139" s="74">
        <v>45667</v>
      </c>
      <c r="N139" t="s">
        <v>151</v>
      </c>
      <c r="O139" t="s">
        <v>190</v>
      </c>
      <c r="P139">
        <v>0.83</v>
      </c>
      <c r="Q139">
        <v>2.11</v>
      </c>
      <c r="R139">
        <v>48.97</v>
      </c>
      <c r="S139">
        <v>124.49</v>
      </c>
      <c r="T139" t="s">
        <v>66</v>
      </c>
      <c r="AA139">
        <f t="shared" si="2"/>
        <v>392697.8</v>
      </c>
      <c r="AB139">
        <f>COUNTIF($D$1:D139,D139)</f>
        <v>67</v>
      </c>
    </row>
    <row r="140" spans="1:28" x14ac:dyDescent="0.25">
      <c r="A140">
        <v>139</v>
      </c>
      <c r="B140">
        <v>184263</v>
      </c>
      <c r="C140">
        <v>24001937</v>
      </c>
      <c r="D140" t="s">
        <v>14</v>
      </c>
      <c r="E140" t="s">
        <v>106</v>
      </c>
      <c r="F140">
        <v>5159770</v>
      </c>
      <c r="G140">
        <v>940</v>
      </c>
      <c r="H140" t="s">
        <v>94</v>
      </c>
      <c r="I140">
        <v>103</v>
      </c>
      <c r="J140" s="74">
        <v>45660</v>
      </c>
      <c r="K140" s="74">
        <v>45665</v>
      </c>
      <c r="L140" t="s">
        <v>190</v>
      </c>
      <c r="M140" s="74">
        <v>45660</v>
      </c>
      <c r="N140" t="s">
        <v>155</v>
      </c>
      <c r="O140" t="s">
        <v>190</v>
      </c>
      <c r="P140">
        <v>0.63</v>
      </c>
      <c r="Q140">
        <v>1.43</v>
      </c>
      <c r="R140">
        <v>64.89</v>
      </c>
      <c r="S140">
        <v>147.29</v>
      </c>
      <c r="T140" t="s">
        <v>66</v>
      </c>
      <c r="AA140">
        <f t="shared" si="2"/>
        <v>392697.8</v>
      </c>
      <c r="AB140">
        <f>COUNTIF($D$1:D140,D140)</f>
        <v>68</v>
      </c>
    </row>
    <row r="141" spans="1:28" x14ac:dyDescent="0.25">
      <c r="A141">
        <v>140</v>
      </c>
      <c r="B141">
        <v>184314</v>
      </c>
      <c r="C141">
        <v>24001988</v>
      </c>
      <c r="D141" t="s">
        <v>14</v>
      </c>
      <c r="E141" t="s">
        <v>106</v>
      </c>
      <c r="F141">
        <v>5158609</v>
      </c>
      <c r="G141">
        <v>941</v>
      </c>
      <c r="H141" t="s">
        <v>94</v>
      </c>
      <c r="I141">
        <v>310</v>
      </c>
      <c r="J141" s="74">
        <v>45670</v>
      </c>
      <c r="K141" s="74">
        <v>45673</v>
      </c>
      <c r="L141" t="s">
        <v>190</v>
      </c>
      <c r="M141" s="74">
        <v>45660</v>
      </c>
      <c r="N141" t="s">
        <v>155</v>
      </c>
      <c r="O141" t="s">
        <v>190</v>
      </c>
      <c r="P141">
        <v>0.74</v>
      </c>
      <c r="Q141">
        <v>1.38</v>
      </c>
      <c r="R141">
        <v>229.4</v>
      </c>
      <c r="S141">
        <v>427.8</v>
      </c>
      <c r="T141" t="s">
        <v>66</v>
      </c>
      <c r="AA141">
        <f t="shared" si="2"/>
        <v>392697.8</v>
      </c>
      <c r="AB141">
        <f>COUNTIF($D$1:D141,D141)</f>
        <v>69</v>
      </c>
    </row>
    <row r="142" spans="1:28" x14ac:dyDescent="0.25">
      <c r="A142">
        <v>141</v>
      </c>
      <c r="B142">
        <v>184281</v>
      </c>
      <c r="C142">
        <v>24001955</v>
      </c>
      <c r="D142" t="s">
        <v>14</v>
      </c>
      <c r="E142" t="s">
        <v>106</v>
      </c>
      <c r="F142">
        <v>5158594</v>
      </c>
      <c r="G142">
        <v>941</v>
      </c>
      <c r="H142" t="s">
        <v>94</v>
      </c>
      <c r="I142">
        <v>564</v>
      </c>
      <c r="J142" s="74">
        <v>45664</v>
      </c>
      <c r="K142" s="74">
        <v>45673</v>
      </c>
      <c r="L142" t="s">
        <v>190</v>
      </c>
      <c r="M142" s="74">
        <v>45667</v>
      </c>
      <c r="N142" t="s">
        <v>155</v>
      </c>
      <c r="O142" t="s">
        <v>190</v>
      </c>
      <c r="P142">
        <v>0.7</v>
      </c>
      <c r="Q142">
        <v>1.64</v>
      </c>
      <c r="R142">
        <v>394.8</v>
      </c>
      <c r="S142">
        <v>924.96</v>
      </c>
      <c r="T142" t="s">
        <v>66</v>
      </c>
      <c r="AA142">
        <f t="shared" si="2"/>
        <v>392697.8</v>
      </c>
      <c r="AB142">
        <f>COUNTIF($D$1:D142,D142)</f>
        <v>70</v>
      </c>
    </row>
    <row r="143" spans="1:28" x14ac:dyDescent="0.25">
      <c r="A143">
        <v>142</v>
      </c>
      <c r="B143">
        <v>184301</v>
      </c>
      <c r="C143">
        <v>24001975</v>
      </c>
      <c r="D143" t="s">
        <v>14</v>
      </c>
      <c r="E143" t="s">
        <v>106</v>
      </c>
      <c r="F143">
        <v>5159308</v>
      </c>
      <c r="G143">
        <v>941</v>
      </c>
      <c r="H143" t="s">
        <v>94</v>
      </c>
      <c r="I143">
        <v>101</v>
      </c>
      <c r="J143" s="74">
        <v>45663</v>
      </c>
      <c r="K143" s="74">
        <v>45674</v>
      </c>
      <c r="L143" t="s">
        <v>190</v>
      </c>
      <c r="M143" s="74">
        <v>45667</v>
      </c>
      <c r="N143" t="s">
        <v>155</v>
      </c>
      <c r="O143" t="s">
        <v>190</v>
      </c>
      <c r="P143">
        <v>0.9</v>
      </c>
      <c r="Q143">
        <v>2.06</v>
      </c>
      <c r="R143">
        <v>90.9</v>
      </c>
      <c r="S143">
        <v>208.06</v>
      </c>
      <c r="T143" t="s">
        <v>66</v>
      </c>
      <c r="AA143">
        <f t="shared" si="2"/>
        <v>392697.8</v>
      </c>
      <c r="AB143">
        <f>COUNTIF($D$1:D143,D143)</f>
        <v>71</v>
      </c>
    </row>
    <row r="144" spans="1:28" x14ac:dyDescent="0.25">
      <c r="A144">
        <v>143</v>
      </c>
      <c r="B144">
        <v>184318</v>
      </c>
      <c r="C144">
        <v>24001992</v>
      </c>
      <c r="D144" t="s">
        <v>14</v>
      </c>
      <c r="E144" t="s">
        <v>106</v>
      </c>
      <c r="F144">
        <v>5158588</v>
      </c>
      <c r="G144">
        <v>941</v>
      </c>
      <c r="H144" t="s">
        <v>94</v>
      </c>
      <c r="I144">
        <v>165</v>
      </c>
      <c r="J144" s="74">
        <v>45671</v>
      </c>
      <c r="K144" s="74">
        <v>45677</v>
      </c>
      <c r="L144" t="s">
        <v>190</v>
      </c>
      <c r="M144" s="74">
        <v>45667</v>
      </c>
      <c r="N144" t="s">
        <v>155</v>
      </c>
      <c r="O144" t="s">
        <v>190</v>
      </c>
      <c r="P144">
        <v>0.77</v>
      </c>
      <c r="Q144">
        <v>1.46</v>
      </c>
      <c r="R144">
        <v>127.05</v>
      </c>
      <c r="S144">
        <v>240.9</v>
      </c>
      <c r="T144" t="s">
        <v>66</v>
      </c>
      <c r="AA144">
        <f t="shared" si="2"/>
        <v>392697.8</v>
      </c>
      <c r="AB144">
        <f>COUNTIF($D$1:D144,D144)</f>
        <v>72</v>
      </c>
    </row>
    <row r="145" spans="1:28" x14ac:dyDescent="0.25">
      <c r="A145">
        <v>144</v>
      </c>
      <c r="B145">
        <v>184322</v>
      </c>
      <c r="C145">
        <v>24001996</v>
      </c>
      <c r="D145" t="s">
        <v>14</v>
      </c>
      <c r="E145" t="s">
        <v>106</v>
      </c>
      <c r="F145">
        <v>5159770</v>
      </c>
      <c r="G145">
        <v>942</v>
      </c>
      <c r="H145" t="s">
        <v>94</v>
      </c>
      <c r="I145">
        <v>4053</v>
      </c>
      <c r="J145" s="74">
        <v>45659</v>
      </c>
      <c r="K145" s="74">
        <v>45667</v>
      </c>
      <c r="L145" t="s">
        <v>190</v>
      </c>
      <c r="M145" s="74">
        <v>45674</v>
      </c>
      <c r="N145" t="s">
        <v>151</v>
      </c>
      <c r="O145" t="s">
        <v>190</v>
      </c>
      <c r="P145">
        <v>0.61</v>
      </c>
      <c r="Q145">
        <v>1.43</v>
      </c>
      <c r="R145">
        <v>2472.33</v>
      </c>
      <c r="S145">
        <v>5795.79</v>
      </c>
      <c r="T145" t="s">
        <v>66</v>
      </c>
      <c r="AA145">
        <f t="shared" si="2"/>
        <v>392697.8</v>
      </c>
      <c r="AB145">
        <f>COUNTIF($D$1:D145,D145)</f>
        <v>73</v>
      </c>
    </row>
    <row r="146" spans="1:28" x14ac:dyDescent="0.25">
      <c r="A146">
        <v>145</v>
      </c>
      <c r="B146">
        <v>184497</v>
      </c>
      <c r="C146">
        <v>24002009</v>
      </c>
      <c r="D146" t="s">
        <v>14</v>
      </c>
      <c r="E146" t="s">
        <v>106</v>
      </c>
      <c r="F146">
        <v>5159310</v>
      </c>
      <c r="G146">
        <v>994</v>
      </c>
      <c r="H146" t="s">
        <v>94</v>
      </c>
      <c r="I146">
        <v>1269</v>
      </c>
      <c r="J146" s="74">
        <v>45673</v>
      </c>
      <c r="K146" s="74">
        <v>45674</v>
      </c>
      <c r="L146" t="s">
        <v>190</v>
      </c>
      <c r="M146" s="74">
        <v>45695</v>
      </c>
      <c r="N146" t="s">
        <v>151</v>
      </c>
      <c r="O146" t="s">
        <v>224</v>
      </c>
      <c r="P146">
        <v>0.83</v>
      </c>
      <c r="Q146">
        <v>6.5</v>
      </c>
      <c r="R146">
        <v>1053.27</v>
      </c>
      <c r="S146">
        <v>8248.5</v>
      </c>
      <c r="T146" t="s">
        <v>66</v>
      </c>
      <c r="AA146">
        <f t="shared" si="2"/>
        <v>392697.8</v>
      </c>
      <c r="AB146">
        <f>COUNTIF($D$1:D146,D146)</f>
        <v>74</v>
      </c>
    </row>
    <row r="147" spans="1:28" x14ac:dyDescent="0.25">
      <c r="A147">
        <v>146</v>
      </c>
      <c r="B147">
        <v>184518</v>
      </c>
      <c r="C147">
        <v>24002030</v>
      </c>
      <c r="D147" t="s">
        <v>14</v>
      </c>
      <c r="E147" t="s">
        <v>106</v>
      </c>
      <c r="F147">
        <v>5158587</v>
      </c>
      <c r="G147">
        <v>995</v>
      </c>
      <c r="H147" t="s">
        <v>94</v>
      </c>
      <c r="I147">
        <v>1418</v>
      </c>
      <c r="J147" s="74">
        <v>45663</v>
      </c>
      <c r="K147" s="74">
        <v>45667</v>
      </c>
      <c r="L147" t="s">
        <v>190</v>
      </c>
      <c r="M147" s="74">
        <v>45674</v>
      </c>
      <c r="N147" t="s">
        <v>151</v>
      </c>
      <c r="O147" t="s">
        <v>190</v>
      </c>
      <c r="P147">
        <v>0.8</v>
      </c>
      <c r="Q147">
        <v>5.63</v>
      </c>
      <c r="R147">
        <v>1134.4000000000001</v>
      </c>
      <c r="S147">
        <v>7983.34</v>
      </c>
      <c r="T147" t="s">
        <v>66</v>
      </c>
      <c r="AA147">
        <f t="shared" si="2"/>
        <v>392697.8</v>
      </c>
      <c r="AB147">
        <f>COUNTIF($D$1:D147,D147)</f>
        <v>75</v>
      </c>
    </row>
    <row r="148" spans="1:28" x14ac:dyDescent="0.25">
      <c r="A148">
        <v>147</v>
      </c>
      <c r="B148">
        <v>184519</v>
      </c>
      <c r="C148">
        <v>24002031</v>
      </c>
      <c r="D148" t="s">
        <v>14</v>
      </c>
      <c r="E148" t="s">
        <v>106</v>
      </c>
      <c r="F148" t="s">
        <v>206</v>
      </c>
      <c r="G148">
        <v>995</v>
      </c>
      <c r="H148" t="s">
        <v>94</v>
      </c>
      <c r="I148">
        <v>486</v>
      </c>
      <c r="J148" s="74">
        <v>45663</v>
      </c>
      <c r="K148" s="74">
        <v>45674</v>
      </c>
      <c r="L148" t="s">
        <v>190</v>
      </c>
      <c r="M148" s="74">
        <v>45674</v>
      </c>
      <c r="N148" t="s">
        <v>151</v>
      </c>
      <c r="O148" t="s">
        <v>190</v>
      </c>
      <c r="P148">
        <v>0.77</v>
      </c>
      <c r="Q148">
        <v>6.02</v>
      </c>
      <c r="R148">
        <v>374.22</v>
      </c>
      <c r="S148">
        <v>2925.72</v>
      </c>
      <c r="T148" t="s">
        <v>66</v>
      </c>
      <c r="AA148">
        <f t="shared" si="2"/>
        <v>392697.8</v>
      </c>
      <c r="AB148">
        <f>COUNTIF($D$1:D148,D148)</f>
        <v>76</v>
      </c>
    </row>
    <row r="149" spans="1:28" x14ac:dyDescent="0.25">
      <c r="A149">
        <v>148</v>
      </c>
      <c r="B149">
        <v>184490</v>
      </c>
      <c r="C149">
        <v>24002002</v>
      </c>
      <c r="D149" t="s">
        <v>14</v>
      </c>
      <c r="E149" t="s">
        <v>106</v>
      </c>
      <c r="F149">
        <v>5159774</v>
      </c>
      <c r="G149">
        <v>993</v>
      </c>
      <c r="H149" t="s">
        <v>94</v>
      </c>
      <c r="I149">
        <v>2830</v>
      </c>
      <c r="J149" s="74">
        <v>45664</v>
      </c>
      <c r="K149" s="74">
        <v>45672</v>
      </c>
      <c r="L149" t="s">
        <v>190</v>
      </c>
      <c r="M149" s="74">
        <v>45674</v>
      </c>
      <c r="N149" t="s">
        <v>151</v>
      </c>
      <c r="O149" t="s">
        <v>190</v>
      </c>
      <c r="P149">
        <v>0.63</v>
      </c>
      <c r="Q149">
        <v>4.45</v>
      </c>
      <c r="R149">
        <v>1782.9</v>
      </c>
      <c r="S149">
        <v>12593.5</v>
      </c>
      <c r="T149" t="s">
        <v>66</v>
      </c>
      <c r="AA149">
        <f t="shared" si="2"/>
        <v>392697.8</v>
      </c>
      <c r="AB149">
        <f>COUNTIF($D$1:D149,D149)</f>
        <v>77</v>
      </c>
    </row>
    <row r="150" spans="1:28" x14ac:dyDescent="0.25">
      <c r="A150">
        <v>149</v>
      </c>
      <c r="B150">
        <v>184524</v>
      </c>
      <c r="C150">
        <v>24002036</v>
      </c>
      <c r="D150" t="s">
        <v>14</v>
      </c>
      <c r="E150" t="s">
        <v>106</v>
      </c>
      <c r="F150">
        <v>5158594</v>
      </c>
      <c r="G150">
        <v>995</v>
      </c>
      <c r="H150" t="s">
        <v>94</v>
      </c>
      <c r="I150">
        <v>4000</v>
      </c>
      <c r="J150" s="74">
        <v>45665</v>
      </c>
      <c r="K150" s="74">
        <v>45674</v>
      </c>
      <c r="L150" t="s">
        <v>190</v>
      </c>
      <c r="M150" s="74">
        <v>45688</v>
      </c>
      <c r="N150" t="s">
        <v>151</v>
      </c>
      <c r="O150" t="s">
        <v>190</v>
      </c>
      <c r="P150">
        <v>0.7</v>
      </c>
      <c r="Q150">
        <v>4.92</v>
      </c>
      <c r="R150">
        <v>2800</v>
      </c>
      <c r="S150">
        <v>19680</v>
      </c>
      <c r="T150" t="s">
        <v>66</v>
      </c>
      <c r="AA150">
        <f t="shared" si="2"/>
        <v>392697.8</v>
      </c>
      <c r="AB150">
        <f>COUNTIF($D$1:D150,D150)</f>
        <v>78</v>
      </c>
    </row>
    <row r="151" spans="1:28" x14ac:dyDescent="0.25">
      <c r="A151">
        <v>150</v>
      </c>
      <c r="B151">
        <v>184533</v>
      </c>
      <c r="C151">
        <v>24002045</v>
      </c>
      <c r="D151" t="s">
        <v>14</v>
      </c>
      <c r="E151" t="s">
        <v>106</v>
      </c>
      <c r="F151">
        <v>5157996</v>
      </c>
      <c r="G151">
        <v>996</v>
      </c>
      <c r="H151" t="s">
        <v>94</v>
      </c>
      <c r="I151">
        <v>8721</v>
      </c>
      <c r="J151" s="74">
        <v>45677</v>
      </c>
      <c r="K151" s="74">
        <v>45680</v>
      </c>
      <c r="L151" t="s">
        <v>190</v>
      </c>
      <c r="M151" s="74">
        <v>45688</v>
      </c>
      <c r="N151" t="s">
        <v>151</v>
      </c>
      <c r="O151" t="s">
        <v>190</v>
      </c>
      <c r="P151">
        <v>0.83</v>
      </c>
      <c r="Q151">
        <v>6.34</v>
      </c>
      <c r="R151">
        <v>7238.43</v>
      </c>
      <c r="S151">
        <v>55291.14</v>
      </c>
      <c r="T151" t="s">
        <v>66</v>
      </c>
      <c r="AA151">
        <f t="shared" si="2"/>
        <v>392697.8</v>
      </c>
      <c r="AB151">
        <f>COUNTIF($D$1:D151,D151)</f>
        <v>79</v>
      </c>
    </row>
    <row r="152" spans="1:28" x14ac:dyDescent="0.25">
      <c r="A152">
        <v>151</v>
      </c>
      <c r="B152">
        <v>184540</v>
      </c>
      <c r="C152">
        <v>24002052</v>
      </c>
      <c r="D152" t="s">
        <v>14</v>
      </c>
      <c r="E152" t="s">
        <v>106</v>
      </c>
      <c r="F152">
        <v>5158617</v>
      </c>
      <c r="G152">
        <v>997</v>
      </c>
      <c r="H152" t="s">
        <v>94</v>
      </c>
      <c r="I152">
        <v>1584</v>
      </c>
      <c r="J152" s="74">
        <v>45667</v>
      </c>
      <c r="K152" s="74">
        <v>45681</v>
      </c>
      <c r="L152" t="s">
        <v>190</v>
      </c>
      <c r="M152" s="74">
        <v>45688</v>
      </c>
      <c r="N152" t="s">
        <v>151</v>
      </c>
      <c r="O152" t="s">
        <v>190</v>
      </c>
      <c r="P152">
        <v>0.74</v>
      </c>
      <c r="Q152">
        <v>5.52</v>
      </c>
      <c r="R152">
        <v>1172.1600000000001</v>
      </c>
      <c r="S152">
        <v>8743.68</v>
      </c>
      <c r="T152" t="s">
        <v>66</v>
      </c>
      <c r="AA152">
        <f t="shared" si="2"/>
        <v>392697.8</v>
      </c>
      <c r="AB152">
        <f>COUNTIF($D$1:D152,D152)</f>
        <v>80</v>
      </c>
    </row>
    <row r="153" spans="1:28" x14ac:dyDescent="0.25">
      <c r="A153">
        <v>152</v>
      </c>
      <c r="B153">
        <v>184544</v>
      </c>
      <c r="C153">
        <v>24002056</v>
      </c>
      <c r="D153" t="s">
        <v>14</v>
      </c>
      <c r="E153" t="s">
        <v>106</v>
      </c>
      <c r="F153">
        <v>5158603</v>
      </c>
      <c r="G153">
        <v>997</v>
      </c>
      <c r="H153" t="s">
        <v>94</v>
      </c>
      <c r="I153">
        <v>7130</v>
      </c>
      <c r="J153" s="74">
        <v>45670</v>
      </c>
      <c r="K153" s="74">
        <v>45681</v>
      </c>
      <c r="L153" t="s">
        <v>190</v>
      </c>
      <c r="M153" s="74">
        <v>45688</v>
      </c>
      <c r="N153" t="s">
        <v>151</v>
      </c>
      <c r="O153" t="s">
        <v>190</v>
      </c>
      <c r="P153">
        <v>0.77</v>
      </c>
      <c r="Q153">
        <v>5.82</v>
      </c>
      <c r="R153">
        <v>5490.1</v>
      </c>
      <c r="S153">
        <v>41496.6</v>
      </c>
      <c r="T153" t="s">
        <v>66</v>
      </c>
      <c r="AA153">
        <f t="shared" si="2"/>
        <v>392697.8</v>
      </c>
      <c r="AB153">
        <f>COUNTIF($D$1:D153,D153)</f>
        <v>81</v>
      </c>
    </row>
    <row r="154" spans="1:28" x14ac:dyDescent="0.25">
      <c r="A154">
        <v>153</v>
      </c>
      <c r="B154">
        <v>184542</v>
      </c>
      <c r="C154">
        <v>24002054</v>
      </c>
      <c r="D154" t="s">
        <v>14</v>
      </c>
      <c r="E154" t="s">
        <v>106</v>
      </c>
      <c r="F154">
        <v>5158609</v>
      </c>
      <c r="G154">
        <v>997</v>
      </c>
      <c r="H154" t="s">
        <v>94</v>
      </c>
      <c r="I154">
        <v>8316</v>
      </c>
      <c r="J154" s="74">
        <v>45681</v>
      </c>
      <c r="K154" s="74">
        <v>45688</v>
      </c>
      <c r="L154" t="s">
        <v>190</v>
      </c>
      <c r="M154" s="74">
        <v>45695</v>
      </c>
      <c r="N154" t="s">
        <v>151</v>
      </c>
      <c r="O154" t="s">
        <v>224</v>
      </c>
      <c r="P154">
        <v>0.74</v>
      </c>
      <c r="Q154">
        <v>5.52</v>
      </c>
      <c r="R154">
        <v>6153.84</v>
      </c>
      <c r="S154">
        <v>45904.32</v>
      </c>
      <c r="T154" t="s">
        <v>66</v>
      </c>
      <c r="AA154">
        <f t="shared" si="2"/>
        <v>392697.8</v>
      </c>
      <c r="AB154">
        <f>COUNTIF($D$1:D154,D154)</f>
        <v>82</v>
      </c>
    </row>
    <row r="155" spans="1:28" x14ac:dyDescent="0.25">
      <c r="A155">
        <v>154</v>
      </c>
      <c r="B155">
        <v>184545</v>
      </c>
      <c r="C155">
        <v>24002057</v>
      </c>
      <c r="D155" t="s">
        <v>14</v>
      </c>
      <c r="E155" t="s">
        <v>106</v>
      </c>
      <c r="F155">
        <v>5158588</v>
      </c>
      <c r="G155">
        <v>997</v>
      </c>
      <c r="H155" t="s">
        <v>94</v>
      </c>
      <c r="I155">
        <v>1565</v>
      </c>
      <c r="J155" s="74">
        <v>45688</v>
      </c>
      <c r="K155" s="74">
        <v>45688</v>
      </c>
      <c r="L155" t="s">
        <v>190</v>
      </c>
      <c r="M155" s="74">
        <v>45695</v>
      </c>
      <c r="N155" t="s">
        <v>151</v>
      </c>
      <c r="O155" t="s">
        <v>224</v>
      </c>
      <c r="P155">
        <v>0.77</v>
      </c>
      <c r="Q155">
        <v>5.82</v>
      </c>
      <c r="R155">
        <v>1205.05</v>
      </c>
      <c r="S155">
        <v>9108.2999999999993</v>
      </c>
      <c r="T155" t="s">
        <v>66</v>
      </c>
      <c r="AA155">
        <f t="shared" si="2"/>
        <v>392697.8</v>
      </c>
      <c r="AB155">
        <f>COUNTIF($D$1:D155,D155)</f>
        <v>83</v>
      </c>
    </row>
    <row r="156" spans="1:28" x14ac:dyDescent="0.25">
      <c r="A156">
        <v>155</v>
      </c>
      <c r="B156">
        <v>184516</v>
      </c>
      <c r="C156">
        <v>24002028</v>
      </c>
      <c r="D156" t="s">
        <v>14</v>
      </c>
      <c r="E156" t="s">
        <v>106</v>
      </c>
      <c r="F156">
        <v>5158602</v>
      </c>
      <c r="G156">
        <v>995</v>
      </c>
      <c r="H156" t="s">
        <v>94</v>
      </c>
      <c r="I156">
        <v>1179</v>
      </c>
      <c r="J156" s="74">
        <v>45666</v>
      </c>
      <c r="K156" s="74">
        <v>45673</v>
      </c>
      <c r="L156" t="s">
        <v>190</v>
      </c>
      <c r="M156" s="74">
        <v>45674</v>
      </c>
      <c r="N156" t="s">
        <v>151</v>
      </c>
      <c r="O156" t="s">
        <v>190</v>
      </c>
      <c r="P156">
        <v>0.8</v>
      </c>
      <c r="Q156">
        <v>5.63</v>
      </c>
      <c r="R156">
        <v>943.2</v>
      </c>
      <c r="S156">
        <v>6637.77</v>
      </c>
      <c r="T156" t="s">
        <v>66</v>
      </c>
      <c r="AA156">
        <f t="shared" si="2"/>
        <v>392697.8</v>
      </c>
      <c r="AB156">
        <f>COUNTIF($D$1:D156,D156)</f>
        <v>84</v>
      </c>
    </row>
    <row r="157" spans="1:28" x14ac:dyDescent="0.25">
      <c r="A157">
        <v>156</v>
      </c>
      <c r="B157">
        <v>184543</v>
      </c>
      <c r="C157">
        <v>24002055</v>
      </c>
      <c r="D157" t="s">
        <v>14</v>
      </c>
      <c r="E157" t="s">
        <v>106</v>
      </c>
      <c r="F157">
        <v>5159300</v>
      </c>
      <c r="G157">
        <v>997</v>
      </c>
      <c r="H157" t="s">
        <v>94</v>
      </c>
      <c r="I157">
        <v>1032</v>
      </c>
      <c r="J157" s="74">
        <v>45670</v>
      </c>
      <c r="K157" s="74">
        <v>45677</v>
      </c>
      <c r="L157" t="s">
        <v>190</v>
      </c>
      <c r="M157" s="74">
        <v>45688</v>
      </c>
      <c r="N157" t="s">
        <v>151</v>
      </c>
      <c r="O157" t="s">
        <v>190</v>
      </c>
      <c r="P157">
        <v>0.74</v>
      </c>
      <c r="Q157">
        <v>5.52</v>
      </c>
      <c r="R157">
        <v>763.68</v>
      </c>
      <c r="S157">
        <v>5696.64</v>
      </c>
      <c r="T157" t="s">
        <v>66</v>
      </c>
      <c r="AA157">
        <f t="shared" si="2"/>
        <v>392697.8</v>
      </c>
      <c r="AB157">
        <f>COUNTIF($D$1:D157,D157)</f>
        <v>85</v>
      </c>
    </row>
    <row r="158" spans="1:28" x14ac:dyDescent="0.25">
      <c r="A158">
        <v>157</v>
      </c>
      <c r="B158">
        <v>182716</v>
      </c>
      <c r="C158">
        <v>24001294</v>
      </c>
      <c r="D158" t="s">
        <v>14</v>
      </c>
      <c r="E158" t="s">
        <v>106</v>
      </c>
      <c r="F158" t="s">
        <v>178</v>
      </c>
      <c r="G158">
        <v>185</v>
      </c>
      <c r="H158" t="s">
        <v>95</v>
      </c>
      <c r="I158">
        <v>255</v>
      </c>
      <c r="J158" s="74">
        <v>45659</v>
      </c>
      <c r="K158" s="74">
        <v>45673</v>
      </c>
      <c r="L158" t="s">
        <v>190</v>
      </c>
      <c r="M158" s="74">
        <v>45478</v>
      </c>
      <c r="N158" t="s">
        <v>155</v>
      </c>
      <c r="O158" t="s">
        <v>419</v>
      </c>
      <c r="P158">
        <v>0.67</v>
      </c>
      <c r="Q158">
        <v>1.83</v>
      </c>
      <c r="R158">
        <v>170.85</v>
      </c>
      <c r="S158">
        <v>466.65</v>
      </c>
      <c r="T158" t="s">
        <v>66</v>
      </c>
      <c r="AA158">
        <f t="shared" si="2"/>
        <v>392697.8</v>
      </c>
      <c r="AB158">
        <f>COUNTIF($D$1:D158,D158)</f>
        <v>86</v>
      </c>
    </row>
    <row r="159" spans="1:28" x14ac:dyDescent="0.25">
      <c r="A159">
        <v>158</v>
      </c>
      <c r="B159">
        <v>184282</v>
      </c>
      <c r="C159">
        <v>24001956</v>
      </c>
      <c r="D159" t="s">
        <v>14</v>
      </c>
      <c r="E159" t="s">
        <v>106</v>
      </c>
      <c r="F159">
        <v>5158596</v>
      </c>
      <c r="G159">
        <v>941</v>
      </c>
      <c r="H159" t="s">
        <v>95</v>
      </c>
      <c r="I159">
        <v>259</v>
      </c>
      <c r="J159" s="74">
        <v>45659</v>
      </c>
      <c r="K159" s="74">
        <v>45673</v>
      </c>
      <c r="L159" t="s">
        <v>190</v>
      </c>
      <c r="M159" s="74">
        <v>45653</v>
      </c>
      <c r="N159" t="s">
        <v>155</v>
      </c>
      <c r="O159" t="s">
        <v>153</v>
      </c>
      <c r="P159">
        <v>0.8</v>
      </c>
      <c r="Q159">
        <v>1.88</v>
      </c>
      <c r="R159">
        <v>207.2</v>
      </c>
      <c r="S159">
        <v>486.92</v>
      </c>
      <c r="T159" t="s">
        <v>66</v>
      </c>
      <c r="AA159">
        <f t="shared" si="2"/>
        <v>392697.8</v>
      </c>
      <c r="AB159">
        <f>COUNTIF($D$1:D159,D159)</f>
        <v>87</v>
      </c>
    </row>
    <row r="160" spans="1:28" x14ac:dyDescent="0.25">
      <c r="A160">
        <v>159</v>
      </c>
      <c r="B160">
        <v>184284</v>
      </c>
      <c r="C160">
        <v>24001958</v>
      </c>
      <c r="D160" t="s">
        <v>14</v>
      </c>
      <c r="E160" t="s">
        <v>106</v>
      </c>
      <c r="F160">
        <v>5158583</v>
      </c>
      <c r="G160">
        <v>941</v>
      </c>
      <c r="H160" t="s">
        <v>95</v>
      </c>
      <c r="I160">
        <v>506</v>
      </c>
      <c r="J160" s="74">
        <v>45673</v>
      </c>
      <c r="K160" s="74">
        <v>45673</v>
      </c>
      <c r="L160" t="s">
        <v>190</v>
      </c>
      <c r="M160" s="74">
        <v>45653</v>
      </c>
      <c r="N160" t="s">
        <v>155</v>
      </c>
      <c r="O160" t="s">
        <v>153</v>
      </c>
      <c r="P160">
        <v>0.8</v>
      </c>
      <c r="Q160">
        <v>1.88</v>
      </c>
      <c r="R160">
        <v>404.8</v>
      </c>
      <c r="S160">
        <v>951.28</v>
      </c>
      <c r="T160" t="s">
        <v>66</v>
      </c>
      <c r="AA160">
        <f t="shared" si="2"/>
        <v>392697.8</v>
      </c>
      <c r="AB160">
        <f>COUNTIF($D$1:D160,D160)</f>
        <v>88</v>
      </c>
    </row>
    <row r="161" spans="1:28" x14ac:dyDescent="0.25">
      <c r="A161">
        <v>160</v>
      </c>
      <c r="B161">
        <v>184262</v>
      </c>
      <c r="C161">
        <v>24001936</v>
      </c>
      <c r="D161" t="s">
        <v>14</v>
      </c>
      <c r="E161" t="s">
        <v>106</v>
      </c>
      <c r="F161">
        <v>5159772</v>
      </c>
      <c r="G161">
        <v>940</v>
      </c>
      <c r="H161" t="s">
        <v>95</v>
      </c>
      <c r="I161">
        <v>1869</v>
      </c>
      <c r="J161" s="74">
        <v>45673</v>
      </c>
      <c r="K161" s="74">
        <v>45674</v>
      </c>
      <c r="L161" t="s">
        <v>190</v>
      </c>
      <c r="M161" s="74">
        <v>45653</v>
      </c>
      <c r="N161" t="s">
        <v>155</v>
      </c>
      <c r="O161" t="s">
        <v>153</v>
      </c>
      <c r="P161">
        <v>0.61</v>
      </c>
      <c r="Q161">
        <v>1.37</v>
      </c>
      <c r="R161">
        <v>1140.0899999999999</v>
      </c>
      <c r="S161">
        <v>2560.5300000000002</v>
      </c>
      <c r="T161" t="s">
        <v>66</v>
      </c>
      <c r="AA161">
        <f t="shared" si="2"/>
        <v>392697.8</v>
      </c>
      <c r="AB161">
        <f>COUNTIF($D$1:D161,D161)</f>
        <v>89</v>
      </c>
    </row>
    <row r="162" spans="1:28" x14ac:dyDescent="0.25">
      <c r="A162">
        <v>161</v>
      </c>
      <c r="B162">
        <v>184290</v>
      </c>
      <c r="C162">
        <v>24001964</v>
      </c>
      <c r="D162" t="s">
        <v>14</v>
      </c>
      <c r="E162" t="s">
        <v>106</v>
      </c>
      <c r="F162">
        <v>5157976</v>
      </c>
      <c r="G162">
        <v>941</v>
      </c>
      <c r="H162" t="s">
        <v>95</v>
      </c>
      <c r="I162">
        <v>2180</v>
      </c>
      <c r="J162" s="74">
        <v>45659</v>
      </c>
      <c r="K162" s="74">
        <v>45667</v>
      </c>
      <c r="L162" t="s">
        <v>190</v>
      </c>
      <c r="M162" s="74">
        <v>45667</v>
      </c>
      <c r="N162" t="s">
        <v>151</v>
      </c>
      <c r="O162" t="s">
        <v>190</v>
      </c>
      <c r="P162">
        <v>0.83</v>
      </c>
      <c r="Q162">
        <v>2.11</v>
      </c>
      <c r="R162">
        <v>1809.4</v>
      </c>
      <c r="S162">
        <v>4599.8</v>
      </c>
      <c r="T162" t="s">
        <v>66</v>
      </c>
      <c r="AA162">
        <f t="shared" si="2"/>
        <v>392697.8</v>
      </c>
      <c r="AB162">
        <f>COUNTIF($D$1:D162,D162)</f>
        <v>90</v>
      </c>
    </row>
    <row r="163" spans="1:28" x14ac:dyDescent="0.25">
      <c r="A163">
        <v>162</v>
      </c>
      <c r="B163">
        <v>184291</v>
      </c>
      <c r="C163">
        <v>24001997</v>
      </c>
      <c r="D163" t="s">
        <v>14</v>
      </c>
      <c r="E163" t="s">
        <v>106</v>
      </c>
      <c r="F163" t="s">
        <v>205</v>
      </c>
      <c r="G163">
        <v>941</v>
      </c>
      <c r="H163" t="s">
        <v>95</v>
      </c>
      <c r="I163">
        <v>162</v>
      </c>
      <c r="J163" s="74">
        <v>45663</v>
      </c>
      <c r="K163" s="74">
        <v>45667</v>
      </c>
      <c r="L163" t="s">
        <v>190</v>
      </c>
      <c r="M163" s="74">
        <v>45667</v>
      </c>
      <c r="N163" t="s">
        <v>151</v>
      </c>
      <c r="O163" t="s">
        <v>190</v>
      </c>
      <c r="P163">
        <v>0.78</v>
      </c>
      <c r="Q163">
        <v>2.2799999999999998</v>
      </c>
      <c r="R163">
        <v>126.36</v>
      </c>
      <c r="S163">
        <v>369.36</v>
      </c>
      <c r="T163" t="s">
        <v>66</v>
      </c>
      <c r="AA163">
        <f t="shared" si="2"/>
        <v>392697.8</v>
      </c>
      <c r="AB163">
        <f>COUNTIF($D$1:D163,D163)</f>
        <v>91</v>
      </c>
    </row>
    <row r="164" spans="1:28" x14ac:dyDescent="0.25">
      <c r="A164">
        <v>163</v>
      </c>
      <c r="B164">
        <v>184300</v>
      </c>
      <c r="C164">
        <v>24001974</v>
      </c>
      <c r="D164" t="s">
        <v>14</v>
      </c>
      <c r="E164" t="s">
        <v>106</v>
      </c>
      <c r="F164">
        <v>5159303</v>
      </c>
      <c r="G164">
        <v>941</v>
      </c>
      <c r="H164" t="s">
        <v>95</v>
      </c>
      <c r="I164">
        <v>1096</v>
      </c>
      <c r="J164" s="74">
        <v>45659</v>
      </c>
      <c r="K164" s="74">
        <v>45674</v>
      </c>
      <c r="L164" t="s">
        <v>190</v>
      </c>
      <c r="M164" s="74">
        <v>45667</v>
      </c>
      <c r="N164" t="s">
        <v>155</v>
      </c>
      <c r="O164" t="s">
        <v>190</v>
      </c>
      <c r="P164">
        <v>0.83</v>
      </c>
      <c r="Q164">
        <v>2.17</v>
      </c>
      <c r="R164">
        <v>909.68</v>
      </c>
      <c r="S164">
        <v>2378.3200000000002</v>
      </c>
      <c r="T164" t="s">
        <v>66</v>
      </c>
      <c r="AA164">
        <f t="shared" si="2"/>
        <v>392697.8</v>
      </c>
      <c r="AB164">
        <f>COUNTIF($D$1:D164,D164)</f>
        <v>92</v>
      </c>
    </row>
    <row r="165" spans="1:28" x14ac:dyDescent="0.25">
      <c r="A165">
        <v>164</v>
      </c>
      <c r="B165">
        <v>184303</v>
      </c>
      <c r="C165">
        <v>24001977</v>
      </c>
      <c r="D165" t="s">
        <v>14</v>
      </c>
      <c r="E165" t="s">
        <v>106</v>
      </c>
      <c r="F165">
        <v>5157983</v>
      </c>
      <c r="G165">
        <v>941</v>
      </c>
      <c r="H165" t="s">
        <v>95</v>
      </c>
      <c r="I165">
        <v>354</v>
      </c>
      <c r="J165" s="74">
        <v>45659</v>
      </c>
      <c r="K165" s="74">
        <v>45674</v>
      </c>
      <c r="L165" t="s">
        <v>190</v>
      </c>
      <c r="M165" s="74">
        <v>45667</v>
      </c>
      <c r="N165" t="s">
        <v>155</v>
      </c>
      <c r="O165" t="s">
        <v>190</v>
      </c>
      <c r="P165">
        <v>0.79</v>
      </c>
      <c r="Q165">
        <v>2.0099999999999998</v>
      </c>
      <c r="R165">
        <v>279.66000000000003</v>
      </c>
      <c r="S165">
        <v>711.54</v>
      </c>
      <c r="T165" t="s">
        <v>66</v>
      </c>
      <c r="AA165">
        <f t="shared" si="2"/>
        <v>392697.8</v>
      </c>
      <c r="AB165">
        <f>COUNTIF($D$1:D165,D165)</f>
        <v>93</v>
      </c>
    </row>
    <row r="166" spans="1:28" x14ac:dyDescent="0.25">
      <c r="A166">
        <v>165</v>
      </c>
      <c r="B166">
        <v>184305</v>
      </c>
      <c r="C166">
        <v>24001979</v>
      </c>
      <c r="D166" t="s">
        <v>14</v>
      </c>
      <c r="E166" t="s">
        <v>106</v>
      </c>
      <c r="F166">
        <v>5159304</v>
      </c>
      <c r="G166">
        <v>941</v>
      </c>
      <c r="H166" t="s">
        <v>95</v>
      </c>
      <c r="I166">
        <v>100</v>
      </c>
      <c r="J166" s="74">
        <v>45666</v>
      </c>
      <c r="K166" s="74">
        <v>45674</v>
      </c>
      <c r="L166" t="s">
        <v>190</v>
      </c>
      <c r="M166" s="74">
        <v>45667</v>
      </c>
      <c r="N166" t="s">
        <v>155</v>
      </c>
      <c r="O166" t="s">
        <v>190</v>
      </c>
      <c r="P166">
        <v>0.8</v>
      </c>
      <c r="Q166">
        <v>2.08</v>
      </c>
      <c r="R166">
        <v>80</v>
      </c>
      <c r="S166">
        <v>208</v>
      </c>
      <c r="T166" t="s">
        <v>66</v>
      </c>
      <c r="AA166">
        <f t="shared" si="2"/>
        <v>392697.8</v>
      </c>
      <c r="AB166">
        <f>COUNTIF($D$1:D166,D166)</f>
        <v>94</v>
      </c>
    </row>
    <row r="167" spans="1:28" x14ac:dyDescent="0.25">
      <c r="A167">
        <v>166</v>
      </c>
      <c r="B167">
        <v>184306</v>
      </c>
      <c r="C167">
        <v>24001980</v>
      </c>
      <c r="D167" t="s">
        <v>14</v>
      </c>
      <c r="E167" t="s">
        <v>106</v>
      </c>
      <c r="F167" t="s">
        <v>174</v>
      </c>
      <c r="G167">
        <v>941</v>
      </c>
      <c r="H167" t="s">
        <v>95</v>
      </c>
      <c r="I167">
        <v>74</v>
      </c>
      <c r="J167" s="74">
        <v>45666</v>
      </c>
      <c r="K167" s="74">
        <v>45674</v>
      </c>
      <c r="L167" t="s">
        <v>190</v>
      </c>
      <c r="M167" s="74">
        <v>45667</v>
      </c>
      <c r="N167" t="s">
        <v>155</v>
      </c>
      <c r="O167" t="s">
        <v>190</v>
      </c>
      <c r="P167">
        <v>0.78</v>
      </c>
      <c r="Q167">
        <v>2.2400000000000002</v>
      </c>
      <c r="R167">
        <v>57.72</v>
      </c>
      <c r="S167">
        <v>165.76</v>
      </c>
      <c r="T167" t="s">
        <v>66</v>
      </c>
      <c r="AA167">
        <f t="shared" si="2"/>
        <v>392697.8</v>
      </c>
      <c r="AB167">
        <f>COUNTIF($D$1:D167,D167)</f>
        <v>95</v>
      </c>
    </row>
    <row r="168" spans="1:28" x14ac:dyDescent="0.25">
      <c r="A168">
        <v>167</v>
      </c>
      <c r="B168">
        <v>184310</v>
      </c>
      <c r="C168">
        <v>24001984</v>
      </c>
      <c r="D168" t="s">
        <v>14</v>
      </c>
      <c r="E168" t="s">
        <v>106</v>
      </c>
      <c r="F168">
        <v>5157985</v>
      </c>
      <c r="G168">
        <v>941</v>
      </c>
      <c r="H168" t="s">
        <v>95</v>
      </c>
      <c r="I168">
        <v>63</v>
      </c>
      <c r="J168" s="74">
        <v>45659</v>
      </c>
      <c r="K168" s="74">
        <v>45673</v>
      </c>
      <c r="L168" t="s">
        <v>190</v>
      </c>
      <c r="M168" s="74">
        <v>45667</v>
      </c>
      <c r="N168" t="s">
        <v>155</v>
      </c>
      <c r="O168" t="s">
        <v>190</v>
      </c>
      <c r="P168">
        <v>0.93</v>
      </c>
      <c r="Q168">
        <v>2.2400000000000002</v>
      </c>
      <c r="R168">
        <v>58.59</v>
      </c>
      <c r="S168">
        <v>141.12</v>
      </c>
      <c r="T168" t="s">
        <v>66</v>
      </c>
      <c r="AA168">
        <f t="shared" si="2"/>
        <v>392697.8</v>
      </c>
      <c r="AB168">
        <f>COUNTIF($D$1:D168,D168)</f>
        <v>96</v>
      </c>
    </row>
    <row r="169" spans="1:28" x14ac:dyDescent="0.25">
      <c r="A169">
        <v>168</v>
      </c>
      <c r="B169">
        <v>184489</v>
      </c>
      <c r="C169">
        <v>24002000</v>
      </c>
      <c r="D169" t="s">
        <v>14</v>
      </c>
      <c r="E169" t="s">
        <v>106</v>
      </c>
      <c r="F169">
        <v>5159767</v>
      </c>
      <c r="G169">
        <v>993</v>
      </c>
      <c r="H169" t="s">
        <v>95</v>
      </c>
      <c r="I169">
        <v>3699</v>
      </c>
      <c r="J169" s="74">
        <v>45665</v>
      </c>
      <c r="K169" s="74">
        <v>45673</v>
      </c>
      <c r="L169" t="s">
        <v>190</v>
      </c>
      <c r="M169" s="74">
        <v>45674</v>
      </c>
      <c r="N169" t="s">
        <v>151</v>
      </c>
      <c r="O169" t="s">
        <v>190</v>
      </c>
      <c r="P169">
        <v>0.61</v>
      </c>
      <c r="Q169">
        <v>4.21</v>
      </c>
      <c r="R169">
        <v>2256.39</v>
      </c>
      <c r="S169">
        <v>15572.79</v>
      </c>
      <c r="T169" t="s">
        <v>66</v>
      </c>
      <c r="AA169">
        <f t="shared" si="2"/>
        <v>392697.8</v>
      </c>
      <c r="AB169">
        <f>COUNTIF($D$1:D169,D169)</f>
        <v>97</v>
      </c>
    </row>
    <row r="170" spans="1:28" x14ac:dyDescent="0.25">
      <c r="A170">
        <v>169</v>
      </c>
      <c r="B170">
        <v>184514</v>
      </c>
      <c r="C170">
        <v>24002026</v>
      </c>
      <c r="D170" t="s">
        <v>14</v>
      </c>
      <c r="E170" t="s">
        <v>106</v>
      </c>
      <c r="F170">
        <v>5158583</v>
      </c>
      <c r="G170">
        <v>995</v>
      </c>
      <c r="H170" t="s">
        <v>95</v>
      </c>
      <c r="I170">
        <v>6048</v>
      </c>
      <c r="J170" s="74">
        <v>45660</v>
      </c>
      <c r="K170" s="74">
        <v>45674</v>
      </c>
      <c r="L170" t="s">
        <v>190</v>
      </c>
      <c r="M170" s="74">
        <v>45674</v>
      </c>
      <c r="N170" t="s">
        <v>151</v>
      </c>
      <c r="O170" t="s">
        <v>190</v>
      </c>
      <c r="P170">
        <v>0.8</v>
      </c>
      <c r="Q170">
        <v>5.63</v>
      </c>
      <c r="R170">
        <v>4838.3999999999996</v>
      </c>
      <c r="S170">
        <v>34050.239999999998</v>
      </c>
      <c r="T170" t="s">
        <v>66</v>
      </c>
      <c r="AA170">
        <f t="shared" si="2"/>
        <v>392697.8</v>
      </c>
      <c r="AB170">
        <f>COUNTIF($D$1:D170,D170)</f>
        <v>98</v>
      </c>
    </row>
    <row r="171" spans="1:28" x14ac:dyDescent="0.25">
      <c r="A171">
        <v>170</v>
      </c>
      <c r="B171">
        <v>184515</v>
      </c>
      <c r="C171">
        <v>24002027</v>
      </c>
      <c r="D171" t="s">
        <v>14</v>
      </c>
      <c r="E171" t="s">
        <v>106</v>
      </c>
      <c r="F171" t="s">
        <v>177</v>
      </c>
      <c r="G171">
        <v>995</v>
      </c>
      <c r="H171" t="s">
        <v>95</v>
      </c>
      <c r="I171">
        <v>297</v>
      </c>
      <c r="J171" s="74">
        <v>45660</v>
      </c>
      <c r="K171" s="74">
        <v>45674</v>
      </c>
      <c r="L171" t="s">
        <v>190</v>
      </c>
      <c r="M171" s="74">
        <v>45674</v>
      </c>
      <c r="N171" t="s">
        <v>151</v>
      </c>
      <c r="O171" t="s">
        <v>190</v>
      </c>
      <c r="P171">
        <v>0.77</v>
      </c>
      <c r="Q171">
        <v>6.02</v>
      </c>
      <c r="R171">
        <v>228.69</v>
      </c>
      <c r="S171">
        <v>1787.94</v>
      </c>
      <c r="T171" t="s">
        <v>66</v>
      </c>
      <c r="AA171">
        <f t="shared" si="2"/>
        <v>392697.8</v>
      </c>
      <c r="AB171">
        <f>COUNTIF($D$1:D171,D171)</f>
        <v>99</v>
      </c>
    </row>
    <row r="172" spans="1:28" x14ac:dyDescent="0.25">
      <c r="A172">
        <v>171</v>
      </c>
      <c r="B172">
        <v>184525</v>
      </c>
      <c r="C172">
        <v>24002037</v>
      </c>
      <c r="D172" t="s">
        <v>14</v>
      </c>
      <c r="E172" t="s">
        <v>106</v>
      </c>
      <c r="F172">
        <v>5157992</v>
      </c>
      <c r="G172">
        <v>996</v>
      </c>
      <c r="H172" t="s">
        <v>95</v>
      </c>
      <c r="I172">
        <v>1242</v>
      </c>
      <c r="J172" s="74">
        <v>45672</v>
      </c>
      <c r="K172" s="74">
        <v>45674</v>
      </c>
      <c r="L172" t="s">
        <v>190</v>
      </c>
      <c r="M172" s="74">
        <v>45688</v>
      </c>
      <c r="N172" t="s">
        <v>151</v>
      </c>
      <c r="O172" t="s">
        <v>190</v>
      </c>
      <c r="P172">
        <v>0.79</v>
      </c>
      <c r="Q172">
        <v>6.04</v>
      </c>
      <c r="R172">
        <v>981.18</v>
      </c>
      <c r="S172">
        <v>7501.68</v>
      </c>
      <c r="T172" t="s">
        <v>66</v>
      </c>
      <c r="AA172">
        <f t="shared" si="2"/>
        <v>392697.8</v>
      </c>
      <c r="AB172">
        <f>COUNTIF($D$1:D172,D172)</f>
        <v>100</v>
      </c>
    </row>
    <row r="173" spans="1:28" x14ac:dyDescent="0.25">
      <c r="A173">
        <v>172</v>
      </c>
      <c r="B173">
        <v>184526</v>
      </c>
      <c r="C173">
        <v>24002038</v>
      </c>
      <c r="D173" t="s">
        <v>14</v>
      </c>
      <c r="E173" t="s">
        <v>106</v>
      </c>
      <c r="F173" t="s">
        <v>173</v>
      </c>
      <c r="G173">
        <v>996</v>
      </c>
      <c r="H173" t="s">
        <v>95</v>
      </c>
      <c r="I173">
        <v>177</v>
      </c>
      <c r="J173" s="74">
        <v>45672</v>
      </c>
      <c r="K173" s="74">
        <v>45674</v>
      </c>
      <c r="L173" t="s">
        <v>190</v>
      </c>
      <c r="M173" s="74">
        <v>45688</v>
      </c>
      <c r="N173" t="s">
        <v>151</v>
      </c>
      <c r="O173" t="s">
        <v>190</v>
      </c>
      <c r="P173">
        <v>0.77</v>
      </c>
      <c r="Q173">
        <v>6.49</v>
      </c>
      <c r="R173">
        <v>136.29</v>
      </c>
      <c r="S173">
        <v>1148.73</v>
      </c>
      <c r="T173" t="s">
        <v>66</v>
      </c>
      <c r="AA173">
        <f t="shared" si="2"/>
        <v>392697.8</v>
      </c>
      <c r="AB173">
        <f>COUNTIF($D$1:D173,D173)</f>
        <v>101</v>
      </c>
    </row>
    <row r="174" spans="1:28" x14ac:dyDescent="0.25">
      <c r="A174">
        <v>173</v>
      </c>
      <c r="B174">
        <v>184528</v>
      </c>
      <c r="C174">
        <v>24002040</v>
      </c>
      <c r="D174" t="s">
        <v>14</v>
      </c>
      <c r="E174" t="s">
        <v>106</v>
      </c>
      <c r="F174" t="s">
        <v>210</v>
      </c>
      <c r="G174">
        <v>996</v>
      </c>
      <c r="H174" t="s">
        <v>95</v>
      </c>
      <c r="I174">
        <v>135</v>
      </c>
      <c r="J174" s="74">
        <v>45674</v>
      </c>
      <c r="K174" s="74">
        <v>45674</v>
      </c>
      <c r="L174" t="s">
        <v>190</v>
      </c>
      <c r="M174" s="74">
        <v>45688</v>
      </c>
      <c r="N174" t="s">
        <v>151</v>
      </c>
      <c r="O174" t="s">
        <v>190</v>
      </c>
      <c r="P174">
        <v>1</v>
      </c>
      <c r="Q174">
        <v>7.3</v>
      </c>
      <c r="R174">
        <v>135</v>
      </c>
      <c r="S174">
        <v>985.5</v>
      </c>
      <c r="T174" t="s">
        <v>66</v>
      </c>
      <c r="AA174">
        <f t="shared" si="2"/>
        <v>392697.8</v>
      </c>
      <c r="AB174">
        <f>COUNTIF($D$1:D174,D174)</f>
        <v>102</v>
      </c>
    </row>
    <row r="175" spans="1:28" x14ac:dyDescent="0.25">
      <c r="A175">
        <v>174</v>
      </c>
      <c r="B175">
        <v>184538</v>
      </c>
      <c r="C175">
        <v>24002050</v>
      </c>
      <c r="D175" t="s">
        <v>14</v>
      </c>
      <c r="E175" t="s">
        <v>106</v>
      </c>
      <c r="F175">
        <v>5157997</v>
      </c>
      <c r="G175">
        <v>996</v>
      </c>
      <c r="H175" t="s">
        <v>95</v>
      </c>
      <c r="I175">
        <v>1350</v>
      </c>
      <c r="J175" s="74">
        <v>45674</v>
      </c>
      <c r="K175" s="74">
        <v>45674</v>
      </c>
      <c r="L175" t="s">
        <v>190</v>
      </c>
      <c r="M175" s="74">
        <v>45688</v>
      </c>
      <c r="N175" t="s">
        <v>151</v>
      </c>
      <c r="O175" t="s">
        <v>190</v>
      </c>
      <c r="P175">
        <v>0.75</v>
      </c>
      <c r="Q175">
        <v>5.78</v>
      </c>
      <c r="R175">
        <v>1012.5</v>
      </c>
      <c r="S175">
        <v>7803</v>
      </c>
      <c r="T175" t="s">
        <v>66</v>
      </c>
      <c r="AA175">
        <f t="shared" si="2"/>
        <v>392697.8</v>
      </c>
      <c r="AB175">
        <f>COUNTIF($D$1:D175,D175)</f>
        <v>103</v>
      </c>
    </row>
    <row r="176" spans="1:28" x14ac:dyDescent="0.25">
      <c r="A176">
        <v>175</v>
      </c>
      <c r="B176">
        <v>184539</v>
      </c>
      <c r="C176">
        <v>24002051</v>
      </c>
      <c r="D176" t="s">
        <v>14</v>
      </c>
      <c r="E176" t="s">
        <v>106</v>
      </c>
      <c r="F176">
        <v>5157978</v>
      </c>
      <c r="G176">
        <v>996</v>
      </c>
      <c r="H176" t="s">
        <v>95</v>
      </c>
      <c r="I176">
        <v>918</v>
      </c>
      <c r="J176" s="74">
        <v>45674</v>
      </c>
      <c r="K176" s="74">
        <v>45674</v>
      </c>
      <c r="L176" t="s">
        <v>190</v>
      </c>
      <c r="M176" s="74">
        <v>45688</v>
      </c>
      <c r="N176" t="s">
        <v>151</v>
      </c>
      <c r="O176" t="s">
        <v>190</v>
      </c>
      <c r="P176">
        <v>0.75</v>
      </c>
      <c r="Q176">
        <v>5.78</v>
      </c>
      <c r="R176">
        <v>688.5</v>
      </c>
      <c r="S176">
        <v>5306.04</v>
      </c>
      <c r="T176" t="s">
        <v>66</v>
      </c>
      <c r="AA176">
        <f t="shared" si="2"/>
        <v>392697.8</v>
      </c>
      <c r="AB176">
        <f>COUNTIF($D$1:D176,D176)</f>
        <v>104</v>
      </c>
    </row>
    <row r="177" spans="1:28" x14ac:dyDescent="0.25">
      <c r="A177">
        <v>176</v>
      </c>
      <c r="B177">
        <v>184494</v>
      </c>
      <c r="C177">
        <v>24002006</v>
      </c>
      <c r="D177" t="s">
        <v>14</v>
      </c>
      <c r="E177" t="s">
        <v>106</v>
      </c>
      <c r="F177">
        <v>5159305</v>
      </c>
      <c r="G177">
        <v>994</v>
      </c>
      <c r="H177" t="s">
        <v>95</v>
      </c>
      <c r="I177">
        <v>6237</v>
      </c>
      <c r="J177" s="74">
        <v>45674</v>
      </c>
      <c r="K177" s="74">
        <v>45678</v>
      </c>
      <c r="L177" t="s">
        <v>190</v>
      </c>
      <c r="M177" s="74">
        <v>45695</v>
      </c>
      <c r="N177" t="s">
        <v>151</v>
      </c>
      <c r="O177" t="s">
        <v>224</v>
      </c>
      <c r="P177">
        <v>0.83</v>
      </c>
      <c r="Q177">
        <v>6.5</v>
      </c>
      <c r="R177">
        <v>5176.71</v>
      </c>
      <c r="S177">
        <v>40540.5</v>
      </c>
      <c r="T177" t="s">
        <v>66</v>
      </c>
      <c r="AA177">
        <f t="shared" si="2"/>
        <v>392697.8</v>
      </c>
      <c r="AB177">
        <f>COUNTIF($D$1:D177,D177)</f>
        <v>105</v>
      </c>
    </row>
    <row r="178" spans="1:28" x14ac:dyDescent="0.25">
      <c r="A178">
        <v>177</v>
      </c>
      <c r="B178">
        <v>184495</v>
      </c>
      <c r="C178">
        <v>24002007</v>
      </c>
      <c r="D178" t="s">
        <v>14</v>
      </c>
      <c r="E178" t="s">
        <v>106</v>
      </c>
      <c r="F178">
        <v>5159307</v>
      </c>
      <c r="G178">
        <v>994</v>
      </c>
      <c r="H178" t="s">
        <v>95</v>
      </c>
      <c r="I178">
        <v>5805</v>
      </c>
      <c r="J178" s="74">
        <v>45678</v>
      </c>
      <c r="K178" s="74">
        <v>45680</v>
      </c>
      <c r="L178" t="s">
        <v>190</v>
      </c>
      <c r="M178" s="74">
        <v>45695</v>
      </c>
      <c r="N178" t="s">
        <v>151</v>
      </c>
      <c r="O178" t="s">
        <v>224</v>
      </c>
      <c r="P178">
        <v>0.83</v>
      </c>
      <c r="Q178">
        <v>6.5</v>
      </c>
      <c r="R178">
        <v>4818.1499999999996</v>
      </c>
      <c r="S178">
        <v>37732.5</v>
      </c>
      <c r="T178" t="s">
        <v>66</v>
      </c>
      <c r="AA178">
        <f t="shared" si="2"/>
        <v>392697.8</v>
      </c>
      <c r="AB178">
        <f>COUNTIF($D$1:D178,D178)</f>
        <v>106</v>
      </c>
    </row>
    <row r="179" spans="1:28" x14ac:dyDescent="0.25">
      <c r="A179">
        <v>178</v>
      </c>
      <c r="B179">
        <v>184496</v>
      </c>
      <c r="C179">
        <v>24002008</v>
      </c>
      <c r="D179" t="s">
        <v>14</v>
      </c>
      <c r="E179" t="s">
        <v>106</v>
      </c>
      <c r="F179">
        <v>5159301</v>
      </c>
      <c r="G179">
        <v>994</v>
      </c>
      <c r="H179" t="s">
        <v>95</v>
      </c>
      <c r="I179">
        <v>1500</v>
      </c>
      <c r="J179" s="74">
        <v>45680</v>
      </c>
      <c r="K179" s="74">
        <v>45681</v>
      </c>
      <c r="L179" t="s">
        <v>190</v>
      </c>
      <c r="M179" s="74">
        <v>45695</v>
      </c>
      <c r="N179" t="s">
        <v>151</v>
      </c>
      <c r="O179" t="s">
        <v>224</v>
      </c>
      <c r="P179">
        <v>0.83</v>
      </c>
      <c r="Q179">
        <v>6.5</v>
      </c>
      <c r="R179">
        <v>1245</v>
      </c>
      <c r="S179">
        <v>9750</v>
      </c>
      <c r="T179" t="s">
        <v>66</v>
      </c>
      <c r="AA179">
        <f t="shared" si="2"/>
        <v>392697.8</v>
      </c>
      <c r="AB179">
        <f>COUNTIF($D$1:D179,D179)</f>
        <v>107</v>
      </c>
    </row>
    <row r="180" spans="1:28" x14ac:dyDescent="0.25">
      <c r="A180">
        <v>179</v>
      </c>
      <c r="B180">
        <v>184524</v>
      </c>
      <c r="C180">
        <v>24002036</v>
      </c>
      <c r="D180" t="s">
        <v>14</v>
      </c>
      <c r="E180" t="s">
        <v>106</v>
      </c>
      <c r="F180">
        <v>5158594</v>
      </c>
      <c r="G180">
        <v>995</v>
      </c>
      <c r="H180" t="s">
        <v>95</v>
      </c>
      <c r="I180">
        <v>6712</v>
      </c>
      <c r="J180" s="74">
        <v>45666</v>
      </c>
      <c r="K180" s="74">
        <v>45674</v>
      </c>
      <c r="L180" t="s">
        <v>190</v>
      </c>
      <c r="M180" s="74">
        <v>45688</v>
      </c>
      <c r="N180" t="s">
        <v>151</v>
      </c>
      <c r="O180" t="s">
        <v>190</v>
      </c>
      <c r="P180">
        <v>0.7</v>
      </c>
      <c r="Q180">
        <v>4.92</v>
      </c>
      <c r="R180">
        <v>4698.3999999999996</v>
      </c>
      <c r="S180">
        <v>33023.040000000001</v>
      </c>
      <c r="T180" t="s">
        <v>66</v>
      </c>
      <c r="AA180">
        <f t="shared" si="2"/>
        <v>392697.8</v>
      </c>
      <c r="AB180">
        <f>COUNTIF($D$1:D180,D180)</f>
        <v>108</v>
      </c>
    </row>
    <row r="181" spans="1:28" x14ac:dyDescent="0.25">
      <c r="A181">
        <v>180</v>
      </c>
      <c r="B181">
        <v>184292</v>
      </c>
      <c r="C181">
        <v>24001966</v>
      </c>
      <c r="D181" t="s">
        <v>14</v>
      </c>
      <c r="E181" t="s">
        <v>106</v>
      </c>
      <c r="F181">
        <v>5157997</v>
      </c>
      <c r="G181">
        <v>941</v>
      </c>
      <c r="H181" t="s">
        <v>95</v>
      </c>
      <c r="I181">
        <v>1177</v>
      </c>
      <c r="J181" s="74">
        <v>45667</v>
      </c>
      <c r="K181" s="74">
        <v>45673</v>
      </c>
      <c r="L181" t="s">
        <v>190</v>
      </c>
      <c r="M181" s="74">
        <v>45667</v>
      </c>
      <c r="N181" t="s">
        <v>155</v>
      </c>
      <c r="O181" t="s">
        <v>190</v>
      </c>
      <c r="P181">
        <v>0.75</v>
      </c>
      <c r="Q181">
        <v>1.93</v>
      </c>
      <c r="R181">
        <v>882.75</v>
      </c>
      <c r="S181">
        <v>2271.61</v>
      </c>
      <c r="T181" t="s">
        <v>66</v>
      </c>
      <c r="AA181">
        <f t="shared" si="2"/>
        <v>392697.8</v>
      </c>
      <c r="AB181">
        <f>COUNTIF($D$1:D181,D181)</f>
        <v>109</v>
      </c>
    </row>
    <row r="182" spans="1:28" x14ac:dyDescent="0.25">
      <c r="A182">
        <v>181</v>
      </c>
      <c r="B182">
        <v>184786</v>
      </c>
      <c r="C182">
        <v>24002165</v>
      </c>
      <c r="D182" t="s">
        <v>14</v>
      </c>
      <c r="E182" t="s">
        <v>106</v>
      </c>
      <c r="F182">
        <v>5160295</v>
      </c>
      <c r="G182">
        <v>1095</v>
      </c>
      <c r="H182" t="s">
        <v>95</v>
      </c>
      <c r="I182">
        <v>4329</v>
      </c>
      <c r="J182" s="74">
        <v>45681</v>
      </c>
      <c r="K182" s="74">
        <v>45687</v>
      </c>
      <c r="L182" t="s">
        <v>190</v>
      </c>
      <c r="M182" s="74">
        <v>45702</v>
      </c>
      <c r="N182" t="s">
        <v>151</v>
      </c>
      <c r="O182" t="s">
        <v>224</v>
      </c>
      <c r="P182">
        <v>0.76</v>
      </c>
      <c r="Q182">
        <v>1.43</v>
      </c>
      <c r="R182">
        <v>3290.04</v>
      </c>
      <c r="S182">
        <v>6190.47</v>
      </c>
      <c r="T182" t="s">
        <v>66</v>
      </c>
      <c r="AA182">
        <f t="shared" si="2"/>
        <v>392697.8</v>
      </c>
      <c r="AB182">
        <f>COUNTIF($D$1:D182,D182)</f>
        <v>110</v>
      </c>
    </row>
    <row r="183" spans="1:28" x14ac:dyDescent="0.25">
      <c r="A183">
        <v>182</v>
      </c>
      <c r="B183">
        <v>184831</v>
      </c>
      <c r="C183">
        <v>24002210</v>
      </c>
      <c r="D183" t="s">
        <v>14</v>
      </c>
      <c r="E183" t="s">
        <v>106</v>
      </c>
      <c r="F183">
        <v>5158608</v>
      </c>
      <c r="G183">
        <v>1100</v>
      </c>
      <c r="H183" t="s">
        <v>95</v>
      </c>
      <c r="I183">
        <v>2448</v>
      </c>
      <c r="J183" s="74">
        <v>45687</v>
      </c>
      <c r="K183" s="74">
        <v>45688</v>
      </c>
      <c r="L183" t="s">
        <v>190</v>
      </c>
      <c r="M183" s="74">
        <v>45702</v>
      </c>
      <c r="N183" t="s">
        <v>151</v>
      </c>
      <c r="O183" t="s">
        <v>224</v>
      </c>
      <c r="P183">
        <v>0.74</v>
      </c>
      <c r="Q183">
        <v>1.38</v>
      </c>
      <c r="R183">
        <v>1811.52</v>
      </c>
      <c r="S183">
        <v>3378.24</v>
      </c>
      <c r="T183" t="s">
        <v>66</v>
      </c>
      <c r="AA183">
        <f t="shared" si="2"/>
        <v>392697.8</v>
      </c>
      <c r="AB183">
        <f>COUNTIF($D$1:D183,D183)</f>
        <v>111</v>
      </c>
    </row>
    <row r="184" spans="1:28" x14ac:dyDescent="0.25">
      <c r="A184">
        <v>183</v>
      </c>
      <c r="B184">
        <v>184785</v>
      </c>
      <c r="C184">
        <v>24002164</v>
      </c>
      <c r="D184" t="s">
        <v>14</v>
      </c>
      <c r="E184" t="s">
        <v>106</v>
      </c>
      <c r="F184">
        <v>5160300</v>
      </c>
      <c r="G184">
        <v>1095</v>
      </c>
      <c r="H184" t="s">
        <v>95</v>
      </c>
      <c r="I184">
        <v>1878</v>
      </c>
      <c r="J184" s="74">
        <v>45688</v>
      </c>
      <c r="K184" s="74">
        <v>45688</v>
      </c>
      <c r="L184" t="s">
        <v>190</v>
      </c>
      <c r="M184" s="74">
        <v>45709</v>
      </c>
      <c r="N184" t="s">
        <v>151</v>
      </c>
      <c r="O184" t="s">
        <v>224</v>
      </c>
      <c r="P184">
        <v>0.76</v>
      </c>
      <c r="Q184">
        <v>1.43</v>
      </c>
      <c r="R184">
        <v>1427.28</v>
      </c>
      <c r="S184">
        <v>2685.54</v>
      </c>
      <c r="T184" t="s">
        <v>66</v>
      </c>
      <c r="AA184">
        <f t="shared" si="2"/>
        <v>392697.8</v>
      </c>
      <c r="AB184">
        <f>COUNTIF($D$1:D184,D184)</f>
        <v>112</v>
      </c>
    </row>
    <row r="185" spans="1:28" x14ac:dyDescent="0.25">
      <c r="A185">
        <v>184</v>
      </c>
      <c r="B185">
        <v>182993</v>
      </c>
      <c r="C185">
        <v>24001463</v>
      </c>
      <c r="D185" t="s">
        <v>14</v>
      </c>
      <c r="E185" t="s">
        <v>106</v>
      </c>
      <c r="F185">
        <v>5157977</v>
      </c>
      <c r="G185">
        <v>248</v>
      </c>
      <c r="H185" t="s">
        <v>102</v>
      </c>
      <c r="I185">
        <v>1009</v>
      </c>
      <c r="J185" s="74">
        <v>45677</v>
      </c>
      <c r="K185" s="74">
        <v>45677</v>
      </c>
      <c r="L185" t="s">
        <v>190</v>
      </c>
      <c r="M185" s="74">
        <v>45485</v>
      </c>
      <c r="N185" t="s">
        <v>155</v>
      </c>
      <c r="O185" t="s">
        <v>419</v>
      </c>
      <c r="P185">
        <v>0.79</v>
      </c>
      <c r="Q185">
        <v>2.0099999999999998</v>
      </c>
      <c r="R185">
        <v>797.11</v>
      </c>
      <c r="S185">
        <v>2028.09</v>
      </c>
      <c r="T185" t="s">
        <v>66</v>
      </c>
      <c r="AA185">
        <f t="shared" si="2"/>
        <v>392697.8</v>
      </c>
      <c r="AB185">
        <f>COUNTIF($D$1:D185,D185)</f>
        <v>113</v>
      </c>
    </row>
    <row r="186" spans="1:28" x14ac:dyDescent="0.25">
      <c r="A186">
        <v>185</v>
      </c>
      <c r="B186">
        <v>182996</v>
      </c>
      <c r="C186">
        <v>24001466</v>
      </c>
      <c r="D186" t="s">
        <v>14</v>
      </c>
      <c r="E186" t="s">
        <v>106</v>
      </c>
      <c r="F186" t="s">
        <v>175</v>
      </c>
      <c r="G186">
        <v>248</v>
      </c>
      <c r="H186" t="s">
        <v>102</v>
      </c>
      <c r="I186">
        <v>8</v>
      </c>
      <c r="J186" s="74">
        <v>45677</v>
      </c>
      <c r="K186" s="74">
        <v>45677</v>
      </c>
      <c r="L186" t="s">
        <v>190</v>
      </c>
      <c r="M186" s="74">
        <v>45485</v>
      </c>
      <c r="N186" t="s">
        <v>155</v>
      </c>
      <c r="O186" t="s">
        <v>419</v>
      </c>
      <c r="P186">
        <v>0.77</v>
      </c>
      <c r="Q186">
        <v>2.16</v>
      </c>
      <c r="R186">
        <v>6.16</v>
      </c>
      <c r="S186">
        <v>17.28</v>
      </c>
      <c r="T186" t="s">
        <v>66</v>
      </c>
      <c r="AA186">
        <f t="shared" si="2"/>
        <v>392697.8</v>
      </c>
      <c r="AB186">
        <f>COUNTIF($D$1:D186,D186)</f>
        <v>114</v>
      </c>
    </row>
    <row r="187" spans="1:28" x14ac:dyDescent="0.25">
      <c r="A187">
        <v>186</v>
      </c>
      <c r="B187">
        <v>183449</v>
      </c>
      <c r="C187">
        <v>24001654</v>
      </c>
      <c r="D187" t="s">
        <v>14</v>
      </c>
      <c r="E187" t="s">
        <v>106</v>
      </c>
      <c r="F187" t="s">
        <v>208</v>
      </c>
      <c r="G187">
        <v>382</v>
      </c>
      <c r="H187" t="s">
        <v>102</v>
      </c>
      <c r="I187">
        <v>182</v>
      </c>
      <c r="J187" s="74">
        <v>45677</v>
      </c>
      <c r="K187" s="74">
        <v>45677</v>
      </c>
      <c r="L187" t="s">
        <v>190</v>
      </c>
      <c r="M187" s="74">
        <v>45548</v>
      </c>
      <c r="N187" t="s">
        <v>155</v>
      </c>
      <c r="O187" t="s">
        <v>156</v>
      </c>
      <c r="P187">
        <v>0.67</v>
      </c>
      <c r="Q187">
        <v>1.83</v>
      </c>
      <c r="R187">
        <v>121.94</v>
      </c>
      <c r="S187">
        <v>333.06</v>
      </c>
      <c r="T187" t="s">
        <v>66</v>
      </c>
      <c r="AA187">
        <f t="shared" si="2"/>
        <v>392697.8</v>
      </c>
      <c r="AB187">
        <f>COUNTIF($D$1:D187,D187)</f>
        <v>115</v>
      </c>
    </row>
    <row r="188" spans="1:28" x14ac:dyDescent="0.25">
      <c r="A188">
        <v>187</v>
      </c>
      <c r="B188">
        <v>183455</v>
      </c>
      <c r="C188">
        <v>24001660</v>
      </c>
      <c r="D188" t="s">
        <v>14</v>
      </c>
      <c r="E188" t="s">
        <v>106</v>
      </c>
      <c r="F188">
        <v>5158602</v>
      </c>
      <c r="G188">
        <v>382</v>
      </c>
      <c r="H188" t="s">
        <v>102</v>
      </c>
      <c r="I188">
        <v>366</v>
      </c>
      <c r="J188" s="74">
        <v>45677</v>
      </c>
      <c r="K188" s="74">
        <v>45677</v>
      </c>
      <c r="L188" t="s">
        <v>190</v>
      </c>
      <c r="M188" s="74">
        <v>45548</v>
      </c>
      <c r="N188" t="s">
        <v>155</v>
      </c>
      <c r="O188" t="s">
        <v>156</v>
      </c>
      <c r="P188">
        <v>0.8</v>
      </c>
      <c r="Q188">
        <v>1.88</v>
      </c>
      <c r="R188">
        <v>292.8</v>
      </c>
      <c r="S188">
        <v>688.08</v>
      </c>
      <c r="T188" t="s">
        <v>66</v>
      </c>
      <c r="AA188">
        <f t="shared" si="2"/>
        <v>392697.8</v>
      </c>
      <c r="AB188">
        <f>COUNTIF($D$1:D188,D188)</f>
        <v>116</v>
      </c>
    </row>
    <row r="189" spans="1:28" x14ac:dyDescent="0.25">
      <c r="A189">
        <v>188</v>
      </c>
      <c r="B189">
        <v>183463</v>
      </c>
      <c r="C189">
        <v>24001627</v>
      </c>
      <c r="D189" t="s">
        <v>14</v>
      </c>
      <c r="E189" t="s">
        <v>106</v>
      </c>
      <c r="F189">
        <v>5157983</v>
      </c>
      <c r="G189">
        <v>383</v>
      </c>
      <c r="H189" t="s">
        <v>102</v>
      </c>
      <c r="I189">
        <v>120</v>
      </c>
      <c r="J189" s="74">
        <v>45677</v>
      </c>
      <c r="K189" s="74">
        <v>45677</v>
      </c>
      <c r="L189" t="s">
        <v>190</v>
      </c>
      <c r="M189" s="74">
        <v>45548</v>
      </c>
      <c r="N189" t="s">
        <v>155</v>
      </c>
      <c r="O189" t="s">
        <v>156</v>
      </c>
      <c r="P189">
        <v>0.79</v>
      </c>
      <c r="Q189">
        <v>2.0099999999999998</v>
      </c>
      <c r="R189">
        <v>94.8</v>
      </c>
      <c r="S189">
        <v>241.2</v>
      </c>
      <c r="T189" t="s">
        <v>66</v>
      </c>
      <c r="AA189">
        <f t="shared" si="2"/>
        <v>392697.8</v>
      </c>
      <c r="AB189">
        <f>COUNTIF($D$1:D189,D189)</f>
        <v>117</v>
      </c>
    </row>
    <row r="190" spans="1:28" x14ac:dyDescent="0.25">
      <c r="A190">
        <v>189</v>
      </c>
      <c r="B190">
        <v>183464</v>
      </c>
      <c r="C190">
        <v>24001628</v>
      </c>
      <c r="D190" t="s">
        <v>14</v>
      </c>
      <c r="E190" t="s">
        <v>106</v>
      </c>
      <c r="F190">
        <v>5157992</v>
      </c>
      <c r="G190">
        <v>383</v>
      </c>
      <c r="H190" t="s">
        <v>102</v>
      </c>
      <c r="I190">
        <v>491</v>
      </c>
      <c r="J190" s="74">
        <v>45677</v>
      </c>
      <c r="K190" s="74">
        <v>45677</v>
      </c>
      <c r="L190" t="s">
        <v>190</v>
      </c>
      <c r="M190" s="74">
        <v>45548</v>
      </c>
      <c r="N190" t="s">
        <v>155</v>
      </c>
      <c r="O190" t="s">
        <v>156</v>
      </c>
      <c r="P190">
        <v>0.79</v>
      </c>
      <c r="Q190">
        <v>2.0099999999999998</v>
      </c>
      <c r="R190">
        <v>387.89</v>
      </c>
      <c r="S190">
        <v>986.91</v>
      </c>
      <c r="T190" t="s">
        <v>66</v>
      </c>
      <c r="AA190">
        <f t="shared" si="2"/>
        <v>392697.8</v>
      </c>
      <c r="AB190">
        <f>COUNTIF($D$1:D190,D190)</f>
        <v>118</v>
      </c>
    </row>
    <row r="191" spans="1:28" x14ac:dyDescent="0.25">
      <c r="A191">
        <v>190</v>
      </c>
      <c r="B191">
        <v>183466</v>
      </c>
      <c r="C191">
        <v>24001630</v>
      </c>
      <c r="D191" t="s">
        <v>14</v>
      </c>
      <c r="E191" t="s">
        <v>106</v>
      </c>
      <c r="F191" t="s">
        <v>209</v>
      </c>
      <c r="G191">
        <v>383</v>
      </c>
      <c r="H191" t="s">
        <v>102</v>
      </c>
      <c r="I191">
        <v>336</v>
      </c>
      <c r="J191" s="74">
        <v>45677</v>
      </c>
      <c r="K191" s="74">
        <v>45677</v>
      </c>
      <c r="L191" t="s">
        <v>190</v>
      </c>
      <c r="M191" s="74">
        <v>45548</v>
      </c>
      <c r="N191" t="s">
        <v>155</v>
      </c>
      <c r="O191" t="s">
        <v>156</v>
      </c>
      <c r="P191">
        <v>1</v>
      </c>
      <c r="Q191">
        <v>2.4300000000000002</v>
      </c>
      <c r="R191">
        <v>336</v>
      </c>
      <c r="S191">
        <v>816.48</v>
      </c>
      <c r="T191" t="s">
        <v>66</v>
      </c>
      <c r="AA191">
        <f t="shared" si="2"/>
        <v>392697.8</v>
      </c>
      <c r="AB191">
        <f>COUNTIF($D$1:D191,D191)</f>
        <v>119</v>
      </c>
    </row>
    <row r="192" spans="1:28" x14ac:dyDescent="0.25">
      <c r="A192">
        <v>191</v>
      </c>
      <c r="B192">
        <v>183468</v>
      </c>
      <c r="C192">
        <v>24001676</v>
      </c>
      <c r="D192" t="s">
        <v>14</v>
      </c>
      <c r="E192" t="s">
        <v>106</v>
      </c>
      <c r="F192" t="s">
        <v>210</v>
      </c>
      <c r="G192">
        <v>383</v>
      </c>
      <c r="H192" t="s">
        <v>102</v>
      </c>
      <c r="I192">
        <v>297</v>
      </c>
      <c r="J192" s="74">
        <v>45677</v>
      </c>
      <c r="K192" s="74">
        <v>45677</v>
      </c>
      <c r="L192" t="s">
        <v>190</v>
      </c>
      <c r="M192" s="74">
        <v>45548</v>
      </c>
      <c r="N192" t="s">
        <v>155</v>
      </c>
      <c r="O192" t="s">
        <v>156</v>
      </c>
      <c r="P192">
        <v>1</v>
      </c>
      <c r="Q192">
        <v>2.4300000000000002</v>
      </c>
      <c r="R192">
        <v>297</v>
      </c>
      <c r="S192">
        <v>721.71</v>
      </c>
      <c r="T192" t="s">
        <v>66</v>
      </c>
      <c r="AA192">
        <f t="shared" si="2"/>
        <v>392697.8</v>
      </c>
      <c r="AB192">
        <f>COUNTIF($D$1:D192,D192)</f>
        <v>120</v>
      </c>
    </row>
    <row r="193" spans="1:28" x14ac:dyDescent="0.25">
      <c r="A193">
        <v>192</v>
      </c>
      <c r="B193">
        <v>183469</v>
      </c>
      <c r="C193">
        <v>24001633</v>
      </c>
      <c r="D193" t="s">
        <v>14</v>
      </c>
      <c r="E193" t="s">
        <v>106</v>
      </c>
      <c r="F193">
        <v>5158002</v>
      </c>
      <c r="G193">
        <v>383</v>
      </c>
      <c r="H193" t="s">
        <v>102</v>
      </c>
      <c r="I193">
        <v>513</v>
      </c>
      <c r="J193" s="74">
        <v>45677</v>
      </c>
      <c r="K193" s="74">
        <v>45677</v>
      </c>
      <c r="L193" t="s">
        <v>190</v>
      </c>
      <c r="M193" s="74">
        <v>45548</v>
      </c>
      <c r="N193" t="s">
        <v>155</v>
      </c>
      <c r="O193" t="s">
        <v>156</v>
      </c>
      <c r="P193">
        <v>0.93</v>
      </c>
      <c r="Q193">
        <v>2.2400000000000002</v>
      </c>
      <c r="R193">
        <v>477.09</v>
      </c>
      <c r="S193">
        <v>1149.1199999999999</v>
      </c>
      <c r="T193" t="s">
        <v>66</v>
      </c>
      <c r="AA193">
        <f t="shared" si="2"/>
        <v>392697.8</v>
      </c>
      <c r="AB193">
        <f>COUNTIF($D$1:D193,D193)</f>
        <v>121</v>
      </c>
    </row>
    <row r="194" spans="1:28" x14ac:dyDescent="0.25">
      <c r="A194">
        <v>193</v>
      </c>
      <c r="B194">
        <v>183470</v>
      </c>
      <c r="C194">
        <v>24001634</v>
      </c>
      <c r="D194" t="s">
        <v>14</v>
      </c>
      <c r="E194" t="s">
        <v>106</v>
      </c>
      <c r="F194" t="s">
        <v>211</v>
      </c>
      <c r="G194">
        <v>383</v>
      </c>
      <c r="H194" t="s">
        <v>102</v>
      </c>
      <c r="I194">
        <v>270</v>
      </c>
      <c r="J194" s="74">
        <v>45677</v>
      </c>
      <c r="K194" s="74">
        <v>45677</v>
      </c>
      <c r="L194" t="s">
        <v>190</v>
      </c>
      <c r="M194" s="74">
        <v>45548</v>
      </c>
      <c r="N194" t="s">
        <v>155</v>
      </c>
      <c r="O194" t="s">
        <v>156</v>
      </c>
      <c r="P194">
        <v>1</v>
      </c>
      <c r="Q194">
        <v>2.4300000000000002</v>
      </c>
      <c r="R194">
        <v>270</v>
      </c>
      <c r="S194">
        <v>656.1</v>
      </c>
      <c r="T194" t="s">
        <v>66</v>
      </c>
      <c r="AA194">
        <f t="shared" ref="AA194:AA257" si="3">SUMIF($D:$D,D194,$R:$R)</f>
        <v>392697.8</v>
      </c>
      <c r="AB194">
        <f>COUNTIF($D$1:D194,D194)</f>
        <v>122</v>
      </c>
    </row>
    <row r="195" spans="1:28" x14ac:dyDescent="0.25">
      <c r="A195">
        <v>194</v>
      </c>
      <c r="B195">
        <v>183051</v>
      </c>
      <c r="C195">
        <v>24001514</v>
      </c>
      <c r="D195" t="s">
        <v>14</v>
      </c>
      <c r="E195" t="s">
        <v>106</v>
      </c>
      <c r="F195">
        <v>5158038</v>
      </c>
      <c r="G195">
        <v>251</v>
      </c>
      <c r="H195" t="s">
        <v>102</v>
      </c>
      <c r="I195">
        <v>277</v>
      </c>
      <c r="J195" s="74">
        <v>45677</v>
      </c>
      <c r="K195" s="74">
        <v>45677</v>
      </c>
      <c r="L195" t="s">
        <v>190</v>
      </c>
      <c r="M195" s="74">
        <v>45503</v>
      </c>
      <c r="N195" t="s">
        <v>155</v>
      </c>
      <c r="O195" t="s">
        <v>419</v>
      </c>
      <c r="P195">
        <v>0.65</v>
      </c>
      <c r="Q195">
        <v>1.61</v>
      </c>
      <c r="R195">
        <v>180.05</v>
      </c>
      <c r="S195">
        <v>445.97</v>
      </c>
      <c r="T195" t="s">
        <v>66</v>
      </c>
      <c r="AA195">
        <f t="shared" si="3"/>
        <v>392697.8</v>
      </c>
      <c r="AB195">
        <f>COUNTIF($D$1:D195,D195)</f>
        <v>123</v>
      </c>
    </row>
    <row r="196" spans="1:28" x14ac:dyDescent="0.25">
      <c r="A196">
        <v>195</v>
      </c>
      <c r="B196">
        <v>183555</v>
      </c>
      <c r="C196">
        <v>24001751</v>
      </c>
      <c r="D196" t="s">
        <v>14</v>
      </c>
      <c r="E196" t="s">
        <v>106</v>
      </c>
      <c r="F196">
        <v>5158594</v>
      </c>
      <c r="G196">
        <v>649</v>
      </c>
      <c r="H196" t="s">
        <v>102</v>
      </c>
      <c r="I196">
        <v>164</v>
      </c>
      <c r="J196" s="74">
        <v>45677</v>
      </c>
      <c r="K196" s="74">
        <v>45677</v>
      </c>
      <c r="L196" t="s">
        <v>190</v>
      </c>
      <c r="M196" s="74">
        <v>45562</v>
      </c>
      <c r="N196" t="s">
        <v>155</v>
      </c>
      <c r="O196" t="s">
        <v>156</v>
      </c>
      <c r="P196">
        <v>0.7</v>
      </c>
      <c r="Q196">
        <v>1.64</v>
      </c>
      <c r="R196">
        <v>114.8</v>
      </c>
      <c r="S196">
        <v>268.95999999999998</v>
      </c>
      <c r="T196" t="s">
        <v>66</v>
      </c>
      <c r="AA196">
        <f t="shared" si="3"/>
        <v>392697.8</v>
      </c>
      <c r="AB196">
        <f>COUNTIF($D$1:D196,D196)</f>
        <v>124</v>
      </c>
    </row>
    <row r="197" spans="1:28" x14ac:dyDescent="0.25">
      <c r="A197">
        <v>196</v>
      </c>
      <c r="B197">
        <v>183578</v>
      </c>
      <c r="C197">
        <v>24001774</v>
      </c>
      <c r="D197" t="s">
        <v>14</v>
      </c>
      <c r="E197" t="s">
        <v>106</v>
      </c>
      <c r="F197">
        <v>5157997</v>
      </c>
      <c r="G197">
        <v>651</v>
      </c>
      <c r="H197" t="s">
        <v>102</v>
      </c>
      <c r="I197">
        <v>160</v>
      </c>
      <c r="J197" s="74">
        <v>45677</v>
      </c>
      <c r="K197" s="74">
        <v>45677</v>
      </c>
      <c r="L197" t="s">
        <v>190</v>
      </c>
      <c r="M197" s="74">
        <v>45562</v>
      </c>
      <c r="N197" t="s">
        <v>155</v>
      </c>
      <c r="O197" t="s">
        <v>156</v>
      </c>
      <c r="P197">
        <v>0.75</v>
      </c>
      <c r="Q197">
        <v>1.93</v>
      </c>
      <c r="R197">
        <v>120</v>
      </c>
      <c r="S197">
        <v>308.8</v>
      </c>
      <c r="T197" t="s">
        <v>66</v>
      </c>
      <c r="AA197">
        <f t="shared" si="3"/>
        <v>392697.8</v>
      </c>
      <c r="AB197">
        <f>COUNTIF($D$1:D197,D197)</f>
        <v>125</v>
      </c>
    </row>
    <row r="198" spans="1:28" x14ac:dyDescent="0.25">
      <c r="A198">
        <v>197</v>
      </c>
      <c r="B198">
        <v>183565</v>
      </c>
      <c r="C198">
        <v>24001761</v>
      </c>
      <c r="D198" t="s">
        <v>14</v>
      </c>
      <c r="E198" t="s">
        <v>106</v>
      </c>
      <c r="F198" t="s">
        <v>171</v>
      </c>
      <c r="G198">
        <v>650</v>
      </c>
      <c r="H198" t="s">
        <v>102</v>
      </c>
      <c r="I198">
        <v>477</v>
      </c>
      <c r="J198" s="74">
        <v>45677</v>
      </c>
      <c r="K198" s="74">
        <v>45677</v>
      </c>
      <c r="L198" t="s">
        <v>190</v>
      </c>
      <c r="M198" s="74">
        <v>45583</v>
      </c>
      <c r="N198" t="s">
        <v>155</v>
      </c>
      <c r="O198" t="s">
        <v>150</v>
      </c>
      <c r="P198">
        <v>0.78</v>
      </c>
      <c r="Q198">
        <v>2.2400000000000002</v>
      </c>
      <c r="R198">
        <v>372.06</v>
      </c>
      <c r="S198">
        <v>1068.48</v>
      </c>
      <c r="T198" t="s">
        <v>66</v>
      </c>
      <c r="AA198">
        <f t="shared" si="3"/>
        <v>392697.8</v>
      </c>
      <c r="AB198">
        <f>COUNTIF($D$1:D198,D198)</f>
        <v>126</v>
      </c>
    </row>
    <row r="199" spans="1:28" x14ac:dyDescent="0.25">
      <c r="A199">
        <v>198</v>
      </c>
      <c r="B199">
        <v>183429</v>
      </c>
      <c r="C199">
        <v>24001619</v>
      </c>
      <c r="D199" t="s">
        <v>14</v>
      </c>
      <c r="E199" t="s">
        <v>106</v>
      </c>
      <c r="F199">
        <v>5158059</v>
      </c>
      <c r="G199">
        <v>380</v>
      </c>
      <c r="H199" t="s">
        <v>102</v>
      </c>
      <c r="I199">
        <v>508</v>
      </c>
      <c r="J199" s="74">
        <v>45677</v>
      </c>
      <c r="K199" s="74">
        <v>45677</v>
      </c>
      <c r="L199" t="s">
        <v>190</v>
      </c>
      <c r="M199" s="74">
        <v>45548</v>
      </c>
      <c r="N199" t="s">
        <v>155</v>
      </c>
      <c r="O199" t="s">
        <v>156</v>
      </c>
      <c r="P199">
        <v>0.65</v>
      </c>
      <c r="Q199">
        <v>1.61</v>
      </c>
      <c r="R199">
        <v>330.2</v>
      </c>
      <c r="S199">
        <v>817.88</v>
      </c>
      <c r="T199" t="s">
        <v>66</v>
      </c>
      <c r="AA199">
        <f t="shared" si="3"/>
        <v>392697.8</v>
      </c>
      <c r="AB199">
        <f>COUNTIF($D$1:D199,D199)</f>
        <v>127</v>
      </c>
    </row>
    <row r="200" spans="1:28" x14ac:dyDescent="0.25">
      <c r="A200">
        <v>199</v>
      </c>
      <c r="B200">
        <v>183713</v>
      </c>
      <c r="C200">
        <v>24001805</v>
      </c>
      <c r="D200" t="s">
        <v>14</v>
      </c>
      <c r="E200" t="s">
        <v>106</v>
      </c>
      <c r="F200" t="s">
        <v>169</v>
      </c>
      <c r="G200">
        <v>663</v>
      </c>
      <c r="H200" t="s">
        <v>102</v>
      </c>
      <c r="I200">
        <v>197</v>
      </c>
      <c r="J200" s="74">
        <v>45660</v>
      </c>
      <c r="K200" s="74">
        <v>45673</v>
      </c>
      <c r="L200" t="s">
        <v>190</v>
      </c>
      <c r="M200" s="74">
        <v>45618</v>
      </c>
      <c r="N200" t="s">
        <v>155</v>
      </c>
      <c r="O200" t="s">
        <v>152</v>
      </c>
      <c r="P200">
        <v>0.84</v>
      </c>
      <c r="Q200">
        <v>2.39</v>
      </c>
      <c r="R200">
        <v>165.48</v>
      </c>
      <c r="S200">
        <v>470.83</v>
      </c>
      <c r="T200" t="s">
        <v>66</v>
      </c>
      <c r="AA200">
        <f t="shared" si="3"/>
        <v>392697.8</v>
      </c>
      <c r="AB200">
        <f>COUNTIF($D$1:D200,D200)</f>
        <v>128</v>
      </c>
    </row>
    <row r="201" spans="1:28" x14ac:dyDescent="0.25">
      <c r="A201">
        <v>200</v>
      </c>
      <c r="B201">
        <v>183717</v>
      </c>
      <c r="C201">
        <v>24001809</v>
      </c>
      <c r="D201" t="s">
        <v>14</v>
      </c>
      <c r="E201" t="s">
        <v>106</v>
      </c>
      <c r="F201" t="s">
        <v>166</v>
      </c>
      <c r="G201">
        <v>663</v>
      </c>
      <c r="H201" t="s">
        <v>102</v>
      </c>
      <c r="I201">
        <v>84</v>
      </c>
      <c r="J201" s="74">
        <v>45673</v>
      </c>
      <c r="K201" s="74">
        <v>45673</v>
      </c>
      <c r="L201" t="s">
        <v>190</v>
      </c>
      <c r="M201" s="74">
        <v>45618</v>
      </c>
      <c r="N201" t="s">
        <v>155</v>
      </c>
      <c r="O201" t="s">
        <v>152</v>
      </c>
      <c r="P201">
        <v>0.84</v>
      </c>
      <c r="Q201">
        <v>2.39</v>
      </c>
      <c r="R201">
        <v>70.56</v>
      </c>
      <c r="S201">
        <v>200.76</v>
      </c>
      <c r="T201" t="s">
        <v>66</v>
      </c>
      <c r="AA201">
        <f t="shared" si="3"/>
        <v>392697.8</v>
      </c>
      <c r="AB201">
        <f>COUNTIF($D$1:D201,D201)</f>
        <v>129</v>
      </c>
    </row>
    <row r="202" spans="1:28" x14ac:dyDescent="0.25">
      <c r="A202">
        <v>201</v>
      </c>
      <c r="B202">
        <v>183747</v>
      </c>
      <c r="C202">
        <v>24001839</v>
      </c>
      <c r="D202" t="s">
        <v>14</v>
      </c>
      <c r="E202" t="s">
        <v>106</v>
      </c>
      <c r="F202" t="s">
        <v>174</v>
      </c>
      <c r="G202">
        <v>665</v>
      </c>
      <c r="H202" t="s">
        <v>102</v>
      </c>
      <c r="I202">
        <v>182</v>
      </c>
      <c r="J202" s="74">
        <v>45677</v>
      </c>
      <c r="K202" s="74">
        <v>45677</v>
      </c>
      <c r="L202" t="s">
        <v>190</v>
      </c>
      <c r="M202" s="74">
        <v>45604</v>
      </c>
      <c r="N202" t="s">
        <v>155</v>
      </c>
      <c r="O202" t="s">
        <v>152</v>
      </c>
      <c r="P202">
        <v>0.78</v>
      </c>
      <c r="Q202">
        <v>2.2400000000000002</v>
      </c>
      <c r="R202">
        <v>141.96</v>
      </c>
      <c r="S202">
        <v>407.68</v>
      </c>
      <c r="T202" t="s">
        <v>66</v>
      </c>
      <c r="AA202">
        <f t="shared" si="3"/>
        <v>392697.8</v>
      </c>
      <c r="AB202">
        <f>COUNTIF($D$1:D202,D202)</f>
        <v>130</v>
      </c>
    </row>
    <row r="203" spans="1:28" x14ac:dyDescent="0.25">
      <c r="A203">
        <v>202</v>
      </c>
      <c r="B203">
        <v>183749</v>
      </c>
      <c r="C203">
        <v>24001841</v>
      </c>
      <c r="D203" t="s">
        <v>14</v>
      </c>
      <c r="E203" t="s">
        <v>106</v>
      </c>
      <c r="F203" t="s">
        <v>171</v>
      </c>
      <c r="G203">
        <v>665</v>
      </c>
      <c r="H203" t="s">
        <v>102</v>
      </c>
      <c r="I203">
        <v>142</v>
      </c>
      <c r="J203" s="74">
        <v>45677</v>
      </c>
      <c r="K203" s="74">
        <v>45677</v>
      </c>
      <c r="L203" t="s">
        <v>190</v>
      </c>
      <c r="M203" s="74">
        <v>45604</v>
      </c>
      <c r="N203" t="s">
        <v>155</v>
      </c>
      <c r="O203" t="s">
        <v>152</v>
      </c>
      <c r="P203">
        <v>0.78</v>
      </c>
      <c r="Q203">
        <v>2.2400000000000002</v>
      </c>
      <c r="R203">
        <v>110.76</v>
      </c>
      <c r="S203">
        <v>318.08</v>
      </c>
      <c r="T203" t="s">
        <v>66</v>
      </c>
      <c r="AA203">
        <f t="shared" si="3"/>
        <v>392697.8</v>
      </c>
      <c r="AB203">
        <f>COUNTIF($D$1:D203,D203)</f>
        <v>131</v>
      </c>
    </row>
    <row r="204" spans="1:28" x14ac:dyDescent="0.25">
      <c r="A204">
        <v>203</v>
      </c>
      <c r="B204">
        <v>183751</v>
      </c>
      <c r="C204">
        <v>24001843</v>
      </c>
      <c r="D204" t="s">
        <v>14</v>
      </c>
      <c r="E204" t="s">
        <v>106</v>
      </c>
      <c r="F204" t="s">
        <v>170</v>
      </c>
      <c r="G204">
        <v>665</v>
      </c>
      <c r="H204" t="s">
        <v>102</v>
      </c>
      <c r="I204">
        <v>351</v>
      </c>
      <c r="J204" s="74">
        <v>45677</v>
      </c>
      <c r="K204" s="74">
        <v>45677</v>
      </c>
      <c r="L204" t="s">
        <v>190</v>
      </c>
      <c r="M204" s="74">
        <v>45604</v>
      </c>
      <c r="N204" t="s">
        <v>155</v>
      </c>
      <c r="O204" t="s">
        <v>152</v>
      </c>
      <c r="P204">
        <v>0.78</v>
      </c>
      <c r="Q204">
        <v>2.2400000000000002</v>
      </c>
      <c r="R204">
        <v>273.77999999999997</v>
      </c>
      <c r="S204">
        <v>786.24</v>
      </c>
      <c r="T204" t="s">
        <v>66</v>
      </c>
      <c r="AA204">
        <f t="shared" si="3"/>
        <v>392697.8</v>
      </c>
      <c r="AB204">
        <f>COUNTIF($D$1:D204,D204)</f>
        <v>132</v>
      </c>
    </row>
    <row r="205" spans="1:28" x14ac:dyDescent="0.25">
      <c r="A205">
        <v>204</v>
      </c>
      <c r="B205">
        <v>183558</v>
      </c>
      <c r="C205">
        <v>24001754</v>
      </c>
      <c r="D205" t="s">
        <v>14</v>
      </c>
      <c r="E205" t="s">
        <v>106</v>
      </c>
      <c r="F205">
        <v>5157977</v>
      </c>
      <c r="G205">
        <v>650</v>
      </c>
      <c r="H205" t="s">
        <v>102</v>
      </c>
      <c r="I205">
        <v>223</v>
      </c>
      <c r="J205" s="74">
        <v>45677</v>
      </c>
      <c r="K205" s="74">
        <v>45677</v>
      </c>
      <c r="L205" t="s">
        <v>190</v>
      </c>
      <c r="M205" s="74">
        <v>45583</v>
      </c>
      <c r="N205" t="s">
        <v>155</v>
      </c>
      <c r="O205" t="s">
        <v>150</v>
      </c>
      <c r="P205">
        <v>0.79</v>
      </c>
      <c r="Q205">
        <v>2.0099999999999998</v>
      </c>
      <c r="R205">
        <v>176.17</v>
      </c>
      <c r="S205">
        <v>448.23</v>
      </c>
      <c r="T205" t="s">
        <v>66</v>
      </c>
      <c r="AA205">
        <f t="shared" si="3"/>
        <v>392697.8</v>
      </c>
      <c r="AB205">
        <f>COUNTIF($D$1:D205,D205)</f>
        <v>133</v>
      </c>
    </row>
    <row r="206" spans="1:28" x14ac:dyDescent="0.25">
      <c r="A206">
        <v>205</v>
      </c>
      <c r="B206">
        <v>183910</v>
      </c>
      <c r="C206">
        <v>24001878</v>
      </c>
      <c r="D206" t="s">
        <v>14</v>
      </c>
      <c r="E206" t="s">
        <v>106</v>
      </c>
      <c r="F206">
        <v>5159760</v>
      </c>
      <c r="G206">
        <v>795</v>
      </c>
      <c r="H206" t="s">
        <v>102</v>
      </c>
      <c r="I206">
        <v>1398</v>
      </c>
      <c r="J206" s="74">
        <v>45677</v>
      </c>
      <c r="K206" s="74">
        <v>45677</v>
      </c>
      <c r="L206" t="s">
        <v>190</v>
      </c>
      <c r="M206" s="74">
        <v>45618</v>
      </c>
      <c r="N206" t="s">
        <v>155</v>
      </c>
      <c r="O206" t="s">
        <v>152</v>
      </c>
      <c r="P206">
        <v>0.61</v>
      </c>
      <c r="Q206">
        <v>1.37</v>
      </c>
      <c r="R206">
        <v>852.78</v>
      </c>
      <c r="S206">
        <v>1915.26</v>
      </c>
      <c r="T206" t="s">
        <v>66</v>
      </c>
      <c r="AA206">
        <f t="shared" si="3"/>
        <v>392697.8</v>
      </c>
      <c r="AB206">
        <f>COUNTIF($D$1:D206,D206)</f>
        <v>134</v>
      </c>
    </row>
    <row r="207" spans="1:28" x14ac:dyDescent="0.25">
      <c r="A207">
        <v>206</v>
      </c>
      <c r="B207">
        <v>183912</v>
      </c>
      <c r="C207">
        <v>24001880</v>
      </c>
      <c r="D207" t="s">
        <v>14</v>
      </c>
      <c r="E207" t="s">
        <v>106</v>
      </c>
      <c r="F207">
        <v>5159772</v>
      </c>
      <c r="G207">
        <v>795</v>
      </c>
      <c r="H207" t="s">
        <v>102</v>
      </c>
      <c r="I207">
        <v>1405</v>
      </c>
      <c r="J207" s="74">
        <v>45677</v>
      </c>
      <c r="K207" s="74">
        <v>45677</v>
      </c>
      <c r="L207" t="s">
        <v>190</v>
      </c>
      <c r="M207" s="74">
        <v>45625</v>
      </c>
      <c r="N207" t="s">
        <v>155</v>
      </c>
      <c r="O207" t="s">
        <v>152</v>
      </c>
      <c r="P207">
        <v>0.61</v>
      </c>
      <c r="Q207">
        <v>1.37</v>
      </c>
      <c r="R207">
        <v>857.05</v>
      </c>
      <c r="S207">
        <v>1924.85</v>
      </c>
      <c r="T207" t="s">
        <v>66</v>
      </c>
      <c r="AA207">
        <f t="shared" si="3"/>
        <v>392697.8</v>
      </c>
      <c r="AB207">
        <f>COUNTIF($D$1:D207,D207)</f>
        <v>135</v>
      </c>
    </row>
    <row r="208" spans="1:28" x14ac:dyDescent="0.25">
      <c r="A208">
        <v>207</v>
      </c>
      <c r="B208">
        <v>183913</v>
      </c>
      <c r="C208">
        <v>24001881</v>
      </c>
      <c r="D208" t="s">
        <v>14</v>
      </c>
      <c r="E208" t="s">
        <v>106</v>
      </c>
      <c r="F208">
        <v>5159771</v>
      </c>
      <c r="G208">
        <v>795</v>
      </c>
      <c r="H208" t="s">
        <v>102</v>
      </c>
      <c r="I208">
        <v>501</v>
      </c>
      <c r="J208" s="74">
        <v>45677</v>
      </c>
      <c r="K208" s="74">
        <v>45677</v>
      </c>
      <c r="L208" t="s">
        <v>190</v>
      </c>
      <c r="M208" s="74">
        <v>45632</v>
      </c>
      <c r="N208" t="s">
        <v>155</v>
      </c>
      <c r="O208" t="s">
        <v>153</v>
      </c>
      <c r="P208">
        <v>0.61</v>
      </c>
      <c r="Q208">
        <v>1.37</v>
      </c>
      <c r="R208">
        <v>305.61</v>
      </c>
      <c r="S208">
        <v>686.37</v>
      </c>
      <c r="T208" t="s">
        <v>66</v>
      </c>
      <c r="AA208">
        <f t="shared" si="3"/>
        <v>392697.8</v>
      </c>
      <c r="AB208">
        <f>COUNTIF($D$1:D208,D208)</f>
        <v>136</v>
      </c>
    </row>
    <row r="209" spans="1:28" x14ac:dyDescent="0.25">
      <c r="A209">
        <v>208</v>
      </c>
      <c r="B209">
        <v>183943</v>
      </c>
      <c r="C209">
        <v>24001911</v>
      </c>
      <c r="D209" t="s">
        <v>14</v>
      </c>
      <c r="E209" t="s">
        <v>106</v>
      </c>
      <c r="F209">
        <v>5157985</v>
      </c>
      <c r="G209">
        <v>797</v>
      </c>
      <c r="H209" t="s">
        <v>102</v>
      </c>
      <c r="I209">
        <v>412</v>
      </c>
      <c r="J209" s="74">
        <v>45677</v>
      </c>
      <c r="K209" s="74">
        <v>45677</v>
      </c>
      <c r="L209" t="s">
        <v>190</v>
      </c>
      <c r="M209" s="74">
        <v>45646</v>
      </c>
      <c r="N209" t="s">
        <v>155</v>
      </c>
      <c r="O209" t="s">
        <v>153</v>
      </c>
      <c r="P209">
        <v>0.93</v>
      </c>
      <c r="Q209">
        <v>2.2400000000000002</v>
      </c>
      <c r="R209">
        <v>383.16</v>
      </c>
      <c r="S209">
        <v>922.88</v>
      </c>
      <c r="T209" t="s">
        <v>66</v>
      </c>
      <c r="AA209">
        <f t="shared" si="3"/>
        <v>392697.8</v>
      </c>
      <c r="AB209">
        <f>COUNTIF($D$1:D209,D209)</f>
        <v>137</v>
      </c>
    </row>
    <row r="210" spans="1:28" x14ac:dyDescent="0.25">
      <c r="A210">
        <v>209</v>
      </c>
      <c r="B210">
        <v>184282</v>
      </c>
      <c r="C210">
        <v>24001956</v>
      </c>
      <c r="D210" t="s">
        <v>14</v>
      </c>
      <c r="E210" t="s">
        <v>106</v>
      </c>
      <c r="F210">
        <v>5158596</v>
      </c>
      <c r="G210">
        <v>941</v>
      </c>
      <c r="H210" t="s">
        <v>102</v>
      </c>
      <c r="I210">
        <v>31</v>
      </c>
      <c r="J210" s="74">
        <v>45659</v>
      </c>
      <c r="K210" s="74">
        <v>45659</v>
      </c>
      <c r="L210" t="s">
        <v>190</v>
      </c>
      <c r="M210" s="74">
        <v>45653</v>
      </c>
      <c r="N210" t="s">
        <v>155</v>
      </c>
      <c r="O210" t="s">
        <v>153</v>
      </c>
      <c r="P210">
        <v>0.8</v>
      </c>
      <c r="Q210">
        <v>1.88</v>
      </c>
      <c r="R210">
        <v>24.8</v>
      </c>
      <c r="S210">
        <v>58.28</v>
      </c>
      <c r="T210" t="s">
        <v>66</v>
      </c>
      <c r="AA210">
        <f t="shared" si="3"/>
        <v>392697.8</v>
      </c>
      <c r="AB210">
        <f>COUNTIF($D$1:D210,D210)</f>
        <v>138</v>
      </c>
    </row>
    <row r="211" spans="1:28" x14ac:dyDescent="0.25">
      <c r="A211">
        <v>210</v>
      </c>
      <c r="B211">
        <v>184284</v>
      </c>
      <c r="C211">
        <v>24001958</v>
      </c>
      <c r="D211" t="s">
        <v>14</v>
      </c>
      <c r="E211" t="s">
        <v>106</v>
      </c>
      <c r="F211">
        <v>5158583</v>
      </c>
      <c r="G211">
        <v>941</v>
      </c>
      <c r="H211" t="s">
        <v>102</v>
      </c>
      <c r="I211">
        <v>507</v>
      </c>
      <c r="J211" s="74">
        <v>45673</v>
      </c>
      <c r="K211" s="74">
        <v>45673</v>
      </c>
      <c r="L211" t="s">
        <v>190</v>
      </c>
      <c r="M211" s="74">
        <v>45653</v>
      </c>
      <c r="N211" t="s">
        <v>155</v>
      </c>
      <c r="O211" t="s">
        <v>153</v>
      </c>
      <c r="P211">
        <v>0.8</v>
      </c>
      <c r="Q211">
        <v>1.88</v>
      </c>
      <c r="R211">
        <v>405.6</v>
      </c>
      <c r="S211">
        <v>953.16</v>
      </c>
      <c r="T211" t="s">
        <v>66</v>
      </c>
      <c r="AA211">
        <f t="shared" si="3"/>
        <v>392697.8</v>
      </c>
      <c r="AB211">
        <f>COUNTIF($D$1:D211,D211)</f>
        <v>139</v>
      </c>
    </row>
    <row r="212" spans="1:28" x14ac:dyDescent="0.25">
      <c r="A212">
        <v>211</v>
      </c>
      <c r="B212">
        <v>184262</v>
      </c>
      <c r="C212">
        <v>24001936</v>
      </c>
      <c r="D212" t="s">
        <v>14</v>
      </c>
      <c r="E212" t="s">
        <v>106</v>
      </c>
      <c r="F212">
        <v>5159772</v>
      </c>
      <c r="G212">
        <v>940</v>
      </c>
      <c r="H212" t="s">
        <v>102</v>
      </c>
      <c r="I212">
        <v>1870</v>
      </c>
      <c r="J212" s="74">
        <v>45674</v>
      </c>
      <c r="K212" s="74">
        <v>45677</v>
      </c>
      <c r="L212" t="s">
        <v>190</v>
      </c>
      <c r="M212" s="74">
        <v>45653</v>
      </c>
      <c r="N212" t="s">
        <v>155</v>
      </c>
      <c r="O212" t="s">
        <v>153</v>
      </c>
      <c r="P212">
        <v>0.61</v>
      </c>
      <c r="Q212">
        <v>1.37</v>
      </c>
      <c r="R212">
        <v>1140.7</v>
      </c>
      <c r="S212">
        <v>2561.9</v>
      </c>
      <c r="T212" t="s">
        <v>66</v>
      </c>
      <c r="AA212">
        <f t="shared" si="3"/>
        <v>392697.8</v>
      </c>
      <c r="AB212">
        <f>COUNTIF($D$1:D212,D212)</f>
        <v>140</v>
      </c>
    </row>
    <row r="213" spans="1:28" x14ac:dyDescent="0.25">
      <c r="A213">
        <v>212</v>
      </c>
      <c r="B213">
        <v>184290</v>
      </c>
      <c r="C213">
        <v>24001964</v>
      </c>
      <c r="D213" t="s">
        <v>14</v>
      </c>
      <c r="E213" t="s">
        <v>106</v>
      </c>
      <c r="F213">
        <v>5157976</v>
      </c>
      <c r="G213">
        <v>941</v>
      </c>
      <c r="H213" t="s">
        <v>102</v>
      </c>
      <c r="I213">
        <v>2180</v>
      </c>
      <c r="J213" s="74">
        <v>45659</v>
      </c>
      <c r="K213" s="74">
        <v>45667</v>
      </c>
      <c r="L213" t="s">
        <v>190</v>
      </c>
      <c r="M213" s="74">
        <v>45667</v>
      </c>
      <c r="N213" t="s">
        <v>151</v>
      </c>
      <c r="O213" t="s">
        <v>190</v>
      </c>
      <c r="P213">
        <v>0.83</v>
      </c>
      <c r="Q213">
        <v>2.11</v>
      </c>
      <c r="R213">
        <v>1809.4</v>
      </c>
      <c r="S213">
        <v>4599.8</v>
      </c>
      <c r="T213" t="s">
        <v>66</v>
      </c>
      <c r="AA213">
        <f t="shared" si="3"/>
        <v>392697.8</v>
      </c>
      <c r="AB213">
        <f>COUNTIF($D$1:D213,D213)</f>
        <v>141</v>
      </c>
    </row>
    <row r="214" spans="1:28" x14ac:dyDescent="0.25">
      <c r="A214">
        <v>213</v>
      </c>
      <c r="B214">
        <v>184291</v>
      </c>
      <c r="C214">
        <v>24001997</v>
      </c>
      <c r="D214" t="s">
        <v>14</v>
      </c>
      <c r="E214" t="s">
        <v>106</v>
      </c>
      <c r="F214" t="s">
        <v>205</v>
      </c>
      <c r="G214">
        <v>941</v>
      </c>
      <c r="H214" t="s">
        <v>102</v>
      </c>
      <c r="I214">
        <v>163</v>
      </c>
      <c r="J214" s="74">
        <v>45663</v>
      </c>
      <c r="K214" s="74">
        <v>45667</v>
      </c>
      <c r="L214" t="s">
        <v>190</v>
      </c>
      <c r="M214" s="74">
        <v>45667</v>
      </c>
      <c r="N214" t="s">
        <v>151</v>
      </c>
      <c r="O214" t="s">
        <v>190</v>
      </c>
      <c r="P214">
        <v>0.78</v>
      </c>
      <c r="Q214">
        <v>2.2799999999999998</v>
      </c>
      <c r="R214">
        <v>127.14</v>
      </c>
      <c r="S214">
        <v>371.64</v>
      </c>
      <c r="T214" t="s">
        <v>66</v>
      </c>
      <c r="AA214">
        <f t="shared" si="3"/>
        <v>392697.8</v>
      </c>
      <c r="AB214">
        <f>COUNTIF($D$1:D214,D214)</f>
        <v>142</v>
      </c>
    </row>
    <row r="215" spans="1:28" x14ac:dyDescent="0.25">
      <c r="A215">
        <v>214</v>
      </c>
      <c r="B215">
        <v>184300</v>
      </c>
      <c r="C215">
        <v>24001974</v>
      </c>
      <c r="D215" t="s">
        <v>14</v>
      </c>
      <c r="E215" t="s">
        <v>106</v>
      </c>
      <c r="F215">
        <v>5159303</v>
      </c>
      <c r="G215">
        <v>941</v>
      </c>
      <c r="H215" t="s">
        <v>102</v>
      </c>
      <c r="I215">
        <v>1096</v>
      </c>
      <c r="J215" s="74">
        <v>45659</v>
      </c>
      <c r="K215" s="74">
        <v>45677</v>
      </c>
      <c r="L215" t="s">
        <v>190</v>
      </c>
      <c r="M215" s="74">
        <v>45667</v>
      </c>
      <c r="N215" t="s">
        <v>155</v>
      </c>
      <c r="O215" t="s">
        <v>190</v>
      </c>
      <c r="P215">
        <v>0.83</v>
      </c>
      <c r="Q215">
        <v>2.17</v>
      </c>
      <c r="R215">
        <v>909.68</v>
      </c>
      <c r="S215">
        <v>2378.3200000000002</v>
      </c>
      <c r="T215" t="s">
        <v>66</v>
      </c>
      <c r="AA215">
        <f t="shared" si="3"/>
        <v>392697.8</v>
      </c>
      <c r="AB215">
        <f>COUNTIF($D$1:D215,D215)</f>
        <v>143</v>
      </c>
    </row>
    <row r="216" spans="1:28" x14ac:dyDescent="0.25">
      <c r="A216">
        <v>215</v>
      </c>
      <c r="B216">
        <v>184303</v>
      </c>
      <c r="C216">
        <v>24001977</v>
      </c>
      <c r="D216" t="s">
        <v>14</v>
      </c>
      <c r="E216" t="s">
        <v>106</v>
      </c>
      <c r="F216">
        <v>5157983</v>
      </c>
      <c r="G216">
        <v>941</v>
      </c>
      <c r="H216" t="s">
        <v>102</v>
      </c>
      <c r="I216">
        <v>354</v>
      </c>
      <c r="J216" s="74">
        <v>45659</v>
      </c>
      <c r="K216" s="74">
        <v>45677</v>
      </c>
      <c r="L216" t="s">
        <v>190</v>
      </c>
      <c r="M216" s="74">
        <v>45667</v>
      </c>
      <c r="N216" t="s">
        <v>155</v>
      </c>
      <c r="O216" t="s">
        <v>190</v>
      </c>
      <c r="P216">
        <v>0.79</v>
      </c>
      <c r="Q216">
        <v>2.0099999999999998</v>
      </c>
      <c r="R216">
        <v>279.66000000000003</v>
      </c>
      <c r="S216">
        <v>711.54</v>
      </c>
      <c r="T216" t="s">
        <v>66</v>
      </c>
      <c r="AA216">
        <f t="shared" si="3"/>
        <v>392697.8</v>
      </c>
      <c r="AB216">
        <f>COUNTIF($D$1:D216,D216)</f>
        <v>144</v>
      </c>
    </row>
    <row r="217" spans="1:28" x14ac:dyDescent="0.25">
      <c r="A217">
        <v>216</v>
      </c>
      <c r="B217">
        <v>184305</v>
      </c>
      <c r="C217">
        <v>24001979</v>
      </c>
      <c r="D217" t="s">
        <v>14</v>
      </c>
      <c r="E217" t="s">
        <v>106</v>
      </c>
      <c r="F217">
        <v>5159304</v>
      </c>
      <c r="G217">
        <v>941</v>
      </c>
      <c r="H217" t="s">
        <v>102</v>
      </c>
      <c r="I217">
        <v>100</v>
      </c>
      <c r="J217" s="74">
        <v>45666</v>
      </c>
      <c r="K217" s="74">
        <v>45677</v>
      </c>
      <c r="L217" t="s">
        <v>190</v>
      </c>
      <c r="M217" s="74">
        <v>45667</v>
      </c>
      <c r="N217" t="s">
        <v>155</v>
      </c>
      <c r="O217" t="s">
        <v>190</v>
      </c>
      <c r="P217">
        <v>0.8</v>
      </c>
      <c r="Q217">
        <v>2.08</v>
      </c>
      <c r="R217">
        <v>80</v>
      </c>
      <c r="S217">
        <v>208</v>
      </c>
      <c r="T217" t="s">
        <v>66</v>
      </c>
      <c r="AA217">
        <f t="shared" si="3"/>
        <v>392697.8</v>
      </c>
      <c r="AB217">
        <f>COUNTIF($D$1:D217,D217)</f>
        <v>145</v>
      </c>
    </row>
    <row r="218" spans="1:28" x14ac:dyDescent="0.25">
      <c r="A218">
        <v>217</v>
      </c>
      <c r="B218">
        <v>184306</v>
      </c>
      <c r="C218">
        <v>24001980</v>
      </c>
      <c r="D218" t="s">
        <v>14</v>
      </c>
      <c r="E218" t="s">
        <v>106</v>
      </c>
      <c r="F218" t="s">
        <v>174</v>
      </c>
      <c r="G218">
        <v>941</v>
      </c>
      <c r="H218" t="s">
        <v>102</v>
      </c>
      <c r="I218">
        <v>76</v>
      </c>
      <c r="J218" s="74">
        <v>45666</v>
      </c>
      <c r="K218" s="74">
        <v>45677</v>
      </c>
      <c r="L218" t="s">
        <v>190</v>
      </c>
      <c r="M218" s="74">
        <v>45667</v>
      </c>
      <c r="N218" t="s">
        <v>155</v>
      </c>
      <c r="O218" t="s">
        <v>190</v>
      </c>
      <c r="P218">
        <v>0.78</v>
      </c>
      <c r="Q218">
        <v>2.2400000000000002</v>
      </c>
      <c r="R218">
        <v>59.28</v>
      </c>
      <c r="S218">
        <v>170.24</v>
      </c>
      <c r="T218" t="s">
        <v>66</v>
      </c>
      <c r="AA218">
        <f t="shared" si="3"/>
        <v>392697.8</v>
      </c>
      <c r="AB218">
        <f>COUNTIF($D$1:D218,D218)</f>
        <v>146</v>
      </c>
    </row>
    <row r="219" spans="1:28" x14ac:dyDescent="0.25">
      <c r="A219">
        <v>218</v>
      </c>
      <c r="B219">
        <v>184310</v>
      </c>
      <c r="C219">
        <v>24001984</v>
      </c>
      <c r="D219" t="s">
        <v>14</v>
      </c>
      <c r="E219" t="s">
        <v>106</v>
      </c>
      <c r="F219">
        <v>5157985</v>
      </c>
      <c r="G219">
        <v>941</v>
      </c>
      <c r="H219" t="s">
        <v>102</v>
      </c>
      <c r="I219">
        <v>53</v>
      </c>
      <c r="J219" s="74">
        <v>45659</v>
      </c>
      <c r="K219" s="74">
        <v>45667</v>
      </c>
      <c r="L219" t="s">
        <v>190</v>
      </c>
      <c r="M219" s="74">
        <v>45667</v>
      </c>
      <c r="N219" t="s">
        <v>151</v>
      </c>
      <c r="O219" t="s">
        <v>190</v>
      </c>
      <c r="P219">
        <v>0.93</v>
      </c>
      <c r="Q219">
        <v>2.2400000000000002</v>
      </c>
      <c r="R219">
        <v>49.29</v>
      </c>
      <c r="S219">
        <v>118.72</v>
      </c>
      <c r="T219" t="s">
        <v>66</v>
      </c>
      <c r="AA219">
        <f t="shared" si="3"/>
        <v>392697.8</v>
      </c>
      <c r="AB219">
        <f>COUNTIF($D$1:D219,D219)</f>
        <v>147</v>
      </c>
    </row>
    <row r="220" spans="1:28" x14ac:dyDescent="0.25">
      <c r="A220">
        <v>219</v>
      </c>
      <c r="B220">
        <v>184489</v>
      </c>
      <c r="C220">
        <v>24002000</v>
      </c>
      <c r="D220" t="s">
        <v>14</v>
      </c>
      <c r="E220" t="s">
        <v>106</v>
      </c>
      <c r="F220">
        <v>5159767</v>
      </c>
      <c r="G220">
        <v>993</v>
      </c>
      <c r="H220" t="s">
        <v>102</v>
      </c>
      <c r="I220">
        <v>3701</v>
      </c>
      <c r="J220" s="74">
        <v>45665</v>
      </c>
      <c r="K220" s="74">
        <v>45671</v>
      </c>
      <c r="L220" t="s">
        <v>190</v>
      </c>
      <c r="M220" s="74">
        <v>45674</v>
      </c>
      <c r="N220" t="s">
        <v>151</v>
      </c>
      <c r="O220" t="s">
        <v>190</v>
      </c>
      <c r="P220">
        <v>0.61</v>
      </c>
      <c r="Q220">
        <v>4.21</v>
      </c>
      <c r="R220">
        <v>2257.61</v>
      </c>
      <c r="S220">
        <v>15581.21</v>
      </c>
      <c r="T220" t="s">
        <v>66</v>
      </c>
      <c r="AA220">
        <f t="shared" si="3"/>
        <v>392697.8</v>
      </c>
      <c r="AB220">
        <f>COUNTIF($D$1:D220,D220)</f>
        <v>148</v>
      </c>
    </row>
    <row r="221" spans="1:28" x14ac:dyDescent="0.25">
      <c r="A221">
        <v>220</v>
      </c>
      <c r="B221">
        <v>184514</v>
      </c>
      <c r="C221">
        <v>24002026</v>
      </c>
      <c r="D221" t="s">
        <v>14</v>
      </c>
      <c r="E221" t="s">
        <v>106</v>
      </c>
      <c r="F221">
        <v>5158583</v>
      </c>
      <c r="G221">
        <v>995</v>
      </c>
      <c r="H221" t="s">
        <v>102</v>
      </c>
      <c r="I221">
        <v>6048</v>
      </c>
      <c r="J221" s="74">
        <v>45660</v>
      </c>
      <c r="K221" s="74">
        <v>45677</v>
      </c>
      <c r="L221" t="s">
        <v>190</v>
      </c>
      <c r="M221" s="74">
        <v>45674</v>
      </c>
      <c r="N221" t="s">
        <v>155</v>
      </c>
      <c r="O221" t="s">
        <v>190</v>
      </c>
      <c r="P221">
        <v>0.8</v>
      </c>
      <c r="Q221">
        <v>5.63</v>
      </c>
      <c r="R221">
        <v>4838.3999999999996</v>
      </c>
      <c r="S221">
        <v>34050.239999999998</v>
      </c>
      <c r="T221" t="s">
        <v>66</v>
      </c>
      <c r="AA221">
        <f t="shared" si="3"/>
        <v>392697.8</v>
      </c>
      <c r="AB221">
        <f>COUNTIF($D$1:D221,D221)</f>
        <v>149</v>
      </c>
    </row>
    <row r="222" spans="1:28" x14ac:dyDescent="0.25">
      <c r="A222">
        <v>221</v>
      </c>
      <c r="B222">
        <v>184515</v>
      </c>
      <c r="C222">
        <v>24002027</v>
      </c>
      <c r="D222" t="s">
        <v>14</v>
      </c>
      <c r="E222" t="s">
        <v>106</v>
      </c>
      <c r="F222" t="s">
        <v>177</v>
      </c>
      <c r="G222">
        <v>995</v>
      </c>
      <c r="H222" t="s">
        <v>102</v>
      </c>
      <c r="I222">
        <v>297</v>
      </c>
      <c r="J222" s="74">
        <v>45660</v>
      </c>
      <c r="K222" s="74">
        <v>45677</v>
      </c>
      <c r="L222" t="s">
        <v>190</v>
      </c>
      <c r="M222" s="74">
        <v>45674</v>
      </c>
      <c r="N222" t="s">
        <v>155</v>
      </c>
      <c r="O222" t="s">
        <v>190</v>
      </c>
      <c r="P222">
        <v>0.77</v>
      </c>
      <c r="Q222">
        <v>6.02</v>
      </c>
      <c r="R222">
        <v>228.69</v>
      </c>
      <c r="S222">
        <v>1787.94</v>
      </c>
      <c r="T222" t="s">
        <v>66</v>
      </c>
      <c r="AA222">
        <f t="shared" si="3"/>
        <v>392697.8</v>
      </c>
      <c r="AB222">
        <f>COUNTIF($D$1:D222,D222)</f>
        <v>150</v>
      </c>
    </row>
    <row r="223" spans="1:28" x14ac:dyDescent="0.25">
      <c r="A223">
        <v>222</v>
      </c>
      <c r="B223">
        <v>184525</v>
      </c>
      <c r="C223">
        <v>24002037</v>
      </c>
      <c r="D223" t="s">
        <v>14</v>
      </c>
      <c r="E223" t="s">
        <v>106</v>
      </c>
      <c r="F223">
        <v>5157992</v>
      </c>
      <c r="G223">
        <v>996</v>
      </c>
      <c r="H223" t="s">
        <v>102</v>
      </c>
      <c r="I223">
        <v>1242</v>
      </c>
      <c r="J223" s="74">
        <v>45672</v>
      </c>
      <c r="K223" s="74">
        <v>45677</v>
      </c>
      <c r="L223" t="s">
        <v>190</v>
      </c>
      <c r="M223" s="74">
        <v>45688</v>
      </c>
      <c r="N223" t="s">
        <v>151</v>
      </c>
      <c r="O223" t="s">
        <v>190</v>
      </c>
      <c r="P223">
        <v>0.79</v>
      </c>
      <c r="Q223">
        <v>6.04</v>
      </c>
      <c r="R223">
        <v>981.18</v>
      </c>
      <c r="S223">
        <v>7501.68</v>
      </c>
      <c r="T223" t="s">
        <v>66</v>
      </c>
      <c r="AA223">
        <f t="shared" si="3"/>
        <v>392697.8</v>
      </c>
      <c r="AB223">
        <f>COUNTIF($D$1:D223,D223)</f>
        <v>151</v>
      </c>
    </row>
    <row r="224" spans="1:28" x14ac:dyDescent="0.25">
      <c r="A224">
        <v>223</v>
      </c>
      <c r="B224">
        <v>184526</v>
      </c>
      <c r="C224">
        <v>24002038</v>
      </c>
      <c r="D224" t="s">
        <v>14</v>
      </c>
      <c r="E224" t="s">
        <v>106</v>
      </c>
      <c r="F224" t="s">
        <v>173</v>
      </c>
      <c r="G224">
        <v>996</v>
      </c>
      <c r="H224" t="s">
        <v>102</v>
      </c>
      <c r="I224">
        <v>178</v>
      </c>
      <c r="J224" s="74">
        <v>45672</v>
      </c>
      <c r="K224" s="74">
        <v>45677</v>
      </c>
      <c r="L224" t="s">
        <v>190</v>
      </c>
      <c r="M224" s="74">
        <v>45688</v>
      </c>
      <c r="N224" t="s">
        <v>151</v>
      </c>
      <c r="O224" t="s">
        <v>190</v>
      </c>
      <c r="P224">
        <v>0.77</v>
      </c>
      <c r="Q224">
        <v>6.49</v>
      </c>
      <c r="R224">
        <v>137.06</v>
      </c>
      <c r="S224">
        <v>1155.22</v>
      </c>
      <c r="T224" t="s">
        <v>66</v>
      </c>
      <c r="AA224">
        <f t="shared" si="3"/>
        <v>392697.8</v>
      </c>
      <c r="AB224">
        <f>COUNTIF($D$1:D224,D224)</f>
        <v>152</v>
      </c>
    </row>
    <row r="225" spans="1:28" x14ac:dyDescent="0.25">
      <c r="A225">
        <v>224</v>
      </c>
      <c r="B225">
        <v>184528</v>
      </c>
      <c r="C225">
        <v>24002040</v>
      </c>
      <c r="D225" t="s">
        <v>14</v>
      </c>
      <c r="E225" t="s">
        <v>106</v>
      </c>
      <c r="F225" t="s">
        <v>210</v>
      </c>
      <c r="G225">
        <v>996</v>
      </c>
      <c r="H225" t="s">
        <v>102</v>
      </c>
      <c r="I225">
        <v>135</v>
      </c>
      <c r="J225" s="74">
        <v>45677</v>
      </c>
      <c r="K225" s="74">
        <v>45677</v>
      </c>
      <c r="L225" t="s">
        <v>190</v>
      </c>
      <c r="M225" s="74">
        <v>45688</v>
      </c>
      <c r="N225" t="s">
        <v>151</v>
      </c>
      <c r="O225" t="s">
        <v>190</v>
      </c>
      <c r="P225">
        <v>1</v>
      </c>
      <c r="Q225">
        <v>7.3</v>
      </c>
      <c r="R225">
        <v>135</v>
      </c>
      <c r="S225">
        <v>985.5</v>
      </c>
      <c r="T225" t="s">
        <v>66</v>
      </c>
      <c r="AA225">
        <f t="shared" si="3"/>
        <v>392697.8</v>
      </c>
      <c r="AB225">
        <f>COUNTIF($D$1:D225,D225)</f>
        <v>153</v>
      </c>
    </row>
    <row r="226" spans="1:28" x14ac:dyDescent="0.25">
      <c r="A226">
        <v>225</v>
      </c>
      <c r="B226">
        <v>184538</v>
      </c>
      <c r="C226">
        <v>24002050</v>
      </c>
      <c r="D226" t="s">
        <v>14</v>
      </c>
      <c r="E226" t="s">
        <v>106</v>
      </c>
      <c r="F226">
        <v>5157997</v>
      </c>
      <c r="G226">
        <v>996</v>
      </c>
      <c r="H226" t="s">
        <v>102</v>
      </c>
      <c r="I226">
        <v>1350</v>
      </c>
      <c r="J226" s="74">
        <v>45677</v>
      </c>
      <c r="K226" s="74">
        <v>45677</v>
      </c>
      <c r="L226" t="s">
        <v>190</v>
      </c>
      <c r="M226" s="74">
        <v>45688</v>
      </c>
      <c r="N226" t="s">
        <v>151</v>
      </c>
      <c r="O226" t="s">
        <v>190</v>
      </c>
      <c r="P226">
        <v>0.75</v>
      </c>
      <c r="Q226">
        <v>5.78</v>
      </c>
      <c r="R226">
        <v>1012.5</v>
      </c>
      <c r="S226">
        <v>7803</v>
      </c>
      <c r="T226" t="s">
        <v>66</v>
      </c>
      <c r="AA226">
        <f t="shared" si="3"/>
        <v>392697.8</v>
      </c>
      <c r="AB226">
        <f>COUNTIF($D$1:D226,D226)</f>
        <v>154</v>
      </c>
    </row>
    <row r="227" spans="1:28" x14ac:dyDescent="0.25">
      <c r="A227">
        <v>226</v>
      </c>
      <c r="B227">
        <v>184539</v>
      </c>
      <c r="C227">
        <v>24002051</v>
      </c>
      <c r="D227" t="s">
        <v>14</v>
      </c>
      <c r="E227" t="s">
        <v>106</v>
      </c>
      <c r="F227">
        <v>5157978</v>
      </c>
      <c r="G227">
        <v>996</v>
      </c>
      <c r="H227" t="s">
        <v>102</v>
      </c>
      <c r="I227">
        <v>918</v>
      </c>
      <c r="J227" s="74">
        <v>45677</v>
      </c>
      <c r="K227" s="74">
        <v>45677</v>
      </c>
      <c r="L227" t="s">
        <v>190</v>
      </c>
      <c r="M227" s="74">
        <v>45688</v>
      </c>
      <c r="N227" t="s">
        <v>151</v>
      </c>
      <c r="O227" t="s">
        <v>190</v>
      </c>
      <c r="P227">
        <v>0.75</v>
      </c>
      <c r="Q227">
        <v>5.78</v>
      </c>
      <c r="R227">
        <v>688.5</v>
      </c>
      <c r="S227">
        <v>5306.04</v>
      </c>
      <c r="T227" t="s">
        <v>66</v>
      </c>
      <c r="AA227">
        <f t="shared" si="3"/>
        <v>392697.8</v>
      </c>
      <c r="AB227">
        <f>COUNTIF($D$1:D227,D227)</f>
        <v>155</v>
      </c>
    </row>
    <row r="228" spans="1:28" x14ac:dyDescent="0.25">
      <c r="A228">
        <v>227</v>
      </c>
      <c r="B228">
        <v>184494</v>
      </c>
      <c r="C228">
        <v>24002006</v>
      </c>
      <c r="D228" t="s">
        <v>14</v>
      </c>
      <c r="E228" t="s">
        <v>106</v>
      </c>
      <c r="F228">
        <v>5159305</v>
      </c>
      <c r="G228">
        <v>994</v>
      </c>
      <c r="H228" t="s">
        <v>102</v>
      </c>
      <c r="I228">
        <v>6237</v>
      </c>
      <c r="J228" s="74">
        <v>45677</v>
      </c>
      <c r="K228" s="74">
        <v>45679</v>
      </c>
      <c r="L228" t="s">
        <v>190</v>
      </c>
      <c r="M228" s="74">
        <v>45695</v>
      </c>
      <c r="N228" t="s">
        <v>151</v>
      </c>
      <c r="O228" t="s">
        <v>224</v>
      </c>
      <c r="P228">
        <v>0.83</v>
      </c>
      <c r="Q228">
        <v>6.5</v>
      </c>
      <c r="R228">
        <v>5176.71</v>
      </c>
      <c r="S228">
        <v>40540.5</v>
      </c>
      <c r="T228" t="s">
        <v>66</v>
      </c>
      <c r="AA228">
        <f t="shared" si="3"/>
        <v>392697.8</v>
      </c>
      <c r="AB228">
        <f>COUNTIF($D$1:D228,D228)</f>
        <v>156</v>
      </c>
    </row>
    <row r="229" spans="1:28" x14ac:dyDescent="0.25">
      <c r="A229">
        <v>228</v>
      </c>
      <c r="B229">
        <v>184495</v>
      </c>
      <c r="C229">
        <v>24002007</v>
      </c>
      <c r="D229" t="s">
        <v>14</v>
      </c>
      <c r="E229" t="s">
        <v>106</v>
      </c>
      <c r="F229">
        <v>5159307</v>
      </c>
      <c r="G229">
        <v>994</v>
      </c>
      <c r="H229" t="s">
        <v>102</v>
      </c>
      <c r="I229">
        <v>5805</v>
      </c>
      <c r="J229" s="74">
        <v>45679</v>
      </c>
      <c r="K229" s="74">
        <v>45681</v>
      </c>
      <c r="L229" t="s">
        <v>190</v>
      </c>
      <c r="M229" s="74">
        <v>45695</v>
      </c>
      <c r="N229" t="s">
        <v>151</v>
      </c>
      <c r="O229" t="s">
        <v>224</v>
      </c>
      <c r="P229">
        <v>0.83</v>
      </c>
      <c r="Q229">
        <v>6.5</v>
      </c>
      <c r="R229">
        <v>4818.1499999999996</v>
      </c>
      <c r="S229">
        <v>37732.5</v>
      </c>
      <c r="T229" t="s">
        <v>66</v>
      </c>
      <c r="AA229">
        <f t="shared" si="3"/>
        <v>392697.8</v>
      </c>
      <c r="AB229">
        <f>COUNTIF($D$1:D229,D229)</f>
        <v>157</v>
      </c>
    </row>
    <row r="230" spans="1:28" x14ac:dyDescent="0.25">
      <c r="A230">
        <v>229</v>
      </c>
      <c r="B230">
        <v>184496</v>
      </c>
      <c r="C230">
        <v>24002008</v>
      </c>
      <c r="D230" t="s">
        <v>14</v>
      </c>
      <c r="E230" t="s">
        <v>106</v>
      </c>
      <c r="F230">
        <v>5159301</v>
      </c>
      <c r="G230">
        <v>994</v>
      </c>
      <c r="H230" t="s">
        <v>102</v>
      </c>
      <c r="I230">
        <v>1500</v>
      </c>
      <c r="J230" s="74">
        <v>45681</v>
      </c>
      <c r="K230" s="74">
        <v>45685</v>
      </c>
      <c r="L230" t="s">
        <v>190</v>
      </c>
      <c r="M230" s="74">
        <v>45695</v>
      </c>
      <c r="N230" t="s">
        <v>151</v>
      </c>
      <c r="O230" t="s">
        <v>224</v>
      </c>
      <c r="P230">
        <v>0.83</v>
      </c>
      <c r="Q230">
        <v>6.5</v>
      </c>
      <c r="R230">
        <v>1245</v>
      </c>
      <c r="S230">
        <v>9750</v>
      </c>
      <c r="T230" t="s">
        <v>66</v>
      </c>
      <c r="AA230">
        <f t="shared" si="3"/>
        <v>392697.8</v>
      </c>
      <c r="AB230">
        <f>COUNTIF($D$1:D230,D230)</f>
        <v>158</v>
      </c>
    </row>
    <row r="231" spans="1:28" x14ac:dyDescent="0.25">
      <c r="A231">
        <v>230</v>
      </c>
      <c r="B231">
        <v>184524</v>
      </c>
      <c r="C231">
        <v>24002036</v>
      </c>
      <c r="D231" t="s">
        <v>14</v>
      </c>
      <c r="E231" t="s">
        <v>106</v>
      </c>
      <c r="F231">
        <v>5158594</v>
      </c>
      <c r="G231">
        <v>995</v>
      </c>
      <c r="H231" t="s">
        <v>102</v>
      </c>
      <c r="I231">
        <v>6713</v>
      </c>
      <c r="J231" s="74">
        <v>45666</v>
      </c>
      <c r="K231" s="74">
        <v>45677</v>
      </c>
      <c r="L231" t="s">
        <v>190</v>
      </c>
      <c r="M231" s="74">
        <v>45688</v>
      </c>
      <c r="N231" t="s">
        <v>151</v>
      </c>
      <c r="O231" t="s">
        <v>190</v>
      </c>
      <c r="P231">
        <v>0.7</v>
      </c>
      <c r="Q231">
        <v>4.92</v>
      </c>
      <c r="R231">
        <v>4699.1000000000004</v>
      </c>
      <c r="S231">
        <v>33027.96</v>
      </c>
      <c r="T231" t="s">
        <v>66</v>
      </c>
      <c r="AA231">
        <f t="shared" si="3"/>
        <v>392697.8</v>
      </c>
      <c r="AB231">
        <f>COUNTIF($D$1:D231,D231)</f>
        <v>159</v>
      </c>
    </row>
    <row r="232" spans="1:28" x14ac:dyDescent="0.25">
      <c r="A232">
        <v>231</v>
      </c>
      <c r="B232">
        <v>184292</v>
      </c>
      <c r="C232">
        <v>24001966</v>
      </c>
      <c r="D232" t="s">
        <v>14</v>
      </c>
      <c r="E232" t="s">
        <v>106</v>
      </c>
      <c r="F232">
        <v>5157997</v>
      </c>
      <c r="G232">
        <v>941</v>
      </c>
      <c r="H232" t="s">
        <v>102</v>
      </c>
      <c r="I232">
        <v>1177</v>
      </c>
      <c r="J232" s="74">
        <v>45667</v>
      </c>
      <c r="K232" s="74">
        <v>45673</v>
      </c>
      <c r="L232" t="s">
        <v>190</v>
      </c>
      <c r="M232" s="74">
        <v>45667</v>
      </c>
      <c r="N232" t="s">
        <v>155</v>
      </c>
      <c r="O232" t="s">
        <v>190</v>
      </c>
      <c r="P232">
        <v>0.75</v>
      </c>
      <c r="Q232">
        <v>1.93</v>
      </c>
      <c r="R232">
        <v>882.75</v>
      </c>
      <c r="S232">
        <v>2271.61</v>
      </c>
      <c r="T232" t="s">
        <v>66</v>
      </c>
      <c r="AA232">
        <f t="shared" si="3"/>
        <v>392697.8</v>
      </c>
      <c r="AB232">
        <f>COUNTIF($D$1:D232,D232)</f>
        <v>160</v>
      </c>
    </row>
    <row r="233" spans="1:28" x14ac:dyDescent="0.25">
      <c r="A233">
        <v>232</v>
      </c>
      <c r="B233">
        <v>184786</v>
      </c>
      <c r="C233">
        <v>24002165</v>
      </c>
      <c r="D233" t="s">
        <v>14</v>
      </c>
      <c r="E233" t="s">
        <v>106</v>
      </c>
      <c r="F233">
        <v>5160295</v>
      </c>
      <c r="G233">
        <v>1095</v>
      </c>
      <c r="H233" t="s">
        <v>102</v>
      </c>
      <c r="I233">
        <v>4329</v>
      </c>
      <c r="J233" s="74">
        <v>45685</v>
      </c>
      <c r="K233" s="74">
        <v>45688</v>
      </c>
      <c r="L233" t="s">
        <v>190</v>
      </c>
      <c r="M233" s="74">
        <v>45702</v>
      </c>
      <c r="N233" t="s">
        <v>151</v>
      </c>
      <c r="O233" t="s">
        <v>224</v>
      </c>
      <c r="P233">
        <v>0.76</v>
      </c>
      <c r="Q233">
        <v>1.43</v>
      </c>
      <c r="R233">
        <v>3290.04</v>
      </c>
      <c r="S233">
        <v>6190.47</v>
      </c>
      <c r="T233" t="s">
        <v>66</v>
      </c>
      <c r="AA233">
        <f t="shared" si="3"/>
        <v>392697.8</v>
      </c>
      <c r="AB233">
        <f>COUNTIF($D$1:D233,D233)</f>
        <v>161</v>
      </c>
    </row>
    <row r="234" spans="1:28" x14ac:dyDescent="0.25">
      <c r="A234">
        <v>233</v>
      </c>
      <c r="B234">
        <v>184831</v>
      </c>
      <c r="C234">
        <v>24002210</v>
      </c>
      <c r="D234" t="s">
        <v>14</v>
      </c>
      <c r="E234" t="s">
        <v>106</v>
      </c>
      <c r="F234">
        <v>5158608</v>
      </c>
      <c r="G234">
        <v>1100</v>
      </c>
      <c r="H234" t="s">
        <v>102</v>
      </c>
      <c r="I234">
        <v>1878</v>
      </c>
      <c r="J234" s="74">
        <v>45688</v>
      </c>
      <c r="K234" s="74">
        <v>45688</v>
      </c>
      <c r="L234" t="s">
        <v>190</v>
      </c>
      <c r="M234" s="74">
        <v>45702</v>
      </c>
      <c r="N234" t="s">
        <v>151</v>
      </c>
      <c r="O234" t="s">
        <v>224</v>
      </c>
      <c r="P234">
        <v>0.74</v>
      </c>
      <c r="Q234">
        <v>1.38</v>
      </c>
      <c r="R234">
        <v>1389.72</v>
      </c>
      <c r="S234">
        <v>2591.64</v>
      </c>
      <c r="T234" t="s">
        <v>66</v>
      </c>
      <c r="AA234">
        <f t="shared" si="3"/>
        <v>392697.8</v>
      </c>
      <c r="AB234">
        <f>COUNTIF($D$1:D234,D234)</f>
        <v>162</v>
      </c>
    </row>
    <row r="235" spans="1:28" x14ac:dyDescent="0.25">
      <c r="A235">
        <v>234</v>
      </c>
      <c r="B235">
        <v>182994</v>
      </c>
      <c r="C235">
        <v>24001464</v>
      </c>
      <c r="D235" t="s">
        <v>14</v>
      </c>
      <c r="E235" t="s">
        <v>106</v>
      </c>
      <c r="F235">
        <v>5158004</v>
      </c>
      <c r="G235">
        <v>248</v>
      </c>
      <c r="H235" t="s">
        <v>99</v>
      </c>
      <c r="I235">
        <v>913</v>
      </c>
      <c r="J235" s="74">
        <v>45679</v>
      </c>
      <c r="K235" s="74">
        <v>45679</v>
      </c>
      <c r="L235" t="s">
        <v>190</v>
      </c>
      <c r="M235" s="74">
        <v>45485</v>
      </c>
      <c r="N235" t="s">
        <v>155</v>
      </c>
      <c r="O235" t="s">
        <v>419</v>
      </c>
      <c r="P235">
        <v>0.79</v>
      </c>
      <c r="Q235">
        <v>2.0099999999999998</v>
      </c>
      <c r="R235">
        <v>721.27</v>
      </c>
      <c r="S235">
        <v>1835.13</v>
      </c>
      <c r="T235" t="s">
        <v>66</v>
      </c>
      <c r="AA235">
        <f t="shared" si="3"/>
        <v>392697.8</v>
      </c>
      <c r="AB235">
        <f>COUNTIF($D$1:D235,D235)</f>
        <v>163</v>
      </c>
    </row>
    <row r="236" spans="1:28" x14ac:dyDescent="0.25">
      <c r="A236">
        <v>235</v>
      </c>
      <c r="B236">
        <v>182765</v>
      </c>
      <c r="C236">
        <v>24001337</v>
      </c>
      <c r="D236" t="s">
        <v>14</v>
      </c>
      <c r="E236" t="s">
        <v>106</v>
      </c>
      <c r="F236">
        <v>5158041</v>
      </c>
      <c r="G236">
        <v>183</v>
      </c>
      <c r="H236" t="s">
        <v>99</v>
      </c>
      <c r="I236">
        <v>122</v>
      </c>
      <c r="J236" s="74">
        <v>45679</v>
      </c>
      <c r="K236" s="74">
        <v>45679</v>
      </c>
      <c r="L236" t="s">
        <v>190</v>
      </c>
      <c r="M236" s="74">
        <v>45485</v>
      </c>
      <c r="N236" t="s">
        <v>155</v>
      </c>
      <c r="O236" t="s">
        <v>419</v>
      </c>
      <c r="P236">
        <v>0.65</v>
      </c>
      <c r="Q236">
        <v>1.64</v>
      </c>
      <c r="R236">
        <v>79.3</v>
      </c>
      <c r="S236">
        <v>200.08</v>
      </c>
      <c r="T236" t="s">
        <v>66</v>
      </c>
      <c r="AA236">
        <f t="shared" si="3"/>
        <v>392697.8</v>
      </c>
      <c r="AB236">
        <f>COUNTIF($D$1:D236,D236)</f>
        <v>164</v>
      </c>
    </row>
    <row r="237" spans="1:28" x14ac:dyDescent="0.25">
      <c r="A237">
        <v>236</v>
      </c>
      <c r="B237">
        <v>183465</v>
      </c>
      <c r="C237">
        <v>24001629</v>
      </c>
      <c r="D237" t="s">
        <v>14</v>
      </c>
      <c r="E237" t="s">
        <v>106</v>
      </c>
      <c r="F237">
        <v>5157985</v>
      </c>
      <c r="G237">
        <v>383</v>
      </c>
      <c r="H237" t="s">
        <v>99</v>
      </c>
      <c r="I237">
        <v>153</v>
      </c>
      <c r="J237" s="74">
        <v>45678</v>
      </c>
      <c r="K237" s="74">
        <v>45678</v>
      </c>
      <c r="L237" t="s">
        <v>190</v>
      </c>
      <c r="M237" s="74">
        <v>45548</v>
      </c>
      <c r="N237" t="s">
        <v>155</v>
      </c>
      <c r="O237" t="s">
        <v>156</v>
      </c>
      <c r="P237">
        <v>0.93</v>
      </c>
      <c r="Q237">
        <v>2.2400000000000002</v>
      </c>
      <c r="R237">
        <v>142.29</v>
      </c>
      <c r="S237">
        <v>342.72</v>
      </c>
      <c r="T237" t="s">
        <v>66</v>
      </c>
      <c r="AA237">
        <f t="shared" si="3"/>
        <v>392697.8</v>
      </c>
      <c r="AB237">
        <f>COUNTIF($D$1:D237,D237)</f>
        <v>165</v>
      </c>
    </row>
    <row r="238" spans="1:28" x14ac:dyDescent="0.25">
      <c r="A238">
        <v>237</v>
      </c>
      <c r="B238">
        <v>183467</v>
      </c>
      <c r="C238">
        <v>24001631</v>
      </c>
      <c r="D238" t="s">
        <v>14</v>
      </c>
      <c r="E238" t="s">
        <v>106</v>
      </c>
      <c r="F238">
        <v>5157994</v>
      </c>
      <c r="G238">
        <v>383</v>
      </c>
      <c r="H238" t="s">
        <v>99</v>
      </c>
      <c r="I238">
        <v>245</v>
      </c>
      <c r="J238" s="74">
        <v>45678</v>
      </c>
      <c r="K238" s="74">
        <v>45678</v>
      </c>
      <c r="L238" t="s">
        <v>190</v>
      </c>
      <c r="M238" s="74">
        <v>45548</v>
      </c>
      <c r="N238" t="s">
        <v>155</v>
      </c>
      <c r="O238" t="s">
        <v>156</v>
      </c>
      <c r="P238">
        <v>0.93</v>
      </c>
      <c r="Q238">
        <v>2.2400000000000002</v>
      </c>
      <c r="R238">
        <v>227.85</v>
      </c>
      <c r="S238">
        <v>548.79999999999995</v>
      </c>
      <c r="T238" t="s">
        <v>66</v>
      </c>
      <c r="AA238">
        <f t="shared" si="3"/>
        <v>392697.8</v>
      </c>
      <c r="AB238">
        <f>COUNTIF($D$1:D238,D238)</f>
        <v>166</v>
      </c>
    </row>
    <row r="239" spans="1:28" x14ac:dyDescent="0.25">
      <c r="A239">
        <v>238</v>
      </c>
      <c r="B239">
        <v>183766</v>
      </c>
      <c r="C239">
        <v>24001858</v>
      </c>
      <c r="D239" t="s">
        <v>14</v>
      </c>
      <c r="E239" t="s">
        <v>106</v>
      </c>
      <c r="F239">
        <v>5158613</v>
      </c>
      <c r="G239">
        <v>667</v>
      </c>
      <c r="H239" t="s">
        <v>99</v>
      </c>
      <c r="I239">
        <v>1188</v>
      </c>
      <c r="J239" s="74">
        <v>45679</v>
      </c>
      <c r="K239" s="74">
        <v>45679</v>
      </c>
      <c r="L239" t="s">
        <v>190</v>
      </c>
      <c r="M239" s="74">
        <v>45597</v>
      </c>
      <c r="N239" t="s">
        <v>155</v>
      </c>
      <c r="O239" t="s">
        <v>152</v>
      </c>
      <c r="P239">
        <v>0.76</v>
      </c>
      <c r="Q239">
        <v>1.43</v>
      </c>
      <c r="R239">
        <v>902.88</v>
      </c>
      <c r="S239">
        <v>1698.84</v>
      </c>
      <c r="T239" t="s">
        <v>66</v>
      </c>
      <c r="AA239">
        <f t="shared" si="3"/>
        <v>392697.8</v>
      </c>
      <c r="AB239">
        <f>COUNTIF($D$1:D239,D239)</f>
        <v>167</v>
      </c>
    </row>
    <row r="240" spans="1:28" x14ac:dyDescent="0.25">
      <c r="A240">
        <v>239</v>
      </c>
      <c r="B240">
        <v>183710</v>
      </c>
      <c r="C240">
        <v>24001802</v>
      </c>
      <c r="D240" t="s">
        <v>14</v>
      </c>
      <c r="E240" t="s">
        <v>106</v>
      </c>
      <c r="F240">
        <v>5159296</v>
      </c>
      <c r="G240">
        <v>663</v>
      </c>
      <c r="H240" t="s">
        <v>99</v>
      </c>
      <c r="I240">
        <v>343</v>
      </c>
      <c r="J240" s="74">
        <v>45679</v>
      </c>
      <c r="K240" s="74">
        <v>45679</v>
      </c>
      <c r="L240" t="s">
        <v>190</v>
      </c>
      <c r="M240" s="74">
        <v>45618</v>
      </c>
      <c r="N240" t="s">
        <v>155</v>
      </c>
      <c r="O240" t="s">
        <v>152</v>
      </c>
      <c r="P240">
        <v>0.83</v>
      </c>
      <c r="Q240">
        <v>2.17</v>
      </c>
      <c r="R240">
        <v>284.69</v>
      </c>
      <c r="S240">
        <v>744.31</v>
      </c>
      <c r="T240" t="s">
        <v>66</v>
      </c>
      <c r="AA240">
        <f t="shared" si="3"/>
        <v>392697.8</v>
      </c>
      <c r="AB240">
        <f>COUNTIF($D$1:D240,D240)</f>
        <v>168</v>
      </c>
    </row>
    <row r="241" spans="1:28" x14ac:dyDescent="0.25">
      <c r="A241">
        <v>240</v>
      </c>
      <c r="B241">
        <v>183913</v>
      </c>
      <c r="C241">
        <v>24001881</v>
      </c>
      <c r="D241" t="s">
        <v>14</v>
      </c>
      <c r="E241" t="s">
        <v>106</v>
      </c>
      <c r="F241">
        <v>5159771</v>
      </c>
      <c r="G241">
        <v>795</v>
      </c>
      <c r="H241" t="s">
        <v>99</v>
      </c>
      <c r="I241">
        <v>1873</v>
      </c>
      <c r="J241" s="74">
        <v>45678</v>
      </c>
      <c r="K241" s="74">
        <v>45678</v>
      </c>
      <c r="L241" t="s">
        <v>190</v>
      </c>
      <c r="M241" s="74">
        <v>45632</v>
      </c>
      <c r="N241" t="s">
        <v>155</v>
      </c>
      <c r="O241" t="s">
        <v>153</v>
      </c>
      <c r="P241">
        <v>0.61</v>
      </c>
      <c r="Q241">
        <v>1.37</v>
      </c>
      <c r="R241">
        <v>1142.53</v>
      </c>
      <c r="S241">
        <v>2566.0100000000002</v>
      </c>
      <c r="T241" t="s">
        <v>66</v>
      </c>
      <c r="AA241">
        <f t="shared" si="3"/>
        <v>392697.8</v>
      </c>
      <c r="AB241">
        <f>COUNTIF($D$1:D241,D241)</f>
        <v>169</v>
      </c>
    </row>
    <row r="242" spans="1:28" x14ac:dyDescent="0.25">
      <c r="A242">
        <v>241</v>
      </c>
      <c r="B242">
        <v>183914</v>
      </c>
      <c r="C242">
        <v>24001882</v>
      </c>
      <c r="D242" t="s">
        <v>14</v>
      </c>
      <c r="E242" t="s">
        <v>106</v>
      </c>
      <c r="F242">
        <v>5159770</v>
      </c>
      <c r="G242">
        <v>795</v>
      </c>
      <c r="H242" t="s">
        <v>99</v>
      </c>
      <c r="I242">
        <v>493</v>
      </c>
      <c r="J242" s="74">
        <v>45678</v>
      </c>
      <c r="K242" s="74">
        <v>45678</v>
      </c>
      <c r="L242" t="s">
        <v>190</v>
      </c>
      <c r="M242" s="74">
        <v>45632</v>
      </c>
      <c r="N242" t="s">
        <v>155</v>
      </c>
      <c r="O242" t="s">
        <v>153</v>
      </c>
      <c r="P242">
        <v>0.63</v>
      </c>
      <c r="Q242">
        <v>1.43</v>
      </c>
      <c r="R242">
        <v>310.58999999999997</v>
      </c>
      <c r="S242">
        <v>704.99</v>
      </c>
      <c r="T242" t="s">
        <v>66</v>
      </c>
      <c r="AA242">
        <f t="shared" si="3"/>
        <v>392697.8</v>
      </c>
      <c r="AB242">
        <f>COUNTIF($D$1:D242,D242)</f>
        <v>170</v>
      </c>
    </row>
    <row r="243" spans="1:28" x14ac:dyDescent="0.25">
      <c r="A243">
        <v>242</v>
      </c>
      <c r="B243">
        <v>183916</v>
      </c>
      <c r="C243">
        <v>24001884</v>
      </c>
      <c r="D243" t="s">
        <v>14</v>
      </c>
      <c r="E243" t="s">
        <v>106</v>
      </c>
      <c r="F243">
        <v>5159299</v>
      </c>
      <c r="G243">
        <v>797</v>
      </c>
      <c r="H243" t="s">
        <v>99</v>
      </c>
      <c r="I243">
        <v>316</v>
      </c>
      <c r="J243" s="74">
        <v>45678</v>
      </c>
      <c r="K243" s="74">
        <v>45678</v>
      </c>
      <c r="L243" t="s">
        <v>190</v>
      </c>
      <c r="M243" s="74">
        <v>45632</v>
      </c>
      <c r="N243" t="s">
        <v>155</v>
      </c>
      <c r="O243" t="s">
        <v>153</v>
      </c>
      <c r="P243">
        <v>0.8</v>
      </c>
      <c r="Q243">
        <v>2.08</v>
      </c>
      <c r="R243">
        <v>252.8</v>
      </c>
      <c r="S243">
        <v>657.28</v>
      </c>
      <c r="T243" t="s">
        <v>66</v>
      </c>
      <c r="AA243">
        <f t="shared" si="3"/>
        <v>392697.8</v>
      </c>
      <c r="AB243">
        <f>COUNTIF($D$1:D243,D243)</f>
        <v>171</v>
      </c>
    </row>
    <row r="244" spans="1:28" x14ac:dyDescent="0.25">
      <c r="A244">
        <v>243</v>
      </c>
      <c r="B244">
        <v>183937</v>
      </c>
      <c r="C244">
        <v>24001905</v>
      </c>
      <c r="D244" t="s">
        <v>14</v>
      </c>
      <c r="E244" t="s">
        <v>106</v>
      </c>
      <c r="F244">
        <v>5159296</v>
      </c>
      <c r="G244">
        <v>797</v>
      </c>
      <c r="H244" t="s">
        <v>99</v>
      </c>
      <c r="I244">
        <v>395</v>
      </c>
      <c r="J244" s="74">
        <v>45679</v>
      </c>
      <c r="K244" s="74">
        <v>45679</v>
      </c>
      <c r="L244" t="s">
        <v>190</v>
      </c>
      <c r="M244" s="74">
        <v>45639</v>
      </c>
      <c r="N244" t="s">
        <v>155</v>
      </c>
      <c r="O244" t="s">
        <v>153</v>
      </c>
      <c r="P244">
        <v>0.83</v>
      </c>
      <c r="Q244">
        <v>2.17</v>
      </c>
      <c r="R244">
        <v>327.85</v>
      </c>
      <c r="S244">
        <v>857.15</v>
      </c>
      <c r="T244" t="s">
        <v>66</v>
      </c>
      <c r="AA244">
        <f t="shared" si="3"/>
        <v>392697.8</v>
      </c>
      <c r="AB244">
        <f>COUNTIF($D$1:D244,D244)</f>
        <v>172</v>
      </c>
    </row>
    <row r="245" spans="1:28" x14ac:dyDescent="0.25">
      <c r="A245">
        <v>244</v>
      </c>
      <c r="B245">
        <v>183938</v>
      </c>
      <c r="C245">
        <v>24001906</v>
      </c>
      <c r="D245" t="s">
        <v>14</v>
      </c>
      <c r="E245" t="s">
        <v>106</v>
      </c>
      <c r="F245">
        <v>5159307</v>
      </c>
      <c r="G245">
        <v>797</v>
      </c>
      <c r="H245" t="s">
        <v>99</v>
      </c>
      <c r="I245">
        <v>422</v>
      </c>
      <c r="J245" s="74">
        <v>45679</v>
      </c>
      <c r="K245" s="74">
        <v>45679</v>
      </c>
      <c r="L245" t="s">
        <v>190</v>
      </c>
      <c r="M245" s="74">
        <v>45639</v>
      </c>
      <c r="N245" t="s">
        <v>155</v>
      </c>
      <c r="O245" t="s">
        <v>153</v>
      </c>
      <c r="P245">
        <v>0.83</v>
      </c>
      <c r="Q245">
        <v>2.17</v>
      </c>
      <c r="R245">
        <v>350.26</v>
      </c>
      <c r="S245">
        <v>915.74</v>
      </c>
      <c r="T245" t="s">
        <v>66</v>
      </c>
      <c r="AA245">
        <f t="shared" si="3"/>
        <v>392697.8</v>
      </c>
      <c r="AB245">
        <f>COUNTIF($D$1:D245,D245)</f>
        <v>173</v>
      </c>
    </row>
    <row r="246" spans="1:28" x14ac:dyDescent="0.25">
      <c r="A246">
        <v>245</v>
      </c>
      <c r="B246">
        <v>184304</v>
      </c>
      <c r="C246">
        <v>24001978</v>
      </c>
      <c r="D246" t="s">
        <v>14</v>
      </c>
      <c r="E246" t="s">
        <v>106</v>
      </c>
      <c r="F246">
        <v>5157992</v>
      </c>
      <c r="G246">
        <v>941</v>
      </c>
      <c r="H246" t="s">
        <v>99</v>
      </c>
      <c r="I246">
        <v>38</v>
      </c>
      <c r="J246" s="74">
        <v>45659</v>
      </c>
      <c r="K246" s="74">
        <v>45666</v>
      </c>
      <c r="L246" t="s">
        <v>190</v>
      </c>
      <c r="M246" s="74">
        <v>45667</v>
      </c>
      <c r="N246" t="s">
        <v>151</v>
      </c>
      <c r="O246" t="s">
        <v>190</v>
      </c>
      <c r="P246">
        <v>0.79</v>
      </c>
      <c r="Q246">
        <v>2.0099999999999998</v>
      </c>
      <c r="R246">
        <v>30.02</v>
      </c>
      <c r="S246">
        <v>76.38</v>
      </c>
      <c r="T246" t="s">
        <v>66</v>
      </c>
      <c r="AA246">
        <f t="shared" si="3"/>
        <v>392697.8</v>
      </c>
      <c r="AB246">
        <f>COUNTIF($D$1:D246,D246)</f>
        <v>174</v>
      </c>
    </row>
    <row r="247" spans="1:28" x14ac:dyDescent="0.25">
      <c r="A247">
        <v>246</v>
      </c>
      <c r="B247">
        <v>184305</v>
      </c>
      <c r="C247">
        <v>24001979</v>
      </c>
      <c r="D247" t="s">
        <v>14</v>
      </c>
      <c r="E247" t="s">
        <v>106</v>
      </c>
      <c r="F247">
        <v>5159304</v>
      </c>
      <c r="G247">
        <v>941</v>
      </c>
      <c r="H247" t="s">
        <v>99</v>
      </c>
      <c r="I247">
        <v>223</v>
      </c>
      <c r="J247" s="74">
        <v>45660</v>
      </c>
      <c r="K247" s="74">
        <v>45665</v>
      </c>
      <c r="L247" t="s">
        <v>190</v>
      </c>
      <c r="M247" s="74">
        <v>45667</v>
      </c>
      <c r="N247" t="s">
        <v>151</v>
      </c>
      <c r="O247" t="s">
        <v>190</v>
      </c>
      <c r="P247">
        <v>0.8</v>
      </c>
      <c r="Q247">
        <v>2.08</v>
      </c>
      <c r="R247">
        <v>178.4</v>
      </c>
      <c r="S247">
        <v>463.84</v>
      </c>
      <c r="T247" t="s">
        <v>66</v>
      </c>
      <c r="AA247">
        <f t="shared" si="3"/>
        <v>392697.8</v>
      </c>
      <c r="AB247">
        <f>COUNTIF($D$1:D247,D247)</f>
        <v>175</v>
      </c>
    </row>
    <row r="248" spans="1:28" x14ac:dyDescent="0.25">
      <c r="A248">
        <v>247</v>
      </c>
      <c r="B248">
        <v>184307</v>
      </c>
      <c r="C248">
        <v>24001981</v>
      </c>
      <c r="D248" t="s">
        <v>14</v>
      </c>
      <c r="E248" t="s">
        <v>106</v>
      </c>
      <c r="F248">
        <v>5159299</v>
      </c>
      <c r="G248">
        <v>941</v>
      </c>
      <c r="H248" t="s">
        <v>99</v>
      </c>
      <c r="I248">
        <v>225</v>
      </c>
      <c r="J248" s="74">
        <v>45660</v>
      </c>
      <c r="K248" s="74">
        <v>45678</v>
      </c>
      <c r="L248" t="s">
        <v>190</v>
      </c>
      <c r="M248" s="74">
        <v>45667</v>
      </c>
      <c r="N248" t="s">
        <v>155</v>
      </c>
      <c r="O248" t="s">
        <v>190</v>
      </c>
      <c r="P248">
        <v>0.8</v>
      </c>
      <c r="Q248">
        <v>2.08</v>
      </c>
      <c r="R248">
        <v>180</v>
      </c>
      <c r="S248">
        <v>468</v>
      </c>
      <c r="T248" t="s">
        <v>66</v>
      </c>
      <c r="AA248">
        <f t="shared" si="3"/>
        <v>392697.8</v>
      </c>
      <c r="AB248">
        <f>COUNTIF($D$1:D248,D248)</f>
        <v>176</v>
      </c>
    </row>
    <row r="249" spans="1:28" x14ac:dyDescent="0.25">
      <c r="A249">
        <v>248</v>
      </c>
      <c r="B249">
        <v>184308</v>
      </c>
      <c r="C249">
        <v>24001982</v>
      </c>
      <c r="D249" t="s">
        <v>14</v>
      </c>
      <c r="E249" t="s">
        <v>106</v>
      </c>
      <c r="F249" t="s">
        <v>171</v>
      </c>
      <c r="G249">
        <v>941</v>
      </c>
      <c r="H249" t="s">
        <v>99</v>
      </c>
      <c r="I249">
        <v>44</v>
      </c>
      <c r="J249" s="74">
        <v>45678</v>
      </c>
      <c r="K249" s="74">
        <v>45678</v>
      </c>
      <c r="L249" t="s">
        <v>190</v>
      </c>
      <c r="M249" s="74">
        <v>45667</v>
      </c>
      <c r="N249" t="s">
        <v>155</v>
      </c>
      <c r="O249" t="s">
        <v>190</v>
      </c>
      <c r="P249">
        <v>0.78</v>
      </c>
      <c r="Q249">
        <v>2.2400000000000002</v>
      </c>
      <c r="R249">
        <v>34.32</v>
      </c>
      <c r="S249">
        <v>98.56</v>
      </c>
      <c r="T249" t="s">
        <v>66</v>
      </c>
      <c r="AA249">
        <f t="shared" si="3"/>
        <v>392697.8</v>
      </c>
      <c r="AB249">
        <f>COUNTIF($D$1:D249,D249)</f>
        <v>177</v>
      </c>
    </row>
    <row r="250" spans="1:28" x14ac:dyDescent="0.25">
      <c r="A250">
        <v>249</v>
      </c>
      <c r="B250">
        <v>184309</v>
      </c>
      <c r="C250">
        <v>24001983</v>
      </c>
      <c r="D250" t="s">
        <v>14</v>
      </c>
      <c r="E250" t="s">
        <v>106</v>
      </c>
      <c r="F250">
        <v>5159295</v>
      </c>
      <c r="G250">
        <v>941</v>
      </c>
      <c r="H250" t="s">
        <v>99</v>
      </c>
      <c r="I250">
        <v>644</v>
      </c>
      <c r="J250" s="74">
        <v>45679</v>
      </c>
      <c r="K250" s="74">
        <v>45679</v>
      </c>
      <c r="L250" t="s">
        <v>190</v>
      </c>
      <c r="M250" s="74">
        <v>45667</v>
      </c>
      <c r="N250" t="s">
        <v>155</v>
      </c>
      <c r="O250" t="s">
        <v>190</v>
      </c>
      <c r="P250">
        <v>0.8</v>
      </c>
      <c r="Q250">
        <v>2.08</v>
      </c>
      <c r="R250">
        <v>515.20000000000005</v>
      </c>
      <c r="S250">
        <v>1339.52</v>
      </c>
      <c r="T250" t="s">
        <v>66</v>
      </c>
      <c r="AA250">
        <f t="shared" si="3"/>
        <v>392697.8</v>
      </c>
      <c r="AB250">
        <f>COUNTIF($D$1:D250,D250)</f>
        <v>178</v>
      </c>
    </row>
    <row r="251" spans="1:28" x14ac:dyDescent="0.25">
      <c r="A251">
        <v>250</v>
      </c>
      <c r="B251">
        <v>184310</v>
      </c>
      <c r="C251">
        <v>24001984</v>
      </c>
      <c r="D251" t="s">
        <v>14</v>
      </c>
      <c r="E251" t="s">
        <v>106</v>
      </c>
      <c r="F251">
        <v>5157985</v>
      </c>
      <c r="G251">
        <v>941</v>
      </c>
      <c r="H251" t="s">
        <v>99</v>
      </c>
      <c r="I251">
        <v>33</v>
      </c>
      <c r="J251" s="74">
        <v>45664</v>
      </c>
      <c r="K251" s="74">
        <v>45679</v>
      </c>
      <c r="L251" t="s">
        <v>190</v>
      </c>
      <c r="M251" s="74">
        <v>45667</v>
      </c>
      <c r="N251" t="s">
        <v>155</v>
      </c>
      <c r="O251" t="s">
        <v>190</v>
      </c>
      <c r="P251">
        <v>0.93</v>
      </c>
      <c r="Q251">
        <v>2.2400000000000002</v>
      </c>
      <c r="R251">
        <v>30.69</v>
      </c>
      <c r="S251">
        <v>73.92</v>
      </c>
      <c r="T251" t="s">
        <v>66</v>
      </c>
      <c r="AA251">
        <f t="shared" si="3"/>
        <v>392697.8</v>
      </c>
      <c r="AB251">
        <f>COUNTIF($D$1:D251,D251)</f>
        <v>179</v>
      </c>
    </row>
    <row r="252" spans="1:28" x14ac:dyDescent="0.25">
      <c r="A252">
        <v>251</v>
      </c>
      <c r="B252">
        <v>184311</v>
      </c>
      <c r="C252">
        <v>24001985</v>
      </c>
      <c r="D252" t="s">
        <v>14</v>
      </c>
      <c r="E252" t="s">
        <v>106</v>
      </c>
      <c r="F252" t="s">
        <v>209</v>
      </c>
      <c r="G252">
        <v>941</v>
      </c>
      <c r="H252" t="s">
        <v>99</v>
      </c>
      <c r="I252">
        <v>90</v>
      </c>
      <c r="J252" s="74">
        <v>45679</v>
      </c>
      <c r="K252" s="74">
        <v>45679</v>
      </c>
      <c r="L252" t="s">
        <v>190</v>
      </c>
      <c r="M252" s="74">
        <v>45667</v>
      </c>
      <c r="N252" t="s">
        <v>155</v>
      </c>
      <c r="O252" t="s">
        <v>190</v>
      </c>
      <c r="P252">
        <v>1</v>
      </c>
      <c r="Q252">
        <v>2.4300000000000002</v>
      </c>
      <c r="R252">
        <v>90</v>
      </c>
      <c r="S252">
        <v>218.7</v>
      </c>
      <c r="T252" t="s">
        <v>66</v>
      </c>
      <c r="AA252">
        <f t="shared" si="3"/>
        <v>392697.8</v>
      </c>
      <c r="AB252">
        <f>COUNTIF($D$1:D252,D252)</f>
        <v>180</v>
      </c>
    </row>
    <row r="253" spans="1:28" x14ac:dyDescent="0.25">
      <c r="A253">
        <v>252</v>
      </c>
      <c r="B253">
        <v>184514</v>
      </c>
      <c r="C253">
        <v>24002026</v>
      </c>
      <c r="D253" t="s">
        <v>14</v>
      </c>
      <c r="E253" t="s">
        <v>106</v>
      </c>
      <c r="F253">
        <v>5158583</v>
      </c>
      <c r="G253">
        <v>995</v>
      </c>
      <c r="H253" t="s">
        <v>99</v>
      </c>
      <c r="I253">
        <v>6581</v>
      </c>
      <c r="J253" s="74">
        <v>45659</v>
      </c>
      <c r="K253" s="74">
        <v>45666</v>
      </c>
      <c r="L253" t="s">
        <v>190</v>
      </c>
      <c r="M253" s="74">
        <v>45674</v>
      </c>
      <c r="N253" t="s">
        <v>151</v>
      </c>
      <c r="O253" t="s">
        <v>190</v>
      </c>
      <c r="P253">
        <v>0.8</v>
      </c>
      <c r="Q253">
        <v>5.63</v>
      </c>
      <c r="R253">
        <v>5264.8</v>
      </c>
      <c r="S253">
        <v>37051.03</v>
      </c>
      <c r="T253" t="s">
        <v>66</v>
      </c>
      <c r="AA253">
        <f t="shared" si="3"/>
        <v>392697.8</v>
      </c>
      <c r="AB253">
        <f>COUNTIF($D$1:D253,D253)</f>
        <v>181</v>
      </c>
    </row>
    <row r="254" spans="1:28" x14ac:dyDescent="0.25">
      <c r="A254">
        <v>253</v>
      </c>
      <c r="B254">
        <v>184515</v>
      </c>
      <c r="C254">
        <v>24002027</v>
      </c>
      <c r="D254" t="s">
        <v>14</v>
      </c>
      <c r="E254" t="s">
        <v>106</v>
      </c>
      <c r="F254" t="s">
        <v>177</v>
      </c>
      <c r="G254">
        <v>995</v>
      </c>
      <c r="H254" t="s">
        <v>99</v>
      </c>
      <c r="I254">
        <v>307</v>
      </c>
      <c r="J254" s="74">
        <v>45660</v>
      </c>
      <c r="K254" s="74">
        <v>45666</v>
      </c>
      <c r="L254" t="s">
        <v>190</v>
      </c>
      <c r="M254" s="74">
        <v>45674</v>
      </c>
      <c r="N254" t="s">
        <v>151</v>
      </c>
      <c r="O254" t="s">
        <v>190</v>
      </c>
      <c r="P254">
        <v>0.77</v>
      </c>
      <c r="Q254">
        <v>6.02</v>
      </c>
      <c r="R254">
        <v>236.39</v>
      </c>
      <c r="S254">
        <v>1848.14</v>
      </c>
      <c r="T254" t="s">
        <v>66</v>
      </c>
      <c r="AA254">
        <f t="shared" si="3"/>
        <v>392697.8</v>
      </c>
      <c r="AB254">
        <f>COUNTIF($D$1:D254,D254)</f>
        <v>182</v>
      </c>
    </row>
    <row r="255" spans="1:28" x14ac:dyDescent="0.25">
      <c r="A255">
        <v>254</v>
      </c>
      <c r="B255">
        <v>184525</v>
      </c>
      <c r="C255">
        <v>24002037</v>
      </c>
      <c r="D255" t="s">
        <v>14</v>
      </c>
      <c r="E255" t="s">
        <v>106</v>
      </c>
      <c r="F255">
        <v>5157992</v>
      </c>
      <c r="G255">
        <v>996</v>
      </c>
      <c r="H255" t="s">
        <v>99</v>
      </c>
      <c r="I255">
        <v>1242</v>
      </c>
      <c r="J255" s="74">
        <v>45671</v>
      </c>
      <c r="K255" s="74">
        <v>45677</v>
      </c>
      <c r="L255" t="s">
        <v>190</v>
      </c>
      <c r="M255" s="74">
        <v>45688</v>
      </c>
      <c r="N255" t="s">
        <v>151</v>
      </c>
      <c r="O255" t="s">
        <v>190</v>
      </c>
      <c r="P255">
        <v>0.79</v>
      </c>
      <c r="Q255">
        <v>6.04</v>
      </c>
      <c r="R255">
        <v>981.18</v>
      </c>
      <c r="S255">
        <v>7501.68</v>
      </c>
      <c r="T255" t="s">
        <v>66</v>
      </c>
      <c r="AA255">
        <f t="shared" si="3"/>
        <v>392697.8</v>
      </c>
      <c r="AB255">
        <f>COUNTIF($D$1:D255,D255)</f>
        <v>183</v>
      </c>
    </row>
    <row r="256" spans="1:28" x14ac:dyDescent="0.25">
      <c r="A256">
        <v>255</v>
      </c>
      <c r="B256">
        <v>184526</v>
      </c>
      <c r="C256">
        <v>24002038</v>
      </c>
      <c r="D256" t="s">
        <v>14</v>
      </c>
      <c r="E256" t="s">
        <v>106</v>
      </c>
      <c r="F256" t="s">
        <v>173</v>
      </c>
      <c r="G256">
        <v>996</v>
      </c>
      <c r="H256" t="s">
        <v>99</v>
      </c>
      <c r="I256">
        <v>135</v>
      </c>
      <c r="J256" s="74">
        <v>45671</v>
      </c>
      <c r="K256" s="74">
        <v>45678</v>
      </c>
      <c r="L256" t="s">
        <v>190</v>
      </c>
      <c r="M256" s="74">
        <v>45688</v>
      </c>
      <c r="N256" t="s">
        <v>151</v>
      </c>
      <c r="O256" t="s">
        <v>190</v>
      </c>
      <c r="P256">
        <v>0.77</v>
      </c>
      <c r="Q256">
        <v>6.49</v>
      </c>
      <c r="R256">
        <v>103.95</v>
      </c>
      <c r="S256">
        <v>876.15</v>
      </c>
      <c r="T256" t="s">
        <v>66</v>
      </c>
      <c r="AA256">
        <f t="shared" si="3"/>
        <v>392697.8</v>
      </c>
      <c r="AB256">
        <f>COUNTIF($D$1:D256,D256)</f>
        <v>184</v>
      </c>
    </row>
    <row r="257" spans="1:28" x14ac:dyDescent="0.25">
      <c r="A257">
        <v>256</v>
      </c>
      <c r="B257">
        <v>184527</v>
      </c>
      <c r="C257">
        <v>24002039</v>
      </c>
      <c r="D257" t="s">
        <v>14</v>
      </c>
      <c r="E257" t="s">
        <v>106</v>
      </c>
      <c r="F257">
        <v>5157994</v>
      </c>
      <c r="G257">
        <v>996</v>
      </c>
      <c r="H257" t="s">
        <v>99</v>
      </c>
      <c r="I257">
        <v>972</v>
      </c>
      <c r="J257" s="74">
        <v>45678</v>
      </c>
      <c r="K257" s="74">
        <v>45678</v>
      </c>
      <c r="L257" t="s">
        <v>190</v>
      </c>
      <c r="M257" s="74">
        <v>45688</v>
      </c>
      <c r="N257" t="s">
        <v>151</v>
      </c>
      <c r="O257" t="s">
        <v>190</v>
      </c>
      <c r="P257">
        <v>0.93</v>
      </c>
      <c r="Q257">
        <v>6.72</v>
      </c>
      <c r="R257">
        <v>903.96</v>
      </c>
      <c r="S257">
        <v>6531.84</v>
      </c>
      <c r="T257" t="s">
        <v>66</v>
      </c>
      <c r="AA257">
        <f t="shared" si="3"/>
        <v>392697.8</v>
      </c>
      <c r="AB257">
        <f>COUNTIF($D$1:D257,D257)</f>
        <v>185</v>
      </c>
    </row>
    <row r="258" spans="1:28" x14ac:dyDescent="0.25">
      <c r="A258">
        <v>257</v>
      </c>
      <c r="B258">
        <v>184528</v>
      </c>
      <c r="C258">
        <v>24002040</v>
      </c>
      <c r="D258" t="s">
        <v>14</v>
      </c>
      <c r="E258" t="s">
        <v>106</v>
      </c>
      <c r="F258" t="s">
        <v>210</v>
      </c>
      <c r="G258">
        <v>996</v>
      </c>
      <c r="H258" t="s">
        <v>99</v>
      </c>
      <c r="I258">
        <v>135</v>
      </c>
      <c r="J258" s="74">
        <v>45678</v>
      </c>
      <c r="K258" s="74">
        <v>45678</v>
      </c>
      <c r="L258" t="s">
        <v>190</v>
      </c>
      <c r="M258" s="74">
        <v>45688</v>
      </c>
      <c r="N258" t="s">
        <v>151</v>
      </c>
      <c r="O258" t="s">
        <v>190</v>
      </c>
      <c r="P258">
        <v>1</v>
      </c>
      <c r="Q258">
        <v>7.3</v>
      </c>
      <c r="R258">
        <v>135</v>
      </c>
      <c r="S258">
        <v>985.5</v>
      </c>
      <c r="T258" t="s">
        <v>66</v>
      </c>
      <c r="AA258">
        <f t="shared" ref="AA258:AA321" si="4">SUMIF($D:$D,D258,$R:$R)</f>
        <v>392697.8</v>
      </c>
      <c r="AB258">
        <f>COUNTIF($D$1:D258,D258)</f>
        <v>186</v>
      </c>
    </row>
    <row r="259" spans="1:28" x14ac:dyDescent="0.25">
      <c r="A259">
        <v>258</v>
      </c>
      <c r="B259">
        <v>184538</v>
      </c>
      <c r="C259">
        <v>24002050</v>
      </c>
      <c r="D259" t="s">
        <v>14</v>
      </c>
      <c r="E259" t="s">
        <v>106</v>
      </c>
      <c r="F259">
        <v>5157997</v>
      </c>
      <c r="G259">
        <v>996</v>
      </c>
      <c r="H259" t="s">
        <v>99</v>
      </c>
      <c r="I259">
        <v>1350</v>
      </c>
      <c r="J259" s="74">
        <v>45672</v>
      </c>
      <c r="K259" s="74">
        <v>45678</v>
      </c>
      <c r="L259" t="s">
        <v>190</v>
      </c>
      <c r="M259" s="74">
        <v>45688</v>
      </c>
      <c r="N259" t="s">
        <v>151</v>
      </c>
      <c r="O259" t="s">
        <v>190</v>
      </c>
      <c r="P259">
        <v>0.75</v>
      </c>
      <c r="Q259">
        <v>5.78</v>
      </c>
      <c r="R259">
        <v>1012.5</v>
      </c>
      <c r="S259">
        <v>7803</v>
      </c>
      <c r="T259" t="s">
        <v>66</v>
      </c>
      <c r="AA259">
        <f t="shared" si="4"/>
        <v>392697.8</v>
      </c>
      <c r="AB259">
        <f>COUNTIF($D$1:D259,D259)</f>
        <v>187</v>
      </c>
    </row>
    <row r="260" spans="1:28" x14ac:dyDescent="0.25">
      <c r="A260">
        <v>259</v>
      </c>
      <c r="B260">
        <v>184539</v>
      </c>
      <c r="C260">
        <v>24002051</v>
      </c>
      <c r="D260" t="s">
        <v>14</v>
      </c>
      <c r="E260" t="s">
        <v>106</v>
      </c>
      <c r="F260">
        <v>5157978</v>
      </c>
      <c r="G260">
        <v>996</v>
      </c>
      <c r="H260" t="s">
        <v>99</v>
      </c>
      <c r="I260">
        <v>918</v>
      </c>
      <c r="J260" s="74">
        <v>45678</v>
      </c>
      <c r="K260" s="74">
        <v>45679</v>
      </c>
      <c r="L260" t="s">
        <v>190</v>
      </c>
      <c r="M260" s="74">
        <v>45688</v>
      </c>
      <c r="N260" t="s">
        <v>151</v>
      </c>
      <c r="O260" t="s">
        <v>190</v>
      </c>
      <c r="P260">
        <v>0.75</v>
      </c>
      <c r="Q260">
        <v>5.78</v>
      </c>
      <c r="R260">
        <v>688.5</v>
      </c>
      <c r="S260">
        <v>5306.04</v>
      </c>
      <c r="T260" t="s">
        <v>66</v>
      </c>
      <c r="AA260">
        <f t="shared" si="4"/>
        <v>392697.8</v>
      </c>
      <c r="AB260">
        <f>COUNTIF($D$1:D260,D260)</f>
        <v>188</v>
      </c>
    </row>
    <row r="261" spans="1:28" x14ac:dyDescent="0.25">
      <c r="A261">
        <v>260</v>
      </c>
      <c r="B261">
        <v>184494</v>
      </c>
      <c r="C261">
        <v>24002006</v>
      </c>
      <c r="D261" t="s">
        <v>14</v>
      </c>
      <c r="E261" t="s">
        <v>106</v>
      </c>
      <c r="F261">
        <v>5159305</v>
      </c>
      <c r="G261">
        <v>994</v>
      </c>
      <c r="H261" t="s">
        <v>99</v>
      </c>
      <c r="I261">
        <v>6237</v>
      </c>
      <c r="J261" s="74">
        <v>45679</v>
      </c>
      <c r="K261" s="74">
        <v>45681</v>
      </c>
      <c r="L261" t="s">
        <v>190</v>
      </c>
      <c r="M261" s="74">
        <v>45695</v>
      </c>
      <c r="N261" t="s">
        <v>151</v>
      </c>
      <c r="O261" t="s">
        <v>224</v>
      </c>
      <c r="P261">
        <v>0.83</v>
      </c>
      <c r="Q261">
        <v>6.5</v>
      </c>
      <c r="R261">
        <v>5176.71</v>
      </c>
      <c r="S261">
        <v>40540.5</v>
      </c>
      <c r="T261" t="s">
        <v>66</v>
      </c>
      <c r="AA261">
        <f t="shared" si="4"/>
        <v>392697.8</v>
      </c>
      <c r="AB261">
        <f>COUNTIF($D$1:D261,D261)</f>
        <v>189</v>
      </c>
    </row>
    <row r="262" spans="1:28" x14ac:dyDescent="0.25">
      <c r="A262">
        <v>261</v>
      </c>
      <c r="B262">
        <v>184495</v>
      </c>
      <c r="C262">
        <v>24002007</v>
      </c>
      <c r="D262" t="s">
        <v>14</v>
      </c>
      <c r="E262" t="s">
        <v>106</v>
      </c>
      <c r="F262">
        <v>5159307</v>
      </c>
      <c r="G262">
        <v>994</v>
      </c>
      <c r="H262" t="s">
        <v>99</v>
      </c>
      <c r="I262">
        <v>5805</v>
      </c>
      <c r="J262" s="74">
        <v>45681</v>
      </c>
      <c r="K262" s="74">
        <v>45687</v>
      </c>
      <c r="L262" t="s">
        <v>190</v>
      </c>
      <c r="M262" s="74">
        <v>45695</v>
      </c>
      <c r="N262" t="s">
        <v>151</v>
      </c>
      <c r="O262" t="s">
        <v>224</v>
      </c>
      <c r="P262">
        <v>0.83</v>
      </c>
      <c r="Q262">
        <v>6.5</v>
      </c>
      <c r="R262">
        <v>4818.1499999999996</v>
      </c>
      <c r="S262">
        <v>37732.5</v>
      </c>
      <c r="T262" t="s">
        <v>66</v>
      </c>
      <c r="AA262">
        <f t="shared" si="4"/>
        <v>392697.8</v>
      </c>
      <c r="AB262">
        <f>COUNTIF($D$1:D262,D262)</f>
        <v>190</v>
      </c>
    </row>
    <row r="263" spans="1:28" x14ac:dyDescent="0.25">
      <c r="A263">
        <v>262</v>
      </c>
      <c r="B263">
        <v>184496</v>
      </c>
      <c r="C263">
        <v>24002008</v>
      </c>
      <c r="D263" t="s">
        <v>14</v>
      </c>
      <c r="E263" t="s">
        <v>106</v>
      </c>
      <c r="F263">
        <v>5159301</v>
      </c>
      <c r="G263">
        <v>994</v>
      </c>
      <c r="H263" t="s">
        <v>99</v>
      </c>
      <c r="I263">
        <v>1500</v>
      </c>
      <c r="J263" s="74">
        <v>45688</v>
      </c>
      <c r="K263" s="74">
        <v>45688</v>
      </c>
      <c r="L263" t="s">
        <v>190</v>
      </c>
      <c r="M263" s="74">
        <v>45695</v>
      </c>
      <c r="N263" t="s">
        <v>151</v>
      </c>
      <c r="O263" t="s">
        <v>224</v>
      </c>
      <c r="P263">
        <v>0.83</v>
      </c>
      <c r="Q263">
        <v>6.5</v>
      </c>
      <c r="R263">
        <v>1245</v>
      </c>
      <c r="S263">
        <v>9750</v>
      </c>
      <c r="T263" t="s">
        <v>66</v>
      </c>
      <c r="AA263">
        <f t="shared" si="4"/>
        <v>392697.8</v>
      </c>
      <c r="AB263">
        <f>COUNTIF($D$1:D263,D263)</f>
        <v>191</v>
      </c>
    </row>
    <row r="264" spans="1:28" x14ac:dyDescent="0.25">
      <c r="A264">
        <v>263</v>
      </c>
      <c r="B264">
        <v>184290</v>
      </c>
      <c r="C264">
        <v>24001964</v>
      </c>
      <c r="D264" t="s">
        <v>14</v>
      </c>
      <c r="E264" t="s">
        <v>106</v>
      </c>
      <c r="F264">
        <v>5157976</v>
      </c>
      <c r="G264">
        <v>941</v>
      </c>
      <c r="H264" t="s">
        <v>99</v>
      </c>
      <c r="I264">
        <v>2079</v>
      </c>
      <c r="J264" s="74">
        <v>45659</v>
      </c>
      <c r="K264" s="74">
        <v>45673</v>
      </c>
      <c r="L264" t="s">
        <v>190</v>
      </c>
      <c r="M264" s="74">
        <v>45667</v>
      </c>
      <c r="N264" t="s">
        <v>155</v>
      </c>
      <c r="O264" t="s">
        <v>190</v>
      </c>
      <c r="P264">
        <v>0.83</v>
      </c>
      <c r="Q264">
        <v>2.11</v>
      </c>
      <c r="R264">
        <v>1725.57</v>
      </c>
      <c r="S264">
        <v>4386.6899999999996</v>
      </c>
      <c r="T264" t="s">
        <v>66</v>
      </c>
      <c r="AA264">
        <f t="shared" si="4"/>
        <v>392697.8</v>
      </c>
      <c r="AB264">
        <f>COUNTIF($D$1:D264,D264)</f>
        <v>192</v>
      </c>
    </row>
    <row r="265" spans="1:28" x14ac:dyDescent="0.25">
      <c r="A265">
        <v>264</v>
      </c>
      <c r="B265">
        <v>184291</v>
      </c>
      <c r="C265">
        <v>24001997</v>
      </c>
      <c r="D265" t="s">
        <v>14</v>
      </c>
      <c r="E265" t="s">
        <v>106</v>
      </c>
      <c r="F265" t="s">
        <v>205</v>
      </c>
      <c r="G265">
        <v>941</v>
      </c>
      <c r="H265" t="s">
        <v>99</v>
      </c>
      <c r="I265">
        <v>130</v>
      </c>
      <c r="J265" s="74">
        <v>45664</v>
      </c>
      <c r="K265" s="74">
        <v>45673</v>
      </c>
      <c r="L265" t="s">
        <v>190</v>
      </c>
      <c r="M265" s="74">
        <v>45667</v>
      </c>
      <c r="N265" t="s">
        <v>155</v>
      </c>
      <c r="O265" t="s">
        <v>190</v>
      </c>
      <c r="P265">
        <v>0.78</v>
      </c>
      <c r="Q265">
        <v>2.2799999999999998</v>
      </c>
      <c r="R265">
        <v>101.4</v>
      </c>
      <c r="S265">
        <v>296.39999999999998</v>
      </c>
      <c r="T265" t="s">
        <v>66</v>
      </c>
      <c r="AA265">
        <f t="shared" si="4"/>
        <v>392697.8</v>
      </c>
      <c r="AB265">
        <f>COUNTIF($D$1:D265,D265)</f>
        <v>193</v>
      </c>
    </row>
    <row r="266" spans="1:28" x14ac:dyDescent="0.25">
      <c r="A266">
        <v>265</v>
      </c>
      <c r="B266">
        <v>184489</v>
      </c>
      <c r="C266">
        <v>24002000</v>
      </c>
      <c r="D266" t="s">
        <v>14</v>
      </c>
      <c r="E266" t="s">
        <v>106</v>
      </c>
      <c r="F266">
        <v>5159767</v>
      </c>
      <c r="G266">
        <v>993</v>
      </c>
      <c r="H266" t="s">
        <v>99</v>
      </c>
      <c r="I266">
        <v>3645</v>
      </c>
      <c r="J266" s="74">
        <v>45665</v>
      </c>
      <c r="K266" s="74">
        <v>45673</v>
      </c>
      <c r="L266" t="s">
        <v>190</v>
      </c>
      <c r="M266" s="74">
        <v>45674</v>
      </c>
      <c r="N266" t="s">
        <v>151</v>
      </c>
      <c r="O266" t="s">
        <v>190</v>
      </c>
      <c r="P266">
        <v>0.61</v>
      </c>
      <c r="Q266">
        <v>4.21</v>
      </c>
      <c r="R266">
        <v>2223.4499999999998</v>
      </c>
      <c r="S266">
        <v>15345.45</v>
      </c>
      <c r="T266" t="s">
        <v>66</v>
      </c>
      <c r="AA266">
        <f t="shared" si="4"/>
        <v>392697.8</v>
      </c>
      <c r="AB266">
        <f>COUNTIF($D$1:D266,D266)</f>
        <v>194</v>
      </c>
    </row>
    <row r="267" spans="1:28" x14ac:dyDescent="0.25">
      <c r="A267">
        <v>266</v>
      </c>
      <c r="B267">
        <v>184524</v>
      </c>
      <c r="C267">
        <v>24002036</v>
      </c>
      <c r="D267" t="s">
        <v>14</v>
      </c>
      <c r="E267" t="s">
        <v>106</v>
      </c>
      <c r="F267">
        <v>5158594</v>
      </c>
      <c r="G267">
        <v>995</v>
      </c>
      <c r="H267" t="s">
        <v>99</v>
      </c>
      <c r="I267">
        <v>4964</v>
      </c>
      <c r="J267" s="74">
        <v>45666</v>
      </c>
      <c r="K267" s="74">
        <v>45674</v>
      </c>
      <c r="L267" t="s">
        <v>190</v>
      </c>
      <c r="M267" s="74">
        <v>45688</v>
      </c>
      <c r="N267" t="s">
        <v>151</v>
      </c>
      <c r="O267" t="s">
        <v>190</v>
      </c>
      <c r="P267">
        <v>0.7</v>
      </c>
      <c r="Q267">
        <v>4.92</v>
      </c>
      <c r="R267">
        <v>3474.8</v>
      </c>
      <c r="S267">
        <v>24422.880000000001</v>
      </c>
      <c r="T267" t="s">
        <v>66</v>
      </c>
      <c r="AA267">
        <f t="shared" si="4"/>
        <v>392697.8</v>
      </c>
      <c r="AB267">
        <f>COUNTIF($D$1:D267,D267)</f>
        <v>195</v>
      </c>
    </row>
    <row r="268" spans="1:28" x14ac:dyDescent="0.25">
      <c r="A268">
        <v>267</v>
      </c>
      <c r="B268">
        <v>184292</v>
      </c>
      <c r="C268">
        <v>24001966</v>
      </c>
      <c r="D268" t="s">
        <v>14</v>
      </c>
      <c r="E268" t="s">
        <v>106</v>
      </c>
      <c r="F268">
        <v>5157997</v>
      </c>
      <c r="G268">
        <v>941</v>
      </c>
      <c r="H268" t="s">
        <v>99</v>
      </c>
      <c r="I268">
        <v>1177</v>
      </c>
      <c r="J268" s="74">
        <v>45667</v>
      </c>
      <c r="K268" s="74">
        <v>45673</v>
      </c>
      <c r="L268" t="s">
        <v>190</v>
      </c>
      <c r="M268" s="74">
        <v>45667</v>
      </c>
      <c r="N268" t="s">
        <v>155</v>
      </c>
      <c r="O268" t="s">
        <v>190</v>
      </c>
      <c r="P268">
        <v>0.75</v>
      </c>
      <c r="Q268">
        <v>1.93</v>
      </c>
      <c r="R268">
        <v>882.75</v>
      </c>
      <c r="S268">
        <v>2271.61</v>
      </c>
      <c r="T268" t="s">
        <v>66</v>
      </c>
      <c r="AA268">
        <f t="shared" si="4"/>
        <v>392697.8</v>
      </c>
      <c r="AB268">
        <f>COUNTIF($D$1:D268,D268)</f>
        <v>196</v>
      </c>
    </row>
    <row r="269" spans="1:28" x14ac:dyDescent="0.25">
      <c r="A269">
        <v>268</v>
      </c>
      <c r="B269">
        <v>184289</v>
      </c>
      <c r="C269">
        <v>24001963</v>
      </c>
      <c r="D269" t="s">
        <v>14</v>
      </c>
      <c r="E269" t="s">
        <v>106</v>
      </c>
      <c r="F269">
        <v>5158001</v>
      </c>
      <c r="G269">
        <v>941</v>
      </c>
      <c r="H269" t="s">
        <v>99</v>
      </c>
      <c r="I269">
        <v>401</v>
      </c>
      <c r="J269" s="74">
        <v>45667</v>
      </c>
      <c r="K269" s="74">
        <v>45673</v>
      </c>
      <c r="L269" t="s">
        <v>190</v>
      </c>
      <c r="M269" s="74">
        <v>45667</v>
      </c>
      <c r="N269" t="s">
        <v>155</v>
      </c>
      <c r="O269" t="s">
        <v>190</v>
      </c>
      <c r="P269">
        <v>0.83</v>
      </c>
      <c r="Q269">
        <v>2.11</v>
      </c>
      <c r="R269">
        <v>332.83</v>
      </c>
      <c r="S269">
        <v>846.11</v>
      </c>
      <c r="T269" t="s">
        <v>66</v>
      </c>
      <c r="AA269">
        <f t="shared" si="4"/>
        <v>392697.8</v>
      </c>
      <c r="AB269">
        <f>COUNTIF($D$1:D269,D269)</f>
        <v>197</v>
      </c>
    </row>
    <row r="270" spans="1:28" x14ac:dyDescent="0.25">
      <c r="A270">
        <v>269</v>
      </c>
      <c r="B270">
        <v>184786</v>
      </c>
      <c r="C270">
        <v>24002165</v>
      </c>
      <c r="D270" t="s">
        <v>14</v>
      </c>
      <c r="E270" t="s">
        <v>106</v>
      </c>
      <c r="F270">
        <v>5160295</v>
      </c>
      <c r="G270">
        <v>1095</v>
      </c>
      <c r="H270" t="s">
        <v>99</v>
      </c>
      <c r="I270">
        <v>939</v>
      </c>
      <c r="J270" s="74">
        <v>45688</v>
      </c>
      <c r="K270" s="74">
        <v>45688</v>
      </c>
      <c r="L270" t="s">
        <v>190</v>
      </c>
      <c r="M270" s="74">
        <v>45702</v>
      </c>
      <c r="N270" t="s">
        <v>151</v>
      </c>
      <c r="O270" t="s">
        <v>224</v>
      </c>
      <c r="P270">
        <v>0.76</v>
      </c>
      <c r="Q270">
        <v>1.43</v>
      </c>
      <c r="R270">
        <v>713.64</v>
      </c>
      <c r="S270">
        <v>1342.77</v>
      </c>
      <c r="T270" t="s">
        <v>66</v>
      </c>
      <c r="AA270">
        <f t="shared" si="4"/>
        <v>392697.8</v>
      </c>
      <c r="AB270">
        <f>COUNTIF($D$1:D270,D270)</f>
        <v>198</v>
      </c>
    </row>
    <row r="271" spans="1:28" x14ac:dyDescent="0.25">
      <c r="A271">
        <v>270</v>
      </c>
      <c r="B271">
        <v>182994</v>
      </c>
      <c r="C271">
        <v>24001464</v>
      </c>
      <c r="D271" t="s">
        <v>14</v>
      </c>
      <c r="E271" t="s">
        <v>106</v>
      </c>
      <c r="F271">
        <v>5158004</v>
      </c>
      <c r="G271">
        <v>248</v>
      </c>
      <c r="H271" t="s">
        <v>118</v>
      </c>
      <c r="I271">
        <v>913</v>
      </c>
      <c r="J271" s="74">
        <v>45674</v>
      </c>
      <c r="K271" s="74">
        <v>45674</v>
      </c>
      <c r="L271" t="s">
        <v>190</v>
      </c>
      <c r="M271" s="74">
        <v>45485</v>
      </c>
      <c r="N271" t="s">
        <v>155</v>
      </c>
      <c r="O271" t="s">
        <v>419</v>
      </c>
      <c r="P271">
        <v>0.79</v>
      </c>
      <c r="Q271">
        <v>2.0099999999999998</v>
      </c>
      <c r="R271">
        <v>721.27</v>
      </c>
      <c r="S271">
        <v>1835.13</v>
      </c>
      <c r="T271" t="s">
        <v>66</v>
      </c>
      <c r="AA271">
        <f t="shared" si="4"/>
        <v>392697.8</v>
      </c>
      <c r="AB271">
        <f>COUNTIF($D$1:D271,D271)</f>
        <v>199</v>
      </c>
    </row>
    <row r="272" spans="1:28" x14ac:dyDescent="0.25">
      <c r="A272">
        <v>271</v>
      </c>
      <c r="B272">
        <v>183465</v>
      </c>
      <c r="C272">
        <v>24001629</v>
      </c>
      <c r="D272" t="s">
        <v>14</v>
      </c>
      <c r="E272" t="s">
        <v>106</v>
      </c>
      <c r="F272">
        <v>5157985</v>
      </c>
      <c r="G272">
        <v>383</v>
      </c>
      <c r="H272" t="s">
        <v>118</v>
      </c>
      <c r="I272">
        <v>153</v>
      </c>
      <c r="J272" s="74">
        <v>45673</v>
      </c>
      <c r="K272" s="74">
        <v>45673</v>
      </c>
      <c r="L272" t="s">
        <v>190</v>
      </c>
      <c r="M272" s="74">
        <v>45548</v>
      </c>
      <c r="N272" t="s">
        <v>155</v>
      </c>
      <c r="O272" t="s">
        <v>156</v>
      </c>
      <c r="P272">
        <v>0.93</v>
      </c>
      <c r="Q272">
        <v>2.2400000000000002</v>
      </c>
      <c r="R272">
        <v>142.29</v>
      </c>
      <c r="S272">
        <v>342.72</v>
      </c>
      <c r="T272" t="s">
        <v>66</v>
      </c>
      <c r="AA272">
        <f t="shared" si="4"/>
        <v>392697.8</v>
      </c>
      <c r="AB272">
        <f>COUNTIF($D$1:D272,D272)</f>
        <v>200</v>
      </c>
    </row>
    <row r="273" spans="1:28" x14ac:dyDescent="0.25">
      <c r="A273">
        <v>272</v>
      </c>
      <c r="B273">
        <v>183467</v>
      </c>
      <c r="C273">
        <v>24001631</v>
      </c>
      <c r="D273" t="s">
        <v>14</v>
      </c>
      <c r="E273" t="s">
        <v>106</v>
      </c>
      <c r="F273">
        <v>5157994</v>
      </c>
      <c r="G273">
        <v>383</v>
      </c>
      <c r="H273" t="s">
        <v>118</v>
      </c>
      <c r="I273">
        <v>247</v>
      </c>
      <c r="J273" s="74">
        <v>45674</v>
      </c>
      <c r="K273" s="74">
        <v>45674</v>
      </c>
      <c r="L273" t="s">
        <v>190</v>
      </c>
      <c r="M273" s="74">
        <v>45548</v>
      </c>
      <c r="N273" t="s">
        <v>155</v>
      </c>
      <c r="O273" t="s">
        <v>156</v>
      </c>
      <c r="P273">
        <v>0.93</v>
      </c>
      <c r="Q273">
        <v>2.2400000000000002</v>
      </c>
      <c r="R273">
        <v>229.71</v>
      </c>
      <c r="S273">
        <v>553.28</v>
      </c>
      <c r="T273" t="s">
        <v>66</v>
      </c>
      <c r="AA273">
        <f t="shared" si="4"/>
        <v>392697.8</v>
      </c>
      <c r="AB273">
        <f>COUNTIF($D$1:D273,D273)</f>
        <v>201</v>
      </c>
    </row>
    <row r="274" spans="1:28" x14ac:dyDescent="0.25">
      <c r="A274">
        <v>273</v>
      </c>
      <c r="B274">
        <v>183766</v>
      </c>
      <c r="C274">
        <v>24001858</v>
      </c>
      <c r="D274" t="s">
        <v>14</v>
      </c>
      <c r="E274" t="s">
        <v>106</v>
      </c>
      <c r="F274">
        <v>5158613</v>
      </c>
      <c r="G274">
        <v>667</v>
      </c>
      <c r="H274" t="s">
        <v>118</v>
      </c>
      <c r="I274">
        <v>1188</v>
      </c>
      <c r="J274" s="74">
        <v>45674</v>
      </c>
      <c r="K274" s="74">
        <v>45674</v>
      </c>
      <c r="L274" t="s">
        <v>190</v>
      </c>
      <c r="M274" s="74">
        <v>45597</v>
      </c>
      <c r="N274" t="s">
        <v>155</v>
      </c>
      <c r="O274" t="s">
        <v>152</v>
      </c>
      <c r="P274">
        <v>0.76</v>
      </c>
      <c r="Q274">
        <v>1.43</v>
      </c>
      <c r="R274">
        <v>902.88</v>
      </c>
      <c r="S274">
        <v>1698.84</v>
      </c>
      <c r="T274" t="s">
        <v>66</v>
      </c>
      <c r="AA274">
        <f t="shared" si="4"/>
        <v>392697.8</v>
      </c>
      <c r="AB274">
        <f>COUNTIF($D$1:D274,D274)</f>
        <v>202</v>
      </c>
    </row>
    <row r="275" spans="1:28" x14ac:dyDescent="0.25">
      <c r="A275">
        <v>274</v>
      </c>
      <c r="B275">
        <v>183710</v>
      </c>
      <c r="C275">
        <v>24001802</v>
      </c>
      <c r="D275" t="s">
        <v>14</v>
      </c>
      <c r="E275" t="s">
        <v>106</v>
      </c>
      <c r="F275">
        <v>5159296</v>
      </c>
      <c r="G275">
        <v>663</v>
      </c>
      <c r="H275" t="s">
        <v>118</v>
      </c>
      <c r="I275">
        <v>343</v>
      </c>
      <c r="J275" s="74">
        <v>45674</v>
      </c>
      <c r="K275" s="74">
        <v>45674</v>
      </c>
      <c r="L275" t="s">
        <v>190</v>
      </c>
      <c r="M275" s="74">
        <v>45618</v>
      </c>
      <c r="N275" t="s">
        <v>155</v>
      </c>
      <c r="O275" t="s">
        <v>152</v>
      </c>
      <c r="P275">
        <v>0.83</v>
      </c>
      <c r="Q275">
        <v>2.17</v>
      </c>
      <c r="R275">
        <v>284.69</v>
      </c>
      <c r="S275">
        <v>744.31</v>
      </c>
      <c r="T275" t="s">
        <v>66</v>
      </c>
      <c r="AA275">
        <f t="shared" si="4"/>
        <v>392697.8</v>
      </c>
      <c r="AB275">
        <f>COUNTIF($D$1:D275,D275)</f>
        <v>203</v>
      </c>
    </row>
    <row r="276" spans="1:28" x14ac:dyDescent="0.25">
      <c r="A276">
        <v>275</v>
      </c>
      <c r="B276">
        <v>183560</v>
      </c>
      <c r="C276">
        <v>24001756</v>
      </c>
      <c r="D276" t="s">
        <v>14</v>
      </c>
      <c r="E276" t="s">
        <v>106</v>
      </c>
      <c r="F276">
        <v>5157983</v>
      </c>
      <c r="G276">
        <v>650</v>
      </c>
      <c r="H276" t="s">
        <v>118</v>
      </c>
      <c r="I276">
        <v>572</v>
      </c>
      <c r="J276" s="74">
        <v>45673</v>
      </c>
      <c r="K276" s="74">
        <v>45673</v>
      </c>
      <c r="L276" t="s">
        <v>190</v>
      </c>
      <c r="M276" s="74">
        <v>45583</v>
      </c>
      <c r="N276" t="s">
        <v>155</v>
      </c>
      <c r="O276" t="s">
        <v>150</v>
      </c>
      <c r="P276">
        <v>0.79</v>
      </c>
      <c r="Q276">
        <v>2.0099999999999998</v>
      </c>
      <c r="R276">
        <v>451.88</v>
      </c>
      <c r="S276">
        <v>1149.72</v>
      </c>
      <c r="T276" t="s">
        <v>66</v>
      </c>
      <c r="AA276">
        <f t="shared" si="4"/>
        <v>392697.8</v>
      </c>
      <c r="AB276">
        <f>COUNTIF($D$1:D276,D276)</f>
        <v>204</v>
      </c>
    </row>
    <row r="277" spans="1:28" x14ac:dyDescent="0.25">
      <c r="A277">
        <v>276</v>
      </c>
      <c r="B277">
        <v>183912</v>
      </c>
      <c r="C277">
        <v>24001880</v>
      </c>
      <c r="D277" t="s">
        <v>14</v>
      </c>
      <c r="E277" t="s">
        <v>106</v>
      </c>
      <c r="F277">
        <v>5159772</v>
      </c>
      <c r="G277">
        <v>795</v>
      </c>
      <c r="H277" t="s">
        <v>118</v>
      </c>
      <c r="I277">
        <v>390</v>
      </c>
      <c r="J277" s="74">
        <v>45673</v>
      </c>
      <c r="K277" s="74">
        <v>45673</v>
      </c>
      <c r="L277" t="s">
        <v>190</v>
      </c>
      <c r="M277" s="74">
        <v>45625</v>
      </c>
      <c r="N277" t="s">
        <v>155</v>
      </c>
      <c r="O277" t="s">
        <v>152</v>
      </c>
      <c r="P277">
        <v>0.61</v>
      </c>
      <c r="Q277">
        <v>1.37</v>
      </c>
      <c r="R277">
        <v>237.9</v>
      </c>
      <c r="S277">
        <v>534.29999999999995</v>
      </c>
      <c r="T277" t="s">
        <v>66</v>
      </c>
      <c r="AA277">
        <f t="shared" si="4"/>
        <v>392697.8</v>
      </c>
      <c r="AB277">
        <f>COUNTIF($D$1:D277,D277)</f>
        <v>205</v>
      </c>
    </row>
    <row r="278" spans="1:28" x14ac:dyDescent="0.25">
      <c r="A278">
        <v>277</v>
      </c>
      <c r="B278">
        <v>183913</v>
      </c>
      <c r="C278">
        <v>24001881</v>
      </c>
      <c r="D278" t="s">
        <v>14</v>
      </c>
      <c r="E278" t="s">
        <v>106</v>
      </c>
      <c r="F278">
        <v>5159771</v>
      </c>
      <c r="G278">
        <v>795</v>
      </c>
      <c r="H278" t="s">
        <v>118</v>
      </c>
      <c r="I278">
        <v>1874</v>
      </c>
      <c r="J278" s="74">
        <v>45673</v>
      </c>
      <c r="K278" s="74">
        <v>45673</v>
      </c>
      <c r="L278" t="s">
        <v>190</v>
      </c>
      <c r="M278" s="74">
        <v>45632</v>
      </c>
      <c r="N278" t="s">
        <v>155</v>
      </c>
      <c r="O278" t="s">
        <v>153</v>
      </c>
      <c r="P278">
        <v>0.61</v>
      </c>
      <c r="Q278">
        <v>1.37</v>
      </c>
      <c r="R278">
        <v>1143.1400000000001</v>
      </c>
      <c r="S278">
        <v>2567.38</v>
      </c>
      <c r="T278" t="s">
        <v>66</v>
      </c>
      <c r="AA278">
        <f t="shared" si="4"/>
        <v>392697.8</v>
      </c>
      <c r="AB278">
        <f>COUNTIF($D$1:D278,D278)</f>
        <v>206</v>
      </c>
    </row>
    <row r="279" spans="1:28" x14ac:dyDescent="0.25">
      <c r="A279">
        <v>278</v>
      </c>
      <c r="B279">
        <v>183914</v>
      </c>
      <c r="C279">
        <v>24001882</v>
      </c>
      <c r="D279" t="s">
        <v>14</v>
      </c>
      <c r="E279" t="s">
        <v>106</v>
      </c>
      <c r="F279">
        <v>5159770</v>
      </c>
      <c r="G279">
        <v>795</v>
      </c>
      <c r="H279" t="s">
        <v>118</v>
      </c>
      <c r="I279">
        <v>491</v>
      </c>
      <c r="J279" s="74">
        <v>45674</v>
      </c>
      <c r="K279" s="74">
        <v>45674</v>
      </c>
      <c r="L279" t="s">
        <v>190</v>
      </c>
      <c r="M279" s="74">
        <v>45632</v>
      </c>
      <c r="N279" t="s">
        <v>155</v>
      </c>
      <c r="O279" t="s">
        <v>153</v>
      </c>
      <c r="P279">
        <v>0.63</v>
      </c>
      <c r="Q279">
        <v>1.43</v>
      </c>
      <c r="R279">
        <v>309.33</v>
      </c>
      <c r="S279">
        <v>702.13</v>
      </c>
      <c r="T279" t="s">
        <v>66</v>
      </c>
      <c r="AA279">
        <f t="shared" si="4"/>
        <v>392697.8</v>
      </c>
      <c r="AB279">
        <f>COUNTIF($D$1:D279,D279)</f>
        <v>207</v>
      </c>
    </row>
    <row r="280" spans="1:28" x14ac:dyDescent="0.25">
      <c r="A280">
        <v>279</v>
      </c>
      <c r="B280">
        <v>183937</v>
      </c>
      <c r="C280">
        <v>24001905</v>
      </c>
      <c r="D280" t="s">
        <v>14</v>
      </c>
      <c r="E280" t="s">
        <v>106</v>
      </c>
      <c r="F280">
        <v>5159296</v>
      </c>
      <c r="G280">
        <v>797</v>
      </c>
      <c r="H280" t="s">
        <v>118</v>
      </c>
      <c r="I280">
        <v>393</v>
      </c>
      <c r="J280" s="74">
        <v>45674</v>
      </c>
      <c r="K280" s="74">
        <v>45674</v>
      </c>
      <c r="L280" t="s">
        <v>190</v>
      </c>
      <c r="M280" s="74">
        <v>45639</v>
      </c>
      <c r="N280" t="s">
        <v>155</v>
      </c>
      <c r="O280" t="s">
        <v>153</v>
      </c>
      <c r="P280">
        <v>0.83</v>
      </c>
      <c r="Q280">
        <v>2.17</v>
      </c>
      <c r="R280">
        <v>326.19</v>
      </c>
      <c r="S280">
        <v>852.81</v>
      </c>
      <c r="T280" t="s">
        <v>66</v>
      </c>
      <c r="AA280">
        <f t="shared" si="4"/>
        <v>392697.8</v>
      </c>
      <c r="AB280">
        <f>COUNTIF($D$1:D280,D280)</f>
        <v>208</v>
      </c>
    </row>
    <row r="281" spans="1:28" x14ac:dyDescent="0.25">
      <c r="A281">
        <v>280</v>
      </c>
      <c r="B281">
        <v>183938</v>
      </c>
      <c r="C281">
        <v>24001906</v>
      </c>
      <c r="D281" t="s">
        <v>14</v>
      </c>
      <c r="E281" t="s">
        <v>106</v>
      </c>
      <c r="F281">
        <v>5159307</v>
      </c>
      <c r="G281">
        <v>797</v>
      </c>
      <c r="H281" t="s">
        <v>118</v>
      </c>
      <c r="I281">
        <v>422</v>
      </c>
      <c r="J281" s="74">
        <v>45674</v>
      </c>
      <c r="K281" s="74">
        <v>45674</v>
      </c>
      <c r="L281" t="s">
        <v>190</v>
      </c>
      <c r="M281" s="74">
        <v>45639</v>
      </c>
      <c r="N281" t="s">
        <v>155</v>
      </c>
      <c r="O281" t="s">
        <v>153</v>
      </c>
      <c r="P281">
        <v>0.83</v>
      </c>
      <c r="Q281">
        <v>2.17</v>
      </c>
      <c r="R281">
        <v>350.26</v>
      </c>
      <c r="S281">
        <v>915.74</v>
      </c>
      <c r="T281" t="s">
        <v>66</v>
      </c>
      <c r="AA281">
        <f t="shared" si="4"/>
        <v>392697.8</v>
      </c>
      <c r="AB281">
        <f>COUNTIF($D$1:D281,D281)</f>
        <v>209</v>
      </c>
    </row>
    <row r="282" spans="1:28" x14ac:dyDescent="0.25">
      <c r="A282">
        <v>281</v>
      </c>
      <c r="B282">
        <v>184261</v>
      </c>
      <c r="C282">
        <v>24001935</v>
      </c>
      <c r="D282" t="s">
        <v>14</v>
      </c>
      <c r="E282" t="s">
        <v>106</v>
      </c>
      <c r="F282">
        <v>5159766</v>
      </c>
      <c r="G282">
        <v>940</v>
      </c>
      <c r="H282" t="s">
        <v>118</v>
      </c>
      <c r="I282">
        <v>4514</v>
      </c>
      <c r="J282" s="74">
        <v>45674</v>
      </c>
      <c r="K282" s="74">
        <v>45677</v>
      </c>
      <c r="L282" t="s">
        <v>190</v>
      </c>
      <c r="M282" s="74">
        <v>45653</v>
      </c>
      <c r="N282" t="s">
        <v>155</v>
      </c>
      <c r="O282" t="s">
        <v>153</v>
      </c>
      <c r="P282">
        <v>0.61</v>
      </c>
      <c r="Q282">
        <v>1.37</v>
      </c>
      <c r="R282">
        <v>2753.54</v>
      </c>
      <c r="S282">
        <v>6184.18</v>
      </c>
      <c r="T282" t="s">
        <v>66</v>
      </c>
      <c r="AA282">
        <f t="shared" si="4"/>
        <v>392697.8</v>
      </c>
      <c r="AB282">
        <f>COUNTIF($D$1:D282,D282)</f>
        <v>210</v>
      </c>
    </row>
    <row r="283" spans="1:28" x14ac:dyDescent="0.25">
      <c r="A283">
        <v>282</v>
      </c>
      <c r="B283">
        <v>184283</v>
      </c>
      <c r="C283">
        <v>24001957</v>
      </c>
      <c r="D283" t="s">
        <v>14</v>
      </c>
      <c r="E283" t="s">
        <v>106</v>
      </c>
      <c r="F283" t="s">
        <v>221</v>
      </c>
      <c r="G283">
        <v>941</v>
      </c>
      <c r="H283" t="s">
        <v>118</v>
      </c>
      <c r="I283">
        <v>298</v>
      </c>
      <c r="J283" s="74">
        <v>45659</v>
      </c>
      <c r="K283" s="74">
        <v>45678</v>
      </c>
      <c r="L283" t="s">
        <v>190</v>
      </c>
      <c r="M283" s="74">
        <v>45653</v>
      </c>
      <c r="N283" t="s">
        <v>155</v>
      </c>
      <c r="O283" t="s">
        <v>153</v>
      </c>
      <c r="P283">
        <v>0.77</v>
      </c>
      <c r="Q283">
        <v>2.0099999999999998</v>
      </c>
      <c r="R283">
        <v>229.46</v>
      </c>
      <c r="S283">
        <v>598.98</v>
      </c>
      <c r="T283" t="s">
        <v>66</v>
      </c>
      <c r="AA283">
        <f t="shared" si="4"/>
        <v>392697.8</v>
      </c>
      <c r="AB283">
        <f>COUNTIF($D$1:D283,D283)</f>
        <v>211</v>
      </c>
    </row>
    <row r="284" spans="1:28" x14ac:dyDescent="0.25">
      <c r="A284">
        <v>283</v>
      </c>
      <c r="B284">
        <v>184285</v>
      </c>
      <c r="C284">
        <v>24001959</v>
      </c>
      <c r="D284" t="s">
        <v>14</v>
      </c>
      <c r="E284" t="s">
        <v>106</v>
      </c>
      <c r="F284">
        <v>5158602</v>
      </c>
      <c r="G284">
        <v>941</v>
      </c>
      <c r="H284" t="s">
        <v>118</v>
      </c>
      <c r="I284">
        <v>399</v>
      </c>
      <c r="J284" s="74">
        <v>45678</v>
      </c>
      <c r="K284" s="74">
        <v>45678</v>
      </c>
      <c r="L284" t="s">
        <v>190</v>
      </c>
      <c r="M284" s="74">
        <v>45653</v>
      </c>
      <c r="N284" t="s">
        <v>155</v>
      </c>
      <c r="O284" t="s">
        <v>153</v>
      </c>
      <c r="P284">
        <v>0.8</v>
      </c>
      <c r="Q284">
        <v>1.88</v>
      </c>
      <c r="R284">
        <v>319.2</v>
      </c>
      <c r="S284">
        <v>750.12</v>
      </c>
      <c r="T284" t="s">
        <v>66</v>
      </c>
      <c r="AA284">
        <f t="shared" si="4"/>
        <v>392697.8</v>
      </c>
      <c r="AB284">
        <f>COUNTIF($D$1:D284,D284)</f>
        <v>212</v>
      </c>
    </row>
    <row r="285" spans="1:28" x14ac:dyDescent="0.25">
      <c r="A285">
        <v>284</v>
      </c>
      <c r="B285">
        <v>184304</v>
      </c>
      <c r="C285">
        <v>24001978</v>
      </c>
      <c r="D285" t="s">
        <v>14</v>
      </c>
      <c r="E285" t="s">
        <v>106</v>
      </c>
      <c r="F285">
        <v>5157992</v>
      </c>
      <c r="G285">
        <v>941</v>
      </c>
      <c r="H285" t="s">
        <v>118</v>
      </c>
      <c r="I285">
        <v>942</v>
      </c>
      <c r="J285" s="74">
        <v>45663</v>
      </c>
      <c r="K285" s="74">
        <v>45679</v>
      </c>
      <c r="L285" t="s">
        <v>190</v>
      </c>
      <c r="M285" s="74">
        <v>45667</v>
      </c>
      <c r="N285" t="s">
        <v>155</v>
      </c>
      <c r="O285" t="s">
        <v>190</v>
      </c>
      <c r="P285">
        <v>0.79</v>
      </c>
      <c r="Q285">
        <v>2.0099999999999998</v>
      </c>
      <c r="R285">
        <v>744.18</v>
      </c>
      <c r="S285">
        <v>1893.42</v>
      </c>
      <c r="T285" t="s">
        <v>66</v>
      </c>
      <c r="AA285">
        <f t="shared" si="4"/>
        <v>392697.8</v>
      </c>
      <c r="AB285">
        <f>COUNTIF($D$1:D285,D285)</f>
        <v>213</v>
      </c>
    </row>
    <row r="286" spans="1:28" x14ac:dyDescent="0.25">
      <c r="A286">
        <v>285</v>
      </c>
      <c r="B286">
        <v>184305</v>
      </c>
      <c r="C286">
        <v>24001979</v>
      </c>
      <c r="D286" t="s">
        <v>14</v>
      </c>
      <c r="E286" t="s">
        <v>106</v>
      </c>
      <c r="F286">
        <v>5159304</v>
      </c>
      <c r="G286">
        <v>941</v>
      </c>
      <c r="H286" t="s">
        <v>118</v>
      </c>
      <c r="I286">
        <v>222</v>
      </c>
      <c r="J286" s="74">
        <v>45660</v>
      </c>
      <c r="K286" s="74">
        <v>45671</v>
      </c>
      <c r="L286" t="s">
        <v>190</v>
      </c>
      <c r="M286" s="74">
        <v>45667</v>
      </c>
      <c r="N286" t="s">
        <v>155</v>
      </c>
      <c r="O286" t="s">
        <v>190</v>
      </c>
      <c r="P286">
        <v>0.8</v>
      </c>
      <c r="Q286">
        <v>2.08</v>
      </c>
      <c r="R286">
        <v>177.6</v>
      </c>
      <c r="S286">
        <v>461.76</v>
      </c>
      <c r="T286" t="s">
        <v>66</v>
      </c>
      <c r="AA286">
        <f t="shared" si="4"/>
        <v>392697.8</v>
      </c>
      <c r="AB286">
        <f>COUNTIF($D$1:D286,D286)</f>
        <v>214</v>
      </c>
    </row>
    <row r="287" spans="1:28" x14ac:dyDescent="0.25">
      <c r="A287">
        <v>286</v>
      </c>
      <c r="B287">
        <v>184307</v>
      </c>
      <c r="C287">
        <v>24001981</v>
      </c>
      <c r="D287" t="s">
        <v>14</v>
      </c>
      <c r="E287" t="s">
        <v>106</v>
      </c>
      <c r="F287">
        <v>5159299</v>
      </c>
      <c r="G287">
        <v>941</v>
      </c>
      <c r="H287" t="s">
        <v>118</v>
      </c>
      <c r="I287">
        <v>222</v>
      </c>
      <c r="J287" s="74">
        <v>45660</v>
      </c>
      <c r="K287" s="74">
        <v>45679</v>
      </c>
      <c r="L287" t="s">
        <v>190</v>
      </c>
      <c r="M287" s="74">
        <v>45667</v>
      </c>
      <c r="N287" t="s">
        <v>155</v>
      </c>
      <c r="O287" t="s">
        <v>190</v>
      </c>
      <c r="P287">
        <v>0.8</v>
      </c>
      <c r="Q287">
        <v>2.08</v>
      </c>
      <c r="R287">
        <v>177.6</v>
      </c>
      <c r="S287">
        <v>461.76</v>
      </c>
      <c r="T287" t="s">
        <v>66</v>
      </c>
      <c r="AA287">
        <f t="shared" si="4"/>
        <v>392697.8</v>
      </c>
      <c r="AB287">
        <f>COUNTIF($D$1:D287,D287)</f>
        <v>215</v>
      </c>
    </row>
    <row r="288" spans="1:28" x14ac:dyDescent="0.25">
      <c r="A288">
        <v>287</v>
      </c>
      <c r="B288">
        <v>184308</v>
      </c>
      <c r="C288">
        <v>24001982</v>
      </c>
      <c r="D288" t="s">
        <v>14</v>
      </c>
      <c r="E288" t="s">
        <v>106</v>
      </c>
      <c r="F288" t="s">
        <v>171</v>
      </c>
      <c r="G288">
        <v>941</v>
      </c>
      <c r="H288" t="s">
        <v>118</v>
      </c>
      <c r="I288">
        <v>45</v>
      </c>
      <c r="J288" s="74">
        <v>45679</v>
      </c>
      <c r="K288" s="74">
        <v>45679</v>
      </c>
      <c r="L288" t="s">
        <v>190</v>
      </c>
      <c r="M288" s="74">
        <v>45667</v>
      </c>
      <c r="N288" t="s">
        <v>155</v>
      </c>
      <c r="O288" t="s">
        <v>190</v>
      </c>
      <c r="P288">
        <v>0.78</v>
      </c>
      <c r="Q288">
        <v>2.2400000000000002</v>
      </c>
      <c r="R288">
        <v>35.1</v>
      </c>
      <c r="S288">
        <v>100.8</v>
      </c>
      <c r="T288" t="s">
        <v>66</v>
      </c>
      <c r="AA288">
        <f t="shared" si="4"/>
        <v>392697.8</v>
      </c>
      <c r="AB288">
        <f>COUNTIF($D$1:D288,D288)</f>
        <v>216</v>
      </c>
    </row>
    <row r="289" spans="1:28" x14ac:dyDescent="0.25">
      <c r="A289">
        <v>288</v>
      </c>
      <c r="B289">
        <v>184309</v>
      </c>
      <c r="C289">
        <v>24001983</v>
      </c>
      <c r="D289" t="s">
        <v>14</v>
      </c>
      <c r="E289" t="s">
        <v>106</v>
      </c>
      <c r="F289">
        <v>5159295</v>
      </c>
      <c r="G289">
        <v>941</v>
      </c>
      <c r="H289" t="s">
        <v>118</v>
      </c>
      <c r="I289">
        <v>645</v>
      </c>
      <c r="J289" s="74">
        <v>45679</v>
      </c>
      <c r="K289" s="74">
        <v>45679</v>
      </c>
      <c r="L289" t="s">
        <v>190</v>
      </c>
      <c r="M289" s="74">
        <v>45667</v>
      </c>
      <c r="N289" t="s">
        <v>155</v>
      </c>
      <c r="O289" t="s">
        <v>190</v>
      </c>
      <c r="P289">
        <v>0.8</v>
      </c>
      <c r="Q289">
        <v>2.08</v>
      </c>
      <c r="R289">
        <v>516</v>
      </c>
      <c r="S289">
        <v>1341.6</v>
      </c>
      <c r="T289" t="s">
        <v>66</v>
      </c>
      <c r="AA289">
        <f t="shared" si="4"/>
        <v>392697.8</v>
      </c>
      <c r="AB289">
        <f>COUNTIF($D$1:D289,D289)</f>
        <v>217</v>
      </c>
    </row>
    <row r="290" spans="1:28" x14ac:dyDescent="0.25">
      <c r="A290">
        <v>289</v>
      </c>
      <c r="B290">
        <v>184310</v>
      </c>
      <c r="C290">
        <v>24001984</v>
      </c>
      <c r="D290" t="s">
        <v>14</v>
      </c>
      <c r="E290" t="s">
        <v>106</v>
      </c>
      <c r="F290">
        <v>5157985</v>
      </c>
      <c r="G290">
        <v>941</v>
      </c>
      <c r="H290" t="s">
        <v>118</v>
      </c>
      <c r="I290">
        <v>32</v>
      </c>
      <c r="J290" s="74">
        <v>45664</v>
      </c>
      <c r="K290" s="74">
        <v>45679</v>
      </c>
      <c r="L290" t="s">
        <v>190</v>
      </c>
      <c r="M290" s="74">
        <v>45667</v>
      </c>
      <c r="N290" t="s">
        <v>155</v>
      </c>
      <c r="O290" t="s">
        <v>190</v>
      </c>
      <c r="P290">
        <v>0.93</v>
      </c>
      <c r="Q290">
        <v>2.2400000000000002</v>
      </c>
      <c r="R290">
        <v>29.76</v>
      </c>
      <c r="S290">
        <v>71.680000000000007</v>
      </c>
      <c r="T290" t="s">
        <v>66</v>
      </c>
      <c r="AA290">
        <f t="shared" si="4"/>
        <v>392697.8</v>
      </c>
      <c r="AB290">
        <f>COUNTIF($D$1:D290,D290)</f>
        <v>218</v>
      </c>
    </row>
    <row r="291" spans="1:28" x14ac:dyDescent="0.25">
      <c r="A291">
        <v>290</v>
      </c>
      <c r="B291">
        <v>184311</v>
      </c>
      <c r="C291">
        <v>24001985</v>
      </c>
      <c r="D291" t="s">
        <v>14</v>
      </c>
      <c r="E291" t="s">
        <v>106</v>
      </c>
      <c r="F291" t="s">
        <v>209</v>
      </c>
      <c r="G291">
        <v>941</v>
      </c>
      <c r="H291" t="s">
        <v>118</v>
      </c>
      <c r="I291">
        <v>90</v>
      </c>
      <c r="J291" s="74">
        <v>45679</v>
      </c>
      <c r="K291" s="74">
        <v>45679</v>
      </c>
      <c r="L291" t="s">
        <v>190</v>
      </c>
      <c r="M291" s="74">
        <v>45667</v>
      </c>
      <c r="N291" t="s">
        <v>155</v>
      </c>
      <c r="O291" t="s">
        <v>190</v>
      </c>
      <c r="P291">
        <v>1</v>
      </c>
      <c r="Q291">
        <v>2.4300000000000002</v>
      </c>
      <c r="R291">
        <v>90</v>
      </c>
      <c r="S291">
        <v>218.7</v>
      </c>
      <c r="T291" t="s">
        <v>66</v>
      </c>
      <c r="AA291">
        <f t="shared" si="4"/>
        <v>392697.8</v>
      </c>
      <c r="AB291">
        <f>COUNTIF($D$1:D291,D291)</f>
        <v>219</v>
      </c>
    </row>
    <row r="292" spans="1:28" x14ac:dyDescent="0.25">
      <c r="A292">
        <v>291</v>
      </c>
      <c r="B292">
        <v>184514</v>
      </c>
      <c r="C292">
        <v>24002026</v>
      </c>
      <c r="D292" t="s">
        <v>14</v>
      </c>
      <c r="E292" t="s">
        <v>106</v>
      </c>
      <c r="F292">
        <v>5158583</v>
      </c>
      <c r="G292">
        <v>995</v>
      </c>
      <c r="H292" t="s">
        <v>118</v>
      </c>
      <c r="I292">
        <v>6584</v>
      </c>
      <c r="J292" s="74">
        <v>45659</v>
      </c>
      <c r="K292" s="74">
        <v>45674</v>
      </c>
      <c r="L292" t="s">
        <v>190</v>
      </c>
      <c r="M292" s="74">
        <v>45674</v>
      </c>
      <c r="N292" t="s">
        <v>151</v>
      </c>
      <c r="O292" t="s">
        <v>190</v>
      </c>
      <c r="P292">
        <v>0.8</v>
      </c>
      <c r="Q292">
        <v>5.63</v>
      </c>
      <c r="R292">
        <v>5267.2</v>
      </c>
      <c r="S292">
        <v>37067.919999999998</v>
      </c>
      <c r="T292" t="s">
        <v>66</v>
      </c>
      <c r="AA292">
        <f t="shared" si="4"/>
        <v>392697.8</v>
      </c>
      <c r="AB292">
        <f>COUNTIF($D$1:D292,D292)</f>
        <v>220</v>
      </c>
    </row>
    <row r="293" spans="1:28" x14ac:dyDescent="0.25">
      <c r="A293">
        <v>292</v>
      </c>
      <c r="B293">
        <v>184515</v>
      </c>
      <c r="C293">
        <v>24002027</v>
      </c>
      <c r="D293" t="s">
        <v>14</v>
      </c>
      <c r="E293" t="s">
        <v>106</v>
      </c>
      <c r="F293" t="s">
        <v>177</v>
      </c>
      <c r="G293">
        <v>995</v>
      </c>
      <c r="H293" t="s">
        <v>118</v>
      </c>
      <c r="I293">
        <v>308</v>
      </c>
      <c r="J293" s="74">
        <v>45660</v>
      </c>
      <c r="K293" s="74">
        <v>45674</v>
      </c>
      <c r="L293" t="s">
        <v>190</v>
      </c>
      <c r="M293" s="74">
        <v>45674</v>
      </c>
      <c r="N293" t="s">
        <v>151</v>
      </c>
      <c r="O293" t="s">
        <v>190</v>
      </c>
      <c r="P293">
        <v>0.77</v>
      </c>
      <c r="Q293">
        <v>6.02</v>
      </c>
      <c r="R293">
        <v>237.16</v>
      </c>
      <c r="S293">
        <v>1854.16</v>
      </c>
      <c r="T293" t="s">
        <v>66</v>
      </c>
      <c r="AA293">
        <f t="shared" si="4"/>
        <v>392697.8</v>
      </c>
      <c r="AB293">
        <f>COUNTIF($D$1:D293,D293)</f>
        <v>221</v>
      </c>
    </row>
    <row r="294" spans="1:28" x14ac:dyDescent="0.25">
      <c r="A294">
        <v>293</v>
      </c>
      <c r="B294">
        <v>184525</v>
      </c>
      <c r="C294">
        <v>24002037</v>
      </c>
      <c r="D294" t="s">
        <v>14</v>
      </c>
      <c r="E294" t="s">
        <v>106</v>
      </c>
      <c r="F294">
        <v>5157992</v>
      </c>
      <c r="G294">
        <v>996</v>
      </c>
      <c r="H294" t="s">
        <v>118</v>
      </c>
      <c r="I294">
        <v>1242</v>
      </c>
      <c r="J294" s="74">
        <v>45671</v>
      </c>
      <c r="K294" s="74">
        <v>45679</v>
      </c>
      <c r="L294" t="s">
        <v>190</v>
      </c>
      <c r="M294" s="74">
        <v>45688</v>
      </c>
      <c r="N294" t="s">
        <v>151</v>
      </c>
      <c r="O294" t="s">
        <v>190</v>
      </c>
      <c r="P294">
        <v>0.79</v>
      </c>
      <c r="Q294">
        <v>6.04</v>
      </c>
      <c r="R294">
        <v>981.18</v>
      </c>
      <c r="S294">
        <v>7501.68</v>
      </c>
      <c r="T294" t="s">
        <v>66</v>
      </c>
      <c r="AA294">
        <f t="shared" si="4"/>
        <v>392697.8</v>
      </c>
      <c r="AB294">
        <f>COUNTIF($D$1:D294,D294)</f>
        <v>222</v>
      </c>
    </row>
    <row r="295" spans="1:28" x14ac:dyDescent="0.25">
      <c r="A295">
        <v>294</v>
      </c>
      <c r="B295">
        <v>184526</v>
      </c>
      <c r="C295">
        <v>24002038</v>
      </c>
      <c r="D295" t="s">
        <v>14</v>
      </c>
      <c r="E295" t="s">
        <v>106</v>
      </c>
      <c r="F295" t="s">
        <v>173</v>
      </c>
      <c r="G295">
        <v>996</v>
      </c>
      <c r="H295" t="s">
        <v>118</v>
      </c>
      <c r="I295">
        <v>135</v>
      </c>
      <c r="J295" s="74">
        <v>45671</v>
      </c>
      <c r="K295" s="74">
        <v>45679</v>
      </c>
      <c r="L295" t="s">
        <v>190</v>
      </c>
      <c r="M295" s="74">
        <v>45688</v>
      </c>
      <c r="N295" t="s">
        <v>151</v>
      </c>
      <c r="O295" t="s">
        <v>190</v>
      </c>
      <c r="P295">
        <v>0.77</v>
      </c>
      <c r="Q295">
        <v>6.49</v>
      </c>
      <c r="R295">
        <v>103.95</v>
      </c>
      <c r="S295">
        <v>876.15</v>
      </c>
      <c r="T295" t="s">
        <v>66</v>
      </c>
      <c r="AA295">
        <f t="shared" si="4"/>
        <v>392697.8</v>
      </c>
      <c r="AB295">
        <f>COUNTIF($D$1:D295,D295)</f>
        <v>223</v>
      </c>
    </row>
    <row r="296" spans="1:28" x14ac:dyDescent="0.25">
      <c r="A296">
        <v>295</v>
      </c>
      <c r="B296">
        <v>184527</v>
      </c>
      <c r="C296">
        <v>24002039</v>
      </c>
      <c r="D296" t="s">
        <v>14</v>
      </c>
      <c r="E296" t="s">
        <v>106</v>
      </c>
      <c r="F296">
        <v>5157994</v>
      </c>
      <c r="G296">
        <v>996</v>
      </c>
      <c r="H296" t="s">
        <v>118</v>
      </c>
      <c r="I296">
        <v>972</v>
      </c>
      <c r="J296" s="74">
        <v>45679</v>
      </c>
      <c r="K296" s="74">
        <v>45679</v>
      </c>
      <c r="L296" t="s">
        <v>190</v>
      </c>
      <c r="M296" s="74">
        <v>45688</v>
      </c>
      <c r="N296" t="s">
        <v>151</v>
      </c>
      <c r="O296" t="s">
        <v>190</v>
      </c>
      <c r="P296">
        <v>0.93</v>
      </c>
      <c r="Q296">
        <v>6.72</v>
      </c>
      <c r="R296">
        <v>903.96</v>
      </c>
      <c r="S296">
        <v>6531.84</v>
      </c>
      <c r="T296" t="s">
        <v>66</v>
      </c>
      <c r="AA296">
        <f t="shared" si="4"/>
        <v>392697.8</v>
      </c>
      <c r="AB296">
        <f>COUNTIF($D$1:D296,D296)</f>
        <v>224</v>
      </c>
    </row>
    <row r="297" spans="1:28" x14ac:dyDescent="0.25">
      <c r="A297">
        <v>296</v>
      </c>
      <c r="B297">
        <v>184528</v>
      </c>
      <c r="C297">
        <v>24002040</v>
      </c>
      <c r="D297" t="s">
        <v>14</v>
      </c>
      <c r="E297" t="s">
        <v>106</v>
      </c>
      <c r="F297" t="s">
        <v>210</v>
      </c>
      <c r="G297">
        <v>996</v>
      </c>
      <c r="H297" t="s">
        <v>118</v>
      </c>
      <c r="I297">
        <v>135</v>
      </c>
      <c r="J297" s="74">
        <v>45679</v>
      </c>
      <c r="K297" s="74">
        <v>45679</v>
      </c>
      <c r="L297" t="s">
        <v>190</v>
      </c>
      <c r="M297" s="74">
        <v>45688</v>
      </c>
      <c r="N297" t="s">
        <v>151</v>
      </c>
      <c r="O297" t="s">
        <v>190</v>
      </c>
      <c r="P297">
        <v>1</v>
      </c>
      <c r="Q297">
        <v>7.3</v>
      </c>
      <c r="R297">
        <v>135</v>
      </c>
      <c r="S297">
        <v>985.5</v>
      </c>
      <c r="T297" t="s">
        <v>66</v>
      </c>
      <c r="AA297">
        <f t="shared" si="4"/>
        <v>392697.8</v>
      </c>
      <c r="AB297">
        <f>COUNTIF($D$1:D297,D297)</f>
        <v>225</v>
      </c>
    </row>
    <row r="298" spans="1:28" x14ac:dyDescent="0.25">
      <c r="A298">
        <v>297</v>
      </c>
      <c r="B298">
        <v>184538</v>
      </c>
      <c r="C298">
        <v>24002050</v>
      </c>
      <c r="D298" t="s">
        <v>14</v>
      </c>
      <c r="E298" t="s">
        <v>106</v>
      </c>
      <c r="F298">
        <v>5157997</v>
      </c>
      <c r="G298">
        <v>996</v>
      </c>
      <c r="H298" t="s">
        <v>118</v>
      </c>
      <c r="I298">
        <v>1350</v>
      </c>
      <c r="J298" s="74">
        <v>45672</v>
      </c>
      <c r="K298" s="74">
        <v>45679</v>
      </c>
      <c r="L298" t="s">
        <v>190</v>
      </c>
      <c r="M298" s="74">
        <v>45688</v>
      </c>
      <c r="N298" t="s">
        <v>151</v>
      </c>
      <c r="O298" t="s">
        <v>190</v>
      </c>
      <c r="P298">
        <v>0.75</v>
      </c>
      <c r="Q298">
        <v>5.78</v>
      </c>
      <c r="R298">
        <v>1012.5</v>
      </c>
      <c r="S298">
        <v>7803</v>
      </c>
      <c r="T298" t="s">
        <v>66</v>
      </c>
      <c r="AA298">
        <f t="shared" si="4"/>
        <v>392697.8</v>
      </c>
      <c r="AB298">
        <f>COUNTIF($D$1:D298,D298)</f>
        <v>226</v>
      </c>
    </row>
    <row r="299" spans="1:28" x14ac:dyDescent="0.25">
      <c r="A299">
        <v>298</v>
      </c>
      <c r="B299">
        <v>184539</v>
      </c>
      <c r="C299">
        <v>24002051</v>
      </c>
      <c r="D299" t="s">
        <v>14</v>
      </c>
      <c r="E299" t="s">
        <v>106</v>
      </c>
      <c r="F299">
        <v>5157978</v>
      </c>
      <c r="G299">
        <v>996</v>
      </c>
      <c r="H299" t="s">
        <v>118</v>
      </c>
      <c r="I299">
        <v>918</v>
      </c>
      <c r="J299" s="74">
        <v>45679</v>
      </c>
      <c r="K299" s="74">
        <v>45679</v>
      </c>
      <c r="L299" t="s">
        <v>190</v>
      </c>
      <c r="M299" s="74">
        <v>45688</v>
      </c>
      <c r="N299" t="s">
        <v>151</v>
      </c>
      <c r="O299" t="s">
        <v>190</v>
      </c>
      <c r="P299">
        <v>0.75</v>
      </c>
      <c r="Q299">
        <v>5.78</v>
      </c>
      <c r="R299">
        <v>688.5</v>
      </c>
      <c r="S299">
        <v>5306.04</v>
      </c>
      <c r="T299" t="s">
        <v>66</v>
      </c>
      <c r="AA299">
        <f t="shared" si="4"/>
        <v>392697.8</v>
      </c>
      <c r="AB299">
        <f>COUNTIF($D$1:D299,D299)</f>
        <v>227</v>
      </c>
    </row>
    <row r="300" spans="1:28" x14ac:dyDescent="0.25">
      <c r="A300">
        <v>299</v>
      </c>
      <c r="B300">
        <v>184494</v>
      </c>
      <c r="C300">
        <v>24002006</v>
      </c>
      <c r="D300" t="s">
        <v>14</v>
      </c>
      <c r="E300" t="s">
        <v>106</v>
      </c>
      <c r="F300">
        <v>5159305</v>
      </c>
      <c r="G300">
        <v>994</v>
      </c>
      <c r="H300" t="s">
        <v>118</v>
      </c>
      <c r="I300">
        <v>6237</v>
      </c>
      <c r="J300" s="74">
        <v>45679</v>
      </c>
      <c r="K300" s="74">
        <v>45681</v>
      </c>
      <c r="L300" t="s">
        <v>190</v>
      </c>
      <c r="M300" s="74">
        <v>45695</v>
      </c>
      <c r="N300" t="s">
        <v>151</v>
      </c>
      <c r="O300" t="s">
        <v>224</v>
      </c>
      <c r="P300">
        <v>0.83</v>
      </c>
      <c r="Q300">
        <v>6.5</v>
      </c>
      <c r="R300">
        <v>5176.71</v>
      </c>
      <c r="S300">
        <v>40540.5</v>
      </c>
      <c r="T300" t="s">
        <v>66</v>
      </c>
      <c r="AA300">
        <f t="shared" si="4"/>
        <v>392697.8</v>
      </c>
      <c r="AB300">
        <f>COUNTIF($D$1:D300,D300)</f>
        <v>228</v>
      </c>
    </row>
    <row r="301" spans="1:28" x14ac:dyDescent="0.25">
      <c r="A301">
        <v>300</v>
      </c>
      <c r="B301">
        <v>184495</v>
      </c>
      <c r="C301">
        <v>24002007</v>
      </c>
      <c r="D301" t="s">
        <v>14</v>
      </c>
      <c r="E301" t="s">
        <v>106</v>
      </c>
      <c r="F301">
        <v>5159307</v>
      </c>
      <c r="G301">
        <v>994</v>
      </c>
      <c r="H301" t="s">
        <v>118</v>
      </c>
      <c r="I301">
        <v>5805</v>
      </c>
      <c r="J301" s="74">
        <v>45681</v>
      </c>
      <c r="K301" s="74">
        <v>45688</v>
      </c>
      <c r="L301" t="s">
        <v>190</v>
      </c>
      <c r="M301" s="74">
        <v>45695</v>
      </c>
      <c r="N301" t="s">
        <v>151</v>
      </c>
      <c r="O301" t="s">
        <v>224</v>
      </c>
      <c r="P301">
        <v>0.83</v>
      </c>
      <c r="Q301">
        <v>6.5</v>
      </c>
      <c r="R301">
        <v>4818.1499999999996</v>
      </c>
      <c r="S301">
        <v>37732.5</v>
      </c>
      <c r="T301" t="s">
        <v>66</v>
      </c>
      <c r="AA301">
        <f t="shared" si="4"/>
        <v>392697.8</v>
      </c>
      <c r="AB301">
        <f>COUNTIF($D$1:D301,D301)</f>
        <v>229</v>
      </c>
    </row>
    <row r="302" spans="1:28" x14ac:dyDescent="0.25">
      <c r="A302">
        <v>301</v>
      </c>
      <c r="B302">
        <v>184496</v>
      </c>
      <c r="C302">
        <v>24002008</v>
      </c>
      <c r="D302" t="s">
        <v>14</v>
      </c>
      <c r="E302" t="s">
        <v>106</v>
      </c>
      <c r="F302">
        <v>5159301</v>
      </c>
      <c r="G302">
        <v>994</v>
      </c>
      <c r="H302" t="s">
        <v>118</v>
      </c>
      <c r="I302">
        <v>1500</v>
      </c>
      <c r="J302" s="74">
        <v>45688</v>
      </c>
      <c r="K302" s="74">
        <v>45688</v>
      </c>
      <c r="L302" t="s">
        <v>190</v>
      </c>
      <c r="M302" s="74">
        <v>45695</v>
      </c>
      <c r="N302" t="s">
        <v>151</v>
      </c>
      <c r="O302" t="s">
        <v>224</v>
      </c>
      <c r="P302">
        <v>0.83</v>
      </c>
      <c r="Q302">
        <v>6.5</v>
      </c>
      <c r="R302">
        <v>1245</v>
      </c>
      <c r="S302">
        <v>9750</v>
      </c>
      <c r="T302" t="s">
        <v>66</v>
      </c>
      <c r="AA302">
        <f t="shared" si="4"/>
        <v>392697.8</v>
      </c>
      <c r="AB302">
        <f>COUNTIF($D$1:D302,D302)</f>
        <v>230</v>
      </c>
    </row>
    <row r="303" spans="1:28" x14ac:dyDescent="0.25">
      <c r="A303">
        <v>302</v>
      </c>
      <c r="B303">
        <v>184290</v>
      </c>
      <c r="C303">
        <v>24001964</v>
      </c>
      <c r="D303" t="s">
        <v>14</v>
      </c>
      <c r="E303" t="s">
        <v>106</v>
      </c>
      <c r="F303">
        <v>5157976</v>
      </c>
      <c r="G303">
        <v>941</v>
      </c>
      <c r="H303" t="s">
        <v>118</v>
      </c>
      <c r="I303">
        <v>2079</v>
      </c>
      <c r="J303" s="74">
        <v>45659</v>
      </c>
      <c r="K303" s="74">
        <v>45677</v>
      </c>
      <c r="L303" t="s">
        <v>190</v>
      </c>
      <c r="M303" s="74">
        <v>45667</v>
      </c>
      <c r="N303" t="s">
        <v>155</v>
      </c>
      <c r="O303" t="s">
        <v>190</v>
      </c>
      <c r="P303">
        <v>0.83</v>
      </c>
      <c r="Q303">
        <v>2.11</v>
      </c>
      <c r="R303">
        <v>1725.57</v>
      </c>
      <c r="S303">
        <v>4386.6899999999996</v>
      </c>
      <c r="T303" t="s">
        <v>66</v>
      </c>
      <c r="AA303">
        <f t="shared" si="4"/>
        <v>392697.8</v>
      </c>
      <c r="AB303">
        <f>COUNTIF($D$1:D303,D303)</f>
        <v>231</v>
      </c>
    </row>
    <row r="304" spans="1:28" x14ac:dyDescent="0.25">
      <c r="A304">
        <v>303</v>
      </c>
      <c r="B304">
        <v>184291</v>
      </c>
      <c r="C304">
        <v>24001997</v>
      </c>
      <c r="D304" t="s">
        <v>14</v>
      </c>
      <c r="E304" t="s">
        <v>106</v>
      </c>
      <c r="F304" t="s">
        <v>205</v>
      </c>
      <c r="G304">
        <v>941</v>
      </c>
      <c r="H304" t="s">
        <v>118</v>
      </c>
      <c r="I304">
        <v>130</v>
      </c>
      <c r="J304" s="74">
        <v>45664</v>
      </c>
      <c r="K304" s="74">
        <v>45673</v>
      </c>
      <c r="L304" t="s">
        <v>190</v>
      </c>
      <c r="M304" s="74">
        <v>45667</v>
      </c>
      <c r="N304" t="s">
        <v>155</v>
      </c>
      <c r="O304" t="s">
        <v>190</v>
      </c>
      <c r="P304">
        <v>0.78</v>
      </c>
      <c r="Q304">
        <v>2.2799999999999998</v>
      </c>
      <c r="R304">
        <v>101.4</v>
      </c>
      <c r="S304">
        <v>296.39999999999998</v>
      </c>
      <c r="T304" t="s">
        <v>66</v>
      </c>
      <c r="AA304">
        <f t="shared" si="4"/>
        <v>392697.8</v>
      </c>
      <c r="AB304">
        <f>COUNTIF($D$1:D304,D304)</f>
        <v>232</v>
      </c>
    </row>
    <row r="305" spans="1:28" x14ac:dyDescent="0.25">
      <c r="A305">
        <v>304</v>
      </c>
      <c r="B305">
        <v>184489</v>
      </c>
      <c r="C305">
        <v>24002000</v>
      </c>
      <c r="D305" t="s">
        <v>14</v>
      </c>
      <c r="E305" t="s">
        <v>106</v>
      </c>
      <c r="F305">
        <v>5159767</v>
      </c>
      <c r="G305">
        <v>993</v>
      </c>
      <c r="H305" t="s">
        <v>118</v>
      </c>
      <c r="I305">
        <v>3645</v>
      </c>
      <c r="J305" s="74">
        <v>45665</v>
      </c>
      <c r="K305" s="74">
        <v>45678</v>
      </c>
      <c r="L305" t="s">
        <v>190</v>
      </c>
      <c r="M305" s="74">
        <v>45674</v>
      </c>
      <c r="N305" t="s">
        <v>155</v>
      </c>
      <c r="O305" t="s">
        <v>190</v>
      </c>
      <c r="P305">
        <v>0.61</v>
      </c>
      <c r="Q305">
        <v>4.21</v>
      </c>
      <c r="R305">
        <v>2223.4499999999998</v>
      </c>
      <c r="S305">
        <v>15345.45</v>
      </c>
      <c r="T305" t="s">
        <v>66</v>
      </c>
      <c r="AA305">
        <f t="shared" si="4"/>
        <v>392697.8</v>
      </c>
      <c r="AB305">
        <f>COUNTIF($D$1:D305,D305)</f>
        <v>233</v>
      </c>
    </row>
    <row r="306" spans="1:28" x14ac:dyDescent="0.25">
      <c r="A306">
        <v>305</v>
      </c>
      <c r="B306">
        <v>184524</v>
      </c>
      <c r="C306">
        <v>24002036</v>
      </c>
      <c r="D306" t="s">
        <v>14</v>
      </c>
      <c r="E306" t="s">
        <v>106</v>
      </c>
      <c r="F306">
        <v>5158594</v>
      </c>
      <c r="G306">
        <v>995</v>
      </c>
      <c r="H306" t="s">
        <v>118</v>
      </c>
      <c r="I306">
        <v>4964</v>
      </c>
      <c r="J306" s="74">
        <v>45666</v>
      </c>
      <c r="K306" s="74">
        <v>45679</v>
      </c>
      <c r="L306" t="s">
        <v>190</v>
      </c>
      <c r="M306" s="74">
        <v>45688</v>
      </c>
      <c r="N306" t="s">
        <v>151</v>
      </c>
      <c r="O306" t="s">
        <v>190</v>
      </c>
      <c r="P306">
        <v>0.7</v>
      </c>
      <c r="Q306">
        <v>4.92</v>
      </c>
      <c r="R306">
        <v>3474.8</v>
      </c>
      <c r="S306">
        <v>24422.880000000001</v>
      </c>
      <c r="T306" t="s">
        <v>66</v>
      </c>
      <c r="AA306">
        <f t="shared" si="4"/>
        <v>392697.8</v>
      </c>
      <c r="AB306">
        <f>COUNTIF($D$1:D306,D306)</f>
        <v>234</v>
      </c>
    </row>
    <row r="307" spans="1:28" x14ac:dyDescent="0.25">
      <c r="A307">
        <v>306</v>
      </c>
      <c r="B307">
        <v>184292</v>
      </c>
      <c r="C307">
        <v>24001966</v>
      </c>
      <c r="D307" t="s">
        <v>14</v>
      </c>
      <c r="E307" t="s">
        <v>106</v>
      </c>
      <c r="F307">
        <v>5157997</v>
      </c>
      <c r="G307">
        <v>941</v>
      </c>
      <c r="H307" t="s">
        <v>118</v>
      </c>
      <c r="I307">
        <v>342</v>
      </c>
      <c r="J307" s="74">
        <v>45659</v>
      </c>
      <c r="K307" s="74">
        <v>45667</v>
      </c>
      <c r="L307" t="s">
        <v>190</v>
      </c>
      <c r="M307" s="74">
        <v>45667</v>
      </c>
      <c r="N307" t="s">
        <v>151</v>
      </c>
      <c r="O307" t="s">
        <v>190</v>
      </c>
      <c r="P307">
        <v>0.75</v>
      </c>
      <c r="Q307">
        <v>1.93</v>
      </c>
      <c r="R307">
        <v>256.5</v>
      </c>
      <c r="S307">
        <v>660.06</v>
      </c>
      <c r="T307" t="s">
        <v>66</v>
      </c>
      <c r="AA307">
        <f t="shared" si="4"/>
        <v>392697.8</v>
      </c>
      <c r="AB307">
        <f>COUNTIF($D$1:D307,D307)</f>
        <v>235</v>
      </c>
    </row>
    <row r="308" spans="1:28" x14ac:dyDescent="0.25">
      <c r="A308">
        <v>307</v>
      </c>
      <c r="B308">
        <v>184289</v>
      </c>
      <c r="C308">
        <v>24001963</v>
      </c>
      <c r="D308" t="s">
        <v>14</v>
      </c>
      <c r="E308" t="s">
        <v>106</v>
      </c>
      <c r="F308">
        <v>5158001</v>
      </c>
      <c r="G308">
        <v>941</v>
      </c>
      <c r="H308" t="s">
        <v>118</v>
      </c>
      <c r="I308">
        <v>401</v>
      </c>
      <c r="J308" s="74">
        <v>45667</v>
      </c>
      <c r="K308" s="74">
        <v>45673</v>
      </c>
      <c r="L308" t="s">
        <v>190</v>
      </c>
      <c r="M308" s="74">
        <v>45667</v>
      </c>
      <c r="N308" t="s">
        <v>155</v>
      </c>
      <c r="O308" t="s">
        <v>190</v>
      </c>
      <c r="P308">
        <v>0.83</v>
      </c>
      <c r="Q308">
        <v>2.11</v>
      </c>
      <c r="R308">
        <v>332.83</v>
      </c>
      <c r="S308">
        <v>846.11</v>
      </c>
      <c r="T308" t="s">
        <v>66</v>
      </c>
      <c r="AA308">
        <f t="shared" si="4"/>
        <v>392697.8</v>
      </c>
      <c r="AB308">
        <f>COUNTIF($D$1:D308,D308)</f>
        <v>236</v>
      </c>
    </row>
    <row r="309" spans="1:28" x14ac:dyDescent="0.25">
      <c r="A309">
        <v>308</v>
      </c>
      <c r="B309">
        <v>184786</v>
      </c>
      <c r="C309">
        <v>24002165</v>
      </c>
      <c r="D309" t="s">
        <v>14</v>
      </c>
      <c r="E309" t="s">
        <v>106</v>
      </c>
      <c r="F309">
        <v>5160295</v>
      </c>
      <c r="G309">
        <v>1095</v>
      </c>
      <c r="H309" t="s">
        <v>118</v>
      </c>
      <c r="I309">
        <v>626</v>
      </c>
      <c r="J309" s="74">
        <v>45688</v>
      </c>
      <c r="K309" s="74">
        <v>45688</v>
      </c>
      <c r="L309" t="s">
        <v>190</v>
      </c>
      <c r="M309" s="74">
        <v>45702</v>
      </c>
      <c r="N309" t="s">
        <v>151</v>
      </c>
      <c r="O309" t="s">
        <v>224</v>
      </c>
      <c r="P309">
        <v>0.76</v>
      </c>
      <c r="Q309">
        <v>1.43</v>
      </c>
      <c r="R309">
        <v>475.76</v>
      </c>
      <c r="S309">
        <v>895.18</v>
      </c>
      <c r="T309" t="s">
        <v>66</v>
      </c>
      <c r="AA309">
        <f t="shared" si="4"/>
        <v>392697.8</v>
      </c>
      <c r="AB309">
        <f>COUNTIF($D$1:D309,D309)</f>
        <v>237</v>
      </c>
    </row>
    <row r="310" spans="1:28" x14ac:dyDescent="0.25">
      <c r="A310">
        <v>309</v>
      </c>
      <c r="B310">
        <v>183533</v>
      </c>
      <c r="C310">
        <v>24001729</v>
      </c>
      <c r="D310" t="s">
        <v>14</v>
      </c>
      <c r="E310" t="s">
        <v>106</v>
      </c>
      <c r="F310" t="s">
        <v>167</v>
      </c>
      <c r="G310">
        <v>648</v>
      </c>
      <c r="H310" t="s">
        <v>123</v>
      </c>
      <c r="I310">
        <v>490</v>
      </c>
      <c r="J310" s="74">
        <v>45673</v>
      </c>
      <c r="K310" s="74">
        <v>45673</v>
      </c>
      <c r="L310" t="s">
        <v>190</v>
      </c>
      <c r="M310" s="74">
        <v>45576</v>
      </c>
      <c r="N310" t="s">
        <v>155</v>
      </c>
      <c r="O310" t="s">
        <v>150</v>
      </c>
      <c r="P310">
        <v>0.84</v>
      </c>
      <c r="Q310">
        <v>2.39</v>
      </c>
      <c r="R310">
        <v>411.6</v>
      </c>
      <c r="S310">
        <v>1171.0999999999999</v>
      </c>
      <c r="T310" t="s">
        <v>66</v>
      </c>
      <c r="AA310">
        <f t="shared" si="4"/>
        <v>392697.8</v>
      </c>
      <c r="AB310">
        <f>COUNTIF($D$1:D310,D310)</f>
        <v>238</v>
      </c>
    </row>
    <row r="311" spans="1:28" x14ac:dyDescent="0.25">
      <c r="A311">
        <v>310</v>
      </c>
      <c r="B311">
        <v>183563</v>
      </c>
      <c r="C311">
        <v>24001759</v>
      </c>
      <c r="D311" t="s">
        <v>14</v>
      </c>
      <c r="E311" t="s">
        <v>106</v>
      </c>
      <c r="F311" t="s">
        <v>174</v>
      </c>
      <c r="G311">
        <v>650</v>
      </c>
      <c r="H311" t="s">
        <v>123</v>
      </c>
      <c r="I311">
        <v>1107</v>
      </c>
      <c r="J311" s="74">
        <v>45673</v>
      </c>
      <c r="K311" s="74">
        <v>45673</v>
      </c>
      <c r="L311" t="s">
        <v>190</v>
      </c>
      <c r="M311" s="74">
        <v>45583</v>
      </c>
      <c r="N311" t="s">
        <v>155</v>
      </c>
      <c r="O311" t="s">
        <v>150</v>
      </c>
      <c r="P311">
        <v>0.78</v>
      </c>
      <c r="Q311">
        <v>2.2400000000000002</v>
      </c>
      <c r="R311">
        <v>863.46</v>
      </c>
      <c r="S311">
        <v>2479.6799999999998</v>
      </c>
      <c r="T311" t="s">
        <v>66</v>
      </c>
      <c r="AA311">
        <f t="shared" si="4"/>
        <v>392697.8</v>
      </c>
      <c r="AB311">
        <f>COUNTIF($D$1:D311,D311)</f>
        <v>239</v>
      </c>
    </row>
    <row r="312" spans="1:28" x14ac:dyDescent="0.25">
      <c r="A312">
        <v>311</v>
      </c>
      <c r="B312">
        <v>183743</v>
      </c>
      <c r="C312">
        <v>24001835</v>
      </c>
      <c r="D312" t="s">
        <v>14</v>
      </c>
      <c r="E312" t="s">
        <v>106</v>
      </c>
      <c r="F312">
        <v>5157992</v>
      </c>
      <c r="G312">
        <v>665</v>
      </c>
      <c r="H312" t="s">
        <v>123</v>
      </c>
      <c r="I312">
        <v>1000</v>
      </c>
      <c r="J312" s="74">
        <v>45659</v>
      </c>
      <c r="K312" s="74">
        <v>45673</v>
      </c>
      <c r="L312" t="s">
        <v>190</v>
      </c>
      <c r="M312" s="74">
        <v>45604</v>
      </c>
      <c r="N312" t="s">
        <v>155</v>
      </c>
      <c r="O312" t="s">
        <v>152</v>
      </c>
      <c r="P312">
        <v>0.79</v>
      </c>
      <c r="Q312">
        <v>2.0099999999999998</v>
      </c>
      <c r="R312">
        <v>790</v>
      </c>
      <c r="S312">
        <v>2010</v>
      </c>
      <c r="T312" t="s">
        <v>66</v>
      </c>
      <c r="AA312">
        <f t="shared" si="4"/>
        <v>392697.8</v>
      </c>
      <c r="AB312">
        <f>COUNTIF($D$1:D312,D312)</f>
        <v>240</v>
      </c>
    </row>
    <row r="313" spans="1:28" x14ac:dyDescent="0.25">
      <c r="A313">
        <v>312</v>
      </c>
      <c r="B313">
        <v>183909</v>
      </c>
      <c r="C313">
        <v>24001877</v>
      </c>
      <c r="D313" t="s">
        <v>14</v>
      </c>
      <c r="E313" t="s">
        <v>106</v>
      </c>
      <c r="F313">
        <v>5159766</v>
      </c>
      <c r="G313">
        <v>795</v>
      </c>
      <c r="H313" t="s">
        <v>123</v>
      </c>
      <c r="I313">
        <v>620</v>
      </c>
      <c r="J313" s="74">
        <v>45673</v>
      </c>
      <c r="K313" s="74">
        <v>45673</v>
      </c>
      <c r="L313" t="s">
        <v>190</v>
      </c>
      <c r="M313" s="74">
        <v>45618</v>
      </c>
      <c r="N313" t="s">
        <v>155</v>
      </c>
      <c r="O313" t="s">
        <v>152</v>
      </c>
      <c r="P313">
        <v>0.61</v>
      </c>
      <c r="Q313">
        <v>1.37</v>
      </c>
      <c r="R313">
        <v>378.2</v>
      </c>
      <c r="S313">
        <v>849.4</v>
      </c>
      <c r="T313" t="s">
        <v>66</v>
      </c>
      <c r="AA313">
        <f t="shared" si="4"/>
        <v>392697.8</v>
      </c>
      <c r="AB313">
        <f>COUNTIF($D$1:D313,D313)</f>
        <v>241</v>
      </c>
    </row>
    <row r="314" spans="1:28" x14ac:dyDescent="0.25">
      <c r="A314">
        <v>313</v>
      </c>
      <c r="B314">
        <v>183910</v>
      </c>
      <c r="C314">
        <v>24001878</v>
      </c>
      <c r="D314" t="s">
        <v>14</v>
      </c>
      <c r="E314" t="s">
        <v>106</v>
      </c>
      <c r="F314">
        <v>5159760</v>
      </c>
      <c r="G314">
        <v>795</v>
      </c>
      <c r="H314" t="s">
        <v>123</v>
      </c>
      <c r="I314">
        <v>1350</v>
      </c>
      <c r="J314" s="74">
        <v>45673</v>
      </c>
      <c r="K314" s="74">
        <v>45673</v>
      </c>
      <c r="L314" t="s">
        <v>190</v>
      </c>
      <c r="M314" s="74">
        <v>45618</v>
      </c>
      <c r="N314" t="s">
        <v>155</v>
      </c>
      <c r="O314" t="s">
        <v>152</v>
      </c>
      <c r="P314">
        <v>0.61</v>
      </c>
      <c r="Q314">
        <v>1.37</v>
      </c>
      <c r="R314">
        <v>823.5</v>
      </c>
      <c r="S314">
        <v>1849.5</v>
      </c>
      <c r="T314" t="s">
        <v>66</v>
      </c>
      <c r="AA314">
        <f t="shared" si="4"/>
        <v>392697.8</v>
      </c>
      <c r="AB314">
        <f>COUNTIF($D$1:D314,D314)</f>
        <v>242</v>
      </c>
    </row>
    <row r="315" spans="1:28" x14ac:dyDescent="0.25">
      <c r="A315">
        <v>314</v>
      </c>
      <c r="B315">
        <v>183953</v>
      </c>
      <c r="C315">
        <v>24001921</v>
      </c>
      <c r="D315" t="s">
        <v>14</v>
      </c>
      <c r="E315" t="s">
        <v>106</v>
      </c>
      <c r="F315">
        <v>5158594</v>
      </c>
      <c r="G315">
        <v>797</v>
      </c>
      <c r="H315" t="s">
        <v>123</v>
      </c>
      <c r="I315">
        <v>301</v>
      </c>
      <c r="J315" s="74">
        <v>45673</v>
      </c>
      <c r="K315" s="74">
        <v>45673</v>
      </c>
      <c r="L315" t="s">
        <v>190</v>
      </c>
      <c r="M315" s="74">
        <v>45646</v>
      </c>
      <c r="N315" t="s">
        <v>155</v>
      </c>
      <c r="O315" t="s">
        <v>153</v>
      </c>
      <c r="P315">
        <v>0.7</v>
      </c>
      <c r="Q315">
        <v>1.64</v>
      </c>
      <c r="R315">
        <v>210.7</v>
      </c>
      <c r="S315">
        <v>493.64</v>
      </c>
      <c r="T315" t="s">
        <v>66</v>
      </c>
      <c r="AA315">
        <f t="shared" si="4"/>
        <v>392697.8</v>
      </c>
      <c r="AB315">
        <f>COUNTIF($D$1:D315,D315)</f>
        <v>243</v>
      </c>
    </row>
    <row r="316" spans="1:28" x14ac:dyDescent="0.25">
      <c r="A316">
        <v>315</v>
      </c>
      <c r="B316">
        <v>183770</v>
      </c>
      <c r="C316">
        <v>24001862</v>
      </c>
      <c r="D316" t="s">
        <v>14</v>
      </c>
      <c r="E316" t="s">
        <v>106</v>
      </c>
      <c r="F316">
        <v>5159763</v>
      </c>
      <c r="G316">
        <v>668</v>
      </c>
      <c r="H316" t="s">
        <v>123</v>
      </c>
      <c r="I316">
        <v>1418</v>
      </c>
      <c r="J316" s="74">
        <v>45673</v>
      </c>
      <c r="K316" s="74">
        <v>45673</v>
      </c>
      <c r="L316" t="s">
        <v>190</v>
      </c>
      <c r="M316" s="74">
        <v>45604</v>
      </c>
      <c r="N316" t="s">
        <v>155</v>
      </c>
      <c r="O316" t="s">
        <v>152</v>
      </c>
      <c r="P316">
        <v>0.61</v>
      </c>
      <c r="Q316">
        <v>1.4</v>
      </c>
      <c r="R316">
        <v>864.98</v>
      </c>
      <c r="S316">
        <v>1985.2</v>
      </c>
      <c r="T316" t="s">
        <v>66</v>
      </c>
      <c r="AA316">
        <f t="shared" si="4"/>
        <v>392697.8</v>
      </c>
      <c r="AB316">
        <f>COUNTIF($D$1:D316,D316)</f>
        <v>244</v>
      </c>
    </row>
    <row r="317" spans="1:28" x14ac:dyDescent="0.25">
      <c r="A317">
        <v>316</v>
      </c>
      <c r="B317">
        <v>184297</v>
      </c>
      <c r="C317">
        <v>24001971</v>
      </c>
      <c r="D317" t="s">
        <v>14</v>
      </c>
      <c r="E317" t="s">
        <v>106</v>
      </c>
      <c r="F317" t="s">
        <v>165</v>
      </c>
      <c r="G317">
        <v>941</v>
      </c>
      <c r="H317" t="s">
        <v>123</v>
      </c>
      <c r="I317">
        <v>13</v>
      </c>
      <c r="J317" s="74">
        <v>45671</v>
      </c>
      <c r="K317" s="74">
        <v>45673</v>
      </c>
      <c r="L317" t="s">
        <v>190</v>
      </c>
      <c r="M317" s="74">
        <v>45667</v>
      </c>
      <c r="N317" t="s">
        <v>155</v>
      </c>
      <c r="O317" t="s">
        <v>190</v>
      </c>
      <c r="P317">
        <v>0.84</v>
      </c>
      <c r="Q317">
        <v>2.39</v>
      </c>
      <c r="R317">
        <v>10.92</v>
      </c>
      <c r="S317">
        <v>31.07</v>
      </c>
      <c r="T317" t="s">
        <v>66</v>
      </c>
      <c r="AA317">
        <f t="shared" si="4"/>
        <v>392697.8</v>
      </c>
      <c r="AB317">
        <f>COUNTIF($D$1:D317,D317)</f>
        <v>245</v>
      </c>
    </row>
    <row r="318" spans="1:28" x14ac:dyDescent="0.25">
      <c r="A318">
        <v>317</v>
      </c>
      <c r="B318">
        <v>184516</v>
      </c>
      <c r="C318">
        <v>24002028</v>
      </c>
      <c r="D318" t="s">
        <v>14</v>
      </c>
      <c r="E318" t="s">
        <v>106</v>
      </c>
      <c r="F318">
        <v>5158602</v>
      </c>
      <c r="G318">
        <v>995</v>
      </c>
      <c r="H318" t="s">
        <v>123</v>
      </c>
      <c r="I318">
        <v>1197</v>
      </c>
      <c r="J318" s="74">
        <v>45660</v>
      </c>
      <c r="K318" s="74">
        <v>45673</v>
      </c>
      <c r="L318" t="s">
        <v>190</v>
      </c>
      <c r="M318" s="74">
        <v>45674</v>
      </c>
      <c r="N318" t="s">
        <v>151</v>
      </c>
      <c r="O318" t="s">
        <v>190</v>
      </c>
      <c r="P318">
        <v>0.8</v>
      </c>
      <c r="Q318">
        <v>5.63</v>
      </c>
      <c r="R318">
        <v>957.6</v>
      </c>
      <c r="S318">
        <v>6739.11</v>
      </c>
      <c r="T318" t="s">
        <v>66</v>
      </c>
      <c r="AA318">
        <f t="shared" si="4"/>
        <v>392697.8</v>
      </c>
      <c r="AB318">
        <f>COUNTIF($D$1:D318,D318)</f>
        <v>246</v>
      </c>
    </row>
    <row r="319" spans="1:28" x14ac:dyDescent="0.25">
      <c r="A319">
        <v>318</v>
      </c>
      <c r="B319">
        <v>184517</v>
      </c>
      <c r="C319">
        <v>24002029</v>
      </c>
      <c r="D319" t="s">
        <v>14</v>
      </c>
      <c r="E319" t="s">
        <v>106</v>
      </c>
      <c r="F319" t="s">
        <v>222</v>
      </c>
      <c r="G319">
        <v>995</v>
      </c>
      <c r="H319" t="s">
        <v>123</v>
      </c>
      <c r="I319">
        <v>324</v>
      </c>
      <c r="J319" s="74">
        <v>45663</v>
      </c>
      <c r="K319" s="74">
        <v>45673</v>
      </c>
      <c r="L319" t="s">
        <v>190</v>
      </c>
      <c r="M319" s="74">
        <v>45674</v>
      </c>
      <c r="N319" t="s">
        <v>151</v>
      </c>
      <c r="O319" t="s">
        <v>190</v>
      </c>
      <c r="P319">
        <v>0.77</v>
      </c>
      <c r="Q319">
        <v>6.02</v>
      </c>
      <c r="R319">
        <v>249.48</v>
      </c>
      <c r="S319">
        <v>1950.48</v>
      </c>
      <c r="T319" t="s">
        <v>66</v>
      </c>
      <c r="AA319">
        <f t="shared" si="4"/>
        <v>392697.8</v>
      </c>
      <c r="AB319">
        <f>COUNTIF($D$1:D319,D319)</f>
        <v>247</v>
      </c>
    </row>
    <row r="320" spans="1:28" x14ac:dyDescent="0.25">
      <c r="A320">
        <v>319</v>
      </c>
      <c r="B320">
        <v>184522</v>
      </c>
      <c r="C320">
        <v>24002034</v>
      </c>
      <c r="D320" t="s">
        <v>14</v>
      </c>
      <c r="E320" t="s">
        <v>106</v>
      </c>
      <c r="F320">
        <v>5158611</v>
      </c>
      <c r="G320">
        <v>995</v>
      </c>
      <c r="H320" t="s">
        <v>123</v>
      </c>
      <c r="I320">
        <v>2153</v>
      </c>
      <c r="J320" s="74">
        <v>45666</v>
      </c>
      <c r="K320" s="74">
        <v>45672</v>
      </c>
      <c r="L320" t="s">
        <v>190</v>
      </c>
      <c r="M320" s="74">
        <v>45688</v>
      </c>
      <c r="N320" t="s">
        <v>151</v>
      </c>
      <c r="O320" t="s">
        <v>190</v>
      </c>
      <c r="P320">
        <v>0.7</v>
      </c>
      <c r="Q320">
        <v>4.92</v>
      </c>
      <c r="R320">
        <v>1507.1</v>
      </c>
      <c r="S320">
        <v>10592.76</v>
      </c>
      <c r="T320" t="s">
        <v>66</v>
      </c>
      <c r="AA320">
        <f t="shared" si="4"/>
        <v>392697.8</v>
      </c>
      <c r="AB320">
        <f>COUNTIF($D$1:D320,D320)</f>
        <v>248</v>
      </c>
    </row>
    <row r="321" spans="1:28" x14ac:dyDescent="0.25">
      <c r="A321">
        <v>320</v>
      </c>
      <c r="B321">
        <v>184523</v>
      </c>
      <c r="C321">
        <v>24002035</v>
      </c>
      <c r="D321" t="s">
        <v>14</v>
      </c>
      <c r="E321" t="s">
        <v>106</v>
      </c>
      <c r="F321" t="s">
        <v>420</v>
      </c>
      <c r="G321">
        <v>995</v>
      </c>
      <c r="H321" t="s">
        <v>123</v>
      </c>
      <c r="I321">
        <v>168</v>
      </c>
      <c r="J321" s="74">
        <v>45667</v>
      </c>
      <c r="K321" s="74">
        <v>45670</v>
      </c>
      <c r="L321" t="s">
        <v>190</v>
      </c>
      <c r="M321" s="74">
        <v>45688</v>
      </c>
      <c r="N321" t="s">
        <v>151</v>
      </c>
      <c r="O321" t="s">
        <v>190</v>
      </c>
      <c r="P321">
        <v>0.65</v>
      </c>
      <c r="Q321">
        <v>5.22</v>
      </c>
      <c r="R321">
        <v>109.2</v>
      </c>
      <c r="S321">
        <v>876.96</v>
      </c>
      <c r="T321" t="s">
        <v>66</v>
      </c>
      <c r="AA321">
        <f t="shared" si="4"/>
        <v>392697.8</v>
      </c>
      <c r="AB321">
        <f>COUNTIF($D$1:D321,D321)</f>
        <v>249</v>
      </c>
    </row>
    <row r="322" spans="1:28" x14ac:dyDescent="0.25">
      <c r="A322">
        <v>321</v>
      </c>
      <c r="B322">
        <v>184520</v>
      </c>
      <c r="C322">
        <v>24002032</v>
      </c>
      <c r="D322" t="s">
        <v>14</v>
      </c>
      <c r="E322" t="s">
        <v>106</v>
      </c>
      <c r="F322">
        <v>5158586</v>
      </c>
      <c r="G322">
        <v>995</v>
      </c>
      <c r="H322" t="s">
        <v>123</v>
      </c>
      <c r="I322">
        <v>3266</v>
      </c>
      <c r="J322" s="74">
        <v>45663</v>
      </c>
      <c r="K322" s="74">
        <v>45673</v>
      </c>
      <c r="L322" t="s">
        <v>190</v>
      </c>
      <c r="M322" s="74">
        <v>45688</v>
      </c>
      <c r="N322" t="s">
        <v>151</v>
      </c>
      <c r="O322" t="s">
        <v>190</v>
      </c>
      <c r="P322">
        <v>0.7</v>
      </c>
      <c r="Q322">
        <v>4.92</v>
      </c>
      <c r="R322">
        <v>2286.1999999999998</v>
      </c>
      <c r="S322">
        <v>16068.72</v>
      </c>
      <c r="T322" t="s">
        <v>66</v>
      </c>
      <c r="AA322">
        <f t="shared" ref="AA322:AA385" si="5">SUMIF($D:$D,D322,$R:$R)</f>
        <v>392697.8</v>
      </c>
      <c r="AB322">
        <f>COUNTIF($D$1:D322,D322)</f>
        <v>250</v>
      </c>
    </row>
    <row r="323" spans="1:28" x14ac:dyDescent="0.25">
      <c r="A323">
        <v>322</v>
      </c>
      <c r="B323">
        <v>184521</v>
      </c>
      <c r="C323">
        <v>24002033</v>
      </c>
      <c r="D323" t="s">
        <v>14</v>
      </c>
      <c r="E323" t="s">
        <v>106</v>
      </c>
      <c r="F323" t="s">
        <v>421</v>
      </c>
      <c r="G323">
        <v>995</v>
      </c>
      <c r="H323" t="s">
        <v>123</v>
      </c>
      <c r="I323">
        <v>513</v>
      </c>
      <c r="J323" s="74">
        <v>45663</v>
      </c>
      <c r="K323" s="74">
        <v>45673</v>
      </c>
      <c r="L323" t="s">
        <v>190</v>
      </c>
      <c r="M323" s="74">
        <v>45688</v>
      </c>
      <c r="N323" t="s">
        <v>151</v>
      </c>
      <c r="O323" t="s">
        <v>190</v>
      </c>
      <c r="P323">
        <v>0.65</v>
      </c>
      <c r="Q323">
        <v>5.22</v>
      </c>
      <c r="R323">
        <v>333.45</v>
      </c>
      <c r="S323">
        <v>2677.86</v>
      </c>
      <c r="T323" t="s">
        <v>66</v>
      </c>
      <c r="AA323">
        <f t="shared" si="5"/>
        <v>392697.8</v>
      </c>
      <c r="AB323">
        <f>COUNTIF($D$1:D323,D323)</f>
        <v>251</v>
      </c>
    </row>
    <row r="324" spans="1:28" x14ac:dyDescent="0.25">
      <c r="A324">
        <v>323</v>
      </c>
      <c r="B324">
        <v>184527</v>
      </c>
      <c r="C324">
        <v>24002039</v>
      </c>
      <c r="D324" t="s">
        <v>14</v>
      </c>
      <c r="E324" t="s">
        <v>106</v>
      </c>
      <c r="F324">
        <v>5157994</v>
      </c>
      <c r="G324">
        <v>996</v>
      </c>
      <c r="H324" t="s">
        <v>123</v>
      </c>
      <c r="I324">
        <v>1593</v>
      </c>
      <c r="J324" s="74">
        <v>45671</v>
      </c>
      <c r="K324" s="74">
        <v>45673</v>
      </c>
      <c r="L324" t="s">
        <v>190</v>
      </c>
      <c r="M324" s="74">
        <v>45688</v>
      </c>
      <c r="N324" t="s">
        <v>151</v>
      </c>
      <c r="O324" t="s">
        <v>190</v>
      </c>
      <c r="P324">
        <v>0.93</v>
      </c>
      <c r="Q324">
        <v>6.72</v>
      </c>
      <c r="R324">
        <v>1481.49</v>
      </c>
      <c r="S324">
        <v>10704.96</v>
      </c>
      <c r="T324" t="s">
        <v>66</v>
      </c>
      <c r="AA324">
        <f t="shared" si="5"/>
        <v>392697.8</v>
      </c>
      <c r="AB324">
        <f>COUNTIF($D$1:D324,D324)</f>
        <v>252</v>
      </c>
    </row>
    <row r="325" spans="1:28" x14ac:dyDescent="0.25">
      <c r="A325">
        <v>324</v>
      </c>
      <c r="B325">
        <v>184543</v>
      </c>
      <c r="C325">
        <v>24002055</v>
      </c>
      <c r="D325" t="s">
        <v>14</v>
      </c>
      <c r="E325" t="s">
        <v>106</v>
      </c>
      <c r="F325">
        <v>5159300</v>
      </c>
      <c r="G325">
        <v>997</v>
      </c>
      <c r="H325" t="s">
        <v>123</v>
      </c>
      <c r="I325">
        <v>3000</v>
      </c>
      <c r="J325" s="74">
        <v>45667</v>
      </c>
      <c r="K325" s="74">
        <v>45673</v>
      </c>
      <c r="L325" t="s">
        <v>190</v>
      </c>
      <c r="M325" s="74">
        <v>45688</v>
      </c>
      <c r="N325" t="s">
        <v>151</v>
      </c>
      <c r="O325" t="s">
        <v>190</v>
      </c>
      <c r="P325">
        <v>0.74</v>
      </c>
      <c r="Q325">
        <v>5.52</v>
      </c>
      <c r="R325">
        <v>2220</v>
      </c>
      <c r="S325">
        <v>16560</v>
      </c>
      <c r="T325" t="s">
        <v>66</v>
      </c>
      <c r="AA325">
        <f t="shared" si="5"/>
        <v>392697.8</v>
      </c>
      <c r="AB325">
        <f>COUNTIF($D$1:D325,D325)</f>
        <v>253</v>
      </c>
    </row>
    <row r="326" spans="1:28" x14ac:dyDescent="0.25">
      <c r="A326">
        <v>325</v>
      </c>
      <c r="B326">
        <v>184542</v>
      </c>
      <c r="C326">
        <v>24002054</v>
      </c>
      <c r="D326" t="s">
        <v>14</v>
      </c>
      <c r="E326" t="s">
        <v>106</v>
      </c>
      <c r="F326">
        <v>5158609</v>
      </c>
      <c r="G326">
        <v>997</v>
      </c>
      <c r="H326" t="s">
        <v>123</v>
      </c>
      <c r="I326">
        <v>8316</v>
      </c>
      <c r="J326" s="74">
        <v>45672</v>
      </c>
      <c r="K326" s="74">
        <v>45679</v>
      </c>
      <c r="L326" t="s">
        <v>190</v>
      </c>
      <c r="M326" s="74">
        <v>45695</v>
      </c>
      <c r="N326" t="s">
        <v>151</v>
      </c>
      <c r="O326" t="s">
        <v>224</v>
      </c>
      <c r="P326">
        <v>0.74</v>
      </c>
      <c r="Q326">
        <v>5.52</v>
      </c>
      <c r="R326">
        <v>6153.84</v>
      </c>
      <c r="S326">
        <v>45904.32</v>
      </c>
      <c r="T326" t="s">
        <v>66</v>
      </c>
      <c r="AA326">
        <f t="shared" si="5"/>
        <v>392697.8</v>
      </c>
      <c r="AB326">
        <f>COUNTIF($D$1:D326,D326)</f>
        <v>254</v>
      </c>
    </row>
    <row r="327" spans="1:28" x14ac:dyDescent="0.25">
      <c r="A327">
        <v>326</v>
      </c>
      <c r="B327">
        <v>184322</v>
      </c>
      <c r="C327">
        <v>24001996</v>
      </c>
      <c r="D327" t="s">
        <v>14</v>
      </c>
      <c r="E327" t="s">
        <v>106</v>
      </c>
      <c r="F327">
        <v>5159770</v>
      </c>
      <c r="G327">
        <v>942</v>
      </c>
      <c r="H327" t="s">
        <v>123</v>
      </c>
      <c r="I327">
        <v>1868</v>
      </c>
      <c r="J327" s="74">
        <v>45659</v>
      </c>
      <c r="K327" s="74">
        <v>45673</v>
      </c>
      <c r="L327" t="s">
        <v>190</v>
      </c>
      <c r="M327" s="74">
        <v>45674</v>
      </c>
      <c r="N327" t="s">
        <v>151</v>
      </c>
      <c r="O327" t="s">
        <v>190</v>
      </c>
      <c r="P327">
        <v>0.61</v>
      </c>
      <c r="Q327">
        <v>1.43</v>
      </c>
      <c r="R327">
        <v>1139.48</v>
      </c>
      <c r="S327">
        <v>2671.24</v>
      </c>
      <c r="T327" t="s">
        <v>66</v>
      </c>
      <c r="AA327">
        <f t="shared" si="5"/>
        <v>392697.8</v>
      </c>
      <c r="AB327">
        <f>COUNTIF($D$1:D327,D327)</f>
        <v>255</v>
      </c>
    </row>
    <row r="328" spans="1:28" x14ac:dyDescent="0.25">
      <c r="A328">
        <v>327</v>
      </c>
      <c r="B328">
        <v>184288</v>
      </c>
      <c r="C328">
        <v>24001962</v>
      </c>
      <c r="D328" t="s">
        <v>14</v>
      </c>
      <c r="E328" t="s">
        <v>106</v>
      </c>
      <c r="F328">
        <v>5158009</v>
      </c>
      <c r="G328">
        <v>941</v>
      </c>
      <c r="H328" t="s">
        <v>123</v>
      </c>
      <c r="I328">
        <v>3878</v>
      </c>
      <c r="J328" s="74">
        <v>45659</v>
      </c>
      <c r="K328" s="74">
        <v>45674</v>
      </c>
      <c r="L328" t="s">
        <v>190</v>
      </c>
      <c r="M328" s="74">
        <v>45667</v>
      </c>
      <c r="N328" t="s">
        <v>155</v>
      </c>
      <c r="O328" t="s">
        <v>190</v>
      </c>
      <c r="P328">
        <v>0.83</v>
      </c>
      <c r="Q328">
        <v>2.11</v>
      </c>
      <c r="R328">
        <v>3218.74</v>
      </c>
      <c r="S328">
        <v>8182.58</v>
      </c>
      <c r="T328" t="s">
        <v>66</v>
      </c>
      <c r="AA328">
        <f t="shared" si="5"/>
        <v>392697.8</v>
      </c>
      <c r="AB328">
        <f>COUNTIF($D$1:D328,D328)</f>
        <v>256</v>
      </c>
    </row>
    <row r="329" spans="1:28" x14ac:dyDescent="0.25">
      <c r="A329">
        <v>328</v>
      </c>
      <c r="B329">
        <v>184315</v>
      </c>
      <c r="C329">
        <v>24001989</v>
      </c>
      <c r="D329" t="s">
        <v>14</v>
      </c>
      <c r="E329" t="s">
        <v>106</v>
      </c>
      <c r="F329">
        <v>5159300</v>
      </c>
      <c r="G329">
        <v>941</v>
      </c>
      <c r="H329" t="s">
        <v>123</v>
      </c>
      <c r="I329">
        <v>2252</v>
      </c>
      <c r="J329" s="74">
        <v>45659</v>
      </c>
      <c r="K329" s="74">
        <v>45673</v>
      </c>
      <c r="L329" t="s">
        <v>190</v>
      </c>
      <c r="M329" s="74">
        <v>45660</v>
      </c>
      <c r="N329" t="s">
        <v>155</v>
      </c>
      <c r="O329" t="s">
        <v>190</v>
      </c>
      <c r="P329">
        <v>0.74</v>
      </c>
      <c r="Q329">
        <v>1.38</v>
      </c>
      <c r="R329">
        <v>1666.48</v>
      </c>
      <c r="S329">
        <v>3107.76</v>
      </c>
      <c r="T329" t="s">
        <v>66</v>
      </c>
      <c r="AA329">
        <f t="shared" si="5"/>
        <v>392697.8</v>
      </c>
      <c r="AB329">
        <f>COUNTIF($D$1:D329,D329)</f>
        <v>257</v>
      </c>
    </row>
    <row r="330" spans="1:28" x14ac:dyDescent="0.25">
      <c r="A330">
        <v>329</v>
      </c>
      <c r="B330">
        <v>184293</v>
      </c>
      <c r="C330">
        <v>24001967</v>
      </c>
      <c r="D330" t="s">
        <v>14</v>
      </c>
      <c r="E330" t="s">
        <v>106</v>
      </c>
      <c r="F330">
        <v>5157987</v>
      </c>
      <c r="G330">
        <v>941</v>
      </c>
      <c r="H330" t="s">
        <v>123</v>
      </c>
      <c r="I330">
        <v>1125</v>
      </c>
      <c r="J330" s="74">
        <v>45660</v>
      </c>
      <c r="K330" s="74">
        <v>45678</v>
      </c>
      <c r="L330" t="s">
        <v>190</v>
      </c>
      <c r="M330" s="74">
        <v>45667</v>
      </c>
      <c r="N330" t="s">
        <v>155</v>
      </c>
      <c r="O330" t="s">
        <v>190</v>
      </c>
      <c r="P330">
        <v>0.7</v>
      </c>
      <c r="Q330">
        <v>1.74</v>
      </c>
      <c r="R330">
        <v>787.5</v>
      </c>
      <c r="S330">
        <v>1957.5</v>
      </c>
      <c r="T330" t="s">
        <v>66</v>
      </c>
      <c r="AA330">
        <f t="shared" si="5"/>
        <v>392697.8</v>
      </c>
      <c r="AB330">
        <f>COUNTIF($D$1:D330,D330)</f>
        <v>258</v>
      </c>
    </row>
    <row r="331" spans="1:28" x14ac:dyDescent="0.25">
      <c r="A331">
        <v>330</v>
      </c>
      <c r="B331">
        <v>184548</v>
      </c>
      <c r="C331">
        <v>24002001</v>
      </c>
      <c r="D331" t="s">
        <v>14</v>
      </c>
      <c r="E331" t="s">
        <v>106</v>
      </c>
      <c r="F331">
        <v>5159769</v>
      </c>
      <c r="G331">
        <v>993</v>
      </c>
      <c r="H331" t="s">
        <v>123</v>
      </c>
      <c r="I331">
        <v>2136</v>
      </c>
      <c r="J331" s="74">
        <v>45664</v>
      </c>
      <c r="K331" s="74">
        <v>45673</v>
      </c>
      <c r="L331" t="s">
        <v>190</v>
      </c>
      <c r="M331" s="74">
        <v>45681</v>
      </c>
      <c r="N331" t="s">
        <v>151</v>
      </c>
      <c r="O331" t="s">
        <v>190</v>
      </c>
      <c r="P331">
        <v>0.61</v>
      </c>
      <c r="Q331">
        <v>4.21</v>
      </c>
      <c r="R331">
        <v>1302.96</v>
      </c>
      <c r="S331">
        <v>8992.56</v>
      </c>
      <c r="T331" t="s">
        <v>66</v>
      </c>
      <c r="AA331">
        <f t="shared" si="5"/>
        <v>392697.8</v>
      </c>
      <c r="AB331">
        <f>COUNTIF($D$1:D331,D331)</f>
        <v>259</v>
      </c>
    </row>
    <row r="332" spans="1:28" x14ac:dyDescent="0.25">
      <c r="A332">
        <v>331</v>
      </c>
      <c r="B332">
        <v>184292</v>
      </c>
      <c r="C332">
        <v>24001966</v>
      </c>
      <c r="D332" t="s">
        <v>14</v>
      </c>
      <c r="E332" t="s">
        <v>106</v>
      </c>
      <c r="F332">
        <v>5157997</v>
      </c>
      <c r="G332">
        <v>941</v>
      </c>
      <c r="H332" t="s">
        <v>123</v>
      </c>
      <c r="I332">
        <v>1226</v>
      </c>
      <c r="J332" s="74">
        <v>45665</v>
      </c>
      <c r="K332" s="74">
        <v>45672</v>
      </c>
      <c r="L332" t="s">
        <v>190</v>
      </c>
      <c r="M332" s="74">
        <v>45667</v>
      </c>
      <c r="N332" t="s">
        <v>155</v>
      </c>
      <c r="O332" t="s">
        <v>190</v>
      </c>
      <c r="P332">
        <v>0.75</v>
      </c>
      <c r="Q332">
        <v>1.93</v>
      </c>
      <c r="R332">
        <v>919.5</v>
      </c>
      <c r="S332">
        <v>2366.1799999999998</v>
      </c>
      <c r="T332" t="s">
        <v>66</v>
      </c>
      <c r="AA332">
        <f t="shared" si="5"/>
        <v>392697.8</v>
      </c>
      <c r="AB332">
        <f>COUNTIF($D$1:D332,D332)</f>
        <v>260</v>
      </c>
    </row>
    <row r="333" spans="1:28" x14ac:dyDescent="0.25">
      <c r="A333">
        <v>332</v>
      </c>
      <c r="B333">
        <v>183533</v>
      </c>
      <c r="C333">
        <v>24001729</v>
      </c>
      <c r="D333" t="s">
        <v>14</v>
      </c>
      <c r="E333" t="s">
        <v>106</v>
      </c>
      <c r="F333" t="s">
        <v>167</v>
      </c>
      <c r="G333">
        <v>648</v>
      </c>
      <c r="H333" t="s">
        <v>125</v>
      </c>
      <c r="I333">
        <v>490</v>
      </c>
      <c r="J333" s="74">
        <v>45681</v>
      </c>
      <c r="K333" s="74">
        <v>45685</v>
      </c>
      <c r="L333" t="s">
        <v>190</v>
      </c>
      <c r="M333" s="74">
        <v>45576</v>
      </c>
      <c r="N333" t="s">
        <v>155</v>
      </c>
      <c r="O333" t="s">
        <v>150</v>
      </c>
      <c r="P333">
        <v>0.84</v>
      </c>
      <c r="Q333">
        <v>2.39</v>
      </c>
      <c r="R333">
        <v>411.6</v>
      </c>
      <c r="S333">
        <v>1171.0999999999999</v>
      </c>
      <c r="T333" t="s">
        <v>66</v>
      </c>
      <c r="AA333">
        <f t="shared" si="5"/>
        <v>392697.8</v>
      </c>
      <c r="AB333">
        <f>COUNTIF($D$1:D333,D333)</f>
        <v>261</v>
      </c>
    </row>
    <row r="334" spans="1:28" x14ac:dyDescent="0.25">
      <c r="A334">
        <v>333</v>
      </c>
      <c r="B334">
        <v>183563</v>
      </c>
      <c r="C334">
        <v>24001759</v>
      </c>
      <c r="D334" t="s">
        <v>14</v>
      </c>
      <c r="E334" t="s">
        <v>106</v>
      </c>
      <c r="F334" t="s">
        <v>174</v>
      </c>
      <c r="G334">
        <v>650</v>
      </c>
      <c r="H334" t="s">
        <v>125</v>
      </c>
      <c r="I334">
        <v>700</v>
      </c>
      <c r="J334" s="74">
        <v>45685</v>
      </c>
      <c r="K334" s="74">
        <v>45685</v>
      </c>
      <c r="L334" t="s">
        <v>190</v>
      </c>
      <c r="M334" s="74">
        <v>45583</v>
      </c>
      <c r="N334" t="s">
        <v>155</v>
      </c>
      <c r="O334" t="s">
        <v>150</v>
      </c>
      <c r="P334">
        <v>0.78</v>
      </c>
      <c r="Q334">
        <v>2.2400000000000002</v>
      </c>
      <c r="R334">
        <v>546</v>
      </c>
      <c r="S334">
        <v>1568</v>
      </c>
      <c r="T334" t="s">
        <v>66</v>
      </c>
      <c r="AA334">
        <f t="shared" si="5"/>
        <v>392697.8</v>
      </c>
      <c r="AB334">
        <f>COUNTIF($D$1:D334,D334)</f>
        <v>262</v>
      </c>
    </row>
    <row r="335" spans="1:28" x14ac:dyDescent="0.25">
      <c r="A335">
        <v>334</v>
      </c>
      <c r="B335">
        <v>183775</v>
      </c>
      <c r="C335">
        <v>24001867</v>
      </c>
      <c r="D335" t="s">
        <v>14</v>
      </c>
      <c r="E335" t="s">
        <v>106</v>
      </c>
      <c r="F335">
        <v>5159771</v>
      </c>
      <c r="G335">
        <v>668</v>
      </c>
      <c r="H335" t="s">
        <v>125</v>
      </c>
      <c r="I335">
        <v>573</v>
      </c>
      <c r="J335" s="74">
        <v>45685</v>
      </c>
      <c r="K335" s="74">
        <v>45685</v>
      </c>
      <c r="L335" t="s">
        <v>190</v>
      </c>
      <c r="M335" s="74">
        <v>45611</v>
      </c>
      <c r="N335" t="s">
        <v>155</v>
      </c>
      <c r="O335" t="s">
        <v>152</v>
      </c>
      <c r="P335">
        <v>0.61</v>
      </c>
      <c r="Q335">
        <v>1.37</v>
      </c>
      <c r="R335">
        <v>349.53</v>
      </c>
      <c r="S335">
        <v>785.01</v>
      </c>
      <c r="T335" t="s">
        <v>66</v>
      </c>
      <c r="AA335">
        <f t="shared" si="5"/>
        <v>392697.8</v>
      </c>
      <c r="AB335">
        <f>COUNTIF($D$1:D335,D335)</f>
        <v>263</v>
      </c>
    </row>
    <row r="336" spans="1:28" x14ac:dyDescent="0.25">
      <c r="A336">
        <v>335</v>
      </c>
      <c r="B336">
        <v>183909</v>
      </c>
      <c r="C336">
        <v>24001877</v>
      </c>
      <c r="D336" t="s">
        <v>14</v>
      </c>
      <c r="E336" t="s">
        <v>106</v>
      </c>
      <c r="F336">
        <v>5159766</v>
      </c>
      <c r="G336">
        <v>795</v>
      </c>
      <c r="H336" t="s">
        <v>125</v>
      </c>
      <c r="I336">
        <v>2217</v>
      </c>
      <c r="J336" s="74">
        <v>45659</v>
      </c>
      <c r="K336" s="74">
        <v>45673</v>
      </c>
      <c r="L336" t="s">
        <v>190</v>
      </c>
      <c r="M336" s="74">
        <v>45618</v>
      </c>
      <c r="N336" t="s">
        <v>155</v>
      </c>
      <c r="O336" t="s">
        <v>152</v>
      </c>
      <c r="P336">
        <v>0.61</v>
      </c>
      <c r="Q336">
        <v>1.37</v>
      </c>
      <c r="R336">
        <v>1352.37</v>
      </c>
      <c r="S336">
        <v>3037.29</v>
      </c>
      <c r="T336" t="s">
        <v>66</v>
      </c>
      <c r="AA336">
        <f t="shared" si="5"/>
        <v>392697.8</v>
      </c>
      <c r="AB336">
        <f>COUNTIF($D$1:D336,D336)</f>
        <v>264</v>
      </c>
    </row>
    <row r="337" spans="1:28" x14ac:dyDescent="0.25">
      <c r="A337">
        <v>336</v>
      </c>
      <c r="B337">
        <v>183910</v>
      </c>
      <c r="C337">
        <v>24001878</v>
      </c>
      <c r="D337" t="s">
        <v>14</v>
      </c>
      <c r="E337" t="s">
        <v>106</v>
      </c>
      <c r="F337">
        <v>5159760</v>
      </c>
      <c r="G337">
        <v>795</v>
      </c>
      <c r="H337" t="s">
        <v>125</v>
      </c>
      <c r="I337">
        <v>1350</v>
      </c>
      <c r="J337" s="74">
        <v>45685</v>
      </c>
      <c r="K337" s="74">
        <v>45685</v>
      </c>
      <c r="L337" t="s">
        <v>190</v>
      </c>
      <c r="M337" s="74">
        <v>45618</v>
      </c>
      <c r="N337" t="s">
        <v>155</v>
      </c>
      <c r="O337" t="s">
        <v>152</v>
      </c>
      <c r="P337">
        <v>0.61</v>
      </c>
      <c r="Q337">
        <v>1.37</v>
      </c>
      <c r="R337">
        <v>823.5</v>
      </c>
      <c r="S337">
        <v>1849.5</v>
      </c>
      <c r="T337" t="s">
        <v>66</v>
      </c>
      <c r="AA337">
        <f t="shared" si="5"/>
        <v>392697.8</v>
      </c>
      <c r="AB337">
        <f>COUNTIF($D$1:D337,D337)</f>
        <v>265</v>
      </c>
    </row>
    <row r="338" spans="1:28" x14ac:dyDescent="0.25">
      <c r="A338">
        <v>337</v>
      </c>
      <c r="B338">
        <v>183908</v>
      </c>
      <c r="C338">
        <v>24001876</v>
      </c>
      <c r="D338" t="s">
        <v>14</v>
      </c>
      <c r="E338" t="s">
        <v>106</v>
      </c>
      <c r="F338">
        <v>5159765</v>
      </c>
      <c r="G338">
        <v>795</v>
      </c>
      <c r="H338" t="s">
        <v>125</v>
      </c>
      <c r="I338">
        <v>1223</v>
      </c>
      <c r="J338" s="74">
        <v>45685</v>
      </c>
      <c r="K338" s="74">
        <v>45687</v>
      </c>
      <c r="L338" t="s">
        <v>190</v>
      </c>
      <c r="M338" s="74">
        <v>45639</v>
      </c>
      <c r="N338" t="s">
        <v>155</v>
      </c>
      <c r="O338" t="s">
        <v>153</v>
      </c>
      <c r="P338">
        <v>0.61</v>
      </c>
      <c r="Q338">
        <v>1.37</v>
      </c>
      <c r="R338">
        <v>746.03</v>
      </c>
      <c r="S338">
        <v>1675.51</v>
      </c>
      <c r="T338" t="s">
        <v>66</v>
      </c>
      <c r="AA338">
        <f t="shared" si="5"/>
        <v>392697.8</v>
      </c>
      <c r="AB338">
        <f>COUNTIF($D$1:D338,D338)</f>
        <v>266</v>
      </c>
    </row>
    <row r="339" spans="1:28" x14ac:dyDescent="0.25">
      <c r="A339">
        <v>338</v>
      </c>
      <c r="B339">
        <v>183953</v>
      </c>
      <c r="C339">
        <v>24001921</v>
      </c>
      <c r="D339" t="s">
        <v>14</v>
      </c>
      <c r="E339" t="s">
        <v>106</v>
      </c>
      <c r="F339">
        <v>5158594</v>
      </c>
      <c r="G339">
        <v>797</v>
      </c>
      <c r="H339" t="s">
        <v>125</v>
      </c>
      <c r="I339">
        <v>303</v>
      </c>
      <c r="J339" s="74">
        <v>45687</v>
      </c>
      <c r="K339" s="74">
        <v>45687</v>
      </c>
      <c r="L339" t="s">
        <v>190</v>
      </c>
      <c r="M339" s="74">
        <v>45646</v>
      </c>
      <c r="N339" t="s">
        <v>155</v>
      </c>
      <c r="O339" t="s">
        <v>153</v>
      </c>
      <c r="P339">
        <v>0.7</v>
      </c>
      <c r="Q339">
        <v>1.64</v>
      </c>
      <c r="R339">
        <v>212.1</v>
      </c>
      <c r="S339">
        <v>496.92</v>
      </c>
      <c r="T339" t="s">
        <v>66</v>
      </c>
      <c r="AA339">
        <f t="shared" si="5"/>
        <v>392697.8</v>
      </c>
      <c r="AB339">
        <f>COUNTIF($D$1:D339,D339)</f>
        <v>267</v>
      </c>
    </row>
    <row r="340" spans="1:28" x14ac:dyDescent="0.25">
      <c r="A340">
        <v>339</v>
      </c>
      <c r="B340">
        <v>183770</v>
      </c>
      <c r="C340">
        <v>24001862</v>
      </c>
      <c r="D340" t="s">
        <v>14</v>
      </c>
      <c r="E340" t="s">
        <v>106</v>
      </c>
      <c r="F340">
        <v>5159763</v>
      </c>
      <c r="G340">
        <v>668</v>
      </c>
      <c r="H340" t="s">
        <v>125</v>
      </c>
      <c r="I340">
        <v>1417</v>
      </c>
      <c r="J340" s="74">
        <v>45687</v>
      </c>
      <c r="K340" s="74">
        <v>45687</v>
      </c>
      <c r="L340" t="s">
        <v>190</v>
      </c>
      <c r="M340" s="74">
        <v>45604</v>
      </c>
      <c r="N340" t="s">
        <v>155</v>
      </c>
      <c r="O340" t="s">
        <v>152</v>
      </c>
      <c r="P340">
        <v>0.61</v>
      </c>
      <c r="Q340">
        <v>1.4</v>
      </c>
      <c r="R340">
        <v>864.37</v>
      </c>
      <c r="S340">
        <v>1983.8</v>
      </c>
      <c r="T340" t="s">
        <v>66</v>
      </c>
      <c r="AA340">
        <f t="shared" si="5"/>
        <v>392697.8</v>
      </c>
      <c r="AB340">
        <f>COUNTIF($D$1:D340,D340)</f>
        <v>268</v>
      </c>
    </row>
    <row r="341" spans="1:28" x14ac:dyDescent="0.25">
      <c r="A341">
        <v>340</v>
      </c>
      <c r="B341">
        <v>184297</v>
      </c>
      <c r="C341">
        <v>24001971</v>
      </c>
      <c r="D341" t="s">
        <v>14</v>
      </c>
      <c r="E341" t="s">
        <v>106</v>
      </c>
      <c r="F341" t="s">
        <v>165</v>
      </c>
      <c r="G341">
        <v>941</v>
      </c>
      <c r="H341" t="s">
        <v>125</v>
      </c>
      <c r="I341">
        <v>13</v>
      </c>
      <c r="J341" s="74">
        <v>45671</v>
      </c>
      <c r="K341" s="74">
        <v>45685</v>
      </c>
      <c r="L341" t="s">
        <v>190</v>
      </c>
      <c r="M341" s="74">
        <v>45667</v>
      </c>
      <c r="N341" t="s">
        <v>155</v>
      </c>
      <c r="O341" t="s">
        <v>190</v>
      </c>
      <c r="P341">
        <v>0.84</v>
      </c>
      <c r="Q341">
        <v>2.39</v>
      </c>
      <c r="R341">
        <v>10.92</v>
      </c>
      <c r="S341">
        <v>31.07</v>
      </c>
      <c r="T341" t="s">
        <v>66</v>
      </c>
      <c r="AA341">
        <f t="shared" si="5"/>
        <v>392697.8</v>
      </c>
      <c r="AB341">
        <f>COUNTIF($D$1:D341,D341)</f>
        <v>269</v>
      </c>
    </row>
    <row r="342" spans="1:28" x14ac:dyDescent="0.25">
      <c r="A342">
        <v>341</v>
      </c>
      <c r="B342">
        <v>184548</v>
      </c>
      <c r="C342">
        <v>24002001</v>
      </c>
      <c r="D342" t="s">
        <v>14</v>
      </c>
      <c r="E342" t="s">
        <v>106</v>
      </c>
      <c r="F342">
        <v>5159769</v>
      </c>
      <c r="G342">
        <v>993</v>
      </c>
      <c r="H342" t="s">
        <v>125</v>
      </c>
      <c r="I342">
        <v>2136</v>
      </c>
      <c r="J342" s="74">
        <v>45664</v>
      </c>
      <c r="K342" s="74">
        <v>45674</v>
      </c>
      <c r="L342" t="s">
        <v>190</v>
      </c>
      <c r="M342" s="74">
        <v>45674</v>
      </c>
      <c r="N342" t="s">
        <v>151</v>
      </c>
      <c r="O342" t="s">
        <v>190</v>
      </c>
      <c r="P342">
        <v>0.61</v>
      </c>
      <c r="Q342">
        <v>4.21</v>
      </c>
      <c r="R342">
        <v>1302.96</v>
      </c>
      <c r="S342">
        <v>8992.56</v>
      </c>
      <c r="T342" t="s">
        <v>66</v>
      </c>
      <c r="AA342">
        <f t="shared" si="5"/>
        <v>392697.8</v>
      </c>
      <c r="AB342">
        <f>COUNTIF($D$1:D342,D342)</f>
        <v>270</v>
      </c>
    </row>
    <row r="343" spans="1:28" x14ac:dyDescent="0.25">
      <c r="A343">
        <v>342</v>
      </c>
      <c r="B343">
        <v>184516</v>
      </c>
      <c r="C343">
        <v>24002028</v>
      </c>
      <c r="D343" t="s">
        <v>14</v>
      </c>
      <c r="E343" t="s">
        <v>106</v>
      </c>
      <c r="F343">
        <v>5158602</v>
      </c>
      <c r="G343">
        <v>995</v>
      </c>
      <c r="H343" t="s">
        <v>125</v>
      </c>
      <c r="I343">
        <v>1303</v>
      </c>
      <c r="J343" s="74">
        <v>45660</v>
      </c>
      <c r="K343" s="74">
        <v>45672</v>
      </c>
      <c r="L343" t="s">
        <v>190</v>
      </c>
      <c r="M343" s="74">
        <v>45674</v>
      </c>
      <c r="N343" t="s">
        <v>151</v>
      </c>
      <c r="O343" t="s">
        <v>190</v>
      </c>
      <c r="P343">
        <v>0.8</v>
      </c>
      <c r="Q343">
        <v>5.63</v>
      </c>
      <c r="R343">
        <v>1042.4000000000001</v>
      </c>
      <c r="S343">
        <v>7335.89</v>
      </c>
      <c r="T343" t="s">
        <v>66</v>
      </c>
      <c r="AA343">
        <f t="shared" si="5"/>
        <v>392697.8</v>
      </c>
      <c r="AB343">
        <f>COUNTIF($D$1:D343,D343)</f>
        <v>271</v>
      </c>
    </row>
    <row r="344" spans="1:28" x14ac:dyDescent="0.25">
      <c r="A344">
        <v>343</v>
      </c>
      <c r="B344">
        <v>184517</v>
      </c>
      <c r="C344">
        <v>24002029</v>
      </c>
      <c r="D344" t="s">
        <v>14</v>
      </c>
      <c r="E344" t="s">
        <v>106</v>
      </c>
      <c r="F344" t="s">
        <v>222</v>
      </c>
      <c r="G344">
        <v>995</v>
      </c>
      <c r="H344" t="s">
        <v>125</v>
      </c>
      <c r="I344">
        <v>324</v>
      </c>
      <c r="J344" s="74">
        <v>45663</v>
      </c>
      <c r="K344" s="74">
        <v>45680</v>
      </c>
      <c r="L344" t="s">
        <v>190</v>
      </c>
      <c r="M344" s="74">
        <v>45674</v>
      </c>
      <c r="N344" t="s">
        <v>155</v>
      </c>
      <c r="O344" t="s">
        <v>190</v>
      </c>
      <c r="P344">
        <v>0.77</v>
      </c>
      <c r="Q344">
        <v>6.02</v>
      </c>
      <c r="R344">
        <v>249.48</v>
      </c>
      <c r="S344">
        <v>1950.48</v>
      </c>
      <c r="T344" t="s">
        <v>66</v>
      </c>
      <c r="AA344">
        <f t="shared" si="5"/>
        <v>392697.8</v>
      </c>
      <c r="AB344">
        <f>COUNTIF($D$1:D344,D344)</f>
        <v>272</v>
      </c>
    </row>
    <row r="345" spans="1:28" x14ac:dyDescent="0.25">
      <c r="A345">
        <v>344</v>
      </c>
      <c r="B345">
        <v>184522</v>
      </c>
      <c r="C345">
        <v>24002034</v>
      </c>
      <c r="D345" t="s">
        <v>14</v>
      </c>
      <c r="E345" t="s">
        <v>106</v>
      </c>
      <c r="F345">
        <v>5158611</v>
      </c>
      <c r="G345">
        <v>995</v>
      </c>
      <c r="H345" t="s">
        <v>125</v>
      </c>
      <c r="I345">
        <v>2154</v>
      </c>
      <c r="J345" s="74">
        <v>45666</v>
      </c>
      <c r="K345" s="74">
        <v>45677</v>
      </c>
      <c r="L345" t="s">
        <v>190</v>
      </c>
      <c r="M345" s="74">
        <v>45688</v>
      </c>
      <c r="N345" t="s">
        <v>151</v>
      </c>
      <c r="O345" t="s">
        <v>190</v>
      </c>
      <c r="P345">
        <v>0.7</v>
      </c>
      <c r="Q345">
        <v>4.92</v>
      </c>
      <c r="R345">
        <v>1507.8</v>
      </c>
      <c r="S345">
        <v>10597.68</v>
      </c>
      <c r="T345" t="s">
        <v>66</v>
      </c>
      <c r="AA345">
        <f t="shared" si="5"/>
        <v>392697.8</v>
      </c>
      <c r="AB345">
        <f>COUNTIF($D$1:D345,D345)</f>
        <v>273</v>
      </c>
    </row>
    <row r="346" spans="1:28" x14ac:dyDescent="0.25">
      <c r="A346">
        <v>345</v>
      </c>
      <c r="B346">
        <v>184523</v>
      </c>
      <c r="C346">
        <v>24002035</v>
      </c>
      <c r="D346" t="s">
        <v>14</v>
      </c>
      <c r="E346" t="s">
        <v>106</v>
      </c>
      <c r="F346" t="s">
        <v>420</v>
      </c>
      <c r="G346">
        <v>995</v>
      </c>
      <c r="H346" t="s">
        <v>125</v>
      </c>
      <c r="I346">
        <v>167</v>
      </c>
      <c r="J346" s="74">
        <v>45667</v>
      </c>
      <c r="K346" s="74">
        <v>45670</v>
      </c>
      <c r="L346" t="s">
        <v>190</v>
      </c>
      <c r="M346" s="74">
        <v>45688</v>
      </c>
      <c r="N346" t="s">
        <v>151</v>
      </c>
      <c r="O346" t="s">
        <v>190</v>
      </c>
      <c r="P346">
        <v>0.65</v>
      </c>
      <c r="Q346">
        <v>5.22</v>
      </c>
      <c r="R346">
        <v>108.55</v>
      </c>
      <c r="S346">
        <v>871.74</v>
      </c>
      <c r="T346" t="s">
        <v>66</v>
      </c>
      <c r="AA346">
        <f t="shared" si="5"/>
        <v>392697.8</v>
      </c>
      <c r="AB346">
        <f>COUNTIF($D$1:D346,D346)</f>
        <v>274</v>
      </c>
    </row>
    <row r="347" spans="1:28" x14ac:dyDescent="0.25">
      <c r="A347">
        <v>346</v>
      </c>
      <c r="B347">
        <v>184534</v>
      </c>
      <c r="C347">
        <v>24002046</v>
      </c>
      <c r="D347" t="s">
        <v>14</v>
      </c>
      <c r="E347" t="s">
        <v>106</v>
      </c>
      <c r="F347">
        <v>5158009</v>
      </c>
      <c r="G347">
        <v>996</v>
      </c>
      <c r="H347" t="s">
        <v>125</v>
      </c>
      <c r="I347">
        <v>2504</v>
      </c>
      <c r="J347" s="74">
        <v>45688</v>
      </c>
      <c r="K347" s="74">
        <v>45688</v>
      </c>
      <c r="L347" t="s">
        <v>190</v>
      </c>
      <c r="M347" s="74">
        <v>45688</v>
      </c>
      <c r="N347" t="s">
        <v>151</v>
      </c>
      <c r="O347" t="s">
        <v>190</v>
      </c>
      <c r="P347">
        <v>0.83</v>
      </c>
      <c r="Q347">
        <v>6.34</v>
      </c>
      <c r="R347">
        <v>2078.3200000000002</v>
      </c>
      <c r="S347">
        <v>15875.36</v>
      </c>
      <c r="T347" t="s">
        <v>66</v>
      </c>
      <c r="AA347">
        <f t="shared" si="5"/>
        <v>392697.8</v>
      </c>
      <c r="AB347">
        <f>COUNTIF($D$1:D347,D347)</f>
        <v>275</v>
      </c>
    </row>
    <row r="348" spans="1:28" x14ac:dyDescent="0.25">
      <c r="A348">
        <v>347</v>
      </c>
      <c r="B348">
        <v>184520</v>
      </c>
      <c r="C348">
        <v>24002032</v>
      </c>
      <c r="D348" t="s">
        <v>14</v>
      </c>
      <c r="E348" t="s">
        <v>106</v>
      </c>
      <c r="F348">
        <v>5158586</v>
      </c>
      <c r="G348">
        <v>995</v>
      </c>
      <c r="H348" t="s">
        <v>125</v>
      </c>
      <c r="I348">
        <v>3265</v>
      </c>
      <c r="J348" s="74">
        <v>45663</v>
      </c>
      <c r="K348" s="74">
        <v>45672</v>
      </c>
      <c r="L348" t="s">
        <v>190</v>
      </c>
      <c r="M348" s="74">
        <v>45688</v>
      </c>
      <c r="N348" t="s">
        <v>151</v>
      </c>
      <c r="O348" t="s">
        <v>190</v>
      </c>
      <c r="P348">
        <v>0.7</v>
      </c>
      <c r="Q348">
        <v>4.92</v>
      </c>
      <c r="R348">
        <v>2285.5</v>
      </c>
      <c r="S348">
        <v>16063.8</v>
      </c>
      <c r="T348" t="s">
        <v>66</v>
      </c>
      <c r="AA348">
        <f t="shared" si="5"/>
        <v>392697.8</v>
      </c>
      <c r="AB348">
        <f>COUNTIF($D$1:D348,D348)</f>
        <v>276</v>
      </c>
    </row>
    <row r="349" spans="1:28" x14ac:dyDescent="0.25">
      <c r="A349">
        <v>348</v>
      </c>
      <c r="B349">
        <v>184521</v>
      </c>
      <c r="C349">
        <v>24002033</v>
      </c>
      <c r="D349" t="s">
        <v>14</v>
      </c>
      <c r="E349" t="s">
        <v>106</v>
      </c>
      <c r="F349" t="s">
        <v>421</v>
      </c>
      <c r="G349">
        <v>995</v>
      </c>
      <c r="H349" t="s">
        <v>125</v>
      </c>
      <c r="I349">
        <v>513</v>
      </c>
      <c r="J349" s="74">
        <v>45663</v>
      </c>
      <c r="K349" s="74">
        <v>45680</v>
      </c>
      <c r="L349" t="s">
        <v>190</v>
      </c>
      <c r="M349" s="74">
        <v>45688</v>
      </c>
      <c r="N349" t="s">
        <v>151</v>
      </c>
      <c r="O349" t="s">
        <v>190</v>
      </c>
      <c r="P349">
        <v>0.65</v>
      </c>
      <c r="Q349">
        <v>5.22</v>
      </c>
      <c r="R349">
        <v>333.45</v>
      </c>
      <c r="S349">
        <v>2677.86</v>
      </c>
      <c r="T349" t="s">
        <v>66</v>
      </c>
      <c r="AA349">
        <f t="shared" si="5"/>
        <v>392697.8</v>
      </c>
      <c r="AB349">
        <f>COUNTIF($D$1:D349,D349)</f>
        <v>277</v>
      </c>
    </row>
    <row r="350" spans="1:28" x14ac:dyDescent="0.25">
      <c r="A350">
        <v>349</v>
      </c>
      <c r="B350">
        <v>184527</v>
      </c>
      <c r="C350">
        <v>24002039</v>
      </c>
      <c r="D350" t="s">
        <v>14</v>
      </c>
      <c r="E350" t="s">
        <v>106</v>
      </c>
      <c r="F350">
        <v>5157994</v>
      </c>
      <c r="G350">
        <v>996</v>
      </c>
      <c r="H350" t="s">
        <v>125</v>
      </c>
      <c r="I350">
        <v>1592</v>
      </c>
      <c r="J350" s="74">
        <v>45671</v>
      </c>
      <c r="K350" s="74">
        <v>45673</v>
      </c>
      <c r="L350" t="s">
        <v>190</v>
      </c>
      <c r="M350" s="74">
        <v>45688</v>
      </c>
      <c r="N350" t="s">
        <v>151</v>
      </c>
      <c r="O350" t="s">
        <v>190</v>
      </c>
      <c r="P350">
        <v>0.93</v>
      </c>
      <c r="Q350">
        <v>6.72</v>
      </c>
      <c r="R350">
        <v>1480.56</v>
      </c>
      <c r="S350">
        <v>10698.24</v>
      </c>
      <c r="T350" t="s">
        <v>66</v>
      </c>
      <c r="AA350">
        <f t="shared" si="5"/>
        <v>392697.8</v>
      </c>
      <c r="AB350">
        <f>COUNTIF($D$1:D350,D350)</f>
        <v>278</v>
      </c>
    </row>
    <row r="351" spans="1:28" x14ac:dyDescent="0.25">
      <c r="A351">
        <v>350</v>
      </c>
      <c r="B351">
        <v>184543</v>
      </c>
      <c r="C351">
        <v>24002055</v>
      </c>
      <c r="D351" t="s">
        <v>14</v>
      </c>
      <c r="E351" t="s">
        <v>106</v>
      </c>
      <c r="F351">
        <v>5159300</v>
      </c>
      <c r="G351">
        <v>997</v>
      </c>
      <c r="H351" t="s">
        <v>125</v>
      </c>
      <c r="I351">
        <v>3000</v>
      </c>
      <c r="J351" s="74">
        <v>45667</v>
      </c>
      <c r="K351" s="74">
        <v>45674</v>
      </c>
      <c r="L351" t="s">
        <v>190</v>
      </c>
      <c r="M351" s="74">
        <v>45688</v>
      </c>
      <c r="N351" t="s">
        <v>151</v>
      </c>
      <c r="O351" t="s">
        <v>190</v>
      </c>
      <c r="P351">
        <v>0.74</v>
      </c>
      <c r="Q351">
        <v>5.52</v>
      </c>
      <c r="R351">
        <v>2220</v>
      </c>
      <c r="S351">
        <v>16560</v>
      </c>
      <c r="T351" t="s">
        <v>66</v>
      </c>
      <c r="AA351">
        <f t="shared" si="5"/>
        <v>392697.8</v>
      </c>
      <c r="AB351">
        <f>COUNTIF($D$1:D351,D351)</f>
        <v>279</v>
      </c>
    </row>
    <row r="352" spans="1:28" x14ac:dyDescent="0.25">
      <c r="A352">
        <v>351</v>
      </c>
      <c r="B352">
        <v>184542</v>
      </c>
      <c r="C352">
        <v>24002054</v>
      </c>
      <c r="D352" t="s">
        <v>14</v>
      </c>
      <c r="E352" t="s">
        <v>106</v>
      </c>
      <c r="F352">
        <v>5158609</v>
      </c>
      <c r="G352">
        <v>997</v>
      </c>
      <c r="H352" t="s">
        <v>125</v>
      </c>
      <c r="I352">
        <v>8316</v>
      </c>
      <c r="J352" s="74">
        <v>45672</v>
      </c>
      <c r="K352" s="74">
        <v>45680</v>
      </c>
      <c r="L352" t="s">
        <v>190</v>
      </c>
      <c r="M352" s="74">
        <v>45695</v>
      </c>
      <c r="N352" t="s">
        <v>151</v>
      </c>
      <c r="O352" t="s">
        <v>224</v>
      </c>
      <c r="P352">
        <v>0.74</v>
      </c>
      <c r="Q352">
        <v>5.52</v>
      </c>
      <c r="R352">
        <v>6153.84</v>
      </c>
      <c r="S352">
        <v>45904.32</v>
      </c>
      <c r="T352" t="s">
        <v>66</v>
      </c>
      <c r="AA352">
        <f t="shared" si="5"/>
        <v>392697.8</v>
      </c>
      <c r="AB352">
        <f>COUNTIF($D$1:D352,D352)</f>
        <v>280</v>
      </c>
    </row>
    <row r="353" spans="1:28" x14ac:dyDescent="0.25">
      <c r="A353">
        <v>352</v>
      </c>
      <c r="B353">
        <v>184322</v>
      </c>
      <c r="C353">
        <v>24001996</v>
      </c>
      <c r="D353" t="s">
        <v>14</v>
      </c>
      <c r="E353" t="s">
        <v>106</v>
      </c>
      <c r="F353">
        <v>5159770</v>
      </c>
      <c r="G353">
        <v>942</v>
      </c>
      <c r="H353" t="s">
        <v>125</v>
      </c>
      <c r="I353">
        <v>1868</v>
      </c>
      <c r="J353" s="74">
        <v>45659</v>
      </c>
      <c r="K353" s="74">
        <v>45674</v>
      </c>
      <c r="L353" t="s">
        <v>190</v>
      </c>
      <c r="M353" s="74">
        <v>45674</v>
      </c>
      <c r="N353" t="s">
        <v>151</v>
      </c>
      <c r="O353" t="s">
        <v>190</v>
      </c>
      <c r="P353">
        <v>0.61</v>
      </c>
      <c r="Q353">
        <v>1.43</v>
      </c>
      <c r="R353">
        <v>1139.48</v>
      </c>
      <c r="S353">
        <v>2671.24</v>
      </c>
      <c r="T353" t="s">
        <v>66</v>
      </c>
      <c r="AA353">
        <f t="shared" si="5"/>
        <v>392697.8</v>
      </c>
      <c r="AB353">
        <f>COUNTIF($D$1:D353,D353)</f>
        <v>281</v>
      </c>
    </row>
    <row r="354" spans="1:28" x14ac:dyDescent="0.25">
      <c r="A354">
        <v>353</v>
      </c>
      <c r="B354">
        <v>184288</v>
      </c>
      <c r="C354">
        <v>24001962</v>
      </c>
      <c r="D354" t="s">
        <v>14</v>
      </c>
      <c r="E354" t="s">
        <v>106</v>
      </c>
      <c r="F354">
        <v>5158009</v>
      </c>
      <c r="G354">
        <v>941</v>
      </c>
      <c r="H354" t="s">
        <v>125</v>
      </c>
      <c r="I354">
        <v>3878</v>
      </c>
      <c r="J354" s="74">
        <v>45659</v>
      </c>
      <c r="K354" s="74">
        <v>45681</v>
      </c>
      <c r="L354" t="s">
        <v>190</v>
      </c>
      <c r="M354" s="74">
        <v>45667</v>
      </c>
      <c r="N354" t="s">
        <v>155</v>
      </c>
      <c r="O354" t="s">
        <v>190</v>
      </c>
      <c r="P354">
        <v>0.83</v>
      </c>
      <c r="Q354">
        <v>2.11</v>
      </c>
      <c r="R354">
        <v>3218.74</v>
      </c>
      <c r="S354">
        <v>8182.58</v>
      </c>
      <c r="T354" t="s">
        <v>66</v>
      </c>
      <c r="AA354">
        <f t="shared" si="5"/>
        <v>392697.8</v>
      </c>
      <c r="AB354">
        <f>COUNTIF($D$1:D354,D354)</f>
        <v>282</v>
      </c>
    </row>
    <row r="355" spans="1:28" x14ac:dyDescent="0.25">
      <c r="A355">
        <v>354</v>
      </c>
      <c r="B355">
        <v>184315</v>
      </c>
      <c r="C355">
        <v>24001989</v>
      </c>
      <c r="D355" t="s">
        <v>14</v>
      </c>
      <c r="E355" t="s">
        <v>106</v>
      </c>
      <c r="F355">
        <v>5159300</v>
      </c>
      <c r="G355">
        <v>941</v>
      </c>
      <c r="H355" t="s">
        <v>125</v>
      </c>
      <c r="I355">
        <v>2252</v>
      </c>
      <c r="J355" s="74">
        <v>45659</v>
      </c>
      <c r="K355" s="74">
        <v>45677</v>
      </c>
      <c r="L355" t="s">
        <v>190</v>
      </c>
      <c r="M355" s="74">
        <v>45660</v>
      </c>
      <c r="N355" t="s">
        <v>155</v>
      </c>
      <c r="O355" t="s">
        <v>190</v>
      </c>
      <c r="P355">
        <v>0.74</v>
      </c>
      <c r="Q355">
        <v>1.38</v>
      </c>
      <c r="R355">
        <v>1666.48</v>
      </c>
      <c r="S355">
        <v>3107.76</v>
      </c>
      <c r="T355" t="s">
        <v>66</v>
      </c>
      <c r="AA355">
        <f t="shared" si="5"/>
        <v>392697.8</v>
      </c>
      <c r="AB355">
        <f>COUNTIF($D$1:D355,D355)</f>
        <v>283</v>
      </c>
    </row>
    <row r="356" spans="1:28" x14ac:dyDescent="0.25">
      <c r="A356">
        <v>355</v>
      </c>
      <c r="B356">
        <v>184293</v>
      </c>
      <c r="C356">
        <v>24001967</v>
      </c>
      <c r="D356" t="s">
        <v>14</v>
      </c>
      <c r="E356" t="s">
        <v>106</v>
      </c>
      <c r="F356">
        <v>5157987</v>
      </c>
      <c r="G356">
        <v>941</v>
      </c>
      <c r="H356" t="s">
        <v>125</v>
      </c>
      <c r="I356">
        <v>1125</v>
      </c>
      <c r="J356" s="74">
        <v>45660</v>
      </c>
      <c r="K356" s="74">
        <v>45665</v>
      </c>
      <c r="L356" t="s">
        <v>190</v>
      </c>
      <c r="M356" s="74">
        <v>45667</v>
      </c>
      <c r="N356" t="s">
        <v>151</v>
      </c>
      <c r="O356" t="s">
        <v>190</v>
      </c>
      <c r="P356">
        <v>0.7</v>
      </c>
      <c r="Q356">
        <v>1.74</v>
      </c>
      <c r="R356">
        <v>787.5</v>
      </c>
      <c r="S356">
        <v>1957.5</v>
      </c>
      <c r="T356" t="s">
        <v>66</v>
      </c>
      <c r="AA356">
        <f t="shared" si="5"/>
        <v>392697.8</v>
      </c>
      <c r="AB356">
        <f>COUNTIF($D$1:D356,D356)</f>
        <v>284</v>
      </c>
    </row>
    <row r="357" spans="1:28" x14ac:dyDescent="0.25">
      <c r="A357">
        <v>356</v>
      </c>
      <c r="B357">
        <v>184292</v>
      </c>
      <c r="C357">
        <v>24001966</v>
      </c>
      <c r="D357" t="s">
        <v>14</v>
      </c>
      <c r="E357" t="s">
        <v>106</v>
      </c>
      <c r="F357">
        <v>5157997</v>
      </c>
      <c r="G357">
        <v>941</v>
      </c>
      <c r="H357" t="s">
        <v>125</v>
      </c>
      <c r="I357">
        <v>1229</v>
      </c>
      <c r="J357" s="74">
        <v>45665</v>
      </c>
      <c r="K357" s="74">
        <v>45671</v>
      </c>
      <c r="L357" t="s">
        <v>190</v>
      </c>
      <c r="M357" s="74">
        <v>45667</v>
      </c>
      <c r="N357" t="s">
        <v>155</v>
      </c>
      <c r="O357" t="s">
        <v>190</v>
      </c>
      <c r="P357">
        <v>0.75</v>
      </c>
      <c r="Q357">
        <v>1.93</v>
      </c>
      <c r="R357">
        <v>921.75</v>
      </c>
      <c r="S357">
        <v>2371.9699999999998</v>
      </c>
      <c r="T357" t="s">
        <v>66</v>
      </c>
      <c r="AA357">
        <f t="shared" si="5"/>
        <v>392697.8</v>
      </c>
      <c r="AB357">
        <f>COUNTIF($D$1:D357,D357)</f>
        <v>285</v>
      </c>
    </row>
    <row r="358" spans="1:28" x14ac:dyDescent="0.25">
      <c r="A358">
        <v>357</v>
      </c>
      <c r="B358">
        <v>183774</v>
      </c>
      <c r="C358">
        <v>24001866</v>
      </c>
      <c r="D358" t="s">
        <v>14</v>
      </c>
      <c r="E358" t="s">
        <v>106</v>
      </c>
      <c r="F358">
        <v>5159761</v>
      </c>
      <c r="G358">
        <v>668</v>
      </c>
      <c r="H358" t="s">
        <v>132</v>
      </c>
      <c r="I358">
        <v>1797</v>
      </c>
      <c r="J358" s="74">
        <v>45659</v>
      </c>
      <c r="K358" s="74">
        <v>45673</v>
      </c>
      <c r="L358" t="s">
        <v>190</v>
      </c>
      <c r="M358" s="74">
        <v>45611</v>
      </c>
      <c r="N358" t="s">
        <v>155</v>
      </c>
      <c r="O358" t="s">
        <v>152</v>
      </c>
      <c r="P358">
        <v>0.61</v>
      </c>
      <c r="Q358">
        <v>1.37</v>
      </c>
      <c r="R358">
        <v>1096.17</v>
      </c>
      <c r="S358">
        <v>2461.89</v>
      </c>
      <c r="T358" t="s">
        <v>66</v>
      </c>
      <c r="AA358">
        <f t="shared" si="5"/>
        <v>392697.8</v>
      </c>
      <c r="AB358">
        <f>COUNTIF($D$1:D358,D358)</f>
        <v>286</v>
      </c>
    </row>
    <row r="359" spans="1:28" x14ac:dyDescent="0.25">
      <c r="A359">
        <v>358</v>
      </c>
      <c r="B359">
        <v>184289</v>
      </c>
      <c r="C359">
        <v>24001963</v>
      </c>
      <c r="D359" t="s">
        <v>14</v>
      </c>
      <c r="E359" t="s">
        <v>106</v>
      </c>
      <c r="F359">
        <v>5158001</v>
      </c>
      <c r="G359">
        <v>941</v>
      </c>
      <c r="H359" t="s">
        <v>132</v>
      </c>
      <c r="I359">
        <v>378</v>
      </c>
      <c r="J359" s="74">
        <v>45666</v>
      </c>
      <c r="K359" s="74">
        <v>45666</v>
      </c>
      <c r="L359" t="s">
        <v>190</v>
      </c>
      <c r="M359" s="74">
        <v>45667</v>
      </c>
      <c r="N359" t="s">
        <v>151</v>
      </c>
      <c r="O359" t="s">
        <v>190</v>
      </c>
      <c r="P359">
        <v>0.83</v>
      </c>
      <c r="Q359">
        <v>2.11</v>
      </c>
      <c r="R359">
        <v>313.74</v>
      </c>
      <c r="S359">
        <v>797.58</v>
      </c>
      <c r="T359" t="s">
        <v>66</v>
      </c>
      <c r="AA359">
        <f t="shared" si="5"/>
        <v>392697.8</v>
      </c>
      <c r="AB359">
        <f>COUNTIF($D$1:D359,D359)</f>
        <v>287</v>
      </c>
    </row>
    <row r="360" spans="1:28" x14ac:dyDescent="0.25">
      <c r="A360">
        <v>359</v>
      </c>
      <c r="B360">
        <v>184296</v>
      </c>
      <c r="C360">
        <v>24001970</v>
      </c>
      <c r="D360" t="s">
        <v>14</v>
      </c>
      <c r="E360" t="s">
        <v>106</v>
      </c>
      <c r="F360">
        <v>5159296</v>
      </c>
      <c r="G360">
        <v>941</v>
      </c>
      <c r="H360" t="s">
        <v>132</v>
      </c>
      <c r="I360">
        <v>628</v>
      </c>
      <c r="J360" s="74">
        <v>45677</v>
      </c>
      <c r="K360" s="74">
        <v>45677</v>
      </c>
      <c r="L360" t="s">
        <v>190</v>
      </c>
      <c r="M360" s="74">
        <v>45667</v>
      </c>
      <c r="N360" t="s">
        <v>155</v>
      </c>
      <c r="O360" t="s">
        <v>190</v>
      </c>
      <c r="P360">
        <v>0.83</v>
      </c>
      <c r="Q360">
        <v>2.17</v>
      </c>
      <c r="R360">
        <v>521.24</v>
      </c>
      <c r="S360">
        <v>1362.76</v>
      </c>
      <c r="T360" t="s">
        <v>66</v>
      </c>
      <c r="AA360">
        <f t="shared" si="5"/>
        <v>392697.8</v>
      </c>
      <c r="AB360">
        <f>COUNTIF($D$1:D360,D360)</f>
        <v>288</v>
      </c>
    </row>
    <row r="361" spans="1:28" x14ac:dyDescent="0.25">
      <c r="A361">
        <v>360</v>
      </c>
      <c r="B361">
        <v>184516</v>
      </c>
      <c r="C361">
        <v>24002028</v>
      </c>
      <c r="D361" t="s">
        <v>14</v>
      </c>
      <c r="E361" t="s">
        <v>106</v>
      </c>
      <c r="F361">
        <v>5158602</v>
      </c>
      <c r="G361">
        <v>995</v>
      </c>
      <c r="H361" t="s">
        <v>132</v>
      </c>
      <c r="I361">
        <v>2398</v>
      </c>
      <c r="J361" s="74">
        <v>45660</v>
      </c>
      <c r="K361" s="74">
        <v>45664</v>
      </c>
      <c r="L361" t="s">
        <v>190</v>
      </c>
      <c r="M361" s="74">
        <v>45674</v>
      </c>
      <c r="N361" t="s">
        <v>151</v>
      </c>
      <c r="O361" t="s">
        <v>190</v>
      </c>
      <c r="P361">
        <v>0.8</v>
      </c>
      <c r="Q361">
        <v>5.63</v>
      </c>
      <c r="R361">
        <v>1918.4</v>
      </c>
      <c r="S361">
        <v>13500.74</v>
      </c>
      <c r="T361" t="s">
        <v>66</v>
      </c>
      <c r="AA361">
        <f t="shared" si="5"/>
        <v>392697.8</v>
      </c>
      <c r="AB361">
        <f>COUNTIF($D$1:D361,D361)</f>
        <v>289</v>
      </c>
    </row>
    <row r="362" spans="1:28" x14ac:dyDescent="0.25">
      <c r="A362">
        <v>361</v>
      </c>
      <c r="B362">
        <v>184517</v>
      </c>
      <c r="C362">
        <v>24002029</v>
      </c>
      <c r="D362" t="s">
        <v>14</v>
      </c>
      <c r="E362" t="s">
        <v>106</v>
      </c>
      <c r="F362" t="s">
        <v>222</v>
      </c>
      <c r="G362">
        <v>995</v>
      </c>
      <c r="H362" t="s">
        <v>132</v>
      </c>
      <c r="I362">
        <v>369</v>
      </c>
      <c r="J362" s="74">
        <v>45660</v>
      </c>
      <c r="K362" s="74">
        <v>45665</v>
      </c>
      <c r="L362" t="s">
        <v>190</v>
      </c>
      <c r="M362" s="74">
        <v>45674</v>
      </c>
      <c r="N362" t="s">
        <v>151</v>
      </c>
      <c r="O362" t="s">
        <v>190</v>
      </c>
      <c r="P362">
        <v>0.77</v>
      </c>
      <c r="Q362">
        <v>6.02</v>
      </c>
      <c r="R362">
        <v>284.13</v>
      </c>
      <c r="S362">
        <v>2221.38</v>
      </c>
      <c r="T362" t="s">
        <v>66</v>
      </c>
      <c r="AA362">
        <f t="shared" si="5"/>
        <v>392697.8</v>
      </c>
      <c r="AB362">
        <f>COUNTIF($D$1:D362,D362)</f>
        <v>290</v>
      </c>
    </row>
    <row r="363" spans="1:28" x14ac:dyDescent="0.25">
      <c r="A363">
        <v>362</v>
      </c>
      <c r="B363">
        <v>184548</v>
      </c>
      <c r="C363">
        <v>24002001</v>
      </c>
      <c r="D363" t="s">
        <v>14</v>
      </c>
      <c r="E363" t="s">
        <v>106</v>
      </c>
      <c r="F363">
        <v>5159769</v>
      </c>
      <c r="G363">
        <v>993</v>
      </c>
      <c r="H363" t="s">
        <v>132</v>
      </c>
      <c r="I363">
        <v>1971</v>
      </c>
      <c r="J363" s="74">
        <v>45664</v>
      </c>
      <c r="K363" s="74">
        <v>45677</v>
      </c>
      <c r="L363" t="s">
        <v>190</v>
      </c>
      <c r="M363" s="74">
        <v>45674</v>
      </c>
      <c r="N363" t="s">
        <v>155</v>
      </c>
      <c r="O363" t="s">
        <v>190</v>
      </c>
      <c r="P363">
        <v>0.61</v>
      </c>
      <c r="Q363">
        <v>4.21</v>
      </c>
      <c r="R363">
        <v>1202.31</v>
      </c>
      <c r="S363">
        <v>8297.91</v>
      </c>
      <c r="T363" t="s">
        <v>66</v>
      </c>
      <c r="AA363">
        <f t="shared" si="5"/>
        <v>392697.8</v>
      </c>
      <c r="AB363">
        <f>COUNTIF($D$1:D363,D363)</f>
        <v>291</v>
      </c>
    </row>
    <row r="364" spans="1:28" x14ac:dyDescent="0.25">
      <c r="A364">
        <v>363</v>
      </c>
      <c r="B364">
        <v>184534</v>
      </c>
      <c r="C364">
        <v>24002046</v>
      </c>
      <c r="D364" t="s">
        <v>14</v>
      </c>
      <c r="E364" t="s">
        <v>106</v>
      </c>
      <c r="F364">
        <v>5158009</v>
      </c>
      <c r="G364">
        <v>996</v>
      </c>
      <c r="H364" t="s">
        <v>132</v>
      </c>
      <c r="I364">
        <v>8802</v>
      </c>
      <c r="J364" s="74">
        <v>45677</v>
      </c>
      <c r="K364" s="74">
        <v>45681</v>
      </c>
      <c r="L364" t="s">
        <v>190</v>
      </c>
      <c r="M364" s="74">
        <v>45688</v>
      </c>
      <c r="N364" t="s">
        <v>151</v>
      </c>
      <c r="O364" t="s">
        <v>190</v>
      </c>
      <c r="P364">
        <v>0.83</v>
      </c>
      <c r="Q364">
        <v>6.34</v>
      </c>
      <c r="R364">
        <v>7305.66</v>
      </c>
      <c r="S364">
        <v>55804.68</v>
      </c>
      <c r="T364" t="s">
        <v>66</v>
      </c>
      <c r="AA364">
        <f t="shared" si="5"/>
        <v>392697.8</v>
      </c>
      <c r="AB364">
        <f>COUNTIF($D$1:D364,D364)</f>
        <v>292</v>
      </c>
    </row>
    <row r="365" spans="1:28" x14ac:dyDescent="0.25">
      <c r="A365">
        <v>364</v>
      </c>
      <c r="B365">
        <v>184535</v>
      </c>
      <c r="C365">
        <v>24002047</v>
      </c>
      <c r="D365" t="s">
        <v>14</v>
      </c>
      <c r="E365" t="s">
        <v>106</v>
      </c>
      <c r="F365">
        <v>5158003</v>
      </c>
      <c r="G365">
        <v>996</v>
      </c>
      <c r="H365" t="s">
        <v>132</v>
      </c>
      <c r="I365">
        <v>1620</v>
      </c>
      <c r="J365" s="74">
        <v>45681</v>
      </c>
      <c r="K365" s="74">
        <v>45685</v>
      </c>
      <c r="L365" t="s">
        <v>190</v>
      </c>
      <c r="M365" s="74">
        <v>45688</v>
      </c>
      <c r="N365" t="s">
        <v>151</v>
      </c>
      <c r="O365" t="s">
        <v>190</v>
      </c>
      <c r="P365">
        <v>0.7</v>
      </c>
      <c r="Q365">
        <v>5.23</v>
      </c>
      <c r="R365">
        <v>1134</v>
      </c>
      <c r="S365">
        <v>8472.6</v>
      </c>
      <c r="T365" t="s">
        <v>66</v>
      </c>
      <c r="AA365">
        <f t="shared" si="5"/>
        <v>392697.8</v>
      </c>
      <c r="AB365">
        <f>COUNTIF($D$1:D365,D365)</f>
        <v>293</v>
      </c>
    </row>
    <row r="366" spans="1:28" x14ac:dyDescent="0.25">
      <c r="A366">
        <v>365</v>
      </c>
      <c r="B366">
        <v>184536</v>
      </c>
      <c r="C366">
        <v>24002048</v>
      </c>
      <c r="D366" t="s">
        <v>14</v>
      </c>
      <c r="E366" t="s">
        <v>106</v>
      </c>
      <c r="F366" t="s">
        <v>422</v>
      </c>
      <c r="G366">
        <v>996</v>
      </c>
      <c r="H366" t="s">
        <v>132</v>
      </c>
      <c r="I366">
        <v>270</v>
      </c>
      <c r="J366" s="74">
        <v>45685</v>
      </c>
      <c r="K366" s="74">
        <v>45685</v>
      </c>
      <c r="L366" t="s">
        <v>190</v>
      </c>
      <c r="M366" s="74">
        <v>45688</v>
      </c>
      <c r="N366" t="s">
        <v>151</v>
      </c>
      <c r="O366" t="s">
        <v>190</v>
      </c>
      <c r="P366">
        <v>0.7</v>
      </c>
      <c r="Q366">
        <v>5.61</v>
      </c>
      <c r="R366">
        <v>189</v>
      </c>
      <c r="S366">
        <v>1514.7</v>
      </c>
      <c r="T366" t="s">
        <v>66</v>
      </c>
      <c r="AA366">
        <f t="shared" si="5"/>
        <v>392697.8</v>
      </c>
      <c r="AB366">
        <f>COUNTIF($D$1:D366,D366)</f>
        <v>294</v>
      </c>
    </row>
    <row r="367" spans="1:28" x14ac:dyDescent="0.25">
      <c r="A367">
        <v>366</v>
      </c>
      <c r="B367">
        <v>184537</v>
      </c>
      <c r="C367">
        <v>24002049</v>
      </c>
      <c r="D367" t="s">
        <v>14</v>
      </c>
      <c r="E367" t="s">
        <v>106</v>
      </c>
      <c r="F367">
        <v>5157987</v>
      </c>
      <c r="G367">
        <v>996</v>
      </c>
      <c r="H367" t="s">
        <v>132</v>
      </c>
      <c r="I367">
        <v>2430</v>
      </c>
      <c r="J367" s="74">
        <v>45685</v>
      </c>
      <c r="K367" s="74">
        <v>45687</v>
      </c>
      <c r="L367" t="s">
        <v>190</v>
      </c>
      <c r="M367" s="74">
        <v>45688</v>
      </c>
      <c r="N367" t="s">
        <v>151</v>
      </c>
      <c r="O367" t="s">
        <v>190</v>
      </c>
      <c r="P367">
        <v>0.7</v>
      </c>
      <c r="Q367">
        <v>5.23</v>
      </c>
      <c r="R367">
        <v>1701</v>
      </c>
      <c r="S367">
        <v>12708.9</v>
      </c>
      <c r="T367" t="s">
        <v>66</v>
      </c>
      <c r="AA367">
        <f t="shared" si="5"/>
        <v>392697.8</v>
      </c>
      <c r="AB367">
        <f>COUNTIF($D$1:D367,D367)</f>
        <v>295</v>
      </c>
    </row>
    <row r="368" spans="1:28" x14ac:dyDescent="0.25">
      <c r="A368">
        <v>367</v>
      </c>
      <c r="B368">
        <v>184520</v>
      </c>
      <c r="C368">
        <v>24002032</v>
      </c>
      <c r="D368" t="s">
        <v>14</v>
      </c>
      <c r="E368" t="s">
        <v>106</v>
      </c>
      <c r="F368">
        <v>5158586</v>
      </c>
      <c r="G368">
        <v>995</v>
      </c>
      <c r="H368" t="s">
        <v>132</v>
      </c>
      <c r="I368">
        <v>3105</v>
      </c>
      <c r="J368" s="74">
        <v>45663</v>
      </c>
      <c r="K368" s="74">
        <v>45674</v>
      </c>
      <c r="L368" t="s">
        <v>190</v>
      </c>
      <c r="M368" s="74">
        <v>45688</v>
      </c>
      <c r="N368" t="s">
        <v>151</v>
      </c>
      <c r="O368" t="s">
        <v>190</v>
      </c>
      <c r="P368">
        <v>0.7</v>
      </c>
      <c r="Q368">
        <v>4.92</v>
      </c>
      <c r="R368">
        <v>2173.5</v>
      </c>
      <c r="S368">
        <v>15276.6</v>
      </c>
      <c r="T368" t="s">
        <v>66</v>
      </c>
      <c r="AA368">
        <f t="shared" si="5"/>
        <v>392697.8</v>
      </c>
      <c r="AB368">
        <f>COUNTIF($D$1:D368,D368)</f>
        <v>296</v>
      </c>
    </row>
    <row r="369" spans="1:28" x14ac:dyDescent="0.25">
      <c r="A369">
        <v>368</v>
      </c>
      <c r="B369">
        <v>184521</v>
      </c>
      <c r="C369">
        <v>24002033</v>
      </c>
      <c r="D369" t="s">
        <v>14</v>
      </c>
      <c r="E369" t="s">
        <v>106</v>
      </c>
      <c r="F369" t="s">
        <v>421</v>
      </c>
      <c r="G369">
        <v>995</v>
      </c>
      <c r="H369" t="s">
        <v>132</v>
      </c>
      <c r="I369">
        <v>513</v>
      </c>
      <c r="J369" s="74">
        <v>45663</v>
      </c>
      <c r="K369" s="74">
        <v>45677</v>
      </c>
      <c r="L369" t="s">
        <v>190</v>
      </c>
      <c r="M369" s="74">
        <v>45688</v>
      </c>
      <c r="N369" t="s">
        <v>151</v>
      </c>
      <c r="O369" t="s">
        <v>190</v>
      </c>
      <c r="P369">
        <v>0.65</v>
      </c>
      <c r="Q369">
        <v>5.22</v>
      </c>
      <c r="R369">
        <v>333.45</v>
      </c>
      <c r="S369">
        <v>2677.86</v>
      </c>
      <c r="T369" t="s">
        <v>66</v>
      </c>
      <c r="AA369">
        <f t="shared" si="5"/>
        <v>392697.8</v>
      </c>
      <c r="AB369">
        <f>COUNTIF($D$1:D369,D369)</f>
        <v>297</v>
      </c>
    </row>
    <row r="370" spans="1:28" x14ac:dyDescent="0.25">
      <c r="A370">
        <v>369</v>
      </c>
      <c r="B370">
        <v>184529</v>
      </c>
      <c r="C370">
        <v>24002041</v>
      </c>
      <c r="D370" t="s">
        <v>14</v>
      </c>
      <c r="E370" t="s">
        <v>106</v>
      </c>
      <c r="F370">
        <v>5159304</v>
      </c>
      <c r="G370">
        <v>996</v>
      </c>
      <c r="H370" t="s">
        <v>132</v>
      </c>
      <c r="I370">
        <v>3348</v>
      </c>
      <c r="J370" s="74">
        <v>45687</v>
      </c>
      <c r="K370" s="74">
        <v>45688</v>
      </c>
      <c r="L370" t="s">
        <v>190</v>
      </c>
      <c r="M370" s="74">
        <v>45695</v>
      </c>
      <c r="N370" t="s">
        <v>151</v>
      </c>
      <c r="O370" t="s">
        <v>224</v>
      </c>
      <c r="P370">
        <v>0.8</v>
      </c>
      <c r="Q370">
        <v>6.25</v>
      </c>
      <c r="R370">
        <v>2678.4</v>
      </c>
      <c r="S370">
        <v>20925</v>
      </c>
      <c r="T370" t="s">
        <v>66</v>
      </c>
      <c r="AA370">
        <f t="shared" si="5"/>
        <v>392697.8</v>
      </c>
      <c r="AB370">
        <f>COUNTIF($D$1:D370,D370)</f>
        <v>298</v>
      </c>
    </row>
    <row r="371" spans="1:28" x14ac:dyDescent="0.25">
      <c r="A371">
        <v>370</v>
      </c>
      <c r="B371">
        <v>184530</v>
      </c>
      <c r="C371">
        <v>24002042</v>
      </c>
      <c r="D371" t="s">
        <v>14</v>
      </c>
      <c r="E371" t="s">
        <v>106</v>
      </c>
      <c r="F371">
        <v>5159295</v>
      </c>
      <c r="G371">
        <v>996</v>
      </c>
      <c r="H371" t="s">
        <v>132</v>
      </c>
      <c r="I371">
        <v>626</v>
      </c>
      <c r="J371" s="74">
        <v>45688</v>
      </c>
      <c r="K371" s="74">
        <v>45688</v>
      </c>
      <c r="L371" t="s">
        <v>190</v>
      </c>
      <c r="M371" s="74">
        <v>45695</v>
      </c>
      <c r="N371" t="s">
        <v>151</v>
      </c>
      <c r="O371" t="s">
        <v>224</v>
      </c>
      <c r="P371">
        <v>0.8</v>
      </c>
      <c r="Q371">
        <v>6.25</v>
      </c>
      <c r="R371">
        <v>500.8</v>
      </c>
      <c r="S371">
        <v>3912.5</v>
      </c>
      <c r="T371" t="s">
        <v>66</v>
      </c>
      <c r="AA371">
        <f t="shared" si="5"/>
        <v>392697.8</v>
      </c>
      <c r="AB371">
        <f>COUNTIF($D$1:D371,D371)</f>
        <v>299</v>
      </c>
    </row>
    <row r="372" spans="1:28" x14ac:dyDescent="0.25">
      <c r="A372">
        <v>371</v>
      </c>
      <c r="B372">
        <v>184313</v>
      </c>
      <c r="C372">
        <v>24001987</v>
      </c>
      <c r="D372" t="s">
        <v>14</v>
      </c>
      <c r="E372" t="s">
        <v>106</v>
      </c>
      <c r="F372">
        <v>5158608</v>
      </c>
      <c r="G372">
        <v>941</v>
      </c>
      <c r="H372" t="s">
        <v>132</v>
      </c>
      <c r="I372">
        <v>58</v>
      </c>
      <c r="J372" s="74">
        <v>45664</v>
      </c>
      <c r="K372" s="74">
        <v>45665</v>
      </c>
      <c r="L372" t="s">
        <v>190</v>
      </c>
      <c r="M372" s="74">
        <v>45660</v>
      </c>
      <c r="N372" t="s">
        <v>155</v>
      </c>
      <c r="O372" t="s">
        <v>190</v>
      </c>
      <c r="P372">
        <v>0.74</v>
      </c>
      <c r="Q372">
        <v>1.38</v>
      </c>
      <c r="R372">
        <v>42.92</v>
      </c>
      <c r="S372">
        <v>80.040000000000006</v>
      </c>
      <c r="T372" t="s">
        <v>66</v>
      </c>
      <c r="AA372">
        <f t="shared" si="5"/>
        <v>392697.8</v>
      </c>
      <c r="AB372">
        <f>COUNTIF($D$1:D372,D372)</f>
        <v>300</v>
      </c>
    </row>
    <row r="373" spans="1:28" x14ac:dyDescent="0.25">
      <c r="A373">
        <v>372</v>
      </c>
      <c r="B373">
        <v>184522</v>
      </c>
      <c r="C373">
        <v>24002034</v>
      </c>
      <c r="D373" t="s">
        <v>14</v>
      </c>
      <c r="E373" t="s">
        <v>106</v>
      </c>
      <c r="F373">
        <v>5158611</v>
      </c>
      <c r="G373">
        <v>995</v>
      </c>
      <c r="H373" t="s">
        <v>132</v>
      </c>
      <c r="I373">
        <v>1132</v>
      </c>
      <c r="J373" s="74">
        <v>45667</v>
      </c>
      <c r="K373" s="74">
        <v>45674</v>
      </c>
      <c r="L373" t="s">
        <v>190</v>
      </c>
      <c r="M373" s="74">
        <v>45688</v>
      </c>
      <c r="N373" t="s">
        <v>151</v>
      </c>
      <c r="O373" t="s">
        <v>190</v>
      </c>
      <c r="P373">
        <v>0.7</v>
      </c>
      <c r="Q373">
        <v>4.92</v>
      </c>
      <c r="R373">
        <v>792.4</v>
      </c>
      <c r="S373">
        <v>5569.44</v>
      </c>
      <c r="T373" t="s">
        <v>66</v>
      </c>
      <c r="AA373">
        <f t="shared" si="5"/>
        <v>392697.8</v>
      </c>
      <c r="AB373">
        <f>COUNTIF($D$1:D373,D373)</f>
        <v>301</v>
      </c>
    </row>
    <row r="374" spans="1:28" x14ac:dyDescent="0.25">
      <c r="A374">
        <v>373</v>
      </c>
      <c r="B374">
        <v>184523</v>
      </c>
      <c r="C374">
        <v>24002035</v>
      </c>
      <c r="D374" t="s">
        <v>14</v>
      </c>
      <c r="E374" t="s">
        <v>106</v>
      </c>
      <c r="F374" t="s">
        <v>420</v>
      </c>
      <c r="G374">
        <v>995</v>
      </c>
      <c r="H374" t="s">
        <v>132</v>
      </c>
      <c r="I374">
        <v>170</v>
      </c>
      <c r="J374" s="74">
        <v>45667</v>
      </c>
      <c r="K374" s="74">
        <v>45673</v>
      </c>
      <c r="L374" t="s">
        <v>190</v>
      </c>
      <c r="M374" s="74">
        <v>45688</v>
      </c>
      <c r="N374" t="s">
        <v>151</v>
      </c>
      <c r="O374" t="s">
        <v>190</v>
      </c>
      <c r="P374">
        <v>0.65</v>
      </c>
      <c r="Q374">
        <v>5.22</v>
      </c>
      <c r="R374">
        <v>110.5</v>
      </c>
      <c r="S374">
        <v>887.4</v>
      </c>
      <c r="T374" t="s">
        <v>66</v>
      </c>
      <c r="AA374">
        <f t="shared" si="5"/>
        <v>392697.8</v>
      </c>
      <c r="AB374">
        <f>COUNTIF($D$1:D374,D374)</f>
        <v>302</v>
      </c>
    </row>
    <row r="375" spans="1:28" x14ac:dyDescent="0.25">
      <c r="A375">
        <v>374</v>
      </c>
      <c r="B375">
        <v>184516</v>
      </c>
      <c r="C375">
        <v>24002028</v>
      </c>
      <c r="D375" t="s">
        <v>14</v>
      </c>
      <c r="E375" t="s">
        <v>106</v>
      </c>
      <c r="F375">
        <v>5158602</v>
      </c>
      <c r="G375">
        <v>995</v>
      </c>
      <c r="H375" t="s">
        <v>133</v>
      </c>
      <c r="I375">
        <v>2398</v>
      </c>
      <c r="J375" s="74">
        <v>45660</v>
      </c>
      <c r="K375" s="74">
        <v>45679</v>
      </c>
      <c r="L375" t="s">
        <v>190</v>
      </c>
      <c r="M375" s="74">
        <v>45674</v>
      </c>
      <c r="N375" t="s">
        <v>155</v>
      </c>
      <c r="O375" t="s">
        <v>190</v>
      </c>
      <c r="P375">
        <v>0.8</v>
      </c>
      <c r="Q375">
        <v>5.63</v>
      </c>
      <c r="R375">
        <v>1918.4</v>
      </c>
      <c r="S375">
        <v>13500.74</v>
      </c>
      <c r="T375" t="s">
        <v>66</v>
      </c>
      <c r="AA375">
        <f t="shared" si="5"/>
        <v>392697.8</v>
      </c>
      <c r="AB375">
        <f>COUNTIF($D$1:D375,D375)</f>
        <v>303</v>
      </c>
    </row>
    <row r="376" spans="1:28" x14ac:dyDescent="0.25">
      <c r="A376">
        <v>375</v>
      </c>
      <c r="B376">
        <v>184517</v>
      </c>
      <c r="C376">
        <v>24002029</v>
      </c>
      <c r="D376" t="s">
        <v>14</v>
      </c>
      <c r="E376" t="s">
        <v>106</v>
      </c>
      <c r="F376" t="s">
        <v>222</v>
      </c>
      <c r="G376">
        <v>995</v>
      </c>
      <c r="H376" t="s">
        <v>133</v>
      </c>
      <c r="I376">
        <v>371</v>
      </c>
      <c r="J376" s="74">
        <v>45660</v>
      </c>
      <c r="K376" s="74">
        <v>45679</v>
      </c>
      <c r="L376" t="s">
        <v>190</v>
      </c>
      <c r="M376" s="74">
        <v>45674</v>
      </c>
      <c r="N376" t="s">
        <v>155</v>
      </c>
      <c r="O376" t="s">
        <v>190</v>
      </c>
      <c r="P376">
        <v>0.77</v>
      </c>
      <c r="Q376">
        <v>6.02</v>
      </c>
      <c r="R376">
        <v>285.67</v>
      </c>
      <c r="S376">
        <v>2233.42</v>
      </c>
      <c r="T376" t="s">
        <v>66</v>
      </c>
      <c r="AA376">
        <f t="shared" si="5"/>
        <v>392697.8</v>
      </c>
      <c r="AB376">
        <f>COUNTIF($D$1:D376,D376)</f>
        <v>304</v>
      </c>
    </row>
    <row r="377" spans="1:28" x14ac:dyDescent="0.25">
      <c r="A377">
        <v>376</v>
      </c>
      <c r="B377">
        <v>184520</v>
      </c>
      <c r="C377">
        <v>24002032</v>
      </c>
      <c r="D377" t="s">
        <v>14</v>
      </c>
      <c r="E377" t="s">
        <v>106</v>
      </c>
      <c r="F377">
        <v>5158586</v>
      </c>
      <c r="G377">
        <v>995</v>
      </c>
      <c r="H377" t="s">
        <v>133</v>
      </c>
      <c r="I377">
        <v>3105</v>
      </c>
      <c r="J377" s="74">
        <v>45663</v>
      </c>
      <c r="K377" s="74">
        <v>45677</v>
      </c>
      <c r="L377" t="s">
        <v>190</v>
      </c>
      <c r="M377" s="74">
        <v>45688</v>
      </c>
      <c r="N377" t="s">
        <v>151</v>
      </c>
      <c r="O377" t="s">
        <v>190</v>
      </c>
      <c r="P377">
        <v>0.7</v>
      </c>
      <c r="Q377">
        <v>4.92</v>
      </c>
      <c r="R377">
        <v>2173.5</v>
      </c>
      <c r="S377">
        <v>15276.6</v>
      </c>
      <c r="T377" t="s">
        <v>66</v>
      </c>
      <c r="AA377">
        <f t="shared" si="5"/>
        <v>392697.8</v>
      </c>
      <c r="AB377">
        <f>COUNTIF($D$1:D377,D377)</f>
        <v>305</v>
      </c>
    </row>
    <row r="378" spans="1:28" x14ac:dyDescent="0.25">
      <c r="A378">
        <v>377</v>
      </c>
      <c r="B378">
        <v>184521</v>
      </c>
      <c r="C378">
        <v>24002033</v>
      </c>
      <c r="D378" t="s">
        <v>14</v>
      </c>
      <c r="E378" t="s">
        <v>106</v>
      </c>
      <c r="F378" t="s">
        <v>421</v>
      </c>
      <c r="G378">
        <v>995</v>
      </c>
      <c r="H378" t="s">
        <v>133</v>
      </c>
      <c r="I378">
        <v>513</v>
      </c>
      <c r="J378" s="74">
        <v>45663</v>
      </c>
      <c r="K378" s="74">
        <v>45677</v>
      </c>
      <c r="L378" t="s">
        <v>190</v>
      </c>
      <c r="M378" s="74">
        <v>45688</v>
      </c>
      <c r="N378" t="s">
        <v>151</v>
      </c>
      <c r="O378" t="s">
        <v>190</v>
      </c>
      <c r="P378">
        <v>0.65</v>
      </c>
      <c r="Q378">
        <v>5.22</v>
      </c>
      <c r="R378">
        <v>333.45</v>
      </c>
      <c r="S378">
        <v>2677.86</v>
      </c>
      <c r="T378" t="s">
        <v>66</v>
      </c>
      <c r="AA378">
        <f t="shared" si="5"/>
        <v>392697.8</v>
      </c>
      <c r="AB378">
        <f>COUNTIF($D$1:D378,D378)</f>
        <v>306</v>
      </c>
    </row>
    <row r="379" spans="1:28" x14ac:dyDescent="0.25">
      <c r="A379">
        <v>378</v>
      </c>
      <c r="B379">
        <v>184263</v>
      </c>
      <c r="C379">
        <v>24001937</v>
      </c>
      <c r="D379" t="s">
        <v>14</v>
      </c>
      <c r="E379" t="s">
        <v>106</v>
      </c>
      <c r="F379">
        <v>5159770</v>
      </c>
      <c r="G379">
        <v>940</v>
      </c>
      <c r="H379" t="s">
        <v>133</v>
      </c>
      <c r="I379">
        <v>137</v>
      </c>
      <c r="J379" s="74">
        <v>45660</v>
      </c>
      <c r="K379" s="74">
        <v>45666</v>
      </c>
      <c r="L379" t="s">
        <v>190</v>
      </c>
      <c r="M379" s="74">
        <v>45660</v>
      </c>
      <c r="N379" t="s">
        <v>155</v>
      </c>
      <c r="O379" t="s">
        <v>190</v>
      </c>
      <c r="P379">
        <v>0.63</v>
      </c>
      <c r="Q379">
        <v>1.43</v>
      </c>
      <c r="R379">
        <v>86.31</v>
      </c>
      <c r="S379">
        <v>195.91</v>
      </c>
      <c r="T379" t="s">
        <v>66</v>
      </c>
      <c r="AA379">
        <f t="shared" si="5"/>
        <v>392697.8</v>
      </c>
      <c r="AB379">
        <f>COUNTIF($D$1:D379,D379)</f>
        <v>307</v>
      </c>
    </row>
    <row r="380" spans="1:28" x14ac:dyDescent="0.25">
      <c r="A380">
        <v>379</v>
      </c>
      <c r="B380">
        <v>184299</v>
      </c>
      <c r="C380">
        <v>24001973</v>
      </c>
      <c r="D380" t="s">
        <v>14</v>
      </c>
      <c r="E380" t="s">
        <v>106</v>
      </c>
      <c r="F380">
        <v>5159310</v>
      </c>
      <c r="G380">
        <v>941</v>
      </c>
      <c r="H380" t="s">
        <v>133</v>
      </c>
      <c r="I380">
        <v>87</v>
      </c>
      <c r="J380" s="74">
        <v>45663</v>
      </c>
      <c r="K380" s="74">
        <v>45672</v>
      </c>
      <c r="L380" t="s">
        <v>190</v>
      </c>
      <c r="M380" s="74">
        <v>45667</v>
      </c>
      <c r="N380" t="s">
        <v>155</v>
      </c>
      <c r="O380" t="s">
        <v>190</v>
      </c>
      <c r="P380">
        <v>0.83</v>
      </c>
      <c r="Q380">
        <v>2.17</v>
      </c>
      <c r="R380">
        <v>72.209999999999994</v>
      </c>
      <c r="S380">
        <v>188.79</v>
      </c>
      <c r="T380" t="s">
        <v>66</v>
      </c>
      <c r="AA380">
        <f t="shared" si="5"/>
        <v>392697.8</v>
      </c>
      <c r="AB380">
        <f>COUNTIF($D$1:D380,D380)</f>
        <v>308</v>
      </c>
    </row>
    <row r="381" spans="1:28" x14ac:dyDescent="0.25">
      <c r="A381">
        <v>380</v>
      </c>
      <c r="B381">
        <v>184548</v>
      </c>
      <c r="C381">
        <v>24002001</v>
      </c>
      <c r="D381" t="s">
        <v>14</v>
      </c>
      <c r="E381" t="s">
        <v>106</v>
      </c>
      <c r="F381">
        <v>5159769</v>
      </c>
      <c r="G381">
        <v>993</v>
      </c>
      <c r="H381" t="s">
        <v>133</v>
      </c>
      <c r="I381">
        <v>1971</v>
      </c>
      <c r="J381" s="74">
        <v>45659</v>
      </c>
      <c r="K381" s="74">
        <v>45673</v>
      </c>
      <c r="L381" t="s">
        <v>190</v>
      </c>
      <c r="M381" s="74">
        <v>45681</v>
      </c>
      <c r="N381" t="s">
        <v>151</v>
      </c>
      <c r="O381" t="s">
        <v>190</v>
      </c>
      <c r="P381">
        <v>0.61</v>
      </c>
      <c r="Q381">
        <v>4.21</v>
      </c>
      <c r="R381">
        <v>1202.31</v>
      </c>
      <c r="S381">
        <v>8297.91</v>
      </c>
      <c r="T381" t="s">
        <v>66</v>
      </c>
      <c r="AA381">
        <f t="shared" si="5"/>
        <v>392697.8</v>
      </c>
      <c r="AB381">
        <f>COUNTIF($D$1:D381,D381)</f>
        <v>309</v>
      </c>
    </row>
    <row r="382" spans="1:28" x14ac:dyDescent="0.25">
      <c r="A382">
        <v>381</v>
      </c>
      <c r="B382">
        <v>184313</v>
      </c>
      <c r="C382">
        <v>24001987</v>
      </c>
      <c r="D382" t="s">
        <v>14</v>
      </c>
      <c r="E382" t="s">
        <v>106</v>
      </c>
      <c r="F382">
        <v>5158608</v>
      </c>
      <c r="G382">
        <v>941</v>
      </c>
      <c r="H382" t="s">
        <v>133</v>
      </c>
      <c r="I382">
        <v>58</v>
      </c>
      <c r="J382" s="74">
        <v>45664</v>
      </c>
      <c r="K382" s="74">
        <v>45665</v>
      </c>
      <c r="L382" t="s">
        <v>190</v>
      </c>
      <c r="M382" s="74">
        <v>45660</v>
      </c>
      <c r="N382" t="s">
        <v>155</v>
      </c>
      <c r="O382" t="s">
        <v>190</v>
      </c>
      <c r="P382">
        <v>0.74</v>
      </c>
      <c r="Q382">
        <v>1.38</v>
      </c>
      <c r="R382">
        <v>42.92</v>
      </c>
      <c r="S382">
        <v>80.040000000000006</v>
      </c>
      <c r="T382" t="s">
        <v>66</v>
      </c>
      <c r="AA382">
        <f t="shared" si="5"/>
        <v>392697.8</v>
      </c>
      <c r="AB382">
        <f>COUNTIF($D$1:D382,D382)</f>
        <v>310</v>
      </c>
    </row>
    <row r="383" spans="1:28" x14ac:dyDescent="0.25">
      <c r="A383">
        <v>382</v>
      </c>
      <c r="B383">
        <v>184298</v>
      </c>
      <c r="C383">
        <v>24001972</v>
      </c>
      <c r="D383" t="s">
        <v>14</v>
      </c>
      <c r="E383" t="s">
        <v>106</v>
      </c>
      <c r="F383">
        <v>5159307</v>
      </c>
      <c r="G383">
        <v>941</v>
      </c>
      <c r="H383" t="s">
        <v>133</v>
      </c>
      <c r="I383">
        <v>200</v>
      </c>
      <c r="J383" s="74">
        <v>45664</v>
      </c>
      <c r="K383" s="74">
        <v>45674</v>
      </c>
      <c r="L383" t="s">
        <v>190</v>
      </c>
      <c r="M383" s="74">
        <v>45667</v>
      </c>
      <c r="N383" t="s">
        <v>155</v>
      </c>
      <c r="O383" t="s">
        <v>190</v>
      </c>
      <c r="P383">
        <v>0.83</v>
      </c>
      <c r="Q383">
        <v>2.17</v>
      </c>
      <c r="R383">
        <v>166</v>
      </c>
      <c r="S383">
        <v>434</v>
      </c>
      <c r="T383" t="s">
        <v>66</v>
      </c>
      <c r="AA383">
        <f t="shared" si="5"/>
        <v>392697.8</v>
      </c>
      <c r="AB383">
        <f>COUNTIF($D$1:D383,D383)</f>
        <v>311</v>
      </c>
    </row>
    <row r="384" spans="1:28" x14ac:dyDescent="0.25">
      <c r="A384">
        <v>383</v>
      </c>
      <c r="B384">
        <v>184289</v>
      </c>
      <c r="C384">
        <v>24001963</v>
      </c>
      <c r="D384" t="s">
        <v>14</v>
      </c>
      <c r="E384" t="s">
        <v>106</v>
      </c>
      <c r="F384">
        <v>5158001</v>
      </c>
      <c r="G384">
        <v>941</v>
      </c>
      <c r="H384" t="s">
        <v>133</v>
      </c>
      <c r="I384">
        <v>379</v>
      </c>
      <c r="J384" s="74">
        <v>45666</v>
      </c>
      <c r="K384" s="74">
        <v>45671</v>
      </c>
      <c r="L384" t="s">
        <v>190</v>
      </c>
      <c r="M384" s="74">
        <v>45667</v>
      </c>
      <c r="N384" t="s">
        <v>155</v>
      </c>
      <c r="O384" t="s">
        <v>190</v>
      </c>
      <c r="P384">
        <v>0.83</v>
      </c>
      <c r="Q384">
        <v>2.11</v>
      </c>
      <c r="R384">
        <v>314.57</v>
      </c>
      <c r="S384">
        <v>799.69</v>
      </c>
      <c r="T384" t="s">
        <v>66</v>
      </c>
      <c r="AA384">
        <f t="shared" si="5"/>
        <v>392697.8</v>
      </c>
      <c r="AB384">
        <f>COUNTIF($D$1:D384,D384)</f>
        <v>312</v>
      </c>
    </row>
    <row r="385" spans="1:28" x14ac:dyDescent="0.25">
      <c r="A385">
        <v>384</v>
      </c>
      <c r="B385">
        <v>184522</v>
      </c>
      <c r="C385">
        <v>24002034</v>
      </c>
      <c r="D385" t="s">
        <v>14</v>
      </c>
      <c r="E385" t="s">
        <v>106</v>
      </c>
      <c r="F385">
        <v>5158611</v>
      </c>
      <c r="G385">
        <v>995</v>
      </c>
      <c r="H385" t="s">
        <v>133</v>
      </c>
      <c r="I385">
        <v>1132</v>
      </c>
      <c r="J385" s="74">
        <v>45667</v>
      </c>
      <c r="K385" s="74">
        <v>45673</v>
      </c>
      <c r="L385" t="s">
        <v>190</v>
      </c>
      <c r="M385" s="74">
        <v>45688</v>
      </c>
      <c r="N385" t="s">
        <v>151</v>
      </c>
      <c r="O385" t="s">
        <v>190</v>
      </c>
      <c r="P385">
        <v>0.7</v>
      </c>
      <c r="Q385">
        <v>4.92</v>
      </c>
      <c r="R385">
        <v>792.4</v>
      </c>
      <c r="S385">
        <v>5569.44</v>
      </c>
      <c r="T385" t="s">
        <v>66</v>
      </c>
      <c r="AA385">
        <f t="shared" si="5"/>
        <v>392697.8</v>
      </c>
      <c r="AB385">
        <f>COUNTIF($D$1:D385,D385)</f>
        <v>313</v>
      </c>
    </row>
    <row r="386" spans="1:28" x14ac:dyDescent="0.25">
      <c r="A386">
        <v>385</v>
      </c>
      <c r="B386">
        <v>184523</v>
      </c>
      <c r="C386">
        <v>24002035</v>
      </c>
      <c r="D386" t="s">
        <v>14</v>
      </c>
      <c r="E386" t="s">
        <v>106</v>
      </c>
      <c r="F386" t="s">
        <v>420</v>
      </c>
      <c r="G386">
        <v>995</v>
      </c>
      <c r="H386" t="s">
        <v>133</v>
      </c>
      <c r="I386">
        <v>170</v>
      </c>
      <c r="J386" s="74">
        <v>45667</v>
      </c>
      <c r="K386" s="74">
        <v>45673</v>
      </c>
      <c r="L386" t="s">
        <v>190</v>
      </c>
      <c r="M386" s="74">
        <v>45688</v>
      </c>
      <c r="N386" t="s">
        <v>151</v>
      </c>
      <c r="O386" t="s">
        <v>190</v>
      </c>
      <c r="P386">
        <v>0.65</v>
      </c>
      <c r="Q386">
        <v>5.22</v>
      </c>
      <c r="R386">
        <v>110.5</v>
      </c>
      <c r="S386">
        <v>887.4</v>
      </c>
      <c r="T386" t="s">
        <v>66</v>
      </c>
      <c r="AA386">
        <f t="shared" ref="AA386:AA449" si="6">SUMIF($D:$D,D386,$R:$R)</f>
        <v>392697.8</v>
      </c>
      <c r="AB386">
        <f>COUNTIF($D$1:D386,D386)</f>
        <v>314</v>
      </c>
    </row>
    <row r="387" spans="1:28" x14ac:dyDescent="0.25">
      <c r="A387">
        <v>386</v>
      </c>
      <c r="B387">
        <v>184279</v>
      </c>
      <c r="C387">
        <v>24001953</v>
      </c>
      <c r="D387" t="s">
        <v>12</v>
      </c>
      <c r="E387" t="s">
        <v>106</v>
      </c>
      <c r="F387">
        <v>5158610</v>
      </c>
      <c r="G387">
        <v>941</v>
      </c>
      <c r="H387" t="s">
        <v>107</v>
      </c>
      <c r="I387">
        <v>11</v>
      </c>
      <c r="J387" s="74">
        <v>45659</v>
      </c>
      <c r="K387" s="74">
        <v>45670</v>
      </c>
      <c r="L387" t="s">
        <v>190</v>
      </c>
      <c r="M387" s="74">
        <v>45667</v>
      </c>
      <c r="N387" t="s">
        <v>155</v>
      </c>
      <c r="O387" t="s">
        <v>190</v>
      </c>
      <c r="P387">
        <v>0.7</v>
      </c>
      <c r="Q387">
        <v>1.79</v>
      </c>
      <c r="R387">
        <v>7.7</v>
      </c>
      <c r="S387">
        <v>19.690000000000001</v>
      </c>
      <c r="T387" t="s">
        <v>66</v>
      </c>
      <c r="AA387">
        <f t="shared" si="6"/>
        <v>232170.31000000006</v>
      </c>
      <c r="AB387">
        <f>COUNTIF($D$1:D387,D387)</f>
        <v>1</v>
      </c>
    </row>
    <row r="388" spans="1:28" x14ac:dyDescent="0.25">
      <c r="A388">
        <v>387</v>
      </c>
      <c r="B388">
        <v>184267</v>
      </c>
      <c r="C388">
        <v>24001941</v>
      </c>
      <c r="D388" t="s">
        <v>12</v>
      </c>
      <c r="E388" t="s">
        <v>106</v>
      </c>
      <c r="F388">
        <v>5159774</v>
      </c>
      <c r="G388">
        <v>940</v>
      </c>
      <c r="H388" t="s">
        <v>107</v>
      </c>
      <c r="I388">
        <v>948</v>
      </c>
      <c r="J388" s="74">
        <v>45659</v>
      </c>
      <c r="K388" s="74">
        <v>45671</v>
      </c>
      <c r="L388" t="s">
        <v>190</v>
      </c>
      <c r="M388" s="74">
        <v>45667</v>
      </c>
      <c r="N388" t="s">
        <v>155</v>
      </c>
      <c r="O388" t="s">
        <v>190</v>
      </c>
      <c r="P388">
        <v>0.63</v>
      </c>
      <c r="Q388">
        <v>1.48</v>
      </c>
      <c r="R388">
        <v>597.24</v>
      </c>
      <c r="S388">
        <v>1403.04</v>
      </c>
      <c r="T388" t="s">
        <v>66</v>
      </c>
      <c r="AA388">
        <f t="shared" si="6"/>
        <v>232170.31000000006</v>
      </c>
      <c r="AB388">
        <f>COUNTIF($D$1:D388,D388)</f>
        <v>2</v>
      </c>
    </row>
    <row r="389" spans="1:28" x14ac:dyDescent="0.25">
      <c r="A389">
        <v>388</v>
      </c>
      <c r="B389">
        <v>184319</v>
      </c>
      <c r="C389">
        <v>24001993</v>
      </c>
      <c r="D389" t="s">
        <v>12</v>
      </c>
      <c r="E389" t="s">
        <v>106</v>
      </c>
      <c r="F389">
        <v>5159768</v>
      </c>
      <c r="G389">
        <v>942</v>
      </c>
      <c r="H389" t="s">
        <v>107</v>
      </c>
      <c r="I389">
        <v>2700</v>
      </c>
      <c r="J389" s="74">
        <v>45671</v>
      </c>
      <c r="K389" s="74">
        <v>45674</v>
      </c>
      <c r="L389" t="s">
        <v>190</v>
      </c>
      <c r="M389" s="74">
        <v>45674</v>
      </c>
      <c r="N389" t="s">
        <v>151</v>
      </c>
      <c r="O389" t="s">
        <v>190</v>
      </c>
      <c r="P389">
        <v>0.61</v>
      </c>
      <c r="Q389">
        <v>1.4</v>
      </c>
      <c r="R389">
        <v>1647</v>
      </c>
      <c r="S389">
        <v>3780</v>
      </c>
      <c r="T389" t="s">
        <v>66</v>
      </c>
      <c r="AA389">
        <f t="shared" si="6"/>
        <v>232170.31000000006</v>
      </c>
      <c r="AB389">
        <f>COUNTIF($D$1:D389,D389)</f>
        <v>3</v>
      </c>
    </row>
    <row r="390" spans="1:28" x14ac:dyDescent="0.25">
      <c r="A390">
        <v>389</v>
      </c>
      <c r="B390">
        <v>184320</v>
      </c>
      <c r="C390">
        <v>24001994</v>
      </c>
      <c r="D390" t="s">
        <v>12</v>
      </c>
      <c r="E390" t="s">
        <v>106</v>
      </c>
      <c r="F390">
        <v>5159766</v>
      </c>
      <c r="G390">
        <v>942</v>
      </c>
      <c r="H390" t="s">
        <v>107</v>
      </c>
      <c r="I390">
        <v>7770</v>
      </c>
      <c r="J390" s="74">
        <v>45659</v>
      </c>
      <c r="K390" s="74">
        <v>45672</v>
      </c>
      <c r="L390" t="s">
        <v>190</v>
      </c>
      <c r="M390" s="74">
        <v>45674</v>
      </c>
      <c r="N390" t="s">
        <v>151</v>
      </c>
      <c r="O390" t="s">
        <v>190</v>
      </c>
      <c r="P390">
        <v>0.61</v>
      </c>
      <c r="Q390">
        <v>1.37</v>
      </c>
      <c r="R390">
        <v>4739.7</v>
      </c>
      <c r="S390">
        <v>10644.9</v>
      </c>
      <c r="T390" t="s">
        <v>66</v>
      </c>
      <c r="AA390">
        <f t="shared" si="6"/>
        <v>232170.31000000006</v>
      </c>
      <c r="AB390">
        <f>COUNTIF($D$1:D390,D390)</f>
        <v>4</v>
      </c>
    </row>
    <row r="391" spans="1:28" x14ac:dyDescent="0.25">
      <c r="A391">
        <v>390</v>
      </c>
      <c r="B391">
        <v>184321</v>
      </c>
      <c r="C391">
        <v>24001995</v>
      </c>
      <c r="D391" t="s">
        <v>12</v>
      </c>
      <c r="E391" t="s">
        <v>106</v>
      </c>
      <c r="F391">
        <v>5159772</v>
      </c>
      <c r="G391">
        <v>942</v>
      </c>
      <c r="H391" t="s">
        <v>107</v>
      </c>
      <c r="I391">
        <v>1248</v>
      </c>
      <c r="J391" s="74">
        <v>45663</v>
      </c>
      <c r="K391" s="74">
        <v>45674</v>
      </c>
      <c r="L391" t="s">
        <v>190</v>
      </c>
      <c r="M391" s="74">
        <v>45674</v>
      </c>
      <c r="N391" t="s">
        <v>151</v>
      </c>
      <c r="O391" t="s">
        <v>190</v>
      </c>
      <c r="P391">
        <v>0.61</v>
      </c>
      <c r="Q391">
        <v>1.37</v>
      </c>
      <c r="R391">
        <v>761.28</v>
      </c>
      <c r="S391">
        <v>1709.76</v>
      </c>
      <c r="T391" t="s">
        <v>66</v>
      </c>
      <c r="AA391">
        <f t="shared" si="6"/>
        <v>232170.31000000006</v>
      </c>
      <c r="AB391">
        <f>COUNTIF($D$1:D391,D391)</f>
        <v>5</v>
      </c>
    </row>
    <row r="392" spans="1:28" x14ac:dyDescent="0.25">
      <c r="A392">
        <v>391</v>
      </c>
      <c r="B392">
        <v>184492</v>
      </c>
      <c r="C392">
        <v>24002004</v>
      </c>
      <c r="D392" t="s">
        <v>12</v>
      </c>
      <c r="E392" t="s">
        <v>106</v>
      </c>
      <c r="F392">
        <v>5159772</v>
      </c>
      <c r="G392">
        <v>993</v>
      </c>
      <c r="H392" t="s">
        <v>107</v>
      </c>
      <c r="I392">
        <v>1836</v>
      </c>
      <c r="J392" s="74">
        <v>45674</v>
      </c>
      <c r="K392" s="74">
        <v>45674</v>
      </c>
      <c r="L392" t="s">
        <v>190</v>
      </c>
      <c r="M392" s="74">
        <v>45674</v>
      </c>
      <c r="N392" t="s">
        <v>151</v>
      </c>
      <c r="O392" t="s">
        <v>190</v>
      </c>
      <c r="P392">
        <v>0.61</v>
      </c>
      <c r="Q392">
        <v>5.48</v>
      </c>
      <c r="R392">
        <v>1119.96</v>
      </c>
      <c r="S392">
        <v>10061.280000000001</v>
      </c>
      <c r="T392" t="s">
        <v>66</v>
      </c>
      <c r="AA392">
        <f t="shared" si="6"/>
        <v>232170.31000000006</v>
      </c>
      <c r="AB392">
        <f>COUNTIF($D$1:D392,D392)</f>
        <v>6</v>
      </c>
    </row>
    <row r="393" spans="1:28" x14ac:dyDescent="0.25">
      <c r="A393">
        <v>392</v>
      </c>
      <c r="B393">
        <v>184493</v>
      </c>
      <c r="C393">
        <v>24002005</v>
      </c>
      <c r="D393" t="s">
        <v>12</v>
      </c>
      <c r="E393" t="s">
        <v>106</v>
      </c>
      <c r="F393">
        <v>5159770</v>
      </c>
      <c r="G393">
        <v>993</v>
      </c>
      <c r="H393" t="s">
        <v>107</v>
      </c>
      <c r="I393">
        <v>4824</v>
      </c>
      <c r="J393" s="74">
        <v>45672</v>
      </c>
      <c r="K393" s="74">
        <v>45677</v>
      </c>
      <c r="L393" t="s">
        <v>190</v>
      </c>
      <c r="M393" s="74">
        <v>45688</v>
      </c>
      <c r="N393" t="s">
        <v>151</v>
      </c>
      <c r="O393" t="s">
        <v>190</v>
      </c>
      <c r="P393">
        <v>0.63</v>
      </c>
      <c r="Q393">
        <v>5.72</v>
      </c>
      <c r="R393">
        <v>3039.12</v>
      </c>
      <c r="S393">
        <v>27593.279999999999</v>
      </c>
      <c r="T393" t="s">
        <v>66</v>
      </c>
      <c r="AA393">
        <f t="shared" si="6"/>
        <v>232170.31000000006</v>
      </c>
      <c r="AB393">
        <f>COUNTIF($D$1:D393,D393)</f>
        <v>7</v>
      </c>
    </row>
    <row r="394" spans="1:28" x14ac:dyDescent="0.25">
      <c r="A394">
        <v>393</v>
      </c>
      <c r="B394">
        <v>184498</v>
      </c>
      <c r="C394">
        <v>24002010</v>
      </c>
      <c r="D394" t="s">
        <v>12</v>
      </c>
      <c r="E394" t="s">
        <v>106</v>
      </c>
      <c r="F394">
        <v>5158614</v>
      </c>
      <c r="G394">
        <v>995</v>
      </c>
      <c r="H394" t="s">
        <v>107</v>
      </c>
      <c r="I394">
        <v>8335</v>
      </c>
      <c r="J394" s="74">
        <v>45664</v>
      </c>
      <c r="K394" s="74">
        <v>45678</v>
      </c>
      <c r="L394" t="s">
        <v>190</v>
      </c>
      <c r="M394" s="74">
        <v>45688</v>
      </c>
      <c r="N394" t="s">
        <v>151</v>
      </c>
      <c r="O394" t="s">
        <v>190</v>
      </c>
      <c r="P394">
        <v>0.7</v>
      </c>
      <c r="Q394">
        <v>5.14</v>
      </c>
      <c r="R394">
        <v>5834.5</v>
      </c>
      <c r="S394">
        <v>42841.9</v>
      </c>
      <c r="T394" t="s">
        <v>66</v>
      </c>
      <c r="AA394">
        <f t="shared" si="6"/>
        <v>232170.31000000006</v>
      </c>
      <c r="AB394">
        <f>COUNTIF($D$1:D394,D394)</f>
        <v>8</v>
      </c>
    </row>
    <row r="395" spans="1:28" x14ac:dyDescent="0.25">
      <c r="A395">
        <v>394</v>
      </c>
      <c r="B395">
        <v>184500</v>
      </c>
      <c r="C395">
        <v>24002012</v>
      </c>
      <c r="D395" t="s">
        <v>12</v>
      </c>
      <c r="E395" t="s">
        <v>106</v>
      </c>
      <c r="F395">
        <v>5158592</v>
      </c>
      <c r="G395">
        <v>995</v>
      </c>
      <c r="H395" t="s">
        <v>107</v>
      </c>
      <c r="I395">
        <v>4320</v>
      </c>
      <c r="J395" s="74">
        <v>45677</v>
      </c>
      <c r="K395" s="74">
        <v>45679</v>
      </c>
      <c r="L395" t="s">
        <v>190</v>
      </c>
      <c r="M395" s="74">
        <v>45688</v>
      </c>
      <c r="N395" t="s">
        <v>151</v>
      </c>
      <c r="O395" t="s">
        <v>190</v>
      </c>
      <c r="P395">
        <v>0.7</v>
      </c>
      <c r="Q395">
        <v>5.14</v>
      </c>
      <c r="R395">
        <v>3024</v>
      </c>
      <c r="S395">
        <v>22204.799999999999</v>
      </c>
      <c r="T395" t="s">
        <v>66</v>
      </c>
      <c r="AA395">
        <f t="shared" si="6"/>
        <v>232170.31000000006</v>
      </c>
      <c r="AB395">
        <f>COUNTIF($D$1:D395,D395)</f>
        <v>9</v>
      </c>
    </row>
    <row r="396" spans="1:28" x14ac:dyDescent="0.25">
      <c r="A396">
        <v>395</v>
      </c>
      <c r="B396">
        <v>184501</v>
      </c>
      <c r="C396">
        <v>24002013</v>
      </c>
      <c r="D396" t="s">
        <v>12</v>
      </c>
      <c r="E396" t="s">
        <v>106</v>
      </c>
      <c r="F396" t="s">
        <v>223</v>
      </c>
      <c r="G396">
        <v>995</v>
      </c>
      <c r="H396" t="s">
        <v>107</v>
      </c>
      <c r="I396">
        <v>180</v>
      </c>
      <c r="J396" s="74">
        <v>45679</v>
      </c>
      <c r="K396" s="74">
        <v>45679</v>
      </c>
      <c r="L396" t="s">
        <v>190</v>
      </c>
      <c r="M396" s="74">
        <v>45688</v>
      </c>
      <c r="N396" t="s">
        <v>151</v>
      </c>
      <c r="O396" t="s">
        <v>190</v>
      </c>
      <c r="P396">
        <v>0.67</v>
      </c>
      <c r="Q396">
        <v>5.49</v>
      </c>
      <c r="R396">
        <v>120.6</v>
      </c>
      <c r="S396">
        <v>988.2</v>
      </c>
      <c r="T396" t="s">
        <v>66</v>
      </c>
      <c r="AA396">
        <f t="shared" si="6"/>
        <v>232170.31000000006</v>
      </c>
      <c r="AB396">
        <f>COUNTIF($D$1:D396,D396)</f>
        <v>10</v>
      </c>
    </row>
    <row r="397" spans="1:28" x14ac:dyDescent="0.25">
      <c r="A397">
        <v>396</v>
      </c>
      <c r="B397">
        <v>184506</v>
      </c>
      <c r="C397">
        <v>24002018</v>
      </c>
      <c r="D397" t="s">
        <v>12</v>
      </c>
      <c r="E397" t="s">
        <v>106</v>
      </c>
      <c r="F397">
        <v>5158590</v>
      </c>
      <c r="G397">
        <v>995</v>
      </c>
      <c r="H397" t="s">
        <v>107</v>
      </c>
      <c r="I397">
        <v>2430</v>
      </c>
      <c r="J397" s="74">
        <v>45679</v>
      </c>
      <c r="K397" s="74">
        <v>45680</v>
      </c>
      <c r="L397" t="s">
        <v>190</v>
      </c>
      <c r="M397" s="74">
        <v>45688</v>
      </c>
      <c r="N397" t="s">
        <v>151</v>
      </c>
      <c r="O397" t="s">
        <v>190</v>
      </c>
      <c r="P397">
        <v>0.7</v>
      </c>
      <c r="Q397">
        <v>5.14</v>
      </c>
      <c r="R397">
        <v>1701</v>
      </c>
      <c r="S397">
        <v>12490.2</v>
      </c>
      <c r="T397" t="s">
        <v>66</v>
      </c>
      <c r="AA397">
        <f t="shared" si="6"/>
        <v>232170.31000000006</v>
      </c>
      <c r="AB397">
        <f>COUNTIF($D$1:D397,D397)</f>
        <v>11</v>
      </c>
    </row>
    <row r="398" spans="1:28" x14ac:dyDescent="0.25">
      <c r="A398">
        <v>397</v>
      </c>
      <c r="B398">
        <v>184502</v>
      </c>
      <c r="C398">
        <v>24002014</v>
      </c>
      <c r="D398" t="s">
        <v>12</v>
      </c>
      <c r="E398" t="s">
        <v>106</v>
      </c>
      <c r="F398">
        <v>5158619</v>
      </c>
      <c r="G398">
        <v>995</v>
      </c>
      <c r="H398" t="s">
        <v>107</v>
      </c>
      <c r="I398">
        <v>504</v>
      </c>
      <c r="J398" s="74">
        <v>45680</v>
      </c>
      <c r="K398" s="74">
        <v>45680</v>
      </c>
      <c r="L398" t="s">
        <v>190</v>
      </c>
      <c r="M398" s="74">
        <v>45695</v>
      </c>
      <c r="N398" t="s">
        <v>151</v>
      </c>
      <c r="O398" t="s">
        <v>224</v>
      </c>
      <c r="P398">
        <v>0.7</v>
      </c>
      <c r="Q398">
        <v>5.14</v>
      </c>
      <c r="R398">
        <v>352.8</v>
      </c>
      <c r="S398">
        <v>2590.56</v>
      </c>
      <c r="T398" t="s">
        <v>66</v>
      </c>
      <c r="AA398">
        <f t="shared" si="6"/>
        <v>232170.31000000006</v>
      </c>
      <c r="AB398">
        <f>COUNTIF($D$1:D398,D398)</f>
        <v>12</v>
      </c>
    </row>
    <row r="399" spans="1:28" x14ac:dyDescent="0.25">
      <c r="A399">
        <v>398</v>
      </c>
      <c r="B399">
        <v>184503</v>
      </c>
      <c r="C399">
        <v>24002015</v>
      </c>
      <c r="D399" t="s">
        <v>12</v>
      </c>
      <c r="E399" t="s">
        <v>106</v>
      </c>
      <c r="F399" t="s">
        <v>207</v>
      </c>
      <c r="G399">
        <v>995</v>
      </c>
      <c r="H399" t="s">
        <v>107</v>
      </c>
      <c r="I399">
        <v>360</v>
      </c>
      <c r="J399" s="74">
        <v>45680</v>
      </c>
      <c r="K399" s="74">
        <v>45681</v>
      </c>
      <c r="L399" t="s">
        <v>190</v>
      </c>
      <c r="M399" s="74">
        <v>45695</v>
      </c>
      <c r="N399" t="s">
        <v>151</v>
      </c>
      <c r="O399" t="s">
        <v>224</v>
      </c>
      <c r="P399">
        <v>0.67</v>
      </c>
      <c r="Q399">
        <v>5.49</v>
      </c>
      <c r="R399">
        <v>241.2</v>
      </c>
      <c r="S399">
        <v>1976.4</v>
      </c>
      <c r="T399" t="s">
        <v>66</v>
      </c>
      <c r="AA399">
        <f t="shared" si="6"/>
        <v>232170.31000000006</v>
      </c>
      <c r="AB399">
        <f>COUNTIF($D$1:D399,D399)</f>
        <v>13</v>
      </c>
    </row>
    <row r="400" spans="1:28" x14ac:dyDescent="0.25">
      <c r="A400">
        <v>399</v>
      </c>
      <c r="B400">
        <v>184504</v>
      </c>
      <c r="C400">
        <v>24002016</v>
      </c>
      <c r="D400" t="s">
        <v>12</v>
      </c>
      <c r="E400" t="s">
        <v>106</v>
      </c>
      <c r="F400">
        <v>5158607</v>
      </c>
      <c r="G400">
        <v>995</v>
      </c>
      <c r="H400" t="s">
        <v>107</v>
      </c>
      <c r="I400">
        <v>4428</v>
      </c>
      <c r="J400" s="74">
        <v>45681</v>
      </c>
      <c r="K400" s="74">
        <v>45685</v>
      </c>
      <c r="L400" t="s">
        <v>190</v>
      </c>
      <c r="M400" s="74">
        <v>45695</v>
      </c>
      <c r="N400" t="s">
        <v>151</v>
      </c>
      <c r="O400" t="s">
        <v>224</v>
      </c>
      <c r="P400">
        <v>0.7</v>
      </c>
      <c r="Q400">
        <v>5.14</v>
      </c>
      <c r="R400">
        <v>3099.6</v>
      </c>
      <c r="S400">
        <v>22759.919999999998</v>
      </c>
      <c r="T400" t="s">
        <v>66</v>
      </c>
      <c r="AA400">
        <f t="shared" si="6"/>
        <v>232170.31000000006</v>
      </c>
      <c r="AB400">
        <f>COUNTIF($D$1:D400,D400)</f>
        <v>14</v>
      </c>
    </row>
    <row r="401" spans="1:28" x14ac:dyDescent="0.25">
      <c r="A401">
        <v>400</v>
      </c>
      <c r="B401">
        <v>184505</v>
      </c>
      <c r="C401">
        <v>24002017</v>
      </c>
      <c r="D401" t="s">
        <v>12</v>
      </c>
      <c r="E401" t="s">
        <v>106</v>
      </c>
      <c r="F401" t="s">
        <v>178</v>
      </c>
      <c r="G401">
        <v>995</v>
      </c>
      <c r="H401" t="s">
        <v>107</v>
      </c>
      <c r="I401">
        <v>324</v>
      </c>
      <c r="J401" s="74">
        <v>45687</v>
      </c>
      <c r="K401" s="74">
        <v>45687</v>
      </c>
      <c r="L401" t="s">
        <v>190</v>
      </c>
      <c r="M401" s="74">
        <v>45695</v>
      </c>
      <c r="N401" t="s">
        <v>151</v>
      </c>
      <c r="O401" t="s">
        <v>224</v>
      </c>
      <c r="P401">
        <v>0.67</v>
      </c>
      <c r="Q401">
        <v>5.49</v>
      </c>
      <c r="R401">
        <v>217.08</v>
      </c>
      <c r="S401">
        <v>1778.76</v>
      </c>
      <c r="T401" t="s">
        <v>66</v>
      </c>
      <c r="AA401">
        <f t="shared" si="6"/>
        <v>232170.31000000006</v>
      </c>
      <c r="AB401">
        <f>COUNTIF($D$1:D401,D401)</f>
        <v>15</v>
      </c>
    </row>
    <row r="402" spans="1:28" x14ac:dyDescent="0.25">
      <c r="A402">
        <v>401</v>
      </c>
      <c r="B402">
        <v>184513</v>
      </c>
      <c r="C402">
        <v>24002025</v>
      </c>
      <c r="D402" t="s">
        <v>12</v>
      </c>
      <c r="E402" t="s">
        <v>106</v>
      </c>
      <c r="F402">
        <v>5158615</v>
      </c>
      <c r="G402">
        <v>995</v>
      </c>
      <c r="H402" t="s">
        <v>107</v>
      </c>
      <c r="I402">
        <v>1377</v>
      </c>
      <c r="J402" s="74">
        <v>45687</v>
      </c>
      <c r="K402" s="74">
        <v>45687</v>
      </c>
      <c r="L402" t="s">
        <v>190</v>
      </c>
      <c r="M402" s="74">
        <v>45695</v>
      </c>
      <c r="N402" t="s">
        <v>151</v>
      </c>
      <c r="O402" t="s">
        <v>224</v>
      </c>
      <c r="P402">
        <v>0.7</v>
      </c>
      <c r="Q402">
        <v>5.38</v>
      </c>
      <c r="R402">
        <v>963.9</v>
      </c>
      <c r="S402">
        <v>7408.26</v>
      </c>
      <c r="T402" t="s">
        <v>66</v>
      </c>
      <c r="AA402">
        <f t="shared" si="6"/>
        <v>232170.31000000006</v>
      </c>
      <c r="AB402">
        <f>COUNTIF($D$1:D402,D402)</f>
        <v>16</v>
      </c>
    </row>
    <row r="403" spans="1:28" x14ac:dyDescent="0.25">
      <c r="A403">
        <v>402</v>
      </c>
      <c r="B403">
        <v>184511</v>
      </c>
      <c r="C403">
        <v>24002023</v>
      </c>
      <c r="D403" t="s">
        <v>12</v>
      </c>
      <c r="E403" t="s">
        <v>106</v>
      </c>
      <c r="F403">
        <v>5158584</v>
      </c>
      <c r="G403">
        <v>995</v>
      </c>
      <c r="H403" t="s">
        <v>107</v>
      </c>
      <c r="I403">
        <v>1368</v>
      </c>
      <c r="J403" s="74">
        <v>45687</v>
      </c>
      <c r="K403" s="74">
        <v>45688</v>
      </c>
      <c r="L403" t="s">
        <v>190</v>
      </c>
      <c r="M403" s="74">
        <v>45695</v>
      </c>
      <c r="N403" t="s">
        <v>151</v>
      </c>
      <c r="O403" t="s">
        <v>224</v>
      </c>
      <c r="P403">
        <v>0.7</v>
      </c>
      <c r="Q403">
        <v>5.14</v>
      </c>
      <c r="R403">
        <v>957.6</v>
      </c>
      <c r="S403">
        <v>7031.52</v>
      </c>
      <c r="T403" t="s">
        <v>66</v>
      </c>
      <c r="AA403">
        <f t="shared" si="6"/>
        <v>232170.31000000006</v>
      </c>
      <c r="AB403">
        <f>COUNTIF($D$1:D403,D403)</f>
        <v>17</v>
      </c>
    </row>
    <row r="404" spans="1:28" x14ac:dyDescent="0.25">
      <c r="A404">
        <v>403</v>
      </c>
      <c r="B404">
        <v>184512</v>
      </c>
      <c r="C404">
        <v>24002024</v>
      </c>
      <c r="D404" t="s">
        <v>12</v>
      </c>
      <c r="E404" t="s">
        <v>106</v>
      </c>
      <c r="F404" t="s">
        <v>208</v>
      </c>
      <c r="G404">
        <v>995</v>
      </c>
      <c r="H404" t="s">
        <v>107</v>
      </c>
      <c r="I404">
        <v>180</v>
      </c>
      <c r="J404" s="74">
        <v>45688</v>
      </c>
      <c r="K404" s="74">
        <v>45688</v>
      </c>
      <c r="L404" t="s">
        <v>190</v>
      </c>
      <c r="M404" s="74">
        <v>45695</v>
      </c>
      <c r="N404" t="s">
        <v>151</v>
      </c>
      <c r="O404" t="s">
        <v>224</v>
      </c>
      <c r="P404">
        <v>0.7</v>
      </c>
      <c r="Q404">
        <v>5.49</v>
      </c>
      <c r="R404">
        <v>126</v>
      </c>
      <c r="S404">
        <v>988.2</v>
      </c>
      <c r="T404" t="s">
        <v>66</v>
      </c>
      <c r="AA404">
        <f t="shared" si="6"/>
        <v>232170.31000000006</v>
      </c>
      <c r="AB404">
        <f>COUNTIF($D$1:D404,D404)</f>
        <v>18</v>
      </c>
    </row>
    <row r="405" spans="1:28" x14ac:dyDescent="0.25">
      <c r="A405">
        <v>404</v>
      </c>
      <c r="B405">
        <v>184491</v>
      </c>
      <c r="C405">
        <v>24002003</v>
      </c>
      <c r="D405" t="s">
        <v>12</v>
      </c>
      <c r="E405" t="s">
        <v>106</v>
      </c>
      <c r="F405">
        <v>5159766</v>
      </c>
      <c r="G405">
        <v>993</v>
      </c>
      <c r="H405" t="s">
        <v>107</v>
      </c>
      <c r="I405">
        <v>2150</v>
      </c>
      <c r="J405" s="74">
        <v>45665</v>
      </c>
      <c r="K405" s="74">
        <v>45670</v>
      </c>
      <c r="L405" t="s">
        <v>190</v>
      </c>
      <c r="M405" s="74">
        <v>45674</v>
      </c>
      <c r="N405" t="s">
        <v>151</v>
      </c>
      <c r="O405" t="s">
        <v>190</v>
      </c>
      <c r="P405">
        <v>0.61</v>
      </c>
      <c r="Q405">
        <v>5.48</v>
      </c>
      <c r="R405">
        <v>1311.5</v>
      </c>
      <c r="S405">
        <v>11782</v>
      </c>
      <c r="T405" t="s">
        <v>66</v>
      </c>
      <c r="AA405">
        <f t="shared" si="6"/>
        <v>232170.31000000006</v>
      </c>
      <c r="AB405">
        <f>COUNTIF($D$1:D405,D405)</f>
        <v>19</v>
      </c>
    </row>
    <row r="406" spans="1:28" x14ac:dyDescent="0.25">
      <c r="A406">
        <v>405</v>
      </c>
      <c r="B406">
        <v>184488</v>
      </c>
      <c r="C406">
        <v>24001999</v>
      </c>
      <c r="D406" t="s">
        <v>12</v>
      </c>
      <c r="E406" t="s">
        <v>106</v>
      </c>
      <c r="F406">
        <v>5159768</v>
      </c>
      <c r="G406">
        <v>993</v>
      </c>
      <c r="H406" t="s">
        <v>107</v>
      </c>
      <c r="I406">
        <v>2495</v>
      </c>
      <c r="J406" s="74">
        <v>45666</v>
      </c>
      <c r="K406" s="74">
        <v>45667</v>
      </c>
      <c r="L406" t="s">
        <v>190</v>
      </c>
      <c r="M406" s="74">
        <v>45674</v>
      </c>
      <c r="N406" t="s">
        <v>151</v>
      </c>
      <c r="O406" t="s">
        <v>190</v>
      </c>
      <c r="P406">
        <v>0.61</v>
      </c>
      <c r="Q406">
        <v>4.21</v>
      </c>
      <c r="R406">
        <v>1521.95</v>
      </c>
      <c r="S406">
        <v>10503.95</v>
      </c>
      <c r="T406" t="s">
        <v>66</v>
      </c>
      <c r="AA406">
        <f t="shared" si="6"/>
        <v>232170.31000000006</v>
      </c>
      <c r="AB406">
        <f>COUNTIF($D$1:D406,D406)</f>
        <v>20</v>
      </c>
    </row>
    <row r="407" spans="1:28" x14ac:dyDescent="0.25">
      <c r="A407">
        <v>406</v>
      </c>
      <c r="B407">
        <v>184776</v>
      </c>
      <c r="C407">
        <v>24002155</v>
      </c>
      <c r="D407" t="s">
        <v>12</v>
      </c>
      <c r="E407" t="s">
        <v>106</v>
      </c>
      <c r="F407">
        <v>5160297</v>
      </c>
      <c r="G407">
        <v>1095</v>
      </c>
      <c r="H407" t="s">
        <v>107</v>
      </c>
      <c r="I407">
        <v>939</v>
      </c>
      <c r="J407" s="74">
        <v>45688</v>
      </c>
      <c r="K407" s="74">
        <v>45688</v>
      </c>
      <c r="L407" t="s">
        <v>190</v>
      </c>
      <c r="M407" s="74">
        <v>45702</v>
      </c>
      <c r="N407" t="s">
        <v>151</v>
      </c>
      <c r="O407" t="s">
        <v>224</v>
      </c>
      <c r="P407">
        <v>0.83</v>
      </c>
      <c r="Q407">
        <v>2.17</v>
      </c>
      <c r="R407">
        <v>779.37</v>
      </c>
      <c r="S407">
        <v>2037.63</v>
      </c>
      <c r="T407" t="s">
        <v>66</v>
      </c>
      <c r="AA407">
        <f t="shared" si="6"/>
        <v>232170.31000000006</v>
      </c>
      <c r="AB407">
        <f>COUNTIF($D$1:D407,D407)</f>
        <v>21</v>
      </c>
    </row>
    <row r="408" spans="1:28" x14ac:dyDescent="0.25">
      <c r="A408">
        <v>407</v>
      </c>
      <c r="B408">
        <v>184273</v>
      </c>
      <c r="C408">
        <v>24001947</v>
      </c>
      <c r="D408" t="s">
        <v>12</v>
      </c>
      <c r="E408" t="s">
        <v>106</v>
      </c>
      <c r="F408">
        <v>5158607</v>
      </c>
      <c r="G408">
        <v>941</v>
      </c>
      <c r="H408" t="s">
        <v>109</v>
      </c>
      <c r="I408">
        <v>4</v>
      </c>
      <c r="J408" s="74">
        <v>45659</v>
      </c>
      <c r="K408" s="74">
        <v>45667</v>
      </c>
      <c r="L408" t="s">
        <v>190</v>
      </c>
      <c r="M408" s="74">
        <v>45660</v>
      </c>
      <c r="N408" t="s">
        <v>155</v>
      </c>
      <c r="O408" t="s">
        <v>190</v>
      </c>
      <c r="P408">
        <v>0.7</v>
      </c>
      <c r="Q408">
        <v>1.71</v>
      </c>
      <c r="R408">
        <v>2.8</v>
      </c>
      <c r="S408">
        <v>6.84</v>
      </c>
      <c r="T408" t="s">
        <v>66</v>
      </c>
      <c r="AA408">
        <f t="shared" si="6"/>
        <v>232170.31000000006</v>
      </c>
      <c r="AB408">
        <f>COUNTIF($D$1:D408,D408)</f>
        <v>22</v>
      </c>
    </row>
    <row r="409" spans="1:28" x14ac:dyDescent="0.25">
      <c r="A409">
        <v>408</v>
      </c>
      <c r="B409">
        <v>184279</v>
      </c>
      <c r="C409">
        <v>24001953</v>
      </c>
      <c r="D409" t="s">
        <v>12</v>
      </c>
      <c r="E409" t="s">
        <v>106</v>
      </c>
      <c r="F409">
        <v>5158610</v>
      </c>
      <c r="G409">
        <v>941</v>
      </c>
      <c r="H409" t="s">
        <v>109</v>
      </c>
      <c r="I409">
        <v>12</v>
      </c>
      <c r="J409" s="74">
        <v>45659</v>
      </c>
      <c r="K409" s="74">
        <v>45670</v>
      </c>
      <c r="L409" t="s">
        <v>190</v>
      </c>
      <c r="M409" s="74">
        <v>45667</v>
      </c>
      <c r="N409" t="s">
        <v>155</v>
      </c>
      <c r="O409" t="s">
        <v>190</v>
      </c>
      <c r="P409">
        <v>0.7</v>
      </c>
      <c r="Q409">
        <v>1.79</v>
      </c>
      <c r="R409">
        <v>8.4</v>
      </c>
      <c r="S409">
        <v>21.48</v>
      </c>
      <c r="T409" t="s">
        <v>66</v>
      </c>
      <c r="AA409">
        <f t="shared" si="6"/>
        <v>232170.31000000006</v>
      </c>
      <c r="AB409">
        <f>COUNTIF($D$1:D409,D409)</f>
        <v>23</v>
      </c>
    </row>
    <row r="410" spans="1:28" x14ac:dyDescent="0.25">
      <c r="A410">
        <v>409</v>
      </c>
      <c r="B410">
        <v>184280</v>
      </c>
      <c r="C410">
        <v>24001954</v>
      </c>
      <c r="D410" t="s">
        <v>12</v>
      </c>
      <c r="E410" t="s">
        <v>106</v>
      </c>
      <c r="F410" t="s">
        <v>316</v>
      </c>
      <c r="G410">
        <v>941</v>
      </c>
      <c r="H410" t="s">
        <v>109</v>
      </c>
      <c r="I410">
        <v>360</v>
      </c>
      <c r="J410" s="74">
        <v>45670</v>
      </c>
      <c r="K410" s="74">
        <v>45673</v>
      </c>
      <c r="L410" t="s">
        <v>190</v>
      </c>
      <c r="M410" s="74">
        <v>45667</v>
      </c>
      <c r="N410" t="s">
        <v>155</v>
      </c>
      <c r="O410" t="s">
        <v>190</v>
      </c>
      <c r="P410">
        <v>0.67</v>
      </c>
      <c r="Q410">
        <v>1.93</v>
      </c>
      <c r="R410">
        <v>241.2</v>
      </c>
      <c r="S410">
        <v>694.8</v>
      </c>
      <c r="T410" t="s">
        <v>66</v>
      </c>
      <c r="AA410">
        <f t="shared" si="6"/>
        <v>232170.31000000006</v>
      </c>
      <c r="AB410">
        <f>COUNTIF($D$1:D410,D410)</f>
        <v>24</v>
      </c>
    </row>
    <row r="411" spans="1:28" x14ac:dyDescent="0.25">
      <c r="A411">
        <v>410</v>
      </c>
      <c r="B411">
        <v>184266</v>
      </c>
      <c r="C411">
        <v>24001940</v>
      </c>
      <c r="D411" t="s">
        <v>12</v>
      </c>
      <c r="E411" t="s">
        <v>106</v>
      </c>
      <c r="F411">
        <v>5159769</v>
      </c>
      <c r="G411">
        <v>940</v>
      </c>
      <c r="H411" t="s">
        <v>109</v>
      </c>
      <c r="I411">
        <v>2</v>
      </c>
      <c r="J411" s="74">
        <v>45659</v>
      </c>
      <c r="K411" s="74">
        <v>45667</v>
      </c>
      <c r="L411" t="s">
        <v>190</v>
      </c>
      <c r="M411" s="74">
        <v>45660</v>
      </c>
      <c r="N411" t="s">
        <v>155</v>
      </c>
      <c r="O411" t="s">
        <v>190</v>
      </c>
      <c r="P411">
        <v>0.61</v>
      </c>
      <c r="Q411">
        <v>1.4</v>
      </c>
      <c r="R411">
        <v>1.22</v>
      </c>
      <c r="S411">
        <v>2.8</v>
      </c>
      <c r="T411" t="s">
        <v>66</v>
      </c>
      <c r="AA411">
        <f t="shared" si="6"/>
        <v>232170.31000000006</v>
      </c>
      <c r="AB411">
        <f>COUNTIF($D$1:D411,D411)</f>
        <v>25</v>
      </c>
    </row>
    <row r="412" spans="1:28" x14ac:dyDescent="0.25">
      <c r="A412">
        <v>411</v>
      </c>
      <c r="B412">
        <v>184267</v>
      </c>
      <c r="C412">
        <v>24001941</v>
      </c>
      <c r="D412" t="s">
        <v>12</v>
      </c>
      <c r="E412" t="s">
        <v>106</v>
      </c>
      <c r="F412">
        <v>5159774</v>
      </c>
      <c r="G412">
        <v>940</v>
      </c>
      <c r="H412" t="s">
        <v>109</v>
      </c>
      <c r="I412">
        <v>3440</v>
      </c>
      <c r="J412" s="74">
        <v>45659</v>
      </c>
      <c r="K412" s="74">
        <v>45674</v>
      </c>
      <c r="L412" t="s">
        <v>190</v>
      </c>
      <c r="M412" s="74">
        <v>45667</v>
      </c>
      <c r="N412" t="s">
        <v>155</v>
      </c>
      <c r="O412" t="s">
        <v>190</v>
      </c>
      <c r="P412">
        <v>0.63</v>
      </c>
      <c r="Q412">
        <v>1.48</v>
      </c>
      <c r="R412">
        <v>2167.1999999999998</v>
      </c>
      <c r="S412">
        <v>5091.2</v>
      </c>
      <c r="T412" t="s">
        <v>66</v>
      </c>
      <c r="AA412">
        <f t="shared" si="6"/>
        <v>232170.31000000006</v>
      </c>
      <c r="AB412">
        <f>COUNTIF($D$1:D412,D412)</f>
        <v>26</v>
      </c>
    </row>
    <row r="413" spans="1:28" x14ac:dyDescent="0.25">
      <c r="A413">
        <v>412</v>
      </c>
      <c r="B413">
        <v>184320</v>
      </c>
      <c r="C413">
        <v>24001994</v>
      </c>
      <c r="D413" t="s">
        <v>12</v>
      </c>
      <c r="E413" t="s">
        <v>106</v>
      </c>
      <c r="F413">
        <v>5159766</v>
      </c>
      <c r="G413">
        <v>942</v>
      </c>
      <c r="H413" t="s">
        <v>109</v>
      </c>
      <c r="I413">
        <v>7020</v>
      </c>
      <c r="J413" s="74">
        <v>45659</v>
      </c>
      <c r="K413" s="74">
        <v>45678</v>
      </c>
      <c r="L413" t="s">
        <v>190</v>
      </c>
      <c r="M413" s="74">
        <v>45674</v>
      </c>
      <c r="N413" t="s">
        <v>155</v>
      </c>
      <c r="O413" t="s">
        <v>190</v>
      </c>
      <c r="P413">
        <v>0.61</v>
      </c>
      <c r="Q413">
        <v>1.37</v>
      </c>
      <c r="R413">
        <v>4282.2</v>
      </c>
      <c r="S413">
        <v>9617.4</v>
      </c>
      <c r="T413" t="s">
        <v>66</v>
      </c>
      <c r="AA413">
        <f t="shared" si="6"/>
        <v>232170.31000000006</v>
      </c>
      <c r="AB413">
        <f>COUNTIF($D$1:D413,D413)</f>
        <v>27</v>
      </c>
    </row>
    <row r="414" spans="1:28" x14ac:dyDescent="0.25">
      <c r="A414">
        <v>413</v>
      </c>
      <c r="B414">
        <v>184321</v>
      </c>
      <c r="C414">
        <v>24001995</v>
      </c>
      <c r="D414" t="s">
        <v>12</v>
      </c>
      <c r="E414" t="s">
        <v>106</v>
      </c>
      <c r="F414">
        <v>5159772</v>
      </c>
      <c r="G414">
        <v>942</v>
      </c>
      <c r="H414" t="s">
        <v>109</v>
      </c>
      <c r="I414">
        <v>2560</v>
      </c>
      <c r="J414" s="74">
        <v>45663</v>
      </c>
      <c r="K414" s="74">
        <v>45677</v>
      </c>
      <c r="L414" t="s">
        <v>190</v>
      </c>
      <c r="M414" s="74">
        <v>45674</v>
      </c>
      <c r="N414" t="s">
        <v>155</v>
      </c>
      <c r="O414" t="s">
        <v>190</v>
      </c>
      <c r="P414">
        <v>0.61</v>
      </c>
      <c r="Q414">
        <v>1.37</v>
      </c>
      <c r="R414">
        <v>1561.6</v>
      </c>
      <c r="S414">
        <v>3507.2</v>
      </c>
      <c r="T414" t="s">
        <v>66</v>
      </c>
      <c r="AA414">
        <f t="shared" si="6"/>
        <v>232170.31000000006</v>
      </c>
      <c r="AB414">
        <f>COUNTIF($D$1:D414,D414)</f>
        <v>28</v>
      </c>
    </row>
    <row r="415" spans="1:28" x14ac:dyDescent="0.25">
      <c r="A415">
        <v>414</v>
      </c>
      <c r="B415">
        <v>184492</v>
      </c>
      <c r="C415">
        <v>24002004</v>
      </c>
      <c r="D415" t="s">
        <v>12</v>
      </c>
      <c r="E415" t="s">
        <v>106</v>
      </c>
      <c r="F415">
        <v>5159772</v>
      </c>
      <c r="G415">
        <v>993</v>
      </c>
      <c r="H415" t="s">
        <v>109</v>
      </c>
      <c r="I415">
        <v>1836</v>
      </c>
      <c r="J415" s="74">
        <v>45677</v>
      </c>
      <c r="K415" s="74">
        <v>45677</v>
      </c>
      <c r="L415" t="s">
        <v>190</v>
      </c>
      <c r="M415" s="74">
        <v>45688</v>
      </c>
      <c r="N415" t="s">
        <v>151</v>
      </c>
      <c r="O415" t="s">
        <v>190</v>
      </c>
      <c r="P415">
        <v>0.61</v>
      </c>
      <c r="Q415">
        <v>5.48</v>
      </c>
      <c r="R415">
        <v>1119.96</v>
      </c>
      <c r="S415">
        <v>10061.280000000001</v>
      </c>
      <c r="T415" t="s">
        <v>66</v>
      </c>
      <c r="AA415">
        <f t="shared" si="6"/>
        <v>232170.31000000006</v>
      </c>
      <c r="AB415">
        <f>COUNTIF($D$1:D415,D415)</f>
        <v>29</v>
      </c>
    </row>
    <row r="416" spans="1:28" x14ac:dyDescent="0.25">
      <c r="A416">
        <v>415</v>
      </c>
      <c r="B416">
        <v>184493</v>
      </c>
      <c r="C416">
        <v>24002005</v>
      </c>
      <c r="D416" t="s">
        <v>12</v>
      </c>
      <c r="E416" t="s">
        <v>106</v>
      </c>
      <c r="F416">
        <v>5159770</v>
      </c>
      <c r="G416">
        <v>993</v>
      </c>
      <c r="H416" t="s">
        <v>109</v>
      </c>
      <c r="I416">
        <v>4824</v>
      </c>
      <c r="J416" s="74">
        <v>45672</v>
      </c>
      <c r="K416" s="74">
        <v>45679</v>
      </c>
      <c r="L416" t="s">
        <v>190</v>
      </c>
      <c r="M416" s="74">
        <v>45688</v>
      </c>
      <c r="N416" t="s">
        <v>151</v>
      </c>
      <c r="O416" t="s">
        <v>190</v>
      </c>
      <c r="P416">
        <v>0.63</v>
      </c>
      <c r="Q416">
        <v>5.72</v>
      </c>
      <c r="R416">
        <v>3039.12</v>
      </c>
      <c r="S416">
        <v>27593.279999999999</v>
      </c>
      <c r="T416" t="s">
        <v>66</v>
      </c>
      <c r="AA416">
        <f t="shared" si="6"/>
        <v>232170.31000000006</v>
      </c>
      <c r="AB416">
        <f>COUNTIF($D$1:D416,D416)</f>
        <v>30</v>
      </c>
    </row>
    <row r="417" spans="1:28" x14ac:dyDescent="0.25">
      <c r="A417">
        <v>416</v>
      </c>
      <c r="B417">
        <v>184498</v>
      </c>
      <c r="C417">
        <v>24002010</v>
      </c>
      <c r="D417" t="s">
        <v>12</v>
      </c>
      <c r="E417" t="s">
        <v>106</v>
      </c>
      <c r="F417">
        <v>5158614</v>
      </c>
      <c r="G417">
        <v>995</v>
      </c>
      <c r="H417" t="s">
        <v>109</v>
      </c>
      <c r="I417">
        <v>7770</v>
      </c>
      <c r="J417" s="74">
        <v>45664</v>
      </c>
      <c r="K417" s="74">
        <v>45685</v>
      </c>
      <c r="L417" t="s">
        <v>190</v>
      </c>
      <c r="M417" s="74">
        <v>45688</v>
      </c>
      <c r="N417" t="s">
        <v>151</v>
      </c>
      <c r="O417" t="s">
        <v>190</v>
      </c>
      <c r="P417">
        <v>0.7</v>
      </c>
      <c r="Q417">
        <v>5.14</v>
      </c>
      <c r="R417">
        <v>5439</v>
      </c>
      <c r="S417">
        <v>39937.800000000003</v>
      </c>
      <c r="T417" t="s">
        <v>66</v>
      </c>
      <c r="AA417">
        <f t="shared" si="6"/>
        <v>232170.31000000006</v>
      </c>
      <c r="AB417">
        <f>COUNTIF($D$1:D417,D417)</f>
        <v>31</v>
      </c>
    </row>
    <row r="418" spans="1:28" x14ac:dyDescent="0.25">
      <c r="A418">
        <v>417</v>
      </c>
      <c r="B418">
        <v>184500</v>
      </c>
      <c r="C418">
        <v>24002012</v>
      </c>
      <c r="D418" t="s">
        <v>12</v>
      </c>
      <c r="E418" t="s">
        <v>106</v>
      </c>
      <c r="F418">
        <v>5158592</v>
      </c>
      <c r="G418">
        <v>995</v>
      </c>
      <c r="H418" t="s">
        <v>109</v>
      </c>
      <c r="I418">
        <v>4320</v>
      </c>
      <c r="J418" s="74">
        <v>45679</v>
      </c>
      <c r="K418" s="74">
        <v>45681</v>
      </c>
      <c r="L418" t="s">
        <v>190</v>
      </c>
      <c r="M418" s="74">
        <v>45688</v>
      </c>
      <c r="N418" t="s">
        <v>151</v>
      </c>
      <c r="O418" t="s">
        <v>190</v>
      </c>
      <c r="P418">
        <v>0.7</v>
      </c>
      <c r="Q418">
        <v>5.14</v>
      </c>
      <c r="R418">
        <v>3024</v>
      </c>
      <c r="S418">
        <v>22204.799999999999</v>
      </c>
      <c r="T418" t="s">
        <v>66</v>
      </c>
      <c r="AA418">
        <f t="shared" si="6"/>
        <v>232170.31000000006</v>
      </c>
      <c r="AB418">
        <f>COUNTIF($D$1:D418,D418)</f>
        <v>32</v>
      </c>
    </row>
    <row r="419" spans="1:28" x14ac:dyDescent="0.25">
      <c r="A419">
        <v>418</v>
      </c>
      <c r="B419">
        <v>184501</v>
      </c>
      <c r="C419">
        <v>24002013</v>
      </c>
      <c r="D419" t="s">
        <v>12</v>
      </c>
      <c r="E419" t="s">
        <v>106</v>
      </c>
      <c r="F419" t="s">
        <v>223</v>
      </c>
      <c r="G419">
        <v>995</v>
      </c>
      <c r="H419" t="s">
        <v>109</v>
      </c>
      <c r="I419">
        <v>180</v>
      </c>
      <c r="J419" s="74">
        <v>45681</v>
      </c>
      <c r="K419" s="74">
        <v>45681</v>
      </c>
      <c r="L419" t="s">
        <v>190</v>
      </c>
      <c r="M419" s="74">
        <v>45688</v>
      </c>
      <c r="N419" t="s">
        <v>151</v>
      </c>
      <c r="O419" t="s">
        <v>190</v>
      </c>
      <c r="P419">
        <v>0.67</v>
      </c>
      <c r="Q419">
        <v>5.49</v>
      </c>
      <c r="R419">
        <v>120.6</v>
      </c>
      <c r="S419">
        <v>988.2</v>
      </c>
      <c r="T419" t="s">
        <v>66</v>
      </c>
      <c r="AA419">
        <f t="shared" si="6"/>
        <v>232170.31000000006</v>
      </c>
      <c r="AB419">
        <f>COUNTIF($D$1:D419,D419)</f>
        <v>33</v>
      </c>
    </row>
    <row r="420" spans="1:28" x14ac:dyDescent="0.25">
      <c r="A420">
        <v>419</v>
      </c>
      <c r="B420">
        <v>184506</v>
      </c>
      <c r="C420">
        <v>24002018</v>
      </c>
      <c r="D420" t="s">
        <v>12</v>
      </c>
      <c r="E420" t="s">
        <v>106</v>
      </c>
      <c r="F420">
        <v>5158590</v>
      </c>
      <c r="G420">
        <v>995</v>
      </c>
      <c r="H420" t="s">
        <v>109</v>
      </c>
      <c r="I420">
        <v>2430</v>
      </c>
      <c r="J420" s="74">
        <v>45681</v>
      </c>
      <c r="K420" s="74">
        <v>45685</v>
      </c>
      <c r="L420" t="s">
        <v>190</v>
      </c>
      <c r="M420" s="74">
        <v>45688</v>
      </c>
      <c r="N420" t="s">
        <v>151</v>
      </c>
      <c r="O420" t="s">
        <v>190</v>
      </c>
      <c r="P420">
        <v>0.7</v>
      </c>
      <c r="Q420">
        <v>5.14</v>
      </c>
      <c r="R420">
        <v>1701</v>
      </c>
      <c r="S420">
        <v>12490.2</v>
      </c>
      <c r="T420" t="s">
        <v>66</v>
      </c>
      <c r="AA420">
        <f t="shared" si="6"/>
        <v>232170.31000000006</v>
      </c>
      <c r="AB420">
        <f>COUNTIF($D$1:D420,D420)</f>
        <v>34</v>
      </c>
    </row>
    <row r="421" spans="1:28" x14ac:dyDescent="0.25">
      <c r="A421">
        <v>420</v>
      </c>
      <c r="B421">
        <v>184502</v>
      </c>
      <c r="C421">
        <v>24002014</v>
      </c>
      <c r="D421" t="s">
        <v>12</v>
      </c>
      <c r="E421" t="s">
        <v>106</v>
      </c>
      <c r="F421">
        <v>5158619</v>
      </c>
      <c r="G421">
        <v>995</v>
      </c>
      <c r="H421" t="s">
        <v>109</v>
      </c>
      <c r="I421">
        <v>504</v>
      </c>
      <c r="J421" s="74">
        <v>45685</v>
      </c>
      <c r="K421" s="74">
        <v>45685</v>
      </c>
      <c r="L421" t="s">
        <v>190</v>
      </c>
      <c r="M421" s="74">
        <v>45695</v>
      </c>
      <c r="N421" t="s">
        <v>151</v>
      </c>
      <c r="O421" t="s">
        <v>224</v>
      </c>
      <c r="P421">
        <v>0.7</v>
      </c>
      <c r="Q421">
        <v>5.14</v>
      </c>
      <c r="R421">
        <v>352.8</v>
      </c>
      <c r="S421">
        <v>2590.56</v>
      </c>
      <c r="T421" t="s">
        <v>66</v>
      </c>
      <c r="AA421">
        <f t="shared" si="6"/>
        <v>232170.31000000006</v>
      </c>
      <c r="AB421">
        <f>COUNTIF($D$1:D421,D421)</f>
        <v>35</v>
      </c>
    </row>
    <row r="422" spans="1:28" x14ac:dyDescent="0.25">
      <c r="A422">
        <v>421</v>
      </c>
      <c r="B422">
        <v>184503</v>
      </c>
      <c r="C422">
        <v>24002015</v>
      </c>
      <c r="D422" t="s">
        <v>12</v>
      </c>
      <c r="E422" t="s">
        <v>106</v>
      </c>
      <c r="F422" t="s">
        <v>207</v>
      </c>
      <c r="G422">
        <v>995</v>
      </c>
      <c r="H422" t="s">
        <v>109</v>
      </c>
      <c r="I422">
        <v>360</v>
      </c>
      <c r="J422" s="74">
        <v>45687</v>
      </c>
      <c r="K422" s="74">
        <v>45687</v>
      </c>
      <c r="L422" t="s">
        <v>190</v>
      </c>
      <c r="M422" s="74">
        <v>45695</v>
      </c>
      <c r="N422" t="s">
        <v>151</v>
      </c>
      <c r="O422" t="s">
        <v>224</v>
      </c>
      <c r="P422">
        <v>0.67</v>
      </c>
      <c r="Q422">
        <v>5.49</v>
      </c>
      <c r="R422">
        <v>241.2</v>
      </c>
      <c r="S422">
        <v>1976.4</v>
      </c>
      <c r="T422" t="s">
        <v>66</v>
      </c>
      <c r="AA422">
        <f t="shared" si="6"/>
        <v>232170.31000000006</v>
      </c>
      <c r="AB422">
        <f>COUNTIF($D$1:D422,D422)</f>
        <v>36</v>
      </c>
    </row>
    <row r="423" spans="1:28" x14ac:dyDescent="0.25">
      <c r="A423">
        <v>422</v>
      </c>
      <c r="B423">
        <v>184504</v>
      </c>
      <c r="C423">
        <v>24002016</v>
      </c>
      <c r="D423" t="s">
        <v>12</v>
      </c>
      <c r="E423" t="s">
        <v>106</v>
      </c>
      <c r="F423">
        <v>5158607</v>
      </c>
      <c r="G423">
        <v>995</v>
      </c>
      <c r="H423" t="s">
        <v>109</v>
      </c>
      <c r="I423">
        <v>4382</v>
      </c>
      <c r="J423" s="74">
        <v>45687</v>
      </c>
      <c r="K423" s="74">
        <v>45688</v>
      </c>
      <c r="L423" t="s">
        <v>190</v>
      </c>
      <c r="M423" s="74">
        <v>45695</v>
      </c>
      <c r="N423" t="s">
        <v>151</v>
      </c>
      <c r="O423" t="s">
        <v>224</v>
      </c>
      <c r="P423">
        <v>0.7</v>
      </c>
      <c r="Q423">
        <v>5.14</v>
      </c>
      <c r="R423">
        <v>3067.4</v>
      </c>
      <c r="S423">
        <v>22523.48</v>
      </c>
      <c r="T423" t="s">
        <v>66</v>
      </c>
      <c r="AA423">
        <f t="shared" si="6"/>
        <v>232170.31000000006</v>
      </c>
      <c r="AB423">
        <f>COUNTIF($D$1:D423,D423)</f>
        <v>37</v>
      </c>
    </row>
    <row r="424" spans="1:28" x14ac:dyDescent="0.25">
      <c r="A424">
        <v>423</v>
      </c>
      <c r="B424">
        <v>184491</v>
      </c>
      <c r="C424">
        <v>24002003</v>
      </c>
      <c r="D424" t="s">
        <v>12</v>
      </c>
      <c r="E424" t="s">
        <v>106</v>
      </c>
      <c r="F424">
        <v>5159766</v>
      </c>
      <c r="G424">
        <v>993</v>
      </c>
      <c r="H424" t="s">
        <v>109</v>
      </c>
      <c r="I424">
        <v>2585</v>
      </c>
      <c r="J424" s="74">
        <v>45665</v>
      </c>
      <c r="K424" s="74">
        <v>45672</v>
      </c>
      <c r="L424" t="s">
        <v>190</v>
      </c>
      <c r="M424" s="74">
        <v>45674</v>
      </c>
      <c r="N424" t="s">
        <v>151</v>
      </c>
      <c r="O424" t="s">
        <v>190</v>
      </c>
      <c r="P424">
        <v>0.61</v>
      </c>
      <c r="Q424">
        <v>5.48</v>
      </c>
      <c r="R424">
        <v>1576.85</v>
      </c>
      <c r="S424">
        <v>14165.8</v>
      </c>
      <c r="T424" t="s">
        <v>66</v>
      </c>
      <c r="AA424">
        <f t="shared" si="6"/>
        <v>232170.31000000006</v>
      </c>
      <c r="AB424">
        <f>COUNTIF($D$1:D424,D424)</f>
        <v>38</v>
      </c>
    </row>
    <row r="425" spans="1:28" x14ac:dyDescent="0.25">
      <c r="A425">
        <v>424</v>
      </c>
      <c r="B425">
        <v>184488</v>
      </c>
      <c r="C425">
        <v>24001999</v>
      </c>
      <c r="D425" t="s">
        <v>12</v>
      </c>
      <c r="E425" t="s">
        <v>106</v>
      </c>
      <c r="F425">
        <v>5159768</v>
      </c>
      <c r="G425">
        <v>993</v>
      </c>
      <c r="H425" t="s">
        <v>109</v>
      </c>
      <c r="I425">
        <v>1484</v>
      </c>
      <c r="J425" s="74">
        <v>45666</v>
      </c>
      <c r="K425" s="74">
        <v>45673</v>
      </c>
      <c r="L425" t="s">
        <v>190</v>
      </c>
      <c r="M425" s="74">
        <v>45674</v>
      </c>
      <c r="N425" t="s">
        <v>151</v>
      </c>
      <c r="O425" t="s">
        <v>190</v>
      </c>
      <c r="P425">
        <v>0.61</v>
      </c>
      <c r="Q425">
        <v>4.21</v>
      </c>
      <c r="R425">
        <v>905.24</v>
      </c>
      <c r="S425">
        <v>6247.64</v>
      </c>
      <c r="T425" t="s">
        <v>66</v>
      </c>
      <c r="AA425">
        <f t="shared" si="6"/>
        <v>232170.31000000006</v>
      </c>
      <c r="AB425">
        <f>COUNTIF($D$1:D425,D425)</f>
        <v>39</v>
      </c>
    </row>
    <row r="426" spans="1:28" x14ac:dyDescent="0.25">
      <c r="A426">
        <v>425</v>
      </c>
      <c r="B426">
        <v>184294</v>
      </c>
      <c r="C426">
        <v>24001968</v>
      </c>
      <c r="D426" t="s">
        <v>12</v>
      </c>
      <c r="E426" t="s">
        <v>106</v>
      </c>
      <c r="F426">
        <v>5159305</v>
      </c>
      <c r="G426">
        <v>941</v>
      </c>
      <c r="H426" t="s">
        <v>110</v>
      </c>
      <c r="I426">
        <v>5330</v>
      </c>
      <c r="J426" s="74">
        <v>45659</v>
      </c>
      <c r="K426" s="74">
        <v>45664</v>
      </c>
      <c r="L426" t="s">
        <v>190</v>
      </c>
      <c r="M426" s="74">
        <v>45667</v>
      </c>
      <c r="N426" t="s">
        <v>151</v>
      </c>
      <c r="O426" t="s">
        <v>190</v>
      </c>
      <c r="P426">
        <v>0.83</v>
      </c>
      <c r="Q426">
        <v>2.17</v>
      </c>
      <c r="R426">
        <v>4423.8999999999996</v>
      </c>
      <c r="S426">
        <v>11566.1</v>
      </c>
      <c r="T426" t="s">
        <v>66</v>
      </c>
      <c r="AA426">
        <f t="shared" si="6"/>
        <v>232170.31000000006</v>
      </c>
      <c r="AB426">
        <f>COUNTIF($D$1:D426,D426)</f>
        <v>40</v>
      </c>
    </row>
    <row r="427" spans="1:28" x14ac:dyDescent="0.25">
      <c r="A427">
        <v>426</v>
      </c>
      <c r="B427">
        <v>184320</v>
      </c>
      <c r="C427">
        <v>24001994</v>
      </c>
      <c r="D427" t="s">
        <v>12</v>
      </c>
      <c r="E427" t="s">
        <v>106</v>
      </c>
      <c r="F427">
        <v>5159766</v>
      </c>
      <c r="G427">
        <v>942</v>
      </c>
      <c r="H427" t="s">
        <v>110</v>
      </c>
      <c r="I427">
        <v>4000</v>
      </c>
      <c r="J427" s="74">
        <v>45666</v>
      </c>
      <c r="K427" s="74">
        <v>45674</v>
      </c>
      <c r="L427" t="s">
        <v>190</v>
      </c>
      <c r="M427" s="74">
        <v>45674</v>
      </c>
      <c r="N427" t="s">
        <v>151</v>
      </c>
      <c r="O427" t="s">
        <v>190</v>
      </c>
      <c r="P427">
        <v>0.61</v>
      </c>
      <c r="Q427">
        <v>1.37</v>
      </c>
      <c r="R427">
        <v>2440</v>
      </c>
      <c r="S427">
        <v>5480</v>
      </c>
      <c r="T427" t="s">
        <v>66</v>
      </c>
      <c r="AA427">
        <f t="shared" si="6"/>
        <v>232170.31000000006</v>
      </c>
      <c r="AB427">
        <f>COUNTIF($D$1:D427,D427)</f>
        <v>41</v>
      </c>
    </row>
    <row r="428" spans="1:28" x14ac:dyDescent="0.25">
      <c r="A428">
        <v>427</v>
      </c>
      <c r="B428">
        <v>184321</v>
      </c>
      <c r="C428">
        <v>24001995</v>
      </c>
      <c r="D428" t="s">
        <v>12</v>
      </c>
      <c r="E428" t="s">
        <v>106</v>
      </c>
      <c r="F428">
        <v>5159772</v>
      </c>
      <c r="G428">
        <v>942</v>
      </c>
      <c r="H428" t="s">
        <v>110</v>
      </c>
      <c r="I428">
        <v>1248</v>
      </c>
      <c r="J428" s="74">
        <v>45674</v>
      </c>
      <c r="K428" s="74">
        <v>45677</v>
      </c>
      <c r="L428" t="s">
        <v>190</v>
      </c>
      <c r="M428" s="74">
        <v>45674</v>
      </c>
      <c r="N428" t="s">
        <v>155</v>
      </c>
      <c r="O428" t="s">
        <v>190</v>
      </c>
      <c r="P428">
        <v>0.61</v>
      </c>
      <c r="Q428">
        <v>1.37</v>
      </c>
      <c r="R428">
        <v>761.28</v>
      </c>
      <c r="S428">
        <v>1709.76</v>
      </c>
      <c r="T428" t="s">
        <v>66</v>
      </c>
      <c r="AA428">
        <f t="shared" si="6"/>
        <v>232170.31000000006</v>
      </c>
      <c r="AB428">
        <f>COUNTIF($D$1:D428,D428)</f>
        <v>42</v>
      </c>
    </row>
    <row r="429" spans="1:28" x14ac:dyDescent="0.25">
      <c r="A429">
        <v>428</v>
      </c>
      <c r="B429">
        <v>184491</v>
      </c>
      <c r="C429">
        <v>24002003</v>
      </c>
      <c r="D429" t="s">
        <v>12</v>
      </c>
      <c r="E429" t="s">
        <v>106</v>
      </c>
      <c r="F429">
        <v>5159766</v>
      </c>
      <c r="G429">
        <v>993</v>
      </c>
      <c r="H429" t="s">
        <v>110</v>
      </c>
      <c r="I429">
        <v>5580</v>
      </c>
      <c r="J429" s="74">
        <v>45666</v>
      </c>
      <c r="K429" s="74">
        <v>45678</v>
      </c>
      <c r="L429" t="s">
        <v>190</v>
      </c>
      <c r="M429" s="74">
        <v>45674</v>
      </c>
      <c r="N429" t="s">
        <v>155</v>
      </c>
      <c r="O429" t="s">
        <v>190</v>
      </c>
      <c r="P429">
        <v>0.61</v>
      </c>
      <c r="Q429">
        <v>5.48</v>
      </c>
      <c r="R429">
        <v>3403.8</v>
      </c>
      <c r="S429">
        <v>30578.400000000001</v>
      </c>
      <c r="T429" t="s">
        <v>66</v>
      </c>
      <c r="AA429">
        <f t="shared" si="6"/>
        <v>232170.31000000006</v>
      </c>
      <c r="AB429">
        <f>COUNTIF($D$1:D429,D429)</f>
        <v>43</v>
      </c>
    </row>
    <row r="430" spans="1:28" x14ac:dyDescent="0.25">
      <c r="A430">
        <v>429</v>
      </c>
      <c r="B430">
        <v>184492</v>
      </c>
      <c r="C430">
        <v>24002004</v>
      </c>
      <c r="D430" t="s">
        <v>12</v>
      </c>
      <c r="E430" t="s">
        <v>106</v>
      </c>
      <c r="F430">
        <v>5159772</v>
      </c>
      <c r="G430">
        <v>993</v>
      </c>
      <c r="H430" t="s">
        <v>110</v>
      </c>
      <c r="I430">
        <v>1836</v>
      </c>
      <c r="J430" s="74">
        <v>45678</v>
      </c>
      <c r="K430" s="74">
        <v>45679</v>
      </c>
      <c r="L430" t="s">
        <v>190</v>
      </c>
      <c r="M430" s="74">
        <v>45688</v>
      </c>
      <c r="N430" t="s">
        <v>151</v>
      </c>
      <c r="O430" t="s">
        <v>190</v>
      </c>
      <c r="P430">
        <v>0.61</v>
      </c>
      <c r="Q430">
        <v>5.48</v>
      </c>
      <c r="R430">
        <v>1119.96</v>
      </c>
      <c r="S430">
        <v>10061.280000000001</v>
      </c>
      <c r="T430" t="s">
        <v>66</v>
      </c>
      <c r="AA430">
        <f t="shared" si="6"/>
        <v>232170.31000000006</v>
      </c>
      <c r="AB430">
        <f>COUNTIF($D$1:D430,D430)</f>
        <v>44</v>
      </c>
    </row>
    <row r="431" spans="1:28" x14ac:dyDescent="0.25">
      <c r="A431">
        <v>430</v>
      </c>
      <c r="B431">
        <v>184493</v>
      </c>
      <c r="C431">
        <v>24002005</v>
      </c>
      <c r="D431" t="s">
        <v>12</v>
      </c>
      <c r="E431" t="s">
        <v>106</v>
      </c>
      <c r="F431">
        <v>5159770</v>
      </c>
      <c r="G431">
        <v>993</v>
      </c>
      <c r="H431" t="s">
        <v>110</v>
      </c>
      <c r="I431">
        <v>2855</v>
      </c>
      <c r="J431" s="74">
        <v>45672</v>
      </c>
      <c r="K431" s="74">
        <v>45679</v>
      </c>
      <c r="L431" t="s">
        <v>190</v>
      </c>
      <c r="M431" s="74">
        <v>45688</v>
      </c>
      <c r="N431" t="s">
        <v>151</v>
      </c>
      <c r="O431" t="s">
        <v>190</v>
      </c>
      <c r="P431">
        <v>0.63</v>
      </c>
      <c r="Q431">
        <v>5.72</v>
      </c>
      <c r="R431">
        <v>1798.65</v>
      </c>
      <c r="S431">
        <v>16330.6</v>
      </c>
      <c r="T431" t="s">
        <v>66</v>
      </c>
      <c r="AA431">
        <f t="shared" si="6"/>
        <v>232170.31000000006</v>
      </c>
      <c r="AB431">
        <f>COUNTIF($D$1:D431,D431)</f>
        <v>45</v>
      </c>
    </row>
    <row r="432" spans="1:28" x14ac:dyDescent="0.25">
      <c r="A432">
        <v>431</v>
      </c>
      <c r="B432">
        <v>184498</v>
      </c>
      <c r="C432">
        <v>24002010</v>
      </c>
      <c r="D432" t="s">
        <v>12</v>
      </c>
      <c r="E432" t="s">
        <v>106</v>
      </c>
      <c r="F432">
        <v>5158614</v>
      </c>
      <c r="G432">
        <v>995</v>
      </c>
      <c r="H432" t="s">
        <v>110</v>
      </c>
      <c r="I432">
        <v>8670</v>
      </c>
      <c r="J432" s="74">
        <v>45664</v>
      </c>
      <c r="K432" s="74">
        <v>45679</v>
      </c>
      <c r="L432" t="s">
        <v>190</v>
      </c>
      <c r="M432" s="74">
        <v>45688</v>
      </c>
      <c r="N432" t="s">
        <v>151</v>
      </c>
      <c r="O432" t="s">
        <v>190</v>
      </c>
      <c r="P432">
        <v>0.7</v>
      </c>
      <c r="Q432">
        <v>5.14</v>
      </c>
      <c r="R432">
        <v>6069</v>
      </c>
      <c r="S432">
        <v>44563.8</v>
      </c>
      <c r="T432" t="s">
        <v>66</v>
      </c>
      <c r="AA432">
        <f t="shared" si="6"/>
        <v>232170.31000000006</v>
      </c>
      <c r="AB432">
        <f>COUNTIF($D$1:D432,D432)</f>
        <v>46</v>
      </c>
    </row>
    <row r="433" spans="1:28" x14ac:dyDescent="0.25">
      <c r="A433">
        <v>432</v>
      </c>
      <c r="B433">
        <v>184500</v>
      </c>
      <c r="C433">
        <v>24002012</v>
      </c>
      <c r="D433" t="s">
        <v>12</v>
      </c>
      <c r="E433" t="s">
        <v>106</v>
      </c>
      <c r="F433">
        <v>5158592</v>
      </c>
      <c r="G433">
        <v>995</v>
      </c>
      <c r="H433" t="s">
        <v>110</v>
      </c>
      <c r="I433">
        <v>4320</v>
      </c>
      <c r="J433" s="74">
        <v>45679</v>
      </c>
      <c r="K433" s="74">
        <v>45680</v>
      </c>
      <c r="L433" t="s">
        <v>190</v>
      </c>
      <c r="M433" s="74">
        <v>45688</v>
      </c>
      <c r="N433" t="s">
        <v>151</v>
      </c>
      <c r="O433" t="s">
        <v>190</v>
      </c>
      <c r="P433">
        <v>0.7</v>
      </c>
      <c r="Q433">
        <v>5.14</v>
      </c>
      <c r="R433">
        <v>3024</v>
      </c>
      <c r="S433">
        <v>22204.799999999999</v>
      </c>
      <c r="T433" t="s">
        <v>66</v>
      </c>
      <c r="AA433">
        <f t="shared" si="6"/>
        <v>232170.31000000006</v>
      </c>
      <c r="AB433">
        <f>COUNTIF($D$1:D433,D433)</f>
        <v>47</v>
      </c>
    </row>
    <row r="434" spans="1:28" x14ac:dyDescent="0.25">
      <c r="A434">
        <v>433</v>
      </c>
      <c r="B434">
        <v>184501</v>
      </c>
      <c r="C434">
        <v>24002013</v>
      </c>
      <c r="D434" t="s">
        <v>12</v>
      </c>
      <c r="E434" t="s">
        <v>106</v>
      </c>
      <c r="F434" t="s">
        <v>223</v>
      </c>
      <c r="G434">
        <v>995</v>
      </c>
      <c r="H434" t="s">
        <v>110</v>
      </c>
      <c r="I434">
        <v>180</v>
      </c>
      <c r="J434" s="74">
        <v>45680</v>
      </c>
      <c r="K434" s="74">
        <v>45680</v>
      </c>
      <c r="L434" t="s">
        <v>190</v>
      </c>
      <c r="M434" s="74">
        <v>45688</v>
      </c>
      <c r="N434" t="s">
        <v>151</v>
      </c>
      <c r="O434" t="s">
        <v>190</v>
      </c>
      <c r="P434">
        <v>0.67</v>
      </c>
      <c r="Q434">
        <v>5.49</v>
      </c>
      <c r="R434">
        <v>120.6</v>
      </c>
      <c r="S434">
        <v>988.2</v>
      </c>
      <c r="T434" t="s">
        <v>66</v>
      </c>
      <c r="AA434">
        <f t="shared" si="6"/>
        <v>232170.31000000006</v>
      </c>
      <c r="AB434">
        <f>COUNTIF($D$1:D434,D434)</f>
        <v>48</v>
      </c>
    </row>
    <row r="435" spans="1:28" x14ac:dyDescent="0.25">
      <c r="A435">
        <v>434</v>
      </c>
      <c r="B435">
        <v>184506</v>
      </c>
      <c r="C435">
        <v>24002018</v>
      </c>
      <c r="D435" t="s">
        <v>12</v>
      </c>
      <c r="E435" t="s">
        <v>106</v>
      </c>
      <c r="F435">
        <v>5158590</v>
      </c>
      <c r="G435">
        <v>995</v>
      </c>
      <c r="H435" t="s">
        <v>110</v>
      </c>
      <c r="I435">
        <v>2430</v>
      </c>
      <c r="J435" s="74">
        <v>45680</v>
      </c>
      <c r="K435" s="74">
        <v>45681</v>
      </c>
      <c r="L435" t="s">
        <v>190</v>
      </c>
      <c r="M435" s="74">
        <v>45688</v>
      </c>
      <c r="N435" t="s">
        <v>151</v>
      </c>
      <c r="O435" t="s">
        <v>190</v>
      </c>
      <c r="P435">
        <v>0.7</v>
      </c>
      <c r="Q435">
        <v>5.14</v>
      </c>
      <c r="R435">
        <v>1701</v>
      </c>
      <c r="S435">
        <v>12490.2</v>
      </c>
      <c r="T435" t="s">
        <v>66</v>
      </c>
      <c r="AA435">
        <f t="shared" si="6"/>
        <v>232170.31000000006</v>
      </c>
      <c r="AB435">
        <f>COUNTIF($D$1:D435,D435)</f>
        <v>49</v>
      </c>
    </row>
    <row r="436" spans="1:28" x14ac:dyDescent="0.25">
      <c r="A436">
        <v>435</v>
      </c>
      <c r="B436">
        <v>184502</v>
      </c>
      <c r="C436">
        <v>24002014</v>
      </c>
      <c r="D436" t="s">
        <v>12</v>
      </c>
      <c r="E436" t="s">
        <v>106</v>
      </c>
      <c r="F436">
        <v>5158619</v>
      </c>
      <c r="G436">
        <v>995</v>
      </c>
      <c r="H436" t="s">
        <v>110</v>
      </c>
      <c r="I436">
        <v>504</v>
      </c>
      <c r="J436" s="74">
        <v>45681</v>
      </c>
      <c r="K436" s="74">
        <v>45685</v>
      </c>
      <c r="L436" t="s">
        <v>190</v>
      </c>
      <c r="M436" s="74">
        <v>45695</v>
      </c>
      <c r="N436" t="s">
        <v>151</v>
      </c>
      <c r="O436" t="s">
        <v>224</v>
      </c>
      <c r="P436">
        <v>0.7</v>
      </c>
      <c r="Q436">
        <v>5.14</v>
      </c>
      <c r="R436">
        <v>352.8</v>
      </c>
      <c r="S436">
        <v>2590.56</v>
      </c>
      <c r="T436" t="s">
        <v>66</v>
      </c>
      <c r="AA436">
        <f t="shared" si="6"/>
        <v>232170.31000000006</v>
      </c>
      <c r="AB436">
        <f>COUNTIF($D$1:D436,D436)</f>
        <v>50</v>
      </c>
    </row>
    <row r="437" spans="1:28" x14ac:dyDescent="0.25">
      <c r="A437">
        <v>436</v>
      </c>
      <c r="B437">
        <v>184503</v>
      </c>
      <c r="C437">
        <v>24002015</v>
      </c>
      <c r="D437" t="s">
        <v>12</v>
      </c>
      <c r="E437" t="s">
        <v>106</v>
      </c>
      <c r="F437" t="s">
        <v>207</v>
      </c>
      <c r="G437">
        <v>995</v>
      </c>
      <c r="H437" t="s">
        <v>110</v>
      </c>
      <c r="I437">
        <v>360</v>
      </c>
      <c r="J437" s="74">
        <v>45685</v>
      </c>
      <c r="K437" s="74">
        <v>45685</v>
      </c>
      <c r="L437" t="s">
        <v>190</v>
      </c>
      <c r="M437" s="74">
        <v>45695</v>
      </c>
      <c r="N437" t="s">
        <v>151</v>
      </c>
      <c r="O437" t="s">
        <v>224</v>
      </c>
      <c r="P437">
        <v>0.67</v>
      </c>
      <c r="Q437">
        <v>5.49</v>
      </c>
      <c r="R437">
        <v>241.2</v>
      </c>
      <c r="S437">
        <v>1976.4</v>
      </c>
      <c r="T437" t="s">
        <v>66</v>
      </c>
      <c r="AA437">
        <f t="shared" si="6"/>
        <v>232170.31000000006</v>
      </c>
      <c r="AB437">
        <f>COUNTIF($D$1:D437,D437)</f>
        <v>51</v>
      </c>
    </row>
    <row r="438" spans="1:28" x14ac:dyDescent="0.25">
      <c r="A438">
        <v>437</v>
      </c>
      <c r="B438">
        <v>184504</v>
      </c>
      <c r="C438">
        <v>24002016</v>
      </c>
      <c r="D438" t="s">
        <v>12</v>
      </c>
      <c r="E438" t="s">
        <v>106</v>
      </c>
      <c r="F438">
        <v>5158607</v>
      </c>
      <c r="G438">
        <v>995</v>
      </c>
      <c r="H438" t="s">
        <v>110</v>
      </c>
      <c r="I438">
        <v>4428</v>
      </c>
      <c r="J438" s="74">
        <v>45685</v>
      </c>
      <c r="K438" s="74">
        <v>45688</v>
      </c>
      <c r="L438" t="s">
        <v>190</v>
      </c>
      <c r="M438" s="74">
        <v>45695</v>
      </c>
      <c r="N438" t="s">
        <v>151</v>
      </c>
      <c r="O438" t="s">
        <v>224</v>
      </c>
      <c r="P438">
        <v>0.7</v>
      </c>
      <c r="Q438">
        <v>5.14</v>
      </c>
      <c r="R438">
        <v>3099.6</v>
      </c>
      <c r="S438">
        <v>22759.919999999998</v>
      </c>
      <c r="T438" t="s">
        <v>66</v>
      </c>
      <c r="AA438">
        <f t="shared" si="6"/>
        <v>232170.31000000006</v>
      </c>
      <c r="AB438">
        <f>COUNTIF($D$1:D438,D438)</f>
        <v>52</v>
      </c>
    </row>
    <row r="439" spans="1:28" x14ac:dyDescent="0.25">
      <c r="A439">
        <v>438</v>
      </c>
      <c r="B439">
        <v>184505</v>
      </c>
      <c r="C439">
        <v>24002017</v>
      </c>
      <c r="D439" t="s">
        <v>12</v>
      </c>
      <c r="E439" t="s">
        <v>106</v>
      </c>
      <c r="F439" t="s">
        <v>178</v>
      </c>
      <c r="G439">
        <v>995</v>
      </c>
      <c r="H439" t="s">
        <v>110</v>
      </c>
      <c r="I439">
        <v>324</v>
      </c>
      <c r="J439" s="74">
        <v>45688</v>
      </c>
      <c r="K439" s="74">
        <v>45688</v>
      </c>
      <c r="L439" t="s">
        <v>190</v>
      </c>
      <c r="M439" s="74">
        <v>45695</v>
      </c>
      <c r="N439" t="s">
        <v>151</v>
      </c>
      <c r="O439" t="s">
        <v>224</v>
      </c>
      <c r="P439">
        <v>0.67</v>
      </c>
      <c r="Q439">
        <v>5.49</v>
      </c>
      <c r="R439">
        <v>217.08</v>
      </c>
      <c r="S439">
        <v>1778.76</v>
      </c>
      <c r="T439" t="s">
        <v>66</v>
      </c>
      <c r="AA439">
        <f t="shared" si="6"/>
        <v>232170.31000000006</v>
      </c>
      <c r="AB439">
        <f>COUNTIF($D$1:D439,D439)</f>
        <v>53</v>
      </c>
    </row>
    <row r="440" spans="1:28" x14ac:dyDescent="0.25">
      <c r="A440">
        <v>439</v>
      </c>
      <c r="B440">
        <v>184513</v>
      </c>
      <c r="C440">
        <v>24002025</v>
      </c>
      <c r="D440" t="s">
        <v>12</v>
      </c>
      <c r="E440" t="s">
        <v>106</v>
      </c>
      <c r="F440">
        <v>5158615</v>
      </c>
      <c r="G440">
        <v>995</v>
      </c>
      <c r="H440" t="s">
        <v>110</v>
      </c>
      <c r="I440">
        <v>1252</v>
      </c>
      <c r="J440" s="74">
        <v>45688</v>
      </c>
      <c r="K440" s="74">
        <v>45688</v>
      </c>
      <c r="L440" t="s">
        <v>190</v>
      </c>
      <c r="M440" s="74">
        <v>45695</v>
      </c>
      <c r="N440" t="s">
        <v>151</v>
      </c>
      <c r="O440" t="s">
        <v>224</v>
      </c>
      <c r="P440">
        <v>0.7</v>
      </c>
      <c r="Q440">
        <v>5.38</v>
      </c>
      <c r="R440">
        <v>876.4</v>
      </c>
      <c r="S440">
        <v>6735.76</v>
      </c>
      <c r="T440" t="s">
        <v>66</v>
      </c>
      <c r="AA440">
        <f t="shared" si="6"/>
        <v>232170.31000000006</v>
      </c>
      <c r="AB440">
        <f>COUNTIF($D$1:D440,D440)</f>
        <v>54</v>
      </c>
    </row>
    <row r="441" spans="1:28" x14ac:dyDescent="0.25">
      <c r="A441">
        <v>440</v>
      </c>
      <c r="B441">
        <v>184488</v>
      </c>
      <c r="C441">
        <v>24001999</v>
      </c>
      <c r="D441" t="s">
        <v>12</v>
      </c>
      <c r="E441" t="s">
        <v>106</v>
      </c>
      <c r="F441">
        <v>5159768</v>
      </c>
      <c r="G441">
        <v>993</v>
      </c>
      <c r="H441" t="s">
        <v>110</v>
      </c>
      <c r="I441">
        <v>2680</v>
      </c>
      <c r="J441" s="74">
        <v>45667</v>
      </c>
      <c r="K441" s="74">
        <v>45670</v>
      </c>
      <c r="L441" t="s">
        <v>190</v>
      </c>
      <c r="M441" s="74">
        <v>45674</v>
      </c>
      <c r="N441" t="s">
        <v>151</v>
      </c>
      <c r="O441" t="s">
        <v>190</v>
      </c>
      <c r="P441">
        <v>0.61</v>
      </c>
      <c r="Q441">
        <v>4.21</v>
      </c>
      <c r="R441">
        <v>1634.8</v>
      </c>
      <c r="S441">
        <v>11282.8</v>
      </c>
      <c r="T441" t="s">
        <v>66</v>
      </c>
      <c r="AA441">
        <f t="shared" si="6"/>
        <v>232170.31000000006</v>
      </c>
      <c r="AB441">
        <f>COUNTIF($D$1:D441,D441)</f>
        <v>55</v>
      </c>
    </row>
    <row r="442" spans="1:28" x14ac:dyDescent="0.25">
      <c r="A442">
        <v>441</v>
      </c>
      <c r="B442">
        <v>184294</v>
      </c>
      <c r="C442">
        <v>24001968</v>
      </c>
      <c r="D442" t="s">
        <v>12</v>
      </c>
      <c r="E442" t="s">
        <v>106</v>
      </c>
      <c r="F442">
        <v>5159305</v>
      </c>
      <c r="G442">
        <v>941</v>
      </c>
      <c r="H442" t="s">
        <v>111</v>
      </c>
      <c r="I442">
        <v>5110</v>
      </c>
      <c r="J442" s="74">
        <v>45659</v>
      </c>
      <c r="K442" s="74">
        <v>45670</v>
      </c>
      <c r="L442" t="s">
        <v>190</v>
      </c>
      <c r="M442" s="74">
        <v>45667</v>
      </c>
      <c r="N442" t="s">
        <v>155</v>
      </c>
      <c r="O442" t="s">
        <v>190</v>
      </c>
      <c r="P442">
        <v>0.83</v>
      </c>
      <c r="Q442">
        <v>2.17</v>
      </c>
      <c r="R442">
        <v>4241.3</v>
      </c>
      <c r="S442">
        <v>11088.7</v>
      </c>
      <c r="T442" t="s">
        <v>66</v>
      </c>
      <c r="AA442">
        <f t="shared" si="6"/>
        <v>232170.31000000006</v>
      </c>
      <c r="AB442">
        <f>COUNTIF($D$1:D442,D442)</f>
        <v>56</v>
      </c>
    </row>
    <row r="443" spans="1:28" x14ac:dyDescent="0.25">
      <c r="A443">
        <v>442</v>
      </c>
      <c r="B443">
        <v>184295</v>
      </c>
      <c r="C443">
        <v>24001969</v>
      </c>
      <c r="D443" t="s">
        <v>12</v>
      </c>
      <c r="E443" t="s">
        <v>106</v>
      </c>
      <c r="F443" t="s">
        <v>168</v>
      </c>
      <c r="G443">
        <v>941</v>
      </c>
      <c r="H443" t="s">
        <v>111</v>
      </c>
      <c r="I443">
        <v>405</v>
      </c>
      <c r="J443" s="74">
        <v>45663</v>
      </c>
      <c r="K443" s="74">
        <v>45673</v>
      </c>
      <c r="L443" t="s">
        <v>190</v>
      </c>
      <c r="M443" s="74">
        <v>45667</v>
      </c>
      <c r="N443" t="s">
        <v>155</v>
      </c>
      <c r="O443" t="s">
        <v>190</v>
      </c>
      <c r="P443">
        <v>0.84</v>
      </c>
      <c r="Q443">
        <v>2.39</v>
      </c>
      <c r="R443">
        <v>340.2</v>
      </c>
      <c r="S443">
        <v>967.95</v>
      </c>
      <c r="T443" t="s">
        <v>66</v>
      </c>
      <c r="AA443">
        <f t="shared" si="6"/>
        <v>232170.31000000006</v>
      </c>
      <c r="AB443">
        <f>COUNTIF($D$1:D443,D443)</f>
        <v>57</v>
      </c>
    </row>
    <row r="444" spans="1:28" x14ac:dyDescent="0.25">
      <c r="A444">
        <v>443</v>
      </c>
      <c r="B444">
        <v>184277</v>
      </c>
      <c r="C444">
        <v>24001951</v>
      </c>
      <c r="D444" t="s">
        <v>12</v>
      </c>
      <c r="E444" t="s">
        <v>106</v>
      </c>
      <c r="F444">
        <v>5158599</v>
      </c>
      <c r="G444">
        <v>941</v>
      </c>
      <c r="H444" t="s">
        <v>111</v>
      </c>
      <c r="I444">
        <v>3876</v>
      </c>
      <c r="J444" s="74">
        <v>45667</v>
      </c>
      <c r="K444" s="74">
        <v>45674</v>
      </c>
      <c r="L444" t="s">
        <v>190</v>
      </c>
      <c r="M444" s="74">
        <v>45667</v>
      </c>
      <c r="N444" t="s">
        <v>155</v>
      </c>
      <c r="O444" t="s">
        <v>190</v>
      </c>
      <c r="P444">
        <v>0.7</v>
      </c>
      <c r="Q444">
        <v>1.71</v>
      </c>
      <c r="R444">
        <v>2713.2</v>
      </c>
      <c r="S444">
        <v>6627.96</v>
      </c>
      <c r="T444" t="s">
        <v>66</v>
      </c>
      <c r="AA444">
        <f t="shared" si="6"/>
        <v>232170.31000000006</v>
      </c>
      <c r="AB444">
        <f>COUNTIF($D$1:D444,D444)</f>
        <v>58</v>
      </c>
    </row>
    <row r="445" spans="1:28" x14ac:dyDescent="0.25">
      <c r="A445">
        <v>444</v>
      </c>
      <c r="B445">
        <v>184320</v>
      </c>
      <c r="C445">
        <v>24001994</v>
      </c>
      <c r="D445" t="s">
        <v>12</v>
      </c>
      <c r="E445" t="s">
        <v>106</v>
      </c>
      <c r="F445">
        <v>5159766</v>
      </c>
      <c r="G445">
        <v>942</v>
      </c>
      <c r="H445" t="s">
        <v>111</v>
      </c>
      <c r="I445">
        <v>4000</v>
      </c>
      <c r="J445" s="74">
        <v>45674</v>
      </c>
      <c r="K445" s="74">
        <v>45678</v>
      </c>
      <c r="L445" t="s">
        <v>190</v>
      </c>
      <c r="M445" s="74">
        <v>45674</v>
      </c>
      <c r="N445" t="s">
        <v>155</v>
      </c>
      <c r="O445" t="s">
        <v>190</v>
      </c>
      <c r="P445">
        <v>0.61</v>
      </c>
      <c r="Q445">
        <v>1.37</v>
      </c>
      <c r="R445">
        <v>2440</v>
      </c>
      <c r="S445">
        <v>5480</v>
      </c>
      <c r="T445" t="s">
        <v>66</v>
      </c>
      <c r="AA445">
        <f t="shared" si="6"/>
        <v>232170.31000000006</v>
      </c>
      <c r="AB445">
        <f>COUNTIF($D$1:D445,D445)</f>
        <v>59</v>
      </c>
    </row>
    <row r="446" spans="1:28" x14ac:dyDescent="0.25">
      <c r="A446">
        <v>445</v>
      </c>
      <c r="B446">
        <v>184321</v>
      </c>
      <c r="C446">
        <v>24001995</v>
      </c>
      <c r="D446" t="s">
        <v>12</v>
      </c>
      <c r="E446" t="s">
        <v>106</v>
      </c>
      <c r="F446">
        <v>5159772</v>
      </c>
      <c r="G446">
        <v>942</v>
      </c>
      <c r="H446" t="s">
        <v>111</v>
      </c>
      <c r="I446">
        <v>1248</v>
      </c>
      <c r="J446" s="74">
        <v>45679</v>
      </c>
      <c r="K446" s="74">
        <v>45679</v>
      </c>
      <c r="L446" t="s">
        <v>190</v>
      </c>
      <c r="M446" s="74">
        <v>45674</v>
      </c>
      <c r="N446" t="s">
        <v>155</v>
      </c>
      <c r="O446" t="s">
        <v>190</v>
      </c>
      <c r="P446">
        <v>0.61</v>
      </c>
      <c r="Q446">
        <v>1.37</v>
      </c>
      <c r="R446">
        <v>761.28</v>
      </c>
      <c r="S446">
        <v>1709.76</v>
      </c>
      <c r="T446" t="s">
        <v>66</v>
      </c>
      <c r="AA446">
        <f t="shared" si="6"/>
        <v>232170.31000000006</v>
      </c>
      <c r="AB446">
        <f>COUNTIF($D$1:D446,D446)</f>
        <v>60</v>
      </c>
    </row>
    <row r="447" spans="1:28" x14ac:dyDescent="0.25">
      <c r="A447">
        <v>446</v>
      </c>
      <c r="B447">
        <v>184488</v>
      </c>
      <c r="C447">
        <v>24001999</v>
      </c>
      <c r="D447" t="s">
        <v>12</v>
      </c>
      <c r="E447" t="s">
        <v>106</v>
      </c>
      <c r="F447">
        <v>5159768</v>
      </c>
      <c r="G447">
        <v>993</v>
      </c>
      <c r="H447" t="s">
        <v>111</v>
      </c>
      <c r="I447">
        <v>2347</v>
      </c>
      <c r="J447" s="74">
        <v>45666</v>
      </c>
      <c r="K447" s="74">
        <v>45671</v>
      </c>
      <c r="L447" t="s">
        <v>190</v>
      </c>
      <c r="M447" s="74">
        <v>45674</v>
      </c>
      <c r="N447" t="s">
        <v>151</v>
      </c>
      <c r="O447" t="s">
        <v>190</v>
      </c>
      <c r="P447">
        <v>0.61</v>
      </c>
      <c r="Q447">
        <v>4.21</v>
      </c>
      <c r="R447">
        <v>1431.67</v>
      </c>
      <c r="S447">
        <v>9880.8700000000008</v>
      </c>
      <c r="T447" t="s">
        <v>66</v>
      </c>
      <c r="AA447">
        <f t="shared" si="6"/>
        <v>232170.31000000006</v>
      </c>
      <c r="AB447">
        <f>COUNTIF($D$1:D447,D447)</f>
        <v>61</v>
      </c>
    </row>
    <row r="448" spans="1:28" x14ac:dyDescent="0.25">
      <c r="A448">
        <v>447</v>
      </c>
      <c r="B448">
        <v>184491</v>
      </c>
      <c r="C448">
        <v>24002003</v>
      </c>
      <c r="D448" t="s">
        <v>12</v>
      </c>
      <c r="E448" t="s">
        <v>106</v>
      </c>
      <c r="F448">
        <v>5159766</v>
      </c>
      <c r="G448">
        <v>993</v>
      </c>
      <c r="H448" t="s">
        <v>111</v>
      </c>
      <c r="I448">
        <v>4000</v>
      </c>
      <c r="J448" s="74">
        <v>45665</v>
      </c>
      <c r="K448" s="74">
        <v>45679</v>
      </c>
      <c r="L448" t="s">
        <v>190</v>
      </c>
      <c r="M448" s="74">
        <v>45674</v>
      </c>
      <c r="N448" t="s">
        <v>155</v>
      </c>
      <c r="O448" t="s">
        <v>190</v>
      </c>
      <c r="P448">
        <v>0.61</v>
      </c>
      <c r="Q448">
        <v>5.48</v>
      </c>
      <c r="R448">
        <v>2440</v>
      </c>
      <c r="S448">
        <v>21920</v>
      </c>
      <c r="T448" t="s">
        <v>66</v>
      </c>
      <c r="AA448">
        <f t="shared" si="6"/>
        <v>232170.31000000006</v>
      </c>
      <c r="AB448">
        <f>COUNTIF($D$1:D448,D448)</f>
        <v>62</v>
      </c>
    </row>
    <row r="449" spans="1:28" x14ac:dyDescent="0.25">
      <c r="A449">
        <v>448</v>
      </c>
      <c r="B449">
        <v>184492</v>
      </c>
      <c r="C449">
        <v>24002004</v>
      </c>
      <c r="D449" t="s">
        <v>12</v>
      </c>
      <c r="E449" t="s">
        <v>106</v>
      </c>
      <c r="F449">
        <v>5159772</v>
      </c>
      <c r="G449">
        <v>993</v>
      </c>
      <c r="H449" t="s">
        <v>111</v>
      </c>
      <c r="I449">
        <v>1836</v>
      </c>
      <c r="J449" s="74">
        <v>45679</v>
      </c>
      <c r="K449" s="74">
        <v>45679</v>
      </c>
      <c r="L449" t="s">
        <v>190</v>
      </c>
      <c r="M449" s="74">
        <v>45688</v>
      </c>
      <c r="N449" t="s">
        <v>151</v>
      </c>
      <c r="O449" t="s">
        <v>190</v>
      </c>
      <c r="P449">
        <v>0.61</v>
      </c>
      <c r="Q449">
        <v>5.48</v>
      </c>
      <c r="R449">
        <v>1119.96</v>
      </c>
      <c r="S449">
        <v>10061.280000000001</v>
      </c>
      <c r="T449" t="s">
        <v>66</v>
      </c>
      <c r="AA449">
        <f t="shared" si="6"/>
        <v>232170.31000000006</v>
      </c>
      <c r="AB449">
        <f>COUNTIF($D$1:D449,D449)</f>
        <v>63</v>
      </c>
    </row>
    <row r="450" spans="1:28" x14ac:dyDescent="0.25">
      <c r="A450">
        <v>449</v>
      </c>
      <c r="B450">
        <v>184493</v>
      </c>
      <c r="C450">
        <v>24002005</v>
      </c>
      <c r="D450" t="s">
        <v>12</v>
      </c>
      <c r="E450" t="s">
        <v>106</v>
      </c>
      <c r="F450">
        <v>5159770</v>
      </c>
      <c r="G450">
        <v>993</v>
      </c>
      <c r="H450" t="s">
        <v>111</v>
      </c>
      <c r="I450">
        <v>6228</v>
      </c>
      <c r="J450" s="74">
        <v>45672</v>
      </c>
      <c r="K450" s="74">
        <v>45685</v>
      </c>
      <c r="L450" t="s">
        <v>190</v>
      </c>
      <c r="M450" s="74">
        <v>45688</v>
      </c>
      <c r="N450" t="s">
        <v>151</v>
      </c>
      <c r="O450" t="s">
        <v>190</v>
      </c>
      <c r="P450">
        <v>0.63</v>
      </c>
      <c r="Q450">
        <v>5.72</v>
      </c>
      <c r="R450">
        <v>3923.64</v>
      </c>
      <c r="S450">
        <v>35624.160000000003</v>
      </c>
      <c r="T450" t="s">
        <v>66</v>
      </c>
      <c r="AA450">
        <f t="shared" ref="AA450:AA513" si="7">SUMIF($D:$D,D450,$R:$R)</f>
        <v>232170.31000000006</v>
      </c>
      <c r="AB450">
        <f>COUNTIF($D$1:D450,D450)</f>
        <v>64</v>
      </c>
    </row>
    <row r="451" spans="1:28" x14ac:dyDescent="0.25">
      <c r="A451">
        <v>450</v>
      </c>
      <c r="B451">
        <v>184498</v>
      </c>
      <c r="C451">
        <v>24002010</v>
      </c>
      <c r="D451" t="s">
        <v>12</v>
      </c>
      <c r="E451" t="s">
        <v>106</v>
      </c>
      <c r="F451">
        <v>5158614</v>
      </c>
      <c r="G451">
        <v>995</v>
      </c>
      <c r="H451" t="s">
        <v>111</v>
      </c>
      <c r="I451">
        <v>9640</v>
      </c>
      <c r="J451" s="74">
        <v>45664</v>
      </c>
      <c r="K451" s="74">
        <v>45685</v>
      </c>
      <c r="L451" t="s">
        <v>190</v>
      </c>
      <c r="M451" s="74">
        <v>45688</v>
      </c>
      <c r="N451" t="s">
        <v>151</v>
      </c>
      <c r="O451" t="s">
        <v>190</v>
      </c>
      <c r="P451">
        <v>0.7</v>
      </c>
      <c r="Q451">
        <v>5.14</v>
      </c>
      <c r="R451">
        <v>6748</v>
      </c>
      <c r="S451">
        <v>49549.599999999999</v>
      </c>
      <c r="T451" t="s">
        <v>66</v>
      </c>
      <c r="AA451">
        <f t="shared" si="7"/>
        <v>232170.31000000006</v>
      </c>
      <c r="AB451">
        <f>COUNTIF($D$1:D451,D451)</f>
        <v>65</v>
      </c>
    </row>
    <row r="452" spans="1:28" x14ac:dyDescent="0.25">
      <c r="A452">
        <v>451</v>
      </c>
      <c r="B452">
        <v>184500</v>
      </c>
      <c r="C452">
        <v>24002012</v>
      </c>
      <c r="D452" t="s">
        <v>12</v>
      </c>
      <c r="E452" t="s">
        <v>106</v>
      </c>
      <c r="F452">
        <v>5158592</v>
      </c>
      <c r="G452">
        <v>995</v>
      </c>
      <c r="H452" t="s">
        <v>111</v>
      </c>
      <c r="I452">
        <v>4320</v>
      </c>
      <c r="J452" s="74">
        <v>45685</v>
      </c>
      <c r="K452" s="74">
        <v>45687</v>
      </c>
      <c r="L452" t="s">
        <v>190</v>
      </c>
      <c r="M452" s="74">
        <v>45688</v>
      </c>
      <c r="N452" t="s">
        <v>151</v>
      </c>
      <c r="O452" t="s">
        <v>190</v>
      </c>
      <c r="P452">
        <v>0.7</v>
      </c>
      <c r="Q452">
        <v>5.14</v>
      </c>
      <c r="R452">
        <v>3024</v>
      </c>
      <c r="S452">
        <v>22204.799999999999</v>
      </c>
      <c r="T452" t="s">
        <v>66</v>
      </c>
      <c r="AA452">
        <f t="shared" si="7"/>
        <v>232170.31000000006</v>
      </c>
      <c r="AB452">
        <f>COUNTIF($D$1:D452,D452)</f>
        <v>66</v>
      </c>
    </row>
    <row r="453" spans="1:28" x14ac:dyDescent="0.25">
      <c r="A453">
        <v>452</v>
      </c>
      <c r="B453">
        <v>184501</v>
      </c>
      <c r="C453">
        <v>24002013</v>
      </c>
      <c r="D453" t="s">
        <v>12</v>
      </c>
      <c r="E453" t="s">
        <v>106</v>
      </c>
      <c r="F453" t="s">
        <v>223</v>
      </c>
      <c r="G453">
        <v>995</v>
      </c>
      <c r="H453" t="s">
        <v>111</v>
      </c>
      <c r="I453">
        <v>180</v>
      </c>
      <c r="J453" s="74">
        <v>45687</v>
      </c>
      <c r="K453" s="74">
        <v>45687</v>
      </c>
      <c r="L453" t="s">
        <v>190</v>
      </c>
      <c r="M453" s="74">
        <v>45688</v>
      </c>
      <c r="N453" t="s">
        <v>151</v>
      </c>
      <c r="O453" t="s">
        <v>190</v>
      </c>
      <c r="P453">
        <v>0.67</v>
      </c>
      <c r="Q453">
        <v>5.49</v>
      </c>
      <c r="R453">
        <v>120.6</v>
      </c>
      <c r="S453">
        <v>988.2</v>
      </c>
      <c r="T453" t="s">
        <v>66</v>
      </c>
      <c r="AA453">
        <f t="shared" si="7"/>
        <v>232170.31000000006</v>
      </c>
      <c r="AB453">
        <f>COUNTIF($D$1:D453,D453)</f>
        <v>67</v>
      </c>
    </row>
    <row r="454" spans="1:28" x14ac:dyDescent="0.25">
      <c r="A454">
        <v>453</v>
      </c>
      <c r="B454">
        <v>184506</v>
      </c>
      <c r="C454">
        <v>24002018</v>
      </c>
      <c r="D454" t="s">
        <v>12</v>
      </c>
      <c r="E454" t="s">
        <v>106</v>
      </c>
      <c r="F454">
        <v>5158590</v>
      </c>
      <c r="G454">
        <v>995</v>
      </c>
      <c r="H454" t="s">
        <v>111</v>
      </c>
      <c r="I454">
        <v>2430</v>
      </c>
      <c r="J454" s="74">
        <v>45687</v>
      </c>
      <c r="K454" s="74">
        <v>45688</v>
      </c>
      <c r="L454" t="s">
        <v>190</v>
      </c>
      <c r="M454" s="74">
        <v>45688</v>
      </c>
      <c r="N454" t="s">
        <v>151</v>
      </c>
      <c r="O454" t="s">
        <v>190</v>
      </c>
      <c r="P454">
        <v>0.7</v>
      </c>
      <c r="Q454">
        <v>5.14</v>
      </c>
      <c r="R454">
        <v>1701</v>
      </c>
      <c r="S454">
        <v>12490.2</v>
      </c>
      <c r="T454" t="s">
        <v>66</v>
      </c>
      <c r="AA454">
        <f t="shared" si="7"/>
        <v>232170.31000000006</v>
      </c>
      <c r="AB454">
        <f>COUNTIF($D$1:D454,D454)</f>
        <v>68</v>
      </c>
    </row>
    <row r="455" spans="1:28" x14ac:dyDescent="0.25">
      <c r="A455">
        <v>454</v>
      </c>
      <c r="B455">
        <v>184502</v>
      </c>
      <c r="C455">
        <v>24002014</v>
      </c>
      <c r="D455" t="s">
        <v>12</v>
      </c>
      <c r="E455" t="s">
        <v>106</v>
      </c>
      <c r="F455">
        <v>5158619</v>
      </c>
      <c r="G455">
        <v>995</v>
      </c>
      <c r="H455" t="s">
        <v>111</v>
      </c>
      <c r="I455">
        <v>504</v>
      </c>
      <c r="J455" s="74">
        <v>45688</v>
      </c>
      <c r="K455" s="74">
        <v>45688</v>
      </c>
      <c r="L455" t="s">
        <v>190</v>
      </c>
      <c r="M455" s="74">
        <v>45695</v>
      </c>
      <c r="N455" t="s">
        <v>151</v>
      </c>
      <c r="O455" t="s">
        <v>224</v>
      </c>
      <c r="P455">
        <v>0.7</v>
      </c>
      <c r="Q455">
        <v>5.14</v>
      </c>
      <c r="R455">
        <v>352.8</v>
      </c>
      <c r="S455">
        <v>2590.56</v>
      </c>
      <c r="T455" t="s">
        <v>66</v>
      </c>
      <c r="AA455">
        <f t="shared" si="7"/>
        <v>232170.31000000006</v>
      </c>
      <c r="AB455">
        <f>COUNTIF($D$1:D455,D455)</f>
        <v>69</v>
      </c>
    </row>
    <row r="456" spans="1:28" x14ac:dyDescent="0.25">
      <c r="A456">
        <v>455</v>
      </c>
      <c r="B456">
        <v>184503</v>
      </c>
      <c r="C456">
        <v>24002015</v>
      </c>
      <c r="D456" t="s">
        <v>12</v>
      </c>
      <c r="E456" t="s">
        <v>106</v>
      </c>
      <c r="F456" t="s">
        <v>207</v>
      </c>
      <c r="G456">
        <v>995</v>
      </c>
      <c r="H456" t="s">
        <v>111</v>
      </c>
      <c r="I456">
        <v>360</v>
      </c>
      <c r="J456" s="74">
        <v>45688</v>
      </c>
      <c r="K456" s="74">
        <v>45688</v>
      </c>
      <c r="L456" t="s">
        <v>190</v>
      </c>
      <c r="M456" s="74">
        <v>45695</v>
      </c>
      <c r="N456" t="s">
        <v>151</v>
      </c>
      <c r="O456" t="s">
        <v>224</v>
      </c>
      <c r="P456">
        <v>0.67</v>
      </c>
      <c r="Q456">
        <v>5.49</v>
      </c>
      <c r="R456">
        <v>241.2</v>
      </c>
      <c r="S456">
        <v>1976.4</v>
      </c>
      <c r="T456" t="s">
        <v>66</v>
      </c>
      <c r="AA456">
        <f t="shared" si="7"/>
        <v>232170.31000000006</v>
      </c>
      <c r="AB456">
        <f>COUNTIF($D$1:D456,D456)</f>
        <v>70</v>
      </c>
    </row>
    <row r="457" spans="1:28" x14ac:dyDescent="0.25">
      <c r="A457">
        <v>456</v>
      </c>
      <c r="B457">
        <v>184278</v>
      </c>
      <c r="C457">
        <v>24001952</v>
      </c>
      <c r="D457" t="s">
        <v>12</v>
      </c>
      <c r="E457" t="s">
        <v>106</v>
      </c>
      <c r="F457" t="s">
        <v>176</v>
      </c>
      <c r="G457">
        <v>941</v>
      </c>
      <c r="H457" t="s">
        <v>112</v>
      </c>
      <c r="I457">
        <v>100</v>
      </c>
      <c r="J457" s="74">
        <v>45673</v>
      </c>
      <c r="K457" s="74">
        <v>45673</v>
      </c>
      <c r="L457" t="s">
        <v>190</v>
      </c>
      <c r="M457" s="74">
        <v>45667</v>
      </c>
      <c r="N457" t="s">
        <v>155</v>
      </c>
      <c r="O457" t="s">
        <v>190</v>
      </c>
      <c r="P457">
        <v>0.67</v>
      </c>
      <c r="Q457">
        <v>1.83</v>
      </c>
      <c r="R457">
        <v>67</v>
      </c>
      <c r="S457">
        <v>183</v>
      </c>
      <c r="T457" t="s">
        <v>66</v>
      </c>
      <c r="AA457">
        <f t="shared" si="7"/>
        <v>232170.31000000006</v>
      </c>
      <c r="AB457">
        <f>COUNTIF($D$1:D457,D457)</f>
        <v>71</v>
      </c>
    </row>
    <row r="458" spans="1:28" x14ac:dyDescent="0.25">
      <c r="A458">
        <v>457</v>
      </c>
      <c r="B458">
        <v>184268</v>
      </c>
      <c r="C458">
        <v>24001942</v>
      </c>
      <c r="D458" t="s">
        <v>12</v>
      </c>
      <c r="E458" t="s">
        <v>106</v>
      </c>
      <c r="F458">
        <v>5159775</v>
      </c>
      <c r="G458">
        <v>940</v>
      </c>
      <c r="H458" t="s">
        <v>112</v>
      </c>
      <c r="I458">
        <v>405</v>
      </c>
      <c r="J458" s="74">
        <v>45660</v>
      </c>
      <c r="K458" s="74">
        <v>45674</v>
      </c>
      <c r="L458" t="s">
        <v>190</v>
      </c>
      <c r="M458" s="74">
        <v>45667</v>
      </c>
      <c r="N458" t="s">
        <v>155</v>
      </c>
      <c r="O458" t="s">
        <v>190</v>
      </c>
      <c r="P458">
        <v>0.63</v>
      </c>
      <c r="Q458">
        <v>1.48</v>
      </c>
      <c r="R458">
        <v>255.15</v>
      </c>
      <c r="S458">
        <v>599.4</v>
      </c>
      <c r="T458" t="s">
        <v>66</v>
      </c>
      <c r="AA458">
        <f t="shared" si="7"/>
        <v>232170.31000000006</v>
      </c>
      <c r="AB458">
        <f>COUNTIF($D$1:D458,D458)</f>
        <v>72</v>
      </c>
    </row>
    <row r="459" spans="1:28" x14ac:dyDescent="0.25">
      <c r="A459">
        <v>458</v>
      </c>
      <c r="B459">
        <v>184320</v>
      </c>
      <c r="C459">
        <v>24001994</v>
      </c>
      <c r="D459" t="s">
        <v>12</v>
      </c>
      <c r="E459" t="s">
        <v>106</v>
      </c>
      <c r="F459">
        <v>5159766</v>
      </c>
      <c r="G459">
        <v>942</v>
      </c>
      <c r="H459" t="s">
        <v>112</v>
      </c>
      <c r="I459">
        <v>4700</v>
      </c>
      <c r="J459" s="74">
        <v>45659</v>
      </c>
      <c r="K459" s="74">
        <v>45663</v>
      </c>
      <c r="L459" t="s">
        <v>190</v>
      </c>
      <c r="M459" s="74">
        <v>45674</v>
      </c>
      <c r="N459" t="s">
        <v>151</v>
      </c>
      <c r="O459" t="s">
        <v>190</v>
      </c>
      <c r="P459">
        <v>0.61</v>
      </c>
      <c r="Q459">
        <v>1.37</v>
      </c>
      <c r="R459">
        <v>2867</v>
      </c>
      <c r="S459">
        <v>6439</v>
      </c>
      <c r="T459" t="s">
        <v>66</v>
      </c>
      <c r="AA459">
        <f t="shared" si="7"/>
        <v>232170.31000000006</v>
      </c>
      <c r="AB459">
        <f>COUNTIF($D$1:D459,D459)</f>
        <v>73</v>
      </c>
    </row>
    <row r="460" spans="1:28" x14ac:dyDescent="0.25">
      <c r="A460">
        <v>459</v>
      </c>
      <c r="B460">
        <v>184321</v>
      </c>
      <c r="C460">
        <v>24001995</v>
      </c>
      <c r="D460" t="s">
        <v>12</v>
      </c>
      <c r="E460" t="s">
        <v>106</v>
      </c>
      <c r="F460">
        <v>5159772</v>
      </c>
      <c r="G460">
        <v>942</v>
      </c>
      <c r="H460" t="s">
        <v>112</v>
      </c>
      <c r="I460">
        <v>1248</v>
      </c>
      <c r="J460" s="74">
        <v>45660</v>
      </c>
      <c r="K460" s="74">
        <v>45674</v>
      </c>
      <c r="L460" t="s">
        <v>190</v>
      </c>
      <c r="M460" s="74">
        <v>45674</v>
      </c>
      <c r="N460" t="s">
        <v>151</v>
      </c>
      <c r="O460" t="s">
        <v>190</v>
      </c>
      <c r="P460">
        <v>0.61</v>
      </c>
      <c r="Q460">
        <v>1.37</v>
      </c>
      <c r="R460">
        <v>761.28</v>
      </c>
      <c r="S460">
        <v>1709.76</v>
      </c>
      <c r="T460" t="s">
        <v>66</v>
      </c>
      <c r="AA460">
        <f t="shared" si="7"/>
        <v>232170.31000000006</v>
      </c>
      <c r="AB460">
        <f>COUNTIF($D$1:D460,D460)</f>
        <v>74</v>
      </c>
    </row>
    <row r="461" spans="1:28" x14ac:dyDescent="0.25">
      <c r="A461">
        <v>460</v>
      </c>
      <c r="B461">
        <v>184488</v>
      </c>
      <c r="C461">
        <v>24001999</v>
      </c>
      <c r="D461" t="s">
        <v>12</v>
      </c>
      <c r="E461" t="s">
        <v>106</v>
      </c>
      <c r="F461">
        <v>5159768</v>
      </c>
      <c r="G461">
        <v>993</v>
      </c>
      <c r="H461" t="s">
        <v>112</v>
      </c>
      <c r="I461">
        <v>2000</v>
      </c>
      <c r="J461" s="74">
        <v>45659</v>
      </c>
      <c r="K461" s="74">
        <v>45673</v>
      </c>
      <c r="L461" t="s">
        <v>190</v>
      </c>
      <c r="M461" s="74">
        <v>45674</v>
      </c>
      <c r="N461" t="s">
        <v>151</v>
      </c>
      <c r="O461" t="s">
        <v>190</v>
      </c>
      <c r="P461">
        <v>0.61</v>
      </c>
      <c r="Q461">
        <v>4.21</v>
      </c>
      <c r="R461">
        <v>1220</v>
      </c>
      <c r="S461">
        <v>8420</v>
      </c>
      <c r="T461" t="s">
        <v>66</v>
      </c>
      <c r="AA461">
        <f t="shared" si="7"/>
        <v>232170.31000000006</v>
      </c>
      <c r="AB461">
        <f>COUNTIF($D$1:D461,D461)</f>
        <v>75</v>
      </c>
    </row>
    <row r="462" spans="1:28" x14ac:dyDescent="0.25">
      <c r="A462">
        <v>461</v>
      </c>
      <c r="B462">
        <v>184491</v>
      </c>
      <c r="C462">
        <v>24002003</v>
      </c>
      <c r="D462" t="s">
        <v>12</v>
      </c>
      <c r="E462" t="s">
        <v>106</v>
      </c>
      <c r="F462">
        <v>5159766</v>
      </c>
      <c r="G462">
        <v>993</v>
      </c>
      <c r="H462" t="s">
        <v>112</v>
      </c>
      <c r="I462">
        <v>5580</v>
      </c>
      <c r="J462" s="74">
        <v>45666</v>
      </c>
      <c r="K462" s="74">
        <v>45674</v>
      </c>
      <c r="L462" t="s">
        <v>190</v>
      </c>
      <c r="M462" s="74">
        <v>45674</v>
      </c>
      <c r="N462" t="s">
        <v>151</v>
      </c>
      <c r="O462" t="s">
        <v>190</v>
      </c>
      <c r="P462">
        <v>0.61</v>
      </c>
      <c r="Q462">
        <v>5.48</v>
      </c>
      <c r="R462">
        <v>3403.8</v>
      </c>
      <c r="S462">
        <v>30578.400000000001</v>
      </c>
      <c r="T462" t="s">
        <v>66</v>
      </c>
      <c r="AA462">
        <f t="shared" si="7"/>
        <v>232170.31000000006</v>
      </c>
      <c r="AB462">
        <f>COUNTIF($D$1:D462,D462)</f>
        <v>76</v>
      </c>
    </row>
    <row r="463" spans="1:28" x14ac:dyDescent="0.25">
      <c r="A463">
        <v>462</v>
      </c>
      <c r="B463">
        <v>184492</v>
      </c>
      <c r="C463">
        <v>24002004</v>
      </c>
      <c r="D463" t="s">
        <v>12</v>
      </c>
      <c r="E463" t="s">
        <v>106</v>
      </c>
      <c r="F463">
        <v>5159772</v>
      </c>
      <c r="G463">
        <v>993</v>
      </c>
      <c r="H463" t="s">
        <v>112</v>
      </c>
      <c r="I463">
        <v>3672</v>
      </c>
      <c r="J463" s="74">
        <v>45674</v>
      </c>
      <c r="K463" s="74">
        <v>45677</v>
      </c>
      <c r="L463" t="s">
        <v>190</v>
      </c>
      <c r="M463" s="74">
        <v>45688</v>
      </c>
      <c r="N463" t="s">
        <v>151</v>
      </c>
      <c r="O463" t="s">
        <v>190</v>
      </c>
      <c r="P463">
        <v>0.61</v>
      </c>
      <c r="Q463">
        <v>5.48</v>
      </c>
      <c r="R463">
        <v>2239.92</v>
      </c>
      <c r="S463">
        <v>20122.560000000001</v>
      </c>
      <c r="T463" t="s">
        <v>66</v>
      </c>
      <c r="AA463">
        <f t="shared" si="7"/>
        <v>232170.31000000006</v>
      </c>
      <c r="AB463">
        <f>COUNTIF($D$1:D463,D463)</f>
        <v>77</v>
      </c>
    </row>
    <row r="464" spans="1:28" x14ac:dyDescent="0.25">
      <c r="A464">
        <v>463</v>
      </c>
      <c r="B464">
        <v>184493</v>
      </c>
      <c r="C464">
        <v>24002005</v>
      </c>
      <c r="D464" t="s">
        <v>12</v>
      </c>
      <c r="E464" t="s">
        <v>106</v>
      </c>
      <c r="F464">
        <v>5159770</v>
      </c>
      <c r="G464">
        <v>993</v>
      </c>
      <c r="H464" t="s">
        <v>112</v>
      </c>
      <c r="I464">
        <v>3114</v>
      </c>
      <c r="J464" s="74">
        <v>45672</v>
      </c>
      <c r="K464" s="74">
        <v>45677</v>
      </c>
      <c r="L464" t="s">
        <v>190</v>
      </c>
      <c r="M464" s="74">
        <v>45688</v>
      </c>
      <c r="N464" t="s">
        <v>151</v>
      </c>
      <c r="O464" t="s">
        <v>190</v>
      </c>
      <c r="P464">
        <v>0.63</v>
      </c>
      <c r="Q464">
        <v>5.72</v>
      </c>
      <c r="R464">
        <v>1961.82</v>
      </c>
      <c r="S464">
        <v>17812.080000000002</v>
      </c>
      <c r="T464" t="s">
        <v>66</v>
      </c>
      <c r="AA464">
        <f t="shared" si="7"/>
        <v>232170.31000000006</v>
      </c>
      <c r="AB464">
        <f>COUNTIF($D$1:D464,D464)</f>
        <v>78</v>
      </c>
    </row>
    <row r="465" spans="1:28" x14ac:dyDescent="0.25">
      <c r="A465">
        <v>464</v>
      </c>
      <c r="B465">
        <v>184498</v>
      </c>
      <c r="C465">
        <v>24002010</v>
      </c>
      <c r="D465" t="s">
        <v>12</v>
      </c>
      <c r="E465" t="s">
        <v>106</v>
      </c>
      <c r="F465">
        <v>5158614</v>
      </c>
      <c r="G465">
        <v>995</v>
      </c>
      <c r="H465" t="s">
        <v>112</v>
      </c>
      <c r="I465">
        <v>8070</v>
      </c>
      <c r="J465" s="74">
        <v>45665</v>
      </c>
      <c r="K465" s="74">
        <v>45678</v>
      </c>
      <c r="L465" t="s">
        <v>190</v>
      </c>
      <c r="M465" s="74">
        <v>45688</v>
      </c>
      <c r="N465" t="s">
        <v>151</v>
      </c>
      <c r="O465" t="s">
        <v>190</v>
      </c>
      <c r="P465">
        <v>0.7</v>
      </c>
      <c r="Q465">
        <v>5.14</v>
      </c>
      <c r="R465">
        <v>5649</v>
      </c>
      <c r="S465">
        <v>41479.800000000003</v>
      </c>
      <c r="T465" t="s">
        <v>66</v>
      </c>
      <c r="AA465">
        <f t="shared" si="7"/>
        <v>232170.31000000006</v>
      </c>
      <c r="AB465">
        <f>COUNTIF($D$1:D465,D465)</f>
        <v>79</v>
      </c>
    </row>
    <row r="466" spans="1:28" x14ac:dyDescent="0.25">
      <c r="A466">
        <v>465</v>
      </c>
      <c r="B466">
        <v>184500</v>
      </c>
      <c r="C466">
        <v>24002012</v>
      </c>
      <c r="D466" t="s">
        <v>12</v>
      </c>
      <c r="E466" t="s">
        <v>106</v>
      </c>
      <c r="F466">
        <v>5158592</v>
      </c>
      <c r="G466">
        <v>995</v>
      </c>
      <c r="H466" t="s">
        <v>112</v>
      </c>
      <c r="I466">
        <v>4320</v>
      </c>
      <c r="J466" s="74">
        <v>45678</v>
      </c>
      <c r="K466" s="74">
        <v>45679</v>
      </c>
      <c r="L466" t="s">
        <v>190</v>
      </c>
      <c r="M466" s="74">
        <v>45688</v>
      </c>
      <c r="N466" t="s">
        <v>151</v>
      </c>
      <c r="O466" t="s">
        <v>190</v>
      </c>
      <c r="P466">
        <v>0.7</v>
      </c>
      <c r="Q466">
        <v>5.14</v>
      </c>
      <c r="R466">
        <v>3024</v>
      </c>
      <c r="S466">
        <v>22204.799999999999</v>
      </c>
      <c r="T466" t="s">
        <v>66</v>
      </c>
      <c r="AA466">
        <f t="shared" si="7"/>
        <v>232170.31000000006</v>
      </c>
      <c r="AB466">
        <f>COUNTIF($D$1:D466,D466)</f>
        <v>80</v>
      </c>
    </row>
    <row r="467" spans="1:28" x14ac:dyDescent="0.25">
      <c r="A467">
        <v>466</v>
      </c>
      <c r="B467">
        <v>184501</v>
      </c>
      <c r="C467">
        <v>24002013</v>
      </c>
      <c r="D467" t="s">
        <v>12</v>
      </c>
      <c r="E467" t="s">
        <v>106</v>
      </c>
      <c r="F467" t="s">
        <v>223</v>
      </c>
      <c r="G467">
        <v>995</v>
      </c>
      <c r="H467" t="s">
        <v>112</v>
      </c>
      <c r="I467">
        <v>180</v>
      </c>
      <c r="J467" s="74">
        <v>45679</v>
      </c>
      <c r="K467" s="74">
        <v>45679</v>
      </c>
      <c r="L467" t="s">
        <v>190</v>
      </c>
      <c r="M467" s="74">
        <v>45688</v>
      </c>
      <c r="N467" t="s">
        <v>151</v>
      </c>
      <c r="O467" t="s">
        <v>190</v>
      </c>
      <c r="P467">
        <v>0.67</v>
      </c>
      <c r="Q467">
        <v>5.49</v>
      </c>
      <c r="R467">
        <v>120.6</v>
      </c>
      <c r="S467">
        <v>988.2</v>
      </c>
      <c r="T467" t="s">
        <v>66</v>
      </c>
      <c r="AA467">
        <f t="shared" si="7"/>
        <v>232170.31000000006</v>
      </c>
      <c r="AB467">
        <f>COUNTIF($D$1:D467,D467)</f>
        <v>81</v>
      </c>
    </row>
    <row r="468" spans="1:28" x14ac:dyDescent="0.25">
      <c r="A468">
        <v>467</v>
      </c>
      <c r="B468">
        <v>184506</v>
      </c>
      <c r="C468">
        <v>24002018</v>
      </c>
      <c r="D468" t="s">
        <v>12</v>
      </c>
      <c r="E468" t="s">
        <v>106</v>
      </c>
      <c r="F468">
        <v>5158590</v>
      </c>
      <c r="G468">
        <v>995</v>
      </c>
      <c r="H468" t="s">
        <v>112</v>
      </c>
      <c r="I468">
        <v>1215</v>
      </c>
      <c r="J468" s="74">
        <v>45679</v>
      </c>
      <c r="K468" s="74">
        <v>45680</v>
      </c>
      <c r="L468" t="s">
        <v>190</v>
      </c>
      <c r="M468" s="74">
        <v>45688</v>
      </c>
      <c r="N468" t="s">
        <v>151</v>
      </c>
      <c r="O468" t="s">
        <v>190</v>
      </c>
      <c r="P468">
        <v>0.7</v>
      </c>
      <c r="Q468">
        <v>5.14</v>
      </c>
      <c r="R468">
        <v>850.5</v>
      </c>
      <c r="S468">
        <v>6245.1</v>
      </c>
      <c r="T468" t="s">
        <v>66</v>
      </c>
      <c r="AA468">
        <f t="shared" si="7"/>
        <v>232170.31000000006</v>
      </c>
      <c r="AB468">
        <f>COUNTIF($D$1:D468,D468)</f>
        <v>82</v>
      </c>
    </row>
    <row r="469" spans="1:28" x14ac:dyDescent="0.25">
      <c r="A469">
        <v>468</v>
      </c>
      <c r="B469">
        <v>184507</v>
      </c>
      <c r="C469">
        <v>24002019</v>
      </c>
      <c r="D469" t="s">
        <v>12</v>
      </c>
      <c r="E469" t="s">
        <v>106</v>
      </c>
      <c r="F469" t="s">
        <v>180</v>
      </c>
      <c r="G469">
        <v>995</v>
      </c>
      <c r="H469" t="s">
        <v>112</v>
      </c>
      <c r="I469">
        <v>270</v>
      </c>
      <c r="J469" s="74">
        <v>45680</v>
      </c>
      <c r="K469" s="74">
        <v>45680</v>
      </c>
      <c r="L469" t="s">
        <v>190</v>
      </c>
      <c r="M469" s="74">
        <v>45688</v>
      </c>
      <c r="N469" t="s">
        <v>151</v>
      </c>
      <c r="O469" t="s">
        <v>190</v>
      </c>
      <c r="P469">
        <v>0.67</v>
      </c>
      <c r="Q469">
        <v>5.49</v>
      </c>
      <c r="R469">
        <v>180.9</v>
      </c>
      <c r="S469">
        <v>1482.3</v>
      </c>
      <c r="T469" t="s">
        <v>66</v>
      </c>
      <c r="AA469">
        <f t="shared" si="7"/>
        <v>232170.31000000006</v>
      </c>
      <c r="AB469">
        <f>COUNTIF($D$1:D469,D469)</f>
        <v>83</v>
      </c>
    </row>
    <row r="470" spans="1:28" x14ac:dyDescent="0.25">
      <c r="A470">
        <v>469</v>
      </c>
      <c r="B470">
        <v>184502</v>
      </c>
      <c r="C470">
        <v>24002014</v>
      </c>
      <c r="D470" t="s">
        <v>12</v>
      </c>
      <c r="E470" t="s">
        <v>106</v>
      </c>
      <c r="F470">
        <v>5158619</v>
      </c>
      <c r="G470">
        <v>995</v>
      </c>
      <c r="H470" t="s">
        <v>112</v>
      </c>
      <c r="I470">
        <v>504</v>
      </c>
      <c r="J470" s="74">
        <v>45680</v>
      </c>
      <c r="K470" s="74">
        <v>45680</v>
      </c>
      <c r="L470" t="s">
        <v>190</v>
      </c>
      <c r="M470" s="74">
        <v>45695</v>
      </c>
      <c r="N470" t="s">
        <v>151</v>
      </c>
      <c r="O470" t="s">
        <v>224</v>
      </c>
      <c r="P470">
        <v>0.7</v>
      </c>
      <c r="Q470">
        <v>5.14</v>
      </c>
      <c r="R470">
        <v>352.8</v>
      </c>
      <c r="S470">
        <v>2590.56</v>
      </c>
      <c r="T470" t="s">
        <v>66</v>
      </c>
      <c r="AA470">
        <f t="shared" si="7"/>
        <v>232170.31000000006</v>
      </c>
      <c r="AB470">
        <f>COUNTIF($D$1:D470,D470)</f>
        <v>84</v>
      </c>
    </row>
    <row r="471" spans="1:28" x14ac:dyDescent="0.25">
      <c r="A471">
        <v>470</v>
      </c>
      <c r="B471">
        <v>184503</v>
      </c>
      <c r="C471">
        <v>24002015</v>
      </c>
      <c r="D471" t="s">
        <v>12</v>
      </c>
      <c r="E471" t="s">
        <v>106</v>
      </c>
      <c r="F471" t="s">
        <v>207</v>
      </c>
      <c r="G471">
        <v>995</v>
      </c>
      <c r="H471" t="s">
        <v>112</v>
      </c>
      <c r="I471">
        <v>360</v>
      </c>
      <c r="J471" s="74">
        <v>45680</v>
      </c>
      <c r="K471" s="74">
        <v>45680</v>
      </c>
      <c r="L471" t="s">
        <v>190</v>
      </c>
      <c r="M471" s="74">
        <v>45695</v>
      </c>
      <c r="N471" t="s">
        <v>151</v>
      </c>
      <c r="O471" t="s">
        <v>224</v>
      </c>
      <c r="P471">
        <v>0.67</v>
      </c>
      <c r="Q471">
        <v>5.49</v>
      </c>
      <c r="R471">
        <v>241.2</v>
      </c>
      <c r="S471">
        <v>1976.4</v>
      </c>
      <c r="T471" t="s">
        <v>66</v>
      </c>
      <c r="AA471">
        <f t="shared" si="7"/>
        <v>232170.31000000006</v>
      </c>
      <c r="AB471">
        <f>COUNTIF($D$1:D471,D471)</f>
        <v>85</v>
      </c>
    </row>
    <row r="472" spans="1:28" x14ac:dyDescent="0.25">
      <c r="A472">
        <v>471</v>
      </c>
      <c r="B472">
        <v>184504</v>
      </c>
      <c r="C472">
        <v>24002016</v>
      </c>
      <c r="D472" t="s">
        <v>12</v>
      </c>
      <c r="E472" t="s">
        <v>106</v>
      </c>
      <c r="F472">
        <v>5158607</v>
      </c>
      <c r="G472">
        <v>995</v>
      </c>
      <c r="H472" t="s">
        <v>112</v>
      </c>
      <c r="I472">
        <v>4428</v>
      </c>
      <c r="J472" s="74">
        <v>45681</v>
      </c>
      <c r="K472" s="74">
        <v>45685</v>
      </c>
      <c r="L472" t="s">
        <v>190</v>
      </c>
      <c r="M472" s="74">
        <v>45695</v>
      </c>
      <c r="N472" t="s">
        <v>151</v>
      </c>
      <c r="O472" t="s">
        <v>224</v>
      </c>
      <c r="P472">
        <v>0.7</v>
      </c>
      <c r="Q472">
        <v>5.14</v>
      </c>
      <c r="R472">
        <v>3099.6</v>
      </c>
      <c r="S472">
        <v>22759.919999999998</v>
      </c>
      <c r="T472" t="s">
        <v>66</v>
      </c>
      <c r="AA472">
        <f t="shared" si="7"/>
        <v>232170.31000000006</v>
      </c>
      <c r="AB472">
        <f>COUNTIF($D$1:D472,D472)</f>
        <v>86</v>
      </c>
    </row>
    <row r="473" spans="1:28" x14ac:dyDescent="0.25">
      <c r="A473">
        <v>472</v>
      </c>
      <c r="B473">
        <v>184505</v>
      </c>
      <c r="C473">
        <v>24002017</v>
      </c>
      <c r="D473" t="s">
        <v>12</v>
      </c>
      <c r="E473" t="s">
        <v>106</v>
      </c>
      <c r="F473" t="s">
        <v>178</v>
      </c>
      <c r="G473">
        <v>995</v>
      </c>
      <c r="H473" t="s">
        <v>112</v>
      </c>
      <c r="I473">
        <v>324</v>
      </c>
      <c r="J473" s="74">
        <v>45685</v>
      </c>
      <c r="K473" s="74">
        <v>45687</v>
      </c>
      <c r="L473" t="s">
        <v>190</v>
      </c>
      <c r="M473" s="74">
        <v>45695</v>
      </c>
      <c r="N473" t="s">
        <v>151</v>
      </c>
      <c r="O473" t="s">
        <v>224</v>
      </c>
      <c r="P473">
        <v>0.67</v>
      </c>
      <c r="Q473">
        <v>5.49</v>
      </c>
      <c r="R473">
        <v>217.08</v>
      </c>
      <c r="S473">
        <v>1778.76</v>
      </c>
      <c r="T473" t="s">
        <v>66</v>
      </c>
      <c r="AA473">
        <f t="shared" si="7"/>
        <v>232170.31000000006</v>
      </c>
      <c r="AB473">
        <f>COUNTIF($D$1:D473,D473)</f>
        <v>87</v>
      </c>
    </row>
    <row r="474" spans="1:28" x14ac:dyDescent="0.25">
      <c r="A474">
        <v>473</v>
      </c>
      <c r="B474">
        <v>184510</v>
      </c>
      <c r="C474">
        <v>24002022</v>
      </c>
      <c r="D474" t="s">
        <v>12</v>
      </c>
      <c r="E474" t="s">
        <v>106</v>
      </c>
      <c r="F474">
        <v>5158599</v>
      </c>
      <c r="G474">
        <v>995</v>
      </c>
      <c r="H474" t="s">
        <v>112</v>
      </c>
      <c r="I474">
        <v>630</v>
      </c>
      <c r="J474" s="74">
        <v>45687</v>
      </c>
      <c r="K474" s="74">
        <v>45687</v>
      </c>
      <c r="L474" t="s">
        <v>190</v>
      </c>
      <c r="M474" s="74">
        <v>45695</v>
      </c>
      <c r="N474" t="s">
        <v>151</v>
      </c>
      <c r="O474" t="s">
        <v>224</v>
      </c>
      <c r="P474">
        <v>0.7</v>
      </c>
      <c r="Q474">
        <v>5.14</v>
      </c>
      <c r="R474">
        <v>441</v>
      </c>
      <c r="S474">
        <v>3238.2</v>
      </c>
      <c r="T474" t="s">
        <v>66</v>
      </c>
      <c r="AA474">
        <f t="shared" si="7"/>
        <v>232170.31000000006</v>
      </c>
      <c r="AB474">
        <f>COUNTIF($D$1:D474,D474)</f>
        <v>88</v>
      </c>
    </row>
    <row r="475" spans="1:28" x14ac:dyDescent="0.25">
      <c r="A475">
        <v>474</v>
      </c>
      <c r="B475">
        <v>184511</v>
      </c>
      <c r="C475">
        <v>24002023</v>
      </c>
      <c r="D475" t="s">
        <v>12</v>
      </c>
      <c r="E475" t="s">
        <v>106</v>
      </c>
      <c r="F475">
        <v>5158584</v>
      </c>
      <c r="G475">
        <v>995</v>
      </c>
      <c r="H475" t="s">
        <v>112</v>
      </c>
      <c r="I475">
        <v>1368</v>
      </c>
      <c r="J475" s="74">
        <v>45687</v>
      </c>
      <c r="K475" s="74">
        <v>45688</v>
      </c>
      <c r="L475" t="s">
        <v>190</v>
      </c>
      <c r="M475" s="74">
        <v>45695</v>
      </c>
      <c r="N475" t="s">
        <v>151</v>
      </c>
      <c r="O475" t="s">
        <v>224</v>
      </c>
      <c r="P475">
        <v>0.7</v>
      </c>
      <c r="Q475">
        <v>5.14</v>
      </c>
      <c r="R475">
        <v>957.6</v>
      </c>
      <c r="S475">
        <v>7031.52</v>
      </c>
      <c r="T475" t="s">
        <v>66</v>
      </c>
      <c r="AA475">
        <f t="shared" si="7"/>
        <v>232170.31000000006</v>
      </c>
      <c r="AB475">
        <f>COUNTIF($D$1:D475,D475)</f>
        <v>89</v>
      </c>
    </row>
    <row r="476" spans="1:28" x14ac:dyDescent="0.25">
      <c r="A476">
        <v>475</v>
      </c>
      <c r="B476">
        <v>184784</v>
      </c>
      <c r="C476">
        <v>24002163</v>
      </c>
      <c r="D476" t="s">
        <v>12</v>
      </c>
      <c r="E476" t="s">
        <v>106</v>
      </c>
      <c r="F476">
        <v>5160291</v>
      </c>
      <c r="G476">
        <v>1095</v>
      </c>
      <c r="H476" t="s">
        <v>112</v>
      </c>
      <c r="I476">
        <v>2191</v>
      </c>
      <c r="J476" s="74">
        <v>45688</v>
      </c>
      <c r="K476" s="74">
        <v>45688</v>
      </c>
      <c r="L476" t="s">
        <v>190</v>
      </c>
      <c r="M476" s="74">
        <v>45709</v>
      </c>
      <c r="N476" t="s">
        <v>151</v>
      </c>
      <c r="O476" t="s">
        <v>224</v>
      </c>
      <c r="P476">
        <v>0.76</v>
      </c>
      <c r="Q476">
        <v>1.43</v>
      </c>
      <c r="R476">
        <v>1665.16</v>
      </c>
      <c r="S476">
        <v>3133.13</v>
      </c>
      <c r="T476" t="s">
        <v>66</v>
      </c>
      <c r="AA476">
        <f t="shared" si="7"/>
        <v>232170.31000000006</v>
      </c>
      <c r="AB476">
        <f>COUNTIF($D$1:D476,D476)</f>
        <v>90</v>
      </c>
    </row>
    <row r="477" spans="1:28" x14ac:dyDescent="0.25">
      <c r="A477">
        <v>476</v>
      </c>
      <c r="B477">
        <v>184320</v>
      </c>
      <c r="C477">
        <v>24001994</v>
      </c>
      <c r="D477" t="s">
        <v>12</v>
      </c>
      <c r="E477" t="s">
        <v>106</v>
      </c>
      <c r="F477">
        <v>5159766</v>
      </c>
      <c r="G477">
        <v>942</v>
      </c>
      <c r="H477" t="s">
        <v>113</v>
      </c>
      <c r="I477">
        <v>5135</v>
      </c>
      <c r="J477" s="74">
        <v>45659</v>
      </c>
      <c r="K477" s="74">
        <v>45663</v>
      </c>
      <c r="L477" t="s">
        <v>190</v>
      </c>
      <c r="M477" s="74">
        <v>45674</v>
      </c>
      <c r="N477" t="s">
        <v>151</v>
      </c>
      <c r="O477" t="s">
        <v>190</v>
      </c>
      <c r="P477">
        <v>0.61</v>
      </c>
      <c r="Q477">
        <v>1.37</v>
      </c>
      <c r="R477">
        <v>3132.35</v>
      </c>
      <c r="S477">
        <v>7034.95</v>
      </c>
      <c r="T477" t="s">
        <v>66</v>
      </c>
      <c r="AA477">
        <f t="shared" si="7"/>
        <v>232170.31000000006</v>
      </c>
      <c r="AB477">
        <f>COUNTIF($D$1:D477,D477)</f>
        <v>91</v>
      </c>
    </row>
    <row r="478" spans="1:28" x14ac:dyDescent="0.25">
      <c r="A478">
        <v>477</v>
      </c>
      <c r="B478">
        <v>184321</v>
      </c>
      <c r="C478">
        <v>24001995</v>
      </c>
      <c r="D478" t="s">
        <v>12</v>
      </c>
      <c r="E478" t="s">
        <v>106</v>
      </c>
      <c r="F478">
        <v>5159772</v>
      </c>
      <c r="G478">
        <v>942</v>
      </c>
      <c r="H478" t="s">
        <v>113</v>
      </c>
      <c r="I478">
        <v>2430</v>
      </c>
      <c r="J478" s="74">
        <v>45660</v>
      </c>
      <c r="K478" s="74">
        <v>45663</v>
      </c>
      <c r="L478" t="s">
        <v>190</v>
      </c>
      <c r="M478" s="74">
        <v>45674</v>
      </c>
      <c r="N478" t="s">
        <v>151</v>
      </c>
      <c r="O478" t="s">
        <v>190</v>
      </c>
      <c r="P478">
        <v>0.61</v>
      </c>
      <c r="Q478">
        <v>1.37</v>
      </c>
      <c r="R478">
        <v>1482.3</v>
      </c>
      <c r="S478">
        <v>3329.1</v>
      </c>
      <c r="T478" t="s">
        <v>66</v>
      </c>
      <c r="AA478">
        <f t="shared" si="7"/>
        <v>232170.31000000006</v>
      </c>
      <c r="AB478">
        <f>COUNTIF($D$1:D478,D478)</f>
        <v>92</v>
      </c>
    </row>
    <row r="479" spans="1:28" x14ac:dyDescent="0.25">
      <c r="A479">
        <v>478</v>
      </c>
      <c r="B479">
        <v>184491</v>
      </c>
      <c r="C479">
        <v>24002003</v>
      </c>
      <c r="D479" t="s">
        <v>12</v>
      </c>
      <c r="E479" t="s">
        <v>106</v>
      </c>
      <c r="F479">
        <v>5159766</v>
      </c>
      <c r="G479">
        <v>993</v>
      </c>
      <c r="H479" t="s">
        <v>113</v>
      </c>
      <c r="I479">
        <v>3362</v>
      </c>
      <c r="J479" s="74">
        <v>45664</v>
      </c>
      <c r="K479" s="74">
        <v>45667</v>
      </c>
      <c r="L479" t="s">
        <v>190</v>
      </c>
      <c r="M479" s="74">
        <v>45674</v>
      </c>
      <c r="N479" t="s">
        <v>151</v>
      </c>
      <c r="O479" t="s">
        <v>190</v>
      </c>
      <c r="P479">
        <v>0.61</v>
      </c>
      <c r="Q479">
        <v>5.48</v>
      </c>
      <c r="R479">
        <v>2050.8200000000002</v>
      </c>
      <c r="S479">
        <v>18423.759999999998</v>
      </c>
      <c r="T479" t="s">
        <v>66</v>
      </c>
      <c r="AA479">
        <f t="shared" si="7"/>
        <v>232170.31000000006</v>
      </c>
      <c r="AB479">
        <f>COUNTIF($D$1:D479,D479)</f>
        <v>93</v>
      </c>
    </row>
    <row r="480" spans="1:28" x14ac:dyDescent="0.25">
      <c r="A480">
        <v>479</v>
      </c>
      <c r="B480">
        <v>184492</v>
      </c>
      <c r="C480">
        <v>24002004</v>
      </c>
      <c r="D480" t="s">
        <v>12</v>
      </c>
      <c r="E480" t="s">
        <v>106</v>
      </c>
      <c r="F480">
        <v>5159772</v>
      </c>
      <c r="G480">
        <v>993</v>
      </c>
      <c r="H480" t="s">
        <v>113</v>
      </c>
      <c r="I480">
        <v>3672</v>
      </c>
      <c r="J480" s="74">
        <v>45673</v>
      </c>
      <c r="K480" s="74">
        <v>45674</v>
      </c>
      <c r="L480" t="s">
        <v>190</v>
      </c>
      <c r="M480" s="74">
        <v>45688</v>
      </c>
      <c r="N480" t="s">
        <v>151</v>
      </c>
      <c r="O480" t="s">
        <v>190</v>
      </c>
      <c r="P480">
        <v>0.61</v>
      </c>
      <c r="Q480">
        <v>5.48</v>
      </c>
      <c r="R480">
        <v>2239.92</v>
      </c>
      <c r="S480">
        <v>20122.560000000001</v>
      </c>
      <c r="T480" t="s">
        <v>66</v>
      </c>
      <c r="AA480">
        <f t="shared" si="7"/>
        <v>232170.31000000006</v>
      </c>
      <c r="AB480">
        <f>COUNTIF($D$1:D480,D480)</f>
        <v>94</v>
      </c>
    </row>
    <row r="481" spans="1:28" x14ac:dyDescent="0.25">
      <c r="A481">
        <v>480</v>
      </c>
      <c r="B481">
        <v>184493</v>
      </c>
      <c r="C481">
        <v>24002005</v>
      </c>
      <c r="D481" t="s">
        <v>12</v>
      </c>
      <c r="E481" t="s">
        <v>106</v>
      </c>
      <c r="F481">
        <v>5159770</v>
      </c>
      <c r="G481">
        <v>993</v>
      </c>
      <c r="H481" t="s">
        <v>113</v>
      </c>
      <c r="I481">
        <v>3114</v>
      </c>
      <c r="J481" s="74">
        <v>45672</v>
      </c>
      <c r="K481" s="74">
        <v>45674</v>
      </c>
      <c r="L481" t="s">
        <v>190</v>
      </c>
      <c r="M481" s="74">
        <v>45688</v>
      </c>
      <c r="N481" t="s">
        <v>151</v>
      </c>
      <c r="O481" t="s">
        <v>190</v>
      </c>
      <c r="P481">
        <v>0.63</v>
      </c>
      <c r="Q481">
        <v>5.72</v>
      </c>
      <c r="R481">
        <v>1961.82</v>
      </c>
      <c r="S481">
        <v>17812.080000000002</v>
      </c>
      <c r="T481" t="s">
        <v>66</v>
      </c>
      <c r="AA481">
        <f t="shared" si="7"/>
        <v>232170.31000000006</v>
      </c>
      <c r="AB481">
        <f>COUNTIF($D$1:D481,D481)</f>
        <v>95</v>
      </c>
    </row>
    <row r="482" spans="1:28" x14ac:dyDescent="0.25">
      <c r="A482">
        <v>481</v>
      </c>
      <c r="B482">
        <v>184498</v>
      </c>
      <c r="C482">
        <v>24002010</v>
      </c>
      <c r="D482" t="s">
        <v>12</v>
      </c>
      <c r="E482" t="s">
        <v>106</v>
      </c>
      <c r="F482">
        <v>5158614</v>
      </c>
      <c r="G482">
        <v>995</v>
      </c>
      <c r="H482" t="s">
        <v>113</v>
      </c>
      <c r="I482">
        <v>7833</v>
      </c>
      <c r="J482" s="74">
        <v>45664</v>
      </c>
      <c r="K482" s="74">
        <v>45674</v>
      </c>
      <c r="L482" t="s">
        <v>190</v>
      </c>
      <c r="M482" s="74">
        <v>45688</v>
      </c>
      <c r="N482" t="s">
        <v>151</v>
      </c>
      <c r="O482" t="s">
        <v>190</v>
      </c>
      <c r="P482">
        <v>0.7</v>
      </c>
      <c r="Q482">
        <v>5.14</v>
      </c>
      <c r="R482">
        <v>5483.1</v>
      </c>
      <c r="S482">
        <v>40261.620000000003</v>
      </c>
      <c r="T482" t="s">
        <v>66</v>
      </c>
      <c r="AA482">
        <f t="shared" si="7"/>
        <v>232170.31000000006</v>
      </c>
      <c r="AB482">
        <f>COUNTIF($D$1:D482,D482)</f>
        <v>96</v>
      </c>
    </row>
    <row r="483" spans="1:28" x14ac:dyDescent="0.25">
      <c r="A483">
        <v>482</v>
      </c>
      <c r="B483">
        <v>184500</v>
      </c>
      <c r="C483">
        <v>24002012</v>
      </c>
      <c r="D483" t="s">
        <v>12</v>
      </c>
      <c r="E483" t="s">
        <v>106</v>
      </c>
      <c r="F483">
        <v>5158592</v>
      </c>
      <c r="G483">
        <v>995</v>
      </c>
      <c r="H483" t="s">
        <v>113</v>
      </c>
      <c r="I483">
        <v>4320</v>
      </c>
      <c r="J483" s="74">
        <v>45674</v>
      </c>
      <c r="K483" s="74">
        <v>45677</v>
      </c>
      <c r="L483" t="s">
        <v>190</v>
      </c>
      <c r="M483" s="74">
        <v>45688</v>
      </c>
      <c r="N483" t="s">
        <v>151</v>
      </c>
      <c r="O483" t="s">
        <v>190</v>
      </c>
      <c r="P483">
        <v>0.7</v>
      </c>
      <c r="Q483">
        <v>5.14</v>
      </c>
      <c r="R483">
        <v>3024</v>
      </c>
      <c r="S483">
        <v>22204.799999999999</v>
      </c>
      <c r="T483" t="s">
        <v>66</v>
      </c>
      <c r="AA483">
        <f t="shared" si="7"/>
        <v>232170.31000000006</v>
      </c>
      <c r="AB483">
        <f>COUNTIF($D$1:D483,D483)</f>
        <v>97</v>
      </c>
    </row>
    <row r="484" spans="1:28" x14ac:dyDescent="0.25">
      <c r="A484">
        <v>483</v>
      </c>
      <c r="B484">
        <v>184501</v>
      </c>
      <c r="C484">
        <v>24002013</v>
      </c>
      <c r="D484" t="s">
        <v>12</v>
      </c>
      <c r="E484" t="s">
        <v>106</v>
      </c>
      <c r="F484" t="s">
        <v>223</v>
      </c>
      <c r="G484">
        <v>995</v>
      </c>
      <c r="H484" t="s">
        <v>113</v>
      </c>
      <c r="I484">
        <v>180</v>
      </c>
      <c r="J484" s="74">
        <v>45677</v>
      </c>
      <c r="K484" s="74">
        <v>45677</v>
      </c>
      <c r="L484" t="s">
        <v>190</v>
      </c>
      <c r="M484" s="74">
        <v>45688</v>
      </c>
      <c r="N484" t="s">
        <v>151</v>
      </c>
      <c r="O484" t="s">
        <v>190</v>
      </c>
      <c r="P484">
        <v>0.67</v>
      </c>
      <c r="Q484">
        <v>5.49</v>
      </c>
      <c r="R484">
        <v>120.6</v>
      </c>
      <c r="S484">
        <v>988.2</v>
      </c>
      <c r="T484" t="s">
        <v>66</v>
      </c>
      <c r="AA484">
        <f t="shared" si="7"/>
        <v>232170.31000000006</v>
      </c>
      <c r="AB484">
        <f>COUNTIF($D$1:D484,D484)</f>
        <v>98</v>
      </c>
    </row>
    <row r="485" spans="1:28" x14ac:dyDescent="0.25">
      <c r="A485">
        <v>484</v>
      </c>
      <c r="B485">
        <v>184506</v>
      </c>
      <c r="C485">
        <v>24002018</v>
      </c>
      <c r="D485" t="s">
        <v>12</v>
      </c>
      <c r="E485" t="s">
        <v>106</v>
      </c>
      <c r="F485">
        <v>5158590</v>
      </c>
      <c r="G485">
        <v>995</v>
      </c>
      <c r="H485" t="s">
        <v>113</v>
      </c>
      <c r="I485">
        <v>1215</v>
      </c>
      <c r="J485" s="74">
        <v>45677</v>
      </c>
      <c r="K485" s="74">
        <v>45678</v>
      </c>
      <c r="L485" t="s">
        <v>190</v>
      </c>
      <c r="M485" s="74">
        <v>45688</v>
      </c>
      <c r="N485" t="s">
        <v>151</v>
      </c>
      <c r="O485" t="s">
        <v>190</v>
      </c>
      <c r="P485">
        <v>0.7</v>
      </c>
      <c r="Q485">
        <v>5.14</v>
      </c>
      <c r="R485">
        <v>850.5</v>
      </c>
      <c r="S485">
        <v>6245.1</v>
      </c>
      <c r="T485" t="s">
        <v>66</v>
      </c>
      <c r="AA485">
        <f t="shared" si="7"/>
        <v>232170.31000000006</v>
      </c>
      <c r="AB485">
        <f>COUNTIF($D$1:D485,D485)</f>
        <v>99</v>
      </c>
    </row>
    <row r="486" spans="1:28" x14ac:dyDescent="0.25">
      <c r="A486">
        <v>485</v>
      </c>
      <c r="B486">
        <v>184507</v>
      </c>
      <c r="C486">
        <v>24002019</v>
      </c>
      <c r="D486" t="s">
        <v>12</v>
      </c>
      <c r="E486" t="s">
        <v>106</v>
      </c>
      <c r="F486" t="s">
        <v>180</v>
      </c>
      <c r="G486">
        <v>995</v>
      </c>
      <c r="H486" t="s">
        <v>113</v>
      </c>
      <c r="I486">
        <v>270</v>
      </c>
      <c r="J486" s="74">
        <v>45678</v>
      </c>
      <c r="K486" s="74">
        <v>45678</v>
      </c>
      <c r="L486" t="s">
        <v>190</v>
      </c>
      <c r="M486" s="74">
        <v>45688</v>
      </c>
      <c r="N486" t="s">
        <v>151</v>
      </c>
      <c r="O486" t="s">
        <v>190</v>
      </c>
      <c r="P486">
        <v>0.67</v>
      </c>
      <c r="Q486">
        <v>5.49</v>
      </c>
      <c r="R486">
        <v>180.9</v>
      </c>
      <c r="S486">
        <v>1482.3</v>
      </c>
      <c r="T486" t="s">
        <v>66</v>
      </c>
      <c r="AA486">
        <f t="shared" si="7"/>
        <v>232170.31000000006</v>
      </c>
      <c r="AB486">
        <f>COUNTIF($D$1:D486,D486)</f>
        <v>100</v>
      </c>
    </row>
    <row r="487" spans="1:28" x14ac:dyDescent="0.25">
      <c r="A487">
        <v>486</v>
      </c>
      <c r="B487">
        <v>184502</v>
      </c>
      <c r="C487">
        <v>24002014</v>
      </c>
      <c r="D487" t="s">
        <v>12</v>
      </c>
      <c r="E487" t="s">
        <v>106</v>
      </c>
      <c r="F487">
        <v>5158619</v>
      </c>
      <c r="G487">
        <v>995</v>
      </c>
      <c r="H487" t="s">
        <v>113</v>
      </c>
      <c r="I487">
        <v>504</v>
      </c>
      <c r="J487" s="74">
        <v>45678</v>
      </c>
      <c r="K487" s="74">
        <v>45678</v>
      </c>
      <c r="L487" t="s">
        <v>190</v>
      </c>
      <c r="M487" s="74">
        <v>45695</v>
      </c>
      <c r="N487" t="s">
        <v>151</v>
      </c>
      <c r="O487" t="s">
        <v>224</v>
      </c>
      <c r="P487">
        <v>0.7</v>
      </c>
      <c r="Q487">
        <v>5.14</v>
      </c>
      <c r="R487">
        <v>352.8</v>
      </c>
      <c r="S487">
        <v>2590.56</v>
      </c>
      <c r="T487" t="s">
        <v>66</v>
      </c>
      <c r="AA487">
        <f t="shared" si="7"/>
        <v>232170.31000000006</v>
      </c>
      <c r="AB487">
        <f>COUNTIF($D$1:D487,D487)</f>
        <v>101</v>
      </c>
    </row>
    <row r="488" spans="1:28" x14ac:dyDescent="0.25">
      <c r="A488">
        <v>487</v>
      </c>
      <c r="B488">
        <v>184503</v>
      </c>
      <c r="C488">
        <v>24002015</v>
      </c>
      <c r="D488" t="s">
        <v>12</v>
      </c>
      <c r="E488" t="s">
        <v>106</v>
      </c>
      <c r="F488" t="s">
        <v>207</v>
      </c>
      <c r="G488">
        <v>995</v>
      </c>
      <c r="H488" t="s">
        <v>113</v>
      </c>
      <c r="I488">
        <v>360</v>
      </c>
      <c r="J488" s="74">
        <v>45678</v>
      </c>
      <c r="K488" s="74">
        <v>45678</v>
      </c>
      <c r="L488" t="s">
        <v>190</v>
      </c>
      <c r="M488" s="74">
        <v>45695</v>
      </c>
      <c r="N488" t="s">
        <v>151</v>
      </c>
      <c r="O488" t="s">
        <v>224</v>
      </c>
      <c r="P488">
        <v>0.67</v>
      </c>
      <c r="Q488">
        <v>5.49</v>
      </c>
      <c r="R488">
        <v>241.2</v>
      </c>
      <c r="S488">
        <v>1976.4</v>
      </c>
      <c r="T488" t="s">
        <v>66</v>
      </c>
      <c r="AA488">
        <f t="shared" si="7"/>
        <v>232170.31000000006</v>
      </c>
      <c r="AB488">
        <f>COUNTIF($D$1:D488,D488)</f>
        <v>102</v>
      </c>
    </row>
    <row r="489" spans="1:28" x14ac:dyDescent="0.25">
      <c r="A489">
        <v>488</v>
      </c>
      <c r="B489">
        <v>184504</v>
      </c>
      <c r="C489">
        <v>24002016</v>
      </c>
      <c r="D489" t="s">
        <v>12</v>
      </c>
      <c r="E489" t="s">
        <v>106</v>
      </c>
      <c r="F489">
        <v>5158607</v>
      </c>
      <c r="G489">
        <v>995</v>
      </c>
      <c r="H489" t="s">
        <v>113</v>
      </c>
      <c r="I489">
        <v>4428</v>
      </c>
      <c r="J489" s="74">
        <v>45679</v>
      </c>
      <c r="K489" s="74">
        <v>45680</v>
      </c>
      <c r="L489" t="s">
        <v>190</v>
      </c>
      <c r="M489" s="74">
        <v>45695</v>
      </c>
      <c r="N489" t="s">
        <v>151</v>
      </c>
      <c r="O489" t="s">
        <v>224</v>
      </c>
      <c r="P489">
        <v>0.7</v>
      </c>
      <c r="Q489">
        <v>5.14</v>
      </c>
      <c r="R489">
        <v>3099.6</v>
      </c>
      <c r="S489">
        <v>22759.919999999998</v>
      </c>
      <c r="T489" t="s">
        <v>66</v>
      </c>
      <c r="AA489">
        <f t="shared" si="7"/>
        <v>232170.31000000006</v>
      </c>
      <c r="AB489">
        <f>COUNTIF($D$1:D489,D489)</f>
        <v>103</v>
      </c>
    </row>
    <row r="490" spans="1:28" x14ac:dyDescent="0.25">
      <c r="A490">
        <v>489</v>
      </c>
      <c r="B490">
        <v>184505</v>
      </c>
      <c r="C490">
        <v>24002017</v>
      </c>
      <c r="D490" t="s">
        <v>12</v>
      </c>
      <c r="E490" t="s">
        <v>106</v>
      </c>
      <c r="F490" t="s">
        <v>178</v>
      </c>
      <c r="G490">
        <v>995</v>
      </c>
      <c r="H490" t="s">
        <v>113</v>
      </c>
      <c r="I490">
        <v>324</v>
      </c>
      <c r="J490" s="74">
        <v>45680</v>
      </c>
      <c r="K490" s="74">
        <v>45681</v>
      </c>
      <c r="L490" t="s">
        <v>190</v>
      </c>
      <c r="M490" s="74">
        <v>45695</v>
      </c>
      <c r="N490" t="s">
        <v>151</v>
      </c>
      <c r="O490" t="s">
        <v>224</v>
      </c>
      <c r="P490">
        <v>0.67</v>
      </c>
      <c r="Q490">
        <v>5.49</v>
      </c>
      <c r="R490">
        <v>217.08</v>
      </c>
      <c r="S490">
        <v>1778.76</v>
      </c>
      <c r="T490" t="s">
        <v>66</v>
      </c>
      <c r="AA490">
        <f t="shared" si="7"/>
        <v>232170.31000000006</v>
      </c>
      <c r="AB490">
        <f>COUNTIF($D$1:D490,D490)</f>
        <v>104</v>
      </c>
    </row>
    <row r="491" spans="1:28" x14ac:dyDescent="0.25">
      <c r="A491">
        <v>490</v>
      </c>
      <c r="B491">
        <v>184510</v>
      </c>
      <c r="C491">
        <v>24002022</v>
      </c>
      <c r="D491" t="s">
        <v>12</v>
      </c>
      <c r="E491" t="s">
        <v>106</v>
      </c>
      <c r="F491">
        <v>5158599</v>
      </c>
      <c r="G491">
        <v>995</v>
      </c>
      <c r="H491" t="s">
        <v>113</v>
      </c>
      <c r="I491">
        <v>630</v>
      </c>
      <c r="J491" s="74">
        <v>45681</v>
      </c>
      <c r="K491" s="74">
        <v>45681</v>
      </c>
      <c r="L491" t="s">
        <v>190</v>
      </c>
      <c r="M491" s="74">
        <v>45695</v>
      </c>
      <c r="N491" t="s">
        <v>151</v>
      </c>
      <c r="O491" t="s">
        <v>224</v>
      </c>
      <c r="P491">
        <v>0.7</v>
      </c>
      <c r="Q491">
        <v>5.14</v>
      </c>
      <c r="R491">
        <v>441</v>
      </c>
      <c r="S491">
        <v>3238.2</v>
      </c>
      <c r="T491" t="s">
        <v>66</v>
      </c>
      <c r="AA491">
        <f t="shared" si="7"/>
        <v>232170.31000000006</v>
      </c>
      <c r="AB491">
        <f>COUNTIF($D$1:D491,D491)</f>
        <v>105</v>
      </c>
    </row>
    <row r="492" spans="1:28" x14ac:dyDescent="0.25">
      <c r="A492">
        <v>491</v>
      </c>
      <c r="B492">
        <v>184511</v>
      </c>
      <c r="C492">
        <v>24002023</v>
      </c>
      <c r="D492" t="s">
        <v>12</v>
      </c>
      <c r="E492" t="s">
        <v>106</v>
      </c>
      <c r="F492">
        <v>5158584</v>
      </c>
      <c r="G492">
        <v>995</v>
      </c>
      <c r="H492" t="s">
        <v>113</v>
      </c>
      <c r="I492">
        <v>1368</v>
      </c>
      <c r="J492" s="74">
        <v>45681</v>
      </c>
      <c r="K492" s="74">
        <v>45685</v>
      </c>
      <c r="L492" t="s">
        <v>190</v>
      </c>
      <c r="M492" s="74">
        <v>45695</v>
      </c>
      <c r="N492" t="s">
        <v>151</v>
      </c>
      <c r="O492" t="s">
        <v>224</v>
      </c>
      <c r="P492">
        <v>0.7</v>
      </c>
      <c r="Q492">
        <v>5.14</v>
      </c>
      <c r="R492">
        <v>957.6</v>
      </c>
      <c r="S492">
        <v>7031.52</v>
      </c>
      <c r="T492" t="s">
        <v>66</v>
      </c>
      <c r="AA492">
        <f t="shared" si="7"/>
        <v>232170.31000000006</v>
      </c>
      <c r="AB492">
        <f>COUNTIF($D$1:D492,D492)</f>
        <v>106</v>
      </c>
    </row>
    <row r="493" spans="1:28" x14ac:dyDescent="0.25">
      <c r="A493">
        <v>492</v>
      </c>
      <c r="B493">
        <v>184512</v>
      </c>
      <c r="C493">
        <v>24002024</v>
      </c>
      <c r="D493" t="s">
        <v>12</v>
      </c>
      <c r="E493" t="s">
        <v>106</v>
      </c>
      <c r="F493" t="s">
        <v>208</v>
      </c>
      <c r="G493">
        <v>995</v>
      </c>
      <c r="H493" t="s">
        <v>113</v>
      </c>
      <c r="I493">
        <v>180</v>
      </c>
      <c r="J493" s="74">
        <v>45685</v>
      </c>
      <c r="K493" s="74">
        <v>45685</v>
      </c>
      <c r="L493" t="s">
        <v>190</v>
      </c>
      <c r="M493" s="74">
        <v>45695</v>
      </c>
      <c r="N493" t="s">
        <v>151</v>
      </c>
      <c r="O493" t="s">
        <v>224</v>
      </c>
      <c r="P493">
        <v>0.7</v>
      </c>
      <c r="Q493">
        <v>5.49</v>
      </c>
      <c r="R493">
        <v>126</v>
      </c>
      <c r="S493">
        <v>988.2</v>
      </c>
      <c r="T493" t="s">
        <v>66</v>
      </c>
      <c r="AA493">
        <f t="shared" si="7"/>
        <v>232170.31000000006</v>
      </c>
      <c r="AB493">
        <f>COUNTIF($D$1:D493,D493)</f>
        <v>107</v>
      </c>
    </row>
    <row r="494" spans="1:28" x14ac:dyDescent="0.25">
      <c r="A494">
        <v>493</v>
      </c>
      <c r="B494">
        <v>184488</v>
      </c>
      <c r="C494">
        <v>24001999</v>
      </c>
      <c r="D494" t="s">
        <v>12</v>
      </c>
      <c r="E494" t="s">
        <v>106</v>
      </c>
      <c r="F494">
        <v>5159768</v>
      </c>
      <c r="G494">
        <v>993</v>
      </c>
      <c r="H494" t="s">
        <v>113</v>
      </c>
      <c r="I494">
        <v>1968</v>
      </c>
      <c r="J494" s="74">
        <v>45666</v>
      </c>
      <c r="K494" s="74">
        <v>45673</v>
      </c>
      <c r="L494" t="s">
        <v>190</v>
      </c>
      <c r="M494" s="74">
        <v>45674</v>
      </c>
      <c r="N494" t="s">
        <v>151</v>
      </c>
      <c r="O494" t="s">
        <v>190</v>
      </c>
      <c r="P494">
        <v>0.61</v>
      </c>
      <c r="Q494">
        <v>4.21</v>
      </c>
      <c r="R494">
        <v>1200.48</v>
      </c>
      <c r="S494">
        <v>8285.2800000000007</v>
      </c>
      <c r="T494" t="s">
        <v>66</v>
      </c>
      <c r="AA494">
        <f t="shared" si="7"/>
        <v>232170.31000000006</v>
      </c>
      <c r="AB494">
        <f>COUNTIF($D$1:D494,D494)</f>
        <v>108</v>
      </c>
    </row>
    <row r="495" spans="1:28" x14ac:dyDescent="0.25">
      <c r="A495">
        <v>494</v>
      </c>
      <c r="B495">
        <v>184784</v>
      </c>
      <c r="C495">
        <v>24002163</v>
      </c>
      <c r="D495" t="s">
        <v>12</v>
      </c>
      <c r="E495" t="s">
        <v>106</v>
      </c>
      <c r="F495">
        <v>5160291</v>
      </c>
      <c r="G495">
        <v>1095</v>
      </c>
      <c r="H495" t="s">
        <v>113</v>
      </c>
      <c r="I495">
        <v>6886</v>
      </c>
      <c r="J495" s="74">
        <v>45685</v>
      </c>
      <c r="K495" s="74">
        <v>45688</v>
      </c>
      <c r="L495" t="s">
        <v>190</v>
      </c>
      <c r="M495" s="74">
        <v>45709</v>
      </c>
      <c r="N495" t="s">
        <v>151</v>
      </c>
      <c r="O495" t="s">
        <v>224</v>
      </c>
      <c r="P495">
        <v>0.76</v>
      </c>
      <c r="Q495">
        <v>1.43</v>
      </c>
      <c r="R495">
        <v>5233.3599999999997</v>
      </c>
      <c r="S495">
        <v>9846.98</v>
      </c>
      <c r="T495" t="s">
        <v>66</v>
      </c>
      <c r="AA495">
        <f t="shared" si="7"/>
        <v>232170.31000000006</v>
      </c>
      <c r="AB495">
        <f>COUNTIF($D$1:D495,D495)</f>
        <v>109</v>
      </c>
    </row>
    <row r="496" spans="1:28" x14ac:dyDescent="0.25">
      <c r="A496">
        <v>495</v>
      </c>
      <c r="B496">
        <v>184273</v>
      </c>
      <c r="C496">
        <v>24001947</v>
      </c>
      <c r="D496" t="s">
        <v>12</v>
      </c>
      <c r="E496" t="s">
        <v>106</v>
      </c>
      <c r="F496">
        <v>5158607</v>
      </c>
      <c r="G496">
        <v>941</v>
      </c>
      <c r="H496" t="s">
        <v>114</v>
      </c>
      <c r="I496">
        <v>4</v>
      </c>
      <c r="J496" s="74">
        <v>45659</v>
      </c>
      <c r="K496" s="74">
        <v>45659</v>
      </c>
      <c r="L496" t="s">
        <v>190</v>
      </c>
      <c r="M496" s="74">
        <v>45660</v>
      </c>
      <c r="N496" t="s">
        <v>151</v>
      </c>
      <c r="O496" t="s">
        <v>190</v>
      </c>
      <c r="P496">
        <v>0.7</v>
      </c>
      <c r="Q496">
        <v>1.71</v>
      </c>
      <c r="R496">
        <v>2.8</v>
      </c>
      <c r="S496">
        <v>6.84</v>
      </c>
      <c r="T496" t="s">
        <v>66</v>
      </c>
      <c r="AA496">
        <f t="shared" si="7"/>
        <v>232170.31000000006</v>
      </c>
      <c r="AB496">
        <f>COUNTIF($D$1:D496,D496)</f>
        <v>110</v>
      </c>
    </row>
    <row r="497" spans="1:28" x14ac:dyDescent="0.25">
      <c r="A497">
        <v>496</v>
      </c>
      <c r="B497">
        <v>184488</v>
      </c>
      <c r="C497">
        <v>24001999</v>
      </c>
      <c r="D497" t="s">
        <v>12</v>
      </c>
      <c r="E497" t="s">
        <v>106</v>
      </c>
      <c r="F497">
        <v>5159768</v>
      </c>
      <c r="G497">
        <v>993</v>
      </c>
      <c r="H497" t="s">
        <v>114</v>
      </c>
      <c r="I497">
        <v>1410</v>
      </c>
      <c r="J497" s="74">
        <v>45663</v>
      </c>
      <c r="K497" s="74">
        <v>45666</v>
      </c>
      <c r="L497" t="s">
        <v>190</v>
      </c>
      <c r="M497" s="74">
        <v>45674</v>
      </c>
      <c r="N497" t="s">
        <v>151</v>
      </c>
      <c r="O497" t="s">
        <v>190</v>
      </c>
      <c r="P497">
        <v>0.61</v>
      </c>
      <c r="Q497">
        <v>4.21</v>
      </c>
      <c r="R497">
        <v>860.1</v>
      </c>
      <c r="S497">
        <v>5936.1</v>
      </c>
      <c r="T497" t="s">
        <v>66</v>
      </c>
      <c r="AA497">
        <f t="shared" si="7"/>
        <v>232170.31000000006</v>
      </c>
      <c r="AB497">
        <f>COUNTIF($D$1:D497,D497)</f>
        <v>111</v>
      </c>
    </row>
    <row r="498" spans="1:28" x14ac:dyDescent="0.25">
      <c r="A498">
        <v>497</v>
      </c>
      <c r="B498">
        <v>184498</v>
      </c>
      <c r="C498">
        <v>24002010</v>
      </c>
      <c r="D498" t="s">
        <v>12</v>
      </c>
      <c r="E498" t="s">
        <v>106</v>
      </c>
      <c r="F498">
        <v>5158614</v>
      </c>
      <c r="G498">
        <v>995</v>
      </c>
      <c r="H498" t="s">
        <v>114</v>
      </c>
      <c r="I498">
        <v>14116</v>
      </c>
      <c r="J498" s="74">
        <v>45670</v>
      </c>
      <c r="K498" s="74">
        <v>45685</v>
      </c>
      <c r="L498" t="s">
        <v>190</v>
      </c>
      <c r="M498" s="74">
        <v>45688</v>
      </c>
      <c r="N498" t="s">
        <v>151</v>
      </c>
      <c r="O498" t="s">
        <v>190</v>
      </c>
      <c r="P498">
        <v>0.7</v>
      </c>
      <c r="Q498">
        <v>5.14</v>
      </c>
      <c r="R498">
        <v>9881.2000000000007</v>
      </c>
      <c r="S498">
        <v>72556.240000000005</v>
      </c>
      <c r="T498" t="s">
        <v>66</v>
      </c>
      <c r="AA498">
        <f t="shared" si="7"/>
        <v>232170.31000000006</v>
      </c>
      <c r="AB498">
        <f>COUNTIF($D$1:D498,D498)</f>
        <v>112</v>
      </c>
    </row>
    <row r="499" spans="1:28" x14ac:dyDescent="0.25">
      <c r="A499">
        <v>498</v>
      </c>
      <c r="B499">
        <v>184499</v>
      </c>
      <c r="C499">
        <v>24002011</v>
      </c>
      <c r="D499" t="s">
        <v>12</v>
      </c>
      <c r="E499" t="s">
        <v>106</v>
      </c>
      <c r="F499" t="s">
        <v>179</v>
      </c>
      <c r="G499">
        <v>995</v>
      </c>
      <c r="H499" t="s">
        <v>114</v>
      </c>
      <c r="I499">
        <v>1080</v>
      </c>
      <c r="J499" s="74">
        <v>45667</v>
      </c>
      <c r="K499" s="74">
        <v>45685</v>
      </c>
      <c r="L499" t="s">
        <v>190</v>
      </c>
      <c r="M499" s="74">
        <v>45688</v>
      </c>
      <c r="N499" t="s">
        <v>151</v>
      </c>
      <c r="O499" t="s">
        <v>190</v>
      </c>
      <c r="P499">
        <v>0.67</v>
      </c>
      <c r="Q499">
        <v>5.49</v>
      </c>
      <c r="R499">
        <v>723.6</v>
      </c>
      <c r="S499">
        <v>5929.2</v>
      </c>
      <c r="T499" t="s">
        <v>66</v>
      </c>
      <c r="AA499">
        <f t="shared" si="7"/>
        <v>232170.31000000006</v>
      </c>
      <c r="AB499">
        <f>COUNTIF($D$1:D499,D499)</f>
        <v>113</v>
      </c>
    </row>
    <row r="500" spans="1:28" x14ac:dyDescent="0.25">
      <c r="A500">
        <v>499</v>
      </c>
      <c r="B500">
        <v>184320</v>
      </c>
      <c r="C500">
        <v>24001994</v>
      </c>
      <c r="D500" t="s">
        <v>12</v>
      </c>
      <c r="E500" t="s">
        <v>106</v>
      </c>
      <c r="F500">
        <v>5159766</v>
      </c>
      <c r="G500">
        <v>942</v>
      </c>
      <c r="H500" t="s">
        <v>114</v>
      </c>
      <c r="I500">
        <v>5785</v>
      </c>
      <c r="J500" s="74">
        <v>45659</v>
      </c>
      <c r="K500" s="74">
        <v>45666</v>
      </c>
      <c r="L500" t="s">
        <v>190</v>
      </c>
      <c r="M500" s="74">
        <v>45674</v>
      </c>
      <c r="N500" t="s">
        <v>151</v>
      </c>
      <c r="O500" t="s">
        <v>190</v>
      </c>
      <c r="P500">
        <v>0.61</v>
      </c>
      <c r="Q500">
        <v>1.37</v>
      </c>
      <c r="R500">
        <v>3528.85</v>
      </c>
      <c r="S500">
        <v>7925.45</v>
      </c>
      <c r="T500" t="s">
        <v>66</v>
      </c>
      <c r="AA500">
        <f t="shared" si="7"/>
        <v>232170.31000000006</v>
      </c>
      <c r="AB500">
        <f>COUNTIF($D$1:D500,D500)</f>
        <v>114</v>
      </c>
    </row>
    <row r="501" spans="1:28" x14ac:dyDescent="0.25">
      <c r="A501">
        <v>500</v>
      </c>
      <c r="B501">
        <v>184508</v>
      </c>
      <c r="C501">
        <v>24002020</v>
      </c>
      <c r="D501" t="s">
        <v>12</v>
      </c>
      <c r="E501" t="s">
        <v>106</v>
      </c>
      <c r="F501">
        <v>5158618</v>
      </c>
      <c r="G501">
        <v>995</v>
      </c>
      <c r="H501" t="s">
        <v>114</v>
      </c>
      <c r="I501">
        <v>810</v>
      </c>
      <c r="J501" s="74">
        <v>45687</v>
      </c>
      <c r="K501" s="74">
        <v>45688</v>
      </c>
      <c r="L501" t="s">
        <v>190</v>
      </c>
      <c r="M501" s="74">
        <v>45695</v>
      </c>
      <c r="N501" t="s">
        <v>151</v>
      </c>
      <c r="O501" t="s">
        <v>224</v>
      </c>
      <c r="P501">
        <v>0.7</v>
      </c>
      <c r="Q501">
        <v>5.14</v>
      </c>
      <c r="R501">
        <v>567</v>
      </c>
      <c r="S501">
        <v>4163.3999999999996</v>
      </c>
      <c r="T501" t="s">
        <v>66</v>
      </c>
      <c r="AA501">
        <f t="shared" si="7"/>
        <v>232170.31000000006</v>
      </c>
      <c r="AB501">
        <f>COUNTIF($D$1:D501,D501)</f>
        <v>115</v>
      </c>
    </row>
    <row r="502" spans="1:28" x14ac:dyDescent="0.25">
      <c r="A502">
        <v>501</v>
      </c>
      <c r="B502">
        <v>184509</v>
      </c>
      <c r="C502">
        <v>24002021</v>
      </c>
      <c r="D502" t="s">
        <v>12</v>
      </c>
      <c r="E502" t="s">
        <v>106</v>
      </c>
      <c r="F502" t="s">
        <v>204</v>
      </c>
      <c r="G502">
        <v>995</v>
      </c>
      <c r="H502" t="s">
        <v>114</v>
      </c>
      <c r="I502">
        <v>297</v>
      </c>
      <c r="J502" s="74">
        <v>45688</v>
      </c>
      <c r="K502" s="74">
        <v>45688</v>
      </c>
      <c r="L502" t="s">
        <v>190</v>
      </c>
      <c r="M502" s="74">
        <v>45695</v>
      </c>
      <c r="N502" t="s">
        <v>151</v>
      </c>
      <c r="O502" t="s">
        <v>224</v>
      </c>
      <c r="P502">
        <v>0.67</v>
      </c>
      <c r="Q502">
        <v>5.49</v>
      </c>
      <c r="R502">
        <v>198.99</v>
      </c>
      <c r="S502">
        <v>1630.53</v>
      </c>
      <c r="T502" t="s">
        <v>66</v>
      </c>
      <c r="AA502">
        <f t="shared" si="7"/>
        <v>232170.31000000006</v>
      </c>
      <c r="AB502">
        <f>COUNTIF($D$1:D502,D502)</f>
        <v>116</v>
      </c>
    </row>
    <row r="503" spans="1:28" x14ac:dyDescent="0.25">
      <c r="A503">
        <v>502</v>
      </c>
      <c r="B503">
        <v>184511</v>
      </c>
      <c r="C503">
        <v>24002023</v>
      </c>
      <c r="D503" t="s">
        <v>12</v>
      </c>
      <c r="E503" t="s">
        <v>106</v>
      </c>
      <c r="F503">
        <v>5158584</v>
      </c>
      <c r="G503">
        <v>995</v>
      </c>
      <c r="H503" t="s">
        <v>114</v>
      </c>
      <c r="I503">
        <v>500</v>
      </c>
      <c r="J503" s="74">
        <v>45688</v>
      </c>
      <c r="K503" s="74">
        <v>45688</v>
      </c>
      <c r="L503" t="s">
        <v>190</v>
      </c>
      <c r="M503" s="74">
        <v>45695</v>
      </c>
      <c r="N503" t="s">
        <v>151</v>
      </c>
      <c r="O503" t="s">
        <v>224</v>
      </c>
      <c r="P503">
        <v>0.7</v>
      </c>
      <c r="Q503">
        <v>5.14</v>
      </c>
      <c r="R503">
        <v>350</v>
      </c>
      <c r="S503">
        <v>2570</v>
      </c>
      <c r="T503" t="s">
        <v>66</v>
      </c>
      <c r="AA503">
        <f t="shared" si="7"/>
        <v>232170.31000000006</v>
      </c>
      <c r="AB503">
        <f>COUNTIF($D$1:D503,D503)</f>
        <v>117</v>
      </c>
    </row>
    <row r="504" spans="1:28" x14ac:dyDescent="0.25">
      <c r="A504">
        <v>503</v>
      </c>
      <c r="B504">
        <v>184491</v>
      </c>
      <c r="C504">
        <v>24002003</v>
      </c>
      <c r="D504" t="s">
        <v>12</v>
      </c>
      <c r="E504" t="s">
        <v>106</v>
      </c>
      <c r="F504">
        <v>5159766</v>
      </c>
      <c r="G504">
        <v>993</v>
      </c>
      <c r="H504" t="s">
        <v>114</v>
      </c>
      <c r="I504">
        <v>2252</v>
      </c>
      <c r="J504" s="74">
        <v>45665</v>
      </c>
      <c r="K504" s="74">
        <v>45667</v>
      </c>
      <c r="L504" t="s">
        <v>190</v>
      </c>
      <c r="M504" s="74">
        <v>45674</v>
      </c>
      <c r="N504" t="s">
        <v>151</v>
      </c>
      <c r="O504" t="s">
        <v>190</v>
      </c>
      <c r="P504">
        <v>0.61</v>
      </c>
      <c r="Q504">
        <v>5.48</v>
      </c>
      <c r="R504">
        <v>1373.72</v>
      </c>
      <c r="S504">
        <v>12340.96</v>
      </c>
      <c r="T504" t="s">
        <v>66</v>
      </c>
      <c r="AA504">
        <f t="shared" si="7"/>
        <v>232170.31000000006</v>
      </c>
      <c r="AB504">
        <f>COUNTIF($D$1:D504,D504)</f>
        <v>118</v>
      </c>
    </row>
    <row r="505" spans="1:28" x14ac:dyDescent="0.25">
      <c r="A505">
        <v>504</v>
      </c>
      <c r="B505">
        <v>184271</v>
      </c>
      <c r="C505">
        <v>24001945</v>
      </c>
      <c r="D505" t="s">
        <v>12</v>
      </c>
      <c r="E505" t="s">
        <v>106</v>
      </c>
      <c r="F505">
        <v>5158592</v>
      </c>
      <c r="G505">
        <v>941</v>
      </c>
      <c r="H505" t="s">
        <v>219</v>
      </c>
      <c r="I505">
        <v>36</v>
      </c>
      <c r="J505" s="74">
        <v>45660</v>
      </c>
      <c r="K505" s="74">
        <v>45660</v>
      </c>
      <c r="L505" t="s">
        <v>190</v>
      </c>
      <c r="M505" s="74">
        <v>45660</v>
      </c>
      <c r="N505" t="s">
        <v>151</v>
      </c>
      <c r="O505" t="s">
        <v>190</v>
      </c>
      <c r="P505">
        <v>0.7</v>
      </c>
      <c r="Q505">
        <v>1.71</v>
      </c>
      <c r="R505">
        <v>25.2</v>
      </c>
      <c r="S505">
        <v>61.56</v>
      </c>
      <c r="T505" t="s">
        <v>66</v>
      </c>
      <c r="AA505">
        <f t="shared" si="7"/>
        <v>232170.31000000006</v>
      </c>
      <c r="AB505">
        <f>COUNTIF($D$1:D505,D505)</f>
        <v>119</v>
      </c>
    </row>
    <row r="506" spans="1:28" x14ac:dyDescent="0.25">
      <c r="A506">
        <v>505</v>
      </c>
      <c r="B506">
        <v>184488</v>
      </c>
      <c r="C506">
        <v>24001999</v>
      </c>
      <c r="D506" t="s">
        <v>12</v>
      </c>
      <c r="E506" t="s">
        <v>106</v>
      </c>
      <c r="F506">
        <v>5159768</v>
      </c>
      <c r="G506">
        <v>993</v>
      </c>
      <c r="H506" t="s">
        <v>219</v>
      </c>
      <c r="I506">
        <v>1450</v>
      </c>
      <c r="J506" s="74">
        <v>45659</v>
      </c>
      <c r="K506" s="74">
        <v>45665</v>
      </c>
      <c r="L506" t="s">
        <v>190</v>
      </c>
      <c r="M506" s="74">
        <v>45674</v>
      </c>
      <c r="N506" t="s">
        <v>151</v>
      </c>
      <c r="O506" t="s">
        <v>190</v>
      </c>
      <c r="P506">
        <v>0.61</v>
      </c>
      <c r="Q506">
        <v>4.21</v>
      </c>
      <c r="R506">
        <v>884.5</v>
      </c>
      <c r="S506">
        <v>6104.5</v>
      </c>
      <c r="T506" t="s">
        <v>66</v>
      </c>
      <c r="AA506">
        <f t="shared" si="7"/>
        <v>232170.31000000006</v>
      </c>
      <c r="AB506">
        <f>COUNTIF($D$1:D506,D506)</f>
        <v>120</v>
      </c>
    </row>
    <row r="507" spans="1:28" x14ac:dyDescent="0.25">
      <c r="A507">
        <v>506</v>
      </c>
      <c r="B507">
        <v>184498</v>
      </c>
      <c r="C507">
        <v>24002010</v>
      </c>
      <c r="D507" t="s">
        <v>12</v>
      </c>
      <c r="E507" t="s">
        <v>106</v>
      </c>
      <c r="F507">
        <v>5158614</v>
      </c>
      <c r="G507">
        <v>995</v>
      </c>
      <c r="H507" t="s">
        <v>219</v>
      </c>
      <c r="I507">
        <v>14116</v>
      </c>
      <c r="J507" s="74">
        <v>45670</v>
      </c>
      <c r="K507" s="74">
        <v>45687</v>
      </c>
      <c r="L507" t="s">
        <v>190</v>
      </c>
      <c r="M507" s="74">
        <v>45688</v>
      </c>
      <c r="N507" t="s">
        <v>151</v>
      </c>
      <c r="O507" t="s">
        <v>190</v>
      </c>
      <c r="P507">
        <v>0.7</v>
      </c>
      <c r="Q507">
        <v>5.14</v>
      </c>
      <c r="R507">
        <v>9881.2000000000007</v>
      </c>
      <c r="S507">
        <v>72556.240000000005</v>
      </c>
      <c r="T507" t="s">
        <v>66</v>
      </c>
      <c r="AA507">
        <f t="shared" si="7"/>
        <v>232170.31000000006</v>
      </c>
      <c r="AB507">
        <f>COUNTIF($D$1:D507,D507)</f>
        <v>121</v>
      </c>
    </row>
    <row r="508" spans="1:28" x14ac:dyDescent="0.25">
      <c r="A508">
        <v>507</v>
      </c>
      <c r="B508">
        <v>184499</v>
      </c>
      <c r="C508">
        <v>24002011</v>
      </c>
      <c r="D508" t="s">
        <v>12</v>
      </c>
      <c r="E508" t="s">
        <v>106</v>
      </c>
      <c r="F508" t="s">
        <v>179</v>
      </c>
      <c r="G508">
        <v>995</v>
      </c>
      <c r="H508" t="s">
        <v>219</v>
      </c>
      <c r="I508">
        <v>1415</v>
      </c>
      <c r="J508" s="74">
        <v>45667</v>
      </c>
      <c r="K508" s="74">
        <v>45688</v>
      </c>
      <c r="L508" t="s">
        <v>190</v>
      </c>
      <c r="M508" s="74">
        <v>45688</v>
      </c>
      <c r="N508" t="s">
        <v>151</v>
      </c>
      <c r="O508" t="s">
        <v>190</v>
      </c>
      <c r="P508">
        <v>0.67</v>
      </c>
      <c r="Q508">
        <v>5.49</v>
      </c>
      <c r="R508">
        <v>948.05</v>
      </c>
      <c r="S508">
        <v>7768.35</v>
      </c>
      <c r="T508" t="s">
        <v>66</v>
      </c>
      <c r="AA508">
        <f t="shared" si="7"/>
        <v>232170.31000000006</v>
      </c>
      <c r="AB508">
        <f>COUNTIF($D$1:D508,D508)</f>
        <v>122</v>
      </c>
    </row>
    <row r="509" spans="1:28" x14ac:dyDescent="0.25">
      <c r="A509">
        <v>508</v>
      </c>
      <c r="B509">
        <v>184320</v>
      </c>
      <c r="C509">
        <v>24001994</v>
      </c>
      <c r="D509" t="s">
        <v>12</v>
      </c>
      <c r="E509" t="s">
        <v>106</v>
      </c>
      <c r="F509">
        <v>5159766</v>
      </c>
      <c r="G509">
        <v>942</v>
      </c>
      <c r="H509" t="s">
        <v>219</v>
      </c>
      <c r="I509">
        <v>4946</v>
      </c>
      <c r="J509" s="74">
        <v>45659</v>
      </c>
      <c r="K509" s="74">
        <v>45674</v>
      </c>
      <c r="L509" t="s">
        <v>190</v>
      </c>
      <c r="M509" s="74">
        <v>45674</v>
      </c>
      <c r="N509" t="s">
        <v>151</v>
      </c>
      <c r="O509" t="s">
        <v>190</v>
      </c>
      <c r="P509">
        <v>0.61</v>
      </c>
      <c r="Q509">
        <v>1.37</v>
      </c>
      <c r="R509">
        <v>3017.06</v>
      </c>
      <c r="S509">
        <v>6776.02</v>
      </c>
      <c r="T509" t="s">
        <v>66</v>
      </c>
      <c r="AA509">
        <f t="shared" si="7"/>
        <v>232170.31000000006</v>
      </c>
      <c r="AB509">
        <f>COUNTIF($D$1:D509,D509)</f>
        <v>123</v>
      </c>
    </row>
    <row r="510" spans="1:28" x14ac:dyDescent="0.25">
      <c r="A510">
        <v>509</v>
      </c>
      <c r="B510">
        <v>184508</v>
      </c>
      <c r="C510">
        <v>24002020</v>
      </c>
      <c r="D510" t="s">
        <v>12</v>
      </c>
      <c r="E510" t="s">
        <v>106</v>
      </c>
      <c r="F510">
        <v>5158618</v>
      </c>
      <c r="G510">
        <v>995</v>
      </c>
      <c r="H510" t="s">
        <v>219</v>
      </c>
      <c r="I510">
        <v>810</v>
      </c>
      <c r="J510" s="74">
        <v>45687</v>
      </c>
      <c r="K510" s="74">
        <v>45688</v>
      </c>
      <c r="L510" t="s">
        <v>190</v>
      </c>
      <c r="M510" s="74">
        <v>45695</v>
      </c>
      <c r="N510" t="s">
        <v>151</v>
      </c>
      <c r="O510" t="s">
        <v>224</v>
      </c>
      <c r="P510">
        <v>0.7</v>
      </c>
      <c r="Q510">
        <v>5.14</v>
      </c>
      <c r="R510">
        <v>567</v>
      </c>
      <c r="S510">
        <v>4163.3999999999996</v>
      </c>
      <c r="T510" t="s">
        <v>66</v>
      </c>
      <c r="AA510">
        <f t="shared" si="7"/>
        <v>232170.31000000006</v>
      </c>
      <c r="AB510">
        <f>COUNTIF($D$1:D510,D510)</f>
        <v>124</v>
      </c>
    </row>
    <row r="511" spans="1:28" x14ac:dyDescent="0.25">
      <c r="A511">
        <v>510</v>
      </c>
      <c r="B511">
        <v>184509</v>
      </c>
      <c r="C511">
        <v>24002021</v>
      </c>
      <c r="D511" t="s">
        <v>12</v>
      </c>
      <c r="E511" t="s">
        <v>106</v>
      </c>
      <c r="F511" t="s">
        <v>204</v>
      </c>
      <c r="G511">
        <v>995</v>
      </c>
      <c r="H511" t="s">
        <v>219</v>
      </c>
      <c r="I511">
        <v>200</v>
      </c>
      <c r="J511" s="74">
        <v>45688</v>
      </c>
      <c r="K511" s="74">
        <v>45688</v>
      </c>
      <c r="L511" t="s">
        <v>190</v>
      </c>
      <c r="M511" s="74">
        <v>45695</v>
      </c>
      <c r="N511" t="s">
        <v>151</v>
      </c>
      <c r="O511" t="s">
        <v>224</v>
      </c>
      <c r="P511">
        <v>0.67</v>
      </c>
      <c r="Q511">
        <v>5.49</v>
      </c>
      <c r="R511">
        <v>134</v>
      </c>
      <c r="S511">
        <v>1098</v>
      </c>
      <c r="T511" t="s">
        <v>66</v>
      </c>
      <c r="AA511">
        <f t="shared" si="7"/>
        <v>232170.31000000006</v>
      </c>
      <c r="AB511">
        <f>COUNTIF($D$1:D511,D511)</f>
        <v>125</v>
      </c>
    </row>
    <row r="512" spans="1:28" x14ac:dyDescent="0.25">
      <c r="A512">
        <v>511</v>
      </c>
      <c r="B512">
        <v>184491</v>
      </c>
      <c r="C512">
        <v>24002003</v>
      </c>
      <c r="D512" t="s">
        <v>12</v>
      </c>
      <c r="E512" t="s">
        <v>106</v>
      </c>
      <c r="F512">
        <v>5159766</v>
      </c>
      <c r="G512">
        <v>993</v>
      </c>
      <c r="H512" t="s">
        <v>219</v>
      </c>
      <c r="I512">
        <v>2065</v>
      </c>
      <c r="J512" s="74">
        <v>45664</v>
      </c>
      <c r="K512" s="74">
        <v>45670</v>
      </c>
      <c r="L512" t="s">
        <v>190</v>
      </c>
      <c r="M512" s="74">
        <v>45674</v>
      </c>
      <c r="N512" t="s">
        <v>151</v>
      </c>
      <c r="O512" t="s">
        <v>190</v>
      </c>
      <c r="P512">
        <v>0.61</v>
      </c>
      <c r="Q512">
        <v>5.48</v>
      </c>
      <c r="R512">
        <v>1259.6500000000001</v>
      </c>
      <c r="S512">
        <v>11316.2</v>
      </c>
      <c r="T512" t="s">
        <v>66</v>
      </c>
      <c r="AA512">
        <f t="shared" si="7"/>
        <v>232170.31000000006</v>
      </c>
      <c r="AB512">
        <f>COUNTIF($D$1:D512,D512)</f>
        <v>126</v>
      </c>
    </row>
    <row r="513" spans="1:28" x14ac:dyDescent="0.25">
      <c r="A513">
        <v>512</v>
      </c>
      <c r="B513">
        <v>184488</v>
      </c>
      <c r="C513">
        <v>24001999</v>
      </c>
      <c r="D513" t="s">
        <v>12</v>
      </c>
      <c r="E513" t="s">
        <v>106</v>
      </c>
      <c r="F513">
        <v>5159768</v>
      </c>
      <c r="G513">
        <v>993</v>
      </c>
      <c r="H513" t="s">
        <v>115</v>
      </c>
      <c r="I513">
        <v>1836</v>
      </c>
      <c r="J513" s="74">
        <v>45659</v>
      </c>
      <c r="K513" s="74">
        <v>45673</v>
      </c>
      <c r="L513" t="s">
        <v>190</v>
      </c>
      <c r="M513" s="74">
        <v>45674</v>
      </c>
      <c r="N513" t="s">
        <v>151</v>
      </c>
      <c r="O513" t="s">
        <v>190</v>
      </c>
      <c r="P513">
        <v>0.61</v>
      </c>
      <c r="Q513">
        <v>4.21</v>
      </c>
      <c r="R513">
        <v>1119.96</v>
      </c>
      <c r="S513">
        <v>7729.56</v>
      </c>
      <c r="T513" t="s">
        <v>66</v>
      </c>
      <c r="AA513">
        <f t="shared" si="7"/>
        <v>232170.31000000006</v>
      </c>
      <c r="AB513">
        <f>COUNTIF($D$1:D513,D513)</f>
        <v>127</v>
      </c>
    </row>
    <row r="514" spans="1:28" x14ac:dyDescent="0.25">
      <c r="A514">
        <v>513</v>
      </c>
      <c r="B514">
        <v>184498</v>
      </c>
      <c r="C514">
        <v>24002010</v>
      </c>
      <c r="D514" t="s">
        <v>12</v>
      </c>
      <c r="E514" t="s">
        <v>106</v>
      </c>
      <c r="F514">
        <v>5158614</v>
      </c>
      <c r="G514">
        <v>995</v>
      </c>
      <c r="H514" t="s">
        <v>115</v>
      </c>
      <c r="I514">
        <v>7942</v>
      </c>
      <c r="J514" s="74">
        <v>45664</v>
      </c>
      <c r="K514" s="74">
        <v>45678</v>
      </c>
      <c r="L514" t="s">
        <v>190</v>
      </c>
      <c r="M514" s="74">
        <v>45688</v>
      </c>
      <c r="N514" t="s">
        <v>151</v>
      </c>
      <c r="O514" t="s">
        <v>190</v>
      </c>
      <c r="P514">
        <v>0.7</v>
      </c>
      <c r="Q514">
        <v>5.14</v>
      </c>
      <c r="R514">
        <v>5559.4</v>
      </c>
      <c r="S514">
        <v>40821.879999999997</v>
      </c>
      <c r="T514" t="s">
        <v>66</v>
      </c>
      <c r="AA514">
        <f t="shared" ref="AA514:AA577" si="8">SUMIF($D:$D,D514,$R:$R)</f>
        <v>232170.31000000006</v>
      </c>
      <c r="AB514">
        <f>COUNTIF($D$1:D514,D514)</f>
        <v>128</v>
      </c>
    </row>
    <row r="515" spans="1:28" x14ac:dyDescent="0.25">
      <c r="A515">
        <v>514</v>
      </c>
      <c r="B515">
        <v>184508</v>
      </c>
      <c r="C515">
        <v>24002020</v>
      </c>
      <c r="D515" t="s">
        <v>12</v>
      </c>
      <c r="E515" t="s">
        <v>106</v>
      </c>
      <c r="F515">
        <v>5158618</v>
      </c>
      <c r="G515">
        <v>995</v>
      </c>
      <c r="H515" t="s">
        <v>115</v>
      </c>
      <c r="I515">
        <v>1620</v>
      </c>
      <c r="J515" s="74">
        <v>45678</v>
      </c>
      <c r="K515" s="74">
        <v>45680</v>
      </c>
      <c r="L515" t="s">
        <v>190</v>
      </c>
      <c r="M515" s="74">
        <v>45695</v>
      </c>
      <c r="N515" t="s">
        <v>151</v>
      </c>
      <c r="O515" t="s">
        <v>224</v>
      </c>
      <c r="P515">
        <v>0.7</v>
      </c>
      <c r="Q515">
        <v>5.14</v>
      </c>
      <c r="R515">
        <v>1134</v>
      </c>
      <c r="S515">
        <v>8326.7999999999993</v>
      </c>
      <c r="T515" t="s">
        <v>66</v>
      </c>
      <c r="AA515">
        <f t="shared" si="8"/>
        <v>232170.31000000006</v>
      </c>
      <c r="AB515">
        <f>COUNTIF($D$1:D515,D515)</f>
        <v>129</v>
      </c>
    </row>
    <row r="516" spans="1:28" x14ac:dyDescent="0.25">
      <c r="A516">
        <v>515</v>
      </c>
      <c r="B516">
        <v>184509</v>
      </c>
      <c r="C516">
        <v>24002021</v>
      </c>
      <c r="D516" t="s">
        <v>12</v>
      </c>
      <c r="E516" t="s">
        <v>106</v>
      </c>
      <c r="F516" t="s">
        <v>204</v>
      </c>
      <c r="G516">
        <v>995</v>
      </c>
      <c r="H516" t="s">
        <v>115</v>
      </c>
      <c r="I516">
        <v>594</v>
      </c>
      <c r="J516" s="74">
        <v>45680</v>
      </c>
      <c r="K516" s="74">
        <v>45680</v>
      </c>
      <c r="L516" t="s">
        <v>190</v>
      </c>
      <c r="M516" s="74">
        <v>45695</v>
      </c>
      <c r="N516" t="s">
        <v>151</v>
      </c>
      <c r="O516" t="s">
        <v>224</v>
      </c>
      <c r="P516">
        <v>0.67</v>
      </c>
      <c r="Q516">
        <v>5.49</v>
      </c>
      <c r="R516">
        <v>397.98</v>
      </c>
      <c r="S516">
        <v>3261.06</v>
      </c>
      <c r="T516" t="s">
        <v>66</v>
      </c>
      <c r="AA516">
        <f t="shared" si="8"/>
        <v>232170.31000000006</v>
      </c>
      <c r="AB516">
        <f>COUNTIF($D$1:D516,D516)</f>
        <v>130</v>
      </c>
    </row>
    <row r="517" spans="1:28" x14ac:dyDescent="0.25">
      <c r="A517">
        <v>516</v>
      </c>
      <c r="B517">
        <v>184510</v>
      </c>
      <c r="C517">
        <v>24002022</v>
      </c>
      <c r="D517" t="s">
        <v>12</v>
      </c>
      <c r="E517" t="s">
        <v>106</v>
      </c>
      <c r="F517">
        <v>5158599</v>
      </c>
      <c r="G517">
        <v>995</v>
      </c>
      <c r="H517" t="s">
        <v>115</v>
      </c>
      <c r="I517">
        <v>1260</v>
      </c>
      <c r="J517" s="74">
        <v>45681</v>
      </c>
      <c r="K517" s="74">
        <v>45685</v>
      </c>
      <c r="L517" t="s">
        <v>190</v>
      </c>
      <c r="M517" s="74">
        <v>45695</v>
      </c>
      <c r="N517" t="s">
        <v>151</v>
      </c>
      <c r="O517" t="s">
        <v>224</v>
      </c>
      <c r="P517">
        <v>0.7</v>
      </c>
      <c r="Q517">
        <v>5.14</v>
      </c>
      <c r="R517">
        <v>882</v>
      </c>
      <c r="S517">
        <v>6476.4</v>
      </c>
      <c r="T517" t="s">
        <v>66</v>
      </c>
      <c r="AA517">
        <f t="shared" si="8"/>
        <v>232170.31000000006</v>
      </c>
      <c r="AB517">
        <f>COUNTIF($D$1:D517,D517)</f>
        <v>131</v>
      </c>
    </row>
    <row r="518" spans="1:28" x14ac:dyDescent="0.25">
      <c r="A518">
        <v>517</v>
      </c>
      <c r="B518">
        <v>184807</v>
      </c>
      <c r="C518">
        <v>24002186</v>
      </c>
      <c r="D518" t="s">
        <v>12</v>
      </c>
      <c r="E518" t="s">
        <v>106</v>
      </c>
      <c r="F518">
        <v>5158587</v>
      </c>
      <c r="G518">
        <v>1097</v>
      </c>
      <c r="H518" t="s">
        <v>115</v>
      </c>
      <c r="I518">
        <v>2268</v>
      </c>
      <c r="J518" s="74">
        <v>45685</v>
      </c>
      <c r="K518" s="74">
        <v>45688</v>
      </c>
      <c r="L518" t="s">
        <v>190</v>
      </c>
      <c r="M518" s="74">
        <v>45702</v>
      </c>
      <c r="N518" t="s">
        <v>151</v>
      </c>
      <c r="O518" t="s">
        <v>224</v>
      </c>
      <c r="P518">
        <v>0.8</v>
      </c>
      <c r="Q518">
        <v>1.88</v>
      </c>
      <c r="R518">
        <v>1814.4</v>
      </c>
      <c r="S518">
        <v>4263.84</v>
      </c>
      <c r="T518" t="s">
        <v>66</v>
      </c>
      <c r="AA518">
        <f t="shared" si="8"/>
        <v>232170.31000000006</v>
      </c>
      <c r="AB518">
        <f>COUNTIF($D$1:D518,D518)</f>
        <v>132</v>
      </c>
    </row>
    <row r="519" spans="1:28" x14ac:dyDescent="0.25">
      <c r="A519">
        <v>518</v>
      </c>
      <c r="B519">
        <v>184808</v>
      </c>
      <c r="C519">
        <v>24002187</v>
      </c>
      <c r="D519" t="s">
        <v>12</v>
      </c>
      <c r="E519" t="s">
        <v>106</v>
      </c>
      <c r="F519" t="s">
        <v>206</v>
      </c>
      <c r="G519">
        <v>1097</v>
      </c>
      <c r="H519" t="s">
        <v>115</v>
      </c>
      <c r="I519">
        <v>300</v>
      </c>
      <c r="J519" s="74">
        <v>45688</v>
      </c>
      <c r="K519" s="74">
        <v>45688</v>
      </c>
      <c r="L519" t="s">
        <v>190</v>
      </c>
      <c r="M519" s="74">
        <v>45702</v>
      </c>
      <c r="N519" t="s">
        <v>151</v>
      </c>
      <c r="O519" t="s">
        <v>224</v>
      </c>
      <c r="P519">
        <v>0.77</v>
      </c>
      <c r="Q519">
        <v>2.0099999999999998</v>
      </c>
      <c r="R519">
        <v>231</v>
      </c>
      <c r="S519">
        <v>603</v>
      </c>
      <c r="T519" t="s">
        <v>66</v>
      </c>
      <c r="AA519">
        <f t="shared" si="8"/>
        <v>232170.31000000006</v>
      </c>
      <c r="AB519">
        <f>COUNTIF($D$1:D519,D519)</f>
        <v>133</v>
      </c>
    </row>
    <row r="520" spans="1:28" x14ac:dyDescent="0.25">
      <c r="A520">
        <v>519</v>
      </c>
      <c r="B520">
        <v>184807</v>
      </c>
      <c r="C520">
        <v>24002186</v>
      </c>
      <c r="D520" t="s">
        <v>12</v>
      </c>
      <c r="E520" t="s">
        <v>106</v>
      </c>
      <c r="F520">
        <v>5158587</v>
      </c>
      <c r="G520">
        <v>1097</v>
      </c>
      <c r="H520" t="s">
        <v>423</v>
      </c>
      <c r="I520">
        <v>1200</v>
      </c>
      <c r="J520" s="74">
        <v>45688</v>
      </c>
      <c r="K520" s="74">
        <v>45688</v>
      </c>
      <c r="L520" t="s">
        <v>190</v>
      </c>
      <c r="M520" s="74">
        <v>45702</v>
      </c>
      <c r="N520" t="s">
        <v>151</v>
      </c>
      <c r="O520" t="s">
        <v>224</v>
      </c>
      <c r="P520">
        <v>0.8</v>
      </c>
      <c r="Q520">
        <v>1.88</v>
      </c>
      <c r="R520">
        <v>960</v>
      </c>
      <c r="S520">
        <v>2256</v>
      </c>
      <c r="T520" t="s">
        <v>66</v>
      </c>
      <c r="AA520">
        <f t="shared" si="8"/>
        <v>232170.31000000006</v>
      </c>
      <c r="AB520">
        <f>COUNTIF($D$1:D520,D520)</f>
        <v>134</v>
      </c>
    </row>
    <row r="521" spans="1:28" x14ac:dyDescent="0.25">
      <c r="A521">
        <v>520</v>
      </c>
      <c r="B521">
        <v>183673</v>
      </c>
      <c r="C521">
        <v>24001180</v>
      </c>
      <c r="D521" t="s">
        <v>8</v>
      </c>
      <c r="E521" t="s">
        <v>71</v>
      </c>
      <c r="F521">
        <v>910009550</v>
      </c>
      <c r="H521" t="s">
        <v>72</v>
      </c>
      <c r="I521">
        <v>560</v>
      </c>
      <c r="J521" s="74">
        <v>45687</v>
      </c>
      <c r="K521" s="74">
        <v>45688</v>
      </c>
      <c r="L521" t="s">
        <v>190</v>
      </c>
      <c r="M521" s="74">
        <v>45688</v>
      </c>
      <c r="N521" t="s">
        <v>151</v>
      </c>
      <c r="O521" t="s">
        <v>190</v>
      </c>
      <c r="P521">
        <v>3.43</v>
      </c>
      <c r="Q521">
        <v>7.3</v>
      </c>
      <c r="R521">
        <v>1920.8</v>
      </c>
      <c r="S521">
        <v>4088</v>
      </c>
      <c r="T521" t="s">
        <v>66</v>
      </c>
      <c r="AA521">
        <f t="shared" si="8"/>
        <v>21429.889999999996</v>
      </c>
      <c r="AB521">
        <f>COUNTIF($D$1:D521,D521)</f>
        <v>1</v>
      </c>
    </row>
    <row r="522" spans="1:28" x14ac:dyDescent="0.25">
      <c r="A522">
        <v>521</v>
      </c>
      <c r="B522">
        <v>184383</v>
      </c>
      <c r="C522">
        <v>24001288</v>
      </c>
      <c r="D522" t="s">
        <v>8</v>
      </c>
      <c r="E522" t="s">
        <v>71</v>
      </c>
      <c r="F522">
        <v>910009476</v>
      </c>
      <c r="H522" t="s">
        <v>72</v>
      </c>
      <c r="I522">
        <v>1814</v>
      </c>
      <c r="J522" s="74">
        <v>45659</v>
      </c>
      <c r="K522" s="74">
        <v>45677</v>
      </c>
      <c r="L522" t="s">
        <v>190</v>
      </c>
      <c r="M522" s="74">
        <v>45681</v>
      </c>
      <c r="N522" t="s">
        <v>151</v>
      </c>
      <c r="O522" t="s">
        <v>190</v>
      </c>
      <c r="P522">
        <v>3.51</v>
      </c>
      <c r="Q522">
        <v>6.69</v>
      </c>
      <c r="R522">
        <v>6367.14</v>
      </c>
      <c r="S522">
        <v>12135.66</v>
      </c>
      <c r="T522" t="s">
        <v>66</v>
      </c>
      <c r="AA522">
        <f t="shared" si="8"/>
        <v>21429.889999999996</v>
      </c>
      <c r="AB522">
        <f>COUNTIF($D$1:D522,D522)</f>
        <v>2</v>
      </c>
    </row>
    <row r="523" spans="1:28" x14ac:dyDescent="0.25">
      <c r="A523">
        <v>522</v>
      </c>
      <c r="B523">
        <v>184380</v>
      </c>
      <c r="C523">
        <v>24001339</v>
      </c>
      <c r="D523" t="s">
        <v>8</v>
      </c>
      <c r="E523" t="s">
        <v>71</v>
      </c>
      <c r="F523">
        <v>910010803</v>
      </c>
      <c r="H523" t="s">
        <v>72</v>
      </c>
      <c r="I523">
        <v>321</v>
      </c>
      <c r="J523" s="74">
        <v>45673</v>
      </c>
      <c r="K523" s="74">
        <v>45673</v>
      </c>
      <c r="L523" t="s">
        <v>190</v>
      </c>
      <c r="M523" s="74">
        <v>45748</v>
      </c>
      <c r="N523" t="s">
        <v>151</v>
      </c>
      <c r="O523" t="s">
        <v>237</v>
      </c>
      <c r="P523">
        <v>1.75</v>
      </c>
      <c r="Q523">
        <v>4.1500000000000004</v>
      </c>
      <c r="R523">
        <v>561.75</v>
      </c>
      <c r="S523">
        <v>1332.15</v>
      </c>
      <c r="T523" t="s">
        <v>66</v>
      </c>
      <c r="AA523">
        <f t="shared" si="8"/>
        <v>21429.889999999996</v>
      </c>
      <c r="AB523">
        <f>COUNTIF($D$1:D523,D523)</f>
        <v>3</v>
      </c>
    </row>
    <row r="524" spans="1:28" x14ac:dyDescent="0.25">
      <c r="A524">
        <v>523</v>
      </c>
      <c r="B524">
        <v>184379</v>
      </c>
      <c r="C524">
        <v>24001341</v>
      </c>
      <c r="D524" t="s">
        <v>8</v>
      </c>
      <c r="E524" t="s">
        <v>71</v>
      </c>
      <c r="F524">
        <v>910010231</v>
      </c>
      <c r="H524" t="s">
        <v>72</v>
      </c>
      <c r="I524">
        <v>2514</v>
      </c>
      <c r="J524" s="74">
        <v>45671</v>
      </c>
      <c r="K524" s="74">
        <v>45687</v>
      </c>
      <c r="L524" t="s">
        <v>190</v>
      </c>
      <c r="M524" s="74">
        <v>45748</v>
      </c>
      <c r="N524" t="s">
        <v>151</v>
      </c>
      <c r="O524" t="s">
        <v>237</v>
      </c>
      <c r="P524">
        <v>1.74</v>
      </c>
      <c r="Q524">
        <v>3.88</v>
      </c>
      <c r="R524">
        <v>4374.3599999999997</v>
      </c>
      <c r="S524">
        <v>9754.32</v>
      </c>
      <c r="T524" t="s">
        <v>66</v>
      </c>
      <c r="AA524">
        <f t="shared" si="8"/>
        <v>21429.889999999996</v>
      </c>
      <c r="AB524">
        <f>COUNTIF($D$1:D524,D524)</f>
        <v>4</v>
      </c>
    </row>
    <row r="525" spans="1:28" x14ac:dyDescent="0.25">
      <c r="A525">
        <v>524</v>
      </c>
      <c r="B525">
        <v>184215</v>
      </c>
      <c r="C525">
        <v>24001393</v>
      </c>
      <c r="D525" t="s">
        <v>8</v>
      </c>
      <c r="E525" t="s">
        <v>89</v>
      </c>
      <c r="F525" t="s">
        <v>318</v>
      </c>
      <c r="H525" t="s">
        <v>72</v>
      </c>
      <c r="I525">
        <v>14</v>
      </c>
      <c r="J525" s="74">
        <v>45659</v>
      </c>
      <c r="K525" s="74">
        <v>45673</v>
      </c>
      <c r="L525" t="s">
        <v>190</v>
      </c>
      <c r="M525" s="74">
        <v>45688</v>
      </c>
      <c r="N525" t="s">
        <v>151</v>
      </c>
      <c r="O525" t="s">
        <v>190</v>
      </c>
      <c r="P525">
        <v>2.21</v>
      </c>
      <c r="Q525">
        <v>5.15</v>
      </c>
      <c r="R525">
        <v>30.94</v>
      </c>
      <c r="S525">
        <v>72.099999999999994</v>
      </c>
      <c r="T525" t="s">
        <v>66</v>
      </c>
      <c r="AA525">
        <f t="shared" si="8"/>
        <v>21429.889999999996</v>
      </c>
      <c r="AB525">
        <f>COUNTIF($D$1:D525,D525)</f>
        <v>5</v>
      </c>
    </row>
    <row r="526" spans="1:28" x14ac:dyDescent="0.25">
      <c r="A526">
        <v>525</v>
      </c>
      <c r="B526">
        <v>184344</v>
      </c>
      <c r="C526">
        <v>24001391</v>
      </c>
      <c r="D526" t="s">
        <v>8</v>
      </c>
      <c r="E526" t="s">
        <v>89</v>
      </c>
      <c r="F526" t="s">
        <v>318</v>
      </c>
      <c r="H526" t="s">
        <v>72</v>
      </c>
      <c r="I526">
        <v>10</v>
      </c>
      <c r="J526" s="74">
        <v>45674</v>
      </c>
      <c r="K526" s="74">
        <v>45674</v>
      </c>
      <c r="L526" t="s">
        <v>190</v>
      </c>
      <c r="M526" s="74">
        <v>45688</v>
      </c>
      <c r="N526" t="s">
        <v>151</v>
      </c>
      <c r="O526" t="s">
        <v>190</v>
      </c>
      <c r="P526">
        <v>2.36</v>
      </c>
      <c r="Q526">
        <v>5.15</v>
      </c>
      <c r="R526">
        <v>23.6</v>
      </c>
      <c r="S526">
        <v>51.5</v>
      </c>
      <c r="T526" t="s">
        <v>66</v>
      </c>
      <c r="AA526">
        <f t="shared" si="8"/>
        <v>21429.889999999996</v>
      </c>
      <c r="AB526">
        <f>COUNTIF($D$1:D526,D526)</f>
        <v>6</v>
      </c>
    </row>
    <row r="527" spans="1:28" x14ac:dyDescent="0.25">
      <c r="A527">
        <v>526</v>
      </c>
      <c r="B527">
        <v>184222</v>
      </c>
      <c r="C527">
        <v>24001387</v>
      </c>
      <c r="D527" t="s">
        <v>8</v>
      </c>
      <c r="E527" t="s">
        <v>89</v>
      </c>
      <c r="F527" t="s">
        <v>318</v>
      </c>
      <c r="H527" t="s">
        <v>72</v>
      </c>
      <c r="I527">
        <v>6</v>
      </c>
      <c r="J527" s="74">
        <v>45677</v>
      </c>
      <c r="K527" s="74">
        <v>45677</v>
      </c>
      <c r="L527" t="s">
        <v>190</v>
      </c>
      <c r="M527" s="74">
        <v>45688</v>
      </c>
      <c r="N527" t="s">
        <v>151</v>
      </c>
      <c r="O527" t="s">
        <v>190</v>
      </c>
      <c r="P527">
        <v>2.57</v>
      </c>
      <c r="Q527">
        <v>6.32</v>
      </c>
      <c r="R527">
        <v>15.42</v>
      </c>
      <c r="S527">
        <v>37.92</v>
      </c>
      <c r="T527" t="s">
        <v>66</v>
      </c>
      <c r="AA527">
        <f t="shared" si="8"/>
        <v>21429.889999999996</v>
      </c>
      <c r="AB527">
        <f>COUNTIF($D$1:D527,D527)</f>
        <v>7</v>
      </c>
    </row>
    <row r="528" spans="1:28" x14ac:dyDescent="0.25">
      <c r="A528">
        <v>527</v>
      </c>
      <c r="B528">
        <v>184201</v>
      </c>
      <c r="C528">
        <v>24001335</v>
      </c>
      <c r="D528" t="s">
        <v>8</v>
      </c>
      <c r="E528" t="s">
        <v>89</v>
      </c>
      <c r="F528" t="s">
        <v>319</v>
      </c>
      <c r="H528" t="s">
        <v>72</v>
      </c>
      <c r="I528">
        <v>43</v>
      </c>
      <c r="J528" s="74">
        <v>45677</v>
      </c>
      <c r="K528" s="74">
        <v>45677</v>
      </c>
      <c r="L528" t="s">
        <v>190</v>
      </c>
      <c r="M528" s="74">
        <v>45688</v>
      </c>
      <c r="N528" t="s">
        <v>151</v>
      </c>
      <c r="O528" t="s">
        <v>190</v>
      </c>
      <c r="P528">
        <v>2.36</v>
      </c>
      <c r="Q528">
        <v>5.15</v>
      </c>
      <c r="R528">
        <v>101.48</v>
      </c>
      <c r="S528">
        <v>221.45</v>
      </c>
      <c r="T528" t="s">
        <v>66</v>
      </c>
      <c r="AA528">
        <f t="shared" si="8"/>
        <v>21429.889999999996</v>
      </c>
      <c r="AB528">
        <f>COUNTIF($D$1:D528,D528)</f>
        <v>8</v>
      </c>
    </row>
    <row r="529" spans="1:28" x14ac:dyDescent="0.25">
      <c r="A529">
        <v>528</v>
      </c>
      <c r="B529">
        <v>184203</v>
      </c>
      <c r="C529">
        <v>24001337</v>
      </c>
      <c r="D529" t="s">
        <v>8</v>
      </c>
      <c r="E529" t="s">
        <v>89</v>
      </c>
      <c r="F529" t="s">
        <v>320</v>
      </c>
      <c r="H529" t="s">
        <v>72</v>
      </c>
      <c r="I529">
        <v>11</v>
      </c>
      <c r="J529" s="74">
        <v>45677</v>
      </c>
      <c r="K529" s="74">
        <v>45677</v>
      </c>
      <c r="L529" t="s">
        <v>190</v>
      </c>
      <c r="M529" s="74">
        <v>45688</v>
      </c>
      <c r="N529" t="s">
        <v>151</v>
      </c>
      <c r="O529" t="s">
        <v>190</v>
      </c>
      <c r="P529">
        <v>2.21</v>
      </c>
      <c r="Q529">
        <v>5.15</v>
      </c>
      <c r="R529">
        <v>24.31</v>
      </c>
      <c r="S529">
        <v>56.65</v>
      </c>
      <c r="T529" t="s">
        <v>66</v>
      </c>
      <c r="AA529">
        <f t="shared" si="8"/>
        <v>21429.889999999996</v>
      </c>
      <c r="AB529">
        <f>COUNTIF($D$1:D529,D529)</f>
        <v>9</v>
      </c>
    </row>
    <row r="530" spans="1:28" x14ac:dyDescent="0.25">
      <c r="A530">
        <v>529</v>
      </c>
      <c r="B530">
        <v>184225</v>
      </c>
      <c r="C530">
        <v>24001350</v>
      </c>
      <c r="D530" t="s">
        <v>8</v>
      </c>
      <c r="E530" t="s">
        <v>89</v>
      </c>
      <c r="F530" t="s">
        <v>319</v>
      </c>
      <c r="H530" t="s">
        <v>72</v>
      </c>
      <c r="I530">
        <v>1</v>
      </c>
      <c r="J530" s="74">
        <v>45678</v>
      </c>
      <c r="K530" s="74">
        <v>45678</v>
      </c>
      <c r="L530" t="s">
        <v>190</v>
      </c>
      <c r="M530" s="74">
        <v>45688</v>
      </c>
      <c r="N530" t="s">
        <v>151</v>
      </c>
      <c r="O530" t="s">
        <v>190</v>
      </c>
      <c r="P530">
        <v>2.76</v>
      </c>
      <c r="Q530">
        <v>6.32</v>
      </c>
      <c r="R530">
        <v>2.76</v>
      </c>
      <c r="S530">
        <v>6.32</v>
      </c>
      <c r="T530" t="s">
        <v>66</v>
      </c>
      <c r="AA530">
        <f t="shared" si="8"/>
        <v>21429.889999999996</v>
      </c>
      <c r="AB530">
        <f>COUNTIF($D$1:D530,D530)</f>
        <v>10</v>
      </c>
    </row>
    <row r="531" spans="1:28" x14ac:dyDescent="0.25">
      <c r="A531">
        <v>530</v>
      </c>
      <c r="B531">
        <v>184226</v>
      </c>
      <c r="C531">
        <v>24001350</v>
      </c>
      <c r="D531" t="s">
        <v>8</v>
      </c>
      <c r="E531" t="s">
        <v>89</v>
      </c>
      <c r="F531" t="s">
        <v>319</v>
      </c>
      <c r="H531" t="s">
        <v>72</v>
      </c>
      <c r="I531">
        <v>1</v>
      </c>
      <c r="J531" s="74">
        <v>45678</v>
      </c>
      <c r="K531" s="74">
        <v>45678</v>
      </c>
      <c r="L531" t="s">
        <v>190</v>
      </c>
      <c r="M531" s="74">
        <v>45688</v>
      </c>
      <c r="N531" t="s">
        <v>151</v>
      </c>
      <c r="O531" t="s">
        <v>190</v>
      </c>
      <c r="P531">
        <v>2.76</v>
      </c>
      <c r="Q531">
        <v>6.32</v>
      </c>
      <c r="R531">
        <v>2.76</v>
      </c>
      <c r="S531">
        <v>6.32</v>
      </c>
      <c r="T531" t="s">
        <v>66</v>
      </c>
      <c r="AA531">
        <f t="shared" si="8"/>
        <v>21429.889999999996</v>
      </c>
      <c r="AB531">
        <f>COUNTIF($D$1:D531,D531)</f>
        <v>11</v>
      </c>
    </row>
    <row r="532" spans="1:28" x14ac:dyDescent="0.25">
      <c r="A532">
        <v>531</v>
      </c>
      <c r="B532">
        <v>184200</v>
      </c>
      <c r="C532">
        <v>24001334</v>
      </c>
      <c r="D532" t="s">
        <v>8</v>
      </c>
      <c r="E532" t="s">
        <v>89</v>
      </c>
      <c r="F532" t="s">
        <v>321</v>
      </c>
      <c r="H532" t="s">
        <v>72</v>
      </c>
      <c r="I532">
        <v>48</v>
      </c>
      <c r="J532" s="74">
        <v>45678</v>
      </c>
      <c r="K532" s="74">
        <v>45678</v>
      </c>
      <c r="L532" t="s">
        <v>190</v>
      </c>
      <c r="M532" s="74">
        <v>45688</v>
      </c>
      <c r="N532" t="s">
        <v>151</v>
      </c>
      <c r="O532" t="s">
        <v>190</v>
      </c>
      <c r="P532">
        <v>2.83</v>
      </c>
      <c r="Q532">
        <v>5.62</v>
      </c>
      <c r="R532">
        <v>135.84</v>
      </c>
      <c r="S532">
        <v>269.76</v>
      </c>
      <c r="T532" t="s">
        <v>66</v>
      </c>
      <c r="AA532">
        <f t="shared" si="8"/>
        <v>21429.889999999996</v>
      </c>
      <c r="AB532">
        <f>COUNTIF($D$1:D532,D532)</f>
        <v>12</v>
      </c>
    </row>
    <row r="533" spans="1:28" x14ac:dyDescent="0.25">
      <c r="A533">
        <v>532</v>
      </c>
      <c r="B533">
        <v>184202</v>
      </c>
      <c r="C533">
        <v>24001336</v>
      </c>
      <c r="D533" t="s">
        <v>8</v>
      </c>
      <c r="E533" t="s">
        <v>89</v>
      </c>
      <c r="F533" t="s">
        <v>322</v>
      </c>
      <c r="H533" t="s">
        <v>72</v>
      </c>
      <c r="I533">
        <v>11</v>
      </c>
      <c r="J533" s="74">
        <v>45678</v>
      </c>
      <c r="K533" s="74">
        <v>45678</v>
      </c>
      <c r="L533" t="s">
        <v>190</v>
      </c>
      <c r="M533" s="74">
        <v>45688</v>
      </c>
      <c r="N533" t="s">
        <v>151</v>
      </c>
      <c r="O533" t="s">
        <v>190</v>
      </c>
      <c r="P533">
        <v>2.66</v>
      </c>
      <c r="Q533">
        <v>5.62</v>
      </c>
      <c r="R533">
        <v>29.26</v>
      </c>
      <c r="S533">
        <v>61.82</v>
      </c>
      <c r="T533" t="s">
        <v>66</v>
      </c>
      <c r="AA533">
        <f t="shared" si="8"/>
        <v>21429.889999999996</v>
      </c>
      <c r="AB533">
        <f>COUNTIF($D$1:D533,D533)</f>
        <v>13</v>
      </c>
    </row>
    <row r="534" spans="1:28" x14ac:dyDescent="0.25">
      <c r="A534">
        <v>533</v>
      </c>
      <c r="B534">
        <v>184217</v>
      </c>
      <c r="C534">
        <v>24001349</v>
      </c>
      <c r="D534" t="s">
        <v>8</v>
      </c>
      <c r="E534" t="s">
        <v>89</v>
      </c>
      <c r="F534" t="s">
        <v>321</v>
      </c>
      <c r="H534" t="s">
        <v>72</v>
      </c>
      <c r="I534">
        <v>12</v>
      </c>
      <c r="J534" s="74">
        <v>45678</v>
      </c>
      <c r="K534" s="74">
        <v>45678</v>
      </c>
      <c r="L534" t="s">
        <v>190</v>
      </c>
      <c r="M534" s="74">
        <v>45688</v>
      </c>
      <c r="N534" t="s">
        <v>151</v>
      </c>
      <c r="O534" t="s">
        <v>190</v>
      </c>
      <c r="P534">
        <v>3.31</v>
      </c>
      <c r="Q534">
        <v>6.97</v>
      </c>
      <c r="R534">
        <v>39.72</v>
      </c>
      <c r="S534">
        <v>83.64</v>
      </c>
      <c r="T534" t="s">
        <v>66</v>
      </c>
      <c r="AA534">
        <f t="shared" si="8"/>
        <v>21429.889999999996</v>
      </c>
      <c r="AB534">
        <f>COUNTIF($D$1:D534,D534)</f>
        <v>14</v>
      </c>
    </row>
    <row r="535" spans="1:28" x14ac:dyDescent="0.25">
      <c r="A535">
        <v>534</v>
      </c>
      <c r="B535">
        <v>184220</v>
      </c>
      <c r="C535">
        <v>24001386</v>
      </c>
      <c r="D535" t="s">
        <v>8</v>
      </c>
      <c r="E535" t="s">
        <v>89</v>
      </c>
      <c r="F535" t="s">
        <v>318</v>
      </c>
      <c r="H535" t="s">
        <v>72</v>
      </c>
      <c r="I535">
        <v>6</v>
      </c>
      <c r="J535" s="74">
        <v>45678</v>
      </c>
      <c r="K535" s="74">
        <v>45678</v>
      </c>
      <c r="L535" t="s">
        <v>190</v>
      </c>
      <c r="M535" s="74">
        <v>45688</v>
      </c>
      <c r="N535" t="s">
        <v>151</v>
      </c>
      <c r="O535" t="s">
        <v>190</v>
      </c>
      <c r="P535">
        <v>3.08</v>
      </c>
      <c r="Q535">
        <v>6.97</v>
      </c>
      <c r="R535">
        <v>18.48</v>
      </c>
      <c r="S535">
        <v>41.82</v>
      </c>
      <c r="T535" t="s">
        <v>66</v>
      </c>
      <c r="AA535">
        <f t="shared" si="8"/>
        <v>21429.889999999996</v>
      </c>
      <c r="AB535">
        <f>COUNTIF($D$1:D535,D535)</f>
        <v>15</v>
      </c>
    </row>
    <row r="536" spans="1:28" x14ac:dyDescent="0.25">
      <c r="A536">
        <v>535</v>
      </c>
      <c r="B536">
        <v>184342</v>
      </c>
      <c r="C536">
        <v>24001390</v>
      </c>
      <c r="D536" t="s">
        <v>8</v>
      </c>
      <c r="E536" t="s">
        <v>89</v>
      </c>
      <c r="F536" t="s">
        <v>318</v>
      </c>
      <c r="H536" t="s">
        <v>72</v>
      </c>
      <c r="I536">
        <v>10</v>
      </c>
      <c r="J536" s="74">
        <v>45678</v>
      </c>
      <c r="K536" s="74">
        <v>45678</v>
      </c>
      <c r="L536" t="s">
        <v>190</v>
      </c>
      <c r="M536" s="74">
        <v>45688</v>
      </c>
      <c r="N536" t="s">
        <v>151</v>
      </c>
      <c r="O536" t="s">
        <v>190</v>
      </c>
      <c r="P536">
        <v>2.83</v>
      </c>
      <c r="Q536">
        <v>5.62</v>
      </c>
      <c r="R536">
        <v>28.3</v>
      </c>
      <c r="S536">
        <v>56.2</v>
      </c>
      <c r="T536" t="s">
        <v>66</v>
      </c>
      <c r="AA536">
        <f t="shared" si="8"/>
        <v>21429.889999999996</v>
      </c>
      <c r="AB536">
        <f>COUNTIF($D$1:D536,D536)</f>
        <v>16</v>
      </c>
    </row>
    <row r="537" spans="1:28" x14ac:dyDescent="0.25">
      <c r="A537">
        <v>536</v>
      </c>
      <c r="B537">
        <v>184140</v>
      </c>
      <c r="C537">
        <v>24001369</v>
      </c>
      <c r="D537" t="s">
        <v>8</v>
      </c>
      <c r="E537" t="s">
        <v>89</v>
      </c>
      <c r="F537" t="s">
        <v>424</v>
      </c>
      <c r="H537" t="s">
        <v>72</v>
      </c>
      <c r="I537">
        <v>147</v>
      </c>
      <c r="J537" s="74">
        <v>45678</v>
      </c>
      <c r="K537" s="74">
        <v>45678</v>
      </c>
      <c r="L537" t="s">
        <v>190</v>
      </c>
      <c r="M537" s="74">
        <v>45688</v>
      </c>
      <c r="N537" t="s">
        <v>151</v>
      </c>
      <c r="O537" t="s">
        <v>190</v>
      </c>
      <c r="P537">
        <v>2.83</v>
      </c>
      <c r="Q537">
        <v>5.5</v>
      </c>
      <c r="R537">
        <v>416.01</v>
      </c>
      <c r="S537">
        <v>808.5</v>
      </c>
      <c r="T537" t="s">
        <v>66</v>
      </c>
      <c r="AA537">
        <f t="shared" si="8"/>
        <v>21429.889999999996</v>
      </c>
      <c r="AB537">
        <f>COUNTIF($D$1:D537,D537)</f>
        <v>17</v>
      </c>
    </row>
    <row r="538" spans="1:28" x14ac:dyDescent="0.25">
      <c r="A538">
        <v>537</v>
      </c>
      <c r="B538">
        <v>184141</v>
      </c>
      <c r="C538">
        <v>24001370</v>
      </c>
      <c r="D538" t="s">
        <v>8</v>
      </c>
      <c r="E538" t="s">
        <v>89</v>
      </c>
      <c r="F538" t="s">
        <v>322</v>
      </c>
      <c r="H538" t="s">
        <v>72</v>
      </c>
      <c r="I538">
        <v>10</v>
      </c>
      <c r="J538" s="74">
        <v>45678</v>
      </c>
      <c r="K538" s="74">
        <v>45678</v>
      </c>
      <c r="L538" t="s">
        <v>190</v>
      </c>
      <c r="M538" s="74">
        <v>45688</v>
      </c>
      <c r="N538" t="s">
        <v>151</v>
      </c>
      <c r="O538" t="s">
        <v>190</v>
      </c>
      <c r="P538">
        <v>2.66</v>
      </c>
      <c r="Q538">
        <v>5.5</v>
      </c>
      <c r="R538">
        <v>26.6</v>
      </c>
      <c r="S538">
        <v>55</v>
      </c>
      <c r="T538" t="s">
        <v>66</v>
      </c>
      <c r="AA538">
        <f t="shared" si="8"/>
        <v>21429.889999999996</v>
      </c>
      <c r="AB538">
        <f>COUNTIF($D$1:D538,D538)</f>
        <v>18</v>
      </c>
    </row>
    <row r="539" spans="1:28" x14ac:dyDescent="0.25">
      <c r="A539">
        <v>538</v>
      </c>
      <c r="B539">
        <v>184142</v>
      </c>
      <c r="C539">
        <v>24001371</v>
      </c>
      <c r="D539" t="s">
        <v>8</v>
      </c>
      <c r="E539" t="s">
        <v>89</v>
      </c>
      <c r="F539" t="s">
        <v>321</v>
      </c>
      <c r="H539" t="s">
        <v>72</v>
      </c>
      <c r="I539">
        <v>37</v>
      </c>
      <c r="J539" s="74">
        <v>45678</v>
      </c>
      <c r="K539" s="74">
        <v>45678</v>
      </c>
      <c r="L539" t="s">
        <v>190</v>
      </c>
      <c r="M539" s="74">
        <v>45688</v>
      </c>
      <c r="N539" t="s">
        <v>151</v>
      </c>
      <c r="O539" t="s">
        <v>190</v>
      </c>
      <c r="P539">
        <v>2.83</v>
      </c>
      <c r="Q539">
        <v>5.5</v>
      </c>
      <c r="R539">
        <v>104.71</v>
      </c>
      <c r="S539">
        <v>203.5</v>
      </c>
      <c r="T539" t="s">
        <v>66</v>
      </c>
      <c r="AA539">
        <f t="shared" si="8"/>
        <v>21429.889999999996</v>
      </c>
      <c r="AB539">
        <f>COUNTIF($D$1:D539,D539)</f>
        <v>19</v>
      </c>
    </row>
    <row r="540" spans="1:28" x14ac:dyDescent="0.25">
      <c r="A540">
        <v>539</v>
      </c>
      <c r="B540">
        <v>184143</v>
      </c>
      <c r="C540">
        <v>24001372</v>
      </c>
      <c r="D540" t="s">
        <v>8</v>
      </c>
      <c r="E540" t="s">
        <v>89</v>
      </c>
      <c r="F540" t="s">
        <v>322</v>
      </c>
      <c r="H540" t="s">
        <v>72</v>
      </c>
      <c r="I540">
        <v>7</v>
      </c>
      <c r="J540" s="74">
        <v>45687</v>
      </c>
      <c r="K540" s="74">
        <v>45687</v>
      </c>
      <c r="L540" t="s">
        <v>190</v>
      </c>
      <c r="M540" s="74">
        <v>45688</v>
      </c>
      <c r="N540" t="s">
        <v>151</v>
      </c>
      <c r="O540" t="s">
        <v>190</v>
      </c>
      <c r="P540">
        <v>2.66</v>
      </c>
      <c r="Q540">
        <v>5.5</v>
      </c>
      <c r="R540">
        <v>18.62</v>
      </c>
      <c r="S540">
        <v>38.5</v>
      </c>
      <c r="T540" t="s">
        <v>66</v>
      </c>
      <c r="AA540">
        <f t="shared" si="8"/>
        <v>21429.889999999996</v>
      </c>
      <c r="AB540">
        <f>COUNTIF($D$1:D540,D540)</f>
        <v>20</v>
      </c>
    </row>
    <row r="541" spans="1:28" x14ac:dyDescent="0.25">
      <c r="A541">
        <v>540</v>
      </c>
      <c r="B541">
        <v>184144</v>
      </c>
      <c r="C541">
        <v>24001373</v>
      </c>
      <c r="D541" t="s">
        <v>8</v>
      </c>
      <c r="E541" t="s">
        <v>89</v>
      </c>
      <c r="F541" t="s">
        <v>321</v>
      </c>
      <c r="H541" t="s">
        <v>72</v>
      </c>
      <c r="I541">
        <v>32</v>
      </c>
      <c r="J541" s="74">
        <v>45687</v>
      </c>
      <c r="K541" s="74">
        <v>45687</v>
      </c>
      <c r="L541" t="s">
        <v>190</v>
      </c>
      <c r="M541" s="74">
        <v>45688</v>
      </c>
      <c r="N541" t="s">
        <v>151</v>
      </c>
      <c r="O541" t="s">
        <v>190</v>
      </c>
      <c r="P541">
        <v>2.83</v>
      </c>
      <c r="Q541">
        <v>5.5</v>
      </c>
      <c r="R541">
        <v>90.56</v>
      </c>
      <c r="S541">
        <v>176</v>
      </c>
      <c r="T541" t="s">
        <v>66</v>
      </c>
      <c r="AA541">
        <f t="shared" si="8"/>
        <v>21429.889999999996</v>
      </c>
      <c r="AB541">
        <f>COUNTIF($D$1:D541,D541)</f>
        <v>21</v>
      </c>
    </row>
    <row r="542" spans="1:28" x14ac:dyDescent="0.25">
      <c r="A542">
        <v>541</v>
      </c>
      <c r="B542">
        <v>184145</v>
      </c>
      <c r="C542">
        <v>24001374</v>
      </c>
      <c r="D542" t="s">
        <v>8</v>
      </c>
      <c r="E542" t="s">
        <v>89</v>
      </c>
      <c r="F542" t="s">
        <v>322</v>
      </c>
      <c r="H542" t="s">
        <v>72</v>
      </c>
      <c r="I542">
        <v>5</v>
      </c>
      <c r="J542" s="74">
        <v>45687</v>
      </c>
      <c r="K542" s="74">
        <v>45687</v>
      </c>
      <c r="L542" t="s">
        <v>190</v>
      </c>
      <c r="M542" s="74">
        <v>45688</v>
      </c>
      <c r="N542" t="s">
        <v>151</v>
      </c>
      <c r="O542" t="s">
        <v>190</v>
      </c>
      <c r="P542">
        <v>2.66</v>
      </c>
      <c r="Q542">
        <v>5.5</v>
      </c>
      <c r="R542">
        <v>13.3</v>
      </c>
      <c r="S542">
        <v>27.5</v>
      </c>
      <c r="T542" t="s">
        <v>66</v>
      </c>
      <c r="AA542">
        <f t="shared" si="8"/>
        <v>21429.889999999996</v>
      </c>
      <c r="AB542">
        <f>COUNTIF($D$1:D542,D542)</f>
        <v>22</v>
      </c>
    </row>
    <row r="543" spans="1:28" x14ac:dyDescent="0.25">
      <c r="A543">
        <v>542</v>
      </c>
      <c r="B543">
        <v>184146</v>
      </c>
      <c r="C543">
        <v>24001375</v>
      </c>
      <c r="D543" t="s">
        <v>8</v>
      </c>
      <c r="E543" t="s">
        <v>89</v>
      </c>
      <c r="F543" t="s">
        <v>321</v>
      </c>
      <c r="H543" t="s">
        <v>72</v>
      </c>
      <c r="I543">
        <v>9</v>
      </c>
      <c r="J543" s="74">
        <v>45687</v>
      </c>
      <c r="K543" s="74">
        <v>45687</v>
      </c>
      <c r="L543" t="s">
        <v>190</v>
      </c>
      <c r="M543" s="74">
        <v>45688</v>
      </c>
      <c r="N543" t="s">
        <v>151</v>
      </c>
      <c r="O543" t="s">
        <v>190</v>
      </c>
      <c r="P543">
        <v>3.31</v>
      </c>
      <c r="Q543">
        <v>5.5</v>
      </c>
      <c r="R543">
        <v>29.79</v>
      </c>
      <c r="S543">
        <v>49.5</v>
      </c>
      <c r="T543" t="s">
        <v>66</v>
      </c>
      <c r="AA543">
        <f t="shared" si="8"/>
        <v>21429.889999999996</v>
      </c>
      <c r="AB543">
        <f>COUNTIF($D$1:D543,D543)</f>
        <v>23</v>
      </c>
    </row>
    <row r="544" spans="1:28" x14ac:dyDescent="0.25">
      <c r="A544">
        <v>543</v>
      </c>
      <c r="B544">
        <v>184147</v>
      </c>
      <c r="C544">
        <v>24001376</v>
      </c>
      <c r="D544" t="s">
        <v>8</v>
      </c>
      <c r="E544" t="s">
        <v>89</v>
      </c>
      <c r="F544" t="s">
        <v>322</v>
      </c>
      <c r="H544" t="s">
        <v>72</v>
      </c>
      <c r="I544">
        <v>2</v>
      </c>
      <c r="J544" s="74">
        <v>45687</v>
      </c>
      <c r="K544" s="74">
        <v>45687</v>
      </c>
      <c r="L544" t="s">
        <v>190</v>
      </c>
      <c r="M544" s="74">
        <v>45688</v>
      </c>
      <c r="N544" t="s">
        <v>151</v>
      </c>
      <c r="O544" t="s">
        <v>190</v>
      </c>
      <c r="P544">
        <v>3.08</v>
      </c>
      <c r="Q544">
        <v>5.5</v>
      </c>
      <c r="R544">
        <v>6.16</v>
      </c>
      <c r="S544">
        <v>11</v>
      </c>
      <c r="T544" t="s">
        <v>66</v>
      </c>
      <c r="AA544">
        <f t="shared" si="8"/>
        <v>21429.889999999996</v>
      </c>
      <c r="AB544">
        <f>COUNTIF($D$1:D544,D544)</f>
        <v>24</v>
      </c>
    </row>
    <row r="545" spans="1:28" x14ac:dyDescent="0.25">
      <c r="A545">
        <v>544</v>
      </c>
      <c r="B545">
        <v>183893</v>
      </c>
      <c r="C545">
        <v>24001235</v>
      </c>
      <c r="D545" t="s">
        <v>8</v>
      </c>
      <c r="E545" t="s">
        <v>71</v>
      </c>
      <c r="F545">
        <v>910007293</v>
      </c>
      <c r="H545" t="s">
        <v>82</v>
      </c>
      <c r="I545">
        <v>2</v>
      </c>
      <c r="J545" s="74">
        <v>45660</v>
      </c>
      <c r="K545" s="74">
        <v>45673</v>
      </c>
      <c r="L545" t="s">
        <v>190</v>
      </c>
      <c r="M545" s="74">
        <v>45621</v>
      </c>
      <c r="N545" t="s">
        <v>155</v>
      </c>
      <c r="O545" t="s">
        <v>152</v>
      </c>
      <c r="P545">
        <v>2.69</v>
      </c>
      <c r="Q545">
        <v>7.85</v>
      </c>
      <c r="R545">
        <v>5.38</v>
      </c>
      <c r="S545">
        <v>15.7</v>
      </c>
      <c r="T545" t="s">
        <v>66</v>
      </c>
      <c r="AA545">
        <f t="shared" si="8"/>
        <v>21429.889999999996</v>
      </c>
      <c r="AB545">
        <f>COUNTIF($D$1:D545,D545)</f>
        <v>25</v>
      </c>
    </row>
    <row r="546" spans="1:28" x14ac:dyDescent="0.25">
      <c r="A546">
        <v>545</v>
      </c>
      <c r="B546">
        <v>183803</v>
      </c>
      <c r="C546">
        <v>24001242</v>
      </c>
      <c r="D546" t="s">
        <v>8</v>
      </c>
      <c r="E546" t="s">
        <v>71</v>
      </c>
      <c r="F546">
        <v>910010509</v>
      </c>
      <c r="H546" t="s">
        <v>82</v>
      </c>
      <c r="I546">
        <v>1108</v>
      </c>
      <c r="J546" s="74">
        <v>45673</v>
      </c>
      <c r="K546" s="74">
        <v>45685</v>
      </c>
      <c r="L546" t="s">
        <v>190</v>
      </c>
      <c r="M546" s="74">
        <v>45646</v>
      </c>
      <c r="N546" t="s">
        <v>155</v>
      </c>
      <c r="O546" t="s">
        <v>153</v>
      </c>
      <c r="P546">
        <v>3.76</v>
      </c>
      <c r="Q546">
        <v>7.27</v>
      </c>
      <c r="R546">
        <v>4166.08</v>
      </c>
      <c r="S546">
        <v>8055.16</v>
      </c>
      <c r="T546" t="s">
        <v>66</v>
      </c>
      <c r="AA546">
        <f t="shared" si="8"/>
        <v>21429.889999999996</v>
      </c>
      <c r="AB546">
        <f>COUNTIF($D$1:D546,D546)</f>
        <v>26</v>
      </c>
    </row>
    <row r="547" spans="1:28" x14ac:dyDescent="0.25">
      <c r="A547">
        <v>546</v>
      </c>
      <c r="B547">
        <v>184377</v>
      </c>
      <c r="C547">
        <v>24001338</v>
      </c>
      <c r="D547" t="s">
        <v>8</v>
      </c>
      <c r="E547" t="s">
        <v>71</v>
      </c>
      <c r="F547">
        <v>910010789</v>
      </c>
      <c r="H547" t="s">
        <v>82</v>
      </c>
      <c r="I547">
        <v>2472</v>
      </c>
      <c r="J547" s="74">
        <v>45660</v>
      </c>
      <c r="K547" s="74">
        <v>45688</v>
      </c>
      <c r="L547" t="s">
        <v>190</v>
      </c>
      <c r="M547" s="74">
        <v>45700</v>
      </c>
      <c r="N547" t="s">
        <v>151</v>
      </c>
      <c r="O547" t="s">
        <v>224</v>
      </c>
      <c r="P547">
        <v>1</v>
      </c>
      <c r="Q547">
        <v>3.75</v>
      </c>
      <c r="R547">
        <v>2472</v>
      </c>
      <c r="S547">
        <v>9270</v>
      </c>
      <c r="T547" t="s">
        <v>66</v>
      </c>
      <c r="AA547">
        <f t="shared" si="8"/>
        <v>21429.889999999996</v>
      </c>
      <c r="AB547">
        <f>COUNTIF($D$1:D547,D547)</f>
        <v>27</v>
      </c>
    </row>
    <row r="548" spans="1:28" x14ac:dyDescent="0.25">
      <c r="A548">
        <v>547</v>
      </c>
      <c r="B548">
        <v>24001347</v>
      </c>
      <c r="C548">
        <v>24001347</v>
      </c>
      <c r="D548" t="s">
        <v>8</v>
      </c>
      <c r="E548" t="s">
        <v>71</v>
      </c>
      <c r="F548">
        <v>910010817</v>
      </c>
      <c r="H548" t="s">
        <v>82</v>
      </c>
      <c r="I548">
        <v>350</v>
      </c>
      <c r="J548" s="74">
        <v>45688</v>
      </c>
      <c r="K548" s="74">
        <v>45688</v>
      </c>
      <c r="L548" t="s">
        <v>190</v>
      </c>
      <c r="M548" s="74">
        <v>45748</v>
      </c>
      <c r="N548" t="s">
        <v>151</v>
      </c>
      <c r="O548" t="s">
        <v>237</v>
      </c>
      <c r="P548">
        <v>0</v>
      </c>
      <c r="Q548">
        <v>0</v>
      </c>
      <c r="R548">
        <v>0</v>
      </c>
      <c r="S548">
        <v>0</v>
      </c>
      <c r="T548" t="s">
        <v>66</v>
      </c>
      <c r="AA548">
        <f t="shared" si="8"/>
        <v>21429.889999999996</v>
      </c>
      <c r="AB548">
        <f>COUNTIF($D$1:D548,D548)</f>
        <v>28</v>
      </c>
    </row>
    <row r="549" spans="1:28" x14ac:dyDescent="0.25">
      <c r="A549">
        <v>548</v>
      </c>
      <c r="B549">
        <v>184355</v>
      </c>
      <c r="C549">
        <v>24001351</v>
      </c>
      <c r="D549" t="s">
        <v>8</v>
      </c>
      <c r="E549" t="s">
        <v>71</v>
      </c>
      <c r="F549">
        <v>910007674</v>
      </c>
      <c r="H549" t="s">
        <v>82</v>
      </c>
      <c r="I549">
        <v>196</v>
      </c>
      <c r="J549" s="74">
        <v>45659</v>
      </c>
      <c r="K549" s="74">
        <v>45659</v>
      </c>
      <c r="L549" t="s">
        <v>190</v>
      </c>
      <c r="M549" s="74">
        <v>45828</v>
      </c>
      <c r="N549" t="s">
        <v>151</v>
      </c>
      <c r="O549" t="s">
        <v>323</v>
      </c>
      <c r="P549">
        <v>2.06</v>
      </c>
      <c r="Q549">
        <v>4.96</v>
      </c>
      <c r="R549">
        <v>403.76</v>
      </c>
      <c r="S549">
        <v>972.16</v>
      </c>
      <c r="T549" t="s">
        <v>66</v>
      </c>
      <c r="AA549">
        <f t="shared" si="8"/>
        <v>21429.889999999996</v>
      </c>
      <c r="AB549">
        <f>COUNTIF($D$1:D549,D549)</f>
        <v>29</v>
      </c>
    </row>
    <row r="550" spans="1:28" x14ac:dyDescent="0.25">
      <c r="A550">
        <v>549</v>
      </c>
      <c r="B550">
        <v>183678</v>
      </c>
      <c r="C550">
        <v>24001261</v>
      </c>
      <c r="D550" t="s">
        <v>9</v>
      </c>
      <c r="E550" t="s">
        <v>76</v>
      </c>
      <c r="F550" t="s">
        <v>183</v>
      </c>
      <c r="G550" t="s">
        <v>182</v>
      </c>
      <c r="H550" t="s">
        <v>72</v>
      </c>
      <c r="I550">
        <v>74</v>
      </c>
      <c r="J550" s="74">
        <v>45659</v>
      </c>
      <c r="K550" s="74">
        <v>45673</v>
      </c>
      <c r="L550" t="s">
        <v>190</v>
      </c>
      <c r="M550" s="74">
        <v>45617</v>
      </c>
      <c r="N550" t="s">
        <v>155</v>
      </c>
      <c r="O550" t="s">
        <v>152</v>
      </c>
      <c r="P550">
        <v>3.77</v>
      </c>
      <c r="Q550">
        <v>3.9</v>
      </c>
      <c r="R550">
        <v>278.98</v>
      </c>
      <c r="S550">
        <v>288.60000000000002</v>
      </c>
      <c r="T550" t="s">
        <v>154</v>
      </c>
      <c r="AA550">
        <f t="shared" si="8"/>
        <v>21007.08</v>
      </c>
      <c r="AB550">
        <f>COUNTIF($D$1:D550,D550)</f>
        <v>1</v>
      </c>
    </row>
    <row r="551" spans="1:28" x14ac:dyDescent="0.25">
      <c r="A551">
        <v>550</v>
      </c>
      <c r="B551">
        <v>183677</v>
      </c>
      <c r="C551">
        <v>24001260</v>
      </c>
      <c r="D551" t="s">
        <v>9</v>
      </c>
      <c r="E551" t="s">
        <v>76</v>
      </c>
      <c r="F551" t="s">
        <v>181</v>
      </c>
      <c r="G551" t="s">
        <v>182</v>
      </c>
      <c r="H551" t="s">
        <v>72</v>
      </c>
      <c r="I551">
        <v>90</v>
      </c>
      <c r="J551" s="74">
        <v>45674</v>
      </c>
      <c r="K551" s="74">
        <v>45674</v>
      </c>
      <c r="L551" t="s">
        <v>190</v>
      </c>
      <c r="M551" s="74">
        <v>45580</v>
      </c>
      <c r="N551" t="s">
        <v>155</v>
      </c>
      <c r="O551" t="s">
        <v>150</v>
      </c>
      <c r="P551">
        <v>3.57</v>
      </c>
      <c r="Q551">
        <v>3.7</v>
      </c>
      <c r="R551">
        <v>321.3</v>
      </c>
      <c r="S551">
        <v>333</v>
      </c>
      <c r="T551" t="s">
        <v>154</v>
      </c>
      <c r="AA551">
        <f t="shared" si="8"/>
        <v>21007.08</v>
      </c>
      <c r="AB551">
        <f>COUNTIF($D$1:D551,D551)</f>
        <v>2</v>
      </c>
    </row>
    <row r="552" spans="1:28" x14ac:dyDescent="0.25">
      <c r="A552">
        <v>551</v>
      </c>
      <c r="B552">
        <v>184358</v>
      </c>
      <c r="C552">
        <v>24001276</v>
      </c>
      <c r="D552" t="s">
        <v>9</v>
      </c>
      <c r="E552" t="s">
        <v>71</v>
      </c>
      <c r="F552">
        <v>910010733</v>
      </c>
      <c r="H552" t="s">
        <v>72</v>
      </c>
      <c r="I552">
        <v>3</v>
      </c>
      <c r="J552" s="74">
        <v>45674</v>
      </c>
      <c r="K552" s="74">
        <v>45674</v>
      </c>
      <c r="L552" t="s">
        <v>190</v>
      </c>
      <c r="M552" s="74">
        <v>45718</v>
      </c>
      <c r="N552" t="s">
        <v>151</v>
      </c>
      <c r="O552" t="s">
        <v>226</v>
      </c>
      <c r="P552">
        <v>3.44</v>
      </c>
      <c r="Q552">
        <v>7.33</v>
      </c>
      <c r="R552">
        <v>10.32</v>
      </c>
      <c r="S552">
        <v>21.99</v>
      </c>
      <c r="T552" t="s">
        <v>66</v>
      </c>
      <c r="AA552">
        <f t="shared" si="8"/>
        <v>21007.08</v>
      </c>
      <c r="AB552">
        <f>COUNTIF($D$1:D552,D552)</f>
        <v>3</v>
      </c>
    </row>
    <row r="553" spans="1:28" x14ac:dyDescent="0.25">
      <c r="A553">
        <v>552</v>
      </c>
      <c r="B553">
        <v>183996</v>
      </c>
      <c r="C553">
        <v>24001230</v>
      </c>
      <c r="D553" t="s">
        <v>9</v>
      </c>
      <c r="E553" t="s">
        <v>71</v>
      </c>
      <c r="F553">
        <v>910010189</v>
      </c>
      <c r="H553" t="s">
        <v>72</v>
      </c>
      <c r="I553">
        <v>20</v>
      </c>
      <c r="J553" s="74">
        <v>45673</v>
      </c>
      <c r="K553" s="74">
        <v>45674</v>
      </c>
      <c r="L553" t="s">
        <v>190</v>
      </c>
      <c r="M553" s="74">
        <v>45659</v>
      </c>
      <c r="N553" t="s">
        <v>155</v>
      </c>
      <c r="O553" t="s">
        <v>190</v>
      </c>
      <c r="P553">
        <v>4.1100000000000003</v>
      </c>
      <c r="Q553">
        <v>8.8800000000000008</v>
      </c>
      <c r="R553">
        <v>82.2</v>
      </c>
      <c r="S553">
        <v>177.6</v>
      </c>
      <c r="T553" t="s">
        <v>66</v>
      </c>
      <c r="AA553">
        <f t="shared" si="8"/>
        <v>21007.08</v>
      </c>
      <c r="AB553">
        <f>COUNTIF($D$1:D553,D553)</f>
        <v>4</v>
      </c>
    </row>
    <row r="554" spans="1:28" x14ac:dyDescent="0.25">
      <c r="A554">
        <v>553</v>
      </c>
      <c r="B554">
        <v>184404</v>
      </c>
      <c r="C554">
        <v>24001559</v>
      </c>
      <c r="D554" t="s">
        <v>9</v>
      </c>
      <c r="E554" t="s">
        <v>81</v>
      </c>
      <c r="F554" t="s">
        <v>425</v>
      </c>
      <c r="G554">
        <v>16219</v>
      </c>
      <c r="H554" t="s">
        <v>72</v>
      </c>
      <c r="I554">
        <v>600</v>
      </c>
      <c r="J554" s="74">
        <v>45660</v>
      </c>
      <c r="K554" s="74">
        <v>45674</v>
      </c>
      <c r="L554" t="s">
        <v>190</v>
      </c>
      <c r="M554" s="74">
        <v>45691</v>
      </c>
      <c r="N554" t="s">
        <v>151</v>
      </c>
      <c r="O554" t="s">
        <v>224</v>
      </c>
      <c r="P554">
        <v>4.8499999999999996</v>
      </c>
      <c r="Q554">
        <v>5.0999999999999996</v>
      </c>
      <c r="R554">
        <v>2910</v>
      </c>
      <c r="S554">
        <v>3060</v>
      </c>
      <c r="T554" t="s">
        <v>154</v>
      </c>
      <c r="AA554">
        <f t="shared" si="8"/>
        <v>21007.08</v>
      </c>
      <c r="AB554">
        <f>COUNTIF($D$1:D554,D554)</f>
        <v>5</v>
      </c>
    </row>
    <row r="555" spans="1:28" x14ac:dyDescent="0.25">
      <c r="A555">
        <v>554</v>
      </c>
      <c r="B555">
        <v>184400</v>
      </c>
      <c r="C555">
        <v>24001555</v>
      </c>
      <c r="D555" t="s">
        <v>9</v>
      </c>
      <c r="E555" t="s">
        <v>81</v>
      </c>
      <c r="F555" t="s">
        <v>426</v>
      </c>
      <c r="G555">
        <v>16206</v>
      </c>
      <c r="H555" t="s">
        <v>72</v>
      </c>
      <c r="I555">
        <v>2820</v>
      </c>
      <c r="J555" s="74">
        <v>45667</v>
      </c>
      <c r="K555" s="74">
        <v>45688</v>
      </c>
      <c r="L555" t="s">
        <v>190</v>
      </c>
      <c r="M555" s="74">
        <v>45726</v>
      </c>
      <c r="N555" t="s">
        <v>151</v>
      </c>
      <c r="O555" t="s">
        <v>226</v>
      </c>
      <c r="P555">
        <v>2.95</v>
      </c>
      <c r="Q555">
        <v>3.2</v>
      </c>
      <c r="R555">
        <v>8319</v>
      </c>
      <c r="S555">
        <v>9024</v>
      </c>
      <c r="T555" t="s">
        <v>154</v>
      </c>
      <c r="AA555">
        <f t="shared" si="8"/>
        <v>21007.08</v>
      </c>
      <c r="AB555">
        <f>COUNTIF($D$1:D555,D555)</f>
        <v>6</v>
      </c>
    </row>
    <row r="556" spans="1:28" x14ac:dyDescent="0.25">
      <c r="A556">
        <v>555</v>
      </c>
      <c r="B556">
        <v>184359</v>
      </c>
      <c r="C556">
        <v>24001277</v>
      </c>
      <c r="D556" t="s">
        <v>9</v>
      </c>
      <c r="E556" t="s">
        <v>71</v>
      </c>
      <c r="F556">
        <v>910010731</v>
      </c>
      <c r="H556" t="s">
        <v>77</v>
      </c>
      <c r="I556">
        <v>13</v>
      </c>
      <c r="J556" s="74">
        <v>45659</v>
      </c>
      <c r="K556" s="74">
        <v>45673</v>
      </c>
      <c r="L556" t="s">
        <v>190</v>
      </c>
      <c r="M556" s="74">
        <v>45718</v>
      </c>
      <c r="N556" t="s">
        <v>151</v>
      </c>
      <c r="O556" t="s">
        <v>226</v>
      </c>
      <c r="P556">
        <v>2.81</v>
      </c>
      <c r="Q556">
        <v>5.41</v>
      </c>
      <c r="R556">
        <v>36.53</v>
      </c>
      <c r="S556">
        <v>70.33</v>
      </c>
      <c r="T556" t="s">
        <v>66</v>
      </c>
      <c r="AA556">
        <f t="shared" si="8"/>
        <v>21007.08</v>
      </c>
      <c r="AB556">
        <f>COUNTIF($D$1:D556,D556)</f>
        <v>7</v>
      </c>
    </row>
    <row r="557" spans="1:28" x14ac:dyDescent="0.25">
      <c r="A557">
        <v>556</v>
      </c>
      <c r="B557">
        <v>184401</v>
      </c>
      <c r="C557">
        <v>24001556</v>
      </c>
      <c r="D557" t="s">
        <v>9</v>
      </c>
      <c r="E557" t="s">
        <v>81</v>
      </c>
      <c r="F557" t="s">
        <v>427</v>
      </c>
      <c r="G557">
        <v>16209</v>
      </c>
      <c r="H557" t="s">
        <v>77</v>
      </c>
      <c r="I557">
        <v>3175</v>
      </c>
      <c r="J557" s="74">
        <v>45663</v>
      </c>
      <c r="K557" s="74">
        <v>45688</v>
      </c>
      <c r="L557" t="s">
        <v>190</v>
      </c>
      <c r="M557" s="74">
        <v>45726</v>
      </c>
      <c r="N557" t="s">
        <v>151</v>
      </c>
      <c r="O557" t="s">
        <v>226</v>
      </c>
      <c r="P557">
        <v>2.85</v>
      </c>
      <c r="Q557">
        <v>3.1</v>
      </c>
      <c r="R557">
        <v>9048.75</v>
      </c>
      <c r="S557">
        <v>9842.5</v>
      </c>
      <c r="T557" t="s">
        <v>154</v>
      </c>
      <c r="AA557">
        <f t="shared" si="8"/>
        <v>21007.08</v>
      </c>
      <c r="AB557">
        <f>COUNTIF($D$1:D557,D557)</f>
        <v>8</v>
      </c>
    </row>
    <row r="558" spans="1:28" x14ac:dyDescent="0.25">
      <c r="A558">
        <v>557</v>
      </c>
      <c r="B558">
        <v>182560</v>
      </c>
      <c r="C558">
        <v>23001634</v>
      </c>
      <c r="D558" t="s">
        <v>10</v>
      </c>
      <c r="E558" t="s">
        <v>71</v>
      </c>
      <c r="F558">
        <v>910008640</v>
      </c>
      <c r="H558" t="s">
        <v>72</v>
      </c>
      <c r="I558">
        <v>67</v>
      </c>
      <c r="J558" s="74">
        <v>45659</v>
      </c>
      <c r="K558" s="74">
        <v>45673</v>
      </c>
      <c r="L558" t="s">
        <v>190</v>
      </c>
      <c r="M558" s="74">
        <v>45436</v>
      </c>
      <c r="N558" t="s">
        <v>155</v>
      </c>
      <c r="O558" t="s">
        <v>324</v>
      </c>
      <c r="P558">
        <v>4.5</v>
      </c>
      <c r="Q558">
        <v>10.67</v>
      </c>
      <c r="R558">
        <v>301.5</v>
      </c>
      <c r="S558">
        <v>714.89</v>
      </c>
      <c r="T558" t="s">
        <v>66</v>
      </c>
      <c r="AA558">
        <f t="shared" si="8"/>
        <v>71678.37000000001</v>
      </c>
      <c r="AB558">
        <f>COUNTIF($D$1:D558,D558)</f>
        <v>1</v>
      </c>
    </row>
    <row r="559" spans="1:28" x14ac:dyDescent="0.25">
      <c r="A559">
        <v>558</v>
      </c>
      <c r="B559">
        <v>184130</v>
      </c>
      <c r="C559">
        <v>24001426</v>
      </c>
      <c r="D559" t="s">
        <v>10</v>
      </c>
      <c r="E559" t="s">
        <v>97</v>
      </c>
      <c r="F559" t="s">
        <v>325</v>
      </c>
      <c r="G559" t="s">
        <v>326</v>
      </c>
      <c r="H559" t="s">
        <v>72</v>
      </c>
      <c r="I559">
        <v>4490</v>
      </c>
      <c r="J559" s="74">
        <v>45665</v>
      </c>
      <c r="K559" s="74">
        <v>45685</v>
      </c>
      <c r="L559" t="s">
        <v>190</v>
      </c>
      <c r="M559" s="74">
        <v>45698</v>
      </c>
      <c r="N559" t="s">
        <v>151</v>
      </c>
      <c r="O559" t="s">
        <v>224</v>
      </c>
      <c r="P559">
        <v>1.23</v>
      </c>
      <c r="Q559">
        <v>2.19</v>
      </c>
      <c r="R559">
        <v>5522.7</v>
      </c>
      <c r="S559">
        <v>9833.1</v>
      </c>
      <c r="T559" t="s">
        <v>66</v>
      </c>
      <c r="AA559">
        <f t="shared" si="8"/>
        <v>71678.37000000001</v>
      </c>
      <c r="AB559">
        <f>COUNTIF($D$1:D559,D559)</f>
        <v>2</v>
      </c>
    </row>
    <row r="560" spans="1:28" x14ac:dyDescent="0.25">
      <c r="A560">
        <v>559</v>
      </c>
      <c r="B560">
        <v>184129</v>
      </c>
      <c r="C560">
        <v>24001412</v>
      </c>
      <c r="D560" t="s">
        <v>10</v>
      </c>
      <c r="E560" t="s">
        <v>97</v>
      </c>
      <c r="F560" t="s">
        <v>428</v>
      </c>
      <c r="G560" t="s">
        <v>429</v>
      </c>
      <c r="H560" t="s">
        <v>72</v>
      </c>
      <c r="I560">
        <v>1501</v>
      </c>
      <c r="J560" s="74">
        <v>45672</v>
      </c>
      <c r="K560" s="74">
        <v>45688</v>
      </c>
      <c r="L560" t="s">
        <v>190</v>
      </c>
      <c r="M560" s="74">
        <v>45684</v>
      </c>
      <c r="N560" t="s">
        <v>155</v>
      </c>
      <c r="O560" t="s">
        <v>190</v>
      </c>
      <c r="P560">
        <v>0.28999999999999998</v>
      </c>
      <c r="Q560">
        <v>1.45</v>
      </c>
      <c r="R560">
        <v>435.29</v>
      </c>
      <c r="S560">
        <v>2176.4499999999998</v>
      </c>
      <c r="T560" t="s">
        <v>66</v>
      </c>
      <c r="AA560">
        <f t="shared" si="8"/>
        <v>71678.37000000001</v>
      </c>
      <c r="AB560">
        <f>COUNTIF($D$1:D560,D560)</f>
        <v>3</v>
      </c>
    </row>
    <row r="561" spans="1:28" x14ac:dyDescent="0.25">
      <c r="A561">
        <v>560</v>
      </c>
      <c r="B561">
        <v>184123</v>
      </c>
      <c r="C561">
        <v>24001406</v>
      </c>
      <c r="D561" t="s">
        <v>10</v>
      </c>
      <c r="E561" t="s">
        <v>97</v>
      </c>
      <c r="F561" t="s">
        <v>430</v>
      </c>
      <c r="G561" t="s">
        <v>431</v>
      </c>
      <c r="H561" t="s">
        <v>72</v>
      </c>
      <c r="I561">
        <v>4070</v>
      </c>
      <c r="J561" s="74">
        <v>45665</v>
      </c>
      <c r="K561" s="74">
        <v>45672</v>
      </c>
      <c r="L561" t="s">
        <v>190</v>
      </c>
      <c r="M561" s="74">
        <v>45684</v>
      </c>
      <c r="N561" t="s">
        <v>151</v>
      </c>
      <c r="O561" t="s">
        <v>190</v>
      </c>
      <c r="P561">
        <v>0.28999999999999998</v>
      </c>
      <c r="Q561">
        <v>1.3</v>
      </c>
      <c r="R561">
        <v>1180.3</v>
      </c>
      <c r="S561">
        <v>5291</v>
      </c>
      <c r="T561" t="s">
        <v>66</v>
      </c>
      <c r="AA561">
        <f t="shared" si="8"/>
        <v>71678.37000000001</v>
      </c>
      <c r="AB561">
        <f>COUNTIF($D$1:D561,D561)</f>
        <v>4</v>
      </c>
    </row>
    <row r="562" spans="1:28" x14ac:dyDescent="0.25">
      <c r="A562">
        <v>561</v>
      </c>
      <c r="B562">
        <v>184116</v>
      </c>
      <c r="C562">
        <v>24001400</v>
      </c>
      <c r="D562" t="s">
        <v>10</v>
      </c>
      <c r="E562" t="s">
        <v>97</v>
      </c>
      <c r="F562" t="s">
        <v>432</v>
      </c>
      <c r="G562" t="s">
        <v>433</v>
      </c>
      <c r="H562" t="s">
        <v>72</v>
      </c>
      <c r="I562">
        <v>2620</v>
      </c>
      <c r="J562" s="74">
        <v>45663</v>
      </c>
      <c r="K562" s="74">
        <v>45666</v>
      </c>
      <c r="L562" t="s">
        <v>190</v>
      </c>
      <c r="M562" s="74">
        <v>45672</v>
      </c>
      <c r="N562" t="s">
        <v>151</v>
      </c>
      <c r="O562" t="s">
        <v>190</v>
      </c>
      <c r="P562">
        <v>0.28999999999999998</v>
      </c>
      <c r="Q562">
        <v>1.18</v>
      </c>
      <c r="R562">
        <v>759.8</v>
      </c>
      <c r="S562">
        <v>3091.6</v>
      </c>
      <c r="T562" t="s">
        <v>66</v>
      </c>
      <c r="AA562">
        <f t="shared" si="8"/>
        <v>71678.37000000001</v>
      </c>
      <c r="AB562">
        <f>COUNTIF($D$1:D562,D562)</f>
        <v>5</v>
      </c>
    </row>
    <row r="563" spans="1:28" x14ac:dyDescent="0.25">
      <c r="A563">
        <v>562</v>
      </c>
      <c r="B563">
        <v>184110</v>
      </c>
      <c r="C563">
        <v>24001396</v>
      </c>
      <c r="D563" t="s">
        <v>10</v>
      </c>
      <c r="E563" t="s">
        <v>97</v>
      </c>
      <c r="F563" t="s">
        <v>434</v>
      </c>
      <c r="G563" t="s">
        <v>435</v>
      </c>
      <c r="H563" t="s">
        <v>72</v>
      </c>
      <c r="I563">
        <v>1510</v>
      </c>
      <c r="J563" s="74">
        <v>45659</v>
      </c>
      <c r="K563" s="74">
        <v>45663</v>
      </c>
      <c r="L563" t="s">
        <v>190</v>
      </c>
      <c r="M563" s="74">
        <v>45672</v>
      </c>
      <c r="N563" t="s">
        <v>151</v>
      </c>
      <c r="O563" t="s">
        <v>190</v>
      </c>
      <c r="P563">
        <v>0.28999999999999998</v>
      </c>
      <c r="Q563">
        <v>1.18</v>
      </c>
      <c r="R563">
        <v>437.9</v>
      </c>
      <c r="S563">
        <v>1781.8</v>
      </c>
      <c r="T563" t="s">
        <v>66</v>
      </c>
      <c r="AA563">
        <f t="shared" si="8"/>
        <v>71678.37000000001</v>
      </c>
      <c r="AB563">
        <f>COUNTIF($D$1:D563,D563)</f>
        <v>6</v>
      </c>
    </row>
    <row r="564" spans="1:28" x14ac:dyDescent="0.25">
      <c r="A564">
        <v>563</v>
      </c>
      <c r="B564">
        <v>184125</v>
      </c>
      <c r="C564">
        <v>24001408</v>
      </c>
      <c r="D564" t="s">
        <v>10</v>
      </c>
      <c r="E564" t="s">
        <v>97</v>
      </c>
      <c r="F564" t="s">
        <v>329</v>
      </c>
      <c r="G564" t="s">
        <v>330</v>
      </c>
      <c r="H564" t="s">
        <v>72</v>
      </c>
      <c r="I564">
        <v>745</v>
      </c>
      <c r="J564" s="74">
        <v>45663</v>
      </c>
      <c r="K564" s="74">
        <v>45675</v>
      </c>
      <c r="L564" t="s">
        <v>190</v>
      </c>
      <c r="M564" s="74">
        <v>45672</v>
      </c>
      <c r="N564" t="s">
        <v>155</v>
      </c>
      <c r="O564" t="s">
        <v>190</v>
      </c>
      <c r="P564">
        <v>0.28999999999999998</v>
      </c>
      <c r="Q564">
        <v>1.3</v>
      </c>
      <c r="R564">
        <v>216.05</v>
      </c>
      <c r="S564">
        <v>968.5</v>
      </c>
      <c r="T564" t="s">
        <v>66</v>
      </c>
      <c r="AA564">
        <f t="shared" si="8"/>
        <v>71678.37000000001</v>
      </c>
      <c r="AB564">
        <f>COUNTIF($D$1:D564,D564)</f>
        <v>7</v>
      </c>
    </row>
    <row r="565" spans="1:28" x14ac:dyDescent="0.25">
      <c r="A565">
        <v>564</v>
      </c>
      <c r="B565">
        <v>184120</v>
      </c>
      <c r="C565">
        <v>24001403</v>
      </c>
      <c r="D565" t="s">
        <v>10</v>
      </c>
      <c r="E565" t="s">
        <v>97</v>
      </c>
      <c r="F565" t="s">
        <v>436</v>
      </c>
      <c r="G565" t="s">
        <v>437</v>
      </c>
      <c r="H565" t="s">
        <v>72</v>
      </c>
      <c r="I565">
        <v>837</v>
      </c>
      <c r="J565" s="74">
        <v>45659</v>
      </c>
      <c r="K565" s="74">
        <v>45664</v>
      </c>
      <c r="L565" t="s">
        <v>190</v>
      </c>
      <c r="M565" s="74">
        <v>45672</v>
      </c>
      <c r="N565" t="s">
        <v>151</v>
      </c>
      <c r="O565" t="s">
        <v>190</v>
      </c>
      <c r="P565">
        <v>0.28999999999999998</v>
      </c>
      <c r="Q565">
        <v>1.42</v>
      </c>
      <c r="R565">
        <v>242.73</v>
      </c>
      <c r="S565">
        <v>1188.54</v>
      </c>
      <c r="T565" t="s">
        <v>66</v>
      </c>
      <c r="AA565">
        <f t="shared" si="8"/>
        <v>71678.37000000001</v>
      </c>
      <c r="AB565">
        <f>COUNTIF($D$1:D565,D565)</f>
        <v>8</v>
      </c>
    </row>
    <row r="566" spans="1:28" x14ac:dyDescent="0.25">
      <c r="A566">
        <v>565</v>
      </c>
      <c r="B566">
        <v>184760</v>
      </c>
      <c r="C566">
        <v>24001621</v>
      </c>
      <c r="D566" t="s">
        <v>10</v>
      </c>
      <c r="E566" t="s">
        <v>97</v>
      </c>
      <c r="F566" t="s">
        <v>438</v>
      </c>
      <c r="G566" t="s">
        <v>186</v>
      </c>
      <c r="H566" t="s">
        <v>72</v>
      </c>
      <c r="I566">
        <v>600</v>
      </c>
      <c r="J566" s="74">
        <v>45688</v>
      </c>
      <c r="K566" s="74">
        <v>45688</v>
      </c>
      <c r="L566" t="s">
        <v>190</v>
      </c>
      <c r="M566" s="74">
        <v>45768</v>
      </c>
      <c r="N566" t="s">
        <v>151</v>
      </c>
      <c r="O566" t="s">
        <v>237</v>
      </c>
      <c r="P566">
        <v>0.48</v>
      </c>
      <c r="Q566">
        <v>0</v>
      </c>
      <c r="R566">
        <v>288</v>
      </c>
      <c r="S566">
        <v>0</v>
      </c>
      <c r="T566" t="s">
        <v>66</v>
      </c>
      <c r="AA566">
        <f t="shared" si="8"/>
        <v>71678.37000000001</v>
      </c>
      <c r="AB566">
        <f>COUNTIF($D$1:D566,D566)</f>
        <v>9</v>
      </c>
    </row>
    <row r="567" spans="1:28" x14ac:dyDescent="0.25">
      <c r="A567">
        <v>566</v>
      </c>
      <c r="B567">
        <v>184130</v>
      </c>
      <c r="C567">
        <v>24001426</v>
      </c>
      <c r="D567" t="s">
        <v>10</v>
      </c>
      <c r="E567" t="s">
        <v>97</v>
      </c>
      <c r="F567" t="s">
        <v>325</v>
      </c>
      <c r="G567" t="s">
        <v>326</v>
      </c>
      <c r="H567" t="s">
        <v>82</v>
      </c>
      <c r="I567">
        <v>4500</v>
      </c>
      <c r="J567" s="74">
        <v>45664</v>
      </c>
      <c r="K567" s="74">
        <v>45680</v>
      </c>
      <c r="L567" t="s">
        <v>190</v>
      </c>
      <c r="M567" s="74">
        <v>45698</v>
      </c>
      <c r="N567" t="s">
        <v>151</v>
      </c>
      <c r="O567" t="s">
        <v>224</v>
      </c>
      <c r="P567">
        <v>1.23</v>
      </c>
      <c r="Q567">
        <v>2.19</v>
      </c>
      <c r="R567">
        <v>5535</v>
      </c>
      <c r="S567">
        <v>9855</v>
      </c>
      <c r="T567" t="s">
        <v>66</v>
      </c>
      <c r="AA567">
        <f t="shared" si="8"/>
        <v>71678.37000000001</v>
      </c>
      <c r="AB567">
        <f>COUNTIF($D$1:D567,D567)</f>
        <v>10</v>
      </c>
    </row>
    <row r="568" spans="1:28" x14ac:dyDescent="0.25">
      <c r="A568">
        <v>567</v>
      </c>
      <c r="B568">
        <v>184129</v>
      </c>
      <c r="C568">
        <v>24001412</v>
      </c>
      <c r="D568" t="s">
        <v>10</v>
      </c>
      <c r="E568" t="s">
        <v>97</v>
      </c>
      <c r="F568" t="s">
        <v>428</v>
      </c>
      <c r="G568" t="s">
        <v>429</v>
      </c>
      <c r="H568" t="s">
        <v>82</v>
      </c>
      <c r="I568">
        <v>1500</v>
      </c>
      <c r="J568" s="74">
        <v>45671</v>
      </c>
      <c r="K568" s="74">
        <v>45688</v>
      </c>
      <c r="L568" t="s">
        <v>190</v>
      </c>
      <c r="M568" s="74">
        <v>45684</v>
      </c>
      <c r="N568" t="s">
        <v>155</v>
      </c>
      <c r="O568" t="s">
        <v>190</v>
      </c>
      <c r="P568">
        <v>0.28999999999999998</v>
      </c>
      <c r="Q568">
        <v>1.45</v>
      </c>
      <c r="R568">
        <v>435</v>
      </c>
      <c r="S568">
        <v>2175</v>
      </c>
      <c r="T568" t="s">
        <v>66</v>
      </c>
      <c r="AA568">
        <f t="shared" si="8"/>
        <v>71678.37000000001</v>
      </c>
      <c r="AB568">
        <f>COUNTIF($D$1:D568,D568)</f>
        <v>11</v>
      </c>
    </row>
    <row r="569" spans="1:28" x14ac:dyDescent="0.25">
      <c r="A569">
        <v>568</v>
      </c>
      <c r="B569">
        <v>184123</v>
      </c>
      <c r="C569">
        <v>24001406</v>
      </c>
      <c r="D569" t="s">
        <v>10</v>
      </c>
      <c r="E569" t="s">
        <v>97</v>
      </c>
      <c r="F569" t="s">
        <v>430</v>
      </c>
      <c r="G569" t="s">
        <v>431</v>
      </c>
      <c r="H569" t="s">
        <v>82</v>
      </c>
      <c r="I569">
        <v>3500</v>
      </c>
      <c r="J569" s="74">
        <v>45666</v>
      </c>
      <c r="K569" s="74">
        <v>45685</v>
      </c>
      <c r="L569" t="s">
        <v>190</v>
      </c>
      <c r="M569" s="74">
        <v>45684</v>
      </c>
      <c r="N569" t="s">
        <v>155</v>
      </c>
      <c r="O569" t="s">
        <v>190</v>
      </c>
      <c r="P569">
        <v>0.28999999999999998</v>
      </c>
      <c r="Q569">
        <v>1.3</v>
      </c>
      <c r="R569">
        <v>1015</v>
      </c>
      <c r="S569">
        <v>4550</v>
      </c>
      <c r="T569" t="s">
        <v>66</v>
      </c>
      <c r="AA569">
        <f t="shared" si="8"/>
        <v>71678.37000000001</v>
      </c>
      <c r="AB569">
        <f>COUNTIF($D$1:D569,D569)</f>
        <v>12</v>
      </c>
    </row>
    <row r="570" spans="1:28" x14ac:dyDescent="0.25">
      <c r="A570">
        <v>569</v>
      </c>
      <c r="B570">
        <v>184116</v>
      </c>
      <c r="C570">
        <v>24001400</v>
      </c>
      <c r="D570" t="s">
        <v>10</v>
      </c>
      <c r="E570" t="s">
        <v>97</v>
      </c>
      <c r="F570" t="s">
        <v>432</v>
      </c>
      <c r="G570" t="s">
        <v>433</v>
      </c>
      <c r="H570" t="s">
        <v>82</v>
      </c>
      <c r="I570">
        <v>2420</v>
      </c>
      <c r="J570" s="74">
        <v>45664</v>
      </c>
      <c r="K570" s="74">
        <v>45685</v>
      </c>
      <c r="L570" t="s">
        <v>190</v>
      </c>
      <c r="M570" s="74">
        <v>45672</v>
      </c>
      <c r="N570" t="s">
        <v>155</v>
      </c>
      <c r="O570" t="s">
        <v>190</v>
      </c>
      <c r="P570">
        <v>0.28999999999999998</v>
      </c>
      <c r="Q570">
        <v>1.18</v>
      </c>
      <c r="R570">
        <v>701.8</v>
      </c>
      <c r="S570">
        <v>2855.6</v>
      </c>
      <c r="T570" t="s">
        <v>66</v>
      </c>
      <c r="AA570">
        <f t="shared" si="8"/>
        <v>71678.37000000001</v>
      </c>
      <c r="AB570">
        <f>COUNTIF($D$1:D570,D570)</f>
        <v>13</v>
      </c>
    </row>
    <row r="571" spans="1:28" x14ac:dyDescent="0.25">
      <c r="A571">
        <v>570</v>
      </c>
      <c r="B571">
        <v>184110</v>
      </c>
      <c r="C571">
        <v>24001396</v>
      </c>
      <c r="D571" t="s">
        <v>10</v>
      </c>
      <c r="E571" t="s">
        <v>97</v>
      </c>
      <c r="F571" t="s">
        <v>434</v>
      </c>
      <c r="G571" t="s">
        <v>435</v>
      </c>
      <c r="H571" t="s">
        <v>82</v>
      </c>
      <c r="I571">
        <v>1378</v>
      </c>
      <c r="J571" s="74">
        <v>45659</v>
      </c>
      <c r="K571" s="74">
        <v>45663</v>
      </c>
      <c r="L571" t="s">
        <v>190</v>
      </c>
      <c r="M571" s="74">
        <v>45672</v>
      </c>
      <c r="N571" t="s">
        <v>151</v>
      </c>
      <c r="O571" t="s">
        <v>190</v>
      </c>
      <c r="P571">
        <v>0.28999999999999998</v>
      </c>
      <c r="Q571">
        <v>1.18</v>
      </c>
      <c r="R571">
        <v>399.62</v>
      </c>
      <c r="S571">
        <v>1626.04</v>
      </c>
      <c r="T571" t="s">
        <v>66</v>
      </c>
      <c r="AA571">
        <f t="shared" si="8"/>
        <v>71678.37000000001</v>
      </c>
      <c r="AB571">
        <f>COUNTIF($D$1:D571,D571)</f>
        <v>14</v>
      </c>
    </row>
    <row r="572" spans="1:28" x14ac:dyDescent="0.25">
      <c r="A572">
        <v>571</v>
      </c>
      <c r="B572">
        <v>184120</v>
      </c>
      <c r="C572">
        <v>24001403</v>
      </c>
      <c r="D572" t="s">
        <v>10</v>
      </c>
      <c r="E572" t="s">
        <v>97</v>
      </c>
      <c r="F572" t="s">
        <v>436</v>
      </c>
      <c r="G572" t="s">
        <v>437</v>
      </c>
      <c r="H572" t="s">
        <v>82</v>
      </c>
      <c r="I572">
        <v>993</v>
      </c>
      <c r="J572" s="74">
        <v>45663</v>
      </c>
      <c r="K572" s="74">
        <v>45687</v>
      </c>
      <c r="L572" t="s">
        <v>190</v>
      </c>
      <c r="M572" s="74">
        <v>45672</v>
      </c>
      <c r="N572" t="s">
        <v>155</v>
      </c>
      <c r="O572" t="s">
        <v>190</v>
      </c>
      <c r="P572">
        <v>0.28999999999999998</v>
      </c>
      <c r="Q572">
        <v>1.42</v>
      </c>
      <c r="R572">
        <v>287.97000000000003</v>
      </c>
      <c r="S572">
        <v>1410.06</v>
      </c>
      <c r="T572" t="s">
        <v>66</v>
      </c>
      <c r="AA572">
        <f t="shared" si="8"/>
        <v>71678.37000000001</v>
      </c>
      <c r="AB572">
        <f>COUNTIF($D$1:D572,D572)</f>
        <v>15</v>
      </c>
    </row>
    <row r="573" spans="1:28" x14ac:dyDescent="0.25">
      <c r="A573">
        <v>572</v>
      </c>
      <c r="B573">
        <v>184760</v>
      </c>
      <c r="C573">
        <v>24001621</v>
      </c>
      <c r="D573" t="s">
        <v>10</v>
      </c>
      <c r="E573" t="s">
        <v>97</v>
      </c>
      <c r="F573" t="s">
        <v>438</v>
      </c>
      <c r="G573" t="s">
        <v>186</v>
      </c>
      <c r="H573" t="s">
        <v>82</v>
      </c>
      <c r="I573">
        <v>360</v>
      </c>
      <c r="J573" s="74">
        <v>45688</v>
      </c>
      <c r="K573" s="74">
        <v>45688</v>
      </c>
      <c r="L573" t="s">
        <v>190</v>
      </c>
      <c r="M573" s="74">
        <v>45768</v>
      </c>
      <c r="N573" t="s">
        <v>151</v>
      </c>
      <c r="O573" t="s">
        <v>237</v>
      </c>
      <c r="P573">
        <v>0.48</v>
      </c>
      <c r="Q573">
        <v>0</v>
      </c>
      <c r="R573">
        <v>172.8</v>
      </c>
      <c r="S573">
        <v>0</v>
      </c>
      <c r="T573" t="s">
        <v>66</v>
      </c>
      <c r="AA573">
        <f t="shared" si="8"/>
        <v>71678.37000000001</v>
      </c>
      <c r="AB573">
        <f>COUNTIF($D$1:D573,D573)</f>
        <v>16</v>
      </c>
    </row>
    <row r="574" spans="1:28" x14ac:dyDescent="0.25">
      <c r="A574">
        <v>573</v>
      </c>
      <c r="B574">
        <v>184125</v>
      </c>
      <c r="C574">
        <v>24001408</v>
      </c>
      <c r="D574" t="s">
        <v>10</v>
      </c>
      <c r="E574" t="s">
        <v>97</v>
      </c>
      <c r="F574" t="s">
        <v>329</v>
      </c>
      <c r="G574" t="s">
        <v>330</v>
      </c>
      <c r="H574" t="s">
        <v>82</v>
      </c>
      <c r="I574">
        <v>745</v>
      </c>
      <c r="J574" s="74">
        <v>45680</v>
      </c>
      <c r="K574" s="74">
        <v>45681</v>
      </c>
      <c r="L574" t="s">
        <v>190</v>
      </c>
      <c r="M574" s="74">
        <v>45628</v>
      </c>
      <c r="N574" t="s">
        <v>155</v>
      </c>
      <c r="O574" t="s">
        <v>153</v>
      </c>
      <c r="P574">
        <v>0.28999999999999998</v>
      </c>
      <c r="Q574">
        <v>1.3</v>
      </c>
      <c r="R574">
        <v>216.05</v>
      </c>
      <c r="S574">
        <v>968.5</v>
      </c>
      <c r="T574" t="s">
        <v>66</v>
      </c>
      <c r="AA574">
        <f t="shared" si="8"/>
        <v>71678.37000000001</v>
      </c>
      <c r="AB574">
        <f>COUNTIF($D$1:D574,D574)</f>
        <v>17</v>
      </c>
    </row>
    <row r="575" spans="1:28" x14ac:dyDescent="0.25">
      <c r="A575">
        <v>574</v>
      </c>
      <c r="B575">
        <v>184071</v>
      </c>
      <c r="C575">
        <v>24001268</v>
      </c>
      <c r="D575" t="s">
        <v>10</v>
      </c>
      <c r="E575" t="s">
        <v>93</v>
      </c>
      <c r="F575" t="s">
        <v>230</v>
      </c>
      <c r="G575" t="s">
        <v>231</v>
      </c>
      <c r="H575" t="s">
        <v>77</v>
      </c>
      <c r="I575">
        <v>594</v>
      </c>
      <c r="J575" s="74">
        <v>45659</v>
      </c>
      <c r="K575" s="74">
        <v>45673</v>
      </c>
      <c r="L575" t="s">
        <v>190</v>
      </c>
      <c r="M575" s="74">
        <v>45680</v>
      </c>
      <c r="N575" t="s">
        <v>151</v>
      </c>
      <c r="O575" t="s">
        <v>190</v>
      </c>
      <c r="P575">
        <v>2.0699999999999998</v>
      </c>
      <c r="Q575">
        <v>9.35</v>
      </c>
      <c r="R575">
        <v>1229.58</v>
      </c>
      <c r="S575">
        <v>5553.9</v>
      </c>
      <c r="T575" t="s">
        <v>66</v>
      </c>
      <c r="AA575">
        <f t="shared" si="8"/>
        <v>71678.37000000001</v>
      </c>
      <c r="AB575">
        <f>COUNTIF($D$1:D575,D575)</f>
        <v>18</v>
      </c>
    </row>
    <row r="576" spans="1:28" x14ac:dyDescent="0.25">
      <c r="A576">
        <v>575</v>
      </c>
      <c r="B576">
        <v>184087</v>
      </c>
      <c r="C576">
        <v>24001294</v>
      </c>
      <c r="D576" t="s">
        <v>10</v>
      </c>
      <c r="E576" t="s">
        <v>93</v>
      </c>
      <c r="F576" t="s">
        <v>439</v>
      </c>
      <c r="G576" t="s">
        <v>440</v>
      </c>
      <c r="H576" t="s">
        <v>77</v>
      </c>
      <c r="I576">
        <v>311</v>
      </c>
      <c r="J576" s="74">
        <v>45665</v>
      </c>
      <c r="K576" s="74">
        <v>45668</v>
      </c>
      <c r="L576" t="s">
        <v>190</v>
      </c>
      <c r="M576" s="74">
        <v>45680</v>
      </c>
      <c r="N576" t="s">
        <v>151</v>
      </c>
      <c r="O576" t="s">
        <v>190</v>
      </c>
      <c r="P576">
        <v>2.09</v>
      </c>
      <c r="Q576">
        <v>5</v>
      </c>
      <c r="R576">
        <v>649.99</v>
      </c>
      <c r="S576">
        <v>1555</v>
      </c>
      <c r="T576" t="s">
        <v>66</v>
      </c>
      <c r="AA576">
        <f t="shared" si="8"/>
        <v>71678.37000000001</v>
      </c>
      <c r="AB576">
        <f>COUNTIF($D$1:D576,D576)</f>
        <v>19</v>
      </c>
    </row>
    <row r="577" spans="1:28" x14ac:dyDescent="0.25">
      <c r="A577">
        <v>576</v>
      </c>
      <c r="B577">
        <v>184092</v>
      </c>
      <c r="C577">
        <v>24001299</v>
      </c>
      <c r="D577" t="s">
        <v>10</v>
      </c>
      <c r="E577" t="s">
        <v>93</v>
      </c>
      <c r="F577" t="s">
        <v>441</v>
      </c>
      <c r="G577" t="s">
        <v>442</v>
      </c>
      <c r="H577" t="s">
        <v>77</v>
      </c>
      <c r="I577">
        <v>400</v>
      </c>
      <c r="J577" s="74">
        <v>45667</v>
      </c>
      <c r="K577" s="74">
        <v>45674</v>
      </c>
      <c r="L577" t="s">
        <v>190</v>
      </c>
      <c r="M577" s="74">
        <v>45680</v>
      </c>
      <c r="N577" t="s">
        <v>151</v>
      </c>
      <c r="O577" t="s">
        <v>190</v>
      </c>
      <c r="P577">
        <v>1.26</v>
      </c>
      <c r="Q577">
        <v>3.07</v>
      </c>
      <c r="R577">
        <v>504</v>
      </c>
      <c r="S577">
        <v>1228</v>
      </c>
      <c r="T577" t="s">
        <v>66</v>
      </c>
      <c r="AA577">
        <f t="shared" si="8"/>
        <v>71678.37000000001</v>
      </c>
      <c r="AB577">
        <f>COUNTIF($D$1:D577,D577)</f>
        <v>20</v>
      </c>
    </row>
    <row r="578" spans="1:28" x14ac:dyDescent="0.25">
      <c r="A578">
        <v>577</v>
      </c>
      <c r="B578">
        <v>184095</v>
      </c>
      <c r="C578">
        <v>24001302</v>
      </c>
      <c r="D578" t="s">
        <v>10</v>
      </c>
      <c r="E578" t="s">
        <v>93</v>
      </c>
      <c r="F578" t="s">
        <v>443</v>
      </c>
      <c r="G578" t="s">
        <v>444</v>
      </c>
      <c r="H578" t="s">
        <v>77</v>
      </c>
      <c r="I578">
        <v>400</v>
      </c>
      <c r="J578" s="74">
        <v>45663</v>
      </c>
      <c r="K578" s="74">
        <v>45674</v>
      </c>
      <c r="L578" t="s">
        <v>190</v>
      </c>
      <c r="M578" s="74">
        <v>45680</v>
      </c>
      <c r="N578" t="s">
        <v>151</v>
      </c>
      <c r="O578" t="s">
        <v>190</v>
      </c>
      <c r="P578">
        <v>2.25</v>
      </c>
      <c r="Q578">
        <v>4.84</v>
      </c>
      <c r="R578">
        <v>900</v>
      </c>
      <c r="S578">
        <v>1936</v>
      </c>
      <c r="T578" t="s">
        <v>66</v>
      </c>
      <c r="AA578">
        <f t="shared" ref="AA578:AA641" si="9">SUMIF($D:$D,D578,$R:$R)</f>
        <v>71678.37000000001</v>
      </c>
      <c r="AB578">
        <f>COUNTIF($D$1:D578,D578)</f>
        <v>21</v>
      </c>
    </row>
    <row r="579" spans="1:28" x14ac:dyDescent="0.25">
      <c r="A579">
        <v>578</v>
      </c>
      <c r="B579">
        <v>184097</v>
      </c>
      <c r="C579">
        <v>24001304</v>
      </c>
      <c r="D579" t="s">
        <v>10</v>
      </c>
      <c r="E579" t="s">
        <v>93</v>
      </c>
      <c r="F579" t="s">
        <v>327</v>
      </c>
      <c r="G579" t="s">
        <v>328</v>
      </c>
      <c r="H579" t="s">
        <v>77</v>
      </c>
      <c r="I579">
        <v>260</v>
      </c>
      <c r="J579" s="74">
        <v>45661</v>
      </c>
      <c r="K579" s="74">
        <v>45664</v>
      </c>
      <c r="L579" t="s">
        <v>190</v>
      </c>
      <c r="M579" s="74">
        <v>45680</v>
      </c>
      <c r="N579" t="s">
        <v>151</v>
      </c>
      <c r="O579" t="s">
        <v>190</v>
      </c>
      <c r="P579">
        <v>1.96</v>
      </c>
      <c r="Q579">
        <v>5.16</v>
      </c>
      <c r="R579">
        <v>509.6</v>
      </c>
      <c r="S579">
        <v>1341.6</v>
      </c>
      <c r="T579" t="s">
        <v>66</v>
      </c>
      <c r="AA579">
        <f t="shared" si="9"/>
        <v>71678.37000000001</v>
      </c>
      <c r="AB579">
        <f>COUNTIF($D$1:D579,D579)</f>
        <v>22</v>
      </c>
    </row>
    <row r="580" spans="1:28" x14ac:dyDescent="0.25">
      <c r="A580">
        <v>579</v>
      </c>
      <c r="B580">
        <v>184125</v>
      </c>
      <c r="C580">
        <v>24001408</v>
      </c>
      <c r="D580" t="s">
        <v>10</v>
      </c>
      <c r="E580" t="s">
        <v>97</v>
      </c>
      <c r="F580" t="s">
        <v>329</v>
      </c>
      <c r="G580" t="s">
        <v>330</v>
      </c>
      <c r="H580" t="s">
        <v>77</v>
      </c>
      <c r="I580">
        <v>290</v>
      </c>
      <c r="J580" s="74">
        <v>45659</v>
      </c>
      <c r="K580" s="74">
        <v>45659</v>
      </c>
      <c r="L580" t="s">
        <v>190</v>
      </c>
      <c r="M580" s="74">
        <v>45672</v>
      </c>
      <c r="N580" t="s">
        <v>151</v>
      </c>
      <c r="O580" t="s">
        <v>190</v>
      </c>
      <c r="P580">
        <v>0.28999999999999998</v>
      </c>
      <c r="Q580">
        <v>1.3</v>
      </c>
      <c r="R580">
        <v>84.1</v>
      </c>
      <c r="S580">
        <v>377</v>
      </c>
      <c r="T580" t="s">
        <v>66</v>
      </c>
      <c r="AA580">
        <f t="shared" si="9"/>
        <v>71678.37000000001</v>
      </c>
      <c r="AB580">
        <f>COUNTIF($D$1:D580,D580)</f>
        <v>23</v>
      </c>
    </row>
    <row r="581" spans="1:28" x14ac:dyDescent="0.25">
      <c r="A581">
        <v>580</v>
      </c>
      <c r="B581">
        <v>184131</v>
      </c>
      <c r="C581">
        <v>24001428</v>
      </c>
      <c r="D581" t="s">
        <v>10</v>
      </c>
      <c r="E581" t="s">
        <v>97</v>
      </c>
      <c r="F581" t="s">
        <v>445</v>
      </c>
      <c r="G581" t="s">
        <v>326</v>
      </c>
      <c r="H581" t="s">
        <v>77</v>
      </c>
      <c r="I581">
        <v>3001</v>
      </c>
      <c r="J581" s="74">
        <v>45677</v>
      </c>
      <c r="K581" s="74">
        <v>45685</v>
      </c>
      <c r="L581" t="s">
        <v>190</v>
      </c>
      <c r="M581" s="74">
        <v>45698</v>
      </c>
      <c r="N581" t="s">
        <v>151</v>
      </c>
      <c r="O581" t="s">
        <v>224</v>
      </c>
      <c r="P581">
        <v>1.23</v>
      </c>
      <c r="Q581">
        <v>2.2999999999999998</v>
      </c>
      <c r="R581">
        <v>3691.23</v>
      </c>
      <c r="S581">
        <v>6902.3</v>
      </c>
      <c r="T581" t="s">
        <v>66</v>
      </c>
      <c r="AA581">
        <f t="shared" si="9"/>
        <v>71678.37000000001</v>
      </c>
      <c r="AB581">
        <f>COUNTIF($D$1:D581,D581)</f>
        <v>24</v>
      </c>
    </row>
    <row r="582" spans="1:28" x14ac:dyDescent="0.25">
      <c r="A582">
        <v>581</v>
      </c>
      <c r="B582">
        <v>184120</v>
      </c>
      <c r="C582">
        <v>24001403</v>
      </c>
      <c r="D582" t="s">
        <v>10</v>
      </c>
      <c r="E582" t="s">
        <v>97</v>
      </c>
      <c r="F582" t="s">
        <v>436</v>
      </c>
      <c r="G582" t="s">
        <v>437</v>
      </c>
      <c r="H582" t="s">
        <v>77</v>
      </c>
      <c r="I582">
        <v>960</v>
      </c>
      <c r="J582" s="74">
        <v>45659</v>
      </c>
      <c r="K582" s="74">
        <v>45664</v>
      </c>
      <c r="L582" t="s">
        <v>190</v>
      </c>
      <c r="M582" s="74">
        <v>45672</v>
      </c>
      <c r="N582" t="s">
        <v>151</v>
      </c>
      <c r="O582" t="s">
        <v>190</v>
      </c>
      <c r="P582">
        <v>0.28999999999999998</v>
      </c>
      <c r="Q582">
        <v>1.42</v>
      </c>
      <c r="R582">
        <v>278.39999999999998</v>
      </c>
      <c r="S582">
        <v>1363.2</v>
      </c>
      <c r="T582" t="s">
        <v>66</v>
      </c>
      <c r="AA582">
        <f t="shared" si="9"/>
        <v>71678.37000000001</v>
      </c>
      <c r="AB582">
        <f>COUNTIF($D$1:D582,D582)</f>
        <v>25</v>
      </c>
    </row>
    <row r="583" spans="1:28" x14ac:dyDescent="0.25">
      <c r="A583">
        <v>582</v>
      </c>
      <c r="B583">
        <v>184076</v>
      </c>
      <c r="C583">
        <v>24001273</v>
      </c>
      <c r="D583" t="s">
        <v>10</v>
      </c>
      <c r="E583" t="s">
        <v>93</v>
      </c>
      <c r="F583" t="s">
        <v>234</v>
      </c>
      <c r="G583" t="s">
        <v>235</v>
      </c>
      <c r="H583" t="s">
        <v>77</v>
      </c>
      <c r="I583">
        <v>460</v>
      </c>
      <c r="J583" s="74">
        <v>45664</v>
      </c>
      <c r="K583" s="74">
        <v>45666</v>
      </c>
      <c r="L583" t="s">
        <v>190</v>
      </c>
      <c r="M583" s="74">
        <v>45680</v>
      </c>
      <c r="N583" t="s">
        <v>151</v>
      </c>
      <c r="O583" t="s">
        <v>190</v>
      </c>
      <c r="P583">
        <v>1.34</v>
      </c>
      <c r="Q583">
        <v>8.39</v>
      </c>
      <c r="R583">
        <v>616.4</v>
      </c>
      <c r="S583">
        <v>3859.4</v>
      </c>
      <c r="T583" t="s">
        <v>66</v>
      </c>
      <c r="AA583">
        <f t="shared" si="9"/>
        <v>71678.37000000001</v>
      </c>
      <c r="AB583">
        <f>COUNTIF($D$1:D583,D583)</f>
        <v>26</v>
      </c>
    </row>
    <row r="584" spans="1:28" x14ac:dyDescent="0.25">
      <c r="A584">
        <v>583</v>
      </c>
      <c r="B584">
        <v>184760</v>
      </c>
      <c r="C584">
        <v>24001621</v>
      </c>
      <c r="D584" t="s">
        <v>10</v>
      </c>
      <c r="E584" t="s">
        <v>97</v>
      </c>
      <c r="F584" t="s">
        <v>438</v>
      </c>
      <c r="G584" t="s">
        <v>186</v>
      </c>
      <c r="H584" t="s">
        <v>77</v>
      </c>
      <c r="I584">
        <v>3584</v>
      </c>
      <c r="J584" s="74">
        <v>45685</v>
      </c>
      <c r="K584" s="74">
        <v>45688</v>
      </c>
      <c r="L584" t="s">
        <v>190</v>
      </c>
      <c r="M584" s="74">
        <v>45768</v>
      </c>
      <c r="N584" t="s">
        <v>151</v>
      </c>
      <c r="O584" t="s">
        <v>237</v>
      </c>
      <c r="P584">
        <v>0.48</v>
      </c>
      <c r="Q584">
        <v>0</v>
      </c>
      <c r="R584">
        <v>1720.32</v>
      </c>
      <c r="S584">
        <v>0</v>
      </c>
      <c r="T584" t="s">
        <v>66</v>
      </c>
      <c r="AA584">
        <f t="shared" si="9"/>
        <v>71678.37000000001</v>
      </c>
      <c r="AB584">
        <f>COUNTIF($D$1:D584,D584)</f>
        <v>27</v>
      </c>
    </row>
    <row r="585" spans="1:28" x14ac:dyDescent="0.25">
      <c r="A585">
        <v>584</v>
      </c>
      <c r="B585">
        <v>184070</v>
      </c>
      <c r="C585">
        <v>24001267</v>
      </c>
      <c r="D585" t="s">
        <v>10</v>
      </c>
      <c r="E585" t="s">
        <v>93</v>
      </c>
      <c r="F585" t="s">
        <v>334</v>
      </c>
      <c r="G585" t="s">
        <v>335</v>
      </c>
      <c r="H585" t="s">
        <v>77</v>
      </c>
      <c r="I585">
        <v>469</v>
      </c>
      <c r="J585" s="74">
        <v>45671</v>
      </c>
      <c r="K585" s="74">
        <v>45672</v>
      </c>
      <c r="L585" t="s">
        <v>190</v>
      </c>
      <c r="M585" s="74">
        <v>45680</v>
      </c>
      <c r="N585" t="s">
        <v>151</v>
      </c>
      <c r="O585" t="s">
        <v>190</v>
      </c>
      <c r="P585">
        <v>1.35</v>
      </c>
      <c r="Q585">
        <v>8.7100000000000009</v>
      </c>
      <c r="R585">
        <v>633.15</v>
      </c>
      <c r="S585">
        <v>4084.99</v>
      </c>
      <c r="T585" t="s">
        <v>66</v>
      </c>
      <c r="AA585">
        <f t="shared" si="9"/>
        <v>71678.37000000001</v>
      </c>
      <c r="AB585">
        <f>COUNTIF($D$1:D585,D585)</f>
        <v>28</v>
      </c>
    </row>
    <row r="586" spans="1:28" x14ac:dyDescent="0.25">
      <c r="A586">
        <v>585</v>
      </c>
      <c r="B586">
        <v>184071</v>
      </c>
      <c r="C586">
        <v>24001268</v>
      </c>
      <c r="D586" t="s">
        <v>10</v>
      </c>
      <c r="E586" t="s">
        <v>93</v>
      </c>
      <c r="F586" t="s">
        <v>230</v>
      </c>
      <c r="G586" t="s">
        <v>231</v>
      </c>
      <c r="H586" t="s">
        <v>91</v>
      </c>
      <c r="I586">
        <v>410</v>
      </c>
      <c r="J586" s="74">
        <v>45670</v>
      </c>
      <c r="K586" s="74">
        <v>45685</v>
      </c>
      <c r="L586" t="s">
        <v>190</v>
      </c>
      <c r="M586" s="74">
        <v>45680</v>
      </c>
      <c r="N586" t="s">
        <v>155</v>
      </c>
      <c r="O586" t="s">
        <v>190</v>
      </c>
      <c r="P586">
        <v>2.0699999999999998</v>
      </c>
      <c r="Q586">
        <v>9.35</v>
      </c>
      <c r="R586">
        <v>848.7</v>
      </c>
      <c r="S586">
        <v>3833.5</v>
      </c>
      <c r="T586" t="s">
        <v>66</v>
      </c>
      <c r="AA586">
        <f t="shared" si="9"/>
        <v>71678.37000000001</v>
      </c>
      <c r="AB586">
        <f>COUNTIF($D$1:D586,D586)</f>
        <v>29</v>
      </c>
    </row>
    <row r="587" spans="1:28" x14ac:dyDescent="0.25">
      <c r="A587">
        <v>586</v>
      </c>
      <c r="B587">
        <v>184087</v>
      </c>
      <c r="C587">
        <v>24001294</v>
      </c>
      <c r="D587" t="s">
        <v>10</v>
      </c>
      <c r="E587" t="s">
        <v>93</v>
      </c>
      <c r="F587" t="s">
        <v>439</v>
      </c>
      <c r="G587" t="s">
        <v>440</v>
      </c>
      <c r="H587" t="s">
        <v>91</v>
      </c>
      <c r="I587">
        <v>247</v>
      </c>
      <c r="J587" s="74">
        <v>45666</v>
      </c>
      <c r="K587" s="74">
        <v>45670</v>
      </c>
      <c r="L587" t="s">
        <v>190</v>
      </c>
      <c r="M587" s="74">
        <v>45680</v>
      </c>
      <c r="N587" t="s">
        <v>151</v>
      </c>
      <c r="O587" t="s">
        <v>190</v>
      </c>
      <c r="P587">
        <v>2.09</v>
      </c>
      <c r="Q587">
        <v>5</v>
      </c>
      <c r="R587">
        <v>516.23</v>
      </c>
      <c r="S587">
        <v>1235</v>
      </c>
      <c r="T587" t="s">
        <v>66</v>
      </c>
      <c r="AA587">
        <f t="shared" si="9"/>
        <v>71678.37000000001</v>
      </c>
      <c r="AB587">
        <f>COUNTIF($D$1:D587,D587)</f>
        <v>30</v>
      </c>
    </row>
    <row r="588" spans="1:28" x14ac:dyDescent="0.25">
      <c r="A588">
        <v>587</v>
      </c>
      <c r="B588">
        <v>184092</v>
      </c>
      <c r="C588">
        <v>24001299</v>
      </c>
      <c r="D588" t="s">
        <v>10</v>
      </c>
      <c r="E588" t="s">
        <v>93</v>
      </c>
      <c r="F588" t="s">
        <v>441</v>
      </c>
      <c r="G588" t="s">
        <v>442</v>
      </c>
      <c r="H588" t="s">
        <v>91</v>
      </c>
      <c r="I588">
        <v>430</v>
      </c>
      <c r="J588" s="74">
        <v>45666</v>
      </c>
      <c r="K588" s="74">
        <v>45668</v>
      </c>
      <c r="L588" t="s">
        <v>190</v>
      </c>
      <c r="M588" s="74">
        <v>45680</v>
      </c>
      <c r="N588" t="s">
        <v>151</v>
      </c>
      <c r="O588" t="s">
        <v>190</v>
      </c>
      <c r="P588">
        <v>1.26</v>
      </c>
      <c r="Q588">
        <v>3.07</v>
      </c>
      <c r="R588">
        <v>541.79999999999995</v>
      </c>
      <c r="S588">
        <v>1320.1</v>
      </c>
      <c r="T588" t="s">
        <v>66</v>
      </c>
      <c r="AA588">
        <f t="shared" si="9"/>
        <v>71678.37000000001</v>
      </c>
      <c r="AB588">
        <f>COUNTIF($D$1:D588,D588)</f>
        <v>31</v>
      </c>
    </row>
    <row r="589" spans="1:28" x14ac:dyDescent="0.25">
      <c r="A589">
        <v>588</v>
      </c>
      <c r="B589">
        <v>184095</v>
      </c>
      <c r="C589">
        <v>24001302</v>
      </c>
      <c r="D589" t="s">
        <v>10</v>
      </c>
      <c r="E589" t="s">
        <v>93</v>
      </c>
      <c r="F589" t="s">
        <v>443</v>
      </c>
      <c r="G589" t="s">
        <v>444</v>
      </c>
      <c r="H589" t="s">
        <v>91</v>
      </c>
      <c r="I589">
        <v>400</v>
      </c>
      <c r="J589" s="74">
        <v>45663</v>
      </c>
      <c r="K589" s="74">
        <v>45685</v>
      </c>
      <c r="L589" t="s">
        <v>190</v>
      </c>
      <c r="M589" s="74">
        <v>45680</v>
      </c>
      <c r="N589" t="s">
        <v>155</v>
      </c>
      <c r="O589" t="s">
        <v>190</v>
      </c>
      <c r="P589">
        <v>2.25</v>
      </c>
      <c r="Q589">
        <v>4.84</v>
      </c>
      <c r="R589">
        <v>900</v>
      </c>
      <c r="S589">
        <v>1936</v>
      </c>
      <c r="T589" t="s">
        <v>66</v>
      </c>
      <c r="AA589">
        <f t="shared" si="9"/>
        <v>71678.37000000001</v>
      </c>
      <c r="AB589">
        <f>COUNTIF($D$1:D589,D589)</f>
        <v>32</v>
      </c>
    </row>
    <row r="590" spans="1:28" x14ac:dyDescent="0.25">
      <c r="A590">
        <v>589</v>
      </c>
      <c r="B590">
        <v>184097</v>
      </c>
      <c r="C590">
        <v>24001304</v>
      </c>
      <c r="D590" t="s">
        <v>10</v>
      </c>
      <c r="E590" t="s">
        <v>93</v>
      </c>
      <c r="F590" t="s">
        <v>327</v>
      </c>
      <c r="G590" t="s">
        <v>328</v>
      </c>
      <c r="H590" t="s">
        <v>91</v>
      </c>
      <c r="I590">
        <v>117</v>
      </c>
      <c r="J590" s="74">
        <v>45660</v>
      </c>
      <c r="K590" s="74">
        <v>45670</v>
      </c>
      <c r="L590" t="s">
        <v>190</v>
      </c>
      <c r="M590" s="74">
        <v>45680</v>
      </c>
      <c r="N590" t="s">
        <v>151</v>
      </c>
      <c r="O590" t="s">
        <v>190</v>
      </c>
      <c r="P590">
        <v>1.96</v>
      </c>
      <c r="Q590">
        <v>5.16</v>
      </c>
      <c r="R590">
        <v>229.32</v>
      </c>
      <c r="S590">
        <v>603.72</v>
      </c>
      <c r="T590" t="s">
        <v>66</v>
      </c>
      <c r="AA590">
        <f t="shared" si="9"/>
        <v>71678.37000000001</v>
      </c>
      <c r="AB590">
        <f>COUNTIF($D$1:D590,D590)</f>
        <v>33</v>
      </c>
    </row>
    <row r="591" spans="1:28" x14ac:dyDescent="0.25">
      <c r="A591">
        <v>590</v>
      </c>
      <c r="B591">
        <v>184131</v>
      </c>
      <c r="C591">
        <v>24001428</v>
      </c>
      <c r="D591" t="s">
        <v>10</v>
      </c>
      <c r="E591" t="s">
        <v>97</v>
      </c>
      <c r="F591" t="s">
        <v>445</v>
      </c>
      <c r="G591" t="s">
        <v>326</v>
      </c>
      <c r="H591" t="s">
        <v>91</v>
      </c>
      <c r="I591">
        <v>3001</v>
      </c>
      <c r="J591" s="74">
        <v>45677</v>
      </c>
      <c r="K591" s="74">
        <v>45685</v>
      </c>
      <c r="L591" t="s">
        <v>190</v>
      </c>
      <c r="M591" s="74">
        <v>45698</v>
      </c>
      <c r="N591" t="s">
        <v>151</v>
      </c>
      <c r="O591" t="s">
        <v>224</v>
      </c>
      <c r="P591">
        <v>1.23</v>
      </c>
      <c r="Q591">
        <v>2.2999999999999998</v>
      </c>
      <c r="R591">
        <v>3691.23</v>
      </c>
      <c r="S591">
        <v>6902.3</v>
      </c>
      <c r="T591" t="s">
        <v>66</v>
      </c>
      <c r="AA591">
        <f t="shared" si="9"/>
        <v>71678.37000000001</v>
      </c>
      <c r="AB591">
        <f>COUNTIF($D$1:D591,D591)</f>
        <v>34</v>
      </c>
    </row>
    <row r="592" spans="1:28" x14ac:dyDescent="0.25">
      <c r="A592">
        <v>591</v>
      </c>
      <c r="B592">
        <v>24001360</v>
      </c>
      <c r="C592">
        <v>24001360</v>
      </c>
      <c r="D592" t="s">
        <v>10</v>
      </c>
      <c r="E592" t="s">
        <v>93</v>
      </c>
      <c r="F592" t="s">
        <v>446</v>
      </c>
      <c r="H592" t="s">
        <v>91</v>
      </c>
      <c r="I592">
        <v>2700</v>
      </c>
      <c r="J592" s="74">
        <v>45659</v>
      </c>
      <c r="K592" s="74">
        <v>45678</v>
      </c>
      <c r="L592" t="s">
        <v>190</v>
      </c>
      <c r="M592" s="74">
        <v>45733</v>
      </c>
      <c r="N592" t="s">
        <v>151</v>
      </c>
      <c r="O592" t="s">
        <v>226</v>
      </c>
      <c r="P592">
        <v>0</v>
      </c>
      <c r="Q592">
        <v>0</v>
      </c>
      <c r="R592">
        <v>0</v>
      </c>
      <c r="S592">
        <v>0</v>
      </c>
      <c r="T592" t="s">
        <v>66</v>
      </c>
      <c r="AA592">
        <f t="shared" si="9"/>
        <v>71678.37000000001</v>
      </c>
      <c r="AB592">
        <f>COUNTIF($D$1:D592,D592)</f>
        <v>35</v>
      </c>
    </row>
    <row r="593" spans="1:28" x14ac:dyDescent="0.25">
      <c r="A593">
        <v>592</v>
      </c>
      <c r="B593">
        <v>184096</v>
      </c>
      <c r="C593">
        <v>24001303</v>
      </c>
      <c r="D593" t="s">
        <v>10</v>
      </c>
      <c r="E593" t="s">
        <v>93</v>
      </c>
      <c r="F593" t="s">
        <v>332</v>
      </c>
      <c r="G593" t="s">
        <v>333</v>
      </c>
      <c r="H593" t="s">
        <v>91</v>
      </c>
      <c r="I593">
        <v>291</v>
      </c>
      <c r="J593" s="74">
        <v>45661</v>
      </c>
      <c r="K593" s="74">
        <v>45663</v>
      </c>
      <c r="L593" t="s">
        <v>190</v>
      </c>
      <c r="M593" s="74">
        <v>45680</v>
      </c>
      <c r="N593" t="s">
        <v>151</v>
      </c>
      <c r="O593" t="s">
        <v>190</v>
      </c>
      <c r="P593">
        <v>2.0299999999999998</v>
      </c>
      <c r="Q593">
        <v>5.16</v>
      </c>
      <c r="R593">
        <v>590.73</v>
      </c>
      <c r="S593">
        <v>1501.56</v>
      </c>
      <c r="T593" t="s">
        <v>66</v>
      </c>
      <c r="AA593">
        <f t="shared" si="9"/>
        <v>71678.37000000001</v>
      </c>
      <c r="AB593">
        <f>COUNTIF($D$1:D593,D593)</f>
        <v>36</v>
      </c>
    </row>
    <row r="594" spans="1:28" x14ac:dyDescent="0.25">
      <c r="A594">
        <v>593</v>
      </c>
      <c r="B594">
        <v>184076</v>
      </c>
      <c r="C594">
        <v>24001273</v>
      </c>
      <c r="D594" t="s">
        <v>10</v>
      </c>
      <c r="E594" t="s">
        <v>93</v>
      </c>
      <c r="F594" t="s">
        <v>234</v>
      </c>
      <c r="G594" t="s">
        <v>235</v>
      </c>
      <c r="H594" t="s">
        <v>91</v>
      </c>
      <c r="I594">
        <v>440</v>
      </c>
      <c r="J594" s="74">
        <v>45659</v>
      </c>
      <c r="K594" s="74">
        <v>45665</v>
      </c>
      <c r="L594" t="s">
        <v>190</v>
      </c>
      <c r="M594" s="74">
        <v>45680</v>
      </c>
      <c r="N594" t="s">
        <v>151</v>
      </c>
      <c r="O594" t="s">
        <v>190</v>
      </c>
      <c r="P594">
        <v>1.34</v>
      </c>
      <c r="Q594">
        <v>8.39</v>
      </c>
      <c r="R594">
        <v>589.6</v>
      </c>
      <c r="S594">
        <v>3691.6</v>
      </c>
      <c r="T594" t="s">
        <v>66</v>
      </c>
      <c r="AA594">
        <f t="shared" si="9"/>
        <v>71678.37000000001</v>
      </c>
      <c r="AB594">
        <f>COUNTIF($D$1:D594,D594)</f>
        <v>37</v>
      </c>
    </row>
    <row r="595" spans="1:28" x14ac:dyDescent="0.25">
      <c r="A595">
        <v>594</v>
      </c>
      <c r="B595">
        <v>184760</v>
      </c>
      <c r="C595">
        <v>24001621</v>
      </c>
      <c r="D595" t="s">
        <v>10</v>
      </c>
      <c r="E595" t="s">
        <v>97</v>
      </c>
      <c r="F595" t="s">
        <v>438</v>
      </c>
      <c r="G595" t="s">
        <v>186</v>
      </c>
      <c r="H595" t="s">
        <v>91</v>
      </c>
      <c r="I595">
        <v>3584</v>
      </c>
      <c r="J595" s="74">
        <v>45685</v>
      </c>
      <c r="K595" s="74">
        <v>45688</v>
      </c>
      <c r="L595" t="s">
        <v>190</v>
      </c>
      <c r="M595" s="74">
        <v>45768</v>
      </c>
      <c r="N595" t="s">
        <v>151</v>
      </c>
      <c r="O595" t="s">
        <v>237</v>
      </c>
      <c r="P595">
        <v>0.48</v>
      </c>
      <c r="Q595">
        <v>0</v>
      </c>
      <c r="R595">
        <v>1720.32</v>
      </c>
      <c r="S595">
        <v>0</v>
      </c>
      <c r="T595" t="s">
        <v>66</v>
      </c>
      <c r="AA595">
        <f t="shared" si="9"/>
        <v>71678.37000000001</v>
      </c>
      <c r="AB595">
        <f>COUNTIF($D$1:D595,D595)</f>
        <v>38</v>
      </c>
    </row>
    <row r="596" spans="1:28" x14ac:dyDescent="0.25">
      <c r="A596">
        <v>595</v>
      </c>
      <c r="B596">
        <v>184070</v>
      </c>
      <c r="C596">
        <v>24001267</v>
      </c>
      <c r="D596" t="s">
        <v>10</v>
      </c>
      <c r="E596" t="s">
        <v>93</v>
      </c>
      <c r="F596" t="s">
        <v>334</v>
      </c>
      <c r="G596" t="s">
        <v>335</v>
      </c>
      <c r="H596" t="s">
        <v>91</v>
      </c>
      <c r="I596">
        <v>473</v>
      </c>
      <c r="J596" s="74">
        <v>45671</v>
      </c>
      <c r="K596" s="74">
        <v>45677</v>
      </c>
      <c r="L596" t="s">
        <v>190</v>
      </c>
      <c r="M596" s="74">
        <v>45680</v>
      </c>
      <c r="N596" t="s">
        <v>151</v>
      </c>
      <c r="O596" t="s">
        <v>190</v>
      </c>
      <c r="P596">
        <v>1.35</v>
      </c>
      <c r="Q596">
        <v>8.7100000000000009</v>
      </c>
      <c r="R596">
        <v>638.54999999999995</v>
      </c>
      <c r="S596">
        <v>4119.83</v>
      </c>
      <c r="T596" t="s">
        <v>66</v>
      </c>
      <c r="AA596">
        <f t="shared" si="9"/>
        <v>71678.37000000001</v>
      </c>
      <c r="AB596">
        <f>COUNTIF($D$1:D596,D596)</f>
        <v>39</v>
      </c>
    </row>
    <row r="597" spans="1:28" x14ac:dyDescent="0.25">
      <c r="A597">
        <v>596</v>
      </c>
      <c r="B597">
        <v>184126</v>
      </c>
      <c r="C597">
        <v>24001409</v>
      </c>
      <c r="D597" t="s">
        <v>10</v>
      </c>
      <c r="E597" t="s">
        <v>97</v>
      </c>
      <c r="F597" t="s">
        <v>447</v>
      </c>
      <c r="G597" t="s">
        <v>448</v>
      </c>
      <c r="H597" t="s">
        <v>126</v>
      </c>
      <c r="I597">
        <v>2351</v>
      </c>
      <c r="J597" s="74">
        <v>45678</v>
      </c>
      <c r="K597" s="74">
        <v>45682</v>
      </c>
      <c r="L597" t="s">
        <v>190</v>
      </c>
      <c r="M597" s="74">
        <v>45677</v>
      </c>
      <c r="N597" t="s">
        <v>155</v>
      </c>
      <c r="O597" t="s">
        <v>190</v>
      </c>
      <c r="P597">
        <v>0.28999999999999998</v>
      </c>
      <c r="Q597">
        <v>1.3</v>
      </c>
      <c r="R597">
        <v>681.79</v>
      </c>
      <c r="S597">
        <v>3056.3</v>
      </c>
      <c r="T597" t="s">
        <v>66</v>
      </c>
      <c r="AA597">
        <f t="shared" si="9"/>
        <v>71678.37000000001</v>
      </c>
      <c r="AB597">
        <f>COUNTIF($D$1:D597,D597)</f>
        <v>40</v>
      </c>
    </row>
    <row r="598" spans="1:28" x14ac:dyDescent="0.25">
      <c r="A598">
        <v>597</v>
      </c>
      <c r="B598">
        <v>184121</v>
      </c>
      <c r="C598">
        <v>24001404</v>
      </c>
      <c r="D598" t="s">
        <v>10</v>
      </c>
      <c r="E598" t="s">
        <v>97</v>
      </c>
      <c r="F598" t="s">
        <v>449</v>
      </c>
      <c r="G598" t="s">
        <v>450</v>
      </c>
      <c r="H598" t="s">
        <v>126</v>
      </c>
      <c r="I598">
        <v>3250</v>
      </c>
      <c r="J598" s="74">
        <v>45682</v>
      </c>
      <c r="K598" s="74">
        <v>45688</v>
      </c>
      <c r="L598" t="s">
        <v>190</v>
      </c>
      <c r="M598" s="74">
        <v>45684</v>
      </c>
      <c r="N598" t="s">
        <v>155</v>
      </c>
      <c r="O598" t="s">
        <v>190</v>
      </c>
      <c r="P598">
        <v>0.28999999999999998</v>
      </c>
      <c r="Q598">
        <v>1.3</v>
      </c>
      <c r="R598">
        <v>942.5</v>
      </c>
      <c r="S598">
        <v>4225</v>
      </c>
      <c r="T598" t="s">
        <v>66</v>
      </c>
      <c r="AA598">
        <f t="shared" si="9"/>
        <v>71678.37000000001</v>
      </c>
      <c r="AB598">
        <f>COUNTIF($D$1:D598,D598)</f>
        <v>41</v>
      </c>
    </row>
    <row r="599" spans="1:28" x14ac:dyDescent="0.25">
      <c r="A599">
        <v>598</v>
      </c>
      <c r="B599">
        <v>184111</v>
      </c>
      <c r="C599">
        <v>24001396</v>
      </c>
      <c r="D599" t="s">
        <v>10</v>
      </c>
      <c r="E599" t="s">
        <v>97</v>
      </c>
      <c r="F599" t="s">
        <v>434</v>
      </c>
      <c r="G599" t="s">
        <v>435</v>
      </c>
      <c r="H599" t="s">
        <v>126</v>
      </c>
      <c r="I599">
        <v>2550</v>
      </c>
      <c r="J599" s="74">
        <v>45667</v>
      </c>
      <c r="K599" s="74">
        <v>45675</v>
      </c>
      <c r="L599" t="s">
        <v>190</v>
      </c>
      <c r="M599" s="74">
        <v>45698</v>
      </c>
      <c r="N599" t="s">
        <v>151</v>
      </c>
      <c r="O599" t="s">
        <v>224</v>
      </c>
      <c r="P599">
        <v>0.28999999999999998</v>
      </c>
      <c r="Q599">
        <v>1.18</v>
      </c>
      <c r="R599">
        <v>739.5</v>
      </c>
      <c r="S599">
        <v>3009</v>
      </c>
      <c r="T599" t="s">
        <v>66</v>
      </c>
      <c r="AA599">
        <f t="shared" si="9"/>
        <v>71678.37000000001</v>
      </c>
      <c r="AB599">
        <f>COUNTIF($D$1:D599,D599)</f>
        <v>42</v>
      </c>
    </row>
    <row r="600" spans="1:28" x14ac:dyDescent="0.25">
      <c r="A600">
        <v>599</v>
      </c>
      <c r="B600">
        <v>184119</v>
      </c>
      <c r="C600">
        <v>24001402</v>
      </c>
      <c r="D600" t="s">
        <v>10</v>
      </c>
      <c r="E600" t="s">
        <v>97</v>
      </c>
      <c r="F600" t="s">
        <v>451</v>
      </c>
      <c r="G600" t="s">
        <v>435</v>
      </c>
      <c r="H600" t="s">
        <v>126</v>
      </c>
      <c r="I600">
        <v>1810</v>
      </c>
      <c r="J600" s="74">
        <v>45663</v>
      </c>
      <c r="K600" s="74">
        <v>45667</v>
      </c>
      <c r="L600" t="s">
        <v>190</v>
      </c>
      <c r="M600" s="74">
        <v>45672</v>
      </c>
      <c r="N600" t="s">
        <v>151</v>
      </c>
      <c r="O600" t="s">
        <v>190</v>
      </c>
      <c r="P600">
        <v>0.28999999999999998</v>
      </c>
      <c r="Q600">
        <v>1.42</v>
      </c>
      <c r="R600">
        <v>524.9</v>
      </c>
      <c r="S600">
        <v>2570.1999999999998</v>
      </c>
      <c r="T600" t="s">
        <v>66</v>
      </c>
      <c r="AA600">
        <f t="shared" si="9"/>
        <v>71678.37000000001</v>
      </c>
      <c r="AB600">
        <f>COUNTIF($D$1:D600,D600)</f>
        <v>43</v>
      </c>
    </row>
    <row r="601" spans="1:28" x14ac:dyDescent="0.25">
      <c r="A601">
        <v>600</v>
      </c>
      <c r="B601">
        <v>184109</v>
      </c>
      <c r="C601">
        <v>24001395</v>
      </c>
      <c r="D601" t="s">
        <v>10</v>
      </c>
      <c r="E601" t="s">
        <v>97</v>
      </c>
      <c r="F601" t="s">
        <v>452</v>
      </c>
      <c r="G601" t="s">
        <v>453</v>
      </c>
      <c r="H601" t="s">
        <v>126</v>
      </c>
      <c r="I601">
        <v>2800</v>
      </c>
      <c r="J601" s="74">
        <v>45665</v>
      </c>
      <c r="K601" s="74">
        <v>45674</v>
      </c>
      <c r="L601" t="s">
        <v>190</v>
      </c>
      <c r="M601" s="74">
        <v>45684</v>
      </c>
      <c r="N601" t="s">
        <v>151</v>
      </c>
      <c r="O601" t="s">
        <v>190</v>
      </c>
      <c r="P601">
        <v>0.28999999999999998</v>
      </c>
      <c r="Q601">
        <v>1.18</v>
      </c>
      <c r="R601">
        <v>812</v>
      </c>
      <c r="S601">
        <v>3304</v>
      </c>
      <c r="T601" t="s">
        <v>66</v>
      </c>
      <c r="AA601">
        <f t="shared" si="9"/>
        <v>71678.37000000001</v>
      </c>
      <c r="AB601">
        <f>COUNTIF($D$1:D601,D601)</f>
        <v>44</v>
      </c>
    </row>
    <row r="602" spans="1:28" x14ac:dyDescent="0.25">
      <c r="A602">
        <v>601</v>
      </c>
      <c r="B602">
        <v>184128</v>
      </c>
      <c r="C602">
        <v>24001411</v>
      </c>
      <c r="D602" t="s">
        <v>10</v>
      </c>
      <c r="E602" t="s">
        <v>97</v>
      </c>
      <c r="F602" t="s">
        <v>454</v>
      </c>
      <c r="G602" t="s">
        <v>455</v>
      </c>
      <c r="H602" t="s">
        <v>126</v>
      </c>
      <c r="I602">
        <v>1672</v>
      </c>
      <c r="J602" s="74">
        <v>45661</v>
      </c>
      <c r="K602" s="74">
        <v>45674</v>
      </c>
      <c r="L602" t="s">
        <v>190</v>
      </c>
      <c r="M602" s="74">
        <v>45672</v>
      </c>
      <c r="N602" t="s">
        <v>155</v>
      </c>
      <c r="O602" t="s">
        <v>190</v>
      </c>
      <c r="P602">
        <v>0.28999999999999998</v>
      </c>
      <c r="Q602">
        <v>1.42</v>
      </c>
      <c r="R602">
        <v>484.88</v>
      </c>
      <c r="S602">
        <v>2374.2399999999998</v>
      </c>
      <c r="T602" t="s">
        <v>66</v>
      </c>
      <c r="AA602">
        <f t="shared" si="9"/>
        <v>71678.37000000001</v>
      </c>
      <c r="AB602">
        <f>COUNTIF($D$1:D602,D602)</f>
        <v>45</v>
      </c>
    </row>
    <row r="603" spans="1:28" x14ac:dyDescent="0.25">
      <c r="A603">
        <v>602</v>
      </c>
      <c r="B603">
        <v>184124</v>
      </c>
      <c r="C603">
        <v>24001407</v>
      </c>
      <c r="D603" t="s">
        <v>10</v>
      </c>
      <c r="E603" t="s">
        <v>97</v>
      </c>
      <c r="F603" t="s">
        <v>456</v>
      </c>
      <c r="G603" t="s">
        <v>457</v>
      </c>
      <c r="H603" t="s">
        <v>126</v>
      </c>
      <c r="I603">
        <v>2900</v>
      </c>
      <c r="J603" s="74">
        <v>45671</v>
      </c>
      <c r="K603" s="74">
        <v>45678</v>
      </c>
      <c r="L603" t="s">
        <v>190</v>
      </c>
      <c r="M603" s="74">
        <v>45628</v>
      </c>
      <c r="N603" t="s">
        <v>155</v>
      </c>
      <c r="O603" t="s">
        <v>153</v>
      </c>
      <c r="P603">
        <v>0.28999999999999998</v>
      </c>
      <c r="Q603">
        <v>1.42</v>
      </c>
      <c r="R603">
        <v>841</v>
      </c>
      <c r="S603">
        <v>4118</v>
      </c>
      <c r="T603" t="s">
        <v>66</v>
      </c>
      <c r="AA603">
        <f t="shared" si="9"/>
        <v>71678.37000000001</v>
      </c>
      <c r="AB603">
        <f>COUNTIF($D$1:D603,D603)</f>
        <v>46</v>
      </c>
    </row>
    <row r="604" spans="1:28" x14ac:dyDescent="0.25">
      <c r="A604">
        <v>603</v>
      </c>
      <c r="B604">
        <v>184126</v>
      </c>
      <c r="C604">
        <v>24001409</v>
      </c>
      <c r="D604" t="s">
        <v>10</v>
      </c>
      <c r="E604" t="s">
        <v>97</v>
      </c>
      <c r="F604" t="s">
        <v>447</v>
      </c>
      <c r="G604" t="s">
        <v>448</v>
      </c>
      <c r="H604" t="s">
        <v>127</v>
      </c>
      <c r="I604">
        <v>2351</v>
      </c>
      <c r="J604" s="74">
        <v>45679</v>
      </c>
      <c r="K604" s="74">
        <v>45685</v>
      </c>
      <c r="L604" t="s">
        <v>190</v>
      </c>
      <c r="M604" s="74">
        <v>45677</v>
      </c>
      <c r="N604" t="s">
        <v>155</v>
      </c>
      <c r="O604" t="s">
        <v>190</v>
      </c>
      <c r="P604">
        <v>0.28999999999999998</v>
      </c>
      <c r="Q604">
        <v>1.3</v>
      </c>
      <c r="R604">
        <v>681.79</v>
      </c>
      <c r="S604">
        <v>3056.3</v>
      </c>
      <c r="T604" t="s">
        <v>66</v>
      </c>
      <c r="AA604">
        <f t="shared" si="9"/>
        <v>71678.37000000001</v>
      </c>
      <c r="AB604">
        <f>COUNTIF($D$1:D604,D604)</f>
        <v>47</v>
      </c>
    </row>
    <row r="605" spans="1:28" x14ac:dyDescent="0.25">
      <c r="A605">
        <v>604</v>
      </c>
      <c r="B605">
        <v>184121</v>
      </c>
      <c r="C605">
        <v>24001404</v>
      </c>
      <c r="D605" t="s">
        <v>10</v>
      </c>
      <c r="E605" t="s">
        <v>97</v>
      </c>
      <c r="F605" t="s">
        <v>449</v>
      </c>
      <c r="G605" t="s">
        <v>450</v>
      </c>
      <c r="H605" t="s">
        <v>127</v>
      </c>
      <c r="I605">
        <v>2850</v>
      </c>
      <c r="J605" s="74">
        <v>45685</v>
      </c>
      <c r="K605" s="74">
        <v>45688</v>
      </c>
      <c r="L605" t="s">
        <v>190</v>
      </c>
      <c r="M605" s="74">
        <v>45684</v>
      </c>
      <c r="N605" t="s">
        <v>155</v>
      </c>
      <c r="O605" t="s">
        <v>190</v>
      </c>
      <c r="P605">
        <v>0.28999999999999998</v>
      </c>
      <c r="Q605">
        <v>1.3</v>
      </c>
      <c r="R605">
        <v>826.5</v>
      </c>
      <c r="S605">
        <v>3705</v>
      </c>
      <c r="T605" t="s">
        <v>66</v>
      </c>
      <c r="AA605">
        <f t="shared" si="9"/>
        <v>71678.37000000001</v>
      </c>
      <c r="AB605">
        <f>COUNTIF($D$1:D605,D605)</f>
        <v>48</v>
      </c>
    </row>
    <row r="606" spans="1:28" x14ac:dyDescent="0.25">
      <c r="A606">
        <v>605</v>
      </c>
      <c r="B606">
        <v>184111</v>
      </c>
      <c r="C606">
        <v>24001396</v>
      </c>
      <c r="D606" t="s">
        <v>10</v>
      </c>
      <c r="E606" t="s">
        <v>97</v>
      </c>
      <c r="F606" t="s">
        <v>434</v>
      </c>
      <c r="G606" t="s">
        <v>435</v>
      </c>
      <c r="H606" t="s">
        <v>127</v>
      </c>
      <c r="I606">
        <v>2551</v>
      </c>
      <c r="J606" s="74">
        <v>45668</v>
      </c>
      <c r="K606" s="74">
        <v>45679</v>
      </c>
      <c r="L606" t="s">
        <v>190</v>
      </c>
      <c r="M606" s="74">
        <v>45698</v>
      </c>
      <c r="N606" t="s">
        <v>151</v>
      </c>
      <c r="O606" t="s">
        <v>224</v>
      </c>
      <c r="P606">
        <v>0.28999999999999998</v>
      </c>
      <c r="Q606">
        <v>1.18</v>
      </c>
      <c r="R606">
        <v>739.79</v>
      </c>
      <c r="S606">
        <v>3010.18</v>
      </c>
      <c r="T606" t="s">
        <v>66</v>
      </c>
      <c r="AA606">
        <f t="shared" si="9"/>
        <v>71678.37000000001</v>
      </c>
      <c r="AB606">
        <f>COUNTIF($D$1:D606,D606)</f>
        <v>49</v>
      </c>
    </row>
    <row r="607" spans="1:28" x14ac:dyDescent="0.25">
      <c r="A607">
        <v>606</v>
      </c>
      <c r="B607">
        <v>184119</v>
      </c>
      <c r="C607">
        <v>24001402</v>
      </c>
      <c r="D607" t="s">
        <v>10</v>
      </c>
      <c r="E607" t="s">
        <v>97</v>
      </c>
      <c r="F607" t="s">
        <v>451</v>
      </c>
      <c r="G607" t="s">
        <v>435</v>
      </c>
      <c r="H607" t="s">
        <v>127</v>
      </c>
      <c r="I607">
        <v>3467</v>
      </c>
      <c r="J607" s="74">
        <v>45661</v>
      </c>
      <c r="K607" s="74">
        <v>45666</v>
      </c>
      <c r="L607" t="s">
        <v>190</v>
      </c>
      <c r="M607" s="74">
        <v>45672</v>
      </c>
      <c r="N607" t="s">
        <v>151</v>
      </c>
      <c r="O607" t="s">
        <v>190</v>
      </c>
      <c r="P607">
        <v>0.28999999999999998</v>
      </c>
      <c r="Q607">
        <v>1.42</v>
      </c>
      <c r="R607">
        <v>1005.43</v>
      </c>
      <c r="S607">
        <v>4923.1400000000003</v>
      </c>
      <c r="T607" t="s">
        <v>66</v>
      </c>
      <c r="AA607">
        <f t="shared" si="9"/>
        <v>71678.37000000001</v>
      </c>
      <c r="AB607">
        <f>COUNTIF($D$1:D607,D607)</f>
        <v>50</v>
      </c>
    </row>
    <row r="608" spans="1:28" x14ac:dyDescent="0.25">
      <c r="A608">
        <v>607</v>
      </c>
      <c r="B608">
        <v>184109</v>
      </c>
      <c r="C608">
        <v>24001395</v>
      </c>
      <c r="D608" t="s">
        <v>10</v>
      </c>
      <c r="E608" t="s">
        <v>97</v>
      </c>
      <c r="F608" t="s">
        <v>452</v>
      </c>
      <c r="G608" t="s">
        <v>453</v>
      </c>
      <c r="H608" t="s">
        <v>127</v>
      </c>
      <c r="I608">
        <v>2810</v>
      </c>
      <c r="J608" s="74">
        <v>45665</v>
      </c>
      <c r="K608" s="74">
        <v>45671</v>
      </c>
      <c r="L608" t="s">
        <v>190</v>
      </c>
      <c r="M608" s="74">
        <v>45684</v>
      </c>
      <c r="N608" t="s">
        <v>151</v>
      </c>
      <c r="O608" t="s">
        <v>190</v>
      </c>
      <c r="P608">
        <v>0.28999999999999998</v>
      </c>
      <c r="Q608">
        <v>1.18</v>
      </c>
      <c r="R608">
        <v>814.9</v>
      </c>
      <c r="S608">
        <v>3315.8</v>
      </c>
      <c r="T608" t="s">
        <v>66</v>
      </c>
      <c r="AA608">
        <f t="shared" si="9"/>
        <v>71678.37000000001</v>
      </c>
      <c r="AB608">
        <f>COUNTIF($D$1:D608,D608)</f>
        <v>51</v>
      </c>
    </row>
    <row r="609" spans="1:28" x14ac:dyDescent="0.25">
      <c r="A609">
        <v>608</v>
      </c>
      <c r="B609">
        <v>184128</v>
      </c>
      <c r="C609">
        <v>24001411</v>
      </c>
      <c r="D609" t="s">
        <v>10</v>
      </c>
      <c r="E609" t="s">
        <v>97</v>
      </c>
      <c r="F609" t="s">
        <v>454</v>
      </c>
      <c r="G609" t="s">
        <v>455</v>
      </c>
      <c r="H609" t="s">
        <v>127</v>
      </c>
      <c r="I609">
        <v>1672</v>
      </c>
      <c r="J609" s="74">
        <v>45663</v>
      </c>
      <c r="K609" s="74">
        <v>45675</v>
      </c>
      <c r="L609" t="s">
        <v>190</v>
      </c>
      <c r="M609" s="74">
        <v>45672</v>
      </c>
      <c r="N609" t="s">
        <v>155</v>
      </c>
      <c r="O609" t="s">
        <v>190</v>
      </c>
      <c r="P609">
        <v>0.28999999999999998</v>
      </c>
      <c r="Q609">
        <v>1.42</v>
      </c>
      <c r="R609">
        <v>484.88</v>
      </c>
      <c r="S609">
        <v>2374.2399999999998</v>
      </c>
      <c r="T609" t="s">
        <v>66</v>
      </c>
      <c r="AA609">
        <f t="shared" si="9"/>
        <v>71678.37000000001</v>
      </c>
      <c r="AB609">
        <f>COUNTIF($D$1:D609,D609)</f>
        <v>52</v>
      </c>
    </row>
    <row r="610" spans="1:28" x14ac:dyDescent="0.25">
      <c r="A610">
        <v>609</v>
      </c>
      <c r="B610">
        <v>184124</v>
      </c>
      <c r="C610">
        <v>24001407</v>
      </c>
      <c r="D610" t="s">
        <v>10</v>
      </c>
      <c r="E610" t="s">
        <v>97</v>
      </c>
      <c r="F610" t="s">
        <v>456</v>
      </c>
      <c r="G610" t="s">
        <v>457</v>
      </c>
      <c r="H610" t="s">
        <v>127</v>
      </c>
      <c r="I610">
        <v>2900</v>
      </c>
      <c r="J610" s="74">
        <v>45670</v>
      </c>
      <c r="K610" s="74">
        <v>45677</v>
      </c>
      <c r="L610" t="s">
        <v>190</v>
      </c>
      <c r="M610" s="74">
        <v>45628</v>
      </c>
      <c r="N610" t="s">
        <v>155</v>
      </c>
      <c r="O610" t="s">
        <v>153</v>
      </c>
      <c r="P610">
        <v>0.28999999999999998</v>
      </c>
      <c r="Q610">
        <v>1.42</v>
      </c>
      <c r="R610">
        <v>841</v>
      </c>
      <c r="S610">
        <v>4118</v>
      </c>
      <c r="T610" t="s">
        <v>66</v>
      </c>
      <c r="AA610">
        <f t="shared" si="9"/>
        <v>71678.37000000001</v>
      </c>
      <c r="AB610">
        <f>COUNTIF($D$1:D610,D610)</f>
        <v>53</v>
      </c>
    </row>
    <row r="611" spans="1:28" x14ac:dyDescent="0.25">
      <c r="A611">
        <v>610</v>
      </c>
      <c r="B611">
        <v>184065</v>
      </c>
      <c r="C611">
        <v>24001243</v>
      </c>
      <c r="D611" t="s">
        <v>10</v>
      </c>
      <c r="E611" t="s">
        <v>93</v>
      </c>
      <c r="F611" t="s">
        <v>458</v>
      </c>
      <c r="G611" t="s">
        <v>459</v>
      </c>
      <c r="H611" t="s">
        <v>94</v>
      </c>
      <c r="I611">
        <v>450</v>
      </c>
      <c r="J611" s="74">
        <v>45681</v>
      </c>
      <c r="K611" s="74">
        <v>45682</v>
      </c>
      <c r="L611" t="s">
        <v>190</v>
      </c>
      <c r="M611" s="74">
        <v>45680</v>
      </c>
      <c r="N611" t="s">
        <v>155</v>
      </c>
      <c r="O611" t="s">
        <v>190</v>
      </c>
      <c r="P611">
        <v>2.96</v>
      </c>
      <c r="Q611">
        <v>7.42</v>
      </c>
      <c r="R611">
        <v>1332</v>
      </c>
      <c r="S611">
        <v>3339</v>
      </c>
      <c r="T611" t="s">
        <v>66</v>
      </c>
      <c r="AA611">
        <f t="shared" si="9"/>
        <v>71678.37000000001</v>
      </c>
      <c r="AB611">
        <f>COUNTIF($D$1:D611,D611)</f>
        <v>54</v>
      </c>
    </row>
    <row r="612" spans="1:28" x14ac:dyDescent="0.25">
      <c r="A612">
        <v>611</v>
      </c>
      <c r="B612">
        <v>184066</v>
      </c>
      <c r="C612">
        <v>24001244</v>
      </c>
      <c r="D612" t="s">
        <v>10</v>
      </c>
      <c r="E612" t="s">
        <v>93</v>
      </c>
      <c r="F612" t="s">
        <v>460</v>
      </c>
      <c r="G612" t="s">
        <v>461</v>
      </c>
      <c r="H612" t="s">
        <v>94</v>
      </c>
      <c r="I612">
        <v>500</v>
      </c>
      <c r="J612" s="74">
        <v>45682</v>
      </c>
      <c r="K612" s="74">
        <v>45687</v>
      </c>
      <c r="L612" t="s">
        <v>190</v>
      </c>
      <c r="M612" s="74">
        <v>45680</v>
      </c>
      <c r="N612" t="s">
        <v>155</v>
      </c>
      <c r="O612" t="s">
        <v>190</v>
      </c>
      <c r="P612">
        <v>2.2599999999999998</v>
      </c>
      <c r="Q612">
        <v>5.16</v>
      </c>
      <c r="R612">
        <v>1130</v>
      </c>
      <c r="S612">
        <v>2580</v>
      </c>
      <c r="T612" t="s">
        <v>66</v>
      </c>
      <c r="AA612">
        <f t="shared" si="9"/>
        <v>71678.37000000001</v>
      </c>
      <c r="AB612">
        <f>COUNTIF($D$1:D612,D612)</f>
        <v>55</v>
      </c>
    </row>
    <row r="613" spans="1:28" x14ac:dyDescent="0.25">
      <c r="A613">
        <v>612</v>
      </c>
      <c r="B613">
        <v>184069</v>
      </c>
      <c r="C613">
        <v>24001266</v>
      </c>
      <c r="D613" t="s">
        <v>10</v>
      </c>
      <c r="E613" t="s">
        <v>93</v>
      </c>
      <c r="F613" t="s">
        <v>232</v>
      </c>
      <c r="G613" t="s">
        <v>233</v>
      </c>
      <c r="H613" t="s">
        <v>94</v>
      </c>
      <c r="I613">
        <v>332</v>
      </c>
      <c r="J613" s="74">
        <v>45687</v>
      </c>
      <c r="K613" s="74">
        <v>45687</v>
      </c>
      <c r="L613" t="s">
        <v>190</v>
      </c>
      <c r="M613" s="74">
        <v>45680</v>
      </c>
      <c r="N613" t="s">
        <v>155</v>
      </c>
      <c r="O613" t="s">
        <v>190</v>
      </c>
      <c r="P613">
        <v>1.23</v>
      </c>
      <c r="Q613">
        <v>9.35</v>
      </c>
      <c r="R613">
        <v>408.36</v>
      </c>
      <c r="S613">
        <v>3104.2</v>
      </c>
      <c r="T613" t="s">
        <v>66</v>
      </c>
      <c r="AA613">
        <f t="shared" si="9"/>
        <v>71678.37000000001</v>
      </c>
      <c r="AB613">
        <f>COUNTIF($D$1:D613,D613)</f>
        <v>56</v>
      </c>
    </row>
    <row r="614" spans="1:28" x14ac:dyDescent="0.25">
      <c r="A614">
        <v>613</v>
      </c>
      <c r="B614">
        <v>184072</v>
      </c>
      <c r="C614">
        <v>24001269</v>
      </c>
      <c r="D614" t="s">
        <v>10</v>
      </c>
      <c r="E614" t="s">
        <v>93</v>
      </c>
      <c r="F614" t="s">
        <v>462</v>
      </c>
      <c r="G614" t="s">
        <v>463</v>
      </c>
      <c r="H614" t="s">
        <v>94</v>
      </c>
      <c r="I614">
        <v>300</v>
      </c>
      <c r="J614" s="74">
        <v>45687</v>
      </c>
      <c r="K614" s="74">
        <v>45688</v>
      </c>
      <c r="L614" t="s">
        <v>190</v>
      </c>
      <c r="M614" s="74">
        <v>45680</v>
      </c>
      <c r="N614" t="s">
        <v>155</v>
      </c>
      <c r="O614" t="s">
        <v>190</v>
      </c>
      <c r="P614">
        <v>3.21</v>
      </c>
      <c r="Q614">
        <v>7.42</v>
      </c>
      <c r="R614">
        <v>963</v>
      </c>
      <c r="S614">
        <v>2226</v>
      </c>
      <c r="T614" t="s">
        <v>66</v>
      </c>
      <c r="AA614">
        <f t="shared" si="9"/>
        <v>71678.37000000001</v>
      </c>
      <c r="AB614">
        <f>COUNTIF($D$1:D614,D614)</f>
        <v>57</v>
      </c>
    </row>
    <row r="615" spans="1:28" x14ac:dyDescent="0.25">
      <c r="A615">
        <v>614</v>
      </c>
      <c r="B615">
        <v>184078</v>
      </c>
      <c r="C615">
        <v>24001275</v>
      </c>
      <c r="D615" t="s">
        <v>10</v>
      </c>
      <c r="E615" t="s">
        <v>93</v>
      </c>
      <c r="F615" t="s">
        <v>464</v>
      </c>
      <c r="G615" t="s">
        <v>465</v>
      </c>
      <c r="H615" t="s">
        <v>94</v>
      </c>
      <c r="I615">
        <v>300</v>
      </c>
      <c r="J615" s="74">
        <v>45688</v>
      </c>
      <c r="K615" s="74">
        <v>45688</v>
      </c>
      <c r="L615" t="s">
        <v>190</v>
      </c>
      <c r="M615" s="74">
        <v>45680</v>
      </c>
      <c r="N615" t="s">
        <v>155</v>
      </c>
      <c r="O615" t="s">
        <v>190</v>
      </c>
      <c r="P615">
        <v>1.94</v>
      </c>
      <c r="Q615">
        <v>5.16</v>
      </c>
      <c r="R615">
        <v>582</v>
      </c>
      <c r="S615">
        <v>1548</v>
      </c>
      <c r="T615" t="s">
        <v>66</v>
      </c>
      <c r="AA615">
        <f t="shared" si="9"/>
        <v>71678.37000000001</v>
      </c>
      <c r="AB615">
        <f>COUNTIF($D$1:D615,D615)</f>
        <v>58</v>
      </c>
    </row>
    <row r="616" spans="1:28" x14ac:dyDescent="0.25">
      <c r="A616">
        <v>615</v>
      </c>
      <c r="B616">
        <v>184114</v>
      </c>
      <c r="C616">
        <v>24001398</v>
      </c>
      <c r="D616" t="s">
        <v>10</v>
      </c>
      <c r="E616" t="s">
        <v>97</v>
      </c>
      <c r="F616" t="s">
        <v>466</v>
      </c>
      <c r="G616" t="s">
        <v>429</v>
      </c>
      <c r="H616" t="s">
        <v>94</v>
      </c>
      <c r="I616">
        <v>4000</v>
      </c>
      <c r="J616" s="74">
        <v>45663</v>
      </c>
      <c r="K616" s="74">
        <v>45681</v>
      </c>
      <c r="L616" t="s">
        <v>190</v>
      </c>
      <c r="M616" s="74">
        <v>45672</v>
      </c>
      <c r="N616" t="s">
        <v>155</v>
      </c>
      <c r="O616" t="s">
        <v>190</v>
      </c>
      <c r="P616">
        <v>0.28999999999999998</v>
      </c>
      <c r="Q616">
        <v>1.18</v>
      </c>
      <c r="R616">
        <v>1160</v>
      </c>
      <c r="S616">
        <v>4720</v>
      </c>
      <c r="T616" t="s">
        <v>66</v>
      </c>
      <c r="AA616">
        <f t="shared" si="9"/>
        <v>71678.37000000001</v>
      </c>
      <c r="AB616">
        <f>COUNTIF($D$1:D616,D616)</f>
        <v>59</v>
      </c>
    </row>
    <row r="617" spans="1:28" x14ac:dyDescent="0.25">
      <c r="A617">
        <v>616</v>
      </c>
      <c r="B617">
        <v>184112</v>
      </c>
      <c r="C617">
        <v>24001397</v>
      </c>
      <c r="D617" t="s">
        <v>10</v>
      </c>
      <c r="E617" t="s">
        <v>97</v>
      </c>
      <c r="F617" t="s">
        <v>342</v>
      </c>
      <c r="G617" t="s">
        <v>343</v>
      </c>
      <c r="H617" t="s">
        <v>94</v>
      </c>
      <c r="I617">
        <v>555</v>
      </c>
      <c r="J617" s="74">
        <v>45659</v>
      </c>
      <c r="K617" s="74">
        <v>45673</v>
      </c>
      <c r="L617" t="s">
        <v>190</v>
      </c>
      <c r="M617" s="74">
        <v>45672</v>
      </c>
      <c r="N617" t="s">
        <v>155</v>
      </c>
      <c r="O617" t="s">
        <v>190</v>
      </c>
      <c r="P617">
        <v>0.28999999999999998</v>
      </c>
      <c r="Q617">
        <v>1.18</v>
      </c>
      <c r="R617">
        <v>160.94999999999999</v>
      </c>
      <c r="S617">
        <v>654.9</v>
      </c>
      <c r="T617" t="s">
        <v>66</v>
      </c>
      <c r="AA617">
        <f t="shared" si="9"/>
        <v>71678.37000000001</v>
      </c>
      <c r="AB617">
        <f>COUNTIF($D$1:D617,D617)</f>
        <v>60</v>
      </c>
    </row>
    <row r="618" spans="1:28" x14ac:dyDescent="0.25">
      <c r="A618">
        <v>617</v>
      </c>
      <c r="B618">
        <v>184120</v>
      </c>
      <c r="C618">
        <v>24001403</v>
      </c>
      <c r="D618" t="s">
        <v>10</v>
      </c>
      <c r="E618" t="s">
        <v>97</v>
      </c>
      <c r="F618" t="s">
        <v>436</v>
      </c>
      <c r="G618" t="s">
        <v>437</v>
      </c>
      <c r="H618" t="s">
        <v>94</v>
      </c>
      <c r="I618">
        <v>1090</v>
      </c>
      <c r="J618" s="74">
        <v>45661</v>
      </c>
      <c r="K618" s="74">
        <v>45663</v>
      </c>
      <c r="L618" t="s">
        <v>190</v>
      </c>
      <c r="M618" s="74">
        <v>45672</v>
      </c>
      <c r="N618" t="s">
        <v>151</v>
      </c>
      <c r="O618" t="s">
        <v>190</v>
      </c>
      <c r="P618">
        <v>0.28999999999999998</v>
      </c>
      <c r="Q618">
        <v>1.42</v>
      </c>
      <c r="R618">
        <v>316.10000000000002</v>
      </c>
      <c r="S618">
        <v>1547.8</v>
      </c>
      <c r="T618" t="s">
        <v>66</v>
      </c>
      <c r="AA618">
        <f t="shared" si="9"/>
        <v>71678.37000000001</v>
      </c>
      <c r="AB618">
        <f>COUNTIF($D$1:D618,D618)</f>
        <v>61</v>
      </c>
    </row>
    <row r="619" spans="1:28" x14ac:dyDescent="0.25">
      <c r="A619">
        <v>618</v>
      </c>
      <c r="B619">
        <v>184350</v>
      </c>
      <c r="C619">
        <v>24001425</v>
      </c>
      <c r="D619" t="s">
        <v>10</v>
      </c>
      <c r="E619" t="s">
        <v>97</v>
      </c>
      <c r="F619" t="s">
        <v>331</v>
      </c>
      <c r="H619" t="s">
        <v>94</v>
      </c>
      <c r="I619">
        <v>3001</v>
      </c>
      <c r="J619" s="74">
        <v>45667</v>
      </c>
      <c r="K619" s="74">
        <v>45680</v>
      </c>
      <c r="L619" t="s">
        <v>190</v>
      </c>
      <c r="M619" s="74">
        <v>45698</v>
      </c>
      <c r="N619" t="s">
        <v>151</v>
      </c>
      <c r="O619" t="s">
        <v>224</v>
      </c>
      <c r="P619">
        <v>0.91</v>
      </c>
      <c r="Q619">
        <v>1.79</v>
      </c>
      <c r="R619">
        <v>2730.91</v>
      </c>
      <c r="S619">
        <v>5371.79</v>
      </c>
      <c r="T619" t="s">
        <v>66</v>
      </c>
      <c r="AA619">
        <f t="shared" si="9"/>
        <v>71678.37000000001</v>
      </c>
      <c r="AB619">
        <f>COUNTIF($D$1:D619,D619)</f>
        <v>62</v>
      </c>
    </row>
    <row r="620" spans="1:28" x14ac:dyDescent="0.25">
      <c r="A620">
        <v>619</v>
      </c>
      <c r="B620">
        <v>184133</v>
      </c>
      <c r="C620">
        <v>24001424</v>
      </c>
      <c r="D620" t="s">
        <v>10</v>
      </c>
      <c r="E620" t="s">
        <v>97</v>
      </c>
      <c r="F620" t="s">
        <v>228</v>
      </c>
      <c r="G620" t="s">
        <v>229</v>
      </c>
      <c r="H620" t="s">
        <v>94</v>
      </c>
      <c r="I620">
        <v>1000</v>
      </c>
      <c r="J620" s="74">
        <v>45670</v>
      </c>
      <c r="K620" s="74">
        <v>45674</v>
      </c>
      <c r="L620" t="s">
        <v>190</v>
      </c>
      <c r="M620" s="74">
        <v>45670</v>
      </c>
      <c r="N620" t="s">
        <v>155</v>
      </c>
      <c r="O620" t="s">
        <v>190</v>
      </c>
      <c r="P620">
        <v>0.91</v>
      </c>
      <c r="Q620">
        <v>1.79</v>
      </c>
      <c r="R620">
        <v>910</v>
      </c>
      <c r="S620">
        <v>1790</v>
      </c>
      <c r="T620" t="s">
        <v>66</v>
      </c>
      <c r="AA620">
        <f t="shared" si="9"/>
        <v>71678.37000000001</v>
      </c>
      <c r="AB620">
        <f>COUNTIF($D$1:D620,D620)</f>
        <v>63</v>
      </c>
    </row>
    <row r="621" spans="1:28" x14ac:dyDescent="0.25">
      <c r="A621">
        <v>620</v>
      </c>
      <c r="B621">
        <v>184065</v>
      </c>
      <c r="C621">
        <v>24001243</v>
      </c>
      <c r="D621" t="s">
        <v>10</v>
      </c>
      <c r="E621" t="s">
        <v>93</v>
      </c>
      <c r="F621" t="s">
        <v>458</v>
      </c>
      <c r="G621" t="s">
        <v>459</v>
      </c>
      <c r="H621" t="s">
        <v>95</v>
      </c>
      <c r="I621">
        <v>450</v>
      </c>
      <c r="J621" s="74">
        <v>45682</v>
      </c>
      <c r="K621" s="74">
        <v>45687</v>
      </c>
      <c r="L621" t="s">
        <v>190</v>
      </c>
      <c r="M621" s="74">
        <v>45680</v>
      </c>
      <c r="N621" t="s">
        <v>155</v>
      </c>
      <c r="O621" t="s">
        <v>190</v>
      </c>
      <c r="P621">
        <v>2.96</v>
      </c>
      <c r="Q621">
        <v>7.42</v>
      </c>
      <c r="R621">
        <v>1332</v>
      </c>
      <c r="S621">
        <v>3339</v>
      </c>
      <c r="T621" t="s">
        <v>66</v>
      </c>
      <c r="AA621">
        <f t="shared" si="9"/>
        <v>71678.37000000001</v>
      </c>
      <c r="AB621">
        <f>COUNTIF($D$1:D621,D621)</f>
        <v>64</v>
      </c>
    </row>
    <row r="622" spans="1:28" x14ac:dyDescent="0.25">
      <c r="A622">
        <v>621</v>
      </c>
      <c r="B622">
        <v>184066</v>
      </c>
      <c r="C622">
        <v>24001244</v>
      </c>
      <c r="D622" t="s">
        <v>10</v>
      </c>
      <c r="E622" t="s">
        <v>93</v>
      </c>
      <c r="F622" t="s">
        <v>460</v>
      </c>
      <c r="G622" t="s">
        <v>461</v>
      </c>
      <c r="H622" t="s">
        <v>95</v>
      </c>
      <c r="I622">
        <v>500</v>
      </c>
      <c r="J622" s="74">
        <v>45687</v>
      </c>
      <c r="K622" s="74">
        <v>45687</v>
      </c>
      <c r="L622" t="s">
        <v>190</v>
      </c>
      <c r="M622" s="74">
        <v>45680</v>
      </c>
      <c r="N622" t="s">
        <v>155</v>
      </c>
      <c r="O622" t="s">
        <v>190</v>
      </c>
      <c r="P622">
        <v>2.2599999999999998</v>
      </c>
      <c r="Q622">
        <v>5.16</v>
      </c>
      <c r="R622">
        <v>1130</v>
      </c>
      <c r="S622">
        <v>2580</v>
      </c>
      <c r="T622" t="s">
        <v>66</v>
      </c>
      <c r="AA622">
        <f t="shared" si="9"/>
        <v>71678.37000000001</v>
      </c>
      <c r="AB622">
        <f>COUNTIF($D$1:D622,D622)</f>
        <v>65</v>
      </c>
    </row>
    <row r="623" spans="1:28" x14ac:dyDescent="0.25">
      <c r="A623">
        <v>622</v>
      </c>
      <c r="B623">
        <v>184069</v>
      </c>
      <c r="C623">
        <v>24001266</v>
      </c>
      <c r="D623" t="s">
        <v>10</v>
      </c>
      <c r="E623" t="s">
        <v>93</v>
      </c>
      <c r="F623" t="s">
        <v>232</v>
      </c>
      <c r="G623" t="s">
        <v>233</v>
      </c>
      <c r="H623" t="s">
        <v>95</v>
      </c>
      <c r="I623">
        <v>504</v>
      </c>
      <c r="J623" s="74">
        <v>45687</v>
      </c>
      <c r="K623" s="74">
        <v>45687</v>
      </c>
      <c r="L623" t="s">
        <v>190</v>
      </c>
      <c r="M623" s="74">
        <v>45680</v>
      </c>
      <c r="N623" t="s">
        <v>155</v>
      </c>
      <c r="O623" t="s">
        <v>190</v>
      </c>
      <c r="P623">
        <v>1.23</v>
      </c>
      <c r="Q623">
        <v>9.35</v>
      </c>
      <c r="R623">
        <v>619.91999999999996</v>
      </c>
      <c r="S623">
        <v>4712.3999999999996</v>
      </c>
      <c r="T623" t="s">
        <v>66</v>
      </c>
      <c r="AA623">
        <f t="shared" si="9"/>
        <v>71678.37000000001</v>
      </c>
      <c r="AB623">
        <f>COUNTIF($D$1:D623,D623)</f>
        <v>66</v>
      </c>
    </row>
    <row r="624" spans="1:28" x14ac:dyDescent="0.25">
      <c r="A624">
        <v>623</v>
      </c>
      <c r="B624">
        <v>184072</v>
      </c>
      <c r="C624">
        <v>24001269</v>
      </c>
      <c r="D624" t="s">
        <v>10</v>
      </c>
      <c r="E624" t="s">
        <v>93</v>
      </c>
      <c r="F624" t="s">
        <v>462</v>
      </c>
      <c r="G624" t="s">
        <v>463</v>
      </c>
      <c r="H624" t="s">
        <v>95</v>
      </c>
      <c r="I624">
        <v>300</v>
      </c>
      <c r="J624" s="74">
        <v>45687</v>
      </c>
      <c r="K624" s="74">
        <v>45687</v>
      </c>
      <c r="L624" t="s">
        <v>190</v>
      </c>
      <c r="M624" s="74">
        <v>45680</v>
      </c>
      <c r="N624" t="s">
        <v>155</v>
      </c>
      <c r="O624" t="s">
        <v>190</v>
      </c>
      <c r="P624">
        <v>3.21</v>
      </c>
      <c r="Q624">
        <v>7.42</v>
      </c>
      <c r="R624">
        <v>963</v>
      </c>
      <c r="S624">
        <v>2226</v>
      </c>
      <c r="T624" t="s">
        <v>66</v>
      </c>
      <c r="AA624">
        <f t="shared" si="9"/>
        <v>71678.37000000001</v>
      </c>
      <c r="AB624">
        <f>COUNTIF($D$1:D624,D624)</f>
        <v>67</v>
      </c>
    </row>
    <row r="625" spans="1:28" x14ac:dyDescent="0.25">
      <c r="A625">
        <v>624</v>
      </c>
      <c r="B625">
        <v>184078</v>
      </c>
      <c r="C625">
        <v>24001275</v>
      </c>
      <c r="D625" t="s">
        <v>10</v>
      </c>
      <c r="E625" t="s">
        <v>93</v>
      </c>
      <c r="F625" t="s">
        <v>464</v>
      </c>
      <c r="G625" t="s">
        <v>465</v>
      </c>
      <c r="H625" t="s">
        <v>95</v>
      </c>
      <c r="I625">
        <v>300</v>
      </c>
      <c r="J625" s="74">
        <v>45687</v>
      </c>
      <c r="K625" s="74">
        <v>45687</v>
      </c>
      <c r="L625" t="s">
        <v>190</v>
      </c>
      <c r="M625" s="74">
        <v>45680</v>
      </c>
      <c r="N625" t="s">
        <v>155</v>
      </c>
      <c r="O625" t="s">
        <v>190</v>
      </c>
      <c r="P625">
        <v>1.94</v>
      </c>
      <c r="Q625">
        <v>5.16</v>
      </c>
      <c r="R625">
        <v>582</v>
      </c>
      <c r="S625">
        <v>1548</v>
      </c>
      <c r="T625" t="s">
        <v>66</v>
      </c>
      <c r="AA625">
        <f t="shared" si="9"/>
        <v>71678.37000000001</v>
      </c>
      <c r="AB625">
        <f>COUNTIF($D$1:D625,D625)</f>
        <v>68</v>
      </c>
    </row>
    <row r="626" spans="1:28" x14ac:dyDescent="0.25">
      <c r="A626">
        <v>625</v>
      </c>
      <c r="B626">
        <v>184080</v>
      </c>
      <c r="C626">
        <v>24001279</v>
      </c>
      <c r="D626" t="s">
        <v>10</v>
      </c>
      <c r="E626" t="s">
        <v>93</v>
      </c>
      <c r="F626" t="s">
        <v>336</v>
      </c>
      <c r="G626" t="s">
        <v>337</v>
      </c>
      <c r="H626" t="s">
        <v>95</v>
      </c>
      <c r="I626">
        <v>365</v>
      </c>
      <c r="J626" s="74">
        <v>45687</v>
      </c>
      <c r="K626" s="74">
        <v>45688</v>
      </c>
      <c r="L626" t="s">
        <v>190</v>
      </c>
      <c r="M626" s="74">
        <v>45680</v>
      </c>
      <c r="N626" t="s">
        <v>155</v>
      </c>
      <c r="O626" t="s">
        <v>190</v>
      </c>
      <c r="P626">
        <v>1.1499999999999999</v>
      </c>
      <c r="Q626">
        <v>2.8</v>
      </c>
      <c r="R626">
        <v>419.75</v>
      </c>
      <c r="S626">
        <v>1022</v>
      </c>
      <c r="T626" t="s">
        <v>66</v>
      </c>
      <c r="AA626">
        <f t="shared" si="9"/>
        <v>71678.37000000001</v>
      </c>
      <c r="AB626">
        <f>COUNTIF($D$1:D626,D626)</f>
        <v>69</v>
      </c>
    </row>
    <row r="627" spans="1:28" x14ac:dyDescent="0.25">
      <c r="A627">
        <v>626</v>
      </c>
      <c r="B627">
        <v>184082</v>
      </c>
      <c r="C627">
        <v>24001281</v>
      </c>
      <c r="D627" t="s">
        <v>10</v>
      </c>
      <c r="E627" t="s">
        <v>93</v>
      </c>
      <c r="F627" t="s">
        <v>467</v>
      </c>
      <c r="G627" t="s">
        <v>468</v>
      </c>
      <c r="H627" t="s">
        <v>95</v>
      </c>
      <c r="I627">
        <v>450</v>
      </c>
      <c r="J627" s="74">
        <v>45688</v>
      </c>
      <c r="K627" s="74">
        <v>45688</v>
      </c>
      <c r="L627" t="s">
        <v>190</v>
      </c>
      <c r="M627" s="74">
        <v>45680</v>
      </c>
      <c r="N627" t="s">
        <v>155</v>
      </c>
      <c r="O627" t="s">
        <v>190</v>
      </c>
      <c r="P627">
        <v>1.39</v>
      </c>
      <c r="Q627">
        <v>3.01</v>
      </c>
      <c r="R627">
        <v>625.5</v>
      </c>
      <c r="S627">
        <v>1354.5</v>
      </c>
      <c r="T627" t="s">
        <v>66</v>
      </c>
      <c r="AA627">
        <f t="shared" si="9"/>
        <v>71678.37000000001</v>
      </c>
      <c r="AB627">
        <f>COUNTIF($D$1:D627,D627)</f>
        <v>70</v>
      </c>
    </row>
    <row r="628" spans="1:28" x14ac:dyDescent="0.25">
      <c r="A628">
        <v>627</v>
      </c>
      <c r="B628">
        <v>184128</v>
      </c>
      <c r="C628">
        <v>24001411</v>
      </c>
      <c r="D628" t="s">
        <v>10</v>
      </c>
      <c r="E628" t="s">
        <v>97</v>
      </c>
      <c r="F628" t="s">
        <v>454</v>
      </c>
      <c r="G628" t="s">
        <v>455</v>
      </c>
      <c r="H628" t="s">
        <v>95</v>
      </c>
      <c r="I628">
        <v>890</v>
      </c>
      <c r="J628" s="74">
        <v>45659</v>
      </c>
      <c r="K628" s="74">
        <v>45673</v>
      </c>
      <c r="L628" t="s">
        <v>190</v>
      </c>
      <c r="M628" s="74">
        <v>45672</v>
      </c>
      <c r="N628" t="s">
        <v>155</v>
      </c>
      <c r="O628" t="s">
        <v>190</v>
      </c>
      <c r="P628">
        <v>0.28999999999999998</v>
      </c>
      <c r="Q628">
        <v>1.42</v>
      </c>
      <c r="R628">
        <v>258.10000000000002</v>
      </c>
      <c r="S628">
        <v>1263.8</v>
      </c>
      <c r="T628" t="s">
        <v>66</v>
      </c>
      <c r="AA628">
        <f t="shared" si="9"/>
        <v>71678.37000000001</v>
      </c>
      <c r="AB628">
        <f>COUNTIF($D$1:D628,D628)</f>
        <v>71</v>
      </c>
    </row>
    <row r="629" spans="1:28" x14ac:dyDescent="0.25">
      <c r="A629">
        <v>628</v>
      </c>
      <c r="B629">
        <v>184114</v>
      </c>
      <c r="C629">
        <v>24001398</v>
      </c>
      <c r="D629" t="s">
        <v>10</v>
      </c>
      <c r="E629" t="s">
        <v>97</v>
      </c>
      <c r="F629" t="s">
        <v>466</v>
      </c>
      <c r="G629" t="s">
        <v>429</v>
      </c>
      <c r="H629" t="s">
        <v>95</v>
      </c>
      <c r="I629">
        <v>4515</v>
      </c>
      <c r="J629" s="74">
        <v>45661</v>
      </c>
      <c r="K629" s="74">
        <v>45680</v>
      </c>
      <c r="L629" t="s">
        <v>190</v>
      </c>
      <c r="M629" s="74">
        <v>45672</v>
      </c>
      <c r="N629" t="s">
        <v>155</v>
      </c>
      <c r="O629" t="s">
        <v>190</v>
      </c>
      <c r="P629">
        <v>0.28999999999999998</v>
      </c>
      <c r="Q629">
        <v>1.18</v>
      </c>
      <c r="R629">
        <v>1309.3499999999999</v>
      </c>
      <c r="S629">
        <v>5327.7</v>
      </c>
      <c r="T629" t="s">
        <v>66</v>
      </c>
      <c r="AA629">
        <f t="shared" si="9"/>
        <v>71678.37000000001</v>
      </c>
      <c r="AB629">
        <f>COUNTIF($D$1:D629,D629)</f>
        <v>72</v>
      </c>
    </row>
    <row r="630" spans="1:28" x14ac:dyDescent="0.25">
      <c r="A630">
        <v>629</v>
      </c>
      <c r="B630">
        <v>184127</v>
      </c>
      <c r="C630">
        <v>24001410</v>
      </c>
      <c r="D630" t="s">
        <v>10</v>
      </c>
      <c r="E630" t="s">
        <v>97</v>
      </c>
      <c r="F630" t="s">
        <v>338</v>
      </c>
      <c r="G630" t="s">
        <v>339</v>
      </c>
      <c r="H630" t="s">
        <v>95</v>
      </c>
      <c r="I630">
        <v>1014</v>
      </c>
      <c r="J630" s="74">
        <v>45663</v>
      </c>
      <c r="K630" s="74">
        <v>45665</v>
      </c>
      <c r="L630" t="s">
        <v>190</v>
      </c>
      <c r="M630" s="74">
        <v>45672</v>
      </c>
      <c r="N630" t="s">
        <v>151</v>
      </c>
      <c r="O630" t="s">
        <v>190</v>
      </c>
      <c r="P630">
        <v>0.28999999999999998</v>
      </c>
      <c r="Q630">
        <v>1.42</v>
      </c>
      <c r="R630">
        <v>294.06</v>
      </c>
      <c r="S630">
        <v>1439.88</v>
      </c>
      <c r="T630" t="s">
        <v>66</v>
      </c>
      <c r="AA630">
        <f t="shared" si="9"/>
        <v>71678.37000000001</v>
      </c>
      <c r="AB630">
        <f>COUNTIF($D$1:D630,D630)</f>
        <v>73</v>
      </c>
    </row>
    <row r="631" spans="1:28" x14ac:dyDescent="0.25">
      <c r="A631">
        <v>630</v>
      </c>
      <c r="B631">
        <v>184112</v>
      </c>
      <c r="C631">
        <v>24001397</v>
      </c>
      <c r="D631" t="s">
        <v>10</v>
      </c>
      <c r="E631" t="s">
        <v>97</v>
      </c>
      <c r="F631" t="s">
        <v>342</v>
      </c>
      <c r="G631" t="s">
        <v>343</v>
      </c>
      <c r="H631" t="s">
        <v>95</v>
      </c>
      <c r="I631">
        <v>554</v>
      </c>
      <c r="J631" s="74">
        <v>45659</v>
      </c>
      <c r="K631" s="74">
        <v>45673</v>
      </c>
      <c r="L631" t="s">
        <v>190</v>
      </c>
      <c r="M631" s="74">
        <v>45672</v>
      </c>
      <c r="N631" t="s">
        <v>155</v>
      </c>
      <c r="O631" t="s">
        <v>190</v>
      </c>
      <c r="P631">
        <v>0.28999999999999998</v>
      </c>
      <c r="Q631">
        <v>1.18</v>
      </c>
      <c r="R631">
        <v>160.66</v>
      </c>
      <c r="S631">
        <v>653.72</v>
      </c>
      <c r="T631" t="s">
        <v>66</v>
      </c>
      <c r="AA631">
        <f t="shared" si="9"/>
        <v>71678.37000000001</v>
      </c>
      <c r="AB631">
        <f>COUNTIF($D$1:D631,D631)</f>
        <v>74</v>
      </c>
    </row>
    <row r="632" spans="1:28" x14ac:dyDescent="0.25">
      <c r="A632">
        <v>631</v>
      </c>
      <c r="B632">
        <v>184120</v>
      </c>
      <c r="C632">
        <v>24001403</v>
      </c>
      <c r="D632" t="s">
        <v>10</v>
      </c>
      <c r="E632" t="s">
        <v>97</v>
      </c>
      <c r="F632" t="s">
        <v>436</v>
      </c>
      <c r="G632" t="s">
        <v>437</v>
      </c>
      <c r="H632" t="s">
        <v>95</v>
      </c>
      <c r="I632">
        <v>993</v>
      </c>
      <c r="J632" s="74">
        <v>45661</v>
      </c>
      <c r="K632" s="74">
        <v>45675</v>
      </c>
      <c r="L632" t="s">
        <v>190</v>
      </c>
      <c r="M632" s="74">
        <v>45672</v>
      </c>
      <c r="N632" t="s">
        <v>155</v>
      </c>
      <c r="O632" t="s">
        <v>190</v>
      </c>
      <c r="P632">
        <v>0.28999999999999998</v>
      </c>
      <c r="Q632">
        <v>1.42</v>
      </c>
      <c r="R632">
        <v>287.97000000000003</v>
      </c>
      <c r="S632">
        <v>1410.06</v>
      </c>
      <c r="T632" t="s">
        <v>66</v>
      </c>
      <c r="AA632">
        <f t="shared" si="9"/>
        <v>71678.37000000001</v>
      </c>
      <c r="AB632">
        <f>COUNTIF($D$1:D632,D632)</f>
        <v>75</v>
      </c>
    </row>
    <row r="633" spans="1:28" x14ac:dyDescent="0.25">
      <c r="A633">
        <v>632</v>
      </c>
      <c r="B633">
        <v>184350</v>
      </c>
      <c r="C633">
        <v>24001425</v>
      </c>
      <c r="D633" t="s">
        <v>10</v>
      </c>
      <c r="E633" t="s">
        <v>97</v>
      </c>
      <c r="F633" t="s">
        <v>331</v>
      </c>
      <c r="H633" t="s">
        <v>95</v>
      </c>
      <c r="I633">
        <v>3001</v>
      </c>
      <c r="J633" s="74">
        <v>45667</v>
      </c>
      <c r="K633" s="74">
        <v>45682</v>
      </c>
      <c r="L633" t="s">
        <v>190</v>
      </c>
      <c r="M633" s="74">
        <v>45698</v>
      </c>
      <c r="N633" t="s">
        <v>151</v>
      </c>
      <c r="O633" t="s">
        <v>224</v>
      </c>
      <c r="P633">
        <v>0.91</v>
      </c>
      <c r="Q633">
        <v>1.79</v>
      </c>
      <c r="R633">
        <v>2730.91</v>
      </c>
      <c r="S633">
        <v>5371.79</v>
      </c>
      <c r="T633" t="s">
        <v>66</v>
      </c>
      <c r="AA633">
        <f t="shared" si="9"/>
        <v>71678.37000000001</v>
      </c>
      <c r="AB633">
        <f>COUNTIF($D$1:D633,D633)</f>
        <v>76</v>
      </c>
    </row>
    <row r="634" spans="1:28" x14ac:dyDescent="0.25">
      <c r="A634">
        <v>633</v>
      </c>
      <c r="B634">
        <v>184133</v>
      </c>
      <c r="C634">
        <v>24001424</v>
      </c>
      <c r="D634" t="s">
        <v>10</v>
      </c>
      <c r="E634" t="s">
        <v>97</v>
      </c>
      <c r="F634" t="s">
        <v>228</v>
      </c>
      <c r="G634" t="s">
        <v>229</v>
      </c>
      <c r="H634" t="s">
        <v>95</v>
      </c>
      <c r="I634">
        <v>1000</v>
      </c>
      <c r="J634" s="74">
        <v>45670</v>
      </c>
      <c r="K634" s="74">
        <v>45677</v>
      </c>
      <c r="L634" t="s">
        <v>190</v>
      </c>
      <c r="M634" s="74">
        <v>45670</v>
      </c>
      <c r="N634" t="s">
        <v>155</v>
      </c>
      <c r="O634" t="s">
        <v>190</v>
      </c>
      <c r="P634">
        <v>0.91</v>
      </c>
      <c r="Q634">
        <v>1.79</v>
      </c>
      <c r="R634">
        <v>910</v>
      </c>
      <c r="S634">
        <v>1790</v>
      </c>
      <c r="T634" t="s">
        <v>66</v>
      </c>
      <c r="AA634">
        <f t="shared" si="9"/>
        <v>71678.37000000001</v>
      </c>
      <c r="AB634">
        <f>COUNTIF($D$1:D634,D634)</f>
        <v>77</v>
      </c>
    </row>
    <row r="635" spans="1:28" x14ac:dyDescent="0.25">
      <c r="A635">
        <v>634</v>
      </c>
      <c r="B635">
        <v>184128</v>
      </c>
      <c r="C635">
        <v>24001411</v>
      </c>
      <c r="D635" t="s">
        <v>10</v>
      </c>
      <c r="E635" t="s">
        <v>97</v>
      </c>
      <c r="F635" t="s">
        <v>454</v>
      </c>
      <c r="G635" t="s">
        <v>455</v>
      </c>
      <c r="H635" t="s">
        <v>102</v>
      </c>
      <c r="I635">
        <v>366</v>
      </c>
      <c r="J635" s="74">
        <v>45659</v>
      </c>
      <c r="K635" s="74">
        <v>45660</v>
      </c>
      <c r="L635" t="s">
        <v>190</v>
      </c>
      <c r="M635" s="74">
        <v>45672</v>
      </c>
      <c r="N635" t="s">
        <v>151</v>
      </c>
      <c r="O635" t="s">
        <v>190</v>
      </c>
      <c r="P635">
        <v>0.28999999999999998</v>
      </c>
      <c r="Q635">
        <v>1.42</v>
      </c>
      <c r="R635">
        <v>106.14</v>
      </c>
      <c r="S635">
        <v>519.72</v>
      </c>
      <c r="T635" t="s">
        <v>66</v>
      </c>
      <c r="AA635">
        <f t="shared" si="9"/>
        <v>71678.37000000001</v>
      </c>
      <c r="AB635">
        <f>COUNTIF($D$1:D635,D635)</f>
        <v>78</v>
      </c>
    </row>
    <row r="636" spans="1:28" x14ac:dyDescent="0.25">
      <c r="A636">
        <v>635</v>
      </c>
      <c r="B636">
        <v>184127</v>
      </c>
      <c r="C636">
        <v>24001410</v>
      </c>
      <c r="D636" t="s">
        <v>10</v>
      </c>
      <c r="E636" t="s">
        <v>97</v>
      </c>
      <c r="F636" t="s">
        <v>338</v>
      </c>
      <c r="G636" t="s">
        <v>339</v>
      </c>
      <c r="H636" t="s">
        <v>102</v>
      </c>
      <c r="I636">
        <v>1013</v>
      </c>
      <c r="J636" s="74">
        <v>45659</v>
      </c>
      <c r="K636" s="74">
        <v>45660</v>
      </c>
      <c r="L636" t="s">
        <v>190</v>
      </c>
      <c r="M636" s="74">
        <v>45672</v>
      </c>
      <c r="N636" t="s">
        <v>151</v>
      </c>
      <c r="O636" t="s">
        <v>190</v>
      </c>
      <c r="P636">
        <v>0.28999999999999998</v>
      </c>
      <c r="Q636">
        <v>1.42</v>
      </c>
      <c r="R636">
        <v>293.77</v>
      </c>
      <c r="S636">
        <v>1438.46</v>
      </c>
      <c r="T636" t="s">
        <v>66</v>
      </c>
      <c r="AA636">
        <f t="shared" si="9"/>
        <v>71678.37000000001</v>
      </c>
      <c r="AB636">
        <f>COUNTIF($D$1:D636,D636)</f>
        <v>79</v>
      </c>
    </row>
    <row r="637" spans="1:28" x14ac:dyDescent="0.25">
      <c r="A637">
        <v>636</v>
      </c>
      <c r="B637">
        <v>184120</v>
      </c>
      <c r="C637">
        <v>24001403</v>
      </c>
      <c r="D637" t="s">
        <v>10</v>
      </c>
      <c r="E637" t="s">
        <v>97</v>
      </c>
      <c r="F637" t="s">
        <v>436</v>
      </c>
      <c r="G637" t="s">
        <v>437</v>
      </c>
      <c r="H637" t="s">
        <v>99</v>
      </c>
      <c r="I637">
        <v>1070</v>
      </c>
      <c r="J637" s="74">
        <v>45659</v>
      </c>
      <c r="K637" s="74">
        <v>45663</v>
      </c>
      <c r="L637" t="s">
        <v>190</v>
      </c>
      <c r="M637" s="74">
        <v>45672</v>
      </c>
      <c r="N637" t="s">
        <v>151</v>
      </c>
      <c r="O637" t="s">
        <v>190</v>
      </c>
      <c r="P637">
        <v>0.28999999999999998</v>
      </c>
      <c r="Q637">
        <v>1.42</v>
      </c>
      <c r="R637">
        <v>310.3</v>
      </c>
      <c r="S637">
        <v>1519.4</v>
      </c>
      <c r="T637" t="s">
        <v>66</v>
      </c>
      <c r="AA637">
        <f t="shared" si="9"/>
        <v>71678.37000000001</v>
      </c>
      <c r="AB637">
        <f>COUNTIF($D$1:D637,D637)</f>
        <v>80</v>
      </c>
    </row>
    <row r="638" spans="1:28" x14ac:dyDescent="0.25">
      <c r="A638">
        <v>637</v>
      </c>
      <c r="B638">
        <v>184152</v>
      </c>
      <c r="C638">
        <v>24001367</v>
      </c>
      <c r="D638" t="s">
        <v>7</v>
      </c>
      <c r="E638" t="s">
        <v>81</v>
      </c>
      <c r="F638">
        <v>30430</v>
      </c>
      <c r="G638" t="s">
        <v>340</v>
      </c>
      <c r="H638" t="s">
        <v>72</v>
      </c>
      <c r="I638">
        <v>443</v>
      </c>
      <c r="J638" s="74">
        <v>45659</v>
      </c>
      <c r="K638" s="74">
        <v>45663</v>
      </c>
      <c r="L638" t="s">
        <v>190</v>
      </c>
      <c r="M638" s="74">
        <v>45702</v>
      </c>
      <c r="N638" t="s">
        <v>151</v>
      </c>
      <c r="O638" t="s">
        <v>224</v>
      </c>
      <c r="P638">
        <v>4.45</v>
      </c>
      <c r="Q638">
        <v>5.05</v>
      </c>
      <c r="R638">
        <v>1971.35</v>
      </c>
      <c r="S638">
        <v>2237.15</v>
      </c>
      <c r="T638" t="s">
        <v>154</v>
      </c>
      <c r="AA638">
        <f t="shared" si="9"/>
        <v>36823.740000000005</v>
      </c>
      <c r="AB638">
        <f>COUNTIF($D$1:D638,D638)</f>
        <v>1</v>
      </c>
    </row>
    <row r="639" spans="1:28" x14ac:dyDescent="0.25">
      <c r="A639">
        <v>638</v>
      </c>
      <c r="B639">
        <v>184234</v>
      </c>
      <c r="C639">
        <v>24001373</v>
      </c>
      <c r="D639" t="s">
        <v>7</v>
      </c>
      <c r="E639" t="s">
        <v>81</v>
      </c>
      <c r="F639" t="s">
        <v>192</v>
      </c>
      <c r="G639" t="s">
        <v>469</v>
      </c>
      <c r="H639" t="s">
        <v>72</v>
      </c>
      <c r="I639">
        <v>42</v>
      </c>
      <c r="J639" s="74">
        <v>45664</v>
      </c>
      <c r="K639" s="74">
        <v>45673</v>
      </c>
      <c r="L639" t="s">
        <v>190</v>
      </c>
      <c r="M639" s="74">
        <v>45721</v>
      </c>
      <c r="N639" t="s">
        <v>151</v>
      </c>
      <c r="O639" t="s">
        <v>226</v>
      </c>
      <c r="P639">
        <v>3.87</v>
      </c>
      <c r="Q639">
        <v>4.1500000000000004</v>
      </c>
      <c r="R639">
        <v>162.54</v>
      </c>
      <c r="S639">
        <v>174.3</v>
      </c>
      <c r="T639" t="s">
        <v>154</v>
      </c>
      <c r="AA639">
        <f t="shared" si="9"/>
        <v>36823.740000000005</v>
      </c>
      <c r="AB639">
        <f>COUNTIF($D$1:D639,D639)</f>
        <v>2</v>
      </c>
    </row>
    <row r="640" spans="1:28" x14ac:dyDescent="0.25">
      <c r="A640">
        <v>639</v>
      </c>
      <c r="B640">
        <v>184402</v>
      </c>
      <c r="C640">
        <v>24001557</v>
      </c>
      <c r="D640" t="s">
        <v>7</v>
      </c>
      <c r="E640" t="s">
        <v>81</v>
      </c>
      <c r="F640" t="s">
        <v>470</v>
      </c>
      <c r="G640">
        <v>16210</v>
      </c>
      <c r="H640" t="s">
        <v>72</v>
      </c>
      <c r="I640">
        <v>2611</v>
      </c>
      <c r="J640" s="74">
        <v>45666</v>
      </c>
      <c r="K640" s="74">
        <v>45685</v>
      </c>
      <c r="L640" t="s">
        <v>190</v>
      </c>
      <c r="M640" s="74">
        <v>45691</v>
      </c>
      <c r="N640" t="s">
        <v>151</v>
      </c>
      <c r="O640" t="s">
        <v>224</v>
      </c>
      <c r="P640">
        <v>2.95</v>
      </c>
      <c r="Q640">
        <v>3.2</v>
      </c>
      <c r="R640">
        <v>7702.45</v>
      </c>
      <c r="S640">
        <v>8355.2000000000007</v>
      </c>
      <c r="T640" t="s">
        <v>154</v>
      </c>
      <c r="AA640">
        <f t="shared" si="9"/>
        <v>36823.740000000005</v>
      </c>
      <c r="AB640">
        <f>COUNTIF($D$1:D640,D640)</f>
        <v>3</v>
      </c>
    </row>
    <row r="641" spans="1:28" x14ac:dyDescent="0.25">
      <c r="A641">
        <v>640</v>
      </c>
      <c r="B641">
        <v>184403</v>
      </c>
      <c r="C641">
        <v>24001558</v>
      </c>
      <c r="D641" t="s">
        <v>7</v>
      </c>
      <c r="E641" t="s">
        <v>81</v>
      </c>
      <c r="F641" t="s">
        <v>471</v>
      </c>
      <c r="G641">
        <v>16217</v>
      </c>
      <c r="H641" t="s">
        <v>72</v>
      </c>
      <c r="I641">
        <v>406</v>
      </c>
      <c r="J641" s="74">
        <v>45687</v>
      </c>
      <c r="K641" s="74">
        <v>45688</v>
      </c>
      <c r="L641" t="s">
        <v>190</v>
      </c>
      <c r="M641" s="74">
        <v>45691</v>
      </c>
      <c r="N641" t="s">
        <v>151</v>
      </c>
      <c r="O641" t="s">
        <v>224</v>
      </c>
      <c r="P641">
        <v>2.85</v>
      </c>
      <c r="Q641">
        <v>3.1</v>
      </c>
      <c r="R641">
        <v>1157.0999999999999</v>
      </c>
      <c r="S641">
        <v>1258.5999999999999</v>
      </c>
      <c r="T641" t="s">
        <v>154</v>
      </c>
      <c r="AA641">
        <f t="shared" si="9"/>
        <v>36823.740000000005</v>
      </c>
      <c r="AB641">
        <f>COUNTIF($D$1:D641,D641)</f>
        <v>4</v>
      </c>
    </row>
    <row r="642" spans="1:28" x14ac:dyDescent="0.25">
      <c r="A642">
        <v>641</v>
      </c>
      <c r="B642">
        <v>183962</v>
      </c>
      <c r="C642">
        <v>24001374</v>
      </c>
      <c r="D642" t="s">
        <v>7</v>
      </c>
      <c r="E642" t="s">
        <v>81</v>
      </c>
      <c r="F642" t="s">
        <v>193</v>
      </c>
      <c r="G642" t="s">
        <v>236</v>
      </c>
      <c r="H642" t="s">
        <v>82</v>
      </c>
      <c r="I642">
        <v>3425</v>
      </c>
      <c r="J642" s="74">
        <v>45659</v>
      </c>
      <c r="K642" s="74">
        <v>45675</v>
      </c>
      <c r="L642" t="s">
        <v>190</v>
      </c>
      <c r="M642" s="74">
        <v>45750</v>
      </c>
      <c r="N642" t="s">
        <v>151</v>
      </c>
      <c r="O642" t="s">
        <v>237</v>
      </c>
      <c r="P642">
        <v>2.98</v>
      </c>
      <c r="Q642">
        <v>3.26</v>
      </c>
      <c r="R642">
        <v>10206.5</v>
      </c>
      <c r="S642">
        <v>11165.5</v>
      </c>
      <c r="T642" t="s">
        <v>154</v>
      </c>
      <c r="AA642">
        <f t="shared" ref="AA642:AA705" si="10">SUMIF($D:$D,D642,$R:$R)</f>
        <v>36823.740000000005</v>
      </c>
      <c r="AB642">
        <f>COUNTIF($D$1:D642,D642)</f>
        <v>5</v>
      </c>
    </row>
    <row r="643" spans="1:28" x14ac:dyDescent="0.25">
      <c r="A643">
        <v>642</v>
      </c>
      <c r="B643">
        <v>184153</v>
      </c>
      <c r="C643">
        <v>24001368</v>
      </c>
      <c r="D643" t="s">
        <v>7</v>
      </c>
      <c r="E643" t="s">
        <v>81</v>
      </c>
      <c r="F643">
        <v>30530</v>
      </c>
      <c r="G643" t="s">
        <v>341</v>
      </c>
      <c r="H643" t="s">
        <v>77</v>
      </c>
      <c r="I643">
        <v>2495</v>
      </c>
      <c r="J643" s="74">
        <v>45659</v>
      </c>
      <c r="K643" s="74">
        <v>45678</v>
      </c>
      <c r="L643" t="s">
        <v>190</v>
      </c>
      <c r="M643" s="74">
        <v>45702</v>
      </c>
      <c r="N643" t="s">
        <v>151</v>
      </c>
      <c r="O643" t="s">
        <v>224</v>
      </c>
      <c r="P643">
        <v>4.4000000000000004</v>
      </c>
      <c r="Q643">
        <v>5</v>
      </c>
      <c r="R643">
        <v>10978</v>
      </c>
      <c r="S643">
        <v>12475</v>
      </c>
      <c r="T643" t="s">
        <v>154</v>
      </c>
      <c r="AA643">
        <f t="shared" si="10"/>
        <v>36823.740000000005</v>
      </c>
      <c r="AB643">
        <f>COUNTIF($D$1:D643,D643)</f>
        <v>6</v>
      </c>
    </row>
    <row r="644" spans="1:28" x14ac:dyDescent="0.25">
      <c r="A644">
        <v>643</v>
      </c>
      <c r="B644">
        <v>184152</v>
      </c>
      <c r="C644">
        <v>24001367</v>
      </c>
      <c r="D644" t="s">
        <v>7</v>
      </c>
      <c r="E644" t="s">
        <v>81</v>
      </c>
      <c r="F644">
        <v>30430</v>
      </c>
      <c r="G644" t="s">
        <v>340</v>
      </c>
      <c r="H644" t="s">
        <v>77</v>
      </c>
      <c r="I644">
        <v>1044</v>
      </c>
      <c r="J644" s="74">
        <v>45679</v>
      </c>
      <c r="K644" s="74">
        <v>45688</v>
      </c>
      <c r="L644" t="s">
        <v>190</v>
      </c>
      <c r="M644" s="74">
        <v>45688</v>
      </c>
      <c r="N644" t="s">
        <v>151</v>
      </c>
      <c r="O644" t="s">
        <v>190</v>
      </c>
      <c r="P644">
        <v>4.45</v>
      </c>
      <c r="Q644">
        <v>5.05</v>
      </c>
      <c r="R644">
        <v>4645.8</v>
      </c>
      <c r="S644">
        <v>5272.2</v>
      </c>
      <c r="T644" t="s">
        <v>154</v>
      </c>
      <c r="AA644">
        <f t="shared" si="10"/>
        <v>36823.740000000005</v>
      </c>
      <c r="AB644">
        <f>COUNTIF($D$1:D644,D644)</f>
        <v>7</v>
      </c>
    </row>
    <row r="645" spans="1:28" x14ac:dyDescent="0.25">
      <c r="A645">
        <v>644</v>
      </c>
      <c r="B645">
        <v>182842</v>
      </c>
      <c r="C645">
        <v>24001162</v>
      </c>
      <c r="D645" t="s">
        <v>472</v>
      </c>
      <c r="E645" t="s">
        <v>473</v>
      </c>
      <c r="F645" t="s">
        <v>474</v>
      </c>
      <c r="G645" t="s">
        <v>475</v>
      </c>
      <c r="H645" t="s">
        <v>72</v>
      </c>
      <c r="I645">
        <v>12</v>
      </c>
      <c r="J645" s="74">
        <v>45674</v>
      </c>
      <c r="K645" s="74">
        <v>45674</v>
      </c>
      <c r="L645" t="s">
        <v>190</v>
      </c>
      <c r="M645" s="74">
        <v>45639</v>
      </c>
      <c r="N645" t="s">
        <v>155</v>
      </c>
      <c r="O645" t="s">
        <v>153</v>
      </c>
      <c r="P645">
        <v>3.27</v>
      </c>
      <c r="Q645">
        <v>6.09</v>
      </c>
      <c r="R645">
        <v>39.24</v>
      </c>
      <c r="S645">
        <v>73.08</v>
      </c>
      <c r="T645" t="s">
        <v>66</v>
      </c>
      <c r="AA645">
        <f t="shared" si="10"/>
        <v>39.24</v>
      </c>
      <c r="AB645">
        <f>COUNTIF($D$1:D645,D645)</f>
        <v>1</v>
      </c>
    </row>
    <row r="646" spans="1:28" x14ac:dyDescent="0.25">
      <c r="A646">
        <v>645</v>
      </c>
      <c r="B646">
        <v>183804</v>
      </c>
      <c r="C646">
        <v>24001202</v>
      </c>
      <c r="D646" t="s">
        <v>472</v>
      </c>
      <c r="E646" t="s">
        <v>473</v>
      </c>
      <c r="F646" t="s">
        <v>476</v>
      </c>
      <c r="H646" t="s">
        <v>72</v>
      </c>
      <c r="I646">
        <v>3</v>
      </c>
      <c r="J646" s="74">
        <v>45674</v>
      </c>
      <c r="K646" s="74">
        <v>45674</v>
      </c>
      <c r="L646" t="s">
        <v>190</v>
      </c>
      <c r="M646" s="74">
        <v>45639</v>
      </c>
      <c r="N646" t="s">
        <v>155</v>
      </c>
      <c r="O646" t="s">
        <v>153</v>
      </c>
      <c r="P646">
        <v>0</v>
      </c>
      <c r="Q646">
        <v>5.95</v>
      </c>
      <c r="R646">
        <v>0</v>
      </c>
      <c r="S646">
        <v>17.850000000000001</v>
      </c>
      <c r="T646" t="s">
        <v>66</v>
      </c>
      <c r="AA646">
        <f t="shared" si="10"/>
        <v>39.24</v>
      </c>
      <c r="AB646">
        <f>COUNTIF($D$1:D646,D646)</f>
        <v>2</v>
      </c>
    </row>
    <row r="647" spans="1:28" x14ac:dyDescent="0.25">
      <c r="A647">
        <v>646</v>
      </c>
      <c r="B647">
        <v>183843</v>
      </c>
      <c r="C647">
        <v>24001203</v>
      </c>
      <c r="D647" t="s">
        <v>472</v>
      </c>
      <c r="E647" t="s">
        <v>473</v>
      </c>
      <c r="F647" t="s">
        <v>476</v>
      </c>
      <c r="H647" t="s">
        <v>72</v>
      </c>
      <c r="I647">
        <v>48</v>
      </c>
      <c r="J647" s="74">
        <v>45674</v>
      </c>
      <c r="K647" s="74">
        <v>45674</v>
      </c>
      <c r="L647" t="s">
        <v>190</v>
      </c>
      <c r="M647" s="74">
        <v>45639</v>
      </c>
      <c r="N647" t="s">
        <v>155</v>
      </c>
      <c r="O647" t="s">
        <v>153</v>
      </c>
      <c r="P647">
        <v>0</v>
      </c>
      <c r="Q647">
        <v>5.79</v>
      </c>
      <c r="R647">
        <v>0</v>
      </c>
      <c r="S647">
        <v>277.92</v>
      </c>
      <c r="T647" t="s">
        <v>66</v>
      </c>
      <c r="AA647">
        <f t="shared" si="10"/>
        <v>39.24</v>
      </c>
      <c r="AB647">
        <f>COUNTIF($D$1:D647,D647)</f>
        <v>3</v>
      </c>
    </row>
    <row r="648" spans="1:28" x14ac:dyDescent="0.25">
      <c r="A648">
        <v>647</v>
      </c>
      <c r="B648">
        <v>183805</v>
      </c>
      <c r="C648">
        <v>24001204</v>
      </c>
      <c r="D648" t="s">
        <v>472</v>
      </c>
      <c r="E648" t="s">
        <v>473</v>
      </c>
      <c r="F648" t="s">
        <v>477</v>
      </c>
      <c r="H648" t="s">
        <v>72</v>
      </c>
      <c r="I648">
        <v>33</v>
      </c>
      <c r="J648" s="74">
        <v>45674</v>
      </c>
      <c r="K648" s="74">
        <v>45674</v>
      </c>
      <c r="L648" t="s">
        <v>190</v>
      </c>
      <c r="M648" s="74">
        <v>45639</v>
      </c>
      <c r="N648" t="s">
        <v>155</v>
      </c>
      <c r="O648" t="s">
        <v>153</v>
      </c>
      <c r="P648">
        <v>0</v>
      </c>
      <c r="Q648">
        <v>6.16</v>
      </c>
      <c r="R648">
        <v>0</v>
      </c>
      <c r="S648">
        <v>203.28</v>
      </c>
      <c r="T648" t="s">
        <v>66</v>
      </c>
      <c r="AA648">
        <f t="shared" si="10"/>
        <v>39.24</v>
      </c>
      <c r="AB648">
        <f>COUNTIF($D$1:D648,D648)</f>
        <v>4</v>
      </c>
    </row>
    <row r="649" spans="1:28" x14ac:dyDescent="0.25">
      <c r="A649">
        <v>648</v>
      </c>
      <c r="B649">
        <v>183806</v>
      </c>
      <c r="C649">
        <v>24001205</v>
      </c>
      <c r="D649" t="s">
        <v>472</v>
      </c>
      <c r="E649" t="s">
        <v>473</v>
      </c>
      <c r="F649" t="s">
        <v>477</v>
      </c>
      <c r="H649" t="s">
        <v>72</v>
      </c>
      <c r="I649">
        <v>3</v>
      </c>
      <c r="J649" s="74">
        <v>45674</v>
      </c>
      <c r="K649" s="74">
        <v>45674</v>
      </c>
      <c r="L649" t="s">
        <v>190</v>
      </c>
      <c r="M649" s="74">
        <v>45639</v>
      </c>
      <c r="N649" t="s">
        <v>155</v>
      </c>
      <c r="O649" t="s">
        <v>153</v>
      </c>
      <c r="P649">
        <v>0</v>
      </c>
      <c r="Q649">
        <v>5.95</v>
      </c>
      <c r="R649">
        <v>0</v>
      </c>
      <c r="S649">
        <v>17.850000000000001</v>
      </c>
      <c r="T649" t="s">
        <v>66</v>
      </c>
      <c r="AA649">
        <f t="shared" si="10"/>
        <v>39.24</v>
      </c>
      <c r="AB649">
        <f>COUNTIF($D$1:D649,D649)</f>
        <v>5</v>
      </c>
    </row>
    <row r="650" spans="1:28" x14ac:dyDescent="0.25">
      <c r="A650">
        <v>649</v>
      </c>
      <c r="B650">
        <v>183807</v>
      </c>
      <c r="C650">
        <v>24001206</v>
      </c>
      <c r="D650" t="s">
        <v>472</v>
      </c>
      <c r="E650" t="s">
        <v>473</v>
      </c>
      <c r="F650" t="s">
        <v>477</v>
      </c>
      <c r="H650" t="s">
        <v>72</v>
      </c>
      <c r="I650">
        <v>3</v>
      </c>
      <c r="J650" s="74">
        <v>45674</v>
      </c>
      <c r="K650" s="74">
        <v>45674</v>
      </c>
      <c r="L650" t="s">
        <v>190</v>
      </c>
      <c r="M650" s="74">
        <v>45639</v>
      </c>
      <c r="N650" t="s">
        <v>155</v>
      </c>
      <c r="O650" t="s">
        <v>153</v>
      </c>
      <c r="P650">
        <v>0</v>
      </c>
      <c r="Q650">
        <v>5.95</v>
      </c>
      <c r="R650">
        <v>0</v>
      </c>
      <c r="S650">
        <v>17.850000000000001</v>
      </c>
      <c r="T650" t="s">
        <v>66</v>
      </c>
      <c r="AA650">
        <f t="shared" si="10"/>
        <v>39.24</v>
      </c>
      <c r="AB650">
        <f>COUNTIF($D$1:D650,D650)</f>
        <v>6</v>
      </c>
    </row>
    <row r="651" spans="1:28" x14ac:dyDescent="0.25">
      <c r="A651">
        <v>650</v>
      </c>
      <c r="B651">
        <v>183848</v>
      </c>
      <c r="C651">
        <v>24001207</v>
      </c>
      <c r="D651" t="s">
        <v>472</v>
      </c>
      <c r="E651" t="s">
        <v>473</v>
      </c>
      <c r="F651" t="s">
        <v>477</v>
      </c>
      <c r="H651" t="s">
        <v>72</v>
      </c>
      <c r="I651">
        <v>3</v>
      </c>
      <c r="J651" s="74">
        <v>45674</v>
      </c>
      <c r="K651" s="74">
        <v>45674</v>
      </c>
      <c r="L651" t="s">
        <v>190</v>
      </c>
      <c r="M651" s="74">
        <v>45639</v>
      </c>
      <c r="N651" t="s">
        <v>155</v>
      </c>
      <c r="O651" t="s">
        <v>153</v>
      </c>
      <c r="P651">
        <v>0</v>
      </c>
      <c r="Q651">
        <v>5.79</v>
      </c>
      <c r="R651">
        <v>0</v>
      </c>
      <c r="S651">
        <v>17.37</v>
      </c>
      <c r="T651" t="s">
        <v>66</v>
      </c>
      <c r="AA651">
        <f t="shared" si="10"/>
        <v>39.24</v>
      </c>
      <c r="AB651">
        <f>COUNTIF($D$1:D651,D651)</f>
        <v>7</v>
      </c>
    </row>
    <row r="652" spans="1:28" x14ac:dyDescent="0.25">
      <c r="A652">
        <v>651</v>
      </c>
      <c r="B652">
        <v>183808</v>
      </c>
      <c r="C652">
        <v>24001208</v>
      </c>
      <c r="D652" t="s">
        <v>472</v>
      </c>
      <c r="E652" t="s">
        <v>473</v>
      </c>
      <c r="F652" t="s">
        <v>478</v>
      </c>
      <c r="H652" t="s">
        <v>72</v>
      </c>
      <c r="I652">
        <v>27</v>
      </c>
      <c r="J652" s="74">
        <v>45674</v>
      </c>
      <c r="K652" s="74">
        <v>45674</v>
      </c>
      <c r="L652" t="s">
        <v>190</v>
      </c>
      <c r="M652" s="74">
        <v>45639</v>
      </c>
      <c r="N652" t="s">
        <v>155</v>
      </c>
      <c r="O652" t="s">
        <v>153</v>
      </c>
      <c r="P652">
        <v>0</v>
      </c>
      <c r="Q652">
        <v>6.16</v>
      </c>
      <c r="R652">
        <v>0</v>
      </c>
      <c r="S652">
        <v>166.32</v>
      </c>
      <c r="T652" t="s">
        <v>66</v>
      </c>
      <c r="AA652">
        <f t="shared" si="10"/>
        <v>39.24</v>
      </c>
      <c r="AB652">
        <f>COUNTIF($D$1:D652,D652)</f>
        <v>8</v>
      </c>
    </row>
    <row r="653" spans="1:28" x14ac:dyDescent="0.25">
      <c r="A653">
        <v>652</v>
      </c>
      <c r="B653">
        <v>183810</v>
      </c>
      <c r="C653">
        <v>24001209</v>
      </c>
      <c r="D653" t="s">
        <v>472</v>
      </c>
      <c r="E653" t="s">
        <v>473</v>
      </c>
      <c r="F653" t="s">
        <v>478</v>
      </c>
      <c r="H653" t="s">
        <v>72</v>
      </c>
      <c r="I653">
        <v>6</v>
      </c>
      <c r="J653" s="74">
        <v>45678</v>
      </c>
      <c r="K653" s="74">
        <v>45678</v>
      </c>
      <c r="L653" t="s">
        <v>190</v>
      </c>
      <c r="M653" s="74">
        <v>45639</v>
      </c>
      <c r="N653" t="s">
        <v>155</v>
      </c>
      <c r="O653" t="s">
        <v>153</v>
      </c>
      <c r="P653">
        <v>0</v>
      </c>
      <c r="Q653">
        <v>6.16</v>
      </c>
      <c r="R653">
        <v>0</v>
      </c>
      <c r="S653">
        <v>36.96</v>
      </c>
      <c r="T653" t="s">
        <v>66</v>
      </c>
      <c r="AA653">
        <f t="shared" si="10"/>
        <v>39.24</v>
      </c>
      <c r="AB653">
        <f>COUNTIF($D$1:D653,D653)</f>
        <v>9</v>
      </c>
    </row>
    <row r="654" spans="1:28" x14ac:dyDescent="0.25">
      <c r="A654">
        <v>653</v>
      </c>
      <c r="B654">
        <v>183851</v>
      </c>
      <c r="C654">
        <v>24001210</v>
      </c>
      <c r="D654" t="s">
        <v>472</v>
      </c>
      <c r="E654" t="s">
        <v>473</v>
      </c>
      <c r="F654" t="s">
        <v>478</v>
      </c>
      <c r="H654" t="s">
        <v>72</v>
      </c>
      <c r="I654">
        <v>27</v>
      </c>
      <c r="J654" s="74">
        <v>45679</v>
      </c>
      <c r="K654" s="74">
        <v>45679</v>
      </c>
      <c r="L654" t="s">
        <v>190</v>
      </c>
      <c r="M654" s="74">
        <v>45639</v>
      </c>
      <c r="N654" t="s">
        <v>155</v>
      </c>
      <c r="O654" t="s">
        <v>153</v>
      </c>
      <c r="P654">
        <v>0</v>
      </c>
      <c r="Q654">
        <v>5.79</v>
      </c>
      <c r="R654">
        <v>0</v>
      </c>
      <c r="S654">
        <v>156.33000000000001</v>
      </c>
      <c r="T654" t="s">
        <v>66</v>
      </c>
      <c r="AA654">
        <f t="shared" si="10"/>
        <v>39.24</v>
      </c>
      <c r="AB654">
        <f>COUNTIF($D$1:D654,D654)</f>
        <v>10</v>
      </c>
    </row>
    <row r="655" spans="1:28" x14ac:dyDescent="0.25">
      <c r="A655">
        <v>654</v>
      </c>
      <c r="B655">
        <v>183812</v>
      </c>
      <c r="C655">
        <v>24001211</v>
      </c>
      <c r="D655" t="s">
        <v>472</v>
      </c>
      <c r="E655" t="s">
        <v>473</v>
      </c>
      <c r="F655" t="s">
        <v>479</v>
      </c>
      <c r="H655" t="s">
        <v>72</v>
      </c>
      <c r="I655">
        <v>3</v>
      </c>
      <c r="J655" s="74">
        <v>45680</v>
      </c>
      <c r="K655" s="74">
        <v>45680</v>
      </c>
      <c r="L655" t="s">
        <v>190</v>
      </c>
      <c r="M655" s="74">
        <v>45639</v>
      </c>
      <c r="N655" t="s">
        <v>155</v>
      </c>
      <c r="O655" t="s">
        <v>153</v>
      </c>
      <c r="P655">
        <v>0</v>
      </c>
      <c r="Q655">
        <v>5.95</v>
      </c>
      <c r="R655">
        <v>0</v>
      </c>
      <c r="S655">
        <v>17.850000000000001</v>
      </c>
      <c r="T655" t="s">
        <v>66</v>
      </c>
      <c r="AA655">
        <f t="shared" si="10"/>
        <v>39.24</v>
      </c>
      <c r="AB655">
        <f>COUNTIF($D$1:D655,D655)</f>
        <v>11</v>
      </c>
    </row>
    <row r="656" spans="1:28" x14ac:dyDescent="0.25">
      <c r="A656">
        <v>655</v>
      </c>
      <c r="B656">
        <v>183814</v>
      </c>
      <c r="C656">
        <v>24001213</v>
      </c>
      <c r="D656" t="s">
        <v>472</v>
      </c>
      <c r="E656" t="s">
        <v>473</v>
      </c>
      <c r="F656" t="s">
        <v>480</v>
      </c>
      <c r="H656" t="s">
        <v>72</v>
      </c>
      <c r="I656">
        <v>24</v>
      </c>
      <c r="J656" s="74">
        <v>45681</v>
      </c>
      <c r="K656" s="74">
        <v>45681</v>
      </c>
      <c r="L656" t="s">
        <v>190</v>
      </c>
      <c r="M656" s="74">
        <v>45639</v>
      </c>
      <c r="N656" t="s">
        <v>155</v>
      </c>
      <c r="O656" t="s">
        <v>153</v>
      </c>
      <c r="P656">
        <v>0</v>
      </c>
      <c r="Q656">
        <v>6.16</v>
      </c>
      <c r="R656">
        <v>0</v>
      </c>
      <c r="S656">
        <v>147.84</v>
      </c>
      <c r="T656" t="s">
        <v>66</v>
      </c>
      <c r="AA656">
        <f t="shared" si="10"/>
        <v>39.24</v>
      </c>
      <c r="AB656">
        <f>COUNTIF($D$1:D656,D656)</f>
        <v>12</v>
      </c>
    </row>
    <row r="657" spans="1:28" x14ac:dyDescent="0.25">
      <c r="A657">
        <v>656</v>
      </c>
      <c r="B657">
        <v>183818</v>
      </c>
      <c r="C657">
        <v>24001214</v>
      </c>
      <c r="D657" t="s">
        <v>472</v>
      </c>
      <c r="E657" t="s">
        <v>473</v>
      </c>
      <c r="F657" t="s">
        <v>480</v>
      </c>
      <c r="H657" t="s">
        <v>72</v>
      </c>
      <c r="I657">
        <v>3</v>
      </c>
      <c r="J657" s="74">
        <v>45681</v>
      </c>
      <c r="K657" s="74">
        <v>45681</v>
      </c>
      <c r="L657" t="s">
        <v>190</v>
      </c>
      <c r="M657" s="74">
        <v>45639</v>
      </c>
      <c r="N657" t="s">
        <v>155</v>
      </c>
      <c r="O657" t="s">
        <v>153</v>
      </c>
      <c r="P657">
        <v>0</v>
      </c>
      <c r="Q657">
        <v>5.95</v>
      </c>
      <c r="R657">
        <v>0</v>
      </c>
      <c r="S657">
        <v>17.850000000000001</v>
      </c>
      <c r="T657" t="s">
        <v>66</v>
      </c>
      <c r="AA657">
        <f t="shared" si="10"/>
        <v>39.24</v>
      </c>
      <c r="AB657">
        <f>COUNTIF($D$1:D657,D657)</f>
        <v>13</v>
      </c>
    </row>
    <row r="658" spans="1:28" x14ac:dyDescent="0.25">
      <c r="A658">
        <v>657</v>
      </c>
      <c r="B658">
        <v>183821</v>
      </c>
      <c r="C658">
        <v>24001215</v>
      </c>
      <c r="D658" t="s">
        <v>472</v>
      </c>
      <c r="E658" t="s">
        <v>473</v>
      </c>
      <c r="F658" t="s">
        <v>481</v>
      </c>
      <c r="H658" t="s">
        <v>72</v>
      </c>
      <c r="I658">
        <v>5</v>
      </c>
      <c r="J658" s="74">
        <v>45681</v>
      </c>
      <c r="K658" s="74">
        <v>45681</v>
      </c>
      <c r="L658" t="s">
        <v>190</v>
      </c>
      <c r="M658" s="74">
        <v>45639</v>
      </c>
      <c r="N658" t="s">
        <v>155</v>
      </c>
      <c r="O658" t="s">
        <v>153</v>
      </c>
      <c r="P658">
        <v>0</v>
      </c>
      <c r="Q658">
        <v>5.79</v>
      </c>
      <c r="R658">
        <v>0</v>
      </c>
      <c r="S658">
        <v>28.95</v>
      </c>
      <c r="T658" t="s">
        <v>66</v>
      </c>
      <c r="AA658">
        <f t="shared" si="10"/>
        <v>39.24</v>
      </c>
      <c r="AB658">
        <f>COUNTIF($D$1:D658,D658)</f>
        <v>14</v>
      </c>
    </row>
    <row r="659" spans="1:28" x14ac:dyDescent="0.25">
      <c r="A659">
        <v>658</v>
      </c>
      <c r="B659">
        <v>183822</v>
      </c>
      <c r="C659">
        <v>24001216</v>
      </c>
      <c r="D659" t="s">
        <v>472</v>
      </c>
      <c r="E659" t="s">
        <v>473</v>
      </c>
      <c r="F659" t="s">
        <v>481</v>
      </c>
      <c r="H659" t="s">
        <v>72</v>
      </c>
      <c r="I659">
        <v>9</v>
      </c>
      <c r="J659" s="74">
        <v>45681</v>
      </c>
      <c r="K659" s="74">
        <v>45681</v>
      </c>
      <c r="L659" t="s">
        <v>190</v>
      </c>
      <c r="M659" s="74">
        <v>45639</v>
      </c>
      <c r="N659" t="s">
        <v>155</v>
      </c>
      <c r="O659" t="s">
        <v>153</v>
      </c>
      <c r="P659">
        <v>0</v>
      </c>
      <c r="Q659">
        <v>5.79</v>
      </c>
      <c r="R659">
        <v>0</v>
      </c>
      <c r="S659">
        <v>52.11</v>
      </c>
      <c r="T659" t="s">
        <v>66</v>
      </c>
      <c r="AA659">
        <f t="shared" si="10"/>
        <v>39.24</v>
      </c>
      <c r="AB659">
        <f>COUNTIF($D$1:D659,D659)</f>
        <v>15</v>
      </c>
    </row>
    <row r="660" spans="1:28" x14ac:dyDescent="0.25">
      <c r="A660">
        <v>659</v>
      </c>
      <c r="B660">
        <v>183824</v>
      </c>
      <c r="C660">
        <v>24001217</v>
      </c>
      <c r="D660" t="s">
        <v>472</v>
      </c>
      <c r="E660" t="s">
        <v>473</v>
      </c>
      <c r="F660" t="s">
        <v>481</v>
      </c>
      <c r="H660" t="s">
        <v>72</v>
      </c>
      <c r="I660">
        <v>3</v>
      </c>
      <c r="J660" s="74">
        <v>45681</v>
      </c>
      <c r="K660" s="74">
        <v>45681</v>
      </c>
      <c r="L660" t="s">
        <v>190</v>
      </c>
      <c r="M660" s="74">
        <v>45639</v>
      </c>
      <c r="N660" t="s">
        <v>155</v>
      </c>
      <c r="O660" t="s">
        <v>153</v>
      </c>
      <c r="P660">
        <v>0</v>
      </c>
      <c r="Q660">
        <v>5.79</v>
      </c>
      <c r="R660">
        <v>0</v>
      </c>
      <c r="S660">
        <v>17.37</v>
      </c>
      <c r="T660" t="s">
        <v>66</v>
      </c>
      <c r="AA660">
        <f t="shared" si="10"/>
        <v>39.24</v>
      </c>
      <c r="AB660">
        <f>COUNTIF($D$1:D660,D660)</f>
        <v>16</v>
      </c>
    </row>
    <row r="661" spans="1:28" x14ac:dyDescent="0.25">
      <c r="A661">
        <v>660</v>
      </c>
      <c r="B661">
        <v>183860</v>
      </c>
      <c r="C661">
        <v>24001218</v>
      </c>
      <c r="D661" t="s">
        <v>472</v>
      </c>
      <c r="E661" t="s">
        <v>473</v>
      </c>
      <c r="F661" t="s">
        <v>481</v>
      </c>
      <c r="H661" t="s">
        <v>72</v>
      </c>
      <c r="I661">
        <v>18</v>
      </c>
      <c r="J661" s="74">
        <v>45681</v>
      </c>
      <c r="K661" s="74">
        <v>45681</v>
      </c>
      <c r="L661" t="s">
        <v>190</v>
      </c>
      <c r="M661" s="74">
        <v>45639</v>
      </c>
      <c r="N661" t="s">
        <v>155</v>
      </c>
      <c r="O661" t="s">
        <v>153</v>
      </c>
      <c r="P661">
        <v>0</v>
      </c>
      <c r="Q661">
        <v>5.79</v>
      </c>
      <c r="R661">
        <v>0</v>
      </c>
      <c r="S661">
        <v>104.22</v>
      </c>
      <c r="T661" t="s">
        <v>66</v>
      </c>
      <c r="AA661">
        <f t="shared" si="10"/>
        <v>39.24</v>
      </c>
      <c r="AB661">
        <f>COUNTIF($D$1:D661,D661)</f>
        <v>17</v>
      </c>
    </row>
    <row r="662" spans="1:28" x14ac:dyDescent="0.25">
      <c r="A662">
        <v>661</v>
      </c>
      <c r="B662">
        <v>183825</v>
      </c>
      <c r="C662">
        <v>24001219</v>
      </c>
      <c r="D662" t="s">
        <v>472</v>
      </c>
      <c r="E662" t="s">
        <v>473</v>
      </c>
      <c r="F662" t="s">
        <v>482</v>
      </c>
      <c r="H662" t="s">
        <v>72</v>
      </c>
      <c r="I662">
        <v>3</v>
      </c>
      <c r="J662" s="74">
        <v>45681</v>
      </c>
      <c r="K662" s="74">
        <v>45681</v>
      </c>
      <c r="L662" t="s">
        <v>190</v>
      </c>
      <c r="M662" s="74">
        <v>45639</v>
      </c>
      <c r="N662" t="s">
        <v>155</v>
      </c>
      <c r="O662" t="s">
        <v>153</v>
      </c>
      <c r="P662">
        <v>0</v>
      </c>
      <c r="Q662">
        <v>5.79</v>
      </c>
      <c r="R662">
        <v>0</v>
      </c>
      <c r="S662">
        <v>17.37</v>
      </c>
      <c r="T662" t="s">
        <v>66</v>
      </c>
      <c r="AA662">
        <f t="shared" si="10"/>
        <v>39.24</v>
      </c>
      <c r="AB662">
        <f>COUNTIF($D$1:D662,D662)</f>
        <v>18</v>
      </c>
    </row>
    <row r="663" spans="1:28" x14ac:dyDescent="0.25">
      <c r="A663">
        <v>662</v>
      </c>
      <c r="B663">
        <v>183828</v>
      </c>
      <c r="C663">
        <v>24001220</v>
      </c>
      <c r="D663" t="s">
        <v>472</v>
      </c>
      <c r="E663" t="s">
        <v>473</v>
      </c>
      <c r="F663" t="s">
        <v>483</v>
      </c>
      <c r="H663" t="s">
        <v>72</v>
      </c>
      <c r="I663">
        <v>3</v>
      </c>
      <c r="J663" s="74">
        <v>45681</v>
      </c>
      <c r="K663" s="74">
        <v>45681</v>
      </c>
      <c r="L663" t="s">
        <v>190</v>
      </c>
      <c r="M663" s="74">
        <v>45639</v>
      </c>
      <c r="N663" t="s">
        <v>155</v>
      </c>
      <c r="O663" t="s">
        <v>153</v>
      </c>
      <c r="P663">
        <v>0</v>
      </c>
      <c r="Q663">
        <v>5.79</v>
      </c>
      <c r="R663">
        <v>0</v>
      </c>
      <c r="S663">
        <v>17.37</v>
      </c>
      <c r="T663" t="s">
        <v>66</v>
      </c>
      <c r="AA663">
        <f t="shared" si="10"/>
        <v>39.24</v>
      </c>
      <c r="AB663">
        <f>COUNTIF($D$1:D663,D663)</f>
        <v>19</v>
      </c>
    </row>
    <row r="664" spans="1:28" x14ac:dyDescent="0.25">
      <c r="A664">
        <v>663</v>
      </c>
      <c r="B664">
        <v>183829</v>
      </c>
      <c r="C664">
        <v>24001221</v>
      </c>
      <c r="D664" t="s">
        <v>472</v>
      </c>
      <c r="E664" t="s">
        <v>473</v>
      </c>
      <c r="F664" t="s">
        <v>483</v>
      </c>
      <c r="H664" t="s">
        <v>72</v>
      </c>
      <c r="I664">
        <v>3</v>
      </c>
      <c r="J664" s="74">
        <v>45681</v>
      </c>
      <c r="K664" s="74">
        <v>45681</v>
      </c>
      <c r="L664" t="s">
        <v>190</v>
      </c>
      <c r="M664" s="74">
        <v>45639</v>
      </c>
      <c r="N664" t="s">
        <v>155</v>
      </c>
      <c r="O664" t="s">
        <v>153</v>
      </c>
      <c r="P664">
        <v>0</v>
      </c>
      <c r="Q664">
        <v>5.79</v>
      </c>
      <c r="R664">
        <v>0</v>
      </c>
      <c r="S664">
        <v>17.37</v>
      </c>
      <c r="T664" t="s">
        <v>66</v>
      </c>
      <c r="AA664">
        <f t="shared" si="10"/>
        <v>39.24</v>
      </c>
      <c r="AB664">
        <f>COUNTIF($D$1:D664,D664)</f>
        <v>20</v>
      </c>
    </row>
    <row r="665" spans="1:28" x14ac:dyDescent="0.25">
      <c r="A665">
        <v>664</v>
      </c>
      <c r="B665">
        <v>183830</v>
      </c>
      <c r="C665">
        <v>24001222</v>
      </c>
      <c r="D665" t="s">
        <v>472</v>
      </c>
      <c r="E665" t="s">
        <v>473</v>
      </c>
      <c r="F665" t="s">
        <v>484</v>
      </c>
      <c r="H665" t="s">
        <v>72</v>
      </c>
      <c r="I665">
        <v>3</v>
      </c>
      <c r="J665" s="74">
        <v>45681</v>
      </c>
      <c r="K665" s="74">
        <v>45681</v>
      </c>
      <c r="L665" t="s">
        <v>190</v>
      </c>
      <c r="M665" s="74">
        <v>45639</v>
      </c>
      <c r="N665" t="s">
        <v>155</v>
      </c>
      <c r="O665" t="s">
        <v>153</v>
      </c>
      <c r="P665">
        <v>0</v>
      </c>
      <c r="Q665">
        <v>5.79</v>
      </c>
      <c r="R665">
        <v>0</v>
      </c>
      <c r="S665">
        <v>17.37</v>
      </c>
      <c r="T665" t="s">
        <v>66</v>
      </c>
      <c r="AA665">
        <f t="shared" si="10"/>
        <v>39.24</v>
      </c>
      <c r="AB665">
        <f>COUNTIF($D$1:D665,D665)</f>
        <v>21</v>
      </c>
    </row>
    <row r="666" spans="1:28" x14ac:dyDescent="0.25">
      <c r="A666">
        <v>665</v>
      </c>
      <c r="B666">
        <v>183831</v>
      </c>
      <c r="C666">
        <v>24001223</v>
      </c>
      <c r="D666" t="s">
        <v>472</v>
      </c>
      <c r="E666" t="s">
        <v>473</v>
      </c>
      <c r="F666" t="s">
        <v>484</v>
      </c>
      <c r="H666" t="s">
        <v>72</v>
      </c>
      <c r="I666">
        <v>3</v>
      </c>
      <c r="J666" s="74">
        <v>45681</v>
      </c>
      <c r="K666" s="74">
        <v>45681</v>
      </c>
      <c r="L666" t="s">
        <v>190</v>
      </c>
      <c r="M666" s="74">
        <v>45639</v>
      </c>
      <c r="N666" t="s">
        <v>155</v>
      </c>
      <c r="O666" t="s">
        <v>153</v>
      </c>
      <c r="P666">
        <v>0</v>
      </c>
      <c r="Q666">
        <v>5.79</v>
      </c>
      <c r="R666">
        <v>0</v>
      </c>
      <c r="S666">
        <v>17.37</v>
      </c>
      <c r="T666" t="s">
        <v>66</v>
      </c>
      <c r="AA666">
        <f t="shared" si="10"/>
        <v>39.24</v>
      </c>
      <c r="AB666">
        <f>COUNTIF($D$1:D666,D666)</f>
        <v>22</v>
      </c>
    </row>
    <row r="667" spans="1:28" x14ac:dyDescent="0.25">
      <c r="A667">
        <v>666</v>
      </c>
      <c r="B667">
        <v>183853</v>
      </c>
      <c r="C667">
        <v>24001212</v>
      </c>
      <c r="D667" t="s">
        <v>472</v>
      </c>
      <c r="E667" t="s">
        <v>473</v>
      </c>
      <c r="F667" t="s">
        <v>479</v>
      </c>
      <c r="H667" t="s">
        <v>72</v>
      </c>
      <c r="I667">
        <v>72</v>
      </c>
      <c r="J667" s="74">
        <v>45681</v>
      </c>
      <c r="K667" s="74">
        <v>45681</v>
      </c>
      <c r="L667" t="s">
        <v>190</v>
      </c>
      <c r="M667" s="74">
        <v>45639</v>
      </c>
      <c r="N667" t="s">
        <v>155</v>
      </c>
      <c r="O667" t="s">
        <v>153</v>
      </c>
      <c r="P667">
        <v>0</v>
      </c>
      <c r="Q667">
        <v>5.79</v>
      </c>
      <c r="R667">
        <v>0</v>
      </c>
      <c r="S667">
        <v>416.88</v>
      </c>
      <c r="T667" t="s">
        <v>66</v>
      </c>
      <c r="AA667">
        <f t="shared" si="10"/>
        <v>39.24</v>
      </c>
      <c r="AB667">
        <f>COUNTIF($D$1:D667,D667)</f>
        <v>23</v>
      </c>
    </row>
    <row r="668" spans="1:28" x14ac:dyDescent="0.25">
      <c r="A668">
        <v>667</v>
      </c>
      <c r="B668">
        <v>183842</v>
      </c>
      <c r="C668">
        <v>24001307</v>
      </c>
      <c r="D668" t="s">
        <v>472</v>
      </c>
      <c r="E668" t="s">
        <v>473</v>
      </c>
      <c r="F668" t="s">
        <v>476</v>
      </c>
      <c r="H668" t="s">
        <v>72</v>
      </c>
      <c r="I668">
        <v>3</v>
      </c>
      <c r="J668" s="74">
        <v>45659</v>
      </c>
      <c r="K668" s="74">
        <v>45673</v>
      </c>
      <c r="L668" t="s">
        <v>190</v>
      </c>
      <c r="M668" s="74">
        <v>45639</v>
      </c>
      <c r="N668" t="s">
        <v>155</v>
      </c>
      <c r="O668" t="s">
        <v>153</v>
      </c>
      <c r="P668">
        <v>0</v>
      </c>
      <c r="Q668">
        <v>6.33</v>
      </c>
      <c r="R668">
        <v>0</v>
      </c>
      <c r="S668">
        <v>18.989999999999998</v>
      </c>
      <c r="T668" t="s">
        <v>66</v>
      </c>
      <c r="AA668">
        <f t="shared" si="10"/>
        <v>39.24</v>
      </c>
      <c r="AB668">
        <f>COUNTIF($D$1:D668,D668)</f>
        <v>24</v>
      </c>
    </row>
    <row r="669" spans="1:28" x14ac:dyDescent="0.25">
      <c r="A669">
        <v>668</v>
      </c>
      <c r="B669">
        <v>183844</v>
      </c>
      <c r="C669">
        <v>24001308</v>
      </c>
      <c r="D669" t="s">
        <v>472</v>
      </c>
      <c r="E669" t="s">
        <v>473</v>
      </c>
      <c r="F669" t="s">
        <v>476</v>
      </c>
      <c r="H669" t="s">
        <v>72</v>
      </c>
      <c r="I669">
        <v>9</v>
      </c>
      <c r="J669" s="74">
        <v>45659</v>
      </c>
      <c r="K669" s="74">
        <v>45673</v>
      </c>
      <c r="L669" t="s">
        <v>190</v>
      </c>
      <c r="M669" s="74">
        <v>45639</v>
      </c>
      <c r="N669" t="s">
        <v>155</v>
      </c>
      <c r="O669" t="s">
        <v>153</v>
      </c>
      <c r="P669">
        <v>0</v>
      </c>
      <c r="Q669">
        <v>6.17</v>
      </c>
      <c r="R669">
        <v>0</v>
      </c>
      <c r="S669">
        <v>55.53</v>
      </c>
      <c r="T669" t="s">
        <v>66</v>
      </c>
      <c r="AA669">
        <f t="shared" si="10"/>
        <v>39.24</v>
      </c>
      <c r="AB669">
        <f>COUNTIF($D$1:D669,D669)</f>
        <v>25</v>
      </c>
    </row>
    <row r="670" spans="1:28" x14ac:dyDescent="0.25">
      <c r="A670">
        <v>669</v>
      </c>
      <c r="B670">
        <v>183845</v>
      </c>
      <c r="C670">
        <v>24001309</v>
      </c>
      <c r="D670" t="s">
        <v>472</v>
      </c>
      <c r="E670" t="s">
        <v>473</v>
      </c>
      <c r="F670" t="s">
        <v>477</v>
      </c>
      <c r="H670" t="s">
        <v>72</v>
      </c>
      <c r="I670">
        <v>33</v>
      </c>
      <c r="J670" s="74">
        <v>45673</v>
      </c>
      <c r="K670" s="74">
        <v>45674</v>
      </c>
      <c r="L670" t="s">
        <v>190</v>
      </c>
      <c r="M670" s="74">
        <v>45639</v>
      </c>
      <c r="N670" t="s">
        <v>155</v>
      </c>
      <c r="O670" t="s">
        <v>153</v>
      </c>
      <c r="P670">
        <v>0</v>
      </c>
      <c r="Q670">
        <v>6.53</v>
      </c>
      <c r="R670">
        <v>0</v>
      </c>
      <c r="S670">
        <v>215.49</v>
      </c>
      <c r="T670" t="s">
        <v>66</v>
      </c>
      <c r="AA670">
        <f t="shared" si="10"/>
        <v>39.24</v>
      </c>
      <c r="AB670">
        <f>COUNTIF($D$1:D670,D670)</f>
        <v>26</v>
      </c>
    </row>
    <row r="671" spans="1:28" x14ac:dyDescent="0.25">
      <c r="A671">
        <v>670</v>
      </c>
      <c r="B671">
        <v>183846</v>
      </c>
      <c r="C671">
        <v>24001310</v>
      </c>
      <c r="D671" t="s">
        <v>472</v>
      </c>
      <c r="E671" t="s">
        <v>473</v>
      </c>
      <c r="F671" t="s">
        <v>477</v>
      </c>
      <c r="H671" t="s">
        <v>72</v>
      </c>
      <c r="I671">
        <v>3</v>
      </c>
      <c r="J671" s="74">
        <v>45674</v>
      </c>
      <c r="K671" s="74">
        <v>45674</v>
      </c>
      <c r="L671" t="s">
        <v>190</v>
      </c>
      <c r="M671" s="74">
        <v>45639</v>
      </c>
      <c r="N671" t="s">
        <v>155</v>
      </c>
      <c r="O671" t="s">
        <v>153</v>
      </c>
      <c r="P671">
        <v>0</v>
      </c>
      <c r="Q671">
        <v>6.3</v>
      </c>
      <c r="R671">
        <v>0</v>
      </c>
      <c r="S671">
        <v>18.899999999999999</v>
      </c>
      <c r="T671" t="s">
        <v>66</v>
      </c>
      <c r="AA671">
        <f t="shared" si="10"/>
        <v>39.24</v>
      </c>
      <c r="AB671">
        <f>COUNTIF($D$1:D671,D671)</f>
        <v>27</v>
      </c>
    </row>
    <row r="672" spans="1:28" x14ac:dyDescent="0.25">
      <c r="A672">
        <v>671</v>
      </c>
      <c r="B672">
        <v>183847</v>
      </c>
      <c r="C672">
        <v>24001311</v>
      </c>
      <c r="D672" t="s">
        <v>472</v>
      </c>
      <c r="E672" t="s">
        <v>473</v>
      </c>
      <c r="F672" t="s">
        <v>477</v>
      </c>
      <c r="H672" t="s">
        <v>72</v>
      </c>
      <c r="I672">
        <v>3</v>
      </c>
      <c r="J672" s="74">
        <v>45674</v>
      </c>
      <c r="K672" s="74">
        <v>45674</v>
      </c>
      <c r="L672" t="s">
        <v>190</v>
      </c>
      <c r="M672" s="74">
        <v>45639</v>
      </c>
      <c r="N672" t="s">
        <v>155</v>
      </c>
      <c r="O672" t="s">
        <v>153</v>
      </c>
      <c r="P672">
        <v>0</v>
      </c>
      <c r="Q672">
        <v>6.3</v>
      </c>
      <c r="R672">
        <v>0</v>
      </c>
      <c r="S672">
        <v>18.899999999999999</v>
      </c>
      <c r="T672" t="s">
        <v>66</v>
      </c>
      <c r="AA672">
        <f t="shared" si="10"/>
        <v>39.24</v>
      </c>
      <c r="AB672">
        <f>COUNTIF($D$1:D672,D672)</f>
        <v>28</v>
      </c>
    </row>
    <row r="673" spans="1:28" x14ac:dyDescent="0.25">
      <c r="A673">
        <v>672</v>
      </c>
      <c r="B673">
        <v>183849</v>
      </c>
      <c r="C673">
        <v>24001312</v>
      </c>
      <c r="D673" t="s">
        <v>472</v>
      </c>
      <c r="E673" t="s">
        <v>473</v>
      </c>
      <c r="F673" t="s">
        <v>478</v>
      </c>
      <c r="H673" t="s">
        <v>72</v>
      </c>
      <c r="I673">
        <v>27</v>
      </c>
      <c r="J673" s="74">
        <v>45674</v>
      </c>
      <c r="K673" s="74">
        <v>45674</v>
      </c>
      <c r="L673" t="s">
        <v>190</v>
      </c>
      <c r="M673" s="74">
        <v>45639</v>
      </c>
      <c r="N673" t="s">
        <v>155</v>
      </c>
      <c r="O673" t="s">
        <v>153</v>
      </c>
      <c r="P673">
        <v>0</v>
      </c>
      <c r="Q673">
        <v>6.53</v>
      </c>
      <c r="R673">
        <v>0</v>
      </c>
      <c r="S673">
        <v>176.31</v>
      </c>
      <c r="T673" t="s">
        <v>66</v>
      </c>
      <c r="AA673">
        <f t="shared" si="10"/>
        <v>39.24</v>
      </c>
      <c r="AB673">
        <f>COUNTIF($D$1:D673,D673)</f>
        <v>29</v>
      </c>
    </row>
    <row r="674" spans="1:28" x14ac:dyDescent="0.25">
      <c r="A674">
        <v>673</v>
      </c>
      <c r="B674">
        <v>183850</v>
      </c>
      <c r="C674">
        <v>24001313</v>
      </c>
      <c r="D674" t="s">
        <v>472</v>
      </c>
      <c r="E674" t="s">
        <v>473</v>
      </c>
      <c r="F674" t="s">
        <v>478</v>
      </c>
      <c r="H674" t="s">
        <v>72</v>
      </c>
      <c r="I674">
        <v>6</v>
      </c>
      <c r="J674" s="74">
        <v>45674</v>
      </c>
      <c r="K674" s="74">
        <v>45674</v>
      </c>
      <c r="L674" t="s">
        <v>190</v>
      </c>
      <c r="M674" s="74">
        <v>45639</v>
      </c>
      <c r="N674" t="s">
        <v>155</v>
      </c>
      <c r="O674" t="s">
        <v>153</v>
      </c>
      <c r="P674">
        <v>0</v>
      </c>
      <c r="Q674">
        <v>6.53</v>
      </c>
      <c r="R674">
        <v>0</v>
      </c>
      <c r="S674">
        <v>39.18</v>
      </c>
      <c r="T674" t="s">
        <v>66</v>
      </c>
      <c r="AA674">
        <f t="shared" si="10"/>
        <v>39.24</v>
      </c>
      <c r="AB674">
        <f>COUNTIF($D$1:D674,D674)</f>
        <v>30</v>
      </c>
    </row>
    <row r="675" spans="1:28" x14ac:dyDescent="0.25">
      <c r="A675">
        <v>674</v>
      </c>
      <c r="B675">
        <v>183852</v>
      </c>
      <c r="C675">
        <v>24001314</v>
      </c>
      <c r="D675" t="s">
        <v>472</v>
      </c>
      <c r="E675" t="s">
        <v>473</v>
      </c>
      <c r="F675" t="s">
        <v>479</v>
      </c>
      <c r="H675" t="s">
        <v>72</v>
      </c>
      <c r="I675">
        <v>3</v>
      </c>
      <c r="J675" s="74">
        <v>45674</v>
      </c>
      <c r="K675" s="74">
        <v>45674</v>
      </c>
      <c r="L675" t="s">
        <v>190</v>
      </c>
      <c r="M675" s="74">
        <v>45639</v>
      </c>
      <c r="N675" t="s">
        <v>155</v>
      </c>
      <c r="O675" t="s">
        <v>153</v>
      </c>
      <c r="P675">
        <v>0</v>
      </c>
      <c r="Q675">
        <v>6.3</v>
      </c>
      <c r="R675">
        <v>0</v>
      </c>
      <c r="S675">
        <v>18.899999999999999</v>
      </c>
      <c r="T675" t="s">
        <v>66</v>
      </c>
      <c r="AA675">
        <f t="shared" si="10"/>
        <v>39.24</v>
      </c>
      <c r="AB675">
        <f>COUNTIF($D$1:D675,D675)</f>
        <v>31</v>
      </c>
    </row>
    <row r="676" spans="1:28" x14ac:dyDescent="0.25">
      <c r="A676">
        <v>675</v>
      </c>
      <c r="B676">
        <v>183854</v>
      </c>
      <c r="C676">
        <v>24001315</v>
      </c>
      <c r="D676" t="s">
        <v>472</v>
      </c>
      <c r="E676" t="s">
        <v>473</v>
      </c>
      <c r="F676" t="s">
        <v>479</v>
      </c>
      <c r="H676" t="s">
        <v>72</v>
      </c>
      <c r="I676">
        <v>9</v>
      </c>
      <c r="J676" s="74">
        <v>45674</v>
      </c>
      <c r="K676" s="74">
        <v>45674</v>
      </c>
      <c r="L676" t="s">
        <v>190</v>
      </c>
      <c r="M676" s="74">
        <v>45639</v>
      </c>
      <c r="N676" t="s">
        <v>155</v>
      </c>
      <c r="O676" t="s">
        <v>153</v>
      </c>
      <c r="P676">
        <v>0</v>
      </c>
      <c r="Q676">
        <v>6.14</v>
      </c>
      <c r="R676">
        <v>0</v>
      </c>
      <c r="S676">
        <v>55.26</v>
      </c>
      <c r="T676" t="s">
        <v>66</v>
      </c>
      <c r="AA676">
        <f t="shared" si="10"/>
        <v>39.24</v>
      </c>
      <c r="AB676">
        <f>COUNTIF($D$1:D676,D676)</f>
        <v>32</v>
      </c>
    </row>
    <row r="677" spans="1:28" x14ac:dyDescent="0.25">
      <c r="A677">
        <v>676</v>
      </c>
      <c r="B677">
        <v>183855</v>
      </c>
      <c r="C677">
        <v>24001316</v>
      </c>
      <c r="D677" t="s">
        <v>472</v>
      </c>
      <c r="E677" t="s">
        <v>473</v>
      </c>
      <c r="F677" t="s">
        <v>480</v>
      </c>
      <c r="H677" t="s">
        <v>72</v>
      </c>
      <c r="I677">
        <v>24</v>
      </c>
      <c r="J677" s="74">
        <v>45674</v>
      </c>
      <c r="K677" s="74">
        <v>45674</v>
      </c>
      <c r="L677" t="s">
        <v>190</v>
      </c>
      <c r="M677" s="74">
        <v>45639</v>
      </c>
      <c r="N677" t="s">
        <v>155</v>
      </c>
      <c r="O677" t="s">
        <v>153</v>
      </c>
      <c r="P677">
        <v>0</v>
      </c>
      <c r="Q677">
        <v>6.53</v>
      </c>
      <c r="R677">
        <v>0</v>
      </c>
      <c r="S677">
        <v>156.72</v>
      </c>
      <c r="T677" t="s">
        <v>66</v>
      </c>
      <c r="AA677">
        <f t="shared" si="10"/>
        <v>39.24</v>
      </c>
      <c r="AB677">
        <f>COUNTIF($D$1:D677,D677)</f>
        <v>33</v>
      </c>
    </row>
    <row r="678" spans="1:28" x14ac:dyDescent="0.25">
      <c r="A678">
        <v>677</v>
      </c>
      <c r="B678">
        <v>183856</v>
      </c>
      <c r="C678">
        <v>24001317</v>
      </c>
      <c r="D678" t="s">
        <v>472</v>
      </c>
      <c r="E678" t="s">
        <v>473</v>
      </c>
      <c r="F678" t="s">
        <v>480</v>
      </c>
      <c r="H678" t="s">
        <v>72</v>
      </c>
      <c r="I678">
        <v>3</v>
      </c>
      <c r="J678" s="74">
        <v>45674</v>
      </c>
      <c r="K678" s="74">
        <v>45674</v>
      </c>
      <c r="L678" t="s">
        <v>190</v>
      </c>
      <c r="M678" s="74">
        <v>45639</v>
      </c>
      <c r="N678" t="s">
        <v>155</v>
      </c>
      <c r="O678" t="s">
        <v>153</v>
      </c>
      <c r="P678">
        <v>0</v>
      </c>
      <c r="Q678">
        <v>6.3</v>
      </c>
      <c r="R678">
        <v>0</v>
      </c>
      <c r="S678">
        <v>18.899999999999999</v>
      </c>
      <c r="T678" t="s">
        <v>66</v>
      </c>
      <c r="AA678">
        <f t="shared" si="10"/>
        <v>39.24</v>
      </c>
      <c r="AB678">
        <f>COUNTIF($D$1:D678,D678)</f>
        <v>34</v>
      </c>
    </row>
    <row r="679" spans="1:28" x14ac:dyDescent="0.25">
      <c r="A679">
        <v>678</v>
      </c>
      <c r="B679">
        <v>183857</v>
      </c>
      <c r="C679">
        <v>24001318</v>
      </c>
      <c r="D679" t="s">
        <v>472</v>
      </c>
      <c r="E679" t="s">
        <v>473</v>
      </c>
      <c r="F679" t="s">
        <v>481</v>
      </c>
      <c r="H679" t="s">
        <v>72</v>
      </c>
      <c r="I679">
        <v>15</v>
      </c>
      <c r="J679" s="74">
        <v>45674</v>
      </c>
      <c r="K679" s="74">
        <v>45674</v>
      </c>
      <c r="L679" t="s">
        <v>190</v>
      </c>
      <c r="M679" s="74">
        <v>45639</v>
      </c>
      <c r="N679" t="s">
        <v>155</v>
      </c>
      <c r="O679" t="s">
        <v>153</v>
      </c>
      <c r="P679">
        <v>0</v>
      </c>
      <c r="Q679">
        <v>6.14</v>
      </c>
      <c r="R679">
        <v>0</v>
      </c>
      <c r="S679">
        <v>92.1</v>
      </c>
      <c r="T679" t="s">
        <v>66</v>
      </c>
      <c r="AA679">
        <f t="shared" si="10"/>
        <v>39.24</v>
      </c>
      <c r="AB679">
        <f>COUNTIF($D$1:D679,D679)</f>
        <v>35</v>
      </c>
    </row>
    <row r="680" spans="1:28" x14ac:dyDescent="0.25">
      <c r="A680">
        <v>679</v>
      </c>
      <c r="B680">
        <v>183859</v>
      </c>
      <c r="C680">
        <v>24001319</v>
      </c>
      <c r="D680" t="s">
        <v>472</v>
      </c>
      <c r="E680" t="s">
        <v>473</v>
      </c>
      <c r="F680" t="s">
        <v>481</v>
      </c>
      <c r="H680" t="s">
        <v>72</v>
      </c>
      <c r="I680">
        <v>9</v>
      </c>
      <c r="J680" s="74">
        <v>45674</v>
      </c>
      <c r="K680" s="74">
        <v>45674</v>
      </c>
      <c r="L680" t="s">
        <v>190</v>
      </c>
      <c r="M680" s="74">
        <v>45639</v>
      </c>
      <c r="N680" t="s">
        <v>155</v>
      </c>
      <c r="O680" t="s">
        <v>153</v>
      </c>
      <c r="P680">
        <v>0</v>
      </c>
      <c r="Q680">
        <v>6.14</v>
      </c>
      <c r="R680">
        <v>0</v>
      </c>
      <c r="S680">
        <v>55.26</v>
      </c>
      <c r="T680" t="s">
        <v>66</v>
      </c>
      <c r="AA680">
        <f t="shared" si="10"/>
        <v>39.24</v>
      </c>
      <c r="AB680">
        <f>COUNTIF($D$1:D680,D680)</f>
        <v>36</v>
      </c>
    </row>
    <row r="681" spans="1:28" x14ac:dyDescent="0.25">
      <c r="A681">
        <v>680</v>
      </c>
      <c r="B681">
        <v>183823</v>
      </c>
      <c r="C681">
        <v>24001320</v>
      </c>
      <c r="D681" t="s">
        <v>472</v>
      </c>
      <c r="E681" t="s">
        <v>473</v>
      </c>
      <c r="F681" t="s">
        <v>481</v>
      </c>
      <c r="H681" t="s">
        <v>72</v>
      </c>
      <c r="I681">
        <v>3</v>
      </c>
      <c r="J681" s="74">
        <v>45674</v>
      </c>
      <c r="K681" s="74">
        <v>45674</v>
      </c>
      <c r="L681" t="s">
        <v>190</v>
      </c>
      <c r="M681" s="74">
        <v>45639</v>
      </c>
      <c r="N681" t="s">
        <v>155</v>
      </c>
      <c r="O681" t="s">
        <v>153</v>
      </c>
      <c r="P681">
        <v>0</v>
      </c>
      <c r="Q681">
        <v>6.14</v>
      </c>
      <c r="R681">
        <v>0</v>
      </c>
      <c r="S681">
        <v>18.420000000000002</v>
      </c>
      <c r="T681" t="s">
        <v>66</v>
      </c>
      <c r="AA681">
        <f t="shared" si="10"/>
        <v>39.24</v>
      </c>
      <c r="AB681">
        <f>COUNTIF($D$1:D681,D681)</f>
        <v>37</v>
      </c>
    </row>
    <row r="682" spans="1:28" x14ac:dyDescent="0.25">
      <c r="A682">
        <v>681</v>
      </c>
      <c r="B682">
        <v>183858</v>
      </c>
      <c r="C682">
        <v>24001321</v>
      </c>
      <c r="D682" t="s">
        <v>472</v>
      </c>
      <c r="E682" t="s">
        <v>473</v>
      </c>
      <c r="F682" t="s">
        <v>481</v>
      </c>
      <c r="H682" t="s">
        <v>72</v>
      </c>
      <c r="I682">
        <v>3</v>
      </c>
      <c r="J682" s="74">
        <v>45674</v>
      </c>
      <c r="K682" s="74">
        <v>45674</v>
      </c>
      <c r="L682" t="s">
        <v>190</v>
      </c>
      <c r="M682" s="74">
        <v>45639</v>
      </c>
      <c r="N682" t="s">
        <v>155</v>
      </c>
      <c r="O682" t="s">
        <v>153</v>
      </c>
      <c r="P682">
        <v>0</v>
      </c>
      <c r="Q682">
        <v>6.14</v>
      </c>
      <c r="R682">
        <v>0</v>
      </c>
      <c r="S682">
        <v>18.420000000000002</v>
      </c>
      <c r="T682" t="s">
        <v>66</v>
      </c>
      <c r="AA682">
        <f t="shared" si="10"/>
        <v>39.24</v>
      </c>
      <c r="AB682">
        <f>COUNTIF($D$1:D682,D682)</f>
        <v>38</v>
      </c>
    </row>
    <row r="683" spans="1:28" x14ac:dyDescent="0.25">
      <c r="A683">
        <v>682</v>
      </c>
      <c r="B683">
        <v>183861</v>
      </c>
      <c r="C683">
        <v>24001322</v>
      </c>
      <c r="D683" t="s">
        <v>472</v>
      </c>
      <c r="E683" t="s">
        <v>473</v>
      </c>
      <c r="F683" t="s">
        <v>481</v>
      </c>
      <c r="H683" t="s">
        <v>72</v>
      </c>
      <c r="I683">
        <v>3</v>
      </c>
      <c r="J683" s="74">
        <v>45674</v>
      </c>
      <c r="K683" s="74">
        <v>45674</v>
      </c>
      <c r="L683" t="s">
        <v>190</v>
      </c>
      <c r="M683" s="74">
        <v>45639</v>
      </c>
      <c r="N683" t="s">
        <v>155</v>
      </c>
      <c r="O683" t="s">
        <v>153</v>
      </c>
      <c r="P683">
        <v>0</v>
      </c>
      <c r="Q683">
        <v>6.14</v>
      </c>
      <c r="R683">
        <v>0</v>
      </c>
      <c r="S683">
        <v>18.420000000000002</v>
      </c>
      <c r="T683" t="s">
        <v>66</v>
      </c>
      <c r="AA683">
        <f t="shared" si="10"/>
        <v>39.24</v>
      </c>
      <c r="AB683">
        <f>COUNTIF($D$1:D683,D683)</f>
        <v>39</v>
      </c>
    </row>
    <row r="684" spans="1:28" x14ac:dyDescent="0.25">
      <c r="A684">
        <v>683</v>
      </c>
      <c r="B684">
        <v>183862</v>
      </c>
      <c r="C684">
        <v>24001323</v>
      </c>
      <c r="D684" t="s">
        <v>472</v>
      </c>
      <c r="E684" t="s">
        <v>473</v>
      </c>
      <c r="F684" t="s">
        <v>482</v>
      </c>
      <c r="H684" t="s">
        <v>72</v>
      </c>
      <c r="I684">
        <v>3</v>
      </c>
      <c r="J684" s="74">
        <v>45674</v>
      </c>
      <c r="K684" s="74">
        <v>45674</v>
      </c>
      <c r="L684" t="s">
        <v>190</v>
      </c>
      <c r="M684" s="74">
        <v>45639</v>
      </c>
      <c r="N684" t="s">
        <v>155</v>
      </c>
      <c r="O684" t="s">
        <v>153</v>
      </c>
      <c r="P684">
        <v>0</v>
      </c>
      <c r="Q684">
        <v>6.14</v>
      </c>
      <c r="R684">
        <v>0</v>
      </c>
      <c r="S684">
        <v>18.420000000000002</v>
      </c>
      <c r="T684" t="s">
        <v>66</v>
      </c>
      <c r="AA684">
        <f t="shared" si="10"/>
        <v>39.24</v>
      </c>
      <c r="AB684">
        <f>COUNTIF($D$1:D684,D684)</f>
        <v>40</v>
      </c>
    </row>
    <row r="685" spans="1:28" x14ac:dyDescent="0.25">
      <c r="A685">
        <v>684</v>
      </c>
      <c r="B685">
        <v>183863</v>
      </c>
      <c r="C685">
        <v>24001324</v>
      </c>
      <c r="D685" t="s">
        <v>472</v>
      </c>
      <c r="E685" t="s">
        <v>473</v>
      </c>
      <c r="F685" t="s">
        <v>483</v>
      </c>
      <c r="H685" t="s">
        <v>72</v>
      </c>
      <c r="I685">
        <v>3</v>
      </c>
      <c r="J685" s="74">
        <v>45674</v>
      </c>
      <c r="K685" s="74">
        <v>45674</v>
      </c>
      <c r="L685" t="s">
        <v>190</v>
      </c>
      <c r="M685" s="74">
        <v>45639</v>
      </c>
      <c r="N685" t="s">
        <v>155</v>
      </c>
      <c r="O685" t="s">
        <v>153</v>
      </c>
      <c r="P685">
        <v>0</v>
      </c>
      <c r="Q685">
        <v>6.14</v>
      </c>
      <c r="R685">
        <v>0</v>
      </c>
      <c r="S685">
        <v>18.420000000000002</v>
      </c>
      <c r="T685" t="s">
        <v>66</v>
      </c>
      <c r="AA685">
        <f t="shared" si="10"/>
        <v>39.24</v>
      </c>
      <c r="AB685">
        <f>COUNTIF($D$1:D685,D685)</f>
        <v>41</v>
      </c>
    </row>
    <row r="686" spans="1:28" x14ac:dyDescent="0.25">
      <c r="A686">
        <v>685</v>
      </c>
      <c r="B686">
        <v>183864</v>
      </c>
      <c r="C686">
        <v>24001325</v>
      </c>
      <c r="D686" t="s">
        <v>472</v>
      </c>
      <c r="E686" t="s">
        <v>473</v>
      </c>
      <c r="F686" t="s">
        <v>483</v>
      </c>
      <c r="H686" t="s">
        <v>72</v>
      </c>
      <c r="I686">
        <v>3</v>
      </c>
      <c r="J686" s="74">
        <v>45674</v>
      </c>
      <c r="K686" s="74">
        <v>45674</v>
      </c>
      <c r="L686" t="s">
        <v>190</v>
      </c>
      <c r="M686" s="74">
        <v>45639</v>
      </c>
      <c r="N686" t="s">
        <v>155</v>
      </c>
      <c r="O686" t="s">
        <v>153</v>
      </c>
      <c r="P686">
        <v>0</v>
      </c>
      <c r="Q686">
        <v>6.14</v>
      </c>
      <c r="R686">
        <v>0</v>
      </c>
      <c r="S686">
        <v>18.420000000000002</v>
      </c>
      <c r="T686" t="s">
        <v>66</v>
      </c>
      <c r="AA686">
        <f t="shared" si="10"/>
        <v>39.24</v>
      </c>
      <c r="AB686">
        <f>COUNTIF($D$1:D686,D686)</f>
        <v>42</v>
      </c>
    </row>
    <row r="687" spans="1:28" x14ac:dyDescent="0.25">
      <c r="A687">
        <v>686</v>
      </c>
      <c r="B687">
        <v>183866</v>
      </c>
      <c r="C687">
        <v>24001326</v>
      </c>
      <c r="D687" t="s">
        <v>472</v>
      </c>
      <c r="E687" t="s">
        <v>473</v>
      </c>
      <c r="F687" t="s">
        <v>484</v>
      </c>
      <c r="H687" t="s">
        <v>72</v>
      </c>
      <c r="I687">
        <v>3</v>
      </c>
      <c r="J687" s="74">
        <v>45674</v>
      </c>
      <c r="K687" s="74">
        <v>45674</v>
      </c>
      <c r="L687" t="s">
        <v>190</v>
      </c>
      <c r="M687" s="74">
        <v>45639</v>
      </c>
      <c r="N687" t="s">
        <v>155</v>
      </c>
      <c r="O687" t="s">
        <v>153</v>
      </c>
      <c r="P687">
        <v>0</v>
      </c>
      <c r="Q687">
        <v>6.14</v>
      </c>
      <c r="R687">
        <v>0</v>
      </c>
      <c r="S687">
        <v>18.420000000000002</v>
      </c>
      <c r="T687" t="s">
        <v>66</v>
      </c>
      <c r="AA687">
        <f t="shared" si="10"/>
        <v>39.24</v>
      </c>
      <c r="AB687">
        <f>COUNTIF($D$1:D687,D687)</f>
        <v>43</v>
      </c>
    </row>
    <row r="688" spans="1:28" x14ac:dyDescent="0.25">
      <c r="A688">
        <v>687</v>
      </c>
      <c r="B688">
        <v>183865</v>
      </c>
      <c r="C688">
        <v>24001327</v>
      </c>
      <c r="D688" t="s">
        <v>472</v>
      </c>
      <c r="E688" t="s">
        <v>473</v>
      </c>
      <c r="F688" t="s">
        <v>484</v>
      </c>
      <c r="H688" t="s">
        <v>72</v>
      </c>
      <c r="I688">
        <v>3</v>
      </c>
      <c r="J688" s="74">
        <v>45674</v>
      </c>
      <c r="K688" s="74">
        <v>45674</v>
      </c>
      <c r="L688" t="s">
        <v>190</v>
      </c>
      <c r="M688" s="74">
        <v>45639</v>
      </c>
      <c r="N688" t="s">
        <v>155</v>
      </c>
      <c r="O688" t="s">
        <v>153</v>
      </c>
      <c r="P688">
        <v>0</v>
      </c>
      <c r="Q688">
        <v>6.14</v>
      </c>
      <c r="R688">
        <v>0</v>
      </c>
      <c r="S688">
        <v>18.420000000000002</v>
      </c>
      <c r="T688" t="s">
        <v>66</v>
      </c>
      <c r="AA688">
        <f t="shared" si="10"/>
        <v>39.24</v>
      </c>
      <c r="AB688">
        <f>COUNTIF($D$1:D688,D688)</f>
        <v>44</v>
      </c>
    </row>
    <row r="689" spans="1:28" x14ac:dyDescent="0.25">
      <c r="A689">
        <v>688</v>
      </c>
      <c r="B689">
        <v>183848</v>
      </c>
      <c r="C689">
        <v>24001207</v>
      </c>
      <c r="D689" t="s">
        <v>472</v>
      </c>
      <c r="E689" t="s">
        <v>473</v>
      </c>
      <c r="F689" t="s">
        <v>485</v>
      </c>
      <c r="H689" t="s">
        <v>72</v>
      </c>
      <c r="I689">
        <v>18</v>
      </c>
      <c r="J689" s="74">
        <v>45659</v>
      </c>
      <c r="K689" s="74">
        <v>45673</v>
      </c>
      <c r="L689" t="s">
        <v>190</v>
      </c>
      <c r="M689" s="74">
        <v>45657</v>
      </c>
      <c r="N689" t="s">
        <v>155</v>
      </c>
      <c r="O689" t="s">
        <v>153</v>
      </c>
      <c r="P689">
        <v>0</v>
      </c>
      <c r="Q689">
        <v>5.79</v>
      </c>
      <c r="R689">
        <v>0</v>
      </c>
      <c r="S689">
        <v>104.22</v>
      </c>
      <c r="T689" t="s">
        <v>66</v>
      </c>
      <c r="AA689">
        <f t="shared" si="10"/>
        <v>39.24</v>
      </c>
      <c r="AB689">
        <f>COUNTIF($D$1:D689,D689)</f>
        <v>45</v>
      </c>
    </row>
    <row r="690" spans="1:28" x14ac:dyDescent="0.25">
      <c r="A690">
        <v>689</v>
      </c>
      <c r="B690">
        <v>183853</v>
      </c>
      <c r="C690">
        <v>24001212</v>
      </c>
      <c r="D690" t="s">
        <v>472</v>
      </c>
      <c r="E690" t="s">
        <v>473</v>
      </c>
      <c r="F690" t="s">
        <v>486</v>
      </c>
      <c r="H690" t="s">
        <v>72</v>
      </c>
      <c r="I690">
        <v>6</v>
      </c>
      <c r="J690" s="74">
        <v>45674</v>
      </c>
      <c r="K690" s="74">
        <v>45674</v>
      </c>
      <c r="L690" t="s">
        <v>190</v>
      </c>
      <c r="M690" s="74">
        <v>45657</v>
      </c>
      <c r="N690" t="s">
        <v>155</v>
      </c>
      <c r="O690" t="s">
        <v>153</v>
      </c>
      <c r="P690">
        <v>0</v>
      </c>
      <c r="Q690">
        <v>5.79</v>
      </c>
      <c r="R690">
        <v>0</v>
      </c>
      <c r="S690">
        <v>34.74</v>
      </c>
      <c r="T690" t="s">
        <v>66</v>
      </c>
      <c r="AA690">
        <f t="shared" si="10"/>
        <v>39.24</v>
      </c>
      <c r="AB690">
        <f>COUNTIF($D$1:D690,D690)</f>
        <v>46</v>
      </c>
    </row>
    <row r="691" spans="1:28" x14ac:dyDescent="0.25">
      <c r="A691">
        <v>690</v>
      </c>
      <c r="B691">
        <v>183855</v>
      </c>
      <c r="C691">
        <v>24001316</v>
      </c>
      <c r="D691" t="s">
        <v>472</v>
      </c>
      <c r="E691" t="s">
        <v>473</v>
      </c>
      <c r="F691" t="s">
        <v>487</v>
      </c>
      <c r="H691" t="s">
        <v>72</v>
      </c>
      <c r="I691">
        <v>9</v>
      </c>
      <c r="J691" s="74">
        <v>45674</v>
      </c>
      <c r="K691" s="74">
        <v>45674</v>
      </c>
      <c r="L691" t="s">
        <v>190</v>
      </c>
      <c r="M691" s="74">
        <v>45657</v>
      </c>
      <c r="N691" t="s">
        <v>155</v>
      </c>
      <c r="O691" t="s">
        <v>153</v>
      </c>
      <c r="P691">
        <v>0</v>
      </c>
      <c r="Q691">
        <v>6.14</v>
      </c>
      <c r="R691">
        <v>0</v>
      </c>
      <c r="S691">
        <v>55.26</v>
      </c>
      <c r="T691" t="s">
        <v>66</v>
      </c>
      <c r="AA691">
        <f t="shared" si="10"/>
        <v>39.24</v>
      </c>
      <c r="AB691">
        <f>COUNTIF($D$1:D691,D691)</f>
        <v>47</v>
      </c>
    </row>
    <row r="692" spans="1:28" x14ac:dyDescent="0.25">
      <c r="A692">
        <v>691</v>
      </c>
      <c r="B692">
        <v>183859</v>
      </c>
      <c r="C692">
        <v>24001319</v>
      </c>
      <c r="D692" t="s">
        <v>472</v>
      </c>
      <c r="E692" t="s">
        <v>473</v>
      </c>
      <c r="F692" t="s">
        <v>481</v>
      </c>
      <c r="H692" t="s">
        <v>72</v>
      </c>
      <c r="I692">
        <v>12</v>
      </c>
      <c r="J692" s="74">
        <v>45675</v>
      </c>
      <c r="K692" s="74">
        <v>45678</v>
      </c>
      <c r="L692" t="s">
        <v>190</v>
      </c>
      <c r="M692" s="74">
        <v>45657</v>
      </c>
      <c r="N692" t="s">
        <v>155</v>
      </c>
      <c r="O692" t="s">
        <v>153</v>
      </c>
      <c r="P692">
        <v>0</v>
      </c>
      <c r="Q692">
        <v>6.14</v>
      </c>
      <c r="R692">
        <v>0</v>
      </c>
      <c r="S692">
        <v>73.680000000000007</v>
      </c>
      <c r="T692" t="s">
        <v>66</v>
      </c>
      <c r="AA692">
        <f t="shared" si="10"/>
        <v>39.24</v>
      </c>
      <c r="AB692">
        <f>COUNTIF($D$1:D692,D692)</f>
        <v>48</v>
      </c>
    </row>
    <row r="693" spans="1:28" x14ac:dyDescent="0.25">
      <c r="A693">
        <v>692</v>
      </c>
      <c r="B693">
        <v>184255</v>
      </c>
      <c r="C693">
        <v>24001399</v>
      </c>
      <c r="D693" t="s">
        <v>472</v>
      </c>
      <c r="E693" t="s">
        <v>473</v>
      </c>
      <c r="F693" t="s">
        <v>484</v>
      </c>
      <c r="H693" t="s">
        <v>72</v>
      </c>
      <c r="I693">
        <v>18</v>
      </c>
      <c r="J693" s="74">
        <v>45678</v>
      </c>
      <c r="K693" s="74">
        <v>45679</v>
      </c>
      <c r="L693" t="s">
        <v>190</v>
      </c>
      <c r="M693" s="74">
        <v>45657</v>
      </c>
      <c r="N693" t="s">
        <v>155</v>
      </c>
      <c r="O693" t="s">
        <v>153</v>
      </c>
      <c r="P693">
        <v>0</v>
      </c>
      <c r="Q693">
        <v>6.05</v>
      </c>
      <c r="R693">
        <v>0</v>
      </c>
      <c r="S693">
        <v>108.9</v>
      </c>
      <c r="T693" t="s">
        <v>66</v>
      </c>
      <c r="AA693">
        <f t="shared" si="10"/>
        <v>39.24</v>
      </c>
      <c r="AB693">
        <f>COUNTIF($D$1:D693,D693)</f>
        <v>49</v>
      </c>
    </row>
    <row r="694" spans="1:28" x14ac:dyDescent="0.25">
      <c r="A694">
        <v>693</v>
      </c>
      <c r="B694">
        <v>184256</v>
      </c>
      <c r="C694">
        <v>24001400</v>
      </c>
      <c r="D694" t="s">
        <v>472</v>
      </c>
      <c r="E694" t="s">
        <v>473</v>
      </c>
      <c r="F694" t="s">
        <v>483</v>
      </c>
      <c r="H694" t="s">
        <v>72</v>
      </c>
      <c r="I694">
        <v>18</v>
      </c>
      <c r="J694" s="74">
        <v>45679</v>
      </c>
      <c r="K694" s="74">
        <v>45679</v>
      </c>
      <c r="L694" t="s">
        <v>190</v>
      </c>
      <c r="M694" s="74">
        <v>45657</v>
      </c>
      <c r="N694" t="s">
        <v>155</v>
      </c>
      <c r="O694" t="s">
        <v>153</v>
      </c>
      <c r="P694">
        <v>0</v>
      </c>
      <c r="Q694">
        <v>6.05</v>
      </c>
      <c r="R694">
        <v>0</v>
      </c>
      <c r="S694">
        <v>108.9</v>
      </c>
      <c r="T694" t="s">
        <v>66</v>
      </c>
      <c r="AA694">
        <f t="shared" si="10"/>
        <v>39.24</v>
      </c>
      <c r="AB694">
        <f>COUNTIF($D$1:D694,D694)</f>
        <v>50</v>
      </c>
    </row>
    <row r="695" spans="1:28" x14ac:dyDescent="0.25">
      <c r="A695">
        <v>694</v>
      </c>
      <c r="B695">
        <v>184251</v>
      </c>
      <c r="C695">
        <v>24001401</v>
      </c>
      <c r="D695" t="s">
        <v>472</v>
      </c>
      <c r="E695" t="s">
        <v>473</v>
      </c>
      <c r="F695" t="s">
        <v>488</v>
      </c>
      <c r="H695" t="s">
        <v>72</v>
      </c>
      <c r="I695">
        <v>24</v>
      </c>
      <c r="J695" s="74">
        <v>45682</v>
      </c>
      <c r="K695" s="74">
        <v>45685</v>
      </c>
      <c r="L695" t="s">
        <v>190</v>
      </c>
      <c r="M695" s="74">
        <v>45657</v>
      </c>
      <c r="N695" t="s">
        <v>155</v>
      </c>
      <c r="O695" t="s">
        <v>153</v>
      </c>
      <c r="P695">
        <v>0</v>
      </c>
      <c r="Q695">
        <v>6.05</v>
      </c>
      <c r="R695">
        <v>0</v>
      </c>
      <c r="S695">
        <v>145.19999999999999</v>
      </c>
      <c r="T695" t="s">
        <v>66</v>
      </c>
      <c r="AA695">
        <f t="shared" si="10"/>
        <v>39.24</v>
      </c>
      <c r="AB695">
        <f>COUNTIF($D$1:D695,D695)</f>
        <v>51</v>
      </c>
    </row>
    <row r="696" spans="1:28" x14ac:dyDescent="0.25">
      <c r="A696">
        <v>695</v>
      </c>
      <c r="B696">
        <v>184252</v>
      </c>
      <c r="C696">
        <v>24001402</v>
      </c>
      <c r="D696" t="s">
        <v>472</v>
      </c>
      <c r="E696" t="s">
        <v>473</v>
      </c>
      <c r="F696" t="s">
        <v>489</v>
      </c>
      <c r="H696" t="s">
        <v>72</v>
      </c>
      <c r="I696">
        <v>21</v>
      </c>
      <c r="J696" s="74">
        <v>45685</v>
      </c>
      <c r="K696" s="74">
        <v>45687</v>
      </c>
      <c r="L696" t="s">
        <v>190</v>
      </c>
      <c r="M696" s="74">
        <v>45657</v>
      </c>
      <c r="N696" t="s">
        <v>155</v>
      </c>
      <c r="O696" t="s">
        <v>153</v>
      </c>
      <c r="P696">
        <v>0</v>
      </c>
      <c r="Q696">
        <v>6.05</v>
      </c>
      <c r="R696">
        <v>0</v>
      </c>
      <c r="S696">
        <v>127.05</v>
      </c>
      <c r="T696" t="s">
        <v>66</v>
      </c>
      <c r="AA696">
        <f t="shared" si="10"/>
        <v>39.24</v>
      </c>
      <c r="AB696">
        <f>COUNTIF($D$1:D696,D696)</f>
        <v>52</v>
      </c>
    </row>
    <row r="697" spans="1:28" x14ac:dyDescent="0.25">
      <c r="A697">
        <v>696</v>
      </c>
      <c r="B697">
        <v>184253</v>
      </c>
      <c r="C697">
        <v>24001403</v>
      </c>
      <c r="D697" t="s">
        <v>472</v>
      </c>
      <c r="E697" t="s">
        <v>473</v>
      </c>
      <c r="F697" t="s">
        <v>490</v>
      </c>
      <c r="H697" t="s">
        <v>72</v>
      </c>
      <c r="I697">
        <v>3</v>
      </c>
      <c r="J697" s="74">
        <v>45687</v>
      </c>
      <c r="K697" s="74">
        <v>45687</v>
      </c>
      <c r="L697" t="s">
        <v>190</v>
      </c>
      <c r="M697" s="74">
        <v>45657</v>
      </c>
      <c r="N697" t="s">
        <v>155</v>
      </c>
      <c r="O697" t="s">
        <v>153</v>
      </c>
      <c r="P697">
        <v>0</v>
      </c>
      <c r="Q697">
        <v>6.05</v>
      </c>
      <c r="R697">
        <v>0</v>
      </c>
      <c r="S697">
        <v>18.149999999999999</v>
      </c>
      <c r="T697" t="s">
        <v>66</v>
      </c>
      <c r="AA697">
        <f t="shared" si="10"/>
        <v>39.24</v>
      </c>
      <c r="AB697">
        <f>COUNTIF($D$1:D697,D697)</f>
        <v>53</v>
      </c>
    </row>
    <row r="698" spans="1:28" x14ac:dyDescent="0.25">
      <c r="A698">
        <v>697</v>
      </c>
      <c r="B698">
        <v>183672</v>
      </c>
      <c r="C698">
        <v>24001229</v>
      </c>
      <c r="D698" t="s">
        <v>491</v>
      </c>
      <c r="E698" t="s">
        <v>71</v>
      </c>
      <c r="F698">
        <v>910006627</v>
      </c>
      <c r="H698" t="s">
        <v>72</v>
      </c>
      <c r="I698">
        <v>1200</v>
      </c>
      <c r="J698" s="74">
        <v>45659</v>
      </c>
      <c r="K698" s="74">
        <v>45688</v>
      </c>
      <c r="L698" t="s">
        <v>190</v>
      </c>
      <c r="M698" s="74">
        <v>45646</v>
      </c>
      <c r="N698" t="s">
        <v>155</v>
      </c>
      <c r="O698" t="s">
        <v>153</v>
      </c>
      <c r="P698">
        <v>1.81</v>
      </c>
      <c r="Q698">
        <v>4.83</v>
      </c>
      <c r="R698">
        <v>2172</v>
      </c>
      <c r="S698">
        <v>5796</v>
      </c>
      <c r="T698" t="s">
        <v>66</v>
      </c>
      <c r="AA698">
        <f t="shared" si="10"/>
        <v>2172</v>
      </c>
      <c r="AB698">
        <f>COUNTIF($D$1:D698,D698)</f>
        <v>1</v>
      </c>
    </row>
    <row r="699" spans="1:28" x14ac:dyDescent="0.25">
      <c r="A699">
        <v>698</v>
      </c>
      <c r="B699">
        <v>184062</v>
      </c>
      <c r="C699">
        <v>24001331</v>
      </c>
      <c r="D699" t="s">
        <v>491</v>
      </c>
      <c r="E699" t="s">
        <v>71</v>
      </c>
      <c r="F699">
        <v>910010793</v>
      </c>
      <c r="H699" t="s">
        <v>82</v>
      </c>
      <c r="I699">
        <v>1200</v>
      </c>
      <c r="J699" s="74">
        <v>45659</v>
      </c>
      <c r="K699" s="74">
        <v>45688</v>
      </c>
      <c r="L699" t="s">
        <v>190</v>
      </c>
      <c r="M699" s="74">
        <v>45659</v>
      </c>
      <c r="N699" t="s">
        <v>155</v>
      </c>
      <c r="O699" t="s">
        <v>190</v>
      </c>
      <c r="P699">
        <v>0</v>
      </c>
      <c r="Q699">
        <v>0</v>
      </c>
      <c r="R699">
        <v>0</v>
      </c>
      <c r="S699">
        <v>0</v>
      </c>
      <c r="T699" t="s">
        <v>66</v>
      </c>
      <c r="AA699">
        <f t="shared" si="10"/>
        <v>2172</v>
      </c>
      <c r="AB699">
        <f>COUNTIF($D$1:D699,D699)</f>
        <v>2</v>
      </c>
    </row>
    <row r="700" spans="1:28" x14ac:dyDescent="0.25">
      <c r="A700">
        <v>699</v>
      </c>
      <c r="B700">
        <v>24001548</v>
      </c>
      <c r="C700">
        <v>24001548</v>
      </c>
      <c r="D700" t="s">
        <v>492</v>
      </c>
      <c r="E700" t="s">
        <v>317</v>
      </c>
      <c r="F700" t="s">
        <v>493</v>
      </c>
      <c r="H700" t="s">
        <v>72</v>
      </c>
      <c r="I700">
        <v>320</v>
      </c>
      <c r="J700" s="74">
        <v>45659</v>
      </c>
      <c r="K700" s="74">
        <v>45688</v>
      </c>
      <c r="L700" t="s">
        <v>190</v>
      </c>
      <c r="M700" s="74">
        <v>45691</v>
      </c>
      <c r="N700" t="s">
        <v>151</v>
      </c>
      <c r="O700" t="s">
        <v>224</v>
      </c>
      <c r="P700">
        <v>0</v>
      </c>
      <c r="Q700">
        <v>0</v>
      </c>
      <c r="R700">
        <v>0</v>
      </c>
      <c r="S700">
        <v>0</v>
      </c>
      <c r="T700" t="s">
        <v>66</v>
      </c>
      <c r="AA700">
        <f t="shared" si="10"/>
        <v>0</v>
      </c>
      <c r="AB700">
        <f>COUNTIF($D$1:D700,D700)</f>
        <v>1</v>
      </c>
    </row>
    <row r="701" spans="1:28" x14ac:dyDescent="0.25">
      <c r="A701">
        <v>700</v>
      </c>
      <c r="B701">
        <v>183414</v>
      </c>
      <c r="C701">
        <v>24001255</v>
      </c>
      <c r="D701" t="s">
        <v>11</v>
      </c>
      <c r="E701" t="s">
        <v>97</v>
      </c>
      <c r="F701" t="s">
        <v>214</v>
      </c>
      <c r="G701" t="s">
        <v>191</v>
      </c>
      <c r="H701" t="s">
        <v>72</v>
      </c>
      <c r="I701">
        <v>760</v>
      </c>
      <c r="J701" s="74">
        <v>45663</v>
      </c>
      <c r="K701" s="74">
        <v>45664</v>
      </c>
      <c r="L701" t="s">
        <v>190</v>
      </c>
      <c r="M701" s="74">
        <v>45579</v>
      </c>
      <c r="N701" t="s">
        <v>155</v>
      </c>
      <c r="O701" t="s">
        <v>150</v>
      </c>
      <c r="P701">
        <v>0.44</v>
      </c>
      <c r="Q701">
        <v>1.05</v>
      </c>
      <c r="R701">
        <v>334.4</v>
      </c>
      <c r="S701">
        <v>798</v>
      </c>
      <c r="T701" t="s">
        <v>66</v>
      </c>
      <c r="AA701">
        <f t="shared" si="10"/>
        <v>35190.82</v>
      </c>
      <c r="AB701">
        <f>COUNTIF($D$1:D701,D701)</f>
        <v>1</v>
      </c>
    </row>
    <row r="702" spans="1:28" x14ac:dyDescent="0.25">
      <c r="A702">
        <v>701</v>
      </c>
      <c r="B702">
        <v>184350</v>
      </c>
      <c r="C702">
        <v>24001425</v>
      </c>
      <c r="D702" t="s">
        <v>11</v>
      </c>
      <c r="E702" t="s">
        <v>97</v>
      </c>
      <c r="F702" t="s">
        <v>331</v>
      </c>
      <c r="H702" t="s">
        <v>72</v>
      </c>
      <c r="I702">
        <v>819</v>
      </c>
      <c r="J702" s="74">
        <v>45678</v>
      </c>
      <c r="K702" s="74">
        <v>45681</v>
      </c>
      <c r="L702" t="s">
        <v>190</v>
      </c>
      <c r="M702" s="74">
        <v>45698</v>
      </c>
      <c r="N702" t="s">
        <v>151</v>
      </c>
      <c r="O702" t="s">
        <v>224</v>
      </c>
      <c r="P702">
        <v>0.91</v>
      </c>
      <c r="Q702">
        <v>1.79</v>
      </c>
      <c r="R702">
        <v>745.29</v>
      </c>
      <c r="S702">
        <v>1466.01</v>
      </c>
      <c r="T702" t="s">
        <v>66</v>
      </c>
      <c r="AA702">
        <f t="shared" si="10"/>
        <v>35190.82</v>
      </c>
      <c r="AB702">
        <f>COUNTIF($D$1:D702,D702)</f>
        <v>2</v>
      </c>
    </row>
    <row r="703" spans="1:28" x14ac:dyDescent="0.25">
      <c r="A703">
        <v>702</v>
      </c>
      <c r="B703">
        <v>184110</v>
      </c>
      <c r="C703">
        <v>24001396</v>
      </c>
      <c r="D703" t="s">
        <v>11</v>
      </c>
      <c r="E703" t="s">
        <v>97</v>
      </c>
      <c r="F703" t="s">
        <v>434</v>
      </c>
      <c r="G703" t="s">
        <v>435</v>
      </c>
      <c r="H703" t="s">
        <v>72</v>
      </c>
      <c r="I703">
        <v>2410</v>
      </c>
      <c r="J703" s="74">
        <v>45659</v>
      </c>
      <c r="K703" s="74">
        <v>45666</v>
      </c>
      <c r="L703" t="s">
        <v>190</v>
      </c>
      <c r="M703" s="74">
        <v>45672</v>
      </c>
      <c r="N703" t="s">
        <v>151</v>
      </c>
      <c r="O703" t="s">
        <v>190</v>
      </c>
      <c r="P703">
        <v>0.28999999999999998</v>
      </c>
      <c r="Q703">
        <v>1.18</v>
      </c>
      <c r="R703">
        <v>698.9</v>
      </c>
      <c r="S703">
        <v>2843.8</v>
      </c>
      <c r="T703" t="s">
        <v>66</v>
      </c>
      <c r="AA703">
        <f t="shared" si="10"/>
        <v>35190.82</v>
      </c>
      <c r="AB703">
        <f>COUNTIF($D$1:D703,D703)</f>
        <v>3</v>
      </c>
    </row>
    <row r="704" spans="1:28" x14ac:dyDescent="0.25">
      <c r="A704">
        <v>703</v>
      </c>
      <c r="B704">
        <v>184112</v>
      </c>
      <c r="C704">
        <v>24001397</v>
      </c>
      <c r="D704" t="s">
        <v>11</v>
      </c>
      <c r="E704" t="s">
        <v>97</v>
      </c>
      <c r="F704" t="s">
        <v>342</v>
      </c>
      <c r="G704" t="s">
        <v>343</v>
      </c>
      <c r="H704" t="s">
        <v>72</v>
      </c>
      <c r="I704">
        <v>1800</v>
      </c>
      <c r="J704" s="74">
        <v>45659</v>
      </c>
      <c r="K704" s="74">
        <v>45667</v>
      </c>
      <c r="L704" t="s">
        <v>190</v>
      </c>
      <c r="M704" s="74">
        <v>45672</v>
      </c>
      <c r="N704" t="s">
        <v>151</v>
      </c>
      <c r="O704" t="s">
        <v>190</v>
      </c>
      <c r="P704">
        <v>0.28999999999999998</v>
      </c>
      <c r="Q704">
        <v>1.18</v>
      </c>
      <c r="R704">
        <v>522</v>
      </c>
      <c r="S704">
        <v>2124</v>
      </c>
      <c r="T704" t="s">
        <v>66</v>
      </c>
      <c r="AA704">
        <f t="shared" si="10"/>
        <v>35190.82</v>
      </c>
      <c r="AB704">
        <f>COUNTIF($D$1:D704,D704)</f>
        <v>4</v>
      </c>
    </row>
    <row r="705" spans="1:28" x14ac:dyDescent="0.25">
      <c r="A705">
        <v>704</v>
      </c>
      <c r="B705">
        <v>184119</v>
      </c>
      <c r="C705">
        <v>24001402</v>
      </c>
      <c r="D705" t="s">
        <v>11</v>
      </c>
      <c r="E705" t="s">
        <v>97</v>
      </c>
      <c r="F705" t="s">
        <v>451</v>
      </c>
      <c r="G705" t="s">
        <v>435</v>
      </c>
      <c r="H705" t="s">
        <v>72</v>
      </c>
      <c r="I705">
        <v>1625</v>
      </c>
      <c r="J705" s="74">
        <v>45659</v>
      </c>
      <c r="K705" s="74">
        <v>45675</v>
      </c>
      <c r="L705" t="s">
        <v>190</v>
      </c>
      <c r="M705" s="74">
        <v>45672</v>
      </c>
      <c r="N705" t="s">
        <v>155</v>
      </c>
      <c r="O705" t="s">
        <v>190</v>
      </c>
      <c r="P705">
        <v>0.28999999999999998</v>
      </c>
      <c r="Q705">
        <v>1.42</v>
      </c>
      <c r="R705">
        <v>471.25</v>
      </c>
      <c r="S705">
        <v>2307.5</v>
      </c>
      <c r="T705" t="s">
        <v>66</v>
      </c>
      <c r="AA705">
        <f t="shared" si="10"/>
        <v>35190.82</v>
      </c>
      <c r="AB705">
        <f>COUNTIF($D$1:D705,D705)</f>
        <v>5</v>
      </c>
    </row>
    <row r="706" spans="1:28" x14ac:dyDescent="0.25">
      <c r="A706">
        <v>705</v>
      </c>
      <c r="B706">
        <v>183419</v>
      </c>
      <c r="C706">
        <v>24001243</v>
      </c>
      <c r="D706" t="s">
        <v>11</v>
      </c>
      <c r="E706" t="s">
        <v>97</v>
      </c>
      <c r="F706" t="s">
        <v>188</v>
      </c>
      <c r="G706" t="s">
        <v>189</v>
      </c>
      <c r="H706" t="s">
        <v>72</v>
      </c>
      <c r="I706">
        <v>2747</v>
      </c>
      <c r="J706" s="74">
        <v>45664</v>
      </c>
      <c r="K706" s="74">
        <v>45675</v>
      </c>
      <c r="L706" t="s">
        <v>190</v>
      </c>
      <c r="M706" s="74">
        <v>45672</v>
      </c>
      <c r="N706" t="s">
        <v>155</v>
      </c>
      <c r="O706" t="s">
        <v>190</v>
      </c>
      <c r="P706">
        <v>0.38</v>
      </c>
      <c r="Q706">
        <v>0.95</v>
      </c>
      <c r="R706">
        <v>1043.8599999999999</v>
      </c>
      <c r="S706">
        <v>2609.65</v>
      </c>
      <c r="T706" t="s">
        <v>66</v>
      </c>
      <c r="AA706">
        <f t="shared" ref="AA706:AA729" si="11">SUMIF($D:$D,D706,$R:$R)</f>
        <v>35190.82</v>
      </c>
      <c r="AB706">
        <f>COUNTIF($D$1:D706,D706)</f>
        <v>6</v>
      </c>
    </row>
    <row r="707" spans="1:28" x14ac:dyDescent="0.25">
      <c r="A707">
        <v>706</v>
      </c>
      <c r="B707">
        <v>184130</v>
      </c>
      <c r="C707">
        <v>24001426</v>
      </c>
      <c r="D707" t="s">
        <v>11</v>
      </c>
      <c r="E707" t="s">
        <v>97</v>
      </c>
      <c r="F707" t="s">
        <v>325</v>
      </c>
      <c r="G707" t="s">
        <v>326</v>
      </c>
      <c r="H707" t="s">
        <v>72</v>
      </c>
      <c r="I707">
        <v>1490</v>
      </c>
      <c r="J707" s="74">
        <v>45665</v>
      </c>
      <c r="K707" s="74">
        <v>45677</v>
      </c>
      <c r="L707" t="s">
        <v>190</v>
      </c>
      <c r="M707" s="74">
        <v>45698</v>
      </c>
      <c r="N707" t="s">
        <v>151</v>
      </c>
      <c r="O707" t="s">
        <v>224</v>
      </c>
      <c r="P707">
        <v>1.23</v>
      </c>
      <c r="Q707">
        <v>2.19</v>
      </c>
      <c r="R707">
        <v>1832.7</v>
      </c>
      <c r="S707">
        <v>3263.1</v>
      </c>
      <c r="T707" t="s">
        <v>66</v>
      </c>
      <c r="AA707">
        <f t="shared" si="11"/>
        <v>35190.82</v>
      </c>
      <c r="AB707">
        <f>COUNTIF($D$1:D707,D707)</f>
        <v>7</v>
      </c>
    </row>
    <row r="708" spans="1:28" x14ac:dyDescent="0.25">
      <c r="A708">
        <v>707</v>
      </c>
      <c r="B708">
        <v>184558</v>
      </c>
      <c r="C708">
        <v>24001255</v>
      </c>
      <c r="D708" t="s">
        <v>11</v>
      </c>
      <c r="E708" t="s">
        <v>97</v>
      </c>
      <c r="F708" t="s">
        <v>214</v>
      </c>
      <c r="G708" t="s">
        <v>191</v>
      </c>
      <c r="H708" t="s">
        <v>72</v>
      </c>
      <c r="I708">
        <v>2764</v>
      </c>
      <c r="J708" s="74">
        <v>45677</v>
      </c>
      <c r="K708" s="74">
        <v>45678</v>
      </c>
      <c r="L708" t="s">
        <v>190</v>
      </c>
      <c r="M708" s="74">
        <v>45593</v>
      </c>
      <c r="N708" t="s">
        <v>155</v>
      </c>
      <c r="O708" t="s">
        <v>150</v>
      </c>
      <c r="P708">
        <v>0.44</v>
      </c>
      <c r="Q708">
        <v>1.05</v>
      </c>
      <c r="R708">
        <v>1216.1600000000001</v>
      </c>
      <c r="S708">
        <v>2902.2</v>
      </c>
      <c r="T708" t="s">
        <v>66</v>
      </c>
      <c r="AA708">
        <f t="shared" si="11"/>
        <v>35190.82</v>
      </c>
      <c r="AB708">
        <f>COUNTIF($D$1:D708,D708)</f>
        <v>8</v>
      </c>
    </row>
    <row r="709" spans="1:28" x14ac:dyDescent="0.25">
      <c r="A709">
        <v>708</v>
      </c>
      <c r="B709">
        <v>184620</v>
      </c>
      <c r="C709">
        <v>24002262</v>
      </c>
      <c r="D709" t="s">
        <v>11</v>
      </c>
      <c r="E709" t="s">
        <v>494</v>
      </c>
      <c r="F709" t="s">
        <v>495</v>
      </c>
      <c r="H709" t="s">
        <v>72</v>
      </c>
      <c r="I709">
        <v>1000</v>
      </c>
      <c r="J709" s="74">
        <v>45681</v>
      </c>
      <c r="K709" s="74">
        <v>45687</v>
      </c>
      <c r="L709" t="s">
        <v>190</v>
      </c>
      <c r="M709" s="74">
        <v>45703</v>
      </c>
      <c r="N709" t="s">
        <v>151</v>
      </c>
      <c r="O709" t="s">
        <v>224</v>
      </c>
      <c r="P709">
        <v>3.24</v>
      </c>
      <c r="Q709">
        <v>4.0999999999999996</v>
      </c>
      <c r="R709">
        <v>3240</v>
      </c>
      <c r="S709">
        <v>4100</v>
      </c>
      <c r="T709" t="s">
        <v>66</v>
      </c>
      <c r="AA709">
        <f t="shared" si="11"/>
        <v>35190.82</v>
      </c>
      <c r="AB709">
        <f>COUNTIF($D$1:D709,D709)</f>
        <v>9</v>
      </c>
    </row>
    <row r="710" spans="1:28" x14ac:dyDescent="0.25">
      <c r="A710">
        <v>709</v>
      </c>
      <c r="B710">
        <v>184622</v>
      </c>
      <c r="C710">
        <v>24002259</v>
      </c>
      <c r="D710" t="s">
        <v>11</v>
      </c>
      <c r="E710" t="s">
        <v>494</v>
      </c>
      <c r="F710" t="s">
        <v>496</v>
      </c>
      <c r="H710" t="s">
        <v>72</v>
      </c>
      <c r="I710">
        <v>235</v>
      </c>
      <c r="J710" s="74">
        <v>45687</v>
      </c>
      <c r="K710" s="74">
        <v>45688</v>
      </c>
      <c r="L710" t="s">
        <v>190</v>
      </c>
      <c r="M710" s="74">
        <v>45703</v>
      </c>
      <c r="N710" t="s">
        <v>151</v>
      </c>
      <c r="O710" t="s">
        <v>224</v>
      </c>
      <c r="P710">
        <v>4.5</v>
      </c>
      <c r="Q710">
        <v>5.36</v>
      </c>
      <c r="R710">
        <v>1057.5</v>
      </c>
      <c r="S710">
        <v>1259.5999999999999</v>
      </c>
      <c r="T710" t="s">
        <v>66</v>
      </c>
      <c r="AA710">
        <f t="shared" si="11"/>
        <v>35190.82</v>
      </c>
      <c r="AB710">
        <f>COUNTIF($D$1:D710,D710)</f>
        <v>10</v>
      </c>
    </row>
    <row r="711" spans="1:28" x14ac:dyDescent="0.25">
      <c r="A711">
        <v>710</v>
      </c>
      <c r="B711">
        <v>184350</v>
      </c>
      <c r="C711">
        <v>24001425</v>
      </c>
      <c r="D711" t="s">
        <v>11</v>
      </c>
      <c r="E711" t="s">
        <v>97</v>
      </c>
      <c r="F711" t="s">
        <v>331</v>
      </c>
      <c r="H711" t="s">
        <v>82</v>
      </c>
      <c r="I711">
        <v>903</v>
      </c>
      <c r="J711" s="74">
        <v>45678</v>
      </c>
      <c r="K711" s="74">
        <v>45680</v>
      </c>
      <c r="L711" t="s">
        <v>190</v>
      </c>
      <c r="M711" s="74">
        <v>45698</v>
      </c>
      <c r="N711" t="s">
        <v>151</v>
      </c>
      <c r="O711" t="s">
        <v>224</v>
      </c>
      <c r="P711">
        <v>0.91</v>
      </c>
      <c r="Q711">
        <v>1.79</v>
      </c>
      <c r="R711">
        <v>821.73</v>
      </c>
      <c r="S711">
        <v>1616.37</v>
      </c>
      <c r="T711" t="s">
        <v>66</v>
      </c>
      <c r="AA711">
        <f t="shared" si="11"/>
        <v>35190.82</v>
      </c>
      <c r="AB711">
        <f>COUNTIF($D$1:D711,D711)</f>
        <v>11</v>
      </c>
    </row>
    <row r="712" spans="1:28" x14ac:dyDescent="0.25">
      <c r="A712">
        <v>711</v>
      </c>
      <c r="B712">
        <v>184110</v>
      </c>
      <c r="C712">
        <v>24001396</v>
      </c>
      <c r="D712" t="s">
        <v>11</v>
      </c>
      <c r="E712" t="s">
        <v>97</v>
      </c>
      <c r="F712" t="s">
        <v>434</v>
      </c>
      <c r="G712" t="s">
        <v>435</v>
      </c>
      <c r="H712" t="s">
        <v>82</v>
      </c>
      <c r="I712">
        <v>2000</v>
      </c>
      <c r="J712" s="74">
        <v>45659</v>
      </c>
      <c r="K712" s="74">
        <v>45675</v>
      </c>
      <c r="L712" t="s">
        <v>190</v>
      </c>
      <c r="M712" s="74">
        <v>45672</v>
      </c>
      <c r="N712" t="s">
        <v>155</v>
      </c>
      <c r="O712" t="s">
        <v>190</v>
      </c>
      <c r="P712">
        <v>0.28999999999999998</v>
      </c>
      <c r="Q712">
        <v>1.18</v>
      </c>
      <c r="R712">
        <v>580</v>
      </c>
      <c r="S712">
        <v>2360</v>
      </c>
      <c r="T712" t="s">
        <v>66</v>
      </c>
      <c r="AA712">
        <f t="shared" si="11"/>
        <v>35190.82</v>
      </c>
      <c r="AB712">
        <f>COUNTIF($D$1:D712,D712)</f>
        <v>12</v>
      </c>
    </row>
    <row r="713" spans="1:28" x14ac:dyDescent="0.25">
      <c r="A713">
        <v>712</v>
      </c>
      <c r="B713">
        <v>184112</v>
      </c>
      <c r="C713">
        <v>24001397</v>
      </c>
      <c r="D713" t="s">
        <v>11</v>
      </c>
      <c r="E713" t="s">
        <v>97</v>
      </c>
      <c r="F713" t="s">
        <v>342</v>
      </c>
      <c r="G713" t="s">
        <v>343</v>
      </c>
      <c r="H713" t="s">
        <v>82</v>
      </c>
      <c r="I713">
        <v>1811</v>
      </c>
      <c r="J713" s="74">
        <v>45659</v>
      </c>
      <c r="K713" s="74">
        <v>45660</v>
      </c>
      <c r="L713" t="s">
        <v>190</v>
      </c>
      <c r="M713" s="74">
        <v>45672</v>
      </c>
      <c r="N713" t="s">
        <v>151</v>
      </c>
      <c r="O713" t="s">
        <v>190</v>
      </c>
      <c r="P713">
        <v>0.28999999999999998</v>
      </c>
      <c r="Q713">
        <v>1.18</v>
      </c>
      <c r="R713">
        <v>525.19000000000005</v>
      </c>
      <c r="S713">
        <v>2136.98</v>
      </c>
      <c r="T713" t="s">
        <v>66</v>
      </c>
      <c r="AA713">
        <f t="shared" si="11"/>
        <v>35190.82</v>
      </c>
      <c r="AB713">
        <f>COUNTIF($D$1:D713,D713)</f>
        <v>13</v>
      </c>
    </row>
    <row r="714" spans="1:28" x14ac:dyDescent="0.25">
      <c r="A714">
        <v>713</v>
      </c>
      <c r="B714">
        <v>183801</v>
      </c>
      <c r="C714">
        <v>24001362</v>
      </c>
      <c r="D714" t="s">
        <v>11</v>
      </c>
      <c r="E714" t="s">
        <v>97</v>
      </c>
      <c r="F714" t="s">
        <v>227</v>
      </c>
      <c r="G714" t="s">
        <v>187</v>
      </c>
      <c r="H714" t="s">
        <v>82</v>
      </c>
      <c r="I714">
        <v>1334</v>
      </c>
      <c r="J714" s="74">
        <v>45668</v>
      </c>
      <c r="K714" s="74">
        <v>45673</v>
      </c>
      <c r="L714" t="s">
        <v>190</v>
      </c>
      <c r="M714" s="74">
        <v>45698</v>
      </c>
      <c r="N714" t="s">
        <v>151</v>
      </c>
      <c r="O714" t="s">
        <v>224</v>
      </c>
      <c r="P714">
        <v>0.36</v>
      </c>
      <c r="Q714">
        <v>1.03</v>
      </c>
      <c r="R714">
        <v>480.24</v>
      </c>
      <c r="S714">
        <v>1374.02</v>
      </c>
      <c r="T714" t="s">
        <v>66</v>
      </c>
      <c r="AA714">
        <f t="shared" si="11"/>
        <v>35190.82</v>
      </c>
      <c r="AB714">
        <f>COUNTIF($D$1:D714,D714)</f>
        <v>14</v>
      </c>
    </row>
    <row r="715" spans="1:28" x14ac:dyDescent="0.25">
      <c r="A715">
        <v>714</v>
      </c>
      <c r="B715">
        <v>184119</v>
      </c>
      <c r="C715">
        <v>24001402</v>
      </c>
      <c r="D715" t="s">
        <v>11</v>
      </c>
      <c r="E715" t="s">
        <v>97</v>
      </c>
      <c r="F715" t="s">
        <v>451</v>
      </c>
      <c r="G715" t="s">
        <v>435</v>
      </c>
      <c r="H715" t="s">
        <v>82</v>
      </c>
      <c r="I715">
        <v>1625</v>
      </c>
      <c r="J715" s="74">
        <v>45661</v>
      </c>
      <c r="K715" s="74">
        <v>45673</v>
      </c>
      <c r="L715" t="s">
        <v>190</v>
      </c>
      <c r="M715" s="74">
        <v>45672</v>
      </c>
      <c r="N715" t="s">
        <v>155</v>
      </c>
      <c r="O715" t="s">
        <v>190</v>
      </c>
      <c r="P715">
        <v>0.28999999999999998</v>
      </c>
      <c r="Q715">
        <v>1.42</v>
      </c>
      <c r="R715">
        <v>471.25</v>
      </c>
      <c r="S715">
        <v>2307.5</v>
      </c>
      <c r="T715" t="s">
        <v>66</v>
      </c>
      <c r="AA715">
        <f t="shared" si="11"/>
        <v>35190.82</v>
      </c>
      <c r="AB715">
        <f>COUNTIF($D$1:D715,D715)</f>
        <v>15</v>
      </c>
    </row>
    <row r="716" spans="1:28" x14ac:dyDescent="0.25">
      <c r="A716">
        <v>715</v>
      </c>
      <c r="B716">
        <v>184130</v>
      </c>
      <c r="C716">
        <v>24001426</v>
      </c>
      <c r="D716" t="s">
        <v>11</v>
      </c>
      <c r="E716" t="s">
        <v>97</v>
      </c>
      <c r="F716" t="s">
        <v>325</v>
      </c>
      <c r="G716" t="s">
        <v>326</v>
      </c>
      <c r="H716" t="s">
        <v>82</v>
      </c>
      <c r="I716">
        <v>1500</v>
      </c>
      <c r="J716" s="74">
        <v>45665</v>
      </c>
      <c r="K716" s="74">
        <v>45678</v>
      </c>
      <c r="L716" t="s">
        <v>190</v>
      </c>
      <c r="M716" s="74">
        <v>45698</v>
      </c>
      <c r="N716" t="s">
        <v>151</v>
      </c>
      <c r="O716" t="s">
        <v>224</v>
      </c>
      <c r="P716">
        <v>1.23</v>
      </c>
      <c r="Q716">
        <v>2.19</v>
      </c>
      <c r="R716">
        <v>1845</v>
      </c>
      <c r="S716">
        <v>3285</v>
      </c>
      <c r="T716" t="s">
        <v>66</v>
      </c>
      <c r="AA716">
        <f t="shared" si="11"/>
        <v>35190.82</v>
      </c>
      <c r="AB716">
        <f>COUNTIF($D$1:D716,D716)</f>
        <v>16</v>
      </c>
    </row>
    <row r="717" spans="1:28" x14ac:dyDescent="0.25">
      <c r="A717">
        <v>716</v>
      </c>
      <c r="B717">
        <v>183419</v>
      </c>
      <c r="C717">
        <v>24001243</v>
      </c>
      <c r="D717" t="s">
        <v>11</v>
      </c>
      <c r="E717" t="s">
        <v>97</v>
      </c>
      <c r="F717" t="s">
        <v>188</v>
      </c>
      <c r="G717" t="s">
        <v>189</v>
      </c>
      <c r="H717" t="s">
        <v>82</v>
      </c>
      <c r="I717">
        <v>1570</v>
      </c>
      <c r="J717" s="74">
        <v>45671</v>
      </c>
      <c r="K717" s="74">
        <v>45673</v>
      </c>
      <c r="L717" t="s">
        <v>190</v>
      </c>
      <c r="M717" s="74">
        <v>45672</v>
      </c>
      <c r="N717" t="s">
        <v>155</v>
      </c>
      <c r="O717" t="s">
        <v>190</v>
      </c>
      <c r="P717">
        <v>0.38</v>
      </c>
      <c r="Q717">
        <v>0.95</v>
      </c>
      <c r="R717">
        <v>596.6</v>
      </c>
      <c r="S717">
        <v>1491.5</v>
      </c>
      <c r="T717" t="s">
        <v>66</v>
      </c>
      <c r="AA717">
        <f t="shared" si="11"/>
        <v>35190.82</v>
      </c>
      <c r="AB717">
        <f>COUNTIF($D$1:D717,D717)</f>
        <v>17</v>
      </c>
    </row>
    <row r="718" spans="1:28" x14ac:dyDescent="0.25">
      <c r="A718">
        <v>717</v>
      </c>
      <c r="B718">
        <v>184621</v>
      </c>
      <c r="C718">
        <v>24002263</v>
      </c>
      <c r="D718" t="s">
        <v>11</v>
      </c>
      <c r="E718" t="s">
        <v>494</v>
      </c>
      <c r="F718" t="s">
        <v>497</v>
      </c>
      <c r="H718" t="s">
        <v>82</v>
      </c>
      <c r="I718">
        <v>1000</v>
      </c>
      <c r="J718" s="74">
        <v>45681</v>
      </c>
      <c r="K718" s="74">
        <v>45687</v>
      </c>
      <c r="L718" t="s">
        <v>190</v>
      </c>
      <c r="M718" s="74">
        <v>45703</v>
      </c>
      <c r="N718" t="s">
        <v>151</v>
      </c>
      <c r="O718" t="s">
        <v>224</v>
      </c>
      <c r="P718">
        <v>2.4700000000000002</v>
      </c>
      <c r="Q718">
        <v>3.15</v>
      </c>
      <c r="R718">
        <v>2470</v>
      </c>
      <c r="S718">
        <v>3150</v>
      </c>
      <c r="T718" t="s">
        <v>66</v>
      </c>
      <c r="AA718">
        <f t="shared" si="11"/>
        <v>35190.82</v>
      </c>
      <c r="AB718">
        <f>COUNTIF($D$1:D718,D718)</f>
        <v>18</v>
      </c>
    </row>
    <row r="719" spans="1:28" x14ac:dyDescent="0.25">
      <c r="A719">
        <v>718</v>
      </c>
      <c r="B719">
        <v>184618</v>
      </c>
      <c r="C719">
        <v>24002260</v>
      </c>
      <c r="D719" t="s">
        <v>11</v>
      </c>
      <c r="E719" t="s">
        <v>494</v>
      </c>
      <c r="F719" t="s">
        <v>498</v>
      </c>
      <c r="H719" t="s">
        <v>82</v>
      </c>
      <c r="I719">
        <v>203</v>
      </c>
      <c r="J719" s="74">
        <v>45687</v>
      </c>
      <c r="K719" s="74">
        <v>45688</v>
      </c>
      <c r="L719" t="s">
        <v>190</v>
      </c>
      <c r="M719" s="74">
        <v>45703</v>
      </c>
      <c r="N719" t="s">
        <v>151</v>
      </c>
      <c r="O719" t="s">
        <v>224</v>
      </c>
      <c r="P719">
        <v>4.8600000000000003</v>
      </c>
      <c r="Q719">
        <v>6.31</v>
      </c>
      <c r="R719">
        <v>986.58</v>
      </c>
      <c r="S719">
        <v>1280.93</v>
      </c>
      <c r="T719" t="s">
        <v>66</v>
      </c>
      <c r="AA719">
        <f t="shared" si="11"/>
        <v>35190.82</v>
      </c>
      <c r="AB719">
        <f>COUNTIF($D$1:D719,D719)</f>
        <v>19</v>
      </c>
    </row>
    <row r="720" spans="1:28" x14ac:dyDescent="0.25">
      <c r="A720">
        <v>719</v>
      </c>
      <c r="B720">
        <v>184393</v>
      </c>
      <c r="C720">
        <v>24001435</v>
      </c>
      <c r="D720" t="s">
        <v>11</v>
      </c>
      <c r="E720" t="s">
        <v>76</v>
      </c>
      <c r="F720" t="s">
        <v>213</v>
      </c>
      <c r="G720" t="s">
        <v>225</v>
      </c>
      <c r="H720" t="s">
        <v>77</v>
      </c>
      <c r="I720">
        <v>1700</v>
      </c>
      <c r="J720" s="74">
        <v>45659</v>
      </c>
      <c r="K720" s="74">
        <v>45668</v>
      </c>
      <c r="L720" t="s">
        <v>190</v>
      </c>
      <c r="M720" s="74">
        <v>45688</v>
      </c>
      <c r="N720" t="s">
        <v>151</v>
      </c>
      <c r="O720" t="s">
        <v>190</v>
      </c>
      <c r="P720">
        <v>1.54</v>
      </c>
      <c r="Q720">
        <v>1.65</v>
      </c>
      <c r="R720">
        <v>2618</v>
      </c>
      <c r="S720">
        <v>2805</v>
      </c>
      <c r="T720" t="s">
        <v>154</v>
      </c>
      <c r="AA720">
        <f t="shared" si="11"/>
        <v>35190.82</v>
      </c>
      <c r="AB720">
        <f>COUNTIF($D$1:D720,D720)</f>
        <v>20</v>
      </c>
    </row>
    <row r="721" spans="1:28" x14ac:dyDescent="0.25">
      <c r="A721">
        <v>720</v>
      </c>
      <c r="B721">
        <v>184389</v>
      </c>
      <c r="C721">
        <v>24001431</v>
      </c>
      <c r="D721" t="s">
        <v>11</v>
      </c>
      <c r="E721" t="s">
        <v>76</v>
      </c>
      <c r="F721" t="s">
        <v>212</v>
      </c>
      <c r="G721" t="s">
        <v>225</v>
      </c>
      <c r="H721" t="s">
        <v>77</v>
      </c>
      <c r="I721">
        <v>970</v>
      </c>
      <c r="J721" s="74">
        <v>45659</v>
      </c>
      <c r="K721" s="74">
        <v>45673</v>
      </c>
      <c r="L721" t="s">
        <v>190</v>
      </c>
      <c r="M721" s="74">
        <v>45688</v>
      </c>
      <c r="N721" t="s">
        <v>151</v>
      </c>
      <c r="O721" t="s">
        <v>190</v>
      </c>
      <c r="P721">
        <v>1.54</v>
      </c>
      <c r="Q721">
        <v>1.65</v>
      </c>
      <c r="R721">
        <v>1493.8</v>
      </c>
      <c r="S721">
        <v>1600.5</v>
      </c>
      <c r="T721" t="s">
        <v>154</v>
      </c>
      <c r="AA721">
        <f t="shared" si="11"/>
        <v>35190.82</v>
      </c>
      <c r="AB721">
        <f>COUNTIF($D$1:D721,D721)</f>
        <v>21</v>
      </c>
    </row>
    <row r="722" spans="1:28" x14ac:dyDescent="0.25">
      <c r="A722">
        <v>721</v>
      </c>
      <c r="B722">
        <v>184397</v>
      </c>
      <c r="C722">
        <v>24001439</v>
      </c>
      <c r="D722" t="s">
        <v>11</v>
      </c>
      <c r="E722" t="s">
        <v>76</v>
      </c>
      <c r="F722" t="s">
        <v>184</v>
      </c>
      <c r="G722" t="s">
        <v>225</v>
      </c>
      <c r="H722" t="s">
        <v>77</v>
      </c>
      <c r="I722">
        <v>2723</v>
      </c>
      <c r="J722" s="74">
        <v>45671</v>
      </c>
      <c r="K722" s="74">
        <v>45688</v>
      </c>
      <c r="L722" t="s">
        <v>190</v>
      </c>
      <c r="M722" s="74">
        <v>45688</v>
      </c>
      <c r="N722" t="s">
        <v>151</v>
      </c>
      <c r="O722" t="s">
        <v>190</v>
      </c>
      <c r="P722">
        <v>1.54</v>
      </c>
      <c r="Q722">
        <v>1.65</v>
      </c>
      <c r="R722">
        <v>4193.42</v>
      </c>
      <c r="S722">
        <v>4492.95</v>
      </c>
      <c r="T722" t="s">
        <v>154</v>
      </c>
      <c r="AA722">
        <f t="shared" si="11"/>
        <v>35190.82</v>
      </c>
      <c r="AB722">
        <f>COUNTIF($D$1:D722,D722)</f>
        <v>22</v>
      </c>
    </row>
    <row r="723" spans="1:28" x14ac:dyDescent="0.25">
      <c r="A723">
        <v>722</v>
      </c>
      <c r="B723">
        <v>184073</v>
      </c>
      <c r="C723">
        <v>24001270</v>
      </c>
      <c r="D723" t="s">
        <v>11</v>
      </c>
      <c r="E723" t="s">
        <v>93</v>
      </c>
      <c r="F723" t="s">
        <v>499</v>
      </c>
      <c r="G723" t="s">
        <v>500</v>
      </c>
      <c r="H723" t="s">
        <v>91</v>
      </c>
      <c r="I723">
        <v>300</v>
      </c>
      <c r="J723" s="74">
        <v>45659</v>
      </c>
      <c r="K723" s="74">
        <v>45661</v>
      </c>
      <c r="L723" t="s">
        <v>190</v>
      </c>
      <c r="M723" s="74">
        <v>45680</v>
      </c>
      <c r="N723" t="s">
        <v>151</v>
      </c>
      <c r="O723" t="s">
        <v>190</v>
      </c>
      <c r="P723">
        <v>1.28</v>
      </c>
      <c r="Q723">
        <v>3.81</v>
      </c>
      <c r="R723">
        <v>384</v>
      </c>
      <c r="S723">
        <v>1143</v>
      </c>
      <c r="T723" t="s">
        <v>66</v>
      </c>
      <c r="AA723">
        <f t="shared" si="11"/>
        <v>35190.82</v>
      </c>
      <c r="AB723">
        <f>COUNTIF($D$1:D723,D723)</f>
        <v>23</v>
      </c>
    </row>
    <row r="724" spans="1:28" x14ac:dyDescent="0.25">
      <c r="A724">
        <v>723</v>
      </c>
      <c r="B724">
        <v>184084</v>
      </c>
      <c r="C724">
        <v>24001283</v>
      </c>
      <c r="D724" t="s">
        <v>11</v>
      </c>
      <c r="E724" t="s">
        <v>93</v>
      </c>
      <c r="F724" t="s">
        <v>501</v>
      </c>
      <c r="G724" t="s">
        <v>502</v>
      </c>
      <c r="H724" t="s">
        <v>91</v>
      </c>
      <c r="I724">
        <v>300</v>
      </c>
      <c r="J724" s="74">
        <v>45659</v>
      </c>
      <c r="K724" s="74">
        <v>45661</v>
      </c>
      <c r="L724" t="s">
        <v>190</v>
      </c>
      <c r="M724" s="74">
        <v>45680</v>
      </c>
      <c r="N724" t="s">
        <v>151</v>
      </c>
      <c r="O724" t="s">
        <v>190</v>
      </c>
      <c r="P724">
        <v>1.32</v>
      </c>
      <c r="Q724">
        <v>3.87</v>
      </c>
      <c r="R724">
        <v>396</v>
      </c>
      <c r="S724">
        <v>1161</v>
      </c>
      <c r="T724" t="s">
        <v>66</v>
      </c>
      <c r="AA724">
        <f t="shared" si="11"/>
        <v>35190.82</v>
      </c>
      <c r="AB724">
        <f>COUNTIF($D$1:D724,D724)</f>
        <v>24</v>
      </c>
    </row>
    <row r="725" spans="1:28" x14ac:dyDescent="0.25">
      <c r="A725">
        <v>724</v>
      </c>
      <c r="B725">
        <v>184096</v>
      </c>
      <c r="C725">
        <v>24001303</v>
      </c>
      <c r="D725" t="s">
        <v>11</v>
      </c>
      <c r="E725" t="s">
        <v>93</v>
      </c>
      <c r="F725" t="s">
        <v>332</v>
      </c>
      <c r="G725" t="s">
        <v>333</v>
      </c>
      <c r="H725" t="s">
        <v>91</v>
      </c>
      <c r="I725">
        <v>291</v>
      </c>
      <c r="J725" s="74">
        <v>45661</v>
      </c>
      <c r="K725" s="74">
        <v>45663</v>
      </c>
      <c r="L725" t="s">
        <v>190</v>
      </c>
      <c r="M725" s="74">
        <v>45680</v>
      </c>
      <c r="N725" t="s">
        <v>151</v>
      </c>
      <c r="O725" t="s">
        <v>190</v>
      </c>
      <c r="P725">
        <v>2.0299999999999998</v>
      </c>
      <c r="Q725">
        <v>5.16</v>
      </c>
      <c r="R725">
        <v>590.73</v>
      </c>
      <c r="S725">
        <v>1501.56</v>
      </c>
      <c r="T725" t="s">
        <v>66</v>
      </c>
      <c r="AA725">
        <f t="shared" si="11"/>
        <v>35190.82</v>
      </c>
      <c r="AB725">
        <f>COUNTIF($D$1:D725,D725)</f>
        <v>25</v>
      </c>
    </row>
    <row r="726" spans="1:28" x14ac:dyDescent="0.25">
      <c r="A726">
        <v>725</v>
      </c>
      <c r="B726">
        <v>184390</v>
      </c>
      <c r="C726">
        <v>24001432</v>
      </c>
      <c r="D726" t="s">
        <v>11</v>
      </c>
      <c r="E726" t="s">
        <v>76</v>
      </c>
      <c r="F726" t="s">
        <v>185</v>
      </c>
      <c r="G726" t="s">
        <v>225</v>
      </c>
      <c r="H726" t="s">
        <v>91</v>
      </c>
      <c r="I726">
        <v>2520</v>
      </c>
      <c r="J726" s="74">
        <v>45659</v>
      </c>
      <c r="K726" s="74">
        <v>45680</v>
      </c>
      <c r="L726" t="s">
        <v>190</v>
      </c>
      <c r="M726" s="74">
        <v>45688</v>
      </c>
      <c r="N726" t="s">
        <v>151</v>
      </c>
      <c r="O726" t="s">
        <v>190</v>
      </c>
      <c r="P726">
        <v>1.54</v>
      </c>
      <c r="Q726">
        <v>1.65</v>
      </c>
      <c r="R726">
        <v>3880.8</v>
      </c>
      <c r="S726">
        <v>4158</v>
      </c>
      <c r="T726" t="s">
        <v>154</v>
      </c>
      <c r="AA726">
        <f t="shared" si="11"/>
        <v>35190.82</v>
      </c>
      <c r="AB726">
        <f>COUNTIF($D$1:D726,D726)</f>
        <v>26</v>
      </c>
    </row>
    <row r="727" spans="1:28" x14ac:dyDescent="0.25">
      <c r="A727">
        <v>726</v>
      </c>
      <c r="B727">
        <v>184396</v>
      </c>
      <c r="C727">
        <v>24001438</v>
      </c>
      <c r="D727" t="s">
        <v>11</v>
      </c>
      <c r="E727" t="s">
        <v>76</v>
      </c>
      <c r="F727" t="s">
        <v>503</v>
      </c>
      <c r="G727" t="s">
        <v>225</v>
      </c>
      <c r="H727" t="s">
        <v>91</v>
      </c>
      <c r="I727">
        <v>733</v>
      </c>
      <c r="J727" s="74">
        <v>45681</v>
      </c>
      <c r="K727" s="74">
        <v>45688</v>
      </c>
      <c r="L727" t="s">
        <v>190</v>
      </c>
      <c r="M727" s="74">
        <v>45688</v>
      </c>
      <c r="N727" t="s">
        <v>151</v>
      </c>
      <c r="O727" t="s">
        <v>190</v>
      </c>
      <c r="P727">
        <v>1.54</v>
      </c>
      <c r="Q727">
        <v>1.65</v>
      </c>
      <c r="R727">
        <v>1128.82</v>
      </c>
      <c r="S727">
        <v>1209.45</v>
      </c>
      <c r="T727" t="s">
        <v>154</v>
      </c>
      <c r="AA727">
        <f t="shared" si="11"/>
        <v>35190.82</v>
      </c>
      <c r="AB727">
        <f>COUNTIF($D$1:D727,D727)</f>
        <v>27</v>
      </c>
    </row>
    <row r="728" spans="1:28" x14ac:dyDescent="0.25">
      <c r="A728">
        <v>727</v>
      </c>
      <c r="B728">
        <v>184387</v>
      </c>
      <c r="C728">
        <v>24001429</v>
      </c>
      <c r="D728" t="s">
        <v>11</v>
      </c>
      <c r="E728" t="s">
        <v>76</v>
      </c>
      <c r="F728" t="s">
        <v>504</v>
      </c>
      <c r="G728" t="s">
        <v>225</v>
      </c>
      <c r="H728" t="s">
        <v>91</v>
      </c>
      <c r="I728">
        <v>350</v>
      </c>
      <c r="J728" s="74">
        <v>45680</v>
      </c>
      <c r="K728" s="74">
        <v>45681</v>
      </c>
      <c r="L728" t="s">
        <v>190</v>
      </c>
      <c r="M728" s="74">
        <v>45730</v>
      </c>
      <c r="N728" t="s">
        <v>151</v>
      </c>
      <c r="O728" t="s">
        <v>226</v>
      </c>
      <c r="P728">
        <v>1.54</v>
      </c>
      <c r="Q728">
        <v>1.65</v>
      </c>
      <c r="R728">
        <v>539</v>
      </c>
      <c r="S728">
        <v>577.5</v>
      </c>
      <c r="T728" t="s">
        <v>154</v>
      </c>
      <c r="AA728">
        <f t="shared" si="11"/>
        <v>35190.82</v>
      </c>
      <c r="AB728">
        <f>COUNTIF($D$1:D728,D728)</f>
        <v>28</v>
      </c>
    </row>
    <row r="729" spans="1:28" x14ac:dyDescent="0.25">
      <c r="A729">
        <v>728</v>
      </c>
      <c r="B729">
        <v>184080</v>
      </c>
      <c r="C729">
        <v>24001279</v>
      </c>
      <c r="D729" t="s">
        <v>11</v>
      </c>
      <c r="E729" t="s">
        <v>93</v>
      </c>
      <c r="F729" t="s">
        <v>336</v>
      </c>
      <c r="G729" t="s">
        <v>337</v>
      </c>
      <c r="H729" t="s">
        <v>91</v>
      </c>
      <c r="I729">
        <v>24</v>
      </c>
      <c r="J729" s="74">
        <v>45659</v>
      </c>
      <c r="K729" s="74">
        <v>45660</v>
      </c>
      <c r="L729" t="s">
        <v>190</v>
      </c>
      <c r="M729" s="74">
        <v>45680</v>
      </c>
      <c r="N729" t="s">
        <v>151</v>
      </c>
      <c r="O729" t="s">
        <v>190</v>
      </c>
      <c r="P729">
        <v>1.1499999999999999</v>
      </c>
      <c r="Q729">
        <v>2.8</v>
      </c>
      <c r="R729">
        <v>27.6</v>
      </c>
      <c r="S729">
        <v>67.2</v>
      </c>
      <c r="T729" t="s">
        <v>66</v>
      </c>
      <c r="AA729">
        <f t="shared" si="11"/>
        <v>35190.82</v>
      </c>
      <c r="AB729">
        <f>COUNTIF($D$1:D729,D729)</f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CA729-DA6A-42A3-B1D1-625F42A5821C}">
  <sheetPr codeName="Sheet134"/>
  <dimension ref="A1:K10"/>
  <sheetViews>
    <sheetView workbookViewId="0">
      <selection activeCell="B1" sqref="B1:K10"/>
    </sheetView>
  </sheetViews>
  <sheetFormatPr defaultRowHeight="15" x14ac:dyDescent="0.25"/>
  <sheetData>
    <row r="1" spans="1:11" x14ac:dyDescent="0.25">
      <c r="B1" t="s">
        <v>56</v>
      </c>
      <c r="C1" t="s">
        <v>62</v>
      </c>
      <c r="D1" t="s">
        <v>63</v>
      </c>
      <c r="E1" t="s">
        <v>64</v>
      </c>
      <c r="F1" t="s">
        <v>65</v>
      </c>
      <c r="K1" t="s">
        <v>194</v>
      </c>
    </row>
    <row r="2" spans="1:11" x14ac:dyDescent="0.25">
      <c r="A2" t="str">
        <f t="shared" ref="A2:A10" si="0">MID(B2,1,FIND(" Total",B2,1)-1)</f>
        <v>CBA</v>
      </c>
      <c r="B2" t="s">
        <v>86</v>
      </c>
      <c r="C2">
        <v>6228</v>
      </c>
      <c r="D2">
        <v>21890</v>
      </c>
      <c r="E2">
        <v>22491.42</v>
      </c>
      <c r="F2">
        <v>-601.42000000000007</v>
      </c>
      <c r="K2">
        <f>VLOOKUP(A2,CC2_RKFS!$D:$AA,24,FALSE)</f>
        <v>36823.740000000005</v>
      </c>
    </row>
    <row r="3" spans="1:11" x14ac:dyDescent="0.25">
      <c r="A3" t="str">
        <f t="shared" si="0"/>
        <v>CHW</v>
      </c>
      <c r="B3" t="s">
        <v>90</v>
      </c>
      <c r="C3">
        <v>3960</v>
      </c>
      <c r="D3">
        <v>8491.4</v>
      </c>
      <c r="E3">
        <v>7423</v>
      </c>
      <c r="F3">
        <v>1068.4000000000001</v>
      </c>
      <c r="K3">
        <f>VLOOKUP(A3,CC2_RKFS!$D:$AA,24,FALSE)</f>
        <v>21429.889999999996</v>
      </c>
    </row>
    <row r="4" spans="1:11" x14ac:dyDescent="0.25">
      <c r="A4" t="str">
        <f t="shared" si="0"/>
        <v>CJL</v>
      </c>
      <c r="B4" t="s">
        <v>245</v>
      </c>
      <c r="C4">
        <v>1793</v>
      </c>
      <c r="D4">
        <v>19760.14</v>
      </c>
      <c r="E4">
        <v>13109.999999999998</v>
      </c>
      <c r="F4">
        <v>6650.1399999999994</v>
      </c>
      <c r="K4">
        <f>VLOOKUP(A4,CC2_RKFS!$D:$AA,24,FALSE)</f>
        <v>64315.21</v>
      </c>
    </row>
    <row r="5" spans="1:11" x14ac:dyDescent="0.25">
      <c r="A5" t="str">
        <f t="shared" si="0"/>
        <v>CNJ2</v>
      </c>
      <c r="B5" t="s">
        <v>92</v>
      </c>
      <c r="C5">
        <v>2933</v>
      </c>
      <c r="D5">
        <v>9647.5499999999993</v>
      </c>
      <c r="E5">
        <v>14994.279999999999</v>
      </c>
      <c r="F5">
        <v>-5346.73</v>
      </c>
      <c r="K5">
        <f>VLOOKUP(A5,CC2_RKFS!$D:$AA,24,FALSE)</f>
        <v>21007.08</v>
      </c>
    </row>
    <row r="6" spans="1:11" x14ac:dyDescent="0.25">
      <c r="A6" t="str">
        <f t="shared" si="0"/>
        <v>CVA</v>
      </c>
      <c r="B6" t="s">
        <v>104</v>
      </c>
      <c r="C6">
        <v>56716</v>
      </c>
      <c r="D6">
        <v>25828.109999999993</v>
      </c>
      <c r="E6">
        <v>41772.880000000012</v>
      </c>
      <c r="F6">
        <v>-15944.769999999995</v>
      </c>
      <c r="K6">
        <f>VLOOKUP(A6,CC2_RKFS!$D:$AA,24,FALSE)</f>
        <v>71678.37000000001</v>
      </c>
    </row>
    <row r="7" spans="1:11" x14ac:dyDescent="0.25">
      <c r="A7" t="str">
        <f t="shared" si="0"/>
        <v>CVA2</v>
      </c>
      <c r="B7" t="s">
        <v>105</v>
      </c>
      <c r="C7">
        <v>27446</v>
      </c>
      <c r="D7">
        <v>17596.739999999998</v>
      </c>
      <c r="E7">
        <v>22298.670000000002</v>
      </c>
      <c r="F7">
        <v>-4701.93</v>
      </c>
      <c r="K7">
        <f>VLOOKUP(A7,CC2_RKFS!$D:$AA,24,FALSE)</f>
        <v>35190.82</v>
      </c>
    </row>
    <row r="8" spans="1:11" x14ac:dyDescent="0.25">
      <c r="A8" t="str">
        <f t="shared" si="0"/>
        <v>KLB</v>
      </c>
      <c r="B8" t="s">
        <v>117</v>
      </c>
      <c r="C8">
        <v>190639</v>
      </c>
      <c r="D8">
        <v>125820.39000000007</v>
      </c>
      <c r="E8">
        <v>80549.969999999987</v>
      </c>
      <c r="F8">
        <v>45270.420000000049</v>
      </c>
      <c r="K8">
        <f>VLOOKUP(A8,CC2_RKFS!$D:$AA,24,FALSE)</f>
        <v>232170.31000000006</v>
      </c>
    </row>
    <row r="9" spans="1:11" x14ac:dyDescent="0.25">
      <c r="A9" t="str">
        <f t="shared" si="0"/>
        <v>MJ1</v>
      </c>
      <c r="B9" t="s">
        <v>131</v>
      </c>
      <c r="C9">
        <v>9461</v>
      </c>
      <c r="D9">
        <v>71741.959999999992</v>
      </c>
      <c r="E9">
        <v>112605.68999999999</v>
      </c>
      <c r="F9">
        <v>-40863.729999999996</v>
      </c>
      <c r="K9">
        <f>VLOOKUP(A9,CC2_RKFS!$D:$AA,24,FALSE)</f>
        <v>211605.87</v>
      </c>
    </row>
    <row r="10" spans="1:11" x14ac:dyDescent="0.25">
      <c r="A10" t="str">
        <f t="shared" si="0"/>
        <v>MJ2</v>
      </c>
      <c r="B10" t="s">
        <v>134</v>
      </c>
      <c r="C10">
        <v>238760</v>
      </c>
      <c r="D10">
        <v>176398.98999999985</v>
      </c>
      <c r="E10">
        <v>107324.09000000001</v>
      </c>
      <c r="F10">
        <v>69074.89999999998</v>
      </c>
      <c r="K10">
        <f>VLOOKUP(A10,CC2_RKFS!$D:$AA,24,FALSE)</f>
        <v>392697.8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EF058-8677-4DC9-8FE0-7C943A9C0C65}">
  <sheetPr codeName="Sheet135"/>
  <dimension ref="A1:E10"/>
  <sheetViews>
    <sheetView workbookViewId="0"/>
  </sheetViews>
  <sheetFormatPr defaultRowHeight="15" x14ac:dyDescent="0.25"/>
  <cols>
    <col min="1" max="1" width="5.7109375" bestFit="1" customWidth="1"/>
    <col min="2" max="4" width="12.5703125" bestFit="1" customWidth="1"/>
    <col min="5" max="5" width="12.28515625" bestFit="1" customWidth="1"/>
  </cols>
  <sheetData>
    <row r="1" spans="1:5" x14ac:dyDescent="0.25">
      <c r="B1" t="s">
        <v>16</v>
      </c>
      <c r="C1" t="s">
        <v>17</v>
      </c>
      <c r="D1" t="s">
        <v>18</v>
      </c>
      <c r="E1" t="s">
        <v>19</v>
      </c>
    </row>
    <row r="2" spans="1:5" x14ac:dyDescent="0.25">
      <c r="A2" t="s">
        <v>7</v>
      </c>
      <c r="B2" s="75">
        <f>_xlfn.IFNA(VLOOKUP(A2,OLAH1_TotalDraft!$A:$K,11,FALSE),0)</f>
        <v>36823.740000000005</v>
      </c>
      <c r="C2" s="75">
        <f>IFERROR(VLOOKUP(A2,OLAH1_TotalDraft!$A:$C,3,FALSE),0)</f>
        <v>6228</v>
      </c>
      <c r="D2" s="75">
        <f>IFERROR(VLOOKUP(A2,OLAH1_TotalDraft!$A:$D,4,FALSE),0)</f>
        <v>21890</v>
      </c>
      <c r="E2" s="75">
        <f>IFERROR(VLOOKUP(A2,OLAH1_TotalDraft!$A:$F,6,FALSE),0)</f>
        <v>-601.42000000000007</v>
      </c>
    </row>
    <row r="3" spans="1:5" x14ac:dyDescent="0.25">
      <c r="A3" t="s">
        <v>8</v>
      </c>
      <c r="B3" s="75">
        <f>_xlfn.IFNA(VLOOKUP(A3,OLAH1_TotalDraft!$A:$K,11,FALSE),0)</f>
        <v>21429.889999999996</v>
      </c>
      <c r="C3" s="75">
        <f>IFERROR(VLOOKUP(A3,OLAH1_TotalDraft!$A:$C,3,FALSE),0)</f>
        <v>3960</v>
      </c>
      <c r="D3" s="75">
        <f>IFERROR(VLOOKUP(A3,OLAH1_TotalDraft!$A:$D,4,FALSE),0)</f>
        <v>8491.4</v>
      </c>
      <c r="E3" s="75">
        <f>IFERROR(VLOOKUP(A3,OLAH1_TotalDraft!$A:$F,6,FALSE),0)</f>
        <v>1068.4000000000001</v>
      </c>
    </row>
    <row r="4" spans="1:5" x14ac:dyDescent="0.25">
      <c r="A4" t="s">
        <v>40</v>
      </c>
      <c r="B4" s="75">
        <f>_xlfn.IFNA(VLOOKUP(A4,OLAH1_TotalDraft!$A:$K,11,FALSE),0)</f>
        <v>64315.21</v>
      </c>
      <c r="C4" s="75">
        <f>IFERROR(VLOOKUP(A4,OLAH1_TotalDraft!$A:$C,3,FALSE),0)</f>
        <v>1793</v>
      </c>
      <c r="D4" s="75">
        <f>IFERROR(VLOOKUP(A4,OLAH1_TotalDraft!$A:$D,4,FALSE),0)</f>
        <v>19760.14</v>
      </c>
      <c r="E4" s="75">
        <f>IFERROR(VLOOKUP(A4,OLAH1_TotalDraft!$A:$F,6,FALSE),0)</f>
        <v>6650.1399999999994</v>
      </c>
    </row>
    <row r="5" spans="1:5" x14ac:dyDescent="0.25">
      <c r="A5" t="s">
        <v>9</v>
      </c>
      <c r="B5" s="75">
        <f>_xlfn.IFNA(VLOOKUP(A5,OLAH1_TotalDraft!$A:$K,11,FALSE),0)</f>
        <v>21007.08</v>
      </c>
      <c r="C5" s="75">
        <f>IFERROR(VLOOKUP(A5,OLAH1_TotalDraft!$A:$C,3,FALSE),0)</f>
        <v>2933</v>
      </c>
      <c r="D5" s="75">
        <f>IFERROR(VLOOKUP(A5,OLAH1_TotalDraft!$A:$D,4,FALSE),0)</f>
        <v>9647.5499999999993</v>
      </c>
      <c r="E5" s="75">
        <f>IFERROR(VLOOKUP(A5,OLAH1_TotalDraft!$A:$F,6,FALSE),0)</f>
        <v>-5346.73</v>
      </c>
    </row>
    <row r="6" spans="1:5" x14ac:dyDescent="0.25">
      <c r="A6" t="s">
        <v>10</v>
      </c>
      <c r="B6" s="75">
        <f>_xlfn.IFNA(VLOOKUP(A6,OLAH1_TotalDraft!$A:$K,11,FALSE),0)</f>
        <v>71678.37000000001</v>
      </c>
      <c r="C6" s="75">
        <f>IFERROR(VLOOKUP(A6,OLAH1_TotalDraft!$A:$C,3,FALSE),0)</f>
        <v>56716</v>
      </c>
      <c r="D6" s="75">
        <f>IFERROR(VLOOKUP(A6,OLAH1_TotalDraft!$A:$D,4,FALSE),0)</f>
        <v>25828.109999999993</v>
      </c>
      <c r="E6" s="75">
        <f>IFERROR(VLOOKUP(A6,OLAH1_TotalDraft!$A:$F,6,FALSE),0)</f>
        <v>-15944.769999999995</v>
      </c>
    </row>
    <row r="7" spans="1:5" x14ac:dyDescent="0.25">
      <c r="A7" t="s">
        <v>11</v>
      </c>
      <c r="B7" s="75">
        <f>_xlfn.IFNA(VLOOKUP(A7,OLAH1_TotalDraft!$A:$K,11,FALSE),0)</f>
        <v>35190.82</v>
      </c>
      <c r="C7" s="75">
        <f>IFERROR(VLOOKUP(A7,OLAH1_TotalDraft!$A:$C,3,FALSE),0)</f>
        <v>27446</v>
      </c>
      <c r="D7" s="75">
        <f>IFERROR(VLOOKUP(A7,OLAH1_TotalDraft!$A:$D,4,FALSE),0)</f>
        <v>17596.739999999998</v>
      </c>
      <c r="E7" s="75">
        <f>IFERROR(VLOOKUP(A7,OLAH1_TotalDraft!$A:$F,6,FALSE),0)</f>
        <v>-4701.93</v>
      </c>
    </row>
    <row r="8" spans="1:5" x14ac:dyDescent="0.25">
      <c r="A8" t="s">
        <v>12</v>
      </c>
      <c r="B8" s="75">
        <f>_xlfn.IFNA(VLOOKUP(A8,OLAH1_TotalDraft!$A:$K,11,FALSE),0)</f>
        <v>232170.31000000006</v>
      </c>
      <c r="C8" s="75">
        <f>IFERROR(VLOOKUP(A8,OLAH1_TotalDraft!$A:$C,3,FALSE),0)</f>
        <v>190639</v>
      </c>
      <c r="D8" s="75">
        <f>IFERROR(VLOOKUP(A8,OLAH1_TotalDraft!$A:$D,4,FALSE),0)</f>
        <v>125820.39000000007</v>
      </c>
      <c r="E8" s="75">
        <f>IFERROR(VLOOKUP(A8,OLAH1_TotalDraft!$A:$F,6,FALSE),0)</f>
        <v>45270.420000000049</v>
      </c>
    </row>
    <row r="9" spans="1:5" x14ac:dyDescent="0.25">
      <c r="A9" t="s">
        <v>13</v>
      </c>
      <c r="B9" s="75">
        <f>_xlfn.IFNA(VLOOKUP(A9,OLAH1_TotalDraft!$A:$K,11,FALSE),0)</f>
        <v>211605.87</v>
      </c>
      <c r="C9" s="75">
        <f>IFERROR(VLOOKUP(A9,OLAH1_TotalDraft!$A:$C,3,FALSE),0)</f>
        <v>9461</v>
      </c>
      <c r="D9" s="75">
        <f>IFERROR(VLOOKUP(A9,OLAH1_TotalDraft!$A:$D,4,FALSE),0)</f>
        <v>71741.959999999992</v>
      </c>
      <c r="E9" s="75">
        <f>IFERROR(VLOOKUP(A9,OLAH1_TotalDraft!$A:$F,6,FALSE),0)</f>
        <v>-40863.729999999996</v>
      </c>
    </row>
    <row r="10" spans="1:5" x14ac:dyDescent="0.25">
      <c r="A10" t="s">
        <v>14</v>
      </c>
      <c r="B10" s="75">
        <f>_xlfn.IFNA(VLOOKUP(A10,OLAH1_TotalDraft!$A:$K,11,FALSE),0)</f>
        <v>392697.8</v>
      </c>
      <c r="C10" s="75">
        <f>IFERROR(VLOOKUP(A10,OLAH1_TotalDraft!$A:$C,3,FALSE),0)</f>
        <v>238760</v>
      </c>
      <c r="D10" s="75">
        <f>IFERROR(VLOOKUP(A10,OLAH1_TotalDraft!$A:$D,4,FALSE),0)</f>
        <v>176398.98999999985</v>
      </c>
      <c r="E10" s="75">
        <f>IFERROR(VLOOKUP(A10,OLAH1_TotalDraft!$A:$F,6,FALSE),0)</f>
        <v>69074.89999999998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5251-84D3-48EC-832C-2235A6EDDC03}">
  <sheetPr codeName="Sheet136"/>
  <dimension ref="A1:I10"/>
  <sheetViews>
    <sheetView workbookViewId="0"/>
  </sheetViews>
  <sheetFormatPr defaultRowHeight="15" x14ac:dyDescent="0.25"/>
  <cols>
    <col min="1" max="1" width="14.7109375" bestFit="1" customWidth="1"/>
    <col min="2" max="2" width="9" bestFit="1" customWidth="1"/>
    <col min="4" max="4" width="13.5703125" bestFit="1" customWidth="1"/>
    <col min="5" max="5" width="14.28515625" bestFit="1" customWidth="1"/>
    <col min="6" max="7" width="12.5703125" bestFit="1" customWidth="1"/>
    <col min="8" max="8" width="12.28515625" bestFit="1" customWidth="1"/>
    <col min="9" max="9" width="17.7109375" bestFit="1" customWidth="1"/>
  </cols>
  <sheetData>
    <row r="1" spans="1:9" x14ac:dyDescent="0.25">
      <c r="A1" t="s">
        <v>196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tr">
        <f t="shared" ref="A2:A10" ca="1" si="0">$B2&amp;"-"&amp;C2</f>
        <v>CBA-JANUARY</v>
      </c>
      <c r="B2" t="s">
        <v>7</v>
      </c>
      <c r="C2" t="str">
        <f ca="1">HOME!$H$12</f>
        <v>JANUARY</v>
      </c>
      <c r="D2" s="75">
        <f>_xlfn.IFNA(VLOOKUP($B$2,OLAH2_ByMonth!$A:$B,2,FALSE),0)</f>
        <v>36823.740000000005</v>
      </c>
      <c r="E2" s="75">
        <f>_xlfn.IFNA(VLOOKUP($B2,OLAH2_ByMonth!$A:$C,3,FALSE),0)</f>
        <v>6228</v>
      </c>
      <c r="F2" s="75">
        <f>_xlfn.IFNA(VLOOKUP($B2,OLAH2_ByMonth!$A:$D,4,FALSE),0)</f>
        <v>21890</v>
      </c>
      <c r="G2" s="75">
        <f>_xlfn.IFNA(VLOOKUP($B2,OLAH1_TotalDraft!$A:$E,5,FALSE),0)</f>
        <v>22491.42</v>
      </c>
      <c r="H2" s="75">
        <f>_xlfn.IFNA(VLOOKUP($B2,OLAH2_ByMonth!$A:$E,5,FALSE),0)</f>
        <v>-601.42000000000007</v>
      </c>
      <c r="I2" s="75">
        <f t="shared" ref="I2:I10" si="1">IFERROR(F2/D2-1,"-")</f>
        <v>-0.40554653058054402</v>
      </c>
    </row>
    <row r="3" spans="1:9" x14ac:dyDescent="0.25">
      <c r="A3" t="str">
        <f t="shared" ca="1" si="0"/>
        <v>CHW-JANUARY</v>
      </c>
      <c r="B3" t="s">
        <v>8</v>
      </c>
      <c r="C3" t="str">
        <f ca="1">HOME!$H$12</f>
        <v>JANUARY</v>
      </c>
      <c r="D3" s="75">
        <f>_xlfn.IFNA(VLOOKUP($B$2,OLAH2_ByMonth!$A:$B,2,FALSE),0)</f>
        <v>36823.740000000005</v>
      </c>
      <c r="E3" s="75">
        <f>_xlfn.IFNA(VLOOKUP($B3,OLAH2_ByMonth!$A:$C,3,FALSE),0)</f>
        <v>3960</v>
      </c>
      <c r="F3" s="75">
        <f>_xlfn.IFNA(VLOOKUP($B3,OLAH2_ByMonth!$A:$D,4,FALSE),0)</f>
        <v>8491.4</v>
      </c>
      <c r="G3" s="75">
        <f>_xlfn.IFNA(VLOOKUP($B3,OLAH1_TotalDraft!$A:$E,5,FALSE),0)</f>
        <v>7423</v>
      </c>
      <c r="H3" s="75">
        <f>_xlfn.IFNA(VLOOKUP($B3,OLAH2_ByMonth!$A:$E,5,FALSE),0)</f>
        <v>1068.4000000000001</v>
      </c>
      <c r="I3" s="75">
        <f t="shared" si="1"/>
        <v>-0.76940419414214856</v>
      </c>
    </row>
    <row r="4" spans="1:9" x14ac:dyDescent="0.25">
      <c r="A4" t="str">
        <f t="shared" ca="1" si="0"/>
        <v>CJL-JANUARY</v>
      </c>
      <c r="B4" t="s">
        <v>40</v>
      </c>
      <c r="C4" t="str">
        <f ca="1">HOME!$H$12</f>
        <v>JANUARY</v>
      </c>
      <c r="D4" s="75">
        <f>_xlfn.IFNA(VLOOKUP($B$2,OLAH2_ByMonth!$A:$B,2,FALSE),0)</f>
        <v>36823.740000000005</v>
      </c>
      <c r="E4" s="75">
        <f>_xlfn.IFNA(VLOOKUP($B4,OLAH2_ByMonth!$A:$C,3,FALSE),0)</f>
        <v>1793</v>
      </c>
      <c r="F4" s="75">
        <f>_xlfn.IFNA(VLOOKUP($B4,OLAH2_ByMonth!$A:$D,4,FALSE),0)</f>
        <v>19760.14</v>
      </c>
      <c r="G4" s="75">
        <f>_xlfn.IFNA(VLOOKUP($B4,OLAH1_TotalDraft!$A:$E,5,FALSE),0)</f>
        <v>13109.999999999998</v>
      </c>
      <c r="H4" s="75">
        <f>_xlfn.IFNA(VLOOKUP($B4,OLAH2_ByMonth!$A:$E,5,FALSE),0)</f>
        <v>6650.1399999999994</v>
      </c>
      <c r="I4" s="75">
        <f t="shared" si="1"/>
        <v>-0.46338584836847108</v>
      </c>
    </row>
    <row r="5" spans="1:9" x14ac:dyDescent="0.25">
      <c r="A5" t="str">
        <f t="shared" ca="1" si="0"/>
        <v>CNJ2-JANUARY</v>
      </c>
      <c r="B5" t="s">
        <v>9</v>
      </c>
      <c r="C5" t="str">
        <f ca="1">HOME!$H$12</f>
        <v>JANUARY</v>
      </c>
      <c r="D5" s="75">
        <f>_xlfn.IFNA(VLOOKUP($B$2,OLAH2_ByMonth!$A:$B,2,FALSE),0)</f>
        <v>36823.740000000005</v>
      </c>
      <c r="E5" s="75">
        <f>_xlfn.IFNA(VLOOKUP($B5,OLAH2_ByMonth!$A:$C,3,FALSE),0)</f>
        <v>2933</v>
      </c>
      <c r="F5" s="75">
        <f>_xlfn.IFNA(VLOOKUP($B5,OLAH2_ByMonth!$A:$D,4,FALSE),0)</f>
        <v>9647.5499999999993</v>
      </c>
      <c r="G5" s="75">
        <f>_xlfn.IFNA(VLOOKUP($B5,OLAH1_TotalDraft!$A:$E,5,FALSE),0)</f>
        <v>14994.279999999999</v>
      </c>
      <c r="H5" s="75">
        <f>_xlfn.IFNA(VLOOKUP($B5,OLAH2_ByMonth!$A:$E,5,FALSE),0)</f>
        <v>-5346.73</v>
      </c>
      <c r="I5" s="75">
        <f t="shared" si="1"/>
        <v>-0.73800732896767141</v>
      </c>
    </row>
    <row r="6" spans="1:9" x14ac:dyDescent="0.25">
      <c r="A6" t="str">
        <f t="shared" ca="1" si="0"/>
        <v>CVA-JANUARY</v>
      </c>
      <c r="B6" t="s">
        <v>10</v>
      </c>
      <c r="C6" t="str">
        <f ca="1">HOME!$H$12</f>
        <v>JANUARY</v>
      </c>
      <c r="D6" s="75">
        <f>_xlfn.IFNA(VLOOKUP($B$2,OLAH2_ByMonth!$A:$B,2,FALSE),0)</f>
        <v>36823.740000000005</v>
      </c>
      <c r="E6" s="75">
        <f>_xlfn.IFNA(VLOOKUP($B6,OLAH2_ByMonth!$A:$C,3,FALSE),0)</f>
        <v>56716</v>
      </c>
      <c r="F6" s="75">
        <f>_xlfn.IFNA(VLOOKUP($B6,OLAH2_ByMonth!$A:$D,4,FALSE),0)</f>
        <v>25828.109999999993</v>
      </c>
      <c r="G6" s="75">
        <f>_xlfn.IFNA(VLOOKUP($B6,OLAH1_TotalDraft!$A:$E,5,FALSE),0)</f>
        <v>41772.880000000012</v>
      </c>
      <c r="H6" s="75">
        <f>_xlfn.IFNA(VLOOKUP($B6,OLAH2_ByMonth!$A:$E,5,FALSE),0)</f>
        <v>-15944.769999999995</v>
      </c>
      <c r="I6" s="75">
        <f t="shared" si="1"/>
        <v>-0.29860166294895663</v>
      </c>
    </row>
    <row r="7" spans="1:9" x14ac:dyDescent="0.25">
      <c r="A7" t="str">
        <f t="shared" ca="1" si="0"/>
        <v>CVA2-JANUARY</v>
      </c>
      <c r="B7" t="s">
        <v>11</v>
      </c>
      <c r="C7" t="str">
        <f ca="1">HOME!$H$12</f>
        <v>JANUARY</v>
      </c>
      <c r="D7" s="75">
        <f>_xlfn.IFNA(VLOOKUP($B$2,OLAH2_ByMonth!$A:$B,2,FALSE),0)</f>
        <v>36823.740000000005</v>
      </c>
      <c r="E7" s="75">
        <f>_xlfn.IFNA(VLOOKUP($B7,OLAH2_ByMonth!$A:$C,3,FALSE),0)</f>
        <v>27446</v>
      </c>
      <c r="F7" s="75">
        <f>_xlfn.IFNA(VLOOKUP($B7,OLAH2_ByMonth!$A:$D,4,FALSE),0)</f>
        <v>17596.739999999998</v>
      </c>
      <c r="G7" s="75">
        <f>_xlfn.IFNA(VLOOKUP($B7,OLAH1_TotalDraft!$A:$E,5,FALSE),0)</f>
        <v>22298.670000000002</v>
      </c>
      <c r="H7" s="75">
        <f>_xlfn.IFNA(VLOOKUP($B7,OLAH2_ByMonth!$A:$E,5,FALSE),0)</f>
        <v>-4701.93</v>
      </c>
      <c r="I7" s="75">
        <f t="shared" si="1"/>
        <v>-0.52213599161845059</v>
      </c>
    </row>
    <row r="8" spans="1:9" x14ac:dyDescent="0.25">
      <c r="A8" t="str">
        <f t="shared" ca="1" si="0"/>
        <v>KLB-JANUARY</v>
      </c>
      <c r="B8" t="s">
        <v>12</v>
      </c>
      <c r="C8" t="str">
        <f ca="1">HOME!$H$12</f>
        <v>JANUARY</v>
      </c>
      <c r="D8" s="75">
        <f>_xlfn.IFNA(VLOOKUP($B$2,OLAH2_ByMonth!$A:$B,2,FALSE),0)</f>
        <v>36823.740000000005</v>
      </c>
      <c r="E8" s="75">
        <f>_xlfn.IFNA(VLOOKUP($B8,OLAH2_ByMonth!$A:$C,3,FALSE),0)</f>
        <v>190639</v>
      </c>
      <c r="F8" s="75">
        <f>_xlfn.IFNA(VLOOKUP($B8,OLAH2_ByMonth!$A:$D,4,FALSE),0)</f>
        <v>125820.39000000007</v>
      </c>
      <c r="G8" s="75">
        <f>_xlfn.IFNA(VLOOKUP($B8,OLAH1_TotalDraft!$A:$E,5,FALSE),0)</f>
        <v>80549.969999999987</v>
      </c>
      <c r="H8" s="75">
        <f>_xlfn.IFNA(VLOOKUP($B8,OLAH2_ByMonth!$A:$E,5,FALSE),0)</f>
        <v>45270.420000000049</v>
      </c>
      <c r="I8" s="75">
        <f t="shared" si="1"/>
        <v>2.4168281114302905</v>
      </c>
    </row>
    <row r="9" spans="1:9" x14ac:dyDescent="0.25">
      <c r="A9" t="str">
        <f t="shared" ca="1" si="0"/>
        <v>MJ1-JANUARY</v>
      </c>
      <c r="B9" t="s">
        <v>13</v>
      </c>
      <c r="C9" t="str">
        <f ca="1">HOME!$H$12</f>
        <v>JANUARY</v>
      </c>
      <c r="D9" s="75">
        <f>_xlfn.IFNA(VLOOKUP($B$2,OLAH2_ByMonth!$A:$B,2,FALSE),0)</f>
        <v>36823.740000000005</v>
      </c>
      <c r="E9" s="75">
        <f>_xlfn.IFNA(VLOOKUP($B9,OLAH2_ByMonth!$A:$C,3,FALSE),0)</f>
        <v>9461</v>
      </c>
      <c r="F9" s="75">
        <f>_xlfn.IFNA(VLOOKUP($B9,OLAH2_ByMonth!$A:$D,4,FALSE),0)</f>
        <v>71741.959999999992</v>
      </c>
      <c r="G9" s="75">
        <f>_xlfn.IFNA(VLOOKUP($B9,OLAH1_TotalDraft!$A:$E,5,FALSE),0)</f>
        <v>112605.68999999999</v>
      </c>
      <c r="H9" s="75">
        <f>_xlfn.IFNA(VLOOKUP($B9,OLAH2_ByMonth!$A:$E,5,FALSE),0)</f>
        <v>-40863.729999999996</v>
      </c>
      <c r="I9" s="75">
        <f t="shared" si="1"/>
        <v>0.94825294769080992</v>
      </c>
    </row>
    <row r="10" spans="1:9" x14ac:dyDescent="0.25">
      <c r="A10" t="str">
        <f t="shared" ca="1" si="0"/>
        <v>MJ2-JANUARY</v>
      </c>
      <c r="B10" t="s">
        <v>14</v>
      </c>
      <c r="C10" t="str">
        <f ca="1">HOME!$H$12</f>
        <v>JANUARY</v>
      </c>
      <c r="D10" s="75">
        <f>_xlfn.IFNA(VLOOKUP($B$2,OLAH2_ByMonth!$A:$B,2,FALSE),0)</f>
        <v>36823.740000000005</v>
      </c>
      <c r="E10" s="75">
        <f>_xlfn.IFNA(VLOOKUP($B10,OLAH2_ByMonth!$A:$C,3,FALSE),0)</f>
        <v>238760</v>
      </c>
      <c r="F10" s="75">
        <f>_xlfn.IFNA(VLOOKUP($B10,OLAH2_ByMonth!$A:$D,4,FALSE),0)</f>
        <v>176398.98999999985</v>
      </c>
      <c r="G10" s="75">
        <f>_xlfn.IFNA(VLOOKUP($B10,OLAH1_TotalDraft!$A:$E,5,FALSE),0)</f>
        <v>107324.09000000001</v>
      </c>
      <c r="H10" s="75">
        <f>_xlfn.IFNA(VLOOKUP($B10,OLAH2_ByMonth!$A:$E,5,FALSE),0)</f>
        <v>69074.89999999998</v>
      </c>
      <c r="I10" s="75">
        <f t="shared" si="1"/>
        <v>3.7903605119957895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2D883-257E-4D26-AB53-5739DFC2E281}">
  <sheetPr codeName="Sheet5"/>
  <dimension ref="B2:AB54"/>
  <sheetViews>
    <sheetView workbookViewId="0"/>
  </sheetViews>
  <sheetFormatPr defaultRowHeight="15" x14ac:dyDescent="0.25"/>
  <cols>
    <col min="1" max="1" width="3" customWidth="1"/>
    <col min="2" max="2" width="11.28515625" bestFit="1" customWidth="1"/>
    <col min="3" max="3" width="14.28515625" bestFit="1" customWidth="1"/>
    <col min="4" max="5" width="12.5703125" bestFit="1" customWidth="1"/>
    <col min="6" max="6" width="12.28515625" bestFit="1" customWidth="1"/>
    <col min="7" max="7" width="6.28515625" bestFit="1" customWidth="1"/>
    <col min="8" max="8" width="7.28515625" bestFit="1" customWidth="1"/>
    <col min="9" max="9" width="9" bestFit="1" customWidth="1"/>
    <col min="10" max="10" width="7.42578125" bestFit="1" customWidth="1"/>
    <col min="11" max="11" width="6.28515625" bestFit="1" customWidth="1"/>
    <col min="12" max="12" width="7.28515625" bestFit="1" customWidth="1"/>
    <col min="13" max="13" width="9" bestFit="1" customWidth="1"/>
    <col min="14" max="14" width="7.42578125" bestFit="1" customWidth="1"/>
  </cols>
  <sheetData>
    <row r="2" spans="2:14" ht="23.25" x14ac:dyDescent="0.35">
      <c r="B2" s="51" t="str">
        <f ca="1">"ANALISA PLAN VS REALISASI INCOME TH " &amp;HOME!$G$12</f>
        <v>ANALISA PLAN VS REALISASI INCOME TH 2025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</row>
    <row r="4" spans="2:14" s="6" customFormat="1" x14ac:dyDescent="0.25">
      <c r="B4" s="46" t="s">
        <v>20</v>
      </c>
      <c r="C4" s="47" t="s">
        <v>37</v>
      </c>
      <c r="D4" s="47"/>
      <c r="E4" s="47"/>
      <c r="F4" s="48"/>
      <c r="G4" s="49" t="s">
        <v>38</v>
      </c>
      <c r="H4" s="47"/>
      <c r="I4" s="47"/>
      <c r="J4" s="47"/>
      <c r="K4" s="49" t="s">
        <v>39</v>
      </c>
      <c r="L4" s="47"/>
      <c r="M4" s="47"/>
      <c r="N4" s="47"/>
    </row>
    <row r="5" spans="2:14" s="24" customFormat="1" x14ac:dyDescent="0.25">
      <c r="B5" s="46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>
        <v>36823.740000000005</v>
      </c>
      <c r="D6" s="26">
        <v>6228</v>
      </c>
      <c r="E6" s="26">
        <v>21890</v>
      </c>
      <c r="F6" s="26">
        <v>-601.42000000000007</v>
      </c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>
        <v>21429.889999999996</v>
      </c>
      <c r="D7" s="26">
        <v>3960</v>
      </c>
      <c r="E7" s="26">
        <v>8491.4</v>
      </c>
      <c r="F7" s="26">
        <v>1068.4000000000001</v>
      </c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>
        <v>64315.21</v>
      </c>
      <c r="D8" s="26">
        <v>1793</v>
      </c>
      <c r="E8" s="26">
        <v>19760.14</v>
      </c>
      <c r="F8" s="26">
        <v>6650.1399999999994</v>
      </c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>
        <v>21007.08</v>
      </c>
      <c r="D9" s="26">
        <v>2933</v>
      </c>
      <c r="E9" s="26">
        <v>9647.5499999999993</v>
      </c>
      <c r="F9" s="26">
        <v>-5346.73</v>
      </c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>
        <v>71678.37000000001</v>
      </c>
      <c r="D10" s="26">
        <v>56716</v>
      </c>
      <c r="E10" s="26">
        <v>25828.109999999993</v>
      </c>
      <c r="F10" s="26">
        <v>-15944.769999999995</v>
      </c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>
        <v>35190.82</v>
      </c>
      <c r="D11" s="26">
        <v>27446</v>
      </c>
      <c r="E11" s="26">
        <v>17596.739999999998</v>
      </c>
      <c r="F11" s="26">
        <v>-4701.93</v>
      </c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>
        <v>232170.31000000006</v>
      </c>
      <c r="D12" s="26">
        <v>190639</v>
      </c>
      <c r="E12" s="26">
        <v>125820.39000000007</v>
      </c>
      <c r="F12" s="26">
        <v>45270.420000000049</v>
      </c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>
        <v>211605.87</v>
      </c>
      <c r="D13" s="26">
        <v>9461</v>
      </c>
      <c r="E13" s="26">
        <v>71741.959999999992</v>
      </c>
      <c r="F13" s="26">
        <v>-40863.729999999996</v>
      </c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>
        <v>392697.8</v>
      </c>
      <c r="D14" s="26">
        <v>238760</v>
      </c>
      <c r="E14" s="26">
        <v>176398.98999999985</v>
      </c>
      <c r="F14" s="26">
        <v>69074.89999999998</v>
      </c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v>1086919.0900000001</v>
      </c>
      <c r="D15" s="76">
        <v>537936</v>
      </c>
      <c r="E15" s="28">
        <v>477175.27999999991</v>
      </c>
      <c r="F15" s="28">
        <v>54605.280000000035</v>
      </c>
      <c r="G15" s="28">
        <f t="shared" ref="D15:N15" si="0">SUM(G6:G14)</f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46" t="s">
        <v>20</v>
      </c>
      <c r="C17" s="47" t="s">
        <v>41</v>
      </c>
      <c r="D17" s="47"/>
      <c r="E17" s="47"/>
      <c r="F17" s="48"/>
      <c r="G17" s="49" t="s">
        <v>42</v>
      </c>
      <c r="H17" s="47"/>
      <c r="I17" s="47"/>
      <c r="J17" s="47"/>
      <c r="K17" s="50" t="s">
        <v>43</v>
      </c>
      <c r="L17" s="50"/>
      <c r="M17" s="50"/>
      <c r="N17" s="50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46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46" t="s">
        <v>20</v>
      </c>
      <c r="C30" s="47" t="s">
        <v>44</v>
      </c>
      <c r="D30" s="47"/>
      <c r="E30" s="47"/>
      <c r="F30" s="48"/>
      <c r="G30" s="49" t="s">
        <v>45</v>
      </c>
      <c r="H30" s="47"/>
      <c r="I30" s="47"/>
      <c r="J30" s="47"/>
      <c r="K30" s="49" t="s">
        <v>46</v>
      </c>
      <c r="L30" s="47"/>
      <c r="M30" s="47"/>
      <c r="N30" s="47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46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46" t="s">
        <v>20</v>
      </c>
      <c r="C43" s="47" t="s">
        <v>47</v>
      </c>
      <c r="D43" s="47"/>
      <c r="E43" s="47"/>
      <c r="F43" s="48"/>
      <c r="G43" s="49" t="s">
        <v>48</v>
      </c>
      <c r="H43" s="47"/>
      <c r="I43" s="47"/>
      <c r="J43" s="47"/>
      <c r="K43" s="49" t="s">
        <v>49</v>
      </c>
      <c r="L43" s="47"/>
      <c r="M43" s="47"/>
      <c r="N43" s="47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46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30:B31"/>
    <mergeCell ref="C30:F30"/>
    <mergeCell ref="G30:J30"/>
    <mergeCell ref="K30:N30"/>
    <mergeCell ref="B43:B44"/>
    <mergeCell ref="C43:F43"/>
    <mergeCell ref="G43:J43"/>
    <mergeCell ref="K43:N43"/>
    <mergeCell ref="B2:N2"/>
    <mergeCell ref="B4:B5"/>
    <mergeCell ref="C4:F4"/>
    <mergeCell ref="G4:J4"/>
    <mergeCell ref="K4:N4"/>
    <mergeCell ref="B17:B18"/>
    <mergeCell ref="C17:F17"/>
    <mergeCell ref="G17:J17"/>
    <mergeCell ref="K17:N1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A3C39-8F5F-4303-8136-8C9762F1E9E7}">
  <sheetPr codeName="Sheet6">
    <pageSetUpPr fitToPage="1"/>
  </sheetPr>
  <dimension ref="A1:G44"/>
  <sheetViews>
    <sheetView workbookViewId="0"/>
  </sheetViews>
  <sheetFormatPr defaultColWidth="9.140625" defaultRowHeight="15" x14ac:dyDescent="0.25"/>
  <cols>
    <col min="1" max="1" width="11.85546875" style="6" bestFit="1" customWidth="1"/>
    <col min="2" max="2" width="13.7109375" style="6" bestFit="1" customWidth="1"/>
    <col min="3" max="3" width="14.5703125" style="6" bestFit="1" customWidth="1"/>
    <col min="4" max="5" width="12.5703125" style="6" bestFit="1" customWidth="1"/>
    <col min="6" max="6" width="12.28515625" style="6" bestFit="1" customWidth="1"/>
    <col min="7" max="7" width="17.85546875" style="6" bestFit="1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44" t="s">
        <v>22</v>
      </c>
      <c r="C2" s="44" t="s">
        <v>23</v>
      </c>
      <c r="D2" s="44" t="s">
        <v>24</v>
      </c>
      <c r="E2" s="44" t="s">
        <v>25</v>
      </c>
      <c r="F2" s="44" t="s">
        <v>26</v>
      </c>
      <c r="G2" s="37" t="s">
        <v>27</v>
      </c>
    </row>
    <row r="3" spans="1:7" x14ac:dyDescent="0.25">
      <c r="A3" s="35" t="s">
        <v>37</v>
      </c>
      <c r="B3" s="77">
        <v>36823.740000000005</v>
      </c>
      <c r="C3" s="77">
        <v>6228</v>
      </c>
      <c r="D3" s="77">
        <v>21890</v>
      </c>
      <c r="E3" s="77">
        <v>22491.42</v>
      </c>
      <c r="F3" s="77">
        <v>-601.42000000000007</v>
      </c>
      <c r="G3" s="77">
        <v>-0.40554653058054402</v>
      </c>
    </row>
    <row r="4" spans="1:7" x14ac:dyDescent="0.25">
      <c r="A4" s="38" t="s">
        <v>15</v>
      </c>
      <c r="B4" s="78">
        <v>36823.740000000005</v>
      </c>
      <c r="C4" s="78">
        <v>6228</v>
      </c>
      <c r="D4" s="78">
        <v>21890</v>
      </c>
      <c r="E4" s="78">
        <v>22491.42</v>
      </c>
      <c r="F4" s="78">
        <v>-601.42000000000007</v>
      </c>
      <c r="G4" s="78">
        <v>-0.40554653058054402</v>
      </c>
    </row>
    <row r="6" spans="1:7" x14ac:dyDescent="0.25">
      <c r="A6" s="34" t="s">
        <v>50</v>
      </c>
      <c r="B6" s="34" t="s">
        <v>8</v>
      </c>
    </row>
    <row r="7" spans="1:7" x14ac:dyDescent="0.25">
      <c r="A7" s="35" t="s">
        <v>21</v>
      </c>
      <c r="B7" s="44" t="s">
        <v>22</v>
      </c>
      <c r="C7" s="44" t="s">
        <v>23</v>
      </c>
      <c r="D7" s="44" t="s">
        <v>24</v>
      </c>
      <c r="E7" s="44" t="s">
        <v>25</v>
      </c>
      <c r="F7" s="44" t="s">
        <v>26</v>
      </c>
      <c r="G7" s="37" t="s">
        <v>27</v>
      </c>
    </row>
    <row r="8" spans="1:7" x14ac:dyDescent="0.25">
      <c r="A8" s="35" t="s">
        <v>37</v>
      </c>
      <c r="B8" s="77">
        <v>36823.740000000005</v>
      </c>
      <c r="C8" s="77">
        <v>3960</v>
      </c>
      <c r="D8" s="77">
        <v>8491.4</v>
      </c>
      <c r="E8" s="77">
        <v>7423</v>
      </c>
      <c r="F8" s="77">
        <v>1068.4000000000001</v>
      </c>
      <c r="G8" s="77">
        <v>-0.76940419414214856</v>
      </c>
    </row>
    <row r="9" spans="1:7" x14ac:dyDescent="0.25">
      <c r="A9" s="38" t="s">
        <v>15</v>
      </c>
      <c r="B9" s="78">
        <v>36823.740000000005</v>
      </c>
      <c r="C9" s="78">
        <v>3960</v>
      </c>
      <c r="D9" s="78">
        <v>8491.4</v>
      </c>
      <c r="E9" s="78">
        <v>7423</v>
      </c>
      <c r="F9" s="78">
        <v>1068.4000000000001</v>
      </c>
      <c r="G9" s="78">
        <v>-0.76940419414214856</v>
      </c>
    </row>
    <row r="11" spans="1:7" x14ac:dyDescent="0.25">
      <c r="A11" s="34" t="s">
        <v>50</v>
      </c>
      <c r="B11" s="34" t="s">
        <v>40</v>
      </c>
    </row>
    <row r="12" spans="1:7" x14ac:dyDescent="0.25">
      <c r="A12" s="35" t="s">
        <v>21</v>
      </c>
      <c r="B12" s="44" t="s">
        <v>22</v>
      </c>
      <c r="C12" s="44" t="s">
        <v>23</v>
      </c>
      <c r="D12" s="44" t="s">
        <v>24</v>
      </c>
      <c r="E12" s="44" t="s">
        <v>25</v>
      </c>
      <c r="F12" s="44" t="s">
        <v>26</v>
      </c>
      <c r="G12" s="37" t="s">
        <v>27</v>
      </c>
    </row>
    <row r="13" spans="1:7" x14ac:dyDescent="0.25">
      <c r="A13" s="35" t="s">
        <v>37</v>
      </c>
      <c r="B13" s="77">
        <v>36823.740000000005</v>
      </c>
      <c r="C13" s="77">
        <v>1793</v>
      </c>
      <c r="D13" s="77">
        <v>19760.14</v>
      </c>
      <c r="E13" s="77">
        <v>13109.999999999998</v>
      </c>
      <c r="F13" s="77">
        <v>6650.1399999999994</v>
      </c>
      <c r="G13" s="77">
        <v>-0.46338584836847108</v>
      </c>
    </row>
    <row r="14" spans="1:7" x14ac:dyDescent="0.25">
      <c r="A14" s="38" t="s">
        <v>15</v>
      </c>
      <c r="B14" s="78">
        <v>36823.740000000005</v>
      </c>
      <c r="C14" s="78">
        <v>1793</v>
      </c>
      <c r="D14" s="78">
        <v>19760.14</v>
      </c>
      <c r="E14" s="78">
        <v>13109.999999999998</v>
      </c>
      <c r="F14" s="78">
        <v>6650.1399999999994</v>
      </c>
      <c r="G14" s="78">
        <v>-0.46338584836847108</v>
      </c>
    </row>
    <row r="16" spans="1:7" x14ac:dyDescent="0.25">
      <c r="A16" s="34" t="s">
        <v>50</v>
      </c>
      <c r="B16" s="34" t="s">
        <v>9</v>
      </c>
    </row>
    <row r="17" spans="1:7" x14ac:dyDescent="0.25">
      <c r="A17" s="35" t="s">
        <v>21</v>
      </c>
      <c r="B17" s="44" t="s">
        <v>22</v>
      </c>
      <c r="C17" s="44" t="s">
        <v>23</v>
      </c>
      <c r="D17" s="44" t="s">
        <v>24</v>
      </c>
      <c r="E17" s="44" t="s">
        <v>25</v>
      </c>
      <c r="F17" s="44" t="s">
        <v>26</v>
      </c>
      <c r="G17" s="37" t="s">
        <v>27</v>
      </c>
    </row>
    <row r="18" spans="1:7" x14ac:dyDescent="0.25">
      <c r="A18" s="35" t="s">
        <v>37</v>
      </c>
      <c r="B18" s="77">
        <v>36823.740000000005</v>
      </c>
      <c r="C18" s="77">
        <v>2933</v>
      </c>
      <c r="D18" s="77">
        <v>9647.5499999999993</v>
      </c>
      <c r="E18" s="77">
        <v>14994.279999999999</v>
      </c>
      <c r="F18" s="77">
        <v>-5346.73</v>
      </c>
      <c r="G18" s="77">
        <v>-0.73800732896767141</v>
      </c>
    </row>
    <row r="19" spans="1:7" x14ac:dyDescent="0.25">
      <c r="A19" s="38" t="s">
        <v>15</v>
      </c>
      <c r="B19" s="78">
        <v>36823.740000000005</v>
      </c>
      <c r="C19" s="78">
        <v>2933</v>
      </c>
      <c r="D19" s="78">
        <v>9647.5499999999993</v>
      </c>
      <c r="E19" s="78">
        <v>14994.279999999999</v>
      </c>
      <c r="F19" s="78">
        <v>-5346.73</v>
      </c>
      <c r="G19" s="78">
        <v>-0.73800732896767141</v>
      </c>
    </row>
    <row r="21" spans="1:7" x14ac:dyDescent="0.25">
      <c r="A21" s="34" t="s">
        <v>50</v>
      </c>
      <c r="B21" s="34" t="s">
        <v>10</v>
      </c>
    </row>
    <row r="22" spans="1:7" x14ac:dyDescent="0.25">
      <c r="A22" s="35" t="s">
        <v>21</v>
      </c>
      <c r="B22" s="44" t="s">
        <v>22</v>
      </c>
      <c r="C22" s="44" t="s">
        <v>23</v>
      </c>
      <c r="D22" s="44" t="s">
        <v>24</v>
      </c>
      <c r="E22" s="44" t="s">
        <v>25</v>
      </c>
      <c r="F22" s="44" t="s">
        <v>26</v>
      </c>
      <c r="G22" s="37" t="s">
        <v>27</v>
      </c>
    </row>
    <row r="23" spans="1:7" x14ac:dyDescent="0.25">
      <c r="A23" s="35" t="s">
        <v>37</v>
      </c>
      <c r="B23" s="77">
        <v>36823.740000000005</v>
      </c>
      <c r="C23" s="77">
        <v>56716</v>
      </c>
      <c r="D23" s="77">
        <v>25828.109999999993</v>
      </c>
      <c r="E23" s="77">
        <v>41772.880000000012</v>
      </c>
      <c r="F23" s="77">
        <v>-15944.769999999995</v>
      </c>
      <c r="G23" s="77">
        <v>-0.29860166294895663</v>
      </c>
    </row>
    <row r="24" spans="1:7" x14ac:dyDescent="0.25">
      <c r="A24" s="38" t="s">
        <v>15</v>
      </c>
      <c r="B24" s="78">
        <v>36823.740000000005</v>
      </c>
      <c r="C24" s="78">
        <v>56716</v>
      </c>
      <c r="D24" s="78">
        <v>25828.109999999993</v>
      </c>
      <c r="E24" s="78">
        <v>41772.880000000012</v>
      </c>
      <c r="F24" s="78">
        <v>-15944.769999999995</v>
      </c>
      <c r="G24" s="78">
        <v>-0.29860166294895663</v>
      </c>
    </row>
    <row r="26" spans="1:7" x14ac:dyDescent="0.25">
      <c r="A26" s="34" t="s">
        <v>50</v>
      </c>
      <c r="B26" s="34" t="s">
        <v>11</v>
      </c>
    </row>
    <row r="27" spans="1:7" x14ac:dyDescent="0.25">
      <c r="A27" s="35" t="s">
        <v>21</v>
      </c>
      <c r="B27" s="44" t="s">
        <v>22</v>
      </c>
      <c r="C27" s="44" t="s">
        <v>23</v>
      </c>
      <c r="D27" s="44" t="s">
        <v>24</v>
      </c>
      <c r="E27" s="44" t="s">
        <v>25</v>
      </c>
      <c r="F27" s="44" t="s">
        <v>26</v>
      </c>
      <c r="G27" s="37" t="s">
        <v>27</v>
      </c>
    </row>
    <row r="28" spans="1:7" x14ac:dyDescent="0.25">
      <c r="A28" s="35" t="s">
        <v>37</v>
      </c>
      <c r="B28" s="77">
        <v>36823.740000000005</v>
      </c>
      <c r="C28" s="77">
        <v>27446</v>
      </c>
      <c r="D28" s="77">
        <v>17596.739999999998</v>
      </c>
      <c r="E28" s="77">
        <v>22298.670000000002</v>
      </c>
      <c r="F28" s="77">
        <v>-4701.93</v>
      </c>
      <c r="G28" s="77">
        <v>-0.52213599161845059</v>
      </c>
    </row>
    <row r="29" spans="1:7" x14ac:dyDescent="0.25">
      <c r="A29" s="38" t="s">
        <v>15</v>
      </c>
      <c r="B29" s="78">
        <v>36823.740000000005</v>
      </c>
      <c r="C29" s="78">
        <v>27446</v>
      </c>
      <c r="D29" s="78">
        <v>17596.739999999998</v>
      </c>
      <c r="E29" s="78">
        <v>22298.670000000002</v>
      </c>
      <c r="F29" s="78">
        <v>-4701.93</v>
      </c>
      <c r="G29" s="78">
        <v>-0.52213599161845059</v>
      </c>
    </row>
    <row r="31" spans="1:7" x14ac:dyDescent="0.25">
      <c r="A31" s="34" t="s">
        <v>50</v>
      </c>
      <c r="B31" s="34" t="s">
        <v>12</v>
      </c>
    </row>
    <row r="32" spans="1:7" x14ac:dyDescent="0.25">
      <c r="A32" s="35" t="s">
        <v>21</v>
      </c>
      <c r="B32" s="44" t="s">
        <v>22</v>
      </c>
      <c r="C32" s="44" t="s">
        <v>23</v>
      </c>
      <c r="D32" s="44" t="s">
        <v>24</v>
      </c>
      <c r="E32" s="44" t="s">
        <v>25</v>
      </c>
      <c r="F32" s="44" t="s">
        <v>26</v>
      </c>
      <c r="G32" s="37" t="s">
        <v>27</v>
      </c>
    </row>
    <row r="33" spans="1:7" x14ac:dyDescent="0.25">
      <c r="A33" s="35" t="s">
        <v>37</v>
      </c>
      <c r="B33" s="77">
        <v>36823.740000000005</v>
      </c>
      <c r="C33" s="77">
        <v>190639</v>
      </c>
      <c r="D33" s="77">
        <v>125820.39000000007</v>
      </c>
      <c r="E33" s="77">
        <v>80549.969999999987</v>
      </c>
      <c r="F33" s="77">
        <v>45270.420000000049</v>
      </c>
      <c r="G33" s="77">
        <v>2.4168281114302905</v>
      </c>
    </row>
    <row r="34" spans="1:7" x14ac:dyDescent="0.25">
      <c r="A34" s="38" t="s">
        <v>15</v>
      </c>
      <c r="B34" s="78">
        <v>36823.740000000005</v>
      </c>
      <c r="C34" s="78">
        <v>190639</v>
      </c>
      <c r="D34" s="78">
        <v>125820.39000000007</v>
      </c>
      <c r="E34" s="78">
        <v>80549.969999999987</v>
      </c>
      <c r="F34" s="78">
        <v>45270.420000000049</v>
      </c>
      <c r="G34" s="78">
        <v>2.4168281114302905</v>
      </c>
    </row>
    <row r="36" spans="1:7" x14ac:dyDescent="0.25">
      <c r="A36" s="34" t="s">
        <v>50</v>
      </c>
      <c r="B36" s="34" t="s">
        <v>13</v>
      </c>
    </row>
    <row r="37" spans="1:7" x14ac:dyDescent="0.25">
      <c r="A37" s="35" t="s">
        <v>21</v>
      </c>
      <c r="B37" s="44" t="s">
        <v>22</v>
      </c>
      <c r="C37" s="44" t="s">
        <v>23</v>
      </c>
      <c r="D37" s="44" t="s">
        <v>24</v>
      </c>
      <c r="E37" s="44" t="s">
        <v>25</v>
      </c>
      <c r="F37" s="44" t="s">
        <v>26</v>
      </c>
      <c r="G37" s="37" t="s">
        <v>27</v>
      </c>
    </row>
    <row r="38" spans="1:7" x14ac:dyDescent="0.25">
      <c r="A38" s="35" t="s">
        <v>37</v>
      </c>
      <c r="B38" s="77">
        <v>36823.740000000005</v>
      </c>
      <c r="C38" s="77">
        <v>9461</v>
      </c>
      <c r="D38" s="77">
        <v>71741.959999999992</v>
      </c>
      <c r="E38" s="77">
        <v>112605.68999999999</v>
      </c>
      <c r="F38" s="77">
        <v>-40863.729999999996</v>
      </c>
      <c r="G38" s="77">
        <v>0.94825294769080992</v>
      </c>
    </row>
    <row r="39" spans="1:7" x14ac:dyDescent="0.25">
      <c r="A39" s="38" t="s">
        <v>15</v>
      </c>
      <c r="B39" s="78">
        <v>36823.740000000005</v>
      </c>
      <c r="C39" s="78">
        <v>9461</v>
      </c>
      <c r="D39" s="78">
        <v>71741.959999999992</v>
      </c>
      <c r="E39" s="78">
        <v>112605.68999999999</v>
      </c>
      <c r="F39" s="78">
        <v>-40863.729999999996</v>
      </c>
      <c r="G39" s="78">
        <v>0.94825294769080992</v>
      </c>
    </row>
    <row r="41" spans="1:7" x14ac:dyDescent="0.25">
      <c r="A41" s="34" t="s">
        <v>50</v>
      </c>
      <c r="B41" s="34" t="s">
        <v>14</v>
      </c>
    </row>
    <row r="42" spans="1:7" x14ac:dyDescent="0.25">
      <c r="A42" s="35" t="s">
        <v>21</v>
      </c>
      <c r="B42" s="44" t="s">
        <v>22</v>
      </c>
      <c r="C42" s="44" t="s">
        <v>23</v>
      </c>
      <c r="D42" s="44" t="s">
        <v>24</v>
      </c>
      <c r="E42" s="44" t="s">
        <v>25</v>
      </c>
      <c r="F42" s="44" t="s">
        <v>26</v>
      </c>
      <c r="G42" s="37" t="s">
        <v>27</v>
      </c>
    </row>
    <row r="43" spans="1:7" x14ac:dyDescent="0.25">
      <c r="A43" s="35" t="s">
        <v>37</v>
      </c>
      <c r="B43" s="77">
        <v>36823.740000000005</v>
      </c>
      <c r="C43" s="77">
        <v>238760</v>
      </c>
      <c r="D43" s="77">
        <v>176398.98999999985</v>
      </c>
      <c r="E43" s="77">
        <v>107324.09000000001</v>
      </c>
      <c r="F43" s="77">
        <v>69074.89999999998</v>
      </c>
      <c r="G43" s="77">
        <v>3.7903605119957895</v>
      </c>
    </row>
    <row r="44" spans="1:7" x14ac:dyDescent="0.25">
      <c r="A44" s="38" t="s">
        <v>15</v>
      </c>
      <c r="B44" s="78">
        <v>36823.740000000005</v>
      </c>
      <c r="C44" s="78">
        <v>238760</v>
      </c>
      <c r="D44" s="78">
        <v>176398.98999999985</v>
      </c>
      <c r="E44" s="78">
        <v>107324.09000000001</v>
      </c>
      <c r="F44" s="78">
        <v>69074.89999999998</v>
      </c>
      <c r="G44" s="78">
        <v>3.7903605119957895</v>
      </c>
    </row>
  </sheetData>
  <printOptions horizontalCentered="1"/>
  <pageMargins left="0.7" right="0.7" top="0.75" bottom="0.75" header="0.3" footer="0.3"/>
  <pageSetup scale="3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By Month</vt:lpstr>
      <vt:lpstr>By Factory</vt:lpstr>
      <vt:lpstr>'By Factory'!Print_Area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2025-01-16T08:59:31Z</dcterms:modified>
</cp:coreProperties>
</file>