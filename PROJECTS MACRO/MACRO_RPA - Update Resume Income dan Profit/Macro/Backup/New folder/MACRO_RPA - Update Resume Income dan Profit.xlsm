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RPA 00\MACRO_RPA - Update Resume Income dan Profit\Macro\"/>
    </mc:Choice>
  </mc:AlternateContent>
  <xr:revisionPtr revIDLastSave="0" documentId="8_{DE9CDEB4-922D-4BE7-94B7-D967063EF858}" xr6:coauthVersionLast="47" xr6:coauthVersionMax="47" xr10:uidLastSave="{00000000-0000-0000-0000-000000000000}"/>
  <bookViews>
    <workbookView xWindow="-110" yWindow="-110" windowWidth="19420" windowHeight="10300" tabRatio="891" firstSheet="3" activeTab="3" xr2:uid="{2CCE3C95-2940-4053-8BE7-2A6EFE1350AC}"/>
  </bookViews>
  <sheets>
    <sheet name="Temp - By Factory" sheetId="245" state="hidden" r:id="rId1"/>
    <sheet name="Temp - By Month" sheetId="244" state="hidden" r:id="rId2"/>
    <sheet name="SetupDB" sheetId="213" state="hidden" r:id="rId3"/>
    <sheet name="HOME" sheetId="2" r:id="rId4"/>
    <sheet name="RPA1" sheetId="429" r:id="rId5"/>
  </sheets>
  <functionGroups builtInGroupCount="19"/>
  <definedNames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2" l="1"/>
  <c r="G15" i="2" s="1"/>
  <c r="F12" i="2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<sst xmlns="http://schemas.openxmlformats.org/spreadsheetml/2006/main" count="230" uniqueCount="67">
  <si>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</si>
  <si>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</si>
  <si>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</si>
  <si>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</si>
  <si>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</si>
  <si>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</si>
  <si>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</si>
  <si>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</si>
  <si>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</si>
  <si>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</si>
  <si>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</si>
  <si>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</si>
  <si>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</si>
  <si>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</si>
  <si>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</si>
  <si>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</si>
  <si>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</si>
  <si>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</si>
  <si>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</si>
  <si>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</si>
  <si>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</si>
  <si>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</si>
  <si>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</si>
  <si>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</si>
  <si>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</si>
  <si>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</si>
  <si>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</si>
  <si>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</si>
  <si>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</si>
  <si>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</si>
  <si>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</si>
  <si>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</si>
  <si>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</si>
  <si>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</si>
  <si>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</si>
  <si>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</si>
  <si>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\\10.8.0.35\Bersama\IT\Macro Record Projects\Local Project\Income dan Profit\Macaro v2\Source\Tarikan GCC\GCC - Report Kapasitas From Sales.csv</t>
  </si>
  <si>
    <t>\\10.8.0.35\Bersama\IT\Macro Record Projects\Local Project\Income dan Profit\Macaro v2\Target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</si>
  <si>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</si>
  <si>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</si>
  <si>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</si>
  <si>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</si>
  <si>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</si>
  <si>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</si>
  <si>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</si>
  <si>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</si>
  <si>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</si>
  <si>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</si>
  <si>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</si>
  <si>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</si>
  <si>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</si>
  <si>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</si>
  <si>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</si>
  <si>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`</t>
  </si>
  <si>
    <t>Link</t>
  </si>
  <si>
    <t>Date From</t>
  </si>
  <si>
    <t>09/01/2024</t>
  </si>
  <si>
    <t>Date To</t>
  </si>
  <si>
    <t>09/12/2024</t>
  </si>
  <si>
    <t>Save To</t>
  </si>
  <si>
    <t>LOKASI FOLDER - Resume Income Factory (Hasil Pengolahan Macro)</t>
  </si>
  <si>
    <t>LOKASI FOLDER - Data Income per-factory (Hasil Pengolahan Macro)</t>
  </si>
  <si>
    <t>=TEXT(NOW(),"[$-409]mmmm")</t>
  </si>
  <si>
    <t>\\10.8.0.35\Bersama\IT\RPA\GI-IS - Cost Factory Report.xlsx</t>
  </si>
  <si>
    <t>\\10.8.0.35\Bersama\IT\RPA 00\MACRO_RPA - Update Resume Income dan Profit\Source\Tarikan GCC\GCC - Report Kapasitas From Sales.csv</t>
  </si>
  <si>
    <t>\\10.8.0.35\Bersama\IT\RPA 00\MACRO_RPA - Update Resume Income dan Profit\Hasil Pengolahan Macro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</si>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</sst>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49" fontId="13" fillId="0" borderId="0" xfId="1" applyNumberFormat="1" applyFont="1" applyAlignment="1">
      <alignment horizontal="left"/>
    </xf>
    <xf numFmtId="0" fontId="0" fillId="0" borderId="0" xfId="1" applyFont="1" applyFill="1" applyAlignment="1">
      <alignment horizontal="left"/>
    </xf>
    <xf numFmtId="49" fontId="0" fillId="0" borderId="0" xfId="0" applyNumberFormat="1"/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/>
    </xf>
    <xf numFmtId="49" fontId="0" fillId="0" borderId="0" xfId="0" applyNumberFormat="1" applyAlignment="1">
      <alignment horizontal="left"/>
    </xf>
    <xf numFmtId="15" fontId="0" fillId="0" borderId="0" xfId="0" applyNumberFormat="1"/>
    <xf numFmtId="0" fontId="7" fillId="0" borderId="0" xfId="0" applyFont="1" applyBorder="1" applyAlignment="1">
      <alignment horizont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1185647</xdr:colOff>
      <xdr:row>2</xdr:row>
      <xdr:rowOff>14567</xdr:rowOff>
    </xdr:from>
    <xdr:to>
      <xdr:col>6</xdr:col>
      <xdr:colOff>720121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460941" y="492685"/>
          <a:ext cx="1925062" cy="650313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2094072</xdr:colOff>
      <xdr:row>2</xdr:row>
      <xdr:rowOff>23159</xdr:rowOff>
    </xdr:from>
    <xdr:to>
      <xdr:col>3</xdr:col>
      <xdr:colOff>66818</xdr:colOff>
      <xdr:row>6</xdr:row>
      <xdr:rowOff>105708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0954" y="501277"/>
          <a:ext cx="1924688" cy="6503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2282639</xdr:colOff>
          <xdr:row>3</xdr:row>
          <xdr:rowOff>16809</xdr:rowOff>
        </xdr:from>
        <xdr:to>
          <xdr:col>2</xdr:col>
          <xdr:colOff>3819339</xdr:colOff>
          <xdr:row>5</xdr:row>
          <xdr:rowOff>4109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19" workbookViewId="0">
      <selection activeCell="C39" sqref="C39"/>
    </sheetView>
  </sheetViews>
  <sheetFormatPr defaultColWidth="9.1796875" defaultRowHeight="14.5" x14ac:dyDescent="0.35"/>
  <cols>
    <col min="1" max="1" width="11.26953125" style="6" bestFit="1" customWidth="1"/>
    <col min="2" max="2" width="14.26953125" style="6" bestFit="1" customWidth="1"/>
    <col min="3" max="3" width="14.54296875" style="6" bestFit="1" customWidth="1"/>
    <col min="4" max="5" width="14.26953125" style="6" bestFit="1" customWidth="1"/>
    <col min="6" max="6" width="14.453125" style="6" customWidth="1"/>
    <col min="7" max="7" width="18.81640625" style="6" customWidth="1"/>
    <col min="8" max="16384" width="9.1796875" style="6"/>
  </cols>
  <sheetData>
    <row r="1" spans="1:7" x14ac:dyDescent="0.35">
      <c r="A1" s="34" t="s">
        <v>52</v>
      </c>
      <c r="B1" s="34" t="s">
        <v>7</v>
      </c>
    </row>
    <row r="2" spans="1:7" x14ac:dyDescent="0.3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35">
      <c r="A3" s="38" t="s">
        <v>15</v>
      </c>
      <c r="B3" s="39"/>
      <c r="C3" s="39"/>
      <c r="D3" s="39"/>
      <c r="E3" s="39"/>
      <c r="F3" s="39"/>
      <c r="G3" s="40"/>
    </row>
    <row r="5" spans="1:7" x14ac:dyDescent="0.35">
      <c r="A5" s="34" t="s">
        <v>52</v>
      </c>
      <c r="B5" s="34" t="s">
        <v>8</v>
      </c>
    </row>
    <row r="6" spans="1:7" x14ac:dyDescent="0.3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35">
      <c r="A7" s="38" t="s">
        <v>15</v>
      </c>
      <c r="B7" s="39"/>
      <c r="C7" s="39"/>
      <c r="D7" s="39"/>
      <c r="E7" s="39"/>
      <c r="F7" s="39"/>
      <c r="G7" s="40"/>
    </row>
    <row r="9" spans="1:7" x14ac:dyDescent="0.35">
      <c r="A9" s="34" t="s">
        <v>52</v>
      </c>
      <c r="B9" s="34" t="s">
        <v>42</v>
      </c>
    </row>
    <row r="10" spans="1:7" x14ac:dyDescent="0.3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35">
      <c r="A11" s="38" t="s">
        <v>15</v>
      </c>
      <c r="B11" s="39"/>
      <c r="C11" s="39"/>
      <c r="D11" s="39"/>
      <c r="E11" s="39"/>
      <c r="F11" s="39"/>
      <c r="G11" s="40"/>
    </row>
    <row r="13" spans="1:7" x14ac:dyDescent="0.35">
      <c r="A13" s="34" t="s">
        <v>52</v>
      </c>
      <c r="B13" s="34" t="s">
        <v>9</v>
      </c>
    </row>
    <row r="14" spans="1:7" x14ac:dyDescent="0.3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35">
      <c r="A15" s="38" t="s">
        <v>15</v>
      </c>
      <c r="B15" s="39"/>
      <c r="C15" s="39"/>
      <c r="D15" s="39"/>
      <c r="E15" s="39"/>
      <c r="F15" s="39"/>
      <c r="G15" s="40"/>
    </row>
    <row r="17" spans="1:7" x14ac:dyDescent="0.35">
      <c r="A17" s="34" t="s">
        <v>52</v>
      </c>
      <c r="B17" s="34" t="s">
        <v>10</v>
      </c>
    </row>
    <row r="18" spans="1:7" x14ac:dyDescent="0.3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35">
      <c r="A19" s="38" t="s">
        <v>15</v>
      </c>
      <c r="B19" s="39"/>
      <c r="C19" s="39"/>
      <c r="D19" s="39"/>
      <c r="E19" s="39"/>
      <c r="F19" s="39"/>
      <c r="G19" s="40"/>
    </row>
    <row r="21" spans="1:7" x14ac:dyDescent="0.35">
      <c r="A21" s="34" t="s">
        <v>52</v>
      </c>
      <c r="B21" s="34" t="s">
        <v>11</v>
      </c>
    </row>
    <row r="22" spans="1:7" x14ac:dyDescent="0.3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35">
      <c r="A23" s="38" t="s">
        <v>15</v>
      </c>
      <c r="B23" s="39"/>
      <c r="C23" s="39"/>
      <c r="D23" s="39"/>
      <c r="E23" s="39"/>
      <c r="F23" s="39"/>
      <c r="G23" s="40"/>
    </row>
    <row r="25" spans="1:7" x14ac:dyDescent="0.35">
      <c r="A25" s="34" t="s">
        <v>52</v>
      </c>
      <c r="B25" s="34" t="s">
        <v>12</v>
      </c>
    </row>
    <row r="26" spans="1:7" x14ac:dyDescent="0.3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35">
      <c r="A27" s="38" t="s">
        <v>15</v>
      </c>
      <c r="B27" s="39"/>
      <c r="C27" s="39"/>
      <c r="D27" s="39"/>
      <c r="E27" s="39"/>
      <c r="F27" s="39"/>
      <c r="G27" s="40"/>
    </row>
    <row r="29" spans="1:7" x14ac:dyDescent="0.35">
      <c r="A29" s="34" t="s">
        <v>52</v>
      </c>
      <c r="B29" s="34" t="s">
        <v>13</v>
      </c>
    </row>
    <row r="30" spans="1:7" x14ac:dyDescent="0.3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35">
      <c r="A31" s="38" t="s">
        <v>15</v>
      </c>
      <c r="B31" s="39"/>
      <c r="C31" s="39"/>
      <c r="D31" s="39"/>
      <c r="E31" s="39"/>
      <c r="F31" s="39"/>
      <c r="G31" s="40"/>
    </row>
    <row r="33" spans="1:7" x14ac:dyDescent="0.35">
      <c r="A33" s="34" t="s">
        <v>52</v>
      </c>
      <c r="B33" s="34" t="s">
        <v>14</v>
      </c>
    </row>
    <row r="34" spans="1:7" x14ac:dyDescent="0.3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3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>
      <selection activeCell="D40" sqref="D40"/>
    </sheetView>
  </sheetViews>
  <sheetFormatPr defaultRowHeight="14.5" x14ac:dyDescent="0.35"/>
  <cols>
    <col min="1" max="1" width="3" customWidth="1"/>
    <col min="2" max="2" width="11.26953125" bestFit="1" customWidth="1"/>
    <col min="3" max="5" width="14.26953125" bestFit="1" customWidth="1"/>
    <col min="6" max="6" width="13.453125" bestFit="1" customWidth="1"/>
    <col min="7" max="9" width="14.26953125" bestFit="1" customWidth="1"/>
    <col min="10" max="11" width="12.54296875" bestFit="1" customWidth="1"/>
    <col min="12" max="13" width="14.26953125" bestFit="1" customWidth="1"/>
    <col min="14" max="14" width="12.54296875" bestFit="1" customWidth="1"/>
  </cols>
  <sheetData>
    <row r="2" spans="2:14" ht="23.5" x14ac:dyDescent="0.55000000000000004">
      <c r="B2" s="49" t="str">
        <f ca="1">"ANALISA PLAN VS REALISASI INCOME TH " &amp;HOME!$G$12</f>
        <v>ANALISA PLAN VS REALISASI INCOME TH 2024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</row>
    <row r="4" spans="2:14" s="6" customFormat="1" x14ac:dyDescent="0.35">
      <c r="B4" s="44" t="s">
        <v>20</v>
      </c>
      <c r="C4" s="45" t="s">
        <v>39</v>
      </c>
      <c r="D4" s="45"/>
      <c r="E4" s="45"/>
      <c r="F4" s="46"/>
      <c r="G4" s="47" t="s">
        <v>40</v>
      </c>
      <c r="H4" s="45"/>
      <c r="I4" s="45"/>
      <c r="J4" s="45"/>
      <c r="K4" s="47" t="s">
        <v>41</v>
      </c>
      <c r="L4" s="45"/>
      <c r="M4" s="45"/>
      <c r="N4" s="45"/>
    </row>
    <row r="5" spans="2:14" s="24" customFormat="1" x14ac:dyDescent="0.35">
      <c r="B5" s="44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3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3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35">
      <c r="B8" s="25" t="s">
        <v>42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3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3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3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3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3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3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3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35">
      <c r="B17" s="44" t="s">
        <v>20</v>
      </c>
      <c r="C17" s="45" t="s">
        <v>43</v>
      </c>
      <c r="D17" s="45"/>
      <c r="E17" s="45"/>
      <c r="F17" s="46"/>
      <c r="G17" s="47" t="s">
        <v>44</v>
      </c>
      <c r="H17" s="45"/>
      <c r="I17" s="45"/>
      <c r="J17" s="45"/>
      <c r="K17" s="48" t="s">
        <v>45</v>
      </c>
      <c r="L17" s="48"/>
      <c r="M17" s="48"/>
      <c r="N17" s="48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35">
      <c r="B18" s="44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3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3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35">
      <c r="B21" s="25" t="s">
        <v>42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3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3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3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3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3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3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3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35">
      <c r="B30" s="44" t="s">
        <v>20</v>
      </c>
      <c r="C30" s="45" t="s">
        <v>46</v>
      </c>
      <c r="D30" s="45"/>
      <c r="E30" s="45"/>
      <c r="F30" s="46"/>
      <c r="G30" s="47" t="s">
        <v>47</v>
      </c>
      <c r="H30" s="45"/>
      <c r="I30" s="45"/>
      <c r="J30" s="45"/>
      <c r="K30" s="47" t="s">
        <v>48</v>
      </c>
      <c r="L30" s="45"/>
      <c r="M30" s="45"/>
      <c r="N30" s="45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35">
      <c r="B31" s="44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3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3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35">
      <c r="B34" s="25" t="s">
        <v>42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3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3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3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3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3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3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3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35">
      <c r="B43" s="44" t="s">
        <v>20</v>
      </c>
      <c r="C43" s="45" t="s">
        <v>49</v>
      </c>
      <c r="D43" s="45"/>
      <c r="E43" s="45"/>
      <c r="F43" s="46"/>
      <c r="G43" s="47" t="s">
        <v>50</v>
      </c>
      <c r="H43" s="45"/>
      <c r="I43" s="45"/>
      <c r="J43" s="45"/>
      <c r="K43" s="47" t="s">
        <v>51</v>
      </c>
      <c r="L43" s="45"/>
      <c r="M43" s="45"/>
      <c r="N43" s="45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35">
      <c r="B44" s="44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3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3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35">
      <c r="B47" s="25" t="s">
        <v>42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3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3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3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3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3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3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3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17:B18"/>
    <mergeCell ref="C17:F17"/>
    <mergeCell ref="G17:J17"/>
    <mergeCell ref="K17:N17"/>
    <mergeCell ref="B2:N2"/>
    <mergeCell ref="B4:B5"/>
    <mergeCell ref="C4:F4"/>
    <mergeCell ref="G4:J4"/>
    <mergeCell ref="K4:N4"/>
    <mergeCell ref="B30:B31"/>
    <mergeCell ref="C30:F30"/>
    <mergeCell ref="G30:J30"/>
    <mergeCell ref="K30:N30"/>
    <mergeCell ref="B43:B44"/>
    <mergeCell ref="C43:F43"/>
    <mergeCell ref="G43:J43"/>
    <mergeCell ref="K43:N4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4.5" x14ac:dyDescent="0.35"/>
  <cols>
    <col min="1" max="1" width="54.81640625" bestFit="1" customWidth="1"/>
  </cols>
  <sheetData>
    <row r="1" spans="1:1" x14ac:dyDescent="0.35">
      <c r="A1" s="15" t="s">
        <v>28</v>
      </c>
    </row>
    <row r="2" spans="1:1" x14ac:dyDescent="0.35">
      <c r="A2" s="16" t="s">
        <v>29</v>
      </c>
    </row>
    <row r="3" spans="1:1" x14ac:dyDescent="0.35">
      <c r="A3" s="17" t="s">
        <v>30</v>
      </c>
    </row>
    <row r="4" spans="1:1" x14ac:dyDescent="0.3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tabSelected="1" zoomScale="85" zoomScaleNormal="85" workbookViewId="0">
      <selection activeCell="C2" sqref="C2:H9"/>
    </sheetView>
  </sheetViews>
  <sheetFormatPr defaultRowHeight="14.5" x14ac:dyDescent="0.35"/>
  <cols>
    <col min="1" max="1" width="5.90625" customWidth="1"/>
    <col min="2" max="2" width="19.6328125" customWidth="1"/>
    <col min="3" max="3" width="56.54296875" customWidth="1"/>
    <col min="4" max="4" width="4.7265625" style="7" customWidth="1"/>
    <col min="5" max="5" width="3" customWidth="1"/>
    <col min="6" max="6" width="34.26953125" customWidth="1"/>
    <col min="7" max="7" width="33.7265625" customWidth="1"/>
    <col min="8" max="8" width="10.453125" bestFit="1" customWidth="1"/>
    <col min="9" max="9" width="23.36328125" customWidth="1"/>
  </cols>
  <sheetData>
    <row r="1" spans="1:9" ht="12" customHeight="1" x14ac:dyDescent="0.35">
      <c r="C1" s="52" t="s">
        <v>3</v>
      </c>
      <c r="D1" s="52"/>
      <c r="E1" s="52"/>
      <c r="F1" s="52"/>
      <c r="G1" s="52"/>
      <c r="H1" s="52"/>
    </row>
    <row r="2" spans="1:9" ht="26.25" customHeight="1" x14ac:dyDescent="0.35">
      <c r="C2" s="53" t="s">
        <v>4</v>
      </c>
      <c r="D2" s="53"/>
      <c r="E2" s="53"/>
      <c r="F2" s="53"/>
      <c r="G2" s="53"/>
      <c r="H2" s="53"/>
    </row>
    <row r="3" spans="1:9" ht="12" customHeight="1" x14ac:dyDescent="0.35">
      <c r="C3" s="53"/>
      <c r="D3" s="53"/>
      <c r="E3" s="53"/>
      <c r="F3" s="53"/>
      <c r="G3" s="53"/>
      <c r="H3" s="53"/>
    </row>
    <row r="4" spans="1:9" ht="12" customHeight="1" x14ac:dyDescent="0.35">
      <c r="C4" s="53"/>
      <c r="D4" s="53"/>
      <c r="E4" s="53"/>
      <c r="F4" s="53"/>
      <c r="G4" s="53"/>
      <c r="H4" s="53"/>
    </row>
    <row r="5" spans="1:9" ht="18" customHeight="1" x14ac:dyDescent="0.35">
      <c r="B5" s="1"/>
      <c r="C5" s="53"/>
      <c r="D5" s="53"/>
      <c r="E5" s="53"/>
      <c r="F5" s="53"/>
      <c r="G5" s="53"/>
      <c r="H5" s="53"/>
    </row>
    <row r="6" spans="1:9" ht="3" customHeight="1" x14ac:dyDescent="0.35">
      <c r="A6" s="3"/>
      <c r="B6" s="4"/>
      <c r="C6" s="53"/>
      <c r="D6" s="53"/>
      <c r="E6" s="53"/>
      <c r="F6" s="53"/>
      <c r="G6" s="53"/>
      <c r="H6" s="53"/>
      <c r="I6" s="5"/>
    </row>
    <row r="7" spans="1:9" ht="14" customHeight="1" x14ac:dyDescent="0.35">
      <c r="B7" s="2"/>
      <c r="C7" s="53"/>
      <c r="D7" s="53"/>
      <c r="E7" s="53"/>
      <c r="F7" s="53"/>
      <c r="G7" s="53"/>
      <c r="H7" s="53"/>
    </row>
    <row r="8" spans="1:9" ht="12" customHeight="1" x14ac:dyDescent="0.35">
      <c r="C8" s="53"/>
      <c r="D8" s="53"/>
      <c r="E8" s="53"/>
      <c r="F8" s="53"/>
      <c r="G8" s="53"/>
      <c r="H8" s="53"/>
    </row>
    <row r="9" spans="1:9" ht="6.75" customHeight="1" x14ac:dyDescent="0.35">
      <c r="A9" s="51"/>
      <c r="B9" s="51"/>
      <c r="C9" s="53"/>
      <c r="D9" s="53"/>
      <c r="E9" s="53"/>
      <c r="F9" s="53"/>
      <c r="G9" s="53"/>
      <c r="H9" s="53"/>
    </row>
    <row r="10" spans="1:9" ht="24" customHeight="1" x14ac:dyDescent="0.35">
      <c r="A10" s="51"/>
      <c r="B10" s="51"/>
      <c r="C10" s="56" t="s">
        <v>66</v>
      </c>
      <c r="D10" s="56"/>
      <c r="E10" s="56"/>
      <c r="F10" s="56"/>
      <c r="G10" s="56"/>
      <c r="H10" s="56"/>
    </row>
    <row r="11" spans="1:9" ht="15.5" x14ac:dyDescent="0.35">
      <c r="C11" s="8" t="s">
        <v>1</v>
      </c>
      <c r="D11" s="18"/>
      <c r="E11" s="9" t="s">
        <v>2</v>
      </c>
      <c r="F11" s="10"/>
      <c r="G11" s="9" t="s">
        <v>33</v>
      </c>
      <c r="H11" s="9" t="s">
        <v>38</v>
      </c>
    </row>
    <row r="12" spans="1:9" ht="20.149999999999999" customHeight="1" x14ac:dyDescent="0.35">
      <c r="C12" t="s">
        <v>5</v>
      </c>
      <c r="F12" t="str">
        <f>TEXT(I12,"[$-409]mmmm")</f>
        <v>August</v>
      </c>
      <c r="G12" t="str">
        <f ca="1">UPPER(TEXT(TODAY(),"yyyy"))</f>
        <v>2024</v>
      </c>
      <c r="H12" s="54" t="s">
        <v>62</v>
      </c>
      <c r="I12" s="55">
        <v>45526</v>
      </c>
    </row>
    <row r="13" spans="1:9" ht="20.149999999999999" customHeight="1" x14ac:dyDescent="0.35">
      <c r="C13" t="s">
        <v>35</v>
      </c>
      <c r="F13" t="s">
        <v>63</v>
      </c>
      <c r="G13" s="13" t="s">
        <v>0</v>
      </c>
      <c r="H13" s="42" t="s">
        <v>0</v>
      </c>
    </row>
    <row r="14" spans="1:9" ht="20.149999999999999" customHeight="1" x14ac:dyDescent="0.35">
      <c r="C14" t="s">
        <v>32</v>
      </c>
      <c r="F14" t="s">
        <v>64</v>
      </c>
      <c r="G14" s="19" t="s">
        <v>34</v>
      </c>
      <c r="H14" s="42" t="s">
        <v>0</v>
      </c>
    </row>
    <row r="15" spans="1:9" ht="20.149999999999999" customHeight="1" x14ac:dyDescent="0.35">
      <c r="C15" t="s">
        <v>60</v>
      </c>
      <c r="E15" s="11"/>
      <c r="F15" s="41" t="s">
        <v>65</v>
      </c>
      <c r="G15" s="7" t="str">
        <f ca="1">"Resume Income Factory Th " &amp;$G$12</f>
        <v>Resume Income Factory Th 2024</v>
      </c>
      <c r="H15" s="42" t="s">
        <v>6</v>
      </c>
    </row>
    <row r="16" spans="1:9" ht="20.149999999999999" customHeight="1" x14ac:dyDescent="0.35">
      <c r="C16" t="s">
        <v>61</v>
      </c>
      <c r="E16" s="11"/>
      <c r="F16" t="s">
        <v>37</v>
      </c>
      <c r="G16" s="7" t="str">
        <f ca="1">"Data Income per-factory Th " &amp;$G$12</f>
        <v>Data Income per-factory Th 2024</v>
      </c>
      <c r="H16" s="42" t="s">
        <v>6</v>
      </c>
    </row>
    <row r="17" spans="3:8" ht="20.149999999999999" customHeight="1" x14ac:dyDescent="0.35">
      <c r="C17" s="7"/>
      <c r="E17" s="7"/>
      <c r="F17" s="7"/>
      <c r="G17" s="14"/>
      <c r="H17" s="14"/>
    </row>
    <row r="18" spans="3:8" ht="1.5" customHeight="1" x14ac:dyDescent="0.35">
      <c r="C18" s="50"/>
      <c r="D18" s="50"/>
      <c r="E18" s="50"/>
      <c r="F18" s="50"/>
      <c r="G18" s="12"/>
      <c r="H18" s="12"/>
    </row>
    <row r="20" spans="3:8" x14ac:dyDescent="0.35">
      <c r="F20" t="s">
        <v>53</v>
      </c>
    </row>
  </sheetData>
  <mergeCells count="5">
    <mergeCell ref="C18:F18"/>
    <mergeCell ref="A9:B10"/>
    <mergeCell ref="C1:H1"/>
    <mergeCell ref="C2:H9"/>
    <mergeCell ref="C10:H10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_Proses">
          <controlPr defaultSize="0" autoLine="0" r:id="rId6">
            <anchor moveWithCells="1">
              <from>
                <xdr:col>5</xdr:col>
                <xdr:colOff>1727200</xdr:colOff>
                <xdr:row>3</xdr:row>
                <xdr:rowOff>6350</xdr:rowOff>
              </from>
              <to>
                <xdr:col>6</xdr:col>
                <xdr:colOff>882650</xdr:colOff>
                <xdr:row>4</xdr:row>
                <xdr:rowOff>222250</xdr:rowOff>
              </to>
            </anchor>
          </controlPr>
        </control>
      </mc:Choice>
      <mc:Fallback>
        <control shapeId="2050" r:id="rId5" name="btn_Proses"/>
      </mc:Fallback>
    </mc:AlternateContent>
    <mc:AlternateContent xmlns:mc="http://schemas.openxmlformats.org/markup-compatibility/2006">
      <mc:Choice Requires="x14">
        <control shapeId="2052" r:id="rId7" name="cmd_CreateRPA">
          <controlPr defaultSize="0" autoLine="0" r:id="rId8">
            <anchor moveWithCells="1">
              <from>
                <xdr:col>2</xdr:col>
                <xdr:colOff>2279650</xdr:colOff>
                <xdr:row>3</xdr:row>
                <xdr:rowOff>19050</xdr:rowOff>
              </from>
              <to>
                <xdr:col>2</xdr:col>
                <xdr:colOff>3816350</xdr:colOff>
                <xdr:row>5</xdr:row>
                <xdr:rowOff>6350</xdr:rowOff>
              </to>
            </anchor>
          </controlPr>
        </control>
      </mc:Choice>
      <mc:Fallback>
        <control shapeId="2052" r:id="rId7" name="cmd_CreateRP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FD550-58D1-4E95-8028-F35D634E3A72}">
  <dimension ref="A1:D2"/>
  <sheetViews>
    <sheetView workbookViewId="0"/>
  </sheetViews>
  <sheetFormatPr defaultRowHeight="14.5" x14ac:dyDescent="0.35"/>
  <cols>
    <col min="1" max="1" width="63.453125" bestFit="1" customWidth="1"/>
    <col min="2" max="3" width="10.453125" style="43" bestFit="1" customWidth="1"/>
    <col min="4" max="4" width="128.6328125" bestFit="1" customWidth="1"/>
  </cols>
  <sheetData>
    <row r="1" spans="1:4" x14ac:dyDescent="0.35">
      <c r="A1" t="s">
        <v>54</v>
      </c>
      <c r="B1" s="43" t="s">
        <v>55</v>
      </c>
      <c r="C1" s="43" t="s">
        <v>57</v>
      </c>
      <c r="D1" t="s">
        <v>59</v>
      </c>
    </row>
    <row r="2" spans="1:4" x14ac:dyDescent="0.35">
      <c r="A2" t="s">
        <v>34</v>
      </c>
      <c r="B2" s="43" t="s">
        <v>56</v>
      </c>
      <c r="C2" s="43" t="s">
        <v>58</v>
      </c>
      <c r="D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Temp - By Factory</vt:lpstr>
      <vt:lpstr>Temp - By Month</vt:lpstr>
      <vt:lpstr>SetupDB</vt:lpstr>
      <vt:lpstr>HOME</vt:lpstr>
      <vt:lpstr>RPA1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2024-09-12T06:44:02Z</dcterms:modified>
</cp:coreProperties>
</file>