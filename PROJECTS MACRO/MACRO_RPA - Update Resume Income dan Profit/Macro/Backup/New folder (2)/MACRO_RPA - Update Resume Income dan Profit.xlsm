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RPA 00\MACRO_RPA - Update Resume Income dan Profit\Macro\"/>
    </mc:Choice>
  </mc:AlternateContent>
  <xr:revisionPtr revIDLastSave="0" documentId="13_ncr:1_{DB191AE4-4320-4073-BA92-7B51B7CA3324}" xr6:coauthVersionLast="47" xr6:coauthVersionMax="47" xr10:uidLastSave="{00000000-0000-0000-0000-000000000000}"/>
  <bookViews>
    <workbookView xWindow="-110" yWindow="-110" windowWidth="19420" windowHeight="10300" tabRatio="816" firstSheet="3" activeTab="4" xr2:uid="{2CCE3C95-2940-4053-8BE7-2A6EFE1350AC}"/>
  </bookViews>
  <sheets>
    <sheet name="Temp - By Factory" sheetId="245" state="hidden" r:id="rId1"/>
    <sheet name="Temp - By Month" sheetId="244" state="hidden" r:id="rId2"/>
    <sheet name="SetupDB" sheetId="213" state="hidden" r:id="rId3"/>
    <sheet name="HOME" sheetId="2" r:id="rId4"/>
    <sheet name="RPA1" sheetId="436" r:id="rId5"/>
  </sheets>
  <functionGroups builtInGroupCount="19"/>
  <definedNames>
    <definedName name="_xlnm._FilterDatabase" localSheetId="0" hidden="1">'Temp - By Factory'!$A$1:$G$35</definedName>
    <definedName name="_xlnm.Print_Area" localSheetId="0">'Temp - By Factory'!$A$1:$G$97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2" l="1"/>
  <c r="G12" i="2"/>
  <c r="G15" i="2" s="1"/>
  <c r="G16" i="2" l="1"/>
  <c r="N54" i="244" l="1"/>
  <c r="M54" i="244"/>
  <c r="L54" i="244"/>
  <c r="K54" i="244"/>
  <c r="J54" i="244"/>
  <c r="I54" i="244"/>
  <c r="H54" i="244"/>
  <c r="G54" i="244"/>
  <c r="F54" i="244"/>
  <c r="E54" i="244"/>
  <c r="D54" i="244"/>
  <c r="C54" i="244"/>
  <c r="N41" i="244"/>
  <c r="M41" i="244"/>
  <c r="L41" i="244"/>
  <c r="K41" i="244"/>
  <c r="J41" i="244"/>
  <c r="I41" i="244"/>
  <c r="H41" i="244"/>
  <c r="G41" i="244"/>
  <c r="F41" i="244"/>
  <c r="E41" i="244"/>
  <c r="D41" i="244"/>
  <c r="C41" i="244"/>
  <c r="N28" i="244"/>
  <c r="M28" i="244"/>
  <c r="L28" i="244"/>
  <c r="K28" i="244"/>
  <c r="J28" i="244"/>
  <c r="I28" i="244"/>
  <c r="H28" i="244"/>
  <c r="G28" i="244"/>
  <c r="F28" i="244"/>
  <c r="E28" i="244"/>
  <c r="D28" i="244"/>
  <c r="C28" i="244"/>
  <c r="N15" i="244"/>
  <c r="M15" i="244"/>
  <c r="L15" i="244"/>
  <c r="K15" i="244"/>
  <c r="J15" i="244"/>
  <c r="I15" i="244"/>
  <c r="H15" i="244"/>
  <c r="G15" i="244"/>
  <c r="F15" i="244"/>
  <c r="E15" i="244"/>
  <c r="D15" i="244"/>
  <c r="C15" i="244"/>
  <c r="B2" i="244" l="1"/>
</calcChain>
</file>

<file path=xl/sharedStrings.xml><?xml version="1.0" encoding="utf-8"?>
<sst xmlns="http://schemas.openxmlformats.org/spreadsheetml/2006/main" count="230" uniqueCount="66">
  <si>
    <t>-</t>
  </si>
  <si>
    <t>•ENTITY</t>
  </si>
  <si>
    <t>•VALUE 1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</si>
  <si>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</si>
  <si>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</si>
  <si>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PERIODE BULAN</t>
  </si>
  <si>
    <t>.xlsx</t>
  </si>
  <si>
    <t>CBA</t>
  </si>
  <si>
    <t>CHW</t>
  </si>
  <si>
    <t>CNJ2</t>
  </si>
  <si>
    <t>CVA</t>
  </si>
  <si>
    <t>CVA2</t>
  </si>
  <si>
    <t>KLB</t>
  </si>
  <si>
    <t>MJ1</t>
  </si>
  <si>
    <t>MJ2</t>
  </si>
  <si>
    <t>Grand Total</t>
  </si>
  <si>
    <t>Plan</t>
  </si>
  <si>
    <t>Output</t>
  </si>
  <si>
    <t>Income</t>
  </si>
  <si>
    <t>Profit</t>
  </si>
  <si>
    <t>FACTORY</t>
  </si>
  <si>
    <t>BULAN</t>
  </si>
  <si>
    <t>PLAN INCOME</t>
  </si>
  <si>
    <t>TOTAL OUTPUT</t>
  </si>
  <si>
    <t>INCOME</t>
  </si>
  <si>
    <t>COST</t>
  </si>
  <si>
    <t>PROFIT</t>
  </si>
  <si>
    <t>REALISASI INCOME</t>
  </si>
  <si>
    <t>MySql Connector/ODBC</t>
  </si>
  <si>
    <t>Connection &amp; Data Source Name</t>
  </si>
  <si>
    <t>dsn=db_gstc</t>
  </si>
  <si>
    <t>ThisWorkbook.Worksheets("SetupDB").Range("A3").VALUE</t>
  </si>
  <si>
    <t>LOKASI FILE - Tarikan GCC (GCC - Report Kapasitas From Sales.csv)</t>
  </si>
  <si>
    <t>•VALUE 2</t>
  </si>
  <si>
    <t>http://10.8.0.108/ggi-is/public/pic/schedule/report_kapasitas_from_sales</t>
  </si>
  <si>
    <t>LOKASI FILE - Hasil olahan RPA (GI-IS - Cost Factory Report)</t>
  </si>
  <si>
    <t>\\10.8.0.35\Bersama\IT\Macro Record Projects\Local Project\Income dan Profit\Macaro v2\Target</t>
  </si>
  <si>
    <t>•VALUE 3</t>
  </si>
  <si>
    <t>JANUARY</t>
  </si>
  <si>
    <t>FEBRUARY</t>
  </si>
  <si>
    <t>MARCH</t>
  </si>
  <si>
    <t>CJL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</si>
  <si>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</si>
  <si>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</si>
  <si>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</si>
  <si>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</si>
  <si>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</si>
  <si>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</si>
  <si>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</si>
  <si>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</si>
  <si>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</si>
  <si>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FACTORY     :</t>
  </si>
  <si>
    <t>`</t>
  </si>
  <si>
    <t>Link</t>
  </si>
  <si>
    <t>Date From</t>
  </si>
  <si>
    <t>Date To</t>
  </si>
  <si>
    <t>Save To</t>
  </si>
  <si>
    <t>LOKASI FOLDER - Resume Income Factory (Hasil Pengolahan Macro)</t>
  </si>
  <si>
    <t>LOKASI FOLDER - Data Income per-factory (Hasil Pengolahan Macro)</t>
  </si>
  <si>
    <t>=TEXT(NOW(),"[$-409]mmmm")</t>
  </si>
  <si>
    <t>\\10.8.0.35\Bersama\IT\RPA\GI-IS - Cost Factory Report.xlsx</t>
  </si>
  <si>
    <t>\\10.8.0.35\Bersama\IT\RPA 00\MACRO_RPA - Update Resume Income dan Profit\Source\Tarikan GCC\GCC - Report Kapasitas From Sales.csv</t>
  </si>
  <si>
    <t>\\10.8.0.35\Bersama\IT\RPA 00\MACRO_RPA - Update Resume Income dan Profit\Hasil Pengolahan Macro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</si>
  <si>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</si>
  <si>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8/1/2024</t>
  </si>
  <si>
    <t>8/31/2024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</si>
</sst>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_);[Red]_(&quot;$&quot;* \(#,##0.00\);_(&quot;$&quot;* &quot;-&quot;??_);_(@_)"/>
    <numFmt numFmtId="165" formatCode="#,###"/>
    <numFmt numFmtId="166" formatCode="_(&quot;$&quot;* #,##0_);_(&quot;$&quot;* \(#,##0\);_(&quot;$&quot;* &quot;-&quot;??_);_(@_)"/>
    <numFmt numFmtId="167" formatCode="_(* #,##0_);_(* \(#,##0\);_(* &quot;-&quot;??_);_(@_)"/>
    <numFmt numFmtId="168" formatCode="0.0%"/>
    <numFmt numFmtId="169" formatCode="_(&quot;$&quot;* #,##0.00_);[Red]_(&quot;$&quot;* \(#,##0.00\);_(&quot;$&quot;* &quot;-&quot;??_);_(&quot;-&quot;_)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0" fontId="0" fillId="0" borderId="2" xfId="0" applyBorder="1"/>
    <xf numFmtId="0" fontId="0" fillId="4" borderId="0" xfId="0" applyFill="1"/>
    <xf numFmtId="0" fontId="0" fillId="0" borderId="5" xfId="0" applyBorder="1"/>
    <xf numFmtId="0" fontId="0" fillId="0" borderId="6" xfId="0" applyBorder="1"/>
    <xf numFmtId="0" fontId="9" fillId="0" borderId="0" xfId="0" applyFont="1"/>
    <xf numFmtId="0" fontId="0" fillId="0" borderId="0" xfId="0" applyAlignment="1">
      <alignment horizontal="left"/>
    </xf>
    <xf numFmtId="0" fontId="11" fillId="3" borderId="3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1" applyFont="1" applyFill="1" applyAlignment="1"/>
    <xf numFmtId="0" fontId="0" fillId="0" borderId="0" xfId="1" applyFont="1" applyAlignment="1"/>
    <xf numFmtId="0" fontId="9" fillId="5" borderId="0" xfId="0" applyFont="1" applyFill="1"/>
    <xf numFmtId="0" fontId="9" fillId="5" borderId="4" xfId="0" applyFont="1" applyFill="1" applyBorder="1"/>
    <xf numFmtId="0" fontId="0" fillId="6" borderId="4" xfId="0" applyFill="1" applyBorder="1"/>
    <xf numFmtId="0" fontId="11" fillId="3" borderId="0" xfId="0" applyFont="1" applyFill="1" applyAlignment="1">
      <alignment horizontal="left" vertical="center"/>
    </xf>
    <xf numFmtId="0" fontId="1" fillId="0" borderId="0" xfId="1" applyFill="1" applyAlignment="1"/>
    <xf numFmtId="44" fontId="9" fillId="0" borderId="4" xfId="3" applyFont="1" applyFill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/>
    </xf>
    <xf numFmtId="44" fontId="9" fillId="0" borderId="4" xfId="3" applyFont="1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4" xfId="0" applyFont="1" applyBorder="1" applyAlignment="1">
      <alignment vertical="center"/>
    </xf>
    <xf numFmtId="164" fontId="0" fillId="0" borderId="4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164" fontId="0" fillId="0" borderId="4" xfId="0" applyNumberFormat="1" applyBorder="1"/>
    <xf numFmtId="167" fontId="0" fillId="0" borderId="4" xfId="2" applyNumberFormat="1" applyFont="1" applyBorder="1"/>
    <xf numFmtId="165" fontId="0" fillId="0" borderId="0" xfId="0" applyNumberFormat="1"/>
    <xf numFmtId="166" fontId="0" fillId="0" borderId="0" xfId="0" applyNumberFormat="1"/>
    <xf numFmtId="164" fontId="0" fillId="0" borderId="4" xfId="0" applyNumberFormat="1" applyBorder="1" applyAlignment="1">
      <alignment horizontal="left"/>
    </xf>
    <xf numFmtId="167" fontId="0" fillId="0" borderId="4" xfId="2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169" fontId="9" fillId="0" borderId="4" xfId="0" applyNumberFormat="1" applyFont="1" applyBorder="1" applyAlignment="1">
      <alignment horizontal="right"/>
    </xf>
    <xf numFmtId="168" fontId="9" fillId="0" borderId="4" xfId="0" applyNumberFormat="1" applyFont="1" applyBorder="1" applyAlignment="1">
      <alignment horizontal="right"/>
    </xf>
    <xf numFmtId="49" fontId="13" fillId="0" borderId="0" xfId="1" applyNumberFormat="1" applyFont="1" applyAlignment="1">
      <alignment horizontal="left"/>
    </xf>
    <xf numFmtId="0" fontId="0" fillId="0" borderId="0" xfId="1" applyFont="1" applyFill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left"/>
    </xf>
    <xf numFmtId="15" fontId="0" fillId="0" borderId="0" xfId="0" applyNumberFormat="1"/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4">
    <cellStyle name="Comma" xfId="2" builtinId="3"/>
    <cellStyle name="Currency" xfId="3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1185647</xdr:colOff>
      <xdr:row>2</xdr:row>
      <xdr:rowOff>14567</xdr:rowOff>
    </xdr:from>
    <xdr:to>
      <xdr:col>6</xdr:col>
      <xdr:colOff>720121</xdr:colOff>
      <xdr:row>6</xdr:row>
      <xdr:rowOff>97116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460941" y="492685"/>
          <a:ext cx="1925062" cy="650313"/>
          <a:chOff x="9159247" y="370892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59247" y="370892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Proses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300-000002080000}"/>
                  </a:ext>
                </a:extLst>
              </xdr:cNvPr>
              <xdr:cNvSpPr/>
            </xdr:nvSpPr>
            <xdr:spPr bwMode="auto">
              <a:xfrm>
                <a:off x="9321172" y="466143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246184</xdr:colOff>
      <xdr:row>12</xdr:row>
      <xdr:rowOff>79131</xdr:rowOff>
    </xdr:from>
    <xdr:to>
      <xdr:col>3</xdr:col>
      <xdr:colOff>312444</xdr:colOff>
      <xdr:row>12</xdr:row>
      <xdr:rowOff>219264</xdr:rowOff>
    </xdr:to>
    <xdr:sp macro="[0]!BUTTON_CariFile_CostFactoryRe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923084" y="227940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13</xdr:row>
      <xdr:rowOff>94887</xdr:rowOff>
    </xdr:from>
    <xdr:to>
      <xdr:col>3</xdr:col>
      <xdr:colOff>313601</xdr:colOff>
      <xdr:row>13</xdr:row>
      <xdr:rowOff>235020</xdr:rowOff>
    </xdr:to>
    <xdr:sp macro="[0]!BUTTON_CariFile_KapasitasFromSal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924241" y="25428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14</xdr:row>
      <xdr:rowOff>85362</xdr:rowOff>
    </xdr:from>
    <xdr:to>
      <xdr:col>3</xdr:col>
      <xdr:colOff>313601</xdr:colOff>
      <xdr:row>15</xdr:row>
      <xdr:rowOff>0</xdr:rowOff>
    </xdr:to>
    <xdr:sp macro="[0]!BUTTON_CariFolder_RerumeIncomeFactory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924241" y="2780937"/>
          <a:ext cx="66260" cy="1782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2094072</xdr:colOff>
      <xdr:row>2</xdr:row>
      <xdr:rowOff>23159</xdr:rowOff>
    </xdr:from>
    <xdr:to>
      <xdr:col>3</xdr:col>
      <xdr:colOff>66818</xdr:colOff>
      <xdr:row>6</xdr:row>
      <xdr:rowOff>105708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0954" y="501277"/>
          <a:ext cx="1924688" cy="6503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2279650</xdr:colOff>
          <xdr:row>3</xdr:row>
          <xdr:rowOff>19050</xdr:rowOff>
        </xdr:from>
        <xdr:to>
          <xdr:col>2</xdr:col>
          <xdr:colOff>3816350</xdr:colOff>
          <xdr:row>5</xdr:row>
          <xdr:rowOff>6350</xdr:rowOff>
        </xdr:to>
        <xdr:sp macro="" textlink="">
          <xdr:nvSpPr>
            <xdr:cNvPr id="2052" name="cmd_CreateRP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247341</xdr:colOff>
      <xdr:row>15</xdr:row>
      <xdr:rowOff>85362</xdr:rowOff>
    </xdr:from>
    <xdr:to>
      <xdr:col>3</xdr:col>
      <xdr:colOff>313601</xdr:colOff>
      <xdr:row>16</xdr:row>
      <xdr:rowOff>0</xdr:rowOff>
    </xdr:to>
    <xdr:sp macro="[0]!BUTTON_CariFolder_RerumeIncomeFactory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625791" y="2790462"/>
          <a:ext cx="66260" cy="168638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0.8.0.108/ggi-is/public/pic/schedule/report_kapasitas_from_sale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035BA-8330-419C-9617-51EED4474644}">
  <sheetPr codeName="Sheet3">
    <pageSetUpPr fitToPage="1"/>
  </sheetPr>
  <dimension ref="A1:G35"/>
  <sheetViews>
    <sheetView topLeftCell="A19" workbookViewId="0">
      <selection activeCell="C39" sqref="C39"/>
    </sheetView>
  </sheetViews>
  <sheetFormatPr defaultColWidth="9.1796875" defaultRowHeight="14.5" x14ac:dyDescent="0.35"/>
  <cols>
    <col min="1" max="1" width="11.26953125" style="6" bestFit="1" customWidth="1"/>
    <col min="2" max="2" width="14.26953125" style="6" bestFit="1" customWidth="1"/>
    <col min="3" max="3" width="14.54296875" style="6" bestFit="1" customWidth="1"/>
    <col min="4" max="5" width="14.26953125" style="6" bestFit="1" customWidth="1"/>
    <col min="6" max="6" width="14.453125" style="6" customWidth="1"/>
    <col min="7" max="7" width="18.81640625" style="6" customWidth="1"/>
    <col min="8" max="16384" width="9.1796875" style="6"/>
  </cols>
  <sheetData>
    <row r="1" spans="1:7" x14ac:dyDescent="0.35">
      <c r="A1" s="34" t="s">
        <v>51</v>
      </c>
      <c r="B1" s="34" t="s">
        <v>7</v>
      </c>
    </row>
    <row r="2" spans="1:7" x14ac:dyDescent="0.35">
      <c r="A2" s="35" t="s">
        <v>21</v>
      </c>
      <c r="B2" s="36" t="s">
        <v>22</v>
      </c>
      <c r="C2" s="36" t="s">
        <v>23</v>
      </c>
      <c r="D2" s="36" t="s">
        <v>24</v>
      </c>
      <c r="E2" s="36" t="s">
        <v>25</v>
      </c>
      <c r="F2" s="36" t="s">
        <v>26</v>
      </c>
      <c r="G2" s="37" t="s">
        <v>27</v>
      </c>
    </row>
    <row r="3" spans="1:7" x14ac:dyDescent="0.35">
      <c r="A3" s="38" t="s">
        <v>15</v>
      </c>
      <c r="B3" s="39"/>
      <c r="C3" s="39"/>
      <c r="D3" s="39"/>
      <c r="E3" s="39"/>
      <c r="F3" s="39"/>
      <c r="G3" s="40"/>
    </row>
    <row r="5" spans="1:7" x14ac:dyDescent="0.35">
      <c r="A5" s="34" t="s">
        <v>51</v>
      </c>
      <c r="B5" s="34" t="s">
        <v>8</v>
      </c>
    </row>
    <row r="6" spans="1:7" x14ac:dyDescent="0.35">
      <c r="A6" s="35" t="s">
        <v>21</v>
      </c>
      <c r="B6" s="36" t="s">
        <v>22</v>
      </c>
      <c r="C6" s="36" t="s">
        <v>23</v>
      </c>
      <c r="D6" s="36" t="s">
        <v>24</v>
      </c>
      <c r="E6" s="36" t="s">
        <v>25</v>
      </c>
      <c r="F6" s="36" t="s">
        <v>26</v>
      </c>
      <c r="G6" s="37" t="s">
        <v>27</v>
      </c>
    </row>
    <row r="7" spans="1:7" x14ac:dyDescent="0.35">
      <c r="A7" s="38" t="s">
        <v>15</v>
      </c>
      <c r="B7" s="39"/>
      <c r="C7" s="39"/>
      <c r="D7" s="39"/>
      <c r="E7" s="39"/>
      <c r="F7" s="39"/>
      <c r="G7" s="40"/>
    </row>
    <row r="9" spans="1:7" x14ac:dyDescent="0.35">
      <c r="A9" s="34" t="s">
        <v>51</v>
      </c>
      <c r="B9" s="34" t="s">
        <v>41</v>
      </c>
    </row>
    <row r="10" spans="1:7" x14ac:dyDescent="0.35">
      <c r="A10" s="35" t="s">
        <v>21</v>
      </c>
      <c r="B10" s="36" t="s">
        <v>22</v>
      </c>
      <c r="C10" s="36" t="s">
        <v>23</v>
      </c>
      <c r="D10" s="36" t="s">
        <v>24</v>
      </c>
      <c r="E10" s="36" t="s">
        <v>25</v>
      </c>
      <c r="F10" s="36" t="s">
        <v>26</v>
      </c>
      <c r="G10" s="37" t="s">
        <v>27</v>
      </c>
    </row>
    <row r="11" spans="1:7" x14ac:dyDescent="0.35">
      <c r="A11" s="38" t="s">
        <v>15</v>
      </c>
      <c r="B11" s="39"/>
      <c r="C11" s="39"/>
      <c r="D11" s="39"/>
      <c r="E11" s="39"/>
      <c r="F11" s="39"/>
      <c r="G11" s="40"/>
    </row>
    <row r="13" spans="1:7" x14ac:dyDescent="0.35">
      <c r="A13" s="34" t="s">
        <v>51</v>
      </c>
      <c r="B13" s="34" t="s">
        <v>9</v>
      </c>
    </row>
    <row r="14" spans="1:7" x14ac:dyDescent="0.35">
      <c r="A14" s="35" t="s">
        <v>21</v>
      </c>
      <c r="B14" s="36" t="s">
        <v>22</v>
      </c>
      <c r="C14" s="36" t="s">
        <v>23</v>
      </c>
      <c r="D14" s="36" t="s">
        <v>24</v>
      </c>
      <c r="E14" s="36" t="s">
        <v>25</v>
      </c>
      <c r="F14" s="36" t="s">
        <v>26</v>
      </c>
      <c r="G14" s="37" t="s">
        <v>27</v>
      </c>
    </row>
    <row r="15" spans="1:7" x14ac:dyDescent="0.35">
      <c r="A15" s="38" t="s">
        <v>15</v>
      </c>
      <c r="B15" s="39"/>
      <c r="C15" s="39"/>
      <c r="D15" s="39"/>
      <c r="E15" s="39"/>
      <c r="F15" s="39"/>
      <c r="G15" s="40"/>
    </row>
    <row r="17" spans="1:7" x14ac:dyDescent="0.35">
      <c r="A17" s="34" t="s">
        <v>51</v>
      </c>
      <c r="B17" s="34" t="s">
        <v>10</v>
      </c>
    </row>
    <row r="18" spans="1:7" x14ac:dyDescent="0.35">
      <c r="A18" s="35" t="s">
        <v>21</v>
      </c>
      <c r="B18" s="36" t="s">
        <v>22</v>
      </c>
      <c r="C18" s="36" t="s">
        <v>23</v>
      </c>
      <c r="D18" s="36" t="s">
        <v>24</v>
      </c>
      <c r="E18" s="36" t="s">
        <v>25</v>
      </c>
      <c r="F18" s="36" t="s">
        <v>26</v>
      </c>
      <c r="G18" s="37" t="s">
        <v>27</v>
      </c>
    </row>
    <row r="19" spans="1:7" x14ac:dyDescent="0.35">
      <c r="A19" s="38" t="s">
        <v>15</v>
      </c>
      <c r="B19" s="39"/>
      <c r="C19" s="39"/>
      <c r="D19" s="39"/>
      <c r="E19" s="39"/>
      <c r="F19" s="39"/>
      <c r="G19" s="40"/>
    </row>
    <row r="21" spans="1:7" x14ac:dyDescent="0.35">
      <c r="A21" s="34" t="s">
        <v>51</v>
      </c>
      <c r="B21" s="34" t="s">
        <v>11</v>
      </c>
    </row>
    <row r="22" spans="1:7" x14ac:dyDescent="0.35">
      <c r="A22" s="35" t="s">
        <v>21</v>
      </c>
      <c r="B22" s="36" t="s">
        <v>22</v>
      </c>
      <c r="C22" s="36" t="s">
        <v>23</v>
      </c>
      <c r="D22" s="36" t="s">
        <v>24</v>
      </c>
      <c r="E22" s="36" t="s">
        <v>25</v>
      </c>
      <c r="F22" s="36" t="s">
        <v>26</v>
      </c>
      <c r="G22" s="37" t="s">
        <v>27</v>
      </c>
    </row>
    <row r="23" spans="1:7" x14ac:dyDescent="0.35">
      <c r="A23" s="38" t="s">
        <v>15</v>
      </c>
      <c r="B23" s="39"/>
      <c r="C23" s="39"/>
      <c r="D23" s="39"/>
      <c r="E23" s="39"/>
      <c r="F23" s="39"/>
      <c r="G23" s="40"/>
    </row>
    <row r="25" spans="1:7" x14ac:dyDescent="0.35">
      <c r="A25" s="34" t="s">
        <v>51</v>
      </c>
      <c r="B25" s="34" t="s">
        <v>12</v>
      </c>
    </row>
    <row r="26" spans="1:7" x14ac:dyDescent="0.35">
      <c r="A26" s="35" t="s">
        <v>21</v>
      </c>
      <c r="B26" s="36" t="s">
        <v>22</v>
      </c>
      <c r="C26" s="36" t="s">
        <v>23</v>
      </c>
      <c r="D26" s="36" t="s">
        <v>24</v>
      </c>
      <c r="E26" s="36" t="s">
        <v>25</v>
      </c>
      <c r="F26" s="36" t="s">
        <v>26</v>
      </c>
      <c r="G26" s="37" t="s">
        <v>27</v>
      </c>
    </row>
    <row r="27" spans="1:7" x14ac:dyDescent="0.35">
      <c r="A27" s="38" t="s">
        <v>15</v>
      </c>
      <c r="B27" s="39"/>
      <c r="C27" s="39"/>
      <c r="D27" s="39"/>
      <c r="E27" s="39"/>
      <c r="F27" s="39"/>
      <c r="G27" s="40"/>
    </row>
    <row r="29" spans="1:7" x14ac:dyDescent="0.35">
      <c r="A29" s="34" t="s">
        <v>51</v>
      </c>
      <c r="B29" s="34" t="s">
        <v>13</v>
      </c>
    </row>
    <row r="30" spans="1:7" x14ac:dyDescent="0.35">
      <c r="A30" s="35" t="s">
        <v>21</v>
      </c>
      <c r="B30" s="36" t="s">
        <v>22</v>
      </c>
      <c r="C30" s="36" t="s">
        <v>23</v>
      </c>
      <c r="D30" s="36" t="s">
        <v>24</v>
      </c>
      <c r="E30" s="36" t="s">
        <v>25</v>
      </c>
      <c r="F30" s="36" t="s">
        <v>26</v>
      </c>
      <c r="G30" s="37" t="s">
        <v>27</v>
      </c>
    </row>
    <row r="31" spans="1:7" x14ac:dyDescent="0.35">
      <c r="A31" s="38" t="s">
        <v>15</v>
      </c>
      <c r="B31" s="39"/>
      <c r="C31" s="39"/>
      <c r="D31" s="39"/>
      <c r="E31" s="39"/>
      <c r="F31" s="39"/>
      <c r="G31" s="40"/>
    </row>
    <row r="33" spans="1:7" x14ac:dyDescent="0.35">
      <c r="A33" s="34" t="s">
        <v>51</v>
      </c>
      <c r="B33" s="34" t="s">
        <v>14</v>
      </c>
    </row>
    <row r="34" spans="1:7" x14ac:dyDescent="0.35">
      <c r="A34" s="35" t="s">
        <v>21</v>
      </c>
      <c r="B34" s="36" t="s">
        <v>22</v>
      </c>
      <c r="C34" s="36" t="s">
        <v>23</v>
      </c>
      <c r="D34" s="36" t="s">
        <v>24</v>
      </c>
      <c r="E34" s="36" t="s">
        <v>25</v>
      </c>
      <c r="F34" s="36" t="s">
        <v>26</v>
      </c>
      <c r="G34" s="37" t="s">
        <v>27</v>
      </c>
    </row>
    <row r="35" spans="1:7" x14ac:dyDescent="0.35">
      <c r="A35" s="38" t="s">
        <v>15</v>
      </c>
      <c r="B35" s="39"/>
      <c r="C35" s="39"/>
      <c r="D35" s="39"/>
      <c r="E35" s="39"/>
      <c r="F35" s="39"/>
      <c r="G35" s="40"/>
    </row>
  </sheetData>
  <printOptions horizontalCentered="1"/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6D97A-8E4D-476A-9F49-A42747D3B093}">
  <sheetPr codeName="Sheet2"/>
  <dimension ref="B2:AB54"/>
  <sheetViews>
    <sheetView workbookViewId="0">
      <selection activeCell="D40" sqref="D40"/>
    </sheetView>
  </sheetViews>
  <sheetFormatPr defaultRowHeight="14.5" x14ac:dyDescent="0.35"/>
  <cols>
    <col min="1" max="1" width="3" customWidth="1"/>
    <col min="2" max="2" width="11.26953125" bestFit="1" customWidth="1"/>
    <col min="3" max="5" width="14.26953125" bestFit="1" customWidth="1"/>
    <col min="6" max="6" width="13.453125" bestFit="1" customWidth="1"/>
    <col min="7" max="9" width="14.26953125" bestFit="1" customWidth="1"/>
    <col min="10" max="11" width="12.54296875" bestFit="1" customWidth="1"/>
    <col min="12" max="13" width="14.26953125" bestFit="1" customWidth="1"/>
    <col min="14" max="14" width="12.54296875" bestFit="1" customWidth="1"/>
  </cols>
  <sheetData>
    <row r="2" spans="2:14" ht="23.5" x14ac:dyDescent="0.55000000000000004">
      <c r="B2" s="51" t="str">
        <f ca="1">"ANALISA PLAN VS REALISASI INCOME TH " &amp;HOME!$G$12</f>
        <v>ANALISA PLAN VS REALISASI INCOME TH 2024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</row>
    <row r="4" spans="2:14" s="6" customFormat="1" x14ac:dyDescent="0.35">
      <c r="B4" s="46" t="s">
        <v>20</v>
      </c>
      <c r="C4" s="47" t="s">
        <v>38</v>
      </c>
      <c r="D4" s="47"/>
      <c r="E4" s="47"/>
      <c r="F4" s="48"/>
      <c r="G4" s="49" t="s">
        <v>39</v>
      </c>
      <c r="H4" s="47"/>
      <c r="I4" s="47"/>
      <c r="J4" s="47"/>
      <c r="K4" s="49" t="s">
        <v>40</v>
      </c>
      <c r="L4" s="47"/>
      <c r="M4" s="47"/>
      <c r="N4" s="47"/>
    </row>
    <row r="5" spans="2:14" s="24" customFormat="1" x14ac:dyDescent="0.35">
      <c r="B5" s="46"/>
      <c r="C5" s="20" t="s">
        <v>16</v>
      </c>
      <c r="D5" s="21" t="s">
        <v>17</v>
      </c>
      <c r="E5" s="22" t="s">
        <v>18</v>
      </c>
      <c r="F5" s="23" t="s">
        <v>19</v>
      </c>
      <c r="G5" s="20" t="s">
        <v>16</v>
      </c>
      <c r="H5" s="21" t="s">
        <v>17</v>
      </c>
      <c r="I5" s="22" t="s">
        <v>18</v>
      </c>
      <c r="J5" s="23" t="s">
        <v>19</v>
      </c>
      <c r="K5" s="20" t="s">
        <v>16</v>
      </c>
      <c r="L5" s="21" t="s">
        <v>17</v>
      </c>
      <c r="M5" s="22" t="s">
        <v>18</v>
      </c>
      <c r="N5" s="23" t="s">
        <v>19</v>
      </c>
    </row>
    <row r="6" spans="2:14" x14ac:dyDescent="0.35">
      <c r="B6" s="25" t="s">
        <v>7</v>
      </c>
      <c r="C6" s="26"/>
      <c r="D6" s="27"/>
      <c r="E6" s="26"/>
      <c r="F6" s="26"/>
      <c r="G6" s="26"/>
      <c r="H6" s="27"/>
      <c r="I6" s="26"/>
      <c r="J6" s="26"/>
      <c r="K6" s="26"/>
      <c r="L6" s="27"/>
      <c r="M6" s="26"/>
      <c r="N6" s="26"/>
    </row>
    <row r="7" spans="2:14" x14ac:dyDescent="0.35">
      <c r="B7" s="25" t="s">
        <v>8</v>
      </c>
      <c r="C7" s="26"/>
      <c r="D7" s="27"/>
      <c r="E7" s="26"/>
      <c r="F7" s="26"/>
      <c r="G7" s="26"/>
      <c r="H7" s="27"/>
      <c r="I7" s="26"/>
      <c r="J7" s="26"/>
      <c r="K7" s="26"/>
      <c r="L7" s="27"/>
      <c r="M7" s="26"/>
      <c r="N7" s="26"/>
    </row>
    <row r="8" spans="2:14" x14ac:dyDescent="0.35">
      <c r="B8" s="25" t="s">
        <v>41</v>
      </c>
      <c r="C8" s="26"/>
      <c r="D8" s="27"/>
      <c r="E8" s="26"/>
      <c r="F8" s="26"/>
      <c r="G8" s="26"/>
      <c r="H8" s="27"/>
      <c r="I8" s="26"/>
      <c r="J8" s="26"/>
      <c r="K8" s="26"/>
      <c r="L8" s="27"/>
      <c r="M8" s="26"/>
      <c r="N8" s="26"/>
    </row>
    <row r="9" spans="2:14" x14ac:dyDescent="0.35">
      <c r="B9" s="25" t="s">
        <v>9</v>
      </c>
      <c r="C9" s="26"/>
      <c r="D9" s="27"/>
      <c r="E9" s="26"/>
      <c r="F9" s="26"/>
      <c r="G9" s="26"/>
      <c r="H9" s="27"/>
      <c r="I9" s="26"/>
      <c r="J9" s="26"/>
      <c r="K9" s="26"/>
      <c r="L9" s="27"/>
      <c r="M9" s="26"/>
      <c r="N9" s="26"/>
    </row>
    <row r="10" spans="2:14" x14ac:dyDescent="0.35">
      <c r="B10" s="25" t="s">
        <v>10</v>
      </c>
      <c r="C10" s="26"/>
      <c r="D10" s="27"/>
      <c r="E10" s="26"/>
      <c r="F10" s="26"/>
      <c r="G10" s="26"/>
      <c r="H10" s="27"/>
      <c r="I10" s="26"/>
      <c r="J10" s="26"/>
      <c r="K10" s="26"/>
      <c r="L10" s="27"/>
      <c r="M10" s="26"/>
      <c r="N10" s="26"/>
    </row>
    <row r="11" spans="2:14" x14ac:dyDescent="0.35">
      <c r="B11" s="25" t="s">
        <v>11</v>
      </c>
      <c r="C11" s="26"/>
      <c r="D11" s="27"/>
      <c r="E11" s="26"/>
      <c r="F11" s="26"/>
      <c r="G11" s="26"/>
      <c r="H11" s="27"/>
      <c r="I11" s="26"/>
      <c r="J11" s="26"/>
      <c r="K11" s="26"/>
      <c r="L11" s="27"/>
      <c r="M11" s="26"/>
      <c r="N11" s="26"/>
    </row>
    <row r="12" spans="2:14" x14ac:dyDescent="0.35">
      <c r="B12" s="25" t="s">
        <v>12</v>
      </c>
      <c r="C12" s="26"/>
      <c r="D12" s="27"/>
      <c r="E12" s="26"/>
      <c r="F12" s="26"/>
      <c r="G12" s="26"/>
      <c r="H12" s="27"/>
      <c r="I12" s="26"/>
      <c r="J12" s="26"/>
      <c r="K12" s="26"/>
      <c r="L12" s="27"/>
      <c r="M12" s="26"/>
      <c r="N12" s="26"/>
    </row>
    <row r="13" spans="2:14" x14ac:dyDescent="0.35">
      <c r="B13" s="25" t="s">
        <v>13</v>
      </c>
      <c r="C13" s="26"/>
      <c r="D13" s="27"/>
      <c r="E13" s="26"/>
      <c r="F13" s="26"/>
      <c r="G13" s="26"/>
      <c r="H13" s="27"/>
      <c r="I13" s="26"/>
      <c r="J13" s="26"/>
      <c r="K13" s="26"/>
      <c r="L13" s="27"/>
      <c r="M13" s="26"/>
      <c r="N13" s="26"/>
    </row>
    <row r="14" spans="2:14" x14ac:dyDescent="0.35">
      <c r="B14" s="25" t="s">
        <v>14</v>
      </c>
      <c r="C14" s="26"/>
      <c r="D14" s="27"/>
      <c r="E14" s="26"/>
      <c r="F14" s="26"/>
      <c r="G14" s="26"/>
      <c r="H14" s="27"/>
      <c r="I14" s="26"/>
      <c r="J14" s="26"/>
      <c r="K14" s="26"/>
      <c r="L14" s="27"/>
      <c r="M14" s="26"/>
      <c r="N14" s="26"/>
    </row>
    <row r="15" spans="2:14" x14ac:dyDescent="0.35">
      <c r="B15" s="25" t="s">
        <v>15</v>
      </c>
      <c r="C15" s="28">
        <f>SUM(C6:C14)</f>
        <v>0</v>
      </c>
      <c r="D15" s="29">
        <f t="shared" ref="D15:N15" si="0">SUM(D6:D14)</f>
        <v>0</v>
      </c>
      <c r="E15" s="28">
        <f t="shared" si="0"/>
        <v>0</v>
      </c>
      <c r="F15" s="28">
        <f t="shared" si="0"/>
        <v>0</v>
      </c>
      <c r="G15" s="28">
        <f t="shared" si="0"/>
        <v>0</v>
      </c>
      <c r="H15" s="29">
        <f t="shared" si="0"/>
        <v>0</v>
      </c>
      <c r="I15" s="28">
        <f t="shared" si="0"/>
        <v>0</v>
      </c>
      <c r="J15" s="28">
        <f t="shared" si="0"/>
        <v>0</v>
      </c>
      <c r="K15" s="28">
        <f t="shared" si="0"/>
        <v>0</v>
      </c>
      <c r="L15" s="29">
        <f t="shared" si="0"/>
        <v>0</v>
      </c>
      <c r="M15" s="28">
        <f t="shared" si="0"/>
        <v>0</v>
      </c>
      <c r="N15" s="28">
        <f t="shared" si="0"/>
        <v>0</v>
      </c>
    </row>
    <row r="17" spans="2:28" x14ac:dyDescent="0.35">
      <c r="B17" s="46" t="s">
        <v>20</v>
      </c>
      <c r="C17" s="47" t="s">
        <v>42</v>
      </c>
      <c r="D17" s="47"/>
      <c r="E17" s="47"/>
      <c r="F17" s="48"/>
      <c r="G17" s="49" t="s">
        <v>43</v>
      </c>
      <c r="H17" s="47"/>
      <c r="I17" s="47"/>
      <c r="J17" s="47"/>
      <c r="K17" s="50" t="s">
        <v>44</v>
      </c>
      <c r="L17" s="50"/>
      <c r="M17" s="50"/>
      <c r="N17" s="50"/>
      <c r="O17" s="30"/>
      <c r="P17" s="31"/>
      <c r="Q17" s="31"/>
      <c r="R17" s="30"/>
      <c r="S17" s="31"/>
      <c r="T17" s="31"/>
      <c r="U17" s="30"/>
      <c r="V17" s="31"/>
      <c r="W17" s="30"/>
      <c r="X17" s="31"/>
      <c r="Y17" s="30"/>
      <c r="Z17" s="31"/>
      <c r="AA17" s="30"/>
      <c r="AB17" s="31"/>
    </row>
    <row r="18" spans="2:28" x14ac:dyDescent="0.35">
      <c r="B18" s="46"/>
      <c r="C18" s="20" t="s">
        <v>16</v>
      </c>
      <c r="D18" s="21" t="s">
        <v>17</v>
      </c>
      <c r="E18" s="22" t="s">
        <v>18</v>
      </c>
      <c r="F18" s="23" t="s">
        <v>19</v>
      </c>
      <c r="G18" s="20" t="s">
        <v>16</v>
      </c>
      <c r="H18" s="21" t="s">
        <v>17</v>
      </c>
      <c r="I18" s="22" t="s">
        <v>18</v>
      </c>
      <c r="J18" s="23" t="s">
        <v>19</v>
      </c>
      <c r="K18" s="20" t="s">
        <v>16</v>
      </c>
      <c r="L18" s="21" t="s">
        <v>17</v>
      </c>
      <c r="M18" s="22" t="s">
        <v>18</v>
      </c>
      <c r="N18" s="23" t="s">
        <v>19</v>
      </c>
      <c r="O18" s="30"/>
      <c r="P18" s="31"/>
      <c r="Q18" s="31"/>
      <c r="R18" s="30"/>
      <c r="S18" s="31"/>
      <c r="T18" s="31"/>
      <c r="U18" s="30"/>
      <c r="V18" s="31"/>
      <c r="W18" s="30"/>
      <c r="X18" s="31"/>
      <c r="Y18" s="30"/>
      <c r="Z18" s="31"/>
      <c r="AA18" s="30"/>
      <c r="AB18" s="31"/>
    </row>
    <row r="19" spans="2:28" x14ac:dyDescent="0.35">
      <c r="B19" s="25" t="s">
        <v>7</v>
      </c>
      <c r="C19" s="26"/>
      <c r="D19" s="27"/>
      <c r="E19" s="26"/>
      <c r="F19" s="26"/>
      <c r="G19" s="26"/>
      <c r="H19" s="27"/>
      <c r="I19" s="26"/>
      <c r="J19" s="26"/>
      <c r="K19" s="32"/>
      <c r="L19" s="27"/>
      <c r="M19" s="32"/>
      <c r="N19" s="32"/>
    </row>
    <row r="20" spans="2:28" x14ac:dyDescent="0.35">
      <c r="B20" s="25" t="s">
        <v>8</v>
      </c>
      <c r="C20" s="26"/>
      <c r="D20" s="27"/>
      <c r="E20" s="26"/>
      <c r="F20" s="26"/>
      <c r="G20" s="26"/>
      <c r="H20" s="27"/>
      <c r="I20" s="26"/>
      <c r="J20" s="26"/>
      <c r="K20" s="32"/>
      <c r="L20" s="27"/>
      <c r="M20" s="32"/>
      <c r="N20" s="32"/>
    </row>
    <row r="21" spans="2:28" x14ac:dyDescent="0.35">
      <c r="B21" s="25" t="s">
        <v>41</v>
      </c>
      <c r="C21" s="26"/>
      <c r="D21" s="27"/>
      <c r="E21" s="26"/>
      <c r="F21" s="26"/>
      <c r="G21" s="26"/>
      <c r="H21" s="27"/>
      <c r="I21" s="26"/>
      <c r="J21" s="26"/>
      <c r="K21" s="32"/>
      <c r="L21" s="27"/>
      <c r="M21" s="32"/>
      <c r="N21" s="32"/>
    </row>
    <row r="22" spans="2:28" x14ac:dyDescent="0.35">
      <c r="B22" s="25" t="s">
        <v>9</v>
      </c>
      <c r="C22" s="26"/>
      <c r="D22" s="27"/>
      <c r="E22" s="26"/>
      <c r="F22" s="26"/>
      <c r="G22" s="26"/>
      <c r="H22" s="27"/>
      <c r="I22" s="26"/>
      <c r="J22" s="26"/>
      <c r="K22" s="32"/>
      <c r="L22" s="27"/>
      <c r="M22" s="32"/>
      <c r="N22" s="32"/>
    </row>
    <row r="23" spans="2:28" x14ac:dyDescent="0.35">
      <c r="B23" s="25" t="s">
        <v>10</v>
      </c>
      <c r="C23" s="26"/>
      <c r="D23" s="27"/>
      <c r="E23" s="26"/>
      <c r="F23" s="26"/>
      <c r="G23" s="26"/>
      <c r="H23" s="27"/>
      <c r="I23" s="26"/>
      <c r="J23" s="26"/>
      <c r="K23" s="32"/>
      <c r="L23" s="27"/>
      <c r="M23" s="32"/>
      <c r="N23" s="32"/>
    </row>
    <row r="24" spans="2:28" x14ac:dyDescent="0.35">
      <c r="B24" s="25" t="s">
        <v>11</v>
      </c>
      <c r="C24" s="26"/>
      <c r="D24" s="27"/>
      <c r="E24" s="26"/>
      <c r="F24" s="26"/>
      <c r="G24" s="26"/>
      <c r="H24" s="27"/>
      <c r="I24" s="26"/>
      <c r="J24" s="26"/>
      <c r="K24" s="32"/>
      <c r="L24" s="27"/>
      <c r="M24" s="32"/>
      <c r="N24" s="32"/>
    </row>
    <row r="25" spans="2:28" x14ac:dyDescent="0.35">
      <c r="B25" s="25" t="s">
        <v>12</v>
      </c>
      <c r="C25" s="26"/>
      <c r="D25" s="27"/>
      <c r="E25" s="26"/>
      <c r="F25" s="26"/>
      <c r="G25" s="26"/>
      <c r="H25" s="27"/>
      <c r="I25" s="26"/>
      <c r="J25" s="26"/>
      <c r="K25" s="32"/>
      <c r="L25" s="27"/>
      <c r="M25" s="32"/>
      <c r="N25" s="32"/>
    </row>
    <row r="26" spans="2:28" x14ac:dyDescent="0.35">
      <c r="B26" s="25" t="s">
        <v>13</v>
      </c>
      <c r="C26" s="26"/>
      <c r="D26" s="27"/>
      <c r="E26" s="26"/>
      <c r="F26" s="26"/>
      <c r="G26" s="26"/>
      <c r="H26" s="27"/>
      <c r="I26" s="26"/>
      <c r="J26" s="26"/>
      <c r="K26" s="32"/>
      <c r="L26" s="27"/>
      <c r="M26" s="32"/>
      <c r="N26" s="32"/>
    </row>
    <row r="27" spans="2:28" x14ac:dyDescent="0.35">
      <c r="B27" s="25" t="s">
        <v>14</v>
      </c>
      <c r="C27" s="26"/>
      <c r="D27" s="27"/>
      <c r="E27" s="26"/>
      <c r="F27" s="26"/>
      <c r="G27" s="26"/>
      <c r="H27" s="27"/>
      <c r="I27" s="26"/>
      <c r="J27" s="26"/>
      <c r="K27" s="32"/>
      <c r="L27" s="27"/>
      <c r="M27" s="32"/>
      <c r="N27" s="32"/>
    </row>
    <row r="28" spans="2:28" x14ac:dyDescent="0.35">
      <c r="B28" s="25" t="s">
        <v>15</v>
      </c>
      <c r="C28" s="28">
        <f>SUM(C19:C27)</f>
        <v>0</v>
      </c>
      <c r="D28" s="29">
        <f t="shared" ref="D28:J28" si="1">SUM(D19:D27)</f>
        <v>0</v>
      </c>
      <c r="E28" s="28">
        <f t="shared" si="1"/>
        <v>0</v>
      </c>
      <c r="F28" s="28">
        <f t="shared" si="1"/>
        <v>0</v>
      </c>
      <c r="G28" s="28">
        <f t="shared" si="1"/>
        <v>0</v>
      </c>
      <c r="H28" s="29">
        <f t="shared" si="1"/>
        <v>0</v>
      </c>
      <c r="I28" s="28">
        <f t="shared" si="1"/>
        <v>0</v>
      </c>
      <c r="J28" s="28">
        <f t="shared" si="1"/>
        <v>0</v>
      </c>
      <c r="K28" s="32">
        <f>SUM(K22:K27)</f>
        <v>0</v>
      </c>
      <c r="L28" s="33">
        <f>SUM(L19:L27)</f>
        <v>0</v>
      </c>
      <c r="M28" s="32">
        <f>SUM(M19:M27)</f>
        <v>0</v>
      </c>
      <c r="N28" s="32">
        <f>SUM(N19:N27)</f>
        <v>0</v>
      </c>
    </row>
    <row r="30" spans="2:28" x14ac:dyDescent="0.35">
      <c r="B30" s="46" t="s">
        <v>20</v>
      </c>
      <c r="C30" s="47" t="s">
        <v>45</v>
      </c>
      <c r="D30" s="47"/>
      <c r="E30" s="47"/>
      <c r="F30" s="48"/>
      <c r="G30" s="49" t="s">
        <v>46</v>
      </c>
      <c r="H30" s="47"/>
      <c r="I30" s="47"/>
      <c r="J30" s="47"/>
      <c r="K30" s="49" t="s">
        <v>47</v>
      </c>
      <c r="L30" s="47"/>
      <c r="M30" s="47"/>
      <c r="N30" s="47"/>
      <c r="O30" s="30"/>
      <c r="P30" s="31"/>
      <c r="Q30" s="31"/>
      <c r="R30" s="30"/>
      <c r="S30" s="31"/>
      <c r="T30" s="31"/>
      <c r="U30" s="30"/>
      <c r="V30" s="31"/>
      <c r="W30" s="30"/>
      <c r="X30" s="31"/>
      <c r="Y30" s="30"/>
      <c r="Z30" s="31"/>
      <c r="AA30" s="30"/>
      <c r="AB30" s="31"/>
    </row>
    <row r="31" spans="2:28" x14ac:dyDescent="0.35">
      <c r="B31" s="46"/>
      <c r="C31" s="20" t="s">
        <v>16</v>
      </c>
      <c r="D31" s="21" t="s">
        <v>17</v>
      </c>
      <c r="E31" s="22" t="s">
        <v>18</v>
      </c>
      <c r="F31" s="23" t="s">
        <v>19</v>
      </c>
      <c r="G31" s="20" t="s">
        <v>16</v>
      </c>
      <c r="H31" s="21" t="s">
        <v>17</v>
      </c>
      <c r="I31" s="22" t="s">
        <v>18</v>
      </c>
      <c r="J31" s="23" t="s">
        <v>19</v>
      </c>
      <c r="K31" s="20" t="s">
        <v>16</v>
      </c>
      <c r="L31" s="21" t="s">
        <v>17</v>
      </c>
      <c r="M31" s="22" t="s">
        <v>18</v>
      </c>
      <c r="N31" s="23" t="s">
        <v>19</v>
      </c>
      <c r="O31" s="30"/>
      <c r="P31" s="31"/>
      <c r="Q31" s="31"/>
      <c r="R31" s="30"/>
      <c r="S31" s="31"/>
      <c r="T31" s="31"/>
      <c r="U31" s="30"/>
      <c r="V31" s="31"/>
      <c r="W31" s="30"/>
      <c r="X31" s="31"/>
      <c r="Y31" s="30"/>
      <c r="Z31" s="31"/>
      <c r="AA31" s="30"/>
      <c r="AB31" s="31"/>
    </row>
    <row r="32" spans="2:28" x14ac:dyDescent="0.35">
      <c r="B32" s="25" t="s">
        <v>7</v>
      </c>
      <c r="C32" s="32"/>
      <c r="D32" s="27"/>
      <c r="E32" s="32"/>
      <c r="F32" s="32"/>
      <c r="G32" s="26"/>
      <c r="H32" s="27"/>
      <c r="I32" s="26"/>
      <c r="J32" s="26"/>
      <c r="K32" s="26"/>
      <c r="L32" s="27"/>
      <c r="M32" s="26"/>
      <c r="N32" s="26"/>
    </row>
    <row r="33" spans="2:28" x14ac:dyDescent="0.35">
      <c r="B33" s="25" t="s">
        <v>8</v>
      </c>
      <c r="C33" s="32"/>
      <c r="D33" s="27"/>
      <c r="E33" s="32"/>
      <c r="F33" s="32"/>
      <c r="G33" s="26"/>
      <c r="H33" s="27"/>
      <c r="I33" s="26"/>
      <c r="J33" s="26"/>
      <c r="K33" s="26"/>
      <c r="L33" s="27"/>
      <c r="M33" s="26"/>
      <c r="N33" s="26"/>
    </row>
    <row r="34" spans="2:28" x14ac:dyDescent="0.35">
      <c r="B34" s="25" t="s">
        <v>41</v>
      </c>
      <c r="C34" s="32"/>
      <c r="D34" s="27"/>
      <c r="E34" s="32"/>
      <c r="F34" s="32"/>
      <c r="G34" s="26"/>
      <c r="H34" s="27"/>
      <c r="I34" s="26"/>
      <c r="J34" s="26"/>
      <c r="K34" s="26"/>
      <c r="L34" s="27"/>
      <c r="M34" s="26"/>
      <c r="N34" s="26"/>
    </row>
    <row r="35" spans="2:28" x14ac:dyDescent="0.35">
      <c r="B35" s="25" t="s">
        <v>9</v>
      </c>
      <c r="C35" s="32"/>
      <c r="D35" s="27"/>
      <c r="E35" s="32"/>
      <c r="F35" s="32"/>
      <c r="G35" s="26"/>
      <c r="H35" s="27"/>
      <c r="I35" s="26"/>
      <c r="J35" s="26"/>
      <c r="K35" s="26"/>
      <c r="L35" s="27"/>
      <c r="M35" s="26"/>
      <c r="N35" s="26"/>
    </row>
    <row r="36" spans="2:28" x14ac:dyDescent="0.35">
      <c r="B36" s="25" t="s">
        <v>10</v>
      </c>
      <c r="C36" s="32"/>
      <c r="D36" s="27"/>
      <c r="E36" s="32"/>
      <c r="F36" s="32"/>
      <c r="G36" s="26"/>
      <c r="H36" s="27"/>
      <c r="I36" s="26"/>
      <c r="J36" s="26"/>
      <c r="K36" s="26"/>
      <c r="L36" s="27"/>
      <c r="M36" s="26"/>
      <c r="N36" s="26"/>
    </row>
    <row r="37" spans="2:28" x14ac:dyDescent="0.35">
      <c r="B37" s="25" t="s">
        <v>12</v>
      </c>
      <c r="C37" s="32"/>
      <c r="D37" s="27"/>
      <c r="E37" s="32"/>
      <c r="F37" s="32"/>
      <c r="G37" s="26"/>
      <c r="H37" s="27"/>
      <c r="I37" s="26"/>
      <c r="J37" s="26"/>
      <c r="K37" s="26"/>
      <c r="L37" s="27"/>
      <c r="M37" s="26"/>
      <c r="N37" s="26"/>
    </row>
    <row r="38" spans="2:28" x14ac:dyDescent="0.35">
      <c r="B38" s="25" t="s">
        <v>13</v>
      </c>
      <c r="C38" s="32"/>
      <c r="D38" s="27"/>
      <c r="E38" s="32"/>
      <c r="F38" s="32"/>
      <c r="G38" s="26"/>
      <c r="H38" s="27"/>
      <c r="I38" s="26"/>
      <c r="J38" s="26"/>
      <c r="K38" s="26"/>
      <c r="L38" s="27"/>
      <c r="M38" s="26"/>
      <c r="N38" s="26"/>
    </row>
    <row r="39" spans="2:28" x14ac:dyDescent="0.35">
      <c r="B39" s="25" t="s">
        <v>14</v>
      </c>
      <c r="C39" s="32"/>
      <c r="D39" s="27"/>
      <c r="E39" s="32"/>
      <c r="F39" s="32"/>
      <c r="G39" s="26"/>
      <c r="H39" s="27"/>
      <c r="I39" s="26"/>
      <c r="J39" s="26"/>
      <c r="K39" s="26"/>
      <c r="L39" s="27"/>
      <c r="M39" s="26"/>
      <c r="N39" s="26"/>
    </row>
    <row r="40" spans="2:28" x14ac:dyDescent="0.35">
      <c r="B40" s="25" t="s">
        <v>11</v>
      </c>
      <c r="C40" s="32"/>
      <c r="D40" s="27"/>
      <c r="E40" s="32"/>
      <c r="F40" s="32"/>
      <c r="G40" s="26"/>
      <c r="H40" s="27"/>
      <c r="I40" s="26"/>
      <c r="J40" s="26"/>
      <c r="K40" s="26"/>
      <c r="L40" s="27"/>
      <c r="M40" s="26"/>
      <c r="N40" s="26"/>
    </row>
    <row r="41" spans="2:28" x14ac:dyDescent="0.35">
      <c r="B41" s="25" t="s">
        <v>15</v>
      </c>
      <c r="C41" s="28">
        <f>SUM(C32:C40)</f>
        <v>0</v>
      </c>
      <c r="D41" s="29">
        <f t="shared" ref="D41:N41" si="2">SUM(D32:D40)</f>
        <v>0</v>
      </c>
      <c r="E41" s="28">
        <f t="shared" si="2"/>
        <v>0</v>
      </c>
      <c r="F41" s="28">
        <f t="shared" si="2"/>
        <v>0</v>
      </c>
      <c r="G41" s="28">
        <f t="shared" si="2"/>
        <v>0</v>
      </c>
      <c r="H41" s="29">
        <f t="shared" si="2"/>
        <v>0</v>
      </c>
      <c r="I41" s="28">
        <f t="shared" si="2"/>
        <v>0</v>
      </c>
      <c r="J41" s="28">
        <f t="shared" si="2"/>
        <v>0</v>
      </c>
      <c r="K41" s="28">
        <f t="shared" si="2"/>
        <v>0</v>
      </c>
      <c r="L41" s="29">
        <f t="shared" si="2"/>
        <v>0</v>
      </c>
      <c r="M41" s="28">
        <f t="shared" si="2"/>
        <v>0</v>
      </c>
      <c r="N41" s="28">
        <f t="shared" si="2"/>
        <v>0</v>
      </c>
    </row>
    <row r="43" spans="2:28" x14ac:dyDescent="0.35">
      <c r="B43" s="46" t="s">
        <v>20</v>
      </c>
      <c r="C43" s="47" t="s">
        <v>48</v>
      </c>
      <c r="D43" s="47"/>
      <c r="E43" s="47"/>
      <c r="F43" s="48"/>
      <c r="G43" s="49" t="s">
        <v>49</v>
      </c>
      <c r="H43" s="47"/>
      <c r="I43" s="47"/>
      <c r="J43" s="47"/>
      <c r="K43" s="49" t="s">
        <v>50</v>
      </c>
      <c r="L43" s="47"/>
      <c r="M43" s="47"/>
      <c r="N43" s="47"/>
      <c r="O43" s="30"/>
      <c r="P43" s="31"/>
      <c r="Q43" s="31"/>
      <c r="R43" s="30"/>
      <c r="S43" s="31"/>
      <c r="T43" s="31"/>
      <c r="U43" s="30"/>
      <c r="V43" s="31"/>
      <c r="W43" s="30"/>
      <c r="X43" s="31"/>
      <c r="Y43" s="30"/>
      <c r="Z43" s="31"/>
      <c r="AA43" s="30"/>
      <c r="AB43" s="31"/>
    </row>
    <row r="44" spans="2:28" x14ac:dyDescent="0.35">
      <c r="B44" s="46"/>
      <c r="C44" s="20" t="s">
        <v>16</v>
      </c>
      <c r="D44" s="21" t="s">
        <v>17</v>
      </c>
      <c r="E44" s="22" t="s">
        <v>18</v>
      </c>
      <c r="F44" s="23" t="s">
        <v>19</v>
      </c>
      <c r="G44" s="20" t="s">
        <v>16</v>
      </c>
      <c r="H44" s="21" t="s">
        <v>17</v>
      </c>
      <c r="I44" s="22" t="s">
        <v>18</v>
      </c>
      <c r="J44" s="23" t="s">
        <v>19</v>
      </c>
      <c r="K44" s="20" t="s">
        <v>16</v>
      </c>
      <c r="L44" s="21" t="s">
        <v>17</v>
      </c>
      <c r="M44" s="22" t="s">
        <v>18</v>
      </c>
      <c r="N44" s="23" t="s">
        <v>19</v>
      </c>
      <c r="O44" s="30"/>
      <c r="P44" s="31"/>
      <c r="Q44" s="31"/>
      <c r="R44" s="30"/>
      <c r="S44" s="31"/>
      <c r="T44" s="31"/>
      <c r="U44" s="30"/>
      <c r="V44" s="31"/>
      <c r="W44" s="30"/>
      <c r="X44" s="31"/>
      <c r="Y44" s="30"/>
      <c r="Z44" s="31"/>
      <c r="AA44" s="30"/>
      <c r="AB44" s="31"/>
    </row>
    <row r="45" spans="2:28" x14ac:dyDescent="0.35">
      <c r="B45" s="25" t="s">
        <v>7</v>
      </c>
      <c r="C45" s="26"/>
      <c r="D45" s="27"/>
      <c r="E45" s="26"/>
      <c r="F45" s="26"/>
      <c r="G45" s="26"/>
      <c r="H45" s="27"/>
      <c r="I45" s="26"/>
      <c r="J45" s="26"/>
      <c r="K45" s="26"/>
      <c r="L45" s="27"/>
      <c r="M45" s="26"/>
      <c r="N45" s="26"/>
    </row>
    <row r="46" spans="2:28" x14ac:dyDescent="0.35">
      <c r="B46" s="25" t="s">
        <v>8</v>
      </c>
      <c r="C46" s="26"/>
      <c r="D46" s="27"/>
      <c r="E46" s="26"/>
      <c r="F46" s="26"/>
      <c r="G46" s="26"/>
      <c r="H46" s="27"/>
      <c r="I46" s="26"/>
      <c r="J46" s="26"/>
      <c r="K46" s="26"/>
      <c r="L46" s="27"/>
      <c r="M46" s="26"/>
      <c r="N46" s="26"/>
    </row>
    <row r="47" spans="2:28" x14ac:dyDescent="0.35">
      <c r="B47" s="25" t="s">
        <v>41</v>
      </c>
      <c r="C47" s="26"/>
      <c r="D47" s="27"/>
      <c r="E47" s="26"/>
      <c r="F47" s="26"/>
      <c r="G47" s="26"/>
      <c r="H47" s="27"/>
      <c r="I47" s="26"/>
      <c r="J47" s="26"/>
      <c r="K47" s="26"/>
      <c r="L47" s="27"/>
      <c r="M47" s="26"/>
      <c r="N47" s="26"/>
    </row>
    <row r="48" spans="2:28" x14ac:dyDescent="0.35">
      <c r="B48" s="25" t="s">
        <v>9</v>
      </c>
      <c r="C48" s="26"/>
      <c r="D48" s="27"/>
      <c r="E48" s="26"/>
      <c r="F48" s="26"/>
      <c r="G48" s="26"/>
      <c r="H48" s="27"/>
      <c r="I48" s="26"/>
      <c r="J48" s="26"/>
      <c r="K48" s="26"/>
      <c r="L48" s="27"/>
      <c r="M48" s="26"/>
      <c r="N48" s="26"/>
    </row>
    <row r="49" spans="2:14" x14ac:dyDescent="0.35">
      <c r="B49" s="25" t="s">
        <v>10</v>
      </c>
      <c r="C49" s="26"/>
      <c r="D49" s="27"/>
      <c r="E49" s="26"/>
      <c r="F49" s="26"/>
      <c r="G49" s="26"/>
      <c r="H49" s="27"/>
      <c r="I49" s="26"/>
      <c r="J49" s="26"/>
      <c r="K49" s="26"/>
      <c r="L49" s="27"/>
      <c r="M49" s="26"/>
      <c r="N49" s="26"/>
    </row>
    <row r="50" spans="2:14" x14ac:dyDescent="0.35">
      <c r="B50" s="25" t="s">
        <v>12</v>
      </c>
      <c r="C50" s="26"/>
      <c r="D50" s="27"/>
      <c r="E50" s="26"/>
      <c r="F50" s="26"/>
      <c r="G50" s="26"/>
      <c r="H50" s="27"/>
      <c r="I50" s="26"/>
      <c r="J50" s="26"/>
      <c r="K50" s="26"/>
      <c r="L50" s="27"/>
      <c r="M50" s="26"/>
      <c r="N50" s="26"/>
    </row>
    <row r="51" spans="2:14" x14ac:dyDescent="0.35">
      <c r="B51" s="25" t="s">
        <v>13</v>
      </c>
      <c r="C51" s="26"/>
      <c r="D51" s="27"/>
      <c r="E51" s="26"/>
      <c r="F51" s="26"/>
      <c r="G51" s="26"/>
      <c r="H51" s="27"/>
      <c r="I51" s="26"/>
      <c r="J51" s="26"/>
      <c r="K51" s="26"/>
      <c r="L51" s="27"/>
      <c r="M51" s="26"/>
      <c r="N51" s="26"/>
    </row>
    <row r="52" spans="2:14" x14ac:dyDescent="0.35">
      <c r="B52" s="25" t="s">
        <v>14</v>
      </c>
      <c r="C52" s="26"/>
      <c r="D52" s="27"/>
      <c r="E52" s="26"/>
      <c r="F52" s="26"/>
      <c r="G52" s="26"/>
      <c r="H52" s="27"/>
      <c r="I52" s="26"/>
      <c r="J52" s="26"/>
      <c r="K52" s="26"/>
      <c r="L52" s="27"/>
      <c r="M52" s="26"/>
      <c r="N52" s="26"/>
    </row>
    <row r="53" spans="2:14" x14ac:dyDescent="0.35">
      <c r="B53" s="25" t="s">
        <v>11</v>
      </c>
      <c r="C53" s="26"/>
      <c r="D53" s="27"/>
      <c r="E53" s="26"/>
      <c r="F53" s="26"/>
      <c r="G53" s="26"/>
      <c r="H53" s="27"/>
      <c r="I53" s="26"/>
      <c r="J53" s="26"/>
      <c r="K53" s="26"/>
      <c r="L53" s="27"/>
      <c r="M53" s="26"/>
      <c r="N53" s="26"/>
    </row>
    <row r="54" spans="2:14" x14ac:dyDescent="0.35">
      <c r="B54" s="25" t="s">
        <v>15</v>
      </c>
      <c r="C54" s="28">
        <f>SUM(C45:C53)</f>
        <v>0</v>
      </c>
      <c r="D54" s="29">
        <f t="shared" ref="D54:N54" si="3">SUM(D45:D53)</f>
        <v>0</v>
      </c>
      <c r="E54" s="28">
        <f t="shared" si="3"/>
        <v>0</v>
      </c>
      <c r="F54" s="28">
        <f t="shared" si="3"/>
        <v>0</v>
      </c>
      <c r="G54" s="28">
        <f t="shared" si="3"/>
        <v>0</v>
      </c>
      <c r="H54" s="29">
        <f t="shared" si="3"/>
        <v>0</v>
      </c>
      <c r="I54" s="28">
        <f t="shared" si="3"/>
        <v>0</v>
      </c>
      <c r="J54" s="28">
        <f t="shared" si="3"/>
        <v>0</v>
      </c>
      <c r="K54" s="28">
        <f t="shared" si="3"/>
        <v>0</v>
      </c>
      <c r="L54" s="29">
        <f t="shared" si="3"/>
        <v>0</v>
      </c>
      <c r="M54" s="28">
        <f t="shared" si="3"/>
        <v>0</v>
      </c>
      <c r="N54" s="28">
        <f t="shared" si="3"/>
        <v>0</v>
      </c>
    </row>
  </sheetData>
  <mergeCells count="17">
    <mergeCell ref="B30:B31"/>
    <mergeCell ref="C30:F30"/>
    <mergeCell ref="G30:J30"/>
    <mergeCell ref="K30:N30"/>
    <mergeCell ref="B43:B44"/>
    <mergeCell ref="C43:F43"/>
    <mergeCell ref="G43:J43"/>
    <mergeCell ref="K43:N43"/>
    <mergeCell ref="B17:B18"/>
    <mergeCell ref="C17:F17"/>
    <mergeCell ref="G17:J17"/>
    <mergeCell ref="K17:N17"/>
    <mergeCell ref="B2:N2"/>
    <mergeCell ref="B4:B5"/>
    <mergeCell ref="C4:F4"/>
    <mergeCell ref="G4:J4"/>
    <mergeCell ref="K4:N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DE2C-AB0F-4D65-8828-21E699C3A0F6}">
  <sheetPr codeName="Sheet4">
    <tabColor rgb="FFFFC000"/>
  </sheetPr>
  <dimension ref="A1:A4"/>
  <sheetViews>
    <sheetView workbookViewId="0">
      <selection activeCell="D40" sqref="D40"/>
    </sheetView>
  </sheetViews>
  <sheetFormatPr defaultRowHeight="14.5" x14ac:dyDescent="0.35"/>
  <cols>
    <col min="1" max="1" width="54.81640625" bestFit="1" customWidth="1"/>
  </cols>
  <sheetData>
    <row r="1" spans="1:1" x14ac:dyDescent="0.35">
      <c r="A1" s="15" t="s">
        <v>28</v>
      </c>
    </row>
    <row r="2" spans="1:1" x14ac:dyDescent="0.35">
      <c r="A2" s="16" t="s">
        <v>29</v>
      </c>
    </row>
    <row r="3" spans="1:1" x14ac:dyDescent="0.35">
      <c r="A3" s="17" t="s">
        <v>30</v>
      </c>
    </row>
    <row r="4" spans="1:1" x14ac:dyDescent="0.35">
      <c r="A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I20"/>
  <sheetViews>
    <sheetView showGridLines="0" zoomScale="85" zoomScaleNormal="85" workbookViewId="0">
      <selection activeCell="C2" sqref="C2:H9"/>
    </sheetView>
  </sheetViews>
  <sheetFormatPr defaultRowHeight="14.5" x14ac:dyDescent="0.35"/>
  <cols>
    <col min="1" max="1" width="5.90625" customWidth="1"/>
    <col min="2" max="2" width="19.6328125" customWidth="1"/>
    <col min="3" max="3" width="56.54296875" customWidth="1"/>
    <col min="4" max="4" width="4.7265625" style="7" customWidth="1"/>
    <col min="5" max="5" width="3" customWidth="1"/>
    <col min="6" max="6" width="34.26953125" customWidth="1"/>
    <col min="7" max="7" width="33.7265625" customWidth="1"/>
    <col min="8" max="8" width="10.453125" bestFit="1" customWidth="1"/>
    <col min="9" max="9" width="23.36328125" customWidth="1"/>
  </cols>
  <sheetData>
    <row r="1" spans="1:9" ht="12" customHeight="1" x14ac:dyDescent="0.35">
      <c r="C1" s="54" t="s">
        <v>3</v>
      </c>
      <c r="D1" s="54"/>
      <c r="E1" s="54"/>
      <c r="F1" s="54"/>
      <c r="G1" s="54"/>
      <c r="H1" s="54"/>
    </row>
    <row r="2" spans="1:9" ht="26.25" customHeight="1" x14ac:dyDescent="0.35">
      <c r="C2" s="55" t="s">
        <v>4</v>
      </c>
      <c r="D2" s="55"/>
      <c r="E2" s="55"/>
      <c r="F2" s="55"/>
      <c r="G2" s="55"/>
      <c r="H2" s="55"/>
    </row>
    <row r="3" spans="1:9" ht="12" customHeight="1" x14ac:dyDescent="0.35">
      <c r="C3" s="55"/>
      <c r="D3" s="55"/>
      <c r="E3" s="55"/>
      <c r="F3" s="55"/>
      <c r="G3" s="55"/>
      <c r="H3" s="55"/>
    </row>
    <row r="4" spans="1:9" ht="12" customHeight="1" x14ac:dyDescent="0.35">
      <c r="C4" s="55"/>
      <c r="D4" s="55"/>
      <c r="E4" s="55"/>
      <c r="F4" s="55"/>
      <c r="G4" s="55"/>
      <c r="H4" s="55"/>
    </row>
    <row r="5" spans="1:9" ht="18" customHeight="1" x14ac:dyDescent="0.35">
      <c r="B5" s="1"/>
      <c r="C5" s="55"/>
      <c r="D5" s="55"/>
      <c r="E5" s="55"/>
      <c r="F5" s="55"/>
      <c r="G5" s="55"/>
      <c r="H5" s="55"/>
    </row>
    <row r="6" spans="1:9" ht="3" customHeight="1" x14ac:dyDescent="0.35">
      <c r="A6" s="3"/>
      <c r="B6" s="4"/>
      <c r="C6" s="55"/>
      <c r="D6" s="55"/>
      <c r="E6" s="55"/>
      <c r="F6" s="55"/>
      <c r="G6" s="55"/>
      <c r="H6" s="55"/>
      <c r="I6" s="5"/>
    </row>
    <row r="7" spans="1:9" ht="14" customHeight="1" x14ac:dyDescent="0.35">
      <c r="B7" s="2"/>
      <c r="C7" s="55"/>
      <c r="D7" s="55"/>
      <c r="E7" s="55"/>
      <c r="F7" s="55"/>
      <c r="G7" s="55"/>
      <c r="H7" s="55"/>
    </row>
    <row r="8" spans="1:9" ht="12" customHeight="1" x14ac:dyDescent="0.35">
      <c r="C8" s="55"/>
      <c r="D8" s="55"/>
      <c r="E8" s="55"/>
      <c r="F8" s="55"/>
      <c r="G8" s="55"/>
      <c r="H8" s="55"/>
    </row>
    <row r="9" spans="1:9" ht="6.75" customHeight="1" x14ac:dyDescent="0.35">
      <c r="A9" s="53"/>
      <c r="B9" s="53"/>
      <c r="C9" s="55"/>
      <c r="D9" s="55"/>
      <c r="E9" s="55"/>
      <c r="F9" s="55"/>
      <c r="G9" s="55"/>
      <c r="H9" s="55"/>
    </row>
    <row r="10" spans="1:9" ht="24" customHeight="1" x14ac:dyDescent="0.35">
      <c r="A10" s="53"/>
      <c r="B10" s="53"/>
      <c r="C10" s="56" t="s">
        <v>63</v>
      </c>
      <c r="D10" s="56"/>
      <c r="E10" s="56"/>
      <c r="F10" s="56"/>
      <c r="G10" s="56"/>
      <c r="H10" s="56"/>
    </row>
    <row r="11" spans="1:9" ht="15.5" x14ac:dyDescent="0.35">
      <c r="C11" s="8" t="s">
        <v>1</v>
      </c>
      <c r="D11" s="18"/>
      <c r="E11" s="9" t="s">
        <v>2</v>
      </c>
      <c r="F11" s="10"/>
      <c r="G11" s="9" t="s">
        <v>33</v>
      </c>
      <c r="H11" s="9" t="s">
        <v>37</v>
      </c>
    </row>
    <row r="12" spans="1:9" ht="20.149999999999999" customHeight="1" x14ac:dyDescent="0.35">
      <c r="C12" t="s">
        <v>5</v>
      </c>
      <c r="F12" s="6" t="str">
        <f>UPPER(TEXT(I12,"[$-409]mmmm"))</f>
        <v>AUGUST</v>
      </c>
      <c r="G12" t="str">
        <f ca="1">UPPER(TEXT(TODAY(),"yyyy"))</f>
        <v>2024</v>
      </c>
      <c r="H12" s="44" t="s">
        <v>59</v>
      </c>
      <c r="I12" s="45">
        <v>45526</v>
      </c>
    </row>
    <row r="13" spans="1:9" ht="20.149999999999999" customHeight="1" x14ac:dyDescent="0.35">
      <c r="C13" t="s">
        <v>35</v>
      </c>
      <c r="F13" t="s">
        <v>60</v>
      </c>
      <c r="G13" s="13" t="s">
        <v>0</v>
      </c>
      <c r="H13" s="42" t="s">
        <v>0</v>
      </c>
    </row>
    <row r="14" spans="1:9" ht="20.149999999999999" customHeight="1" x14ac:dyDescent="0.35">
      <c r="C14" t="s">
        <v>32</v>
      </c>
      <c r="F14" t="s">
        <v>61</v>
      </c>
      <c r="G14" s="19" t="s">
        <v>34</v>
      </c>
      <c r="H14" s="42" t="s">
        <v>0</v>
      </c>
    </row>
    <row r="15" spans="1:9" ht="20.149999999999999" customHeight="1" x14ac:dyDescent="0.35">
      <c r="C15" t="s">
        <v>57</v>
      </c>
      <c r="E15" s="11"/>
      <c r="F15" s="41" t="s">
        <v>62</v>
      </c>
      <c r="G15" s="7" t="str">
        <f ca="1">"Resume Income Factory Th " &amp;$G$12</f>
        <v>Resume Income Factory Th 2024</v>
      </c>
      <c r="H15" s="42" t="s">
        <v>6</v>
      </c>
    </row>
    <row r="16" spans="1:9" ht="20.149999999999999" customHeight="1" x14ac:dyDescent="0.35">
      <c r="C16" t="s">
        <v>58</v>
      </c>
      <c r="E16" s="11"/>
      <c r="F16" t="s">
        <v>36</v>
      </c>
      <c r="G16" s="7" t="str">
        <f ca="1">"Data Income per-factory Th " &amp;$G$12</f>
        <v>Data Income per-factory Th 2024</v>
      </c>
      <c r="H16" s="42" t="s">
        <v>6</v>
      </c>
    </row>
    <row r="17" spans="3:8" ht="20.149999999999999" customHeight="1" x14ac:dyDescent="0.35">
      <c r="C17" s="7"/>
      <c r="E17" s="7"/>
      <c r="F17" s="7"/>
      <c r="G17" s="14"/>
      <c r="H17" s="14"/>
    </row>
    <row r="18" spans="3:8" ht="1.5" customHeight="1" x14ac:dyDescent="0.35">
      <c r="C18" s="52"/>
      <c r="D18" s="52"/>
      <c r="E18" s="52"/>
      <c r="F18" s="52"/>
      <c r="G18" s="12"/>
      <c r="H18" s="12"/>
    </row>
    <row r="20" spans="3:8" x14ac:dyDescent="0.35">
      <c r="F20" t="s">
        <v>52</v>
      </c>
    </row>
  </sheetData>
  <mergeCells count="5">
    <mergeCell ref="C18:F18"/>
    <mergeCell ref="A9:B10"/>
    <mergeCell ref="C1:H1"/>
    <mergeCell ref="C2:H9"/>
    <mergeCell ref="C10:H10"/>
  </mergeCells>
  <hyperlinks>
    <hyperlink ref="G14" r:id="rId1" xr:uid="{1082CF8E-EAC0-4043-91F4-6734E2622CE3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2" r:id="rId5" name="cmd_CreateRPA">
          <controlPr defaultSize="0" autoLine="0" r:id="rId6">
            <anchor moveWithCells="1">
              <from>
                <xdr:col>2</xdr:col>
                <xdr:colOff>2279650</xdr:colOff>
                <xdr:row>3</xdr:row>
                <xdr:rowOff>19050</xdr:rowOff>
              </from>
              <to>
                <xdr:col>2</xdr:col>
                <xdr:colOff>3816350</xdr:colOff>
                <xdr:row>5</xdr:row>
                <xdr:rowOff>6350</xdr:rowOff>
              </to>
            </anchor>
          </controlPr>
        </control>
      </mc:Choice>
      <mc:Fallback>
        <control shapeId="2052" r:id="rId5" name="cmd_CreateRPA"/>
      </mc:Fallback>
    </mc:AlternateContent>
    <mc:AlternateContent xmlns:mc="http://schemas.openxmlformats.org/markup-compatibility/2006">
      <mc:Choice Requires="x14">
        <control shapeId="2050" r:id="rId7" name="btn_Proses">
          <controlPr defaultSize="0" autoLine="0" r:id="rId8">
            <anchor moveWithCells="1">
              <from>
                <xdr:col>5</xdr:col>
                <xdr:colOff>1727200</xdr:colOff>
                <xdr:row>3</xdr:row>
                <xdr:rowOff>6350</xdr:rowOff>
              </from>
              <to>
                <xdr:col>6</xdr:col>
                <xdr:colOff>882650</xdr:colOff>
                <xdr:row>4</xdr:row>
                <xdr:rowOff>222250</xdr:rowOff>
              </to>
            </anchor>
          </controlPr>
        </control>
      </mc:Choice>
      <mc:Fallback>
        <control shapeId="2050" r:id="rId7" name="btn_Pros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BD0C-8A63-4D13-B4BA-A71F8402EF10}">
  <sheetPr codeName="Sheet10"/>
  <dimension ref="A1:D2"/>
  <sheetViews>
    <sheetView tabSelected="1" workbookViewId="0">
      <selection activeCell="C2" sqref="C2"/>
    </sheetView>
  </sheetViews>
  <sheetFormatPr defaultRowHeight="14.5" x14ac:dyDescent="0.35"/>
  <cols>
    <col min="1" max="1" width="63.453125" bestFit="1" customWidth="1"/>
    <col min="2" max="2" width="9.54296875" style="43" bestFit="1" customWidth="1"/>
    <col min="3" max="3" width="9.453125" style="43" bestFit="1" customWidth="1"/>
    <col min="4" max="4" width="120.7265625" bestFit="1" customWidth="1"/>
  </cols>
  <sheetData>
    <row r="1" spans="1:4" x14ac:dyDescent="0.35">
      <c r="A1" t="s">
        <v>53</v>
      </c>
      <c r="B1" s="43" t="s">
        <v>54</v>
      </c>
      <c r="C1" s="43" t="s">
        <v>55</v>
      </c>
      <c r="D1" t="s">
        <v>56</v>
      </c>
    </row>
    <row r="2" spans="1:4" x14ac:dyDescent="0.35">
      <c r="A2" t="s">
        <v>34</v>
      </c>
      <c r="B2" s="43" t="s">
        <v>64</v>
      </c>
      <c r="C2" s="43" t="s">
        <v>65</v>
      </c>
      <c r="D2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Temp - By Factory</vt:lpstr>
      <vt:lpstr>Temp - By Month</vt:lpstr>
      <vt:lpstr>SetupDB</vt:lpstr>
      <vt:lpstr>HOME</vt:lpstr>
      <vt:lpstr>RPA1</vt:lpstr>
      <vt:lpstr>'Temp - By Factory'!Print_Area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2024-02-29T02:44:46Z</dcterms:created>
  <dcterms:modified xsi:type="dcterms:W3CDTF">2024-09-12T07:12:00Z</dcterms:modified>
</cp:coreProperties>
</file>