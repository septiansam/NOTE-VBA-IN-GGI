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ACRO_RPA - Update Resume Income dan Profit\Macro\Backup\New folder (3)\"/>
    </mc:Choice>
  </mc:AlternateContent>
  <xr:revisionPtr revIDLastSave="0" documentId="13_ncr:1_{32E73A7E-F147-41D9-8D44-959AE2DCBA1C}" xr6:coauthVersionLast="47" xr6:coauthVersionMax="47" xr10:uidLastSave="{00000000-0000-0000-0000-000000000000}"/>
  <bookViews>
    <workbookView xWindow="20370" yWindow="-120" windowWidth="20730" windowHeight="11160" tabRatio="816" firstSheet="3" activeTab="3" xr2:uid="{2CCE3C95-2940-4053-8BE7-2A6EFE1350AC}"/>
  </bookViews>
  <sheets>
    <sheet name="Temp - By Factory" sheetId="245" state="hidden" r:id="rId1"/>
    <sheet name="Temp - By Month" sheetId="244" state="hidden" r:id="rId2"/>
    <sheet name="SetupDB" sheetId="213" state="hidden" r:id="rId3"/>
    <sheet name="HOME" sheetId="2" r:id="rId4"/>
    <sheet name="RPA2" sheetId="450" r:id="rId5"/>
    <sheet name="CC1_ResumePerBuyer" sheetId="445" r:id="rId6"/>
    <sheet name="CC2_RKFS" sheetId="446" r:id="rId7"/>
    <sheet name="OLAH1_TotalDraft" sheetId="447" r:id="rId8"/>
    <sheet name="OLAH2_ByMonth" sheetId="448" r:id="rId9"/>
    <sheet name="OLAH3_ByFactory" sheetId="449" r:id="rId10"/>
  </sheets>
  <functionGroups builtInGroupCount="19"/>
  <definedNames>
    <definedName name="_xlnm._FilterDatabase" localSheetId="5" hidden="1">CC1_ResumePerBuyer!$A$4:$O$624</definedName>
    <definedName name="_xlnm._FilterDatabase" localSheetId="0" hidden="1">'Temp - By Factory'!$A$1:$G$35</definedName>
    <definedName name="_xlnm.Print_Area" localSheetId="0">'Temp - By Factory'!$A$1:$G$97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449" l="1"/>
  <c r="I3" i="449"/>
  <c r="I4" i="449"/>
  <c r="I5" i="449"/>
  <c r="I6" i="449"/>
  <c r="I7" i="449"/>
  <c r="I8" i="449"/>
  <c r="I9" i="449"/>
  <c r="H2" i="449"/>
  <c r="H3" i="449"/>
  <c r="H4" i="449"/>
  <c r="H5" i="449"/>
  <c r="H6" i="449"/>
  <c r="H7" i="449"/>
  <c r="H8" i="449"/>
  <c r="H9" i="449"/>
  <c r="G2" i="449"/>
  <c r="G3" i="449"/>
  <c r="G4" i="449"/>
  <c r="G5" i="449"/>
  <c r="G6" i="449"/>
  <c r="G7" i="449"/>
  <c r="G8" i="449"/>
  <c r="G9" i="449"/>
  <c r="F2" i="449"/>
  <c r="F3" i="449"/>
  <c r="F4" i="449"/>
  <c r="F5" i="449"/>
  <c r="F6" i="449"/>
  <c r="F7" i="449"/>
  <c r="F8" i="449"/>
  <c r="F9" i="449"/>
  <c r="E2" i="449"/>
  <c r="E3" i="449"/>
  <c r="E4" i="449"/>
  <c r="E5" i="449"/>
  <c r="E6" i="449"/>
  <c r="E7" i="449"/>
  <c r="E8" i="449"/>
  <c r="E9" i="449"/>
  <c r="D2" i="449"/>
  <c r="D3" i="449"/>
  <c r="D4" i="449"/>
  <c r="D5" i="449"/>
  <c r="D6" i="449"/>
  <c r="D7" i="449"/>
  <c r="D8" i="449"/>
  <c r="D9" i="449"/>
  <c r="A2" i="449"/>
  <c r="A3" i="449"/>
  <c r="A4" i="449"/>
  <c r="A5" i="449"/>
  <c r="A6" i="449"/>
  <c r="A7" i="449"/>
  <c r="A8" i="449"/>
  <c r="A9" i="449"/>
  <c r="C2" i="449"/>
  <c r="C3" i="449"/>
  <c r="C4" i="449"/>
  <c r="C5" i="449"/>
  <c r="C6" i="449"/>
  <c r="C7" i="449"/>
  <c r="C8" i="449"/>
  <c r="C9" i="449"/>
  <c r="E2" i="448"/>
  <c r="E3" i="448"/>
  <c r="E4" i="448"/>
  <c r="E5" i="448"/>
  <c r="E6" i="448"/>
  <c r="E7" i="448"/>
  <c r="E8" i="448"/>
  <c r="E9" i="448"/>
  <c r="D2" i="448"/>
  <c r="D3" i="448"/>
  <c r="D4" i="448"/>
  <c r="D5" i="448"/>
  <c r="D6" i="448"/>
  <c r="D7" i="448"/>
  <c r="D8" i="448"/>
  <c r="D9" i="448"/>
  <c r="C2" i="448"/>
  <c r="C3" i="448"/>
  <c r="C4" i="448"/>
  <c r="C5" i="448"/>
  <c r="C6" i="448"/>
  <c r="C7" i="448"/>
  <c r="C8" i="448"/>
  <c r="C9" i="448"/>
  <c r="B2" i="448"/>
  <c r="B3" i="448"/>
  <c r="B4" i="448"/>
  <c r="B5" i="448"/>
  <c r="B6" i="448"/>
  <c r="B7" i="448"/>
  <c r="B8" i="448"/>
  <c r="B9" i="448"/>
  <c r="K2" i="447"/>
  <c r="K3" i="447"/>
  <c r="K4" i="447"/>
  <c r="K5" i="447"/>
  <c r="K6" i="447"/>
  <c r="K7" i="447"/>
  <c r="K8" i="447"/>
  <c r="K9" i="447"/>
  <c r="A2" i="447"/>
  <c r="A3" i="447"/>
  <c r="A4" i="447"/>
  <c r="A5" i="447"/>
  <c r="A6" i="447"/>
  <c r="A7" i="447"/>
  <c r="A8" i="447"/>
  <c r="A9" i="447"/>
  <c r="AB2" i="446"/>
  <c r="AB3" i="446"/>
  <c r="AB4" i="446"/>
  <c r="AB5" i="446"/>
  <c r="AB6" i="446"/>
  <c r="AB7" i="446"/>
  <c r="AB8" i="446"/>
  <c r="AB9" i="446"/>
  <c r="AB10" i="446"/>
  <c r="AB11" i="446"/>
  <c r="AB12" i="446"/>
  <c r="AB13" i="446"/>
  <c r="AB14" i="446"/>
  <c r="AB15" i="446"/>
  <c r="AB16" i="446"/>
  <c r="AB17" i="446"/>
  <c r="AB18" i="446"/>
  <c r="AB19" i="446"/>
  <c r="AB20" i="446"/>
  <c r="AB21" i="446"/>
  <c r="AB22" i="446"/>
  <c r="AB23" i="446"/>
  <c r="AB24" i="446"/>
  <c r="AB25" i="446"/>
  <c r="AB26" i="446"/>
  <c r="AB27" i="446"/>
  <c r="AB28" i="446"/>
  <c r="AB29" i="446"/>
  <c r="AB30" i="446"/>
  <c r="AB31" i="446"/>
  <c r="AB32" i="446"/>
  <c r="AB33" i="446"/>
  <c r="AB34" i="446"/>
  <c r="AB35" i="446"/>
  <c r="AB36" i="446"/>
  <c r="AB37" i="446"/>
  <c r="AB38" i="446"/>
  <c r="AB39" i="446"/>
  <c r="AB40" i="446"/>
  <c r="AB41" i="446"/>
  <c r="AB42" i="446"/>
  <c r="AB43" i="446"/>
  <c r="AB44" i="446"/>
  <c r="AB45" i="446"/>
  <c r="AB46" i="446"/>
  <c r="AB47" i="446"/>
  <c r="AB48" i="446"/>
  <c r="AB49" i="446"/>
  <c r="AB50" i="446"/>
  <c r="AB51" i="446"/>
  <c r="AB52" i="446"/>
  <c r="AB53" i="446"/>
  <c r="AB54" i="446"/>
  <c r="AB55" i="446"/>
  <c r="AB56" i="446"/>
  <c r="AB57" i="446"/>
  <c r="AB58" i="446"/>
  <c r="AB59" i="446"/>
  <c r="AB60" i="446"/>
  <c r="AB61" i="446"/>
  <c r="AB62" i="446"/>
  <c r="AB63" i="446"/>
  <c r="AB64" i="446"/>
  <c r="AB65" i="446"/>
  <c r="AB66" i="446"/>
  <c r="AB67" i="446"/>
  <c r="AB68" i="446"/>
  <c r="AB69" i="446"/>
  <c r="AB70" i="446"/>
  <c r="AB71" i="446"/>
  <c r="AB72" i="446"/>
  <c r="AB73" i="446"/>
  <c r="AB74" i="446"/>
  <c r="AB75" i="446"/>
  <c r="AB76" i="446"/>
  <c r="AB77" i="446"/>
  <c r="AB78" i="446"/>
  <c r="AB79" i="446"/>
  <c r="AB80" i="446"/>
  <c r="AB81" i="446"/>
  <c r="AB82" i="446"/>
  <c r="AB83" i="446"/>
  <c r="AB84" i="446"/>
  <c r="AB85" i="446"/>
  <c r="AB86" i="446"/>
  <c r="AB87" i="446"/>
  <c r="AB88" i="446"/>
  <c r="AB89" i="446"/>
  <c r="AB90" i="446"/>
  <c r="AB91" i="446"/>
  <c r="AB92" i="446"/>
  <c r="AB93" i="446"/>
  <c r="AB94" i="446"/>
  <c r="AB95" i="446"/>
  <c r="AB96" i="446"/>
  <c r="AB97" i="446"/>
  <c r="AB98" i="446"/>
  <c r="AB99" i="446"/>
  <c r="AB100" i="446"/>
  <c r="AB101" i="446"/>
  <c r="AB102" i="446"/>
  <c r="AB103" i="446"/>
  <c r="AB104" i="446"/>
  <c r="AB105" i="446"/>
  <c r="AB106" i="446"/>
  <c r="AB107" i="446"/>
  <c r="AB108" i="446"/>
  <c r="AB109" i="446"/>
  <c r="AB110" i="446"/>
  <c r="AB111" i="446"/>
  <c r="AB112" i="446"/>
  <c r="AB113" i="446"/>
  <c r="AB114" i="446"/>
  <c r="AB115" i="446"/>
  <c r="AB116" i="446"/>
  <c r="AB117" i="446"/>
  <c r="AB118" i="446"/>
  <c r="AB119" i="446"/>
  <c r="AB120" i="446"/>
  <c r="AB121" i="446"/>
  <c r="AB122" i="446"/>
  <c r="AB123" i="446"/>
  <c r="AB124" i="446"/>
  <c r="AB125" i="446"/>
  <c r="AB126" i="446"/>
  <c r="AB127" i="446"/>
  <c r="AB128" i="446"/>
  <c r="AB129" i="446"/>
  <c r="AB130" i="446"/>
  <c r="AB131" i="446"/>
  <c r="AB132" i="446"/>
  <c r="AB133" i="446"/>
  <c r="AB134" i="446"/>
  <c r="AB135" i="446"/>
  <c r="AB136" i="446"/>
  <c r="AB137" i="446"/>
  <c r="AB138" i="446"/>
  <c r="AB139" i="446"/>
  <c r="AB140" i="446"/>
  <c r="AB141" i="446"/>
  <c r="AB142" i="446"/>
  <c r="AB143" i="446"/>
  <c r="AB144" i="446"/>
  <c r="AB145" i="446"/>
  <c r="AB146" i="446"/>
  <c r="AB147" i="446"/>
  <c r="AB148" i="446"/>
  <c r="AB149" i="446"/>
  <c r="AB150" i="446"/>
  <c r="AB151" i="446"/>
  <c r="AB152" i="446"/>
  <c r="AB153" i="446"/>
  <c r="AB154" i="446"/>
  <c r="AB155" i="446"/>
  <c r="AB156" i="446"/>
  <c r="AB157" i="446"/>
  <c r="AB158" i="446"/>
  <c r="AB159" i="446"/>
  <c r="AB160" i="446"/>
  <c r="AB161" i="446"/>
  <c r="AB162" i="446"/>
  <c r="AB163" i="446"/>
  <c r="AB164" i="446"/>
  <c r="AB165" i="446"/>
  <c r="AB166" i="446"/>
  <c r="AB167" i="446"/>
  <c r="AB168" i="446"/>
  <c r="AB169" i="446"/>
  <c r="AB170" i="446"/>
  <c r="AB171" i="446"/>
  <c r="AB172" i="446"/>
  <c r="AB173" i="446"/>
  <c r="AB174" i="446"/>
  <c r="AB175" i="446"/>
  <c r="AB176" i="446"/>
  <c r="AB177" i="446"/>
  <c r="AB178" i="446"/>
  <c r="AB179" i="446"/>
  <c r="AB180" i="446"/>
  <c r="AB181" i="446"/>
  <c r="AB182" i="446"/>
  <c r="AB183" i="446"/>
  <c r="AB184" i="446"/>
  <c r="AB185" i="446"/>
  <c r="AB186" i="446"/>
  <c r="AB187" i="446"/>
  <c r="AB188" i="446"/>
  <c r="AB189" i="446"/>
  <c r="AB190" i="446"/>
  <c r="AB191" i="446"/>
  <c r="AB192" i="446"/>
  <c r="AB193" i="446"/>
  <c r="AB194" i="446"/>
  <c r="AB195" i="446"/>
  <c r="AB196" i="446"/>
  <c r="AB197" i="446"/>
  <c r="AB198" i="446"/>
  <c r="AB199" i="446"/>
  <c r="AB200" i="446"/>
  <c r="AB201" i="446"/>
  <c r="AB202" i="446"/>
  <c r="AB203" i="446"/>
  <c r="AB204" i="446"/>
  <c r="AB205" i="446"/>
  <c r="AB206" i="446"/>
  <c r="AB207" i="446"/>
  <c r="AB208" i="446"/>
  <c r="AB209" i="446"/>
  <c r="AB210" i="446"/>
  <c r="AB211" i="446"/>
  <c r="AB212" i="446"/>
  <c r="AB213" i="446"/>
  <c r="AB214" i="446"/>
  <c r="AB215" i="446"/>
  <c r="AB216" i="446"/>
  <c r="AB217" i="446"/>
  <c r="AB218" i="446"/>
  <c r="AB219" i="446"/>
  <c r="AB220" i="446"/>
  <c r="AB221" i="446"/>
  <c r="AB222" i="446"/>
  <c r="AB223" i="446"/>
  <c r="AB224" i="446"/>
  <c r="AB225" i="446"/>
  <c r="AB226" i="446"/>
  <c r="AB227" i="446"/>
  <c r="AB228" i="446"/>
  <c r="AB229" i="446"/>
  <c r="AB230" i="446"/>
  <c r="AB231" i="446"/>
  <c r="AB232" i="446"/>
  <c r="AB233" i="446"/>
  <c r="AB234" i="446"/>
  <c r="AB235" i="446"/>
  <c r="AB236" i="446"/>
  <c r="AB237" i="446"/>
  <c r="AB238" i="446"/>
  <c r="AB239" i="446"/>
  <c r="AB240" i="446"/>
  <c r="AB241" i="446"/>
  <c r="AB242" i="446"/>
  <c r="AB243" i="446"/>
  <c r="AB244" i="446"/>
  <c r="AB245" i="446"/>
  <c r="AB246" i="446"/>
  <c r="AB247" i="446"/>
  <c r="AB248" i="446"/>
  <c r="AB249" i="446"/>
  <c r="AB250" i="446"/>
  <c r="AB251" i="446"/>
  <c r="AB252" i="446"/>
  <c r="AB253" i="446"/>
  <c r="AB254" i="446"/>
  <c r="AB255" i="446"/>
  <c r="AB256" i="446"/>
  <c r="AB257" i="446"/>
  <c r="AB258" i="446"/>
  <c r="AB259" i="446"/>
  <c r="AB260" i="446"/>
  <c r="AB261" i="446"/>
  <c r="AB262" i="446"/>
  <c r="AB263" i="446"/>
  <c r="AB264" i="446"/>
  <c r="AB265" i="446"/>
  <c r="AB266" i="446"/>
  <c r="AB267" i="446"/>
  <c r="AB268" i="446"/>
  <c r="AB269" i="446"/>
  <c r="AB270" i="446"/>
  <c r="AB271" i="446"/>
  <c r="AB272" i="446"/>
  <c r="AB273" i="446"/>
  <c r="AB274" i="446"/>
  <c r="AB275" i="446"/>
  <c r="AB276" i="446"/>
  <c r="AB277" i="446"/>
  <c r="AB278" i="446"/>
  <c r="AB279" i="446"/>
  <c r="AB280" i="446"/>
  <c r="AB281" i="446"/>
  <c r="AB282" i="446"/>
  <c r="AB283" i="446"/>
  <c r="AB284" i="446"/>
  <c r="AB285" i="446"/>
  <c r="AB286" i="446"/>
  <c r="AB287" i="446"/>
  <c r="AB288" i="446"/>
  <c r="AB289" i="446"/>
  <c r="AB290" i="446"/>
  <c r="AB291" i="446"/>
  <c r="AB292" i="446"/>
  <c r="AB293" i="446"/>
  <c r="AB294" i="446"/>
  <c r="AB295" i="446"/>
  <c r="AB296" i="446"/>
  <c r="AB297" i="446"/>
  <c r="AB298" i="446"/>
  <c r="AB299" i="446"/>
  <c r="AB300" i="446"/>
  <c r="AB301" i="446"/>
  <c r="AB302" i="446"/>
  <c r="AB303" i="446"/>
  <c r="AB304" i="446"/>
  <c r="AB305" i="446"/>
  <c r="AB306" i="446"/>
  <c r="AB307" i="446"/>
  <c r="AB308" i="446"/>
  <c r="AB309" i="446"/>
  <c r="AB310" i="446"/>
  <c r="AB311" i="446"/>
  <c r="AB312" i="446"/>
  <c r="AB313" i="446"/>
  <c r="AB314" i="446"/>
  <c r="AB315" i="446"/>
  <c r="AB316" i="446"/>
  <c r="AB317" i="446"/>
  <c r="AB318" i="446"/>
  <c r="AB319" i="446"/>
  <c r="AB320" i="446"/>
  <c r="AB321" i="446"/>
  <c r="AB322" i="446"/>
  <c r="AB323" i="446"/>
  <c r="AB324" i="446"/>
  <c r="AB325" i="446"/>
  <c r="AB326" i="446"/>
  <c r="AB327" i="446"/>
  <c r="AB328" i="446"/>
  <c r="AB329" i="446"/>
  <c r="AB330" i="446"/>
  <c r="AB331" i="446"/>
  <c r="AB332" i="446"/>
  <c r="AB333" i="446"/>
  <c r="AB334" i="446"/>
  <c r="AB335" i="446"/>
  <c r="AB336" i="446"/>
  <c r="AB337" i="446"/>
  <c r="AB338" i="446"/>
  <c r="AB339" i="446"/>
  <c r="AB340" i="446"/>
  <c r="AB341" i="446"/>
  <c r="AB342" i="446"/>
  <c r="AB343" i="446"/>
  <c r="AB344" i="446"/>
  <c r="AB345" i="446"/>
  <c r="AB346" i="446"/>
  <c r="AB347" i="446"/>
  <c r="AB348" i="446"/>
  <c r="AB349" i="446"/>
  <c r="AB350" i="446"/>
  <c r="AB351" i="446"/>
  <c r="AB352" i="446"/>
  <c r="AB353" i="446"/>
  <c r="AB354" i="446"/>
  <c r="AB355" i="446"/>
  <c r="AB356" i="446"/>
  <c r="AB357" i="446"/>
  <c r="AB358" i="446"/>
  <c r="AB359" i="446"/>
  <c r="AB360" i="446"/>
  <c r="AB361" i="446"/>
  <c r="AB362" i="446"/>
  <c r="AB363" i="446"/>
  <c r="AB364" i="446"/>
  <c r="AB365" i="446"/>
  <c r="AB366" i="446"/>
  <c r="AB367" i="446"/>
  <c r="AB368" i="446"/>
  <c r="AB369" i="446"/>
  <c r="AB370" i="446"/>
  <c r="AB371" i="446"/>
  <c r="AB372" i="446"/>
  <c r="AB373" i="446"/>
  <c r="AB374" i="446"/>
  <c r="AB375" i="446"/>
  <c r="AB376" i="446"/>
  <c r="AB377" i="446"/>
  <c r="AB378" i="446"/>
  <c r="AB379" i="446"/>
  <c r="AB380" i="446"/>
  <c r="AB381" i="446"/>
  <c r="AB382" i="446"/>
  <c r="AB383" i="446"/>
  <c r="AB384" i="446"/>
  <c r="AB385" i="446"/>
  <c r="AB386" i="446"/>
  <c r="AB387" i="446"/>
  <c r="AB388" i="446"/>
  <c r="AB389" i="446"/>
  <c r="AB390" i="446"/>
  <c r="AB391" i="446"/>
  <c r="AB392" i="446"/>
  <c r="AB393" i="446"/>
  <c r="AB394" i="446"/>
  <c r="AB395" i="446"/>
  <c r="AB396" i="446"/>
  <c r="AB397" i="446"/>
  <c r="AB398" i="446"/>
  <c r="AB399" i="446"/>
  <c r="AB400" i="446"/>
  <c r="AB401" i="446"/>
  <c r="AB402" i="446"/>
  <c r="AB403" i="446"/>
  <c r="AB404" i="446"/>
  <c r="AB405" i="446"/>
  <c r="AB406" i="446"/>
  <c r="AB407" i="446"/>
  <c r="AB408" i="446"/>
  <c r="AB409" i="446"/>
  <c r="AB410" i="446"/>
  <c r="AB411" i="446"/>
  <c r="AB412" i="446"/>
  <c r="AB413" i="446"/>
  <c r="AB414" i="446"/>
  <c r="AB415" i="446"/>
  <c r="AB416" i="446"/>
  <c r="AB417" i="446"/>
  <c r="AB418" i="446"/>
  <c r="AB419" i="446"/>
  <c r="AB420" i="446"/>
  <c r="AB421" i="446"/>
  <c r="AB422" i="446"/>
  <c r="AB423" i="446"/>
  <c r="AB424" i="446"/>
  <c r="AB425" i="446"/>
  <c r="AB426" i="446"/>
  <c r="AB427" i="446"/>
  <c r="AB428" i="446"/>
  <c r="AB429" i="446"/>
  <c r="AB430" i="446"/>
  <c r="AB431" i="446"/>
  <c r="AB432" i="446"/>
  <c r="AB433" i="446"/>
  <c r="AB434" i="446"/>
  <c r="AB435" i="446"/>
  <c r="AB436" i="446"/>
  <c r="AB437" i="446"/>
  <c r="AB438" i="446"/>
  <c r="AB439" i="446"/>
  <c r="AB440" i="446"/>
  <c r="AB441" i="446"/>
  <c r="AB442" i="446"/>
  <c r="AB443" i="446"/>
  <c r="AB444" i="446"/>
  <c r="AB445" i="446"/>
  <c r="AB446" i="446"/>
  <c r="AB447" i="446"/>
  <c r="AB448" i="446"/>
  <c r="AB449" i="446"/>
  <c r="AB450" i="446"/>
  <c r="AB451" i="446"/>
  <c r="AB452" i="446"/>
  <c r="AB453" i="446"/>
  <c r="AB454" i="446"/>
  <c r="AB455" i="446"/>
  <c r="AB456" i="446"/>
  <c r="AB457" i="446"/>
  <c r="AB458" i="446"/>
  <c r="AB459" i="446"/>
  <c r="AB460" i="446"/>
  <c r="AB461" i="446"/>
  <c r="AB462" i="446"/>
  <c r="AB463" i="446"/>
  <c r="AB464" i="446"/>
  <c r="AB465" i="446"/>
  <c r="AB466" i="446"/>
  <c r="AB467" i="446"/>
  <c r="AB468" i="446"/>
  <c r="AB469" i="446"/>
  <c r="AB470" i="446"/>
  <c r="AB471" i="446"/>
  <c r="AB472" i="446"/>
  <c r="AB473" i="446"/>
  <c r="AB474" i="446"/>
  <c r="AB475" i="446"/>
  <c r="AB476" i="446"/>
  <c r="AB477" i="446"/>
  <c r="AB478" i="446"/>
  <c r="AB479" i="446"/>
  <c r="AB480" i="446"/>
  <c r="AB481" i="446"/>
  <c r="AB482" i="446"/>
  <c r="AB483" i="446"/>
  <c r="AB484" i="446"/>
  <c r="AB485" i="446"/>
  <c r="AB486" i="446"/>
  <c r="AB487" i="446"/>
  <c r="AB488" i="446"/>
  <c r="AB489" i="446"/>
  <c r="AB490" i="446"/>
  <c r="AB491" i="446"/>
  <c r="AB492" i="446"/>
  <c r="AB493" i="446"/>
  <c r="AB494" i="446"/>
  <c r="AB495" i="446"/>
  <c r="AB496" i="446"/>
  <c r="AB497" i="446"/>
  <c r="AB498" i="446"/>
  <c r="AB499" i="446"/>
  <c r="AB500" i="446"/>
  <c r="AB501" i="446"/>
  <c r="AB502" i="446"/>
  <c r="AB503" i="446"/>
  <c r="AB504" i="446"/>
  <c r="AB505" i="446"/>
  <c r="AB506" i="446"/>
  <c r="AB507" i="446"/>
  <c r="AB508" i="446"/>
  <c r="AB509" i="446"/>
  <c r="AB510" i="446"/>
  <c r="AB511" i="446"/>
  <c r="AB512" i="446"/>
  <c r="AB513" i="446"/>
  <c r="AB514" i="446"/>
  <c r="AB515" i="446"/>
  <c r="AB516" i="446"/>
  <c r="AB517" i="446"/>
  <c r="AB518" i="446"/>
  <c r="AB519" i="446"/>
  <c r="AB520" i="446"/>
  <c r="AB521" i="446"/>
  <c r="AB522" i="446"/>
  <c r="AB523" i="446"/>
  <c r="AB524" i="446"/>
  <c r="AB525" i="446"/>
  <c r="AB526" i="446"/>
  <c r="AB527" i="446"/>
  <c r="AB528" i="446"/>
  <c r="AB529" i="446"/>
  <c r="AB530" i="446"/>
  <c r="AB531" i="446"/>
  <c r="AB532" i="446"/>
  <c r="AB533" i="446"/>
  <c r="AB534" i="446"/>
  <c r="AB535" i="446"/>
  <c r="AB536" i="446"/>
  <c r="AB537" i="446"/>
  <c r="AB538" i="446"/>
  <c r="AA2" i="446"/>
  <c r="AA3" i="446"/>
  <c r="AA4" i="446"/>
  <c r="AA5" i="446"/>
  <c r="AA6" i="446"/>
  <c r="AA7" i="446"/>
  <c r="AA8" i="446"/>
  <c r="AA9" i="446"/>
  <c r="AA10" i="446"/>
  <c r="AA11" i="446"/>
  <c r="AA12" i="446"/>
  <c r="AA13" i="446"/>
  <c r="AA14" i="446"/>
  <c r="AA15" i="446"/>
  <c r="AA16" i="446"/>
  <c r="AA17" i="446"/>
  <c r="AA18" i="446"/>
  <c r="AA19" i="446"/>
  <c r="AA20" i="446"/>
  <c r="AA21" i="446"/>
  <c r="AA22" i="446"/>
  <c r="AA23" i="446"/>
  <c r="AA24" i="446"/>
  <c r="AA25" i="446"/>
  <c r="AA26" i="446"/>
  <c r="AA27" i="446"/>
  <c r="AA28" i="446"/>
  <c r="AA29" i="446"/>
  <c r="AA30" i="446"/>
  <c r="AA31" i="446"/>
  <c r="AA32" i="446"/>
  <c r="AA33" i="446"/>
  <c r="AA34" i="446"/>
  <c r="AA35" i="446"/>
  <c r="AA36" i="446"/>
  <c r="AA37" i="446"/>
  <c r="AA38" i="446"/>
  <c r="AA39" i="446"/>
  <c r="AA40" i="446"/>
  <c r="AA41" i="446"/>
  <c r="AA42" i="446"/>
  <c r="AA43" i="446"/>
  <c r="AA44" i="446"/>
  <c r="AA45" i="446"/>
  <c r="AA46" i="446"/>
  <c r="AA47" i="446"/>
  <c r="AA48" i="446"/>
  <c r="AA49" i="446"/>
  <c r="AA50" i="446"/>
  <c r="AA51" i="446"/>
  <c r="AA52" i="446"/>
  <c r="AA53" i="446"/>
  <c r="AA54" i="446"/>
  <c r="AA55" i="446"/>
  <c r="AA56" i="446"/>
  <c r="AA57" i="446"/>
  <c r="AA58" i="446"/>
  <c r="AA59" i="446"/>
  <c r="AA60" i="446"/>
  <c r="AA61" i="446"/>
  <c r="AA62" i="446"/>
  <c r="AA63" i="446"/>
  <c r="AA64" i="446"/>
  <c r="AA65" i="446"/>
  <c r="AA66" i="446"/>
  <c r="AA67" i="446"/>
  <c r="AA68" i="446"/>
  <c r="AA69" i="446"/>
  <c r="AA70" i="446"/>
  <c r="AA71" i="446"/>
  <c r="AA72" i="446"/>
  <c r="AA73" i="446"/>
  <c r="AA74" i="446"/>
  <c r="AA75" i="446"/>
  <c r="AA76" i="446"/>
  <c r="AA77" i="446"/>
  <c r="AA78" i="446"/>
  <c r="AA79" i="446"/>
  <c r="AA80" i="446"/>
  <c r="AA81" i="446"/>
  <c r="AA82" i="446"/>
  <c r="AA83" i="446"/>
  <c r="AA84" i="446"/>
  <c r="AA85" i="446"/>
  <c r="AA86" i="446"/>
  <c r="AA87" i="446"/>
  <c r="AA88" i="446"/>
  <c r="AA89" i="446"/>
  <c r="AA90" i="446"/>
  <c r="AA91" i="446"/>
  <c r="AA92" i="446"/>
  <c r="AA93" i="446"/>
  <c r="AA94" i="446"/>
  <c r="AA95" i="446"/>
  <c r="AA96" i="446"/>
  <c r="AA97" i="446"/>
  <c r="AA98" i="446"/>
  <c r="AA99" i="446"/>
  <c r="AA100" i="446"/>
  <c r="AA101" i="446"/>
  <c r="AA102" i="446"/>
  <c r="AA103" i="446"/>
  <c r="AA104" i="446"/>
  <c r="AA105" i="446"/>
  <c r="AA106" i="446"/>
  <c r="AA107" i="446"/>
  <c r="AA108" i="446"/>
  <c r="AA109" i="446"/>
  <c r="AA110" i="446"/>
  <c r="AA111" i="446"/>
  <c r="AA112" i="446"/>
  <c r="AA113" i="446"/>
  <c r="AA114" i="446"/>
  <c r="AA115" i="446"/>
  <c r="AA116" i="446"/>
  <c r="AA117" i="446"/>
  <c r="AA118" i="446"/>
  <c r="AA119" i="446"/>
  <c r="AA120" i="446"/>
  <c r="AA121" i="446"/>
  <c r="AA122" i="446"/>
  <c r="AA123" i="446"/>
  <c r="AA124" i="446"/>
  <c r="AA125" i="446"/>
  <c r="AA126" i="446"/>
  <c r="AA127" i="446"/>
  <c r="AA128" i="446"/>
  <c r="AA129" i="446"/>
  <c r="AA130" i="446"/>
  <c r="AA131" i="446"/>
  <c r="AA132" i="446"/>
  <c r="AA133" i="446"/>
  <c r="AA134" i="446"/>
  <c r="AA135" i="446"/>
  <c r="AA136" i="446"/>
  <c r="AA137" i="446"/>
  <c r="AA138" i="446"/>
  <c r="AA139" i="446"/>
  <c r="AA140" i="446"/>
  <c r="AA141" i="446"/>
  <c r="AA142" i="446"/>
  <c r="AA143" i="446"/>
  <c r="AA144" i="446"/>
  <c r="AA145" i="446"/>
  <c r="AA146" i="446"/>
  <c r="AA147" i="446"/>
  <c r="AA148" i="446"/>
  <c r="AA149" i="446"/>
  <c r="AA150" i="446"/>
  <c r="AA151" i="446"/>
  <c r="AA152" i="446"/>
  <c r="AA153" i="446"/>
  <c r="AA154" i="446"/>
  <c r="AA155" i="446"/>
  <c r="AA156" i="446"/>
  <c r="AA157" i="446"/>
  <c r="AA158" i="446"/>
  <c r="AA159" i="446"/>
  <c r="AA160" i="446"/>
  <c r="AA161" i="446"/>
  <c r="AA162" i="446"/>
  <c r="AA163" i="446"/>
  <c r="AA164" i="446"/>
  <c r="AA165" i="446"/>
  <c r="AA166" i="446"/>
  <c r="AA167" i="446"/>
  <c r="AA168" i="446"/>
  <c r="AA169" i="446"/>
  <c r="AA170" i="446"/>
  <c r="AA171" i="446"/>
  <c r="AA172" i="446"/>
  <c r="AA173" i="446"/>
  <c r="AA174" i="446"/>
  <c r="AA175" i="446"/>
  <c r="AA176" i="446"/>
  <c r="AA177" i="446"/>
  <c r="AA178" i="446"/>
  <c r="AA179" i="446"/>
  <c r="AA180" i="446"/>
  <c r="AA181" i="446"/>
  <c r="AA182" i="446"/>
  <c r="AA183" i="446"/>
  <c r="AA184" i="446"/>
  <c r="AA185" i="446"/>
  <c r="AA186" i="446"/>
  <c r="AA187" i="446"/>
  <c r="AA188" i="446"/>
  <c r="AA189" i="446"/>
  <c r="AA190" i="446"/>
  <c r="AA191" i="446"/>
  <c r="AA192" i="446"/>
  <c r="AA193" i="446"/>
  <c r="AA194" i="446"/>
  <c r="AA195" i="446"/>
  <c r="AA196" i="446"/>
  <c r="AA197" i="446"/>
  <c r="AA198" i="446"/>
  <c r="AA199" i="446"/>
  <c r="AA200" i="446"/>
  <c r="AA201" i="446"/>
  <c r="AA202" i="446"/>
  <c r="AA203" i="446"/>
  <c r="AA204" i="446"/>
  <c r="AA205" i="446"/>
  <c r="AA206" i="446"/>
  <c r="AA207" i="446"/>
  <c r="AA208" i="446"/>
  <c r="AA209" i="446"/>
  <c r="AA210" i="446"/>
  <c r="AA211" i="446"/>
  <c r="AA212" i="446"/>
  <c r="AA213" i="446"/>
  <c r="AA214" i="446"/>
  <c r="AA215" i="446"/>
  <c r="AA216" i="446"/>
  <c r="AA217" i="446"/>
  <c r="AA218" i="446"/>
  <c r="AA219" i="446"/>
  <c r="AA220" i="446"/>
  <c r="AA221" i="446"/>
  <c r="AA222" i="446"/>
  <c r="AA223" i="446"/>
  <c r="AA224" i="446"/>
  <c r="AA225" i="446"/>
  <c r="AA226" i="446"/>
  <c r="AA227" i="446"/>
  <c r="AA228" i="446"/>
  <c r="AA229" i="446"/>
  <c r="AA230" i="446"/>
  <c r="AA231" i="446"/>
  <c r="AA232" i="446"/>
  <c r="AA233" i="446"/>
  <c r="AA234" i="446"/>
  <c r="AA235" i="446"/>
  <c r="AA236" i="446"/>
  <c r="AA237" i="446"/>
  <c r="AA238" i="446"/>
  <c r="AA239" i="446"/>
  <c r="AA240" i="446"/>
  <c r="AA241" i="446"/>
  <c r="AA242" i="446"/>
  <c r="AA243" i="446"/>
  <c r="AA244" i="446"/>
  <c r="AA245" i="446"/>
  <c r="AA246" i="446"/>
  <c r="AA247" i="446"/>
  <c r="AA248" i="446"/>
  <c r="AA249" i="446"/>
  <c r="AA250" i="446"/>
  <c r="AA251" i="446"/>
  <c r="AA252" i="446"/>
  <c r="AA253" i="446"/>
  <c r="AA254" i="446"/>
  <c r="AA255" i="446"/>
  <c r="AA256" i="446"/>
  <c r="AA257" i="446"/>
  <c r="AA258" i="446"/>
  <c r="AA259" i="446"/>
  <c r="AA260" i="446"/>
  <c r="AA261" i="446"/>
  <c r="AA262" i="446"/>
  <c r="AA263" i="446"/>
  <c r="AA264" i="446"/>
  <c r="AA265" i="446"/>
  <c r="AA266" i="446"/>
  <c r="AA267" i="446"/>
  <c r="AA268" i="446"/>
  <c r="AA269" i="446"/>
  <c r="AA270" i="446"/>
  <c r="AA271" i="446"/>
  <c r="AA272" i="446"/>
  <c r="AA273" i="446"/>
  <c r="AA274" i="446"/>
  <c r="AA275" i="446"/>
  <c r="AA276" i="446"/>
  <c r="AA277" i="446"/>
  <c r="AA278" i="446"/>
  <c r="AA279" i="446"/>
  <c r="AA280" i="446"/>
  <c r="AA281" i="446"/>
  <c r="AA282" i="446"/>
  <c r="AA283" i="446"/>
  <c r="AA284" i="446"/>
  <c r="AA285" i="446"/>
  <c r="AA286" i="446"/>
  <c r="AA287" i="446"/>
  <c r="AA288" i="446"/>
  <c r="AA289" i="446"/>
  <c r="AA290" i="446"/>
  <c r="AA291" i="446"/>
  <c r="AA292" i="446"/>
  <c r="AA293" i="446"/>
  <c r="AA294" i="446"/>
  <c r="AA295" i="446"/>
  <c r="AA296" i="446"/>
  <c r="AA297" i="446"/>
  <c r="AA298" i="446"/>
  <c r="AA299" i="446"/>
  <c r="AA300" i="446"/>
  <c r="AA301" i="446"/>
  <c r="AA302" i="446"/>
  <c r="AA303" i="446"/>
  <c r="AA304" i="446"/>
  <c r="AA305" i="446"/>
  <c r="AA306" i="446"/>
  <c r="AA307" i="446"/>
  <c r="AA308" i="446"/>
  <c r="AA309" i="446"/>
  <c r="AA310" i="446"/>
  <c r="AA311" i="446"/>
  <c r="AA312" i="446"/>
  <c r="AA313" i="446"/>
  <c r="AA314" i="446"/>
  <c r="AA315" i="446"/>
  <c r="AA316" i="446"/>
  <c r="AA317" i="446"/>
  <c r="AA318" i="446"/>
  <c r="AA319" i="446"/>
  <c r="AA320" i="446"/>
  <c r="AA321" i="446"/>
  <c r="AA322" i="446"/>
  <c r="AA323" i="446"/>
  <c r="AA324" i="446"/>
  <c r="AA325" i="446"/>
  <c r="AA326" i="446"/>
  <c r="AA327" i="446"/>
  <c r="AA328" i="446"/>
  <c r="AA329" i="446"/>
  <c r="AA330" i="446"/>
  <c r="AA331" i="446"/>
  <c r="AA332" i="446"/>
  <c r="AA333" i="446"/>
  <c r="AA334" i="446"/>
  <c r="AA335" i="446"/>
  <c r="AA336" i="446"/>
  <c r="AA337" i="446"/>
  <c r="AA338" i="446"/>
  <c r="AA339" i="446"/>
  <c r="AA340" i="446"/>
  <c r="AA341" i="446"/>
  <c r="AA342" i="446"/>
  <c r="AA343" i="446"/>
  <c r="AA344" i="446"/>
  <c r="AA345" i="446"/>
  <c r="AA346" i="446"/>
  <c r="AA347" i="446"/>
  <c r="AA348" i="446"/>
  <c r="AA349" i="446"/>
  <c r="AA350" i="446"/>
  <c r="AA351" i="446"/>
  <c r="AA352" i="446"/>
  <c r="AA353" i="446"/>
  <c r="AA354" i="446"/>
  <c r="AA355" i="446"/>
  <c r="AA356" i="446"/>
  <c r="AA357" i="446"/>
  <c r="AA358" i="446"/>
  <c r="AA359" i="446"/>
  <c r="AA360" i="446"/>
  <c r="AA361" i="446"/>
  <c r="AA362" i="446"/>
  <c r="AA363" i="446"/>
  <c r="AA364" i="446"/>
  <c r="AA365" i="446"/>
  <c r="AA366" i="446"/>
  <c r="AA367" i="446"/>
  <c r="AA368" i="446"/>
  <c r="AA369" i="446"/>
  <c r="AA370" i="446"/>
  <c r="AA371" i="446"/>
  <c r="AA372" i="446"/>
  <c r="AA373" i="446"/>
  <c r="AA374" i="446"/>
  <c r="AA375" i="446"/>
  <c r="AA376" i="446"/>
  <c r="AA377" i="446"/>
  <c r="AA378" i="446"/>
  <c r="AA379" i="446"/>
  <c r="AA380" i="446"/>
  <c r="AA381" i="446"/>
  <c r="AA382" i="446"/>
  <c r="AA383" i="446"/>
  <c r="AA384" i="446"/>
  <c r="AA385" i="446"/>
  <c r="AA386" i="446"/>
  <c r="AA387" i="446"/>
  <c r="AA388" i="446"/>
  <c r="AA389" i="446"/>
  <c r="AA390" i="446"/>
  <c r="AA391" i="446"/>
  <c r="AA392" i="446"/>
  <c r="AA393" i="446"/>
  <c r="AA394" i="446"/>
  <c r="AA395" i="446"/>
  <c r="AA396" i="446"/>
  <c r="AA397" i="446"/>
  <c r="AA398" i="446"/>
  <c r="AA399" i="446"/>
  <c r="AA400" i="446"/>
  <c r="AA401" i="446"/>
  <c r="AA402" i="446"/>
  <c r="AA403" i="446"/>
  <c r="AA404" i="446"/>
  <c r="AA405" i="446"/>
  <c r="AA406" i="446"/>
  <c r="AA407" i="446"/>
  <c r="AA408" i="446"/>
  <c r="AA409" i="446"/>
  <c r="AA410" i="446"/>
  <c r="AA411" i="446"/>
  <c r="AA412" i="446"/>
  <c r="AA413" i="446"/>
  <c r="AA414" i="446"/>
  <c r="AA415" i="446"/>
  <c r="AA416" i="446"/>
  <c r="AA417" i="446"/>
  <c r="AA418" i="446"/>
  <c r="AA419" i="446"/>
  <c r="AA420" i="446"/>
  <c r="AA421" i="446"/>
  <c r="AA422" i="446"/>
  <c r="AA423" i="446"/>
  <c r="AA424" i="446"/>
  <c r="AA425" i="446"/>
  <c r="AA426" i="446"/>
  <c r="AA427" i="446"/>
  <c r="AA428" i="446"/>
  <c r="AA429" i="446"/>
  <c r="AA430" i="446"/>
  <c r="AA431" i="446"/>
  <c r="AA432" i="446"/>
  <c r="AA433" i="446"/>
  <c r="AA434" i="446"/>
  <c r="AA435" i="446"/>
  <c r="AA436" i="446"/>
  <c r="AA437" i="446"/>
  <c r="AA438" i="446"/>
  <c r="AA439" i="446"/>
  <c r="AA440" i="446"/>
  <c r="AA441" i="446"/>
  <c r="AA442" i="446"/>
  <c r="AA443" i="446"/>
  <c r="AA444" i="446"/>
  <c r="AA445" i="446"/>
  <c r="AA446" i="446"/>
  <c r="AA447" i="446"/>
  <c r="AA448" i="446"/>
  <c r="AA449" i="446"/>
  <c r="AA450" i="446"/>
  <c r="AA451" i="446"/>
  <c r="AA452" i="446"/>
  <c r="AA453" i="446"/>
  <c r="AA454" i="446"/>
  <c r="AA455" i="446"/>
  <c r="AA456" i="446"/>
  <c r="AA457" i="446"/>
  <c r="AA458" i="446"/>
  <c r="AA459" i="446"/>
  <c r="AA460" i="446"/>
  <c r="AA461" i="446"/>
  <c r="AA462" i="446"/>
  <c r="AA463" i="446"/>
  <c r="AA464" i="446"/>
  <c r="AA465" i="446"/>
  <c r="AA466" i="446"/>
  <c r="AA467" i="446"/>
  <c r="AA468" i="446"/>
  <c r="AA469" i="446"/>
  <c r="AA470" i="446"/>
  <c r="AA471" i="446"/>
  <c r="AA472" i="446"/>
  <c r="AA473" i="446"/>
  <c r="AA474" i="446"/>
  <c r="AA475" i="446"/>
  <c r="AA476" i="446"/>
  <c r="AA477" i="446"/>
  <c r="AA478" i="446"/>
  <c r="AA479" i="446"/>
  <c r="AA480" i="446"/>
  <c r="AA481" i="446"/>
  <c r="AA482" i="446"/>
  <c r="AA483" i="446"/>
  <c r="AA484" i="446"/>
  <c r="AA485" i="446"/>
  <c r="AA486" i="446"/>
  <c r="AA487" i="446"/>
  <c r="AA488" i="446"/>
  <c r="AA489" i="446"/>
  <c r="AA490" i="446"/>
  <c r="AA491" i="446"/>
  <c r="AA492" i="446"/>
  <c r="AA493" i="446"/>
  <c r="AA494" i="446"/>
  <c r="AA495" i="446"/>
  <c r="AA496" i="446"/>
  <c r="AA497" i="446"/>
  <c r="AA498" i="446"/>
  <c r="AA499" i="446"/>
  <c r="AA500" i="446"/>
  <c r="AA501" i="446"/>
  <c r="AA502" i="446"/>
  <c r="AA503" i="446"/>
  <c r="AA504" i="446"/>
  <c r="AA505" i="446"/>
  <c r="AA506" i="446"/>
  <c r="AA507" i="446"/>
  <c r="AA508" i="446"/>
  <c r="AA509" i="446"/>
  <c r="AA510" i="446"/>
  <c r="AA511" i="446"/>
  <c r="AA512" i="446"/>
  <c r="AA513" i="446"/>
  <c r="AA514" i="446"/>
  <c r="AA515" i="446"/>
  <c r="AA516" i="446"/>
  <c r="AA517" i="446"/>
  <c r="AA518" i="446"/>
  <c r="AA519" i="446"/>
  <c r="AA520" i="446"/>
  <c r="AA521" i="446"/>
  <c r="AA522" i="446"/>
  <c r="AA523" i="446"/>
  <c r="AA524" i="446"/>
  <c r="AA525" i="446"/>
  <c r="AA526" i="446"/>
  <c r="AA527" i="446"/>
  <c r="AA528" i="446"/>
  <c r="AA529" i="446"/>
  <c r="AA530" i="446"/>
  <c r="AA531" i="446"/>
  <c r="AA532" i="446"/>
  <c r="AA533" i="446"/>
  <c r="AA534" i="446"/>
  <c r="AA535" i="446"/>
  <c r="AA536" i="446"/>
  <c r="AA537" i="446"/>
  <c r="AA538" i="446"/>
  <c r="N621" i="445" l="1"/>
  <c r="M621" i="445"/>
  <c r="O621" i="445" s="1"/>
  <c r="N620" i="445"/>
  <c r="M620" i="445"/>
  <c r="O620" i="445" s="1"/>
  <c r="N619" i="445"/>
  <c r="M619" i="445"/>
  <c r="O619" i="445" s="1"/>
  <c r="N618" i="445"/>
  <c r="M618" i="445"/>
  <c r="N617" i="445"/>
  <c r="M617" i="445"/>
  <c r="O617" i="445" s="1"/>
  <c r="N616" i="445"/>
  <c r="M616" i="445"/>
  <c r="N615" i="445"/>
  <c r="M615" i="445"/>
  <c r="N614" i="445"/>
  <c r="M614" i="445"/>
  <c r="O614" i="445" s="1"/>
  <c r="N613" i="445"/>
  <c r="M613" i="445"/>
  <c r="O613" i="445" s="1"/>
  <c r="N612" i="445"/>
  <c r="M612" i="445"/>
  <c r="O612" i="445" s="1"/>
  <c r="N611" i="445"/>
  <c r="M611" i="445"/>
  <c r="O611" i="445" s="1"/>
  <c r="N610" i="445"/>
  <c r="M610" i="445"/>
  <c r="O610" i="445" s="1"/>
  <c r="N609" i="445"/>
  <c r="M609" i="445"/>
  <c r="N608" i="445"/>
  <c r="M608" i="445"/>
  <c r="O608" i="445" s="1"/>
  <c r="N607" i="445"/>
  <c r="M607" i="445"/>
  <c r="N606" i="445"/>
  <c r="M606" i="445"/>
  <c r="O606" i="445" s="1"/>
  <c r="N605" i="445"/>
  <c r="M605" i="445"/>
  <c r="N604" i="445"/>
  <c r="M604" i="445"/>
  <c r="O604" i="445" s="1"/>
  <c r="N603" i="445"/>
  <c r="M603" i="445"/>
  <c r="O603" i="445" s="1"/>
  <c r="N602" i="445"/>
  <c r="M602" i="445"/>
  <c r="N601" i="445"/>
  <c r="M601" i="445"/>
  <c r="O601" i="445" s="1"/>
  <c r="N600" i="445"/>
  <c r="M600" i="445"/>
  <c r="N599" i="445"/>
  <c r="M599" i="445"/>
  <c r="O599" i="445" s="1"/>
  <c r="N598" i="445"/>
  <c r="M598" i="445"/>
  <c r="O598" i="445" s="1"/>
  <c r="N597" i="445"/>
  <c r="M597" i="445"/>
  <c r="O597" i="445" s="1"/>
  <c r="N596" i="445"/>
  <c r="M596" i="445"/>
  <c r="O596" i="445" s="1"/>
  <c r="N595" i="445"/>
  <c r="M595" i="445"/>
  <c r="O595" i="445" s="1"/>
  <c r="N594" i="445"/>
  <c r="M594" i="445"/>
  <c r="O594" i="445" s="1"/>
  <c r="N593" i="445"/>
  <c r="M593" i="445"/>
  <c r="O593" i="445" s="1"/>
  <c r="N592" i="445"/>
  <c r="M592" i="445"/>
  <c r="N591" i="445"/>
  <c r="M591" i="445"/>
  <c r="N590" i="445"/>
  <c r="M590" i="445"/>
  <c r="N589" i="445"/>
  <c r="M589" i="445"/>
  <c r="N588" i="445"/>
  <c r="M588" i="445"/>
  <c r="N587" i="445"/>
  <c r="M587" i="445"/>
  <c r="O587" i="445" s="1"/>
  <c r="N586" i="445"/>
  <c r="O586" i="445" s="1"/>
  <c r="M586" i="445"/>
  <c r="N585" i="445"/>
  <c r="M585" i="445"/>
  <c r="O585" i="445" s="1"/>
  <c r="N584" i="445"/>
  <c r="M584" i="445"/>
  <c r="N583" i="445"/>
  <c r="M583" i="445"/>
  <c r="O583" i="445" s="1"/>
  <c r="N582" i="445"/>
  <c r="M582" i="445"/>
  <c r="N581" i="445"/>
  <c r="M581" i="445"/>
  <c r="O581" i="445" s="1"/>
  <c r="N580" i="445"/>
  <c r="M580" i="445"/>
  <c r="N579" i="445"/>
  <c r="M579" i="445"/>
  <c r="O579" i="445" s="1"/>
  <c r="N578" i="445"/>
  <c r="M578" i="445"/>
  <c r="O578" i="445" s="1"/>
  <c r="N577" i="445"/>
  <c r="M577" i="445"/>
  <c r="O577" i="445" s="1"/>
  <c r="N576" i="445"/>
  <c r="M576" i="445"/>
  <c r="O576" i="445" s="1"/>
  <c r="N575" i="445"/>
  <c r="M575" i="445"/>
  <c r="N574" i="445"/>
  <c r="M574" i="445"/>
  <c r="O574" i="445" s="1"/>
  <c r="N573" i="445"/>
  <c r="M573" i="445"/>
  <c r="O573" i="445" s="1"/>
  <c r="N572" i="445"/>
  <c r="M572" i="445"/>
  <c r="O572" i="445" s="1"/>
  <c r="N571" i="445"/>
  <c r="M571" i="445"/>
  <c r="O571" i="445" s="1"/>
  <c r="N570" i="445"/>
  <c r="M570" i="445"/>
  <c r="N569" i="445"/>
  <c r="M569" i="445"/>
  <c r="O569" i="445" s="1"/>
  <c r="N568" i="445"/>
  <c r="M568" i="445"/>
  <c r="N567" i="445"/>
  <c r="M567" i="445"/>
  <c r="N566" i="445"/>
  <c r="M566" i="445"/>
  <c r="O566" i="445" s="1"/>
  <c r="N565" i="445"/>
  <c r="M565" i="445"/>
  <c r="O565" i="445" s="1"/>
  <c r="N564" i="445"/>
  <c r="M564" i="445"/>
  <c r="O564" i="445" s="1"/>
  <c r="N563" i="445"/>
  <c r="M563" i="445"/>
  <c r="O563" i="445" s="1"/>
  <c r="N562" i="445"/>
  <c r="M562" i="445"/>
  <c r="O562" i="445" s="1"/>
  <c r="N561" i="445"/>
  <c r="M561" i="445"/>
  <c r="O561" i="445" s="1"/>
  <c r="N560" i="445"/>
  <c r="M560" i="445"/>
  <c r="O560" i="445" s="1"/>
  <c r="N559" i="445"/>
  <c r="M559" i="445"/>
  <c r="N558" i="445"/>
  <c r="M558" i="445"/>
  <c r="O558" i="445" s="1"/>
  <c r="N557" i="445"/>
  <c r="M557" i="445"/>
  <c r="O557" i="445" s="1"/>
  <c r="N556" i="445"/>
  <c r="M556" i="445"/>
  <c r="O556" i="445" s="1"/>
  <c r="N555" i="445"/>
  <c r="M555" i="445"/>
  <c r="O555" i="445" s="1"/>
  <c r="N554" i="445"/>
  <c r="M554" i="445"/>
  <c r="N553" i="445"/>
  <c r="M553" i="445"/>
  <c r="O553" i="445" s="1"/>
  <c r="N552" i="445"/>
  <c r="M552" i="445"/>
  <c r="N551" i="445"/>
  <c r="M551" i="445"/>
  <c r="N550" i="445"/>
  <c r="M550" i="445"/>
  <c r="O550" i="445" s="1"/>
  <c r="N549" i="445"/>
  <c r="M549" i="445"/>
  <c r="O549" i="445" s="1"/>
  <c r="N548" i="445"/>
  <c r="M548" i="445"/>
  <c r="O548" i="445" s="1"/>
  <c r="N547" i="445"/>
  <c r="M547" i="445"/>
  <c r="O547" i="445" s="1"/>
  <c r="N546" i="445"/>
  <c r="M546" i="445"/>
  <c r="O546" i="445" s="1"/>
  <c r="N545" i="445"/>
  <c r="M545" i="445"/>
  <c r="O545" i="445" s="1"/>
  <c r="N544" i="445"/>
  <c r="M544" i="445"/>
  <c r="O544" i="445" s="1"/>
  <c r="N543" i="445"/>
  <c r="M543" i="445"/>
  <c r="N542" i="445"/>
  <c r="M542" i="445"/>
  <c r="O542" i="445" s="1"/>
  <c r="N541" i="445"/>
  <c r="M541" i="445"/>
  <c r="O541" i="445" s="1"/>
  <c r="N540" i="445"/>
  <c r="M540" i="445"/>
  <c r="O540" i="445" s="1"/>
  <c r="N539" i="445"/>
  <c r="M539" i="445"/>
  <c r="O539" i="445" s="1"/>
  <c r="N538" i="445"/>
  <c r="M538" i="445"/>
  <c r="N537" i="445"/>
  <c r="M537" i="445"/>
  <c r="O537" i="445" s="1"/>
  <c r="N536" i="445"/>
  <c r="M536" i="445"/>
  <c r="N535" i="445"/>
  <c r="M535" i="445"/>
  <c r="O535" i="445" s="1"/>
  <c r="N534" i="445"/>
  <c r="M534" i="445"/>
  <c r="O534" i="445" s="1"/>
  <c r="N533" i="445"/>
  <c r="M533" i="445"/>
  <c r="O533" i="445" s="1"/>
  <c r="N532" i="445"/>
  <c r="M532" i="445"/>
  <c r="O532" i="445" s="1"/>
  <c r="N531" i="445"/>
  <c r="M531" i="445"/>
  <c r="O531" i="445" s="1"/>
  <c r="N530" i="445"/>
  <c r="M530" i="445"/>
  <c r="O530" i="445" s="1"/>
  <c r="N529" i="445"/>
  <c r="M529" i="445"/>
  <c r="O529" i="445" s="1"/>
  <c r="N528" i="445"/>
  <c r="M528" i="445"/>
  <c r="O528" i="445" s="1"/>
  <c r="N527" i="445"/>
  <c r="M527" i="445"/>
  <c r="N526" i="445"/>
  <c r="M526" i="445"/>
  <c r="O526" i="445" s="1"/>
  <c r="N525" i="445"/>
  <c r="M525" i="445"/>
  <c r="N524" i="445"/>
  <c r="M524" i="445"/>
  <c r="N523" i="445"/>
  <c r="M523" i="445"/>
  <c r="O523" i="445" s="1"/>
  <c r="N522" i="445"/>
  <c r="M522" i="445"/>
  <c r="N521" i="445"/>
  <c r="M521" i="445"/>
  <c r="O521" i="445" s="1"/>
  <c r="N520" i="445"/>
  <c r="M520" i="445"/>
  <c r="N519" i="445"/>
  <c r="M519" i="445"/>
  <c r="N518" i="445"/>
  <c r="M518" i="445"/>
  <c r="O518" i="445" s="1"/>
  <c r="N517" i="445"/>
  <c r="M517" i="445"/>
  <c r="O517" i="445" s="1"/>
  <c r="N516" i="445"/>
  <c r="M516" i="445"/>
  <c r="O516" i="445" s="1"/>
  <c r="N515" i="445"/>
  <c r="M515" i="445"/>
  <c r="O515" i="445" s="1"/>
  <c r="N514" i="445"/>
  <c r="M514" i="445"/>
  <c r="O514" i="445" s="1"/>
  <c r="N513" i="445"/>
  <c r="M513" i="445"/>
  <c r="N512" i="445"/>
  <c r="M512" i="445"/>
  <c r="N511" i="445"/>
  <c r="M511" i="445"/>
  <c r="N510" i="445"/>
  <c r="M510" i="445"/>
  <c r="O510" i="445" s="1"/>
  <c r="N509" i="445"/>
  <c r="M509" i="445"/>
  <c r="N508" i="445"/>
  <c r="M508" i="445"/>
  <c r="N507" i="445"/>
  <c r="M507" i="445"/>
  <c r="N506" i="445"/>
  <c r="O506" i="445" s="1"/>
  <c r="M506" i="445"/>
  <c r="N505" i="445"/>
  <c r="M505" i="445"/>
  <c r="N504" i="445"/>
  <c r="M504" i="445"/>
  <c r="N503" i="445"/>
  <c r="M503" i="445"/>
  <c r="N502" i="445"/>
  <c r="M502" i="445"/>
  <c r="N501" i="445"/>
  <c r="M501" i="445"/>
  <c r="N500" i="445"/>
  <c r="M500" i="445"/>
  <c r="N499" i="445"/>
  <c r="M499" i="445"/>
  <c r="N498" i="445"/>
  <c r="M498" i="445"/>
  <c r="O498" i="445" s="1"/>
  <c r="N497" i="445"/>
  <c r="M497" i="445"/>
  <c r="N496" i="445"/>
  <c r="M496" i="445"/>
  <c r="O496" i="445" s="1"/>
  <c r="N495" i="445"/>
  <c r="M495" i="445"/>
  <c r="N494" i="445"/>
  <c r="M494" i="445"/>
  <c r="O494" i="445" s="1"/>
  <c r="N493" i="445"/>
  <c r="M493" i="445"/>
  <c r="N492" i="445"/>
  <c r="M492" i="445"/>
  <c r="O492" i="445" s="1"/>
  <c r="N491" i="445"/>
  <c r="M491" i="445"/>
  <c r="O491" i="445" s="1"/>
  <c r="N490" i="445"/>
  <c r="M490" i="445"/>
  <c r="N489" i="445"/>
  <c r="M489" i="445"/>
  <c r="O489" i="445" s="1"/>
  <c r="N488" i="445"/>
  <c r="M488" i="445"/>
  <c r="N487" i="445"/>
  <c r="M487" i="445"/>
  <c r="N486" i="445"/>
  <c r="M486" i="445"/>
  <c r="O486" i="445" s="1"/>
  <c r="N485" i="445"/>
  <c r="M485" i="445"/>
  <c r="O485" i="445" s="1"/>
  <c r="N484" i="445"/>
  <c r="M484" i="445"/>
  <c r="O484" i="445" s="1"/>
  <c r="N483" i="445"/>
  <c r="M483" i="445"/>
  <c r="O483" i="445" s="1"/>
  <c r="N482" i="445"/>
  <c r="M482" i="445"/>
  <c r="O482" i="445" s="1"/>
  <c r="N481" i="445"/>
  <c r="M481" i="445"/>
  <c r="O481" i="445" s="1"/>
  <c r="N480" i="445"/>
  <c r="M480" i="445"/>
  <c r="N479" i="445"/>
  <c r="M479" i="445"/>
  <c r="N478" i="445"/>
  <c r="M478" i="445"/>
  <c r="N477" i="445"/>
  <c r="M477" i="445"/>
  <c r="N476" i="445"/>
  <c r="M476" i="445"/>
  <c r="N475" i="445"/>
  <c r="M475" i="445"/>
  <c r="O475" i="445" s="1"/>
  <c r="N474" i="445"/>
  <c r="O474" i="445" s="1"/>
  <c r="M474" i="445"/>
  <c r="N473" i="445"/>
  <c r="M473" i="445"/>
  <c r="N472" i="445"/>
  <c r="M472" i="445"/>
  <c r="N471" i="445"/>
  <c r="M471" i="445"/>
  <c r="N470" i="445"/>
  <c r="M470" i="445"/>
  <c r="N469" i="445"/>
  <c r="M469" i="445"/>
  <c r="O469" i="445" s="1"/>
  <c r="N468" i="445"/>
  <c r="M468" i="445"/>
  <c r="N467" i="445"/>
  <c r="M467" i="445"/>
  <c r="N466" i="445"/>
  <c r="M466" i="445"/>
  <c r="O466" i="445" s="1"/>
  <c r="N465" i="445"/>
  <c r="M465" i="445"/>
  <c r="O465" i="445" s="1"/>
  <c r="N464" i="445"/>
  <c r="M464" i="445"/>
  <c r="O464" i="445" s="1"/>
  <c r="N463" i="445"/>
  <c r="M463" i="445"/>
  <c r="N462" i="445"/>
  <c r="M462" i="445"/>
  <c r="O462" i="445" s="1"/>
  <c r="N461" i="445"/>
  <c r="M461" i="445"/>
  <c r="N460" i="445"/>
  <c r="M460" i="445"/>
  <c r="O460" i="445" s="1"/>
  <c r="N459" i="445"/>
  <c r="M459" i="445"/>
  <c r="O459" i="445" s="1"/>
  <c r="N458" i="445"/>
  <c r="M458" i="445"/>
  <c r="N457" i="445"/>
  <c r="M457" i="445"/>
  <c r="O457" i="445" s="1"/>
  <c r="N456" i="445"/>
  <c r="M456" i="445"/>
  <c r="N455" i="445"/>
  <c r="M455" i="445"/>
  <c r="N454" i="445"/>
  <c r="M454" i="445"/>
  <c r="O454" i="445" s="1"/>
  <c r="N453" i="445"/>
  <c r="M453" i="445"/>
  <c r="O453" i="445" s="1"/>
  <c r="N452" i="445"/>
  <c r="M452" i="445"/>
  <c r="O452" i="445" s="1"/>
  <c r="N451" i="445"/>
  <c r="M451" i="445"/>
  <c r="O451" i="445" s="1"/>
  <c r="N450" i="445"/>
  <c r="M450" i="445"/>
  <c r="O450" i="445" s="1"/>
  <c r="N449" i="445"/>
  <c r="M449" i="445"/>
  <c r="N448" i="445"/>
  <c r="M448" i="445"/>
  <c r="N447" i="445"/>
  <c r="M447" i="445"/>
  <c r="N446" i="445"/>
  <c r="M446" i="445"/>
  <c r="O446" i="445" s="1"/>
  <c r="N445" i="445"/>
  <c r="M445" i="445"/>
  <c r="N444" i="445"/>
  <c r="M444" i="445"/>
  <c r="N443" i="445"/>
  <c r="M443" i="445"/>
  <c r="N442" i="445"/>
  <c r="O442" i="445" s="1"/>
  <c r="M442" i="445"/>
  <c r="N441" i="445"/>
  <c r="M441" i="445"/>
  <c r="N440" i="445"/>
  <c r="M440" i="445"/>
  <c r="N439" i="445"/>
  <c r="M439" i="445"/>
  <c r="N438" i="445"/>
  <c r="M438" i="445"/>
  <c r="N437" i="445"/>
  <c r="M437" i="445"/>
  <c r="N436" i="445"/>
  <c r="M436" i="445"/>
  <c r="N435" i="445"/>
  <c r="M435" i="445"/>
  <c r="N434" i="445"/>
  <c r="M434" i="445"/>
  <c r="O434" i="445" s="1"/>
  <c r="N433" i="445"/>
  <c r="M433" i="445"/>
  <c r="O433" i="445" s="1"/>
  <c r="N432" i="445"/>
  <c r="M432" i="445"/>
  <c r="O432" i="445" s="1"/>
  <c r="N431" i="445"/>
  <c r="M431" i="445"/>
  <c r="N430" i="445"/>
  <c r="M430" i="445"/>
  <c r="O430" i="445" s="1"/>
  <c r="N429" i="445"/>
  <c r="M429" i="445"/>
  <c r="N428" i="445"/>
  <c r="M428" i="445"/>
  <c r="O428" i="445" s="1"/>
  <c r="N427" i="445"/>
  <c r="M427" i="445"/>
  <c r="O427" i="445" s="1"/>
  <c r="N426" i="445"/>
  <c r="M426" i="445"/>
  <c r="N425" i="445"/>
  <c r="M425" i="445"/>
  <c r="N424" i="445"/>
  <c r="M424" i="445"/>
  <c r="N423" i="445"/>
  <c r="M423" i="445"/>
  <c r="N422" i="445"/>
  <c r="M422" i="445"/>
  <c r="O422" i="445" s="1"/>
  <c r="N421" i="445"/>
  <c r="M421" i="445"/>
  <c r="O421" i="445" s="1"/>
  <c r="N420" i="445"/>
  <c r="M420" i="445"/>
  <c r="O420" i="445" s="1"/>
  <c r="N419" i="445"/>
  <c r="M419" i="445"/>
  <c r="N418" i="445"/>
  <c r="M418" i="445"/>
  <c r="O418" i="445" s="1"/>
  <c r="N417" i="445"/>
  <c r="M417" i="445"/>
  <c r="O417" i="445" s="1"/>
  <c r="N416" i="445"/>
  <c r="M416" i="445"/>
  <c r="N415" i="445"/>
  <c r="M415" i="445"/>
  <c r="N414" i="445"/>
  <c r="M414" i="445"/>
  <c r="O414" i="445" s="1"/>
  <c r="N413" i="445"/>
  <c r="M413" i="445"/>
  <c r="N412" i="445"/>
  <c r="M412" i="445"/>
  <c r="N411" i="445"/>
  <c r="M411" i="445"/>
  <c r="O411" i="445" s="1"/>
  <c r="N410" i="445"/>
  <c r="O410" i="445" s="1"/>
  <c r="M410" i="445"/>
  <c r="N409" i="445"/>
  <c r="M409" i="445"/>
  <c r="N408" i="445"/>
  <c r="M408" i="445"/>
  <c r="N407" i="445"/>
  <c r="M407" i="445"/>
  <c r="N406" i="445"/>
  <c r="M406" i="445"/>
  <c r="N405" i="445"/>
  <c r="M405" i="445"/>
  <c r="O405" i="445" s="1"/>
  <c r="N404" i="445"/>
  <c r="M404" i="445"/>
  <c r="N403" i="445"/>
  <c r="M403" i="445"/>
  <c r="N402" i="445"/>
  <c r="M402" i="445"/>
  <c r="O402" i="445" s="1"/>
  <c r="N401" i="445"/>
  <c r="M401" i="445"/>
  <c r="O401" i="445" s="1"/>
  <c r="N400" i="445"/>
  <c r="M400" i="445"/>
  <c r="O400" i="445" s="1"/>
  <c r="N399" i="445"/>
  <c r="M399" i="445"/>
  <c r="N398" i="445"/>
  <c r="M398" i="445"/>
  <c r="O398" i="445" s="1"/>
  <c r="N397" i="445"/>
  <c r="M397" i="445"/>
  <c r="N396" i="445"/>
  <c r="M396" i="445"/>
  <c r="N395" i="445"/>
  <c r="M395" i="445"/>
  <c r="O395" i="445" s="1"/>
  <c r="N394" i="445"/>
  <c r="M394" i="445"/>
  <c r="N393" i="445"/>
  <c r="M393" i="445"/>
  <c r="O393" i="445" s="1"/>
  <c r="N392" i="445"/>
  <c r="M392" i="445"/>
  <c r="N391" i="445"/>
  <c r="M391" i="445"/>
  <c r="N390" i="445"/>
  <c r="M390" i="445"/>
  <c r="N389" i="445"/>
  <c r="M389" i="445"/>
  <c r="O389" i="445" s="1"/>
  <c r="N388" i="445"/>
  <c r="M388" i="445"/>
  <c r="O388" i="445" s="1"/>
  <c r="N387" i="445"/>
  <c r="M387" i="445"/>
  <c r="O387" i="445" s="1"/>
  <c r="N386" i="445"/>
  <c r="M386" i="445"/>
  <c r="O386" i="445" s="1"/>
  <c r="N385" i="445"/>
  <c r="M385" i="445"/>
  <c r="O385" i="445" s="1"/>
  <c r="N384" i="445"/>
  <c r="M384" i="445"/>
  <c r="N383" i="445"/>
  <c r="M383" i="445"/>
  <c r="N382" i="445"/>
  <c r="M382" i="445"/>
  <c r="O382" i="445" s="1"/>
  <c r="N381" i="445"/>
  <c r="M381" i="445"/>
  <c r="N380" i="445"/>
  <c r="M380" i="445"/>
  <c r="O380" i="445" s="1"/>
  <c r="N379" i="445"/>
  <c r="M379" i="445"/>
  <c r="O379" i="445" s="1"/>
  <c r="N378" i="445"/>
  <c r="O378" i="445" s="1"/>
  <c r="M378" i="445"/>
  <c r="N377" i="445"/>
  <c r="M377" i="445"/>
  <c r="N376" i="445"/>
  <c r="M376" i="445"/>
  <c r="N375" i="445"/>
  <c r="M375" i="445"/>
  <c r="N374" i="445"/>
  <c r="M374" i="445"/>
  <c r="O374" i="445" s="1"/>
  <c r="N373" i="445"/>
  <c r="M373" i="445"/>
  <c r="O373" i="445" s="1"/>
  <c r="N372" i="445"/>
  <c r="M372" i="445"/>
  <c r="N369" i="445"/>
  <c r="M369" i="445"/>
  <c r="N368" i="445"/>
  <c r="M368" i="445"/>
  <c r="N367" i="445"/>
  <c r="O367" i="445" s="1"/>
  <c r="M367" i="445"/>
  <c r="N366" i="445"/>
  <c r="M366" i="445"/>
  <c r="O366" i="445" s="1"/>
  <c r="N365" i="445"/>
  <c r="M365" i="445"/>
  <c r="O365" i="445" s="1"/>
  <c r="N364" i="445"/>
  <c r="O364" i="445" s="1"/>
  <c r="M364" i="445"/>
  <c r="N362" i="445"/>
  <c r="O362" i="445" s="1"/>
  <c r="M362" i="445"/>
  <c r="N361" i="445"/>
  <c r="M361" i="445"/>
  <c r="O361" i="445" s="1"/>
  <c r="N360" i="445"/>
  <c r="O360" i="445" s="1"/>
  <c r="M360" i="445"/>
  <c r="N359" i="445"/>
  <c r="M359" i="445"/>
  <c r="O359" i="445" s="1"/>
  <c r="N358" i="445"/>
  <c r="M358" i="445"/>
  <c r="O358" i="445" s="1"/>
  <c r="N357" i="445"/>
  <c r="M357" i="445"/>
  <c r="N356" i="445"/>
  <c r="M356" i="445"/>
  <c r="N355" i="445"/>
  <c r="M355" i="445"/>
  <c r="O355" i="445" s="1"/>
  <c r="N354" i="445"/>
  <c r="O354" i="445" s="1"/>
  <c r="M354" i="445"/>
  <c r="N353" i="445"/>
  <c r="M353" i="445"/>
  <c r="O353" i="445" s="1"/>
  <c r="N352" i="445"/>
  <c r="M352" i="445"/>
  <c r="N351" i="445"/>
  <c r="M351" i="445"/>
  <c r="N350" i="445"/>
  <c r="M350" i="445"/>
  <c r="N349" i="445"/>
  <c r="M349" i="445"/>
  <c r="N348" i="445"/>
  <c r="M348" i="445"/>
  <c r="N347" i="445"/>
  <c r="M347" i="445"/>
  <c r="O347" i="445" s="1"/>
  <c r="N345" i="445"/>
  <c r="M345" i="445"/>
  <c r="N344" i="445"/>
  <c r="M344" i="445"/>
  <c r="O344" i="445" s="1"/>
  <c r="N343" i="445"/>
  <c r="M343" i="445"/>
  <c r="N342" i="445"/>
  <c r="M342" i="445"/>
  <c r="O342" i="445" s="1"/>
  <c r="N341" i="445"/>
  <c r="M341" i="445"/>
  <c r="N340" i="445"/>
  <c r="M340" i="445"/>
  <c r="N339" i="445"/>
  <c r="M339" i="445"/>
  <c r="N338" i="445"/>
  <c r="M338" i="445"/>
  <c r="O338" i="445" s="1"/>
  <c r="N337" i="445"/>
  <c r="M337" i="445"/>
  <c r="O337" i="445" s="1"/>
  <c r="N336" i="445"/>
  <c r="M336" i="445"/>
  <c r="O336" i="445" s="1"/>
  <c r="N335" i="445"/>
  <c r="M335" i="445"/>
  <c r="O335" i="445" s="1"/>
  <c r="N333" i="445"/>
  <c r="O333" i="445" s="1"/>
  <c r="M333" i="445"/>
  <c r="N332" i="445"/>
  <c r="M332" i="445"/>
  <c r="N331" i="445"/>
  <c r="M331" i="445"/>
  <c r="N330" i="445"/>
  <c r="M330" i="445"/>
  <c r="N329" i="445"/>
  <c r="M329" i="445"/>
  <c r="N328" i="445"/>
  <c r="M328" i="445"/>
  <c r="O328" i="445" s="1"/>
  <c r="N327" i="445"/>
  <c r="M327" i="445"/>
  <c r="N326" i="445"/>
  <c r="M326" i="445"/>
  <c r="N325" i="445"/>
  <c r="M325" i="445"/>
  <c r="N324" i="445"/>
  <c r="M324" i="445"/>
  <c r="O324" i="445" s="1"/>
  <c r="N323" i="445"/>
  <c r="M323" i="445"/>
  <c r="N322" i="445"/>
  <c r="M322" i="445"/>
  <c r="N321" i="445"/>
  <c r="O321" i="445" s="1"/>
  <c r="M321" i="445"/>
  <c r="N320" i="445"/>
  <c r="M320" i="445"/>
  <c r="N319" i="445"/>
  <c r="M319" i="445"/>
  <c r="N318" i="445"/>
  <c r="M318" i="445"/>
  <c r="N317" i="445"/>
  <c r="M317" i="445"/>
  <c r="N316" i="445"/>
  <c r="M316" i="445"/>
  <c r="O316" i="445" s="1"/>
  <c r="N315" i="445"/>
  <c r="M315" i="445"/>
  <c r="N314" i="445"/>
  <c r="M314" i="445"/>
  <c r="N313" i="445"/>
  <c r="M313" i="445"/>
  <c r="N312" i="445"/>
  <c r="M312" i="445"/>
  <c r="O312" i="445" s="1"/>
  <c r="N311" i="445"/>
  <c r="M311" i="445"/>
  <c r="N310" i="445"/>
  <c r="M310" i="445"/>
  <c r="N309" i="445"/>
  <c r="O309" i="445" s="1"/>
  <c r="M309" i="445"/>
  <c r="N308" i="445"/>
  <c r="M308" i="445"/>
  <c r="N307" i="445"/>
  <c r="M307" i="445"/>
  <c r="N306" i="445"/>
  <c r="M306" i="445"/>
  <c r="N305" i="445"/>
  <c r="M305" i="445"/>
  <c r="N304" i="445"/>
  <c r="M304" i="445"/>
  <c r="N303" i="445"/>
  <c r="M303" i="445"/>
  <c r="N302" i="445"/>
  <c r="M302" i="445"/>
  <c r="N301" i="445"/>
  <c r="M301" i="445"/>
  <c r="N300" i="445"/>
  <c r="M300" i="445"/>
  <c r="O300" i="445" s="1"/>
  <c r="N299" i="445"/>
  <c r="M299" i="445"/>
  <c r="N298" i="445"/>
  <c r="M298" i="445"/>
  <c r="N297" i="445"/>
  <c r="O297" i="445" s="1"/>
  <c r="M297" i="445"/>
  <c r="N296" i="445"/>
  <c r="M296" i="445"/>
  <c r="N295" i="445"/>
  <c r="M295" i="445"/>
  <c r="N294" i="445"/>
  <c r="M294" i="445"/>
  <c r="O294" i="445" s="1"/>
  <c r="N293" i="445"/>
  <c r="M293" i="445"/>
  <c r="N292" i="445"/>
  <c r="M292" i="445"/>
  <c r="N291" i="445"/>
  <c r="M291" i="445"/>
  <c r="N290" i="445"/>
  <c r="M290" i="445"/>
  <c r="N289" i="445"/>
  <c r="M289" i="445"/>
  <c r="N288" i="445"/>
  <c r="M288" i="445"/>
  <c r="O288" i="445" s="1"/>
  <c r="N287" i="445"/>
  <c r="M287" i="445"/>
  <c r="N284" i="445"/>
  <c r="M284" i="445"/>
  <c r="N283" i="445"/>
  <c r="M283" i="445"/>
  <c r="N282" i="445"/>
  <c r="M282" i="445"/>
  <c r="N281" i="445"/>
  <c r="M281" i="445"/>
  <c r="N280" i="445"/>
  <c r="M280" i="445"/>
  <c r="O280" i="445" s="1"/>
  <c r="O279" i="445"/>
  <c r="N279" i="445"/>
  <c r="M279" i="445"/>
  <c r="N278" i="445"/>
  <c r="M278" i="445"/>
  <c r="N277" i="445"/>
  <c r="O277" i="445" s="1"/>
  <c r="M277" i="445"/>
  <c r="N276" i="445"/>
  <c r="M276" i="445"/>
  <c r="O276" i="445" s="1"/>
  <c r="N275" i="445"/>
  <c r="M275" i="445"/>
  <c r="N274" i="445"/>
  <c r="M274" i="445"/>
  <c r="N273" i="445"/>
  <c r="M273" i="445"/>
  <c r="N272" i="445"/>
  <c r="M272" i="445"/>
  <c r="O272" i="445" s="1"/>
  <c r="N271" i="445"/>
  <c r="O271" i="445" s="1"/>
  <c r="M271" i="445"/>
  <c r="N270" i="445"/>
  <c r="M270" i="445"/>
  <c r="N269" i="445"/>
  <c r="M269" i="445"/>
  <c r="N268" i="445"/>
  <c r="M268" i="445"/>
  <c r="N267" i="445"/>
  <c r="M267" i="445"/>
  <c r="O267" i="445" s="1"/>
  <c r="N266" i="445"/>
  <c r="M266" i="445"/>
  <c r="N265" i="445"/>
  <c r="O265" i="445" s="1"/>
  <c r="M265" i="445"/>
  <c r="N264" i="445"/>
  <c r="M264" i="445"/>
  <c r="N263" i="445"/>
  <c r="M263" i="445"/>
  <c r="N262" i="445"/>
  <c r="M262" i="445"/>
  <c r="N261" i="445"/>
  <c r="M261" i="445"/>
  <c r="N260" i="445"/>
  <c r="M260" i="445"/>
  <c r="O260" i="445" s="1"/>
  <c r="N259" i="445"/>
  <c r="M259" i="445"/>
  <c r="O259" i="445" s="1"/>
  <c r="N258" i="445"/>
  <c r="M258" i="445"/>
  <c r="N257" i="445"/>
  <c r="M257" i="445"/>
  <c r="N256" i="445"/>
  <c r="M256" i="445"/>
  <c r="O256" i="445" s="1"/>
  <c r="N255" i="445"/>
  <c r="M255" i="445"/>
  <c r="N254" i="445"/>
  <c r="M254" i="445"/>
  <c r="N253" i="445"/>
  <c r="O253" i="445" s="1"/>
  <c r="M253" i="445"/>
  <c r="N252" i="445"/>
  <c r="M252" i="445"/>
  <c r="O252" i="445" s="1"/>
  <c r="O251" i="445"/>
  <c r="N251" i="445"/>
  <c r="M251" i="445"/>
  <c r="N250" i="445"/>
  <c r="M250" i="445"/>
  <c r="N249" i="445"/>
  <c r="M249" i="445"/>
  <c r="N248" i="445"/>
  <c r="M248" i="445"/>
  <c r="O248" i="445" s="1"/>
  <c r="N247" i="445"/>
  <c r="M247" i="445"/>
  <c r="N246" i="445"/>
  <c r="M246" i="445"/>
  <c r="N245" i="445"/>
  <c r="M245" i="445"/>
  <c r="N244" i="445"/>
  <c r="M244" i="445"/>
  <c r="O244" i="445" s="1"/>
  <c r="N243" i="445"/>
  <c r="M243" i="445"/>
  <c r="N242" i="445"/>
  <c r="M242" i="445"/>
  <c r="N241" i="445"/>
  <c r="M241" i="445"/>
  <c r="N240" i="445"/>
  <c r="M240" i="445"/>
  <c r="N239" i="445"/>
  <c r="M239" i="445"/>
  <c r="N238" i="445"/>
  <c r="M238" i="445"/>
  <c r="O238" i="445" s="1"/>
  <c r="N237" i="445"/>
  <c r="O237" i="445" s="1"/>
  <c r="M237" i="445"/>
  <c r="N236" i="445"/>
  <c r="O236" i="445" s="1"/>
  <c r="M236" i="445"/>
  <c r="N235" i="445"/>
  <c r="M235" i="445"/>
  <c r="O235" i="445" s="1"/>
  <c r="N234" i="445"/>
  <c r="M234" i="445"/>
  <c r="N233" i="445"/>
  <c r="M233" i="445"/>
  <c r="N232" i="445"/>
  <c r="M232" i="445"/>
  <c r="O232" i="445" s="1"/>
  <c r="N231" i="445"/>
  <c r="M231" i="445"/>
  <c r="O231" i="445" s="1"/>
  <c r="N230" i="445"/>
  <c r="M230" i="445"/>
  <c r="O230" i="445" s="1"/>
  <c r="N229" i="445"/>
  <c r="O229" i="445" s="1"/>
  <c r="M229" i="445"/>
  <c r="N228" i="445"/>
  <c r="M228" i="445"/>
  <c r="O228" i="445" s="1"/>
  <c r="N227" i="445"/>
  <c r="M227" i="445"/>
  <c r="O227" i="445" s="1"/>
  <c r="N226" i="445"/>
  <c r="M226" i="445"/>
  <c r="N225" i="445"/>
  <c r="M225" i="445"/>
  <c r="N224" i="445"/>
  <c r="O224" i="445" s="1"/>
  <c r="M224" i="445"/>
  <c r="N223" i="445"/>
  <c r="M223" i="445"/>
  <c r="N222" i="445"/>
  <c r="M222" i="445"/>
  <c r="O222" i="445" s="1"/>
  <c r="N221" i="445"/>
  <c r="O221" i="445" s="1"/>
  <c r="M221" i="445"/>
  <c r="N220" i="445"/>
  <c r="M220" i="445"/>
  <c r="N219" i="445"/>
  <c r="M219" i="445"/>
  <c r="O219" i="445" s="1"/>
  <c r="N218" i="445"/>
  <c r="M218" i="445"/>
  <c r="N217" i="445"/>
  <c r="M217" i="445"/>
  <c r="N216" i="445"/>
  <c r="M216" i="445"/>
  <c r="O216" i="445" s="1"/>
  <c r="N215" i="445"/>
  <c r="O215" i="445" s="1"/>
  <c r="M215" i="445"/>
  <c r="N214" i="445"/>
  <c r="M214" i="445"/>
  <c r="N213" i="445"/>
  <c r="M213" i="445"/>
  <c r="O212" i="445"/>
  <c r="N212" i="445"/>
  <c r="M212" i="445"/>
  <c r="N211" i="445"/>
  <c r="M211" i="445"/>
  <c r="N210" i="445"/>
  <c r="M210" i="445"/>
  <c r="N209" i="445"/>
  <c r="M209" i="445"/>
  <c r="N208" i="445"/>
  <c r="M208" i="445"/>
  <c r="O208" i="445" s="1"/>
  <c r="N207" i="445"/>
  <c r="O207" i="445" s="1"/>
  <c r="M207" i="445"/>
  <c r="N206" i="445"/>
  <c r="M206" i="445"/>
  <c r="O206" i="445" s="1"/>
  <c r="N205" i="445"/>
  <c r="M205" i="445"/>
  <c r="N204" i="445"/>
  <c r="M204" i="445"/>
  <c r="O203" i="445"/>
  <c r="N203" i="445"/>
  <c r="M203" i="445"/>
  <c r="N202" i="445"/>
  <c r="M202" i="445"/>
  <c r="N201" i="445"/>
  <c r="M201" i="445"/>
  <c r="N200" i="445"/>
  <c r="M200" i="445"/>
  <c r="O200" i="445" s="1"/>
  <c r="N199" i="445"/>
  <c r="O199" i="445" s="1"/>
  <c r="M199" i="445"/>
  <c r="N198" i="445"/>
  <c r="M198" i="445"/>
  <c r="N197" i="445"/>
  <c r="M197" i="445"/>
  <c r="N196" i="445"/>
  <c r="M196" i="445"/>
  <c r="N195" i="445"/>
  <c r="M195" i="445"/>
  <c r="O195" i="445" s="1"/>
  <c r="N194" i="445"/>
  <c r="M194" i="445"/>
  <c r="N193" i="445"/>
  <c r="M193" i="445"/>
  <c r="N192" i="445"/>
  <c r="M192" i="445"/>
  <c r="N191" i="445"/>
  <c r="M191" i="445"/>
  <c r="N190" i="445"/>
  <c r="M190" i="445"/>
  <c r="N189" i="445"/>
  <c r="M189" i="445"/>
  <c r="N188" i="445"/>
  <c r="M188" i="445"/>
  <c r="N187" i="445"/>
  <c r="M187" i="445"/>
  <c r="N186" i="445"/>
  <c r="M186" i="445"/>
  <c r="N185" i="445"/>
  <c r="M185" i="445"/>
  <c r="O184" i="445"/>
  <c r="N184" i="445"/>
  <c r="M184" i="445"/>
  <c r="N183" i="445"/>
  <c r="M183" i="445"/>
  <c r="O183" i="445" s="1"/>
  <c r="N182" i="445"/>
  <c r="M182" i="445"/>
  <c r="N181" i="445"/>
  <c r="O181" i="445" s="1"/>
  <c r="M181" i="445"/>
  <c r="N180" i="445"/>
  <c r="M180" i="445"/>
  <c r="O180" i="445" s="1"/>
  <c r="O179" i="445"/>
  <c r="N179" i="445"/>
  <c r="M179" i="445"/>
  <c r="N178" i="445"/>
  <c r="M178" i="445"/>
  <c r="N177" i="445"/>
  <c r="M177" i="445"/>
  <c r="N176" i="445"/>
  <c r="M176" i="445"/>
  <c r="O176" i="445" s="1"/>
  <c r="N175" i="445"/>
  <c r="M175" i="445"/>
  <c r="N172" i="445"/>
  <c r="M172" i="445"/>
  <c r="N171" i="445"/>
  <c r="M171" i="445"/>
  <c r="O171" i="445" s="1"/>
  <c r="N170" i="445"/>
  <c r="M170" i="445"/>
  <c r="O170" i="445" s="1"/>
  <c r="N169" i="445"/>
  <c r="M169" i="445"/>
  <c r="N168" i="445"/>
  <c r="M168" i="445"/>
  <c r="N167" i="445"/>
  <c r="M167" i="445"/>
  <c r="N166" i="445"/>
  <c r="M166" i="445"/>
  <c r="N165" i="445"/>
  <c r="M165" i="445"/>
  <c r="O165" i="445" s="1"/>
  <c r="N164" i="445"/>
  <c r="M164" i="445"/>
  <c r="N163" i="445"/>
  <c r="M163" i="445"/>
  <c r="N162" i="445"/>
  <c r="M162" i="445"/>
  <c r="N161" i="445"/>
  <c r="M161" i="445"/>
  <c r="O161" i="445" s="1"/>
  <c r="N160" i="445"/>
  <c r="M160" i="445"/>
  <c r="N159" i="445"/>
  <c r="M159" i="445"/>
  <c r="N157" i="445"/>
  <c r="M157" i="445"/>
  <c r="N156" i="445"/>
  <c r="M156" i="445"/>
  <c r="N155" i="445"/>
  <c r="M155" i="445"/>
  <c r="N154" i="445"/>
  <c r="M154" i="445"/>
  <c r="N151" i="445"/>
  <c r="M151" i="445"/>
  <c r="N150" i="445"/>
  <c r="M150" i="445"/>
  <c r="O150" i="445" s="1"/>
  <c r="N149" i="445"/>
  <c r="M149" i="445"/>
  <c r="N148" i="445"/>
  <c r="M148" i="445"/>
  <c r="N147" i="445"/>
  <c r="M147" i="445"/>
  <c r="N146" i="445"/>
  <c r="M146" i="445"/>
  <c r="O146" i="445" s="1"/>
  <c r="N145" i="445"/>
  <c r="M145" i="445"/>
  <c r="N144" i="445"/>
  <c r="M144" i="445"/>
  <c r="N143" i="445"/>
  <c r="O143" i="445" s="1"/>
  <c r="M143" i="445"/>
  <c r="N142" i="445"/>
  <c r="M142" i="445"/>
  <c r="O142" i="445" s="1"/>
  <c r="N141" i="445"/>
  <c r="M141" i="445"/>
  <c r="N140" i="445"/>
  <c r="M140" i="445"/>
  <c r="O140" i="445" s="1"/>
  <c r="N139" i="445"/>
  <c r="M139" i="445"/>
  <c r="O139" i="445" s="1"/>
  <c r="N138" i="445"/>
  <c r="M138" i="445"/>
  <c r="O138" i="445" s="1"/>
  <c r="N137" i="445"/>
  <c r="M137" i="445"/>
  <c r="N136" i="445"/>
  <c r="O136" i="445" s="1"/>
  <c r="M136" i="445"/>
  <c r="N135" i="445"/>
  <c r="M135" i="445"/>
  <c r="O135" i="445" s="1"/>
  <c r="N134" i="445"/>
  <c r="M134" i="445"/>
  <c r="N133" i="445"/>
  <c r="M133" i="445"/>
  <c r="N132" i="445"/>
  <c r="M132" i="445"/>
  <c r="O132" i="445" s="1"/>
  <c r="N131" i="445"/>
  <c r="M131" i="445"/>
  <c r="O131" i="445" s="1"/>
  <c r="N129" i="445"/>
  <c r="M129" i="445"/>
  <c r="O129" i="445" s="1"/>
  <c r="N128" i="445"/>
  <c r="M128" i="445"/>
  <c r="N127" i="445"/>
  <c r="M127" i="445"/>
  <c r="N126" i="445"/>
  <c r="M126" i="445"/>
  <c r="N125" i="445"/>
  <c r="M125" i="445"/>
  <c r="N124" i="445"/>
  <c r="M124" i="445"/>
  <c r="O124" i="445" s="1"/>
  <c r="N123" i="445"/>
  <c r="M123" i="445"/>
  <c r="O123" i="445" s="1"/>
  <c r="N122" i="445"/>
  <c r="M122" i="445"/>
  <c r="O122" i="445" s="1"/>
  <c r="N121" i="445"/>
  <c r="M121" i="445"/>
  <c r="N120" i="445"/>
  <c r="O120" i="445" s="1"/>
  <c r="M120" i="445"/>
  <c r="N119" i="445"/>
  <c r="M119" i="445"/>
  <c r="N118" i="445"/>
  <c r="M118" i="445"/>
  <c r="N117" i="445"/>
  <c r="M117" i="445"/>
  <c r="N116" i="445"/>
  <c r="M116" i="445"/>
  <c r="O116" i="445" s="1"/>
  <c r="N115" i="445"/>
  <c r="M115" i="445"/>
  <c r="N114" i="445"/>
  <c r="M114" i="445"/>
  <c r="N113" i="445"/>
  <c r="M113" i="445"/>
  <c r="N112" i="445"/>
  <c r="M112" i="445"/>
  <c r="O112" i="445" s="1"/>
  <c r="N111" i="445"/>
  <c r="M111" i="445"/>
  <c r="N110" i="445"/>
  <c r="M110" i="445"/>
  <c r="O110" i="445" s="1"/>
  <c r="N109" i="445"/>
  <c r="M109" i="445"/>
  <c r="N108" i="445"/>
  <c r="M108" i="445"/>
  <c r="N107" i="445"/>
  <c r="M107" i="445"/>
  <c r="N106" i="445"/>
  <c r="M106" i="445"/>
  <c r="O106" i="445" s="1"/>
  <c r="N105" i="445"/>
  <c r="M105" i="445"/>
  <c r="O105" i="445" s="1"/>
  <c r="N104" i="445"/>
  <c r="M104" i="445"/>
  <c r="N103" i="445"/>
  <c r="M103" i="445"/>
  <c r="N102" i="445"/>
  <c r="M102" i="445"/>
  <c r="N101" i="445"/>
  <c r="M101" i="445"/>
  <c r="N100" i="445"/>
  <c r="M100" i="445"/>
  <c r="O100" i="445" s="1"/>
  <c r="N99" i="445"/>
  <c r="M99" i="445"/>
  <c r="O99" i="445" s="1"/>
  <c r="N98" i="445"/>
  <c r="M98" i="445"/>
  <c r="O98" i="445" s="1"/>
  <c r="N97" i="445"/>
  <c r="M97" i="445"/>
  <c r="N96" i="445"/>
  <c r="M96" i="445"/>
  <c r="N95" i="445"/>
  <c r="M95" i="445"/>
  <c r="N94" i="445"/>
  <c r="M94" i="445"/>
  <c r="O94" i="445" s="1"/>
  <c r="N93" i="445"/>
  <c r="M93" i="445"/>
  <c r="N92" i="445"/>
  <c r="M92" i="445"/>
  <c r="O92" i="445" s="1"/>
  <c r="N91" i="445"/>
  <c r="M91" i="445"/>
  <c r="N89" i="445"/>
  <c r="O89" i="445" s="1"/>
  <c r="M89" i="445"/>
  <c r="N88" i="445"/>
  <c r="M88" i="445"/>
  <c r="N87" i="445"/>
  <c r="M87" i="445"/>
  <c r="N86" i="445"/>
  <c r="M86" i="445"/>
  <c r="N85" i="445"/>
  <c r="M85" i="445"/>
  <c r="N84" i="445"/>
  <c r="M84" i="445"/>
  <c r="N83" i="445"/>
  <c r="O83" i="445" s="1"/>
  <c r="M83" i="445"/>
  <c r="N82" i="445"/>
  <c r="M82" i="445"/>
  <c r="N81" i="445"/>
  <c r="M81" i="445"/>
  <c r="N80" i="445"/>
  <c r="M80" i="445"/>
  <c r="O80" i="445" s="1"/>
  <c r="N77" i="445"/>
  <c r="M77" i="445"/>
  <c r="N75" i="445"/>
  <c r="M75" i="445"/>
  <c r="N74" i="445"/>
  <c r="M74" i="445"/>
  <c r="N73" i="445"/>
  <c r="M73" i="445"/>
  <c r="N71" i="445"/>
  <c r="M71" i="445"/>
  <c r="N70" i="445"/>
  <c r="M70" i="445"/>
  <c r="N68" i="445"/>
  <c r="M68" i="445"/>
  <c r="N67" i="445"/>
  <c r="M67" i="445"/>
  <c r="O67" i="445" s="1"/>
  <c r="N66" i="445"/>
  <c r="M66" i="445"/>
  <c r="O66" i="445" s="1"/>
  <c r="N65" i="445"/>
  <c r="M65" i="445"/>
  <c r="N64" i="445"/>
  <c r="M64" i="445"/>
  <c r="N63" i="445"/>
  <c r="M63" i="445"/>
  <c r="O63" i="445" s="1"/>
  <c r="N62" i="445"/>
  <c r="M62" i="445"/>
  <c r="N61" i="445"/>
  <c r="M61" i="445"/>
  <c r="O61" i="445" s="1"/>
  <c r="N60" i="445"/>
  <c r="M60" i="445"/>
  <c r="N59" i="445"/>
  <c r="O59" i="445" s="1"/>
  <c r="M59" i="445"/>
  <c r="O58" i="445"/>
  <c r="N58" i="445"/>
  <c r="M58" i="445"/>
  <c r="N57" i="445"/>
  <c r="M57" i="445"/>
  <c r="O57" i="445" s="1"/>
  <c r="N56" i="445"/>
  <c r="M56" i="445"/>
  <c r="N55" i="445"/>
  <c r="M55" i="445"/>
  <c r="O55" i="445" s="1"/>
  <c r="O54" i="445"/>
  <c r="N54" i="445"/>
  <c r="M54" i="445"/>
  <c r="N53" i="445"/>
  <c r="M53" i="445"/>
  <c r="N51" i="445"/>
  <c r="M51" i="445"/>
  <c r="O51" i="445" s="1"/>
  <c r="N50" i="445"/>
  <c r="M50" i="445"/>
  <c r="N48" i="445"/>
  <c r="M48" i="445"/>
  <c r="N47" i="445"/>
  <c r="M47" i="445"/>
  <c r="N44" i="445"/>
  <c r="M44" i="445"/>
  <c r="O44" i="445" s="1"/>
  <c r="N43" i="445"/>
  <c r="M43" i="445"/>
  <c r="O43" i="445" s="1"/>
  <c r="N42" i="445"/>
  <c r="M42" i="445"/>
  <c r="N41" i="445"/>
  <c r="M41" i="445"/>
  <c r="N40" i="445"/>
  <c r="M40" i="445"/>
  <c r="O40" i="445" s="1"/>
  <c r="N38" i="445"/>
  <c r="M38" i="445"/>
  <c r="N36" i="445"/>
  <c r="M36" i="445"/>
  <c r="N35" i="445"/>
  <c r="M35" i="445"/>
  <c r="N34" i="445"/>
  <c r="M34" i="445"/>
  <c r="N32" i="445"/>
  <c r="M32" i="445"/>
  <c r="O32" i="445" s="1"/>
  <c r="N31" i="445"/>
  <c r="M31" i="445"/>
  <c r="N30" i="445"/>
  <c r="M30" i="445"/>
  <c r="O30" i="445" s="1"/>
  <c r="N29" i="445"/>
  <c r="M29" i="445"/>
  <c r="O29" i="445" s="1"/>
  <c r="N28" i="445"/>
  <c r="M28" i="445"/>
  <c r="O28" i="445" s="1"/>
  <c r="N27" i="445"/>
  <c r="M27" i="445"/>
  <c r="N26" i="445"/>
  <c r="M26" i="445"/>
  <c r="O26" i="445" s="1"/>
  <c r="N25" i="445"/>
  <c r="M25" i="445"/>
  <c r="N24" i="445"/>
  <c r="M24" i="445"/>
  <c r="O24" i="445" s="1"/>
  <c r="N23" i="445"/>
  <c r="M23" i="445"/>
  <c r="N22" i="445"/>
  <c r="M22" i="445"/>
  <c r="N21" i="445"/>
  <c r="O21" i="445" s="1"/>
  <c r="M21" i="445"/>
  <c r="N18" i="445"/>
  <c r="M18" i="445"/>
  <c r="O18" i="445" s="1"/>
  <c r="O19" i="445" s="1"/>
  <c r="N16" i="445"/>
  <c r="M16" i="445"/>
  <c r="N15" i="445"/>
  <c r="M15" i="445"/>
  <c r="N14" i="445"/>
  <c r="M14" i="445"/>
  <c r="N13" i="445"/>
  <c r="M13" i="445"/>
  <c r="O13" i="445" s="1"/>
  <c r="N12" i="445"/>
  <c r="O12" i="445" s="1"/>
  <c r="M12" i="445"/>
  <c r="N11" i="445"/>
  <c r="M11" i="445"/>
  <c r="N10" i="445"/>
  <c r="O10" i="445" s="1"/>
  <c r="M10" i="445"/>
  <c r="N9" i="445"/>
  <c r="M9" i="445"/>
  <c r="O9" i="445" s="1"/>
  <c r="N8" i="445"/>
  <c r="M8" i="445"/>
  <c r="N6" i="445"/>
  <c r="O6" i="445" s="1"/>
  <c r="M6" i="445"/>
  <c r="N5" i="445"/>
  <c r="M5" i="445"/>
  <c r="O5" i="445" s="1"/>
  <c r="O305" i="445" l="1"/>
  <c r="O167" i="445"/>
  <c r="O175" i="445"/>
  <c r="O191" i="445"/>
  <c r="O197" i="445"/>
  <c r="O213" i="445"/>
  <c r="O241" i="445"/>
  <c r="O247" i="445"/>
  <c r="O263" i="445"/>
  <c r="O269" i="445"/>
  <c r="O368" i="445"/>
  <c r="O22" i="445"/>
  <c r="O77" i="445"/>
  <c r="O78" i="445" s="1"/>
  <c r="O329" i="445"/>
  <c r="O8" i="445"/>
  <c r="O36" i="445"/>
  <c r="O147" i="445"/>
  <c r="O162" i="445"/>
  <c r="O192" i="445"/>
  <c r="O198" i="445"/>
  <c r="O214" i="445"/>
  <c r="O220" i="445"/>
  <c r="O264" i="445"/>
  <c r="O270" i="445"/>
  <c r="O275" i="445"/>
  <c r="O343" i="445"/>
  <c r="O350" i="445"/>
  <c r="O369" i="445"/>
  <c r="O377" i="445"/>
  <c r="O394" i="445"/>
  <c r="O406" i="445"/>
  <c r="O412" i="445"/>
  <c r="O435" i="445"/>
  <c r="O441" i="445"/>
  <c r="O458" i="445"/>
  <c r="O470" i="445"/>
  <c r="O476" i="445"/>
  <c r="O499" i="445"/>
  <c r="O505" i="445"/>
  <c r="O522" i="445"/>
  <c r="O570" i="445"/>
  <c r="O582" i="445"/>
  <c r="O588" i="445"/>
  <c r="O317" i="445"/>
  <c r="O104" i="445"/>
  <c r="O293" i="445"/>
  <c r="O65" i="445"/>
  <c r="O148" i="445"/>
  <c r="O163" i="445"/>
  <c r="O169" i="445"/>
  <c r="O182" i="445"/>
  <c r="O187" i="445"/>
  <c r="O204" i="445"/>
  <c r="O243" i="445"/>
  <c r="O254" i="445"/>
  <c r="O289" i="445"/>
  <c r="O301" i="445"/>
  <c r="O313" i="445"/>
  <c r="O325" i="445"/>
  <c r="O351" i="445"/>
  <c r="O384" i="445"/>
  <c r="O413" i="445"/>
  <c r="O436" i="445"/>
  <c r="O448" i="445"/>
  <c r="O500" i="445"/>
  <c r="O512" i="445"/>
  <c r="O618" i="445"/>
  <c r="O128" i="445"/>
  <c r="O25" i="445"/>
  <c r="O73" i="445"/>
  <c r="O88" i="445"/>
  <c r="O107" i="445"/>
  <c r="O113" i="445"/>
  <c r="O119" i="445"/>
  <c r="O290" i="445"/>
  <c r="O296" i="445"/>
  <c r="O308" i="445"/>
  <c r="O320" i="445"/>
  <c r="O332" i="445"/>
  <c r="O339" i="445"/>
  <c r="O346" i="445" s="1"/>
  <c r="O345" i="445"/>
  <c r="O390" i="445"/>
  <c r="O419" i="445"/>
  <c r="O425" i="445"/>
  <c r="O437" i="445"/>
  <c r="O443" i="445"/>
  <c r="O449" i="445"/>
  <c r="O478" i="445"/>
  <c r="O501" i="445"/>
  <c r="O507" i="445"/>
  <c r="O513" i="445"/>
  <c r="O554" i="445"/>
  <c r="O590" i="445"/>
  <c r="O108" i="445"/>
  <c r="O114" i="445"/>
  <c r="O126" i="445"/>
  <c r="O188" i="445"/>
  <c r="O205" i="445"/>
  <c r="O211" i="445"/>
  <c r="O255" i="445"/>
  <c r="O278" i="445"/>
  <c r="O283" i="445"/>
  <c r="O340" i="445"/>
  <c r="O352" i="445"/>
  <c r="O96" i="445"/>
  <c r="O403" i="445"/>
  <c r="O409" i="445"/>
  <c r="O426" i="445"/>
  <c r="O438" i="445"/>
  <c r="O444" i="445"/>
  <c r="O467" i="445"/>
  <c r="O473" i="445"/>
  <c r="O490" i="445"/>
  <c r="O502" i="445"/>
  <c r="O508" i="445"/>
  <c r="O602" i="445"/>
  <c r="O7" i="445"/>
  <c r="O84" i="445"/>
  <c r="O91" i="445"/>
  <c r="O97" i="445"/>
  <c r="O103" i="445"/>
  <c r="O115" i="445"/>
  <c r="O121" i="445"/>
  <c r="O144" i="445"/>
  <c r="O159" i="445"/>
  <c r="O189" i="445"/>
  <c r="O217" i="445"/>
  <c r="O223" i="445"/>
  <c r="O239" i="445"/>
  <c r="O245" i="445"/>
  <c r="O261" i="445"/>
  <c r="O62" i="445"/>
  <c r="O134" i="445"/>
  <c r="O151" i="445"/>
  <c r="O160" i="445"/>
  <c r="O190" i="445"/>
  <c r="O196" i="445"/>
  <c r="O240" i="445"/>
  <c r="O246" i="445"/>
  <c r="O262" i="445"/>
  <c r="O268" i="445"/>
  <c r="O284" i="445"/>
  <c r="O298" i="445"/>
  <c r="O310" i="445"/>
  <c r="O322" i="445"/>
  <c r="O404" i="445"/>
  <c r="O416" i="445"/>
  <c r="O468" i="445"/>
  <c r="O480" i="445"/>
  <c r="O538" i="445"/>
  <c r="O580" i="445"/>
  <c r="O592" i="445"/>
  <c r="O64" i="445"/>
  <c r="O41" i="445"/>
  <c r="O45" i="445" s="1"/>
  <c r="O48" i="445"/>
  <c r="O157" i="445"/>
  <c r="O185" i="445"/>
  <c r="O209" i="445"/>
  <c r="O233" i="445"/>
  <c r="O257" i="445"/>
  <c r="O281" i="445"/>
  <c r="O306" i="445"/>
  <c r="O318" i="445"/>
  <c r="O330" i="445"/>
  <c r="O348" i="445"/>
  <c r="O363" i="445" s="1"/>
  <c r="O372" i="445"/>
  <c r="O70" i="445"/>
  <c r="O15" i="445"/>
  <c r="O23" i="445"/>
  <c r="O34" i="445"/>
  <c r="O42" i="445"/>
  <c r="O50" i="445"/>
  <c r="O52" i="445" s="1"/>
  <c r="O60" i="445"/>
  <c r="O71" i="445"/>
  <c r="O86" i="445"/>
  <c r="O145" i="445"/>
  <c r="O164" i="445"/>
  <c r="O186" i="445"/>
  <c r="O210" i="445"/>
  <c r="O234" i="445"/>
  <c r="O258" i="445"/>
  <c r="O282" i="445"/>
  <c r="O295" i="445"/>
  <c r="O307" i="445"/>
  <c r="O319" i="445"/>
  <c r="O331" i="445"/>
  <c r="O349" i="445"/>
  <c r="O383" i="445"/>
  <c r="O399" i="445"/>
  <c r="O415" i="445"/>
  <c r="O431" i="445"/>
  <c r="O447" i="445"/>
  <c r="O463" i="445"/>
  <c r="O479" i="445"/>
  <c r="O495" i="445"/>
  <c r="O511" i="445"/>
  <c r="O527" i="445"/>
  <c r="O543" i="445"/>
  <c r="O559" i="445"/>
  <c r="O575" i="445"/>
  <c r="O591" i="445"/>
  <c r="O607" i="445"/>
  <c r="O149" i="445"/>
  <c r="O81" i="445"/>
  <c r="O141" i="445"/>
  <c r="O14" i="445"/>
  <c r="O85" i="445"/>
  <c r="O11" i="445"/>
  <c r="O177" i="445"/>
  <c r="O201" i="445"/>
  <c r="O225" i="445"/>
  <c r="O249" i="445"/>
  <c r="O273" i="445"/>
  <c r="O302" i="445"/>
  <c r="O314" i="445"/>
  <c r="O326" i="445"/>
  <c r="O27" i="445"/>
  <c r="O35" i="445"/>
  <c r="O74" i="445"/>
  <c r="O82" i="445"/>
  <c r="O95" i="445"/>
  <c r="O111" i="445"/>
  <c r="O127" i="445"/>
  <c r="O137" i="445"/>
  <c r="O154" i="445"/>
  <c r="O166" i="445"/>
  <c r="O178" i="445"/>
  <c r="O202" i="445"/>
  <c r="O226" i="445"/>
  <c r="O250" i="445"/>
  <c r="O274" i="445"/>
  <c r="O291" i="445"/>
  <c r="O303" i="445"/>
  <c r="O315" i="445"/>
  <c r="O327" i="445"/>
  <c r="O497" i="445"/>
  <c r="O609" i="445"/>
  <c r="O38" i="445"/>
  <c r="O39" i="445" s="1"/>
  <c r="O53" i="445"/>
  <c r="O396" i="445"/>
  <c r="O524" i="445"/>
  <c r="O16" i="445"/>
  <c r="O75" i="445"/>
  <c r="O101" i="445"/>
  <c r="O117" i="445"/>
  <c r="O133" i="445"/>
  <c r="O155" i="445"/>
  <c r="O292" i="445"/>
  <c r="O304" i="445"/>
  <c r="O375" i="445"/>
  <c r="O391" i="445"/>
  <c r="O407" i="445"/>
  <c r="O423" i="445"/>
  <c r="O439" i="445"/>
  <c r="O455" i="445"/>
  <c r="O471" i="445"/>
  <c r="O487" i="445"/>
  <c r="O503" i="445"/>
  <c r="O519" i="445"/>
  <c r="O551" i="445"/>
  <c r="O567" i="445"/>
  <c r="O615" i="445"/>
  <c r="O87" i="445"/>
  <c r="O193" i="445"/>
  <c r="O356" i="445"/>
  <c r="O381" i="445"/>
  <c r="O397" i="445"/>
  <c r="O429" i="445"/>
  <c r="O445" i="445"/>
  <c r="O461" i="445"/>
  <c r="O477" i="445"/>
  <c r="O493" i="445"/>
  <c r="O509" i="445"/>
  <c r="O525" i="445"/>
  <c r="O589" i="445"/>
  <c r="O605" i="445"/>
  <c r="O56" i="445"/>
  <c r="O31" i="445"/>
  <c r="O47" i="445"/>
  <c r="O49" i="445" s="1"/>
  <c r="O68" i="445"/>
  <c r="O102" i="445"/>
  <c r="O118" i="445"/>
  <c r="O156" i="445"/>
  <c r="O194" i="445"/>
  <c r="O218" i="445"/>
  <c r="O242" i="445"/>
  <c r="O266" i="445"/>
  <c r="O287" i="445"/>
  <c r="O299" i="445"/>
  <c r="O311" i="445"/>
  <c r="O323" i="445"/>
  <c r="O341" i="445"/>
  <c r="O357" i="445"/>
  <c r="O376" i="445"/>
  <c r="O392" i="445"/>
  <c r="O408" i="445"/>
  <c r="O424" i="445"/>
  <c r="O440" i="445"/>
  <c r="O456" i="445"/>
  <c r="O472" i="445"/>
  <c r="O488" i="445"/>
  <c r="O504" i="445"/>
  <c r="O520" i="445"/>
  <c r="O536" i="445"/>
  <c r="O552" i="445"/>
  <c r="O568" i="445"/>
  <c r="O584" i="445"/>
  <c r="O600" i="445"/>
  <c r="O616" i="445"/>
  <c r="O158" i="445"/>
  <c r="O370" i="445"/>
  <c r="O72" i="445"/>
  <c r="O172" i="445"/>
  <c r="O168" i="445"/>
  <c r="O93" i="445"/>
  <c r="O109" i="445"/>
  <c r="O125" i="445"/>
  <c r="O334" i="445" l="1"/>
  <c r="O622" i="445"/>
  <c r="O90" i="445"/>
  <c r="O285" i="445"/>
  <c r="O17" i="445"/>
  <c r="O624" i="445" s="1"/>
  <c r="O76" i="445"/>
  <c r="O37" i="445"/>
  <c r="O130" i="445"/>
  <c r="O152" i="445"/>
  <c r="O33" i="445"/>
  <c r="O69" i="445"/>
  <c r="O173" i="445"/>
  <c r="F12" i="2" l="1"/>
  <c r="G12" i="2"/>
  <c r="G15" i="2" s="1"/>
  <c r="G16" i="2" l="1"/>
  <c r="N54" i="244" l="1"/>
  <c r="M54" i="244"/>
  <c r="L54" i="244"/>
  <c r="K54" i="244"/>
  <c r="J54" i="244"/>
  <c r="I54" i="244"/>
  <c r="H54" i="244"/>
  <c r="G54" i="244"/>
  <c r="F54" i="244"/>
  <c r="E54" i="244"/>
  <c r="D54" i="244"/>
  <c r="C54" i="244"/>
  <c r="N41" i="244"/>
  <c r="M41" i="244"/>
  <c r="L41" i="244"/>
  <c r="K41" i="244"/>
  <c r="J41" i="244"/>
  <c r="I41" i="244"/>
  <c r="H41" i="244"/>
  <c r="G41" i="244"/>
  <c r="F41" i="244"/>
  <c r="E41" i="244"/>
  <c r="D41" i="244"/>
  <c r="C41" i="244"/>
  <c r="N28" i="244"/>
  <c r="M28" i="244"/>
  <c r="L28" i="244"/>
  <c r="K28" i="244"/>
  <c r="J28" i="244"/>
  <c r="I28" i="244"/>
  <c r="H28" i="244"/>
  <c r="G28" i="244"/>
  <c r="F28" i="244"/>
  <c r="E28" i="244"/>
  <c r="D28" i="244"/>
  <c r="C28" i="244"/>
  <c r="N15" i="244"/>
  <c r="M15" i="244"/>
  <c r="L15" i="244"/>
  <c r="K15" i="244"/>
  <c r="J15" i="244"/>
  <c r="I15" i="244"/>
  <c r="H15" i="244"/>
  <c r="G15" i="244"/>
  <c r="F15" i="244"/>
  <c r="E15" i="244"/>
  <c r="D15" i="244"/>
  <c r="C15" i="244"/>
  <c r="B2" i="244" l="1"/>
</calcChain>
</file>

<file path=xl/sharedStrings.xml><?xml version="1.0" encoding="utf-8"?>
<sst xmlns="http://schemas.openxmlformats.org/spreadsheetml/2006/main" count="5246" uniqueCount="519">
  <si>
    <t>-</t>
  </si>
  <si>
    <t>•ENTITY</t>
  </si>
  <si>
    <t>•VALUE 1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</si>
  <si>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</si>
  <si>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</si>
  <si>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PERIODE BULAN</t>
  </si>
  <si>
    <t>.xlsx</t>
  </si>
  <si>
    <t>CBA</t>
  </si>
  <si>
    <t>CHW</t>
  </si>
  <si>
    <t>CNJ2</t>
  </si>
  <si>
    <t>CVA</t>
  </si>
  <si>
    <t>CVA2</t>
  </si>
  <si>
    <t>KLB</t>
  </si>
  <si>
    <t>MJ1</t>
  </si>
  <si>
    <t>MJ2</t>
  </si>
  <si>
    <t>Grand Total</t>
  </si>
  <si>
    <t>Plan</t>
  </si>
  <si>
    <t>Output</t>
  </si>
  <si>
    <t>Income</t>
  </si>
  <si>
    <t>Profit</t>
  </si>
  <si>
    <t>FACTORY</t>
  </si>
  <si>
    <t>BULAN</t>
  </si>
  <si>
    <t>PLAN INCOME</t>
  </si>
  <si>
    <t>TOTAL OUTPUT</t>
  </si>
  <si>
    <t>INCOME</t>
  </si>
  <si>
    <t>COST</t>
  </si>
  <si>
    <t>PROFIT</t>
  </si>
  <si>
    <t>REALISASI INCOME</t>
  </si>
  <si>
    <t>MySql Connector/ODBC</t>
  </si>
  <si>
    <t>Connection &amp; Data Source Name</t>
  </si>
  <si>
    <t>dsn=db_gstc</t>
  </si>
  <si>
    <t>ThisWorkbook.Worksheets("SetupDB").Range("A3").VALUE</t>
  </si>
  <si>
    <t>LOKASI FILE - Tarikan GCC (GCC - Report Kapasitas From Sales.csv)</t>
  </si>
  <si>
    <t>•VALUE 2</t>
  </si>
  <si>
    <t>http://10.8.0.108/ggi-is/public/pic/schedule/report_kapasitas_from_sales</t>
  </si>
  <si>
    <t>LOKASI FILE - Hasil olahan RPA (GI-IS - Cost Factory Report)</t>
  </si>
  <si>
    <t>•VALUE 3</t>
  </si>
  <si>
    <t>JANUARY</t>
  </si>
  <si>
    <t>FEBRUARY</t>
  </si>
  <si>
    <t>MARCH</t>
  </si>
  <si>
    <t>CJL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</si>
  <si>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</si>
  <si>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</si>
  <si>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</si>
  <si>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</si>
  <si>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</si>
  <si>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</si>
  <si>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</si>
  <si>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</si>
  <si>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</si>
  <si>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FACTORY     :</t>
  </si>
  <si>
    <t>`</t>
  </si>
  <si>
    <t>LOKASI FOLDER - Resume Income Factory (Hasil Pengolahan Macro)</t>
  </si>
  <si>
    <t>LOKASI FOLDER - Data Income per-factory (Hasil Pengolahan Macro)</t>
  </si>
  <si>
    <t>=TEXT(NOW(),"[$-409]mmmm")</t>
  </si>
  <si>
    <t>\\10.8.0.35\Bersama\IT\RPA 00\MACRO_RPA - Update Resume Income dan Profit\Source\Tarikan GCC\GCC - Report Kapasitas From Sales.csv</t>
  </si>
  <si>
    <t>\\10.8.0.35\Bersama\IT\RPA 00\MACRO_RPA - Update Resume Income dan Profit\Hasil Pengolahan Macro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</si>
  <si>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</si>
  <si>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\\10.8.0.35\Bersama\IT\RPA\GI-IS - Cost Factory Report -AGUSTUS.xlsx</t>
  </si>
  <si>
    <t>Resume P&amp;L Product periode 1 - 31 August 2024</t>
  </si>
  <si>
    <t>Factory</t>
  </si>
  <si>
    <t>Buyer</t>
  </si>
  <si>
    <t>Line</t>
  </si>
  <si>
    <t>Item</t>
  </si>
  <si>
    <t>Style</t>
  </si>
  <si>
    <t>CM (USD)</t>
  </si>
  <si>
    <t>Sum of QTY</t>
  </si>
  <si>
    <t>Sum of Amount.CM(USD)</t>
  </si>
  <si>
    <t>Sum of Cost.Proporsional(US)</t>
  </si>
  <si>
    <t>Sum of Profit.Lost(USD)</t>
  </si>
  <si>
    <t>FOB</t>
  </si>
  <si>
    <t>CMT</t>
  </si>
  <si>
    <t>Sum of FOB</t>
  </si>
  <si>
    <t>Sum of CMT</t>
  </si>
  <si>
    <t>Total Sales</t>
  </si>
  <si>
    <t>EIGERINDO MULTI PRODUK INDUSTRI, PT.</t>
  </si>
  <si>
    <t>L1</t>
  </si>
  <si>
    <t>SHIRT</t>
  </si>
  <si>
    <t>SHIRTEIG910010189 LC24</t>
  </si>
  <si>
    <t>L3</t>
  </si>
  <si>
    <t>SHIRTEIG910010188 LC24</t>
  </si>
  <si>
    <t>EIGERINDO MULTI PRODUK INDUSTRI, PT. Total</t>
  </si>
  <si>
    <t>MARUBENI INTEX Co., Ltd.</t>
  </si>
  <si>
    <t xml:space="preserve">JCT  </t>
  </si>
  <si>
    <t>JCT  MIXWA321     SN24</t>
  </si>
  <si>
    <t>JCT  MIXWA3220    SN24</t>
  </si>
  <si>
    <t>L2</t>
  </si>
  <si>
    <t>JCT  MIXWA24101R  SN24</t>
  </si>
  <si>
    <t>JCT  MIXWA322     SN24</t>
  </si>
  <si>
    <t>SHIRTMIXWA327     SN24</t>
  </si>
  <si>
    <t>SHIRTMIXWA329     SN24</t>
  </si>
  <si>
    <t>PANTS</t>
  </si>
  <si>
    <t>PANTSMIXWA24105R  SN24</t>
  </si>
  <si>
    <t>PANTSMIXWA325     SN24</t>
  </si>
  <si>
    <t>PANTSMIXWA3250    SN24</t>
  </si>
  <si>
    <t>MARUBENI INTEX Co., Ltd. Total</t>
  </si>
  <si>
    <t>SHINATOMO CO .,LTD</t>
  </si>
  <si>
    <t>PANTSSMO0050011881SN24</t>
  </si>
  <si>
    <t>SHINATOMO CO .,LTD Total</t>
  </si>
  <si>
    <t>CBA Total</t>
  </si>
  <si>
    <t>SHIRTEIG910010211 LC24</t>
  </si>
  <si>
    <t>SHIRTEIG910010286 LC24</t>
  </si>
  <si>
    <t>TSHRT</t>
  </si>
  <si>
    <t>TSHRTEIG910010321 LC24</t>
  </si>
  <si>
    <t>SHIRTEIG910010183 LC24</t>
  </si>
  <si>
    <t>SHIRTEIG910010211 24L1</t>
  </si>
  <si>
    <t>SPANT</t>
  </si>
  <si>
    <t>SPANTEIG910007293 24L1</t>
  </si>
  <si>
    <t>LPANT</t>
  </si>
  <si>
    <t>LPANTEIG910006627 LC24</t>
  </si>
  <si>
    <t>LSHRT</t>
  </si>
  <si>
    <t>LSHRTEIG910006628 LC24</t>
  </si>
  <si>
    <t>SHIRTEIG910007374 LC24</t>
  </si>
  <si>
    <t xml:space="preserve">SSL  </t>
  </si>
  <si>
    <t>SSL  EIG910007576 LC24</t>
  </si>
  <si>
    <t>L4</t>
  </si>
  <si>
    <t>GTHS</t>
  </si>
  <si>
    <t>HOODI</t>
  </si>
  <si>
    <t>HOODITMHA4IK0392ROHL24</t>
  </si>
  <si>
    <t>HOODITMHA4IK0392BUHL24</t>
  </si>
  <si>
    <t>GTHS Total</t>
  </si>
  <si>
    <t>PT. FAJARINDO EKA MRIYAH JAYA</t>
  </si>
  <si>
    <t>PANTSFAZTRACK PANTLC24</t>
  </si>
  <si>
    <t>PT. FAJARINDO EKA MRIYAH JAYA Total</t>
  </si>
  <si>
    <t>RS MITRA KELUARGA</t>
  </si>
  <si>
    <t xml:space="preserve">TOP  </t>
  </si>
  <si>
    <t>TOP  RMKWOMEN TOP2LC24</t>
  </si>
  <si>
    <t>PANTSRMKMEN'S     24L1</t>
  </si>
  <si>
    <t>PANTSRMKWOMEN     24L1</t>
  </si>
  <si>
    <t>BOTTM</t>
  </si>
  <si>
    <t>BOTTMRMKWOMAN BTM2LC24</t>
  </si>
  <si>
    <t>PANTSRMKWOMEN     24L2</t>
  </si>
  <si>
    <t>RS MITRA KELUARGA Total</t>
  </si>
  <si>
    <t>CHW Total</t>
  </si>
  <si>
    <t>SHIRTEIG910010241 LC24</t>
  </si>
  <si>
    <t>SHIRTEIG910010307 LC24</t>
  </si>
  <si>
    <t>TSHRTTMHTPOT1111  HL24</t>
  </si>
  <si>
    <t>MARUBENI CORPORATION JEPANG</t>
  </si>
  <si>
    <t xml:space="preserve">FDWR </t>
  </si>
  <si>
    <t>FDWR MCU397-90    24R2</t>
  </si>
  <si>
    <t>JCT  MCUZ7860024  24R1</t>
  </si>
  <si>
    <t>PANTSMCUZ7860025  SN24</t>
  </si>
  <si>
    <t xml:space="preserve">BAG  </t>
  </si>
  <si>
    <t>BAG  MCUKZN393-80 24R2</t>
  </si>
  <si>
    <t xml:space="preserve">CAP  </t>
  </si>
  <si>
    <t>CAP  MCUKZN392-80 24R2</t>
  </si>
  <si>
    <t>HATCK</t>
  </si>
  <si>
    <t>HATCKMCU391-90    SN24</t>
  </si>
  <si>
    <t>HATCKMCU392-94    SN24</t>
  </si>
  <si>
    <t>POUCH</t>
  </si>
  <si>
    <t>POUCHMCU393-90    SN24</t>
  </si>
  <si>
    <t>POUCHMCU393-92    SN24</t>
  </si>
  <si>
    <t>POUCHMCU393-94    SN24</t>
  </si>
  <si>
    <t>FDWR MCU396-90    SN24</t>
  </si>
  <si>
    <t>TOP  MCU133-95    24R1</t>
  </si>
  <si>
    <t>TOP  MCU133-98    24R1</t>
  </si>
  <si>
    <t>TOP  MCU133-67    SN24</t>
  </si>
  <si>
    <t>TOP  MCU133-91    24R1</t>
  </si>
  <si>
    <t>MARUBENI CORPORATION JEPANG Total</t>
  </si>
  <si>
    <t>MARUBENI FASHION LINK LTD.</t>
  </si>
  <si>
    <t xml:space="preserve">LEG  </t>
  </si>
  <si>
    <t>LEG  MFL54145     24AH</t>
  </si>
  <si>
    <t>LEG  MFL54145N    24AH</t>
  </si>
  <si>
    <t>MARUBENI FASHION LINK LTD. Total</t>
  </si>
  <si>
    <t>PANTSMIXWA24104R  SN24</t>
  </si>
  <si>
    <t>PANTSMIXWA323     SN24</t>
  </si>
  <si>
    <t>PANTSMIXWA3280    SN24</t>
  </si>
  <si>
    <t>PANTSFAZ4848      LC24</t>
  </si>
  <si>
    <t>CNJ2 Total</t>
  </si>
  <si>
    <t>TSHRTTMHTP3T0674  HL24</t>
  </si>
  <si>
    <t>TSHRTTMHTPOT0946  HL24</t>
  </si>
  <si>
    <t>TSHRTTMHTPOT1433  HL24</t>
  </si>
  <si>
    <t>DRESS</t>
  </si>
  <si>
    <t>DRESSTMHA4IK1KTCROHL24</t>
  </si>
  <si>
    <t>KANMO RETAIL GROUP</t>
  </si>
  <si>
    <t>L10</t>
  </si>
  <si>
    <t>TSHRTMOTJL225     24AH</t>
  </si>
  <si>
    <t>TSHRTMOTJL284     24AH</t>
  </si>
  <si>
    <t>DRESSMOTJL431     24AH</t>
  </si>
  <si>
    <t>DRESSMOTJM399     24AH</t>
  </si>
  <si>
    <t>SWATR</t>
  </si>
  <si>
    <t>SWATRMOTJL211     24AH</t>
  </si>
  <si>
    <t>SWATRMOTJL240     24AH</t>
  </si>
  <si>
    <t>TSHRTMOTJL231     24AH</t>
  </si>
  <si>
    <t>TSHRTMOTJL288     24AH</t>
  </si>
  <si>
    <t>L7</t>
  </si>
  <si>
    <t xml:space="preserve">JOG  </t>
  </si>
  <si>
    <t>JOG  MOTJL222     24AH</t>
  </si>
  <si>
    <t>JOG  MOTJL299     24AH</t>
  </si>
  <si>
    <t>LEG  MOTJL421     24AH</t>
  </si>
  <si>
    <t>SPANTMOTJL226     24AH</t>
  </si>
  <si>
    <t>SPANTMOTJL249     24AH</t>
  </si>
  <si>
    <t>SPANTMOTJL285     24AH</t>
  </si>
  <si>
    <t>SPANTMOTJL727     24AH</t>
  </si>
  <si>
    <t>SW&amp;JO</t>
  </si>
  <si>
    <t>SW&amp;JOMOTJL228     24AH</t>
  </si>
  <si>
    <t>SW&amp;JOMOTJL424     24AH</t>
  </si>
  <si>
    <t>L8</t>
  </si>
  <si>
    <t>L9</t>
  </si>
  <si>
    <t>KANMO RETAIL GROUP Total</t>
  </si>
  <si>
    <t>LEG  MFL24140     24AH</t>
  </si>
  <si>
    <t>LEG  MFL24440     SP25</t>
  </si>
  <si>
    <t>LEG  MFL54142     24AH</t>
  </si>
  <si>
    <t>LEG  MFL28142     24AH</t>
  </si>
  <si>
    <t>LEG  MFL54456     SP25</t>
  </si>
  <si>
    <t>TSHRTMFL34106     24AH</t>
  </si>
  <si>
    <t>LEG  MFL54156     24AH</t>
  </si>
  <si>
    <t>SUITS</t>
  </si>
  <si>
    <t>SUITSMFLG1403     24AH</t>
  </si>
  <si>
    <t>SUITSMFLG1702     24AH</t>
  </si>
  <si>
    <t>CVA Total</t>
  </si>
  <si>
    <t xml:space="preserve">BLS  </t>
  </si>
  <si>
    <t>BLS  MFL08ML102   24AH</t>
  </si>
  <si>
    <t>BLS  MFL34ML102   24AH</t>
  </si>
  <si>
    <t>CVA2 Total</t>
  </si>
  <si>
    <t>AGRON, INC.</t>
  </si>
  <si>
    <t>L1A</t>
  </si>
  <si>
    <t xml:space="preserve">BRF  </t>
  </si>
  <si>
    <t>BRF  ADS5158038   24R7</t>
  </si>
  <si>
    <t>BRF  ADS5158039   24R8</t>
  </si>
  <si>
    <t>BRF  ADS5158584   24R6</t>
  </si>
  <si>
    <t>BRF  ADS5158584XXL24R4</t>
  </si>
  <si>
    <t>BRF  ADS5158590   24R6</t>
  </si>
  <si>
    <t>BRF  ADS5158592   24R6</t>
  </si>
  <si>
    <t>BRF  ADS5158594   24R7</t>
  </si>
  <si>
    <t>BRF  ADS5158596   24R7</t>
  </si>
  <si>
    <t>BRF  ADS5158599   24R6</t>
  </si>
  <si>
    <t>BRF  ADS5158599XXL24R3</t>
  </si>
  <si>
    <t>BRF  ADS5158607   24R6</t>
  </si>
  <si>
    <t>BRF  ADS5158607XXL24R3</t>
  </si>
  <si>
    <t>BRF  ADS5158614   24R6</t>
  </si>
  <si>
    <t>BRF  ADS5158614   24R7</t>
  </si>
  <si>
    <t>BRF  ADS5158618   24R6</t>
  </si>
  <si>
    <t>BRF  ADS5158618XXL24R3</t>
  </si>
  <si>
    <t>BRF  ADS5158619   24R6</t>
  </si>
  <si>
    <t>BRF  ADS5158619XXL24R3</t>
  </si>
  <si>
    <t>L1B</t>
  </si>
  <si>
    <t>L2A</t>
  </si>
  <si>
    <t>L2B</t>
  </si>
  <si>
    <t>L3A</t>
  </si>
  <si>
    <t>BRF  ADS5158614XXL24R6</t>
  </si>
  <si>
    <t>L3B</t>
  </si>
  <si>
    <t>AGRON, INC. Total</t>
  </si>
  <si>
    <t>KLB Total</t>
  </si>
  <si>
    <t>BRF  ADS5157986   SN24</t>
  </si>
  <si>
    <t>BRF  ADS5158043   24R7</t>
  </si>
  <si>
    <t>BRF  ADS5158043   24R8</t>
  </si>
  <si>
    <t>BRF  ADS5158582   24R6</t>
  </si>
  <si>
    <t>BRF  ADS5158586   24R6</t>
  </si>
  <si>
    <t>BRF  ADS5158596   24R6</t>
  </si>
  <si>
    <t>BRF  ADS5158596XXL24R2</t>
  </si>
  <si>
    <t>BRF  ADS5158604   24R2</t>
  </si>
  <si>
    <t>BRF  ADS5158605   24R2</t>
  </si>
  <si>
    <t>BRF  ADS5158609   24R6</t>
  </si>
  <si>
    <t>BRF  ADS5158722   24R3</t>
  </si>
  <si>
    <t>BRF  ADS5159303   24R2</t>
  </si>
  <si>
    <t>BRF  ADS5159305   24R1</t>
  </si>
  <si>
    <t>L11</t>
  </si>
  <si>
    <t>BRF  ADS5157977   24R8</t>
  </si>
  <si>
    <t>BRF  ADS5157977XXL24R2</t>
  </si>
  <si>
    <t>BRF  ADS5158042   24R6</t>
  </si>
  <si>
    <t>BRF  ADS5158583   24R6</t>
  </si>
  <si>
    <t>BRF  ADS5158583XXL24R4</t>
  </si>
  <si>
    <t xml:space="preserve">TATO </t>
  </si>
  <si>
    <t>TATO ADS5157998   24R7</t>
  </si>
  <si>
    <t>L12</t>
  </si>
  <si>
    <t>BRF  ADS5158586XXL24R3</t>
  </si>
  <si>
    <t>BRF  ADS5159303XXL24R1</t>
  </si>
  <si>
    <t>DRESSTMHP4IK1KTC  HL24</t>
  </si>
  <si>
    <t>HOODITMHA1GA1KRLBUHL24</t>
  </si>
  <si>
    <t>HOODITMHA1GK1JCAROHL24</t>
  </si>
  <si>
    <t>HOODITMHA1GK1LB6ROHL24</t>
  </si>
  <si>
    <t>HOODITMHP1GK1LB6  HL24</t>
  </si>
  <si>
    <t>TSHRTTMHTPAT1429AMHL24</t>
  </si>
  <si>
    <t>RED WING SHOE COMPANY</t>
  </si>
  <si>
    <t xml:space="preserve">CVRL </t>
  </si>
  <si>
    <t>CVRL RED61105-57  24R4</t>
  </si>
  <si>
    <t>CVRL RED61105     4R42</t>
  </si>
  <si>
    <t>CVRL RED61105-53  4R46</t>
  </si>
  <si>
    <t>CVRL RED61105-54  4R44</t>
  </si>
  <si>
    <t>CVRL RED61105-55  24R1</t>
  </si>
  <si>
    <t>CVRL RED61105-57  24R6</t>
  </si>
  <si>
    <t>CVRL RED61105-57  4R45</t>
  </si>
  <si>
    <t>L5</t>
  </si>
  <si>
    <t>L6</t>
  </si>
  <si>
    <t>CVRL RED61805-53  4R47</t>
  </si>
  <si>
    <t>CVRL RED61805-57  4R41</t>
  </si>
  <si>
    <t>CVRL RED61805-57  4R43</t>
  </si>
  <si>
    <t>CVRL RED77136     SN24</t>
  </si>
  <si>
    <t>RED WING SHOE COMPANY Total</t>
  </si>
  <si>
    <t>RED WING SHOE COMPANY LLC</t>
  </si>
  <si>
    <t>CVRL RED61105-53  SN24</t>
  </si>
  <si>
    <t>CVRL RED61105-81  24R1</t>
  </si>
  <si>
    <t>CVRL RED61805-53  SN24</t>
  </si>
  <si>
    <t>CVRL RED81905-53  SN24</t>
  </si>
  <si>
    <t>RED WING SHOE COMPANY LLC Total</t>
  </si>
  <si>
    <t>MJ1 Total</t>
  </si>
  <si>
    <t>BRF  ADS5157989   24R2</t>
  </si>
  <si>
    <t>BRF  ADS5157989XXL24R1</t>
  </si>
  <si>
    <t>BRF  ADS5157996   24R8</t>
  </si>
  <si>
    <t>BRF  ADS5157997   24R7</t>
  </si>
  <si>
    <t>BRF  ADS5158009   24R7</t>
  </si>
  <si>
    <t>BRF  ADS5158038   24R6</t>
  </si>
  <si>
    <t>BRF  ADS5158039   24R6</t>
  </si>
  <si>
    <t>BRF  ADS5158039   24R7</t>
  </si>
  <si>
    <t>BRF  ADS5158039XXLSN24</t>
  </si>
  <si>
    <t>BRF  ADS5158040   24R5</t>
  </si>
  <si>
    <t>BRF  ADS5158059   24R4</t>
  </si>
  <si>
    <t>BRF  ADS5158611   24R6</t>
  </si>
  <si>
    <t>BRF  ADS5158611XXL24R2</t>
  </si>
  <si>
    <t>BRF  ADS5158614   24R8</t>
  </si>
  <si>
    <t>BRF  ADS5158722   24R2</t>
  </si>
  <si>
    <t>BRF  ADS5157980   24R5</t>
  </si>
  <si>
    <t>BRF  ADS5157991   24R7</t>
  </si>
  <si>
    <t>BRF  ADS5157994   24R8</t>
  </si>
  <si>
    <t>BRF  ADS5158002   24R6</t>
  </si>
  <si>
    <t>BRF  ADS5158004   24R4</t>
  </si>
  <si>
    <t>BRF  ADS5158004XXL24R1</t>
  </si>
  <si>
    <t>BRF  ADS5158007   24R5</t>
  </si>
  <si>
    <t>BRF  ADS5158044   24R5</t>
  </si>
  <si>
    <t>BRF  ADS5158587   24R6</t>
  </si>
  <si>
    <t>BRF  ADS5158587XXL24R2</t>
  </si>
  <si>
    <t>BRF  ADS5158594   24R6</t>
  </si>
  <si>
    <t>BRF  ADS5158599   24R7</t>
  </si>
  <si>
    <t>BRF  ADS5158602   24R6</t>
  </si>
  <si>
    <t>BRF  ADS5158602XXL24R3</t>
  </si>
  <si>
    <t>BRF  ADS5159305   24R2</t>
  </si>
  <si>
    <t>BRF  ADS5159307   24R2</t>
  </si>
  <si>
    <t>BRF  ADS5159307   24R3</t>
  </si>
  <si>
    <t>BRF  ADS5159307XXL24R1</t>
  </si>
  <si>
    <t>BRF  ADS5157987   24R4</t>
  </si>
  <si>
    <t>BRF  ADS5158001   24R7</t>
  </si>
  <si>
    <t>L13</t>
  </si>
  <si>
    <t>L14</t>
  </si>
  <si>
    <t>BRF  ADS5157986   24R1</t>
  </si>
  <si>
    <t>BRF  ADS5158003   24R8</t>
  </si>
  <si>
    <t>BRF  ADS5158040   24R4</t>
  </si>
  <si>
    <t>BRF  ADS5158040XXL24R1</t>
  </si>
  <si>
    <t>BRF  ADS5158058   24R5</t>
  </si>
  <si>
    <t>BRF  ADS5158060   24R3</t>
  </si>
  <si>
    <t>BRF  ADS5157997   24R8</t>
  </si>
  <si>
    <t>BRF  ADS5158037   24R8</t>
  </si>
  <si>
    <t>BRF  ADS5158591   24R6</t>
  </si>
  <si>
    <t>BRF  ADS5158597   24R2</t>
  </si>
  <si>
    <t>BRF  ADS5158598   24R6</t>
  </si>
  <si>
    <t>BRF  ADS5158603   24R6</t>
  </si>
  <si>
    <t>BRF  ADS5158610   24R6</t>
  </si>
  <si>
    <t>BRF  ADS5158615   24R6</t>
  </si>
  <si>
    <t>BRF  ADS5158617   24R6</t>
  </si>
  <si>
    <t>BRF  ADS5158619   24R5</t>
  </si>
  <si>
    <t>BRF  ADS5158619   24R7</t>
  </si>
  <si>
    <t>BRF  ADS5159296   24R2</t>
  </si>
  <si>
    <t>BRF  ADS5159296XXL24R2</t>
  </si>
  <si>
    <t>BRF  ADS5159305   24R3</t>
  </si>
  <si>
    <t>BRF  ADS5159305XXL24R2</t>
  </si>
  <si>
    <t>BRF  ADS5158619XXL24R4</t>
  </si>
  <si>
    <t>MJ2 Total</t>
  </si>
  <si>
    <t>No</t>
  </si>
  <si>
    <t>WO</t>
  </si>
  <si>
    <t>OR</t>
  </si>
  <si>
    <t>PO.Ref</t>
  </si>
  <si>
    <t>Qty</t>
  </si>
  <si>
    <t>In.Sewing</t>
  </si>
  <si>
    <t>End.Sewing</t>
  </si>
  <si>
    <t>Bln.Prd</t>
  </si>
  <si>
    <t>Deliv.Ori</t>
  </si>
  <si>
    <t>Status</t>
  </si>
  <si>
    <t>Bln.Deliv</t>
  </si>
  <si>
    <t>CM</t>
  </si>
  <si>
    <t>Am.CM</t>
  </si>
  <si>
    <t>Am.FOB</t>
  </si>
  <si>
    <t>Kat</t>
  </si>
  <si>
    <t>08.Aug</t>
  </si>
  <si>
    <t>Ontime</t>
  </si>
  <si>
    <t>Delay</t>
  </si>
  <si>
    <t>5158596XXL</t>
  </si>
  <si>
    <t>09.Sep</t>
  </si>
  <si>
    <t>07.Jul</t>
  </si>
  <si>
    <t>P4IK1KTC</t>
  </si>
  <si>
    <t>A4IK1KTC</t>
  </si>
  <si>
    <t>A4IK0392</t>
  </si>
  <si>
    <t>A1GK1LB6</t>
  </si>
  <si>
    <t>P1GK1LB6</t>
  </si>
  <si>
    <t>A1GK1JCA</t>
  </si>
  <si>
    <t>A1GA1KRL</t>
  </si>
  <si>
    <t>TP3T0674</t>
  </si>
  <si>
    <t>TPAT1429 AMAZON</t>
  </si>
  <si>
    <t>TPAT1429</t>
  </si>
  <si>
    <t>5158586XXL</t>
  </si>
  <si>
    <t>TPOT1111</t>
  </si>
  <si>
    <t>61105-53</t>
  </si>
  <si>
    <t>61105-57</t>
  </si>
  <si>
    <t>61105-81</t>
  </si>
  <si>
    <t>PC12.47</t>
  </si>
  <si>
    <t>81905-53</t>
  </si>
  <si>
    <t>61805-53</t>
  </si>
  <si>
    <t>5158583XXL</t>
  </si>
  <si>
    <t>5157977XXL</t>
  </si>
  <si>
    <t>5159303XXL</t>
  </si>
  <si>
    <t>5157989XXL</t>
  </si>
  <si>
    <t>5158611XXL</t>
  </si>
  <si>
    <t>5158040XXL</t>
  </si>
  <si>
    <t>5158587XXL</t>
  </si>
  <si>
    <t>5159305XXL</t>
  </si>
  <si>
    <t>5159296XXL</t>
  </si>
  <si>
    <t>5158619XXL</t>
  </si>
  <si>
    <t>5159307XXL</t>
  </si>
  <si>
    <t>5158602XXL</t>
  </si>
  <si>
    <t>5158004XXL</t>
  </si>
  <si>
    <t>5158618XXL</t>
  </si>
  <si>
    <t>5158607XXL</t>
  </si>
  <si>
    <t>5158584XXL</t>
  </si>
  <si>
    <t>5158599XXL</t>
  </si>
  <si>
    <t>ALABAMA SS SHIRT 1.0</t>
  </si>
  <si>
    <t>11.Nov</t>
  </si>
  <si>
    <t>WS KAUWELA PRINTED SHIRT</t>
  </si>
  <si>
    <t>DOMANE SS TSHIRT</t>
  </si>
  <si>
    <t>12.Dec</t>
  </si>
  <si>
    <t>WS KAUWELA PRINTED SHORT</t>
  </si>
  <si>
    <t>10.Oct</t>
  </si>
  <si>
    <t>WANDERHAUL SS TEE</t>
  </si>
  <si>
    <t>KARAKORAM 2.0 LP</t>
  </si>
  <si>
    <t>KARAKORAM 2.0 LS</t>
  </si>
  <si>
    <t>PRIMARY TRACKSUIT PANTS</t>
  </si>
  <si>
    <t>01.Jan</t>
  </si>
  <si>
    <t>WA3280</t>
  </si>
  <si>
    <t>AUS29900</t>
  </si>
  <si>
    <t>CMTP</t>
  </si>
  <si>
    <t>WA24104R</t>
  </si>
  <si>
    <t>AUS30000</t>
  </si>
  <si>
    <t>WA323</t>
  </si>
  <si>
    <t>AUS30100</t>
  </si>
  <si>
    <t>Z7860024</t>
  </si>
  <si>
    <t>Z7860025</t>
  </si>
  <si>
    <t>397-90</t>
  </si>
  <si>
    <t>BP.1304</t>
  </si>
  <si>
    <t>392-94</t>
  </si>
  <si>
    <t>BP.1170</t>
  </si>
  <si>
    <t>393-90</t>
  </si>
  <si>
    <t>393-92</t>
  </si>
  <si>
    <t>393-94</t>
  </si>
  <si>
    <t>PC</t>
  </si>
  <si>
    <t>KZN392-80</t>
  </si>
  <si>
    <t>BP.1205</t>
  </si>
  <si>
    <t>KZN393-80</t>
  </si>
  <si>
    <t>396-90</t>
  </si>
  <si>
    <t>133-98</t>
  </si>
  <si>
    <t>BP.1177</t>
  </si>
  <si>
    <t>133-95</t>
  </si>
  <si>
    <t>133-91</t>
  </si>
  <si>
    <t>133-67</t>
  </si>
  <si>
    <t>EC24AH54145</t>
  </si>
  <si>
    <t>C BABY GIRLS RIBKNIT LEGG</t>
  </si>
  <si>
    <t>EC24AH54145N</t>
  </si>
  <si>
    <t>TPOT0946</t>
  </si>
  <si>
    <t>EC24AH54142</t>
  </si>
  <si>
    <t>EC24AH24140</t>
  </si>
  <si>
    <t>CVC BABY FLAT KNIT LEGGIN</t>
  </si>
  <si>
    <t>EC25HA24440</t>
  </si>
  <si>
    <t>EC24AH34106</t>
  </si>
  <si>
    <t>T BABY GIRLS JAQUARD T-SH</t>
  </si>
  <si>
    <t>TPOT1433</t>
  </si>
  <si>
    <t>JL431</t>
  </si>
  <si>
    <t>MG WE GREEN LB SWEAT DRES</t>
  </si>
  <si>
    <t>JM399</t>
  </si>
  <si>
    <t>JL211</t>
  </si>
  <si>
    <t>MB WT 2PK HOODY &amp; SWEAT T</t>
  </si>
  <si>
    <t>JL225</t>
  </si>
  <si>
    <t>MB WT 3PK SS TEES</t>
  </si>
  <si>
    <t>JL288</t>
  </si>
  <si>
    <t>MB RT MOCK LS TEE</t>
  </si>
  <si>
    <t>24W-G1403</t>
  </si>
  <si>
    <t>FORMAL SUITS SETS TOP &amp; S</t>
  </si>
  <si>
    <t>JL231</t>
  </si>
  <si>
    <t>MB DV 3PK SS TEES</t>
  </si>
  <si>
    <t>JL240</t>
  </si>
  <si>
    <t>MB DV DINO APPLIQUE SWEAT</t>
  </si>
  <si>
    <t>JL228</t>
  </si>
  <si>
    <t>MG WE FLORAL LB SWEAT&amp;JOG</t>
  </si>
  <si>
    <t>JL424</t>
  </si>
  <si>
    <t>JL421</t>
  </si>
  <si>
    <t>MG WE 3PK LEGGING</t>
  </si>
  <si>
    <t>JL249</t>
  </si>
  <si>
    <t>MB DV 3PK JERSEY SHORTS</t>
  </si>
  <si>
    <t>JL226</t>
  </si>
  <si>
    <t>MB WT 3PK SHORTS</t>
  </si>
  <si>
    <t>JL222</t>
  </si>
  <si>
    <t>MB WT BETTER 2PK JOGGERS</t>
  </si>
  <si>
    <t>JL299</t>
  </si>
  <si>
    <t>MB RT 2PK LB JOGGERS</t>
  </si>
  <si>
    <t>JL285</t>
  </si>
  <si>
    <t>MB RT 3PK JERSEY SHORTS</t>
  </si>
  <si>
    <t>JL727</t>
  </si>
  <si>
    <t>JB 3PK SHORTS NEUTRALS PA</t>
  </si>
  <si>
    <t>JL284</t>
  </si>
  <si>
    <t>MB RT 3PK SS TEES</t>
  </si>
  <si>
    <t>EC25HA54456</t>
  </si>
  <si>
    <t>WA3220</t>
  </si>
  <si>
    <t>WA321</t>
  </si>
  <si>
    <t>CROSSTOWN SHIRT LS</t>
  </si>
  <si>
    <t>WA24101R</t>
  </si>
  <si>
    <t>WA322</t>
  </si>
  <si>
    <t>WA327</t>
  </si>
  <si>
    <t>WA329</t>
  </si>
  <si>
    <t>B-3504</t>
  </si>
  <si>
    <t>WA24105R</t>
  </si>
  <si>
    <t>WA325</t>
  </si>
  <si>
    <t>WA3250</t>
  </si>
  <si>
    <t>CROSSTOWN SHIRT SS</t>
  </si>
  <si>
    <t>EC24AH34ML102</t>
  </si>
  <si>
    <t>BABY GIRLS BLOUSE JERSEY</t>
  </si>
  <si>
    <t>Sum of Am.CM</t>
  </si>
  <si>
    <t>SERI Factory</t>
  </si>
  <si>
    <t>PK</t>
  </si>
  <si>
    <t>NAMA</t>
  </si>
  <si>
    <t>PATH FILE</t>
  </si>
  <si>
    <t>HADI CHARN</t>
  </si>
  <si>
    <t>\\10.8.0.35\Bersama\IT\RPA 00\MACRO_RPA - Update Resume Income dan Profit\Hasil Pengolahan Macro\Resume Income Factory Th 2024.xlsx</t>
  </si>
  <si>
    <t>\\10.8.0.35\Bersama\IT\RPA 00\MACRO_RPA - Update Resume Income dan Profit\Hasil Pengolahan Macro\Data Income per-factory Th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</si>
</sst>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0_);[Red]_(&quot;$&quot;* \(#,##0.00\);_(&quot;$&quot;* &quot;-&quot;??_);_(@_)"/>
    <numFmt numFmtId="165" formatCode="#,###"/>
    <numFmt numFmtId="166" formatCode="_(&quot;$&quot;* #,##0_);_(&quot;$&quot;* \(#,##0\);_(&quot;$&quot;* &quot;-&quot;??_);_(@_)"/>
    <numFmt numFmtId="167" formatCode="_(* #,##0_);_(* \(#,##0\);_(* &quot;-&quot;??_);_(@_)"/>
    <numFmt numFmtId="168" formatCode="0.0%"/>
    <numFmt numFmtId="169" formatCode="_(&quot;$&quot;* #,##0.00_);[Red]_(&quot;$&quot;* \(#,##0.00\);_(&quot;$&quot;* &quot;-&quot;??_);_(&quot;-&quot;_)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rgb="FF5B9BD5"/>
      </top>
      <bottom style="thin">
        <color rgb="FF5B9BD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</cellStyleXfs>
  <cellXfs count="77">
    <xf numFmtId="0" fontId="0" fillId="0" borderId="0" xfId="0"/>
    <xf numFmtId="0" fontId="0" fillId="0" borderId="1" xfId="0" applyBorder="1"/>
    <xf numFmtId="0" fontId="0" fillId="0" borderId="2" xfId="0" applyBorder="1"/>
    <xf numFmtId="0" fontId="0" fillId="4" borderId="0" xfId="0" applyFill="1"/>
    <xf numFmtId="0" fontId="0" fillId="0" borderId="5" xfId="0" applyBorder="1"/>
    <xf numFmtId="0" fontId="0" fillId="0" borderId="6" xfId="0" applyBorder="1"/>
    <xf numFmtId="0" fontId="9" fillId="0" borderId="0" xfId="0" applyFont="1"/>
    <xf numFmtId="0" fontId="0" fillId="0" borderId="0" xfId="0" applyAlignment="1">
      <alignment horizontal="left"/>
    </xf>
    <xf numFmtId="0" fontId="11" fillId="3" borderId="3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1" applyFont="1" applyFill="1" applyAlignment="1"/>
    <xf numFmtId="0" fontId="0" fillId="0" borderId="0" xfId="1" applyFont="1" applyAlignment="1"/>
    <xf numFmtId="0" fontId="9" fillId="5" borderId="0" xfId="0" applyFont="1" applyFill="1"/>
    <xf numFmtId="0" fontId="9" fillId="5" borderId="4" xfId="0" applyFont="1" applyFill="1" applyBorder="1"/>
    <xf numFmtId="0" fontId="0" fillId="6" borderId="4" xfId="0" applyFill="1" applyBorder="1"/>
    <xf numFmtId="0" fontId="11" fillId="3" borderId="0" xfId="0" applyFont="1" applyFill="1" applyAlignment="1">
      <alignment horizontal="left" vertical="center"/>
    </xf>
    <xf numFmtId="0" fontId="1" fillId="0" borderId="0" xfId="1" applyFill="1" applyAlignment="1"/>
    <xf numFmtId="44" fontId="9" fillId="0" borderId="4" xfId="3" applyFont="1" applyFill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/>
    </xf>
    <xf numFmtId="44" fontId="9" fillId="0" borderId="4" xfId="3" applyFont="1" applyBorder="1" applyAlignment="1">
      <alignment horizontal="center"/>
    </xf>
    <xf numFmtId="166" fontId="9" fillId="0" borderId="4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4" xfId="0" applyFont="1" applyBorder="1" applyAlignment="1">
      <alignment vertical="center"/>
    </xf>
    <xf numFmtId="164" fontId="0" fillId="0" borderId="4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164" fontId="0" fillId="0" borderId="4" xfId="0" applyNumberFormat="1" applyBorder="1"/>
    <xf numFmtId="167" fontId="0" fillId="0" borderId="4" xfId="2" applyNumberFormat="1" applyFont="1" applyBorder="1"/>
    <xf numFmtId="165" fontId="0" fillId="0" borderId="0" xfId="0" applyNumberFormat="1"/>
    <xf numFmtId="166" fontId="0" fillId="0" borderId="0" xfId="0" applyNumberFormat="1"/>
    <xf numFmtId="164" fontId="0" fillId="0" borderId="4" xfId="0" applyNumberFormat="1" applyBorder="1" applyAlignment="1">
      <alignment horizontal="left"/>
    </xf>
    <xf numFmtId="167" fontId="0" fillId="0" borderId="4" xfId="2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168" fontId="9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left"/>
    </xf>
    <xf numFmtId="169" fontId="9" fillId="0" borderId="4" xfId="0" applyNumberFormat="1" applyFont="1" applyBorder="1" applyAlignment="1">
      <alignment horizontal="right"/>
    </xf>
    <xf numFmtId="168" fontId="9" fillId="0" borderId="4" xfId="0" applyNumberFormat="1" applyFont="1" applyBorder="1" applyAlignment="1">
      <alignment horizontal="right"/>
    </xf>
    <xf numFmtId="49" fontId="13" fillId="0" borderId="0" xfId="1" applyNumberFormat="1" applyFont="1" applyAlignment="1">
      <alignment horizontal="left"/>
    </xf>
    <xf numFmtId="0" fontId="0" fillId="0" borderId="0" xfId="1" applyFont="1" applyFill="1" applyAlignment="1">
      <alignment horizontal="left"/>
    </xf>
    <xf numFmtId="49" fontId="0" fillId="0" borderId="0" xfId="0" applyNumberFormat="1" applyAlignment="1">
      <alignment horizontal="left"/>
    </xf>
    <xf numFmtId="15" fontId="0" fillId="0" borderId="0" xfId="0" applyNumberFormat="1"/>
    <xf numFmtId="0" fontId="0" fillId="0" borderId="0" xfId="0" applyAlignment="1">
      <alignment horizontal="center"/>
    </xf>
    <xf numFmtId="38" fontId="0" fillId="0" borderId="0" xfId="0" applyNumberFormat="1"/>
    <xf numFmtId="0" fontId="9" fillId="7" borderId="4" xfId="0" applyFont="1" applyFill="1" applyBorder="1"/>
    <xf numFmtId="0" fontId="9" fillId="7" borderId="4" xfId="0" applyFont="1" applyFill="1" applyBorder="1" applyAlignment="1">
      <alignment horizontal="center"/>
    </xf>
    <xf numFmtId="3" fontId="9" fillId="7" borderId="4" xfId="0" applyNumberFormat="1" applyFont="1" applyFill="1" applyBorder="1"/>
    <xf numFmtId="40" fontId="9" fillId="7" borderId="4" xfId="0" applyNumberFormat="1" applyFont="1" applyFill="1" applyBorder="1"/>
    <xf numFmtId="38" fontId="9" fillId="7" borderId="4" xfId="0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3" fontId="0" fillId="0" borderId="4" xfId="0" applyNumberFormat="1" applyBorder="1"/>
    <xf numFmtId="40" fontId="0" fillId="0" borderId="4" xfId="0" applyNumberFormat="1" applyBorder="1"/>
    <xf numFmtId="38" fontId="0" fillId="0" borderId="4" xfId="0" applyNumberFormat="1" applyBorder="1"/>
    <xf numFmtId="0" fontId="9" fillId="8" borderId="4" xfId="0" applyFont="1" applyFill="1" applyBorder="1"/>
    <xf numFmtId="0" fontId="9" fillId="8" borderId="4" xfId="0" applyFont="1" applyFill="1" applyBorder="1" applyAlignment="1">
      <alignment horizontal="center"/>
    </xf>
    <xf numFmtId="3" fontId="9" fillId="8" borderId="4" xfId="0" applyNumberFormat="1" applyFont="1" applyFill="1" applyBorder="1"/>
    <xf numFmtId="40" fontId="9" fillId="8" borderId="4" xfId="0" applyNumberFormat="1" applyFont="1" applyFill="1" applyBorder="1"/>
    <xf numFmtId="38" fontId="9" fillId="8" borderId="4" xfId="0" applyNumberFormat="1" applyFont="1" applyFill="1" applyBorder="1"/>
    <xf numFmtId="3" fontId="0" fillId="0" borderId="0" xfId="0" applyNumberFormat="1"/>
    <xf numFmtId="40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4">
    <cellStyle name="Comma" xfId="2" builtinId="3"/>
    <cellStyle name="Currency" xfId="3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5B9BD5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1185647</xdr:colOff>
      <xdr:row>2</xdr:row>
      <xdr:rowOff>14567</xdr:rowOff>
    </xdr:from>
    <xdr:to>
      <xdr:col>6</xdr:col>
      <xdr:colOff>720121</xdr:colOff>
      <xdr:row>6</xdr:row>
      <xdr:rowOff>97116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169588" y="507626"/>
          <a:ext cx="1820474" cy="654049"/>
          <a:chOff x="9159247" y="370892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59247" y="370892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Proses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300-000002080000}"/>
                  </a:ext>
                </a:extLst>
              </xdr:cNvPr>
              <xdr:cNvSpPr/>
            </xdr:nvSpPr>
            <xdr:spPr bwMode="auto">
              <a:xfrm>
                <a:off x="9321172" y="466143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246184</xdr:colOff>
      <xdr:row>12</xdr:row>
      <xdr:rowOff>79131</xdr:rowOff>
    </xdr:from>
    <xdr:to>
      <xdr:col>3</xdr:col>
      <xdr:colOff>312444</xdr:colOff>
      <xdr:row>12</xdr:row>
      <xdr:rowOff>219264</xdr:rowOff>
    </xdr:to>
    <xdr:sp macro="[0]!BUTTON_CariFile_CostFactoryRepor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923084" y="227940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13</xdr:row>
      <xdr:rowOff>94887</xdr:rowOff>
    </xdr:from>
    <xdr:to>
      <xdr:col>3</xdr:col>
      <xdr:colOff>313601</xdr:colOff>
      <xdr:row>13</xdr:row>
      <xdr:rowOff>235020</xdr:rowOff>
    </xdr:to>
    <xdr:sp macro="[0]!BUTTON_CariFile_KapasitasFromSale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924241" y="25428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14</xdr:row>
      <xdr:rowOff>85362</xdr:rowOff>
    </xdr:from>
    <xdr:to>
      <xdr:col>3</xdr:col>
      <xdr:colOff>313601</xdr:colOff>
      <xdr:row>15</xdr:row>
      <xdr:rowOff>0</xdr:rowOff>
    </xdr:to>
    <xdr:sp macro="[0]!BUTTON_CariFolder_RerumeIncomeFactory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924241" y="2780937"/>
          <a:ext cx="66260" cy="1782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2094072</xdr:colOff>
      <xdr:row>2</xdr:row>
      <xdr:rowOff>23159</xdr:rowOff>
    </xdr:from>
    <xdr:to>
      <xdr:col>3</xdr:col>
      <xdr:colOff>66818</xdr:colOff>
      <xdr:row>6</xdr:row>
      <xdr:rowOff>105708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0954" y="501277"/>
          <a:ext cx="1924688" cy="6503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3</xdr:row>
          <xdr:rowOff>19050</xdr:rowOff>
        </xdr:from>
        <xdr:to>
          <xdr:col>2</xdr:col>
          <xdr:colOff>3819525</xdr:colOff>
          <xdr:row>5</xdr:row>
          <xdr:rowOff>9525</xdr:rowOff>
        </xdr:to>
        <xdr:sp macro="" textlink="">
          <xdr:nvSpPr>
            <xdr:cNvPr id="2052" name="cmd_CreateRP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247341</xdr:colOff>
      <xdr:row>15</xdr:row>
      <xdr:rowOff>85362</xdr:rowOff>
    </xdr:from>
    <xdr:to>
      <xdr:col>3</xdr:col>
      <xdr:colOff>313601</xdr:colOff>
      <xdr:row>16</xdr:row>
      <xdr:rowOff>0</xdr:rowOff>
    </xdr:to>
    <xdr:sp macro="[0]!BUTTON_CariFolder_RerumeIncomeFactory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625791" y="2790462"/>
          <a:ext cx="66260" cy="168638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10.8.0.108/ggi-is/public/pic/schedule/report_kapasitas_from_sales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035BA-8330-419C-9617-51EED4474644}">
  <sheetPr codeName="Sheet3">
    <pageSetUpPr fitToPage="1"/>
  </sheetPr>
  <dimension ref="A1:G35"/>
  <sheetViews>
    <sheetView topLeftCell="A19" workbookViewId="0">
      <selection activeCell="C39" sqref="C39"/>
    </sheetView>
  </sheetViews>
  <sheetFormatPr defaultColWidth="9.140625" defaultRowHeight="15" x14ac:dyDescent="0.25"/>
  <cols>
    <col min="1" max="1" width="11.28515625" style="6" bestFit="1" customWidth="1"/>
    <col min="2" max="2" width="14.28515625" style="6" bestFit="1" customWidth="1"/>
    <col min="3" max="3" width="14.5703125" style="6" bestFit="1" customWidth="1"/>
    <col min="4" max="5" width="14.28515625" style="6" bestFit="1" customWidth="1"/>
    <col min="6" max="6" width="14.42578125" style="6" customWidth="1"/>
    <col min="7" max="7" width="18.85546875" style="6" customWidth="1"/>
    <col min="8" max="16384" width="9.140625" style="6"/>
  </cols>
  <sheetData>
    <row r="1" spans="1:7" x14ac:dyDescent="0.25">
      <c r="A1" s="34" t="s">
        <v>50</v>
      </c>
      <c r="B1" s="34" t="s">
        <v>7</v>
      </c>
    </row>
    <row r="2" spans="1:7" x14ac:dyDescent="0.25">
      <c r="A2" s="35" t="s">
        <v>21</v>
      </c>
      <c r="B2" s="36" t="s">
        <v>22</v>
      </c>
      <c r="C2" s="36" t="s">
        <v>23</v>
      </c>
      <c r="D2" s="36" t="s">
        <v>24</v>
      </c>
      <c r="E2" s="36" t="s">
        <v>25</v>
      </c>
      <c r="F2" s="36" t="s">
        <v>26</v>
      </c>
      <c r="G2" s="37" t="s">
        <v>27</v>
      </c>
    </row>
    <row r="3" spans="1:7" x14ac:dyDescent="0.25">
      <c r="A3" s="38" t="s">
        <v>15</v>
      </c>
      <c r="B3" s="39"/>
      <c r="C3" s="39"/>
      <c r="D3" s="39"/>
      <c r="E3" s="39"/>
      <c r="F3" s="39"/>
      <c r="G3" s="40"/>
    </row>
    <row r="5" spans="1:7" x14ac:dyDescent="0.25">
      <c r="A5" s="34" t="s">
        <v>50</v>
      </c>
      <c r="B5" s="34" t="s">
        <v>8</v>
      </c>
    </row>
    <row r="6" spans="1:7" x14ac:dyDescent="0.25">
      <c r="A6" s="35" t="s">
        <v>21</v>
      </c>
      <c r="B6" s="36" t="s">
        <v>22</v>
      </c>
      <c r="C6" s="36" t="s">
        <v>23</v>
      </c>
      <c r="D6" s="36" t="s">
        <v>24</v>
      </c>
      <c r="E6" s="36" t="s">
        <v>25</v>
      </c>
      <c r="F6" s="36" t="s">
        <v>26</v>
      </c>
      <c r="G6" s="37" t="s">
        <v>27</v>
      </c>
    </row>
    <row r="7" spans="1:7" x14ac:dyDescent="0.25">
      <c r="A7" s="38" t="s">
        <v>15</v>
      </c>
      <c r="B7" s="39"/>
      <c r="C7" s="39"/>
      <c r="D7" s="39"/>
      <c r="E7" s="39"/>
      <c r="F7" s="39"/>
      <c r="G7" s="40"/>
    </row>
    <row r="9" spans="1:7" x14ac:dyDescent="0.25">
      <c r="A9" s="34" t="s">
        <v>50</v>
      </c>
      <c r="B9" s="34" t="s">
        <v>40</v>
      </c>
    </row>
    <row r="10" spans="1:7" x14ac:dyDescent="0.25">
      <c r="A10" s="35" t="s">
        <v>21</v>
      </c>
      <c r="B10" s="36" t="s">
        <v>22</v>
      </c>
      <c r="C10" s="36" t="s">
        <v>23</v>
      </c>
      <c r="D10" s="36" t="s">
        <v>24</v>
      </c>
      <c r="E10" s="36" t="s">
        <v>25</v>
      </c>
      <c r="F10" s="36" t="s">
        <v>26</v>
      </c>
      <c r="G10" s="37" t="s">
        <v>27</v>
      </c>
    </row>
    <row r="11" spans="1:7" x14ac:dyDescent="0.25">
      <c r="A11" s="38" t="s">
        <v>15</v>
      </c>
      <c r="B11" s="39"/>
      <c r="C11" s="39"/>
      <c r="D11" s="39"/>
      <c r="E11" s="39"/>
      <c r="F11" s="39"/>
      <c r="G11" s="40"/>
    </row>
    <row r="13" spans="1:7" x14ac:dyDescent="0.25">
      <c r="A13" s="34" t="s">
        <v>50</v>
      </c>
      <c r="B13" s="34" t="s">
        <v>9</v>
      </c>
    </row>
    <row r="14" spans="1:7" x14ac:dyDescent="0.25">
      <c r="A14" s="35" t="s">
        <v>21</v>
      </c>
      <c r="B14" s="36" t="s">
        <v>22</v>
      </c>
      <c r="C14" s="36" t="s">
        <v>23</v>
      </c>
      <c r="D14" s="36" t="s">
        <v>24</v>
      </c>
      <c r="E14" s="36" t="s">
        <v>25</v>
      </c>
      <c r="F14" s="36" t="s">
        <v>26</v>
      </c>
      <c r="G14" s="37" t="s">
        <v>27</v>
      </c>
    </row>
    <row r="15" spans="1:7" x14ac:dyDescent="0.25">
      <c r="A15" s="38" t="s">
        <v>15</v>
      </c>
      <c r="B15" s="39"/>
      <c r="C15" s="39"/>
      <c r="D15" s="39"/>
      <c r="E15" s="39"/>
      <c r="F15" s="39"/>
      <c r="G15" s="40"/>
    </row>
    <row r="17" spans="1:7" x14ac:dyDescent="0.25">
      <c r="A17" s="34" t="s">
        <v>50</v>
      </c>
      <c r="B17" s="34" t="s">
        <v>10</v>
      </c>
    </row>
    <row r="18" spans="1:7" x14ac:dyDescent="0.25">
      <c r="A18" s="35" t="s">
        <v>21</v>
      </c>
      <c r="B18" s="36" t="s">
        <v>22</v>
      </c>
      <c r="C18" s="36" t="s">
        <v>23</v>
      </c>
      <c r="D18" s="36" t="s">
        <v>24</v>
      </c>
      <c r="E18" s="36" t="s">
        <v>25</v>
      </c>
      <c r="F18" s="36" t="s">
        <v>26</v>
      </c>
      <c r="G18" s="37" t="s">
        <v>27</v>
      </c>
    </row>
    <row r="19" spans="1:7" x14ac:dyDescent="0.25">
      <c r="A19" s="38" t="s">
        <v>15</v>
      </c>
      <c r="B19" s="39"/>
      <c r="C19" s="39"/>
      <c r="D19" s="39"/>
      <c r="E19" s="39"/>
      <c r="F19" s="39"/>
      <c r="G19" s="40"/>
    </row>
    <row r="21" spans="1:7" x14ac:dyDescent="0.25">
      <c r="A21" s="34" t="s">
        <v>50</v>
      </c>
      <c r="B21" s="34" t="s">
        <v>11</v>
      </c>
    </row>
    <row r="22" spans="1:7" x14ac:dyDescent="0.25">
      <c r="A22" s="35" t="s">
        <v>21</v>
      </c>
      <c r="B22" s="36" t="s">
        <v>22</v>
      </c>
      <c r="C22" s="36" t="s">
        <v>23</v>
      </c>
      <c r="D22" s="36" t="s">
        <v>24</v>
      </c>
      <c r="E22" s="36" t="s">
        <v>25</v>
      </c>
      <c r="F22" s="36" t="s">
        <v>26</v>
      </c>
      <c r="G22" s="37" t="s">
        <v>27</v>
      </c>
    </row>
    <row r="23" spans="1:7" x14ac:dyDescent="0.25">
      <c r="A23" s="38" t="s">
        <v>15</v>
      </c>
      <c r="B23" s="39"/>
      <c r="C23" s="39"/>
      <c r="D23" s="39"/>
      <c r="E23" s="39"/>
      <c r="F23" s="39"/>
      <c r="G23" s="40"/>
    </row>
    <row r="25" spans="1:7" x14ac:dyDescent="0.25">
      <c r="A25" s="34" t="s">
        <v>50</v>
      </c>
      <c r="B25" s="34" t="s">
        <v>12</v>
      </c>
    </row>
    <row r="26" spans="1:7" x14ac:dyDescent="0.25">
      <c r="A26" s="35" t="s">
        <v>21</v>
      </c>
      <c r="B26" s="36" t="s">
        <v>22</v>
      </c>
      <c r="C26" s="36" t="s">
        <v>23</v>
      </c>
      <c r="D26" s="36" t="s">
        <v>24</v>
      </c>
      <c r="E26" s="36" t="s">
        <v>25</v>
      </c>
      <c r="F26" s="36" t="s">
        <v>26</v>
      </c>
      <c r="G26" s="37" t="s">
        <v>27</v>
      </c>
    </row>
    <row r="27" spans="1:7" x14ac:dyDescent="0.25">
      <c r="A27" s="38" t="s">
        <v>15</v>
      </c>
      <c r="B27" s="39"/>
      <c r="C27" s="39"/>
      <c r="D27" s="39"/>
      <c r="E27" s="39"/>
      <c r="F27" s="39"/>
      <c r="G27" s="40"/>
    </row>
    <row r="29" spans="1:7" x14ac:dyDescent="0.25">
      <c r="A29" s="34" t="s">
        <v>50</v>
      </c>
      <c r="B29" s="34" t="s">
        <v>13</v>
      </c>
    </row>
    <row r="30" spans="1:7" x14ac:dyDescent="0.25">
      <c r="A30" s="35" t="s">
        <v>21</v>
      </c>
      <c r="B30" s="36" t="s">
        <v>22</v>
      </c>
      <c r="C30" s="36" t="s">
        <v>23</v>
      </c>
      <c r="D30" s="36" t="s">
        <v>24</v>
      </c>
      <c r="E30" s="36" t="s">
        <v>25</v>
      </c>
      <c r="F30" s="36" t="s">
        <v>26</v>
      </c>
      <c r="G30" s="37" t="s">
        <v>27</v>
      </c>
    </row>
    <row r="31" spans="1:7" x14ac:dyDescent="0.25">
      <c r="A31" s="38" t="s">
        <v>15</v>
      </c>
      <c r="B31" s="39"/>
      <c r="C31" s="39"/>
      <c r="D31" s="39"/>
      <c r="E31" s="39"/>
      <c r="F31" s="39"/>
      <c r="G31" s="40"/>
    </row>
    <row r="33" spans="1:7" x14ac:dyDescent="0.25">
      <c r="A33" s="34" t="s">
        <v>50</v>
      </c>
      <c r="B33" s="34" t="s">
        <v>14</v>
      </c>
    </row>
    <row r="34" spans="1:7" x14ac:dyDescent="0.25">
      <c r="A34" s="35" t="s">
        <v>21</v>
      </c>
      <c r="B34" s="36" t="s">
        <v>22</v>
      </c>
      <c r="C34" s="36" t="s">
        <v>23</v>
      </c>
      <c r="D34" s="36" t="s">
        <v>24</v>
      </c>
      <c r="E34" s="36" t="s">
        <v>25</v>
      </c>
      <c r="F34" s="36" t="s">
        <v>26</v>
      </c>
      <c r="G34" s="37" t="s">
        <v>27</v>
      </c>
    </row>
    <row r="35" spans="1:7" x14ac:dyDescent="0.25">
      <c r="A35" s="38" t="s">
        <v>15</v>
      </c>
      <c r="B35" s="39"/>
      <c r="C35" s="39"/>
      <c r="D35" s="39"/>
      <c r="E35" s="39"/>
      <c r="F35" s="39"/>
      <c r="G35" s="40"/>
    </row>
  </sheetData>
  <printOptions horizontalCentered="1"/>
  <pageMargins left="0.7" right="0.7" top="0.75" bottom="0.75" header="0.3" footer="0.3"/>
  <pageSetup scale="3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6D97A-8E4D-476A-9F49-A42747D3B093}">
  <sheetPr codeName="Sheet2"/>
  <dimension ref="B2:AB54"/>
  <sheetViews>
    <sheetView workbookViewId="0">
      <selection activeCell="D40" sqref="D40"/>
    </sheetView>
  </sheetViews>
  <sheetFormatPr defaultRowHeight="15" x14ac:dyDescent="0.25"/>
  <cols>
    <col min="1" max="1" width="3" customWidth="1"/>
    <col min="2" max="2" width="11.28515625" bestFit="1" customWidth="1"/>
    <col min="3" max="5" width="14.28515625" bestFit="1" customWidth="1"/>
    <col min="6" max="6" width="13.42578125" bestFit="1" customWidth="1"/>
    <col min="7" max="9" width="14.28515625" bestFit="1" customWidth="1"/>
    <col min="10" max="11" width="12.5703125" bestFit="1" customWidth="1"/>
    <col min="12" max="13" width="14.28515625" bestFit="1" customWidth="1"/>
    <col min="14" max="14" width="12.5703125" bestFit="1" customWidth="1"/>
  </cols>
  <sheetData>
    <row r="2" spans="2:14" ht="23.25" x14ac:dyDescent="0.35">
      <c r="B2" s="71" t="str">
        <f ca="1">"ANALISA PLAN VS REALISASI INCOME TH " &amp;HOME!$G$12</f>
        <v>ANALISA PLAN VS REALISASI INCOME TH 2024</v>
      </c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</row>
    <row r="4" spans="2:14" s="6" customFormat="1" x14ac:dyDescent="0.25">
      <c r="B4" s="66" t="s">
        <v>20</v>
      </c>
      <c r="C4" s="67" t="s">
        <v>37</v>
      </c>
      <c r="D4" s="67"/>
      <c r="E4" s="67"/>
      <c r="F4" s="68"/>
      <c r="G4" s="69" t="s">
        <v>38</v>
      </c>
      <c r="H4" s="67"/>
      <c r="I4" s="67"/>
      <c r="J4" s="67"/>
      <c r="K4" s="69" t="s">
        <v>39</v>
      </c>
      <c r="L4" s="67"/>
      <c r="M4" s="67"/>
      <c r="N4" s="67"/>
    </row>
    <row r="5" spans="2:14" s="24" customFormat="1" x14ac:dyDescent="0.25">
      <c r="B5" s="66"/>
      <c r="C5" s="20" t="s">
        <v>16</v>
      </c>
      <c r="D5" s="21" t="s">
        <v>17</v>
      </c>
      <c r="E5" s="22" t="s">
        <v>18</v>
      </c>
      <c r="F5" s="23" t="s">
        <v>19</v>
      </c>
      <c r="G5" s="20" t="s">
        <v>16</v>
      </c>
      <c r="H5" s="21" t="s">
        <v>17</v>
      </c>
      <c r="I5" s="22" t="s">
        <v>18</v>
      </c>
      <c r="J5" s="23" t="s">
        <v>19</v>
      </c>
      <c r="K5" s="20" t="s">
        <v>16</v>
      </c>
      <c r="L5" s="21" t="s">
        <v>17</v>
      </c>
      <c r="M5" s="22" t="s">
        <v>18</v>
      </c>
      <c r="N5" s="23" t="s">
        <v>19</v>
      </c>
    </row>
    <row r="6" spans="2:14" x14ac:dyDescent="0.25">
      <c r="B6" s="25" t="s">
        <v>7</v>
      </c>
      <c r="C6" s="26"/>
      <c r="D6" s="27"/>
      <c r="E6" s="26"/>
      <c r="F6" s="26"/>
      <c r="G6" s="26"/>
      <c r="H6" s="27"/>
      <c r="I6" s="26"/>
      <c r="J6" s="26"/>
      <c r="K6" s="26"/>
      <c r="L6" s="27"/>
      <c r="M6" s="26"/>
      <c r="N6" s="26"/>
    </row>
    <row r="7" spans="2:14" x14ac:dyDescent="0.25">
      <c r="B7" s="25" t="s">
        <v>8</v>
      </c>
      <c r="C7" s="26"/>
      <c r="D7" s="27"/>
      <c r="E7" s="26"/>
      <c r="F7" s="26"/>
      <c r="G7" s="26"/>
      <c r="H7" s="27"/>
      <c r="I7" s="26"/>
      <c r="J7" s="26"/>
      <c r="K7" s="26"/>
      <c r="L7" s="27"/>
      <c r="M7" s="26"/>
      <c r="N7" s="26"/>
    </row>
    <row r="8" spans="2:14" x14ac:dyDescent="0.25">
      <c r="B8" s="25" t="s">
        <v>40</v>
      </c>
      <c r="C8" s="26"/>
      <c r="D8" s="27"/>
      <c r="E8" s="26"/>
      <c r="F8" s="26"/>
      <c r="G8" s="26"/>
      <c r="H8" s="27"/>
      <c r="I8" s="26"/>
      <c r="J8" s="26"/>
      <c r="K8" s="26"/>
      <c r="L8" s="27"/>
      <c r="M8" s="26"/>
      <c r="N8" s="26"/>
    </row>
    <row r="9" spans="2:14" x14ac:dyDescent="0.25">
      <c r="B9" s="25" t="s">
        <v>9</v>
      </c>
      <c r="C9" s="26"/>
      <c r="D9" s="27"/>
      <c r="E9" s="26"/>
      <c r="F9" s="26"/>
      <c r="G9" s="26"/>
      <c r="H9" s="27"/>
      <c r="I9" s="26"/>
      <c r="J9" s="26"/>
      <c r="K9" s="26"/>
      <c r="L9" s="27"/>
      <c r="M9" s="26"/>
      <c r="N9" s="26"/>
    </row>
    <row r="10" spans="2:14" x14ac:dyDescent="0.25">
      <c r="B10" s="25" t="s">
        <v>10</v>
      </c>
      <c r="C10" s="26"/>
      <c r="D10" s="27"/>
      <c r="E10" s="26"/>
      <c r="F10" s="26"/>
      <c r="G10" s="26"/>
      <c r="H10" s="27"/>
      <c r="I10" s="26"/>
      <c r="J10" s="26"/>
      <c r="K10" s="26"/>
      <c r="L10" s="27"/>
      <c r="M10" s="26"/>
      <c r="N10" s="26"/>
    </row>
    <row r="11" spans="2:14" x14ac:dyDescent="0.25">
      <c r="B11" s="25" t="s">
        <v>11</v>
      </c>
      <c r="C11" s="26"/>
      <c r="D11" s="27"/>
      <c r="E11" s="26"/>
      <c r="F11" s="26"/>
      <c r="G11" s="26"/>
      <c r="H11" s="27"/>
      <c r="I11" s="26"/>
      <c r="J11" s="26"/>
      <c r="K11" s="26"/>
      <c r="L11" s="27"/>
      <c r="M11" s="26"/>
      <c r="N11" s="26"/>
    </row>
    <row r="12" spans="2:14" x14ac:dyDescent="0.25">
      <c r="B12" s="25" t="s">
        <v>12</v>
      </c>
      <c r="C12" s="26"/>
      <c r="D12" s="27"/>
      <c r="E12" s="26"/>
      <c r="F12" s="26"/>
      <c r="G12" s="26"/>
      <c r="H12" s="27"/>
      <c r="I12" s="26"/>
      <c r="J12" s="26"/>
      <c r="K12" s="26"/>
      <c r="L12" s="27"/>
      <c r="M12" s="26"/>
      <c r="N12" s="26"/>
    </row>
    <row r="13" spans="2:14" x14ac:dyDescent="0.25">
      <c r="B13" s="25" t="s">
        <v>13</v>
      </c>
      <c r="C13" s="26"/>
      <c r="D13" s="27"/>
      <c r="E13" s="26"/>
      <c r="F13" s="26"/>
      <c r="G13" s="26"/>
      <c r="H13" s="27"/>
      <c r="I13" s="26"/>
      <c r="J13" s="26"/>
      <c r="K13" s="26"/>
      <c r="L13" s="27"/>
      <c r="M13" s="26"/>
      <c r="N13" s="26"/>
    </row>
    <row r="14" spans="2:14" x14ac:dyDescent="0.25">
      <c r="B14" s="25" t="s">
        <v>14</v>
      </c>
      <c r="C14" s="26"/>
      <c r="D14" s="27"/>
      <c r="E14" s="26"/>
      <c r="F14" s="26"/>
      <c r="G14" s="26"/>
      <c r="H14" s="27"/>
      <c r="I14" s="26"/>
      <c r="J14" s="26"/>
      <c r="K14" s="26"/>
      <c r="L14" s="27"/>
      <c r="M14" s="26"/>
      <c r="N14" s="26"/>
    </row>
    <row r="15" spans="2:14" x14ac:dyDescent="0.25">
      <c r="B15" s="25" t="s">
        <v>15</v>
      </c>
      <c r="C15" s="28">
        <f>SUM(C6:C14)</f>
        <v>0</v>
      </c>
      <c r="D15" s="29">
        <f t="shared" ref="D15:N15" si="0">SUM(D6:D14)</f>
        <v>0</v>
      </c>
      <c r="E15" s="28">
        <f t="shared" si="0"/>
        <v>0</v>
      </c>
      <c r="F15" s="28">
        <f t="shared" si="0"/>
        <v>0</v>
      </c>
      <c r="G15" s="28">
        <f t="shared" si="0"/>
        <v>0</v>
      </c>
      <c r="H15" s="29">
        <f t="shared" si="0"/>
        <v>0</v>
      </c>
      <c r="I15" s="28">
        <f t="shared" si="0"/>
        <v>0</v>
      </c>
      <c r="J15" s="28">
        <f t="shared" si="0"/>
        <v>0</v>
      </c>
      <c r="K15" s="28">
        <f t="shared" si="0"/>
        <v>0</v>
      </c>
      <c r="L15" s="29">
        <f t="shared" si="0"/>
        <v>0</v>
      </c>
      <c r="M15" s="28">
        <f t="shared" si="0"/>
        <v>0</v>
      </c>
      <c r="N15" s="28">
        <f t="shared" si="0"/>
        <v>0</v>
      </c>
    </row>
    <row r="17" spans="2:28" x14ac:dyDescent="0.25">
      <c r="B17" s="66" t="s">
        <v>20</v>
      </c>
      <c r="C17" s="67" t="s">
        <v>41</v>
      </c>
      <c r="D17" s="67"/>
      <c r="E17" s="67"/>
      <c r="F17" s="68"/>
      <c r="G17" s="69" t="s">
        <v>42</v>
      </c>
      <c r="H17" s="67"/>
      <c r="I17" s="67"/>
      <c r="J17" s="67"/>
      <c r="K17" s="70" t="s">
        <v>43</v>
      </c>
      <c r="L17" s="70"/>
      <c r="M17" s="70"/>
      <c r="N17" s="70"/>
      <c r="O17" s="30"/>
      <c r="P17" s="31"/>
      <c r="Q17" s="31"/>
      <c r="R17" s="30"/>
      <c r="S17" s="31"/>
      <c r="T17" s="31"/>
      <c r="U17" s="30"/>
      <c r="V17" s="31"/>
      <c r="W17" s="30"/>
      <c r="X17" s="31"/>
      <c r="Y17" s="30"/>
      <c r="Z17" s="31"/>
      <c r="AA17" s="30"/>
      <c r="AB17" s="31"/>
    </row>
    <row r="18" spans="2:28" x14ac:dyDescent="0.25">
      <c r="B18" s="66"/>
      <c r="C18" s="20" t="s">
        <v>16</v>
      </c>
      <c r="D18" s="21" t="s">
        <v>17</v>
      </c>
      <c r="E18" s="22" t="s">
        <v>18</v>
      </c>
      <c r="F18" s="23" t="s">
        <v>19</v>
      </c>
      <c r="G18" s="20" t="s">
        <v>16</v>
      </c>
      <c r="H18" s="21" t="s">
        <v>17</v>
      </c>
      <c r="I18" s="22" t="s">
        <v>18</v>
      </c>
      <c r="J18" s="23" t="s">
        <v>19</v>
      </c>
      <c r="K18" s="20" t="s">
        <v>16</v>
      </c>
      <c r="L18" s="21" t="s">
        <v>17</v>
      </c>
      <c r="M18" s="22" t="s">
        <v>18</v>
      </c>
      <c r="N18" s="23" t="s">
        <v>19</v>
      </c>
      <c r="O18" s="30"/>
      <c r="P18" s="31"/>
      <c r="Q18" s="31"/>
      <c r="R18" s="30"/>
      <c r="S18" s="31"/>
      <c r="T18" s="31"/>
      <c r="U18" s="30"/>
      <c r="V18" s="31"/>
      <c r="W18" s="30"/>
      <c r="X18" s="31"/>
      <c r="Y18" s="30"/>
      <c r="Z18" s="31"/>
      <c r="AA18" s="30"/>
      <c r="AB18" s="31"/>
    </row>
    <row r="19" spans="2:28" x14ac:dyDescent="0.25">
      <c r="B19" s="25" t="s">
        <v>7</v>
      </c>
      <c r="C19" s="26"/>
      <c r="D19" s="27"/>
      <c r="E19" s="26"/>
      <c r="F19" s="26"/>
      <c r="G19" s="26"/>
      <c r="H19" s="27"/>
      <c r="I19" s="26"/>
      <c r="J19" s="26"/>
      <c r="K19" s="32"/>
      <c r="L19" s="27"/>
      <c r="M19" s="32"/>
      <c r="N19" s="32"/>
    </row>
    <row r="20" spans="2:28" x14ac:dyDescent="0.25">
      <c r="B20" s="25" t="s">
        <v>8</v>
      </c>
      <c r="C20" s="26"/>
      <c r="D20" s="27"/>
      <c r="E20" s="26"/>
      <c r="F20" s="26"/>
      <c r="G20" s="26"/>
      <c r="H20" s="27"/>
      <c r="I20" s="26"/>
      <c r="J20" s="26"/>
      <c r="K20" s="32"/>
      <c r="L20" s="27"/>
      <c r="M20" s="32"/>
      <c r="N20" s="32"/>
    </row>
    <row r="21" spans="2:28" x14ac:dyDescent="0.25">
      <c r="B21" s="25" t="s">
        <v>40</v>
      </c>
      <c r="C21" s="26"/>
      <c r="D21" s="27"/>
      <c r="E21" s="26"/>
      <c r="F21" s="26"/>
      <c r="G21" s="26"/>
      <c r="H21" s="27"/>
      <c r="I21" s="26"/>
      <c r="J21" s="26"/>
      <c r="K21" s="32"/>
      <c r="L21" s="27"/>
      <c r="M21" s="32"/>
      <c r="N21" s="32"/>
    </row>
    <row r="22" spans="2:28" x14ac:dyDescent="0.25">
      <c r="B22" s="25" t="s">
        <v>9</v>
      </c>
      <c r="C22" s="26"/>
      <c r="D22" s="27"/>
      <c r="E22" s="26"/>
      <c r="F22" s="26"/>
      <c r="G22" s="26"/>
      <c r="H22" s="27"/>
      <c r="I22" s="26"/>
      <c r="J22" s="26"/>
      <c r="K22" s="32"/>
      <c r="L22" s="27"/>
      <c r="M22" s="32"/>
      <c r="N22" s="32"/>
    </row>
    <row r="23" spans="2:28" x14ac:dyDescent="0.25">
      <c r="B23" s="25" t="s">
        <v>10</v>
      </c>
      <c r="C23" s="26"/>
      <c r="D23" s="27"/>
      <c r="E23" s="26"/>
      <c r="F23" s="26"/>
      <c r="G23" s="26"/>
      <c r="H23" s="27"/>
      <c r="I23" s="26"/>
      <c r="J23" s="26"/>
      <c r="K23" s="32"/>
      <c r="L23" s="27"/>
      <c r="M23" s="32"/>
      <c r="N23" s="32"/>
    </row>
    <row r="24" spans="2:28" x14ac:dyDescent="0.25">
      <c r="B24" s="25" t="s">
        <v>11</v>
      </c>
      <c r="C24" s="26"/>
      <c r="D24" s="27"/>
      <c r="E24" s="26"/>
      <c r="F24" s="26"/>
      <c r="G24" s="26"/>
      <c r="H24" s="27"/>
      <c r="I24" s="26"/>
      <c r="J24" s="26"/>
      <c r="K24" s="32"/>
      <c r="L24" s="27"/>
      <c r="M24" s="32"/>
      <c r="N24" s="32"/>
    </row>
    <row r="25" spans="2:28" x14ac:dyDescent="0.25">
      <c r="B25" s="25" t="s">
        <v>12</v>
      </c>
      <c r="C25" s="26"/>
      <c r="D25" s="27"/>
      <c r="E25" s="26"/>
      <c r="F25" s="26"/>
      <c r="G25" s="26"/>
      <c r="H25" s="27"/>
      <c r="I25" s="26"/>
      <c r="J25" s="26"/>
      <c r="K25" s="32"/>
      <c r="L25" s="27"/>
      <c r="M25" s="32"/>
      <c r="N25" s="32"/>
    </row>
    <row r="26" spans="2:28" x14ac:dyDescent="0.25">
      <c r="B26" s="25" t="s">
        <v>13</v>
      </c>
      <c r="C26" s="26"/>
      <c r="D26" s="27"/>
      <c r="E26" s="26"/>
      <c r="F26" s="26"/>
      <c r="G26" s="26"/>
      <c r="H26" s="27"/>
      <c r="I26" s="26"/>
      <c r="J26" s="26"/>
      <c r="K26" s="32"/>
      <c r="L26" s="27"/>
      <c r="M26" s="32"/>
      <c r="N26" s="32"/>
    </row>
    <row r="27" spans="2:28" x14ac:dyDescent="0.25">
      <c r="B27" s="25" t="s">
        <v>14</v>
      </c>
      <c r="C27" s="26"/>
      <c r="D27" s="27"/>
      <c r="E27" s="26"/>
      <c r="F27" s="26"/>
      <c r="G27" s="26"/>
      <c r="H27" s="27"/>
      <c r="I27" s="26"/>
      <c r="J27" s="26"/>
      <c r="K27" s="32"/>
      <c r="L27" s="27"/>
      <c r="M27" s="32"/>
      <c r="N27" s="32"/>
    </row>
    <row r="28" spans="2:28" x14ac:dyDescent="0.25">
      <c r="B28" s="25" t="s">
        <v>15</v>
      </c>
      <c r="C28" s="28">
        <f>SUM(C19:C27)</f>
        <v>0</v>
      </c>
      <c r="D28" s="29">
        <f t="shared" ref="D28:J28" si="1">SUM(D19:D27)</f>
        <v>0</v>
      </c>
      <c r="E28" s="28">
        <f t="shared" si="1"/>
        <v>0</v>
      </c>
      <c r="F28" s="28">
        <f t="shared" si="1"/>
        <v>0</v>
      </c>
      <c r="G28" s="28">
        <f t="shared" si="1"/>
        <v>0</v>
      </c>
      <c r="H28" s="29">
        <f t="shared" si="1"/>
        <v>0</v>
      </c>
      <c r="I28" s="28">
        <f t="shared" si="1"/>
        <v>0</v>
      </c>
      <c r="J28" s="28">
        <f t="shared" si="1"/>
        <v>0</v>
      </c>
      <c r="K28" s="32">
        <f>SUM(K22:K27)</f>
        <v>0</v>
      </c>
      <c r="L28" s="33">
        <f>SUM(L19:L27)</f>
        <v>0</v>
      </c>
      <c r="M28" s="32">
        <f>SUM(M19:M27)</f>
        <v>0</v>
      </c>
      <c r="N28" s="32">
        <f>SUM(N19:N27)</f>
        <v>0</v>
      </c>
    </row>
    <row r="30" spans="2:28" x14ac:dyDescent="0.25">
      <c r="B30" s="66" t="s">
        <v>20</v>
      </c>
      <c r="C30" s="67" t="s">
        <v>44</v>
      </c>
      <c r="D30" s="67"/>
      <c r="E30" s="67"/>
      <c r="F30" s="68"/>
      <c r="G30" s="69" t="s">
        <v>45</v>
      </c>
      <c r="H30" s="67"/>
      <c r="I30" s="67"/>
      <c r="J30" s="67"/>
      <c r="K30" s="69" t="s">
        <v>46</v>
      </c>
      <c r="L30" s="67"/>
      <c r="M30" s="67"/>
      <c r="N30" s="67"/>
      <c r="O30" s="30"/>
      <c r="P30" s="31"/>
      <c r="Q30" s="31"/>
      <c r="R30" s="30"/>
      <c r="S30" s="31"/>
      <c r="T30" s="31"/>
      <c r="U30" s="30"/>
      <c r="V30" s="31"/>
      <c r="W30" s="30"/>
      <c r="X30" s="31"/>
      <c r="Y30" s="30"/>
      <c r="Z30" s="31"/>
      <c r="AA30" s="30"/>
      <c r="AB30" s="31"/>
    </row>
    <row r="31" spans="2:28" x14ac:dyDescent="0.25">
      <c r="B31" s="66"/>
      <c r="C31" s="20" t="s">
        <v>16</v>
      </c>
      <c r="D31" s="21" t="s">
        <v>17</v>
      </c>
      <c r="E31" s="22" t="s">
        <v>18</v>
      </c>
      <c r="F31" s="23" t="s">
        <v>19</v>
      </c>
      <c r="G31" s="20" t="s">
        <v>16</v>
      </c>
      <c r="H31" s="21" t="s">
        <v>17</v>
      </c>
      <c r="I31" s="22" t="s">
        <v>18</v>
      </c>
      <c r="J31" s="23" t="s">
        <v>19</v>
      </c>
      <c r="K31" s="20" t="s">
        <v>16</v>
      </c>
      <c r="L31" s="21" t="s">
        <v>17</v>
      </c>
      <c r="M31" s="22" t="s">
        <v>18</v>
      </c>
      <c r="N31" s="23" t="s">
        <v>19</v>
      </c>
      <c r="O31" s="30"/>
      <c r="P31" s="31"/>
      <c r="Q31" s="31"/>
      <c r="R31" s="30"/>
      <c r="S31" s="31"/>
      <c r="T31" s="31"/>
      <c r="U31" s="30"/>
      <c r="V31" s="31"/>
      <c r="W31" s="30"/>
      <c r="X31" s="31"/>
      <c r="Y31" s="30"/>
      <c r="Z31" s="31"/>
      <c r="AA31" s="30"/>
      <c r="AB31" s="31"/>
    </row>
    <row r="32" spans="2:28" x14ac:dyDescent="0.25">
      <c r="B32" s="25" t="s">
        <v>7</v>
      </c>
      <c r="C32" s="32"/>
      <c r="D32" s="27"/>
      <c r="E32" s="32"/>
      <c r="F32" s="32"/>
      <c r="G32" s="26"/>
      <c r="H32" s="27"/>
      <c r="I32" s="26"/>
      <c r="J32" s="26"/>
      <c r="K32" s="26"/>
      <c r="L32" s="27"/>
      <c r="M32" s="26"/>
      <c r="N32" s="26"/>
    </row>
    <row r="33" spans="2:28" x14ac:dyDescent="0.25">
      <c r="B33" s="25" t="s">
        <v>8</v>
      </c>
      <c r="C33" s="32"/>
      <c r="D33" s="27"/>
      <c r="E33" s="32"/>
      <c r="F33" s="32"/>
      <c r="G33" s="26"/>
      <c r="H33" s="27"/>
      <c r="I33" s="26"/>
      <c r="J33" s="26"/>
      <c r="K33" s="26"/>
      <c r="L33" s="27"/>
      <c r="M33" s="26"/>
      <c r="N33" s="26"/>
    </row>
    <row r="34" spans="2:28" x14ac:dyDescent="0.25">
      <c r="B34" s="25" t="s">
        <v>40</v>
      </c>
      <c r="C34" s="32"/>
      <c r="D34" s="27"/>
      <c r="E34" s="32"/>
      <c r="F34" s="32"/>
      <c r="G34" s="26"/>
      <c r="H34" s="27"/>
      <c r="I34" s="26"/>
      <c r="J34" s="26"/>
      <c r="K34" s="26"/>
      <c r="L34" s="27"/>
      <c r="M34" s="26"/>
      <c r="N34" s="26"/>
    </row>
    <row r="35" spans="2:28" x14ac:dyDescent="0.25">
      <c r="B35" s="25" t="s">
        <v>9</v>
      </c>
      <c r="C35" s="32"/>
      <c r="D35" s="27"/>
      <c r="E35" s="32"/>
      <c r="F35" s="32"/>
      <c r="G35" s="26"/>
      <c r="H35" s="27"/>
      <c r="I35" s="26"/>
      <c r="J35" s="26"/>
      <c r="K35" s="26"/>
      <c r="L35" s="27"/>
      <c r="M35" s="26"/>
      <c r="N35" s="26"/>
    </row>
    <row r="36" spans="2:28" x14ac:dyDescent="0.25">
      <c r="B36" s="25" t="s">
        <v>10</v>
      </c>
      <c r="C36" s="32"/>
      <c r="D36" s="27"/>
      <c r="E36" s="32"/>
      <c r="F36" s="32"/>
      <c r="G36" s="26"/>
      <c r="H36" s="27"/>
      <c r="I36" s="26"/>
      <c r="J36" s="26"/>
      <c r="K36" s="26"/>
      <c r="L36" s="27"/>
      <c r="M36" s="26"/>
      <c r="N36" s="26"/>
    </row>
    <row r="37" spans="2:28" x14ac:dyDescent="0.25">
      <c r="B37" s="25" t="s">
        <v>12</v>
      </c>
      <c r="C37" s="32"/>
      <c r="D37" s="27"/>
      <c r="E37" s="32"/>
      <c r="F37" s="32"/>
      <c r="G37" s="26"/>
      <c r="H37" s="27"/>
      <c r="I37" s="26"/>
      <c r="J37" s="26"/>
      <c r="K37" s="26"/>
      <c r="L37" s="27"/>
      <c r="M37" s="26"/>
      <c r="N37" s="26"/>
    </row>
    <row r="38" spans="2:28" x14ac:dyDescent="0.25">
      <c r="B38" s="25" t="s">
        <v>13</v>
      </c>
      <c r="C38" s="32"/>
      <c r="D38" s="27"/>
      <c r="E38" s="32"/>
      <c r="F38" s="32"/>
      <c r="G38" s="26"/>
      <c r="H38" s="27"/>
      <c r="I38" s="26"/>
      <c r="J38" s="26"/>
      <c r="K38" s="26"/>
      <c r="L38" s="27"/>
      <c r="M38" s="26"/>
      <c r="N38" s="26"/>
    </row>
    <row r="39" spans="2:28" x14ac:dyDescent="0.25">
      <c r="B39" s="25" t="s">
        <v>14</v>
      </c>
      <c r="C39" s="32"/>
      <c r="D39" s="27"/>
      <c r="E39" s="32"/>
      <c r="F39" s="32"/>
      <c r="G39" s="26"/>
      <c r="H39" s="27"/>
      <c r="I39" s="26"/>
      <c r="J39" s="26"/>
      <c r="K39" s="26"/>
      <c r="L39" s="27"/>
      <c r="M39" s="26"/>
      <c r="N39" s="26"/>
    </row>
    <row r="40" spans="2:28" x14ac:dyDescent="0.25">
      <c r="B40" s="25" t="s">
        <v>11</v>
      </c>
      <c r="C40" s="32"/>
      <c r="D40" s="27"/>
      <c r="E40" s="32"/>
      <c r="F40" s="32"/>
      <c r="G40" s="26"/>
      <c r="H40" s="27"/>
      <c r="I40" s="26"/>
      <c r="J40" s="26"/>
      <c r="K40" s="26"/>
      <c r="L40" s="27"/>
      <c r="M40" s="26"/>
      <c r="N40" s="26"/>
    </row>
    <row r="41" spans="2:28" x14ac:dyDescent="0.25">
      <c r="B41" s="25" t="s">
        <v>15</v>
      </c>
      <c r="C41" s="28">
        <f>SUM(C32:C40)</f>
        <v>0</v>
      </c>
      <c r="D41" s="29">
        <f t="shared" ref="D41:N41" si="2">SUM(D32:D40)</f>
        <v>0</v>
      </c>
      <c r="E41" s="28">
        <f t="shared" si="2"/>
        <v>0</v>
      </c>
      <c r="F41" s="28">
        <f t="shared" si="2"/>
        <v>0</v>
      </c>
      <c r="G41" s="28">
        <f t="shared" si="2"/>
        <v>0</v>
      </c>
      <c r="H41" s="29">
        <f t="shared" si="2"/>
        <v>0</v>
      </c>
      <c r="I41" s="28">
        <f t="shared" si="2"/>
        <v>0</v>
      </c>
      <c r="J41" s="28">
        <f t="shared" si="2"/>
        <v>0</v>
      </c>
      <c r="K41" s="28">
        <f t="shared" si="2"/>
        <v>0</v>
      </c>
      <c r="L41" s="29">
        <f t="shared" si="2"/>
        <v>0</v>
      </c>
      <c r="M41" s="28">
        <f t="shared" si="2"/>
        <v>0</v>
      </c>
      <c r="N41" s="28">
        <f t="shared" si="2"/>
        <v>0</v>
      </c>
    </row>
    <row r="43" spans="2:28" x14ac:dyDescent="0.25">
      <c r="B43" s="66" t="s">
        <v>20</v>
      </c>
      <c r="C43" s="67" t="s">
        <v>47</v>
      </c>
      <c r="D43" s="67"/>
      <c r="E43" s="67"/>
      <c r="F43" s="68"/>
      <c r="G43" s="69" t="s">
        <v>48</v>
      </c>
      <c r="H43" s="67"/>
      <c r="I43" s="67"/>
      <c r="J43" s="67"/>
      <c r="K43" s="69" t="s">
        <v>49</v>
      </c>
      <c r="L43" s="67"/>
      <c r="M43" s="67"/>
      <c r="N43" s="67"/>
      <c r="O43" s="30"/>
      <c r="P43" s="31"/>
      <c r="Q43" s="31"/>
      <c r="R43" s="30"/>
      <c r="S43" s="31"/>
      <c r="T43" s="31"/>
      <c r="U43" s="30"/>
      <c r="V43" s="31"/>
      <c r="W43" s="30"/>
      <c r="X43" s="31"/>
      <c r="Y43" s="30"/>
      <c r="Z43" s="31"/>
      <c r="AA43" s="30"/>
      <c r="AB43" s="31"/>
    </row>
    <row r="44" spans="2:28" x14ac:dyDescent="0.25">
      <c r="B44" s="66"/>
      <c r="C44" s="20" t="s">
        <v>16</v>
      </c>
      <c r="D44" s="21" t="s">
        <v>17</v>
      </c>
      <c r="E44" s="22" t="s">
        <v>18</v>
      </c>
      <c r="F44" s="23" t="s">
        <v>19</v>
      </c>
      <c r="G44" s="20" t="s">
        <v>16</v>
      </c>
      <c r="H44" s="21" t="s">
        <v>17</v>
      </c>
      <c r="I44" s="22" t="s">
        <v>18</v>
      </c>
      <c r="J44" s="23" t="s">
        <v>19</v>
      </c>
      <c r="K44" s="20" t="s">
        <v>16</v>
      </c>
      <c r="L44" s="21" t="s">
        <v>17</v>
      </c>
      <c r="M44" s="22" t="s">
        <v>18</v>
      </c>
      <c r="N44" s="23" t="s">
        <v>19</v>
      </c>
      <c r="O44" s="30"/>
      <c r="P44" s="31"/>
      <c r="Q44" s="31"/>
      <c r="R44" s="30"/>
      <c r="S44" s="31"/>
      <c r="T44" s="31"/>
      <c r="U44" s="30"/>
      <c r="V44" s="31"/>
      <c r="W44" s="30"/>
      <c r="X44" s="31"/>
      <c r="Y44" s="30"/>
      <c r="Z44" s="31"/>
      <c r="AA44" s="30"/>
      <c r="AB44" s="31"/>
    </row>
    <row r="45" spans="2:28" x14ac:dyDescent="0.25">
      <c r="B45" s="25" t="s">
        <v>7</v>
      </c>
      <c r="C45" s="26"/>
      <c r="D45" s="27"/>
      <c r="E45" s="26"/>
      <c r="F45" s="26"/>
      <c r="G45" s="26"/>
      <c r="H45" s="27"/>
      <c r="I45" s="26"/>
      <c r="J45" s="26"/>
      <c r="K45" s="26"/>
      <c r="L45" s="27"/>
      <c r="M45" s="26"/>
      <c r="N45" s="26"/>
    </row>
    <row r="46" spans="2:28" x14ac:dyDescent="0.25">
      <c r="B46" s="25" t="s">
        <v>8</v>
      </c>
      <c r="C46" s="26"/>
      <c r="D46" s="27"/>
      <c r="E46" s="26"/>
      <c r="F46" s="26"/>
      <c r="G46" s="26"/>
      <c r="H46" s="27"/>
      <c r="I46" s="26"/>
      <c r="J46" s="26"/>
      <c r="K46" s="26"/>
      <c r="L46" s="27"/>
      <c r="M46" s="26"/>
      <c r="N46" s="26"/>
    </row>
    <row r="47" spans="2:28" x14ac:dyDescent="0.25">
      <c r="B47" s="25" t="s">
        <v>40</v>
      </c>
      <c r="C47" s="26"/>
      <c r="D47" s="27"/>
      <c r="E47" s="26"/>
      <c r="F47" s="26"/>
      <c r="G47" s="26"/>
      <c r="H47" s="27"/>
      <c r="I47" s="26"/>
      <c r="J47" s="26"/>
      <c r="K47" s="26"/>
      <c r="L47" s="27"/>
      <c r="M47" s="26"/>
      <c r="N47" s="26"/>
    </row>
    <row r="48" spans="2:28" x14ac:dyDescent="0.25">
      <c r="B48" s="25" t="s">
        <v>9</v>
      </c>
      <c r="C48" s="26"/>
      <c r="D48" s="27"/>
      <c r="E48" s="26"/>
      <c r="F48" s="26"/>
      <c r="G48" s="26"/>
      <c r="H48" s="27"/>
      <c r="I48" s="26"/>
      <c r="J48" s="26"/>
      <c r="K48" s="26"/>
      <c r="L48" s="27"/>
      <c r="M48" s="26"/>
      <c r="N48" s="26"/>
    </row>
    <row r="49" spans="2:14" x14ac:dyDescent="0.25">
      <c r="B49" s="25" t="s">
        <v>10</v>
      </c>
      <c r="C49" s="26"/>
      <c r="D49" s="27"/>
      <c r="E49" s="26"/>
      <c r="F49" s="26"/>
      <c r="G49" s="26"/>
      <c r="H49" s="27"/>
      <c r="I49" s="26"/>
      <c r="J49" s="26"/>
      <c r="K49" s="26"/>
      <c r="L49" s="27"/>
      <c r="M49" s="26"/>
      <c r="N49" s="26"/>
    </row>
    <row r="50" spans="2:14" x14ac:dyDescent="0.25">
      <c r="B50" s="25" t="s">
        <v>12</v>
      </c>
      <c r="C50" s="26"/>
      <c r="D50" s="27"/>
      <c r="E50" s="26"/>
      <c r="F50" s="26"/>
      <c r="G50" s="26"/>
      <c r="H50" s="27"/>
      <c r="I50" s="26"/>
      <c r="J50" s="26"/>
      <c r="K50" s="26"/>
      <c r="L50" s="27"/>
      <c r="M50" s="26"/>
      <c r="N50" s="26"/>
    </row>
    <row r="51" spans="2:14" x14ac:dyDescent="0.25">
      <c r="B51" s="25" t="s">
        <v>13</v>
      </c>
      <c r="C51" s="26"/>
      <c r="D51" s="27"/>
      <c r="E51" s="26"/>
      <c r="F51" s="26"/>
      <c r="G51" s="26"/>
      <c r="H51" s="27"/>
      <c r="I51" s="26"/>
      <c r="J51" s="26"/>
      <c r="K51" s="26"/>
      <c r="L51" s="27"/>
      <c r="M51" s="26"/>
      <c r="N51" s="26"/>
    </row>
    <row r="52" spans="2:14" x14ac:dyDescent="0.25">
      <c r="B52" s="25" t="s">
        <v>14</v>
      </c>
      <c r="C52" s="26"/>
      <c r="D52" s="27"/>
      <c r="E52" s="26"/>
      <c r="F52" s="26"/>
      <c r="G52" s="26"/>
      <c r="H52" s="27"/>
      <c r="I52" s="26"/>
      <c r="J52" s="26"/>
      <c r="K52" s="26"/>
      <c r="L52" s="27"/>
      <c r="M52" s="26"/>
      <c r="N52" s="26"/>
    </row>
    <row r="53" spans="2:14" x14ac:dyDescent="0.25">
      <c r="B53" s="25" t="s">
        <v>11</v>
      </c>
      <c r="C53" s="26"/>
      <c r="D53" s="27"/>
      <c r="E53" s="26"/>
      <c r="F53" s="26"/>
      <c r="G53" s="26"/>
      <c r="H53" s="27"/>
      <c r="I53" s="26"/>
      <c r="J53" s="26"/>
      <c r="K53" s="26"/>
      <c r="L53" s="27"/>
      <c r="M53" s="26"/>
      <c r="N53" s="26"/>
    </row>
    <row r="54" spans="2:14" x14ac:dyDescent="0.25">
      <c r="B54" s="25" t="s">
        <v>15</v>
      </c>
      <c r="C54" s="28">
        <f>SUM(C45:C53)</f>
        <v>0</v>
      </c>
      <c r="D54" s="29">
        <f t="shared" ref="D54:N54" si="3">SUM(D45:D53)</f>
        <v>0</v>
      </c>
      <c r="E54" s="28">
        <f t="shared" si="3"/>
        <v>0</v>
      </c>
      <c r="F54" s="28">
        <f t="shared" si="3"/>
        <v>0</v>
      </c>
      <c r="G54" s="28">
        <f t="shared" si="3"/>
        <v>0</v>
      </c>
      <c r="H54" s="29">
        <f t="shared" si="3"/>
        <v>0</v>
      </c>
      <c r="I54" s="28">
        <f t="shared" si="3"/>
        <v>0</v>
      </c>
      <c r="J54" s="28">
        <f t="shared" si="3"/>
        <v>0</v>
      </c>
      <c r="K54" s="28">
        <f t="shared" si="3"/>
        <v>0</v>
      </c>
      <c r="L54" s="29">
        <f t="shared" si="3"/>
        <v>0</v>
      </c>
      <c r="M54" s="28">
        <f t="shared" si="3"/>
        <v>0</v>
      </c>
      <c r="N54" s="28">
        <f t="shared" si="3"/>
        <v>0</v>
      </c>
    </row>
  </sheetData>
  <mergeCells count="17">
    <mergeCell ref="B30:B31"/>
    <mergeCell ref="C30:F30"/>
    <mergeCell ref="G30:J30"/>
    <mergeCell ref="K30:N30"/>
    <mergeCell ref="B43:B44"/>
    <mergeCell ref="C43:F43"/>
    <mergeCell ref="G43:J43"/>
    <mergeCell ref="K43:N43"/>
    <mergeCell ref="B17:B18"/>
    <mergeCell ref="C17:F17"/>
    <mergeCell ref="G17:J17"/>
    <mergeCell ref="K17:N17"/>
    <mergeCell ref="B2:N2"/>
    <mergeCell ref="B4:B5"/>
    <mergeCell ref="C4:F4"/>
    <mergeCell ref="G4:J4"/>
    <mergeCell ref="K4:N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DDE2C-AB0F-4D65-8828-21E699C3A0F6}">
  <sheetPr codeName="Sheet4">
    <tabColor rgb="FFFFC000"/>
  </sheetPr>
  <dimension ref="A1:A4"/>
  <sheetViews>
    <sheetView workbookViewId="0">
      <selection activeCell="D40" sqref="D40"/>
    </sheetView>
  </sheetViews>
  <sheetFormatPr defaultRowHeight="15" x14ac:dyDescent="0.25"/>
  <cols>
    <col min="1" max="1" width="54.85546875" bestFit="1" customWidth="1"/>
  </cols>
  <sheetData>
    <row r="1" spans="1:1" x14ac:dyDescent="0.25">
      <c r="A1" s="15" t="s">
        <v>28</v>
      </c>
    </row>
    <row r="2" spans="1:1" x14ac:dyDescent="0.25">
      <c r="A2" s="16" t="s">
        <v>29</v>
      </c>
    </row>
    <row r="3" spans="1:1" x14ac:dyDescent="0.25">
      <c r="A3" s="17" t="s">
        <v>30</v>
      </c>
    </row>
    <row r="4" spans="1:1" x14ac:dyDescent="0.25">
      <c r="A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I20"/>
  <sheetViews>
    <sheetView showGridLines="0" tabSelected="1" zoomScale="85" zoomScaleNormal="85" workbookViewId="0"/>
  </sheetViews>
  <sheetFormatPr defaultRowHeight="15" x14ac:dyDescent="0.25"/>
  <cols>
    <col min="1" max="1" width="5.85546875" customWidth="1"/>
    <col min="2" max="2" width="19.5703125" customWidth="1"/>
    <col min="3" max="3" width="56.5703125" customWidth="1"/>
    <col min="4" max="4" width="4.7109375" style="7" customWidth="1"/>
    <col min="5" max="5" width="3" customWidth="1"/>
    <col min="6" max="6" width="34.28515625" customWidth="1"/>
    <col min="7" max="7" width="33.7109375" customWidth="1"/>
    <col min="8" max="8" width="10.42578125" bestFit="1" customWidth="1"/>
    <col min="9" max="9" width="23.42578125" customWidth="1"/>
  </cols>
  <sheetData>
    <row r="1" spans="1:9" ht="12" customHeight="1" x14ac:dyDescent="0.25">
      <c r="C1" s="74" t="s">
        <v>3</v>
      </c>
      <c r="D1" s="74"/>
      <c r="E1" s="74"/>
      <c r="F1" s="74"/>
      <c r="G1" s="74"/>
      <c r="H1" s="74"/>
    </row>
    <row r="2" spans="1:9" ht="26.25" customHeight="1" x14ac:dyDescent="0.25">
      <c r="C2" s="75" t="s">
        <v>4</v>
      </c>
      <c r="D2" s="75"/>
      <c r="E2" s="75"/>
      <c r="F2" s="75"/>
      <c r="G2" s="75"/>
      <c r="H2" s="75"/>
    </row>
    <row r="3" spans="1:9" ht="12" customHeight="1" x14ac:dyDescent="0.25">
      <c r="C3" s="75"/>
      <c r="D3" s="75"/>
      <c r="E3" s="75"/>
      <c r="F3" s="75"/>
      <c r="G3" s="75"/>
      <c r="H3" s="75"/>
    </row>
    <row r="4" spans="1:9" ht="12" customHeight="1" x14ac:dyDescent="0.25">
      <c r="C4" s="75"/>
      <c r="D4" s="75"/>
      <c r="E4" s="75"/>
      <c r="F4" s="75"/>
      <c r="G4" s="75"/>
      <c r="H4" s="75"/>
    </row>
    <row r="5" spans="1:9" ht="18" customHeight="1" x14ac:dyDescent="0.25">
      <c r="B5" s="1"/>
      <c r="C5" s="75"/>
      <c r="D5" s="75"/>
      <c r="E5" s="75"/>
      <c r="F5" s="75"/>
      <c r="G5" s="75"/>
      <c r="H5" s="75"/>
    </row>
    <row r="6" spans="1:9" ht="3" customHeight="1" x14ac:dyDescent="0.25">
      <c r="A6" s="3"/>
      <c r="B6" s="4"/>
      <c r="C6" s="75"/>
      <c r="D6" s="75"/>
      <c r="E6" s="75"/>
      <c r="F6" s="75"/>
      <c r="G6" s="75"/>
      <c r="H6" s="75"/>
      <c r="I6" s="5"/>
    </row>
    <row r="7" spans="1:9" ht="14.1" customHeight="1" x14ac:dyDescent="0.25">
      <c r="B7" s="2"/>
      <c r="C7" s="75"/>
      <c r="D7" s="75"/>
      <c r="E7" s="75"/>
      <c r="F7" s="75"/>
      <c r="G7" s="75"/>
      <c r="H7" s="75"/>
    </row>
    <row r="8" spans="1:9" ht="12" customHeight="1" x14ac:dyDescent="0.25">
      <c r="C8" s="75"/>
      <c r="D8" s="75"/>
      <c r="E8" s="75"/>
      <c r="F8" s="75"/>
      <c r="G8" s="75"/>
      <c r="H8" s="75"/>
    </row>
    <row r="9" spans="1:9" ht="6.75" customHeight="1" x14ac:dyDescent="0.25">
      <c r="A9" s="73"/>
      <c r="B9" s="73"/>
      <c r="C9" s="75"/>
      <c r="D9" s="75"/>
      <c r="E9" s="75"/>
      <c r="F9" s="75"/>
      <c r="G9" s="75"/>
      <c r="H9" s="75"/>
    </row>
    <row r="10" spans="1:9" ht="24" customHeight="1" x14ac:dyDescent="0.25">
      <c r="A10" s="73"/>
      <c r="B10" s="73"/>
      <c r="C10" s="76" t="s">
        <v>57</v>
      </c>
      <c r="D10" s="76"/>
      <c r="E10" s="76"/>
      <c r="F10" s="76"/>
      <c r="G10" s="76"/>
      <c r="H10" s="76"/>
    </row>
    <row r="11" spans="1:9" ht="15.75" x14ac:dyDescent="0.25">
      <c r="C11" s="8" t="s">
        <v>1</v>
      </c>
      <c r="D11" s="18"/>
      <c r="E11" s="9" t="s">
        <v>2</v>
      </c>
      <c r="F11" s="10"/>
      <c r="G11" s="9" t="s">
        <v>33</v>
      </c>
      <c r="H11" s="9" t="s">
        <v>36</v>
      </c>
    </row>
    <row r="12" spans="1:9" ht="20.100000000000001" customHeight="1" x14ac:dyDescent="0.25">
      <c r="C12" t="s">
        <v>5</v>
      </c>
      <c r="F12" s="6" t="str">
        <f>UPPER(TEXT(I12,"[$-409]mmmm"))</f>
        <v>AUGUST</v>
      </c>
      <c r="G12" t="str">
        <f ca="1">UPPER(TEXT(TODAY(),"yyyy"))</f>
        <v>2024</v>
      </c>
      <c r="H12" s="43" t="s">
        <v>54</v>
      </c>
      <c r="I12" s="44">
        <v>45526</v>
      </c>
    </row>
    <row r="13" spans="1:9" ht="20.100000000000001" customHeight="1" x14ac:dyDescent="0.25">
      <c r="C13" t="s">
        <v>35</v>
      </c>
      <c r="F13" t="s">
        <v>58</v>
      </c>
      <c r="G13" s="13" t="s">
        <v>0</v>
      </c>
      <c r="H13" s="42" t="s">
        <v>0</v>
      </c>
    </row>
    <row r="14" spans="1:9" ht="20.100000000000001" customHeight="1" x14ac:dyDescent="0.25">
      <c r="C14" t="s">
        <v>32</v>
      </c>
      <c r="F14" t="s">
        <v>55</v>
      </c>
      <c r="G14" s="19" t="s">
        <v>34</v>
      </c>
      <c r="H14" s="42" t="s">
        <v>0</v>
      </c>
    </row>
    <row r="15" spans="1:9" ht="20.100000000000001" customHeight="1" x14ac:dyDescent="0.25">
      <c r="C15" t="s">
        <v>52</v>
      </c>
      <c r="E15" s="11"/>
      <c r="F15" s="41" t="s">
        <v>56</v>
      </c>
      <c r="G15" s="7" t="str">
        <f ca="1">"Resume Income Factory Th " &amp;$G$12</f>
        <v>Resume Income Factory Th 2024</v>
      </c>
      <c r="H15" s="42" t="s">
        <v>6</v>
      </c>
    </row>
    <row r="16" spans="1:9" ht="20.100000000000001" customHeight="1" x14ac:dyDescent="0.25">
      <c r="C16" t="s">
        <v>53</v>
      </c>
      <c r="E16" s="11"/>
      <c r="F16" s="41" t="s">
        <v>56</v>
      </c>
      <c r="G16" s="7" t="str">
        <f ca="1">"Data Income per-factory Th " &amp;$G$12</f>
        <v>Data Income per-factory Th 2024</v>
      </c>
      <c r="H16" s="42" t="s">
        <v>6</v>
      </c>
    </row>
    <row r="17" spans="3:8" ht="20.100000000000001" customHeight="1" x14ac:dyDescent="0.25">
      <c r="C17" s="7"/>
      <c r="E17" s="7"/>
      <c r="F17" s="7"/>
      <c r="G17" s="14"/>
      <c r="H17" s="14"/>
    </row>
    <row r="18" spans="3:8" ht="1.5" customHeight="1" x14ac:dyDescent="0.25">
      <c r="C18" s="72"/>
      <c r="D18" s="72"/>
      <c r="E18" s="72"/>
      <c r="F18" s="72"/>
      <c r="G18" s="12"/>
      <c r="H18" s="12"/>
    </row>
    <row r="20" spans="3:8" x14ac:dyDescent="0.25">
      <c r="F20" t="s">
        <v>51</v>
      </c>
    </row>
  </sheetData>
  <mergeCells count="5">
    <mergeCell ref="C18:F18"/>
    <mergeCell ref="A9:B10"/>
    <mergeCell ref="C1:H1"/>
    <mergeCell ref="C2:H9"/>
    <mergeCell ref="C10:H10"/>
  </mergeCells>
  <hyperlinks>
    <hyperlink ref="G14" r:id="rId1" xr:uid="{1082CF8E-EAC0-4043-91F4-6734E2622CE3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52" r:id="rId5" name="cmd_CreateRPA">
          <controlPr defaultSize="0" autoLine="0" r:id="rId6">
            <anchor moveWithCells="1">
              <from>
                <xdr:col>2</xdr:col>
                <xdr:colOff>2276475</xdr:colOff>
                <xdr:row>3</xdr:row>
                <xdr:rowOff>19050</xdr:rowOff>
              </from>
              <to>
                <xdr:col>3</xdr:col>
                <xdr:colOff>38100</xdr:colOff>
                <xdr:row>5</xdr:row>
                <xdr:rowOff>9525</xdr:rowOff>
              </to>
            </anchor>
          </controlPr>
        </control>
      </mc:Choice>
      <mc:Fallback>
        <control shapeId="2052" r:id="rId5" name="cmd_CreateRPA"/>
      </mc:Fallback>
    </mc:AlternateContent>
    <mc:AlternateContent xmlns:mc="http://schemas.openxmlformats.org/markup-compatibility/2006">
      <mc:Choice Requires="x14">
        <control shapeId="2050" r:id="rId7" name="btn_Proses">
          <controlPr defaultSize="0" autoLine="0" autoPict="0" r:id="rId8">
            <anchor moveWithCells="1">
              <from>
                <xdr:col>5</xdr:col>
                <xdr:colOff>1362075</xdr:colOff>
                <xdr:row>2</xdr:row>
                <xdr:rowOff>152400</xdr:rowOff>
              </from>
              <to>
                <xdr:col>6</xdr:col>
                <xdr:colOff>533400</xdr:colOff>
                <xdr:row>4</xdr:row>
                <xdr:rowOff>209550</xdr:rowOff>
              </to>
            </anchor>
          </controlPr>
        </control>
      </mc:Choice>
      <mc:Fallback>
        <control shapeId="2050" r:id="rId7" name="btn_Prose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34A4A-34F9-4448-A068-CE9E927F1927}">
  <sheetPr codeName="Sheet16"/>
  <dimension ref="A1:B3"/>
  <sheetViews>
    <sheetView workbookViewId="0"/>
  </sheetViews>
  <sheetFormatPr defaultRowHeight="15" x14ac:dyDescent="0.25"/>
  <cols>
    <col min="1" max="1" width="12.140625" bestFit="1" customWidth="1"/>
    <col min="2" max="2" width="131.140625" bestFit="1" customWidth="1"/>
  </cols>
  <sheetData>
    <row r="1" spans="1:2" x14ac:dyDescent="0.25">
      <c r="A1" t="s">
        <v>514</v>
      </c>
      <c r="B1" t="s">
        <v>515</v>
      </c>
    </row>
    <row r="2" spans="1:2" x14ac:dyDescent="0.25">
      <c r="A2" t="s">
        <v>516</v>
      </c>
      <c r="B2" t="s">
        <v>517</v>
      </c>
    </row>
    <row r="3" spans="1:2" x14ac:dyDescent="0.25">
      <c r="A3" t="s">
        <v>516</v>
      </c>
      <c r="B3" t="s">
        <v>518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1F2D9-B43A-4CA9-A95E-5D1ACC88ED6F}">
  <sheetPr codeName="Sheet11"/>
  <dimension ref="A1:P624"/>
  <sheetViews>
    <sheetView workbookViewId="0">
      <selection sqref="A1:J1"/>
    </sheetView>
  </sheetViews>
  <sheetFormatPr defaultRowHeight="15" x14ac:dyDescent="0.25"/>
  <cols>
    <col min="1" max="1" width="11.140625" bestFit="1" customWidth="1"/>
    <col min="2" max="2" width="43.5703125" bestFit="1" customWidth="1"/>
    <col min="3" max="3" width="4.7109375" style="45" bestFit="1" customWidth="1"/>
    <col min="4" max="4" width="7.42578125" bestFit="1" customWidth="1"/>
    <col min="5" max="5" width="28.85546875" bestFit="1" customWidth="1"/>
    <col min="6" max="6" width="12" bestFit="1" customWidth="1"/>
    <col min="7" max="7" width="11.140625" style="62" bestFit="1" customWidth="1"/>
    <col min="8" max="8" width="23.85546875" style="63" bestFit="1" customWidth="1"/>
    <col min="9" max="9" width="27.7109375" style="63" bestFit="1" customWidth="1"/>
    <col min="10" max="10" width="22.28515625" style="63" bestFit="1" customWidth="1"/>
    <col min="11" max="11" width="4.5703125" bestFit="1" customWidth="1"/>
    <col min="12" max="12" width="5" bestFit="1" customWidth="1"/>
    <col min="13" max="13" width="11.140625" style="46" bestFit="1" customWidth="1"/>
    <col min="14" max="14" width="11.5703125" style="46" bestFit="1" customWidth="1"/>
    <col min="15" max="15" width="10.42578125" style="46" bestFit="1" customWidth="1"/>
  </cols>
  <sheetData>
    <row r="1" spans="1:16" ht="23.25" x14ac:dyDescent="0.35">
      <c r="A1" s="71" t="s">
        <v>59</v>
      </c>
      <c r="B1" s="71"/>
      <c r="C1" s="71"/>
      <c r="D1" s="71"/>
      <c r="E1" s="71"/>
      <c r="F1" s="71"/>
      <c r="G1" s="71"/>
      <c r="H1" s="71"/>
      <c r="I1" s="71"/>
      <c r="J1" s="71"/>
    </row>
    <row r="4" spans="1:16" x14ac:dyDescent="0.25">
      <c r="A4" s="47" t="s">
        <v>60</v>
      </c>
      <c r="B4" s="47" t="s">
        <v>61</v>
      </c>
      <c r="C4" s="48" t="s">
        <v>62</v>
      </c>
      <c r="D4" s="47" t="s">
        <v>63</v>
      </c>
      <c r="E4" s="47" t="s">
        <v>64</v>
      </c>
      <c r="F4" s="47" t="s">
        <v>65</v>
      </c>
      <c r="G4" s="49" t="s">
        <v>66</v>
      </c>
      <c r="H4" s="50" t="s">
        <v>67</v>
      </c>
      <c r="I4" s="50" t="s">
        <v>68</v>
      </c>
      <c r="J4" s="50" t="s">
        <v>69</v>
      </c>
      <c r="K4" s="47" t="s">
        <v>70</v>
      </c>
      <c r="L4" s="47" t="s">
        <v>71</v>
      </c>
      <c r="M4" s="51" t="s">
        <v>72</v>
      </c>
      <c r="N4" s="51" t="s">
        <v>73</v>
      </c>
      <c r="O4" s="51" t="s">
        <v>74</v>
      </c>
      <c r="P4" s="6"/>
    </row>
    <row r="5" spans="1:16" x14ac:dyDescent="0.25">
      <c r="A5" s="52" t="s">
        <v>7</v>
      </c>
      <c r="B5" s="52" t="s">
        <v>75</v>
      </c>
      <c r="C5" s="53" t="s">
        <v>76</v>
      </c>
      <c r="D5" s="52" t="s">
        <v>77</v>
      </c>
      <c r="E5" s="52" t="s">
        <v>78</v>
      </c>
      <c r="F5" s="52">
        <v>3.28</v>
      </c>
      <c r="G5" s="54">
        <v>1300</v>
      </c>
      <c r="H5" s="55">
        <v>4264</v>
      </c>
      <c r="I5" s="55">
        <v>3843.8292592592593</v>
      </c>
      <c r="J5" s="55">
        <v>420.17074074074065</v>
      </c>
      <c r="K5" s="52"/>
      <c r="L5" s="52"/>
      <c r="M5" s="56">
        <f t="shared" ref="M5:N68" si="0">$G5*K5</f>
        <v>0</v>
      </c>
      <c r="N5" s="56">
        <f t="shared" si="0"/>
        <v>0</v>
      </c>
      <c r="O5" s="56">
        <f t="shared" ref="O5:O68" si="1">M5+N5</f>
        <v>0</v>
      </c>
      <c r="P5" s="6"/>
    </row>
    <row r="6" spans="1:16" x14ac:dyDescent="0.25">
      <c r="A6" s="52"/>
      <c r="B6" s="52"/>
      <c r="C6" s="53" t="s">
        <v>79</v>
      </c>
      <c r="D6" s="52" t="s">
        <v>77</v>
      </c>
      <c r="E6" s="52" t="s">
        <v>80</v>
      </c>
      <c r="F6" s="52">
        <v>3.09</v>
      </c>
      <c r="G6" s="54">
        <v>1005</v>
      </c>
      <c r="H6" s="55">
        <v>3105.4500000000003</v>
      </c>
      <c r="I6" s="55">
        <v>3904.0401986754969</v>
      </c>
      <c r="J6" s="55">
        <v>-798.59019867549659</v>
      </c>
      <c r="K6" s="52"/>
      <c r="L6" s="52"/>
      <c r="M6" s="56">
        <f t="shared" si="0"/>
        <v>0</v>
      </c>
      <c r="N6" s="56">
        <f t="shared" si="0"/>
        <v>0</v>
      </c>
      <c r="O6" s="56">
        <f t="shared" si="1"/>
        <v>0</v>
      </c>
      <c r="P6" s="6"/>
    </row>
    <row r="7" spans="1:16" s="6" customFormat="1" x14ac:dyDescent="0.25">
      <c r="A7" s="57"/>
      <c r="B7" s="57" t="s">
        <v>81</v>
      </c>
      <c r="C7" s="58"/>
      <c r="D7" s="57"/>
      <c r="E7" s="57"/>
      <c r="F7" s="57"/>
      <c r="G7" s="59">
        <v>2305</v>
      </c>
      <c r="H7" s="60">
        <v>7369.45</v>
      </c>
      <c r="I7" s="60">
        <v>7747.8694579347557</v>
      </c>
      <c r="J7" s="60">
        <v>-378.41945793475588</v>
      </c>
      <c r="K7" s="57"/>
      <c r="L7" s="57"/>
      <c r="M7" s="61"/>
      <c r="N7" s="61"/>
      <c r="O7" s="61">
        <f>SUM(O5:O6)</f>
        <v>0</v>
      </c>
    </row>
    <row r="8" spans="1:16" x14ac:dyDescent="0.25">
      <c r="A8" s="52"/>
      <c r="B8" s="52" t="s">
        <v>82</v>
      </c>
      <c r="C8" s="53" t="s">
        <v>76</v>
      </c>
      <c r="D8" s="52" t="s">
        <v>83</v>
      </c>
      <c r="E8" s="52" t="s">
        <v>84</v>
      </c>
      <c r="F8" s="52">
        <v>3.4500000000000015</v>
      </c>
      <c r="G8" s="54">
        <v>4063</v>
      </c>
      <c r="H8" s="55">
        <v>14017.35</v>
      </c>
      <c r="I8" s="55">
        <v>12986.858532948532</v>
      </c>
      <c r="J8" s="55">
        <v>1030.491467051467</v>
      </c>
      <c r="K8" s="52"/>
      <c r="L8" s="52"/>
      <c r="M8" s="56">
        <f t="shared" si="0"/>
        <v>0</v>
      </c>
      <c r="N8" s="56">
        <f t="shared" si="0"/>
        <v>0</v>
      </c>
      <c r="O8" s="56">
        <f t="shared" si="1"/>
        <v>0</v>
      </c>
      <c r="P8" s="6"/>
    </row>
    <row r="9" spans="1:16" x14ac:dyDescent="0.25">
      <c r="A9" s="52"/>
      <c r="B9" s="52"/>
      <c r="C9" s="53"/>
      <c r="D9" s="52"/>
      <c r="E9" s="52" t="s">
        <v>85</v>
      </c>
      <c r="F9" s="52">
        <v>3.8</v>
      </c>
      <c r="G9" s="54">
        <v>55</v>
      </c>
      <c r="H9" s="55">
        <v>209</v>
      </c>
      <c r="I9" s="55">
        <v>171.5922077922078</v>
      </c>
      <c r="J9" s="55">
        <v>37.40779220779222</v>
      </c>
      <c r="K9" s="52"/>
      <c r="L9" s="52"/>
      <c r="M9" s="56">
        <f t="shared" si="0"/>
        <v>0</v>
      </c>
      <c r="N9" s="56">
        <f t="shared" si="0"/>
        <v>0</v>
      </c>
      <c r="O9" s="56">
        <f t="shared" si="1"/>
        <v>0</v>
      </c>
      <c r="P9" s="6"/>
    </row>
    <row r="10" spans="1:16" x14ac:dyDescent="0.25">
      <c r="A10" s="52"/>
      <c r="B10" s="52"/>
      <c r="C10" s="53" t="s">
        <v>86</v>
      </c>
      <c r="D10" s="52" t="s">
        <v>83</v>
      </c>
      <c r="E10" s="52" t="s">
        <v>87</v>
      </c>
      <c r="F10" s="52">
        <v>4.7</v>
      </c>
      <c r="G10" s="54">
        <v>1055</v>
      </c>
      <c r="H10" s="55">
        <v>4958.5</v>
      </c>
      <c r="I10" s="55">
        <v>4394.9150101750101</v>
      </c>
      <c r="J10" s="55">
        <v>563.58498982498975</v>
      </c>
      <c r="K10" s="52"/>
      <c r="L10" s="52"/>
      <c r="M10" s="56">
        <f t="shared" si="0"/>
        <v>0</v>
      </c>
      <c r="N10" s="56">
        <f t="shared" si="0"/>
        <v>0</v>
      </c>
      <c r="O10" s="56">
        <f t="shared" si="1"/>
        <v>0</v>
      </c>
      <c r="P10" s="6"/>
    </row>
    <row r="11" spans="1:16" x14ac:dyDescent="0.25">
      <c r="A11" s="52"/>
      <c r="B11" s="52"/>
      <c r="C11" s="53"/>
      <c r="D11" s="52"/>
      <c r="E11" s="52" t="s">
        <v>88</v>
      </c>
      <c r="F11" s="52">
        <v>4.1500000000000004</v>
      </c>
      <c r="G11" s="54">
        <v>18</v>
      </c>
      <c r="H11" s="55">
        <v>74.7</v>
      </c>
      <c r="I11" s="55">
        <v>126.4819180819181</v>
      </c>
      <c r="J11" s="55">
        <v>-51.781918081918086</v>
      </c>
      <c r="K11" s="52"/>
      <c r="L11" s="52"/>
      <c r="M11" s="56">
        <f t="shared" si="0"/>
        <v>0</v>
      </c>
      <c r="N11" s="56">
        <f t="shared" si="0"/>
        <v>0</v>
      </c>
      <c r="O11" s="56">
        <f t="shared" si="1"/>
        <v>0</v>
      </c>
      <c r="P11" s="6"/>
    </row>
    <row r="12" spans="1:16" x14ac:dyDescent="0.25">
      <c r="A12" s="52"/>
      <c r="B12" s="52"/>
      <c r="C12" s="53"/>
      <c r="D12" s="52" t="s">
        <v>77</v>
      </c>
      <c r="E12" s="52" t="s">
        <v>89</v>
      </c>
      <c r="F12" s="52">
        <v>3.6</v>
      </c>
      <c r="G12" s="54">
        <v>36</v>
      </c>
      <c r="H12" s="55">
        <v>129.6</v>
      </c>
      <c r="I12" s="55">
        <v>111.92727272727272</v>
      </c>
      <c r="J12" s="55">
        <v>17.672727272727286</v>
      </c>
      <c r="K12" s="52"/>
      <c r="L12" s="52"/>
      <c r="M12" s="56">
        <f t="shared" si="0"/>
        <v>0</v>
      </c>
      <c r="N12" s="56">
        <f t="shared" si="0"/>
        <v>0</v>
      </c>
      <c r="O12" s="56">
        <f t="shared" si="1"/>
        <v>0</v>
      </c>
      <c r="P12" s="6"/>
    </row>
    <row r="13" spans="1:16" x14ac:dyDescent="0.25">
      <c r="A13" s="52"/>
      <c r="B13" s="52"/>
      <c r="C13" s="53"/>
      <c r="D13" s="52"/>
      <c r="E13" s="52" t="s">
        <v>90</v>
      </c>
      <c r="F13" s="52">
        <v>3.1999999999999997</v>
      </c>
      <c r="G13" s="54">
        <v>1717</v>
      </c>
      <c r="H13" s="55">
        <v>5494.4</v>
      </c>
      <c r="I13" s="55">
        <v>5393.6619528619531</v>
      </c>
      <c r="J13" s="55">
        <v>100.73804713804711</v>
      </c>
      <c r="K13" s="52"/>
      <c r="L13" s="52"/>
      <c r="M13" s="56">
        <f t="shared" si="0"/>
        <v>0</v>
      </c>
      <c r="N13" s="56">
        <f t="shared" si="0"/>
        <v>0</v>
      </c>
      <c r="O13" s="56">
        <f t="shared" si="1"/>
        <v>0</v>
      </c>
      <c r="P13" s="6"/>
    </row>
    <row r="14" spans="1:16" x14ac:dyDescent="0.25">
      <c r="A14" s="52"/>
      <c r="B14" s="52"/>
      <c r="C14" s="53" t="s">
        <v>79</v>
      </c>
      <c r="D14" s="52" t="s">
        <v>91</v>
      </c>
      <c r="E14" s="52" t="s">
        <v>92</v>
      </c>
      <c r="F14" s="52">
        <v>3.8799999999999994</v>
      </c>
      <c r="G14" s="54">
        <v>1400</v>
      </c>
      <c r="H14" s="55">
        <v>5432.0000000000009</v>
      </c>
      <c r="I14" s="55">
        <v>5135.6949232757224</v>
      </c>
      <c r="J14" s="55">
        <v>296.30507672427728</v>
      </c>
      <c r="K14" s="52"/>
      <c r="L14" s="52"/>
      <c r="M14" s="56">
        <f t="shared" si="0"/>
        <v>0</v>
      </c>
      <c r="N14" s="56">
        <f t="shared" si="0"/>
        <v>0</v>
      </c>
      <c r="O14" s="56">
        <f t="shared" si="1"/>
        <v>0</v>
      </c>
      <c r="P14" s="6"/>
    </row>
    <row r="15" spans="1:16" x14ac:dyDescent="0.25">
      <c r="A15" s="52"/>
      <c r="B15" s="52"/>
      <c r="C15" s="53"/>
      <c r="D15" s="52"/>
      <c r="E15" s="52" t="s">
        <v>93</v>
      </c>
      <c r="F15" s="52">
        <v>3.4</v>
      </c>
      <c r="G15" s="54">
        <v>385</v>
      </c>
      <c r="H15" s="55">
        <v>1309</v>
      </c>
      <c r="I15" s="55">
        <v>1254</v>
      </c>
      <c r="J15" s="55">
        <v>55</v>
      </c>
      <c r="K15" s="52"/>
      <c r="L15" s="52"/>
      <c r="M15" s="56">
        <f t="shared" si="0"/>
        <v>0</v>
      </c>
      <c r="N15" s="56">
        <f t="shared" si="0"/>
        <v>0</v>
      </c>
      <c r="O15" s="56">
        <f t="shared" si="1"/>
        <v>0</v>
      </c>
      <c r="P15" s="6"/>
    </row>
    <row r="16" spans="1:16" x14ac:dyDescent="0.25">
      <c r="A16" s="52"/>
      <c r="B16" s="52"/>
      <c r="C16" s="53"/>
      <c r="D16" s="52"/>
      <c r="E16" s="52" t="s">
        <v>94</v>
      </c>
      <c r="F16" s="52">
        <v>3.399999999999999</v>
      </c>
      <c r="G16" s="54">
        <v>2050</v>
      </c>
      <c r="H16" s="55">
        <v>6970</v>
      </c>
      <c r="I16" s="55">
        <v>6708.5448780487804</v>
      </c>
      <c r="J16" s="55">
        <v>261.4551219512195</v>
      </c>
      <c r="K16" s="52"/>
      <c r="L16" s="52"/>
      <c r="M16" s="56">
        <f t="shared" si="0"/>
        <v>0</v>
      </c>
      <c r="N16" s="56">
        <f t="shared" si="0"/>
        <v>0</v>
      </c>
      <c r="O16" s="56">
        <f t="shared" si="1"/>
        <v>0</v>
      </c>
      <c r="P16" s="6"/>
    </row>
    <row r="17" spans="1:16" s="6" customFormat="1" x14ac:dyDescent="0.25">
      <c r="A17" s="57"/>
      <c r="B17" s="57" t="s">
        <v>95</v>
      </c>
      <c r="C17" s="58"/>
      <c r="D17" s="57"/>
      <c r="E17" s="57"/>
      <c r="F17" s="57"/>
      <c r="G17" s="59">
        <v>10779</v>
      </c>
      <c r="H17" s="60">
        <v>38594.550000000003</v>
      </c>
      <c r="I17" s="60">
        <v>36283.676695911396</v>
      </c>
      <c r="J17" s="60">
        <v>2310.8733040886023</v>
      </c>
      <c r="K17" s="57"/>
      <c r="L17" s="57"/>
      <c r="M17" s="61"/>
      <c r="N17" s="61"/>
      <c r="O17" s="61">
        <f>SUM(O8:O16)</f>
        <v>0</v>
      </c>
    </row>
    <row r="18" spans="1:16" x14ac:dyDescent="0.25">
      <c r="A18" s="52"/>
      <c r="B18" s="52" t="s">
        <v>96</v>
      </c>
      <c r="C18" s="53" t="s">
        <v>86</v>
      </c>
      <c r="D18" s="52" t="s">
        <v>91</v>
      </c>
      <c r="E18" s="52" t="s">
        <v>97</v>
      </c>
      <c r="F18" s="52">
        <v>4</v>
      </c>
      <c r="G18" s="54">
        <v>2325</v>
      </c>
      <c r="H18" s="55">
        <v>9300</v>
      </c>
      <c r="I18" s="55">
        <v>6975.2938461538461</v>
      </c>
      <c r="J18" s="55">
        <v>2324.7061538461535</v>
      </c>
      <c r="K18" s="52"/>
      <c r="L18" s="52"/>
      <c r="M18" s="56">
        <f t="shared" si="0"/>
        <v>0</v>
      </c>
      <c r="N18" s="56">
        <f t="shared" si="0"/>
        <v>0</v>
      </c>
      <c r="O18" s="56">
        <f t="shared" si="1"/>
        <v>0</v>
      </c>
      <c r="P18" s="6"/>
    </row>
    <row r="19" spans="1:16" s="6" customFormat="1" x14ac:dyDescent="0.25">
      <c r="A19" s="57"/>
      <c r="B19" s="57" t="s">
        <v>98</v>
      </c>
      <c r="C19" s="58"/>
      <c r="D19" s="57"/>
      <c r="E19" s="57"/>
      <c r="F19" s="57"/>
      <c r="G19" s="59">
        <v>2325</v>
      </c>
      <c r="H19" s="60">
        <v>9300</v>
      </c>
      <c r="I19" s="60">
        <v>6975.2938461538461</v>
      </c>
      <c r="J19" s="60">
        <v>2324.7061538461535</v>
      </c>
      <c r="K19" s="57"/>
      <c r="L19" s="57"/>
      <c r="M19" s="61"/>
      <c r="N19" s="61"/>
      <c r="O19" s="61">
        <f>SUM(O18:O18)</f>
        <v>0</v>
      </c>
    </row>
    <row r="20" spans="1:16" s="6" customFormat="1" x14ac:dyDescent="0.25">
      <c r="A20" s="47" t="s">
        <v>99</v>
      </c>
      <c r="B20" s="47"/>
      <c r="C20" s="48"/>
      <c r="D20" s="47"/>
      <c r="E20" s="47"/>
      <c r="F20" s="47"/>
      <c r="G20" s="49">
        <v>15409</v>
      </c>
      <c r="H20" s="50">
        <v>55263.999999999993</v>
      </c>
      <c r="I20" s="50">
        <v>51006.84</v>
      </c>
      <c r="J20" s="50">
        <v>4257.16</v>
      </c>
      <c r="K20" s="47"/>
      <c r="L20" s="47"/>
      <c r="M20" s="51"/>
      <c r="N20" s="51"/>
      <c r="O20" s="51"/>
    </row>
    <row r="21" spans="1:16" x14ac:dyDescent="0.25">
      <c r="A21" s="52" t="s">
        <v>8</v>
      </c>
      <c r="B21" s="52" t="s">
        <v>75</v>
      </c>
      <c r="C21" s="53" t="s">
        <v>76</v>
      </c>
      <c r="D21" s="52" t="s">
        <v>77</v>
      </c>
      <c r="E21" s="52" t="s">
        <v>100</v>
      </c>
      <c r="F21" s="52">
        <v>2.1299999999999994</v>
      </c>
      <c r="G21" s="54">
        <v>1856</v>
      </c>
      <c r="H21" s="55">
        <v>3953.2800000000007</v>
      </c>
      <c r="I21" s="55">
        <v>3880</v>
      </c>
      <c r="J21" s="55">
        <v>73.279999999999973</v>
      </c>
      <c r="K21" s="52"/>
      <c r="L21" s="52"/>
      <c r="M21" s="56">
        <f t="shared" si="0"/>
        <v>0</v>
      </c>
      <c r="N21" s="56">
        <f t="shared" si="0"/>
        <v>0</v>
      </c>
      <c r="O21" s="56">
        <f t="shared" si="1"/>
        <v>0</v>
      </c>
      <c r="P21" s="6"/>
    </row>
    <row r="22" spans="1:16" x14ac:dyDescent="0.25">
      <c r="A22" s="52"/>
      <c r="B22" s="52"/>
      <c r="C22" s="53"/>
      <c r="D22" s="52"/>
      <c r="E22" s="52" t="s">
        <v>101</v>
      </c>
      <c r="F22" s="52">
        <v>2.16</v>
      </c>
      <c r="G22" s="54">
        <v>2550</v>
      </c>
      <c r="H22" s="55">
        <v>5508.0000000000009</v>
      </c>
      <c r="I22" s="55">
        <v>4734.8607238772656</v>
      </c>
      <c r="J22" s="55">
        <v>773.13927612273403</v>
      </c>
      <c r="K22" s="52"/>
      <c r="L22" s="52"/>
      <c r="M22" s="56">
        <f t="shared" si="0"/>
        <v>0</v>
      </c>
      <c r="N22" s="56">
        <f t="shared" si="0"/>
        <v>0</v>
      </c>
      <c r="O22" s="56">
        <f t="shared" si="1"/>
        <v>0</v>
      </c>
      <c r="P22" s="6"/>
    </row>
    <row r="23" spans="1:16" x14ac:dyDescent="0.25">
      <c r="A23" s="52"/>
      <c r="B23" s="52"/>
      <c r="C23" s="53"/>
      <c r="D23" s="52" t="s">
        <v>102</v>
      </c>
      <c r="E23" s="52" t="s">
        <v>103</v>
      </c>
      <c r="F23" s="52">
        <v>1.96</v>
      </c>
      <c r="G23" s="54">
        <v>468</v>
      </c>
      <c r="H23" s="55">
        <v>917.28</v>
      </c>
      <c r="I23" s="55">
        <v>1455</v>
      </c>
      <c r="J23" s="55">
        <v>-537.72</v>
      </c>
      <c r="K23" s="52"/>
      <c r="L23" s="52"/>
      <c r="M23" s="56">
        <f t="shared" si="0"/>
        <v>0</v>
      </c>
      <c r="N23" s="56">
        <f t="shared" si="0"/>
        <v>0</v>
      </c>
      <c r="O23" s="56">
        <f t="shared" si="1"/>
        <v>0</v>
      </c>
      <c r="P23" s="6"/>
    </row>
    <row r="24" spans="1:16" x14ac:dyDescent="0.25">
      <c r="A24" s="52"/>
      <c r="B24" s="52"/>
      <c r="C24" s="53" t="s">
        <v>86</v>
      </c>
      <c r="D24" s="52" t="s">
        <v>77</v>
      </c>
      <c r="E24" s="52" t="s">
        <v>104</v>
      </c>
      <c r="F24" s="52">
        <v>2.09</v>
      </c>
      <c r="G24" s="54">
        <v>824</v>
      </c>
      <c r="H24" s="55">
        <v>1722.1599999999999</v>
      </c>
      <c r="I24" s="55">
        <v>1986.8221575931857</v>
      </c>
      <c r="J24" s="55">
        <v>-264.66215759318561</v>
      </c>
      <c r="K24" s="52"/>
      <c r="L24" s="52"/>
      <c r="M24" s="56">
        <f t="shared" si="0"/>
        <v>0</v>
      </c>
      <c r="N24" s="56">
        <f t="shared" si="0"/>
        <v>0</v>
      </c>
      <c r="O24" s="56">
        <f t="shared" si="1"/>
        <v>0</v>
      </c>
      <c r="P24" s="6"/>
    </row>
    <row r="25" spans="1:16" x14ac:dyDescent="0.25">
      <c r="A25" s="52"/>
      <c r="B25" s="52"/>
      <c r="C25" s="53"/>
      <c r="D25" s="52"/>
      <c r="E25" s="52" t="s">
        <v>105</v>
      </c>
      <c r="F25" s="52">
        <v>1.68</v>
      </c>
      <c r="G25" s="54">
        <v>1675</v>
      </c>
      <c r="H25" s="55">
        <v>2813.9999999999995</v>
      </c>
      <c r="I25" s="55">
        <v>3333.6891293654694</v>
      </c>
      <c r="J25" s="55">
        <v>-519.68912936546974</v>
      </c>
      <c r="K25" s="52"/>
      <c r="L25" s="52"/>
      <c r="M25" s="56">
        <f t="shared" si="0"/>
        <v>0</v>
      </c>
      <c r="N25" s="56">
        <f t="shared" si="0"/>
        <v>0</v>
      </c>
      <c r="O25" s="56">
        <f t="shared" si="1"/>
        <v>0</v>
      </c>
      <c r="P25" s="6"/>
    </row>
    <row r="26" spans="1:16" x14ac:dyDescent="0.25">
      <c r="A26" s="52"/>
      <c r="B26" s="52"/>
      <c r="C26" s="53"/>
      <c r="D26" s="52" t="s">
        <v>106</v>
      </c>
      <c r="E26" s="52" t="s">
        <v>107</v>
      </c>
      <c r="F26" s="52">
        <v>2.6900000000000004</v>
      </c>
      <c r="G26" s="54">
        <v>1243</v>
      </c>
      <c r="H26" s="55">
        <v>3343.67</v>
      </c>
      <c r="I26" s="55">
        <v>3012.1052631578946</v>
      </c>
      <c r="J26" s="55">
        <v>331.56473684210511</v>
      </c>
      <c r="K26" s="52"/>
      <c r="L26" s="52"/>
      <c r="M26" s="56">
        <f t="shared" si="0"/>
        <v>0</v>
      </c>
      <c r="N26" s="56">
        <f t="shared" si="0"/>
        <v>0</v>
      </c>
      <c r="O26" s="56">
        <f t="shared" si="1"/>
        <v>0</v>
      </c>
      <c r="P26" s="6"/>
    </row>
    <row r="27" spans="1:16" x14ac:dyDescent="0.25">
      <c r="A27" s="52"/>
      <c r="B27" s="52"/>
      <c r="C27" s="53" t="s">
        <v>79</v>
      </c>
      <c r="D27" s="52" t="s">
        <v>108</v>
      </c>
      <c r="E27" s="52" t="s">
        <v>109</v>
      </c>
      <c r="F27" s="52">
        <v>1.72</v>
      </c>
      <c r="G27" s="54">
        <v>1032</v>
      </c>
      <c r="H27" s="55">
        <v>1775.0400000000002</v>
      </c>
      <c r="I27" s="55">
        <v>2301.2135092839321</v>
      </c>
      <c r="J27" s="55">
        <v>-526.17350928393182</v>
      </c>
      <c r="K27" s="52"/>
      <c r="L27" s="52"/>
      <c r="M27" s="56">
        <f t="shared" si="0"/>
        <v>0</v>
      </c>
      <c r="N27" s="56">
        <f t="shared" si="0"/>
        <v>0</v>
      </c>
      <c r="O27" s="56">
        <f t="shared" si="1"/>
        <v>0</v>
      </c>
    </row>
    <row r="28" spans="1:16" x14ac:dyDescent="0.25">
      <c r="A28" s="52"/>
      <c r="B28" s="52"/>
      <c r="C28" s="53"/>
      <c r="D28" s="52" t="s">
        <v>110</v>
      </c>
      <c r="E28" s="52" t="s">
        <v>111</v>
      </c>
      <c r="F28" s="52">
        <v>2.0699999999999998</v>
      </c>
      <c r="G28" s="54">
        <v>1963</v>
      </c>
      <c r="H28" s="55">
        <v>4063.4100000000003</v>
      </c>
      <c r="I28" s="55">
        <v>3899.6621621621621</v>
      </c>
      <c r="J28" s="55">
        <v>163.74783783783784</v>
      </c>
      <c r="K28" s="52"/>
      <c r="L28" s="52"/>
      <c r="M28" s="56">
        <f t="shared" si="0"/>
        <v>0</v>
      </c>
      <c r="N28" s="56">
        <f t="shared" si="0"/>
        <v>0</v>
      </c>
      <c r="O28" s="56">
        <f t="shared" si="1"/>
        <v>0</v>
      </c>
    </row>
    <row r="29" spans="1:16" x14ac:dyDescent="0.25">
      <c r="A29" s="52"/>
      <c r="B29" s="52"/>
      <c r="C29" s="53"/>
      <c r="D29" s="52" t="s">
        <v>77</v>
      </c>
      <c r="E29" s="52" t="s">
        <v>112</v>
      </c>
      <c r="F29" s="52">
        <v>1.81</v>
      </c>
      <c r="G29" s="54">
        <v>123</v>
      </c>
      <c r="H29" s="55">
        <v>222.63</v>
      </c>
      <c r="I29" s="55">
        <v>441.88888888888886</v>
      </c>
      <c r="J29" s="55">
        <v>-219.25888888888886</v>
      </c>
      <c r="K29" s="52"/>
      <c r="L29" s="52"/>
      <c r="M29" s="56">
        <f t="shared" si="0"/>
        <v>0</v>
      </c>
      <c r="N29" s="56">
        <f t="shared" si="0"/>
        <v>0</v>
      </c>
      <c r="O29" s="56">
        <f t="shared" si="1"/>
        <v>0</v>
      </c>
    </row>
    <row r="30" spans="1:16" x14ac:dyDescent="0.25">
      <c r="A30" s="52"/>
      <c r="B30" s="52"/>
      <c r="C30" s="53"/>
      <c r="D30" s="52" t="s">
        <v>113</v>
      </c>
      <c r="E30" s="52" t="s">
        <v>114</v>
      </c>
      <c r="F30" s="52">
        <v>2.1000000000000005</v>
      </c>
      <c r="G30" s="54">
        <v>1761</v>
      </c>
      <c r="H30" s="55">
        <v>3698.1</v>
      </c>
      <c r="I30" s="55">
        <v>3880</v>
      </c>
      <c r="J30" s="55">
        <v>-181.9</v>
      </c>
      <c r="K30" s="52"/>
      <c r="L30" s="52"/>
      <c r="M30" s="56">
        <f t="shared" si="0"/>
        <v>0</v>
      </c>
      <c r="N30" s="56">
        <f t="shared" si="0"/>
        <v>0</v>
      </c>
      <c r="O30" s="56">
        <f t="shared" si="1"/>
        <v>0</v>
      </c>
    </row>
    <row r="31" spans="1:16" x14ac:dyDescent="0.25">
      <c r="A31" s="52"/>
      <c r="B31" s="52"/>
      <c r="C31" s="53" t="s">
        <v>115</v>
      </c>
      <c r="D31" s="52" t="s">
        <v>77</v>
      </c>
      <c r="E31" s="52" t="s">
        <v>104</v>
      </c>
      <c r="F31" s="52">
        <v>2.09</v>
      </c>
      <c r="G31" s="54">
        <v>2330</v>
      </c>
      <c r="H31" s="55">
        <v>4869.7</v>
      </c>
      <c r="I31" s="55">
        <v>5269.0465387606955</v>
      </c>
      <c r="J31" s="55">
        <v>-399.34653876069507</v>
      </c>
      <c r="K31" s="52"/>
      <c r="L31" s="52"/>
      <c r="M31" s="56">
        <f t="shared" si="0"/>
        <v>0</v>
      </c>
      <c r="N31" s="56">
        <f t="shared" si="0"/>
        <v>0</v>
      </c>
      <c r="O31" s="56">
        <f t="shared" si="1"/>
        <v>0</v>
      </c>
    </row>
    <row r="32" spans="1:16" x14ac:dyDescent="0.25">
      <c r="A32" s="52"/>
      <c r="B32" s="52"/>
      <c r="C32" s="53"/>
      <c r="D32" s="52" t="s">
        <v>102</v>
      </c>
      <c r="E32" s="52" t="s">
        <v>103</v>
      </c>
      <c r="F32" s="52">
        <v>1.96</v>
      </c>
      <c r="G32" s="54">
        <v>10</v>
      </c>
      <c r="H32" s="55">
        <v>19.600000000000001</v>
      </c>
      <c r="I32" s="55">
        <v>485</v>
      </c>
      <c r="J32" s="55">
        <v>-465.4</v>
      </c>
      <c r="K32" s="52"/>
      <c r="L32" s="52"/>
      <c r="M32" s="56">
        <f t="shared" si="0"/>
        <v>0</v>
      </c>
      <c r="N32" s="56">
        <f t="shared" si="0"/>
        <v>0</v>
      </c>
      <c r="O32" s="56">
        <f t="shared" si="1"/>
        <v>0</v>
      </c>
    </row>
    <row r="33" spans="1:16" s="6" customFormat="1" x14ac:dyDescent="0.25">
      <c r="A33" s="57"/>
      <c r="B33" s="57" t="s">
        <v>81</v>
      </c>
      <c r="C33" s="58"/>
      <c r="D33" s="57"/>
      <c r="E33" s="57"/>
      <c r="F33" s="57"/>
      <c r="G33" s="59">
        <v>15835</v>
      </c>
      <c r="H33" s="60">
        <v>32906.869999999995</v>
      </c>
      <c r="I33" s="60">
        <v>34679.28837308949</v>
      </c>
      <c r="J33" s="60">
        <v>-1772.4183730894933</v>
      </c>
      <c r="K33" s="57"/>
      <c r="L33" s="57"/>
      <c r="M33" s="61"/>
      <c r="N33" s="61"/>
      <c r="O33" s="61">
        <f>SUM(O21:O32)</f>
        <v>0</v>
      </c>
      <c r="P33"/>
    </row>
    <row r="34" spans="1:16" x14ac:dyDescent="0.25">
      <c r="A34" s="52"/>
      <c r="B34" s="52" t="s">
        <v>116</v>
      </c>
      <c r="C34" s="53" t="s">
        <v>76</v>
      </c>
      <c r="D34" s="52" t="s">
        <v>117</v>
      </c>
      <c r="E34" s="52" t="s">
        <v>118</v>
      </c>
      <c r="F34" s="52">
        <v>2.1</v>
      </c>
      <c r="G34" s="54">
        <v>65</v>
      </c>
      <c r="H34" s="55">
        <v>136.5</v>
      </c>
      <c r="I34" s="55">
        <v>107.79079127424937</v>
      </c>
      <c r="J34" s="55">
        <v>28.709208725750628</v>
      </c>
      <c r="K34" s="52"/>
      <c r="L34" s="52"/>
      <c r="M34" s="56">
        <f t="shared" si="0"/>
        <v>0</v>
      </c>
      <c r="N34" s="56">
        <f t="shared" si="0"/>
        <v>0</v>
      </c>
      <c r="O34" s="56">
        <f t="shared" si="1"/>
        <v>0</v>
      </c>
    </row>
    <row r="35" spans="1:16" x14ac:dyDescent="0.25">
      <c r="A35" s="52"/>
      <c r="B35" s="52"/>
      <c r="C35" s="53" t="s">
        <v>86</v>
      </c>
      <c r="D35" s="52" t="s">
        <v>117</v>
      </c>
      <c r="E35" s="52" t="s">
        <v>118</v>
      </c>
      <c r="F35" s="52">
        <v>2.1</v>
      </c>
      <c r="G35" s="54">
        <v>110</v>
      </c>
      <c r="H35" s="55">
        <v>231</v>
      </c>
      <c r="I35" s="55">
        <v>440.90909090909088</v>
      </c>
      <c r="J35" s="55">
        <v>-209.90909090909088</v>
      </c>
      <c r="K35" s="52"/>
      <c r="L35" s="52"/>
      <c r="M35" s="56">
        <f t="shared" si="0"/>
        <v>0</v>
      </c>
      <c r="N35" s="56">
        <f t="shared" si="0"/>
        <v>0</v>
      </c>
      <c r="O35" s="56">
        <f t="shared" si="1"/>
        <v>0</v>
      </c>
    </row>
    <row r="36" spans="1:16" x14ac:dyDescent="0.25">
      <c r="A36" s="52"/>
      <c r="B36" s="52"/>
      <c r="C36" s="53" t="s">
        <v>79</v>
      </c>
      <c r="D36" s="52" t="s">
        <v>117</v>
      </c>
      <c r="E36" s="52" t="s">
        <v>119</v>
      </c>
      <c r="F36" s="52">
        <v>2.1</v>
      </c>
      <c r="G36" s="54">
        <v>77</v>
      </c>
      <c r="H36" s="55">
        <v>161.69999999999999</v>
      </c>
      <c r="I36" s="55">
        <v>147.23543966501711</v>
      </c>
      <c r="J36" s="55">
        <v>14.464560334982878</v>
      </c>
      <c r="K36" s="52"/>
      <c r="L36" s="52"/>
      <c r="M36" s="56">
        <f t="shared" si="0"/>
        <v>0</v>
      </c>
      <c r="N36" s="56">
        <f t="shared" si="0"/>
        <v>0</v>
      </c>
      <c r="O36" s="56">
        <f t="shared" si="1"/>
        <v>0</v>
      </c>
    </row>
    <row r="37" spans="1:16" s="6" customFormat="1" x14ac:dyDescent="0.25">
      <c r="A37" s="57"/>
      <c r="B37" s="57" t="s">
        <v>120</v>
      </c>
      <c r="C37" s="58"/>
      <c r="D37" s="57"/>
      <c r="E37" s="57"/>
      <c r="F37" s="57"/>
      <c r="G37" s="59">
        <v>252</v>
      </c>
      <c r="H37" s="60">
        <v>529.20000000000005</v>
      </c>
      <c r="I37" s="60">
        <v>695.93532184835738</v>
      </c>
      <c r="J37" s="60">
        <v>-166.73532184835739</v>
      </c>
      <c r="K37" s="57"/>
      <c r="L37" s="57"/>
      <c r="M37" s="61"/>
      <c r="N37" s="61"/>
      <c r="O37" s="61">
        <f>SUM(O34:O36)</f>
        <v>0</v>
      </c>
      <c r="P37"/>
    </row>
    <row r="38" spans="1:16" x14ac:dyDescent="0.25">
      <c r="A38" s="52"/>
      <c r="B38" s="52" t="s">
        <v>121</v>
      </c>
      <c r="C38" s="53" t="s">
        <v>115</v>
      </c>
      <c r="D38" s="52" t="s">
        <v>91</v>
      </c>
      <c r="E38" s="52" t="s">
        <v>122</v>
      </c>
      <c r="F38" s="52">
        <v>3.2199999999999998</v>
      </c>
      <c r="G38" s="54">
        <v>1722</v>
      </c>
      <c r="H38" s="55">
        <v>5544.8399999999983</v>
      </c>
      <c r="I38" s="55">
        <v>3917.6093053951495</v>
      </c>
      <c r="J38" s="55">
        <v>1627.2306946048509</v>
      </c>
      <c r="K38" s="52"/>
      <c r="L38" s="52"/>
      <c r="M38" s="56">
        <f t="shared" si="0"/>
        <v>0</v>
      </c>
      <c r="N38" s="56">
        <f t="shared" si="0"/>
        <v>0</v>
      </c>
      <c r="O38" s="56">
        <f t="shared" si="1"/>
        <v>0</v>
      </c>
    </row>
    <row r="39" spans="1:16" s="6" customFormat="1" x14ac:dyDescent="0.25">
      <c r="A39" s="57"/>
      <c r="B39" s="57" t="s">
        <v>123</v>
      </c>
      <c r="C39" s="58"/>
      <c r="D39" s="57"/>
      <c r="E39" s="57"/>
      <c r="F39" s="57"/>
      <c r="G39" s="59">
        <v>1722</v>
      </c>
      <c r="H39" s="60">
        <v>5544.8399999999983</v>
      </c>
      <c r="I39" s="60">
        <v>3917.6093053951495</v>
      </c>
      <c r="J39" s="60">
        <v>1627.2306946048509</v>
      </c>
      <c r="K39" s="57"/>
      <c r="L39" s="57"/>
      <c r="M39" s="61"/>
      <c r="N39" s="61"/>
      <c r="O39" s="61">
        <f>SUM(O38:O38)</f>
        <v>0</v>
      </c>
      <c r="P39"/>
    </row>
    <row r="40" spans="1:16" x14ac:dyDescent="0.25">
      <c r="A40" s="52"/>
      <c r="B40" s="52" t="s">
        <v>124</v>
      </c>
      <c r="C40" s="53" t="s">
        <v>76</v>
      </c>
      <c r="D40" s="52" t="s">
        <v>125</v>
      </c>
      <c r="E40" s="52" t="s">
        <v>126</v>
      </c>
      <c r="F40" s="52">
        <v>2.89</v>
      </c>
      <c r="G40" s="54">
        <v>2</v>
      </c>
      <c r="H40" s="55">
        <v>5.78</v>
      </c>
      <c r="I40" s="55">
        <v>7.3484848484848486</v>
      </c>
      <c r="J40" s="55">
        <v>-1.5684848484848484</v>
      </c>
      <c r="K40" s="52"/>
      <c r="L40" s="52"/>
      <c r="M40" s="56">
        <f t="shared" si="0"/>
        <v>0</v>
      </c>
      <c r="N40" s="56">
        <f t="shared" si="0"/>
        <v>0</v>
      </c>
      <c r="O40" s="56">
        <f t="shared" si="1"/>
        <v>0</v>
      </c>
    </row>
    <row r="41" spans="1:16" x14ac:dyDescent="0.25">
      <c r="A41" s="52"/>
      <c r="B41" s="52"/>
      <c r="C41" s="53" t="s">
        <v>86</v>
      </c>
      <c r="D41" s="52" t="s">
        <v>91</v>
      </c>
      <c r="E41" s="52" t="s">
        <v>127</v>
      </c>
      <c r="F41" s="52">
        <v>4.74</v>
      </c>
      <c r="G41" s="54">
        <v>25</v>
      </c>
      <c r="H41" s="55">
        <v>118.5</v>
      </c>
      <c r="I41" s="55">
        <v>155.44871794871796</v>
      </c>
      <c r="J41" s="55">
        <v>-36.948717948717956</v>
      </c>
      <c r="K41" s="52"/>
      <c r="L41" s="52"/>
      <c r="M41" s="56">
        <f t="shared" si="0"/>
        <v>0</v>
      </c>
      <c r="N41" s="56">
        <f t="shared" si="0"/>
        <v>0</v>
      </c>
      <c r="O41" s="56">
        <f t="shared" si="1"/>
        <v>0</v>
      </c>
    </row>
    <row r="42" spans="1:16" x14ac:dyDescent="0.25">
      <c r="A42" s="52"/>
      <c r="B42" s="52"/>
      <c r="C42" s="53"/>
      <c r="D42" s="52"/>
      <c r="E42" s="52" t="s">
        <v>128</v>
      </c>
      <c r="F42" s="52">
        <v>4.9800000000000004</v>
      </c>
      <c r="G42" s="54">
        <v>46</v>
      </c>
      <c r="H42" s="55">
        <v>229.08</v>
      </c>
      <c r="I42" s="55">
        <v>286.02564102564105</v>
      </c>
      <c r="J42" s="55">
        <v>-56.945641025641038</v>
      </c>
      <c r="K42" s="52"/>
      <c r="L42" s="52"/>
      <c r="M42" s="56">
        <f t="shared" si="0"/>
        <v>0</v>
      </c>
      <c r="N42" s="56">
        <f t="shared" si="0"/>
        <v>0</v>
      </c>
      <c r="O42" s="56">
        <f t="shared" si="1"/>
        <v>0</v>
      </c>
    </row>
    <row r="43" spans="1:16" x14ac:dyDescent="0.25">
      <c r="A43" s="52"/>
      <c r="B43" s="52"/>
      <c r="C43" s="53" t="s">
        <v>115</v>
      </c>
      <c r="D43" s="52" t="s">
        <v>129</v>
      </c>
      <c r="E43" s="52" t="s">
        <v>130</v>
      </c>
      <c r="F43" s="52">
        <v>2.41</v>
      </c>
      <c r="G43" s="54">
        <v>3</v>
      </c>
      <c r="H43" s="55">
        <v>7.23</v>
      </c>
      <c r="I43" s="55">
        <v>4.7240259740259738</v>
      </c>
      <c r="J43" s="55">
        <v>2.5059740259740266</v>
      </c>
      <c r="K43" s="52"/>
      <c r="L43" s="52"/>
      <c r="M43" s="56">
        <f t="shared" si="0"/>
        <v>0</v>
      </c>
      <c r="N43" s="56">
        <f t="shared" si="0"/>
        <v>0</v>
      </c>
      <c r="O43" s="56">
        <f t="shared" si="1"/>
        <v>0</v>
      </c>
    </row>
    <row r="44" spans="1:16" x14ac:dyDescent="0.25">
      <c r="A44" s="52"/>
      <c r="B44" s="52"/>
      <c r="C44" s="53"/>
      <c r="D44" s="52" t="s">
        <v>91</v>
      </c>
      <c r="E44" s="52" t="s">
        <v>131</v>
      </c>
      <c r="F44" s="52">
        <v>4.9800000000000004</v>
      </c>
      <c r="G44" s="54">
        <v>15</v>
      </c>
      <c r="H44" s="55">
        <v>74.7</v>
      </c>
      <c r="I44" s="55">
        <v>23.620129870129873</v>
      </c>
      <c r="J44" s="55">
        <v>51.07987012987013</v>
      </c>
      <c r="K44" s="52"/>
      <c r="L44" s="52"/>
      <c r="M44" s="56">
        <f t="shared" si="0"/>
        <v>0</v>
      </c>
      <c r="N44" s="56">
        <f t="shared" si="0"/>
        <v>0</v>
      </c>
      <c r="O44" s="56">
        <f t="shared" si="1"/>
        <v>0</v>
      </c>
    </row>
    <row r="45" spans="1:16" s="6" customFormat="1" x14ac:dyDescent="0.25">
      <c r="A45" s="57"/>
      <c r="B45" s="57" t="s">
        <v>132</v>
      </c>
      <c r="C45" s="58"/>
      <c r="D45" s="57"/>
      <c r="E45" s="57"/>
      <c r="F45" s="57"/>
      <c r="G45" s="59">
        <v>91</v>
      </c>
      <c r="H45" s="60">
        <v>435.29</v>
      </c>
      <c r="I45" s="60">
        <v>477.16699966699969</v>
      </c>
      <c r="J45" s="60">
        <v>-41.87699966699968</v>
      </c>
      <c r="K45" s="57"/>
      <c r="L45" s="57"/>
      <c r="M45" s="61"/>
      <c r="N45" s="61"/>
      <c r="O45" s="61">
        <f>SUM(O40:O44)</f>
        <v>0</v>
      </c>
      <c r="P45"/>
    </row>
    <row r="46" spans="1:16" s="6" customFormat="1" x14ac:dyDescent="0.25">
      <c r="A46" s="47" t="s">
        <v>133</v>
      </c>
      <c r="B46" s="47"/>
      <c r="C46" s="48"/>
      <c r="D46" s="47"/>
      <c r="E46" s="47"/>
      <c r="F46" s="47"/>
      <c r="G46" s="49">
        <v>17900</v>
      </c>
      <c r="H46" s="50">
        <v>39416.19999999999</v>
      </c>
      <c r="I46" s="50">
        <v>39770</v>
      </c>
      <c r="J46" s="50">
        <v>-353.79999999999984</v>
      </c>
      <c r="K46" s="47"/>
      <c r="L46" s="47"/>
      <c r="M46" s="51"/>
      <c r="N46" s="51"/>
      <c r="O46" s="51"/>
      <c r="P46"/>
    </row>
    <row r="47" spans="1:16" x14ac:dyDescent="0.25">
      <c r="A47" s="52" t="s">
        <v>9</v>
      </c>
      <c r="B47" s="52" t="s">
        <v>75</v>
      </c>
      <c r="C47" s="53" t="s">
        <v>76</v>
      </c>
      <c r="D47" s="52" t="s">
        <v>77</v>
      </c>
      <c r="E47" s="52" t="s">
        <v>134</v>
      </c>
      <c r="F47" s="52">
        <v>4.3099999999999996</v>
      </c>
      <c r="G47" s="54">
        <v>0</v>
      </c>
      <c r="H47" s="55">
        <v>0</v>
      </c>
      <c r="I47" s="55">
        <v>1368</v>
      </c>
      <c r="J47" s="55">
        <v>-1368</v>
      </c>
      <c r="K47" s="52"/>
      <c r="L47" s="52"/>
      <c r="M47" s="56">
        <f t="shared" si="0"/>
        <v>0</v>
      </c>
      <c r="N47" s="56">
        <f t="shared" si="0"/>
        <v>0</v>
      </c>
      <c r="O47" s="56">
        <f t="shared" si="1"/>
        <v>0</v>
      </c>
    </row>
    <row r="48" spans="1:16" x14ac:dyDescent="0.25">
      <c r="A48" s="52"/>
      <c r="B48" s="52"/>
      <c r="C48" s="53"/>
      <c r="D48" s="52"/>
      <c r="E48" s="52" t="s">
        <v>135</v>
      </c>
      <c r="F48" s="52">
        <v>4.0900000000000007</v>
      </c>
      <c r="G48" s="54">
        <v>1641</v>
      </c>
      <c r="H48" s="55">
        <v>6711.6900000000005</v>
      </c>
      <c r="I48" s="55">
        <v>7328.57</v>
      </c>
      <c r="J48" s="55">
        <v>-616.88000000000011</v>
      </c>
      <c r="K48" s="52"/>
      <c r="L48" s="52"/>
      <c r="M48" s="56">
        <f t="shared" si="0"/>
        <v>0</v>
      </c>
      <c r="N48" s="56">
        <f t="shared" si="0"/>
        <v>0</v>
      </c>
      <c r="O48" s="56">
        <f t="shared" si="1"/>
        <v>0</v>
      </c>
    </row>
    <row r="49" spans="1:16" s="6" customFormat="1" x14ac:dyDescent="0.25">
      <c r="A49" s="57"/>
      <c r="B49" s="57" t="s">
        <v>81</v>
      </c>
      <c r="C49" s="58"/>
      <c r="D49" s="57"/>
      <c r="E49" s="57"/>
      <c r="F49" s="57"/>
      <c r="G49" s="59">
        <v>1641</v>
      </c>
      <c r="H49" s="60">
        <v>6711.6900000000005</v>
      </c>
      <c r="I49" s="60">
        <v>8696.57</v>
      </c>
      <c r="J49" s="60">
        <v>-1984.88</v>
      </c>
      <c r="K49" s="57"/>
      <c r="L49" s="57"/>
      <c r="M49" s="61"/>
      <c r="N49" s="61"/>
      <c r="O49" s="61">
        <f>SUM(O47:O48)</f>
        <v>0</v>
      </c>
      <c r="P49"/>
    </row>
    <row r="50" spans="1:16" x14ac:dyDescent="0.25">
      <c r="A50" s="52"/>
      <c r="B50" s="52" t="s">
        <v>116</v>
      </c>
      <c r="C50" s="53" t="s">
        <v>79</v>
      </c>
      <c r="D50" s="52" t="s">
        <v>102</v>
      </c>
      <c r="E50" s="52" t="s">
        <v>136</v>
      </c>
      <c r="F50" s="52">
        <v>0.79999999999999993</v>
      </c>
      <c r="G50" s="54">
        <v>5396</v>
      </c>
      <c r="H50" s="55">
        <v>4316.8</v>
      </c>
      <c r="I50" s="55">
        <v>5765.1399999999994</v>
      </c>
      <c r="J50" s="55">
        <v>-1448.34</v>
      </c>
      <c r="K50" s="52"/>
      <c r="L50" s="52"/>
      <c r="M50" s="56">
        <f t="shared" si="0"/>
        <v>0</v>
      </c>
      <c r="N50" s="56">
        <f t="shared" si="0"/>
        <v>0</v>
      </c>
      <c r="O50" s="56">
        <f t="shared" si="1"/>
        <v>0</v>
      </c>
    </row>
    <row r="51" spans="1:16" x14ac:dyDescent="0.25">
      <c r="A51" s="52"/>
      <c r="B51" s="52"/>
      <c r="C51" s="53" t="s">
        <v>115</v>
      </c>
      <c r="D51" s="52" t="s">
        <v>102</v>
      </c>
      <c r="E51" s="52" t="s">
        <v>136</v>
      </c>
      <c r="F51" s="52">
        <v>0.79999999999999993</v>
      </c>
      <c r="G51" s="54">
        <v>6035</v>
      </c>
      <c r="H51" s="55">
        <v>4828</v>
      </c>
      <c r="I51" s="55">
        <v>5765.1399999999994</v>
      </c>
      <c r="J51" s="55">
        <v>-937.1400000000001</v>
      </c>
      <c r="K51" s="52"/>
      <c r="L51" s="52"/>
      <c r="M51" s="56">
        <f t="shared" si="0"/>
        <v>0</v>
      </c>
      <c r="N51" s="56">
        <f t="shared" si="0"/>
        <v>0</v>
      </c>
      <c r="O51" s="56">
        <f t="shared" si="1"/>
        <v>0</v>
      </c>
    </row>
    <row r="52" spans="1:16" s="6" customFormat="1" x14ac:dyDescent="0.25">
      <c r="A52" s="57"/>
      <c r="B52" s="57" t="s">
        <v>120</v>
      </c>
      <c r="C52" s="58"/>
      <c r="D52" s="57"/>
      <c r="E52" s="57"/>
      <c r="F52" s="57"/>
      <c r="G52" s="59">
        <v>11431</v>
      </c>
      <c r="H52" s="60">
        <v>9144.7999999999993</v>
      </c>
      <c r="I52" s="60">
        <v>11530.279999999999</v>
      </c>
      <c r="J52" s="60">
        <v>-2385.4800000000005</v>
      </c>
      <c r="K52" s="57"/>
      <c r="L52" s="57"/>
      <c r="M52" s="61"/>
      <c r="N52" s="61"/>
      <c r="O52" s="61">
        <f>SUM(O50:O51)</f>
        <v>0</v>
      </c>
      <c r="P52"/>
    </row>
    <row r="53" spans="1:16" x14ac:dyDescent="0.25">
      <c r="A53" s="52"/>
      <c r="B53" s="52" t="s">
        <v>137</v>
      </c>
      <c r="C53" s="53" t="s">
        <v>76</v>
      </c>
      <c r="D53" s="52" t="s">
        <v>138</v>
      </c>
      <c r="E53" s="52" t="s">
        <v>139</v>
      </c>
      <c r="F53" s="52">
        <v>1.94</v>
      </c>
      <c r="G53" s="54">
        <v>280</v>
      </c>
      <c r="H53" s="55">
        <v>543.20000000000005</v>
      </c>
      <c r="I53" s="55">
        <v>488.57</v>
      </c>
      <c r="J53" s="55">
        <v>54.630000000000052</v>
      </c>
      <c r="K53" s="52"/>
      <c r="L53" s="52"/>
      <c r="M53" s="56">
        <f t="shared" si="0"/>
        <v>0</v>
      </c>
      <c r="N53" s="56">
        <f t="shared" si="0"/>
        <v>0</v>
      </c>
      <c r="O53" s="56">
        <f t="shared" si="1"/>
        <v>0</v>
      </c>
    </row>
    <row r="54" spans="1:16" x14ac:dyDescent="0.25">
      <c r="A54" s="52"/>
      <c r="B54" s="52"/>
      <c r="C54" s="53"/>
      <c r="D54" s="52" t="s">
        <v>83</v>
      </c>
      <c r="E54" s="52" t="s">
        <v>140</v>
      </c>
      <c r="F54" s="52">
        <v>18.87</v>
      </c>
      <c r="G54" s="54">
        <v>103</v>
      </c>
      <c r="H54" s="55">
        <v>1943.6100000000001</v>
      </c>
      <c r="I54" s="55">
        <v>1598.4567924528301</v>
      </c>
      <c r="J54" s="55">
        <v>345.15320754716987</v>
      </c>
      <c r="K54" s="52"/>
      <c r="L54" s="52"/>
      <c r="M54" s="56">
        <f t="shared" si="0"/>
        <v>0</v>
      </c>
      <c r="N54" s="56">
        <f t="shared" si="0"/>
        <v>0</v>
      </c>
      <c r="O54" s="56">
        <f t="shared" si="1"/>
        <v>0</v>
      </c>
    </row>
    <row r="55" spans="1:16" x14ac:dyDescent="0.25">
      <c r="A55" s="52"/>
      <c r="B55" s="52"/>
      <c r="C55" s="53"/>
      <c r="D55" s="52" t="s">
        <v>91</v>
      </c>
      <c r="E55" s="52" t="s">
        <v>141</v>
      </c>
      <c r="F55" s="52">
        <v>18.12</v>
      </c>
      <c r="G55" s="54">
        <v>103</v>
      </c>
      <c r="H55" s="55">
        <v>1866.36</v>
      </c>
      <c r="I55" s="55">
        <v>1626.1132075471698</v>
      </c>
      <c r="J55" s="55">
        <v>240.24679245283005</v>
      </c>
      <c r="K55" s="52"/>
      <c r="L55" s="52"/>
      <c r="M55" s="56">
        <f t="shared" si="0"/>
        <v>0</v>
      </c>
      <c r="N55" s="56">
        <f t="shared" si="0"/>
        <v>0</v>
      </c>
      <c r="O55" s="56">
        <f t="shared" si="1"/>
        <v>0</v>
      </c>
    </row>
    <row r="56" spans="1:16" x14ac:dyDescent="0.25">
      <c r="A56" s="52"/>
      <c r="B56" s="52"/>
      <c r="C56" s="53" t="s">
        <v>86</v>
      </c>
      <c r="D56" s="52" t="s">
        <v>142</v>
      </c>
      <c r="E56" s="52" t="s">
        <v>143</v>
      </c>
      <c r="F56" s="52">
        <v>0.28999999999999998</v>
      </c>
      <c r="G56" s="54">
        <v>3051</v>
      </c>
      <c r="H56" s="55">
        <v>884.79000000000008</v>
      </c>
      <c r="I56" s="55">
        <v>817.97559139784937</v>
      </c>
      <c r="J56" s="55">
        <v>66.814408602150564</v>
      </c>
      <c r="K56" s="52"/>
      <c r="L56" s="52"/>
      <c r="M56" s="56">
        <f t="shared" si="0"/>
        <v>0</v>
      </c>
      <c r="N56" s="56">
        <f t="shared" si="0"/>
        <v>0</v>
      </c>
      <c r="O56" s="56">
        <f t="shared" si="1"/>
        <v>0</v>
      </c>
    </row>
    <row r="57" spans="1:16" x14ac:dyDescent="0.25">
      <c r="A57" s="52"/>
      <c r="B57" s="52"/>
      <c r="C57" s="53"/>
      <c r="D57" s="52" t="s">
        <v>144</v>
      </c>
      <c r="E57" s="52" t="s">
        <v>145</v>
      </c>
      <c r="F57" s="52">
        <v>0.33999999999999997</v>
      </c>
      <c r="G57" s="54">
        <v>3009</v>
      </c>
      <c r="H57" s="55">
        <v>1023.06</v>
      </c>
      <c r="I57" s="55">
        <v>2287.5377419354841</v>
      </c>
      <c r="J57" s="55">
        <v>-1264.4777419354839</v>
      </c>
      <c r="K57" s="52"/>
      <c r="L57" s="52"/>
      <c r="M57" s="56">
        <f t="shared" si="0"/>
        <v>0</v>
      </c>
      <c r="N57" s="56">
        <f t="shared" si="0"/>
        <v>0</v>
      </c>
      <c r="O57" s="56">
        <f t="shared" si="1"/>
        <v>0</v>
      </c>
    </row>
    <row r="58" spans="1:16" x14ac:dyDescent="0.25">
      <c r="A58" s="52"/>
      <c r="B58" s="52"/>
      <c r="C58" s="53"/>
      <c r="D58" s="52" t="s">
        <v>146</v>
      </c>
      <c r="E58" s="52" t="s">
        <v>147</v>
      </c>
      <c r="F58" s="52">
        <v>0.37000000000000005</v>
      </c>
      <c r="G58" s="54">
        <v>5377</v>
      </c>
      <c r="H58" s="55">
        <v>1989.4899999999998</v>
      </c>
      <c r="I58" s="55">
        <v>2054.2962187500002</v>
      </c>
      <c r="J58" s="55">
        <v>-64.806218749999999</v>
      </c>
      <c r="K58" s="52"/>
      <c r="L58" s="52"/>
      <c r="M58" s="56">
        <f t="shared" si="0"/>
        <v>0</v>
      </c>
      <c r="N58" s="56">
        <f t="shared" si="0"/>
        <v>0</v>
      </c>
      <c r="O58" s="56">
        <f t="shared" si="1"/>
        <v>0</v>
      </c>
    </row>
    <row r="59" spans="1:16" x14ac:dyDescent="0.25">
      <c r="A59" s="52"/>
      <c r="B59" s="52"/>
      <c r="C59" s="53"/>
      <c r="D59" s="52"/>
      <c r="E59" s="52" t="s">
        <v>148</v>
      </c>
      <c r="F59" s="52">
        <v>0.28999999999999998</v>
      </c>
      <c r="G59" s="54">
        <v>1972</v>
      </c>
      <c r="H59" s="55">
        <v>571.88</v>
      </c>
      <c r="I59" s="55">
        <v>561.61175120192308</v>
      </c>
      <c r="J59" s="55">
        <v>10.268248798076911</v>
      </c>
      <c r="K59" s="52"/>
      <c r="L59" s="52"/>
      <c r="M59" s="56">
        <f t="shared" si="0"/>
        <v>0</v>
      </c>
      <c r="N59" s="56">
        <f t="shared" si="0"/>
        <v>0</v>
      </c>
      <c r="O59" s="56">
        <f t="shared" si="1"/>
        <v>0</v>
      </c>
    </row>
    <row r="60" spans="1:16" x14ac:dyDescent="0.25">
      <c r="A60" s="52"/>
      <c r="B60" s="52"/>
      <c r="C60" s="53"/>
      <c r="D60" s="52" t="s">
        <v>149</v>
      </c>
      <c r="E60" s="52" t="s">
        <v>150</v>
      </c>
      <c r="F60" s="52">
        <v>0.24</v>
      </c>
      <c r="G60" s="54">
        <v>7859</v>
      </c>
      <c r="H60" s="55">
        <v>1886.16</v>
      </c>
      <c r="I60" s="55">
        <v>1868.2846153846153</v>
      </c>
      <c r="J60" s="55">
        <v>17.875384615384611</v>
      </c>
      <c r="K60" s="52"/>
      <c r="L60" s="52"/>
      <c r="M60" s="56">
        <f t="shared" si="0"/>
        <v>0</v>
      </c>
      <c r="N60" s="56">
        <f t="shared" si="0"/>
        <v>0</v>
      </c>
      <c r="O60" s="56">
        <f t="shared" si="1"/>
        <v>0</v>
      </c>
    </row>
    <row r="61" spans="1:16" x14ac:dyDescent="0.25">
      <c r="A61" s="52"/>
      <c r="B61" s="52"/>
      <c r="C61" s="53"/>
      <c r="D61" s="52"/>
      <c r="E61" s="52" t="s">
        <v>151</v>
      </c>
      <c r="F61" s="52">
        <v>0.24</v>
      </c>
      <c r="G61" s="54">
        <v>2077</v>
      </c>
      <c r="H61" s="55">
        <v>498.48</v>
      </c>
      <c r="I61" s="55">
        <v>548.42741466346149</v>
      </c>
      <c r="J61" s="55">
        <v>-49.947414663461487</v>
      </c>
      <c r="K61" s="52"/>
      <c r="L61" s="52"/>
      <c r="M61" s="56">
        <f t="shared" si="0"/>
        <v>0</v>
      </c>
      <c r="N61" s="56">
        <f t="shared" si="0"/>
        <v>0</v>
      </c>
      <c r="O61" s="56">
        <f t="shared" si="1"/>
        <v>0</v>
      </c>
    </row>
    <row r="62" spans="1:16" x14ac:dyDescent="0.25">
      <c r="A62" s="52"/>
      <c r="B62" s="52"/>
      <c r="C62" s="53"/>
      <c r="D62" s="52"/>
      <c r="E62" s="52" t="s">
        <v>152</v>
      </c>
      <c r="F62" s="52">
        <v>0.24</v>
      </c>
      <c r="G62" s="54">
        <v>1540</v>
      </c>
      <c r="H62" s="55">
        <v>369.6</v>
      </c>
      <c r="I62" s="55">
        <v>363.02666666666664</v>
      </c>
      <c r="J62" s="55">
        <v>6.5733333333333377</v>
      </c>
      <c r="K62" s="52"/>
      <c r="L62" s="52"/>
      <c r="M62" s="56">
        <f t="shared" si="0"/>
        <v>0</v>
      </c>
      <c r="N62" s="56">
        <f t="shared" si="0"/>
        <v>0</v>
      </c>
      <c r="O62" s="56">
        <f t="shared" si="1"/>
        <v>0</v>
      </c>
    </row>
    <row r="63" spans="1:16" x14ac:dyDescent="0.25">
      <c r="A63" s="52"/>
      <c r="B63" s="52"/>
      <c r="C63" s="53" t="s">
        <v>79</v>
      </c>
      <c r="D63" s="52" t="s">
        <v>138</v>
      </c>
      <c r="E63" s="52" t="s">
        <v>153</v>
      </c>
      <c r="F63" s="52">
        <v>1.86</v>
      </c>
      <c r="G63" s="54">
        <v>1502</v>
      </c>
      <c r="H63" s="55">
        <v>2793.72</v>
      </c>
      <c r="I63" s="55">
        <v>2540.5699999999997</v>
      </c>
      <c r="J63" s="55">
        <v>253.15000000000003</v>
      </c>
      <c r="K63" s="52"/>
      <c r="L63" s="52"/>
      <c r="M63" s="56">
        <f t="shared" si="0"/>
        <v>0</v>
      </c>
      <c r="N63" s="56">
        <f t="shared" si="0"/>
        <v>0</v>
      </c>
      <c r="O63" s="56">
        <f t="shared" si="1"/>
        <v>0</v>
      </c>
    </row>
    <row r="64" spans="1:16" x14ac:dyDescent="0.25">
      <c r="A64" s="52"/>
      <c r="B64" s="52"/>
      <c r="C64" s="53"/>
      <c r="D64" s="52" t="s">
        <v>125</v>
      </c>
      <c r="E64" s="52" t="s">
        <v>154</v>
      </c>
      <c r="F64" s="52">
        <v>1.54</v>
      </c>
      <c r="G64" s="54">
        <v>226</v>
      </c>
      <c r="H64" s="55">
        <v>348.03999999999996</v>
      </c>
      <c r="I64" s="55">
        <v>858.16666666666674</v>
      </c>
      <c r="J64" s="55">
        <v>-510.12666666666667</v>
      </c>
      <c r="K64" s="52"/>
      <c r="L64" s="52"/>
      <c r="M64" s="56">
        <f t="shared" si="0"/>
        <v>0</v>
      </c>
      <c r="N64" s="56">
        <f t="shared" si="0"/>
        <v>0</v>
      </c>
      <c r="O64" s="56">
        <f t="shared" si="1"/>
        <v>0</v>
      </c>
    </row>
    <row r="65" spans="1:16" x14ac:dyDescent="0.25">
      <c r="A65" s="52"/>
      <c r="B65" s="52"/>
      <c r="C65" s="53"/>
      <c r="D65" s="52"/>
      <c r="E65" s="52" t="s">
        <v>155</v>
      </c>
      <c r="F65" s="52">
        <v>1.54</v>
      </c>
      <c r="G65" s="54">
        <v>3382</v>
      </c>
      <c r="H65" s="55">
        <v>5208.28</v>
      </c>
      <c r="I65" s="55">
        <v>5102.4033333333327</v>
      </c>
      <c r="J65" s="55">
        <v>105.87666666666695</v>
      </c>
      <c r="K65" s="52"/>
      <c r="L65" s="52"/>
      <c r="M65" s="56">
        <f t="shared" si="0"/>
        <v>0</v>
      </c>
      <c r="N65" s="56">
        <f t="shared" si="0"/>
        <v>0</v>
      </c>
      <c r="O65" s="56">
        <f t="shared" si="1"/>
        <v>0</v>
      </c>
    </row>
    <row r="66" spans="1:16" x14ac:dyDescent="0.25">
      <c r="A66" s="52"/>
      <c r="B66" s="52"/>
      <c r="C66" s="53" t="s">
        <v>115</v>
      </c>
      <c r="D66" s="52" t="s">
        <v>125</v>
      </c>
      <c r="E66" s="52" t="s">
        <v>156</v>
      </c>
      <c r="F66" s="52">
        <v>1.54</v>
      </c>
      <c r="G66" s="54">
        <v>309</v>
      </c>
      <c r="H66" s="55">
        <v>475.86</v>
      </c>
      <c r="I66" s="55">
        <v>485.87586206896549</v>
      </c>
      <c r="J66" s="55">
        <v>-10.015862068965475</v>
      </c>
      <c r="K66" s="52"/>
      <c r="L66" s="52"/>
      <c r="M66" s="56">
        <f t="shared" si="0"/>
        <v>0</v>
      </c>
      <c r="N66" s="56">
        <f t="shared" si="0"/>
        <v>0</v>
      </c>
      <c r="O66" s="56">
        <f t="shared" si="1"/>
        <v>0</v>
      </c>
    </row>
    <row r="67" spans="1:16" x14ac:dyDescent="0.25">
      <c r="A67" s="52"/>
      <c r="B67" s="52"/>
      <c r="C67" s="53"/>
      <c r="D67" s="52"/>
      <c r="E67" s="52" t="s">
        <v>157</v>
      </c>
      <c r="F67" s="52">
        <v>1.54</v>
      </c>
      <c r="G67" s="54">
        <v>1150</v>
      </c>
      <c r="H67" s="55">
        <v>1771</v>
      </c>
      <c r="I67" s="55">
        <v>1763.2506596701649</v>
      </c>
      <c r="J67" s="55">
        <v>7.7493403298350074</v>
      </c>
      <c r="K67" s="52"/>
      <c r="L67" s="52"/>
      <c r="M67" s="56">
        <f t="shared" si="0"/>
        <v>0</v>
      </c>
      <c r="N67" s="56">
        <f t="shared" si="0"/>
        <v>0</v>
      </c>
      <c r="O67" s="56">
        <f t="shared" si="1"/>
        <v>0</v>
      </c>
    </row>
    <row r="68" spans="1:16" x14ac:dyDescent="0.25">
      <c r="A68" s="52"/>
      <c r="B68" s="52"/>
      <c r="C68" s="53"/>
      <c r="D68" s="52"/>
      <c r="E68" s="52" t="s">
        <v>154</v>
      </c>
      <c r="F68" s="52">
        <v>1.54</v>
      </c>
      <c r="G68" s="54">
        <v>1472</v>
      </c>
      <c r="H68" s="55">
        <v>2266.88</v>
      </c>
      <c r="I68" s="55">
        <v>2570.3147653895821</v>
      </c>
      <c r="J68" s="55">
        <v>-303.43476538958237</v>
      </c>
      <c r="K68" s="52"/>
      <c r="L68" s="52"/>
      <c r="M68" s="56">
        <f t="shared" si="0"/>
        <v>0</v>
      </c>
      <c r="N68" s="56">
        <f t="shared" si="0"/>
        <v>0</v>
      </c>
      <c r="O68" s="56">
        <f t="shared" si="1"/>
        <v>0</v>
      </c>
    </row>
    <row r="69" spans="1:16" s="6" customFormat="1" x14ac:dyDescent="0.25">
      <c r="A69" s="57"/>
      <c r="B69" s="57" t="s">
        <v>158</v>
      </c>
      <c r="C69" s="58"/>
      <c r="D69" s="57"/>
      <c r="E69" s="57"/>
      <c r="F69" s="57"/>
      <c r="G69" s="59">
        <v>33412</v>
      </c>
      <c r="H69" s="60">
        <v>24440.410000000007</v>
      </c>
      <c r="I69" s="60">
        <v>25534.881287128712</v>
      </c>
      <c r="J69" s="60">
        <v>-1094.4712871287124</v>
      </c>
      <c r="K69" s="57"/>
      <c r="L69" s="57"/>
      <c r="M69" s="61"/>
      <c r="N69" s="61"/>
      <c r="O69" s="61">
        <f>SUM(O53:O68)</f>
        <v>0</v>
      </c>
      <c r="P69"/>
    </row>
    <row r="70" spans="1:16" x14ac:dyDescent="0.25">
      <c r="A70" s="52"/>
      <c r="B70" s="52" t="s">
        <v>159</v>
      </c>
      <c r="C70" s="53" t="s">
        <v>115</v>
      </c>
      <c r="D70" s="52" t="s">
        <v>160</v>
      </c>
      <c r="E70" s="52" t="s">
        <v>161</v>
      </c>
      <c r="F70" s="52">
        <v>0.42</v>
      </c>
      <c r="G70" s="54">
        <v>432</v>
      </c>
      <c r="H70" s="55">
        <v>181.44</v>
      </c>
      <c r="I70" s="55">
        <v>474.25035691109667</v>
      </c>
      <c r="J70" s="55">
        <v>-292.81035691109662</v>
      </c>
      <c r="K70" s="52"/>
      <c r="L70" s="52"/>
      <c r="M70" s="56">
        <f t="shared" ref="M70:N133" si="2">$G70*K70</f>
        <v>0</v>
      </c>
      <c r="N70" s="56">
        <f t="shared" si="2"/>
        <v>0</v>
      </c>
      <c r="O70" s="56">
        <f t="shared" ref="O70:O133" si="3">M70+N70</f>
        <v>0</v>
      </c>
    </row>
    <row r="71" spans="1:16" x14ac:dyDescent="0.25">
      <c r="A71" s="52"/>
      <c r="B71" s="52"/>
      <c r="C71" s="53"/>
      <c r="D71" s="52"/>
      <c r="E71" s="52" t="s">
        <v>162</v>
      </c>
      <c r="F71" s="52">
        <v>0.42</v>
      </c>
      <c r="G71" s="54">
        <v>1526</v>
      </c>
      <c r="H71" s="55">
        <v>640.92000000000007</v>
      </c>
      <c r="I71" s="55">
        <v>995.31822900189513</v>
      </c>
      <c r="J71" s="55">
        <v>-354.39822900189506</v>
      </c>
      <c r="K71" s="52"/>
      <c r="L71" s="52"/>
      <c r="M71" s="56">
        <f t="shared" si="2"/>
        <v>0</v>
      </c>
      <c r="N71" s="56">
        <f t="shared" si="2"/>
        <v>0</v>
      </c>
      <c r="O71" s="56">
        <f t="shared" si="3"/>
        <v>0</v>
      </c>
    </row>
    <row r="72" spans="1:16" s="6" customFormat="1" x14ac:dyDescent="0.25">
      <c r="A72" s="57"/>
      <c r="B72" s="57" t="s">
        <v>163</v>
      </c>
      <c r="C72" s="58"/>
      <c r="D72" s="57"/>
      <c r="E72" s="57"/>
      <c r="F72" s="57"/>
      <c r="G72" s="59">
        <v>1958</v>
      </c>
      <c r="H72" s="60">
        <v>822.36</v>
      </c>
      <c r="I72" s="60">
        <v>1469.5685859129917</v>
      </c>
      <c r="J72" s="60">
        <v>-647.20858591299168</v>
      </c>
      <c r="K72" s="57"/>
      <c r="L72" s="57"/>
      <c r="M72" s="61"/>
      <c r="N72" s="61"/>
      <c r="O72" s="61">
        <f>SUM(O70:O71)</f>
        <v>0</v>
      </c>
      <c r="P72"/>
    </row>
    <row r="73" spans="1:16" x14ac:dyDescent="0.25">
      <c r="A73" s="52"/>
      <c r="B73" s="52" t="s">
        <v>82</v>
      </c>
      <c r="C73" s="53" t="s">
        <v>76</v>
      </c>
      <c r="D73" s="52" t="s">
        <v>91</v>
      </c>
      <c r="E73" s="52" t="s">
        <v>164</v>
      </c>
      <c r="F73" s="52">
        <v>3.44</v>
      </c>
      <c r="G73" s="54">
        <v>77</v>
      </c>
      <c r="H73" s="55">
        <v>264.88</v>
      </c>
      <c r="I73" s="55">
        <v>640.86</v>
      </c>
      <c r="J73" s="55">
        <v>-375.98</v>
      </c>
      <c r="K73" s="52"/>
      <c r="L73" s="52"/>
      <c r="M73" s="56">
        <f t="shared" si="2"/>
        <v>0</v>
      </c>
      <c r="N73" s="56">
        <f t="shared" si="2"/>
        <v>0</v>
      </c>
      <c r="O73" s="56">
        <f t="shared" si="3"/>
        <v>0</v>
      </c>
    </row>
    <row r="74" spans="1:16" x14ac:dyDescent="0.25">
      <c r="A74" s="52"/>
      <c r="B74" s="52"/>
      <c r="C74" s="53"/>
      <c r="D74" s="52"/>
      <c r="E74" s="52" t="s">
        <v>165</v>
      </c>
      <c r="F74" s="52">
        <v>2.8000000000000003</v>
      </c>
      <c r="G74" s="54">
        <v>1467</v>
      </c>
      <c r="H74" s="55">
        <v>4107.6000000000004</v>
      </c>
      <c r="I74" s="55">
        <v>3795.7099999999996</v>
      </c>
      <c r="J74" s="55">
        <v>311.89000000000004</v>
      </c>
      <c r="K74" s="52"/>
      <c r="L74" s="52"/>
      <c r="M74" s="56">
        <f t="shared" si="2"/>
        <v>0</v>
      </c>
      <c r="N74" s="56">
        <f t="shared" si="2"/>
        <v>0</v>
      </c>
      <c r="O74" s="56">
        <f t="shared" si="3"/>
        <v>0</v>
      </c>
    </row>
    <row r="75" spans="1:16" x14ac:dyDescent="0.25">
      <c r="A75" s="52"/>
      <c r="B75" s="52"/>
      <c r="C75" s="53"/>
      <c r="D75" s="52"/>
      <c r="E75" s="52" t="s">
        <v>166</v>
      </c>
      <c r="F75" s="52">
        <v>3.11</v>
      </c>
      <c r="G75" s="54">
        <v>13</v>
      </c>
      <c r="H75" s="55">
        <v>40.43</v>
      </c>
      <c r="I75" s="55">
        <v>156</v>
      </c>
      <c r="J75" s="55">
        <v>-115.57</v>
      </c>
      <c r="K75" s="52"/>
      <c r="L75" s="52"/>
      <c r="M75" s="56">
        <f t="shared" si="2"/>
        <v>0</v>
      </c>
      <c r="N75" s="56">
        <f t="shared" si="2"/>
        <v>0</v>
      </c>
      <c r="O75" s="56">
        <f t="shared" si="3"/>
        <v>0</v>
      </c>
    </row>
    <row r="76" spans="1:16" s="6" customFormat="1" x14ac:dyDescent="0.25">
      <c r="A76" s="57"/>
      <c r="B76" s="57" t="s">
        <v>95</v>
      </c>
      <c r="C76" s="58"/>
      <c r="D76" s="57"/>
      <c r="E76" s="57"/>
      <c r="F76" s="57"/>
      <c r="G76" s="59">
        <v>1557</v>
      </c>
      <c r="H76" s="60">
        <v>4412.9100000000008</v>
      </c>
      <c r="I76" s="60">
        <v>4592.5700000000006</v>
      </c>
      <c r="J76" s="60">
        <v>-179.65999999999997</v>
      </c>
      <c r="K76" s="57"/>
      <c r="L76" s="57"/>
      <c r="M76" s="61"/>
      <c r="N76" s="61"/>
      <c r="O76" s="61">
        <f>SUM(O73:O75)</f>
        <v>0</v>
      </c>
      <c r="P76"/>
    </row>
    <row r="77" spans="1:16" x14ac:dyDescent="0.25">
      <c r="A77" s="52"/>
      <c r="B77" s="52" t="s">
        <v>121</v>
      </c>
      <c r="C77" s="53" t="s">
        <v>115</v>
      </c>
      <c r="D77" s="52" t="s">
        <v>91</v>
      </c>
      <c r="E77" s="52" t="s">
        <v>167</v>
      </c>
      <c r="F77" s="52">
        <v>2.19</v>
      </c>
      <c r="G77" s="54">
        <v>1284</v>
      </c>
      <c r="H77" s="55">
        <v>2811.96</v>
      </c>
      <c r="I77" s="55">
        <v>2212.1301269582955</v>
      </c>
      <c r="J77" s="55">
        <v>599.82987304170445</v>
      </c>
      <c r="K77" s="52"/>
      <c r="L77" s="52"/>
      <c r="M77" s="56">
        <f t="shared" si="2"/>
        <v>0</v>
      </c>
      <c r="N77" s="56">
        <f t="shared" si="2"/>
        <v>0</v>
      </c>
      <c r="O77" s="56">
        <f t="shared" si="3"/>
        <v>0</v>
      </c>
    </row>
    <row r="78" spans="1:16" s="6" customFormat="1" x14ac:dyDescent="0.25">
      <c r="A78" s="57"/>
      <c r="B78" s="57" t="s">
        <v>123</v>
      </c>
      <c r="C78" s="58"/>
      <c r="D78" s="57"/>
      <c r="E78" s="57"/>
      <c r="F78" s="57"/>
      <c r="G78" s="59">
        <v>1284</v>
      </c>
      <c r="H78" s="60">
        <v>2811.96</v>
      </c>
      <c r="I78" s="60">
        <v>2212.1301269582955</v>
      </c>
      <c r="J78" s="60">
        <v>599.82987304170445</v>
      </c>
      <c r="K78" s="57"/>
      <c r="L78" s="57"/>
      <c r="M78" s="61"/>
      <c r="N78" s="61"/>
      <c r="O78" s="61">
        <f>SUM(O77:O77)</f>
        <v>0</v>
      </c>
      <c r="P78"/>
    </row>
    <row r="79" spans="1:16" s="6" customFormat="1" x14ac:dyDescent="0.25">
      <c r="A79" s="47" t="s">
        <v>168</v>
      </c>
      <c r="B79" s="47"/>
      <c r="C79" s="48"/>
      <c r="D79" s="47"/>
      <c r="E79" s="47"/>
      <c r="F79" s="47"/>
      <c r="G79" s="49">
        <v>51283</v>
      </c>
      <c r="H79" s="50">
        <v>48344.13</v>
      </c>
      <c r="I79" s="50">
        <v>54035.999999999985</v>
      </c>
      <c r="J79" s="50">
        <v>-5691.8700000000026</v>
      </c>
      <c r="K79" s="47"/>
      <c r="L79" s="47"/>
      <c r="M79" s="51"/>
      <c r="N79" s="51"/>
      <c r="O79" s="51"/>
      <c r="P79"/>
    </row>
    <row r="80" spans="1:16" x14ac:dyDescent="0.25">
      <c r="A80" s="52" t="s">
        <v>10</v>
      </c>
      <c r="B80" s="52" t="s">
        <v>116</v>
      </c>
      <c r="C80" s="53" t="s">
        <v>76</v>
      </c>
      <c r="D80" s="52" t="s">
        <v>102</v>
      </c>
      <c r="E80" s="52" t="s">
        <v>169</v>
      </c>
      <c r="F80" s="52">
        <v>0.75</v>
      </c>
      <c r="G80" s="54">
        <v>4458</v>
      </c>
      <c r="H80" s="55">
        <v>3343.5</v>
      </c>
      <c r="I80" s="55">
        <v>5660.2288372093017</v>
      </c>
      <c r="J80" s="55">
        <v>-2316.7288372093021</v>
      </c>
      <c r="K80" s="52"/>
      <c r="L80" s="52"/>
      <c r="M80" s="56">
        <f t="shared" si="2"/>
        <v>0</v>
      </c>
      <c r="N80" s="56">
        <f t="shared" si="2"/>
        <v>0</v>
      </c>
      <c r="O80" s="56">
        <f t="shared" si="3"/>
        <v>0</v>
      </c>
    </row>
    <row r="81" spans="1:16" x14ac:dyDescent="0.25">
      <c r="A81" s="52"/>
      <c r="B81" s="52"/>
      <c r="C81" s="53"/>
      <c r="D81" s="52"/>
      <c r="E81" s="52" t="s">
        <v>170</v>
      </c>
      <c r="F81" s="52">
        <v>0.8</v>
      </c>
      <c r="G81" s="54">
        <v>240</v>
      </c>
      <c r="H81" s="55">
        <v>192</v>
      </c>
      <c r="I81" s="55">
        <v>284.05116279069767</v>
      </c>
      <c r="J81" s="55">
        <v>-92.051162790697674</v>
      </c>
      <c r="K81" s="52"/>
      <c r="L81" s="52"/>
      <c r="M81" s="56">
        <f t="shared" si="2"/>
        <v>0</v>
      </c>
      <c r="N81" s="56">
        <f t="shared" si="2"/>
        <v>0</v>
      </c>
      <c r="O81" s="56">
        <f t="shared" si="3"/>
        <v>0</v>
      </c>
    </row>
    <row r="82" spans="1:16" x14ac:dyDescent="0.25">
      <c r="A82" s="52"/>
      <c r="B82" s="52"/>
      <c r="C82" s="53" t="s">
        <v>86</v>
      </c>
      <c r="D82" s="52" t="s">
        <v>102</v>
      </c>
      <c r="E82" s="52" t="s">
        <v>169</v>
      </c>
      <c r="F82" s="52">
        <v>0.75</v>
      </c>
      <c r="G82" s="54">
        <v>3539</v>
      </c>
      <c r="H82" s="55">
        <v>2654.25</v>
      </c>
      <c r="I82" s="55">
        <v>4967.1399999999994</v>
      </c>
      <c r="J82" s="55">
        <v>-2312.89</v>
      </c>
      <c r="K82" s="52"/>
      <c r="L82" s="52"/>
      <c r="M82" s="56">
        <f t="shared" si="2"/>
        <v>0</v>
      </c>
      <c r="N82" s="56">
        <f t="shared" si="2"/>
        <v>0</v>
      </c>
      <c r="O82" s="56">
        <f t="shared" si="3"/>
        <v>0</v>
      </c>
    </row>
    <row r="83" spans="1:16" x14ac:dyDescent="0.25">
      <c r="A83" s="52"/>
      <c r="B83" s="52"/>
      <c r="C83" s="53"/>
      <c r="D83" s="52"/>
      <c r="E83" s="52" t="s">
        <v>171</v>
      </c>
      <c r="F83" s="52">
        <v>0.75</v>
      </c>
      <c r="G83" s="54">
        <v>410</v>
      </c>
      <c r="H83" s="55">
        <v>307.5</v>
      </c>
      <c r="I83" s="55">
        <v>407.14</v>
      </c>
      <c r="J83" s="55">
        <v>-99.639999999999986</v>
      </c>
      <c r="K83" s="52"/>
      <c r="L83" s="52"/>
      <c r="M83" s="56">
        <f t="shared" si="2"/>
        <v>0</v>
      </c>
      <c r="N83" s="56">
        <f t="shared" si="2"/>
        <v>0</v>
      </c>
      <c r="O83" s="56">
        <f t="shared" si="3"/>
        <v>0</v>
      </c>
    </row>
    <row r="84" spans="1:16" x14ac:dyDescent="0.25">
      <c r="A84" s="52"/>
      <c r="B84" s="52"/>
      <c r="C84" s="53" t="s">
        <v>79</v>
      </c>
      <c r="D84" s="52" t="s">
        <v>172</v>
      </c>
      <c r="E84" s="52" t="s">
        <v>173</v>
      </c>
      <c r="F84" s="52">
        <v>1.9</v>
      </c>
      <c r="G84" s="54">
        <v>252</v>
      </c>
      <c r="H84" s="55">
        <v>478.79999999999995</v>
      </c>
      <c r="I84" s="55">
        <v>612.90322580645159</v>
      </c>
      <c r="J84" s="55">
        <v>-134.10322580645163</v>
      </c>
      <c r="K84" s="52"/>
      <c r="L84" s="52"/>
      <c r="M84" s="56">
        <f t="shared" si="2"/>
        <v>0</v>
      </c>
      <c r="N84" s="56">
        <f t="shared" si="2"/>
        <v>0</v>
      </c>
      <c r="O84" s="56">
        <f t="shared" si="3"/>
        <v>0</v>
      </c>
    </row>
    <row r="85" spans="1:16" x14ac:dyDescent="0.25">
      <c r="A85" s="52"/>
      <c r="B85" s="52"/>
      <c r="C85" s="53"/>
      <c r="D85" s="52" t="s">
        <v>102</v>
      </c>
      <c r="E85" s="52" t="s">
        <v>169</v>
      </c>
      <c r="F85" s="52">
        <v>0.75</v>
      </c>
      <c r="G85" s="54">
        <v>1584</v>
      </c>
      <c r="H85" s="55">
        <v>1188</v>
      </c>
      <c r="I85" s="55">
        <v>2228.0243161094227</v>
      </c>
      <c r="J85" s="55">
        <v>-1040.0243161094227</v>
      </c>
      <c r="K85" s="52"/>
      <c r="L85" s="52"/>
      <c r="M85" s="56">
        <f t="shared" si="2"/>
        <v>0</v>
      </c>
      <c r="N85" s="56">
        <f t="shared" si="2"/>
        <v>0</v>
      </c>
      <c r="O85" s="56">
        <f t="shared" si="3"/>
        <v>0</v>
      </c>
    </row>
    <row r="86" spans="1:16" x14ac:dyDescent="0.25">
      <c r="A86" s="52"/>
      <c r="B86" s="52"/>
      <c r="C86" s="53"/>
      <c r="D86" s="52"/>
      <c r="E86" s="52" t="s">
        <v>171</v>
      </c>
      <c r="F86" s="52">
        <v>0.75</v>
      </c>
      <c r="G86" s="54">
        <v>525</v>
      </c>
      <c r="H86" s="55">
        <v>393.75</v>
      </c>
      <c r="I86" s="55">
        <v>459.11568389057749</v>
      </c>
      <c r="J86" s="55">
        <v>-65.365683890577486</v>
      </c>
      <c r="K86" s="52"/>
      <c r="L86" s="52"/>
      <c r="M86" s="56">
        <f t="shared" si="2"/>
        <v>0</v>
      </c>
      <c r="N86" s="56">
        <f t="shared" si="2"/>
        <v>0</v>
      </c>
      <c r="O86" s="56">
        <f t="shared" si="3"/>
        <v>0</v>
      </c>
    </row>
    <row r="87" spans="1:16" x14ac:dyDescent="0.25">
      <c r="A87" s="52"/>
      <c r="B87" s="52"/>
      <c r="C87" s="53" t="s">
        <v>115</v>
      </c>
      <c r="D87" s="52" t="s">
        <v>172</v>
      </c>
      <c r="E87" s="52" t="s">
        <v>173</v>
      </c>
      <c r="F87" s="52">
        <v>1.9</v>
      </c>
      <c r="G87" s="54">
        <v>152</v>
      </c>
      <c r="H87" s="55">
        <v>288.8</v>
      </c>
      <c r="I87" s="55">
        <v>570</v>
      </c>
      <c r="J87" s="55">
        <v>-281.2</v>
      </c>
      <c r="K87" s="52"/>
      <c r="L87" s="52"/>
      <c r="M87" s="56">
        <f t="shared" si="2"/>
        <v>0</v>
      </c>
      <c r="N87" s="56">
        <f t="shared" si="2"/>
        <v>0</v>
      </c>
      <c r="O87" s="56">
        <f t="shared" si="3"/>
        <v>0</v>
      </c>
    </row>
    <row r="88" spans="1:16" x14ac:dyDescent="0.25">
      <c r="A88" s="52"/>
      <c r="B88" s="52"/>
      <c r="C88" s="53"/>
      <c r="D88" s="52" t="s">
        <v>102</v>
      </c>
      <c r="E88" s="52" t="s">
        <v>169</v>
      </c>
      <c r="F88" s="52">
        <v>0.75</v>
      </c>
      <c r="G88" s="54">
        <v>1860</v>
      </c>
      <c r="H88" s="55">
        <v>1395</v>
      </c>
      <c r="I88" s="55">
        <v>1710</v>
      </c>
      <c r="J88" s="55">
        <v>-315</v>
      </c>
      <c r="K88" s="52"/>
      <c r="L88" s="52"/>
      <c r="M88" s="56">
        <f t="shared" si="2"/>
        <v>0</v>
      </c>
      <c r="N88" s="56">
        <f t="shared" si="2"/>
        <v>0</v>
      </c>
      <c r="O88" s="56">
        <f t="shared" si="3"/>
        <v>0</v>
      </c>
    </row>
    <row r="89" spans="1:16" x14ac:dyDescent="0.25">
      <c r="A89" s="52"/>
      <c r="B89" s="52"/>
      <c r="C89" s="53"/>
      <c r="D89" s="52"/>
      <c r="E89" s="52" t="s">
        <v>171</v>
      </c>
      <c r="F89" s="52">
        <v>0.75</v>
      </c>
      <c r="G89" s="54">
        <v>1060</v>
      </c>
      <c r="H89" s="55">
        <v>795</v>
      </c>
      <c r="I89" s="55">
        <v>977.14</v>
      </c>
      <c r="J89" s="55">
        <v>-182.14</v>
      </c>
      <c r="K89" s="52"/>
      <c r="L89" s="52"/>
      <c r="M89" s="56">
        <f t="shared" si="2"/>
        <v>0</v>
      </c>
      <c r="N89" s="56">
        <f t="shared" si="2"/>
        <v>0</v>
      </c>
      <c r="O89" s="56">
        <f t="shared" si="3"/>
        <v>0</v>
      </c>
    </row>
    <row r="90" spans="1:16" s="6" customFormat="1" x14ac:dyDescent="0.25">
      <c r="A90" s="57"/>
      <c r="B90" s="57" t="s">
        <v>120</v>
      </c>
      <c r="C90" s="58"/>
      <c r="D90" s="57"/>
      <c r="E90" s="57"/>
      <c r="F90" s="57"/>
      <c r="G90" s="59">
        <v>14080</v>
      </c>
      <c r="H90" s="60">
        <v>11036.599999999999</v>
      </c>
      <c r="I90" s="60">
        <v>17875.743225806451</v>
      </c>
      <c r="J90" s="60">
        <v>-6839.1432258064533</v>
      </c>
      <c r="K90" s="57"/>
      <c r="L90" s="57"/>
      <c r="M90" s="61"/>
      <c r="N90" s="61"/>
      <c r="O90" s="61">
        <f>SUM(O80:O89)</f>
        <v>0</v>
      </c>
      <c r="P90"/>
    </row>
    <row r="91" spans="1:16" x14ac:dyDescent="0.25">
      <c r="A91" s="52"/>
      <c r="B91" s="52" t="s">
        <v>174</v>
      </c>
      <c r="C91" s="53" t="s">
        <v>175</v>
      </c>
      <c r="D91" s="52" t="s">
        <v>102</v>
      </c>
      <c r="E91" s="52" t="s">
        <v>176</v>
      </c>
      <c r="F91" s="52">
        <v>1.08</v>
      </c>
      <c r="G91" s="54">
        <v>1035</v>
      </c>
      <c r="H91" s="55">
        <v>1117.8000000000002</v>
      </c>
      <c r="I91" s="55">
        <v>1519.6523745222321</v>
      </c>
      <c r="J91" s="55">
        <v>-401.85237452223231</v>
      </c>
      <c r="K91" s="52"/>
      <c r="L91" s="52"/>
      <c r="M91" s="56">
        <f t="shared" si="2"/>
        <v>0</v>
      </c>
      <c r="N91" s="56">
        <f t="shared" si="2"/>
        <v>0</v>
      </c>
      <c r="O91" s="56">
        <f t="shared" si="3"/>
        <v>0</v>
      </c>
    </row>
    <row r="92" spans="1:16" x14ac:dyDescent="0.25">
      <c r="A92" s="52"/>
      <c r="B92" s="52"/>
      <c r="C92" s="53"/>
      <c r="D92" s="52"/>
      <c r="E92" s="52" t="s">
        <v>177</v>
      </c>
      <c r="F92" s="52">
        <v>1.17</v>
      </c>
      <c r="G92" s="54">
        <v>1422</v>
      </c>
      <c r="H92" s="55">
        <v>1663.74</v>
      </c>
      <c r="I92" s="55">
        <v>1737.4876254777678</v>
      </c>
      <c r="J92" s="55">
        <v>-73.747625477767656</v>
      </c>
      <c r="K92" s="52"/>
      <c r="L92" s="52"/>
      <c r="M92" s="56">
        <f t="shared" si="2"/>
        <v>0</v>
      </c>
      <c r="N92" s="56">
        <f t="shared" si="2"/>
        <v>0</v>
      </c>
      <c r="O92" s="56">
        <f t="shared" si="3"/>
        <v>0</v>
      </c>
    </row>
    <row r="93" spans="1:16" x14ac:dyDescent="0.25">
      <c r="A93" s="52"/>
      <c r="B93" s="52"/>
      <c r="C93" s="53" t="s">
        <v>79</v>
      </c>
      <c r="D93" s="52" t="s">
        <v>172</v>
      </c>
      <c r="E93" s="52" t="s">
        <v>178</v>
      </c>
      <c r="F93" s="52">
        <v>2.69</v>
      </c>
      <c r="G93" s="54">
        <v>398</v>
      </c>
      <c r="H93" s="55">
        <v>1070.6199999999999</v>
      </c>
      <c r="I93" s="55">
        <v>1156.3440860215053</v>
      </c>
      <c r="J93" s="55">
        <v>-85.724086021505357</v>
      </c>
      <c r="K93" s="52"/>
      <c r="L93" s="52"/>
      <c r="M93" s="56">
        <f t="shared" si="2"/>
        <v>0</v>
      </c>
      <c r="N93" s="56">
        <f t="shared" si="2"/>
        <v>0</v>
      </c>
      <c r="O93" s="56">
        <f t="shared" si="3"/>
        <v>0</v>
      </c>
    </row>
    <row r="94" spans="1:16" x14ac:dyDescent="0.25">
      <c r="A94" s="52"/>
      <c r="B94" s="52"/>
      <c r="C94" s="53"/>
      <c r="D94" s="52"/>
      <c r="E94" s="52" t="s">
        <v>179</v>
      </c>
      <c r="F94" s="52">
        <v>1.0900000000000001</v>
      </c>
      <c r="G94" s="54">
        <v>736</v>
      </c>
      <c r="H94" s="55">
        <v>802.24</v>
      </c>
      <c r="I94" s="55">
        <v>1080.752688172043</v>
      </c>
      <c r="J94" s="55">
        <v>-278.512688172043</v>
      </c>
      <c r="K94" s="52"/>
      <c r="L94" s="52"/>
      <c r="M94" s="56">
        <f t="shared" si="2"/>
        <v>0</v>
      </c>
      <c r="N94" s="56">
        <f t="shared" si="2"/>
        <v>0</v>
      </c>
      <c r="O94" s="56">
        <f t="shared" si="3"/>
        <v>0</v>
      </c>
    </row>
    <row r="95" spans="1:16" x14ac:dyDescent="0.25">
      <c r="A95" s="52"/>
      <c r="B95" s="52"/>
      <c r="C95" s="53"/>
      <c r="D95" s="52" t="s">
        <v>180</v>
      </c>
      <c r="E95" s="52" t="s">
        <v>181</v>
      </c>
      <c r="F95" s="52">
        <v>2.27</v>
      </c>
      <c r="G95" s="54">
        <v>528</v>
      </c>
      <c r="H95" s="55">
        <v>1198.56</v>
      </c>
      <c r="I95" s="55">
        <v>570</v>
      </c>
      <c r="J95" s="55">
        <v>628.55999999999995</v>
      </c>
      <c r="K95" s="52"/>
      <c r="L95" s="52"/>
      <c r="M95" s="56">
        <f t="shared" si="2"/>
        <v>0</v>
      </c>
      <c r="N95" s="56">
        <f t="shared" si="2"/>
        <v>0</v>
      </c>
      <c r="O95" s="56">
        <f t="shared" si="3"/>
        <v>0</v>
      </c>
    </row>
    <row r="96" spans="1:16" x14ac:dyDescent="0.25">
      <c r="A96" s="52"/>
      <c r="B96" s="52"/>
      <c r="C96" s="53"/>
      <c r="D96" s="52"/>
      <c r="E96" s="52" t="s">
        <v>182</v>
      </c>
      <c r="F96" s="52">
        <v>1.77</v>
      </c>
      <c r="G96" s="54">
        <v>422</v>
      </c>
      <c r="H96" s="55">
        <v>746.94</v>
      </c>
      <c r="I96" s="55">
        <v>570</v>
      </c>
      <c r="J96" s="55">
        <v>176.94000000000005</v>
      </c>
      <c r="K96" s="52"/>
      <c r="L96" s="52"/>
      <c r="M96" s="56">
        <f t="shared" si="2"/>
        <v>0</v>
      </c>
      <c r="N96" s="56">
        <f t="shared" si="2"/>
        <v>0</v>
      </c>
      <c r="O96" s="56">
        <f t="shared" si="3"/>
        <v>0</v>
      </c>
    </row>
    <row r="97" spans="1:15" x14ac:dyDescent="0.25">
      <c r="A97" s="52"/>
      <c r="B97" s="52"/>
      <c r="C97" s="53"/>
      <c r="D97" s="52" t="s">
        <v>102</v>
      </c>
      <c r="E97" s="52" t="s">
        <v>176</v>
      </c>
      <c r="F97" s="52">
        <v>1.08</v>
      </c>
      <c r="G97" s="54">
        <v>805</v>
      </c>
      <c r="H97" s="55">
        <v>869.4</v>
      </c>
      <c r="I97" s="55">
        <v>570</v>
      </c>
      <c r="J97" s="55">
        <v>299.39999999999998</v>
      </c>
      <c r="K97" s="52"/>
      <c r="L97" s="52"/>
      <c r="M97" s="56">
        <f t="shared" si="2"/>
        <v>0</v>
      </c>
      <c r="N97" s="56">
        <f t="shared" si="2"/>
        <v>0</v>
      </c>
      <c r="O97" s="56">
        <f t="shared" si="3"/>
        <v>0</v>
      </c>
    </row>
    <row r="98" spans="1:15" x14ac:dyDescent="0.25">
      <c r="A98" s="52"/>
      <c r="B98" s="52"/>
      <c r="C98" s="53"/>
      <c r="D98" s="52"/>
      <c r="E98" s="52" t="s">
        <v>183</v>
      </c>
      <c r="F98" s="52">
        <v>1.06</v>
      </c>
      <c r="G98" s="54">
        <v>159</v>
      </c>
      <c r="H98" s="55">
        <v>168.54</v>
      </c>
      <c r="I98" s="55">
        <v>570</v>
      </c>
      <c r="J98" s="55">
        <v>-401.46000000000004</v>
      </c>
      <c r="K98" s="52"/>
      <c r="L98" s="52"/>
      <c r="M98" s="56">
        <f t="shared" si="2"/>
        <v>0</v>
      </c>
      <c r="N98" s="56">
        <f t="shared" si="2"/>
        <v>0</v>
      </c>
      <c r="O98" s="56">
        <f t="shared" si="3"/>
        <v>0</v>
      </c>
    </row>
    <row r="99" spans="1:15" x14ac:dyDescent="0.25">
      <c r="A99" s="52"/>
      <c r="B99" s="52"/>
      <c r="C99" s="53"/>
      <c r="D99" s="52"/>
      <c r="E99" s="52" t="s">
        <v>184</v>
      </c>
      <c r="F99" s="52">
        <v>2.16</v>
      </c>
      <c r="G99" s="54">
        <v>602</v>
      </c>
      <c r="H99" s="55">
        <v>1300.3200000000002</v>
      </c>
      <c r="I99" s="55">
        <v>977.14</v>
      </c>
      <c r="J99" s="55">
        <v>323.18000000000006</v>
      </c>
      <c r="K99" s="52"/>
      <c r="L99" s="52"/>
      <c r="M99" s="56">
        <f t="shared" si="2"/>
        <v>0</v>
      </c>
      <c r="N99" s="56">
        <f t="shared" si="2"/>
        <v>0</v>
      </c>
      <c r="O99" s="56">
        <f t="shared" si="3"/>
        <v>0</v>
      </c>
    </row>
    <row r="100" spans="1:15" x14ac:dyDescent="0.25">
      <c r="A100" s="52"/>
      <c r="B100" s="52"/>
      <c r="C100" s="53" t="s">
        <v>115</v>
      </c>
      <c r="D100" s="52" t="s">
        <v>172</v>
      </c>
      <c r="E100" s="52" t="s">
        <v>178</v>
      </c>
      <c r="F100" s="52">
        <v>2.69</v>
      </c>
      <c r="G100" s="54">
        <v>404</v>
      </c>
      <c r="H100" s="55">
        <v>1086.76</v>
      </c>
      <c r="I100" s="55">
        <v>1178</v>
      </c>
      <c r="J100" s="55">
        <v>-91.240000000000038</v>
      </c>
      <c r="K100" s="52"/>
      <c r="L100" s="52"/>
      <c r="M100" s="56">
        <f t="shared" si="2"/>
        <v>0</v>
      </c>
      <c r="N100" s="56">
        <f t="shared" si="2"/>
        <v>0</v>
      </c>
      <c r="O100" s="56">
        <f t="shared" si="3"/>
        <v>0</v>
      </c>
    </row>
    <row r="101" spans="1:15" x14ac:dyDescent="0.25">
      <c r="A101" s="52"/>
      <c r="B101" s="52"/>
      <c r="C101" s="53"/>
      <c r="D101" s="52"/>
      <c r="E101" s="52" t="s">
        <v>179</v>
      </c>
      <c r="F101" s="52">
        <v>1.0900000000000001</v>
      </c>
      <c r="G101" s="54">
        <v>980</v>
      </c>
      <c r="H101" s="55">
        <v>1068.2</v>
      </c>
      <c r="I101" s="55">
        <v>1672</v>
      </c>
      <c r="J101" s="55">
        <v>-603.80000000000007</v>
      </c>
      <c r="K101" s="52"/>
      <c r="L101" s="52"/>
      <c r="M101" s="56">
        <f t="shared" si="2"/>
        <v>0</v>
      </c>
      <c r="N101" s="56">
        <f t="shared" si="2"/>
        <v>0</v>
      </c>
      <c r="O101" s="56">
        <f t="shared" si="3"/>
        <v>0</v>
      </c>
    </row>
    <row r="102" spans="1:15" x14ac:dyDescent="0.25">
      <c r="A102" s="52"/>
      <c r="B102" s="52"/>
      <c r="C102" s="53"/>
      <c r="D102" s="52" t="s">
        <v>180</v>
      </c>
      <c r="E102" s="52" t="s">
        <v>181</v>
      </c>
      <c r="F102" s="52">
        <v>2.27</v>
      </c>
      <c r="G102" s="54">
        <v>440</v>
      </c>
      <c r="H102" s="55">
        <v>998.8</v>
      </c>
      <c r="I102" s="55">
        <v>968.04469273743018</v>
      </c>
      <c r="J102" s="55">
        <v>30.755307262569829</v>
      </c>
      <c r="K102" s="52"/>
      <c r="L102" s="52"/>
      <c r="M102" s="56">
        <f t="shared" si="2"/>
        <v>0</v>
      </c>
      <c r="N102" s="56">
        <f t="shared" si="2"/>
        <v>0</v>
      </c>
      <c r="O102" s="56">
        <f t="shared" si="3"/>
        <v>0</v>
      </c>
    </row>
    <row r="103" spans="1:15" x14ac:dyDescent="0.25">
      <c r="A103" s="52"/>
      <c r="B103" s="52"/>
      <c r="C103" s="53"/>
      <c r="D103" s="52"/>
      <c r="E103" s="52" t="s">
        <v>182</v>
      </c>
      <c r="F103" s="52">
        <v>1.77</v>
      </c>
      <c r="G103" s="54">
        <v>108</v>
      </c>
      <c r="H103" s="55">
        <v>191.16</v>
      </c>
      <c r="I103" s="55">
        <v>741.95530726256982</v>
      </c>
      <c r="J103" s="55">
        <v>-550.79530726256985</v>
      </c>
      <c r="K103" s="52"/>
      <c r="L103" s="52"/>
      <c r="M103" s="56">
        <f t="shared" si="2"/>
        <v>0</v>
      </c>
      <c r="N103" s="56">
        <f t="shared" si="2"/>
        <v>0</v>
      </c>
      <c r="O103" s="56">
        <f t="shared" si="3"/>
        <v>0</v>
      </c>
    </row>
    <row r="104" spans="1:15" x14ac:dyDescent="0.25">
      <c r="A104" s="52"/>
      <c r="B104" s="52"/>
      <c r="C104" s="53"/>
      <c r="D104" s="52" t="s">
        <v>102</v>
      </c>
      <c r="E104" s="52" t="s">
        <v>183</v>
      </c>
      <c r="F104" s="52">
        <v>1.06</v>
      </c>
      <c r="G104" s="54">
        <v>130</v>
      </c>
      <c r="H104" s="55">
        <v>137.80000000000001</v>
      </c>
      <c r="I104" s="55">
        <v>177.69784172661872</v>
      </c>
      <c r="J104" s="55">
        <v>-39.897841726618708</v>
      </c>
      <c r="K104" s="52"/>
      <c r="L104" s="52"/>
      <c r="M104" s="56">
        <f t="shared" si="2"/>
        <v>0</v>
      </c>
      <c r="N104" s="56">
        <f t="shared" si="2"/>
        <v>0</v>
      </c>
      <c r="O104" s="56">
        <f t="shared" si="3"/>
        <v>0</v>
      </c>
    </row>
    <row r="105" spans="1:15" x14ac:dyDescent="0.25">
      <c r="A105" s="52"/>
      <c r="B105" s="52"/>
      <c r="C105" s="53"/>
      <c r="D105" s="52"/>
      <c r="E105" s="52" t="s">
        <v>184</v>
      </c>
      <c r="F105" s="52">
        <v>2.16</v>
      </c>
      <c r="G105" s="54">
        <v>385</v>
      </c>
      <c r="H105" s="55">
        <v>831.6</v>
      </c>
      <c r="I105" s="55">
        <v>977.14</v>
      </c>
      <c r="J105" s="55">
        <v>-145.53999999999996</v>
      </c>
      <c r="K105" s="52"/>
      <c r="L105" s="52"/>
      <c r="M105" s="56">
        <f t="shared" si="2"/>
        <v>0</v>
      </c>
      <c r="N105" s="56">
        <f t="shared" si="2"/>
        <v>0</v>
      </c>
      <c r="O105" s="56">
        <f t="shared" si="3"/>
        <v>0</v>
      </c>
    </row>
    <row r="106" spans="1:15" x14ac:dyDescent="0.25">
      <c r="A106" s="52"/>
      <c r="B106" s="52"/>
      <c r="C106" s="53" t="s">
        <v>185</v>
      </c>
      <c r="D106" s="52" t="s">
        <v>186</v>
      </c>
      <c r="E106" s="52" t="s">
        <v>187</v>
      </c>
      <c r="F106" s="52">
        <v>2</v>
      </c>
      <c r="G106" s="54">
        <v>785</v>
      </c>
      <c r="H106" s="55">
        <v>1570</v>
      </c>
      <c r="I106" s="55">
        <v>1311.3992592592592</v>
      </c>
      <c r="J106" s="55">
        <v>258.60074074074072</v>
      </c>
      <c r="K106" s="52"/>
      <c r="L106" s="52"/>
      <c r="M106" s="56">
        <f t="shared" si="2"/>
        <v>0</v>
      </c>
      <c r="N106" s="56">
        <f t="shared" si="2"/>
        <v>0</v>
      </c>
      <c r="O106" s="56">
        <f t="shared" si="3"/>
        <v>0</v>
      </c>
    </row>
    <row r="107" spans="1:15" x14ac:dyDescent="0.25">
      <c r="A107" s="52"/>
      <c r="B107" s="52"/>
      <c r="C107" s="53"/>
      <c r="D107" s="52"/>
      <c r="E107" s="52" t="s">
        <v>188</v>
      </c>
      <c r="F107" s="52">
        <v>1.94</v>
      </c>
      <c r="G107" s="54">
        <v>1107</v>
      </c>
      <c r="H107" s="55">
        <v>2147.58</v>
      </c>
      <c r="I107" s="55">
        <v>1963.2449760765551</v>
      </c>
      <c r="J107" s="55">
        <v>184.33502392344496</v>
      </c>
      <c r="K107" s="52"/>
      <c r="L107" s="52"/>
      <c r="M107" s="56">
        <f t="shared" si="2"/>
        <v>0</v>
      </c>
      <c r="N107" s="56">
        <f t="shared" si="2"/>
        <v>0</v>
      </c>
      <c r="O107" s="56">
        <f t="shared" si="3"/>
        <v>0</v>
      </c>
    </row>
    <row r="108" spans="1:15" x14ac:dyDescent="0.25">
      <c r="A108" s="52"/>
      <c r="B108" s="52"/>
      <c r="C108" s="53"/>
      <c r="D108" s="52" t="s">
        <v>160</v>
      </c>
      <c r="E108" s="52" t="s">
        <v>189</v>
      </c>
      <c r="F108" s="52">
        <v>1.35</v>
      </c>
      <c r="G108" s="54">
        <v>1710</v>
      </c>
      <c r="H108" s="55">
        <v>2308.5</v>
      </c>
      <c r="I108" s="55">
        <v>1596.509457318281</v>
      </c>
      <c r="J108" s="55">
        <v>711.99054268171915</v>
      </c>
      <c r="K108" s="52"/>
      <c r="L108" s="52"/>
      <c r="M108" s="56">
        <f t="shared" si="2"/>
        <v>0</v>
      </c>
      <c r="N108" s="56">
        <f t="shared" si="2"/>
        <v>0</v>
      </c>
      <c r="O108" s="56">
        <f t="shared" si="3"/>
        <v>0</v>
      </c>
    </row>
    <row r="109" spans="1:15" x14ac:dyDescent="0.25">
      <c r="A109" s="52"/>
      <c r="B109" s="52"/>
      <c r="C109" s="53"/>
      <c r="D109" s="52" t="s">
        <v>106</v>
      </c>
      <c r="E109" s="52" t="s">
        <v>190</v>
      </c>
      <c r="F109" s="52">
        <v>1.4</v>
      </c>
      <c r="G109" s="54">
        <v>629</v>
      </c>
      <c r="H109" s="55">
        <v>880.6</v>
      </c>
      <c r="I109" s="55">
        <v>628.17641575400467</v>
      </c>
      <c r="J109" s="55">
        <v>252.42358424599527</v>
      </c>
      <c r="K109" s="52"/>
      <c r="L109" s="52"/>
      <c r="M109" s="56">
        <f t="shared" si="2"/>
        <v>0</v>
      </c>
      <c r="N109" s="56">
        <f t="shared" si="2"/>
        <v>0</v>
      </c>
      <c r="O109" s="56">
        <f t="shared" si="3"/>
        <v>0</v>
      </c>
    </row>
    <row r="110" spans="1:15" x14ac:dyDescent="0.25">
      <c r="A110" s="52"/>
      <c r="B110" s="52"/>
      <c r="C110" s="53"/>
      <c r="D110" s="52"/>
      <c r="E110" s="52" t="s">
        <v>191</v>
      </c>
      <c r="F110" s="52">
        <v>1.3</v>
      </c>
      <c r="G110" s="54">
        <v>139</v>
      </c>
      <c r="H110" s="55">
        <v>180.7</v>
      </c>
      <c r="I110" s="55">
        <v>704.37262357414443</v>
      </c>
      <c r="J110" s="55">
        <v>-523.6726235741445</v>
      </c>
      <c r="K110" s="52"/>
      <c r="L110" s="52"/>
      <c r="M110" s="56">
        <f t="shared" si="2"/>
        <v>0</v>
      </c>
      <c r="N110" s="56">
        <f t="shared" si="2"/>
        <v>0</v>
      </c>
      <c r="O110" s="56">
        <f t="shared" si="3"/>
        <v>0</v>
      </c>
    </row>
    <row r="111" spans="1:15" x14ac:dyDescent="0.25">
      <c r="A111" s="52"/>
      <c r="B111" s="52"/>
      <c r="C111" s="53"/>
      <c r="D111" s="52"/>
      <c r="E111" s="52" t="s">
        <v>192</v>
      </c>
      <c r="F111" s="52">
        <v>1.36</v>
      </c>
      <c r="G111" s="54">
        <v>1592</v>
      </c>
      <c r="H111" s="55">
        <v>2165.12</v>
      </c>
      <c r="I111" s="55">
        <v>1950.5703422053232</v>
      </c>
      <c r="J111" s="55">
        <v>214.5496577946769</v>
      </c>
      <c r="K111" s="52"/>
      <c r="L111" s="52"/>
      <c r="M111" s="56">
        <f t="shared" si="2"/>
        <v>0</v>
      </c>
      <c r="N111" s="56">
        <f t="shared" si="2"/>
        <v>0</v>
      </c>
      <c r="O111" s="56">
        <f t="shared" si="3"/>
        <v>0</v>
      </c>
    </row>
    <row r="112" spans="1:15" x14ac:dyDescent="0.25">
      <c r="A112" s="52"/>
      <c r="B112" s="52"/>
      <c r="C112" s="53"/>
      <c r="D112" s="52"/>
      <c r="E112" s="52" t="s">
        <v>193</v>
      </c>
      <c r="F112" s="52">
        <v>1.34</v>
      </c>
      <c r="G112" s="54">
        <v>2017</v>
      </c>
      <c r="H112" s="55">
        <v>2702.7799999999997</v>
      </c>
      <c r="I112" s="55">
        <v>2556.4756294460362</v>
      </c>
      <c r="J112" s="55">
        <v>146.30437055396408</v>
      </c>
      <c r="K112" s="52"/>
      <c r="L112" s="52"/>
      <c r="M112" s="56">
        <f t="shared" si="2"/>
        <v>0</v>
      </c>
      <c r="N112" s="56">
        <f t="shared" si="2"/>
        <v>0</v>
      </c>
      <c r="O112" s="56">
        <f t="shared" si="3"/>
        <v>0</v>
      </c>
    </row>
    <row r="113" spans="1:15" x14ac:dyDescent="0.25">
      <c r="A113" s="52"/>
      <c r="B113" s="52"/>
      <c r="C113" s="53"/>
      <c r="D113" s="52" t="s">
        <v>194</v>
      </c>
      <c r="E113" s="52" t="s">
        <v>195</v>
      </c>
      <c r="F113" s="52">
        <v>1.97</v>
      </c>
      <c r="G113" s="54">
        <v>350</v>
      </c>
      <c r="H113" s="55">
        <v>689.5</v>
      </c>
      <c r="I113" s="55">
        <v>407.14</v>
      </c>
      <c r="J113" s="55">
        <v>282.36</v>
      </c>
      <c r="K113" s="52"/>
      <c r="L113" s="52"/>
      <c r="M113" s="56">
        <f t="shared" si="2"/>
        <v>0</v>
      </c>
      <c r="N113" s="56">
        <f t="shared" si="2"/>
        <v>0</v>
      </c>
      <c r="O113" s="56">
        <f t="shared" si="3"/>
        <v>0</v>
      </c>
    </row>
    <row r="114" spans="1:15" x14ac:dyDescent="0.25">
      <c r="A114" s="52"/>
      <c r="B114" s="52"/>
      <c r="C114" s="53"/>
      <c r="D114" s="52"/>
      <c r="E114" s="52" t="s">
        <v>196</v>
      </c>
      <c r="F114" s="52">
        <v>1.78</v>
      </c>
      <c r="G114" s="54">
        <v>1606</v>
      </c>
      <c r="H114" s="55">
        <v>2858.68</v>
      </c>
      <c r="I114" s="55">
        <v>1365.5383176429923</v>
      </c>
      <c r="J114" s="55">
        <v>1493.1416823570078</v>
      </c>
      <c r="K114" s="52"/>
      <c r="L114" s="52"/>
      <c r="M114" s="56">
        <f t="shared" si="2"/>
        <v>0</v>
      </c>
      <c r="N114" s="56">
        <f t="shared" si="2"/>
        <v>0</v>
      </c>
      <c r="O114" s="56">
        <f t="shared" si="3"/>
        <v>0</v>
      </c>
    </row>
    <row r="115" spans="1:15" x14ac:dyDescent="0.25">
      <c r="A115" s="52"/>
      <c r="B115" s="52"/>
      <c r="C115" s="53"/>
      <c r="D115" s="52" t="s">
        <v>180</v>
      </c>
      <c r="E115" s="52" t="s">
        <v>182</v>
      </c>
      <c r="F115" s="52">
        <v>1.77</v>
      </c>
      <c r="G115" s="54">
        <v>170</v>
      </c>
      <c r="H115" s="55">
        <v>300.89999999999998</v>
      </c>
      <c r="I115" s="55">
        <v>318.75</v>
      </c>
      <c r="J115" s="55">
        <v>-17.850000000000023</v>
      </c>
      <c r="K115" s="52"/>
      <c r="L115" s="52"/>
      <c r="M115" s="56">
        <f t="shared" si="2"/>
        <v>0</v>
      </c>
      <c r="N115" s="56">
        <f t="shared" si="2"/>
        <v>0</v>
      </c>
      <c r="O115" s="56">
        <f t="shared" si="3"/>
        <v>0</v>
      </c>
    </row>
    <row r="116" spans="1:15" x14ac:dyDescent="0.25">
      <c r="A116" s="52"/>
      <c r="B116" s="52"/>
      <c r="C116" s="53"/>
      <c r="D116" s="52" t="s">
        <v>102</v>
      </c>
      <c r="E116" s="52" t="s">
        <v>183</v>
      </c>
      <c r="F116" s="52">
        <v>1.06</v>
      </c>
      <c r="G116" s="54">
        <v>1432</v>
      </c>
      <c r="H116" s="55">
        <v>1517.92</v>
      </c>
      <c r="I116" s="55">
        <v>1366.3829787234042</v>
      </c>
      <c r="J116" s="55">
        <v>151.53702127659577</v>
      </c>
      <c r="K116" s="52"/>
      <c r="L116" s="52"/>
      <c r="M116" s="56">
        <f t="shared" si="2"/>
        <v>0</v>
      </c>
      <c r="N116" s="56">
        <f t="shared" si="2"/>
        <v>0</v>
      </c>
      <c r="O116" s="56">
        <f t="shared" si="3"/>
        <v>0</v>
      </c>
    </row>
    <row r="117" spans="1:15" x14ac:dyDescent="0.25">
      <c r="A117" s="52"/>
      <c r="B117" s="52"/>
      <c r="C117" s="53" t="s">
        <v>197</v>
      </c>
      <c r="D117" s="52" t="s">
        <v>186</v>
      </c>
      <c r="E117" s="52" t="s">
        <v>187</v>
      </c>
      <c r="F117" s="52">
        <v>2</v>
      </c>
      <c r="G117" s="54">
        <v>861</v>
      </c>
      <c r="H117" s="55">
        <v>1722</v>
      </c>
      <c r="I117" s="55">
        <v>1522.6522273628552</v>
      </c>
      <c r="J117" s="55">
        <v>199.3477726371448</v>
      </c>
      <c r="K117" s="52"/>
      <c r="L117" s="52"/>
      <c r="M117" s="56">
        <f t="shared" si="2"/>
        <v>0</v>
      </c>
      <c r="N117" s="56">
        <f t="shared" si="2"/>
        <v>0</v>
      </c>
      <c r="O117" s="56">
        <f t="shared" si="3"/>
        <v>0</v>
      </c>
    </row>
    <row r="118" spans="1:15" x14ac:dyDescent="0.25">
      <c r="A118" s="52"/>
      <c r="B118" s="52"/>
      <c r="C118" s="53"/>
      <c r="D118" s="52"/>
      <c r="E118" s="52" t="s">
        <v>188</v>
      </c>
      <c r="F118" s="52">
        <v>1.9400000000000002</v>
      </c>
      <c r="G118" s="54">
        <v>729</v>
      </c>
      <c r="H118" s="55">
        <v>1414.26</v>
      </c>
      <c r="I118" s="55">
        <v>1316.217616580311</v>
      </c>
      <c r="J118" s="55">
        <v>98.042383419689088</v>
      </c>
      <c r="K118" s="52"/>
      <c r="L118" s="52"/>
      <c r="M118" s="56">
        <f t="shared" si="2"/>
        <v>0</v>
      </c>
      <c r="N118" s="56">
        <f t="shared" si="2"/>
        <v>0</v>
      </c>
      <c r="O118" s="56">
        <f t="shared" si="3"/>
        <v>0</v>
      </c>
    </row>
    <row r="119" spans="1:15" x14ac:dyDescent="0.25">
      <c r="A119" s="52"/>
      <c r="B119" s="52"/>
      <c r="C119" s="53"/>
      <c r="D119" s="52" t="s">
        <v>160</v>
      </c>
      <c r="E119" s="52" t="s">
        <v>189</v>
      </c>
      <c r="F119" s="52">
        <v>1.3500000000000003</v>
      </c>
      <c r="G119" s="54">
        <v>1635</v>
      </c>
      <c r="H119" s="55">
        <v>2207.25</v>
      </c>
      <c r="I119" s="55">
        <v>1428.0212014134277</v>
      </c>
      <c r="J119" s="55">
        <v>779.22879858657245</v>
      </c>
      <c r="K119" s="52"/>
      <c r="L119" s="52"/>
      <c r="M119" s="56">
        <f t="shared" si="2"/>
        <v>0</v>
      </c>
      <c r="N119" s="56">
        <f t="shared" si="2"/>
        <v>0</v>
      </c>
      <c r="O119" s="56">
        <f t="shared" si="3"/>
        <v>0</v>
      </c>
    </row>
    <row r="120" spans="1:15" x14ac:dyDescent="0.25">
      <c r="A120" s="52"/>
      <c r="B120" s="52"/>
      <c r="C120" s="53"/>
      <c r="D120" s="52" t="s">
        <v>106</v>
      </c>
      <c r="E120" s="52" t="s">
        <v>190</v>
      </c>
      <c r="F120" s="52">
        <v>1.4</v>
      </c>
      <c r="G120" s="54">
        <v>616</v>
      </c>
      <c r="H120" s="55">
        <v>862.4</v>
      </c>
      <c r="I120" s="55">
        <v>796.13532459615976</v>
      </c>
      <c r="J120" s="55">
        <v>66.264675403840272</v>
      </c>
      <c r="K120" s="52"/>
      <c r="L120" s="52"/>
      <c r="M120" s="56">
        <f t="shared" si="2"/>
        <v>0</v>
      </c>
      <c r="N120" s="56">
        <f t="shared" si="2"/>
        <v>0</v>
      </c>
      <c r="O120" s="56">
        <f t="shared" si="3"/>
        <v>0</v>
      </c>
    </row>
    <row r="121" spans="1:15" x14ac:dyDescent="0.25">
      <c r="A121" s="52"/>
      <c r="B121" s="52"/>
      <c r="C121" s="53"/>
      <c r="D121" s="52"/>
      <c r="E121" s="52" t="s">
        <v>191</v>
      </c>
      <c r="F121" s="52">
        <v>1.3</v>
      </c>
      <c r="G121" s="54">
        <v>80</v>
      </c>
      <c r="H121" s="55">
        <v>104</v>
      </c>
      <c r="I121" s="55">
        <v>161.13074204946997</v>
      </c>
      <c r="J121" s="55">
        <v>-57.130742049469973</v>
      </c>
      <c r="K121" s="52"/>
      <c r="L121" s="52"/>
      <c r="M121" s="56">
        <f t="shared" si="2"/>
        <v>0</v>
      </c>
      <c r="N121" s="56">
        <f t="shared" si="2"/>
        <v>0</v>
      </c>
      <c r="O121" s="56">
        <f t="shared" si="3"/>
        <v>0</v>
      </c>
    </row>
    <row r="122" spans="1:15" x14ac:dyDescent="0.25">
      <c r="A122" s="52"/>
      <c r="B122" s="52"/>
      <c r="C122" s="53"/>
      <c r="D122" s="52"/>
      <c r="E122" s="52" t="s">
        <v>192</v>
      </c>
      <c r="F122" s="52">
        <v>1.36</v>
      </c>
      <c r="G122" s="54">
        <v>1774</v>
      </c>
      <c r="H122" s="55">
        <v>2412.64</v>
      </c>
      <c r="I122" s="55">
        <v>2498.4109030100331</v>
      </c>
      <c r="J122" s="55">
        <v>-85.770903010033408</v>
      </c>
      <c r="K122" s="52"/>
      <c r="L122" s="52"/>
      <c r="M122" s="56">
        <f t="shared" si="2"/>
        <v>0</v>
      </c>
      <c r="N122" s="56">
        <f t="shared" si="2"/>
        <v>0</v>
      </c>
      <c r="O122" s="56">
        <f t="shared" si="3"/>
        <v>0</v>
      </c>
    </row>
    <row r="123" spans="1:15" x14ac:dyDescent="0.25">
      <c r="A123" s="52"/>
      <c r="B123" s="52"/>
      <c r="C123" s="53"/>
      <c r="D123" s="52"/>
      <c r="E123" s="52" t="s">
        <v>193</v>
      </c>
      <c r="F123" s="52">
        <v>1.34</v>
      </c>
      <c r="G123" s="54">
        <v>1373</v>
      </c>
      <c r="H123" s="55">
        <v>1839.8200000000002</v>
      </c>
      <c r="I123" s="55">
        <v>2117.14</v>
      </c>
      <c r="J123" s="55">
        <v>-277.31999999999994</v>
      </c>
      <c r="K123" s="52"/>
      <c r="L123" s="52"/>
      <c r="M123" s="56">
        <f t="shared" si="2"/>
        <v>0</v>
      </c>
      <c r="N123" s="56">
        <f t="shared" si="2"/>
        <v>0</v>
      </c>
      <c r="O123" s="56">
        <f t="shared" si="3"/>
        <v>0</v>
      </c>
    </row>
    <row r="124" spans="1:15" x14ac:dyDescent="0.25">
      <c r="A124" s="52"/>
      <c r="B124" s="52"/>
      <c r="C124" s="53"/>
      <c r="D124" s="52" t="s">
        <v>194</v>
      </c>
      <c r="E124" s="52" t="s">
        <v>195</v>
      </c>
      <c r="F124" s="52">
        <v>1.97</v>
      </c>
      <c r="G124" s="54">
        <v>450</v>
      </c>
      <c r="H124" s="55">
        <v>886.5</v>
      </c>
      <c r="I124" s="55">
        <v>599.27483146067414</v>
      </c>
      <c r="J124" s="55">
        <v>287.22516853932586</v>
      </c>
      <c r="K124" s="52"/>
      <c r="L124" s="52"/>
      <c r="M124" s="56">
        <f t="shared" si="2"/>
        <v>0</v>
      </c>
      <c r="N124" s="56">
        <f t="shared" si="2"/>
        <v>0</v>
      </c>
      <c r="O124" s="56">
        <f t="shared" si="3"/>
        <v>0</v>
      </c>
    </row>
    <row r="125" spans="1:15" x14ac:dyDescent="0.25">
      <c r="A125" s="52"/>
      <c r="B125" s="52"/>
      <c r="C125" s="53"/>
      <c r="D125" s="52"/>
      <c r="E125" s="52" t="s">
        <v>196</v>
      </c>
      <c r="F125" s="52">
        <v>1.78</v>
      </c>
      <c r="G125" s="54">
        <v>764</v>
      </c>
      <c r="H125" s="55">
        <v>1359.92</v>
      </c>
      <c r="I125" s="55">
        <v>1830.8480565371024</v>
      </c>
      <c r="J125" s="55">
        <v>-470.92805653710246</v>
      </c>
      <c r="K125" s="52"/>
      <c r="L125" s="52"/>
      <c r="M125" s="56">
        <f t="shared" si="2"/>
        <v>0</v>
      </c>
      <c r="N125" s="56">
        <f t="shared" si="2"/>
        <v>0</v>
      </c>
      <c r="O125" s="56">
        <f t="shared" si="3"/>
        <v>0</v>
      </c>
    </row>
    <row r="126" spans="1:15" x14ac:dyDescent="0.25">
      <c r="A126" s="52"/>
      <c r="B126" s="52"/>
      <c r="C126" s="53"/>
      <c r="D126" s="52" t="s">
        <v>180</v>
      </c>
      <c r="E126" s="52" t="s">
        <v>182</v>
      </c>
      <c r="F126" s="52">
        <v>1.77</v>
      </c>
      <c r="G126" s="54">
        <v>99</v>
      </c>
      <c r="H126" s="55">
        <v>175.23</v>
      </c>
      <c r="I126" s="55">
        <v>188.72909698996656</v>
      </c>
      <c r="J126" s="55">
        <v>-13.499096989966574</v>
      </c>
      <c r="K126" s="52"/>
      <c r="L126" s="52"/>
      <c r="M126" s="56">
        <f t="shared" si="2"/>
        <v>0</v>
      </c>
      <c r="N126" s="56">
        <f t="shared" si="2"/>
        <v>0</v>
      </c>
      <c r="O126" s="56">
        <f t="shared" si="3"/>
        <v>0</v>
      </c>
    </row>
    <row r="127" spans="1:15" x14ac:dyDescent="0.25">
      <c r="A127" s="52"/>
      <c r="B127" s="52"/>
      <c r="C127" s="53"/>
      <c r="D127" s="52" t="s">
        <v>102</v>
      </c>
      <c r="E127" s="52" t="s">
        <v>183</v>
      </c>
      <c r="F127" s="52">
        <v>1.06</v>
      </c>
      <c r="G127" s="54">
        <v>1703</v>
      </c>
      <c r="H127" s="55">
        <v>1805.1799999999998</v>
      </c>
      <c r="I127" s="55">
        <v>1710</v>
      </c>
      <c r="J127" s="55">
        <v>95.17999999999995</v>
      </c>
      <c r="K127" s="52"/>
      <c r="L127" s="52"/>
      <c r="M127" s="56">
        <f t="shared" si="2"/>
        <v>0</v>
      </c>
      <c r="N127" s="56">
        <f t="shared" si="2"/>
        <v>0</v>
      </c>
      <c r="O127" s="56">
        <f t="shared" si="3"/>
        <v>0</v>
      </c>
    </row>
    <row r="128" spans="1:15" x14ac:dyDescent="0.25">
      <c r="A128" s="52"/>
      <c r="B128" s="52"/>
      <c r="C128" s="53" t="s">
        <v>198</v>
      </c>
      <c r="D128" s="52" t="s">
        <v>102</v>
      </c>
      <c r="E128" s="52" t="s">
        <v>176</v>
      </c>
      <c r="F128" s="52">
        <v>1.08</v>
      </c>
      <c r="G128" s="54">
        <v>449</v>
      </c>
      <c r="H128" s="55">
        <v>484.92</v>
      </c>
      <c r="I128" s="55">
        <v>1140</v>
      </c>
      <c r="J128" s="55">
        <v>-655.07999999999993</v>
      </c>
      <c r="K128" s="52"/>
      <c r="L128" s="52"/>
      <c r="M128" s="56">
        <f t="shared" si="2"/>
        <v>0</v>
      </c>
      <c r="N128" s="56">
        <f t="shared" si="2"/>
        <v>0</v>
      </c>
      <c r="O128" s="56">
        <f t="shared" si="3"/>
        <v>0</v>
      </c>
    </row>
    <row r="129" spans="1:16" x14ac:dyDescent="0.25">
      <c r="A129" s="52"/>
      <c r="B129" s="52"/>
      <c r="C129" s="53"/>
      <c r="D129" s="52"/>
      <c r="E129" s="52" t="s">
        <v>177</v>
      </c>
      <c r="F129" s="52">
        <v>1.17</v>
      </c>
      <c r="G129" s="54">
        <v>683</v>
      </c>
      <c r="H129" s="55">
        <v>799.11</v>
      </c>
      <c r="I129" s="55">
        <v>1547.1399999999999</v>
      </c>
      <c r="J129" s="55">
        <v>-748.03000000000009</v>
      </c>
      <c r="K129" s="52"/>
      <c r="L129" s="52"/>
      <c r="M129" s="56">
        <f t="shared" si="2"/>
        <v>0</v>
      </c>
      <c r="N129" s="56">
        <f t="shared" si="2"/>
        <v>0</v>
      </c>
      <c r="O129" s="56">
        <f t="shared" si="3"/>
        <v>0</v>
      </c>
    </row>
    <row r="130" spans="1:16" s="6" customFormat="1" x14ac:dyDescent="0.25">
      <c r="A130" s="57"/>
      <c r="B130" s="57" t="s">
        <v>199</v>
      </c>
      <c r="C130" s="58"/>
      <c r="D130" s="57"/>
      <c r="E130" s="57"/>
      <c r="F130" s="57"/>
      <c r="G130" s="59">
        <v>31307</v>
      </c>
      <c r="H130" s="60">
        <v>46647.990000000005</v>
      </c>
      <c r="I130" s="60">
        <v>45490.474615920153</v>
      </c>
      <c r="J130" s="60">
        <v>1157.515384079833</v>
      </c>
      <c r="K130" s="57"/>
      <c r="L130" s="57"/>
      <c r="M130" s="61"/>
      <c r="N130" s="61"/>
      <c r="O130" s="61">
        <f>SUM(O91:O129)</f>
        <v>0</v>
      </c>
      <c r="P130"/>
    </row>
    <row r="131" spans="1:16" x14ac:dyDescent="0.25">
      <c r="A131" s="52"/>
      <c r="B131" s="52" t="s">
        <v>159</v>
      </c>
      <c r="C131" s="53" t="s">
        <v>76</v>
      </c>
      <c r="D131" s="52" t="s">
        <v>160</v>
      </c>
      <c r="E131" s="52" t="s">
        <v>200</v>
      </c>
      <c r="F131" s="52">
        <v>0.45</v>
      </c>
      <c r="G131" s="54">
        <v>7525</v>
      </c>
      <c r="H131" s="55">
        <v>3386.25</v>
      </c>
      <c r="I131" s="55">
        <v>3049.4240271196327</v>
      </c>
      <c r="J131" s="55">
        <v>336.82597288036749</v>
      </c>
      <c r="K131" s="52"/>
      <c r="L131" s="52"/>
      <c r="M131" s="56">
        <f t="shared" si="2"/>
        <v>0</v>
      </c>
      <c r="N131" s="56">
        <f t="shared" si="2"/>
        <v>0</v>
      </c>
      <c r="O131" s="56">
        <f t="shared" si="3"/>
        <v>0</v>
      </c>
    </row>
    <row r="132" spans="1:16" x14ac:dyDescent="0.25">
      <c r="A132" s="52"/>
      <c r="B132" s="52"/>
      <c r="C132" s="53"/>
      <c r="D132" s="52"/>
      <c r="E132" s="52" t="s">
        <v>201</v>
      </c>
      <c r="F132" s="52">
        <v>0.45000000000000007</v>
      </c>
      <c r="G132" s="54">
        <v>12018</v>
      </c>
      <c r="H132" s="55">
        <v>5408.0999999999995</v>
      </c>
      <c r="I132" s="55">
        <v>5032.6572413793101</v>
      </c>
      <c r="J132" s="55">
        <v>375.44275862068969</v>
      </c>
      <c r="K132" s="52"/>
      <c r="L132" s="52"/>
      <c r="M132" s="56">
        <f t="shared" si="2"/>
        <v>0</v>
      </c>
      <c r="N132" s="56">
        <f t="shared" si="2"/>
        <v>0</v>
      </c>
      <c r="O132" s="56">
        <f t="shared" si="3"/>
        <v>0</v>
      </c>
    </row>
    <row r="133" spans="1:16" x14ac:dyDescent="0.25">
      <c r="A133" s="52"/>
      <c r="B133" s="52"/>
      <c r="C133" s="53"/>
      <c r="D133" s="52"/>
      <c r="E133" s="52" t="s">
        <v>202</v>
      </c>
      <c r="F133" s="52">
        <v>0.42</v>
      </c>
      <c r="G133" s="54">
        <v>236</v>
      </c>
      <c r="H133" s="55">
        <v>99.12</v>
      </c>
      <c r="I133" s="55">
        <v>142.19873150105707</v>
      </c>
      <c r="J133" s="55">
        <v>-43.078731501057064</v>
      </c>
      <c r="K133" s="52"/>
      <c r="L133" s="52"/>
      <c r="M133" s="56">
        <f t="shared" si="2"/>
        <v>0</v>
      </c>
      <c r="N133" s="56">
        <f t="shared" si="2"/>
        <v>0</v>
      </c>
      <c r="O133" s="56">
        <f t="shared" si="3"/>
        <v>0</v>
      </c>
    </row>
    <row r="134" spans="1:16" x14ac:dyDescent="0.25">
      <c r="A134" s="52"/>
      <c r="B134" s="52"/>
      <c r="C134" s="53" t="s">
        <v>175</v>
      </c>
      <c r="D134" s="52" t="s">
        <v>160</v>
      </c>
      <c r="E134" s="52" t="s">
        <v>201</v>
      </c>
      <c r="F134" s="52">
        <v>0.45</v>
      </c>
      <c r="G134" s="54">
        <v>4820</v>
      </c>
      <c r="H134" s="55">
        <v>2169</v>
      </c>
      <c r="I134" s="55">
        <v>2713.3268300153136</v>
      </c>
      <c r="J134" s="55">
        <v>-544.32683001531393</v>
      </c>
      <c r="K134" s="52"/>
      <c r="L134" s="52"/>
      <c r="M134" s="56">
        <f t="shared" ref="M134:N197" si="4">$G134*K134</f>
        <v>0</v>
      </c>
      <c r="N134" s="56">
        <f t="shared" si="4"/>
        <v>0</v>
      </c>
      <c r="O134" s="56">
        <f t="shared" ref="O134:O197" si="5">M134+N134</f>
        <v>0</v>
      </c>
    </row>
    <row r="135" spans="1:16" x14ac:dyDescent="0.25">
      <c r="A135" s="52"/>
      <c r="B135" s="52"/>
      <c r="C135" s="53"/>
      <c r="D135" s="52"/>
      <c r="E135" s="52" t="s">
        <v>203</v>
      </c>
      <c r="F135" s="52">
        <v>0.42</v>
      </c>
      <c r="G135" s="54">
        <v>20</v>
      </c>
      <c r="H135" s="55">
        <v>8.4</v>
      </c>
      <c r="I135" s="55">
        <v>17.457886676875958</v>
      </c>
      <c r="J135" s="55">
        <v>-9.0578866768759578</v>
      </c>
      <c r="K135" s="52"/>
      <c r="L135" s="52"/>
      <c r="M135" s="56">
        <f t="shared" si="4"/>
        <v>0</v>
      </c>
      <c r="N135" s="56">
        <f t="shared" si="4"/>
        <v>0</v>
      </c>
      <c r="O135" s="56">
        <f t="shared" si="5"/>
        <v>0</v>
      </c>
    </row>
    <row r="136" spans="1:16" x14ac:dyDescent="0.25">
      <c r="A136" s="52"/>
      <c r="B136" s="52"/>
      <c r="C136" s="53"/>
      <c r="D136" s="52"/>
      <c r="E136" s="52" t="s">
        <v>202</v>
      </c>
      <c r="F136" s="52">
        <v>0.42000000000000004</v>
      </c>
      <c r="G136" s="54">
        <v>5622</v>
      </c>
      <c r="H136" s="55">
        <v>2361.2399999999998</v>
      </c>
      <c r="I136" s="55">
        <v>2073.49528330781</v>
      </c>
      <c r="J136" s="55">
        <v>287.74471669218985</v>
      </c>
      <c r="K136" s="52"/>
      <c r="L136" s="52"/>
      <c r="M136" s="56">
        <f t="shared" si="4"/>
        <v>0</v>
      </c>
      <c r="N136" s="56">
        <f t="shared" si="4"/>
        <v>0</v>
      </c>
      <c r="O136" s="56">
        <f t="shared" si="5"/>
        <v>0</v>
      </c>
    </row>
    <row r="137" spans="1:16" x14ac:dyDescent="0.25">
      <c r="A137" s="52"/>
      <c r="B137" s="52"/>
      <c r="C137" s="53"/>
      <c r="D137" s="52"/>
      <c r="E137" s="52" t="s">
        <v>204</v>
      </c>
      <c r="F137" s="52">
        <v>0.41000000000000009</v>
      </c>
      <c r="G137" s="54">
        <v>18775</v>
      </c>
      <c r="H137" s="55">
        <v>7697.75</v>
      </c>
      <c r="I137" s="55">
        <v>6107.14</v>
      </c>
      <c r="J137" s="55">
        <v>1590.6100000000001</v>
      </c>
      <c r="K137" s="52"/>
      <c r="L137" s="52"/>
      <c r="M137" s="56">
        <f t="shared" si="4"/>
        <v>0</v>
      </c>
      <c r="N137" s="56">
        <f t="shared" si="4"/>
        <v>0</v>
      </c>
      <c r="O137" s="56">
        <f t="shared" si="5"/>
        <v>0</v>
      </c>
    </row>
    <row r="138" spans="1:16" x14ac:dyDescent="0.25">
      <c r="A138" s="52"/>
      <c r="B138" s="52"/>
      <c r="C138" s="53" t="s">
        <v>86</v>
      </c>
      <c r="D138" s="52" t="s">
        <v>160</v>
      </c>
      <c r="E138" s="52" t="s">
        <v>200</v>
      </c>
      <c r="F138" s="52">
        <v>0.45000000000000007</v>
      </c>
      <c r="G138" s="54">
        <v>9658</v>
      </c>
      <c r="H138" s="55">
        <v>4346.1000000000004</v>
      </c>
      <c r="I138" s="55">
        <v>3565.2114285714283</v>
      </c>
      <c r="J138" s="55">
        <v>780.88857142857159</v>
      </c>
      <c r="K138" s="52"/>
      <c r="L138" s="52"/>
      <c r="M138" s="56">
        <f t="shared" si="4"/>
        <v>0</v>
      </c>
      <c r="N138" s="56">
        <f t="shared" si="4"/>
        <v>0</v>
      </c>
      <c r="O138" s="56">
        <f t="shared" si="5"/>
        <v>0</v>
      </c>
    </row>
    <row r="139" spans="1:16" x14ac:dyDescent="0.25">
      <c r="A139" s="52"/>
      <c r="B139" s="52"/>
      <c r="C139" s="53"/>
      <c r="D139" s="52"/>
      <c r="E139" s="52" t="s">
        <v>201</v>
      </c>
      <c r="F139" s="52">
        <v>0.45000000000000007</v>
      </c>
      <c r="G139" s="54">
        <v>13425</v>
      </c>
      <c r="H139" s="55">
        <v>6041.25</v>
      </c>
      <c r="I139" s="55">
        <v>5198.5328571428572</v>
      </c>
      <c r="J139" s="55">
        <v>842.71714285714279</v>
      </c>
      <c r="K139" s="52"/>
      <c r="L139" s="52"/>
      <c r="M139" s="56">
        <f t="shared" si="4"/>
        <v>0</v>
      </c>
      <c r="N139" s="56">
        <f t="shared" si="4"/>
        <v>0</v>
      </c>
      <c r="O139" s="56">
        <f t="shared" si="5"/>
        <v>0</v>
      </c>
    </row>
    <row r="140" spans="1:16" x14ac:dyDescent="0.25">
      <c r="A140" s="52"/>
      <c r="B140" s="52"/>
      <c r="C140" s="53"/>
      <c r="D140" s="52" t="s">
        <v>102</v>
      </c>
      <c r="E140" s="52" t="s">
        <v>205</v>
      </c>
      <c r="F140" s="52">
        <v>0.93</v>
      </c>
      <c r="G140" s="54">
        <v>60</v>
      </c>
      <c r="H140" s="55">
        <v>55.8</v>
      </c>
      <c r="I140" s="55">
        <v>30.535714285714285</v>
      </c>
      <c r="J140" s="55">
        <v>25.264285714285712</v>
      </c>
      <c r="K140" s="52"/>
      <c r="L140" s="52"/>
      <c r="M140" s="56">
        <f t="shared" si="4"/>
        <v>0</v>
      </c>
      <c r="N140" s="56">
        <f t="shared" si="4"/>
        <v>0</v>
      </c>
      <c r="O140" s="56">
        <f t="shared" si="5"/>
        <v>0</v>
      </c>
    </row>
    <row r="141" spans="1:16" x14ac:dyDescent="0.25">
      <c r="A141" s="52"/>
      <c r="B141" s="52"/>
      <c r="C141" s="53" t="s">
        <v>79</v>
      </c>
      <c r="D141" s="52" t="s">
        <v>160</v>
      </c>
      <c r="E141" s="52" t="s">
        <v>201</v>
      </c>
      <c r="F141" s="52">
        <v>0.45</v>
      </c>
      <c r="G141" s="54">
        <v>5470</v>
      </c>
      <c r="H141" s="55">
        <v>2461.5</v>
      </c>
      <c r="I141" s="55">
        <v>2687.14</v>
      </c>
      <c r="J141" s="55">
        <v>-225.64</v>
      </c>
      <c r="K141" s="52"/>
      <c r="L141" s="52"/>
      <c r="M141" s="56">
        <f t="shared" si="4"/>
        <v>0</v>
      </c>
      <c r="N141" s="56">
        <f t="shared" si="4"/>
        <v>0</v>
      </c>
      <c r="O141" s="56">
        <f t="shared" si="5"/>
        <v>0</v>
      </c>
    </row>
    <row r="142" spans="1:16" x14ac:dyDescent="0.25">
      <c r="A142" s="52"/>
      <c r="B142" s="52"/>
      <c r="C142" s="53"/>
      <c r="D142" s="52"/>
      <c r="E142" s="52" t="s">
        <v>206</v>
      </c>
      <c r="F142" s="52">
        <v>0.38999999999999996</v>
      </c>
      <c r="G142" s="54">
        <v>2277</v>
      </c>
      <c r="H142" s="55">
        <v>888.03</v>
      </c>
      <c r="I142" s="55">
        <v>1547.1399999999999</v>
      </c>
      <c r="J142" s="55">
        <v>-659.11</v>
      </c>
      <c r="K142" s="52"/>
      <c r="L142" s="52"/>
      <c r="M142" s="56">
        <f t="shared" si="4"/>
        <v>0</v>
      </c>
      <c r="N142" s="56">
        <f t="shared" si="4"/>
        <v>0</v>
      </c>
      <c r="O142" s="56">
        <f t="shared" si="5"/>
        <v>0</v>
      </c>
    </row>
    <row r="143" spans="1:16" x14ac:dyDescent="0.25">
      <c r="A143" s="52"/>
      <c r="B143" s="52"/>
      <c r="C143" s="53"/>
      <c r="D143" s="52" t="s">
        <v>207</v>
      </c>
      <c r="E143" s="52" t="s">
        <v>208</v>
      </c>
      <c r="F143" s="52">
        <v>1.26</v>
      </c>
      <c r="G143" s="54">
        <v>330</v>
      </c>
      <c r="H143" s="55">
        <v>414.15</v>
      </c>
      <c r="I143" s="55">
        <v>550</v>
      </c>
      <c r="J143" s="55">
        <v>-135.85000000000002</v>
      </c>
      <c r="K143" s="52"/>
      <c r="L143" s="52"/>
      <c r="M143" s="56">
        <f t="shared" si="4"/>
        <v>0</v>
      </c>
      <c r="N143" s="56">
        <f t="shared" si="4"/>
        <v>0</v>
      </c>
      <c r="O143" s="56">
        <f t="shared" si="5"/>
        <v>0</v>
      </c>
    </row>
    <row r="144" spans="1:16" x14ac:dyDescent="0.25">
      <c r="A144" s="52"/>
      <c r="B144" s="52"/>
      <c r="C144" s="53"/>
      <c r="D144" s="52"/>
      <c r="E144" s="52" t="s">
        <v>209</v>
      </c>
      <c r="F144" s="52">
        <v>1.26</v>
      </c>
      <c r="G144" s="54">
        <v>282</v>
      </c>
      <c r="H144" s="55">
        <v>353.91</v>
      </c>
      <c r="I144" s="55">
        <v>590</v>
      </c>
      <c r="J144" s="55">
        <v>-236.08999999999997</v>
      </c>
      <c r="K144" s="52"/>
      <c r="L144" s="52"/>
      <c r="M144" s="56">
        <f t="shared" si="4"/>
        <v>0</v>
      </c>
      <c r="N144" s="56">
        <f t="shared" si="4"/>
        <v>0</v>
      </c>
      <c r="O144" s="56">
        <f t="shared" si="5"/>
        <v>0</v>
      </c>
    </row>
    <row r="145" spans="1:16" x14ac:dyDescent="0.25">
      <c r="A145" s="52"/>
      <c r="B145" s="52"/>
      <c r="C145" s="53" t="s">
        <v>115</v>
      </c>
      <c r="D145" s="52" t="s">
        <v>160</v>
      </c>
      <c r="E145" s="52" t="s">
        <v>201</v>
      </c>
      <c r="F145" s="52">
        <v>0.45</v>
      </c>
      <c r="G145" s="54">
        <v>5987</v>
      </c>
      <c r="H145" s="55">
        <v>2694.15</v>
      </c>
      <c r="I145" s="55">
        <v>2509.4421582733812</v>
      </c>
      <c r="J145" s="55">
        <v>184.70784172661865</v>
      </c>
      <c r="K145" s="52"/>
      <c r="L145" s="52"/>
      <c r="M145" s="56">
        <f t="shared" si="4"/>
        <v>0</v>
      </c>
      <c r="N145" s="56">
        <f t="shared" si="4"/>
        <v>0</v>
      </c>
      <c r="O145" s="56">
        <f t="shared" si="5"/>
        <v>0</v>
      </c>
    </row>
    <row r="146" spans="1:16" x14ac:dyDescent="0.25">
      <c r="A146" s="52"/>
      <c r="B146" s="52"/>
      <c r="C146" s="53"/>
      <c r="D146" s="52"/>
      <c r="E146" s="52" t="s">
        <v>206</v>
      </c>
      <c r="F146" s="52">
        <v>0.39</v>
      </c>
      <c r="G146" s="54">
        <v>3964</v>
      </c>
      <c r="H146" s="55">
        <v>1545.96</v>
      </c>
      <c r="I146" s="55">
        <v>2117.14</v>
      </c>
      <c r="J146" s="55">
        <v>-571.18000000000006</v>
      </c>
      <c r="K146" s="52"/>
      <c r="L146" s="52"/>
      <c r="M146" s="56">
        <f t="shared" si="4"/>
        <v>0</v>
      </c>
      <c r="N146" s="56">
        <f t="shared" si="4"/>
        <v>0</v>
      </c>
      <c r="O146" s="56">
        <f t="shared" si="5"/>
        <v>0</v>
      </c>
    </row>
    <row r="147" spans="1:16" x14ac:dyDescent="0.25">
      <c r="A147" s="52"/>
      <c r="B147" s="52"/>
      <c r="C147" s="53"/>
      <c r="D147" s="52" t="s">
        <v>207</v>
      </c>
      <c r="E147" s="52" t="s">
        <v>208</v>
      </c>
      <c r="F147" s="52">
        <v>1.26</v>
      </c>
      <c r="G147" s="54">
        <v>97</v>
      </c>
      <c r="H147" s="55">
        <v>121.74</v>
      </c>
      <c r="I147" s="55">
        <v>208.64150943396226</v>
      </c>
      <c r="J147" s="55">
        <v>-86.901509433962261</v>
      </c>
      <c r="K147" s="52"/>
      <c r="L147" s="52"/>
      <c r="M147" s="56">
        <f t="shared" si="4"/>
        <v>0</v>
      </c>
      <c r="N147" s="56">
        <f t="shared" si="4"/>
        <v>0</v>
      </c>
      <c r="O147" s="56">
        <f t="shared" si="5"/>
        <v>0</v>
      </c>
    </row>
    <row r="148" spans="1:16" x14ac:dyDescent="0.25">
      <c r="A148" s="52"/>
      <c r="B148" s="52"/>
      <c r="C148" s="53"/>
      <c r="D148" s="52"/>
      <c r="E148" s="52" t="s">
        <v>209</v>
      </c>
      <c r="F148" s="52">
        <v>1.26</v>
      </c>
      <c r="G148" s="54">
        <v>168</v>
      </c>
      <c r="H148" s="55">
        <v>210.84</v>
      </c>
      <c r="I148" s="55">
        <v>361.35849056603774</v>
      </c>
      <c r="J148" s="55">
        <v>-150.51849056603774</v>
      </c>
      <c r="K148" s="52"/>
      <c r="L148" s="52"/>
      <c r="M148" s="56">
        <f t="shared" si="4"/>
        <v>0</v>
      </c>
      <c r="N148" s="56">
        <f t="shared" si="4"/>
        <v>0</v>
      </c>
      <c r="O148" s="56">
        <f t="shared" si="5"/>
        <v>0</v>
      </c>
    </row>
    <row r="149" spans="1:16" x14ac:dyDescent="0.25">
      <c r="A149" s="52"/>
      <c r="B149" s="52"/>
      <c r="C149" s="53" t="s">
        <v>198</v>
      </c>
      <c r="D149" s="52" t="s">
        <v>160</v>
      </c>
      <c r="E149" s="52" t="s">
        <v>201</v>
      </c>
      <c r="F149" s="52">
        <v>0.45</v>
      </c>
      <c r="G149" s="54">
        <v>4696</v>
      </c>
      <c r="H149" s="55">
        <v>2113.1999999999998</v>
      </c>
      <c r="I149" s="55">
        <v>3257.14</v>
      </c>
      <c r="J149" s="55">
        <v>-1143.94</v>
      </c>
      <c r="K149" s="52"/>
      <c r="L149" s="52"/>
      <c r="M149" s="56">
        <f t="shared" si="4"/>
        <v>0</v>
      </c>
      <c r="N149" s="56">
        <f t="shared" si="4"/>
        <v>0</v>
      </c>
      <c r="O149" s="56">
        <f t="shared" si="5"/>
        <v>0</v>
      </c>
    </row>
    <row r="150" spans="1:16" x14ac:dyDescent="0.25">
      <c r="A150" s="52"/>
      <c r="B150" s="52"/>
      <c r="C150" s="53"/>
      <c r="D150" s="52"/>
      <c r="E150" s="52" t="s">
        <v>202</v>
      </c>
      <c r="F150" s="52">
        <v>0.42</v>
      </c>
      <c r="G150" s="54">
        <v>4660</v>
      </c>
      <c r="H150" s="55">
        <v>1957.2000000000003</v>
      </c>
      <c r="I150" s="55">
        <v>1547.1399999999999</v>
      </c>
      <c r="J150" s="55">
        <v>410.06000000000006</v>
      </c>
      <c r="K150" s="52"/>
      <c r="L150" s="52"/>
      <c r="M150" s="56">
        <f t="shared" si="4"/>
        <v>0</v>
      </c>
      <c r="N150" s="56">
        <f t="shared" si="4"/>
        <v>0</v>
      </c>
      <c r="O150" s="56">
        <f t="shared" si="5"/>
        <v>0</v>
      </c>
    </row>
    <row r="151" spans="1:16" x14ac:dyDescent="0.25">
      <c r="A151" s="52"/>
      <c r="B151" s="52"/>
      <c r="C151" s="53"/>
      <c r="D151" s="52"/>
      <c r="E151" s="52" t="s">
        <v>204</v>
      </c>
      <c r="F151" s="52">
        <v>0.41000000000000009</v>
      </c>
      <c r="G151" s="54">
        <v>17618</v>
      </c>
      <c r="H151" s="55">
        <v>7223.3799999999992</v>
      </c>
      <c r="I151" s="55">
        <v>6677.14</v>
      </c>
      <c r="J151" s="55">
        <v>546.24000000000024</v>
      </c>
      <c r="K151" s="52"/>
      <c r="L151" s="52"/>
      <c r="M151" s="56">
        <f t="shared" si="4"/>
        <v>0</v>
      </c>
      <c r="N151" s="56">
        <f t="shared" si="4"/>
        <v>0</v>
      </c>
      <c r="O151" s="56">
        <f t="shared" si="5"/>
        <v>0</v>
      </c>
    </row>
    <row r="152" spans="1:16" s="6" customFormat="1" x14ac:dyDescent="0.25">
      <c r="A152" s="57"/>
      <c r="B152" s="57" t="s">
        <v>163</v>
      </c>
      <c r="C152" s="58"/>
      <c r="D152" s="57"/>
      <c r="E152" s="57"/>
      <c r="F152" s="57"/>
      <c r="G152" s="59">
        <v>117708</v>
      </c>
      <c r="H152" s="60">
        <v>51557.069999999992</v>
      </c>
      <c r="I152" s="60">
        <v>49982.26215827337</v>
      </c>
      <c r="J152" s="60">
        <v>1574.8078417266192</v>
      </c>
      <c r="K152" s="57"/>
      <c r="L152" s="57"/>
      <c r="M152" s="61"/>
      <c r="N152" s="61"/>
      <c r="O152" s="61">
        <f>SUM(O131:O151)</f>
        <v>0</v>
      </c>
      <c r="P152"/>
    </row>
    <row r="153" spans="1:16" s="6" customFormat="1" x14ac:dyDescent="0.25">
      <c r="A153" s="47" t="s">
        <v>210</v>
      </c>
      <c r="B153" s="47"/>
      <c r="C153" s="48"/>
      <c r="D153" s="47"/>
      <c r="E153" s="47"/>
      <c r="F153" s="47"/>
      <c r="G153" s="49">
        <v>163095</v>
      </c>
      <c r="H153" s="50">
        <v>109241.65999999997</v>
      </c>
      <c r="I153" s="50">
        <v>113348.48</v>
      </c>
      <c r="J153" s="50">
        <v>-4106.8200000000033</v>
      </c>
      <c r="K153" s="47"/>
      <c r="L153" s="47"/>
      <c r="M153" s="51"/>
      <c r="N153" s="51"/>
      <c r="O153" s="51"/>
      <c r="P153"/>
    </row>
    <row r="154" spans="1:16" x14ac:dyDescent="0.25">
      <c r="A154" s="52" t="s">
        <v>11</v>
      </c>
      <c r="B154" s="52" t="s">
        <v>116</v>
      </c>
      <c r="C154" s="53" t="s">
        <v>79</v>
      </c>
      <c r="D154" s="52" t="s">
        <v>102</v>
      </c>
      <c r="E154" s="52" t="s">
        <v>169</v>
      </c>
      <c r="F154" s="52">
        <v>0.75</v>
      </c>
      <c r="G154" s="54">
        <v>2008</v>
      </c>
      <c r="H154" s="55">
        <v>1506</v>
      </c>
      <c r="I154" s="55">
        <v>1580.6818181818182</v>
      </c>
      <c r="J154" s="55">
        <v>-74.681818181818187</v>
      </c>
      <c r="K154" s="52"/>
      <c r="L154" s="52"/>
      <c r="M154" s="56">
        <f t="shared" si="4"/>
        <v>0</v>
      </c>
      <c r="N154" s="56">
        <f t="shared" si="4"/>
        <v>0</v>
      </c>
      <c r="O154" s="56">
        <f t="shared" si="5"/>
        <v>0</v>
      </c>
    </row>
    <row r="155" spans="1:16" x14ac:dyDescent="0.25">
      <c r="A155" s="52"/>
      <c r="B155" s="52"/>
      <c r="C155" s="53"/>
      <c r="D155" s="52"/>
      <c r="E155" s="52" t="s">
        <v>171</v>
      </c>
      <c r="F155" s="52">
        <v>0.75</v>
      </c>
      <c r="G155" s="54">
        <v>420</v>
      </c>
      <c r="H155" s="55">
        <v>315</v>
      </c>
      <c r="I155" s="55">
        <v>345.31818181818181</v>
      </c>
      <c r="J155" s="55">
        <v>-30.31818181818182</v>
      </c>
      <c r="K155" s="52"/>
      <c r="L155" s="52"/>
      <c r="M155" s="56">
        <f t="shared" si="4"/>
        <v>0</v>
      </c>
      <c r="N155" s="56">
        <f t="shared" si="4"/>
        <v>0</v>
      </c>
      <c r="O155" s="56">
        <f t="shared" si="5"/>
        <v>0</v>
      </c>
    </row>
    <row r="156" spans="1:16" x14ac:dyDescent="0.25">
      <c r="A156" s="52"/>
      <c r="B156" s="52"/>
      <c r="C156" s="53" t="s">
        <v>115</v>
      </c>
      <c r="D156" s="52" t="s">
        <v>102</v>
      </c>
      <c r="E156" s="52" t="s">
        <v>169</v>
      </c>
      <c r="F156" s="52">
        <v>0.75</v>
      </c>
      <c r="G156" s="54">
        <v>1578</v>
      </c>
      <c r="H156" s="55">
        <v>1183.5</v>
      </c>
      <c r="I156" s="55">
        <v>1284</v>
      </c>
      <c r="J156" s="55">
        <v>-100.5</v>
      </c>
      <c r="K156" s="52"/>
      <c r="L156" s="52"/>
      <c r="M156" s="56">
        <f t="shared" si="4"/>
        <v>0</v>
      </c>
      <c r="N156" s="56">
        <f t="shared" si="4"/>
        <v>0</v>
      </c>
      <c r="O156" s="56">
        <f t="shared" si="5"/>
        <v>0</v>
      </c>
    </row>
    <row r="157" spans="1:16" x14ac:dyDescent="0.25">
      <c r="A157" s="52"/>
      <c r="B157" s="52"/>
      <c r="C157" s="53"/>
      <c r="D157" s="52"/>
      <c r="E157" s="52" t="s">
        <v>171</v>
      </c>
      <c r="F157" s="52">
        <v>0.75</v>
      </c>
      <c r="G157" s="54">
        <v>445</v>
      </c>
      <c r="H157" s="55">
        <v>333.75</v>
      </c>
      <c r="I157" s="55">
        <v>321</v>
      </c>
      <c r="J157" s="55">
        <v>12.75</v>
      </c>
      <c r="K157" s="52"/>
      <c r="L157" s="52"/>
      <c r="M157" s="56">
        <f t="shared" si="4"/>
        <v>0</v>
      </c>
      <c r="N157" s="56">
        <f t="shared" si="4"/>
        <v>0</v>
      </c>
      <c r="O157" s="56">
        <f t="shared" si="5"/>
        <v>0</v>
      </c>
    </row>
    <row r="158" spans="1:16" s="6" customFormat="1" x14ac:dyDescent="0.25">
      <c r="A158" s="57"/>
      <c r="B158" s="57" t="s">
        <v>120</v>
      </c>
      <c r="C158" s="58"/>
      <c r="D158" s="57"/>
      <c r="E158" s="57"/>
      <c r="F158" s="57"/>
      <c r="G158" s="59">
        <v>4451</v>
      </c>
      <c r="H158" s="60">
        <v>3338.25</v>
      </c>
      <c r="I158" s="60">
        <v>3531</v>
      </c>
      <c r="J158" s="60">
        <v>-192.75</v>
      </c>
      <c r="K158" s="57"/>
      <c r="L158" s="57"/>
      <c r="M158" s="61"/>
      <c r="N158" s="61"/>
      <c r="O158" s="61">
        <f>SUM(O154:O157)</f>
        <v>0</v>
      </c>
      <c r="P158"/>
    </row>
    <row r="159" spans="1:16" x14ac:dyDescent="0.25">
      <c r="A159" s="52"/>
      <c r="B159" s="52" t="s">
        <v>159</v>
      </c>
      <c r="C159" s="53" t="s">
        <v>76</v>
      </c>
      <c r="D159" s="52" t="s">
        <v>160</v>
      </c>
      <c r="E159" s="52" t="s">
        <v>200</v>
      </c>
      <c r="F159" s="52">
        <v>0.45000000000000007</v>
      </c>
      <c r="G159" s="54">
        <v>5990</v>
      </c>
      <c r="H159" s="55">
        <v>2695.5</v>
      </c>
      <c r="I159" s="55">
        <v>2247</v>
      </c>
      <c r="J159" s="55">
        <v>448.5</v>
      </c>
      <c r="K159" s="52"/>
      <c r="L159" s="52"/>
      <c r="M159" s="56">
        <f t="shared" si="4"/>
        <v>0</v>
      </c>
      <c r="N159" s="56">
        <f t="shared" si="4"/>
        <v>0</v>
      </c>
      <c r="O159" s="56">
        <f t="shared" si="5"/>
        <v>0</v>
      </c>
    </row>
    <row r="160" spans="1:16" x14ac:dyDescent="0.25">
      <c r="A160" s="52"/>
      <c r="B160" s="52"/>
      <c r="C160" s="53"/>
      <c r="D160" s="52"/>
      <c r="E160" s="52" t="s">
        <v>201</v>
      </c>
      <c r="F160" s="52">
        <v>0.45000000000000012</v>
      </c>
      <c r="G160" s="54">
        <v>12206</v>
      </c>
      <c r="H160" s="55">
        <v>5492.7</v>
      </c>
      <c r="I160" s="55">
        <v>3852</v>
      </c>
      <c r="J160" s="55">
        <v>1640.7</v>
      </c>
      <c r="K160" s="52"/>
      <c r="L160" s="52"/>
      <c r="M160" s="56">
        <f t="shared" si="4"/>
        <v>0</v>
      </c>
      <c r="N160" s="56">
        <f t="shared" si="4"/>
        <v>0</v>
      </c>
      <c r="O160" s="56">
        <f t="shared" si="5"/>
        <v>0</v>
      </c>
    </row>
    <row r="161" spans="1:16" x14ac:dyDescent="0.25">
      <c r="A161" s="52"/>
      <c r="B161" s="52"/>
      <c r="C161" s="53"/>
      <c r="D161" s="52"/>
      <c r="E161" s="52" t="s">
        <v>204</v>
      </c>
      <c r="F161" s="52">
        <v>0.41</v>
      </c>
      <c r="G161" s="54">
        <v>4500</v>
      </c>
      <c r="H161" s="55">
        <v>1845</v>
      </c>
      <c r="I161" s="55">
        <v>1926</v>
      </c>
      <c r="J161" s="55">
        <v>-81</v>
      </c>
      <c r="K161" s="52"/>
      <c r="L161" s="52"/>
      <c r="M161" s="56">
        <f t="shared" si="4"/>
        <v>0</v>
      </c>
      <c r="N161" s="56">
        <f t="shared" si="4"/>
        <v>0</v>
      </c>
      <c r="O161" s="56">
        <f t="shared" si="5"/>
        <v>0</v>
      </c>
    </row>
    <row r="162" spans="1:16" x14ac:dyDescent="0.25">
      <c r="A162" s="52"/>
      <c r="B162" s="52"/>
      <c r="C162" s="53" t="s">
        <v>86</v>
      </c>
      <c r="D162" s="52" t="s">
        <v>160</v>
      </c>
      <c r="E162" s="52" t="s">
        <v>200</v>
      </c>
      <c r="F162" s="52">
        <v>0.45</v>
      </c>
      <c r="G162" s="54">
        <v>4641</v>
      </c>
      <c r="H162" s="55">
        <v>2088.4500000000003</v>
      </c>
      <c r="I162" s="55">
        <v>1926</v>
      </c>
      <c r="J162" s="55">
        <v>162.44999999999999</v>
      </c>
      <c r="K162" s="52"/>
      <c r="L162" s="52"/>
      <c r="M162" s="56">
        <f t="shared" si="4"/>
        <v>0</v>
      </c>
      <c r="N162" s="56">
        <f t="shared" si="4"/>
        <v>0</v>
      </c>
      <c r="O162" s="56">
        <f t="shared" si="5"/>
        <v>0</v>
      </c>
    </row>
    <row r="163" spans="1:16" x14ac:dyDescent="0.25">
      <c r="A163" s="52"/>
      <c r="B163" s="52"/>
      <c r="C163" s="53"/>
      <c r="D163" s="52"/>
      <c r="E163" s="52" t="s">
        <v>201</v>
      </c>
      <c r="F163" s="52">
        <v>0.45000000000000012</v>
      </c>
      <c r="G163" s="54">
        <v>11838</v>
      </c>
      <c r="H163" s="55">
        <v>5327.1</v>
      </c>
      <c r="I163" s="55">
        <v>4372.409090909091</v>
      </c>
      <c r="J163" s="55">
        <v>954.69090909090892</v>
      </c>
      <c r="K163" s="52"/>
      <c r="L163" s="52"/>
      <c r="M163" s="56">
        <f t="shared" si="4"/>
        <v>0</v>
      </c>
      <c r="N163" s="56">
        <f t="shared" si="4"/>
        <v>0</v>
      </c>
      <c r="O163" s="56">
        <f t="shared" si="5"/>
        <v>0</v>
      </c>
    </row>
    <row r="164" spans="1:16" x14ac:dyDescent="0.25">
      <c r="A164" s="52"/>
      <c r="B164" s="52"/>
      <c r="C164" s="53"/>
      <c r="D164" s="52"/>
      <c r="E164" s="52" t="s">
        <v>204</v>
      </c>
      <c r="F164" s="52">
        <v>0.41000000000000003</v>
      </c>
      <c r="G164" s="54">
        <v>4575</v>
      </c>
      <c r="H164" s="55">
        <v>1875.7499999999998</v>
      </c>
      <c r="I164" s="55">
        <v>1726.590909090909</v>
      </c>
      <c r="J164" s="55">
        <v>149.15909090909093</v>
      </c>
      <c r="K164" s="52"/>
      <c r="L164" s="52"/>
      <c r="M164" s="56">
        <f t="shared" si="4"/>
        <v>0</v>
      </c>
      <c r="N164" s="56">
        <f t="shared" si="4"/>
        <v>0</v>
      </c>
      <c r="O164" s="56">
        <f t="shared" si="5"/>
        <v>0</v>
      </c>
    </row>
    <row r="165" spans="1:16" x14ac:dyDescent="0.25">
      <c r="A165" s="52"/>
      <c r="B165" s="52"/>
      <c r="C165" s="53" t="s">
        <v>79</v>
      </c>
      <c r="D165" s="52" t="s">
        <v>160</v>
      </c>
      <c r="E165" s="52" t="s">
        <v>200</v>
      </c>
      <c r="F165" s="52">
        <v>0.45</v>
      </c>
      <c r="G165" s="54">
        <v>7355</v>
      </c>
      <c r="H165" s="55">
        <v>3309.75</v>
      </c>
      <c r="I165" s="55">
        <v>1926</v>
      </c>
      <c r="J165" s="55">
        <v>1383.75</v>
      </c>
      <c r="K165" s="52"/>
      <c r="L165" s="52"/>
      <c r="M165" s="56">
        <f t="shared" si="4"/>
        <v>0</v>
      </c>
      <c r="N165" s="56">
        <f t="shared" si="4"/>
        <v>0</v>
      </c>
      <c r="O165" s="56">
        <f t="shared" si="5"/>
        <v>0</v>
      </c>
    </row>
    <row r="166" spans="1:16" x14ac:dyDescent="0.25">
      <c r="A166" s="52"/>
      <c r="B166" s="52"/>
      <c r="C166" s="53"/>
      <c r="D166" s="52"/>
      <c r="E166" s="52" t="s">
        <v>201</v>
      </c>
      <c r="F166" s="52">
        <v>0.45000000000000012</v>
      </c>
      <c r="G166" s="54">
        <v>12604</v>
      </c>
      <c r="H166" s="55">
        <v>5671.8</v>
      </c>
      <c r="I166" s="55">
        <v>3091.4367657384487</v>
      </c>
      <c r="J166" s="55">
        <v>2580.363234261551</v>
      </c>
      <c r="K166" s="52"/>
      <c r="L166" s="52"/>
      <c r="M166" s="56">
        <f t="shared" si="4"/>
        <v>0</v>
      </c>
      <c r="N166" s="56">
        <f t="shared" si="4"/>
        <v>0</v>
      </c>
      <c r="O166" s="56">
        <f t="shared" si="5"/>
        <v>0</v>
      </c>
    </row>
    <row r="167" spans="1:16" x14ac:dyDescent="0.25">
      <c r="A167" s="52"/>
      <c r="B167" s="52"/>
      <c r="C167" s="53"/>
      <c r="D167" s="52"/>
      <c r="E167" s="52" t="s">
        <v>204</v>
      </c>
      <c r="F167" s="52">
        <v>0.41</v>
      </c>
      <c r="G167" s="54">
        <v>3921</v>
      </c>
      <c r="H167" s="55">
        <v>1607.6100000000001</v>
      </c>
      <c r="I167" s="55">
        <v>1402.5632342615511</v>
      </c>
      <c r="J167" s="55">
        <v>205.04676573844893</v>
      </c>
      <c r="K167" s="52"/>
      <c r="L167" s="52"/>
      <c r="M167" s="56">
        <f t="shared" si="4"/>
        <v>0</v>
      </c>
      <c r="N167" s="56">
        <f t="shared" si="4"/>
        <v>0</v>
      </c>
      <c r="O167" s="56">
        <f t="shared" si="5"/>
        <v>0</v>
      </c>
    </row>
    <row r="168" spans="1:16" x14ac:dyDescent="0.25">
      <c r="A168" s="52"/>
      <c r="B168" s="52"/>
      <c r="C168" s="53" t="s">
        <v>115</v>
      </c>
      <c r="D168" s="52" t="s">
        <v>211</v>
      </c>
      <c r="E168" s="52" t="s">
        <v>212</v>
      </c>
      <c r="F168" s="52">
        <v>1.58</v>
      </c>
      <c r="G168" s="54">
        <v>217</v>
      </c>
      <c r="H168" s="55">
        <v>342.86</v>
      </c>
      <c r="I168" s="55">
        <v>184.76657824933687</v>
      </c>
      <c r="J168" s="55">
        <v>158.09342175066314</v>
      </c>
      <c r="K168" s="52"/>
      <c r="L168" s="52"/>
      <c r="M168" s="56">
        <f t="shared" si="4"/>
        <v>0</v>
      </c>
      <c r="N168" s="56">
        <f t="shared" si="4"/>
        <v>0</v>
      </c>
      <c r="O168" s="56">
        <f t="shared" si="5"/>
        <v>0</v>
      </c>
    </row>
    <row r="169" spans="1:16" x14ac:dyDescent="0.25">
      <c r="A169" s="52"/>
      <c r="B169" s="52"/>
      <c r="C169" s="53"/>
      <c r="D169" s="52"/>
      <c r="E169" s="52" t="s">
        <v>213</v>
      </c>
      <c r="F169" s="52">
        <v>1.58</v>
      </c>
      <c r="G169" s="54">
        <v>160</v>
      </c>
      <c r="H169" s="55">
        <v>252.8</v>
      </c>
      <c r="I169" s="55">
        <v>136.23342175066313</v>
      </c>
      <c r="J169" s="55">
        <v>116.56657824933689</v>
      </c>
      <c r="K169" s="52"/>
      <c r="L169" s="52"/>
      <c r="M169" s="56">
        <f t="shared" si="4"/>
        <v>0</v>
      </c>
      <c r="N169" s="56">
        <f t="shared" si="4"/>
        <v>0</v>
      </c>
      <c r="O169" s="56">
        <f t="shared" si="5"/>
        <v>0</v>
      </c>
    </row>
    <row r="170" spans="1:16" x14ac:dyDescent="0.25">
      <c r="A170" s="52"/>
      <c r="B170" s="52"/>
      <c r="C170" s="53"/>
      <c r="D170" s="52" t="s">
        <v>160</v>
      </c>
      <c r="E170" s="52" t="s">
        <v>200</v>
      </c>
      <c r="F170" s="52">
        <v>0.45</v>
      </c>
      <c r="G170" s="54">
        <v>6673</v>
      </c>
      <c r="H170" s="55">
        <v>3002.85</v>
      </c>
      <c r="I170" s="55">
        <v>1541.1405835543767</v>
      </c>
      <c r="J170" s="55">
        <v>1461.7094164456234</v>
      </c>
      <c r="K170" s="52"/>
      <c r="L170" s="52"/>
      <c r="M170" s="56">
        <f t="shared" si="4"/>
        <v>0</v>
      </c>
      <c r="N170" s="56">
        <f t="shared" si="4"/>
        <v>0</v>
      </c>
      <c r="O170" s="56">
        <f t="shared" si="5"/>
        <v>0</v>
      </c>
    </row>
    <row r="171" spans="1:16" x14ac:dyDescent="0.25">
      <c r="A171" s="52"/>
      <c r="B171" s="52"/>
      <c r="C171" s="53"/>
      <c r="D171" s="52"/>
      <c r="E171" s="52" t="s">
        <v>201</v>
      </c>
      <c r="F171" s="52">
        <v>0.45000000000000012</v>
      </c>
      <c r="G171" s="54">
        <v>13798</v>
      </c>
      <c r="H171" s="55">
        <v>6209.0999999999995</v>
      </c>
      <c r="I171" s="55">
        <v>3594.8594164456235</v>
      </c>
      <c r="J171" s="55">
        <v>2614.2405835543764</v>
      </c>
      <c r="K171" s="52"/>
      <c r="L171" s="52"/>
      <c r="M171" s="56">
        <f t="shared" si="4"/>
        <v>0</v>
      </c>
      <c r="N171" s="56">
        <f t="shared" si="4"/>
        <v>0</v>
      </c>
      <c r="O171" s="56">
        <f t="shared" si="5"/>
        <v>0</v>
      </c>
    </row>
    <row r="172" spans="1:16" x14ac:dyDescent="0.25">
      <c r="A172" s="52"/>
      <c r="B172" s="52"/>
      <c r="C172" s="53"/>
      <c r="D172" s="52"/>
      <c r="E172" s="52" t="s">
        <v>204</v>
      </c>
      <c r="F172" s="52">
        <v>0.41</v>
      </c>
      <c r="G172" s="54">
        <v>5550</v>
      </c>
      <c r="H172" s="55">
        <v>2275.5</v>
      </c>
      <c r="I172" s="55">
        <v>1284</v>
      </c>
      <c r="J172" s="55">
        <v>991.5</v>
      </c>
      <c r="K172" s="52"/>
      <c r="L172" s="52"/>
      <c r="M172" s="56">
        <f t="shared" si="4"/>
        <v>0</v>
      </c>
      <c r="N172" s="56">
        <f t="shared" si="4"/>
        <v>0</v>
      </c>
      <c r="O172" s="56">
        <f t="shared" si="5"/>
        <v>0</v>
      </c>
    </row>
    <row r="173" spans="1:16" s="6" customFormat="1" x14ac:dyDescent="0.25">
      <c r="A173" s="57"/>
      <c r="B173" s="57" t="s">
        <v>163</v>
      </c>
      <c r="C173" s="58"/>
      <c r="D173" s="57"/>
      <c r="E173" s="57"/>
      <c r="F173" s="57"/>
      <c r="G173" s="59">
        <v>94028</v>
      </c>
      <c r="H173" s="60">
        <v>41996.76999999999</v>
      </c>
      <c r="I173" s="60">
        <v>29211</v>
      </c>
      <c r="J173" s="60">
        <v>12785.77</v>
      </c>
      <c r="K173" s="57"/>
      <c r="L173" s="57"/>
      <c r="M173" s="61"/>
      <c r="N173" s="61"/>
      <c r="O173" s="61">
        <f>SUM(O159:O172)</f>
        <v>0</v>
      </c>
      <c r="P173"/>
    </row>
    <row r="174" spans="1:16" s="6" customFormat="1" x14ac:dyDescent="0.25">
      <c r="A174" s="47" t="s">
        <v>214</v>
      </c>
      <c r="B174" s="47"/>
      <c r="C174" s="48"/>
      <c r="D174" s="47"/>
      <c r="E174" s="47"/>
      <c r="F174" s="47"/>
      <c r="G174" s="49">
        <v>98479</v>
      </c>
      <c r="H174" s="50">
        <v>45335.02</v>
      </c>
      <c r="I174" s="50">
        <v>32741.999999999996</v>
      </c>
      <c r="J174" s="50">
        <v>12593.02</v>
      </c>
      <c r="K174" s="47"/>
      <c r="L174" s="47"/>
      <c r="M174" s="51"/>
      <c r="N174" s="51"/>
      <c r="O174" s="51"/>
      <c r="P174"/>
    </row>
    <row r="175" spans="1:16" x14ac:dyDescent="0.25">
      <c r="A175" s="52" t="s">
        <v>12</v>
      </c>
      <c r="B175" s="52" t="s">
        <v>215</v>
      </c>
      <c r="C175" s="53" t="s">
        <v>216</v>
      </c>
      <c r="D175" s="52" t="s">
        <v>217</v>
      </c>
      <c r="E175" s="52" t="s">
        <v>218</v>
      </c>
      <c r="F175" s="52">
        <v>0.65</v>
      </c>
      <c r="G175" s="54">
        <v>10099</v>
      </c>
      <c r="H175" s="55">
        <v>6564.35</v>
      </c>
      <c r="I175" s="55">
        <v>3758.8424596519362</v>
      </c>
      <c r="J175" s="55">
        <v>2805.5075403480637</v>
      </c>
      <c r="K175" s="52"/>
      <c r="L175" s="52"/>
      <c r="M175" s="56">
        <f t="shared" si="4"/>
        <v>0</v>
      </c>
      <c r="N175" s="56">
        <f t="shared" si="4"/>
        <v>0</v>
      </c>
      <c r="O175" s="56">
        <f t="shared" si="5"/>
        <v>0</v>
      </c>
    </row>
    <row r="176" spans="1:16" x14ac:dyDescent="0.25">
      <c r="A176" s="52"/>
      <c r="B176" s="52"/>
      <c r="C176" s="53"/>
      <c r="D176" s="52"/>
      <c r="E176" s="52" t="s">
        <v>219</v>
      </c>
      <c r="F176" s="52">
        <v>0.65</v>
      </c>
      <c r="G176" s="54">
        <v>9965</v>
      </c>
      <c r="H176" s="55">
        <v>6477.25</v>
      </c>
      <c r="I176" s="55">
        <v>3785.1142654917817</v>
      </c>
      <c r="J176" s="55">
        <v>2692.1357345082183</v>
      </c>
      <c r="K176" s="52"/>
      <c r="L176" s="52"/>
      <c r="M176" s="56">
        <f t="shared" si="4"/>
        <v>0</v>
      </c>
      <c r="N176" s="56">
        <f t="shared" si="4"/>
        <v>0</v>
      </c>
      <c r="O176" s="56">
        <f t="shared" si="5"/>
        <v>0</v>
      </c>
    </row>
    <row r="177" spans="1:15" x14ac:dyDescent="0.25">
      <c r="A177" s="52"/>
      <c r="B177" s="52"/>
      <c r="C177" s="53"/>
      <c r="D177" s="52"/>
      <c r="E177" s="52" t="s">
        <v>220</v>
      </c>
      <c r="F177" s="52">
        <v>0.7</v>
      </c>
      <c r="G177" s="54">
        <v>2425</v>
      </c>
      <c r="H177" s="55">
        <v>1697.5</v>
      </c>
      <c r="I177" s="55">
        <v>1032.3146785987049</v>
      </c>
      <c r="J177" s="55">
        <v>665.18532140129525</v>
      </c>
      <c r="K177" s="52"/>
      <c r="L177" s="52"/>
      <c r="M177" s="56">
        <f t="shared" si="4"/>
        <v>0</v>
      </c>
      <c r="N177" s="56">
        <f t="shared" si="4"/>
        <v>0</v>
      </c>
      <c r="O177" s="56">
        <f t="shared" si="5"/>
        <v>0</v>
      </c>
    </row>
    <row r="178" spans="1:15" x14ac:dyDescent="0.25">
      <c r="A178" s="52"/>
      <c r="B178" s="52"/>
      <c r="C178" s="53"/>
      <c r="D178" s="52"/>
      <c r="E178" s="52" t="s">
        <v>221</v>
      </c>
      <c r="F178" s="52">
        <v>0.67</v>
      </c>
      <c r="G178" s="54">
        <v>305</v>
      </c>
      <c r="H178" s="55">
        <v>204.35000000000002</v>
      </c>
      <c r="I178" s="55">
        <v>129.40362081431266</v>
      </c>
      <c r="J178" s="55">
        <v>74.946379185687363</v>
      </c>
      <c r="K178" s="52"/>
      <c r="L178" s="52"/>
      <c r="M178" s="56">
        <f t="shared" si="4"/>
        <v>0</v>
      </c>
      <c r="N178" s="56">
        <f t="shared" si="4"/>
        <v>0</v>
      </c>
      <c r="O178" s="56">
        <f t="shared" si="5"/>
        <v>0</v>
      </c>
    </row>
    <row r="179" spans="1:15" x14ac:dyDescent="0.25">
      <c r="A179" s="52"/>
      <c r="B179" s="52"/>
      <c r="C179" s="53"/>
      <c r="D179" s="52"/>
      <c r="E179" s="52" t="s">
        <v>222</v>
      </c>
      <c r="F179" s="52">
        <v>0.7</v>
      </c>
      <c r="G179" s="54">
        <v>2036</v>
      </c>
      <c r="H179" s="55">
        <v>1425.2</v>
      </c>
      <c r="I179" s="55">
        <v>861.27501692631847</v>
      </c>
      <c r="J179" s="55">
        <v>563.92498307368157</v>
      </c>
      <c r="K179" s="52"/>
      <c r="L179" s="52"/>
      <c r="M179" s="56">
        <f t="shared" si="4"/>
        <v>0</v>
      </c>
      <c r="N179" s="56">
        <f t="shared" si="4"/>
        <v>0</v>
      </c>
      <c r="O179" s="56">
        <f t="shared" si="5"/>
        <v>0</v>
      </c>
    </row>
    <row r="180" spans="1:15" x14ac:dyDescent="0.25">
      <c r="A180" s="52"/>
      <c r="B180" s="52"/>
      <c r="C180" s="53"/>
      <c r="D180" s="52"/>
      <c r="E180" s="52" t="s">
        <v>223</v>
      </c>
      <c r="F180" s="52">
        <v>0.7</v>
      </c>
      <c r="G180" s="54">
        <v>2555</v>
      </c>
      <c r="H180" s="55">
        <v>1788.5</v>
      </c>
      <c r="I180" s="55">
        <v>965.22863992966529</v>
      </c>
      <c r="J180" s="55">
        <v>823.27136007033471</v>
      </c>
      <c r="K180" s="52"/>
      <c r="L180" s="52"/>
      <c r="M180" s="56">
        <f t="shared" si="4"/>
        <v>0</v>
      </c>
      <c r="N180" s="56">
        <f t="shared" si="4"/>
        <v>0</v>
      </c>
      <c r="O180" s="56">
        <f t="shared" si="5"/>
        <v>0</v>
      </c>
    </row>
    <row r="181" spans="1:15" x14ac:dyDescent="0.25">
      <c r="A181" s="52"/>
      <c r="B181" s="52"/>
      <c r="C181" s="53"/>
      <c r="D181" s="52"/>
      <c r="E181" s="52" t="s">
        <v>224</v>
      </c>
      <c r="F181" s="52">
        <v>0.69999999999999984</v>
      </c>
      <c r="G181" s="54">
        <v>1537</v>
      </c>
      <c r="H181" s="55">
        <v>1075.9000000000001</v>
      </c>
      <c r="I181" s="55">
        <v>591.49818840900866</v>
      </c>
      <c r="J181" s="55">
        <v>484.40181159099131</v>
      </c>
      <c r="K181" s="52"/>
      <c r="L181" s="52"/>
      <c r="M181" s="56">
        <f t="shared" si="4"/>
        <v>0</v>
      </c>
      <c r="N181" s="56">
        <f t="shared" si="4"/>
        <v>0</v>
      </c>
      <c r="O181" s="56">
        <f t="shared" si="5"/>
        <v>0</v>
      </c>
    </row>
    <row r="182" spans="1:15" x14ac:dyDescent="0.25">
      <c r="A182" s="52"/>
      <c r="B182" s="52"/>
      <c r="C182" s="53"/>
      <c r="D182" s="52"/>
      <c r="E182" s="52" t="s">
        <v>225</v>
      </c>
      <c r="F182" s="52">
        <v>0.8</v>
      </c>
      <c r="G182" s="54">
        <v>3981</v>
      </c>
      <c r="H182" s="55">
        <v>3184.8</v>
      </c>
      <c r="I182" s="55">
        <v>1593.8427356347033</v>
      </c>
      <c r="J182" s="55">
        <v>1590.9572643652966</v>
      </c>
      <c r="K182" s="52"/>
      <c r="L182" s="52"/>
      <c r="M182" s="56">
        <f t="shared" si="4"/>
        <v>0</v>
      </c>
      <c r="N182" s="56">
        <f t="shared" si="4"/>
        <v>0</v>
      </c>
      <c r="O182" s="56">
        <f t="shared" si="5"/>
        <v>0</v>
      </c>
    </row>
    <row r="183" spans="1:15" x14ac:dyDescent="0.25">
      <c r="A183" s="52"/>
      <c r="B183" s="52"/>
      <c r="C183" s="53"/>
      <c r="D183" s="52"/>
      <c r="E183" s="52" t="s">
        <v>226</v>
      </c>
      <c r="F183" s="52">
        <v>0.7</v>
      </c>
      <c r="G183" s="54">
        <v>5565</v>
      </c>
      <c r="H183" s="55">
        <v>3895.5</v>
      </c>
      <c r="I183" s="55">
        <v>2222.5055552538292</v>
      </c>
      <c r="J183" s="55">
        <v>1672.994444746171</v>
      </c>
      <c r="K183" s="52"/>
      <c r="L183" s="52"/>
      <c r="M183" s="56">
        <f t="shared" si="4"/>
        <v>0</v>
      </c>
      <c r="N183" s="56">
        <f t="shared" si="4"/>
        <v>0</v>
      </c>
      <c r="O183" s="56">
        <f t="shared" si="5"/>
        <v>0</v>
      </c>
    </row>
    <row r="184" spans="1:15" x14ac:dyDescent="0.25">
      <c r="A184" s="52"/>
      <c r="B184" s="52"/>
      <c r="C184" s="53"/>
      <c r="D184" s="52"/>
      <c r="E184" s="52" t="s">
        <v>227</v>
      </c>
      <c r="F184" s="52">
        <v>0.67</v>
      </c>
      <c r="G184" s="54">
        <v>120</v>
      </c>
      <c r="H184" s="55">
        <v>80.399999999999991</v>
      </c>
      <c r="I184" s="55">
        <v>47.416596638655463</v>
      </c>
      <c r="J184" s="55">
        <v>32.983403361344529</v>
      </c>
      <c r="K184" s="52"/>
      <c r="L184" s="52"/>
      <c r="M184" s="56">
        <f t="shared" si="4"/>
        <v>0</v>
      </c>
      <c r="N184" s="56">
        <f t="shared" si="4"/>
        <v>0</v>
      </c>
      <c r="O184" s="56">
        <f t="shared" si="5"/>
        <v>0</v>
      </c>
    </row>
    <row r="185" spans="1:15" x14ac:dyDescent="0.25">
      <c r="A185" s="52"/>
      <c r="B185" s="52"/>
      <c r="C185" s="53"/>
      <c r="D185" s="52"/>
      <c r="E185" s="52" t="s">
        <v>228</v>
      </c>
      <c r="F185" s="52">
        <v>0.69999999999999984</v>
      </c>
      <c r="G185" s="54">
        <v>4043</v>
      </c>
      <c r="H185" s="55">
        <v>2830.1</v>
      </c>
      <c r="I185" s="55">
        <v>1649.1220962999266</v>
      </c>
      <c r="J185" s="55">
        <v>1180.9779037000733</v>
      </c>
      <c r="K185" s="52"/>
      <c r="L185" s="52"/>
      <c r="M185" s="56">
        <f t="shared" si="4"/>
        <v>0</v>
      </c>
      <c r="N185" s="56">
        <f t="shared" si="4"/>
        <v>0</v>
      </c>
      <c r="O185" s="56">
        <f t="shared" si="5"/>
        <v>0</v>
      </c>
    </row>
    <row r="186" spans="1:15" x14ac:dyDescent="0.25">
      <c r="A186" s="52"/>
      <c r="B186" s="52"/>
      <c r="C186" s="53"/>
      <c r="D186" s="52"/>
      <c r="E186" s="52" t="s">
        <v>229</v>
      </c>
      <c r="F186" s="52">
        <v>0.67</v>
      </c>
      <c r="G186" s="54">
        <v>190</v>
      </c>
      <c r="H186" s="55">
        <v>127.3</v>
      </c>
      <c r="I186" s="55">
        <v>80.133996592430336</v>
      </c>
      <c r="J186" s="55">
        <v>47.166003407569669</v>
      </c>
      <c r="K186" s="52"/>
      <c r="L186" s="52"/>
      <c r="M186" s="56">
        <f t="shared" si="4"/>
        <v>0</v>
      </c>
      <c r="N186" s="56">
        <f t="shared" si="4"/>
        <v>0</v>
      </c>
      <c r="O186" s="56">
        <f t="shared" si="5"/>
        <v>0</v>
      </c>
    </row>
    <row r="187" spans="1:15" x14ac:dyDescent="0.25">
      <c r="A187" s="52"/>
      <c r="B187" s="52"/>
      <c r="C187" s="53"/>
      <c r="D187" s="52"/>
      <c r="E187" s="52" t="s">
        <v>230</v>
      </c>
      <c r="F187" s="52">
        <v>0.69999999999999984</v>
      </c>
      <c r="G187" s="54">
        <v>123</v>
      </c>
      <c r="H187" s="55">
        <v>86.1</v>
      </c>
      <c r="I187" s="55">
        <v>51.605596870861703</v>
      </c>
      <c r="J187" s="55">
        <v>34.494403129138298</v>
      </c>
      <c r="K187" s="52"/>
      <c r="L187" s="52"/>
      <c r="M187" s="56">
        <f t="shared" si="4"/>
        <v>0</v>
      </c>
      <c r="N187" s="56">
        <f t="shared" si="4"/>
        <v>0</v>
      </c>
      <c r="O187" s="56">
        <f t="shared" si="5"/>
        <v>0</v>
      </c>
    </row>
    <row r="188" spans="1:15" x14ac:dyDescent="0.25">
      <c r="A188" s="52"/>
      <c r="B188" s="52"/>
      <c r="C188" s="53"/>
      <c r="D188" s="52"/>
      <c r="E188" s="52" t="s">
        <v>231</v>
      </c>
      <c r="F188" s="52">
        <v>0.7</v>
      </c>
      <c r="G188" s="54">
        <v>3050</v>
      </c>
      <c r="H188" s="55">
        <v>2135</v>
      </c>
      <c r="I188" s="55">
        <v>1228.4434078969814</v>
      </c>
      <c r="J188" s="55">
        <v>906.55659210301849</v>
      </c>
      <c r="K188" s="52"/>
      <c r="L188" s="52"/>
      <c r="M188" s="56">
        <f t="shared" si="4"/>
        <v>0</v>
      </c>
      <c r="N188" s="56">
        <f t="shared" si="4"/>
        <v>0</v>
      </c>
      <c r="O188" s="56">
        <f t="shared" si="5"/>
        <v>0</v>
      </c>
    </row>
    <row r="189" spans="1:15" x14ac:dyDescent="0.25">
      <c r="A189" s="52"/>
      <c r="B189" s="52"/>
      <c r="C189" s="53"/>
      <c r="D189" s="52"/>
      <c r="E189" s="52" t="s">
        <v>232</v>
      </c>
      <c r="F189" s="52">
        <v>0.7</v>
      </c>
      <c r="G189" s="54">
        <v>3055</v>
      </c>
      <c r="H189" s="55">
        <v>2138.5</v>
      </c>
      <c r="I189" s="55">
        <v>1194.0200904838584</v>
      </c>
      <c r="J189" s="55">
        <v>944.47990951614145</v>
      </c>
      <c r="K189" s="52"/>
      <c r="L189" s="52"/>
      <c r="M189" s="56">
        <f t="shared" si="4"/>
        <v>0</v>
      </c>
      <c r="N189" s="56">
        <f t="shared" si="4"/>
        <v>0</v>
      </c>
      <c r="O189" s="56">
        <f t="shared" si="5"/>
        <v>0</v>
      </c>
    </row>
    <row r="190" spans="1:15" x14ac:dyDescent="0.25">
      <c r="A190" s="52"/>
      <c r="B190" s="52"/>
      <c r="C190" s="53"/>
      <c r="D190" s="52"/>
      <c r="E190" s="52" t="s">
        <v>233</v>
      </c>
      <c r="F190" s="52">
        <v>0.67</v>
      </c>
      <c r="G190" s="54">
        <v>240</v>
      </c>
      <c r="H190" s="55">
        <v>160.79999999999998</v>
      </c>
      <c r="I190" s="55">
        <v>103.21425364758697</v>
      </c>
      <c r="J190" s="55">
        <v>57.585746352413018</v>
      </c>
      <c r="K190" s="52"/>
      <c r="L190" s="52"/>
      <c r="M190" s="56">
        <f t="shared" si="4"/>
        <v>0</v>
      </c>
      <c r="N190" s="56">
        <f t="shared" si="4"/>
        <v>0</v>
      </c>
      <c r="O190" s="56">
        <f t="shared" si="5"/>
        <v>0</v>
      </c>
    </row>
    <row r="191" spans="1:15" x14ac:dyDescent="0.25">
      <c r="A191" s="52"/>
      <c r="B191" s="52"/>
      <c r="C191" s="53"/>
      <c r="D191" s="52"/>
      <c r="E191" s="52" t="s">
        <v>234</v>
      </c>
      <c r="F191" s="52">
        <v>0.7</v>
      </c>
      <c r="G191" s="54">
        <v>3675</v>
      </c>
      <c r="H191" s="55">
        <v>2572.5</v>
      </c>
      <c r="I191" s="55">
        <v>1422.7045756191185</v>
      </c>
      <c r="J191" s="55">
        <v>1149.7954243808815</v>
      </c>
      <c r="K191" s="52"/>
      <c r="L191" s="52"/>
      <c r="M191" s="56">
        <f t="shared" si="4"/>
        <v>0</v>
      </c>
      <c r="N191" s="56">
        <f t="shared" si="4"/>
        <v>0</v>
      </c>
      <c r="O191" s="56">
        <f t="shared" si="5"/>
        <v>0</v>
      </c>
    </row>
    <row r="192" spans="1:15" x14ac:dyDescent="0.25">
      <c r="A192" s="52"/>
      <c r="B192" s="52"/>
      <c r="C192" s="53"/>
      <c r="D192" s="52"/>
      <c r="E192" s="52" t="s">
        <v>235</v>
      </c>
      <c r="F192" s="52">
        <v>0.67</v>
      </c>
      <c r="G192" s="54">
        <v>355</v>
      </c>
      <c r="H192" s="55">
        <v>237.85</v>
      </c>
      <c r="I192" s="55">
        <v>139.31422524032104</v>
      </c>
      <c r="J192" s="55">
        <v>98.535774759678972</v>
      </c>
      <c r="K192" s="52"/>
      <c r="L192" s="52"/>
      <c r="M192" s="56">
        <f t="shared" si="4"/>
        <v>0</v>
      </c>
      <c r="N192" s="56">
        <f t="shared" si="4"/>
        <v>0</v>
      </c>
      <c r="O192" s="56">
        <f t="shared" si="5"/>
        <v>0</v>
      </c>
    </row>
    <row r="193" spans="1:15" x14ac:dyDescent="0.25">
      <c r="A193" s="52"/>
      <c r="B193" s="52"/>
      <c r="C193" s="53" t="s">
        <v>236</v>
      </c>
      <c r="D193" s="52" t="s">
        <v>217</v>
      </c>
      <c r="E193" s="52" t="s">
        <v>218</v>
      </c>
      <c r="F193" s="52">
        <v>0.65</v>
      </c>
      <c r="G193" s="54">
        <v>8784</v>
      </c>
      <c r="H193" s="55">
        <v>5709.6</v>
      </c>
      <c r="I193" s="55">
        <v>3264.4632098318316</v>
      </c>
      <c r="J193" s="55">
        <v>2445.1367901681688</v>
      </c>
      <c r="K193" s="52"/>
      <c r="L193" s="52"/>
      <c r="M193" s="56">
        <f t="shared" si="4"/>
        <v>0</v>
      </c>
      <c r="N193" s="56">
        <f t="shared" si="4"/>
        <v>0</v>
      </c>
      <c r="O193" s="56">
        <f t="shared" si="5"/>
        <v>0</v>
      </c>
    </row>
    <row r="194" spans="1:15" x14ac:dyDescent="0.25">
      <c r="A194" s="52"/>
      <c r="B194" s="52"/>
      <c r="C194" s="53"/>
      <c r="D194" s="52"/>
      <c r="E194" s="52" t="s">
        <v>219</v>
      </c>
      <c r="F194" s="52">
        <v>0.65</v>
      </c>
      <c r="G194" s="54">
        <v>13435</v>
      </c>
      <c r="H194" s="55">
        <v>8732.75</v>
      </c>
      <c r="I194" s="55">
        <v>4927.9243716419578</v>
      </c>
      <c r="J194" s="55">
        <v>3804.8256283580426</v>
      </c>
      <c r="K194" s="52"/>
      <c r="L194" s="52"/>
      <c r="M194" s="56">
        <f t="shared" si="4"/>
        <v>0</v>
      </c>
      <c r="N194" s="56">
        <f t="shared" si="4"/>
        <v>0</v>
      </c>
      <c r="O194" s="56">
        <f t="shared" si="5"/>
        <v>0</v>
      </c>
    </row>
    <row r="195" spans="1:15" x14ac:dyDescent="0.25">
      <c r="A195" s="52"/>
      <c r="B195" s="52"/>
      <c r="C195" s="53"/>
      <c r="D195" s="52"/>
      <c r="E195" s="52" t="s">
        <v>220</v>
      </c>
      <c r="F195" s="52">
        <v>0.7</v>
      </c>
      <c r="G195" s="54">
        <v>2270</v>
      </c>
      <c r="H195" s="55">
        <v>1589</v>
      </c>
      <c r="I195" s="55">
        <v>947.50913958346405</v>
      </c>
      <c r="J195" s="55">
        <v>641.49086041653595</v>
      </c>
      <c r="K195" s="52"/>
      <c r="L195" s="52"/>
      <c r="M195" s="56">
        <f t="shared" si="4"/>
        <v>0</v>
      </c>
      <c r="N195" s="56">
        <f t="shared" si="4"/>
        <v>0</v>
      </c>
      <c r="O195" s="56">
        <f t="shared" si="5"/>
        <v>0</v>
      </c>
    </row>
    <row r="196" spans="1:15" x14ac:dyDescent="0.25">
      <c r="A196" s="52"/>
      <c r="B196" s="52"/>
      <c r="C196" s="53"/>
      <c r="D196" s="52"/>
      <c r="E196" s="52" t="s">
        <v>221</v>
      </c>
      <c r="F196" s="52">
        <v>0.67</v>
      </c>
      <c r="G196" s="54">
        <v>65</v>
      </c>
      <c r="H196" s="55">
        <v>43.550000000000004</v>
      </c>
      <c r="I196" s="55">
        <v>26.939172376832676</v>
      </c>
      <c r="J196" s="55">
        <v>16.610827623167328</v>
      </c>
      <c r="K196" s="52"/>
      <c r="L196" s="52"/>
      <c r="M196" s="56">
        <f t="shared" si="4"/>
        <v>0</v>
      </c>
      <c r="N196" s="56">
        <f t="shared" si="4"/>
        <v>0</v>
      </c>
      <c r="O196" s="56">
        <f t="shared" si="5"/>
        <v>0</v>
      </c>
    </row>
    <row r="197" spans="1:15" x14ac:dyDescent="0.25">
      <c r="A197" s="52"/>
      <c r="B197" s="52"/>
      <c r="C197" s="53"/>
      <c r="D197" s="52"/>
      <c r="E197" s="52" t="s">
        <v>222</v>
      </c>
      <c r="F197" s="52">
        <v>0.7</v>
      </c>
      <c r="G197" s="54">
        <v>1400</v>
      </c>
      <c r="H197" s="55">
        <v>980</v>
      </c>
      <c r="I197" s="55">
        <v>570.58367658276131</v>
      </c>
      <c r="J197" s="55">
        <v>409.41632341723869</v>
      </c>
      <c r="K197" s="52"/>
      <c r="L197" s="52"/>
      <c r="M197" s="56">
        <f t="shared" si="4"/>
        <v>0</v>
      </c>
      <c r="N197" s="56">
        <f t="shared" si="4"/>
        <v>0</v>
      </c>
      <c r="O197" s="56">
        <f t="shared" si="5"/>
        <v>0</v>
      </c>
    </row>
    <row r="198" spans="1:15" x14ac:dyDescent="0.25">
      <c r="A198" s="52"/>
      <c r="B198" s="52"/>
      <c r="C198" s="53"/>
      <c r="D198" s="52"/>
      <c r="E198" s="52" t="s">
        <v>223</v>
      </c>
      <c r="F198" s="52">
        <v>0.7</v>
      </c>
      <c r="G198" s="54">
        <v>4600</v>
      </c>
      <c r="H198" s="55">
        <v>3219.9999999999995</v>
      </c>
      <c r="I198" s="55">
        <v>1798.9891117828399</v>
      </c>
      <c r="J198" s="55">
        <v>1421.0108882171605</v>
      </c>
      <c r="K198" s="52"/>
      <c r="L198" s="52"/>
      <c r="M198" s="56">
        <f t="shared" ref="M198:N261" si="6">$G198*K198</f>
        <v>0</v>
      </c>
      <c r="N198" s="56">
        <f t="shared" si="6"/>
        <v>0</v>
      </c>
      <c r="O198" s="56">
        <f t="shared" ref="O198:O261" si="7">M198+N198</f>
        <v>0</v>
      </c>
    </row>
    <row r="199" spans="1:15" x14ac:dyDescent="0.25">
      <c r="A199" s="52"/>
      <c r="B199" s="52"/>
      <c r="C199" s="53"/>
      <c r="D199" s="52"/>
      <c r="E199" s="52" t="s">
        <v>224</v>
      </c>
      <c r="F199" s="52">
        <v>0.69999999999999984</v>
      </c>
      <c r="G199" s="54">
        <v>694</v>
      </c>
      <c r="H199" s="55">
        <v>485.8</v>
      </c>
      <c r="I199" s="55">
        <v>287.96610015938262</v>
      </c>
      <c r="J199" s="55">
        <v>197.83389984061739</v>
      </c>
      <c r="K199" s="52"/>
      <c r="L199" s="52"/>
      <c r="M199" s="56">
        <f t="shared" si="6"/>
        <v>0</v>
      </c>
      <c r="N199" s="56">
        <f t="shared" si="6"/>
        <v>0</v>
      </c>
      <c r="O199" s="56">
        <f t="shared" si="7"/>
        <v>0</v>
      </c>
    </row>
    <row r="200" spans="1:15" x14ac:dyDescent="0.25">
      <c r="A200" s="52"/>
      <c r="B200" s="52"/>
      <c r="C200" s="53"/>
      <c r="D200" s="52"/>
      <c r="E200" s="52" t="s">
        <v>225</v>
      </c>
      <c r="F200" s="52">
        <v>0.8</v>
      </c>
      <c r="G200" s="54">
        <v>2391</v>
      </c>
      <c r="H200" s="55">
        <v>1912.8000000000002</v>
      </c>
      <c r="I200" s="55">
        <v>980.30508904742044</v>
      </c>
      <c r="J200" s="55">
        <v>932.49491095257963</v>
      </c>
      <c r="K200" s="52"/>
      <c r="L200" s="52"/>
      <c r="M200" s="56">
        <f t="shared" si="6"/>
        <v>0</v>
      </c>
      <c r="N200" s="56">
        <f t="shared" si="6"/>
        <v>0</v>
      </c>
      <c r="O200" s="56">
        <f t="shared" si="7"/>
        <v>0</v>
      </c>
    </row>
    <row r="201" spans="1:15" x14ac:dyDescent="0.25">
      <c r="A201" s="52"/>
      <c r="B201" s="52"/>
      <c r="C201" s="53"/>
      <c r="D201" s="52"/>
      <c r="E201" s="52" t="s">
        <v>226</v>
      </c>
      <c r="F201" s="52">
        <v>0.7</v>
      </c>
      <c r="G201" s="54">
        <v>5520</v>
      </c>
      <c r="H201" s="55">
        <v>3864</v>
      </c>
      <c r="I201" s="55">
        <v>2163.9118077868006</v>
      </c>
      <c r="J201" s="55">
        <v>1700.0881922131994</v>
      </c>
      <c r="K201" s="52"/>
      <c r="L201" s="52"/>
      <c r="M201" s="56">
        <f t="shared" si="6"/>
        <v>0</v>
      </c>
      <c r="N201" s="56">
        <f t="shared" si="6"/>
        <v>0</v>
      </c>
      <c r="O201" s="56">
        <f t="shared" si="7"/>
        <v>0</v>
      </c>
    </row>
    <row r="202" spans="1:15" x14ac:dyDescent="0.25">
      <c r="A202" s="52"/>
      <c r="B202" s="52"/>
      <c r="C202" s="53"/>
      <c r="D202" s="52"/>
      <c r="E202" s="52" t="s">
        <v>227</v>
      </c>
      <c r="F202" s="52">
        <v>0.67</v>
      </c>
      <c r="G202" s="54">
        <v>247</v>
      </c>
      <c r="H202" s="55">
        <v>165.49</v>
      </c>
      <c r="I202" s="55">
        <v>92.295180581887976</v>
      </c>
      <c r="J202" s="55">
        <v>73.194819418112033</v>
      </c>
      <c r="K202" s="52"/>
      <c r="L202" s="52"/>
      <c r="M202" s="56">
        <f t="shared" si="6"/>
        <v>0</v>
      </c>
      <c r="N202" s="56">
        <f t="shared" si="6"/>
        <v>0</v>
      </c>
      <c r="O202" s="56">
        <f t="shared" si="7"/>
        <v>0</v>
      </c>
    </row>
    <row r="203" spans="1:15" x14ac:dyDescent="0.25">
      <c r="A203" s="52"/>
      <c r="B203" s="52"/>
      <c r="C203" s="53"/>
      <c r="D203" s="52"/>
      <c r="E203" s="52" t="s">
        <v>228</v>
      </c>
      <c r="F203" s="52">
        <v>0.7</v>
      </c>
      <c r="G203" s="54">
        <v>1392</v>
      </c>
      <c r="H203" s="55">
        <v>974.4</v>
      </c>
      <c r="I203" s="55">
        <v>636.49783700577848</v>
      </c>
      <c r="J203" s="55">
        <v>337.90216299422156</v>
      </c>
      <c r="K203" s="52"/>
      <c r="L203" s="52"/>
      <c r="M203" s="56">
        <f t="shared" si="6"/>
        <v>0</v>
      </c>
      <c r="N203" s="56">
        <f t="shared" si="6"/>
        <v>0</v>
      </c>
      <c r="O203" s="56">
        <f t="shared" si="7"/>
        <v>0</v>
      </c>
    </row>
    <row r="204" spans="1:15" x14ac:dyDescent="0.25">
      <c r="A204" s="52"/>
      <c r="B204" s="52"/>
      <c r="C204" s="53"/>
      <c r="D204" s="52"/>
      <c r="E204" s="52" t="s">
        <v>229</v>
      </c>
      <c r="F204" s="52">
        <v>0.67</v>
      </c>
      <c r="G204" s="54">
        <v>505</v>
      </c>
      <c r="H204" s="55">
        <v>338.35</v>
      </c>
      <c r="I204" s="55">
        <v>231.27536231884059</v>
      </c>
      <c r="J204" s="55">
        <v>107.07463768115943</v>
      </c>
      <c r="K204" s="52"/>
      <c r="L204" s="52"/>
      <c r="M204" s="56">
        <f t="shared" si="6"/>
        <v>0</v>
      </c>
      <c r="N204" s="56">
        <f t="shared" si="6"/>
        <v>0</v>
      </c>
      <c r="O204" s="56">
        <f t="shared" si="7"/>
        <v>0</v>
      </c>
    </row>
    <row r="205" spans="1:15" x14ac:dyDescent="0.25">
      <c r="A205" s="52"/>
      <c r="B205" s="52"/>
      <c r="C205" s="53"/>
      <c r="D205" s="52"/>
      <c r="E205" s="52" t="s">
        <v>230</v>
      </c>
      <c r="F205" s="52">
        <v>0.7</v>
      </c>
      <c r="G205" s="54">
        <v>1195</v>
      </c>
      <c r="H205" s="55">
        <v>836.5</v>
      </c>
      <c r="I205" s="55">
        <v>477.38138724294174</v>
      </c>
      <c r="J205" s="55">
        <v>359.11861275705826</v>
      </c>
      <c r="K205" s="52"/>
      <c r="L205" s="52"/>
      <c r="M205" s="56">
        <f t="shared" si="6"/>
        <v>0</v>
      </c>
      <c r="N205" s="56">
        <f t="shared" si="6"/>
        <v>0</v>
      </c>
      <c r="O205" s="56">
        <f t="shared" si="7"/>
        <v>0</v>
      </c>
    </row>
    <row r="206" spans="1:15" x14ac:dyDescent="0.25">
      <c r="A206" s="52"/>
      <c r="B206" s="52"/>
      <c r="C206" s="53"/>
      <c r="D206" s="52"/>
      <c r="E206" s="52" t="s">
        <v>231</v>
      </c>
      <c r="F206" s="52">
        <v>0.7</v>
      </c>
      <c r="G206" s="54">
        <v>2349</v>
      </c>
      <c r="H206" s="55">
        <v>1644.3000000000002</v>
      </c>
      <c r="I206" s="55">
        <v>918.5566722922764</v>
      </c>
      <c r="J206" s="55">
        <v>725.74332770772355</v>
      </c>
      <c r="K206" s="52"/>
      <c r="L206" s="52"/>
      <c r="M206" s="56">
        <f t="shared" si="6"/>
        <v>0</v>
      </c>
      <c r="N206" s="56">
        <f t="shared" si="6"/>
        <v>0</v>
      </c>
      <c r="O206" s="56">
        <f t="shared" si="7"/>
        <v>0</v>
      </c>
    </row>
    <row r="207" spans="1:15" x14ac:dyDescent="0.25">
      <c r="A207" s="52"/>
      <c r="B207" s="52"/>
      <c r="C207" s="53"/>
      <c r="D207" s="52"/>
      <c r="E207" s="52" t="s">
        <v>232</v>
      </c>
      <c r="F207" s="52">
        <v>0.7</v>
      </c>
      <c r="G207" s="54">
        <v>4475</v>
      </c>
      <c r="H207" s="55">
        <v>3132.5</v>
      </c>
      <c r="I207" s="55">
        <v>1767.585135260611</v>
      </c>
      <c r="J207" s="55">
        <v>1364.9148647393893</v>
      </c>
      <c r="K207" s="52"/>
      <c r="L207" s="52"/>
      <c r="M207" s="56">
        <f t="shared" si="6"/>
        <v>0</v>
      </c>
      <c r="N207" s="56">
        <f t="shared" si="6"/>
        <v>0</v>
      </c>
      <c r="O207" s="56">
        <f t="shared" si="7"/>
        <v>0</v>
      </c>
    </row>
    <row r="208" spans="1:15" x14ac:dyDescent="0.25">
      <c r="A208" s="52"/>
      <c r="B208" s="52"/>
      <c r="C208" s="53"/>
      <c r="D208" s="52"/>
      <c r="E208" s="52" t="s">
        <v>233</v>
      </c>
      <c r="F208" s="52">
        <v>0.67</v>
      </c>
      <c r="G208" s="54">
        <v>309</v>
      </c>
      <c r="H208" s="55">
        <v>207.03</v>
      </c>
      <c r="I208" s="55">
        <v>134.41901906189761</v>
      </c>
      <c r="J208" s="55">
        <v>72.610980938102372</v>
      </c>
      <c r="K208" s="52"/>
      <c r="L208" s="52"/>
      <c r="M208" s="56">
        <f t="shared" si="6"/>
        <v>0</v>
      </c>
      <c r="N208" s="56">
        <f t="shared" si="6"/>
        <v>0</v>
      </c>
      <c r="O208" s="56">
        <f t="shared" si="7"/>
        <v>0</v>
      </c>
    </row>
    <row r="209" spans="1:15" x14ac:dyDescent="0.25">
      <c r="A209" s="52"/>
      <c r="B209" s="52"/>
      <c r="C209" s="53"/>
      <c r="D209" s="52"/>
      <c r="E209" s="52" t="s">
        <v>234</v>
      </c>
      <c r="F209" s="52">
        <v>0.70000000000000007</v>
      </c>
      <c r="G209" s="54">
        <v>4052</v>
      </c>
      <c r="H209" s="55">
        <v>2836.4</v>
      </c>
      <c r="I209" s="55">
        <v>1625.3660290059797</v>
      </c>
      <c r="J209" s="55">
        <v>1211.0339709940204</v>
      </c>
      <c r="K209" s="52"/>
      <c r="L209" s="52"/>
      <c r="M209" s="56">
        <f t="shared" si="6"/>
        <v>0</v>
      </c>
      <c r="N209" s="56">
        <f t="shared" si="6"/>
        <v>0</v>
      </c>
      <c r="O209" s="56">
        <f t="shared" si="7"/>
        <v>0</v>
      </c>
    </row>
    <row r="210" spans="1:15" x14ac:dyDescent="0.25">
      <c r="A210" s="52"/>
      <c r="B210" s="52"/>
      <c r="C210" s="53"/>
      <c r="D210" s="52"/>
      <c r="E210" s="52" t="s">
        <v>235</v>
      </c>
      <c r="F210" s="52">
        <v>0.67</v>
      </c>
      <c r="G210" s="54">
        <v>10</v>
      </c>
      <c r="H210" s="55">
        <v>6.7</v>
      </c>
      <c r="I210" s="55">
        <v>4.031698436496038</v>
      </c>
      <c r="J210" s="55">
        <v>2.6683015635039622</v>
      </c>
      <c r="K210" s="52"/>
      <c r="L210" s="52"/>
      <c r="M210" s="56">
        <f t="shared" si="6"/>
        <v>0</v>
      </c>
      <c r="N210" s="56">
        <f t="shared" si="6"/>
        <v>0</v>
      </c>
      <c r="O210" s="56">
        <f t="shared" si="7"/>
        <v>0</v>
      </c>
    </row>
    <row r="211" spans="1:15" x14ac:dyDescent="0.25">
      <c r="A211" s="52"/>
      <c r="B211" s="52"/>
      <c r="C211" s="53" t="s">
        <v>237</v>
      </c>
      <c r="D211" s="52" t="s">
        <v>217</v>
      </c>
      <c r="E211" s="52" t="s">
        <v>218</v>
      </c>
      <c r="F211" s="52">
        <v>0.65</v>
      </c>
      <c r="G211" s="54">
        <v>10655</v>
      </c>
      <c r="H211" s="55">
        <v>6925.75</v>
      </c>
      <c r="I211" s="55">
        <v>3792</v>
      </c>
      <c r="J211" s="55">
        <v>3133.75</v>
      </c>
      <c r="K211" s="52"/>
      <c r="L211" s="52"/>
      <c r="M211" s="56">
        <f t="shared" si="6"/>
        <v>0</v>
      </c>
      <c r="N211" s="56">
        <f t="shared" si="6"/>
        <v>0</v>
      </c>
      <c r="O211" s="56">
        <f t="shared" si="7"/>
        <v>0</v>
      </c>
    </row>
    <row r="212" spans="1:15" x14ac:dyDescent="0.25">
      <c r="A212" s="52"/>
      <c r="B212" s="52"/>
      <c r="C212" s="53"/>
      <c r="D212" s="52"/>
      <c r="E212" s="52" t="s">
        <v>219</v>
      </c>
      <c r="F212" s="52">
        <v>0.65</v>
      </c>
      <c r="G212" s="54">
        <v>10475</v>
      </c>
      <c r="H212" s="55">
        <v>6808.75</v>
      </c>
      <c r="I212" s="55">
        <v>3766.0009804284691</v>
      </c>
      <c r="J212" s="55">
        <v>3042.7490195715309</v>
      </c>
      <c r="K212" s="52"/>
      <c r="L212" s="52"/>
      <c r="M212" s="56">
        <f t="shared" si="6"/>
        <v>0</v>
      </c>
      <c r="N212" s="56">
        <f t="shared" si="6"/>
        <v>0</v>
      </c>
      <c r="O212" s="56">
        <f t="shared" si="7"/>
        <v>0</v>
      </c>
    </row>
    <row r="213" spans="1:15" x14ac:dyDescent="0.25">
      <c r="A213" s="52"/>
      <c r="B213" s="52"/>
      <c r="C213" s="53"/>
      <c r="D213" s="52"/>
      <c r="E213" s="52" t="s">
        <v>220</v>
      </c>
      <c r="F213" s="52">
        <v>0.69999999999999984</v>
      </c>
      <c r="G213" s="54">
        <v>2176</v>
      </c>
      <c r="H213" s="55">
        <v>1523.2</v>
      </c>
      <c r="I213" s="55">
        <v>1002.2934130531045</v>
      </c>
      <c r="J213" s="55">
        <v>520.90658694689546</v>
      </c>
      <c r="K213" s="52"/>
      <c r="L213" s="52"/>
      <c r="M213" s="56">
        <f t="shared" si="6"/>
        <v>0</v>
      </c>
      <c r="N213" s="56">
        <f t="shared" si="6"/>
        <v>0</v>
      </c>
      <c r="O213" s="56">
        <f t="shared" si="7"/>
        <v>0</v>
      </c>
    </row>
    <row r="214" spans="1:15" x14ac:dyDescent="0.25">
      <c r="A214" s="52"/>
      <c r="B214" s="52"/>
      <c r="C214" s="53"/>
      <c r="D214" s="52"/>
      <c r="E214" s="52" t="s">
        <v>221</v>
      </c>
      <c r="F214" s="52">
        <v>0.67</v>
      </c>
      <c r="G214" s="54">
        <v>365</v>
      </c>
      <c r="H214" s="55">
        <v>244.54999999999998</v>
      </c>
      <c r="I214" s="55">
        <v>167.97647225568704</v>
      </c>
      <c r="J214" s="55">
        <v>76.573527744312941</v>
      </c>
      <c r="K214" s="52"/>
      <c r="L214" s="52"/>
      <c r="M214" s="56">
        <f t="shared" si="6"/>
        <v>0</v>
      </c>
      <c r="N214" s="56">
        <f t="shared" si="6"/>
        <v>0</v>
      </c>
      <c r="O214" s="56">
        <f t="shared" si="7"/>
        <v>0</v>
      </c>
    </row>
    <row r="215" spans="1:15" x14ac:dyDescent="0.25">
      <c r="A215" s="52"/>
      <c r="B215" s="52"/>
      <c r="C215" s="53"/>
      <c r="D215" s="52"/>
      <c r="E215" s="52" t="s">
        <v>222</v>
      </c>
      <c r="F215" s="52">
        <v>0.7</v>
      </c>
      <c r="G215" s="54">
        <v>735</v>
      </c>
      <c r="H215" s="55">
        <v>514.5</v>
      </c>
      <c r="I215" s="55">
        <v>366.53814829043409</v>
      </c>
      <c r="J215" s="55">
        <v>147.96185170956591</v>
      </c>
      <c r="K215" s="52"/>
      <c r="L215" s="52"/>
      <c r="M215" s="56">
        <f t="shared" si="6"/>
        <v>0</v>
      </c>
      <c r="N215" s="56">
        <f t="shared" si="6"/>
        <v>0</v>
      </c>
      <c r="O215" s="56">
        <f t="shared" si="7"/>
        <v>0</v>
      </c>
    </row>
    <row r="216" spans="1:15" x14ac:dyDescent="0.25">
      <c r="A216" s="52"/>
      <c r="B216" s="52"/>
      <c r="C216" s="53"/>
      <c r="D216" s="52"/>
      <c r="E216" s="52" t="s">
        <v>223</v>
      </c>
      <c r="F216" s="52">
        <v>0.7</v>
      </c>
      <c r="G216" s="54">
        <v>2320</v>
      </c>
      <c r="H216" s="55">
        <v>1624</v>
      </c>
      <c r="I216" s="55">
        <v>940.06198533055954</v>
      </c>
      <c r="J216" s="55">
        <v>683.93801466944058</v>
      </c>
      <c r="K216" s="52"/>
      <c r="L216" s="52"/>
      <c r="M216" s="56">
        <f t="shared" si="6"/>
        <v>0</v>
      </c>
      <c r="N216" s="56">
        <f t="shared" si="6"/>
        <v>0</v>
      </c>
      <c r="O216" s="56">
        <f t="shared" si="7"/>
        <v>0</v>
      </c>
    </row>
    <row r="217" spans="1:15" x14ac:dyDescent="0.25">
      <c r="A217" s="52"/>
      <c r="B217" s="52"/>
      <c r="C217" s="53"/>
      <c r="D217" s="52"/>
      <c r="E217" s="52" t="s">
        <v>224</v>
      </c>
      <c r="F217" s="52">
        <v>0.7</v>
      </c>
      <c r="G217" s="54">
        <v>496</v>
      </c>
      <c r="H217" s="55">
        <v>347.2</v>
      </c>
      <c r="I217" s="55">
        <v>199.69761829646535</v>
      </c>
      <c r="J217" s="55">
        <v>147.50238170353464</v>
      </c>
      <c r="K217" s="52"/>
      <c r="L217" s="52"/>
      <c r="M217" s="56">
        <f t="shared" si="6"/>
        <v>0</v>
      </c>
      <c r="N217" s="56">
        <f t="shared" si="6"/>
        <v>0</v>
      </c>
      <c r="O217" s="56">
        <f t="shared" si="7"/>
        <v>0</v>
      </c>
    </row>
    <row r="218" spans="1:15" x14ac:dyDescent="0.25">
      <c r="A218" s="52"/>
      <c r="B218" s="52"/>
      <c r="C218" s="53"/>
      <c r="D218" s="52"/>
      <c r="E218" s="52" t="s">
        <v>225</v>
      </c>
      <c r="F218" s="52">
        <v>0.8</v>
      </c>
      <c r="G218" s="54">
        <v>6516</v>
      </c>
      <c r="H218" s="55">
        <v>5212.8</v>
      </c>
      <c r="I218" s="55">
        <v>2579.4261503408488</v>
      </c>
      <c r="J218" s="55">
        <v>2633.3738496591509</v>
      </c>
      <c r="K218" s="52"/>
      <c r="L218" s="52"/>
      <c r="M218" s="56">
        <f t="shared" si="6"/>
        <v>0</v>
      </c>
      <c r="N218" s="56">
        <f t="shared" si="6"/>
        <v>0</v>
      </c>
      <c r="O218" s="56">
        <f t="shared" si="7"/>
        <v>0</v>
      </c>
    </row>
    <row r="219" spans="1:15" x14ac:dyDescent="0.25">
      <c r="A219" s="52"/>
      <c r="B219" s="52"/>
      <c r="C219" s="53"/>
      <c r="D219" s="52"/>
      <c r="E219" s="52" t="s">
        <v>226</v>
      </c>
      <c r="F219" s="52">
        <v>0.7</v>
      </c>
      <c r="G219" s="54">
        <v>4565</v>
      </c>
      <c r="H219" s="55">
        <v>3195.4999999999995</v>
      </c>
      <c r="I219" s="55">
        <v>1888.617040017273</v>
      </c>
      <c r="J219" s="55">
        <v>1306.882959982727</v>
      </c>
      <c r="K219" s="52"/>
      <c r="L219" s="52"/>
      <c r="M219" s="56">
        <f t="shared" si="6"/>
        <v>0</v>
      </c>
      <c r="N219" s="56">
        <f t="shared" si="6"/>
        <v>0</v>
      </c>
      <c r="O219" s="56">
        <f t="shared" si="7"/>
        <v>0</v>
      </c>
    </row>
    <row r="220" spans="1:15" x14ac:dyDescent="0.25">
      <c r="A220" s="52"/>
      <c r="B220" s="52"/>
      <c r="C220" s="53"/>
      <c r="D220" s="52"/>
      <c r="E220" s="52" t="s">
        <v>227</v>
      </c>
      <c r="F220" s="52">
        <v>0.67</v>
      </c>
      <c r="G220" s="54">
        <v>71</v>
      </c>
      <c r="H220" s="55">
        <v>47.569999999999993</v>
      </c>
      <c r="I220" s="55">
        <v>29.440220721149274</v>
      </c>
      <c r="J220" s="55">
        <v>18.129779278850723</v>
      </c>
      <c r="K220" s="52"/>
      <c r="L220" s="52"/>
      <c r="M220" s="56">
        <f t="shared" si="6"/>
        <v>0</v>
      </c>
      <c r="N220" s="56">
        <f t="shared" si="6"/>
        <v>0</v>
      </c>
      <c r="O220" s="56">
        <f t="shared" si="7"/>
        <v>0</v>
      </c>
    </row>
    <row r="221" spans="1:15" x14ac:dyDescent="0.25">
      <c r="A221" s="52"/>
      <c r="B221" s="52"/>
      <c r="C221" s="53"/>
      <c r="D221" s="52"/>
      <c r="E221" s="52" t="s">
        <v>228</v>
      </c>
      <c r="F221" s="52">
        <v>0.69999999999999984</v>
      </c>
      <c r="G221" s="54">
        <v>3221</v>
      </c>
      <c r="H221" s="55">
        <v>2254.6999999999998</v>
      </c>
      <c r="I221" s="55">
        <v>1437.8020439448135</v>
      </c>
      <c r="J221" s="55">
        <v>816.89795605518657</v>
      </c>
      <c r="K221" s="52"/>
      <c r="L221" s="52"/>
      <c r="M221" s="56">
        <f t="shared" si="6"/>
        <v>0</v>
      </c>
      <c r="N221" s="56">
        <f t="shared" si="6"/>
        <v>0</v>
      </c>
      <c r="O221" s="56">
        <f t="shared" si="7"/>
        <v>0</v>
      </c>
    </row>
    <row r="222" spans="1:15" x14ac:dyDescent="0.25">
      <c r="A222" s="52"/>
      <c r="B222" s="52"/>
      <c r="C222" s="53"/>
      <c r="D222" s="52"/>
      <c r="E222" s="52" t="s">
        <v>229</v>
      </c>
      <c r="F222" s="52">
        <v>0.67</v>
      </c>
      <c r="G222" s="54">
        <v>546</v>
      </c>
      <c r="H222" s="55">
        <v>365.82</v>
      </c>
      <c r="I222" s="55">
        <v>270.94736842105266</v>
      </c>
      <c r="J222" s="55">
        <v>94.872631578947335</v>
      </c>
      <c r="K222" s="52"/>
      <c r="L222" s="52"/>
      <c r="M222" s="56">
        <f t="shared" si="6"/>
        <v>0</v>
      </c>
      <c r="N222" s="56">
        <f t="shared" si="6"/>
        <v>0</v>
      </c>
      <c r="O222" s="56">
        <f t="shared" si="7"/>
        <v>0</v>
      </c>
    </row>
    <row r="223" spans="1:15" x14ac:dyDescent="0.25">
      <c r="A223" s="52"/>
      <c r="B223" s="52"/>
      <c r="C223" s="53"/>
      <c r="D223" s="52"/>
      <c r="E223" s="52" t="s">
        <v>230</v>
      </c>
      <c r="F223" s="52">
        <v>0.7</v>
      </c>
      <c r="G223" s="54">
        <v>5</v>
      </c>
      <c r="H223" s="55">
        <v>3.5</v>
      </c>
      <c r="I223" s="55">
        <v>2.4947368421052629</v>
      </c>
      <c r="J223" s="55">
        <v>1.0052631578947371</v>
      </c>
      <c r="K223" s="52"/>
      <c r="L223" s="52"/>
      <c r="M223" s="56">
        <f t="shared" si="6"/>
        <v>0</v>
      </c>
      <c r="N223" s="56">
        <f t="shared" si="6"/>
        <v>0</v>
      </c>
      <c r="O223" s="56">
        <f t="shared" si="7"/>
        <v>0</v>
      </c>
    </row>
    <row r="224" spans="1:15" x14ac:dyDescent="0.25">
      <c r="A224" s="52"/>
      <c r="B224" s="52"/>
      <c r="C224" s="53"/>
      <c r="D224" s="52"/>
      <c r="E224" s="52" t="s">
        <v>231</v>
      </c>
      <c r="F224" s="52">
        <v>0.7</v>
      </c>
      <c r="G224" s="54">
        <v>2329</v>
      </c>
      <c r="H224" s="55">
        <v>1630.3</v>
      </c>
      <c r="I224" s="55">
        <v>1008.1715249194106</v>
      </c>
      <c r="J224" s="55">
        <v>622.12847508058951</v>
      </c>
      <c r="K224" s="52"/>
      <c r="L224" s="52"/>
      <c r="M224" s="56">
        <f t="shared" si="6"/>
        <v>0</v>
      </c>
      <c r="N224" s="56">
        <f t="shared" si="6"/>
        <v>0</v>
      </c>
      <c r="O224" s="56">
        <f t="shared" si="7"/>
        <v>0</v>
      </c>
    </row>
    <row r="225" spans="1:15" x14ac:dyDescent="0.25">
      <c r="A225" s="52"/>
      <c r="B225" s="52"/>
      <c r="C225" s="53"/>
      <c r="D225" s="52"/>
      <c r="E225" s="52" t="s">
        <v>232</v>
      </c>
      <c r="F225" s="52">
        <v>0.69999999999999984</v>
      </c>
      <c r="G225" s="54">
        <v>3034</v>
      </c>
      <c r="H225" s="55">
        <v>2123.8000000000002</v>
      </c>
      <c r="I225" s="55">
        <v>1260.7932780333138</v>
      </c>
      <c r="J225" s="55">
        <v>863.00672196668643</v>
      </c>
      <c r="K225" s="52"/>
      <c r="L225" s="52"/>
      <c r="M225" s="56">
        <f t="shared" si="6"/>
        <v>0</v>
      </c>
      <c r="N225" s="56">
        <f t="shared" si="6"/>
        <v>0</v>
      </c>
      <c r="O225" s="56">
        <f t="shared" si="7"/>
        <v>0</v>
      </c>
    </row>
    <row r="226" spans="1:15" x14ac:dyDescent="0.25">
      <c r="A226" s="52"/>
      <c r="B226" s="52"/>
      <c r="C226" s="53"/>
      <c r="D226" s="52"/>
      <c r="E226" s="52" t="s">
        <v>233</v>
      </c>
      <c r="F226" s="52">
        <v>0.67</v>
      </c>
      <c r="G226" s="54">
        <v>525</v>
      </c>
      <c r="H226" s="55">
        <v>351.75</v>
      </c>
      <c r="I226" s="55">
        <v>241.6181153184298</v>
      </c>
      <c r="J226" s="55">
        <v>110.13188468157021</v>
      </c>
      <c r="K226" s="52"/>
      <c r="L226" s="52"/>
      <c r="M226" s="56">
        <f t="shared" si="6"/>
        <v>0</v>
      </c>
      <c r="N226" s="56">
        <f t="shared" si="6"/>
        <v>0</v>
      </c>
      <c r="O226" s="56">
        <f t="shared" si="7"/>
        <v>0</v>
      </c>
    </row>
    <row r="227" spans="1:15" x14ac:dyDescent="0.25">
      <c r="A227" s="52"/>
      <c r="B227" s="52"/>
      <c r="C227" s="53"/>
      <c r="D227" s="52"/>
      <c r="E227" s="52" t="s">
        <v>234</v>
      </c>
      <c r="F227" s="52">
        <v>0.7</v>
      </c>
      <c r="G227" s="54">
        <v>4561</v>
      </c>
      <c r="H227" s="55">
        <v>3192.7</v>
      </c>
      <c r="I227" s="55">
        <v>1837.2467316014533</v>
      </c>
      <c r="J227" s="55">
        <v>1355.4532683985465</v>
      </c>
      <c r="K227" s="52"/>
      <c r="L227" s="52"/>
      <c r="M227" s="56">
        <f t="shared" si="6"/>
        <v>0</v>
      </c>
      <c r="N227" s="56">
        <f t="shared" si="6"/>
        <v>0</v>
      </c>
      <c r="O227" s="56">
        <f t="shared" si="7"/>
        <v>0</v>
      </c>
    </row>
    <row r="228" spans="1:15" x14ac:dyDescent="0.25">
      <c r="A228" s="52"/>
      <c r="B228" s="52"/>
      <c r="C228" s="53"/>
      <c r="D228" s="52"/>
      <c r="E228" s="52" t="s">
        <v>235</v>
      </c>
      <c r="F228" s="52">
        <v>0.67</v>
      </c>
      <c r="G228" s="54">
        <v>155</v>
      </c>
      <c r="H228" s="55">
        <v>103.85</v>
      </c>
      <c r="I228" s="55">
        <v>64.874172185430467</v>
      </c>
      <c r="J228" s="55">
        <v>38.975827814569527</v>
      </c>
      <c r="K228" s="52"/>
      <c r="L228" s="52"/>
      <c r="M228" s="56">
        <f t="shared" si="6"/>
        <v>0</v>
      </c>
      <c r="N228" s="56">
        <f t="shared" si="6"/>
        <v>0</v>
      </c>
      <c r="O228" s="56">
        <f t="shared" si="7"/>
        <v>0</v>
      </c>
    </row>
    <row r="229" spans="1:15" x14ac:dyDescent="0.25">
      <c r="A229" s="52"/>
      <c r="B229" s="52"/>
      <c r="C229" s="53" t="s">
        <v>238</v>
      </c>
      <c r="D229" s="52" t="s">
        <v>217</v>
      </c>
      <c r="E229" s="52" t="s">
        <v>218</v>
      </c>
      <c r="F229" s="52">
        <v>0.65</v>
      </c>
      <c r="G229" s="54">
        <v>9776</v>
      </c>
      <c r="H229" s="55">
        <v>6354.4</v>
      </c>
      <c r="I229" s="55">
        <v>3700.5417439703151</v>
      </c>
      <c r="J229" s="55">
        <v>2653.8582560296845</v>
      </c>
      <c r="K229" s="52"/>
      <c r="L229" s="52"/>
      <c r="M229" s="56">
        <f t="shared" si="6"/>
        <v>0</v>
      </c>
      <c r="N229" s="56">
        <f t="shared" si="6"/>
        <v>0</v>
      </c>
      <c r="O229" s="56">
        <f t="shared" si="7"/>
        <v>0</v>
      </c>
    </row>
    <row r="230" spans="1:15" x14ac:dyDescent="0.25">
      <c r="A230" s="52"/>
      <c r="B230" s="52"/>
      <c r="C230" s="53"/>
      <c r="D230" s="52"/>
      <c r="E230" s="52" t="s">
        <v>219</v>
      </c>
      <c r="F230" s="52">
        <v>0.65</v>
      </c>
      <c r="G230" s="54">
        <v>11804</v>
      </c>
      <c r="H230" s="55">
        <v>7672.6</v>
      </c>
      <c r="I230" s="55">
        <v>4143.7812967263262</v>
      </c>
      <c r="J230" s="55">
        <v>3528.8187032736741</v>
      </c>
      <c r="K230" s="52"/>
      <c r="L230" s="52"/>
      <c r="M230" s="56">
        <f t="shared" si="6"/>
        <v>0</v>
      </c>
      <c r="N230" s="56">
        <f t="shared" si="6"/>
        <v>0</v>
      </c>
      <c r="O230" s="56">
        <f t="shared" si="7"/>
        <v>0</v>
      </c>
    </row>
    <row r="231" spans="1:15" x14ac:dyDescent="0.25">
      <c r="A231" s="52"/>
      <c r="B231" s="52"/>
      <c r="C231" s="53"/>
      <c r="D231" s="52"/>
      <c r="E231" s="52" t="s">
        <v>220</v>
      </c>
      <c r="F231" s="52">
        <v>0.7</v>
      </c>
      <c r="G231" s="54">
        <v>2524</v>
      </c>
      <c r="H231" s="55">
        <v>1766.8</v>
      </c>
      <c r="I231" s="55">
        <v>946.01851986875681</v>
      </c>
      <c r="J231" s="55">
        <v>820.78148013124326</v>
      </c>
      <c r="K231" s="52"/>
      <c r="L231" s="52"/>
      <c r="M231" s="56">
        <f t="shared" si="6"/>
        <v>0</v>
      </c>
      <c r="N231" s="56">
        <f t="shared" si="6"/>
        <v>0</v>
      </c>
      <c r="O231" s="56">
        <f t="shared" si="7"/>
        <v>0</v>
      </c>
    </row>
    <row r="232" spans="1:15" x14ac:dyDescent="0.25">
      <c r="A232" s="52"/>
      <c r="B232" s="52"/>
      <c r="C232" s="53"/>
      <c r="D232" s="52"/>
      <c r="E232" s="52" t="s">
        <v>221</v>
      </c>
      <c r="F232" s="52">
        <v>0.67</v>
      </c>
      <c r="G232" s="54">
        <v>2</v>
      </c>
      <c r="H232" s="55">
        <v>1.34</v>
      </c>
      <c r="I232" s="55">
        <v>0.77953578806659374</v>
      </c>
      <c r="J232" s="55">
        <v>0.56046421193340634</v>
      </c>
      <c r="K232" s="52"/>
      <c r="L232" s="52"/>
      <c r="M232" s="56">
        <f t="shared" si="6"/>
        <v>0</v>
      </c>
      <c r="N232" s="56">
        <f t="shared" si="6"/>
        <v>0</v>
      </c>
      <c r="O232" s="56">
        <f t="shared" si="7"/>
        <v>0</v>
      </c>
    </row>
    <row r="233" spans="1:15" x14ac:dyDescent="0.25">
      <c r="A233" s="52"/>
      <c r="B233" s="52"/>
      <c r="C233" s="53"/>
      <c r="D233" s="52"/>
      <c r="E233" s="52" t="s">
        <v>222</v>
      </c>
      <c r="F233" s="52">
        <v>0.69999999999999984</v>
      </c>
      <c r="G233" s="54">
        <v>2304</v>
      </c>
      <c r="H233" s="55">
        <v>1612.8</v>
      </c>
      <c r="I233" s="55">
        <v>939.28936901055249</v>
      </c>
      <c r="J233" s="55">
        <v>673.51063098944758</v>
      </c>
      <c r="K233" s="52"/>
      <c r="L233" s="52"/>
      <c r="M233" s="56">
        <f t="shared" si="6"/>
        <v>0</v>
      </c>
      <c r="N233" s="56">
        <f t="shared" si="6"/>
        <v>0</v>
      </c>
      <c r="O233" s="56">
        <f t="shared" si="7"/>
        <v>0</v>
      </c>
    </row>
    <row r="234" spans="1:15" x14ac:dyDescent="0.25">
      <c r="A234" s="52"/>
      <c r="B234" s="52"/>
      <c r="C234" s="53"/>
      <c r="D234" s="52"/>
      <c r="E234" s="52" t="s">
        <v>223</v>
      </c>
      <c r="F234" s="52">
        <v>0.7</v>
      </c>
      <c r="G234" s="54">
        <v>4841</v>
      </c>
      <c r="H234" s="55">
        <v>3388.7</v>
      </c>
      <c r="I234" s="55">
        <v>1828.8663054884034</v>
      </c>
      <c r="J234" s="55">
        <v>1559.8336945115966</v>
      </c>
      <c r="K234" s="52"/>
      <c r="L234" s="52"/>
      <c r="M234" s="56">
        <f t="shared" si="6"/>
        <v>0</v>
      </c>
      <c r="N234" s="56">
        <f t="shared" si="6"/>
        <v>0</v>
      </c>
      <c r="O234" s="56">
        <f t="shared" si="7"/>
        <v>0</v>
      </c>
    </row>
    <row r="235" spans="1:15" x14ac:dyDescent="0.25">
      <c r="A235" s="52"/>
      <c r="B235" s="52"/>
      <c r="C235" s="53"/>
      <c r="D235" s="52"/>
      <c r="E235" s="52" t="s">
        <v>224</v>
      </c>
      <c r="F235" s="52">
        <v>0.7</v>
      </c>
      <c r="G235" s="54">
        <v>1733</v>
      </c>
      <c r="H235" s="55">
        <v>1213.0999999999999</v>
      </c>
      <c r="I235" s="55">
        <v>671.02499851904508</v>
      </c>
      <c r="J235" s="55">
        <v>542.07500148095482</v>
      </c>
      <c r="K235" s="52"/>
      <c r="L235" s="52"/>
      <c r="M235" s="56">
        <f t="shared" si="6"/>
        <v>0</v>
      </c>
      <c r="N235" s="56">
        <f t="shared" si="6"/>
        <v>0</v>
      </c>
      <c r="O235" s="56">
        <f t="shared" si="7"/>
        <v>0</v>
      </c>
    </row>
    <row r="236" spans="1:15" x14ac:dyDescent="0.25">
      <c r="A236" s="52"/>
      <c r="B236" s="52"/>
      <c r="C236" s="53"/>
      <c r="D236" s="52"/>
      <c r="E236" s="52" t="s">
        <v>225</v>
      </c>
      <c r="F236" s="52">
        <v>0.8</v>
      </c>
      <c r="G236" s="54">
        <v>2445</v>
      </c>
      <c r="H236" s="55">
        <v>1956</v>
      </c>
      <c r="I236" s="55">
        <v>951.84153682006672</v>
      </c>
      <c r="J236" s="55">
        <v>1004.1584631799333</v>
      </c>
      <c r="K236" s="52"/>
      <c r="L236" s="52"/>
      <c r="M236" s="56">
        <f t="shared" si="6"/>
        <v>0</v>
      </c>
      <c r="N236" s="56">
        <f t="shared" si="6"/>
        <v>0</v>
      </c>
      <c r="O236" s="56">
        <f t="shared" si="7"/>
        <v>0</v>
      </c>
    </row>
    <row r="237" spans="1:15" x14ac:dyDescent="0.25">
      <c r="A237" s="52"/>
      <c r="B237" s="52"/>
      <c r="C237" s="53"/>
      <c r="D237" s="52"/>
      <c r="E237" s="52" t="s">
        <v>226</v>
      </c>
      <c r="F237" s="52">
        <v>0.7</v>
      </c>
      <c r="G237" s="54">
        <v>6523</v>
      </c>
      <c r="H237" s="55">
        <v>4566.0999999999995</v>
      </c>
      <c r="I237" s="55">
        <v>2397.8209951198596</v>
      </c>
      <c r="J237" s="55">
        <v>2168.2790048801407</v>
      </c>
      <c r="K237" s="52"/>
      <c r="L237" s="52"/>
      <c r="M237" s="56">
        <f t="shared" si="6"/>
        <v>0</v>
      </c>
      <c r="N237" s="56">
        <f t="shared" si="6"/>
        <v>0</v>
      </c>
      <c r="O237" s="56">
        <f t="shared" si="7"/>
        <v>0</v>
      </c>
    </row>
    <row r="238" spans="1:15" x14ac:dyDescent="0.25">
      <c r="A238" s="52"/>
      <c r="B238" s="52"/>
      <c r="C238" s="53"/>
      <c r="D238" s="52"/>
      <c r="E238" s="52" t="s">
        <v>227</v>
      </c>
      <c r="F238" s="52">
        <v>0.67</v>
      </c>
      <c r="G238" s="54">
        <v>296</v>
      </c>
      <c r="H238" s="55">
        <v>198.32</v>
      </c>
      <c r="I238" s="55">
        <v>110.62475421772739</v>
      </c>
      <c r="J238" s="55">
        <v>87.695245782272622</v>
      </c>
      <c r="K238" s="52"/>
      <c r="L238" s="52"/>
      <c r="M238" s="56">
        <f t="shared" si="6"/>
        <v>0</v>
      </c>
      <c r="N238" s="56">
        <f t="shared" si="6"/>
        <v>0</v>
      </c>
      <c r="O238" s="56">
        <f t="shared" si="7"/>
        <v>0</v>
      </c>
    </row>
    <row r="239" spans="1:15" x14ac:dyDescent="0.25">
      <c r="A239" s="52"/>
      <c r="B239" s="52"/>
      <c r="C239" s="53"/>
      <c r="D239" s="52"/>
      <c r="E239" s="52" t="s">
        <v>228</v>
      </c>
      <c r="F239" s="52">
        <v>0.7</v>
      </c>
      <c r="G239" s="54">
        <v>2214</v>
      </c>
      <c r="H239" s="55">
        <v>1549.8</v>
      </c>
      <c r="I239" s="55">
        <v>890.14329700848259</v>
      </c>
      <c r="J239" s="55">
        <v>659.65670299151748</v>
      </c>
      <c r="K239" s="52"/>
      <c r="L239" s="52"/>
      <c r="M239" s="56">
        <f t="shared" si="6"/>
        <v>0</v>
      </c>
      <c r="N239" s="56">
        <f t="shared" si="6"/>
        <v>0</v>
      </c>
      <c r="O239" s="56">
        <f t="shared" si="7"/>
        <v>0</v>
      </c>
    </row>
    <row r="240" spans="1:15" x14ac:dyDescent="0.25">
      <c r="A240" s="52"/>
      <c r="B240" s="52"/>
      <c r="C240" s="53"/>
      <c r="D240" s="52"/>
      <c r="E240" s="52" t="s">
        <v>229</v>
      </c>
      <c r="F240" s="52">
        <v>0.67</v>
      </c>
      <c r="G240" s="54">
        <v>151</v>
      </c>
      <c r="H240" s="55">
        <v>101.17</v>
      </c>
      <c r="I240" s="55">
        <v>60.756573188033933</v>
      </c>
      <c r="J240" s="55">
        <v>40.413426811966069</v>
      </c>
      <c r="K240" s="52"/>
      <c r="L240" s="52"/>
      <c r="M240" s="56">
        <f t="shared" si="6"/>
        <v>0</v>
      </c>
      <c r="N240" s="56">
        <f t="shared" si="6"/>
        <v>0</v>
      </c>
      <c r="O240" s="56">
        <f t="shared" si="7"/>
        <v>0</v>
      </c>
    </row>
    <row r="241" spans="1:15" x14ac:dyDescent="0.25">
      <c r="A241" s="52"/>
      <c r="B241" s="52"/>
      <c r="C241" s="53"/>
      <c r="D241" s="52"/>
      <c r="E241" s="52" t="s">
        <v>230</v>
      </c>
      <c r="F241" s="52">
        <v>0.7</v>
      </c>
      <c r="G241" s="54">
        <v>52</v>
      </c>
      <c r="H241" s="55">
        <v>36.4</v>
      </c>
      <c r="I241" s="55">
        <v>21.192192315594827</v>
      </c>
      <c r="J241" s="55">
        <v>15.207807684405175</v>
      </c>
      <c r="K241" s="52"/>
      <c r="L241" s="52"/>
      <c r="M241" s="56">
        <f t="shared" si="6"/>
        <v>0</v>
      </c>
      <c r="N241" s="56">
        <f t="shared" si="6"/>
        <v>0</v>
      </c>
      <c r="O241" s="56">
        <f t="shared" si="7"/>
        <v>0</v>
      </c>
    </row>
    <row r="242" spans="1:15" x14ac:dyDescent="0.25">
      <c r="A242" s="52"/>
      <c r="B242" s="52"/>
      <c r="C242" s="53"/>
      <c r="D242" s="52"/>
      <c r="E242" s="52" t="s">
        <v>231</v>
      </c>
      <c r="F242" s="52">
        <v>0.7</v>
      </c>
      <c r="G242" s="54">
        <v>2963</v>
      </c>
      <c r="H242" s="55">
        <v>2074.1</v>
      </c>
      <c r="I242" s="55">
        <v>1144.5480479935825</v>
      </c>
      <c r="J242" s="55">
        <v>929.55195200641754</v>
      </c>
      <c r="K242" s="52"/>
      <c r="L242" s="52"/>
      <c r="M242" s="56">
        <f t="shared" si="6"/>
        <v>0</v>
      </c>
      <c r="N242" s="56">
        <f t="shared" si="6"/>
        <v>0</v>
      </c>
      <c r="O242" s="56">
        <f t="shared" si="7"/>
        <v>0</v>
      </c>
    </row>
    <row r="243" spans="1:15" x14ac:dyDescent="0.25">
      <c r="A243" s="52"/>
      <c r="B243" s="52"/>
      <c r="C243" s="53"/>
      <c r="D243" s="52"/>
      <c r="E243" s="52" t="s">
        <v>232</v>
      </c>
      <c r="F243" s="52">
        <v>0.7</v>
      </c>
      <c r="G243" s="54">
        <v>4496</v>
      </c>
      <c r="H243" s="55">
        <v>3147.2</v>
      </c>
      <c r="I243" s="55">
        <v>1775.5852517312371</v>
      </c>
      <c r="J243" s="55">
        <v>1371.6147482687629</v>
      </c>
      <c r="K243" s="52"/>
      <c r="L243" s="52"/>
      <c r="M243" s="56">
        <f t="shared" si="6"/>
        <v>0</v>
      </c>
      <c r="N243" s="56">
        <f t="shared" si="6"/>
        <v>0</v>
      </c>
      <c r="O243" s="56">
        <f t="shared" si="7"/>
        <v>0</v>
      </c>
    </row>
    <row r="244" spans="1:15" x14ac:dyDescent="0.25">
      <c r="A244" s="52"/>
      <c r="B244" s="52"/>
      <c r="C244" s="53"/>
      <c r="D244" s="52"/>
      <c r="E244" s="52" t="s">
        <v>233</v>
      </c>
      <c r="F244" s="52">
        <v>0.67</v>
      </c>
      <c r="G244" s="54">
        <v>25</v>
      </c>
      <c r="H244" s="55">
        <v>16.75</v>
      </c>
      <c r="I244" s="55">
        <v>10.128205128205128</v>
      </c>
      <c r="J244" s="55">
        <v>6.6217948717948723</v>
      </c>
      <c r="K244" s="52"/>
      <c r="L244" s="52"/>
      <c r="M244" s="56">
        <f t="shared" si="6"/>
        <v>0</v>
      </c>
      <c r="N244" s="56">
        <f t="shared" si="6"/>
        <v>0</v>
      </c>
      <c r="O244" s="56">
        <f t="shared" si="7"/>
        <v>0</v>
      </c>
    </row>
    <row r="245" spans="1:15" x14ac:dyDescent="0.25">
      <c r="A245" s="52"/>
      <c r="B245" s="52"/>
      <c r="C245" s="53"/>
      <c r="D245" s="52"/>
      <c r="E245" s="52" t="s">
        <v>234</v>
      </c>
      <c r="F245" s="52">
        <v>0.7</v>
      </c>
      <c r="G245" s="54">
        <v>3170</v>
      </c>
      <c r="H245" s="55">
        <v>2219</v>
      </c>
      <c r="I245" s="55">
        <v>1182.1406143146153</v>
      </c>
      <c r="J245" s="55">
        <v>1036.8593856853847</v>
      </c>
      <c r="K245" s="52"/>
      <c r="L245" s="52"/>
      <c r="M245" s="56">
        <f t="shared" si="6"/>
        <v>0</v>
      </c>
      <c r="N245" s="56">
        <f t="shared" si="6"/>
        <v>0</v>
      </c>
      <c r="O245" s="56">
        <f t="shared" si="7"/>
        <v>0</v>
      </c>
    </row>
    <row r="246" spans="1:15" x14ac:dyDescent="0.25">
      <c r="A246" s="52"/>
      <c r="B246" s="52"/>
      <c r="C246" s="53"/>
      <c r="D246" s="52"/>
      <c r="E246" s="52" t="s">
        <v>235</v>
      </c>
      <c r="F246" s="52">
        <v>0.67</v>
      </c>
      <c r="G246" s="54">
        <v>211</v>
      </c>
      <c r="H246" s="55">
        <v>141.37</v>
      </c>
      <c r="I246" s="55">
        <v>80.916762791129486</v>
      </c>
      <c r="J246" s="55">
        <v>60.453237208870526</v>
      </c>
      <c r="K246" s="52"/>
      <c r="L246" s="52"/>
      <c r="M246" s="56">
        <f t="shared" si="6"/>
        <v>0</v>
      </c>
      <c r="N246" s="56">
        <f t="shared" si="6"/>
        <v>0</v>
      </c>
      <c r="O246" s="56">
        <f t="shared" si="7"/>
        <v>0</v>
      </c>
    </row>
    <row r="247" spans="1:15" x14ac:dyDescent="0.25">
      <c r="A247" s="52"/>
      <c r="B247" s="52"/>
      <c r="C247" s="53" t="s">
        <v>239</v>
      </c>
      <c r="D247" s="52" t="s">
        <v>217</v>
      </c>
      <c r="E247" s="52" t="s">
        <v>218</v>
      </c>
      <c r="F247" s="52">
        <v>0.65</v>
      </c>
      <c r="G247" s="54">
        <v>8300</v>
      </c>
      <c r="H247" s="55">
        <v>5395</v>
      </c>
      <c r="I247" s="55">
        <v>2999.9780621572213</v>
      </c>
      <c r="J247" s="55">
        <v>2395.0219378427787</v>
      </c>
      <c r="K247" s="52"/>
      <c r="L247" s="52"/>
      <c r="M247" s="56">
        <f t="shared" si="6"/>
        <v>0</v>
      </c>
      <c r="N247" s="56">
        <f t="shared" si="6"/>
        <v>0</v>
      </c>
      <c r="O247" s="56">
        <f t="shared" si="7"/>
        <v>0</v>
      </c>
    </row>
    <row r="248" spans="1:15" x14ac:dyDescent="0.25">
      <c r="A248" s="52"/>
      <c r="B248" s="52"/>
      <c r="C248" s="53"/>
      <c r="D248" s="52"/>
      <c r="E248" s="52" t="s">
        <v>219</v>
      </c>
      <c r="F248" s="52">
        <v>0.65</v>
      </c>
      <c r="G248" s="54">
        <v>11839</v>
      </c>
      <c r="H248" s="55">
        <v>7695.35</v>
      </c>
      <c r="I248" s="55">
        <v>4295.0565770256944</v>
      </c>
      <c r="J248" s="55">
        <v>3400.2934229743055</v>
      </c>
      <c r="K248" s="52"/>
      <c r="L248" s="52"/>
      <c r="M248" s="56">
        <f t="shared" si="6"/>
        <v>0</v>
      </c>
      <c r="N248" s="56">
        <f t="shared" si="6"/>
        <v>0</v>
      </c>
      <c r="O248" s="56">
        <f t="shared" si="7"/>
        <v>0</v>
      </c>
    </row>
    <row r="249" spans="1:15" x14ac:dyDescent="0.25">
      <c r="A249" s="52"/>
      <c r="B249" s="52"/>
      <c r="C249" s="53"/>
      <c r="D249" s="52"/>
      <c r="E249" s="52" t="s">
        <v>220</v>
      </c>
      <c r="F249" s="52">
        <v>0.7</v>
      </c>
      <c r="G249" s="54">
        <v>2180</v>
      </c>
      <c r="H249" s="55">
        <v>1526</v>
      </c>
      <c r="I249" s="55">
        <v>936.89653948535931</v>
      </c>
      <c r="J249" s="55">
        <v>589.10346051464069</v>
      </c>
      <c r="K249" s="52"/>
      <c r="L249" s="52"/>
      <c r="M249" s="56">
        <f t="shared" si="6"/>
        <v>0</v>
      </c>
      <c r="N249" s="56">
        <f t="shared" si="6"/>
        <v>0</v>
      </c>
      <c r="O249" s="56">
        <f t="shared" si="7"/>
        <v>0</v>
      </c>
    </row>
    <row r="250" spans="1:15" x14ac:dyDescent="0.25">
      <c r="A250" s="52"/>
      <c r="B250" s="52"/>
      <c r="C250" s="53"/>
      <c r="D250" s="52"/>
      <c r="E250" s="52" t="s">
        <v>221</v>
      </c>
      <c r="F250" s="52">
        <v>0.67</v>
      </c>
      <c r="G250" s="54">
        <v>10</v>
      </c>
      <c r="H250" s="55">
        <v>6.7</v>
      </c>
      <c r="I250" s="55">
        <v>4.2993197278911568</v>
      </c>
      <c r="J250" s="55">
        <v>2.4006802721088434</v>
      </c>
      <c r="K250" s="52"/>
      <c r="L250" s="52"/>
      <c r="M250" s="56">
        <f t="shared" si="6"/>
        <v>0</v>
      </c>
      <c r="N250" s="56">
        <f t="shared" si="6"/>
        <v>0</v>
      </c>
      <c r="O250" s="56">
        <f t="shared" si="7"/>
        <v>0</v>
      </c>
    </row>
    <row r="251" spans="1:15" x14ac:dyDescent="0.25">
      <c r="A251" s="52"/>
      <c r="B251" s="52"/>
      <c r="C251" s="53"/>
      <c r="D251" s="52"/>
      <c r="E251" s="52" t="s">
        <v>222</v>
      </c>
      <c r="F251" s="52">
        <v>0.7</v>
      </c>
      <c r="G251" s="54">
        <v>2374</v>
      </c>
      <c r="H251" s="55">
        <v>1661.8</v>
      </c>
      <c r="I251" s="55">
        <v>931.02736383158708</v>
      </c>
      <c r="J251" s="55">
        <v>730.77263616841287</v>
      </c>
      <c r="K251" s="52"/>
      <c r="L251" s="52"/>
      <c r="M251" s="56">
        <f t="shared" si="6"/>
        <v>0</v>
      </c>
      <c r="N251" s="56">
        <f t="shared" si="6"/>
        <v>0</v>
      </c>
      <c r="O251" s="56">
        <f t="shared" si="7"/>
        <v>0</v>
      </c>
    </row>
    <row r="252" spans="1:15" x14ac:dyDescent="0.25">
      <c r="A252" s="52"/>
      <c r="B252" s="52"/>
      <c r="C252" s="53"/>
      <c r="D252" s="52"/>
      <c r="E252" s="52" t="s">
        <v>223</v>
      </c>
      <c r="F252" s="52">
        <v>0.69999999999999984</v>
      </c>
      <c r="G252" s="54">
        <v>2485</v>
      </c>
      <c r="H252" s="55">
        <v>1739.5</v>
      </c>
      <c r="I252" s="55">
        <v>956.04243858462928</v>
      </c>
      <c r="J252" s="55">
        <v>783.45756141537072</v>
      </c>
      <c r="K252" s="52"/>
      <c r="L252" s="52"/>
      <c r="M252" s="56">
        <f t="shared" si="6"/>
        <v>0</v>
      </c>
      <c r="N252" s="56">
        <f t="shared" si="6"/>
        <v>0</v>
      </c>
      <c r="O252" s="56">
        <f t="shared" si="7"/>
        <v>0</v>
      </c>
    </row>
    <row r="253" spans="1:15" x14ac:dyDescent="0.25">
      <c r="A253" s="52"/>
      <c r="B253" s="52"/>
      <c r="C253" s="53"/>
      <c r="D253" s="52"/>
      <c r="E253" s="52" t="s">
        <v>224</v>
      </c>
      <c r="F253" s="52">
        <v>0.69999999999999984</v>
      </c>
      <c r="G253" s="54">
        <v>690</v>
      </c>
      <c r="H253" s="55">
        <v>483</v>
      </c>
      <c r="I253" s="55">
        <v>282.16324601345934</v>
      </c>
      <c r="J253" s="55">
        <v>200.83675398654063</v>
      </c>
      <c r="K253" s="52"/>
      <c r="L253" s="52"/>
      <c r="M253" s="56">
        <f t="shared" si="6"/>
        <v>0</v>
      </c>
      <c r="N253" s="56">
        <f t="shared" si="6"/>
        <v>0</v>
      </c>
      <c r="O253" s="56">
        <f t="shared" si="7"/>
        <v>0</v>
      </c>
    </row>
    <row r="254" spans="1:15" x14ac:dyDescent="0.25">
      <c r="A254" s="52"/>
      <c r="B254" s="52"/>
      <c r="C254" s="53"/>
      <c r="D254" s="52"/>
      <c r="E254" s="52" t="s">
        <v>225</v>
      </c>
      <c r="F254" s="52">
        <v>0.80000000000000016</v>
      </c>
      <c r="G254" s="54">
        <v>5880</v>
      </c>
      <c r="H254" s="55">
        <v>4704</v>
      </c>
      <c r="I254" s="55">
        <v>2309.9060630797771</v>
      </c>
      <c r="J254" s="55">
        <v>2394.0939369202229</v>
      </c>
      <c r="K254" s="52"/>
      <c r="L254" s="52"/>
      <c r="M254" s="56">
        <f t="shared" si="6"/>
        <v>0</v>
      </c>
      <c r="N254" s="56">
        <f t="shared" si="6"/>
        <v>0</v>
      </c>
      <c r="O254" s="56">
        <f t="shared" si="7"/>
        <v>0</v>
      </c>
    </row>
    <row r="255" spans="1:15" x14ac:dyDescent="0.25">
      <c r="A255" s="52"/>
      <c r="B255" s="52"/>
      <c r="C255" s="53"/>
      <c r="D255" s="52"/>
      <c r="E255" s="52" t="s">
        <v>226</v>
      </c>
      <c r="F255" s="52">
        <v>0.7</v>
      </c>
      <c r="G255" s="54">
        <v>6240</v>
      </c>
      <c r="H255" s="55">
        <v>4368</v>
      </c>
      <c r="I255" s="55">
        <v>2502.9972321847135</v>
      </c>
      <c r="J255" s="55">
        <v>1865.0027678152865</v>
      </c>
      <c r="K255" s="52"/>
      <c r="L255" s="52"/>
      <c r="M255" s="56">
        <f t="shared" si="6"/>
        <v>0</v>
      </c>
      <c r="N255" s="56">
        <f t="shared" si="6"/>
        <v>0</v>
      </c>
      <c r="O255" s="56">
        <f t="shared" si="7"/>
        <v>0</v>
      </c>
    </row>
    <row r="256" spans="1:15" x14ac:dyDescent="0.25">
      <c r="A256" s="52"/>
      <c r="B256" s="52"/>
      <c r="C256" s="53"/>
      <c r="D256" s="52"/>
      <c r="E256" s="52" t="s">
        <v>227</v>
      </c>
      <c r="F256" s="52">
        <v>0.67</v>
      </c>
      <c r="G256" s="54">
        <v>295</v>
      </c>
      <c r="H256" s="55">
        <v>197.65</v>
      </c>
      <c r="I256" s="55">
        <v>116.52499999999999</v>
      </c>
      <c r="J256" s="55">
        <v>81.125000000000014</v>
      </c>
      <c r="K256" s="52"/>
      <c r="L256" s="52"/>
      <c r="M256" s="56">
        <f t="shared" si="6"/>
        <v>0</v>
      </c>
      <c r="N256" s="56">
        <f t="shared" si="6"/>
        <v>0</v>
      </c>
      <c r="O256" s="56">
        <f t="shared" si="7"/>
        <v>0</v>
      </c>
    </row>
    <row r="257" spans="1:15" x14ac:dyDescent="0.25">
      <c r="A257" s="52"/>
      <c r="B257" s="52"/>
      <c r="C257" s="53"/>
      <c r="D257" s="52"/>
      <c r="E257" s="52" t="s">
        <v>228</v>
      </c>
      <c r="F257" s="52">
        <v>0.7</v>
      </c>
      <c r="G257" s="54">
        <v>4268</v>
      </c>
      <c r="H257" s="55">
        <v>2987.6</v>
      </c>
      <c r="I257" s="55">
        <v>1897.4137178116712</v>
      </c>
      <c r="J257" s="55">
        <v>1090.1862821883287</v>
      </c>
      <c r="K257" s="52"/>
      <c r="L257" s="52"/>
      <c r="M257" s="56">
        <f t="shared" si="6"/>
        <v>0</v>
      </c>
      <c r="N257" s="56">
        <f t="shared" si="6"/>
        <v>0</v>
      </c>
      <c r="O257" s="56">
        <f t="shared" si="7"/>
        <v>0</v>
      </c>
    </row>
    <row r="258" spans="1:15" x14ac:dyDescent="0.25">
      <c r="A258" s="52"/>
      <c r="B258" s="52"/>
      <c r="C258" s="53"/>
      <c r="D258" s="52"/>
      <c r="E258" s="52" t="s">
        <v>229</v>
      </c>
      <c r="F258" s="52">
        <v>0.67</v>
      </c>
      <c r="G258" s="54">
        <v>22</v>
      </c>
      <c r="H258" s="55">
        <v>14.739999999999998</v>
      </c>
      <c r="I258" s="55">
        <v>9.8245380041780486</v>
      </c>
      <c r="J258" s="55">
        <v>4.9154619958219508</v>
      </c>
      <c r="K258" s="52"/>
      <c r="L258" s="52"/>
      <c r="M258" s="56">
        <f t="shared" si="6"/>
        <v>0</v>
      </c>
      <c r="N258" s="56">
        <f t="shared" si="6"/>
        <v>0</v>
      </c>
      <c r="O258" s="56">
        <f t="shared" si="7"/>
        <v>0</v>
      </c>
    </row>
    <row r="259" spans="1:15" x14ac:dyDescent="0.25">
      <c r="A259" s="52"/>
      <c r="B259" s="52"/>
      <c r="C259" s="53"/>
      <c r="D259" s="52"/>
      <c r="E259" s="52" t="s">
        <v>230</v>
      </c>
      <c r="F259" s="52">
        <v>0.7</v>
      </c>
      <c r="G259" s="54">
        <v>60</v>
      </c>
      <c r="H259" s="55">
        <v>42</v>
      </c>
      <c r="I259" s="55">
        <v>23.504132231404959</v>
      </c>
      <c r="J259" s="55">
        <v>18.495867768595041</v>
      </c>
      <c r="K259" s="52"/>
      <c r="L259" s="52"/>
      <c r="M259" s="56">
        <f t="shared" si="6"/>
        <v>0</v>
      </c>
      <c r="N259" s="56">
        <f t="shared" si="6"/>
        <v>0</v>
      </c>
      <c r="O259" s="56">
        <f t="shared" si="7"/>
        <v>0</v>
      </c>
    </row>
    <row r="260" spans="1:15" x14ac:dyDescent="0.25">
      <c r="A260" s="52"/>
      <c r="B260" s="52"/>
      <c r="C260" s="53"/>
      <c r="D260" s="52"/>
      <c r="E260" s="52" t="s">
        <v>231</v>
      </c>
      <c r="F260" s="52">
        <v>0.7</v>
      </c>
      <c r="G260" s="54">
        <v>1939</v>
      </c>
      <c r="H260" s="55">
        <v>1357.3</v>
      </c>
      <c r="I260" s="55">
        <v>753.34310058488609</v>
      </c>
      <c r="J260" s="55">
        <v>603.95689941511387</v>
      </c>
      <c r="K260" s="52"/>
      <c r="L260" s="52"/>
      <c r="M260" s="56">
        <f t="shared" si="6"/>
        <v>0</v>
      </c>
      <c r="N260" s="56">
        <f t="shared" si="6"/>
        <v>0</v>
      </c>
      <c r="O260" s="56">
        <f t="shared" si="7"/>
        <v>0</v>
      </c>
    </row>
    <row r="261" spans="1:15" x14ac:dyDescent="0.25">
      <c r="A261" s="52"/>
      <c r="B261" s="52"/>
      <c r="C261" s="53"/>
      <c r="D261" s="52"/>
      <c r="E261" s="52" t="s">
        <v>240</v>
      </c>
      <c r="F261" s="52">
        <v>0.67</v>
      </c>
      <c r="G261" s="54">
        <v>3</v>
      </c>
      <c r="H261" s="55">
        <v>2.0099999999999998</v>
      </c>
      <c r="I261" s="55">
        <v>1.3996062992125984</v>
      </c>
      <c r="J261" s="55">
        <v>0.61039370078740141</v>
      </c>
      <c r="K261" s="52"/>
      <c r="L261" s="52"/>
      <c r="M261" s="56">
        <f t="shared" si="6"/>
        <v>0</v>
      </c>
      <c r="N261" s="56">
        <f t="shared" si="6"/>
        <v>0</v>
      </c>
      <c r="O261" s="56">
        <f t="shared" si="7"/>
        <v>0</v>
      </c>
    </row>
    <row r="262" spans="1:15" x14ac:dyDescent="0.25">
      <c r="A262" s="52"/>
      <c r="B262" s="52"/>
      <c r="C262" s="53"/>
      <c r="D262" s="52"/>
      <c r="E262" s="52" t="s">
        <v>232</v>
      </c>
      <c r="F262" s="52">
        <v>0.69999999999999984</v>
      </c>
      <c r="G262" s="54">
        <v>3635</v>
      </c>
      <c r="H262" s="55">
        <v>2544.5</v>
      </c>
      <c r="I262" s="55">
        <v>1506.8815828041036</v>
      </c>
      <c r="J262" s="55">
        <v>1037.6184171958964</v>
      </c>
      <c r="K262" s="52"/>
      <c r="L262" s="52"/>
      <c r="M262" s="56">
        <f t="shared" ref="M262:N325" si="8">$G262*K262</f>
        <v>0</v>
      </c>
      <c r="N262" s="56">
        <f t="shared" si="8"/>
        <v>0</v>
      </c>
      <c r="O262" s="56">
        <f t="shared" ref="O262:O325" si="9">M262+N262</f>
        <v>0</v>
      </c>
    </row>
    <row r="263" spans="1:15" x14ac:dyDescent="0.25">
      <c r="A263" s="52"/>
      <c r="B263" s="52"/>
      <c r="C263" s="53"/>
      <c r="D263" s="52"/>
      <c r="E263" s="52" t="s">
        <v>233</v>
      </c>
      <c r="F263" s="52">
        <v>0.67</v>
      </c>
      <c r="G263" s="54">
        <v>10</v>
      </c>
      <c r="H263" s="55">
        <v>6.7</v>
      </c>
      <c r="I263" s="55">
        <v>4.1217391304347828</v>
      </c>
      <c r="J263" s="55">
        <v>2.5782608695652174</v>
      </c>
      <c r="K263" s="52"/>
      <c r="L263" s="52"/>
      <c r="M263" s="56">
        <f t="shared" si="8"/>
        <v>0</v>
      </c>
      <c r="N263" s="56">
        <f t="shared" si="8"/>
        <v>0</v>
      </c>
      <c r="O263" s="56">
        <f t="shared" si="9"/>
        <v>0</v>
      </c>
    </row>
    <row r="264" spans="1:15" x14ac:dyDescent="0.25">
      <c r="A264" s="52"/>
      <c r="B264" s="52"/>
      <c r="C264" s="53"/>
      <c r="D264" s="52"/>
      <c r="E264" s="52" t="s">
        <v>234</v>
      </c>
      <c r="F264" s="52">
        <v>0.7</v>
      </c>
      <c r="G264" s="54">
        <v>3055</v>
      </c>
      <c r="H264" s="55">
        <v>2138.5</v>
      </c>
      <c r="I264" s="55">
        <v>1186.1478309314168</v>
      </c>
      <c r="J264" s="55">
        <v>952.35216906858318</v>
      </c>
      <c r="K264" s="52"/>
      <c r="L264" s="52"/>
      <c r="M264" s="56">
        <f t="shared" si="8"/>
        <v>0</v>
      </c>
      <c r="N264" s="56">
        <f t="shared" si="8"/>
        <v>0</v>
      </c>
      <c r="O264" s="56">
        <f t="shared" si="9"/>
        <v>0</v>
      </c>
    </row>
    <row r="265" spans="1:15" x14ac:dyDescent="0.25">
      <c r="A265" s="52"/>
      <c r="B265" s="52"/>
      <c r="C265" s="53"/>
      <c r="D265" s="52"/>
      <c r="E265" s="52" t="s">
        <v>235</v>
      </c>
      <c r="F265" s="52">
        <v>0.67</v>
      </c>
      <c r="G265" s="54">
        <v>325</v>
      </c>
      <c r="H265" s="55">
        <v>217.75</v>
      </c>
      <c r="I265" s="55">
        <v>138.47191011235955</v>
      </c>
      <c r="J265" s="55">
        <v>79.278089887640448</v>
      </c>
      <c r="K265" s="52"/>
      <c r="L265" s="52"/>
      <c r="M265" s="56">
        <f t="shared" si="8"/>
        <v>0</v>
      </c>
      <c r="N265" s="56">
        <f t="shared" si="8"/>
        <v>0</v>
      </c>
      <c r="O265" s="56">
        <f t="shared" si="9"/>
        <v>0</v>
      </c>
    </row>
    <row r="266" spans="1:15" x14ac:dyDescent="0.25">
      <c r="A266" s="52"/>
      <c r="B266" s="52"/>
      <c r="C266" s="53" t="s">
        <v>241</v>
      </c>
      <c r="D266" s="52" t="s">
        <v>217</v>
      </c>
      <c r="E266" s="52" t="s">
        <v>218</v>
      </c>
      <c r="F266" s="52">
        <v>0.65</v>
      </c>
      <c r="G266" s="54">
        <v>7790</v>
      </c>
      <c r="H266" s="55">
        <v>5063.5</v>
      </c>
      <c r="I266" s="55">
        <v>2844</v>
      </c>
      <c r="J266" s="55">
        <v>2219.5</v>
      </c>
      <c r="K266" s="52"/>
      <c r="L266" s="52"/>
      <c r="M266" s="56">
        <f t="shared" si="8"/>
        <v>0</v>
      </c>
      <c r="N266" s="56">
        <f t="shared" si="8"/>
        <v>0</v>
      </c>
      <c r="O266" s="56">
        <f t="shared" si="9"/>
        <v>0</v>
      </c>
    </row>
    <row r="267" spans="1:15" x14ac:dyDescent="0.25">
      <c r="A267" s="52"/>
      <c r="B267" s="52"/>
      <c r="C267" s="53"/>
      <c r="D267" s="52"/>
      <c r="E267" s="52" t="s">
        <v>219</v>
      </c>
      <c r="F267" s="52">
        <v>0.65</v>
      </c>
      <c r="G267" s="54">
        <v>12857</v>
      </c>
      <c r="H267" s="55">
        <v>8357.0499999999993</v>
      </c>
      <c r="I267" s="55">
        <v>4667.2151331255809</v>
      </c>
      <c r="J267" s="55">
        <v>3689.8348668744193</v>
      </c>
      <c r="K267" s="52"/>
      <c r="L267" s="52"/>
      <c r="M267" s="56">
        <f t="shared" si="8"/>
        <v>0</v>
      </c>
      <c r="N267" s="56">
        <f t="shared" si="8"/>
        <v>0</v>
      </c>
      <c r="O267" s="56">
        <f t="shared" si="9"/>
        <v>0</v>
      </c>
    </row>
    <row r="268" spans="1:15" x14ac:dyDescent="0.25">
      <c r="A268" s="52"/>
      <c r="B268" s="52"/>
      <c r="C268" s="53"/>
      <c r="D268" s="52"/>
      <c r="E268" s="52" t="s">
        <v>220</v>
      </c>
      <c r="F268" s="52">
        <v>0.7</v>
      </c>
      <c r="G268" s="54">
        <v>2518</v>
      </c>
      <c r="H268" s="55">
        <v>1762.6</v>
      </c>
      <c r="I268" s="55">
        <v>988.98603001290132</v>
      </c>
      <c r="J268" s="55">
        <v>773.61396998709859</v>
      </c>
      <c r="K268" s="52"/>
      <c r="L268" s="52"/>
      <c r="M268" s="56">
        <f t="shared" si="8"/>
        <v>0</v>
      </c>
      <c r="N268" s="56">
        <f t="shared" si="8"/>
        <v>0</v>
      </c>
      <c r="O268" s="56">
        <f t="shared" si="9"/>
        <v>0</v>
      </c>
    </row>
    <row r="269" spans="1:15" x14ac:dyDescent="0.25">
      <c r="A269" s="52"/>
      <c r="B269" s="52"/>
      <c r="C269" s="53"/>
      <c r="D269" s="52"/>
      <c r="E269" s="52" t="s">
        <v>221</v>
      </c>
      <c r="F269" s="52">
        <v>0.67</v>
      </c>
      <c r="G269" s="54">
        <v>357</v>
      </c>
      <c r="H269" s="55">
        <v>239.19</v>
      </c>
      <c r="I269" s="55">
        <v>139.97311302714547</v>
      </c>
      <c r="J269" s="55">
        <v>99.21688697285451</v>
      </c>
      <c r="K269" s="52"/>
      <c r="L269" s="52"/>
      <c r="M269" s="56">
        <f t="shared" si="8"/>
        <v>0</v>
      </c>
      <c r="N269" s="56">
        <f t="shared" si="8"/>
        <v>0</v>
      </c>
      <c r="O269" s="56">
        <f t="shared" si="9"/>
        <v>0</v>
      </c>
    </row>
    <row r="270" spans="1:15" x14ac:dyDescent="0.25">
      <c r="A270" s="52"/>
      <c r="B270" s="52"/>
      <c r="C270" s="53"/>
      <c r="D270" s="52"/>
      <c r="E270" s="52" t="s">
        <v>222</v>
      </c>
      <c r="F270" s="52">
        <v>0.7</v>
      </c>
      <c r="G270" s="54">
        <v>1080</v>
      </c>
      <c r="H270" s="55">
        <v>756</v>
      </c>
      <c r="I270" s="55">
        <v>449.04422392810335</v>
      </c>
      <c r="J270" s="55">
        <v>306.95577607189665</v>
      </c>
      <c r="K270" s="52"/>
      <c r="L270" s="52"/>
      <c r="M270" s="56">
        <f t="shared" si="8"/>
        <v>0</v>
      </c>
      <c r="N270" s="56">
        <f t="shared" si="8"/>
        <v>0</v>
      </c>
      <c r="O270" s="56">
        <f t="shared" si="9"/>
        <v>0</v>
      </c>
    </row>
    <row r="271" spans="1:15" x14ac:dyDescent="0.25">
      <c r="A271" s="52"/>
      <c r="B271" s="52"/>
      <c r="C271" s="53"/>
      <c r="D271" s="52"/>
      <c r="E271" s="52" t="s">
        <v>223</v>
      </c>
      <c r="F271" s="52">
        <v>0.69999999999999984</v>
      </c>
      <c r="G271" s="54">
        <v>4676</v>
      </c>
      <c r="H271" s="55">
        <v>3273.2</v>
      </c>
      <c r="I271" s="55">
        <v>1797.8017566914889</v>
      </c>
      <c r="J271" s="55">
        <v>1475.3982433085112</v>
      </c>
      <c r="K271" s="52"/>
      <c r="L271" s="52"/>
      <c r="M271" s="56">
        <f t="shared" si="8"/>
        <v>0</v>
      </c>
      <c r="N271" s="56">
        <f t="shared" si="8"/>
        <v>0</v>
      </c>
      <c r="O271" s="56">
        <f t="shared" si="9"/>
        <v>0</v>
      </c>
    </row>
    <row r="272" spans="1:15" x14ac:dyDescent="0.25">
      <c r="A272" s="52"/>
      <c r="B272" s="52"/>
      <c r="C272" s="53"/>
      <c r="D272" s="52"/>
      <c r="E272" s="52" t="s">
        <v>224</v>
      </c>
      <c r="F272" s="52">
        <v>0.69999999999999984</v>
      </c>
      <c r="G272" s="54">
        <v>1542</v>
      </c>
      <c r="H272" s="55">
        <v>1079.4000000000001</v>
      </c>
      <c r="I272" s="55">
        <v>609.31452850631956</v>
      </c>
      <c r="J272" s="55">
        <v>470.08547149368053</v>
      </c>
      <c r="K272" s="52"/>
      <c r="L272" s="52"/>
      <c r="M272" s="56">
        <f t="shared" si="8"/>
        <v>0</v>
      </c>
      <c r="N272" s="56">
        <f t="shared" si="8"/>
        <v>0</v>
      </c>
      <c r="O272" s="56">
        <f t="shared" si="9"/>
        <v>0</v>
      </c>
    </row>
    <row r="273" spans="1:16" x14ac:dyDescent="0.25">
      <c r="A273" s="52"/>
      <c r="B273" s="52"/>
      <c r="C273" s="53"/>
      <c r="D273" s="52"/>
      <c r="E273" s="52" t="s">
        <v>225</v>
      </c>
      <c r="F273" s="52">
        <v>0.8</v>
      </c>
      <c r="G273" s="54">
        <v>3192</v>
      </c>
      <c r="H273" s="55">
        <v>2553.6</v>
      </c>
      <c r="I273" s="55">
        <v>1311.5205981440481</v>
      </c>
      <c r="J273" s="55">
        <v>1242.0794018559518</v>
      </c>
      <c r="K273" s="52"/>
      <c r="L273" s="52"/>
      <c r="M273" s="56">
        <f t="shared" si="8"/>
        <v>0</v>
      </c>
      <c r="N273" s="56">
        <f t="shared" si="8"/>
        <v>0</v>
      </c>
      <c r="O273" s="56">
        <f t="shared" si="9"/>
        <v>0</v>
      </c>
    </row>
    <row r="274" spans="1:16" x14ac:dyDescent="0.25">
      <c r="A274" s="52"/>
      <c r="B274" s="52"/>
      <c r="C274" s="53"/>
      <c r="D274" s="52"/>
      <c r="E274" s="52" t="s">
        <v>226</v>
      </c>
      <c r="F274" s="52">
        <v>0.7</v>
      </c>
      <c r="G274" s="54">
        <v>4845</v>
      </c>
      <c r="H274" s="55">
        <v>3391.5</v>
      </c>
      <c r="I274" s="55">
        <v>1899.6039516271208</v>
      </c>
      <c r="J274" s="55">
        <v>1491.8960483728792</v>
      </c>
      <c r="K274" s="52"/>
      <c r="L274" s="52"/>
      <c r="M274" s="56">
        <f t="shared" si="8"/>
        <v>0</v>
      </c>
      <c r="N274" s="56">
        <f t="shared" si="8"/>
        <v>0</v>
      </c>
      <c r="O274" s="56">
        <f t="shared" si="9"/>
        <v>0</v>
      </c>
    </row>
    <row r="275" spans="1:16" x14ac:dyDescent="0.25">
      <c r="A275" s="52"/>
      <c r="B275" s="52"/>
      <c r="C275" s="53"/>
      <c r="D275" s="52"/>
      <c r="E275" s="52" t="s">
        <v>227</v>
      </c>
      <c r="F275" s="52">
        <v>0.67</v>
      </c>
      <c r="G275" s="54">
        <v>71</v>
      </c>
      <c r="H275" s="55">
        <v>47.570000000000007</v>
      </c>
      <c r="I275" s="55">
        <v>28.347596094848125</v>
      </c>
      <c r="J275" s="55">
        <v>19.222403905151879</v>
      </c>
      <c r="K275" s="52"/>
      <c r="L275" s="52"/>
      <c r="M275" s="56">
        <f t="shared" si="8"/>
        <v>0</v>
      </c>
      <c r="N275" s="56">
        <f t="shared" si="8"/>
        <v>0</v>
      </c>
      <c r="O275" s="56">
        <f t="shared" si="9"/>
        <v>0</v>
      </c>
    </row>
    <row r="276" spans="1:16" x14ac:dyDescent="0.25">
      <c r="A276" s="52"/>
      <c r="B276" s="52"/>
      <c r="C276" s="53"/>
      <c r="D276" s="52"/>
      <c r="E276" s="52" t="s">
        <v>228</v>
      </c>
      <c r="F276" s="52">
        <v>0.7</v>
      </c>
      <c r="G276" s="54">
        <v>1166</v>
      </c>
      <c r="H276" s="55">
        <v>816.2</v>
      </c>
      <c r="I276" s="55">
        <v>493.9071468178962</v>
      </c>
      <c r="J276" s="55">
        <v>322.29285318210378</v>
      </c>
      <c r="K276" s="52"/>
      <c r="L276" s="52"/>
      <c r="M276" s="56">
        <f t="shared" si="8"/>
        <v>0</v>
      </c>
      <c r="N276" s="56">
        <f t="shared" si="8"/>
        <v>0</v>
      </c>
      <c r="O276" s="56">
        <f t="shared" si="9"/>
        <v>0</v>
      </c>
    </row>
    <row r="277" spans="1:16" x14ac:dyDescent="0.25">
      <c r="A277" s="52"/>
      <c r="B277" s="52"/>
      <c r="C277" s="53"/>
      <c r="D277" s="52"/>
      <c r="E277" s="52" t="s">
        <v>229</v>
      </c>
      <c r="F277" s="52">
        <v>0.67</v>
      </c>
      <c r="G277" s="54">
        <v>676</v>
      </c>
      <c r="H277" s="55">
        <v>452.92</v>
      </c>
      <c r="I277" s="55">
        <v>293.1634116319355</v>
      </c>
      <c r="J277" s="55">
        <v>159.75658836806451</v>
      </c>
      <c r="K277" s="52"/>
      <c r="L277" s="52"/>
      <c r="M277" s="56">
        <f t="shared" si="8"/>
        <v>0</v>
      </c>
      <c r="N277" s="56">
        <f t="shared" si="8"/>
        <v>0</v>
      </c>
      <c r="O277" s="56">
        <f t="shared" si="9"/>
        <v>0</v>
      </c>
    </row>
    <row r="278" spans="1:16" x14ac:dyDescent="0.25">
      <c r="A278" s="52"/>
      <c r="B278" s="52"/>
      <c r="C278" s="53"/>
      <c r="D278" s="52"/>
      <c r="E278" s="52" t="s">
        <v>230</v>
      </c>
      <c r="F278" s="52">
        <v>0.7</v>
      </c>
      <c r="G278" s="54">
        <v>2025</v>
      </c>
      <c r="H278" s="55">
        <v>1417.5</v>
      </c>
      <c r="I278" s="55">
        <v>783.79063845721771</v>
      </c>
      <c r="J278" s="55">
        <v>633.70936154278229</v>
      </c>
      <c r="K278" s="52"/>
      <c r="L278" s="52"/>
      <c r="M278" s="56">
        <f t="shared" si="8"/>
        <v>0</v>
      </c>
      <c r="N278" s="56">
        <f t="shared" si="8"/>
        <v>0</v>
      </c>
      <c r="O278" s="56">
        <f t="shared" si="9"/>
        <v>0</v>
      </c>
    </row>
    <row r="279" spans="1:16" x14ac:dyDescent="0.25">
      <c r="A279" s="52"/>
      <c r="B279" s="52"/>
      <c r="C279" s="53"/>
      <c r="D279" s="52"/>
      <c r="E279" s="52" t="s">
        <v>231</v>
      </c>
      <c r="F279" s="52">
        <v>0.7</v>
      </c>
      <c r="G279" s="54">
        <v>2597</v>
      </c>
      <c r="H279" s="55">
        <v>1817.8999999999999</v>
      </c>
      <c r="I279" s="55">
        <v>979.25493670858918</v>
      </c>
      <c r="J279" s="55">
        <v>838.64506329141079</v>
      </c>
      <c r="K279" s="52"/>
      <c r="L279" s="52"/>
      <c r="M279" s="56">
        <f t="shared" si="8"/>
        <v>0</v>
      </c>
      <c r="N279" s="56">
        <f t="shared" si="8"/>
        <v>0</v>
      </c>
      <c r="O279" s="56">
        <f t="shared" si="9"/>
        <v>0</v>
      </c>
    </row>
    <row r="280" spans="1:16" x14ac:dyDescent="0.25">
      <c r="A280" s="52"/>
      <c r="B280" s="52"/>
      <c r="C280" s="53"/>
      <c r="D280" s="52"/>
      <c r="E280" s="52" t="s">
        <v>240</v>
      </c>
      <c r="F280" s="52">
        <v>0.67</v>
      </c>
      <c r="G280" s="54">
        <v>5</v>
      </c>
      <c r="H280" s="55">
        <v>3.35</v>
      </c>
      <c r="I280" s="55">
        <v>2.1743119266055047</v>
      </c>
      <c r="J280" s="55">
        <v>1.1756880733944954</v>
      </c>
      <c r="K280" s="52"/>
      <c r="L280" s="52"/>
      <c r="M280" s="56">
        <f t="shared" si="8"/>
        <v>0</v>
      </c>
      <c r="N280" s="56">
        <f t="shared" si="8"/>
        <v>0</v>
      </c>
      <c r="O280" s="56">
        <f t="shared" si="9"/>
        <v>0</v>
      </c>
    </row>
    <row r="281" spans="1:16" x14ac:dyDescent="0.25">
      <c r="A281" s="52"/>
      <c r="B281" s="52"/>
      <c r="C281" s="53"/>
      <c r="D281" s="52"/>
      <c r="E281" s="52" t="s">
        <v>232</v>
      </c>
      <c r="F281" s="52">
        <v>0.7</v>
      </c>
      <c r="G281" s="54">
        <v>3894</v>
      </c>
      <c r="H281" s="55">
        <v>2725.8</v>
      </c>
      <c r="I281" s="55">
        <v>1427.8145450173784</v>
      </c>
      <c r="J281" s="55">
        <v>1297.9854549826218</v>
      </c>
      <c r="K281" s="52"/>
      <c r="L281" s="52"/>
      <c r="M281" s="56">
        <f t="shared" si="8"/>
        <v>0</v>
      </c>
      <c r="N281" s="56">
        <f t="shared" si="8"/>
        <v>0</v>
      </c>
      <c r="O281" s="56">
        <f t="shared" si="9"/>
        <v>0</v>
      </c>
    </row>
    <row r="282" spans="1:16" x14ac:dyDescent="0.25">
      <c r="A282" s="52"/>
      <c r="B282" s="52"/>
      <c r="C282" s="53"/>
      <c r="D282" s="52"/>
      <c r="E282" s="52" t="s">
        <v>233</v>
      </c>
      <c r="F282" s="52">
        <v>0.67</v>
      </c>
      <c r="G282" s="54">
        <v>541</v>
      </c>
      <c r="H282" s="55">
        <v>362.47</v>
      </c>
      <c r="I282" s="55">
        <v>215.05869969938149</v>
      </c>
      <c r="J282" s="55">
        <v>147.41130030061848</v>
      </c>
      <c r="K282" s="52"/>
      <c r="L282" s="52"/>
      <c r="M282" s="56">
        <f t="shared" si="8"/>
        <v>0</v>
      </c>
      <c r="N282" s="56">
        <f t="shared" si="8"/>
        <v>0</v>
      </c>
      <c r="O282" s="56">
        <f t="shared" si="9"/>
        <v>0</v>
      </c>
    </row>
    <row r="283" spans="1:16" x14ac:dyDescent="0.25">
      <c r="A283" s="52"/>
      <c r="B283" s="52"/>
      <c r="C283" s="53"/>
      <c r="D283" s="52"/>
      <c r="E283" s="52" t="s">
        <v>234</v>
      </c>
      <c r="F283" s="52">
        <v>0.7</v>
      </c>
      <c r="G283" s="54">
        <v>4673</v>
      </c>
      <c r="H283" s="55">
        <v>3271.1</v>
      </c>
      <c r="I283" s="55">
        <v>1906.764959921471</v>
      </c>
      <c r="J283" s="55">
        <v>1364.3350400785289</v>
      </c>
      <c r="K283" s="52"/>
      <c r="L283" s="52"/>
      <c r="M283" s="56">
        <f t="shared" si="8"/>
        <v>0</v>
      </c>
      <c r="N283" s="56">
        <f t="shared" si="8"/>
        <v>0</v>
      </c>
      <c r="O283" s="56">
        <f t="shared" si="9"/>
        <v>0</v>
      </c>
    </row>
    <row r="284" spans="1:16" x14ac:dyDescent="0.25">
      <c r="A284" s="52"/>
      <c r="B284" s="52"/>
      <c r="C284" s="53"/>
      <c r="D284" s="52"/>
      <c r="E284" s="52" t="s">
        <v>235</v>
      </c>
      <c r="F284" s="52">
        <v>0.67</v>
      </c>
      <c r="G284" s="54">
        <v>42</v>
      </c>
      <c r="H284" s="55">
        <v>28.14</v>
      </c>
      <c r="I284" s="55">
        <v>18.264418661968616</v>
      </c>
      <c r="J284" s="55">
        <v>9.8755813380313864</v>
      </c>
      <c r="K284" s="52"/>
      <c r="L284" s="52"/>
      <c r="M284" s="56">
        <f t="shared" si="8"/>
        <v>0</v>
      </c>
      <c r="N284" s="56">
        <f t="shared" si="8"/>
        <v>0</v>
      </c>
      <c r="O284" s="56">
        <f t="shared" si="9"/>
        <v>0</v>
      </c>
    </row>
    <row r="285" spans="1:16" s="6" customFormat="1" x14ac:dyDescent="0.25">
      <c r="A285" s="57"/>
      <c r="B285" s="57" t="s">
        <v>242</v>
      </c>
      <c r="C285" s="58"/>
      <c r="D285" s="57"/>
      <c r="E285" s="57"/>
      <c r="F285" s="57"/>
      <c r="G285" s="59">
        <v>323449</v>
      </c>
      <c r="H285" s="60">
        <v>222354.35000000012</v>
      </c>
      <c r="I285" s="60">
        <v>125136.00000000001</v>
      </c>
      <c r="J285" s="60">
        <v>97218.349999999977</v>
      </c>
      <c r="K285" s="57"/>
      <c r="L285" s="57"/>
      <c r="M285" s="61"/>
      <c r="N285" s="61"/>
      <c r="O285" s="61">
        <f>SUM(O175:O284)</f>
        <v>0</v>
      </c>
      <c r="P285"/>
    </row>
    <row r="286" spans="1:16" s="6" customFormat="1" x14ac:dyDescent="0.25">
      <c r="A286" s="47" t="s">
        <v>243</v>
      </c>
      <c r="B286" s="47"/>
      <c r="C286" s="48"/>
      <c r="D286" s="47"/>
      <c r="E286" s="47"/>
      <c r="F286" s="47"/>
      <c r="G286" s="49">
        <v>323449</v>
      </c>
      <c r="H286" s="50">
        <v>222354.35000000012</v>
      </c>
      <c r="I286" s="50">
        <v>125136.00000000001</v>
      </c>
      <c r="J286" s="50">
        <v>97218.349999999977</v>
      </c>
      <c r="K286" s="47"/>
      <c r="L286" s="47"/>
      <c r="M286" s="51"/>
      <c r="N286" s="51"/>
      <c r="O286" s="51"/>
      <c r="P286"/>
    </row>
    <row r="287" spans="1:16" x14ac:dyDescent="0.25">
      <c r="A287" s="52" t="s">
        <v>13</v>
      </c>
      <c r="B287" s="52" t="s">
        <v>215</v>
      </c>
      <c r="C287" s="53" t="s">
        <v>76</v>
      </c>
      <c r="D287" s="52" t="s">
        <v>217</v>
      </c>
      <c r="E287" s="52" t="s">
        <v>244</v>
      </c>
      <c r="F287" s="52">
        <v>0.83</v>
      </c>
      <c r="G287" s="54">
        <v>268</v>
      </c>
      <c r="H287" s="55">
        <v>222.44</v>
      </c>
      <c r="I287" s="55">
        <v>155.02919708029196</v>
      </c>
      <c r="J287" s="55">
        <v>67.410802919708033</v>
      </c>
      <c r="K287" s="52"/>
      <c r="L287" s="52"/>
      <c r="M287" s="56">
        <f t="shared" si="8"/>
        <v>0</v>
      </c>
      <c r="N287" s="56">
        <f t="shared" si="8"/>
        <v>0</v>
      </c>
      <c r="O287" s="56">
        <f t="shared" si="9"/>
        <v>0</v>
      </c>
    </row>
    <row r="288" spans="1:16" x14ac:dyDescent="0.25">
      <c r="A288" s="52"/>
      <c r="B288" s="52"/>
      <c r="C288" s="53"/>
      <c r="D288" s="52"/>
      <c r="E288" s="52" t="s">
        <v>245</v>
      </c>
      <c r="F288" s="52">
        <v>0.65</v>
      </c>
      <c r="G288" s="54">
        <v>39</v>
      </c>
      <c r="H288" s="55">
        <v>25.35</v>
      </c>
      <c r="I288" s="55">
        <v>16.706756756756757</v>
      </c>
      <c r="J288" s="55">
        <v>8.6432432432432442</v>
      </c>
      <c r="K288" s="52"/>
      <c r="L288" s="52"/>
      <c r="M288" s="56">
        <f t="shared" si="8"/>
        <v>0</v>
      </c>
      <c r="N288" s="56">
        <f t="shared" si="8"/>
        <v>0</v>
      </c>
      <c r="O288" s="56">
        <f t="shared" si="9"/>
        <v>0</v>
      </c>
    </row>
    <row r="289" spans="1:15" x14ac:dyDescent="0.25">
      <c r="A289" s="52"/>
      <c r="B289" s="52"/>
      <c r="C289" s="53"/>
      <c r="D289" s="52"/>
      <c r="E289" s="52" t="s">
        <v>246</v>
      </c>
      <c r="F289" s="52">
        <v>0.65</v>
      </c>
      <c r="G289" s="54">
        <v>3576</v>
      </c>
      <c r="H289" s="55">
        <v>2324.3999999999996</v>
      </c>
      <c r="I289" s="55">
        <v>1281.2796901017578</v>
      </c>
      <c r="J289" s="55">
        <v>1043.1203098982423</v>
      </c>
      <c r="K289" s="52"/>
      <c r="L289" s="52"/>
      <c r="M289" s="56">
        <f t="shared" si="8"/>
        <v>0</v>
      </c>
      <c r="N289" s="56">
        <f t="shared" si="8"/>
        <v>0</v>
      </c>
      <c r="O289" s="56">
        <f t="shared" si="9"/>
        <v>0</v>
      </c>
    </row>
    <row r="290" spans="1:15" x14ac:dyDescent="0.25">
      <c r="A290" s="52"/>
      <c r="B290" s="52"/>
      <c r="C290" s="53"/>
      <c r="D290" s="52"/>
      <c r="E290" s="52" t="s">
        <v>247</v>
      </c>
      <c r="F290" s="52">
        <v>0.76000000000000012</v>
      </c>
      <c r="G290" s="54">
        <v>1585</v>
      </c>
      <c r="H290" s="55">
        <v>1204.5999999999999</v>
      </c>
      <c r="I290" s="55">
        <v>555.94084837823402</v>
      </c>
      <c r="J290" s="55">
        <v>648.65915162176589</v>
      </c>
      <c r="K290" s="52"/>
      <c r="L290" s="52"/>
      <c r="M290" s="56">
        <f t="shared" si="8"/>
        <v>0</v>
      </c>
      <c r="N290" s="56">
        <f t="shared" si="8"/>
        <v>0</v>
      </c>
      <c r="O290" s="56">
        <f t="shared" si="9"/>
        <v>0</v>
      </c>
    </row>
    <row r="291" spans="1:15" x14ac:dyDescent="0.25">
      <c r="A291" s="52"/>
      <c r="B291" s="52"/>
      <c r="C291" s="53"/>
      <c r="D291" s="52"/>
      <c r="E291" s="52" t="s">
        <v>248</v>
      </c>
      <c r="F291" s="52">
        <v>0.7</v>
      </c>
      <c r="G291" s="54">
        <v>3015</v>
      </c>
      <c r="H291" s="55">
        <v>2110.5</v>
      </c>
      <c r="I291" s="55">
        <v>1337.9679729568027</v>
      </c>
      <c r="J291" s="55">
        <v>772.53202704319744</v>
      </c>
      <c r="K291" s="52"/>
      <c r="L291" s="52"/>
      <c r="M291" s="56">
        <f t="shared" si="8"/>
        <v>0</v>
      </c>
      <c r="N291" s="56">
        <f t="shared" si="8"/>
        <v>0</v>
      </c>
      <c r="O291" s="56">
        <f t="shared" si="9"/>
        <v>0</v>
      </c>
    </row>
    <row r="292" spans="1:15" x14ac:dyDescent="0.25">
      <c r="A292" s="52"/>
      <c r="B292" s="52"/>
      <c r="C292" s="53"/>
      <c r="D292" s="52"/>
      <c r="E292" s="52" t="s">
        <v>249</v>
      </c>
      <c r="F292" s="52">
        <v>0.80000000000000016</v>
      </c>
      <c r="G292" s="54">
        <v>1239</v>
      </c>
      <c r="H292" s="55">
        <v>991.19999999999993</v>
      </c>
      <c r="I292" s="55">
        <v>475.38433949488842</v>
      </c>
      <c r="J292" s="55">
        <v>515.81566050511162</v>
      </c>
      <c r="K292" s="52"/>
      <c r="L292" s="52"/>
      <c r="M292" s="56">
        <f t="shared" si="8"/>
        <v>0</v>
      </c>
      <c r="N292" s="56">
        <f t="shared" si="8"/>
        <v>0</v>
      </c>
      <c r="O292" s="56">
        <f t="shared" si="9"/>
        <v>0</v>
      </c>
    </row>
    <row r="293" spans="1:15" x14ac:dyDescent="0.25">
      <c r="A293" s="52"/>
      <c r="B293" s="52"/>
      <c r="C293" s="53"/>
      <c r="D293" s="52"/>
      <c r="E293" s="52" t="s">
        <v>250</v>
      </c>
      <c r="F293" s="52">
        <v>0.77</v>
      </c>
      <c r="G293" s="54">
        <v>514</v>
      </c>
      <c r="H293" s="55">
        <v>395.78</v>
      </c>
      <c r="I293" s="55">
        <v>196.31084337349398</v>
      </c>
      <c r="J293" s="55">
        <v>199.46915662650599</v>
      </c>
      <c r="K293" s="52"/>
      <c r="L293" s="52"/>
      <c r="M293" s="56">
        <f t="shared" si="8"/>
        <v>0</v>
      </c>
      <c r="N293" s="56">
        <f t="shared" si="8"/>
        <v>0</v>
      </c>
      <c r="O293" s="56">
        <f t="shared" si="9"/>
        <v>0</v>
      </c>
    </row>
    <row r="294" spans="1:15" x14ac:dyDescent="0.25">
      <c r="A294" s="52"/>
      <c r="B294" s="52"/>
      <c r="C294" s="53"/>
      <c r="D294" s="52"/>
      <c r="E294" s="52" t="s">
        <v>251</v>
      </c>
      <c r="F294" s="52">
        <v>0.82</v>
      </c>
      <c r="G294" s="54">
        <v>1691</v>
      </c>
      <c r="H294" s="55">
        <v>1386.62</v>
      </c>
      <c r="I294" s="55">
        <v>644.54549098196401</v>
      </c>
      <c r="J294" s="55">
        <v>742.07450901803588</v>
      </c>
      <c r="K294" s="52"/>
      <c r="L294" s="52"/>
      <c r="M294" s="56">
        <f t="shared" si="8"/>
        <v>0</v>
      </c>
      <c r="N294" s="56">
        <f t="shared" si="8"/>
        <v>0</v>
      </c>
      <c r="O294" s="56">
        <f t="shared" si="9"/>
        <v>0</v>
      </c>
    </row>
    <row r="295" spans="1:15" x14ac:dyDescent="0.25">
      <c r="A295" s="52"/>
      <c r="B295" s="52"/>
      <c r="C295" s="53"/>
      <c r="D295" s="52"/>
      <c r="E295" s="52" t="s">
        <v>252</v>
      </c>
      <c r="F295" s="52">
        <v>0.82</v>
      </c>
      <c r="G295" s="54">
        <v>17</v>
      </c>
      <c r="H295" s="55">
        <v>13.94</v>
      </c>
      <c r="I295" s="55">
        <v>6.5987755102040815</v>
      </c>
      <c r="J295" s="55">
        <v>7.341224489795918</v>
      </c>
      <c r="K295" s="52"/>
      <c r="L295" s="52"/>
      <c r="M295" s="56">
        <f t="shared" si="8"/>
        <v>0</v>
      </c>
      <c r="N295" s="56">
        <f t="shared" si="8"/>
        <v>0</v>
      </c>
      <c r="O295" s="56">
        <f t="shared" si="9"/>
        <v>0</v>
      </c>
    </row>
    <row r="296" spans="1:15" x14ac:dyDescent="0.25">
      <c r="A296" s="52"/>
      <c r="B296" s="52"/>
      <c r="C296" s="53"/>
      <c r="D296" s="52"/>
      <c r="E296" s="52" t="s">
        <v>253</v>
      </c>
      <c r="F296" s="52">
        <v>0.7400000000000001</v>
      </c>
      <c r="G296" s="54">
        <v>12707</v>
      </c>
      <c r="H296" s="55">
        <v>9403.1799999999985</v>
      </c>
      <c r="I296" s="55">
        <v>3947.9741064788413</v>
      </c>
      <c r="J296" s="55">
        <v>5455.2058935211599</v>
      </c>
      <c r="K296" s="52"/>
      <c r="L296" s="52"/>
      <c r="M296" s="56">
        <f t="shared" si="8"/>
        <v>0</v>
      </c>
      <c r="N296" s="56">
        <f t="shared" si="8"/>
        <v>0</v>
      </c>
      <c r="O296" s="56">
        <f t="shared" si="9"/>
        <v>0</v>
      </c>
    </row>
    <row r="297" spans="1:15" x14ac:dyDescent="0.25">
      <c r="A297" s="52"/>
      <c r="B297" s="52"/>
      <c r="C297" s="53"/>
      <c r="D297" s="52"/>
      <c r="E297" s="52" t="s">
        <v>254</v>
      </c>
      <c r="F297" s="52">
        <v>0.65000000000000013</v>
      </c>
      <c r="G297" s="54">
        <v>22494</v>
      </c>
      <c r="H297" s="55">
        <v>14621.1</v>
      </c>
      <c r="I297" s="55">
        <v>8220.2150860084839</v>
      </c>
      <c r="J297" s="55">
        <v>6400.8849139915137</v>
      </c>
      <c r="K297" s="52"/>
      <c r="L297" s="52"/>
      <c r="M297" s="56">
        <f t="shared" si="8"/>
        <v>0</v>
      </c>
      <c r="N297" s="56">
        <f t="shared" si="8"/>
        <v>0</v>
      </c>
      <c r="O297" s="56">
        <f t="shared" si="9"/>
        <v>0</v>
      </c>
    </row>
    <row r="298" spans="1:15" x14ac:dyDescent="0.25">
      <c r="A298" s="52"/>
      <c r="B298" s="52"/>
      <c r="C298" s="53"/>
      <c r="D298" s="52"/>
      <c r="E298" s="52" t="s">
        <v>255</v>
      </c>
      <c r="F298" s="52">
        <v>0.82999999999999985</v>
      </c>
      <c r="G298" s="54">
        <v>9489</v>
      </c>
      <c r="H298" s="55">
        <v>7875.87</v>
      </c>
      <c r="I298" s="55">
        <v>4058.0158709804691</v>
      </c>
      <c r="J298" s="55">
        <v>3817.8541290195303</v>
      </c>
      <c r="K298" s="52"/>
      <c r="L298" s="52"/>
      <c r="M298" s="56">
        <f t="shared" si="8"/>
        <v>0</v>
      </c>
      <c r="N298" s="56">
        <f t="shared" si="8"/>
        <v>0</v>
      </c>
      <c r="O298" s="56">
        <f t="shared" si="9"/>
        <v>0</v>
      </c>
    </row>
    <row r="299" spans="1:15" x14ac:dyDescent="0.25">
      <c r="A299" s="52"/>
      <c r="B299" s="52"/>
      <c r="C299" s="53"/>
      <c r="D299" s="52"/>
      <c r="E299" s="52" t="s">
        <v>256</v>
      </c>
      <c r="F299" s="52">
        <v>0.83</v>
      </c>
      <c r="G299" s="54">
        <v>45</v>
      </c>
      <c r="H299" s="55">
        <v>37.35</v>
      </c>
      <c r="I299" s="55">
        <v>26.03102189781022</v>
      </c>
      <c r="J299" s="55">
        <v>11.318978102189782</v>
      </c>
      <c r="K299" s="52"/>
      <c r="L299" s="52"/>
      <c r="M299" s="56">
        <f t="shared" si="8"/>
        <v>0</v>
      </c>
      <c r="N299" s="56">
        <f t="shared" si="8"/>
        <v>0</v>
      </c>
      <c r="O299" s="56">
        <f t="shared" si="9"/>
        <v>0</v>
      </c>
    </row>
    <row r="300" spans="1:15" x14ac:dyDescent="0.25">
      <c r="A300" s="52"/>
      <c r="B300" s="52"/>
      <c r="C300" s="53" t="s">
        <v>257</v>
      </c>
      <c r="D300" s="52" t="s">
        <v>217</v>
      </c>
      <c r="E300" s="52" t="s">
        <v>258</v>
      </c>
      <c r="F300" s="52">
        <v>0.79</v>
      </c>
      <c r="G300" s="54">
        <v>12401</v>
      </c>
      <c r="H300" s="55">
        <v>9796.7899999999991</v>
      </c>
      <c r="I300" s="55">
        <v>5157.0742805561858</v>
      </c>
      <c r="J300" s="55">
        <v>4639.7157194438141</v>
      </c>
      <c r="K300" s="52"/>
      <c r="L300" s="52"/>
      <c r="M300" s="56">
        <f t="shared" si="8"/>
        <v>0</v>
      </c>
      <c r="N300" s="56">
        <f t="shared" si="8"/>
        <v>0</v>
      </c>
      <c r="O300" s="56">
        <f t="shared" si="9"/>
        <v>0</v>
      </c>
    </row>
    <row r="301" spans="1:15" x14ac:dyDescent="0.25">
      <c r="A301" s="52"/>
      <c r="B301" s="52"/>
      <c r="C301" s="53"/>
      <c r="D301" s="52"/>
      <c r="E301" s="52" t="s">
        <v>259</v>
      </c>
      <c r="F301" s="52">
        <v>0.77</v>
      </c>
      <c r="G301" s="54">
        <v>367</v>
      </c>
      <c r="H301" s="55">
        <v>282.58999999999997</v>
      </c>
      <c r="I301" s="55">
        <v>151.18703697512825</v>
      </c>
      <c r="J301" s="55">
        <v>131.40296302487175</v>
      </c>
      <c r="K301" s="52"/>
      <c r="L301" s="52"/>
      <c r="M301" s="56">
        <f t="shared" si="8"/>
        <v>0</v>
      </c>
      <c r="N301" s="56">
        <f t="shared" si="8"/>
        <v>0</v>
      </c>
      <c r="O301" s="56">
        <f t="shared" si="9"/>
        <v>0</v>
      </c>
    </row>
    <row r="302" spans="1:15" x14ac:dyDescent="0.25">
      <c r="A302" s="52"/>
      <c r="B302" s="52"/>
      <c r="C302" s="53"/>
      <c r="D302" s="52"/>
      <c r="E302" s="52" t="s">
        <v>260</v>
      </c>
      <c r="F302" s="52">
        <v>0.65</v>
      </c>
      <c r="G302" s="54">
        <v>128</v>
      </c>
      <c r="H302" s="55">
        <v>83.2</v>
      </c>
      <c r="I302" s="55">
        <v>52.580465004574918</v>
      </c>
      <c r="J302" s="55">
        <v>30.619534995425084</v>
      </c>
      <c r="K302" s="52"/>
      <c r="L302" s="52"/>
      <c r="M302" s="56">
        <f t="shared" si="8"/>
        <v>0</v>
      </c>
      <c r="N302" s="56">
        <f t="shared" si="8"/>
        <v>0</v>
      </c>
      <c r="O302" s="56">
        <f t="shared" si="9"/>
        <v>0</v>
      </c>
    </row>
    <row r="303" spans="1:15" x14ac:dyDescent="0.25">
      <c r="A303" s="52"/>
      <c r="B303" s="52"/>
      <c r="C303" s="53"/>
      <c r="D303" s="52"/>
      <c r="E303" s="52" t="s">
        <v>245</v>
      </c>
      <c r="F303" s="52">
        <v>0.65</v>
      </c>
      <c r="G303" s="54">
        <v>354</v>
      </c>
      <c r="H303" s="55">
        <v>230.10000000000002</v>
      </c>
      <c r="I303" s="55">
        <v>147.06886348792634</v>
      </c>
      <c r="J303" s="55">
        <v>83.031136512073672</v>
      </c>
      <c r="K303" s="52"/>
      <c r="L303" s="52"/>
      <c r="M303" s="56">
        <f t="shared" si="8"/>
        <v>0</v>
      </c>
      <c r="N303" s="56">
        <f t="shared" si="8"/>
        <v>0</v>
      </c>
      <c r="O303" s="56">
        <f t="shared" si="9"/>
        <v>0</v>
      </c>
    </row>
    <row r="304" spans="1:15" x14ac:dyDescent="0.25">
      <c r="A304" s="52"/>
      <c r="B304" s="52"/>
      <c r="C304" s="53"/>
      <c r="D304" s="52"/>
      <c r="E304" s="52" t="s">
        <v>247</v>
      </c>
      <c r="F304" s="52">
        <v>0.76</v>
      </c>
      <c r="G304" s="54">
        <v>4743</v>
      </c>
      <c r="H304" s="55">
        <v>3604.68</v>
      </c>
      <c r="I304" s="55">
        <v>2079.2015851502829</v>
      </c>
      <c r="J304" s="55">
        <v>1525.4784148497165</v>
      </c>
      <c r="K304" s="52"/>
      <c r="L304" s="52"/>
      <c r="M304" s="56">
        <f t="shared" si="8"/>
        <v>0</v>
      </c>
      <c r="N304" s="56">
        <f t="shared" si="8"/>
        <v>0</v>
      </c>
      <c r="O304" s="56">
        <f t="shared" si="9"/>
        <v>0</v>
      </c>
    </row>
    <row r="305" spans="1:15" x14ac:dyDescent="0.25">
      <c r="A305" s="52"/>
      <c r="B305" s="52"/>
      <c r="C305" s="53"/>
      <c r="D305" s="52"/>
      <c r="E305" s="52" t="s">
        <v>261</v>
      </c>
      <c r="F305" s="52">
        <v>0.8</v>
      </c>
      <c r="G305" s="54">
        <v>5984</v>
      </c>
      <c r="H305" s="55">
        <v>4787.1999999999989</v>
      </c>
      <c r="I305" s="55">
        <v>2780.3602261815854</v>
      </c>
      <c r="J305" s="55">
        <v>2006.8397738184144</v>
      </c>
      <c r="K305" s="52"/>
      <c r="L305" s="52"/>
      <c r="M305" s="56">
        <f t="shared" si="8"/>
        <v>0</v>
      </c>
      <c r="N305" s="56">
        <f t="shared" si="8"/>
        <v>0</v>
      </c>
      <c r="O305" s="56">
        <f t="shared" si="9"/>
        <v>0</v>
      </c>
    </row>
    <row r="306" spans="1:15" x14ac:dyDescent="0.25">
      <c r="A306" s="52"/>
      <c r="B306" s="52"/>
      <c r="C306" s="53"/>
      <c r="D306" s="52"/>
      <c r="E306" s="52" t="s">
        <v>262</v>
      </c>
      <c r="F306" s="52">
        <v>0.77</v>
      </c>
      <c r="G306" s="54">
        <v>14</v>
      </c>
      <c r="H306" s="55">
        <v>10.78</v>
      </c>
      <c r="I306" s="55">
        <v>7.6363646001533159</v>
      </c>
      <c r="J306" s="55">
        <v>3.1436353998466835</v>
      </c>
      <c r="K306" s="52"/>
      <c r="L306" s="52"/>
      <c r="M306" s="56">
        <f t="shared" si="8"/>
        <v>0</v>
      </c>
      <c r="N306" s="56">
        <f t="shared" si="8"/>
        <v>0</v>
      </c>
      <c r="O306" s="56">
        <f t="shared" si="9"/>
        <v>0</v>
      </c>
    </row>
    <row r="307" spans="1:15" x14ac:dyDescent="0.25">
      <c r="A307" s="52"/>
      <c r="B307" s="52"/>
      <c r="C307" s="53"/>
      <c r="D307" s="52"/>
      <c r="E307" s="52" t="s">
        <v>249</v>
      </c>
      <c r="F307" s="52">
        <v>0.8</v>
      </c>
      <c r="G307" s="54">
        <v>5129</v>
      </c>
      <c r="H307" s="55">
        <v>4103.2</v>
      </c>
      <c r="I307" s="55">
        <v>2050.8534934905001</v>
      </c>
      <c r="J307" s="55">
        <v>2052.3465065095002</v>
      </c>
      <c r="K307" s="52"/>
      <c r="L307" s="52"/>
      <c r="M307" s="56">
        <f t="shared" si="8"/>
        <v>0</v>
      </c>
      <c r="N307" s="56">
        <f t="shared" si="8"/>
        <v>0</v>
      </c>
      <c r="O307" s="56">
        <f t="shared" si="9"/>
        <v>0</v>
      </c>
    </row>
    <row r="308" spans="1:15" x14ac:dyDescent="0.25">
      <c r="A308" s="52"/>
      <c r="B308" s="52"/>
      <c r="C308" s="53"/>
      <c r="D308" s="52"/>
      <c r="E308" s="52" t="s">
        <v>250</v>
      </c>
      <c r="F308" s="52">
        <v>0.77</v>
      </c>
      <c r="G308" s="54">
        <v>386</v>
      </c>
      <c r="H308" s="55">
        <v>297.22000000000003</v>
      </c>
      <c r="I308" s="55">
        <v>153.27181628392484</v>
      </c>
      <c r="J308" s="55">
        <v>143.94818371607519</v>
      </c>
      <c r="K308" s="52"/>
      <c r="L308" s="52"/>
      <c r="M308" s="56">
        <f t="shared" si="8"/>
        <v>0</v>
      </c>
      <c r="N308" s="56">
        <f t="shared" si="8"/>
        <v>0</v>
      </c>
      <c r="O308" s="56">
        <f t="shared" si="9"/>
        <v>0</v>
      </c>
    </row>
    <row r="309" spans="1:15" x14ac:dyDescent="0.25">
      <c r="A309" s="52"/>
      <c r="B309" s="52"/>
      <c r="C309" s="53"/>
      <c r="D309" s="52"/>
      <c r="E309" s="52" t="s">
        <v>254</v>
      </c>
      <c r="F309" s="52">
        <v>0.65</v>
      </c>
      <c r="G309" s="54">
        <v>11877</v>
      </c>
      <c r="H309" s="55">
        <v>7720.0500000000011</v>
      </c>
      <c r="I309" s="55">
        <v>6335.0992016030705</v>
      </c>
      <c r="J309" s="55">
        <v>1384.9507983969293</v>
      </c>
      <c r="K309" s="52"/>
      <c r="L309" s="52"/>
      <c r="M309" s="56">
        <f t="shared" si="8"/>
        <v>0</v>
      </c>
      <c r="N309" s="56">
        <f t="shared" si="8"/>
        <v>0</v>
      </c>
      <c r="O309" s="56">
        <f t="shared" si="9"/>
        <v>0</v>
      </c>
    </row>
    <row r="310" spans="1:15" x14ac:dyDescent="0.25">
      <c r="A310" s="52"/>
      <c r="B310" s="52"/>
      <c r="C310" s="53"/>
      <c r="D310" s="52" t="s">
        <v>263</v>
      </c>
      <c r="E310" s="52" t="s">
        <v>264</v>
      </c>
      <c r="F310" s="52">
        <v>1.24</v>
      </c>
      <c r="G310" s="54">
        <v>2528</v>
      </c>
      <c r="H310" s="55">
        <v>3134.7200000000003</v>
      </c>
      <c r="I310" s="55">
        <v>2007.6666666666667</v>
      </c>
      <c r="J310" s="55">
        <v>1127.0533333333333</v>
      </c>
      <c r="K310" s="52"/>
      <c r="L310" s="52"/>
      <c r="M310" s="56">
        <f t="shared" si="8"/>
        <v>0</v>
      </c>
      <c r="N310" s="56">
        <f t="shared" si="8"/>
        <v>0</v>
      </c>
      <c r="O310" s="56">
        <f t="shared" si="9"/>
        <v>0</v>
      </c>
    </row>
    <row r="311" spans="1:15" x14ac:dyDescent="0.25">
      <c r="A311" s="52"/>
      <c r="B311" s="52"/>
      <c r="C311" s="53" t="s">
        <v>265</v>
      </c>
      <c r="D311" s="52" t="s">
        <v>217</v>
      </c>
      <c r="E311" s="52" t="s">
        <v>245</v>
      </c>
      <c r="F311" s="52">
        <v>0.65</v>
      </c>
      <c r="G311" s="54">
        <v>67</v>
      </c>
      <c r="H311" s="55">
        <v>43.55</v>
      </c>
      <c r="I311" s="55">
        <v>28.445089285714285</v>
      </c>
      <c r="J311" s="55">
        <v>15.104910714285712</v>
      </c>
      <c r="K311" s="52"/>
      <c r="L311" s="52"/>
      <c r="M311" s="56">
        <f t="shared" si="8"/>
        <v>0</v>
      </c>
      <c r="N311" s="56">
        <f t="shared" si="8"/>
        <v>0</v>
      </c>
      <c r="O311" s="56">
        <f t="shared" si="9"/>
        <v>0</v>
      </c>
    </row>
    <row r="312" spans="1:15" x14ac:dyDescent="0.25">
      <c r="A312" s="52"/>
      <c r="B312" s="52"/>
      <c r="C312" s="53"/>
      <c r="D312" s="52"/>
      <c r="E312" s="52" t="s">
        <v>247</v>
      </c>
      <c r="F312" s="52">
        <v>0.76</v>
      </c>
      <c r="G312" s="54">
        <v>3250</v>
      </c>
      <c r="H312" s="55">
        <v>2470</v>
      </c>
      <c r="I312" s="55">
        <v>951</v>
      </c>
      <c r="J312" s="55">
        <v>1519</v>
      </c>
      <c r="K312" s="52"/>
      <c r="L312" s="52"/>
      <c r="M312" s="56">
        <f t="shared" si="8"/>
        <v>0</v>
      </c>
      <c r="N312" s="56">
        <f t="shared" si="8"/>
        <v>0</v>
      </c>
      <c r="O312" s="56">
        <f t="shared" si="9"/>
        <v>0</v>
      </c>
    </row>
    <row r="313" spans="1:15" x14ac:dyDescent="0.25">
      <c r="A313" s="52"/>
      <c r="B313" s="52"/>
      <c r="C313" s="53"/>
      <c r="D313" s="52"/>
      <c r="E313" s="52" t="s">
        <v>248</v>
      </c>
      <c r="F313" s="52">
        <v>0.7</v>
      </c>
      <c r="G313" s="54">
        <v>2559</v>
      </c>
      <c r="H313" s="55">
        <v>1791.3</v>
      </c>
      <c r="I313" s="55">
        <v>845.00312499999995</v>
      </c>
      <c r="J313" s="55">
        <v>946.296875</v>
      </c>
      <c r="K313" s="52"/>
      <c r="L313" s="52"/>
      <c r="M313" s="56">
        <f t="shared" si="8"/>
        <v>0</v>
      </c>
      <c r="N313" s="56">
        <f t="shared" si="8"/>
        <v>0</v>
      </c>
      <c r="O313" s="56">
        <f t="shared" si="9"/>
        <v>0</v>
      </c>
    </row>
    <row r="314" spans="1:15" x14ac:dyDescent="0.25">
      <c r="A314" s="52"/>
      <c r="B314" s="52"/>
      <c r="C314" s="53"/>
      <c r="D314" s="52"/>
      <c r="E314" s="52" t="s">
        <v>266</v>
      </c>
      <c r="F314" s="52">
        <v>0.65</v>
      </c>
      <c r="G314" s="54">
        <v>321</v>
      </c>
      <c r="H314" s="55">
        <v>208.65</v>
      </c>
      <c r="I314" s="55">
        <v>105.996875</v>
      </c>
      <c r="J314" s="55">
        <v>102.653125</v>
      </c>
      <c r="K314" s="52"/>
      <c r="L314" s="52"/>
      <c r="M314" s="56">
        <f t="shared" si="8"/>
        <v>0</v>
      </c>
      <c r="N314" s="56">
        <f t="shared" si="8"/>
        <v>0</v>
      </c>
      <c r="O314" s="56">
        <f t="shared" si="9"/>
        <v>0</v>
      </c>
    </row>
    <row r="315" spans="1:15" x14ac:dyDescent="0.25">
      <c r="A315" s="52"/>
      <c r="B315" s="52"/>
      <c r="C315" s="53"/>
      <c r="D315" s="52"/>
      <c r="E315" s="52" t="s">
        <v>249</v>
      </c>
      <c r="F315" s="52">
        <v>0.8</v>
      </c>
      <c r="G315" s="54">
        <v>2760</v>
      </c>
      <c r="H315" s="55">
        <v>2208</v>
      </c>
      <c r="I315" s="55">
        <v>951</v>
      </c>
      <c r="J315" s="55">
        <v>1257</v>
      </c>
      <c r="K315" s="52"/>
      <c r="L315" s="52"/>
      <c r="M315" s="56">
        <f t="shared" si="8"/>
        <v>0</v>
      </c>
      <c r="N315" s="56">
        <f t="shared" si="8"/>
        <v>0</v>
      </c>
      <c r="O315" s="56">
        <f t="shared" si="9"/>
        <v>0</v>
      </c>
    </row>
    <row r="316" spans="1:15" x14ac:dyDescent="0.25">
      <c r="A316" s="52"/>
      <c r="B316" s="52"/>
      <c r="C316" s="53"/>
      <c r="D316" s="52"/>
      <c r="E316" s="52" t="s">
        <v>251</v>
      </c>
      <c r="F316" s="52">
        <v>0.82</v>
      </c>
      <c r="G316" s="54">
        <v>546</v>
      </c>
      <c r="H316" s="55">
        <v>447.72</v>
      </c>
      <c r="I316" s="55">
        <v>252.67445255474451</v>
      </c>
      <c r="J316" s="55">
        <v>195.04554744525552</v>
      </c>
      <c r="K316" s="52"/>
      <c r="L316" s="52"/>
      <c r="M316" s="56">
        <f t="shared" si="8"/>
        <v>0</v>
      </c>
      <c r="N316" s="56">
        <f t="shared" si="8"/>
        <v>0</v>
      </c>
      <c r="O316" s="56">
        <f t="shared" si="9"/>
        <v>0</v>
      </c>
    </row>
    <row r="317" spans="1:15" x14ac:dyDescent="0.25">
      <c r="A317" s="52"/>
      <c r="B317" s="52"/>
      <c r="C317" s="53"/>
      <c r="D317" s="52"/>
      <c r="E317" s="52" t="s">
        <v>252</v>
      </c>
      <c r="F317" s="52">
        <v>0.82</v>
      </c>
      <c r="G317" s="54">
        <v>2009</v>
      </c>
      <c r="H317" s="55">
        <v>1647.38</v>
      </c>
      <c r="I317" s="55">
        <v>1649.3255474452553</v>
      </c>
      <c r="J317" s="55">
        <v>-1.945547445255329</v>
      </c>
      <c r="K317" s="52"/>
      <c r="L317" s="52"/>
      <c r="M317" s="56">
        <f t="shared" si="8"/>
        <v>0</v>
      </c>
      <c r="N317" s="56">
        <f t="shared" si="8"/>
        <v>0</v>
      </c>
      <c r="O317" s="56">
        <f t="shared" si="9"/>
        <v>0</v>
      </c>
    </row>
    <row r="318" spans="1:15" x14ac:dyDescent="0.25">
      <c r="A318" s="52"/>
      <c r="B318" s="52"/>
      <c r="C318" s="53"/>
      <c r="D318" s="52"/>
      <c r="E318" s="52" t="s">
        <v>253</v>
      </c>
      <c r="F318" s="52">
        <v>0.73999999999999988</v>
      </c>
      <c r="G318" s="54">
        <v>9750</v>
      </c>
      <c r="H318" s="55">
        <v>7215</v>
      </c>
      <c r="I318" s="55">
        <v>2853</v>
      </c>
      <c r="J318" s="55">
        <v>4362</v>
      </c>
      <c r="K318" s="52"/>
      <c r="L318" s="52"/>
      <c r="M318" s="56">
        <f t="shared" si="8"/>
        <v>0</v>
      </c>
      <c r="N318" s="56">
        <f t="shared" si="8"/>
        <v>0</v>
      </c>
      <c r="O318" s="56">
        <f t="shared" si="9"/>
        <v>0</v>
      </c>
    </row>
    <row r="319" spans="1:15" x14ac:dyDescent="0.25">
      <c r="A319" s="52"/>
      <c r="B319" s="52"/>
      <c r="C319" s="53"/>
      <c r="D319" s="52"/>
      <c r="E319" s="52" t="s">
        <v>254</v>
      </c>
      <c r="F319" s="52">
        <v>0.65</v>
      </c>
      <c r="G319" s="54">
        <v>11021</v>
      </c>
      <c r="H319" s="55">
        <v>7163.6500000000005</v>
      </c>
      <c r="I319" s="55">
        <v>5706</v>
      </c>
      <c r="J319" s="55">
        <v>1457.6499999999999</v>
      </c>
      <c r="K319" s="52"/>
      <c r="L319" s="52"/>
      <c r="M319" s="56">
        <f t="shared" si="8"/>
        <v>0</v>
      </c>
      <c r="N319" s="56">
        <f t="shared" si="8"/>
        <v>0</v>
      </c>
      <c r="O319" s="56">
        <f t="shared" si="9"/>
        <v>0</v>
      </c>
    </row>
    <row r="320" spans="1:15" x14ac:dyDescent="0.25">
      <c r="A320" s="52"/>
      <c r="B320" s="52"/>
      <c r="C320" s="53"/>
      <c r="D320" s="52"/>
      <c r="E320" s="52" t="s">
        <v>255</v>
      </c>
      <c r="F320" s="52">
        <v>0.82999999999999985</v>
      </c>
      <c r="G320" s="54">
        <v>9644</v>
      </c>
      <c r="H320" s="55">
        <v>8004.5199999999986</v>
      </c>
      <c r="I320" s="55">
        <v>3943.300744047619</v>
      </c>
      <c r="J320" s="55">
        <v>4061.2192559523805</v>
      </c>
      <c r="K320" s="52"/>
      <c r="L320" s="52"/>
      <c r="M320" s="56">
        <f t="shared" si="8"/>
        <v>0</v>
      </c>
      <c r="N320" s="56">
        <f t="shared" si="8"/>
        <v>0</v>
      </c>
      <c r="O320" s="56">
        <f t="shared" si="9"/>
        <v>0</v>
      </c>
    </row>
    <row r="321" spans="1:16" x14ac:dyDescent="0.25">
      <c r="A321" s="52"/>
      <c r="B321" s="52"/>
      <c r="C321" s="53"/>
      <c r="D321" s="52"/>
      <c r="E321" s="52" t="s">
        <v>267</v>
      </c>
      <c r="F321" s="52">
        <v>0.84</v>
      </c>
      <c r="G321" s="54">
        <v>1779</v>
      </c>
      <c r="H321" s="55">
        <v>1494.36</v>
      </c>
      <c r="I321" s="55">
        <v>783.25416666666661</v>
      </c>
      <c r="J321" s="55">
        <v>711.10583333333329</v>
      </c>
      <c r="K321" s="52"/>
      <c r="L321" s="52"/>
      <c r="M321" s="56">
        <f t="shared" si="8"/>
        <v>0</v>
      </c>
      <c r="N321" s="56">
        <f t="shared" si="8"/>
        <v>0</v>
      </c>
      <c r="O321" s="56">
        <f t="shared" si="9"/>
        <v>0</v>
      </c>
    </row>
    <row r="322" spans="1:16" x14ac:dyDescent="0.25">
      <c r="A322" s="52"/>
      <c r="B322" s="52"/>
      <c r="C322" s="53" t="s">
        <v>86</v>
      </c>
      <c r="D322" s="52" t="s">
        <v>217</v>
      </c>
      <c r="E322" s="52" t="s">
        <v>247</v>
      </c>
      <c r="F322" s="52">
        <v>0.76</v>
      </c>
      <c r="G322" s="54">
        <v>4748</v>
      </c>
      <c r="H322" s="55">
        <v>3608.4799999999996</v>
      </c>
      <c r="I322" s="55">
        <v>2603.051060447779</v>
      </c>
      <c r="J322" s="55">
        <v>1005.4289395522209</v>
      </c>
      <c r="K322" s="52"/>
      <c r="L322" s="52"/>
      <c r="M322" s="56">
        <f t="shared" si="8"/>
        <v>0</v>
      </c>
      <c r="N322" s="56">
        <f t="shared" si="8"/>
        <v>0</v>
      </c>
      <c r="O322" s="56">
        <f t="shared" si="9"/>
        <v>0</v>
      </c>
    </row>
    <row r="323" spans="1:16" x14ac:dyDescent="0.25">
      <c r="A323" s="52"/>
      <c r="B323" s="52"/>
      <c r="C323" s="53"/>
      <c r="D323" s="52"/>
      <c r="E323" s="52" t="s">
        <v>261</v>
      </c>
      <c r="F323" s="52">
        <v>0.8</v>
      </c>
      <c r="G323" s="54">
        <v>1677</v>
      </c>
      <c r="H323" s="55">
        <v>1341.6</v>
      </c>
      <c r="I323" s="55">
        <v>1036.1369861227663</v>
      </c>
      <c r="J323" s="55">
        <v>305.46301387723361</v>
      </c>
      <c r="K323" s="52"/>
      <c r="L323" s="52"/>
      <c r="M323" s="56">
        <f t="shared" si="8"/>
        <v>0</v>
      </c>
      <c r="N323" s="56">
        <f t="shared" si="8"/>
        <v>0</v>
      </c>
      <c r="O323" s="56">
        <f t="shared" si="9"/>
        <v>0</v>
      </c>
    </row>
    <row r="324" spans="1:16" x14ac:dyDescent="0.25">
      <c r="A324" s="52"/>
      <c r="B324" s="52"/>
      <c r="C324" s="53"/>
      <c r="D324" s="52"/>
      <c r="E324" s="52" t="s">
        <v>254</v>
      </c>
      <c r="F324" s="52">
        <v>0.65</v>
      </c>
      <c r="G324" s="54">
        <v>2538</v>
      </c>
      <c r="H324" s="55">
        <v>1649.7</v>
      </c>
      <c r="I324" s="55">
        <v>1882.8950892857142</v>
      </c>
      <c r="J324" s="55">
        <v>-233.19508928571429</v>
      </c>
      <c r="K324" s="52"/>
      <c r="L324" s="52"/>
      <c r="M324" s="56">
        <f t="shared" si="8"/>
        <v>0</v>
      </c>
      <c r="N324" s="56">
        <f t="shared" si="8"/>
        <v>0</v>
      </c>
      <c r="O324" s="56">
        <f t="shared" si="9"/>
        <v>0</v>
      </c>
    </row>
    <row r="325" spans="1:16" x14ac:dyDescent="0.25">
      <c r="A325" s="52"/>
      <c r="B325" s="52"/>
      <c r="C325" s="53" t="s">
        <v>79</v>
      </c>
      <c r="D325" s="52" t="s">
        <v>217</v>
      </c>
      <c r="E325" s="52" t="s">
        <v>260</v>
      </c>
      <c r="F325" s="52">
        <v>0.65</v>
      </c>
      <c r="G325" s="54">
        <v>36</v>
      </c>
      <c r="H325" s="55">
        <v>23.4</v>
      </c>
      <c r="I325" s="55">
        <v>20.760790965350559</v>
      </c>
      <c r="J325" s="55">
        <v>2.639209034649439</v>
      </c>
      <c r="K325" s="52"/>
      <c r="L325" s="52"/>
      <c r="M325" s="56">
        <f t="shared" si="8"/>
        <v>0</v>
      </c>
      <c r="N325" s="56">
        <f t="shared" si="8"/>
        <v>0</v>
      </c>
      <c r="O325" s="56">
        <f t="shared" si="9"/>
        <v>0</v>
      </c>
    </row>
    <row r="326" spans="1:16" x14ac:dyDescent="0.25">
      <c r="A326" s="52"/>
      <c r="B326" s="52"/>
      <c r="C326" s="53"/>
      <c r="D326" s="52"/>
      <c r="E326" s="52" t="s">
        <v>245</v>
      </c>
      <c r="F326" s="52">
        <v>0.65</v>
      </c>
      <c r="G326" s="54">
        <v>62</v>
      </c>
      <c r="H326" s="55">
        <v>40.299999999999997</v>
      </c>
      <c r="I326" s="55">
        <v>34.231241029481247</v>
      </c>
      <c r="J326" s="55">
        <v>6.068758970518755</v>
      </c>
      <c r="K326" s="52"/>
      <c r="L326" s="52"/>
      <c r="M326" s="56">
        <f t="shared" ref="M326:N389" si="10">$G326*K326</f>
        <v>0</v>
      </c>
      <c r="N326" s="56">
        <f t="shared" si="10"/>
        <v>0</v>
      </c>
      <c r="O326" s="56">
        <f t="shared" ref="O326:O389" si="11">M326+N326</f>
        <v>0</v>
      </c>
    </row>
    <row r="327" spans="1:16" x14ac:dyDescent="0.25">
      <c r="A327" s="52"/>
      <c r="B327" s="52"/>
      <c r="C327" s="53"/>
      <c r="D327" s="52"/>
      <c r="E327" s="52" t="s">
        <v>247</v>
      </c>
      <c r="F327" s="52">
        <v>0.76</v>
      </c>
      <c r="G327" s="54">
        <v>5083</v>
      </c>
      <c r="H327" s="55">
        <v>3863.0800000000004</v>
      </c>
      <c r="I327" s="55">
        <v>2938.1613189906411</v>
      </c>
      <c r="J327" s="55">
        <v>924.91868100935903</v>
      </c>
      <c r="K327" s="52"/>
      <c r="L327" s="52"/>
      <c r="M327" s="56">
        <f t="shared" si="10"/>
        <v>0</v>
      </c>
      <c r="N327" s="56">
        <f t="shared" si="10"/>
        <v>0</v>
      </c>
      <c r="O327" s="56">
        <f t="shared" si="11"/>
        <v>0</v>
      </c>
    </row>
    <row r="328" spans="1:16" x14ac:dyDescent="0.25">
      <c r="A328" s="52"/>
      <c r="B328" s="52"/>
      <c r="C328" s="53"/>
      <c r="D328" s="52"/>
      <c r="E328" s="52" t="s">
        <v>261</v>
      </c>
      <c r="F328" s="52">
        <v>0.8</v>
      </c>
      <c r="G328" s="54">
        <v>1677</v>
      </c>
      <c r="H328" s="55">
        <v>1341.6</v>
      </c>
      <c r="I328" s="55">
        <v>1059.4809760294143</v>
      </c>
      <c r="J328" s="55">
        <v>282.11902397058549</v>
      </c>
      <c r="K328" s="52"/>
      <c r="L328" s="52"/>
      <c r="M328" s="56">
        <f t="shared" si="10"/>
        <v>0</v>
      </c>
      <c r="N328" s="56">
        <f t="shared" si="10"/>
        <v>0</v>
      </c>
      <c r="O328" s="56">
        <f t="shared" si="11"/>
        <v>0</v>
      </c>
    </row>
    <row r="329" spans="1:16" x14ac:dyDescent="0.25">
      <c r="A329" s="52"/>
      <c r="B329" s="52"/>
      <c r="C329" s="53"/>
      <c r="D329" s="52"/>
      <c r="E329" s="52" t="s">
        <v>248</v>
      </c>
      <c r="F329" s="52">
        <v>0.70000000000000007</v>
      </c>
      <c r="G329" s="54">
        <v>9284</v>
      </c>
      <c r="H329" s="55">
        <v>6498.8000000000011</v>
      </c>
      <c r="I329" s="55">
        <v>4888.5334668073128</v>
      </c>
      <c r="J329" s="55">
        <v>1610.2665331926876</v>
      </c>
      <c r="K329" s="52"/>
      <c r="L329" s="52"/>
      <c r="M329" s="56">
        <f t="shared" si="10"/>
        <v>0</v>
      </c>
      <c r="N329" s="56">
        <f t="shared" si="10"/>
        <v>0</v>
      </c>
      <c r="O329" s="56">
        <f t="shared" si="11"/>
        <v>0</v>
      </c>
    </row>
    <row r="330" spans="1:16" x14ac:dyDescent="0.25">
      <c r="A330" s="52"/>
      <c r="B330" s="52"/>
      <c r="C330" s="53"/>
      <c r="D330" s="52"/>
      <c r="E330" s="52" t="s">
        <v>266</v>
      </c>
      <c r="F330" s="52">
        <v>0.65</v>
      </c>
      <c r="G330" s="54">
        <v>1217</v>
      </c>
      <c r="H330" s="55">
        <v>791.05</v>
      </c>
      <c r="I330" s="55">
        <v>812.0999601699416</v>
      </c>
      <c r="J330" s="55">
        <v>-21.049960169941613</v>
      </c>
      <c r="K330" s="52"/>
      <c r="L330" s="52"/>
      <c r="M330" s="56">
        <f t="shared" si="10"/>
        <v>0</v>
      </c>
      <c r="N330" s="56">
        <f t="shared" si="10"/>
        <v>0</v>
      </c>
      <c r="O330" s="56">
        <f t="shared" si="11"/>
        <v>0</v>
      </c>
    </row>
    <row r="331" spans="1:16" x14ac:dyDescent="0.25">
      <c r="A331" s="52"/>
      <c r="B331" s="52"/>
      <c r="C331" s="53"/>
      <c r="D331" s="52"/>
      <c r="E331" s="52" t="s">
        <v>249</v>
      </c>
      <c r="F331" s="52">
        <v>0.79999999999999993</v>
      </c>
      <c r="G331" s="54">
        <v>3553</v>
      </c>
      <c r="H331" s="55">
        <v>2842.4000000000005</v>
      </c>
      <c r="I331" s="55">
        <v>1669.8518404994729</v>
      </c>
      <c r="J331" s="55">
        <v>1172.5481595005269</v>
      </c>
      <c r="K331" s="52"/>
      <c r="L331" s="52"/>
      <c r="M331" s="56">
        <f t="shared" si="10"/>
        <v>0</v>
      </c>
      <c r="N331" s="56">
        <f t="shared" si="10"/>
        <v>0</v>
      </c>
      <c r="O331" s="56">
        <f t="shared" si="11"/>
        <v>0</v>
      </c>
    </row>
    <row r="332" spans="1:16" x14ac:dyDescent="0.25">
      <c r="A332" s="52"/>
      <c r="B332" s="52"/>
      <c r="C332" s="53"/>
      <c r="D332" s="52"/>
      <c r="E332" s="52" t="s">
        <v>250</v>
      </c>
      <c r="F332" s="52">
        <v>0.77</v>
      </c>
      <c r="G332" s="54">
        <v>602</v>
      </c>
      <c r="H332" s="55">
        <v>463.54</v>
      </c>
      <c r="I332" s="55">
        <v>355.96276283628902</v>
      </c>
      <c r="J332" s="55">
        <v>107.57723716371103</v>
      </c>
      <c r="K332" s="52"/>
      <c r="L332" s="52"/>
      <c r="M332" s="56">
        <f t="shared" si="10"/>
        <v>0</v>
      </c>
      <c r="N332" s="56">
        <f t="shared" si="10"/>
        <v>0</v>
      </c>
      <c r="O332" s="56">
        <f t="shared" si="11"/>
        <v>0</v>
      </c>
    </row>
    <row r="333" spans="1:16" x14ac:dyDescent="0.25">
      <c r="A333" s="52"/>
      <c r="B333" s="52"/>
      <c r="C333" s="53"/>
      <c r="D333" s="52"/>
      <c r="E333" s="52" t="s">
        <v>254</v>
      </c>
      <c r="F333" s="52">
        <v>0.65</v>
      </c>
      <c r="G333" s="54">
        <v>16488</v>
      </c>
      <c r="H333" s="55">
        <v>10717.199999999999</v>
      </c>
      <c r="I333" s="55">
        <v>6728.0248151125261</v>
      </c>
      <c r="J333" s="55">
        <v>3989.1751848874742</v>
      </c>
      <c r="K333" s="52"/>
      <c r="L333" s="52"/>
      <c r="M333" s="56">
        <f t="shared" si="10"/>
        <v>0</v>
      </c>
      <c r="N333" s="56">
        <f t="shared" si="10"/>
        <v>0</v>
      </c>
      <c r="O333" s="56">
        <f t="shared" si="11"/>
        <v>0</v>
      </c>
    </row>
    <row r="334" spans="1:16" s="6" customFormat="1" x14ac:dyDescent="0.25">
      <c r="A334" s="57"/>
      <c r="B334" s="57" t="s">
        <v>242</v>
      </c>
      <c r="C334" s="58"/>
      <c r="D334" s="57"/>
      <c r="E334" s="57"/>
      <c r="F334" s="57"/>
      <c r="G334" s="59">
        <v>191261</v>
      </c>
      <c r="H334" s="60">
        <v>140538.14000000004</v>
      </c>
      <c r="I334" s="60">
        <v>83942.190308296689</v>
      </c>
      <c r="J334" s="60">
        <v>56595.949691703325</v>
      </c>
      <c r="K334" s="57"/>
      <c r="L334" s="57"/>
      <c r="M334" s="61"/>
      <c r="N334" s="61"/>
      <c r="O334" s="61">
        <f>SUM(O287:O333)</f>
        <v>0</v>
      </c>
      <c r="P334"/>
    </row>
    <row r="335" spans="1:16" x14ac:dyDescent="0.25">
      <c r="A335" s="52"/>
      <c r="B335" s="52" t="s">
        <v>116</v>
      </c>
      <c r="C335" s="53" t="s">
        <v>86</v>
      </c>
      <c r="D335" s="52" t="s">
        <v>172</v>
      </c>
      <c r="E335" s="52" t="s">
        <v>173</v>
      </c>
      <c r="F335" s="52">
        <v>1.9</v>
      </c>
      <c r="G335" s="54">
        <v>1533</v>
      </c>
      <c r="H335" s="55">
        <v>2912.7</v>
      </c>
      <c r="I335" s="55">
        <v>3670.6558555703737</v>
      </c>
      <c r="J335" s="55">
        <v>-757.9558555703735</v>
      </c>
      <c r="K335" s="52"/>
      <c r="L335" s="52"/>
      <c r="M335" s="56">
        <f t="shared" si="10"/>
        <v>0</v>
      </c>
      <c r="N335" s="56">
        <f t="shared" si="10"/>
        <v>0</v>
      </c>
      <c r="O335" s="56">
        <f t="shared" si="11"/>
        <v>0</v>
      </c>
    </row>
    <row r="336" spans="1:16" x14ac:dyDescent="0.25">
      <c r="A336" s="52"/>
      <c r="B336" s="52"/>
      <c r="C336" s="53"/>
      <c r="D336" s="52"/>
      <c r="E336" s="52" t="s">
        <v>268</v>
      </c>
      <c r="F336" s="52">
        <v>1.9</v>
      </c>
      <c r="G336" s="54">
        <v>439</v>
      </c>
      <c r="H336" s="55">
        <v>834.09999999999991</v>
      </c>
      <c r="I336" s="55">
        <v>1047.2290947774543</v>
      </c>
      <c r="J336" s="55">
        <v>-213.12909477745427</v>
      </c>
      <c r="K336" s="52"/>
      <c r="L336" s="52"/>
      <c r="M336" s="56">
        <f t="shared" si="10"/>
        <v>0</v>
      </c>
      <c r="N336" s="56">
        <f t="shared" si="10"/>
        <v>0</v>
      </c>
      <c r="O336" s="56">
        <f t="shared" si="11"/>
        <v>0</v>
      </c>
    </row>
    <row r="337" spans="1:16" x14ac:dyDescent="0.25">
      <c r="A337" s="52"/>
      <c r="B337" s="52"/>
      <c r="C337" s="53"/>
      <c r="D337" s="52" t="s">
        <v>117</v>
      </c>
      <c r="E337" s="52" t="s">
        <v>269</v>
      </c>
      <c r="F337" s="52">
        <v>1.9</v>
      </c>
      <c r="G337" s="54">
        <v>499</v>
      </c>
      <c r="H337" s="55">
        <v>948.09999999999991</v>
      </c>
      <c r="I337" s="55">
        <v>735.04890369625446</v>
      </c>
      <c r="J337" s="55">
        <v>213.05109630374551</v>
      </c>
      <c r="K337" s="52"/>
      <c r="L337" s="52"/>
      <c r="M337" s="56">
        <f t="shared" si="10"/>
        <v>0</v>
      </c>
      <c r="N337" s="56">
        <f t="shared" si="10"/>
        <v>0</v>
      </c>
      <c r="O337" s="56">
        <f t="shared" si="11"/>
        <v>0</v>
      </c>
    </row>
    <row r="338" spans="1:16" x14ac:dyDescent="0.25">
      <c r="A338" s="52"/>
      <c r="B338" s="52"/>
      <c r="C338" s="53"/>
      <c r="D338" s="52"/>
      <c r="E338" s="52" t="s">
        <v>270</v>
      </c>
      <c r="F338" s="52">
        <v>1.9499999999999995</v>
      </c>
      <c r="G338" s="54">
        <v>1239</v>
      </c>
      <c r="H338" s="55">
        <v>2416.0499999999997</v>
      </c>
      <c r="I338" s="55">
        <v>3108.5551996379886</v>
      </c>
      <c r="J338" s="55">
        <v>-692.50519963798888</v>
      </c>
      <c r="K338" s="52"/>
      <c r="L338" s="52"/>
      <c r="M338" s="56">
        <f t="shared" si="10"/>
        <v>0</v>
      </c>
      <c r="N338" s="56">
        <f t="shared" si="10"/>
        <v>0</v>
      </c>
      <c r="O338" s="56">
        <f t="shared" si="11"/>
        <v>0</v>
      </c>
    </row>
    <row r="339" spans="1:16" x14ac:dyDescent="0.25">
      <c r="A339" s="52"/>
      <c r="B339" s="52"/>
      <c r="C339" s="53"/>
      <c r="D339" s="52"/>
      <c r="E339" s="52" t="s">
        <v>271</v>
      </c>
      <c r="F339" s="52">
        <v>1.95</v>
      </c>
      <c r="G339" s="54">
        <v>227</v>
      </c>
      <c r="H339" s="55">
        <v>442.65</v>
      </c>
      <c r="I339" s="55">
        <v>801.22739124555414</v>
      </c>
      <c r="J339" s="55">
        <v>-358.57739124555411</v>
      </c>
      <c r="K339" s="52"/>
      <c r="L339" s="52"/>
      <c r="M339" s="56">
        <f t="shared" si="10"/>
        <v>0</v>
      </c>
      <c r="N339" s="56">
        <f t="shared" si="10"/>
        <v>0</v>
      </c>
      <c r="O339" s="56">
        <f t="shared" si="11"/>
        <v>0</v>
      </c>
    </row>
    <row r="340" spans="1:16" x14ac:dyDescent="0.25">
      <c r="A340" s="52"/>
      <c r="B340" s="52"/>
      <c r="C340" s="53"/>
      <c r="D340" s="52"/>
      <c r="E340" s="52" t="s">
        <v>118</v>
      </c>
      <c r="F340" s="52">
        <v>2.1</v>
      </c>
      <c r="G340" s="54">
        <v>110</v>
      </c>
      <c r="H340" s="55">
        <v>231</v>
      </c>
      <c r="I340" s="55">
        <v>499.63209678873483</v>
      </c>
      <c r="J340" s="55">
        <v>-268.63209678873483</v>
      </c>
      <c r="K340" s="52"/>
      <c r="L340" s="52"/>
      <c r="M340" s="56">
        <f t="shared" si="10"/>
        <v>0</v>
      </c>
      <c r="N340" s="56">
        <f t="shared" si="10"/>
        <v>0</v>
      </c>
      <c r="O340" s="56">
        <f t="shared" si="11"/>
        <v>0</v>
      </c>
    </row>
    <row r="341" spans="1:16" x14ac:dyDescent="0.25">
      <c r="A341" s="52"/>
      <c r="B341" s="52"/>
      <c r="C341" s="53"/>
      <c r="D341" s="52"/>
      <c r="E341" s="52" t="s">
        <v>272</v>
      </c>
      <c r="F341" s="52">
        <v>1.95</v>
      </c>
      <c r="G341" s="54">
        <v>318</v>
      </c>
      <c r="H341" s="55">
        <v>620.09999999999991</v>
      </c>
      <c r="I341" s="55">
        <v>782.56832242738028</v>
      </c>
      <c r="J341" s="55">
        <v>-162.46832242738026</v>
      </c>
      <c r="K341" s="52"/>
      <c r="L341" s="52"/>
      <c r="M341" s="56">
        <f t="shared" si="10"/>
        <v>0</v>
      </c>
      <c r="N341" s="56">
        <f t="shared" si="10"/>
        <v>0</v>
      </c>
      <c r="O341" s="56">
        <f t="shared" si="11"/>
        <v>0</v>
      </c>
    </row>
    <row r="342" spans="1:16" x14ac:dyDescent="0.25">
      <c r="A342" s="52"/>
      <c r="B342" s="52"/>
      <c r="C342" s="53"/>
      <c r="D342" s="52" t="s">
        <v>102</v>
      </c>
      <c r="E342" s="52" t="s">
        <v>169</v>
      </c>
      <c r="F342" s="52">
        <v>0.75</v>
      </c>
      <c r="G342" s="54">
        <v>419</v>
      </c>
      <c r="H342" s="55">
        <v>314.25</v>
      </c>
      <c r="I342" s="55">
        <v>2853</v>
      </c>
      <c r="J342" s="55">
        <v>-2538.75</v>
      </c>
      <c r="K342" s="52"/>
      <c r="L342" s="52"/>
      <c r="M342" s="56">
        <f t="shared" si="10"/>
        <v>0</v>
      </c>
      <c r="N342" s="56">
        <f t="shared" si="10"/>
        <v>0</v>
      </c>
      <c r="O342" s="56">
        <f t="shared" si="11"/>
        <v>0</v>
      </c>
    </row>
    <row r="343" spans="1:16" x14ac:dyDescent="0.25">
      <c r="A343" s="52"/>
      <c r="B343" s="52"/>
      <c r="C343" s="53"/>
      <c r="D343" s="52"/>
      <c r="E343" s="52" t="s">
        <v>273</v>
      </c>
      <c r="F343" s="52">
        <v>1</v>
      </c>
      <c r="G343" s="54">
        <v>350</v>
      </c>
      <c r="H343" s="55">
        <v>350</v>
      </c>
      <c r="I343" s="55">
        <v>1902</v>
      </c>
      <c r="J343" s="55">
        <v>-1552</v>
      </c>
      <c r="K343" s="52"/>
      <c r="L343" s="52"/>
      <c r="M343" s="56">
        <f t="shared" si="10"/>
        <v>0</v>
      </c>
      <c r="N343" s="56">
        <f t="shared" si="10"/>
        <v>0</v>
      </c>
      <c r="O343" s="56">
        <f t="shared" si="11"/>
        <v>0</v>
      </c>
    </row>
    <row r="344" spans="1:16" x14ac:dyDescent="0.25">
      <c r="A344" s="52"/>
      <c r="B344" s="52"/>
      <c r="C344" s="53" t="s">
        <v>79</v>
      </c>
      <c r="D344" s="52" t="s">
        <v>102</v>
      </c>
      <c r="E344" s="52" t="s">
        <v>169</v>
      </c>
      <c r="F344" s="52">
        <v>0.75</v>
      </c>
      <c r="G344" s="54">
        <v>2750</v>
      </c>
      <c r="H344" s="55">
        <v>2062.5</v>
      </c>
      <c r="I344" s="55">
        <v>1566.592207888996</v>
      </c>
      <c r="J344" s="55">
        <v>495.90779211100386</v>
      </c>
      <c r="K344" s="52"/>
      <c r="L344" s="52"/>
      <c r="M344" s="56">
        <f t="shared" si="10"/>
        <v>0</v>
      </c>
      <c r="N344" s="56">
        <f t="shared" si="10"/>
        <v>0</v>
      </c>
      <c r="O344" s="56">
        <f t="shared" si="11"/>
        <v>0</v>
      </c>
    </row>
    <row r="345" spans="1:16" x14ac:dyDescent="0.25">
      <c r="A345" s="52"/>
      <c r="B345" s="52"/>
      <c r="C345" s="53"/>
      <c r="D345" s="52"/>
      <c r="E345" s="52" t="s">
        <v>136</v>
      </c>
      <c r="F345" s="52">
        <v>0.8</v>
      </c>
      <c r="G345" s="54">
        <v>2087</v>
      </c>
      <c r="H345" s="55">
        <v>1669.6</v>
      </c>
      <c r="I345" s="55">
        <v>848.30061967057532</v>
      </c>
      <c r="J345" s="55">
        <v>821.29938032942471</v>
      </c>
      <c r="K345" s="52"/>
      <c r="L345" s="52"/>
      <c r="M345" s="56">
        <f t="shared" si="10"/>
        <v>0</v>
      </c>
      <c r="N345" s="56">
        <f t="shared" si="10"/>
        <v>0</v>
      </c>
      <c r="O345" s="56">
        <f t="shared" si="11"/>
        <v>0</v>
      </c>
    </row>
    <row r="346" spans="1:16" s="6" customFormat="1" x14ac:dyDescent="0.25">
      <c r="A346" s="57"/>
      <c r="B346" s="57" t="s">
        <v>120</v>
      </c>
      <c r="C346" s="58"/>
      <c r="D346" s="57"/>
      <c r="E346" s="57"/>
      <c r="F346" s="57"/>
      <c r="G346" s="59">
        <v>9971</v>
      </c>
      <c r="H346" s="60">
        <v>12801.049999999997</v>
      </c>
      <c r="I346" s="60">
        <v>17814.809691703314</v>
      </c>
      <c r="J346" s="60">
        <v>-5013.7596917033125</v>
      </c>
      <c r="K346" s="57"/>
      <c r="L346" s="57"/>
      <c r="M346" s="61"/>
      <c r="N346" s="61"/>
      <c r="O346" s="61">
        <f>SUM(O335:O345)</f>
        <v>0</v>
      </c>
      <c r="P346"/>
    </row>
    <row r="347" spans="1:16" x14ac:dyDescent="0.25">
      <c r="A347" s="52"/>
      <c r="B347" s="52" t="s">
        <v>274</v>
      </c>
      <c r="C347" s="53" t="s">
        <v>265</v>
      </c>
      <c r="D347" s="52" t="s">
        <v>275</v>
      </c>
      <c r="E347" s="52" t="s">
        <v>276</v>
      </c>
      <c r="F347" s="52">
        <v>12.47</v>
      </c>
      <c r="G347" s="54">
        <v>318</v>
      </c>
      <c r="H347" s="55">
        <v>3965.46</v>
      </c>
      <c r="I347" s="55">
        <v>2853</v>
      </c>
      <c r="J347" s="55">
        <v>1112.46</v>
      </c>
      <c r="K347" s="52"/>
      <c r="L347" s="52"/>
      <c r="M347" s="56">
        <f t="shared" si="10"/>
        <v>0</v>
      </c>
      <c r="N347" s="56">
        <f t="shared" si="10"/>
        <v>0</v>
      </c>
      <c r="O347" s="56">
        <f t="shared" si="11"/>
        <v>0</v>
      </c>
    </row>
    <row r="348" spans="1:16" x14ac:dyDescent="0.25">
      <c r="A348" s="52"/>
      <c r="B348" s="52"/>
      <c r="C348" s="53" t="s">
        <v>115</v>
      </c>
      <c r="D348" s="52" t="s">
        <v>275</v>
      </c>
      <c r="E348" s="52" t="s">
        <v>277</v>
      </c>
      <c r="F348" s="52">
        <v>12.92</v>
      </c>
      <c r="G348" s="54">
        <v>480</v>
      </c>
      <c r="H348" s="55">
        <v>6201.6</v>
      </c>
      <c r="I348" s="55">
        <v>5872.197294931364</v>
      </c>
      <c r="J348" s="55">
        <v>329.40270506863561</v>
      </c>
      <c r="K348" s="52"/>
      <c r="L348" s="52"/>
      <c r="M348" s="56">
        <f t="shared" si="10"/>
        <v>0</v>
      </c>
      <c r="N348" s="56">
        <f t="shared" si="10"/>
        <v>0</v>
      </c>
      <c r="O348" s="56">
        <f t="shared" si="11"/>
        <v>0</v>
      </c>
    </row>
    <row r="349" spans="1:16" x14ac:dyDescent="0.25">
      <c r="A349" s="52"/>
      <c r="B349" s="52"/>
      <c r="C349" s="53"/>
      <c r="D349" s="52"/>
      <c r="E349" s="52" t="s">
        <v>278</v>
      </c>
      <c r="F349" s="52">
        <v>12.47</v>
      </c>
      <c r="G349" s="54">
        <v>304</v>
      </c>
      <c r="H349" s="55">
        <v>3790.88</v>
      </c>
      <c r="I349" s="55">
        <v>3769.9514438592755</v>
      </c>
      <c r="J349" s="55">
        <v>20.928556140723913</v>
      </c>
      <c r="K349" s="52"/>
      <c r="L349" s="52"/>
      <c r="M349" s="56">
        <f t="shared" si="10"/>
        <v>0</v>
      </c>
      <c r="N349" s="56">
        <f t="shared" si="10"/>
        <v>0</v>
      </c>
      <c r="O349" s="56">
        <f t="shared" si="11"/>
        <v>0</v>
      </c>
    </row>
    <row r="350" spans="1:16" x14ac:dyDescent="0.25">
      <c r="A350" s="52"/>
      <c r="B350" s="52"/>
      <c r="C350" s="53"/>
      <c r="D350" s="52"/>
      <c r="E350" s="52" t="s">
        <v>279</v>
      </c>
      <c r="F350" s="52">
        <v>12.47</v>
      </c>
      <c r="G350" s="54">
        <v>89</v>
      </c>
      <c r="H350" s="55">
        <v>1109.83</v>
      </c>
      <c r="I350" s="55">
        <v>1173.5744680851064</v>
      </c>
      <c r="J350" s="55">
        <v>-63.744468085106405</v>
      </c>
      <c r="K350" s="52"/>
      <c r="L350" s="52"/>
      <c r="M350" s="56">
        <f t="shared" si="10"/>
        <v>0</v>
      </c>
      <c r="N350" s="56">
        <f t="shared" si="10"/>
        <v>0</v>
      </c>
      <c r="O350" s="56">
        <f t="shared" si="11"/>
        <v>0</v>
      </c>
    </row>
    <row r="351" spans="1:16" x14ac:dyDescent="0.25">
      <c r="A351" s="52"/>
      <c r="B351" s="52"/>
      <c r="C351" s="53"/>
      <c r="D351" s="52"/>
      <c r="E351" s="52" t="s">
        <v>280</v>
      </c>
      <c r="F351" s="52">
        <v>12.47</v>
      </c>
      <c r="G351" s="54">
        <v>242</v>
      </c>
      <c r="H351" s="55">
        <v>3017.74</v>
      </c>
      <c r="I351" s="55">
        <v>2125.4095238095238</v>
      </c>
      <c r="J351" s="55">
        <v>892.33047619047625</v>
      </c>
      <c r="K351" s="52"/>
      <c r="L351" s="52"/>
      <c r="M351" s="56">
        <f t="shared" si="10"/>
        <v>0</v>
      </c>
      <c r="N351" s="56">
        <f t="shared" si="10"/>
        <v>0</v>
      </c>
      <c r="O351" s="56">
        <f t="shared" si="11"/>
        <v>0</v>
      </c>
    </row>
    <row r="352" spans="1:16" x14ac:dyDescent="0.25">
      <c r="A352" s="52"/>
      <c r="B352" s="52"/>
      <c r="C352" s="53"/>
      <c r="D352" s="52"/>
      <c r="E352" s="52" t="s">
        <v>281</v>
      </c>
      <c r="F352" s="52">
        <v>12.47</v>
      </c>
      <c r="G352" s="54">
        <v>52</v>
      </c>
      <c r="H352" s="55">
        <v>648.44000000000005</v>
      </c>
      <c r="I352" s="55">
        <v>549.46666666666658</v>
      </c>
      <c r="J352" s="55">
        <v>98.973333333333471</v>
      </c>
      <c r="K352" s="52"/>
      <c r="L352" s="52"/>
      <c r="M352" s="56">
        <f t="shared" si="10"/>
        <v>0</v>
      </c>
      <c r="N352" s="56">
        <f t="shared" si="10"/>
        <v>0</v>
      </c>
      <c r="O352" s="56">
        <f t="shared" si="11"/>
        <v>0</v>
      </c>
    </row>
    <row r="353" spans="1:16" x14ac:dyDescent="0.25">
      <c r="A353" s="52"/>
      <c r="B353" s="52"/>
      <c r="C353" s="53"/>
      <c r="D353" s="52"/>
      <c r="E353" s="52" t="s">
        <v>282</v>
      </c>
      <c r="F353" s="52">
        <v>12.47</v>
      </c>
      <c r="G353" s="54">
        <v>583</v>
      </c>
      <c r="H353" s="55">
        <v>7270.0099999999993</v>
      </c>
      <c r="I353" s="55">
        <v>5154.5072964257506</v>
      </c>
      <c r="J353" s="55">
        <v>2115.5027035742501</v>
      </c>
      <c r="K353" s="52"/>
      <c r="L353" s="52"/>
      <c r="M353" s="56">
        <f t="shared" si="10"/>
        <v>0</v>
      </c>
      <c r="N353" s="56">
        <f t="shared" si="10"/>
        <v>0</v>
      </c>
      <c r="O353" s="56">
        <f t="shared" si="11"/>
        <v>0</v>
      </c>
    </row>
    <row r="354" spans="1:16" x14ac:dyDescent="0.25">
      <c r="A354" s="52"/>
      <c r="B354" s="52"/>
      <c r="C354" s="53" t="s">
        <v>283</v>
      </c>
      <c r="D354" s="52" t="s">
        <v>275</v>
      </c>
      <c r="E354" s="52" t="s">
        <v>277</v>
      </c>
      <c r="F354" s="52">
        <v>12.92</v>
      </c>
      <c r="G354" s="54">
        <v>513</v>
      </c>
      <c r="H354" s="55">
        <v>6627.96</v>
      </c>
      <c r="I354" s="55">
        <v>7056.9904563014061</v>
      </c>
      <c r="J354" s="55">
        <v>-429.03045630140724</v>
      </c>
      <c r="K354" s="52"/>
      <c r="L354" s="52"/>
      <c r="M354" s="56">
        <f t="shared" si="10"/>
        <v>0</v>
      </c>
      <c r="N354" s="56">
        <f t="shared" si="10"/>
        <v>0</v>
      </c>
      <c r="O354" s="56">
        <f t="shared" si="11"/>
        <v>0</v>
      </c>
    </row>
    <row r="355" spans="1:16" x14ac:dyDescent="0.25">
      <c r="A355" s="52"/>
      <c r="B355" s="52"/>
      <c r="C355" s="53"/>
      <c r="D355" s="52"/>
      <c r="E355" s="52" t="s">
        <v>278</v>
      </c>
      <c r="F355" s="52">
        <v>12.47</v>
      </c>
      <c r="G355" s="54">
        <v>296</v>
      </c>
      <c r="H355" s="55">
        <v>3691.1200000000003</v>
      </c>
      <c r="I355" s="55">
        <v>3676.1284440422355</v>
      </c>
      <c r="J355" s="55">
        <v>14.991555957764319</v>
      </c>
      <c r="K355" s="52"/>
      <c r="L355" s="52"/>
      <c r="M355" s="56">
        <f t="shared" si="10"/>
        <v>0</v>
      </c>
      <c r="N355" s="56">
        <f t="shared" si="10"/>
        <v>0</v>
      </c>
      <c r="O355" s="56">
        <f t="shared" si="11"/>
        <v>0</v>
      </c>
    </row>
    <row r="356" spans="1:16" x14ac:dyDescent="0.25">
      <c r="A356" s="52"/>
      <c r="B356" s="52"/>
      <c r="C356" s="53"/>
      <c r="D356" s="52"/>
      <c r="E356" s="52" t="s">
        <v>280</v>
      </c>
      <c r="F356" s="52">
        <v>12.47</v>
      </c>
      <c r="G356" s="54">
        <v>313</v>
      </c>
      <c r="H356" s="55">
        <v>3903.11</v>
      </c>
      <c r="I356" s="55">
        <v>2954.3756345177667</v>
      </c>
      <c r="J356" s="55">
        <v>948.73436548223367</v>
      </c>
      <c r="K356" s="52"/>
      <c r="L356" s="52"/>
      <c r="M356" s="56">
        <f t="shared" si="10"/>
        <v>0</v>
      </c>
      <c r="N356" s="56">
        <f t="shared" si="10"/>
        <v>0</v>
      </c>
      <c r="O356" s="56">
        <f t="shared" si="11"/>
        <v>0</v>
      </c>
    </row>
    <row r="357" spans="1:16" x14ac:dyDescent="0.25">
      <c r="A357" s="52"/>
      <c r="B357" s="52"/>
      <c r="C357" s="53"/>
      <c r="D357" s="52"/>
      <c r="E357" s="52" t="s">
        <v>281</v>
      </c>
      <c r="F357" s="52">
        <v>12.47</v>
      </c>
      <c r="G357" s="54">
        <v>220</v>
      </c>
      <c r="H357" s="55">
        <v>2743.3999999999996</v>
      </c>
      <c r="I357" s="55">
        <v>1578.5634517766498</v>
      </c>
      <c r="J357" s="55">
        <v>1164.8365482233503</v>
      </c>
      <c r="K357" s="52"/>
      <c r="L357" s="52"/>
      <c r="M357" s="56">
        <f t="shared" si="10"/>
        <v>0</v>
      </c>
      <c r="N357" s="56">
        <f t="shared" si="10"/>
        <v>0</v>
      </c>
      <c r="O357" s="56">
        <f t="shared" si="11"/>
        <v>0</v>
      </c>
    </row>
    <row r="358" spans="1:16" x14ac:dyDescent="0.25">
      <c r="A358" s="52"/>
      <c r="B358" s="52"/>
      <c r="C358" s="53"/>
      <c r="D358" s="52"/>
      <c r="E358" s="52" t="s">
        <v>282</v>
      </c>
      <c r="F358" s="52">
        <v>12.47</v>
      </c>
      <c r="G358" s="54">
        <v>417</v>
      </c>
      <c r="H358" s="55">
        <v>5199.99</v>
      </c>
      <c r="I358" s="55">
        <v>3531.8810996563575</v>
      </c>
      <c r="J358" s="55">
        <v>1668.1089003436425</v>
      </c>
      <c r="K358" s="52"/>
      <c r="L358" s="52"/>
      <c r="M358" s="56">
        <f t="shared" si="10"/>
        <v>0</v>
      </c>
      <c r="N358" s="56">
        <f t="shared" si="10"/>
        <v>0</v>
      </c>
      <c r="O358" s="56">
        <f t="shared" si="11"/>
        <v>0</v>
      </c>
    </row>
    <row r="359" spans="1:16" x14ac:dyDescent="0.25">
      <c r="A359" s="52"/>
      <c r="B359" s="52"/>
      <c r="C359" s="53" t="s">
        <v>284</v>
      </c>
      <c r="D359" s="52" t="s">
        <v>275</v>
      </c>
      <c r="E359" s="52" t="s">
        <v>285</v>
      </c>
      <c r="F359" s="52">
        <v>15.94</v>
      </c>
      <c r="G359" s="54">
        <v>500</v>
      </c>
      <c r="H359" s="55">
        <v>7970</v>
      </c>
      <c r="I359" s="55">
        <v>2728.4687998405102</v>
      </c>
      <c r="J359" s="55">
        <v>5241.5312001594893</v>
      </c>
      <c r="K359" s="52"/>
      <c r="L359" s="52"/>
      <c r="M359" s="56">
        <f t="shared" si="10"/>
        <v>0</v>
      </c>
      <c r="N359" s="56">
        <f t="shared" si="10"/>
        <v>0</v>
      </c>
      <c r="O359" s="56">
        <f t="shared" si="11"/>
        <v>0</v>
      </c>
    </row>
    <row r="360" spans="1:16" x14ac:dyDescent="0.25">
      <c r="A360" s="52"/>
      <c r="B360" s="52"/>
      <c r="C360" s="53"/>
      <c r="D360" s="52"/>
      <c r="E360" s="52" t="s">
        <v>286</v>
      </c>
      <c r="F360" s="52">
        <v>15.94</v>
      </c>
      <c r="G360" s="54">
        <v>385</v>
      </c>
      <c r="H360" s="55">
        <v>6136.9</v>
      </c>
      <c r="I360" s="55">
        <v>2842.7826446280992</v>
      </c>
      <c r="J360" s="55">
        <v>3294.1173553719009</v>
      </c>
      <c r="K360" s="52"/>
      <c r="L360" s="52"/>
      <c r="M360" s="56">
        <f t="shared" si="10"/>
        <v>0</v>
      </c>
      <c r="N360" s="56">
        <f t="shared" si="10"/>
        <v>0</v>
      </c>
      <c r="O360" s="56">
        <f t="shared" si="11"/>
        <v>0</v>
      </c>
    </row>
    <row r="361" spans="1:16" x14ac:dyDescent="0.25">
      <c r="A361" s="52"/>
      <c r="B361" s="52"/>
      <c r="C361" s="53"/>
      <c r="D361" s="52"/>
      <c r="E361" s="52" t="s">
        <v>287</v>
      </c>
      <c r="F361" s="52">
        <v>15.960000000000003</v>
      </c>
      <c r="G361" s="54">
        <v>601</v>
      </c>
      <c r="H361" s="55">
        <v>9591.9600000000009</v>
      </c>
      <c r="I361" s="55">
        <v>3252.5156009859356</v>
      </c>
      <c r="J361" s="55">
        <v>6339.4443990140644</v>
      </c>
      <c r="K361" s="52"/>
      <c r="L361" s="52"/>
      <c r="M361" s="56">
        <f t="shared" si="10"/>
        <v>0</v>
      </c>
      <c r="N361" s="56">
        <f t="shared" si="10"/>
        <v>0</v>
      </c>
      <c r="O361" s="56">
        <f t="shared" si="11"/>
        <v>0</v>
      </c>
    </row>
    <row r="362" spans="1:16" x14ac:dyDescent="0.25">
      <c r="A362" s="52"/>
      <c r="B362" s="52"/>
      <c r="C362" s="53"/>
      <c r="D362" s="52"/>
      <c r="E362" s="52" t="s">
        <v>288</v>
      </c>
      <c r="F362" s="52">
        <v>15.1</v>
      </c>
      <c r="G362" s="54">
        <v>480</v>
      </c>
      <c r="H362" s="55">
        <v>7248</v>
      </c>
      <c r="I362" s="55">
        <v>4755</v>
      </c>
      <c r="J362" s="55">
        <v>2493</v>
      </c>
      <c r="K362" s="52"/>
      <c r="L362" s="52"/>
      <c r="M362" s="56">
        <f t="shared" si="10"/>
        <v>0</v>
      </c>
      <c r="N362" s="56">
        <f t="shared" si="10"/>
        <v>0</v>
      </c>
      <c r="O362" s="56">
        <f t="shared" si="11"/>
        <v>0</v>
      </c>
    </row>
    <row r="363" spans="1:16" s="6" customFormat="1" x14ac:dyDescent="0.25">
      <c r="A363" s="57"/>
      <c r="B363" s="57" t="s">
        <v>289</v>
      </c>
      <c r="C363" s="58"/>
      <c r="D363" s="57"/>
      <c r="E363" s="57"/>
      <c r="F363" s="57"/>
      <c r="G363" s="59">
        <v>5793</v>
      </c>
      <c r="H363" s="60">
        <v>79116.399999999994</v>
      </c>
      <c r="I363" s="60">
        <v>53874.812825526657</v>
      </c>
      <c r="J363" s="60">
        <v>25241.587174473352</v>
      </c>
      <c r="K363" s="57"/>
      <c r="L363" s="57"/>
      <c r="M363" s="61"/>
      <c r="N363" s="61"/>
      <c r="O363" s="61">
        <f>SUM(O347:O362)</f>
        <v>0</v>
      </c>
      <c r="P363"/>
    </row>
    <row r="364" spans="1:16" x14ac:dyDescent="0.25">
      <c r="A364" s="52"/>
      <c r="B364" s="52" t="s">
        <v>290</v>
      </c>
      <c r="C364" s="53" t="s">
        <v>115</v>
      </c>
      <c r="D364" s="52" t="s">
        <v>275</v>
      </c>
      <c r="E364" s="52" t="s">
        <v>291</v>
      </c>
      <c r="F364" s="52">
        <v>12.47</v>
      </c>
      <c r="G364" s="54">
        <v>42</v>
      </c>
      <c r="H364" s="55">
        <v>523.74</v>
      </c>
      <c r="I364" s="55">
        <v>399.14528462192015</v>
      </c>
      <c r="J364" s="55">
        <v>124.59471537807988</v>
      </c>
      <c r="K364" s="52"/>
      <c r="L364" s="52"/>
      <c r="M364" s="56">
        <f t="shared" si="10"/>
        <v>0</v>
      </c>
      <c r="N364" s="56">
        <f t="shared" si="10"/>
        <v>0</v>
      </c>
      <c r="O364" s="56">
        <f t="shared" si="11"/>
        <v>0</v>
      </c>
    </row>
    <row r="365" spans="1:16" x14ac:dyDescent="0.25">
      <c r="A365" s="52"/>
      <c r="B365" s="52"/>
      <c r="C365" s="53"/>
      <c r="D365" s="52"/>
      <c r="E365" s="52" t="s">
        <v>292</v>
      </c>
      <c r="F365" s="52">
        <v>12.47</v>
      </c>
      <c r="G365" s="54">
        <v>95</v>
      </c>
      <c r="H365" s="55">
        <v>1184.6500000000003</v>
      </c>
      <c r="I365" s="55">
        <v>926.74802160039258</v>
      </c>
      <c r="J365" s="55">
        <v>257.90197839960734</v>
      </c>
      <c r="K365" s="52"/>
      <c r="L365" s="52"/>
      <c r="M365" s="56">
        <f t="shared" si="10"/>
        <v>0</v>
      </c>
      <c r="N365" s="56">
        <f t="shared" si="10"/>
        <v>0</v>
      </c>
      <c r="O365" s="56">
        <f t="shared" si="11"/>
        <v>0</v>
      </c>
    </row>
    <row r="366" spans="1:16" x14ac:dyDescent="0.25">
      <c r="A366" s="52"/>
      <c r="B366" s="52"/>
      <c r="C366" s="53" t="s">
        <v>283</v>
      </c>
      <c r="D366" s="52" t="s">
        <v>275</v>
      </c>
      <c r="E366" s="52" t="s">
        <v>291</v>
      </c>
      <c r="F366" s="52">
        <v>12.47</v>
      </c>
      <c r="G366" s="54">
        <v>98</v>
      </c>
      <c r="H366" s="55">
        <v>1222.06</v>
      </c>
      <c r="I366" s="55">
        <v>951</v>
      </c>
      <c r="J366" s="55">
        <v>271.05999999999995</v>
      </c>
      <c r="K366" s="52"/>
      <c r="L366" s="52"/>
      <c r="M366" s="56">
        <f t="shared" si="10"/>
        <v>0</v>
      </c>
      <c r="N366" s="56">
        <f t="shared" si="10"/>
        <v>0</v>
      </c>
      <c r="O366" s="56">
        <f t="shared" si="11"/>
        <v>0</v>
      </c>
    </row>
    <row r="367" spans="1:16" x14ac:dyDescent="0.25">
      <c r="A367" s="52"/>
      <c r="B367" s="52"/>
      <c r="C367" s="53"/>
      <c r="D367" s="52"/>
      <c r="E367" s="52" t="s">
        <v>292</v>
      </c>
      <c r="F367" s="52">
        <v>12.47</v>
      </c>
      <c r="G367" s="54">
        <v>100</v>
      </c>
      <c r="H367" s="55">
        <v>1247</v>
      </c>
      <c r="I367" s="55">
        <v>951</v>
      </c>
      <c r="J367" s="55">
        <v>296</v>
      </c>
      <c r="K367" s="52"/>
      <c r="L367" s="52"/>
      <c r="M367" s="56">
        <f t="shared" si="10"/>
        <v>0</v>
      </c>
      <c r="N367" s="56">
        <f t="shared" si="10"/>
        <v>0</v>
      </c>
      <c r="O367" s="56">
        <f t="shared" si="11"/>
        <v>0</v>
      </c>
    </row>
    <row r="368" spans="1:16" x14ac:dyDescent="0.25">
      <c r="A368" s="52"/>
      <c r="B368" s="52"/>
      <c r="C368" s="53" t="s">
        <v>284</v>
      </c>
      <c r="D368" s="52" t="s">
        <v>275</v>
      </c>
      <c r="E368" s="52" t="s">
        <v>293</v>
      </c>
      <c r="F368" s="52">
        <v>15.94</v>
      </c>
      <c r="G368" s="54">
        <v>300</v>
      </c>
      <c r="H368" s="55">
        <v>4782.0000000000009</v>
      </c>
      <c r="I368" s="55">
        <v>2458.5511363636365</v>
      </c>
      <c r="J368" s="55">
        <v>2323.448863636364</v>
      </c>
      <c r="K368" s="52"/>
      <c r="L368" s="52"/>
      <c r="M368" s="56">
        <f t="shared" si="10"/>
        <v>0</v>
      </c>
      <c r="N368" s="56">
        <f t="shared" si="10"/>
        <v>0</v>
      </c>
      <c r="O368" s="56">
        <f t="shared" si="11"/>
        <v>0</v>
      </c>
    </row>
    <row r="369" spans="1:16" x14ac:dyDescent="0.25">
      <c r="A369" s="52"/>
      <c r="B369" s="52"/>
      <c r="C369" s="53"/>
      <c r="D369" s="52"/>
      <c r="E369" s="52" t="s">
        <v>294</v>
      </c>
      <c r="F369" s="52">
        <v>17.02</v>
      </c>
      <c r="G369" s="54">
        <v>542</v>
      </c>
      <c r="H369" s="55">
        <v>9224.84</v>
      </c>
      <c r="I369" s="55">
        <v>4884.681818181818</v>
      </c>
      <c r="J369" s="55">
        <v>4340.1581818181821</v>
      </c>
      <c r="K369" s="52"/>
      <c r="L369" s="52"/>
      <c r="M369" s="56">
        <f t="shared" si="10"/>
        <v>0</v>
      </c>
      <c r="N369" s="56">
        <f t="shared" si="10"/>
        <v>0</v>
      </c>
      <c r="O369" s="56">
        <f t="shared" si="11"/>
        <v>0</v>
      </c>
    </row>
    <row r="370" spans="1:16" s="6" customFormat="1" x14ac:dyDescent="0.25">
      <c r="A370" s="57"/>
      <c r="B370" s="57" t="s">
        <v>295</v>
      </c>
      <c r="C370" s="58"/>
      <c r="D370" s="57"/>
      <c r="E370" s="57"/>
      <c r="F370" s="57"/>
      <c r="G370" s="59">
        <v>1177</v>
      </c>
      <c r="H370" s="60">
        <v>18184.29</v>
      </c>
      <c r="I370" s="60">
        <v>10571.126260767767</v>
      </c>
      <c r="J370" s="60">
        <v>7613.1637392322336</v>
      </c>
      <c r="K370" s="57"/>
      <c r="L370" s="57"/>
      <c r="M370" s="61"/>
      <c r="N370" s="61"/>
      <c r="O370" s="61">
        <f>SUM(O364:O369)</f>
        <v>0</v>
      </c>
      <c r="P370"/>
    </row>
    <row r="371" spans="1:16" s="6" customFormat="1" x14ac:dyDescent="0.25">
      <c r="A371" s="47" t="s">
        <v>296</v>
      </c>
      <c r="B371" s="47"/>
      <c r="C371" s="48"/>
      <c r="D371" s="47"/>
      <c r="E371" s="47"/>
      <c r="F371" s="47"/>
      <c r="G371" s="49">
        <v>208202</v>
      </c>
      <c r="H371" s="50">
        <v>250639.88</v>
      </c>
      <c r="I371" s="50">
        <v>166202.93908629441</v>
      </c>
      <c r="J371" s="50">
        <v>84436.940913705592</v>
      </c>
      <c r="K371" s="47"/>
      <c r="L371" s="47"/>
      <c r="M371" s="51"/>
      <c r="N371" s="51"/>
      <c r="O371" s="51"/>
      <c r="P371"/>
    </row>
    <row r="372" spans="1:16" x14ac:dyDescent="0.25">
      <c r="A372" s="52" t="s">
        <v>14</v>
      </c>
      <c r="B372" s="52" t="s">
        <v>215</v>
      </c>
      <c r="C372" s="53" t="s">
        <v>76</v>
      </c>
      <c r="D372" s="52" t="s">
        <v>217</v>
      </c>
      <c r="E372" s="52" t="s">
        <v>297</v>
      </c>
      <c r="F372" s="52">
        <v>0.75</v>
      </c>
      <c r="G372" s="54">
        <v>4</v>
      </c>
      <c r="H372" s="55">
        <v>3</v>
      </c>
      <c r="I372" s="55">
        <v>1.7231384307846076</v>
      </c>
      <c r="J372" s="55">
        <v>1.2768615692153924</v>
      </c>
      <c r="K372" s="52"/>
      <c r="L372" s="52"/>
      <c r="M372" s="56">
        <f t="shared" si="10"/>
        <v>0</v>
      </c>
      <c r="N372" s="56">
        <f t="shared" si="10"/>
        <v>0</v>
      </c>
      <c r="O372" s="56">
        <f t="shared" si="11"/>
        <v>0</v>
      </c>
    </row>
    <row r="373" spans="1:16" x14ac:dyDescent="0.25">
      <c r="A373" s="52"/>
      <c r="B373" s="52"/>
      <c r="C373" s="53"/>
      <c r="D373" s="52"/>
      <c r="E373" s="52" t="s">
        <v>298</v>
      </c>
      <c r="F373" s="52">
        <v>0.76</v>
      </c>
      <c r="G373" s="54">
        <v>1596</v>
      </c>
      <c r="H373" s="55">
        <v>1212.96</v>
      </c>
      <c r="I373" s="55">
        <v>762.49682627426</v>
      </c>
      <c r="J373" s="55">
        <v>450.46317372573992</v>
      </c>
      <c r="K373" s="52"/>
      <c r="L373" s="52"/>
      <c r="M373" s="56">
        <f t="shared" si="10"/>
        <v>0</v>
      </c>
      <c r="N373" s="56">
        <f t="shared" si="10"/>
        <v>0</v>
      </c>
      <c r="O373" s="56">
        <f t="shared" si="11"/>
        <v>0</v>
      </c>
    </row>
    <row r="374" spans="1:16" x14ac:dyDescent="0.25">
      <c r="A374" s="52"/>
      <c r="B374" s="52"/>
      <c r="C374" s="53"/>
      <c r="D374" s="52"/>
      <c r="E374" s="52" t="s">
        <v>299</v>
      </c>
      <c r="F374" s="52">
        <v>0.82999999999999985</v>
      </c>
      <c r="G374" s="54">
        <v>7464</v>
      </c>
      <c r="H374" s="55">
        <v>6195.12</v>
      </c>
      <c r="I374" s="55">
        <v>3626.4434197763221</v>
      </c>
      <c r="J374" s="55">
        <v>2568.6765802236773</v>
      </c>
      <c r="K374" s="52"/>
      <c r="L374" s="52"/>
      <c r="M374" s="56">
        <f t="shared" si="10"/>
        <v>0</v>
      </c>
      <c r="N374" s="56">
        <f t="shared" si="10"/>
        <v>0</v>
      </c>
      <c r="O374" s="56">
        <f t="shared" si="11"/>
        <v>0</v>
      </c>
    </row>
    <row r="375" spans="1:16" x14ac:dyDescent="0.25">
      <c r="A375" s="52"/>
      <c r="B375" s="52"/>
      <c r="C375" s="53"/>
      <c r="D375" s="52"/>
      <c r="E375" s="52" t="s">
        <v>300</v>
      </c>
      <c r="F375" s="52">
        <v>0.75</v>
      </c>
      <c r="G375" s="54">
        <v>150</v>
      </c>
      <c r="H375" s="55">
        <v>112.5</v>
      </c>
      <c r="I375" s="55">
        <v>64.585414585414583</v>
      </c>
      <c r="J375" s="55">
        <v>47.914585414585417</v>
      </c>
      <c r="K375" s="52"/>
      <c r="L375" s="52"/>
      <c r="M375" s="56">
        <f t="shared" si="10"/>
        <v>0</v>
      </c>
      <c r="N375" s="56">
        <f t="shared" si="10"/>
        <v>0</v>
      </c>
      <c r="O375" s="56">
        <f t="shared" si="11"/>
        <v>0</v>
      </c>
    </row>
    <row r="376" spans="1:16" x14ac:dyDescent="0.25">
      <c r="A376" s="52"/>
      <c r="B376" s="52"/>
      <c r="C376" s="53"/>
      <c r="D376" s="52"/>
      <c r="E376" s="52" t="s">
        <v>301</v>
      </c>
      <c r="F376" s="52">
        <v>0.83</v>
      </c>
      <c r="G376" s="54">
        <v>243</v>
      </c>
      <c r="H376" s="55">
        <v>201.69</v>
      </c>
      <c r="I376" s="55">
        <v>121.22483312529795</v>
      </c>
      <c r="J376" s="55">
        <v>80.465166874702049</v>
      </c>
      <c r="K376" s="52"/>
      <c r="L376" s="52"/>
      <c r="M376" s="56">
        <f t="shared" si="10"/>
        <v>0</v>
      </c>
      <c r="N376" s="56">
        <f t="shared" si="10"/>
        <v>0</v>
      </c>
      <c r="O376" s="56">
        <f t="shared" si="11"/>
        <v>0</v>
      </c>
    </row>
    <row r="377" spans="1:16" x14ac:dyDescent="0.25">
      <c r="A377" s="52"/>
      <c r="B377" s="52"/>
      <c r="C377" s="53"/>
      <c r="D377" s="52"/>
      <c r="E377" s="52" t="s">
        <v>302</v>
      </c>
      <c r="F377" s="52">
        <v>0.65</v>
      </c>
      <c r="G377" s="54">
        <v>6926</v>
      </c>
      <c r="H377" s="55">
        <v>4501.8999999999996</v>
      </c>
      <c r="I377" s="55">
        <v>3580.463388849314</v>
      </c>
      <c r="J377" s="55">
        <v>921.43661115068585</v>
      </c>
      <c r="K377" s="52"/>
      <c r="L377" s="52"/>
      <c r="M377" s="56">
        <f t="shared" si="10"/>
        <v>0</v>
      </c>
      <c r="N377" s="56">
        <f t="shared" si="10"/>
        <v>0</v>
      </c>
      <c r="O377" s="56">
        <f t="shared" si="11"/>
        <v>0</v>
      </c>
    </row>
    <row r="378" spans="1:16" x14ac:dyDescent="0.25">
      <c r="A378" s="52"/>
      <c r="B378" s="52"/>
      <c r="C378" s="53"/>
      <c r="D378" s="52"/>
      <c r="E378" s="52" t="s">
        <v>303</v>
      </c>
      <c r="F378" s="52">
        <v>0.65</v>
      </c>
      <c r="G378" s="54">
        <v>320</v>
      </c>
      <c r="H378" s="55">
        <v>208</v>
      </c>
      <c r="I378" s="55">
        <v>141.08453193857397</v>
      </c>
      <c r="J378" s="55">
        <v>66.91546806142604</v>
      </c>
      <c r="K378" s="52"/>
      <c r="L378" s="52"/>
      <c r="M378" s="56">
        <f t="shared" si="10"/>
        <v>0</v>
      </c>
      <c r="N378" s="56">
        <f t="shared" si="10"/>
        <v>0</v>
      </c>
      <c r="O378" s="56">
        <f t="shared" si="11"/>
        <v>0</v>
      </c>
    </row>
    <row r="379" spans="1:16" x14ac:dyDescent="0.25">
      <c r="A379" s="52"/>
      <c r="B379" s="52"/>
      <c r="C379" s="53"/>
      <c r="D379" s="52"/>
      <c r="E379" s="52" t="s">
        <v>304</v>
      </c>
      <c r="F379" s="52">
        <v>0.65</v>
      </c>
      <c r="G379" s="54">
        <v>3116</v>
      </c>
      <c r="H379" s="55">
        <v>2025.4</v>
      </c>
      <c r="I379" s="55">
        <v>1375.5263755760668</v>
      </c>
      <c r="J379" s="55">
        <v>649.87362442393328</v>
      </c>
      <c r="K379" s="52"/>
      <c r="L379" s="52"/>
      <c r="M379" s="56">
        <f t="shared" si="10"/>
        <v>0</v>
      </c>
      <c r="N379" s="56">
        <f t="shared" si="10"/>
        <v>0</v>
      </c>
      <c r="O379" s="56">
        <f t="shared" si="11"/>
        <v>0</v>
      </c>
    </row>
    <row r="380" spans="1:16" x14ac:dyDescent="0.25">
      <c r="A380" s="52"/>
      <c r="B380" s="52"/>
      <c r="C380" s="53"/>
      <c r="D380" s="52"/>
      <c r="E380" s="52" t="s">
        <v>305</v>
      </c>
      <c r="F380" s="52">
        <v>0.65</v>
      </c>
      <c r="G380" s="54">
        <v>45</v>
      </c>
      <c r="H380" s="55">
        <v>29.25</v>
      </c>
      <c r="I380" s="55">
        <v>19.375624375624376</v>
      </c>
      <c r="J380" s="55">
        <v>9.8743756243756238</v>
      </c>
      <c r="K380" s="52"/>
      <c r="L380" s="52"/>
      <c r="M380" s="56">
        <f t="shared" si="10"/>
        <v>0</v>
      </c>
      <c r="N380" s="56">
        <f t="shared" si="10"/>
        <v>0</v>
      </c>
      <c r="O380" s="56">
        <f t="shared" si="11"/>
        <v>0</v>
      </c>
    </row>
    <row r="381" spans="1:16" x14ac:dyDescent="0.25">
      <c r="A381" s="52"/>
      <c r="B381" s="52"/>
      <c r="C381" s="53"/>
      <c r="D381" s="52"/>
      <c r="E381" s="52" t="s">
        <v>306</v>
      </c>
      <c r="F381" s="52">
        <v>0.65</v>
      </c>
      <c r="G381" s="54">
        <v>5587</v>
      </c>
      <c r="H381" s="55">
        <v>3631.5499999999997</v>
      </c>
      <c r="I381" s="55">
        <v>2436.7776377639352</v>
      </c>
      <c r="J381" s="55">
        <v>1194.7723622360645</v>
      </c>
      <c r="K381" s="52"/>
      <c r="L381" s="52"/>
      <c r="M381" s="56">
        <f t="shared" si="10"/>
        <v>0</v>
      </c>
      <c r="N381" s="56">
        <f t="shared" si="10"/>
        <v>0</v>
      </c>
      <c r="O381" s="56">
        <f t="shared" si="11"/>
        <v>0</v>
      </c>
    </row>
    <row r="382" spans="1:16" x14ac:dyDescent="0.25">
      <c r="A382" s="52"/>
      <c r="B382" s="52"/>
      <c r="C382" s="53"/>
      <c r="D382" s="52"/>
      <c r="E382" s="52" t="s">
        <v>307</v>
      </c>
      <c r="F382" s="52">
        <v>0.65</v>
      </c>
      <c r="G382" s="54">
        <v>2499</v>
      </c>
      <c r="H382" s="55">
        <v>1624.35</v>
      </c>
      <c r="I382" s="55">
        <v>1143.009111544367</v>
      </c>
      <c r="J382" s="55">
        <v>481.34088845563309</v>
      </c>
      <c r="K382" s="52"/>
      <c r="L382" s="52"/>
      <c r="M382" s="56">
        <f t="shared" si="10"/>
        <v>0</v>
      </c>
      <c r="N382" s="56">
        <f t="shared" si="10"/>
        <v>0</v>
      </c>
      <c r="O382" s="56">
        <f t="shared" si="11"/>
        <v>0</v>
      </c>
    </row>
    <row r="383" spans="1:16" x14ac:dyDescent="0.25">
      <c r="A383" s="52"/>
      <c r="B383" s="52"/>
      <c r="C383" s="53"/>
      <c r="D383" s="52"/>
      <c r="E383" s="52" t="s">
        <v>308</v>
      </c>
      <c r="F383" s="52">
        <v>0.69999999999999984</v>
      </c>
      <c r="G383" s="54">
        <v>573</v>
      </c>
      <c r="H383" s="55">
        <v>401.09999999999997</v>
      </c>
      <c r="I383" s="55">
        <v>276.70343664461632</v>
      </c>
      <c r="J383" s="55">
        <v>124.39656335538365</v>
      </c>
      <c r="K383" s="52"/>
      <c r="L383" s="52"/>
      <c r="M383" s="56">
        <f t="shared" si="10"/>
        <v>0</v>
      </c>
      <c r="N383" s="56">
        <f t="shared" si="10"/>
        <v>0</v>
      </c>
      <c r="O383" s="56">
        <f t="shared" si="11"/>
        <v>0</v>
      </c>
    </row>
    <row r="384" spans="1:16" x14ac:dyDescent="0.25">
      <c r="A384" s="52"/>
      <c r="B384" s="52"/>
      <c r="C384" s="53"/>
      <c r="D384" s="52"/>
      <c r="E384" s="52" t="s">
        <v>309</v>
      </c>
      <c r="F384" s="52">
        <v>0.65</v>
      </c>
      <c r="G384" s="54">
        <v>650</v>
      </c>
      <c r="H384" s="55">
        <v>422.5</v>
      </c>
      <c r="I384" s="55">
        <v>326.53548663241304</v>
      </c>
      <c r="J384" s="55">
        <v>95.964513367586932</v>
      </c>
      <c r="K384" s="52"/>
      <c r="L384" s="52"/>
      <c r="M384" s="56">
        <f t="shared" si="10"/>
        <v>0</v>
      </c>
      <c r="N384" s="56">
        <f t="shared" si="10"/>
        <v>0</v>
      </c>
      <c r="O384" s="56">
        <f t="shared" si="11"/>
        <v>0</v>
      </c>
    </row>
    <row r="385" spans="1:15" x14ac:dyDescent="0.25">
      <c r="A385" s="52"/>
      <c r="B385" s="52"/>
      <c r="C385" s="53"/>
      <c r="D385" s="52"/>
      <c r="E385" s="52" t="s">
        <v>310</v>
      </c>
      <c r="F385" s="52">
        <v>0.70000000000000007</v>
      </c>
      <c r="G385" s="54">
        <v>11764</v>
      </c>
      <c r="H385" s="55">
        <v>8234.7999999999993</v>
      </c>
      <c r="I385" s="55">
        <v>5048.4383868706227</v>
      </c>
      <c r="J385" s="55">
        <v>3186.3616131293779</v>
      </c>
      <c r="K385" s="52"/>
      <c r="L385" s="52"/>
      <c r="M385" s="56">
        <f t="shared" si="10"/>
        <v>0</v>
      </c>
      <c r="N385" s="56">
        <f t="shared" si="10"/>
        <v>0</v>
      </c>
      <c r="O385" s="56">
        <f t="shared" si="11"/>
        <v>0</v>
      </c>
    </row>
    <row r="386" spans="1:15" x14ac:dyDescent="0.25">
      <c r="A386" s="52"/>
      <c r="B386" s="52"/>
      <c r="C386" s="53"/>
      <c r="D386" s="52"/>
      <c r="E386" s="52" t="s">
        <v>311</v>
      </c>
      <c r="F386" s="52">
        <v>0.65</v>
      </c>
      <c r="G386" s="54">
        <v>92</v>
      </c>
      <c r="H386" s="55">
        <v>59.8</v>
      </c>
      <c r="I386" s="55">
        <v>39.612387612387607</v>
      </c>
      <c r="J386" s="55">
        <v>20.18761238761239</v>
      </c>
      <c r="K386" s="52"/>
      <c r="L386" s="52"/>
      <c r="M386" s="56">
        <f t="shared" si="10"/>
        <v>0</v>
      </c>
      <c r="N386" s="56">
        <f t="shared" si="10"/>
        <v>0</v>
      </c>
      <c r="O386" s="56">
        <f t="shared" si="11"/>
        <v>0</v>
      </c>
    </row>
    <row r="387" spans="1:15" x14ac:dyDescent="0.25">
      <c r="A387" s="52"/>
      <c r="B387" s="52"/>
      <c r="C387" s="53" t="s">
        <v>175</v>
      </c>
      <c r="D387" s="52" t="s">
        <v>217</v>
      </c>
      <c r="E387" s="52" t="s">
        <v>312</v>
      </c>
      <c r="F387" s="52">
        <v>0.8</v>
      </c>
      <c r="G387" s="54">
        <v>1536</v>
      </c>
      <c r="H387" s="55">
        <v>1228.8</v>
      </c>
      <c r="I387" s="55">
        <v>759.31330633769653</v>
      </c>
      <c r="J387" s="55">
        <v>469.48669366230348</v>
      </c>
      <c r="K387" s="52"/>
      <c r="L387" s="52"/>
      <c r="M387" s="56">
        <f t="shared" si="10"/>
        <v>0</v>
      </c>
      <c r="N387" s="56">
        <f t="shared" si="10"/>
        <v>0</v>
      </c>
      <c r="O387" s="56">
        <f t="shared" si="11"/>
        <v>0</v>
      </c>
    </row>
    <row r="388" spans="1:15" x14ac:dyDescent="0.25">
      <c r="A388" s="52"/>
      <c r="B388" s="52"/>
      <c r="C388" s="53"/>
      <c r="D388" s="52"/>
      <c r="E388" s="52" t="s">
        <v>313</v>
      </c>
      <c r="F388" s="52">
        <v>0.80000000000000016</v>
      </c>
      <c r="G388" s="54">
        <v>906</v>
      </c>
      <c r="H388" s="55">
        <v>724.8</v>
      </c>
      <c r="I388" s="55">
        <v>474.56286596176591</v>
      </c>
      <c r="J388" s="55">
        <v>250.23713403823413</v>
      </c>
      <c r="K388" s="52"/>
      <c r="L388" s="52"/>
      <c r="M388" s="56">
        <f t="shared" si="10"/>
        <v>0</v>
      </c>
      <c r="N388" s="56">
        <f t="shared" si="10"/>
        <v>0</v>
      </c>
      <c r="O388" s="56">
        <f t="shared" si="11"/>
        <v>0</v>
      </c>
    </row>
    <row r="389" spans="1:15" x14ac:dyDescent="0.25">
      <c r="A389" s="52"/>
      <c r="B389" s="52"/>
      <c r="C389" s="53"/>
      <c r="D389" s="52"/>
      <c r="E389" s="52" t="s">
        <v>314</v>
      </c>
      <c r="F389" s="52">
        <v>0.93</v>
      </c>
      <c r="G389" s="54">
        <v>269</v>
      </c>
      <c r="H389" s="55">
        <v>250.17</v>
      </c>
      <c r="I389" s="55">
        <v>138.38241605241603</v>
      </c>
      <c r="J389" s="55">
        <v>111.78758394758395</v>
      </c>
      <c r="K389" s="52"/>
      <c r="L389" s="52"/>
      <c r="M389" s="56">
        <f t="shared" si="10"/>
        <v>0</v>
      </c>
      <c r="N389" s="56">
        <f t="shared" si="10"/>
        <v>0</v>
      </c>
      <c r="O389" s="56">
        <f t="shared" si="11"/>
        <v>0</v>
      </c>
    </row>
    <row r="390" spans="1:15" x14ac:dyDescent="0.25">
      <c r="A390" s="52"/>
      <c r="B390" s="52"/>
      <c r="C390" s="53"/>
      <c r="D390" s="52"/>
      <c r="E390" s="52" t="s">
        <v>315</v>
      </c>
      <c r="F390" s="52">
        <v>0.93</v>
      </c>
      <c r="G390" s="54">
        <v>1029</v>
      </c>
      <c r="H390" s="55">
        <v>956.97</v>
      </c>
      <c r="I390" s="55">
        <v>475.62456353423408</v>
      </c>
      <c r="J390" s="55">
        <v>481.34543646576594</v>
      </c>
      <c r="K390" s="52"/>
      <c r="L390" s="52"/>
      <c r="M390" s="56">
        <f t="shared" ref="M390:N453" si="12">$G390*K390</f>
        <v>0</v>
      </c>
      <c r="N390" s="56">
        <f t="shared" si="12"/>
        <v>0</v>
      </c>
      <c r="O390" s="56">
        <f t="shared" ref="O390:O453" si="13">M390+N390</f>
        <v>0</v>
      </c>
    </row>
    <row r="391" spans="1:15" x14ac:dyDescent="0.25">
      <c r="A391" s="52"/>
      <c r="B391" s="52"/>
      <c r="C391" s="53"/>
      <c r="D391" s="52"/>
      <c r="E391" s="52" t="s">
        <v>316</v>
      </c>
      <c r="F391" s="52">
        <v>0.79</v>
      </c>
      <c r="G391" s="54">
        <v>1429</v>
      </c>
      <c r="H391" s="55">
        <v>1128.9099999999999</v>
      </c>
      <c r="I391" s="55">
        <v>686.66437563614363</v>
      </c>
      <c r="J391" s="55">
        <v>442.24562436385645</v>
      </c>
      <c r="K391" s="52"/>
      <c r="L391" s="52"/>
      <c r="M391" s="56">
        <f t="shared" si="12"/>
        <v>0</v>
      </c>
      <c r="N391" s="56">
        <f t="shared" si="12"/>
        <v>0</v>
      </c>
      <c r="O391" s="56">
        <f t="shared" si="13"/>
        <v>0</v>
      </c>
    </row>
    <row r="392" spans="1:15" x14ac:dyDescent="0.25">
      <c r="A392" s="52"/>
      <c r="B392" s="52"/>
      <c r="C392" s="53"/>
      <c r="D392" s="52"/>
      <c r="E392" s="52" t="s">
        <v>317</v>
      </c>
      <c r="F392" s="52">
        <v>0.77</v>
      </c>
      <c r="G392" s="54">
        <v>206</v>
      </c>
      <c r="H392" s="55">
        <v>158.62</v>
      </c>
      <c r="I392" s="55">
        <v>89.981128201427936</v>
      </c>
      <c r="J392" s="55">
        <v>68.638871798572069</v>
      </c>
      <c r="K392" s="52"/>
      <c r="L392" s="52"/>
      <c r="M392" s="56">
        <f t="shared" si="12"/>
        <v>0</v>
      </c>
      <c r="N392" s="56">
        <f t="shared" si="12"/>
        <v>0</v>
      </c>
      <c r="O392" s="56">
        <f t="shared" si="13"/>
        <v>0</v>
      </c>
    </row>
    <row r="393" spans="1:15" x14ac:dyDescent="0.25">
      <c r="A393" s="52"/>
      <c r="B393" s="52"/>
      <c r="C393" s="53"/>
      <c r="D393" s="52"/>
      <c r="E393" s="52" t="s">
        <v>318</v>
      </c>
      <c r="F393" s="52">
        <v>0.8</v>
      </c>
      <c r="G393" s="54">
        <v>63</v>
      </c>
      <c r="H393" s="55">
        <v>50.4</v>
      </c>
      <c r="I393" s="55">
        <v>35.041732743196164</v>
      </c>
      <c r="J393" s="55">
        <v>15.358267256803838</v>
      </c>
      <c r="K393" s="52"/>
      <c r="L393" s="52"/>
      <c r="M393" s="56">
        <f t="shared" si="12"/>
        <v>0</v>
      </c>
      <c r="N393" s="56">
        <f t="shared" si="12"/>
        <v>0</v>
      </c>
      <c r="O393" s="56">
        <f t="shared" si="13"/>
        <v>0</v>
      </c>
    </row>
    <row r="394" spans="1:15" x14ac:dyDescent="0.25">
      <c r="A394" s="52"/>
      <c r="B394" s="52"/>
      <c r="C394" s="53"/>
      <c r="D394" s="52"/>
      <c r="E394" s="52" t="s">
        <v>301</v>
      </c>
      <c r="F394" s="52">
        <v>0.83</v>
      </c>
      <c r="G394" s="54">
        <v>1214</v>
      </c>
      <c r="H394" s="55">
        <v>1007.62</v>
      </c>
      <c r="I394" s="55">
        <v>551.64364786505007</v>
      </c>
      <c r="J394" s="55">
        <v>455.97635213494993</v>
      </c>
      <c r="K394" s="52"/>
      <c r="L394" s="52"/>
      <c r="M394" s="56">
        <f t="shared" si="12"/>
        <v>0</v>
      </c>
      <c r="N394" s="56">
        <f t="shared" si="12"/>
        <v>0</v>
      </c>
      <c r="O394" s="56">
        <f t="shared" si="13"/>
        <v>0</v>
      </c>
    </row>
    <row r="395" spans="1:15" x14ac:dyDescent="0.25">
      <c r="A395" s="52"/>
      <c r="B395" s="52"/>
      <c r="C395" s="53"/>
      <c r="D395" s="52"/>
      <c r="E395" s="52" t="s">
        <v>303</v>
      </c>
      <c r="F395" s="52">
        <v>0.65</v>
      </c>
      <c r="G395" s="54">
        <v>32</v>
      </c>
      <c r="H395" s="55">
        <v>20.8</v>
      </c>
      <c r="I395" s="55">
        <v>15.92609699769053</v>
      </c>
      <c r="J395" s="55">
        <v>4.8739030023094703</v>
      </c>
      <c r="K395" s="52"/>
      <c r="L395" s="52"/>
      <c r="M395" s="56">
        <f t="shared" si="12"/>
        <v>0</v>
      </c>
      <c r="N395" s="56">
        <f t="shared" si="12"/>
        <v>0</v>
      </c>
      <c r="O395" s="56">
        <f t="shared" si="13"/>
        <v>0</v>
      </c>
    </row>
    <row r="396" spans="1:15" x14ac:dyDescent="0.25">
      <c r="A396" s="52"/>
      <c r="B396" s="52"/>
      <c r="C396" s="53"/>
      <c r="D396" s="52"/>
      <c r="E396" s="52" t="s">
        <v>304</v>
      </c>
      <c r="F396" s="52">
        <v>0.65</v>
      </c>
      <c r="G396" s="54">
        <v>8599</v>
      </c>
      <c r="H396" s="55">
        <v>5589.35</v>
      </c>
      <c r="I396" s="55">
        <v>3780.0163126154234</v>
      </c>
      <c r="J396" s="55">
        <v>1809.3336873845767</v>
      </c>
      <c r="K396" s="52"/>
      <c r="L396" s="52"/>
      <c r="M396" s="56">
        <f t="shared" si="12"/>
        <v>0</v>
      </c>
      <c r="N396" s="56">
        <f t="shared" si="12"/>
        <v>0</v>
      </c>
      <c r="O396" s="56">
        <f t="shared" si="13"/>
        <v>0</v>
      </c>
    </row>
    <row r="397" spans="1:15" x14ac:dyDescent="0.25">
      <c r="A397" s="52"/>
      <c r="B397" s="52"/>
      <c r="C397" s="53"/>
      <c r="D397" s="52"/>
      <c r="E397" s="52" t="s">
        <v>319</v>
      </c>
      <c r="F397" s="52">
        <v>0.65</v>
      </c>
      <c r="G397" s="54">
        <v>11018</v>
      </c>
      <c r="H397" s="55">
        <v>7161.7</v>
      </c>
      <c r="I397" s="55">
        <v>5090.6814523482044</v>
      </c>
      <c r="J397" s="55">
        <v>2071.0185476517954</v>
      </c>
      <c r="K397" s="52"/>
      <c r="L397" s="52"/>
      <c r="M397" s="56">
        <f t="shared" si="12"/>
        <v>0</v>
      </c>
      <c r="N397" s="56">
        <f t="shared" si="12"/>
        <v>0</v>
      </c>
      <c r="O397" s="56">
        <f t="shared" si="13"/>
        <v>0</v>
      </c>
    </row>
    <row r="398" spans="1:15" x14ac:dyDescent="0.25">
      <c r="A398" s="52"/>
      <c r="B398" s="52"/>
      <c r="C398" s="53"/>
      <c r="D398" s="52"/>
      <c r="E398" s="52" t="s">
        <v>320</v>
      </c>
      <c r="F398" s="52">
        <v>0.8</v>
      </c>
      <c r="G398" s="54">
        <v>1515</v>
      </c>
      <c r="H398" s="55">
        <v>1212</v>
      </c>
      <c r="I398" s="55">
        <v>732.72604372665353</v>
      </c>
      <c r="J398" s="55">
        <v>479.27395627334653</v>
      </c>
      <c r="K398" s="52"/>
      <c r="L398" s="52"/>
      <c r="M398" s="56">
        <f t="shared" si="12"/>
        <v>0</v>
      </c>
      <c r="N398" s="56">
        <f t="shared" si="12"/>
        <v>0</v>
      </c>
      <c r="O398" s="56">
        <f t="shared" si="13"/>
        <v>0</v>
      </c>
    </row>
    <row r="399" spans="1:15" x14ac:dyDescent="0.25">
      <c r="A399" s="52"/>
      <c r="B399" s="52"/>
      <c r="C399" s="53"/>
      <c r="D399" s="52"/>
      <c r="E399" s="52" t="s">
        <v>321</v>
      </c>
      <c r="F399" s="52">
        <v>0.77</v>
      </c>
      <c r="G399" s="54">
        <v>549</v>
      </c>
      <c r="H399" s="55">
        <v>422.73</v>
      </c>
      <c r="I399" s="55">
        <v>262.10435636481287</v>
      </c>
      <c r="J399" s="55">
        <v>160.62564363518717</v>
      </c>
      <c r="K399" s="52"/>
      <c r="L399" s="52"/>
      <c r="M399" s="56">
        <f t="shared" si="12"/>
        <v>0</v>
      </c>
      <c r="N399" s="56">
        <f t="shared" si="12"/>
        <v>0</v>
      </c>
      <c r="O399" s="56">
        <f t="shared" si="13"/>
        <v>0</v>
      </c>
    </row>
    <row r="400" spans="1:15" x14ac:dyDescent="0.25">
      <c r="A400" s="52"/>
      <c r="B400" s="52"/>
      <c r="C400" s="53"/>
      <c r="D400" s="52"/>
      <c r="E400" s="52" t="s">
        <v>322</v>
      </c>
      <c r="F400" s="52">
        <v>0.7</v>
      </c>
      <c r="G400" s="54">
        <v>1642</v>
      </c>
      <c r="H400" s="55">
        <v>1149.4000000000001</v>
      </c>
      <c r="I400" s="55">
        <v>803.63486068111456</v>
      </c>
      <c r="J400" s="55">
        <v>345.76513931888547</v>
      </c>
      <c r="K400" s="52"/>
      <c r="L400" s="52"/>
      <c r="M400" s="56">
        <f t="shared" si="12"/>
        <v>0</v>
      </c>
      <c r="N400" s="56">
        <f t="shared" si="12"/>
        <v>0</v>
      </c>
      <c r="O400" s="56">
        <f t="shared" si="13"/>
        <v>0</v>
      </c>
    </row>
    <row r="401" spans="1:15" x14ac:dyDescent="0.25">
      <c r="A401" s="52"/>
      <c r="B401" s="52"/>
      <c r="C401" s="53"/>
      <c r="D401" s="52"/>
      <c r="E401" s="52" t="s">
        <v>323</v>
      </c>
      <c r="F401" s="52">
        <v>0.7</v>
      </c>
      <c r="G401" s="54">
        <v>4171</v>
      </c>
      <c r="H401" s="55">
        <v>2919.7000000000003</v>
      </c>
      <c r="I401" s="55">
        <v>1876.551559558806</v>
      </c>
      <c r="J401" s="55">
        <v>1043.1484404411938</v>
      </c>
      <c r="K401" s="52"/>
      <c r="L401" s="52"/>
      <c r="M401" s="56">
        <f t="shared" si="12"/>
        <v>0</v>
      </c>
      <c r="N401" s="56">
        <f t="shared" si="12"/>
        <v>0</v>
      </c>
      <c r="O401" s="56">
        <f t="shared" si="13"/>
        <v>0</v>
      </c>
    </row>
    <row r="402" spans="1:15" x14ac:dyDescent="0.25">
      <c r="A402" s="52"/>
      <c r="B402" s="52"/>
      <c r="C402" s="53"/>
      <c r="D402" s="52"/>
      <c r="E402" s="52" t="s">
        <v>324</v>
      </c>
      <c r="F402" s="52">
        <v>0.8</v>
      </c>
      <c r="G402" s="54">
        <v>448</v>
      </c>
      <c r="H402" s="55">
        <v>358.4</v>
      </c>
      <c r="I402" s="55">
        <v>205.05935706695004</v>
      </c>
      <c r="J402" s="55">
        <v>153.34064293304993</v>
      </c>
      <c r="K402" s="52"/>
      <c r="L402" s="52"/>
      <c r="M402" s="56">
        <f t="shared" si="12"/>
        <v>0</v>
      </c>
      <c r="N402" s="56">
        <f t="shared" si="12"/>
        <v>0</v>
      </c>
      <c r="O402" s="56">
        <f t="shared" si="13"/>
        <v>0</v>
      </c>
    </row>
    <row r="403" spans="1:15" x14ac:dyDescent="0.25">
      <c r="A403" s="52"/>
      <c r="B403" s="52"/>
      <c r="C403" s="53"/>
      <c r="D403" s="52"/>
      <c r="E403" s="52" t="s">
        <v>325</v>
      </c>
      <c r="F403" s="52">
        <v>0.77</v>
      </c>
      <c r="G403" s="54">
        <v>295</v>
      </c>
      <c r="H403" s="55">
        <v>227.15</v>
      </c>
      <c r="I403" s="55">
        <v>135.68424671469995</v>
      </c>
      <c r="J403" s="55">
        <v>91.465753285300053</v>
      </c>
      <c r="K403" s="52"/>
      <c r="L403" s="52"/>
      <c r="M403" s="56">
        <f t="shared" si="12"/>
        <v>0</v>
      </c>
      <c r="N403" s="56">
        <f t="shared" si="12"/>
        <v>0</v>
      </c>
      <c r="O403" s="56">
        <f t="shared" si="13"/>
        <v>0</v>
      </c>
    </row>
    <row r="404" spans="1:15" x14ac:dyDescent="0.25">
      <c r="A404" s="52"/>
      <c r="B404" s="52"/>
      <c r="C404" s="53"/>
      <c r="D404" s="52"/>
      <c r="E404" s="52" t="s">
        <v>326</v>
      </c>
      <c r="F404" s="52">
        <v>0.82999999999999985</v>
      </c>
      <c r="G404" s="54">
        <v>2390</v>
      </c>
      <c r="H404" s="55">
        <v>1983.7000000000003</v>
      </c>
      <c r="I404" s="55">
        <v>1169.5446462308332</v>
      </c>
      <c r="J404" s="55">
        <v>814.15535376916694</v>
      </c>
      <c r="K404" s="52"/>
      <c r="L404" s="52"/>
      <c r="M404" s="56">
        <f t="shared" si="12"/>
        <v>0</v>
      </c>
      <c r="N404" s="56">
        <f t="shared" si="12"/>
        <v>0</v>
      </c>
      <c r="O404" s="56">
        <f t="shared" si="13"/>
        <v>0</v>
      </c>
    </row>
    <row r="405" spans="1:15" x14ac:dyDescent="0.25">
      <c r="A405" s="52"/>
      <c r="B405" s="52"/>
      <c r="C405" s="53"/>
      <c r="D405" s="52"/>
      <c r="E405" s="52" t="s">
        <v>327</v>
      </c>
      <c r="F405" s="52">
        <v>0.83</v>
      </c>
      <c r="G405" s="54">
        <v>688</v>
      </c>
      <c r="H405" s="55">
        <v>571.04</v>
      </c>
      <c r="I405" s="55">
        <v>324.90401386413475</v>
      </c>
      <c r="J405" s="55">
        <v>246.13598613586532</v>
      </c>
      <c r="K405" s="52"/>
      <c r="L405" s="52"/>
      <c r="M405" s="56">
        <f t="shared" si="12"/>
        <v>0</v>
      </c>
      <c r="N405" s="56">
        <f t="shared" si="12"/>
        <v>0</v>
      </c>
      <c r="O405" s="56">
        <f t="shared" si="13"/>
        <v>0</v>
      </c>
    </row>
    <row r="406" spans="1:15" x14ac:dyDescent="0.25">
      <c r="A406" s="52"/>
      <c r="B406" s="52"/>
      <c r="C406" s="53"/>
      <c r="D406" s="52"/>
      <c r="E406" s="52" t="s">
        <v>328</v>
      </c>
      <c r="F406" s="52">
        <v>0.83</v>
      </c>
      <c r="G406" s="54">
        <v>2524</v>
      </c>
      <c r="H406" s="55">
        <v>2094.92</v>
      </c>
      <c r="I406" s="55">
        <v>1343.0804841654128</v>
      </c>
      <c r="J406" s="55">
        <v>751.83951583458725</v>
      </c>
      <c r="K406" s="52"/>
      <c r="L406" s="52"/>
      <c r="M406" s="56">
        <f t="shared" si="12"/>
        <v>0</v>
      </c>
      <c r="N406" s="56">
        <f t="shared" si="12"/>
        <v>0</v>
      </c>
      <c r="O406" s="56">
        <f t="shared" si="13"/>
        <v>0</v>
      </c>
    </row>
    <row r="407" spans="1:15" x14ac:dyDescent="0.25">
      <c r="A407" s="52"/>
      <c r="B407" s="52"/>
      <c r="C407" s="53"/>
      <c r="D407" s="52"/>
      <c r="E407" s="52" t="s">
        <v>329</v>
      </c>
      <c r="F407" s="52">
        <v>0.84</v>
      </c>
      <c r="G407" s="54">
        <v>28</v>
      </c>
      <c r="H407" s="55">
        <v>23.52</v>
      </c>
      <c r="I407" s="55">
        <v>12.872533333333333</v>
      </c>
      <c r="J407" s="55">
        <v>10.647466666666666</v>
      </c>
      <c r="K407" s="52"/>
      <c r="L407" s="52"/>
      <c r="M407" s="56">
        <f t="shared" si="12"/>
        <v>0</v>
      </c>
      <c r="N407" s="56">
        <f t="shared" si="12"/>
        <v>0</v>
      </c>
      <c r="O407" s="56">
        <f t="shared" si="13"/>
        <v>0</v>
      </c>
    </row>
    <row r="408" spans="1:15" x14ac:dyDescent="0.25">
      <c r="A408" s="52"/>
      <c r="B408" s="52"/>
      <c r="C408" s="53" t="s">
        <v>257</v>
      </c>
      <c r="D408" s="52" t="s">
        <v>217</v>
      </c>
      <c r="E408" s="52" t="s">
        <v>312</v>
      </c>
      <c r="F408" s="52">
        <v>0.8</v>
      </c>
      <c r="G408" s="54">
        <v>1535</v>
      </c>
      <c r="H408" s="55">
        <v>1228</v>
      </c>
      <c r="I408" s="55">
        <v>758.74507957434776</v>
      </c>
      <c r="J408" s="55">
        <v>469.25492042565219</v>
      </c>
      <c r="K408" s="52"/>
      <c r="L408" s="52"/>
      <c r="M408" s="56">
        <f t="shared" si="12"/>
        <v>0</v>
      </c>
      <c r="N408" s="56">
        <f t="shared" si="12"/>
        <v>0</v>
      </c>
      <c r="O408" s="56">
        <f t="shared" si="13"/>
        <v>0</v>
      </c>
    </row>
    <row r="409" spans="1:15" x14ac:dyDescent="0.25">
      <c r="A409" s="52"/>
      <c r="B409" s="52"/>
      <c r="C409" s="53"/>
      <c r="D409" s="52"/>
      <c r="E409" s="52" t="s">
        <v>313</v>
      </c>
      <c r="F409" s="52">
        <v>0.80000000000000016</v>
      </c>
      <c r="G409" s="54">
        <v>908</v>
      </c>
      <c r="H409" s="55">
        <v>726.4</v>
      </c>
      <c r="I409" s="55">
        <v>475.6537916462413</v>
      </c>
      <c r="J409" s="55">
        <v>250.74620835375868</v>
      </c>
      <c r="K409" s="52"/>
      <c r="L409" s="52"/>
      <c r="M409" s="56">
        <f t="shared" si="12"/>
        <v>0</v>
      </c>
      <c r="N409" s="56">
        <f t="shared" si="12"/>
        <v>0</v>
      </c>
      <c r="O409" s="56">
        <f t="shared" si="13"/>
        <v>0</v>
      </c>
    </row>
    <row r="410" spans="1:15" x14ac:dyDescent="0.25">
      <c r="A410" s="52"/>
      <c r="B410" s="52"/>
      <c r="C410" s="53"/>
      <c r="D410" s="52"/>
      <c r="E410" s="52" t="s">
        <v>314</v>
      </c>
      <c r="F410" s="52">
        <v>0.93</v>
      </c>
      <c r="G410" s="54">
        <v>268</v>
      </c>
      <c r="H410" s="55">
        <v>249.23999999999998</v>
      </c>
      <c r="I410" s="55">
        <v>137.89705569205569</v>
      </c>
      <c r="J410" s="55">
        <v>111.34294430794431</v>
      </c>
      <c r="K410" s="52"/>
      <c r="L410" s="52"/>
      <c r="M410" s="56">
        <f t="shared" si="12"/>
        <v>0</v>
      </c>
      <c r="N410" s="56">
        <f t="shared" si="12"/>
        <v>0</v>
      </c>
      <c r="O410" s="56">
        <f t="shared" si="13"/>
        <v>0</v>
      </c>
    </row>
    <row r="411" spans="1:15" x14ac:dyDescent="0.25">
      <c r="A411" s="52"/>
      <c r="B411" s="52"/>
      <c r="C411" s="53"/>
      <c r="D411" s="52"/>
      <c r="E411" s="52" t="s">
        <v>315</v>
      </c>
      <c r="F411" s="52">
        <v>0.93</v>
      </c>
      <c r="G411" s="54">
        <v>1030</v>
      </c>
      <c r="H411" s="55">
        <v>957.9</v>
      </c>
      <c r="I411" s="55">
        <v>476.08258691361772</v>
      </c>
      <c r="J411" s="55">
        <v>481.81741308638226</v>
      </c>
      <c r="K411" s="52"/>
      <c r="L411" s="52"/>
      <c r="M411" s="56">
        <f t="shared" si="12"/>
        <v>0</v>
      </c>
      <c r="N411" s="56">
        <f t="shared" si="12"/>
        <v>0</v>
      </c>
      <c r="O411" s="56">
        <f t="shared" si="13"/>
        <v>0</v>
      </c>
    </row>
    <row r="412" spans="1:15" x14ac:dyDescent="0.25">
      <c r="A412" s="52"/>
      <c r="B412" s="52"/>
      <c r="C412" s="53"/>
      <c r="D412" s="52"/>
      <c r="E412" s="52" t="s">
        <v>316</v>
      </c>
      <c r="F412" s="52">
        <v>0.79</v>
      </c>
      <c r="G412" s="54">
        <v>745</v>
      </c>
      <c r="H412" s="55">
        <v>588.54999999999995</v>
      </c>
      <c r="I412" s="55">
        <v>375.81139473139478</v>
      </c>
      <c r="J412" s="55">
        <v>212.73860526860523</v>
      </c>
      <c r="K412" s="52"/>
      <c r="L412" s="52"/>
      <c r="M412" s="56">
        <f t="shared" si="12"/>
        <v>0</v>
      </c>
      <c r="N412" s="56">
        <f t="shared" si="12"/>
        <v>0</v>
      </c>
      <c r="O412" s="56">
        <f t="shared" si="13"/>
        <v>0</v>
      </c>
    </row>
    <row r="413" spans="1:15" x14ac:dyDescent="0.25">
      <c r="A413" s="52"/>
      <c r="B413" s="52"/>
      <c r="C413" s="53"/>
      <c r="D413" s="52"/>
      <c r="E413" s="52" t="s">
        <v>317</v>
      </c>
      <c r="F413" s="52">
        <v>0.77</v>
      </c>
      <c r="G413" s="54">
        <v>205</v>
      </c>
      <c r="H413" s="55">
        <v>157.85</v>
      </c>
      <c r="I413" s="55">
        <v>89.584522809815041</v>
      </c>
      <c r="J413" s="55">
        <v>68.265477190184953</v>
      </c>
      <c r="K413" s="52"/>
      <c r="L413" s="52"/>
      <c r="M413" s="56">
        <f t="shared" si="12"/>
        <v>0</v>
      </c>
      <c r="N413" s="56">
        <f t="shared" si="12"/>
        <v>0</v>
      </c>
      <c r="O413" s="56">
        <f t="shared" si="13"/>
        <v>0</v>
      </c>
    </row>
    <row r="414" spans="1:15" x14ac:dyDescent="0.25">
      <c r="A414" s="52"/>
      <c r="B414" s="52"/>
      <c r="C414" s="53"/>
      <c r="D414" s="52"/>
      <c r="E414" s="52" t="s">
        <v>318</v>
      </c>
      <c r="F414" s="52">
        <v>0.8</v>
      </c>
      <c r="G414" s="54">
        <v>63</v>
      </c>
      <c r="H414" s="55">
        <v>50.4</v>
      </c>
      <c r="I414" s="55">
        <v>35.041732743196164</v>
      </c>
      <c r="J414" s="55">
        <v>15.358267256803838</v>
      </c>
      <c r="K414" s="52"/>
      <c r="L414" s="52"/>
      <c r="M414" s="56">
        <f t="shared" si="12"/>
        <v>0</v>
      </c>
      <c r="N414" s="56">
        <f t="shared" si="12"/>
        <v>0</v>
      </c>
      <c r="O414" s="56">
        <f t="shared" si="13"/>
        <v>0</v>
      </c>
    </row>
    <row r="415" spans="1:15" x14ac:dyDescent="0.25">
      <c r="A415" s="52"/>
      <c r="B415" s="52"/>
      <c r="C415" s="53"/>
      <c r="D415" s="52"/>
      <c r="E415" s="52" t="s">
        <v>301</v>
      </c>
      <c r="F415" s="52">
        <v>0.83</v>
      </c>
      <c r="G415" s="54">
        <v>175</v>
      </c>
      <c r="H415" s="55">
        <v>145.25</v>
      </c>
      <c r="I415" s="55">
        <v>79.520295202952028</v>
      </c>
      <c r="J415" s="55">
        <v>65.729704797047972</v>
      </c>
      <c r="K415" s="52"/>
      <c r="L415" s="52"/>
      <c r="M415" s="56">
        <f t="shared" si="12"/>
        <v>0</v>
      </c>
      <c r="N415" s="56">
        <f t="shared" si="12"/>
        <v>0</v>
      </c>
      <c r="O415" s="56">
        <f t="shared" si="13"/>
        <v>0</v>
      </c>
    </row>
    <row r="416" spans="1:15" x14ac:dyDescent="0.25">
      <c r="A416" s="52"/>
      <c r="B416" s="52"/>
      <c r="C416" s="53"/>
      <c r="D416" s="52"/>
      <c r="E416" s="52" t="s">
        <v>303</v>
      </c>
      <c r="F416" s="52">
        <v>0.65</v>
      </c>
      <c r="G416" s="54">
        <v>33</v>
      </c>
      <c r="H416" s="55">
        <v>21.45</v>
      </c>
      <c r="I416" s="55">
        <v>16.414310444316214</v>
      </c>
      <c r="J416" s="55">
        <v>5.0356895556837848</v>
      </c>
      <c r="K416" s="52"/>
      <c r="L416" s="52"/>
      <c r="M416" s="56">
        <f t="shared" si="12"/>
        <v>0</v>
      </c>
      <c r="N416" s="56">
        <f t="shared" si="12"/>
        <v>0</v>
      </c>
      <c r="O416" s="56">
        <f t="shared" si="13"/>
        <v>0</v>
      </c>
    </row>
    <row r="417" spans="1:15" x14ac:dyDescent="0.25">
      <c r="A417" s="52"/>
      <c r="B417" s="52"/>
      <c r="C417" s="53"/>
      <c r="D417" s="52"/>
      <c r="E417" s="52" t="s">
        <v>304</v>
      </c>
      <c r="F417" s="52">
        <v>0.65000000000000013</v>
      </c>
      <c r="G417" s="54">
        <v>10320</v>
      </c>
      <c r="H417" s="55">
        <v>6708</v>
      </c>
      <c r="I417" s="55">
        <v>4562.3614784618794</v>
      </c>
      <c r="J417" s="55">
        <v>2145.638521538121</v>
      </c>
      <c r="K417" s="52"/>
      <c r="L417" s="52"/>
      <c r="M417" s="56">
        <f t="shared" si="12"/>
        <v>0</v>
      </c>
      <c r="N417" s="56">
        <f t="shared" si="12"/>
        <v>0</v>
      </c>
      <c r="O417" s="56">
        <f t="shared" si="13"/>
        <v>0</v>
      </c>
    </row>
    <row r="418" spans="1:15" x14ac:dyDescent="0.25">
      <c r="A418" s="52"/>
      <c r="B418" s="52"/>
      <c r="C418" s="53"/>
      <c r="D418" s="52"/>
      <c r="E418" s="52" t="s">
        <v>319</v>
      </c>
      <c r="F418" s="52">
        <v>0.65</v>
      </c>
      <c r="G418" s="54">
        <v>11019</v>
      </c>
      <c r="H418" s="55">
        <v>7162.3499999999995</v>
      </c>
      <c r="I418" s="55">
        <v>5091.463753051291</v>
      </c>
      <c r="J418" s="55">
        <v>2070.8862469487094</v>
      </c>
      <c r="K418" s="52"/>
      <c r="L418" s="52"/>
      <c r="M418" s="56">
        <f t="shared" si="12"/>
        <v>0</v>
      </c>
      <c r="N418" s="56">
        <f t="shared" si="12"/>
        <v>0</v>
      </c>
      <c r="O418" s="56">
        <f t="shared" si="13"/>
        <v>0</v>
      </c>
    </row>
    <row r="419" spans="1:15" x14ac:dyDescent="0.25">
      <c r="A419" s="52"/>
      <c r="B419" s="52"/>
      <c r="C419" s="53"/>
      <c r="D419" s="52"/>
      <c r="E419" s="52" t="s">
        <v>320</v>
      </c>
      <c r="F419" s="52">
        <v>0.8</v>
      </c>
      <c r="G419" s="54">
        <v>1515</v>
      </c>
      <c r="H419" s="55">
        <v>1212</v>
      </c>
      <c r="I419" s="55">
        <v>732.72604372665353</v>
      </c>
      <c r="J419" s="55">
        <v>479.27395627334653</v>
      </c>
      <c r="K419" s="52"/>
      <c r="L419" s="52"/>
      <c r="M419" s="56">
        <f t="shared" si="12"/>
        <v>0</v>
      </c>
      <c r="N419" s="56">
        <f t="shared" si="12"/>
        <v>0</v>
      </c>
      <c r="O419" s="56">
        <f t="shared" si="13"/>
        <v>0</v>
      </c>
    </row>
    <row r="420" spans="1:15" x14ac:dyDescent="0.25">
      <c r="A420" s="52"/>
      <c r="B420" s="52"/>
      <c r="C420" s="53"/>
      <c r="D420" s="52"/>
      <c r="E420" s="52" t="s">
        <v>321</v>
      </c>
      <c r="F420" s="52">
        <v>0.77</v>
      </c>
      <c r="G420" s="54">
        <v>547</v>
      </c>
      <c r="H420" s="55">
        <v>421.19</v>
      </c>
      <c r="I420" s="55">
        <v>261.21456435176651</v>
      </c>
      <c r="J420" s="55">
        <v>159.97543564823346</v>
      </c>
      <c r="K420" s="52"/>
      <c r="L420" s="52"/>
      <c r="M420" s="56">
        <f t="shared" si="12"/>
        <v>0</v>
      </c>
      <c r="N420" s="56">
        <f t="shared" si="12"/>
        <v>0</v>
      </c>
      <c r="O420" s="56">
        <f t="shared" si="13"/>
        <v>0</v>
      </c>
    </row>
    <row r="421" spans="1:15" x14ac:dyDescent="0.25">
      <c r="A421" s="52"/>
      <c r="B421" s="52"/>
      <c r="C421" s="53"/>
      <c r="D421" s="52"/>
      <c r="E421" s="52" t="s">
        <v>322</v>
      </c>
      <c r="F421" s="52">
        <v>0.7</v>
      </c>
      <c r="G421" s="54">
        <v>1643</v>
      </c>
      <c r="H421" s="55">
        <v>1150.0999999999999</v>
      </c>
      <c r="I421" s="55">
        <v>803.70711809806062</v>
      </c>
      <c r="J421" s="55">
        <v>346.39288190193935</v>
      </c>
      <c r="K421" s="52"/>
      <c r="L421" s="52"/>
      <c r="M421" s="56">
        <f t="shared" si="12"/>
        <v>0</v>
      </c>
      <c r="N421" s="56">
        <f t="shared" si="12"/>
        <v>0</v>
      </c>
      <c r="O421" s="56">
        <f t="shared" si="13"/>
        <v>0</v>
      </c>
    </row>
    <row r="422" spans="1:15" x14ac:dyDescent="0.25">
      <c r="A422" s="52"/>
      <c r="B422" s="52"/>
      <c r="C422" s="53"/>
      <c r="D422" s="52"/>
      <c r="E422" s="52" t="s">
        <v>323</v>
      </c>
      <c r="F422" s="52">
        <v>0.7</v>
      </c>
      <c r="G422" s="54">
        <v>4171</v>
      </c>
      <c r="H422" s="55">
        <v>2919.7</v>
      </c>
      <c r="I422" s="55">
        <v>1876.5809284081492</v>
      </c>
      <c r="J422" s="55">
        <v>1043.1190715918506</v>
      </c>
      <c r="K422" s="52"/>
      <c r="L422" s="52"/>
      <c r="M422" s="56">
        <f t="shared" si="12"/>
        <v>0</v>
      </c>
      <c r="N422" s="56">
        <f t="shared" si="12"/>
        <v>0</v>
      </c>
      <c r="O422" s="56">
        <f t="shared" si="13"/>
        <v>0</v>
      </c>
    </row>
    <row r="423" spans="1:15" x14ac:dyDescent="0.25">
      <c r="A423" s="52"/>
      <c r="B423" s="52"/>
      <c r="C423" s="53"/>
      <c r="D423" s="52"/>
      <c r="E423" s="52" t="s">
        <v>324</v>
      </c>
      <c r="F423" s="52">
        <v>0.8</v>
      </c>
      <c r="G423" s="54">
        <v>447</v>
      </c>
      <c r="H423" s="55">
        <v>357.59999999999997</v>
      </c>
      <c r="I423" s="55">
        <v>204.62835706695003</v>
      </c>
      <c r="J423" s="55">
        <v>152.97164293304994</v>
      </c>
      <c r="K423" s="52"/>
      <c r="L423" s="52"/>
      <c r="M423" s="56">
        <f t="shared" si="12"/>
        <v>0</v>
      </c>
      <c r="N423" s="56">
        <f t="shared" si="12"/>
        <v>0</v>
      </c>
      <c r="O423" s="56">
        <f t="shared" si="13"/>
        <v>0</v>
      </c>
    </row>
    <row r="424" spans="1:15" x14ac:dyDescent="0.25">
      <c r="A424" s="52"/>
      <c r="B424" s="52"/>
      <c r="C424" s="53"/>
      <c r="D424" s="52"/>
      <c r="E424" s="52" t="s">
        <v>325</v>
      </c>
      <c r="F424" s="52">
        <v>0.77</v>
      </c>
      <c r="G424" s="54">
        <v>295</v>
      </c>
      <c r="H424" s="55">
        <v>227.15</v>
      </c>
      <c r="I424" s="55">
        <v>135.61765666505445</v>
      </c>
      <c r="J424" s="55">
        <v>91.532343334945551</v>
      </c>
      <c r="K424" s="52"/>
      <c r="L424" s="52"/>
      <c r="M424" s="56">
        <f t="shared" si="12"/>
        <v>0</v>
      </c>
      <c r="N424" s="56">
        <f t="shared" si="12"/>
        <v>0</v>
      </c>
      <c r="O424" s="56">
        <f t="shared" si="13"/>
        <v>0</v>
      </c>
    </row>
    <row r="425" spans="1:15" x14ac:dyDescent="0.25">
      <c r="A425" s="52"/>
      <c r="B425" s="52"/>
      <c r="C425" s="53"/>
      <c r="D425" s="52"/>
      <c r="E425" s="52" t="s">
        <v>326</v>
      </c>
      <c r="F425" s="52">
        <v>0.82999999999999985</v>
      </c>
      <c r="G425" s="54">
        <v>2391</v>
      </c>
      <c r="H425" s="55">
        <v>1984.5300000000002</v>
      </c>
      <c r="I425" s="55">
        <v>1169.2173421418963</v>
      </c>
      <c r="J425" s="55">
        <v>815.31265785810376</v>
      </c>
      <c r="K425" s="52"/>
      <c r="L425" s="52"/>
      <c r="M425" s="56">
        <f t="shared" si="12"/>
        <v>0</v>
      </c>
      <c r="N425" s="56">
        <f t="shared" si="12"/>
        <v>0</v>
      </c>
      <c r="O425" s="56">
        <f t="shared" si="13"/>
        <v>0</v>
      </c>
    </row>
    <row r="426" spans="1:15" x14ac:dyDescent="0.25">
      <c r="A426" s="52"/>
      <c r="B426" s="52"/>
      <c r="C426" s="53"/>
      <c r="D426" s="52"/>
      <c r="E426" s="52" t="s">
        <v>327</v>
      </c>
      <c r="F426" s="52">
        <v>0.83</v>
      </c>
      <c r="G426" s="54">
        <v>689</v>
      </c>
      <c r="H426" s="55">
        <v>571.87</v>
      </c>
      <c r="I426" s="55">
        <v>325.17790591302935</v>
      </c>
      <c r="J426" s="55">
        <v>246.69209408697071</v>
      </c>
      <c r="K426" s="52"/>
      <c r="L426" s="52"/>
      <c r="M426" s="56">
        <f t="shared" si="12"/>
        <v>0</v>
      </c>
      <c r="N426" s="56">
        <f t="shared" si="12"/>
        <v>0</v>
      </c>
      <c r="O426" s="56">
        <f t="shared" si="13"/>
        <v>0</v>
      </c>
    </row>
    <row r="427" spans="1:15" x14ac:dyDescent="0.25">
      <c r="A427" s="52"/>
      <c r="B427" s="52"/>
      <c r="C427" s="53"/>
      <c r="D427" s="52"/>
      <c r="E427" s="52" t="s">
        <v>328</v>
      </c>
      <c r="F427" s="52">
        <v>0.83</v>
      </c>
      <c r="G427" s="54">
        <v>2526</v>
      </c>
      <c r="H427" s="55">
        <v>2096.58</v>
      </c>
      <c r="I427" s="55">
        <v>1344.1412823573328</v>
      </c>
      <c r="J427" s="55">
        <v>752.43871764266714</v>
      </c>
      <c r="K427" s="52"/>
      <c r="L427" s="52"/>
      <c r="M427" s="56">
        <f t="shared" si="12"/>
        <v>0</v>
      </c>
      <c r="N427" s="56">
        <f t="shared" si="12"/>
        <v>0</v>
      </c>
      <c r="O427" s="56">
        <f t="shared" si="13"/>
        <v>0</v>
      </c>
    </row>
    <row r="428" spans="1:15" x14ac:dyDescent="0.25">
      <c r="A428" s="52"/>
      <c r="B428" s="52"/>
      <c r="C428" s="53"/>
      <c r="D428" s="52"/>
      <c r="E428" s="52" t="s">
        <v>329</v>
      </c>
      <c r="F428" s="52">
        <v>0.84</v>
      </c>
      <c r="G428" s="54">
        <v>27</v>
      </c>
      <c r="H428" s="55">
        <v>22.68</v>
      </c>
      <c r="I428" s="55">
        <v>12.412799999999999</v>
      </c>
      <c r="J428" s="55">
        <v>10.267200000000001</v>
      </c>
      <c r="K428" s="52"/>
      <c r="L428" s="52"/>
      <c r="M428" s="56">
        <f t="shared" si="12"/>
        <v>0</v>
      </c>
      <c r="N428" s="56">
        <f t="shared" si="12"/>
        <v>0</v>
      </c>
      <c r="O428" s="56">
        <f t="shared" si="13"/>
        <v>0</v>
      </c>
    </row>
    <row r="429" spans="1:15" x14ac:dyDescent="0.25">
      <c r="A429" s="52"/>
      <c r="B429" s="52"/>
      <c r="C429" s="53" t="s">
        <v>265</v>
      </c>
      <c r="D429" s="52" t="s">
        <v>217</v>
      </c>
      <c r="E429" s="52" t="s">
        <v>330</v>
      </c>
      <c r="F429" s="52">
        <v>0.7</v>
      </c>
      <c r="G429" s="54">
        <v>9</v>
      </c>
      <c r="H429" s="55">
        <v>6.3</v>
      </c>
      <c r="I429" s="55">
        <v>4.0596546310832018</v>
      </c>
      <c r="J429" s="55">
        <v>2.240345368916798</v>
      </c>
      <c r="K429" s="52"/>
      <c r="L429" s="52"/>
      <c r="M429" s="56">
        <f t="shared" si="12"/>
        <v>0</v>
      </c>
      <c r="N429" s="56">
        <f t="shared" si="12"/>
        <v>0</v>
      </c>
      <c r="O429" s="56">
        <f t="shared" si="13"/>
        <v>0</v>
      </c>
    </row>
    <row r="430" spans="1:15" x14ac:dyDescent="0.25">
      <c r="A430" s="52"/>
      <c r="B430" s="52"/>
      <c r="C430" s="53"/>
      <c r="D430" s="52"/>
      <c r="E430" s="52" t="s">
        <v>297</v>
      </c>
      <c r="F430" s="52">
        <v>0.75</v>
      </c>
      <c r="G430" s="54">
        <v>541</v>
      </c>
      <c r="H430" s="55">
        <v>405.75</v>
      </c>
      <c r="I430" s="55">
        <v>245.26578477196668</v>
      </c>
      <c r="J430" s="55">
        <v>160.48421522803332</v>
      </c>
      <c r="K430" s="52"/>
      <c r="L430" s="52"/>
      <c r="M430" s="56">
        <f t="shared" si="12"/>
        <v>0</v>
      </c>
      <c r="N430" s="56">
        <f t="shared" si="12"/>
        <v>0</v>
      </c>
      <c r="O430" s="56">
        <f t="shared" si="13"/>
        <v>0</v>
      </c>
    </row>
    <row r="431" spans="1:15" x14ac:dyDescent="0.25">
      <c r="A431" s="52"/>
      <c r="B431" s="52"/>
      <c r="C431" s="53"/>
      <c r="D431" s="52"/>
      <c r="E431" s="52" t="s">
        <v>298</v>
      </c>
      <c r="F431" s="52">
        <v>0.76</v>
      </c>
      <c r="G431" s="54">
        <v>25</v>
      </c>
      <c r="H431" s="55">
        <v>19</v>
      </c>
      <c r="I431" s="55">
        <v>11.276818419675562</v>
      </c>
      <c r="J431" s="55">
        <v>7.7231815803244377</v>
      </c>
      <c r="K431" s="52"/>
      <c r="L431" s="52"/>
      <c r="M431" s="56">
        <f t="shared" si="12"/>
        <v>0</v>
      </c>
      <c r="N431" s="56">
        <f t="shared" si="12"/>
        <v>0</v>
      </c>
      <c r="O431" s="56">
        <f t="shared" si="13"/>
        <v>0</v>
      </c>
    </row>
    <row r="432" spans="1:15" x14ac:dyDescent="0.25">
      <c r="A432" s="52"/>
      <c r="B432" s="52"/>
      <c r="C432" s="53"/>
      <c r="D432" s="52"/>
      <c r="E432" s="52" t="s">
        <v>299</v>
      </c>
      <c r="F432" s="52">
        <v>0.83</v>
      </c>
      <c r="G432" s="54">
        <v>8099</v>
      </c>
      <c r="H432" s="55">
        <v>6722.17</v>
      </c>
      <c r="I432" s="55">
        <v>3462.2443087377455</v>
      </c>
      <c r="J432" s="55">
        <v>3259.925691262255</v>
      </c>
      <c r="K432" s="52"/>
      <c r="L432" s="52"/>
      <c r="M432" s="56">
        <f t="shared" si="12"/>
        <v>0</v>
      </c>
      <c r="N432" s="56">
        <f t="shared" si="12"/>
        <v>0</v>
      </c>
      <c r="O432" s="56">
        <f t="shared" si="13"/>
        <v>0</v>
      </c>
    </row>
    <row r="433" spans="1:15" x14ac:dyDescent="0.25">
      <c r="A433" s="52"/>
      <c r="B433" s="52"/>
      <c r="C433" s="53"/>
      <c r="D433" s="52"/>
      <c r="E433" s="52" t="s">
        <v>300</v>
      </c>
      <c r="F433" s="52">
        <v>0.75</v>
      </c>
      <c r="G433" s="54">
        <v>8</v>
      </c>
      <c r="H433" s="55">
        <v>6</v>
      </c>
      <c r="I433" s="55">
        <v>3.1345454545454547</v>
      </c>
      <c r="J433" s="55">
        <v>2.8654545454545453</v>
      </c>
      <c r="K433" s="52"/>
      <c r="L433" s="52"/>
      <c r="M433" s="56">
        <f t="shared" si="12"/>
        <v>0</v>
      </c>
      <c r="N433" s="56">
        <f t="shared" si="12"/>
        <v>0</v>
      </c>
      <c r="O433" s="56">
        <f t="shared" si="13"/>
        <v>0</v>
      </c>
    </row>
    <row r="434" spans="1:15" x14ac:dyDescent="0.25">
      <c r="A434" s="52"/>
      <c r="B434" s="52"/>
      <c r="C434" s="53"/>
      <c r="D434" s="52"/>
      <c r="E434" s="52" t="s">
        <v>331</v>
      </c>
      <c r="F434" s="52">
        <v>0.83</v>
      </c>
      <c r="G434" s="54">
        <v>1265</v>
      </c>
      <c r="H434" s="55">
        <v>1049.95</v>
      </c>
      <c r="I434" s="55">
        <v>314.69841269841265</v>
      </c>
      <c r="J434" s="55">
        <v>735.25158730158739</v>
      </c>
      <c r="K434" s="52"/>
      <c r="L434" s="52"/>
      <c r="M434" s="56">
        <f t="shared" si="12"/>
        <v>0</v>
      </c>
      <c r="N434" s="56">
        <f t="shared" si="12"/>
        <v>0</v>
      </c>
      <c r="O434" s="56">
        <f t="shared" si="13"/>
        <v>0</v>
      </c>
    </row>
    <row r="435" spans="1:15" x14ac:dyDescent="0.25">
      <c r="A435" s="52"/>
      <c r="B435" s="52"/>
      <c r="C435" s="53"/>
      <c r="D435" s="52"/>
      <c r="E435" s="52" t="s">
        <v>301</v>
      </c>
      <c r="F435" s="52">
        <v>0.83</v>
      </c>
      <c r="G435" s="54">
        <v>1752</v>
      </c>
      <c r="H435" s="55">
        <v>1454.16</v>
      </c>
      <c r="I435" s="55">
        <v>883.17365958159417</v>
      </c>
      <c r="J435" s="55">
        <v>570.98634041840592</v>
      </c>
      <c r="K435" s="52"/>
      <c r="L435" s="52"/>
      <c r="M435" s="56">
        <f t="shared" si="12"/>
        <v>0</v>
      </c>
      <c r="N435" s="56">
        <f t="shared" si="12"/>
        <v>0</v>
      </c>
      <c r="O435" s="56">
        <f t="shared" si="13"/>
        <v>0</v>
      </c>
    </row>
    <row r="436" spans="1:15" x14ac:dyDescent="0.25">
      <c r="A436" s="52"/>
      <c r="B436" s="52"/>
      <c r="C436" s="53"/>
      <c r="D436" s="52"/>
      <c r="E436" s="52" t="s">
        <v>302</v>
      </c>
      <c r="F436" s="52">
        <v>0.65</v>
      </c>
      <c r="G436" s="54">
        <v>8297</v>
      </c>
      <c r="H436" s="55">
        <v>5393.05</v>
      </c>
      <c r="I436" s="55">
        <v>3064.7017842799773</v>
      </c>
      <c r="J436" s="55">
        <v>2328.3482157200228</v>
      </c>
      <c r="K436" s="52"/>
      <c r="L436" s="52"/>
      <c r="M436" s="56">
        <f t="shared" si="12"/>
        <v>0</v>
      </c>
      <c r="N436" s="56">
        <f t="shared" si="12"/>
        <v>0</v>
      </c>
      <c r="O436" s="56">
        <f t="shared" si="13"/>
        <v>0</v>
      </c>
    </row>
    <row r="437" spans="1:15" x14ac:dyDescent="0.25">
      <c r="A437" s="52"/>
      <c r="B437" s="52"/>
      <c r="C437" s="53"/>
      <c r="D437" s="52"/>
      <c r="E437" s="52" t="s">
        <v>303</v>
      </c>
      <c r="F437" s="52">
        <v>0.65</v>
      </c>
      <c r="G437" s="54">
        <v>55</v>
      </c>
      <c r="H437" s="55">
        <v>35.75</v>
      </c>
      <c r="I437" s="55">
        <v>23.681318681318682</v>
      </c>
      <c r="J437" s="55">
        <v>12.068681318681318</v>
      </c>
      <c r="K437" s="52"/>
      <c r="L437" s="52"/>
      <c r="M437" s="56">
        <f t="shared" si="12"/>
        <v>0</v>
      </c>
      <c r="N437" s="56">
        <f t="shared" si="12"/>
        <v>0</v>
      </c>
      <c r="O437" s="56">
        <f t="shared" si="13"/>
        <v>0</v>
      </c>
    </row>
    <row r="438" spans="1:15" x14ac:dyDescent="0.25">
      <c r="A438" s="52"/>
      <c r="B438" s="52"/>
      <c r="C438" s="53"/>
      <c r="D438" s="52"/>
      <c r="E438" s="52" t="s">
        <v>304</v>
      </c>
      <c r="F438" s="52">
        <v>0.65</v>
      </c>
      <c r="G438" s="54">
        <v>4249</v>
      </c>
      <c r="H438" s="55">
        <v>2761.85</v>
      </c>
      <c r="I438" s="55">
        <v>1799.51018193599</v>
      </c>
      <c r="J438" s="55">
        <v>962.33981806400971</v>
      </c>
      <c r="K438" s="52"/>
      <c r="L438" s="52"/>
      <c r="M438" s="56">
        <f t="shared" si="12"/>
        <v>0</v>
      </c>
      <c r="N438" s="56">
        <f t="shared" si="12"/>
        <v>0</v>
      </c>
      <c r="O438" s="56">
        <f t="shared" si="13"/>
        <v>0</v>
      </c>
    </row>
    <row r="439" spans="1:15" x14ac:dyDescent="0.25">
      <c r="A439" s="52"/>
      <c r="B439" s="52"/>
      <c r="C439" s="53"/>
      <c r="D439" s="52"/>
      <c r="E439" s="52" t="s">
        <v>306</v>
      </c>
      <c r="F439" s="52">
        <v>0.65</v>
      </c>
      <c r="G439" s="54">
        <v>4401</v>
      </c>
      <c r="H439" s="55">
        <v>2860.65</v>
      </c>
      <c r="I439" s="55">
        <v>1758.9923776223777</v>
      </c>
      <c r="J439" s="55">
        <v>1101.6576223776224</v>
      </c>
      <c r="K439" s="52"/>
      <c r="L439" s="52"/>
      <c r="M439" s="56">
        <f t="shared" si="12"/>
        <v>0</v>
      </c>
      <c r="N439" s="56">
        <f t="shared" si="12"/>
        <v>0</v>
      </c>
      <c r="O439" s="56">
        <f t="shared" si="13"/>
        <v>0</v>
      </c>
    </row>
    <row r="440" spans="1:15" x14ac:dyDescent="0.25">
      <c r="A440" s="52"/>
      <c r="B440" s="52"/>
      <c r="C440" s="53"/>
      <c r="D440" s="52"/>
      <c r="E440" s="52" t="s">
        <v>307</v>
      </c>
      <c r="F440" s="52">
        <v>0.65</v>
      </c>
      <c r="G440" s="54">
        <v>3010</v>
      </c>
      <c r="H440" s="55">
        <v>1956.5</v>
      </c>
      <c r="I440" s="55">
        <v>1215.0281830952563</v>
      </c>
      <c r="J440" s="55">
        <v>741.4718169047436</v>
      </c>
      <c r="K440" s="52"/>
      <c r="L440" s="52"/>
      <c r="M440" s="56">
        <f t="shared" si="12"/>
        <v>0</v>
      </c>
      <c r="N440" s="56">
        <f t="shared" si="12"/>
        <v>0</v>
      </c>
      <c r="O440" s="56">
        <f t="shared" si="13"/>
        <v>0</v>
      </c>
    </row>
    <row r="441" spans="1:15" x14ac:dyDescent="0.25">
      <c r="A441" s="52"/>
      <c r="B441" s="52"/>
      <c r="C441" s="53"/>
      <c r="D441" s="52"/>
      <c r="E441" s="52" t="s">
        <v>308</v>
      </c>
      <c r="F441" s="52">
        <v>0.69999999999999984</v>
      </c>
      <c r="G441" s="54">
        <v>3126</v>
      </c>
      <c r="H441" s="55">
        <v>2188.1999999999998</v>
      </c>
      <c r="I441" s="55">
        <v>1521.9005734554435</v>
      </c>
      <c r="J441" s="55">
        <v>666.29942654455658</v>
      </c>
      <c r="K441" s="52"/>
      <c r="L441" s="52"/>
      <c r="M441" s="56">
        <f t="shared" si="12"/>
        <v>0</v>
      </c>
      <c r="N441" s="56">
        <f t="shared" si="12"/>
        <v>0</v>
      </c>
      <c r="O441" s="56">
        <f t="shared" si="13"/>
        <v>0</v>
      </c>
    </row>
    <row r="442" spans="1:15" x14ac:dyDescent="0.25">
      <c r="A442" s="52"/>
      <c r="B442" s="52"/>
      <c r="C442" s="53"/>
      <c r="D442" s="52"/>
      <c r="E442" s="52" t="s">
        <v>309</v>
      </c>
      <c r="F442" s="52">
        <v>0.65</v>
      </c>
      <c r="G442" s="54">
        <v>181</v>
      </c>
      <c r="H442" s="55">
        <v>117.64999999999999</v>
      </c>
      <c r="I442" s="55">
        <v>84.560637689909257</v>
      </c>
      <c r="J442" s="55">
        <v>33.089362310090742</v>
      </c>
      <c r="K442" s="52"/>
      <c r="L442" s="52"/>
      <c r="M442" s="56">
        <f t="shared" si="12"/>
        <v>0</v>
      </c>
      <c r="N442" s="56">
        <f t="shared" si="12"/>
        <v>0</v>
      </c>
      <c r="O442" s="56">
        <f t="shared" si="13"/>
        <v>0</v>
      </c>
    </row>
    <row r="443" spans="1:15" x14ac:dyDescent="0.25">
      <c r="A443" s="52"/>
      <c r="B443" s="52"/>
      <c r="C443" s="53"/>
      <c r="D443" s="52"/>
      <c r="E443" s="52" t="s">
        <v>310</v>
      </c>
      <c r="F443" s="52">
        <v>0.70000000000000007</v>
      </c>
      <c r="G443" s="54">
        <v>11823</v>
      </c>
      <c r="H443" s="55">
        <v>8276.1</v>
      </c>
      <c r="I443" s="55">
        <v>4553.2572734302184</v>
      </c>
      <c r="J443" s="55">
        <v>3722.842726569781</v>
      </c>
      <c r="K443" s="52"/>
      <c r="L443" s="52"/>
      <c r="M443" s="56">
        <f t="shared" si="12"/>
        <v>0</v>
      </c>
      <c r="N443" s="56">
        <f t="shared" si="12"/>
        <v>0</v>
      </c>
      <c r="O443" s="56">
        <f t="shared" si="13"/>
        <v>0</v>
      </c>
    </row>
    <row r="444" spans="1:15" x14ac:dyDescent="0.25">
      <c r="A444" s="52"/>
      <c r="B444" s="52"/>
      <c r="C444" s="53"/>
      <c r="D444" s="52"/>
      <c r="E444" s="52" t="s">
        <v>311</v>
      </c>
      <c r="F444" s="52">
        <v>0.65</v>
      </c>
      <c r="G444" s="54">
        <v>43</v>
      </c>
      <c r="H444" s="55">
        <v>27.95</v>
      </c>
      <c r="I444" s="55">
        <v>18.514485514485514</v>
      </c>
      <c r="J444" s="55">
        <v>9.435514485514485</v>
      </c>
      <c r="K444" s="52"/>
      <c r="L444" s="52"/>
      <c r="M444" s="56">
        <f t="shared" si="12"/>
        <v>0</v>
      </c>
      <c r="N444" s="56">
        <f t="shared" si="12"/>
        <v>0</v>
      </c>
      <c r="O444" s="56">
        <f t="shared" si="13"/>
        <v>0</v>
      </c>
    </row>
    <row r="445" spans="1:15" x14ac:dyDescent="0.25">
      <c r="A445" s="52"/>
      <c r="B445" s="52"/>
      <c r="C445" s="53" t="s">
        <v>332</v>
      </c>
      <c r="D445" s="52" t="s">
        <v>217</v>
      </c>
      <c r="E445" s="52" t="s">
        <v>330</v>
      </c>
      <c r="F445" s="52">
        <v>0.7</v>
      </c>
      <c r="G445" s="54">
        <v>9</v>
      </c>
      <c r="H445" s="55">
        <v>6.3</v>
      </c>
      <c r="I445" s="55">
        <v>4.0575313807531384</v>
      </c>
      <c r="J445" s="55">
        <v>2.2424686192468615</v>
      </c>
      <c r="K445" s="52"/>
      <c r="L445" s="52"/>
      <c r="M445" s="56">
        <f t="shared" si="12"/>
        <v>0</v>
      </c>
      <c r="N445" s="56">
        <f t="shared" si="12"/>
        <v>0</v>
      </c>
      <c r="O445" s="56">
        <f t="shared" si="13"/>
        <v>0</v>
      </c>
    </row>
    <row r="446" spans="1:15" x14ac:dyDescent="0.25">
      <c r="A446" s="52"/>
      <c r="B446" s="52"/>
      <c r="C446" s="53"/>
      <c r="D446" s="52"/>
      <c r="E446" s="52" t="s">
        <v>297</v>
      </c>
      <c r="F446" s="52">
        <v>0.75</v>
      </c>
      <c r="G446" s="54">
        <v>539</v>
      </c>
      <c r="H446" s="55">
        <v>404.25</v>
      </c>
      <c r="I446" s="55">
        <v>244.35913156511879</v>
      </c>
      <c r="J446" s="55">
        <v>159.89086843488121</v>
      </c>
      <c r="K446" s="52"/>
      <c r="L446" s="52"/>
      <c r="M446" s="56">
        <f t="shared" si="12"/>
        <v>0</v>
      </c>
      <c r="N446" s="56">
        <f t="shared" si="12"/>
        <v>0</v>
      </c>
      <c r="O446" s="56">
        <f t="shared" si="13"/>
        <v>0</v>
      </c>
    </row>
    <row r="447" spans="1:15" x14ac:dyDescent="0.25">
      <c r="A447" s="52"/>
      <c r="B447" s="52"/>
      <c r="C447" s="53"/>
      <c r="D447" s="52"/>
      <c r="E447" s="52" t="s">
        <v>298</v>
      </c>
      <c r="F447" s="52">
        <v>0.76</v>
      </c>
      <c r="G447" s="54">
        <v>25</v>
      </c>
      <c r="H447" s="55">
        <v>19</v>
      </c>
      <c r="I447" s="55">
        <v>11.27092050209205</v>
      </c>
      <c r="J447" s="55">
        <v>7.72907949790795</v>
      </c>
      <c r="K447" s="52"/>
      <c r="L447" s="52"/>
      <c r="M447" s="56">
        <f t="shared" si="12"/>
        <v>0</v>
      </c>
      <c r="N447" s="56">
        <f t="shared" si="12"/>
        <v>0</v>
      </c>
      <c r="O447" s="56">
        <f t="shared" si="13"/>
        <v>0</v>
      </c>
    </row>
    <row r="448" spans="1:15" x14ac:dyDescent="0.25">
      <c r="A448" s="52"/>
      <c r="B448" s="52"/>
      <c r="C448" s="53"/>
      <c r="D448" s="52"/>
      <c r="E448" s="52" t="s">
        <v>314</v>
      </c>
      <c r="F448" s="52">
        <v>0.93</v>
      </c>
      <c r="G448" s="54">
        <v>1701</v>
      </c>
      <c r="H448" s="55">
        <v>1581.93</v>
      </c>
      <c r="I448" s="55">
        <v>862</v>
      </c>
      <c r="J448" s="55">
        <v>719.93000000000006</v>
      </c>
      <c r="K448" s="52"/>
      <c r="L448" s="52"/>
      <c r="M448" s="56">
        <f t="shared" si="12"/>
        <v>0</v>
      </c>
      <c r="N448" s="56">
        <f t="shared" si="12"/>
        <v>0</v>
      </c>
      <c r="O448" s="56">
        <f t="shared" si="13"/>
        <v>0</v>
      </c>
    </row>
    <row r="449" spans="1:15" x14ac:dyDescent="0.25">
      <c r="A449" s="52"/>
      <c r="B449" s="52"/>
      <c r="C449" s="53"/>
      <c r="D449" s="52"/>
      <c r="E449" s="52" t="s">
        <v>299</v>
      </c>
      <c r="F449" s="52">
        <v>0.83</v>
      </c>
      <c r="G449" s="54">
        <v>8097</v>
      </c>
      <c r="H449" s="55">
        <v>6720.51</v>
      </c>
      <c r="I449" s="55">
        <v>3461.343899785812</v>
      </c>
      <c r="J449" s="55">
        <v>3259.1661002141886</v>
      </c>
      <c r="K449" s="52"/>
      <c r="L449" s="52"/>
      <c r="M449" s="56">
        <f t="shared" si="12"/>
        <v>0</v>
      </c>
      <c r="N449" s="56">
        <f t="shared" si="12"/>
        <v>0</v>
      </c>
      <c r="O449" s="56">
        <f t="shared" si="13"/>
        <v>0</v>
      </c>
    </row>
    <row r="450" spans="1:15" x14ac:dyDescent="0.25">
      <c r="A450" s="52"/>
      <c r="B450" s="52"/>
      <c r="C450" s="53"/>
      <c r="D450" s="52"/>
      <c r="E450" s="52" t="s">
        <v>300</v>
      </c>
      <c r="F450" s="52">
        <v>0.75</v>
      </c>
      <c r="G450" s="54">
        <v>8</v>
      </c>
      <c r="H450" s="55">
        <v>6</v>
      </c>
      <c r="I450" s="55">
        <v>3.1345454545454547</v>
      </c>
      <c r="J450" s="55">
        <v>2.8654545454545453</v>
      </c>
      <c r="K450" s="52"/>
      <c r="L450" s="52"/>
      <c r="M450" s="56">
        <f t="shared" si="12"/>
        <v>0</v>
      </c>
      <c r="N450" s="56">
        <f t="shared" si="12"/>
        <v>0</v>
      </c>
      <c r="O450" s="56">
        <f t="shared" si="13"/>
        <v>0</v>
      </c>
    </row>
    <row r="451" spans="1:15" x14ac:dyDescent="0.25">
      <c r="A451" s="52"/>
      <c r="B451" s="52"/>
      <c r="C451" s="53"/>
      <c r="D451" s="52"/>
      <c r="E451" s="52" t="s">
        <v>301</v>
      </c>
      <c r="F451" s="52">
        <v>0.83</v>
      </c>
      <c r="G451" s="54">
        <v>50</v>
      </c>
      <c r="H451" s="55">
        <v>41.5</v>
      </c>
      <c r="I451" s="55">
        <v>21.184140786749481</v>
      </c>
      <c r="J451" s="55">
        <v>20.315859213250523</v>
      </c>
      <c r="K451" s="52"/>
      <c r="L451" s="52"/>
      <c r="M451" s="56">
        <f t="shared" si="12"/>
        <v>0</v>
      </c>
      <c r="N451" s="56">
        <f t="shared" si="12"/>
        <v>0</v>
      </c>
      <c r="O451" s="56">
        <f t="shared" si="13"/>
        <v>0</v>
      </c>
    </row>
    <row r="452" spans="1:15" x14ac:dyDescent="0.25">
      <c r="A452" s="52"/>
      <c r="B452" s="52"/>
      <c r="C452" s="53"/>
      <c r="D452" s="52"/>
      <c r="E452" s="52" t="s">
        <v>302</v>
      </c>
      <c r="F452" s="52">
        <v>0.65</v>
      </c>
      <c r="G452" s="54">
        <v>8298</v>
      </c>
      <c r="H452" s="55">
        <v>5393.7</v>
      </c>
      <c r="I452" s="55">
        <v>2565.0539586617624</v>
      </c>
      <c r="J452" s="55">
        <v>2828.6460413382379</v>
      </c>
      <c r="K452" s="52"/>
      <c r="L452" s="52"/>
      <c r="M452" s="56">
        <f t="shared" si="12"/>
        <v>0</v>
      </c>
      <c r="N452" s="56">
        <f t="shared" si="12"/>
        <v>0</v>
      </c>
      <c r="O452" s="56">
        <f t="shared" si="13"/>
        <v>0</v>
      </c>
    </row>
    <row r="453" spans="1:15" x14ac:dyDescent="0.25">
      <c r="A453" s="52"/>
      <c r="B453" s="52"/>
      <c r="C453" s="53"/>
      <c r="D453" s="52"/>
      <c r="E453" s="52" t="s">
        <v>303</v>
      </c>
      <c r="F453" s="52">
        <v>0.65</v>
      </c>
      <c r="G453" s="54">
        <v>55</v>
      </c>
      <c r="H453" s="55">
        <v>35.75</v>
      </c>
      <c r="I453" s="55">
        <v>23.693153423288354</v>
      </c>
      <c r="J453" s="55">
        <v>12.056846576711646</v>
      </c>
      <c r="K453" s="52"/>
      <c r="L453" s="52"/>
      <c r="M453" s="56">
        <f t="shared" si="12"/>
        <v>0</v>
      </c>
      <c r="N453" s="56">
        <f t="shared" si="12"/>
        <v>0</v>
      </c>
      <c r="O453" s="56">
        <f t="shared" si="13"/>
        <v>0</v>
      </c>
    </row>
    <row r="454" spans="1:15" x14ac:dyDescent="0.25">
      <c r="A454" s="52"/>
      <c r="B454" s="52"/>
      <c r="C454" s="53"/>
      <c r="D454" s="52"/>
      <c r="E454" s="52" t="s">
        <v>304</v>
      </c>
      <c r="F454" s="52">
        <v>0.65</v>
      </c>
      <c r="G454" s="54">
        <v>5369</v>
      </c>
      <c r="H454" s="55">
        <v>3489.85</v>
      </c>
      <c r="I454" s="55">
        <v>1752.2507660496162</v>
      </c>
      <c r="J454" s="55">
        <v>1737.5992339503839</v>
      </c>
      <c r="K454" s="52"/>
      <c r="L454" s="52"/>
      <c r="M454" s="56">
        <f t="shared" ref="M454:N517" si="14">$G454*K454</f>
        <v>0</v>
      </c>
      <c r="N454" s="56">
        <f t="shared" si="14"/>
        <v>0</v>
      </c>
      <c r="O454" s="56">
        <f t="shared" ref="O454:O517" si="15">M454+N454</f>
        <v>0</v>
      </c>
    </row>
    <row r="455" spans="1:15" x14ac:dyDescent="0.25">
      <c r="A455" s="52"/>
      <c r="B455" s="52"/>
      <c r="C455" s="53"/>
      <c r="D455" s="52"/>
      <c r="E455" s="52" t="s">
        <v>306</v>
      </c>
      <c r="F455" s="52">
        <v>0.65</v>
      </c>
      <c r="G455" s="54">
        <v>4400</v>
      </c>
      <c r="H455" s="55">
        <v>2860</v>
      </c>
      <c r="I455" s="55">
        <v>1758.971290263959</v>
      </c>
      <c r="J455" s="55">
        <v>1101.028709736041</v>
      </c>
      <c r="K455" s="52"/>
      <c r="L455" s="52"/>
      <c r="M455" s="56">
        <f t="shared" si="14"/>
        <v>0</v>
      </c>
      <c r="N455" s="56">
        <f t="shared" si="14"/>
        <v>0</v>
      </c>
      <c r="O455" s="56">
        <f t="shared" si="15"/>
        <v>0</v>
      </c>
    </row>
    <row r="456" spans="1:15" x14ac:dyDescent="0.25">
      <c r="A456" s="52"/>
      <c r="B456" s="52"/>
      <c r="C456" s="53"/>
      <c r="D456" s="52"/>
      <c r="E456" s="52" t="s">
        <v>307</v>
      </c>
      <c r="F456" s="52">
        <v>0.65</v>
      </c>
      <c r="G456" s="54">
        <v>3009</v>
      </c>
      <c r="H456" s="55">
        <v>1955.85</v>
      </c>
      <c r="I456" s="55">
        <v>1214.7859071902153</v>
      </c>
      <c r="J456" s="55">
        <v>741.0640928097846</v>
      </c>
      <c r="K456" s="52"/>
      <c r="L456" s="52"/>
      <c r="M456" s="56">
        <f t="shared" si="14"/>
        <v>0</v>
      </c>
      <c r="N456" s="56">
        <f t="shared" si="14"/>
        <v>0</v>
      </c>
      <c r="O456" s="56">
        <f t="shared" si="15"/>
        <v>0</v>
      </c>
    </row>
    <row r="457" spans="1:15" x14ac:dyDescent="0.25">
      <c r="A457" s="52"/>
      <c r="B457" s="52"/>
      <c r="C457" s="53"/>
      <c r="D457" s="52"/>
      <c r="E457" s="52" t="s">
        <v>308</v>
      </c>
      <c r="F457" s="52">
        <v>0.69999999999999984</v>
      </c>
      <c r="G457" s="54">
        <v>3127</v>
      </c>
      <c r="H457" s="55">
        <v>2188.9</v>
      </c>
      <c r="I457" s="55">
        <v>1522.8498850066994</v>
      </c>
      <c r="J457" s="55">
        <v>666.05011499330044</v>
      </c>
      <c r="K457" s="52"/>
      <c r="L457" s="52"/>
      <c r="M457" s="56">
        <f t="shared" si="14"/>
        <v>0</v>
      </c>
      <c r="N457" s="56">
        <f t="shared" si="14"/>
        <v>0</v>
      </c>
      <c r="O457" s="56">
        <f t="shared" si="15"/>
        <v>0</v>
      </c>
    </row>
    <row r="458" spans="1:15" x14ac:dyDescent="0.25">
      <c r="A458" s="52"/>
      <c r="B458" s="52"/>
      <c r="C458" s="53"/>
      <c r="D458" s="52"/>
      <c r="E458" s="52" t="s">
        <v>309</v>
      </c>
      <c r="F458" s="52">
        <v>0.65</v>
      </c>
      <c r="G458" s="54">
        <v>180</v>
      </c>
      <c r="H458" s="55">
        <v>117</v>
      </c>
      <c r="I458" s="55">
        <v>84.055788309977231</v>
      </c>
      <c r="J458" s="55">
        <v>32.944211690022762</v>
      </c>
      <c r="K458" s="52"/>
      <c r="L458" s="52"/>
      <c r="M458" s="56">
        <f t="shared" si="14"/>
        <v>0</v>
      </c>
      <c r="N458" s="56">
        <f t="shared" si="14"/>
        <v>0</v>
      </c>
      <c r="O458" s="56">
        <f t="shared" si="15"/>
        <v>0</v>
      </c>
    </row>
    <row r="459" spans="1:15" x14ac:dyDescent="0.25">
      <c r="A459" s="52"/>
      <c r="B459" s="52"/>
      <c r="C459" s="53"/>
      <c r="D459" s="52"/>
      <c r="E459" s="52" t="s">
        <v>310</v>
      </c>
      <c r="F459" s="52">
        <v>0.70000000000000007</v>
      </c>
      <c r="G459" s="54">
        <v>11825</v>
      </c>
      <c r="H459" s="55">
        <v>8277.5</v>
      </c>
      <c r="I459" s="55">
        <v>4554.4653434884767</v>
      </c>
      <c r="J459" s="55">
        <v>3723.0346565115233</v>
      </c>
      <c r="K459" s="52"/>
      <c r="L459" s="52"/>
      <c r="M459" s="56">
        <f t="shared" si="14"/>
        <v>0</v>
      </c>
      <c r="N459" s="56">
        <f t="shared" si="14"/>
        <v>0</v>
      </c>
      <c r="O459" s="56">
        <f t="shared" si="15"/>
        <v>0</v>
      </c>
    </row>
    <row r="460" spans="1:15" x14ac:dyDescent="0.25">
      <c r="A460" s="52"/>
      <c r="B460" s="52"/>
      <c r="C460" s="53"/>
      <c r="D460" s="52"/>
      <c r="E460" s="52" t="s">
        <v>311</v>
      </c>
      <c r="F460" s="52">
        <v>0.65</v>
      </c>
      <c r="G460" s="54">
        <v>43</v>
      </c>
      <c r="H460" s="55">
        <v>27.95</v>
      </c>
      <c r="I460" s="55">
        <v>18.523738130934532</v>
      </c>
      <c r="J460" s="55">
        <v>9.4262618690654669</v>
      </c>
      <c r="K460" s="52"/>
      <c r="L460" s="52"/>
      <c r="M460" s="56">
        <f t="shared" si="14"/>
        <v>0</v>
      </c>
      <c r="N460" s="56">
        <f t="shared" si="14"/>
        <v>0</v>
      </c>
      <c r="O460" s="56">
        <f t="shared" si="15"/>
        <v>0</v>
      </c>
    </row>
    <row r="461" spans="1:15" x14ac:dyDescent="0.25">
      <c r="A461" s="52"/>
      <c r="B461" s="52"/>
      <c r="C461" s="53" t="s">
        <v>333</v>
      </c>
      <c r="D461" s="52" t="s">
        <v>217</v>
      </c>
      <c r="E461" s="52" t="s">
        <v>297</v>
      </c>
      <c r="F461" s="52">
        <v>0.75</v>
      </c>
      <c r="G461" s="54">
        <v>4</v>
      </c>
      <c r="H461" s="55">
        <v>3</v>
      </c>
      <c r="I461" s="55">
        <v>1.7222777222777224</v>
      </c>
      <c r="J461" s="55">
        <v>1.2777222777222776</v>
      </c>
      <c r="K461" s="52"/>
      <c r="L461" s="52"/>
      <c r="M461" s="56">
        <f t="shared" si="14"/>
        <v>0</v>
      </c>
      <c r="N461" s="56">
        <f t="shared" si="14"/>
        <v>0</v>
      </c>
      <c r="O461" s="56">
        <f t="shared" si="15"/>
        <v>0</v>
      </c>
    </row>
    <row r="462" spans="1:15" x14ac:dyDescent="0.25">
      <c r="A462" s="52"/>
      <c r="B462" s="52"/>
      <c r="C462" s="53"/>
      <c r="D462" s="52"/>
      <c r="E462" s="52" t="s">
        <v>298</v>
      </c>
      <c r="F462" s="52">
        <v>0.76</v>
      </c>
      <c r="G462" s="54">
        <v>1594</v>
      </c>
      <c r="H462" s="55">
        <v>1211.44</v>
      </c>
      <c r="I462" s="55">
        <v>761.58592293263678</v>
      </c>
      <c r="J462" s="55">
        <v>449.85407706736333</v>
      </c>
      <c r="K462" s="52"/>
      <c r="L462" s="52"/>
      <c r="M462" s="56">
        <f t="shared" si="14"/>
        <v>0</v>
      </c>
      <c r="N462" s="56">
        <f t="shared" si="14"/>
        <v>0</v>
      </c>
      <c r="O462" s="56">
        <f t="shared" si="15"/>
        <v>0</v>
      </c>
    </row>
    <row r="463" spans="1:15" x14ac:dyDescent="0.25">
      <c r="A463" s="52"/>
      <c r="B463" s="52"/>
      <c r="C463" s="53"/>
      <c r="D463" s="52"/>
      <c r="E463" s="52" t="s">
        <v>314</v>
      </c>
      <c r="F463" s="52">
        <v>0.93</v>
      </c>
      <c r="G463" s="54">
        <v>1458</v>
      </c>
      <c r="H463" s="55">
        <v>1355.94</v>
      </c>
      <c r="I463" s="55">
        <v>718.1691428571429</v>
      </c>
      <c r="J463" s="55">
        <v>637.77085714285715</v>
      </c>
      <c r="K463" s="52"/>
      <c r="L463" s="52"/>
      <c r="M463" s="56">
        <f t="shared" si="14"/>
        <v>0</v>
      </c>
      <c r="N463" s="56">
        <f t="shared" si="14"/>
        <v>0</v>
      </c>
      <c r="O463" s="56">
        <f t="shared" si="15"/>
        <v>0</v>
      </c>
    </row>
    <row r="464" spans="1:15" x14ac:dyDescent="0.25">
      <c r="A464" s="52"/>
      <c r="B464" s="52"/>
      <c r="C464" s="53"/>
      <c r="D464" s="52"/>
      <c r="E464" s="52" t="s">
        <v>299</v>
      </c>
      <c r="F464" s="52">
        <v>0.83</v>
      </c>
      <c r="G464" s="54">
        <v>6007</v>
      </c>
      <c r="H464" s="55">
        <v>4985.8099999999995</v>
      </c>
      <c r="I464" s="55">
        <v>2908.8826802333197</v>
      </c>
      <c r="J464" s="55">
        <v>2076.9273197666798</v>
      </c>
      <c r="K464" s="52"/>
      <c r="L464" s="52"/>
      <c r="M464" s="56">
        <f t="shared" si="14"/>
        <v>0</v>
      </c>
      <c r="N464" s="56">
        <f t="shared" si="14"/>
        <v>0</v>
      </c>
      <c r="O464" s="56">
        <f t="shared" si="15"/>
        <v>0</v>
      </c>
    </row>
    <row r="465" spans="1:15" x14ac:dyDescent="0.25">
      <c r="A465" s="52"/>
      <c r="B465" s="52"/>
      <c r="C465" s="53"/>
      <c r="D465" s="52"/>
      <c r="E465" s="52" t="s">
        <v>300</v>
      </c>
      <c r="F465" s="52">
        <v>0.75</v>
      </c>
      <c r="G465" s="54">
        <v>150</v>
      </c>
      <c r="H465" s="55">
        <v>112.5</v>
      </c>
      <c r="I465" s="55">
        <v>64.617691154422786</v>
      </c>
      <c r="J465" s="55">
        <v>47.882308845577214</v>
      </c>
      <c r="K465" s="52"/>
      <c r="L465" s="52"/>
      <c r="M465" s="56">
        <f t="shared" si="14"/>
        <v>0</v>
      </c>
      <c r="N465" s="56">
        <f t="shared" si="14"/>
        <v>0</v>
      </c>
      <c r="O465" s="56">
        <f t="shared" si="15"/>
        <v>0</v>
      </c>
    </row>
    <row r="466" spans="1:15" x14ac:dyDescent="0.25">
      <c r="A466" s="52"/>
      <c r="B466" s="52"/>
      <c r="C466" s="53"/>
      <c r="D466" s="52"/>
      <c r="E466" s="52" t="s">
        <v>317</v>
      </c>
      <c r="F466" s="52">
        <v>0.77</v>
      </c>
      <c r="G466" s="54">
        <v>292</v>
      </c>
      <c r="H466" s="55">
        <v>224.84</v>
      </c>
      <c r="I466" s="55">
        <v>143.83085714285716</v>
      </c>
      <c r="J466" s="55">
        <v>81.009142857142848</v>
      </c>
      <c r="K466" s="52"/>
      <c r="L466" s="52"/>
      <c r="M466" s="56">
        <f t="shared" si="14"/>
        <v>0</v>
      </c>
      <c r="N466" s="56">
        <f t="shared" si="14"/>
        <v>0</v>
      </c>
      <c r="O466" s="56">
        <f t="shared" si="15"/>
        <v>0</v>
      </c>
    </row>
    <row r="467" spans="1:15" x14ac:dyDescent="0.25">
      <c r="A467" s="52"/>
      <c r="B467" s="52"/>
      <c r="C467" s="53"/>
      <c r="D467" s="52"/>
      <c r="E467" s="52" t="s">
        <v>301</v>
      </c>
      <c r="F467" s="52">
        <v>0.83</v>
      </c>
      <c r="G467" s="54">
        <v>233</v>
      </c>
      <c r="H467" s="55">
        <v>193.39</v>
      </c>
      <c r="I467" s="55">
        <v>116.29911883958366</v>
      </c>
      <c r="J467" s="55">
        <v>77.09088116041633</v>
      </c>
      <c r="K467" s="52"/>
      <c r="L467" s="52"/>
      <c r="M467" s="56">
        <f t="shared" si="14"/>
        <v>0</v>
      </c>
      <c r="N467" s="56">
        <f t="shared" si="14"/>
        <v>0</v>
      </c>
      <c r="O467" s="56">
        <f t="shared" si="15"/>
        <v>0</v>
      </c>
    </row>
    <row r="468" spans="1:15" x14ac:dyDescent="0.25">
      <c r="A468" s="52"/>
      <c r="B468" s="52"/>
      <c r="C468" s="53"/>
      <c r="D468" s="52"/>
      <c r="E468" s="52" t="s">
        <v>302</v>
      </c>
      <c r="F468" s="52">
        <v>0.65</v>
      </c>
      <c r="G468" s="54">
        <v>6925</v>
      </c>
      <c r="H468" s="55">
        <v>4501.25</v>
      </c>
      <c r="I468" s="55">
        <v>4062.7560470756457</v>
      </c>
      <c r="J468" s="55">
        <v>438.49395292435429</v>
      </c>
      <c r="K468" s="52"/>
      <c r="L468" s="52"/>
      <c r="M468" s="56">
        <f t="shared" si="14"/>
        <v>0</v>
      </c>
      <c r="N468" s="56">
        <f t="shared" si="14"/>
        <v>0</v>
      </c>
      <c r="O468" s="56">
        <f t="shared" si="15"/>
        <v>0</v>
      </c>
    </row>
    <row r="469" spans="1:15" x14ac:dyDescent="0.25">
      <c r="A469" s="52"/>
      <c r="B469" s="52"/>
      <c r="C469" s="53"/>
      <c r="D469" s="52"/>
      <c r="E469" s="52" t="s">
        <v>303</v>
      </c>
      <c r="F469" s="52">
        <v>0.65</v>
      </c>
      <c r="G469" s="54">
        <v>318</v>
      </c>
      <c r="H469" s="55">
        <v>206.7</v>
      </c>
      <c r="I469" s="55">
        <v>140.20966063857847</v>
      </c>
      <c r="J469" s="55">
        <v>66.490339361421519</v>
      </c>
      <c r="K469" s="52"/>
      <c r="L469" s="52"/>
      <c r="M469" s="56">
        <f t="shared" si="14"/>
        <v>0</v>
      </c>
      <c r="N469" s="56">
        <f t="shared" si="14"/>
        <v>0</v>
      </c>
      <c r="O469" s="56">
        <f t="shared" si="15"/>
        <v>0</v>
      </c>
    </row>
    <row r="470" spans="1:15" x14ac:dyDescent="0.25">
      <c r="A470" s="52"/>
      <c r="B470" s="52"/>
      <c r="C470" s="53"/>
      <c r="D470" s="52"/>
      <c r="E470" s="52" t="s">
        <v>304</v>
      </c>
      <c r="F470" s="52">
        <v>0.65</v>
      </c>
      <c r="G470" s="54">
        <v>1712</v>
      </c>
      <c r="H470" s="55">
        <v>1112.8</v>
      </c>
      <c r="I470" s="55">
        <v>752.90190056136953</v>
      </c>
      <c r="J470" s="55">
        <v>359.89809943863042</v>
      </c>
      <c r="K470" s="52"/>
      <c r="L470" s="52"/>
      <c r="M470" s="56">
        <f t="shared" si="14"/>
        <v>0</v>
      </c>
      <c r="N470" s="56">
        <f t="shared" si="14"/>
        <v>0</v>
      </c>
      <c r="O470" s="56">
        <f t="shared" si="15"/>
        <v>0</v>
      </c>
    </row>
    <row r="471" spans="1:15" x14ac:dyDescent="0.25">
      <c r="A471" s="52"/>
      <c r="B471" s="52"/>
      <c r="C471" s="53"/>
      <c r="D471" s="52"/>
      <c r="E471" s="52" t="s">
        <v>305</v>
      </c>
      <c r="F471" s="52">
        <v>0.65</v>
      </c>
      <c r="G471" s="54">
        <v>45</v>
      </c>
      <c r="H471" s="55">
        <v>29.25</v>
      </c>
      <c r="I471" s="55">
        <v>19.375624375624376</v>
      </c>
      <c r="J471" s="55">
        <v>9.8743756243756238</v>
      </c>
      <c r="K471" s="52"/>
      <c r="L471" s="52"/>
      <c r="M471" s="56">
        <f t="shared" si="14"/>
        <v>0</v>
      </c>
      <c r="N471" s="56">
        <f t="shared" si="14"/>
        <v>0</v>
      </c>
      <c r="O471" s="56">
        <f t="shared" si="15"/>
        <v>0</v>
      </c>
    </row>
    <row r="472" spans="1:15" x14ac:dyDescent="0.25">
      <c r="A472" s="52"/>
      <c r="B472" s="52"/>
      <c r="C472" s="53"/>
      <c r="D472" s="52"/>
      <c r="E472" s="52" t="s">
        <v>306</v>
      </c>
      <c r="F472" s="52">
        <v>0.65</v>
      </c>
      <c r="G472" s="54">
        <v>5590</v>
      </c>
      <c r="H472" s="55">
        <v>3633.5000000000005</v>
      </c>
      <c r="I472" s="55">
        <v>2438.4781436991611</v>
      </c>
      <c r="J472" s="55">
        <v>1195.0218563008393</v>
      </c>
      <c r="K472" s="52"/>
      <c r="L472" s="52"/>
      <c r="M472" s="56">
        <f t="shared" si="14"/>
        <v>0</v>
      </c>
      <c r="N472" s="56">
        <f t="shared" si="14"/>
        <v>0</v>
      </c>
      <c r="O472" s="56">
        <f t="shared" si="15"/>
        <v>0</v>
      </c>
    </row>
    <row r="473" spans="1:15" x14ac:dyDescent="0.25">
      <c r="A473" s="52"/>
      <c r="B473" s="52"/>
      <c r="C473" s="53"/>
      <c r="D473" s="52"/>
      <c r="E473" s="52" t="s">
        <v>307</v>
      </c>
      <c r="F473" s="52">
        <v>0.65</v>
      </c>
      <c r="G473" s="54">
        <v>2502</v>
      </c>
      <c r="H473" s="55">
        <v>1626.3000000000002</v>
      </c>
      <c r="I473" s="55">
        <v>1144.3862163578942</v>
      </c>
      <c r="J473" s="55">
        <v>481.91378364210595</v>
      </c>
      <c r="K473" s="52"/>
      <c r="L473" s="52"/>
      <c r="M473" s="56">
        <f t="shared" si="14"/>
        <v>0</v>
      </c>
      <c r="N473" s="56">
        <f t="shared" si="14"/>
        <v>0</v>
      </c>
      <c r="O473" s="56">
        <f t="shared" si="15"/>
        <v>0</v>
      </c>
    </row>
    <row r="474" spans="1:15" x14ac:dyDescent="0.25">
      <c r="A474" s="52"/>
      <c r="B474" s="52"/>
      <c r="C474" s="53"/>
      <c r="D474" s="52"/>
      <c r="E474" s="52" t="s">
        <v>308</v>
      </c>
      <c r="F474" s="52">
        <v>0.69999999999999984</v>
      </c>
      <c r="G474" s="54">
        <v>572</v>
      </c>
      <c r="H474" s="55">
        <v>400.4</v>
      </c>
      <c r="I474" s="55">
        <v>276.21234837959815</v>
      </c>
      <c r="J474" s="55">
        <v>124.18765162040188</v>
      </c>
      <c r="K474" s="52"/>
      <c r="L474" s="52"/>
      <c r="M474" s="56">
        <f t="shared" si="14"/>
        <v>0</v>
      </c>
      <c r="N474" s="56">
        <f t="shared" si="14"/>
        <v>0</v>
      </c>
      <c r="O474" s="56">
        <f t="shared" si="15"/>
        <v>0</v>
      </c>
    </row>
    <row r="475" spans="1:15" x14ac:dyDescent="0.25">
      <c r="A475" s="52"/>
      <c r="B475" s="52"/>
      <c r="C475" s="53"/>
      <c r="D475" s="52"/>
      <c r="E475" s="52" t="s">
        <v>309</v>
      </c>
      <c r="F475" s="52">
        <v>0.65</v>
      </c>
      <c r="G475" s="54">
        <v>651</v>
      </c>
      <c r="H475" s="55">
        <v>423.15</v>
      </c>
      <c r="I475" s="55">
        <v>326.96627188564059</v>
      </c>
      <c r="J475" s="55">
        <v>96.183728114359411</v>
      </c>
      <c r="K475" s="52"/>
      <c r="L475" s="52"/>
      <c r="M475" s="56">
        <f t="shared" si="14"/>
        <v>0</v>
      </c>
      <c r="N475" s="56">
        <f t="shared" si="14"/>
        <v>0</v>
      </c>
      <c r="O475" s="56">
        <f t="shared" si="15"/>
        <v>0</v>
      </c>
    </row>
    <row r="476" spans="1:15" x14ac:dyDescent="0.25">
      <c r="A476" s="52"/>
      <c r="B476" s="52"/>
      <c r="C476" s="53"/>
      <c r="D476" s="52"/>
      <c r="E476" s="52" t="s">
        <v>310</v>
      </c>
      <c r="F476" s="52">
        <v>0.70000000000000007</v>
      </c>
      <c r="G476" s="54">
        <v>11763</v>
      </c>
      <c r="H476" s="55">
        <v>8234.1</v>
      </c>
      <c r="I476" s="55">
        <v>5048.4242779624292</v>
      </c>
      <c r="J476" s="55">
        <v>3185.6757220375712</v>
      </c>
      <c r="K476" s="52"/>
      <c r="L476" s="52"/>
      <c r="M476" s="56">
        <f t="shared" si="14"/>
        <v>0</v>
      </c>
      <c r="N476" s="56">
        <f t="shared" si="14"/>
        <v>0</v>
      </c>
      <c r="O476" s="56">
        <f t="shared" si="15"/>
        <v>0</v>
      </c>
    </row>
    <row r="477" spans="1:15" x14ac:dyDescent="0.25">
      <c r="A477" s="52"/>
      <c r="B477" s="52"/>
      <c r="C477" s="53"/>
      <c r="D477" s="52"/>
      <c r="E477" s="52" t="s">
        <v>311</v>
      </c>
      <c r="F477" s="52">
        <v>0.65</v>
      </c>
      <c r="G477" s="54">
        <v>91</v>
      </c>
      <c r="H477" s="55">
        <v>59.15</v>
      </c>
      <c r="I477" s="55">
        <v>39.18181818181818</v>
      </c>
      <c r="J477" s="55">
        <v>19.968181818181819</v>
      </c>
      <c r="K477" s="52"/>
      <c r="L477" s="52"/>
      <c r="M477" s="56">
        <f t="shared" si="14"/>
        <v>0</v>
      </c>
      <c r="N477" s="56">
        <f t="shared" si="14"/>
        <v>0</v>
      </c>
      <c r="O477" s="56">
        <f t="shared" si="15"/>
        <v>0</v>
      </c>
    </row>
    <row r="478" spans="1:15" x14ac:dyDescent="0.25">
      <c r="A478" s="52"/>
      <c r="B478" s="52"/>
      <c r="C478" s="53" t="s">
        <v>86</v>
      </c>
      <c r="D478" s="52" t="s">
        <v>217</v>
      </c>
      <c r="E478" s="52" t="s">
        <v>334</v>
      </c>
      <c r="F478" s="52">
        <v>0.83</v>
      </c>
      <c r="G478" s="54">
        <v>3237</v>
      </c>
      <c r="H478" s="55">
        <v>2686.7100000000009</v>
      </c>
      <c r="I478" s="55">
        <v>1390.0641097079999</v>
      </c>
      <c r="J478" s="55">
        <v>1296.6458902920008</v>
      </c>
      <c r="K478" s="52"/>
      <c r="L478" s="52"/>
      <c r="M478" s="56">
        <f t="shared" si="14"/>
        <v>0</v>
      </c>
      <c r="N478" s="56">
        <f t="shared" si="14"/>
        <v>0</v>
      </c>
      <c r="O478" s="56">
        <f t="shared" si="15"/>
        <v>0</v>
      </c>
    </row>
    <row r="479" spans="1:15" x14ac:dyDescent="0.25">
      <c r="A479" s="52"/>
      <c r="B479" s="52"/>
      <c r="C479" s="53"/>
      <c r="D479" s="52"/>
      <c r="E479" s="52" t="s">
        <v>330</v>
      </c>
      <c r="F479" s="52">
        <v>0.7</v>
      </c>
      <c r="G479" s="54">
        <v>1994</v>
      </c>
      <c r="H479" s="55">
        <v>1395.8000000000002</v>
      </c>
      <c r="I479" s="55">
        <v>934.85240366355401</v>
      </c>
      <c r="J479" s="55">
        <v>460.94759633644605</v>
      </c>
      <c r="K479" s="52"/>
      <c r="L479" s="52"/>
      <c r="M479" s="56">
        <f t="shared" si="14"/>
        <v>0</v>
      </c>
      <c r="N479" s="56">
        <f t="shared" si="14"/>
        <v>0</v>
      </c>
      <c r="O479" s="56">
        <f t="shared" si="15"/>
        <v>0</v>
      </c>
    </row>
    <row r="480" spans="1:15" x14ac:dyDescent="0.25">
      <c r="A480" s="52"/>
      <c r="B480" s="52"/>
      <c r="C480" s="53"/>
      <c r="D480" s="52"/>
      <c r="E480" s="52" t="s">
        <v>335</v>
      </c>
      <c r="F480" s="52">
        <v>0.70000000000000007</v>
      </c>
      <c r="G480" s="54">
        <v>6696</v>
      </c>
      <c r="H480" s="55">
        <v>4687.2</v>
      </c>
      <c r="I480" s="55">
        <v>3177.0750515658283</v>
      </c>
      <c r="J480" s="55">
        <v>1510.1249484341718</v>
      </c>
      <c r="K480" s="52"/>
      <c r="L480" s="52"/>
      <c r="M480" s="56">
        <f t="shared" si="14"/>
        <v>0</v>
      </c>
      <c r="N480" s="56">
        <f t="shared" si="14"/>
        <v>0</v>
      </c>
      <c r="O480" s="56">
        <f t="shared" si="15"/>
        <v>0</v>
      </c>
    </row>
    <row r="481" spans="1:15" x14ac:dyDescent="0.25">
      <c r="A481" s="52"/>
      <c r="B481" s="52"/>
      <c r="C481" s="53"/>
      <c r="D481" s="52"/>
      <c r="E481" s="52" t="s">
        <v>302</v>
      </c>
      <c r="F481" s="52">
        <v>0.65</v>
      </c>
      <c r="G481" s="54">
        <v>8895</v>
      </c>
      <c r="H481" s="55">
        <v>5781.7499999999991</v>
      </c>
      <c r="I481" s="55">
        <v>2375.3354004531916</v>
      </c>
      <c r="J481" s="55">
        <v>3406.4145995468075</v>
      </c>
      <c r="K481" s="52"/>
      <c r="L481" s="52"/>
      <c r="M481" s="56">
        <f t="shared" si="14"/>
        <v>0</v>
      </c>
      <c r="N481" s="56">
        <f t="shared" si="14"/>
        <v>0</v>
      </c>
      <c r="O481" s="56">
        <f t="shared" si="15"/>
        <v>0</v>
      </c>
    </row>
    <row r="482" spans="1:15" x14ac:dyDescent="0.25">
      <c r="A482" s="52"/>
      <c r="B482" s="52"/>
      <c r="C482" s="53"/>
      <c r="D482" s="52"/>
      <c r="E482" s="52" t="s">
        <v>304</v>
      </c>
      <c r="F482" s="52">
        <v>0.65</v>
      </c>
      <c r="G482" s="54">
        <v>7362</v>
      </c>
      <c r="H482" s="55">
        <v>4785.3</v>
      </c>
      <c r="I482" s="55">
        <v>2727.0596933358352</v>
      </c>
      <c r="J482" s="55">
        <v>2058.240306664165</v>
      </c>
      <c r="K482" s="52"/>
      <c r="L482" s="52"/>
      <c r="M482" s="56">
        <f t="shared" si="14"/>
        <v>0</v>
      </c>
      <c r="N482" s="56">
        <f t="shared" si="14"/>
        <v>0</v>
      </c>
      <c r="O482" s="56">
        <f t="shared" si="15"/>
        <v>0</v>
      </c>
    </row>
    <row r="483" spans="1:15" x14ac:dyDescent="0.25">
      <c r="A483" s="52"/>
      <c r="B483" s="52"/>
      <c r="C483" s="53"/>
      <c r="D483" s="52"/>
      <c r="E483" s="52" t="s">
        <v>336</v>
      </c>
      <c r="F483" s="52">
        <v>0.65</v>
      </c>
      <c r="G483" s="54">
        <v>110</v>
      </c>
      <c r="H483" s="55">
        <v>71.5</v>
      </c>
      <c r="I483" s="55">
        <v>38.09573502562359</v>
      </c>
      <c r="J483" s="55">
        <v>33.404264974376403</v>
      </c>
      <c r="K483" s="52"/>
      <c r="L483" s="52"/>
      <c r="M483" s="56">
        <f t="shared" si="14"/>
        <v>0</v>
      </c>
      <c r="N483" s="56">
        <f t="shared" si="14"/>
        <v>0</v>
      </c>
      <c r="O483" s="56">
        <f t="shared" si="15"/>
        <v>0</v>
      </c>
    </row>
    <row r="484" spans="1:15" x14ac:dyDescent="0.25">
      <c r="A484" s="52"/>
      <c r="B484" s="52"/>
      <c r="C484" s="53"/>
      <c r="D484" s="52"/>
      <c r="E484" s="52" t="s">
        <v>306</v>
      </c>
      <c r="F484" s="52">
        <v>0.65</v>
      </c>
      <c r="G484" s="54">
        <v>3681</v>
      </c>
      <c r="H484" s="55">
        <v>2392.65</v>
      </c>
      <c r="I484" s="55">
        <v>1260.3116180118045</v>
      </c>
      <c r="J484" s="55">
        <v>1132.3383819881954</v>
      </c>
      <c r="K484" s="52"/>
      <c r="L484" s="52"/>
      <c r="M484" s="56">
        <f t="shared" si="14"/>
        <v>0</v>
      </c>
      <c r="N484" s="56">
        <f t="shared" si="14"/>
        <v>0</v>
      </c>
      <c r="O484" s="56">
        <f t="shared" si="15"/>
        <v>0</v>
      </c>
    </row>
    <row r="485" spans="1:15" x14ac:dyDescent="0.25">
      <c r="A485" s="52"/>
      <c r="B485" s="52"/>
      <c r="C485" s="53"/>
      <c r="D485" s="52"/>
      <c r="E485" s="52" t="s">
        <v>337</v>
      </c>
      <c r="F485" s="52">
        <v>0.65</v>
      </c>
      <c r="G485" s="54">
        <v>368</v>
      </c>
      <c r="H485" s="55">
        <v>239.2</v>
      </c>
      <c r="I485" s="55">
        <v>127.64427987464551</v>
      </c>
      <c r="J485" s="55">
        <v>111.55572012535448</v>
      </c>
      <c r="K485" s="52"/>
      <c r="L485" s="52"/>
      <c r="M485" s="56">
        <f t="shared" si="14"/>
        <v>0</v>
      </c>
      <c r="N485" s="56">
        <f t="shared" si="14"/>
        <v>0</v>
      </c>
      <c r="O485" s="56">
        <f t="shared" si="15"/>
        <v>0</v>
      </c>
    </row>
    <row r="486" spans="1:15" x14ac:dyDescent="0.25">
      <c r="A486" s="52"/>
      <c r="B486" s="52"/>
      <c r="C486" s="53"/>
      <c r="D486" s="52"/>
      <c r="E486" s="52" t="s">
        <v>338</v>
      </c>
      <c r="F486" s="52">
        <v>0.65</v>
      </c>
      <c r="G486" s="54">
        <v>14087</v>
      </c>
      <c r="H486" s="55">
        <v>9156.5500000000011</v>
      </c>
      <c r="I486" s="55">
        <v>4975.1122451958054</v>
      </c>
      <c r="J486" s="55">
        <v>4181.4377548041948</v>
      </c>
      <c r="K486" s="52"/>
      <c r="L486" s="52"/>
      <c r="M486" s="56">
        <f t="shared" si="14"/>
        <v>0</v>
      </c>
      <c r="N486" s="56">
        <f t="shared" si="14"/>
        <v>0</v>
      </c>
      <c r="O486" s="56">
        <f t="shared" si="15"/>
        <v>0</v>
      </c>
    </row>
    <row r="487" spans="1:15" x14ac:dyDescent="0.25">
      <c r="A487" s="52"/>
      <c r="B487" s="52"/>
      <c r="C487" s="53"/>
      <c r="D487" s="52"/>
      <c r="E487" s="52" t="s">
        <v>307</v>
      </c>
      <c r="F487" s="52">
        <v>0.65</v>
      </c>
      <c r="G487" s="54">
        <v>2260</v>
      </c>
      <c r="H487" s="55">
        <v>1469</v>
      </c>
      <c r="I487" s="55">
        <v>846.40210821974392</v>
      </c>
      <c r="J487" s="55">
        <v>622.59789178025608</v>
      </c>
      <c r="K487" s="52"/>
      <c r="L487" s="52"/>
      <c r="M487" s="56">
        <f t="shared" si="14"/>
        <v>0</v>
      </c>
      <c r="N487" s="56">
        <f t="shared" si="14"/>
        <v>0</v>
      </c>
      <c r="O487" s="56">
        <f t="shared" si="15"/>
        <v>0</v>
      </c>
    </row>
    <row r="488" spans="1:15" x14ac:dyDescent="0.25">
      <c r="A488" s="52"/>
      <c r="B488" s="52"/>
      <c r="C488" s="53"/>
      <c r="D488" s="52"/>
      <c r="E488" s="52" t="s">
        <v>339</v>
      </c>
      <c r="F488" s="52">
        <v>0.65</v>
      </c>
      <c r="G488" s="54">
        <v>648</v>
      </c>
      <c r="H488" s="55">
        <v>421.2</v>
      </c>
      <c r="I488" s="55">
        <v>248.25599999999997</v>
      </c>
      <c r="J488" s="55">
        <v>172.94400000000002</v>
      </c>
      <c r="K488" s="52"/>
      <c r="L488" s="52"/>
      <c r="M488" s="56">
        <f t="shared" si="14"/>
        <v>0</v>
      </c>
      <c r="N488" s="56">
        <f t="shared" si="14"/>
        <v>0</v>
      </c>
      <c r="O488" s="56">
        <f t="shared" si="15"/>
        <v>0</v>
      </c>
    </row>
    <row r="489" spans="1:15" x14ac:dyDescent="0.25">
      <c r="A489" s="52"/>
      <c r="B489" s="52"/>
      <c r="C489" s="53"/>
      <c r="D489" s="52"/>
      <c r="E489" s="52" t="s">
        <v>321</v>
      </c>
      <c r="F489" s="52">
        <v>0.77</v>
      </c>
      <c r="G489" s="54">
        <v>5</v>
      </c>
      <c r="H489" s="55">
        <v>3.85</v>
      </c>
      <c r="I489" s="55">
        <v>1.7913549459684124</v>
      </c>
      <c r="J489" s="55">
        <v>2.0586450540315875</v>
      </c>
      <c r="K489" s="52"/>
      <c r="L489" s="52"/>
      <c r="M489" s="56">
        <f t="shared" si="14"/>
        <v>0</v>
      </c>
      <c r="N489" s="56">
        <f t="shared" si="14"/>
        <v>0</v>
      </c>
      <c r="O489" s="56">
        <f t="shared" si="15"/>
        <v>0</v>
      </c>
    </row>
    <row r="490" spans="1:15" x14ac:dyDescent="0.25">
      <c r="A490" s="52"/>
      <c r="B490" s="52"/>
      <c r="C490" s="53" t="s">
        <v>79</v>
      </c>
      <c r="D490" s="52" t="s">
        <v>217</v>
      </c>
      <c r="E490" s="52" t="s">
        <v>334</v>
      </c>
      <c r="F490" s="52">
        <v>0.83</v>
      </c>
      <c r="G490" s="54">
        <v>3238</v>
      </c>
      <c r="H490" s="55">
        <v>2687.5400000000004</v>
      </c>
      <c r="I490" s="55">
        <v>1390.80268442747</v>
      </c>
      <c r="J490" s="55">
        <v>1296.73731557253</v>
      </c>
      <c r="K490" s="52"/>
      <c r="L490" s="52"/>
      <c r="M490" s="56">
        <f t="shared" si="14"/>
        <v>0</v>
      </c>
      <c r="N490" s="56">
        <f t="shared" si="14"/>
        <v>0</v>
      </c>
      <c r="O490" s="56">
        <f t="shared" si="15"/>
        <v>0</v>
      </c>
    </row>
    <row r="491" spans="1:15" x14ac:dyDescent="0.25">
      <c r="A491" s="52"/>
      <c r="B491" s="52"/>
      <c r="C491" s="53"/>
      <c r="D491" s="52"/>
      <c r="E491" s="52" t="s">
        <v>330</v>
      </c>
      <c r="F491" s="52">
        <v>0.7</v>
      </c>
      <c r="G491" s="54">
        <v>1992</v>
      </c>
      <c r="H491" s="55">
        <v>1394.4</v>
      </c>
      <c r="I491" s="55">
        <v>934.29061923659083</v>
      </c>
      <c r="J491" s="55">
        <v>460.10938076340909</v>
      </c>
      <c r="K491" s="52"/>
      <c r="L491" s="52"/>
      <c r="M491" s="56">
        <f t="shared" si="14"/>
        <v>0</v>
      </c>
      <c r="N491" s="56">
        <f t="shared" si="14"/>
        <v>0</v>
      </c>
      <c r="O491" s="56">
        <f t="shared" si="15"/>
        <v>0</v>
      </c>
    </row>
    <row r="492" spans="1:15" x14ac:dyDescent="0.25">
      <c r="A492" s="52"/>
      <c r="B492" s="52"/>
      <c r="C492" s="53"/>
      <c r="D492" s="52"/>
      <c r="E492" s="52" t="s">
        <v>335</v>
      </c>
      <c r="F492" s="52">
        <v>0.70000000000000007</v>
      </c>
      <c r="G492" s="54">
        <v>6698</v>
      </c>
      <c r="H492" s="55">
        <v>4688.5999999999995</v>
      </c>
      <c r="I492" s="55">
        <v>3177.5473951377771</v>
      </c>
      <c r="J492" s="55">
        <v>1511.0526048622232</v>
      </c>
      <c r="K492" s="52"/>
      <c r="L492" s="52"/>
      <c r="M492" s="56">
        <f t="shared" si="14"/>
        <v>0</v>
      </c>
      <c r="N492" s="56">
        <f t="shared" si="14"/>
        <v>0</v>
      </c>
      <c r="O492" s="56">
        <f t="shared" si="15"/>
        <v>0</v>
      </c>
    </row>
    <row r="493" spans="1:15" x14ac:dyDescent="0.25">
      <c r="A493" s="52"/>
      <c r="B493" s="52"/>
      <c r="C493" s="53"/>
      <c r="D493" s="52"/>
      <c r="E493" s="52" t="s">
        <v>302</v>
      </c>
      <c r="F493" s="52">
        <v>0.65</v>
      </c>
      <c r="G493" s="54">
        <v>8896</v>
      </c>
      <c r="H493" s="55">
        <v>5782.4000000000005</v>
      </c>
      <c r="I493" s="55">
        <v>2375.8790267714548</v>
      </c>
      <c r="J493" s="55">
        <v>3406.5209732285452</v>
      </c>
      <c r="K493" s="52"/>
      <c r="L493" s="52"/>
      <c r="M493" s="56">
        <f t="shared" si="14"/>
        <v>0</v>
      </c>
      <c r="N493" s="56">
        <f t="shared" si="14"/>
        <v>0</v>
      </c>
      <c r="O493" s="56">
        <f t="shared" si="15"/>
        <v>0</v>
      </c>
    </row>
    <row r="494" spans="1:15" x14ac:dyDescent="0.25">
      <c r="A494" s="52"/>
      <c r="B494" s="52"/>
      <c r="C494" s="53"/>
      <c r="D494" s="52"/>
      <c r="E494" s="52" t="s">
        <v>304</v>
      </c>
      <c r="F494" s="52">
        <v>0.65</v>
      </c>
      <c r="G494" s="54">
        <v>7363</v>
      </c>
      <c r="H494" s="55">
        <v>4785.9500000000007</v>
      </c>
      <c r="I494" s="55">
        <v>2727.1727377032539</v>
      </c>
      <c r="J494" s="55">
        <v>2058.7772622967468</v>
      </c>
      <c r="K494" s="52"/>
      <c r="L494" s="52"/>
      <c r="M494" s="56">
        <f t="shared" si="14"/>
        <v>0</v>
      </c>
      <c r="N494" s="56">
        <f t="shared" si="14"/>
        <v>0</v>
      </c>
      <c r="O494" s="56">
        <f t="shared" si="15"/>
        <v>0</v>
      </c>
    </row>
    <row r="495" spans="1:15" x14ac:dyDescent="0.25">
      <c r="A495" s="52"/>
      <c r="B495" s="52"/>
      <c r="C495" s="53"/>
      <c r="D495" s="52"/>
      <c r="E495" s="52" t="s">
        <v>336</v>
      </c>
      <c r="F495" s="52">
        <v>0.65</v>
      </c>
      <c r="G495" s="54">
        <v>108</v>
      </c>
      <c r="H495" s="55">
        <v>70.2</v>
      </c>
      <c r="I495" s="55">
        <v>37.349912892315253</v>
      </c>
      <c r="J495" s="55">
        <v>32.85008710768475</v>
      </c>
      <c r="K495" s="52"/>
      <c r="L495" s="52"/>
      <c r="M495" s="56">
        <f t="shared" si="14"/>
        <v>0</v>
      </c>
      <c r="N495" s="56">
        <f t="shared" si="14"/>
        <v>0</v>
      </c>
      <c r="O495" s="56">
        <f t="shared" si="15"/>
        <v>0</v>
      </c>
    </row>
    <row r="496" spans="1:15" x14ac:dyDescent="0.25">
      <c r="A496" s="52"/>
      <c r="B496" s="52"/>
      <c r="C496" s="53"/>
      <c r="D496" s="52"/>
      <c r="E496" s="52" t="s">
        <v>306</v>
      </c>
      <c r="F496" s="52">
        <v>0.65</v>
      </c>
      <c r="G496" s="54">
        <v>3679</v>
      </c>
      <c r="H496" s="55">
        <v>2391.35</v>
      </c>
      <c r="I496" s="55">
        <v>1259.5970413121479</v>
      </c>
      <c r="J496" s="55">
        <v>1131.7529586878522</v>
      </c>
      <c r="K496" s="52"/>
      <c r="L496" s="52"/>
      <c r="M496" s="56">
        <f t="shared" si="14"/>
        <v>0</v>
      </c>
      <c r="N496" s="56">
        <f t="shared" si="14"/>
        <v>0</v>
      </c>
      <c r="O496" s="56">
        <f t="shared" si="15"/>
        <v>0</v>
      </c>
    </row>
    <row r="497" spans="1:15" x14ac:dyDescent="0.25">
      <c r="A497" s="52"/>
      <c r="B497" s="52"/>
      <c r="C497" s="53"/>
      <c r="D497" s="52"/>
      <c r="E497" s="52" t="s">
        <v>337</v>
      </c>
      <c r="F497" s="52">
        <v>0.65</v>
      </c>
      <c r="G497" s="54">
        <v>367</v>
      </c>
      <c r="H497" s="55">
        <v>238.54999999999998</v>
      </c>
      <c r="I497" s="55">
        <v>127.32204349664649</v>
      </c>
      <c r="J497" s="55">
        <v>111.2279565033535</v>
      </c>
      <c r="K497" s="52"/>
      <c r="L497" s="52"/>
      <c r="M497" s="56">
        <f t="shared" si="14"/>
        <v>0</v>
      </c>
      <c r="N497" s="56">
        <f t="shared" si="14"/>
        <v>0</v>
      </c>
      <c r="O497" s="56">
        <f t="shared" si="15"/>
        <v>0</v>
      </c>
    </row>
    <row r="498" spans="1:15" x14ac:dyDescent="0.25">
      <c r="A498" s="52"/>
      <c r="B498" s="52"/>
      <c r="C498" s="53"/>
      <c r="D498" s="52"/>
      <c r="E498" s="52" t="s">
        <v>338</v>
      </c>
      <c r="F498" s="52">
        <v>0.65</v>
      </c>
      <c r="G498" s="54">
        <v>14089</v>
      </c>
      <c r="H498" s="55">
        <v>9157.85</v>
      </c>
      <c r="I498" s="55">
        <v>4975.9604783160321</v>
      </c>
      <c r="J498" s="55">
        <v>4181.8895216839683</v>
      </c>
      <c r="K498" s="52"/>
      <c r="L498" s="52"/>
      <c r="M498" s="56">
        <f t="shared" si="14"/>
        <v>0</v>
      </c>
      <c r="N498" s="56">
        <f t="shared" si="14"/>
        <v>0</v>
      </c>
      <c r="O498" s="56">
        <f t="shared" si="15"/>
        <v>0</v>
      </c>
    </row>
    <row r="499" spans="1:15" x14ac:dyDescent="0.25">
      <c r="A499" s="52"/>
      <c r="B499" s="52"/>
      <c r="C499" s="53"/>
      <c r="D499" s="52"/>
      <c r="E499" s="52" t="s">
        <v>307</v>
      </c>
      <c r="F499" s="52">
        <v>0.65</v>
      </c>
      <c r="G499" s="54">
        <v>2260</v>
      </c>
      <c r="H499" s="55">
        <v>1469</v>
      </c>
      <c r="I499" s="55">
        <v>846.16655574253923</v>
      </c>
      <c r="J499" s="55">
        <v>622.83344425746077</v>
      </c>
      <c r="K499" s="52"/>
      <c r="L499" s="52"/>
      <c r="M499" s="56">
        <f t="shared" si="14"/>
        <v>0</v>
      </c>
      <c r="N499" s="56">
        <f t="shared" si="14"/>
        <v>0</v>
      </c>
      <c r="O499" s="56">
        <f t="shared" si="15"/>
        <v>0</v>
      </c>
    </row>
    <row r="500" spans="1:15" x14ac:dyDescent="0.25">
      <c r="A500" s="52"/>
      <c r="B500" s="52"/>
      <c r="C500" s="53"/>
      <c r="D500" s="52"/>
      <c r="E500" s="52" t="s">
        <v>339</v>
      </c>
      <c r="F500" s="52">
        <v>0.65</v>
      </c>
      <c r="G500" s="54">
        <v>647</v>
      </c>
      <c r="H500" s="55">
        <v>420.55</v>
      </c>
      <c r="I500" s="55">
        <v>247.76277210128833</v>
      </c>
      <c r="J500" s="55">
        <v>172.78722789871168</v>
      </c>
      <c r="K500" s="52"/>
      <c r="L500" s="52"/>
      <c r="M500" s="56">
        <f t="shared" si="14"/>
        <v>0</v>
      </c>
      <c r="N500" s="56">
        <f t="shared" si="14"/>
        <v>0</v>
      </c>
      <c r="O500" s="56">
        <f t="shared" si="15"/>
        <v>0</v>
      </c>
    </row>
    <row r="501" spans="1:15" x14ac:dyDescent="0.25">
      <c r="A501" s="52"/>
      <c r="B501" s="52"/>
      <c r="C501" s="53"/>
      <c r="D501" s="52"/>
      <c r="E501" s="52" t="s">
        <v>321</v>
      </c>
      <c r="F501" s="52">
        <v>0.77</v>
      </c>
      <c r="G501" s="54">
        <v>6</v>
      </c>
      <c r="H501" s="55">
        <v>4.62</v>
      </c>
      <c r="I501" s="55">
        <v>2.1487328624844206</v>
      </c>
      <c r="J501" s="55">
        <v>2.4712671375155795</v>
      </c>
      <c r="K501" s="52"/>
      <c r="L501" s="52"/>
      <c r="M501" s="56">
        <f t="shared" si="14"/>
        <v>0</v>
      </c>
      <c r="N501" s="56">
        <f t="shared" si="14"/>
        <v>0</v>
      </c>
      <c r="O501" s="56">
        <f t="shared" si="15"/>
        <v>0</v>
      </c>
    </row>
    <row r="502" spans="1:15" x14ac:dyDescent="0.25">
      <c r="A502" s="52"/>
      <c r="B502" s="52"/>
      <c r="C502" s="53" t="s">
        <v>115</v>
      </c>
      <c r="D502" s="52" t="s">
        <v>217</v>
      </c>
      <c r="E502" s="52" t="s">
        <v>340</v>
      </c>
      <c r="F502" s="52">
        <v>0.75</v>
      </c>
      <c r="G502" s="54">
        <v>1835</v>
      </c>
      <c r="H502" s="55">
        <v>1376.25</v>
      </c>
      <c r="I502" s="55">
        <v>826.13520125485888</v>
      </c>
      <c r="J502" s="55">
        <v>550.11479874514112</v>
      </c>
      <c r="K502" s="52"/>
      <c r="L502" s="52"/>
      <c r="M502" s="56">
        <f t="shared" si="14"/>
        <v>0</v>
      </c>
      <c r="N502" s="56">
        <f t="shared" si="14"/>
        <v>0</v>
      </c>
      <c r="O502" s="56">
        <f t="shared" si="15"/>
        <v>0</v>
      </c>
    </row>
    <row r="503" spans="1:15" x14ac:dyDescent="0.25">
      <c r="A503" s="52"/>
      <c r="B503" s="52"/>
      <c r="C503" s="53"/>
      <c r="D503" s="52"/>
      <c r="E503" s="52" t="s">
        <v>331</v>
      </c>
      <c r="F503" s="52">
        <v>0.83</v>
      </c>
      <c r="G503" s="54">
        <v>2949</v>
      </c>
      <c r="H503" s="55">
        <v>2447.67</v>
      </c>
      <c r="I503" s="55">
        <v>1334.8416260146223</v>
      </c>
      <c r="J503" s="55">
        <v>1112.8283739853775</v>
      </c>
      <c r="K503" s="52"/>
      <c r="L503" s="52"/>
      <c r="M503" s="56">
        <f t="shared" si="14"/>
        <v>0</v>
      </c>
      <c r="N503" s="56">
        <f t="shared" si="14"/>
        <v>0</v>
      </c>
      <c r="O503" s="56">
        <f t="shared" si="15"/>
        <v>0</v>
      </c>
    </row>
    <row r="504" spans="1:15" x14ac:dyDescent="0.25">
      <c r="A504" s="52"/>
      <c r="B504" s="52"/>
      <c r="C504" s="53"/>
      <c r="D504" s="52"/>
      <c r="E504" s="52" t="s">
        <v>341</v>
      </c>
      <c r="F504" s="52">
        <v>0.65</v>
      </c>
      <c r="G504" s="54">
        <v>2684</v>
      </c>
      <c r="H504" s="55">
        <v>1744.6</v>
      </c>
      <c r="I504" s="55">
        <v>1193.4865107155008</v>
      </c>
      <c r="J504" s="55">
        <v>551.113489284499</v>
      </c>
      <c r="K504" s="52"/>
      <c r="L504" s="52"/>
      <c r="M504" s="56">
        <f t="shared" si="14"/>
        <v>0</v>
      </c>
      <c r="N504" s="56">
        <f t="shared" si="14"/>
        <v>0</v>
      </c>
      <c r="O504" s="56">
        <f t="shared" si="15"/>
        <v>0</v>
      </c>
    </row>
    <row r="505" spans="1:15" x14ac:dyDescent="0.25">
      <c r="A505" s="52"/>
      <c r="B505" s="52"/>
      <c r="C505" s="53"/>
      <c r="D505" s="52"/>
      <c r="E505" s="52" t="s">
        <v>342</v>
      </c>
      <c r="F505" s="52">
        <v>0.7599999999999999</v>
      </c>
      <c r="G505" s="54">
        <v>7058</v>
      </c>
      <c r="H505" s="55">
        <v>5364.0800000000017</v>
      </c>
      <c r="I505" s="55">
        <v>2618.8517718999756</v>
      </c>
      <c r="J505" s="55">
        <v>2745.2282281000244</v>
      </c>
      <c r="K505" s="52"/>
      <c r="L505" s="52"/>
      <c r="M505" s="56">
        <f t="shared" si="14"/>
        <v>0</v>
      </c>
      <c r="N505" s="56">
        <f t="shared" si="14"/>
        <v>0</v>
      </c>
      <c r="O505" s="56">
        <f t="shared" si="15"/>
        <v>0</v>
      </c>
    </row>
    <row r="506" spans="1:15" x14ac:dyDescent="0.25">
      <c r="A506" s="52"/>
      <c r="B506" s="52"/>
      <c r="C506" s="53"/>
      <c r="D506" s="52"/>
      <c r="E506" s="52" t="s">
        <v>322</v>
      </c>
      <c r="F506" s="52">
        <v>0.7</v>
      </c>
      <c r="G506" s="54">
        <v>1687</v>
      </c>
      <c r="H506" s="55">
        <v>1180.8999999999999</v>
      </c>
      <c r="I506" s="55">
        <v>819.98194317670823</v>
      </c>
      <c r="J506" s="55">
        <v>360.91805682329175</v>
      </c>
      <c r="K506" s="52"/>
      <c r="L506" s="52"/>
      <c r="M506" s="56">
        <f t="shared" si="14"/>
        <v>0</v>
      </c>
      <c r="N506" s="56">
        <f t="shared" si="14"/>
        <v>0</v>
      </c>
      <c r="O506" s="56">
        <f t="shared" si="15"/>
        <v>0</v>
      </c>
    </row>
    <row r="507" spans="1:15" x14ac:dyDescent="0.25">
      <c r="A507" s="52"/>
      <c r="B507" s="52"/>
      <c r="C507" s="53"/>
      <c r="D507" s="52"/>
      <c r="E507" s="52" t="s">
        <v>343</v>
      </c>
      <c r="F507" s="52">
        <v>1.01</v>
      </c>
      <c r="G507" s="54">
        <v>1052</v>
      </c>
      <c r="H507" s="55">
        <v>1062.52</v>
      </c>
      <c r="I507" s="55">
        <v>503.79111111111109</v>
      </c>
      <c r="J507" s="55">
        <v>558.72888888888883</v>
      </c>
      <c r="K507" s="52"/>
      <c r="L507" s="52"/>
      <c r="M507" s="56">
        <f t="shared" si="14"/>
        <v>0</v>
      </c>
      <c r="N507" s="56">
        <f t="shared" si="14"/>
        <v>0</v>
      </c>
      <c r="O507" s="56">
        <f t="shared" si="15"/>
        <v>0</v>
      </c>
    </row>
    <row r="508" spans="1:15" x14ac:dyDescent="0.25">
      <c r="A508" s="52"/>
      <c r="B508" s="52"/>
      <c r="C508" s="53"/>
      <c r="D508" s="52"/>
      <c r="E508" s="52" t="s">
        <v>344</v>
      </c>
      <c r="F508" s="52">
        <v>0.73999999999999988</v>
      </c>
      <c r="G508" s="54">
        <v>2427</v>
      </c>
      <c r="H508" s="55">
        <v>1795.98</v>
      </c>
      <c r="I508" s="55">
        <v>809.43341604333625</v>
      </c>
      <c r="J508" s="55">
        <v>986.54658395666377</v>
      </c>
      <c r="K508" s="52"/>
      <c r="L508" s="52"/>
      <c r="M508" s="56">
        <f t="shared" si="14"/>
        <v>0</v>
      </c>
      <c r="N508" s="56">
        <f t="shared" si="14"/>
        <v>0</v>
      </c>
      <c r="O508" s="56">
        <f t="shared" si="15"/>
        <v>0</v>
      </c>
    </row>
    <row r="509" spans="1:15" x14ac:dyDescent="0.25">
      <c r="A509" s="52"/>
      <c r="B509" s="52"/>
      <c r="C509" s="53"/>
      <c r="D509" s="52"/>
      <c r="E509" s="52" t="s">
        <v>323</v>
      </c>
      <c r="F509" s="52">
        <v>0.7</v>
      </c>
      <c r="G509" s="54">
        <v>1836</v>
      </c>
      <c r="H509" s="55">
        <v>1285.2</v>
      </c>
      <c r="I509" s="55">
        <v>772.42850107565903</v>
      </c>
      <c r="J509" s="55">
        <v>512.77149892434102</v>
      </c>
      <c r="K509" s="52"/>
      <c r="L509" s="52"/>
      <c r="M509" s="56">
        <f t="shared" si="14"/>
        <v>0</v>
      </c>
      <c r="N509" s="56">
        <f t="shared" si="14"/>
        <v>0</v>
      </c>
      <c r="O509" s="56">
        <f t="shared" si="15"/>
        <v>0</v>
      </c>
    </row>
    <row r="510" spans="1:15" x14ac:dyDescent="0.25">
      <c r="A510" s="52"/>
      <c r="B510" s="52"/>
      <c r="C510" s="53"/>
      <c r="D510" s="52"/>
      <c r="E510" s="52" t="s">
        <v>345</v>
      </c>
      <c r="F510" s="52">
        <v>0.77</v>
      </c>
      <c r="G510" s="54">
        <v>6886</v>
      </c>
      <c r="H510" s="55">
        <v>5302.22</v>
      </c>
      <c r="I510" s="55">
        <v>2445.6459059849581</v>
      </c>
      <c r="J510" s="55">
        <v>2856.5740940150413</v>
      </c>
      <c r="K510" s="52"/>
      <c r="L510" s="52"/>
      <c r="M510" s="56">
        <f t="shared" si="14"/>
        <v>0</v>
      </c>
      <c r="N510" s="56">
        <f t="shared" si="14"/>
        <v>0</v>
      </c>
      <c r="O510" s="56">
        <f t="shared" si="15"/>
        <v>0</v>
      </c>
    </row>
    <row r="511" spans="1:15" x14ac:dyDescent="0.25">
      <c r="A511" s="52"/>
      <c r="B511" s="52"/>
      <c r="C511" s="53"/>
      <c r="D511" s="52"/>
      <c r="E511" s="52" t="s">
        <v>346</v>
      </c>
      <c r="F511" s="52">
        <v>0.7</v>
      </c>
      <c r="G511" s="54">
        <v>1784</v>
      </c>
      <c r="H511" s="55">
        <v>1248.8</v>
      </c>
      <c r="I511" s="55">
        <v>770.23307223118206</v>
      </c>
      <c r="J511" s="55">
        <v>478.56692776881795</v>
      </c>
      <c r="K511" s="52"/>
      <c r="L511" s="52"/>
      <c r="M511" s="56">
        <f t="shared" si="14"/>
        <v>0</v>
      </c>
      <c r="N511" s="56">
        <f t="shared" si="14"/>
        <v>0</v>
      </c>
      <c r="O511" s="56">
        <f t="shared" si="15"/>
        <v>0</v>
      </c>
    </row>
    <row r="512" spans="1:15" x14ac:dyDescent="0.25">
      <c r="A512" s="52"/>
      <c r="B512" s="52"/>
      <c r="C512" s="53"/>
      <c r="D512" s="52"/>
      <c r="E512" s="52" t="s">
        <v>347</v>
      </c>
      <c r="F512" s="52">
        <v>0.69999999999999984</v>
      </c>
      <c r="G512" s="54">
        <v>305</v>
      </c>
      <c r="H512" s="55">
        <v>213.5</v>
      </c>
      <c r="I512" s="55">
        <v>158.04240068405568</v>
      </c>
      <c r="J512" s="55">
        <v>55.457599315944314</v>
      </c>
      <c r="K512" s="52"/>
      <c r="L512" s="52"/>
      <c r="M512" s="56">
        <f t="shared" si="14"/>
        <v>0</v>
      </c>
      <c r="N512" s="56">
        <f t="shared" si="14"/>
        <v>0</v>
      </c>
      <c r="O512" s="56">
        <f t="shared" si="15"/>
        <v>0</v>
      </c>
    </row>
    <row r="513" spans="1:15" x14ac:dyDescent="0.25">
      <c r="A513" s="52"/>
      <c r="B513" s="52"/>
      <c r="C513" s="53"/>
      <c r="D513" s="52"/>
      <c r="E513" s="52" t="s">
        <v>348</v>
      </c>
      <c r="F513" s="52">
        <v>0.74</v>
      </c>
      <c r="G513" s="54">
        <v>2378</v>
      </c>
      <c r="H513" s="55">
        <v>1759.72</v>
      </c>
      <c r="I513" s="55">
        <v>781.9328631807407</v>
      </c>
      <c r="J513" s="55">
        <v>977.78713681925933</v>
      </c>
      <c r="K513" s="52"/>
      <c r="L513" s="52"/>
      <c r="M513" s="56">
        <f t="shared" si="14"/>
        <v>0</v>
      </c>
      <c r="N513" s="56">
        <f t="shared" si="14"/>
        <v>0</v>
      </c>
      <c r="O513" s="56">
        <f t="shared" si="15"/>
        <v>0</v>
      </c>
    </row>
    <row r="514" spans="1:15" x14ac:dyDescent="0.25">
      <c r="A514" s="52"/>
      <c r="B514" s="52"/>
      <c r="C514" s="53"/>
      <c r="D514" s="52"/>
      <c r="E514" s="52" t="s">
        <v>349</v>
      </c>
      <c r="F514" s="52">
        <v>0.7</v>
      </c>
      <c r="G514" s="54">
        <v>39</v>
      </c>
      <c r="H514" s="55">
        <v>27.3</v>
      </c>
      <c r="I514" s="55">
        <v>12.744776247602141</v>
      </c>
      <c r="J514" s="55">
        <v>14.555223752397859</v>
      </c>
      <c r="K514" s="52"/>
      <c r="L514" s="52"/>
      <c r="M514" s="56">
        <f t="shared" si="14"/>
        <v>0</v>
      </c>
      <c r="N514" s="56">
        <f t="shared" si="14"/>
        <v>0</v>
      </c>
      <c r="O514" s="56">
        <f t="shared" si="15"/>
        <v>0</v>
      </c>
    </row>
    <row r="515" spans="1:15" x14ac:dyDescent="0.25">
      <c r="A515" s="52"/>
      <c r="B515" s="52"/>
      <c r="C515" s="53"/>
      <c r="D515" s="52"/>
      <c r="E515" s="52" t="s">
        <v>350</v>
      </c>
      <c r="F515" s="52">
        <v>0.7</v>
      </c>
      <c r="G515" s="54">
        <v>6472</v>
      </c>
      <c r="H515" s="55">
        <v>4530.3999999999996</v>
      </c>
      <c r="I515" s="55">
        <v>2844.9302387227367</v>
      </c>
      <c r="J515" s="55">
        <v>1685.4697612772634</v>
      </c>
      <c r="K515" s="52"/>
      <c r="L515" s="52"/>
      <c r="M515" s="56">
        <f t="shared" si="14"/>
        <v>0</v>
      </c>
      <c r="N515" s="56">
        <f t="shared" si="14"/>
        <v>0</v>
      </c>
      <c r="O515" s="56">
        <f t="shared" si="15"/>
        <v>0</v>
      </c>
    </row>
    <row r="516" spans="1:15" x14ac:dyDescent="0.25">
      <c r="A516" s="52"/>
      <c r="B516" s="52"/>
      <c r="C516" s="53"/>
      <c r="D516" s="52"/>
      <c r="E516" s="52" t="s">
        <v>351</v>
      </c>
      <c r="F516" s="52">
        <v>0.83</v>
      </c>
      <c r="G516" s="54">
        <v>418</v>
      </c>
      <c r="H516" s="55">
        <v>346.94</v>
      </c>
      <c r="I516" s="55">
        <v>231.71446945337621</v>
      </c>
      <c r="J516" s="55">
        <v>115.22553054662379</v>
      </c>
      <c r="K516" s="52"/>
      <c r="L516" s="52"/>
      <c r="M516" s="56">
        <f t="shared" si="14"/>
        <v>0</v>
      </c>
      <c r="N516" s="56">
        <f t="shared" si="14"/>
        <v>0</v>
      </c>
      <c r="O516" s="56">
        <f t="shared" si="15"/>
        <v>0</v>
      </c>
    </row>
    <row r="517" spans="1:15" x14ac:dyDescent="0.25">
      <c r="A517" s="52"/>
      <c r="B517" s="52"/>
      <c r="C517" s="53"/>
      <c r="D517" s="52"/>
      <c r="E517" s="52" t="s">
        <v>352</v>
      </c>
      <c r="F517" s="52">
        <v>0.84</v>
      </c>
      <c r="G517" s="54">
        <v>154</v>
      </c>
      <c r="H517" s="55">
        <v>129.36000000000001</v>
      </c>
      <c r="I517" s="55">
        <v>75.608394426580929</v>
      </c>
      <c r="J517" s="55">
        <v>53.751605573419084</v>
      </c>
      <c r="K517" s="52"/>
      <c r="L517" s="52"/>
      <c r="M517" s="56">
        <f t="shared" si="14"/>
        <v>0</v>
      </c>
      <c r="N517" s="56">
        <f t="shared" si="14"/>
        <v>0</v>
      </c>
      <c r="O517" s="56">
        <f t="shared" si="15"/>
        <v>0</v>
      </c>
    </row>
    <row r="518" spans="1:15" x14ac:dyDescent="0.25">
      <c r="A518" s="52"/>
      <c r="B518" s="52"/>
      <c r="C518" s="53"/>
      <c r="D518" s="52"/>
      <c r="E518" s="52" t="s">
        <v>326</v>
      </c>
      <c r="F518" s="52">
        <v>0.83</v>
      </c>
      <c r="G518" s="54">
        <v>272</v>
      </c>
      <c r="H518" s="55">
        <v>225.76000000000002</v>
      </c>
      <c r="I518" s="55">
        <v>99.877492413615443</v>
      </c>
      <c r="J518" s="55">
        <v>125.88250758638456</v>
      </c>
      <c r="K518" s="52"/>
      <c r="L518" s="52"/>
      <c r="M518" s="56">
        <f t="shared" ref="M518:N581" si="16">$G518*K518</f>
        <v>0</v>
      </c>
      <c r="N518" s="56">
        <f t="shared" si="16"/>
        <v>0</v>
      </c>
      <c r="O518" s="56">
        <f t="shared" ref="O518:O581" si="17">M518+N518</f>
        <v>0</v>
      </c>
    </row>
    <row r="519" spans="1:15" x14ac:dyDescent="0.25">
      <c r="A519" s="52"/>
      <c r="B519" s="52"/>
      <c r="C519" s="53"/>
      <c r="D519" s="52"/>
      <c r="E519" s="52" t="s">
        <v>353</v>
      </c>
      <c r="F519" s="52">
        <v>0.82999999999999985</v>
      </c>
      <c r="G519" s="54">
        <v>5217</v>
      </c>
      <c r="H519" s="55">
        <v>4330.1100000000006</v>
      </c>
      <c r="I519" s="55">
        <v>2645.8660733641891</v>
      </c>
      <c r="J519" s="55">
        <v>1684.243926635811</v>
      </c>
      <c r="K519" s="52"/>
      <c r="L519" s="52"/>
      <c r="M519" s="56">
        <f t="shared" si="16"/>
        <v>0</v>
      </c>
      <c r="N519" s="56">
        <f t="shared" si="16"/>
        <v>0</v>
      </c>
      <c r="O519" s="56">
        <f t="shared" si="17"/>
        <v>0</v>
      </c>
    </row>
    <row r="520" spans="1:15" x14ac:dyDescent="0.25">
      <c r="A520" s="52"/>
      <c r="B520" s="52"/>
      <c r="C520" s="53"/>
      <c r="D520" s="52"/>
      <c r="E520" s="52" t="s">
        <v>354</v>
      </c>
      <c r="F520" s="52">
        <v>0.84</v>
      </c>
      <c r="G520" s="54">
        <v>52</v>
      </c>
      <c r="H520" s="55">
        <v>43.68</v>
      </c>
      <c r="I520" s="55">
        <v>18.454231999190107</v>
      </c>
      <c r="J520" s="55">
        <v>25.225768000809893</v>
      </c>
      <c r="K520" s="52"/>
      <c r="L520" s="52"/>
      <c r="M520" s="56">
        <f t="shared" si="16"/>
        <v>0</v>
      </c>
      <c r="N520" s="56">
        <f t="shared" si="16"/>
        <v>0</v>
      </c>
      <c r="O520" s="56">
        <f t="shared" si="17"/>
        <v>0</v>
      </c>
    </row>
    <row r="521" spans="1:15" x14ac:dyDescent="0.25">
      <c r="A521" s="52"/>
      <c r="B521" s="52"/>
      <c r="C521" s="53" t="s">
        <v>283</v>
      </c>
      <c r="D521" s="52" t="s">
        <v>217</v>
      </c>
      <c r="E521" s="52" t="s">
        <v>299</v>
      </c>
      <c r="F521" s="52">
        <v>0.83</v>
      </c>
      <c r="G521" s="54">
        <v>1938</v>
      </c>
      <c r="H521" s="55">
        <v>1608.54</v>
      </c>
      <c r="I521" s="55">
        <v>856.69538461538457</v>
      </c>
      <c r="J521" s="55">
        <v>751.84461538461539</v>
      </c>
      <c r="K521" s="52"/>
      <c r="L521" s="52"/>
      <c r="M521" s="56">
        <f t="shared" si="16"/>
        <v>0</v>
      </c>
      <c r="N521" s="56">
        <f t="shared" si="16"/>
        <v>0</v>
      </c>
      <c r="O521" s="56">
        <f t="shared" si="17"/>
        <v>0</v>
      </c>
    </row>
    <row r="522" spans="1:15" x14ac:dyDescent="0.25">
      <c r="A522" s="52"/>
      <c r="B522" s="52"/>
      <c r="C522" s="53"/>
      <c r="D522" s="52"/>
      <c r="E522" s="52" t="s">
        <v>340</v>
      </c>
      <c r="F522" s="52">
        <v>0.75</v>
      </c>
      <c r="G522" s="54">
        <v>1834</v>
      </c>
      <c r="H522" s="55">
        <v>1375.5</v>
      </c>
      <c r="I522" s="55">
        <v>825.66157517066824</v>
      </c>
      <c r="J522" s="55">
        <v>549.83842482933176</v>
      </c>
      <c r="K522" s="52"/>
      <c r="L522" s="52"/>
      <c r="M522" s="56">
        <f t="shared" si="16"/>
        <v>0</v>
      </c>
      <c r="N522" s="56">
        <f t="shared" si="16"/>
        <v>0</v>
      </c>
      <c r="O522" s="56">
        <f t="shared" si="17"/>
        <v>0</v>
      </c>
    </row>
    <row r="523" spans="1:15" x14ac:dyDescent="0.25">
      <c r="A523" s="52"/>
      <c r="B523" s="52"/>
      <c r="C523" s="53"/>
      <c r="D523" s="52"/>
      <c r="E523" s="52" t="s">
        <v>331</v>
      </c>
      <c r="F523" s="52">
        <v>0.83</v>
      </c>
      <c r="G523" s="54">
        <v>1020</v>
      </c>
      <c r="H523" s="55">
        <v>846.6</v>
      </c>
      <c r="I523" s="55">
        <v>482.07407314384886</v>
      </c>
      <c r="J523" s="55">
        <v>364.5259268561511</v>
      </c>
      <c r="K523" s="52"/>
      <c r="L523" s="52"/>
      <c r="M523" s="56">
        <f t="shared" si="16"/>
        <v>0</v>
      </c>
      <c r="N523" s="56">
        <f t="shared" si="16"/>
        <v>0</v>
      </c>
      <c r="O523" s="56">
        <f t="shared" si="17"/>
        <v>0</v>
      </c>
    </row>
    <row r="524" spans="1:15" x14ac:dyDescent="0.25">
      <c r="A524" s="52"/>
      <c r="B524" s="52"/>
      <c r="C524" s="53"/>
      <c r="D524" s="52"/>
      <c r="E524" s="52" t="s">
        <v>341</v>
      </c>
      <c r="F524" s="52">
        <v>0.65</v>
      </c>
      <c r="G524" s="54">
        <v>2686</v>
      </c>
      <c r="H524" s="55">
        <v>1745.9</v>
      </c>
      <c r="I524" s="55">
        <v>1194.3085828950975</v>
      </c>
      <c r="J524" s="55">
        <v>551.59141710490258</v>
      </c>
      <c r="K524" s="52"/>
      <c r="L524" s="52"/>
      <c r="M524" s="56">
        <f t="shared" si="16"/>
        <v>0</v>
      </c>
      <c r="N524" s="56">
        <f t="shared" si="16"/>
        <v>0</v>
      </c>
      <c r="O524" s="56">
        <f t="shared" si="17"/>
        <v>0</v>
      </c>
    </row>
    <row r="525" spans="1:15" x14ac:dyDescent="0.25">
      <c r="A525" s="52"/>
      <c r="B525" s="52"/>
      <c r="C525" s="53"/>
      <c r="D525" s="52"/>
      <c r="E525" s="52" t="s">
        <v>342</v>
      </c>
      <c r="F525" s="52">
        <v>0.7599999999999999</v>
      </c>
      <c r="G525" s="54">
        <v>7048</v>
      </c>
      <c r="H525" s="55">
        <v>5356.4800000000005</v>
      </c>
      <c r="I525" s="55">
        <v>2615.0713997483776</v>
      </c>
      <c r="J525" s="55">
        <v>2741.4086002516219</v>
      </c>
      <c r="K525" s="52"/>
      <c r="L525" s="52"/>
      <c r="M525" s="56">
        <f t="shared" si="16"/>
        <v>0</v>
      </c>
      <c r="N525" s="56">
        <f t="shared" si="16"/>
        <v>0</v>
      </c>
      <c r="O525" s="56">
        <f t="shared" si="17"/>
        <v>0</v>
      </c>
    </row>
    <row r="526" spans="1:15" x14ac:dyDescent="0.25">
      <c r="A526" s="52"/>
      <c r="B526" s="52"/>
      <c r="C526" s="53"/>
      <c r="D526" s="52"/>
      <c r="E526" s="52" t="s">
        <v>322</v>
      </c>
      <c r="F526" s="52">
        <v>0.7</v>
      </c>
      <c r="G526" s="54">
        <v>1686</v>
      </c>
      <c r="H526" s="55">
        <v>1180.1999999999998</v>
      </c>
      <c r="I526" s="55">
        <v>819.30358148031837</v>
      </c>
      <c r="J526" s="55">
        <v>360.8964185196815</v>
      </c>
      <c r="K526" s="52"/>
      <c r="L526" s="52"/>
      <c r="M526" s="56">
        <f t="shared" si="16"/>
        <v>0</v>
      </c>
      <c r="N526" s="56">
        <f t="shared" si="16"/>
        <v>0</v>
      </c>
      <c r="O526" s="56">
        <f t="shared" si="17"/>
        <v>0</v>
      </c>
    </row>
    <row r="527" spans="1:15" x14ac:dyDescent="0.25">
      <c r="A527" s="52"/>
      <c r="B527" s="52"/>
      <c r="C527" s="53"/>
      <c r="D527" s="52"/>
      <c r="E527" s="52" t="s">
        <v>343</v>
      </c>
      <c r="F527" s="52">
        <v>1.01</v>
      </c>
      <c r="G527" s="54">
        <v>1053</v>
      </c>
      <c r="H527" s="55">
        <v>1063.53</v>
      </c>
      <c r="I527" s="55">
        <v>504.27</v>
      </c>
      <c r="J527" s="55">
        <v>559.26</v>
      </c>
      <c r="K527" s="52"/>
      <c r="L527" s="52"/>
      <c r="M527" s="56">
        <f t="shared" si="16"/>
        <v>0</v>
      </c>
      <c r="N527" s="56">
        <f t="shared" si="16"/>
        <v>0</v>
      </c>
      <c r="O527" s="56">
        <f t="shared" si="17"/>
        <v>0</v>
      </c>
    </row>
    <row r="528" spans="1:15" x14ac:dyDescent="0.25">
      <c r="A528" s="52"/>
      <c r="B528" s="52"/>
      <c r="C528" s="53"/>
      <c r="D528" s="52"/>
      <c r="E528" s="52" t="s">
        <v>344</v>
      </c>
      <c r="F528" s="52">
        <v>0.73999999999999988</v>
      </c>
      <c r="G528" s="54">
        <v>2426</v>
      </c>
      <c r="H528" s="55">
        <v>1795.24</v>
      </c>
      <c r="I528" s="55">
        <v>809.31063826533534</v>
      </c>
      <c r="J528" s="55">
        <v>985.92936173466455</v>
      </c>
      <c r="K528" s="52"/>
      <c r="L528" s="52"/>
      <c r="M528" s="56">
        <f t="shared" si="16"/>
        <v>0</v>
      </c>
      <c r="N528" s="56">
        <f t="shared" si="16"/>
        <v>0</v>
      </c>
      <c r="O528" s="56">
        <f t="shared" si="17"/>
        <v>0</v>
      </c>
    </row>
    <row r="529" spans="1:15" x14ac:dyDescent="0.25">
      <c r="A529" s="52"/>
      <c r="B529" s="52"/>
      <c r="C529" s="53"/>
      <c r="D529" s="52"/>
      <c r="E529" s="52" t="s">
        <v>323</v>
      </c>
      <c r="F529" s="52">
        <v>0.7</v>
      </c>
      <c r="G529" s="54">
        <v>1836</v>
      </c>
      <c r="H529" s="55">
        <v>1285.2</v>
      </c>
      <c r="I529" s="55">
        <v>772.42850107565903</v>
      </c>
      <c r="J529" s="55">
        <v>512.77149892434102</v>
      </c>
      <c r="K529" s="52"/>
      <c r="L529" s="52"/>
      <c r="M529" s="56">
        <f t="shared" si="16"/>
        <v>0</v>
      </c>
      <c r="N529" s="56">
        <f t="shared" si="16"/>
        <v>0</v>
      </c>
      <c r="O529" s="56">
        <f t="shared" si="17"/>
        <v>0</v>
      </c>
    </row>
    <row r="530" spans="1:15" x14ac:dyDescent="0.25">
      <c r="A530" s="52"/>
      <c r="B530" s="52"/>
      <c r="C530" s="53"/>
      <c r="D530" s="52"/>
      <c r="E530" s="52" t="s">
        <v>345</v>
      </c>
      <c r="F530" s="52">
        <v>0.77</v>
      </c>
      <c r="G530" s="54">
        <v>6884</v>
      </c>
      <c r="H530" s="55">
        <v>5300.6799999999994</v>
      </c>
      <c r="I530" s="55">
        <v>2444.9728049797745</v>
      </c>
      <c r="J530" s="55">
        <v>2855.7071950202248</v>
      </c>
      <c r="K530" s="52"/>
      <c r="L530" s="52"/>
      <c r="M530" s="56">
        <f t="shared" si="16"/>
        <v>0</v>
      </c>
      <c r="N530" s="56">
        <f t="shared" si="16"/>
        <v>0</v>
      </c>
      <c r="O530" s="56">
        <f t="shared" si="17"/>
        <v>0</v>
      </c>
    </row>
    <row r="531" spans="1:15" x14ac:dyDescent="0.25">
      <c r="A531" s="52"/>
      <c r="B531" s="52"/>
      <c r="C531" s="53"/>
      <c r="D531" s="52"/>
      <c r="E531" s="52" t="s">
        <v>346</v>
      </c>
      <c r="F531" s="52">
        <v>0.7</v>
      </c>
      <c r="G531" s="54">
        <v>1783</v>
      </c>
      <c r="H531" s="55">
        <v>1248.1000000000001</v>
      </c>
      <c r="I531" s="55">
        <v>769.82224243372411</v>
      </c>
      <c r="J531" s="55">
        <v>478.27775756627591</v>
      </c>
      <c r="K531" s="52"/>
      <c r="L531" s="52"/>
      <c r="M531" s="56">
        <f t="shared" si="16"/>
        <v>0</v>
      </c>
      <c r="N531" s="56">
        <f t="shared" si="16"/>
        <v>0</v>
      </c>
      <c r="O531" s="56">
        <f t="shared" si="17"/>
        <v>0</v>
      </c>
    </row>
    <row r="532" spans="1:15" x14ac:dyDescent="0.25">
      <c r="A532" s="52"/>
      <c r="B532" s="52"/>
      <c r="C532" s="53"/>
      <c r="D532" s="52"/>
      <c r="E532" s="52" t="s">
        <v>347</v>
      </c>
      <c r="F532" s="52">
        <v>0.69999999999999984</v>
      </c>
      <c r="G532" s="54">
        <v>306</v>
      </c>
      <c r="H532" s="55">
        <v>214.20000000000002</v>
      </c>
      <c r="I532" s="55">
        <v>158.48805284971078</v>
      </c>
      <c r="J532" s="55">
        <v>55.711947150289227</v>
      </c>
      <c r="K532" s="52"/>
      <c r="L532" s="52"/>
      <c r="M532" s="56">
        <f t="shared" si="16"/>
        <v>0</v>
      </c>
      <c r="N532" s="56">
        <f t="shared" si="16"/>
        <v>0</v>
      </c>
      <c r="O532" s="56">
        <f t="shared" si="17"/>
        <v>0</v>
      </c>
    </row>
    <row r="533" spans="1:15" x14ac:dyDescent="0.25">
      <c r="A533" s="52"/>
      <c r="B533" s="52"/>
      <c r="C533" s="53"/>
      <c r="D533" s="52"/>
      <c r="E533" s="52" t="s">
        <v>348</v>
      </c>
      <c r="F533" s="52">
        <v>0.74</v>
      </c>
      <c r="G533" s="54">
        <v>2381</v>
      </c>
      <c r="H533" s="55">
        <v>1761.94</v>
      </c>
      <c r="I533" s="55">
        <v>783.22484828006111</v>
      </c>
      <c r="J533" s="55">
        <v>978.71515171993894</v>
      </c>
      <c r="K533" s="52"/>
      <c r="L533" s="52"/>
      <c r="M533" s="56">
        <f t="shared" si="16"/>
        <v>0</v>
      </c>
      <c r="N533" s="56">
        <f t="shared" si="16"/>
        <v>0</v>
      </c>
      <c r="O533" s="56">
        <f t="shared" si="17"/>
        <v>0</v>
      </c>
    </row>
    <row r="534" spans="1:15" x14ac:dyDescent="0.25">
      <c r="A534" s="52"/>
      <c r="B534" s="52"/>
      <c r="C534" s="53"/>
      <c r="D534" s="52"/>
      <c r="E534" s="52" t="s">
        <v>349</v>
      </c>
      <c r="F534" s="52">
        <v>0.7</v>
      </c>
      <c r="G534" s="54">
        <v>39</v>
      </c>
      <c r="H534" s="55">
        <v>27.3</v>
      </c>
      <c r="I534" s="55">
        <v>12.744776247602141</v>
      </c>
      <c r="J534" s="55">
        <v>14.555223752397859</v>
      </c>
      <c r="K534" s="52"/>
      <c r="L534" s="52"/>
      <c r="M534" s="56">
        <f t="shared" si="16"/>
        <v>0</v>
      </c>
      <c r="N534" s="56">
        <f t="shared" si="16"/>
        <v>0</v>
      </c>
      <c r="O534" s="56">
        <f t="shared" si="17"/>
        <v>0</v>
      </c>
    </row>
    <row r="535" spans="1:15" x14ac:dyDescent="0.25">
      <c r="A535" s="52"/>
      <c r="B535" s="52"/>
      <c r="C535" s="53"/>
      <c r="D535" s="52"/>
      <c r="E535" s="52" t="s">
        <v>350</v>
      </c>
      <c r="F535" s="52">
        <v>0.7</v>
      </c>
      <c r="G535" s="54">
        <v>6473</v>
      </c>
      <c r="H535" s="55">
        <v>4531.1000000000004</v>
      </c>
      <c r="I535" s="55">
        <v>2845.4228101513081</v>
      </c>
      <c r="J535" s="55">
        <v>1685.6771898486918</v>
      </c>
      <c r="K535" s="52"/>
      <c r="L535" s="52"/>
      <c r="M535" s="56">
        <f t="shared" si="16"/>
        <v>0</v>
      </c>
      <c r="N535" s="56">
        <f t="shared" si="16"/>
        <v>0</v>
      </c>
      <c r="O535" s="56">
        <f t="shared" si="17"/>
        <v>0</v>
      </c>
    </row>
    <row r="536" spans="1:15" x14ac:dyDescent="0.25">
      <c r="A536" s="52"/>
      <c r="B536" s="52"/>
      <c r="C536" s="53"/>
      <c r="D536" s="52"/>
      <c r="E536" s="52" t="s">
        <v>351</v>
      </c>
      <c r="F536" s="52">
        <v>0.83</v>
      </c>
      <c r="G536" s="54">
        <v>418</v>
      </c>
      <c r="H536" s="55">
        <v>346.94</v>
      </c>
      <c r="I536" s="55">
        <v>231.56555269922879</v>
      </c>
      <c r="J536" s="55">
        <v>115.37444730077121</v>
      </c>
      <c r="K536" s="52"/>
      <c r="L536" s="52"/>
      <c r="M536" s="56">
        <f t="shared" si="16"/>
        <v>0</v>
      </c>
      <c r="N536" s="56">
        <f t="shared" si="16"/>
        <v>0</v>
      </c>
      <c r="O536" s="56">
        <f t="shared" si="17"/>
        <v>0</v>
      </c>
    </row>
    <row r="537" spans="1:15" x14ac:dyDescent="0.25">
      <c r="A537" s="52"/>
      <c r="B537" s="52"/>
      <c r="C537" s="53"/>
      <c r="D537" s="52"/>
      <c r="E537" s="52" t="s">
        <v>352</v>
      </c>
      <c r="F537" s="52">
        <v>0.84</v>
      </c>
      <c r="G537" s="54">
        <v>155</v>
      </c>
      <c r="H537" s="55">
        <v>130.19999999999999</v>
      </c>
      <c r="I537" s="55">
        <v>76.127821765209944</v>
      </c>
      <c r="J537" s="55">
        <v>54.072178234790059</v>
      </c>
      <c r="K537" s="52"/>
      <c r="L537" s="52"/>
      <c r="M537" s="56">
        <f t="shared" si="16"/>
        <v>0</v>
      </c>
      <c r="N537" s="56">
        <f t="shared" si="16"/>
        <v>0</v>
      </c>
      <c r="O537" s="56">
        <f t="shared" si="17"/>
        <v>0</v>
      </c>
    </row>
    <row r="538" spans="1:15" x14ac:dyDescent="0.25">
      <c r="A538" s="52"/>
      <c r="B538" s="52"/>
      <c r="C538" s="53"/>
      <c r="D538" s="52"/>
      <c r="E538" s="52" t="s">
        <v>326</v>
      </c>
      <c r="F538" s="52">
        <v>0.83</v>
      </c>
      <c r="G538" s="54">
        <v>270</v>
      </c>
      <c r="H538" s="55">
        <v>224.1</v>
      </c>
      <c r="I538" s="55">
        <v>99.159852688425033</v>
      </c>
      <c r="J538" s="55">
        <v>124.94014731157496</v>
      </c>
      <c r="K538" s="52"/>
      <c r="L538" s="52"/>
      <c r="M538" s="56">
        <f t="shared" si="16"/>
        <v>0</v>
      </c>
      <c r="N538" s="56">
        <f t="shared" si="16"/>
        <v>0</v>
      </c>
      <c r="O538" s="56">
        <f t="shared" si="17"/>
        <v>0</v>
      </c>
    </row>
    <row r="539" spans="1:15" x14ac:dyDescent="0.25">
      <c r="A539" s="52"/>
      <c r="B539" s="52"/>
      <c r="C539" s="53"/>
      <c r="D539" s="52"/>
      <c r="E539" s="52" t="s">
        <v>353</v>
      </c>
      <c r="F539" s="52">
        <v>0.82999999999999985</v>
      </c>
      <c r="G539" s="54">
        <v>5217</v>
      </c>
      <c r="H539" s="55">
        <v>4330.1100000000006</v>
      </c>
      <c r="I539" s="55">
        <v>2644.9278030776336</v>
      </c>
      <c r="J539" s="55">
        <v>1685.1821969223665</v>
      </c>
      <c r="K539" s="52"/>
      <c r="L539" s="52"/>
      <c r="M539" s="56">
        <f t="shared" si="16"/>
        <v>0</v>
      </c>
      <c r="N539" s="56">
        <f t="shared" si="16"/>
        <v>0</v>
      </c>
      <c r="O539" s="56">
        <f t="shared" si="17"/>
        <v>0</v>
      </c>
    </row>
    <row r="540" spans="1:15" x14ac:dyDescent="0.25">
      <c r="A540" s="52"/>
      <c r="B540" s="52"/>
      <c r="C540" s="53"/>
      <c r="D540" s="52"/>
      <c r="E540" s="52" t="s">
        <v>354</v>
      </c>
      <c r="F540" s="52">
        <v>0.84</v>
      </c>
      <c r="G540" s="54">
        <v>52</v>
      </c>
      <c r="H540" s="55">
        <v>43.68</v>
      </c>
      <c r="I540" s="55">
        <v>18.419698432632213</v>
      </c>
      <c r="J540" s="55">
        <v>25.260301567367787</v>
      </c>
      <c r="K540" s="52"/>
      <c r="L540" s="52"/>
      <c r="M540" s="56">
        <f t="shared" si="16"/>
        <v>0</v>
      </c>
      <c r="N540" s="56">
        <f t="shared" si="16"/>
        <v>0</v>
      </c>
      <c r="O540" s="56">
        <f t="shared" si="17"/>
        <v>0</v>
      </c>
    </row>
    <row r="541" spans="1:15" x14ac:dyDescent="0.25">
      <c r="A541" s="52"/>
      <c r="B541" s="52"/>
      <c r="C541" s="53" t="s">
        <v>284</v>
      </c>
      <c r="D541" s="52" t="s">
        <v>217</v>
      </c>
      <c r="E541" s="52" t="s">
        <v>340</v>
      </c>
      <c r="F541" s="52">
        <v>0.75</v>
      </c>
      <c r="G541" s="54">
        <v>343</v>
      </c>
      <c r="H541" s="55">
        <v>257.25</v>
      </c>
      <c r="I541" s="55">
        <v>155.13299617737889</v>
      </c>
      <c r="J541" s="55">
        <v>102.11700382262111</v>
      </c>
      <c r="K541" s="52"/>
      <c r="L541" s="52"/>
      <c r="M541" s="56">
        <f t="shared" si="16"/>
        <v>0</v>
      </c>
      <c r="N541" s="56">
        <f t="shared" si="16"/>
        <v>0</v>
      </c>
      <c r="O541" s="56">
        <f t="shared" si="17"/>
        <v>0</v>
      </c>
    </row>
    <row r="542" spans="1:15" x14ac:dyDescent="0.25">
      <c r="A542" s="52"/>
      <c r="B542" s="52"/>
      <c r="C542" s="53"/>
      <c r="D542" s="52"/>
      <c r="E542" s="52" t="s">
        <v>331</v>
      </c>
      <c r="F542" s="52">
        <v>0.83</v>
      </c>
      <c r="G542" s="54">
        <v>3702</v>
      </c>
      <c r="H542" s="55">
        <v>3072.6600000000003</v>
      </c>
      <c r="I542" s="55">
        <v>1558.9917971218786</v>
      </c>
      <c r="J542" s="55">
        <v>1513.6682028781213</v>
      </c>
      <c r="K542" s="52"/>
      <c r="L542" s="52"/>
      <c r="M542" s="56">
        <f t="shared" si="16"/>
        <v>0</v>
      </c>
      <c r="N542" s="56">
        <f t="shared" si="16"/>
        <v>0</v>
      </c>
      <c r="O542" s="56">
        <f t="shared" si="17"/>
        <v>0</v>
      </c>
    </row>
    <row r="543" spans="1:15" x14ac:dyDescent="0.25">
      <c r="A543" s="52"/>
      <c r="B543" s="52"/>
      <c r="C543" s="53"/>
      <c r="D543" s="52"/>
      <c r="E543" s="52" t="s">
        <v>341</v>
      </c>
      <c r="F543" s="52">
        <v>0.65</v>
      </c>
      <c r="G543" s="54">
        <v>2939</v>
      </c>
      <c r="H543" s="55">
        <v>1910.3500000000001</v>
      </c>
      <c r="I543" s="55">
        <v>1151.6908490421233</v>
      </c>
      <c r="J543" s="55">
        <v>758.6591509578767</v>
      </c>
      <c r="K543" s="52"/>
      <c r="L543" s="52"/>
      <c r="M543" s="56">
        <f t="shared" si="16"/>
        <v>0</v>
      </c>
      <c r="N543" s="56">
        <f t="shared" si="16"/>
        <v>0</v>
      </c>
      <c r="O543" s="56">
        <f t="shared" si="17"/>
        <v>0</v>
      </c>
    </row>
    <row r="544" spans="1:15" x14ac:dyDescent="0.25">
      <c r="A544" s="52"/>
      <c r="B544" s="52"/>
      <c r="C544" s="53"/>
      <c r="D544" s="52"/>
      <c r="E544" s="52" t="s">
        <v>342</v>
      </c>
      <c r="F544" s="52">
        <v>0.76</v>
      </c>
      <c r="G544" s="54">
        <v>5361</v>
      </c>
      <c r="H544" s="55">
        <v>4074.3599999999997</v>
      </c>
      <c r="I544" s="55">
        <v>1926.1982268240884</v>
      </c>
      <c r="J544" s="55">
        <v>2148.1617731759115</v>
      </c>
      <c r="K544" s="52"/>
      <c r="L544" s="52"/>
      <c r="M544" s="56">
        <f t="shared" si="16"/>
        <v>0</v>
      </c>
      <c r="N544" s="56">
        <f t="shared" si="16"/>
        <v>0</v>
      </c>
      <c r="O544" s="56">
        <f t="shared" si="17"/>
        <v>0</v>
      </c>
    </row>
    <row r="545" spans="1:15" x14ac:dyDescent="0.25">
      <c r="A545" s="52"/>
      <c r="B545" s="52"/>
      <c r="C545" s="53"/>
      <c r="D545" s="52"/>
      <c r="E545" s="52" t="s">
        <v>322</v>
      </c>
      <c r="F545" s="52">
        <v>0.7</v>
      </c>
      <c r="G545" s="54">
        <v>4535</v>
      </c>
      <c r="H545" s="55">
        <v>3174.5</v>
      </c>
      <c r="I545" s="55">
        <v>1603.2432525445056</v>
      </c>
      <c r="J545" s="55">
        <v>1571.2567474554944</v>
      </c>
      <c r="K545" s="52"/>
      <c r="L545" s="52"/>
      <c r="M545" s="56">
        <f t="shared" si="16"/>
        <v>0</v>
      </c>
      <c r="N545" s="56">
        <f t="shared" si="16"/>
        <v>0</v>
      </c>
      <c r="O545" s="56">
        <f t="shared" si="17"/>
        <v>0</v>
      </c>
    </row>
    <row r="546" spans="1:15" x14ac:dyDescent="0.25">
      <c r="A546" s="52"/>
      <c r="B546" s="52"/>
      <c r="C546" s="53"/>
      <c r="D546" s="52"/>
      <c r="E546" s="52" t="s">
        <v>343</v>
      </c>
      <c r="F546" s="52">
        <v>1.01</v>
      </c>
      <c r="G546" s="54">
        <v>1179</v>
      </c>
      <c r="H546" s="55">
        <v>1190.79</v>
      </c>
      <c r="I546" s="55">
        <v>431.63122772261232</v>
      </c>
      <c r="J546" s="55">
        <v>759.15877227738758</v>
      </c>
      <c r="K546" s="52"/>
      <c r="L546" s="52"/>
      <c r="M546" s="56">
        <f t="shared" si="16"/>
        <v>0</v>
      </c>
      <c r="N546" s="56">
        <f t="shared" si="16"/>
        <v>0</v>
      </c>
      <c r="O546" s="56">
        <f t="shared" si="17"/>
        <v>0</v>
      </c>
    </row>
    <row r="547" spans="1:15" x14ac:dyDescent="0.25">
      <c r="A547" s="52"/>
      <c r="B547" s="52"/>
      <c r="C547" s="53"/>
      <c r="D547" s="52"/>
      <c r="E547" s="52" t="s">
        <v>344</v>
      </c>
      <c r="F547" s="52">
        <v>0.73999999999999988</v>
      </c>
      <c r="G547" s="54">
        <v>3265</v>
      </c>
      <c r="H547" s="55">
        <v>2416.1</v>
      </c>
      <c r="I547" s="55">
        <v>1208.4723799595881</v>
      </c>
      <c r="J547" s="55">
        <v>1207.6276200404118</v>
      </c>
      <c r="K547" s="52"/>
      <c r="L547" s="52"/>
      <c r="M547" s="56">
        <f t="shared" si="16"/>
        <v>0</v>
      </c>
      <c r="N547" s="56">
        <f t="shared" si="16"/>
        <v>0</v>
      </c>
      <c r="O547" s="56">
        <f t="shared" si="17"/>
        <v>0</v>
      </c>
    </row>
    <row r="548" spans="1:15" x14ac:dyDescent="0.25">
      <c r="A548" s="52"/>
      <c r="B548" s="52"/>
      <c r="C548" s="53"/>
      <c r="D548" s="52"/>
      <c r="E548" s="52" t="s">
        <v>323</v>
      </c>
      <c r="F548" s="52">
        <v>0.7</v>
      </c>
      <c r="G548" s="54">
        <v>2061</v>
      </c>
      <c r="H548" s="55">
        <v>1442.7000000000003</v>
      </c>
      <c r="I548" s="55">
        <v>921.49702465601638</v>
      </c>
      <c r="J548" s="55">
        <v>521.20297534398367</v>
      </c>
      <c r="K548" s="52"/>
      <c r="L548" s="52"/>
      <c r="M548" s="56">
        <f t="shared" si="16"/>
        <v>0</v>
      </c>
      <c r="N548" s="56">
        <f t="shared" si="16"/>
        <v>0</v>
      </c>
      <c r="O548" s="56">
        <f t="shared" si="17"/>
        <v>0</v>
      </c>
    </row>
    <row r="549" spans="1:15" x14ac:dyDescent="0.25">
      <c r="A549" s="52"/>
      <c r="B549" s="52"/>
      <c r="C549" s="53"/>
      <c r="D549" s="52"/>
      <c r="E549" s="52" t="s">
        <v>345</v>
      </c>
      <c r="F549" s="52">
        <v>0.77</v>
      </c>
      <c r="G549" s="54">
        <v>4626</v>
      </c>
      <c r="H549" s="55">
        <v>3562.0199999999995</v>
      </c>
      <c r="I549" s="55">
        <v>1963.5758868702819</v>
      </c>
      <c r="J549" s="55">
        <v>1598.4441131297181</v>
      </c>
      <c r="K549" s="52"/>
      <c r="L549" s="52"/>
      <c r="M549" s="56">
        <f t="shared" si="16"/>
        <v>0</v>
      </c>
      <c r="N549" s="56">
        <f t="shared" si="16"/>
        <v>0</v>
      </c>
      <c r="O549" s="56">
        <f t="shared" si="17"/>
        <v>0</v>
      </c>
    </row>
    <row r="550" spans="1:15" x14ac:dyDescent="0.25">
      <c r="A550" s="52"/>
      <c r="B550" s="52"/>
      <c r="C550" s="53"/>
      <c r="D550" s="52"/>
      <c r="E550" s="52" t="s">
        <v>346</v>
      </c>
      <c r="F550" s="52">
        <v>0.70000000000000007</v>
      </c>
      <c r="G550" s="54">
        <v>464</v>
      </c>
      <c r="H550" s="55">
        <v>324.8</v>
      </c>
      <c r="I550" s="55">
        <v>204.91563572095504</v>
      </c>
      <c r="J550" s="55">
        <v>119.88436427904495</v>
      </c>
      <c r="K550" s="52"/>
      <c r="L550" s="52"/>
      <c r="M550" s="56">
        <f t="shared" si="16"/>
        <v>0</v>
      </c>
      <c r="N550" s="56">
        <f t="shared" si="16"/>
        <v>0</v>
      </c>
      <c r="O550" s="56">
        <f t="shared" si="17"/>
        <v>0</v>
      </c>
    </row>
    <row r="551" spans="1:15" x14ac:dyDescent="0.25">
      <c r="A551" s="52"/>
      <c r="B551" s="52"/>
      <c r="C551" s="53"/>
      <c r="D551" s="52"/>
      <c r="E551" s="52" t="s">
        <v>347</v>
      </c>
      <c r="F551" s="52">
        <v>0.7</v>
      </c>
      <c r="G551" s="54">
        <v>3066</v>
      </c>
      <c r="H551" s="55">
        <v>2146.1999999999998</v>
      </c>
      <c r="I551" s="55">
        <v>1219.6819676594621</v>
      </c>
      <c r="J551" s="55">
        <v>926.51803234053773</v>
      </c>
      <c r="K551" s="52"/>
      <c r="L551" s="52"/>
      <c r="M551" s="56">
        <f t="shared" si="16"/>
        <v>0</v>
      </c>
      <c r="N551" s="56">
        <f t="shared" si="16"/>
        <v>0</v>
      </c>
      <c r="O551" s="56">
        <f t="shared" si="17"/>
        <v>0</v>
      </c>
    </row>
    <row r="552" spans="1:15" x14ac:dyDescent="0.25">
      <c r="A552" s="52"/>
      <c r="B552" s="52"/>
      <c r="C552" s="53"/>
      <c r="D552" s="52"/>
      <c r="E552" s="52" t="s">
        <v>348</v>
      </c>
      <c r="F552" s="52">
        <v>0.73999999999999988</v>
      </c>
      <c r="G552" s="54">
        <v>3242</v>
      </c>
      <c r="H552" s="55">
        <v>2399.08</v>
      </c>
      <c r="I552" s="55">
        <v>1299.7313876873095</v>
      </c>
      <c r="J552" s="55">
        <v>1099.3486123126904</v>
      </c>
      <c r="K552" s="52"/>
      <c r="L552" s="52"/>
      <c r="M552" s="56">
        <f t="shared" si="16"/>
        <v>0</v>
      </c>
      <c r="N552" s="56">
        <f t="shared" si="16"/>
        <v>0</v>
      </c>
      <c r="O552" s="56">
        <f t="shared" si="17"/>
        <v>0</v>
      </c>
    </row>
    <row r="553" spans="1:15" x14ac:dyDescent="0.25">
      <c r="A553" s="52"/>
      <c r="B553" s="52"/>
      <c r="C553" s="53"/>
      <c r="D553" s="52"/>
      <c r="E553" s="52" t="s">
        <v>349</v>
      </c>
      <c r="F553" s="52">
        <v>0.7</v>
      </c>
      <c r="G553" s="54">
        <v>870</v>
      </c>
      <c r="H553" s="55">
        <v>609</v>
      </c>
      <c r="I553" s="55">
        <v>294.59952606635073</v>
      </c>
      <c r="J553" s="55">
        <v>314.40047393364927</v>
      </c>
      <c r="K553" s="52"/>
      <c r="L553" s="52"/>
      <c r="M553" s="56">
        <f t="shared" si="16"/>
        <v>0</v>
      </c>
      <c r="N553" s="56">
        <f t="shared" si="16"/>
        <v>0</v>
      </c>
      <c r="O553" s="56">
        <f t="shared" si="17"/>
        <v>0</v>
      </c>
    </row>
    <row r="554" spans="1:15" x14ac:dyDescent="0.25">
      <c r="A554" s="52"/>
      <c r="B554" s="52"/>
      <c r="C554" s="53"/>
      <c r="D554" s="52"/>
      <c r="E554" s="52" t="s">
        <v>350</v>
      </c>
      <c r="F554" s="52">
        <v>0.69999999999999984</v>
      </c>
      <c r="G554" s="54">
        <v>5305</v>
      </c>
      <c r="H554" s="55">
        <v>3713.5</v>
      </c>
      <c r="I554" s="55">
        <v>2144.7409741435035</v>
      </c>
      <c r="J554" s="55">
        <v>1568.7590258564965</v>
      </c>
      <c r="K554" s="52"/>
      <c r="L554" s="52"/>
      <c r="M554" s="56">
        <f t="shared" si="16"/>
        <v>0</v>
      </c>
      <c r="N554" s="56">
        <f t="shared" si="16"/>
        <v>0</v>
      </c>
      <c r="O554" s="56">
        <f t="shared" si="17"/>
        <v>0</v>
      </c>
    </row>
    <row r="555" spans="1:15" x14ac:dyDescent="0.25">
      <c r="A555" s="52"/>
      <c r="B555" s="52"/>
      <c r="C555" s="53"/>
      <c r="D555" s="52"/>
      <c r="E555" s="52" t="s">
        <v>355</v>
      </c>
      <c r="F555" s="52">
        <v>0.67</v>
      </c>
      <c r="G555" s="54">
        <v>785</v>
      </c>
      <c r="H555" s="55">
        <v>525.95000000000005</v>
      </c>
      <c r="I555" s="55">
        <v>317.65173626373632</v>
      </c>
      <c r="J555" s="55">
        <v>208.29826373626369</v>
      </c>
      <c r="K555" s="52"/>
      <c r="L555" s="52"/>
      <c r="M555" s="56">
        <f t="shared" si="16"/>
        <v>0</v>
      </c>
      <c r="N555" s="56">
        <f t="shared" si="16"/>
        <v>0</v>
      </c>
      <c r="O555" s="56">
        <f t="shared" si="17"/>
        <v>0</v>
      </c>
    </row>
    <row r="556" spans="1:15" x14ac:dyDescent="0.25">
      <c r="A556" s="52"/>
      <c r="B556" s="52"/>
      <c r="C556" s="53"/>
      <c r="D556" s="52"/>
      <c r="E556" s="52" t="s">
        <v>351</v>
      </c>
      <c r="F556" s="52">
        <v>0.83</v>
      </c>
      <c r="G556" s="54">
        <v>614</v>
      </c>
      <c r="H556" s="55">
        <v>509.62</v>
      </c>
      <c r="I556" s="55">
        <v>218.71087896113181</v>
      </c>
      <c r="J556" s="55">
        <v>290.90912103886819</v>
      </c>
      <c r="K556" s="52"/>
      <c r="L556" s="52"/>
      <c r="M556" s="56">
        <f t="shared" si="16"/>
        <v>0</v>
      </c>
      <c r="N556" s="56">
        <f t="shared" si="16"/>
        <v>0</v>
      </c>
      <c r="O556" s="56">
        <f t="shared" si="17"/>
        <v>0</v>
      </c>
    </row>
    <row r="557" spans="1:15" x14ac:dyDescent="0.25">
      <c r="A557" s="52"/>
      <c r="B557" s="52"/>
      <c r="C557" s="53"/>
      <c r="D557" s="52"/>
      <c r="E557" s="52" t="s">
        <v>352</v>
      </c>
      <c r="F557" s="52">
        <v>0.84</v>
      </c>
      <c r="G557" s="54">
        <v>5</v>
      </c>
      <c r="H557" s="55">
        <v>4.2</v>
      </c>
      <c r="I557" s="55">
        <v>1.7995824634655531</v>
      </c>
      <c r="J557" s="55">
        <v>2.4004175365344471</v>
      </c>
      <c r="K557" s="52"/>
      <c r="L557" s="52"/>
      <c r="M557" s="56">
        <f t="shared" si="16"/>
        <v>0</v>
      </c>
      <c r="N557" s="56">
        <f t="shared" si="16"/>
        <v>0</v>
      </c>
      <c r="O557" s="56">
        <f t="shared" si="17"/>
        <v>0</v>
      </c>
    </row>
    <row r="558" spans="1:15" x14ac:dyDescent="0.25">
      <c r="A558" s="52"/>
      <c r="B558" s="52"/>
      <c r="C558" s="53"/>
      <c r="D558" s="52"/>
      <c r="E558" s="52" t="s">
        <v>326</v>
      </c>
      <c r="F558" s="52">
        <v>0.83</v>
      </c>
      <c r="G558" s="54">
        <v>818</v>
      </c>
      <c r="H558" s="55">
        <v>678.94</v>
      </c>
      <c r="I558" s="55">
        <v>284.89535353535354</v>
      </c>
      <c r="J558" s="55">
        <v>394.04464646464652</v>
      </c>
      <c r="K558" s="52"/>
      <c r="L558" s="52"/>
      <c r="M558" s="56">
        <f t="shared" si="16"/>
        <v>0</v>
      </c>
      <c r="N558" s="56">
        <f t="shared" si="16"/>
        <v>0</v>
      </c>
      <c r="O558" s="56">
        <f t="shared" si="17"/>
        <v>0</v>
      </c>
    </row>
    <row r="559" spans="1:15" x14ac:dyDescent="0.25">
      <c r="A559" s="52"/>
      <c r="B559" s="52"/>
      <c r="C559" s="53"/>
      <c r="D559" s="52"/>
      <c r="E559" s="52" t="s">
        <v>353</v>
      </c>
      <c r="F559" s="52">
        <v>0.82999999999999985</v>
      </c>
      <c r="G559" s="54">
        <v>4209</v>
      </c>
      <c r="H559" s="55">
        <v>3493.4700000000003</v>
      </c>
      <c r="I559" s="55">
        <v>1964.9308883142999</v>
      </c>
      <c r="J559" s="55">
        <v>1528.5391116857002</v>
      </c>
      <c r="K559" s="52"/>
      <c r="L559" s="52"/>
      <c r="M559" s="56">
        <f t="shared" si="16"/>
        <v>0</v>
      </c>
      <c r="N559" s="56">
        <f t="shared" si="16"/>
        <v>0</v>
      </c>
      <c r="O559" s="56">
        <f t="shared" si="17"/>
        <v>0</v>
      </c>
    </row>
    <row r="560" spans="1:15" x14ac:dyDescent="0.25">
      <c r="A560" s="52"/>
      <c r="B560" s="52"/>
      <c r="C560" s="53"/>
      <c r="D560" s="52"/>
      <c r="E560" s="52" t="s">
        <v>354</v>
      </c>
      <c r="F560" s="52">
        <v>0.84</v>
      </c>
      <c r="G560" s="54">
        <v>264</v>
      </c>
      <c r="H560" s="55">
        <v>221.76</v>
      </c>
      <c r="I560" s="55">
        <v>91.908428265958122</v>
      </c>
      <c r="J560" s="55">
        <v>129.85157173404187</v>
      </c>
      <c r="K560" s="52"/>
      <c r="L560" s="52"/>
      <c r="M560" s="56">
        <f t="shared" si="16"/>
        <v>0</v>
      </c>
      <c r="N560" s="56">
        <f t="shared" si="16"/>
        <v>0</v>
      </c>
      <c r="O560" s="56">
        <f t="shared" si="17"/>
        <v>0</v>
      </c>
    </row>
    <row r="561" spans="1:15" x14ac:dyDescent="0.25">
      <c r="A561" s="52"/>
      <c r="B561" s="52"/>
      <c r="C561" s="53" t="s">
        <v>185</v>
      </c>
      <c r="D561" s="52" t="s">
        <v>217</v>
      </c>
      <c r="E561" s="52" t="s">
        <v>340</v>
      </c>
      <c r="F561" s="52">
        <v>0.75</v>
      </c>
      <c r="G561" s="54">
        <v>341</v>
      </c>
      <c r="H561" s="55">
        <v>255.75</v>
      </c>
      <c r="I561" s="55">
        <v>154.24846022966648</v>
      </c>
      <c r="J561" s="55">
        <v>101.50153977033352</v>
      </c>
      <c r="K561" s="52"/>
      <c r="L561" s="52"/>
      <c r="M561" s="56">
        <f t="shared" si="16"/>
        <v>0</v>
      </c>
      <c r="N561" s="56">
        <f t="shared" si="16"/>
        <v>0</v>
      </c>
      <c r="O561" s="56">
        <f t="shared" si="17"/>
        <v>0</v>
      </c>
    </row>
    <row r="562" spans="1:15" x14ac:dyDescent="0.25">
      <c r="A562" s="52"/>
      <c r="B562" s="52"/>
      <c r="C562" s="53"/>
      <c r="D562" s="52"/>
      <c r="E562" s="52" t="s">
        <v>331</v>
      </c>
      <c r="F562" s="52">
        <v>0.83</v>
      </c>
      <c r="G562" s="54">
        <v>3495</v>
      </c>
      <c r="H562" s="55">
        <v>2900.8500000000004</v>
      </c>
      <c r="I562" s="55">
        <v>1467.5100306372583</v>
      </c>
      <c r="J562" s="55">
        <v>1433.3399693627425</v>
      </c>
      <c r="K562" s="52"/>
      <c r="L562" s="52"/>
      <c r="M562" s="56">
        <f t="shared" si="16"/>
        <v>0</v>
      </c>
      <c r="N562" s="56">
        <f t="shared" si="16"/>
        <v>0</v>
      </c>
      <c r="O562" s="56">
        <f t="shared" si="17"/>
        <v>0</v>
      </c>
    </row>
    <row r="563" spans="1:15" x14ac:dyDescent="0.25">
      <c r="A563" s="52"/>
      <c r="B563" s="52"/>
      <c r="C563" s="53"/>
      <c r="D563" s="52"/>
      <c r="E563" s="52" t="s">
        <v>318</v>
      </c>
      <c r="F563" s="52">
        <v>0.8</v>
      </c>
      <c r="G563" s="54">
        <v>210</v>
      </c>
      <c r="H563" s="55">
        <v>168</v>
      </c>
      <c r="I563" s="55">
        <v>92.830769230769235</v>
      </c>
      <c r="J563" s="55">
        <v>75.169230769230765</v>
      </c>
      <c r="K563" s="52"/>
      <c r="L563" s="52"/>
      <c r="M563" s="56">
        <f t="shared" si="16"/>
        <v>0</v>
      </c>
      <c r="N563" s="56">
        <f t="shared" si="16"/>
        <v>0</v>
      </c>
      <c r="O563" s="56">
        <f t="shared" si="17"/>
        <v>0</v>
      </c>
    </row>
    <row r="564" spans="1:15" x14ac:dyDescent="0.25">
      <c r="A564" s="52"/>
      <c r="B564" s="52"/>
      <c r="C564" s="53"/>
      <c r="D564" s="52"/>
      <c r="E564" s="52" t="s">
        <v>341</v>
      </c>
      <c r="F564" s="52">
        <v>0.65</v>
      </c>
      <c r="G564" s="54">
        <v>2939</v>
      </c>
      <c r="H564" s="55">
        <v>1910.3500000000001</v>
      </c>
      <c r="I564" s="55">
        <v>1151.5993758835716</v>
      </c>
      <c r="J564" s="55">
        <v>758.75062411642864</v>
      </c>
      <c r="K564" s="52"/>
      <c r="L564" s="52"/>
      <c r="M564" s="56">
        <f t="shared" si="16"/>
        <v>0</v>
      </c>
      <c r="N564" s="56">
        <f t="shared" si="16"/>
        <v>0</v>
      </c>
      <c r="O564" s="56">
        <f t="shared" si="17"/>
        <v>0</v>
      </c>
    </row>
    <row r="565" spans="1:15" x14ac:dyDescent="0.25">
      <c r="A565" s="52"/>
      <c r="B565" s="52"/>
      <c r="C565" s="53"/>
      <c r="D565" s="52"/>
      <c r="E565" s="52" t="s">
        <v>342</v>
      </c>
      <c r="F565" s="52">
        <v>0.76</v>
      </c>
      <c r="G565" s="54">
        <v>5363</v>
      </c>
      <c r="H565" s="55">
        <v>4075.8799999999997</v>
      </c>
      <c r="I565" s="55">
        <v>1926.6758245645253</v>
      </c>
      <c r="J565" s="55">
        <v>2149.2041754354746</v>
      </c>
      <c r="K565" s="52"/>
      <c r="L565" s="52"/>
      <c r="M565" s="56">
        <f t="shared" si="16"/>
        <v>0</v>
      </c>
      <c r="N565" s="56">
        <f t="shared" si="16"/>
        <v>0</v>
      </c>
      <c r="O565" s="56">
        <f t="shared" si="17"/>
        <v>0</v>
      </c>
    </row>
    <row r="566" spans="1:15" x14ac:dyDescent="0.25">
      <c r="A566" s="52"/>
      <c r="B566" s="52"/>
      <c r="C566" s="53"/>
      <c r="D566" s="52"/>
      <c r="E566" s="52" t="s">
        <v>322</v>
      </c>
      <c r="F566" s="52">
        <v>0.7</v>
      </c>
      <c r="G566" s="54">
        <v>4537</v>
      </c>
      <c r="H566" s="55">
        <v>3175.9</v>
      </c>
      <c r="I566" s="55">
        <v>1603.9697833238017</v>
      </c>
      <c r="J566" s="55">
        <v>1571.9302166761981</v>
      </c>
      <c r="K566" s="52"/>
      <c r="L566" s="52"/>
      <c r="M566" s="56">
        <f t="shared" si="16"/>
        <v>0</v>
      </c>
      <c r="N566" s="56">
        <f t="shared" si="16"/>
        <v>0</v>
      </c>
      <c r="O566" s="56">
        <f t="shared" si="17"/>
        <v>0</v>
      </c>
    </row>
    <row r="567" spans="1:15" x14ac:dyDescent="0.25">
      <c r="A567" s="52"/>
      <c r="B567" s="52"/>
      <c r="C567" s="53"/>
      <c r="D567" s="52"/>
      <c r="E567" s="52" t="s">
        <v>343</v>
      </c>
      <c r="F567" s="52">
        <v>1.01</v>
      </c>
      <c r="G567" s="54">
        <v>1176</v>
      </c>
      <c r="H567" s="55">
        <v>1187.76</v>
      </c>
      <c r="I567" s="55">
        <v>430.4764385833551</v>
      </c>
      <c r="J567" s="55">
        <v>757.28356141664483</v>
      </c>
      <c r="K567" s="52"/>
      <c r="L567" s="52"/>
      <c r="M567" s="56">
        <f t="shared" si="16"/>
        <v>0</v>
      </c>
      <c r="N567" s="56">
        <f t="shared" si="16"/>
        <v>0</v>
      </c>
      <c r="O567" s="56">
        <f t="shared" si="17"/>
        <v>0</v>
      </c>
    </row>
    <row r="568" spans="1:15" x14ac:dyDescent="0.25">
      <c r="A568" s="52"/>
      <c r="B568" s="52"/>
      <c r="C568" s="53"/>
      <c r="D568" s="52"/>
      <c r="E568" s="52" t="s">
        <v>344</v>
      </c>
      <c r="F568" s="52">
        <v>0.73999999999999988</v>
      </c>
      <c r="G568" s="54">
        <v>3265</v>
      </c>
      <c r="H568" s="55">
        <v>2416.1</v>
      </c>
      <c r="I568" s="55">
        <v>1208.4018445143049</v>
      </c>
      <c r="J568" s="55">
        <v>1207.698155485695</v>
      </c>
      <c r="K568" s="52"/>
      <c r="L568" s="52"/>
      <c r="M568" s="56">
        <f t="shared" si="16"/>
        <v>0</v>
      </c>
      <c r="N568" s="56">
        <f t="shared" si="16"/>
        <v>0</v>
      </c>
      <c r="O568" s="56">
        <f t="shared" si="17"/>
        <v>0</v>
      </c>
    </row>
    <row r="569" spans="1:15" x14ac:dyDescent="0.25">
      <c r="A569" s="52"/>
      <c r="B569" s="52"/>
      <c r="C569" s="53"/>
      <c r="D569" s="52"/>
      <c r="E569" s="52" t="s">
        <v>323</v>
      </c>
      <c r="F569" s="52">
        <v>0.7</v>
      </c>
      <c r="G569" s="54">
        <v>2062</v>
      </c>
      <c r="H569" s="55">
        <v>1443.3999999999999</v>
      </c>
      <c r="I569" s="55">
        <v>922.06355818681743</v>
      </c>
      <c r="J569" s="55">
        <v>521.33644181318255</v>
      </c>
      <c r="K569" s="52"/>
      <c r="L569" s="52"/>
      <c r="M569" s="56">
        <f t="shared" si="16"/>
        <v>0</v>
      </c>
      <c r="N569" s="56">
        <f t="shared" si="16"/>
        <v>0</v>
      </c>
      <c r="O569" s="56">
        <f t="shared" si="17"/>
        <v>0</v>
      </c>
    </row>
    <row r="570" spans="1:15" x14ac:dyDescent="0.25">
      <c r="A570" s="52"/>
      <c r="B570" s="52"/>
      <c r="C570" s="53"/>
      <c r="D570" s="52"/>
      <c r="E570" s="52" t="s">
        <v>345</v>
      </c>
      <c r="F570" s="52">
        <v>0.77</v>
      </c>
      <c r="G570" s="54">
        <v>2886</v>
      </c>
      <c r="H570" s="55">
        <v>2222.2199999999998</v>
      </c>
      <c r="I570" s="55">
        <v>1194.2846965335302</v>
      </c>
      <c r="J570" s="55">
        <v>1027.9353034664698</v>
      </c>
      <c r="K570" s="52"/>
      <c r="L570" s="52"/>
      <c r="M570" s="56">
        <f t="shared" si="16"/>
        <v>0</v>
      </c>
      <c r="N570" s="56">
        <f t="shared" si="16"/>
        <v>0</v>
      </c>
      <c r="O570" s="56">
        <f t="shared" si="17"/>
        <v>0</v>
      </c>
    </row>
    <row r="571" spans="1:15" x14ac:dyDescent="0.25">
      <c r="A571" s="52"/>
      <c r="B571" s="52"/>
      <c r="C571" s="53"/>
      <c r="D571" s="52"/>
      <c r="E571" s="52" t="s">
        <v>346</v>
      </c>
      <c r="F571" s="52">
        <v>0.70000000000000007</v>
      </c>
      <c r="G571" s="54">
        <v>461</v>
      </c>
      <c r="H571" s="55">
        <v>322.7</v>
      </c>
      <c r="I571" s="55">
        <v>203.62506023931974</v>
      </c>
      <c r="J571" s="55">
        <v>119.07493976068025</v>
      </c>
      <c r="K571" s="52"/>
      <c r="L571" s="52"/>
      <c r="M571" s="56">
        <f t="shared" si="16"/>
        <v>0</v>
      </c>
      <c r="N571" s="56">
        <f t="shared" si="16"/>
        <v>0</v>
      </c>
      <c r="O571" s="56">
        <f t="shared" si="17"/>
        <v>0</v>
      </c>
    </row>
    <row r="572" spans="1:15" x14ac:dyDescent="0.25">
      <c r="A572" s="52"/>
      <c r="B572" s="52"/>
      <c r="C572" s="53"/>
      <c r="D572" s="52"/>
      <c r="E572" s="52" t="s">
        <v>347</v>
      </c>
      <c r="F572" s="52">
        <v>0.7</v>
      </c>
      <c r="G572" s="54">
        <v>3066</v>
      </c>
      <c r="H572" s="55">
        <v>2146.2000000000003</v>
      </c>
      <c r="I572" s="55">
        <v>1219.9949035083393</v>
      </c>
      <c r="J572" s="55">
        <v>926.2050964916607</v>
      </c>
      <c r="K572" s="52"/>
      <c r="L572" s="52"/>
      <c r="M572" s="56">
        <f t="shared" si="16"/>
        <v>0</v>
      </c>
      <c r="N572" s="56">
        <f t="shared" si="16"/>
        <v>0</v>
      </c>
      <c r="O572" s="56">
        <f t="shared" si="17"/>
        <v>0</v>
      </c>
    </row>
    <row r="573" spans="1:15" x14ac:dyDescent="0.25">
      <c r="A573" s="52"/>
      <c r="B573" s="52"/>
      <c r="C573" s="53"/>
      <c r="D573" s="52"/>
      <c r="E573" s="52" t="s">
        <v>348</v>
      </c>
      <c r="F573" s="52">
        <v>0.74</v>
      </c>
      <c r="G573" s="54">
        <v>4981</v>
      </c>
      <c r="H573" s="55">
        <v>3685.94</v>
      </c>
      <c r="I573" s="55">
        <v>2068.5672851232066</v>
      </c>
      <c r="J573" s="55">
        <v>1617.372714876793</v>
      </c>
      <c r="K573" s="52"/>
      <c r="L573" s="52"/>
      <c r="M573" s="56">
        <f t="shared" si="16"/>
        <v>0</v>
      </c>
      <c r="N573" s="56">
        <f t="shared" si="16"/>
        <v>0</v>
      </c>
      <c r="O573" s="56">
        <f t="shared" si="17"/>
        <v>0</v>
      </c>
    </row>
    <row r="574" spans="1:15" x14ac:dyDescent="0.25">
      <c r="A574" s="52"/>
      <c r="B574" s="52"/>
      <c r="C574" s="53"/>
      <c r="D574" s="52"/>
      <c r="E574" s="52" t="s">
        <v>349</v>
      </c>
      <c r="F574" s="52">
        <v>0.7</v>
      </c>
      <c r="G574" s="54">
        <v>872</v>
      </c>
      <c r="H574" s="55">
        <v>610.40000000000009</v>
      </c>
      <c r="I574" s="55">
        <v>295.2733017377567</v>
      </c>
      <c r="J574" s="55">
        <v>315.12669826224334</v>
      </c>
      <c r="K574" s="52"/>
      <c r="L574" s="52"/>
      <c r="M574" s="56">
        <f t="shared" si="16"/>
        <v>0</v>
      </c>
      <c r="N574" s="56">
        <f t="shared" si="16"/>
        <v>0</v>
      </c>
      <c r="O574" s="56">
        <f t="shared" si="17"/>
        <v>0</v>
      </c>
    </row>
    <row r="575" spans="1:15" x14ac:dyDescent="0.25">
      <c r="A575" s="52"/>
      <c r="B575" s="52"/>
      <c r="C575" s="53"/>
      <c r="D575" s="52"/>
      <c r="E575" s="52" t="s">
        <v>350</v>
      </c>
      <c r="F575" s="52">
        <v>0.69999999999999984</v>
      </c>
      <c r="G575" s="54">
        <v>5306</v>
      </c>
      <c r="H575" s="55">
        <v>3714.2</v>
      </c>
      <c r="I575" s="55">
        <v>2145.1719741435036</v>
      </c>
      <c r="J575" s="55">
        <v>1569.0280258564965</v>
      </c>
      <c r="K575" s="52"/>
      <c r="L575" s="52"/>
      <c r="M575" s="56">
        <f t="shared" si="16"/>
        <v>0</v>
      </c>
      <c r="N575" s="56">
        <f t="shared" si="16"/>
        <v>0</v>
      </c>
      <c r="O575" s="56">
        <f t="shared" si="17"/>
        <v>0</v>
      </c>
    </row>
    <row r="576" spans="1:15" x14ac:dyDescent="0.25">
      <c r="A576" s="52"/>
      <c r="B576" s="52"/>
      <c r="C576" s="53"/>
      <c r="D576" s="52"/>
      <c r="E576" s="52" t="s">
        <v>355</v>
      </c>
      <c r="F576" s="52">
        <v>0.67</v>
      </c>
      <c r="G576" s="54">
        <v>785</v>
      </c>
      <c r="H576" s="55">
        <v>525.95000000000005</v>
      </c>
      <c r="I576" s="55">
        <v>317.5996373626374</v>
      </c>
      <c r="J576" s="55">
        <v>208.35036263736268</v>
      </c>
      <c r="K576" s="52"/>
      <c r="L576" s="52"/>
      <c r="M576" s="56">
        <f t="shared" si="16"/>
        <v>0</v>
      </c>
      <c r="N576" s="56">
        <f t="shared" si="16"/>
        <v>0</v>
      </c>
      <c r="O576" s="56">
        <f t="shared" si="17"/>
        <v>0</v>
      </c>
    </row>
    <row r="577" spans="1:15" x14ac:dyDescent="0.25">
      <c r="A577" s="52"/>
      <c r="B577" s="52"/>
      <c r="C577" s="53"/>
      <c r="D577" s="52"/>
      <c r="E577" s="52" t="s">
        <v>351</v>
      </c>
      <c r="F577" s="52">
        <v>0.83</v>
      </c>
      <c r="G577" s="54">
        <v>612</v>
      </c>
      <c r="H577" s="55">
        <v>507.96</v>
      </c>
      <c r="I577" s="55">
        <v>217.99646699182273</v>
      </c>
      <c r="J577" s="55">
        <v>289.96353300817725</v>
      </c>
      <c r="K577" s="52"/>
      <c r="L577" s="52"/>
      <c r="M577" s="56">
        <f t="shared" si="16"/>
        <v>0</v>
      </c>
      <c r="N577" s="56">
        <f t="shared" si="16"/>
        <v>0</v>
      </c>
      <c r="O577" s="56">
        <f t="shared" si="17"/>
        <v>0</v>
      </c>
    </row>
    <row r="578" spans="1:15" x14ac:dyDescent="0.25">
      <c r="A578" s="52"/>
      <c r="B578" s="52"/>
      <c r="C578" s="53"/>
      <c r="D578" s="52"/>
      <c r="E578" s="52" t="s">
        <v>352</v>
      </c>
      <c r="F578" s="52">
        <v>0.84</v>
      </c>
      <c r="G578" s="54">
        <v>5</v>
      </c>
      <c r="H578" s="55">
        <v>4.2</v>
      </c>
      <c r="I578" s="55">
        <v>1.7995824634655531</v>
      </c>
      <c r="J578" s="55">
        <v>2.4004175365344471</v>
      </c>
      <c r="K578" s="52"/>
      <c r="L578" s="52"/>
      <c r="M578" s="56">
        <f t="shared" si="16"/>
        <v>0</v>
      </c>
      <c r="N578" s="56">
        <f t="shared" si="16"/>
        <v>0</v>
      </c>
      <c r="O578" s="56">
        <f t="shared" si="17"/>
        <v>0</v>
      </c>
    </row>
    <row r="579" spans="1:15" x14ac:dyDescent="0.25">
      <c r="A579" s="52"/>
      <c r="B579" s="52"/>
      <c r="C579" s="53"/>
      <c r="D579" s="52"/>
      <c r="E579" s="52" t="s">
        <v>326</v>
      </c>
      <c r="F579" s="52">
        <v>0.83</v>
      </c>
      <c r="G579" s="54">
        <v>817</v>
      </c>
      <c r="H579" s="55">
        <v>678.11</v>
      </c>
      <c r="I579" s="55">
        <v>284.5470707070707</v>
      </c>
      <c r="J579" s="55">
        <v>393.56292929292931</v>
      </c>
      <c r="K579" s="52"/>
      <c r="L579" s="52"/>
      <c r="M579" s="56">
        <f t="shared" si="16"/>
        <v>0</v>
      </c>
      <c r="N579" s="56">
        <f t="shared" si="16"/>
        <v>0</v>
      </c>
      <c r="O579" s="56">
        <f t="shared" si="17"/>
        <v>0</v>
      </c>
    </row>
    <row r="580" spans="1:15" x14ac:dyDescent="0.25">
      <c r="A580" s="52"/>
      <c r="B580" s="52"/>
      <c r="C580" s="53"/>
      <c r="D580" s="52"/>
      <c r="E580" s="52" t="s">
        <v>353</v>
      </c>
      <c r="F580" s="52">
        <v>0.82999999999999985</v>
      </c>
      <c r="G580" s="54">
        <v>4211</v>
      </c>
      <c r="H580" s="55">
        <v>3495.13</v>
      </c>
      <c r="I580" s="55">
        <v>1965.8154242620126</v>
      </c>
      <c r="J580" s="55">
        <v>1529.3145757379875</v>
      </c>
      <c r="K580" s="52"/>
      <c r="L580" s="52"/>
      <c r="M580" s="56">
        <f t="shared" si="16"/>
        <v>0</v>
      </c>
      <c r="N580" s="56">
        <f t="shared" si="16"/>
        <v>0</v>
      </c>
      <c r="O580" s="56">
        <f t="shared" si="17"/>
        <v>0</v>
      </c>
    </row>
    <row r="581" spans="1:15" x14ac:dyDescent="0.25">
      <c r="A581" s="52"/>
      <c r="B581" s="52"/>
      <c r="C581" s="53"/>
      <c r="D581" s="52"/>
      <c r="E581" s="52" t="s">
        <v>354</v>
      </c>
      <c r="F581" s="52">
        <v>0.84</v>
      </c>
      <c r="G581" s="54">
        <v>263</v>
      </c>
      <c r="H581" s="55">
        <v>220.92000000000002</v>
      </c>
      <c r="I581" s="55">
        <v>91.548511773265005</v>
      </c>
      <c r="J581" s="55">
        <v>129.37148822673498</v>
      </c>
      <c r="K581" s="52"/>
      <c r="L581" s="52"/>
      <c r="M581" s="56">
        <f t="shared" si="16"/>
        <v>0</v>
      </c>
      <c r="N581" s="56">
        <f t="shared" si="16"/>
        <v>0</v>
      </c>
      <c r="O581" s="56">
        <f t="shared" si="17"/>
        <v>0</v>
      </c>
    </row>
    <row r="582" spans="1:15" x14ac:dyDescent="0.25">
      <c r="A582" s="52"/>
      <c r="B582" s="52"/>
      <c r="C582" s="53" t="s">
        <v>197</v>
      </c>
      <c r="D582" s="52" t="s">
        <v>217</v>
      </c>
      <c r="E582" s="52" t="s">
        <v>312</v>
      </c>
      <c r="F582" s="52">
        <v>0.8</v>
      </c>
      <c r="G582" s="54">
        <v>15</v>
      </c>
      <c r="H582" s="55">
        <v>12</v>
      </c>
      <c r="I582" s="55">
        <v>6.7056739409499357</v>
      </c>
      <c r="J582" s="55">
        <v>5.2943260590500643</v>
      </c>
      <c r="K582" s="52"/>
      <c r="L582" s="52"/>
      <c r="M582" s="56">
        <f t="shared" ref="M582:N621" si="18">$G582*K582</f>
        <v>0</v>
      </c>
      <c r="N582" s="56">
        <f t="shared" si="18"/>
        <v>0</v>
      </c>
      <c r="O582" s="56">
        <f t="shared" ref="O582:O621" si="19">M582+N582</f>
        <v>0</v>
      </c>
    </row>
    <row r="583" spans="1:15" x14ac:dyDescent="0.25">
      <c r="A583" s="52"/>
      <c r="B583" s="52"/>
      <c r="C583" s="53"/>
      <c r="D583" s="52"/>
      <c r="E583" s="52" t="s">
        <v>313</v>
      </c>
      <c r="F583" s="52">
        <v>0.8</v>
      </c>
      <c r="G583" s="54">
        <v>3</v>
      </c>
      <c r="H583" s="55">
        <v>2.4</v>
      </c>
      <c r="I583" s="55">
        <v>1.2929999999999999</v>
      </c>
      <c r="J583" s="55">
        <v>1.107</v>
      </c>
      <c r="K583" s="52"/>
      <c r="L583" s="52"/>
      <c r="M583" s="56">
        <f t="shared" si="18"/>
        <v>0</v>
      </c>
      <c r="N583" s="56">
        <f t="shared" si="18"/>
        <v>0</v>
      </c>
      <c r="O583" s="56">
        <f t="shared" si="19"/>
        <v>0</v>
      </c>
    </row>
    <row r="584" spans="1:15" x14ac:dyDescent="0.25">
      <c r="A584" s="52"/>
      <c r="B584" s="52"/>
      <c r="C584" s="53"/>
      <c r="D584" s="52"/>
      <c r="E584" s="52" t="s">
        <v>314</v>
      </c>
      <c r="F584" s="52">
        <v>0.93</v>
      </c>
      <c r="G584" s="54">
        <v>1582</v>
      </c>
      <c r="H584" s="55">
        <v>1471.26</v>
      </c>
      <c r="I584" s="55">
        <v>814.37005123369954</v>
      </c>
      <c r="J584" s="55">
        <v>656.88994876630045</v>
      </c>
      <c r="K584" s="52"/>
      <c r="L584" s="52"/>
      <c r="M584" s="56">
        <f t="shared" si="18"/>
        <v>0</v>
      </c>
      <c r="N584" s="56">
        <f t="shared" si="18"/>
        <v>0</v>
      </c>
      <c r="O584" s="56">
        <f t="shared" si="19"/>
        <v>0</v>
      </c>
    </row>
    <row r="585" spans="1:15" x14ac:dyDescent="0.25">
      <c r="A585" s="52"/>
      <c r="B585" s="52"/>
      <c r="C585" s="53"/>
      <c r="D585" s="52"/>
      <c r="E585" s="52" t="s">
        <v>331</v>
      </c>
      <c r="F585" s="52">
        <v>0.83</v>
      </c>
      <c r="G585" s="54">
        <v>1195</v>
      </c>
      <c r="H585" s="55">
        <v>991.85</v>
      </c>
      <c r="I585" s="55">
        <v>515.04500000000007</v>
      </c>
      <c r="J585" s="55">
        <v>476.80499999999995</v>
      </c>
      <c r="K585" s="52"/>
      <c r="L585" s="52"/>
      <c r="M585" s="56">
        <f t="shared" si="18"/>
        <v>0</v>
      </c>
      <c r="N585" s="56">
        <f t="shared" si="18"/>
        <v>0</v>
      </c>
      <c r="O585" s="56">
        <f t="shared" si="19"/>
        <v>0</v>
      </c>
    </row>
    <row r="586" spans="1:15" x14ac:dyDescent="0.25">
      <c r="A586" s="52"/>
      <c r="B586" s="52"/>
      <c r="C586" s="53"/>
      <c r="D586" s="52"/>
      <c r="E586" s="52" t="s">
        <v>315</v>
      </c>
      <c r="F586" s="52">
        <v>0.93</v>
      </c>
      <c r="G586" s="54">
        <v>1840</v>
      </c>
      <c r="H586" s="55">
        <v>1711.2</v>
      </c>
      <c r="I586" s="55">
        <v>857.34054054054059</v>
      </c>
      <c r="J586" s="55">
        <v>853.85945945945946</v>
      </c>
      <c r="K586" s="52"/>
      <c r="L586" s="52"/>
      <c r="M586" s="56">
        <f t="shared" si="18"/>
        <v>0</v>
      </c>
      <c r="N586" s="56">
        <f t="shared" si="18"/>
        <v>0</v>
      </c>
      <c r="O586" s="56">
        <f t="shared" si="19"/>
        <v>0</v>
      </c>
    </row>
    <row r="587" spans="1:15" x14ac:dyDescent="0.25">
      <c r="A587" s="52"/>
      <c r="B587" s="52"/>
      <c r="C587" s="53"/>
      <c r="D587" s="52"/>
      <c r="E587" s="52" t="s">
        <v>316</v>
      </c>
      <c r="F587" s="52">
        <v>0.79</v>
      </c>
      <c r="G587" s="54">
        <v>1940</v>
      </c>
      <c r="H587" s="55">
        <v>1532.6</v>
      </c>
      <c r="I587" s="55">
        <v>832.20224060628755</v>
      </c>
      <c r="J587" s="55">
        <v>700.39775939371248</v>
      </c>
      <c r="K587" s="52"/>
      <c r="L587" s="52"/>
      <c r="M587" s="56">
        <f t="shared" si="18"/>
        <v>0</v>
      </c>
      <c r="N587" s="56">
        <f t="shared" si="18"/>
        <v>0</v>
      </c>
      <c r="O587" s="56">
        <f t="shared" si="19"/>
        <v>0</v>
      </c>
    </row>
    <row r="588" spans="1:15" x14ac:dyDescent="0.25">
      <c r="A588" s="52"/>
      <c r="B588" s="52"/>
      <c r="C588" s="53"/>
      <c r="D588" s="52"/>
      <c r="E588" s="52" t="s">
        <v>317</v>
      </c>
      <c r="F588" s="52">
        <v>0.77</v>
      </c>
      <c r="G588" s="54">
        <v>350</v>
      </c>
      <c r="H588" s="55">
        <v>269.5</v>
      </c>
      <c r="I588" s="55">
        <v>165.76325173222136</v>
      </c>
      <c r="J588" s="55">
        <v>103.73674826777864</v>
      </c>
      <c r="K588" s="52"/>
      <c r="L588" s="52"/>
      <c r="M588" s="56">
        <f t="shared" si="18"/>
        <v>0</v>
      </c>
      <c r="N588" s="56">
        <f t="shared" si="18"/>
        <v>0</v>
      </c>
      <c r="O588" s="56">
        <f t="shared" si="19"/>
        <v>0</v>
      </c>
    </row>
    <row r="589" spans="1:15" x14ac:dyDescent="0.25">
      <c r="A589" s="52"/>
      <c r="B589" s="52"/>
      <c r="C589" s="53"/>
      <c r="D589" s="52"/>
      <c r="E589" s="52" t="s">
        <v>318</v>
      </c>
      <c r="F589" s="52">
        <v>0.80000000000000016</v>
      </c>
      <c r="G589" s="54">
        <v>564</v>
      </c>
      <c r="H589" s="55">
        <v>451.2</v>
      </c>
      <c r="I589" s="55">
        <v>243.13102824133509</v>
      </c>
      <c r="J589" s="55">
        <v>208.0689717586649</v>
      </c>
      <c r="K589" s="52"/>
      <c r="L589" s="52"/>
      <c r="M589" s="56">
        <f t="shared" si="18"/>
        <v>0</v>
      </c>
      <c r="N589" s="56">
        <f t="shared" si="18"/>
        <v>0</v>
      </c>
      <c r="O589" s="56">
        <f t="shared" si="19"/>
        <v>0</v>
      </c>
    </row>
    <row r="590" spans="1:15" x14ac:dyDescent="0.25">
      <c r="A590" s="52"/>
      <c r="B590" s="52"/>
      <c r="C590" s="53"/>
      <c r="D590" s="52"/>
      <c r="E590" s="52" t="s">
        <v>303</v>
      </c>
      <c r="F590" s="52">
        <v>0.65</v>
      </c>
      <c r="G590" s="54">
        <v>25</v>
      </c>
      <c r="H590" s="55">
        <v>16.25</v>
      </c>
      <c r="I590" s="55">
        <v>12.314285714285713</v>
      </c>
      <c r="J590" s="55">
        <v>3.9357142857142868</v>
      </c>
      <c r="K590" s="52"/>
      <c r="L590" s="52"/>
      <c r="M590" s="56">
        <f t="shared" si="18"/>
        <v>0</v>
      </c>
      <c r="N590" s="56">
        <f t="shared" si="18"/>
        <v>0</v>
      </c>
      <c r="O590" s="56">
        <f t="shared" si="19"/>
        <v>0</v>
      </c>
    </row>
    <row r="591" spans="1:15" x14ac:dyDescent="0.25">
      <c r="A591" s="52"/>
      <c r="B591" s="52"/>
      <c r="C591" s="53"/>
      <c r="D591" s="52"/>
      <c r="E591" s="52" t="s">
        <v>304</v>
      </c>
      <c r="F591" s="52">
        <v>0.65</v>
      </c>
      <c r="G591" s="54">
        <v>6010</v>
      </c>
      <c r="H591" s="55">
        <v>3906.4999999999995</v>
      </c>
      <c r="I591" s="55">
        <v>2430.5788895478677</v>
      </c>
      <c r="J591" s="55">
        <v>1475.9211104521319</v>
      </c>
      <c r="K591" s="52"/>
      <c r="L591" s="52"/>
      <c r="M591" s="56">
        <f t="shared" si="18"/>
        <v>0</v>
      </c>
      <c r="N591" s="56">
        <f t="shared" si="18"/>
        <v>0</v>
      </c>
      <c r="O591" s="56">
        <f t="shared" si="19"/>
        <v>0</v>
      </c>
    </row>
    <row r="592" spans="1:15" x14ac:dyDescent="0.25">
      <c r="A592" s="52"/>
      <c r="B592" s="52"/>
      <c r="C592" s="53"/>
      <c r="D592" s="52"/>
      <c r="E592" s="52" t="s">
        <v>319</v>
      </c>
      <c r="F592" s="52">
        <v>0.65</v>
      </c>
      <c r="G592" s="54">
        <v>7321</v>
      </c>
      <c r="H592" s="55">
        <v>4758.6499999999996</v>
      </c>
      <c r="I592" s="55">
        <v>2963.772324326319</v>
      </c>
      <c r="J592" s="55">
        <v>1794.8776756736811</v>
      </c>
      <c r="K592" s="52"/>
      <c r="L592" s="52"/>
      <c r="M592" s="56">
        <f t="shared" si="18"/>
        <v>0</v>
      </c>
      <c r="N592" s="56">
        <f t="shared" si="18"/>
        <v>0</v>
      </c>
      <c r="O592" s="56">
        <f t="shared" si="19"/>
        <v>0</v>
      </c>
    </row>
    <row r="593" spans="1:15" x14ac:dyDescent="0.25">
      <c r="A593" s="52"/>
      <c r="B593" s="52"/>
      <c r="C593" s="53"/>
      <c r="D593" s="52"/>
      <c r="E593" s="52" t="s">
        <v>320</v>
      </c>
      <c r="F593" s="52">
        <v>0.8</v>
      </c>
      <c r="G593" s="54">
        <v>2040</v>
      </c>
      <c r="H593" s="55">
        <v>1632.0000000000002</v>
      </c>
      <c r="I593" s="55">
        <v>890.29757069932236</v>
      </c>
      <c r="J593" s="55">
        <v>741.70242930067775</v>
      </c>
      <c r="K593" s="52"/>
      <c r="L593" s="52"/>
      <c r="M593" s="56">
        <f t="shared" si="18"/>
        <v>0</v>
      </c>
      <c r="N593" s="56">
        <f t="shared" si="18"/>
        <v>0</v>
      </c>
      <c r="O593" s="56">
        <f t="shared" si="19"/>
        <v>0</v>
      </c>
    </row>
    <row r="594" spans="1:15" x14ac:dyDescent="0.25">
      <c r="A594" s="52"/>
      <c r="B594" s="52"/>
      <c r="C594" s="53"/>
      <c r="D594" s="52"/>
      <c r="E594" s="52" t="s">
        <v>322</v>
      </c>
      <c r="F594" s="52">
        <v>0.7</v>
      </c>
      <c r="G594" s="54">
        <v>4131</v>
      </c>
      <c r="H594" s="55">
        <v>2891.7000000000003</v>
      </c>
      <c r="I594" s="55">
        <v>1836.1160180293059</v>
      </c>
      <c r="J594" s="55">
        <v>1055.5839819706944</v>
      </c>
      <c r="K594" s="52"/>
      <c r="L594" s="52"/>
      <c r="M594" s="56">
        <f t="shared" si="18"/>
        <v>0</v>
      </c>
      <c r="N594" s="56">
        <f t="shared" si="18"/>
        <v>0</v>
      </c>
      <c r="O594" s="56">
        <f t="shared" si="19"/>
        <v>0</v>
      </c>
    </row>
    <row r="595" spans="1:15" x14ac:dyDescent="0.25">
      <c r="A595" s="52"/>
      <c r="B595" s="52"/>
      <c r="C595" s="53"/>
      <c r="D595" s="52"/>
      <c r="E595" s="52" t="s">
        <v>323</v>
      </c>
      <c r="F595" s="52">
        <v>0.7</v>
      </c>
      <c r="G595" s="54">
        <v>3589</v>
      </c>
      <c r="H595" s="55">
        <v>2512.2999999999997</v>
      </c>
      <c r="I595" s="55">
        <v>1713.9697736926369</v>
      </c>
      <c r="J595" s="55">
        <v>798.3302263073632</v>
      </c>
      <c r="K595" s="52"/>
      <c r="L595" s="52"/>
      <c r="M595" s="56">
        <f t="shared" si="18"/>
        <v>0</v>
      </c>
      <c r="N595" s="56">
        <f t="shared" si="18"/>
        <v>0</v>
      </c>
      <c r="O595" s="56">
        <f t="shared" si="19"/>
        <v>0</v>
      </c>
    </row>
    <row r="596" spans="1:15" x14ac:dyDescent="0.25">
      <c r="A596" s="52"/>
      <c r="B596" s="52"/>
      <c r="C596" s="53"/>
      <c r="D596" s="52"/>
      <c r="E596" s="52" t="s">
        <v>324</v>
      </c>
      <c r="F596" s="52">
        <v>0.79999999999999993</v>
      </c>
      <c r="G596" s="54">
        <v>3804</v>
      </c>
      <c r="H596" s="55">
        <v>3043.2</v>
      </c>
      <c r="I596" s="55">
        <v>1676.4814084692546</v>
      </c>
      <c r="J596" s="55">
        <v>1366.7185915307455</v>
      </c>
      <c r="K596" s="52"/>
      <c r="L596" s="52"/>
      <c r="M596" s="56">
        <f t="shared" si="18"/>
        <v>0</v>
      </c>
      <c r="N596" s="56">
        <f t="shared" si="18"/>
        <v>0</v>
      </c>
      <c r="O596" s="56">
        <f t="shared" si="19"/>
        <v>0</v>
      </c>
    </row>
    <row r="597" spans="1:15" x14ac:dyDescent="0.25">
      <c r="A597" s="52"/>
      <c r="B597" s="52"/>
      <c r="C597" s="53"/>
      <c r="D597" s="52"/>
      <c r="E597" s="52" t="s">
        <v>325</v>
      </c>
      <c r="F597" s="52">
        <v>0.77</v>
      </c>
      <c r="G597" s="54">
        <v>259</v>
      </c>
      <c r="H597" s="55">
        <v>199.43</v>
      </c>
      <c r="I597" s="55">
        <v>108.90634146341463</v>
      </c>
      <c r="J597" s="55">
        <v>90.523658536585373</v>
      </c>
      <c r="K597" s="52"/>
      <c r="L597" s="52"/>
      <c r="M597" s="56">
        <f t="shared" si="18"/>
        <v>0</v>
      </c>
      <c r="N597" s="56">
        <f t="shared" si="18"/>
        <v>0</v>
      </c>
      <c r="O597" s="56">
        <f t="shared" si="19"/>
        <v>0</v>
      </c>
    </row>
    <row r="598" spans="1:15" x14ac:dyDescent="0.25">
      <c r="A598" s="52"/>
      <c r="B598" s="52"/>
      <c r="C598" s="53"/>
      <c r="D598" s="52"/>
      <c r="E598" s="52" t="s">
        <v>348</v>
      </c>
      <c r="F598" s="52">
        <v>0.74</v>
      </c>
      <c r="G598" s="54">
        <v>159</v>
      </c>
      <c r="H598" s="55">
        <v>117.66</v>
      </c>
      <c r="I598" s="55">
        <v>68.528999999999996</v>
      </c>
      <c r="J598" s="55">
        <v>49.131</v>
      </c>
      <c r="K598" s="52"/>
      <c r="L598" s="52"/>
      <c r="M598" s="56">
        <f t="shared" si="18"/>
        <v>0</v>
      </c>
      <c r="N598" s="56">
        <f t="shared" si="18"/>
        <v>0</v>
      </c>
      <c r="O598" s="56">
        <f t="shared" si="19"/>
        <v>0</v>
      </c>
    </row>
    <row r="599" spans="1:15" x14ac:dyDescent="0.25">
      <c r="A599" s="52"/>
      <c r="B599" s="52"/>
      <c r="C599" s="53"/>
      <c r="D599" s="52"/>
      <c r="E599" s="52" t="s">
        <v>326</v>
      </c>
      <c r="F599" s="52">
        <v>0.83</v>
      </c>
      <c r="G599" s="54">
        <v>1720</v>
      </c>
      <c r="H599" s="55">
        <v>1427.6</v>
      </c>
      <c r="I599" s="55">
        <v>847.22285714285715</v>
      </c>
      <c r="J599" s="55">
        <v>580.37714285714276</v>
      </c>
      <c r="K599" s="52"/>
      <c r="L599" s="52"/>
      <c r="M599" s="56">
        <f t="shared" si="18"/>
        <v>0</v>
      </c>
      <c r="N599" s="56">
        <f t="shared" si="18"/>
        <v>0</v>
      </c>
      <c r="O599" s="56">
        <f t="shared" si="19"/>
        <v>0</v>
      </c>
    </row>
    <row r="600" spans="1:15" x14ac:dyDescent="0.25">
      <c r="A600" s="52"/>
      <c r="B600" s="52"/>
      <c r="C600" s="53"/>
      <c r="D600" s="52"/>
      <c r="E600" s="52" t="s">
        <v>327</v>
      </c>
      <c r="F600" s="52">
        <v>0.83</v>
      </c>
      <c r="G600" s="54">
        <v>180</v>
      </c>
      <c r="H600" s="55">
        <v>149.4</v>
      </c>
      <c r="I600" s="55">
        <v>81.663157894736841</v>
      </c>
      <c r="J600" s="55">
        <v>67.736842105263165</v>
      </c>
      <c r="K600" s="52"/>
      <c r="L600" s="52"/>
      <c r="M600" s="56">
        <f t="shared" si="18"/>
        <v>0</v>
      </c>
      <c r="N600" s="56">
        <f t="shared" si="18"/>
        <v>0</v>
      </c>
      <c r="O600" s="56">
        <f t="shared" si="19"/>
        <v>0</v>
      </c>
    </row>
    <row r="601" spans="1:15" x14ac:dyDescent="0.25">
      <c r="A601" s="52"/>
      <c r="B601" s="52"/>
      <c r="C601" s="53"/>
      <c r="D601" s="52"/>
      <c r="E601" s="52" t="s">
        <v>328</v>
      </c>
      <c r="F601" s="52">
        <v>0.83</v>
      </c>
      <c r="G601" s="54">
        <v>6086</v>
      </c>
      <c r="H601" s="55">
        <v>5051.38</v>
      </c>
      <c r="I601" s="55">
        <v>2875.4189401084241</v>
      </c>
      <c r="J601" s="55">
        <v>2175.961059891576</v>
      </c>
      <c r="K601" s="52"/>
      <c r="L601" s="52"/>
      <c r="M601" s="56">
        <f t="shared" si="18"/>
        <v>0</v>
      </c>
      <c r="N601" s="56">
        <f t="shared" si="18"/>
        <v>0</v>
      </c>
      <c r="O601" s="56">
        <f t="shared" si="19"/>
        <v>0</v>
      </c>
    </row>
    <row r="602" spans="1:15" x14ac:dyDescent="0.25">
      <c r="A602" s="52"/>
      <c r="B602" s="52"/>
      <c r="C602" s="53"/>
      <c r="D602" s="52"/>
      <c r="E602" s="52" t="s">
        <v>329</v>
      </c>
      <c r="F602" s="52">
        <v>0.84</v>
      </c>
      <c r="G602" s="54">
        <v>50</v>
      </c>
      <c r="H602" s="55">
        <v>42</v>
      </c>
      <c r="I602" s="55">
        <v>22.878646616541353</v>
      </c>
      <c r="J602" s="55">
        <v>19.121353383458644</v>
      </c>
      <c r="K602" s="52"/>
      <c r="L602" s="52"/>
      <c r="M602" s="56">
        <f t="shared" si="18"/>
        <v>0</v>
      </c>
      <c r="N602" s="56">
        <f t="shared" si="18"/>
        <v>0</v>
      </c>
      <c r="O602" s="56">
        <f t="shared" si="19"/>
        <v>0</v>
      </c>
    </row>
    <row r="603" spans="1:15" x14ac:dyDescent="0.25">
      <c r="A603" s="47"/>
      <c r="B603" s="47"/>
      <c r="C603" s="48" t="s">
        <v>198</v>
      </c>
      <c r="D603" s="47" t="s">
        <v>217</v>
      </c>
      <c r="E603" s="47" t="s">
        <v>312</v>
      </c>
      <c r="F603" s="47"/>
      <c r="G603" s="49">
        <v>177</v>
      </c>
      <c r="H603" s="50">
        <v>141.6</v>
      </c>
      <c r="I603" s="50">
        <v>76.560870346598207</v>
      </c>
      <c r="J603" s="50">
        <v>65.039129653401801</v>
      </c>
      <c r="K603" s="47"/>
      <c r="L603" s="47"/>
      <c r="M603" s="51">
        <f t="shared" si="18"/>
        <v>0</v>
      </c>
      <c r="N603" s="51">
        <f t="shared" si="18"/>
        <v>0</v>
      </c>
      <c r="O603" s="51">
        <f t="shared" si="19"/>
        <v>0</v>
      </c>
    </row>
    <row r="604" spans="1:15" x14ac:dyDescent="0.25">
      <c r="A604" s="52"/>
      <c r="B604" s="52"/>
      <c r="C604" s="53"/>
      <c r="D604" s="52"/>
      <c r="E604" s="52" t="s">
        <v>313</v>
      </c>
      <c r="F604" s="52">
        <v>0.8</v>
      </c>
      <c r="G604" s="54">
        <v>559</v>
      </c>
      <c r="H604" s="55">
        <v>447.2</v>
      </c>
      <c r="I604" s="55">
        <v>240.92900000000003</v>
      </c>
      <c r="J604" s="55">
        <v>206.27099999999996</v>
      </c>
      <c r="K604" s="52"/>
      <c r="L604" s="52"/>
      <c r="M604" s="56">
        <f t="shared" si="18"/>
        <v>0</v>
      </c>
      <c r="N604" s="56">
        <f t="shared" si="18"/>
        <v>0</v>
      </c>
      <c r="O604" s="56">
        <f t="shared" si="19"/>
        <v>0</v>
      </c>
    </row>
    <row r="605" spans="1:15" x14ac:dyDescent="0.25">
      <c r="A605" s="52"/>
      <c r="B605" s="52"/>
      <c r="C605" s="53"/>
      <c r="D605" s="52"/>
      <c r="E605" s="52" t="s">
        <v>314</v>
      </c>
      <c r="F605" s="52">
        <v>0.93</v>
      </c>
      <c r="G605" s="54">
        <v>1580</v>
      </c>
      <c r="H605" s="55">
        <v>1469.3999999999999</v>
      </c>
      <c r="I605" s="55">
        <v>813.30137960646402</v>
      </c>
      <c r="J605" s="55">
        <v>656.09862039353584</v>
      </c>
      <c r="K605" s="52"/>
      <c r="L605" s="52"/>
      <c r="M605" s="56">
        <f t="shared" si="18"/>
        <v>0</v>
      </c>
      <c r="N605" s="56">
        <f t="shared" si="18"/>
        <v>0</v>
      </c>
      <c r="O605" s="56">
        <f t="shared" si="19"/>
        <v>0</v>
      </c>
    </row>
    <row r="606" spans="1:15" x14ac:dyDescent="0.25">
      <c r="A606" s="52"/>
      <c r="B606" s="52"/>
      <c r="C606" s="53"/>
      <c r="D606" s="52"/>
      <c r="E606" s="52" t="s">
        <v>315</v>
      </c>
      <c r="F606" s="52">
        <v>0.93</v>
      </c>
      <c r="G606" s="54">
        <v>1840</v>
      </c>
      <c r="H606" s="55">
        <v>1711.2</v>
      </c>
      <c r="I606" s="55">
        <v>857.34054054054059</v>
      </c>
      <c r="J606" s="55">
        <v>853.85945945945946</v>
      </c>
      <c r="K606" s="52"/>
      <c r="L606" s="52"/>
      <c r="M606" s="56">
        <f t="shared" si="18"/>
        <v>0</v>
      </c>
      <c r="N606" s="56">
        <f t="shared" si="18"/>
        <v>0</v>
      </c>
      <c r="O606" s="56">
        <f t="shared" si="19"/>
        <v>0</v>
      </c>
    </row>
    <row r="607" spans="1:15" x14ac:dyDescent="0.25">
      <c r="A607" s="52"/>
      <c r="B607" s="52"/>
      <c r="C607" s="53"/>
      <c r="D607" s="52"/>
      <c r="E607" s="52" t="s">
        <v>316</v>
      </c>
      <c r="F607" s="52">
        <v>0.79</v>
      </c>
      <c r="G607" s="54">
        <v>1940</v>
      </c>
      <c r="H607" s="55">
        <v>1532.6</v>
      </c>
      <c r="I607" s="55">
        <v>832.24769874735546</v>
      </c>
      <c r="J607" s="55">
        <v>700.35230125264457</v>
      </c>
      <c r="K607" s="52"/>
      <c r="L607" s="52"/>
      <c r="M607" s="56">
        <f t="shared" si="18"/>
        <v>0</v>
      </c>
      <c r="N607" s="56">
        <f t="shared" si="18"/>
        <v>0</v>
      </c>
      <c r="O607" s="56">
        <f t="shared" si="19"/>
        <v>0</v>
      </c>
    </row>
    <row r="608" spans="1:15" x14ac:dyDescent="0.25">
      <c r="A608" s="52"/>
      <c r="B608" s="52"/>
      <c r="C608" s="53"/>
      <c r="D608" s="52"/>
      <c r="E608" s="52" t="s">
        <v>317</v>
      </c>
      <c r="F608" s="52">
        <v>0.77</v>
      </c>
      <c r="G608" s="54">
        <v>350</v>
      </c>
      <c r="H608" s="55">
        <v>269.50000000000006</v>
      </c>
      <c r="I608" s="55">
        <v>165.81658289470914</v>
      </c>
      <c r="J608" s="55">
        <v>103.68341710529087</v>
      </c>
      <c r="K608" s="52"/>
      <c r="L608" s="52"/>
      <c r="M608" s="56">
        <f t="shared" si="18"/>
        <v>0</v>
      </c>
      <c r="N608" s="56">
        <f t="shared" si="18"/>
        <v>0</v>
      </c>
      <c r="O608" s="56">
        <f t="shared" si="19"/>
        <v>0</v>
      </c>
    </row>
    <row r="609" spans="1:16" x14ac:dyDescent="0.25">
      <c r="A609" s="52"/>
      <c r="B609" s="52"/>
      <c r="C609" s="53"/>
      <c r="D609" s="52"/>
      <c r="E609" s="52" t="s">
        <v>318</v>
      </c>
      <c r="F609" s="52">
        <v>0.80000000000000016</v>
      </c>
      <c r="G609" s="54">
        <v>1284</v>
      </c>
      <c r="H609" s="55">
        <v>1027.2</v>
      </c>
      <c r="I609" s="55">
        <v>553.41783183568668</v>
      </c>
      <c r="J609" s="55">
        <v>473.78216816431336</v>
      </c>
      <c r="K609" s="52"/>
      <c r="L609" s="52"/>
      <c r="M609" s="56">
        <f t="shared" si="18"/>
        <v>0</v>
      </c>
      <c r="N609" s="56">
        <f t="shared" si="18"/>
        <v>0</v>
      </c>
      <c r="O609" s="56">
        <f t="shared" si="19"/>
        <v>0</v>
      </c>
    </row>
    <row r="610" spans="1:16" x14ac:dyDescent="0.25">
      <c r="A610" s="52"/>
      <c r="B610" s="52"/>
      <c r="C610" s="53"/>
      <c r="D610" s="52"/>
      <c r="E610" s="52" t="s">
        <v>303</v>
      </c>
      <c r="F610" s="52">
        <v>0.65</v>
      </c>
      <c r="G610" s="54">
        <v>25</v>
      </c>
      <c r="H610" s="55">
        <v>16.25</v>
      </c>
      <c r="I610" s="55">
        <v>12.314285714285713</v>
      </c>
      <c r="J610" s="55">
        <v>3.9357142857142868</v>
      </c>
      <c r="K610" s="52"/>
      <c r="L610" s="52"/>
      <c r="M610" s="56">
        <f t="shared" si="18"/>
        <v>0</v>
      </c>
      <c r="N610" s="56">
        <f t="shared" si="18"/>
        <v>0</v>
      </c>
      <c r="O610" s="56">
        <f t="shared" si="19"/>
        <v>0</v>
      </c>
    </row>
    <row r="611" spans="1:16" x14ac:dyDescent="0.25">
      <c r="A611" s="52"/>
      <c r="B611" s="52"/>
      <c r="C611" s="53"/>
      <c r="D611" s="52"/>
      <c r="E611" s="52" t="s">
        <v>304</v>
      </c>
      <c r="F611" s="52">
        <v>0.65</v>
      </c>
      <c r="G611" s="54">
        <v>5926</v>
      </c>
      <c r="H611" s="55">
        <v>3851.9</v>
      </c>
      <c r="I611" s="55">
        <v>2394.1344083209315</v>
      </c>
      <c r="J611" s="55">
        <v>1457.7655916790684</v>
      </c>
      <c r="K611" s="52"/>
      <c r="L611" s="52"/>
      <c r="M611" s="56">
        <f t="shared" si="18"/>
        <v>0</v>
      </c>
      <c r="N611" s="56">
        <f t="shared" si="18"/>
        <v>0</v>
      </c>
      <c r="O611" s="56">
        <f t="shared" si="19"/>
        <v>0</v>
      </c>
    </row>
    <row r="612" spans="1:16" x14ac:dyDescent="0.25">
      <c r="A612" s="52"/>
      <c r="B612" s="52"/>
      <c r="C612" s="53"/>
      <c r="D612" s="52"/>
      <c r="E612" s="52" t="s">
        <v>319</v>
      </c>
      <c r="F612" s="52">
        <v>0.65</v>
      </c>
      <c r="G612" s="54">
        <v>7322</v>
      </c>
      <c r="H612" s="55">
        <v>4759.3</v>
      </c>
      <c r="I612" s="55">
        <v>2964.0384948693554</v>
      </c>
      <c r="J612" s="55">
        <v>1795.2615051306448</v>
      </c>
      <c r="K612" s="52"/>
      <c r="L612" s="52"/>
      <c r="M612" s="56">
        <f t="shared" si="18"/>
        <v>0</v>
      </c>
      <c r="N612" s="56">
        <f t="shared" si="18"/>
        <v>0</v>
      </c>
      <c r="O612" s="56">
        <f t="shared" si="19"/>
        <v>0</v>
      </c>
    </row>
    <row r="613" spans="1:16" x14ac:dyDescent="0.25">
      <c r="A613" s="52"/>
      <c r="B613" s="52"/>
      <c r="C613" s="53"/>
      <c r="D613" s="52"/>
      <c r="E613" s="52" t="s">
        <v>320</v>
      </c>
      <c r="F613" s="52">
        <v>0.8</v>
      </c>
      <c r="G613" s="54">
        <v>2037</v>
      </c>
      <c r="H613" s="55">
        <v>1629.6</v>
      </c>
      <c r="I613" s="55">
        <v>888.91182533106064</v>
      </c>
      <c r="J613" s="55">
        <v>740.68817466893927</v>
      </c>
      <c r="K613" s="52"/>
      <c r="L613" s="52"/>
      <c r="M613" s="56">
        <f t="shared" si="18"/>
        <v>0</v>
      </c>
      <c r="N613" s="56">
        <f t="shared" si="18"/>
        <v>0</v>
      </c>
      <c r="O613" s="56">
        <f t="shared" si="19"/>
        <v>0</v>
      </c>
    </row>
    <row r="614" spans="1:16" x14ac:dyDescent="0.25">
      <c r="A614" s="52"/>
      <c r="B614" s="52"/>
      <c r="C614" s="53"/>
      <c r="D614" s="52"/>
      <c r="E614" s="52" t="s">
        <v>322</v>
      </c>
      <c r="F614" s="52">
        <v>0.7</v>
      </c>
      <c r="G614" s="54">
        <v>4133</v>
      </c>
      <c r="H614" s="55">
        <v>2893.1</v>
      </c>
      <c r="I614" s="55">
        <v>1836.9058937750442</v>
      </c>
      <c r="J614" s="55">
        <v>1056.1941062249559</v>
      </c>
      <c r="K614" s="52"/>
      <c r="L614" s="52"/>
      <c r="M614" s="56">
        <f t="shared" si="18"/>
        <v>0</v>
      </c>
      <c r="N614" s="56">
        <f t="shared" si="18"/>
        <v>0</v>
      </c>
      <c r="O614" s="56">
        <f t="shared" si="19"/>
        <v>0</v>
      </c>
    </row>
    <row r="615" spans="1:16" x14ac:dyDescent="0.25">
      <c r="A615" s="52"/>
      <c r="B615" s="52"/>
      <c r="C615" s="53"/>
      <c r="D615" s="52"/>
      <c r="E615" s="52" t="s">
        <v>323</v>
      </c>
      <c r="F615" s="52">
        <v>0.7</v>
      </c>
      <c r="G615" s="54">
        <v>3591</v>
      </c>
      <c r="H615" s="55">
        <v>2513.7000000000003</v>
      </c>
      <c r="I615" s="55">
        <v>1714.8634674126006</v>
      </c>
      <c r="J615" s="55">
        <v>798.83653258739946</v>
      </c>
      <c r="K615" s="52"/>
      <c r="L615" s="52"/>
      <c r="M615" s="56">
        <f t="shared" si="18"/>
        <v>0</v>
      </c>
      <c r="N615" s="56">
        <f t="shared" si="18"/>
        <v>0</v>
      </c>
      <c r="O615" s="56">
        <f t="shared" si="19"/>
        <v>0</v>
      </c>
    </row>
    <row r="616" spans="1:16" x14ac:dyDescent="0.25">
      <c r="A616" s="52"/>
      <c r="B616" s="52"/>
      <c r="C616" s="53"/>
      <c r="D616" s="52"/>
      <c r="E616" s="52" t="s">
        <v>324</v>
      </c>
      <c r="F616" s="52">
        <v>0.79999999999999993</v>
      </c>
      <c r="G616" s="54">
        <v>3802</v>
      </c>
      <c r="H616" s="55">
        <v>3041.6</v>
      </c>
      <c r="I616" s="55">
        <v>1675.6468735259543</v>
      </c>
      <c r="J616" s="55">
        <v>1365.9531264740458</v>
      </c>
      <c r="K616" s="52"/>
      <c r="L616" s="52"/>
      <c r="M616" s="56">
        <f t="shared" si="18"/>
        <v>0</v>
      </c>
      <c r="N616" s="56">
        <f t="shared" si="18"/>
        <v>0</v>
      </c>
      <c r="O616" s="56">
        <f t="shared" si="19"/>
        <v>0</v>
      </c>
    </row>
    <row r="617" spans="1:16" x14ac:dyDescent="0.25">
      <c r="A617" s="52"/>
      <c r="B617" s="52"/>
      <c r="C617" s="53"/>
      <c r="D617" s="52"/>
      <c r="E617" s="52" t="s">
        <v>325</v>
      </c>
      <c r="F617" s="52">
        <v>0.77</v>
      </c>
      <c r="G617" s="54">
        <v>261</v>
      </c>
      <c r="H617" s="55">
        <v>200.97</v>
      </c>
      <c r="I617" s="55">
        <v>109.74731707317073</v>
      </c>
      <c r="J617" s="55">
        <v>91.222682926829265</v>
      </c>
      <c r="K617" s="52"/>
      <c r="L617" s="52"/>
      <c r="M617" s="56">
        <f t="shared" si="18"/>
        <v>0</v>
      </c>
      <c r="N617" s="56">
        <f t="shared" si="18"/>
        <v>0</v>
      </c>
      <c r="O617" s="56">
        <f t="shared" si="19"/>
        <v>0</v>
      </c>
    </row>
    <row r="618" spans="1:16" x14ac:dyDescent="0.25">
      <c r="A618" s="52"/>
      <c r="B618" s="52"/>
      <c r="C618" s="53"/>
      <c r="D618" s="52"/>
      <c r="E618" s="52" t="s">
        <v>326</v>
      </c>
      <c r="F618" s="52">
        <v>0.83</v>
      </c>
      <c r="G618" s="54">
        <v>1720</v>
      </c>
      <c r="H618" s="55">
        <v>1427.6</v>
      </c>
      <c r="I618" s="55">
        <v>847.22285714285715</v>
      </c>
      <c r="J618" s="55">
        <v>580.37714285714276</v>
      </c>
      <c r="K618" s="52"/>
      <c r="L618" s="52"/>
      <c r="M618" s="56">
        <f t="shared" si="18"/>
        <v>0</v>
      </c>
      <c r="N618" s="56">
        <f t="shared" si="18"/>
        <v>0</v>
      </c>
      <c r="O618" s="56">
        <f t="shared" si="19"/>
        <v>0</v>
      </c>
    </row>
    <row r="619" spans="1:16" x14ac:dyDescent="0.25">
      <c r="A619" s="52"/>
      <c r="B619" s="52"/>
      <c r="C619" s="53"/>
      <c r="D619" s="52"/>
      <c r="E619" s="52" t="s">
        <v>327</v>
      </c>
      <c r="F619" s="52">
        <v>0.83</v>
      </c>
      <c r="G619" s="54">
        <v>180</v>
      </c>
      <c r="H619" s="55">
        <v>149.4</v>
      </c>
      <c r="I619" s="55">
        <v>81.663157894736841</v>
      </c>
      <c r="J619" s="55">
        <v>67.736842105263165</v>
      </c>
      <c r="K619" s="52"/>
      <c r="L619" s="52"/>
      <c r="M619" s="56">
        <f t="shared" si="18"/>
        <v>0</v>
      </c>
      <c r="N619" s="56">
        <f t="shared" si="18"/>
        <v>0</v>
      </c>
      <c r="O619" s="56">
        <f t="shared" si="19"/>
        <v>0</v>
      </c>
    </row>
    <row r="620" spans="1:16" x14ac:dyDescent="0.25">
      <c r="A620" s="52"/>
      <c r="B620" s="52"/>
      <c r="C620" s="53"/>
      <c r="D620" s="52"/>
      <c r="E620" s="52" t="s">
        <v>328</v>
      </c>
      <c r="F620" s="52">
        <v>0.83</v>
      </c>
      <c r="G620" s="54">
        <v>6086</v>
      </c>
      <c r="H620" s="55">
        <v>5051.38</v>
      </c>
      <c r="I620" s="55">
        <v>2876.0588683521073</v>
      </c>
      <c r="J620" s="55">
        <v>2175.3211316478923</v>
      </c>
      <c r="K620" s="52"/>
      <c r="L620" s="52"/>
      <c r="M620" s="56">
        <f t="shared" si="18"/>
        <v>0</v>
      </c>
      <c r="N620" s="56">
        <f t="shared" si="18"/>
        <v>0</v>
      </c>
      <c r="O620" s="56">
        <f t="shared" si="19"/>
        <v>0</v>
      </c>
    </row>
    <row r="621" spans="1:16" x14ac:dyDescent="0.25">
      <c r="A621" s="52"/>
      <c r="B621" s="52"/>
      <c r="C621" s="53"/>
      <c r="D621" s="52"/>
      <c r="E621" s="52" t="s">
        <v>329</v>
      </c>
      <c r="F621" s="52">
        <v>0.84</v>
      </c>
      <c r="G621" s="54">
        <v>50</v>
      </c>
      <c r="H621" s="55">
        <v>42</v>
      </c>
      <c r="I621" s="55">
        <v>22.878646616541353</v>
      </c>
      <c r="J621" s="55">
        <v>19.121353383458644</v>
      </c>
      <c r="K621" s="52"/>
      <c r="L621" s="52"/>
      <c r="M621" s="56">
        <f t="shared" si="18"/>
        <v>0</v>
      </c>
      <c r="N621" s="56">
        <f t="shared" si="18"/>
        <v>0</v>
      </c>
      <c r="O621" s="56">
        <f t="shared" si="19"/>
        <v>0</v>
      </c>
    </row>
    <row r="622" spans="1:16" s="6" customFormat="1" x14ac:dyDescent="0.25">
      <c r="A622" s="57"/>
      <c r="B622" s="57" t="s">
        <v>242</v>
      </c>
      <c r="C622" s="58"/>
      <c r="D622" s="57"/>
      <c r="E622" s="57"/>
      <c r="F622" s="57"/>
      <c r="G622" s="59">
        <v>626386</v>
      </c>
      <c r="H622" s="60">
        <v>452556.94999999966</v>
      </c>
      <c r="I622" s="60">
        <v>262910.00000000023</v>
      </c>
      <c r="J622" s="60">
        <v>189646.94999999998</v>
      </c>
      <c r="K622" s="57"/>
      <c r="L622" s="57"/>
      <c r="M622" s="61"/>
      <c r="N622" s="61"/>
      <c r="O622" s="61">
        <f>SUM(O372:O621)</f>
        <v>0</v>
      </c>
      <c r="P622"/>
    </row>
    <row r="623" spans="1:16" x14ac:dyDescent="0.25">
      <c r="A623" s="52" t="s">
        <v>356</v>
      </c>
      <c r="B623" s="52"/>
      <c r="C623" s="53"/>
      <c r="D623" s="52"/>
      <c r="E623" s="52"/>
      <c r="F623" s="52">
        <v>0.73967231638417608</v>
      </c>
      <c r="G623" s="54">
        <v>626386</v>
      </c>
      <c r="H623" s="55">
        <v>452556.94999999966</v>
      </c>
      <c r="I623" s="55">
        <v>262910.00000000023</v>
      </c>
      <c r="J623" s="55">
        <v>189646.94999999998</v>
      </c>
      <c r="K623" s="52"/>
      <c r="L623" s="52"/>
      <c r="M623" s="56"/>
      <c r="N623" s="56"/>
      <c r="O623" s="56"/>
    </row>
    <row r="624" spans="1:16" x14ac:dyDescent="0.25">
      <c r="A624" s="52" t="s">
        <v>15</v>
      </c>
      <c r="B624" s="52"/>
      <c r="C624" s="53"/>
      <c r="D624" s="52"/>
      <c r="E624" s="52"/>
      <c r="F624" s="52">
        <v>1.6011493212669792</v>
      </c>
      <c r="G624" s="54">
        <v>1504203</v>
      </c>
      <c r="H624" s="55">
        <v>1223152.19</v>
      </c>
      <c r="I624" s="55">
        <v>845152.25908629596</v>
      </c>
      <c r="J624" s="55">
        <v>377999.9309137055</v>
      </c>
      <c r="K624" s="52"/>
      <c r="L624" s="52"/>
      <c r="M624" s="56"/>
      <c r="N624" s="56"/>
      <c r="O624" s="56">
        <f>O7+O17+O19+O33+O37+O39+O45+O49+O52+O69+O72+O76+O78+O90+O130+O152+O158+O173+O285+O334+O346+O363+O370+O622</f>
        <v>0</v>
      </c>
    </row>
  </sheetData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201B0-2377-464F-8BF0-9BB8E722932A}">
  <sheetPr codeName="Sheet12"/>
  <dimension ref="A1:AB538"/>
  <sheetViews>
    <sheetView workbookViewId="0"/>
  </sheetViews>
  <sheetFormatPr defaultRowHeight="15" x14ac:dyDescent="0.25"/>
  <cols>
    <col min="1" max="1" width="4" bestFit="1" customWidth="1"/>
    <col min="2" max="2" width="7" bestFit="1" customWidth="1"/>
    <col min="3" max="3" width="9" bestFit="1" customWidth="1"/>
    <col min="4" max="4" width="7.42578125" bestFit="1" customWidth="1"/>
    <col min="5" max="5" width="37.7109375" bestFit="1" customWidth="1"/>
    <col min="6" max="6" width="25.85546875" bestFit="1" customWidth="1"/>
    <col min="7" max="7" width="28.7109375" bestFit="1" customWidth="1"/>
    <col min="8" max="8" width="4.7109375" bestFit="1" customWidth="1"/>
    <col min="9" max="9" width="6" bestFit="1" customWidth="1"/>
    <col min="10" max="10" width="9.7109375" bestFit="1" customWidth="1"/>
    <col min="11" max="11" width="11.28515625" bestFit="1" customWidth="1"/>
    <col min="12" max="12" width="7.42578125" bestFit="1" customWidth="1"/>
    <col min="13" max="13" width="10.7109375" bestFit="1" customWidth="1"/>
    <col min="14" max="14" width="7.7109375" bestFit="1" customWidth="1"/>
    <col min="15" max="15" width="9" bestFit="1" customWidth="1"/>
    <col min="16" max="17" width="6" bestFit="1" customWidth="1"/>
    <col min="18" max="19" width="9" bestFit="1" customWidth="1"/>
    <col min="20" max="20" width="6" bestFit="1" customWidth="1"/>
  </cols>
  <sheetData>
    <row r="1" spans="1:28" x14ac:dyDescent="0.25">
      <c r="A1" t="s">
        <v>357</v>
      </c>
      <c r="B1" t="s">
        <v>358</v>
      </c>
      <c r="C1" t="s">
        <v>359</v>
      </c>
      <c r="D1" t="s">
        <v>60</v>
      </c>
      <c r="E1" t="s">
        <v>61</v>
      </c>
      <c r="F1" t="s">
        <v>64</v>
      </c>
      <c r="G1" t="s">
        <v>360</v>
      </c>
      <c r="H1" t="s">
        <v>62</v>
      </c>
      <c r="I1" t="s">
        <v>361</v>
      </c>
      <c r="J1" t="s">
        <v>362</v>
      </c>
      <c r="K1" t="s">
        <v>363</v>
      </c>
      <c r="L1" t="s">
        <v>364</v>
      </c>
      <c r="M1" t="s">
        <v>365</v>
      </c>
      <c r="N1" t="s">
        <v>366</v>
      </c>
      <c r="O1" t="s">
        <v>367</v>
      </c>
      <c r="P1" t="s">
        <v>368</v>
      </c>
      <c r="Q1" t="s">
        <v>70</v>
      </c>
      <c r="R1" t="s">
        <v>369</v>
      </c>
      <c r="S1" t="s">
        <v>370</v>
      </c>
      <c r="T1" t="s">
        <v>371</v>
      </c>
      <c r="AA1" t="s">
        <v>511</v>
      </c>
      <c r="AB1" t="s">
        <v>512</v>
      </c>
    </row>
    <row r="2" spans="1:28" x14ac:dyDescent="0.25">
      <c r="A2">
        <v>1</v>
      </c>
      <c r="B2">
        <v>183184</v>
      </c>
      <c r="C2">
        <v>24001558</v>
      </c>
      <c r="D2" t="s">
        <v>13</v>
      </c>
      <c r="E2" t="s">
        <v>215</v>
      </c>
      <c r="F2">
        <v>5158609</v>
      </c>
      <c r="G2">
        <v>304</v>
      </c>
      <c r="H2" t="s">
        <v>76</v>
      </c>
      <c r="I2">
        <v>12703</v>
      </c>
      <c r="J2" s="64">
        <v>45513</v>
      </c>
      <c r="K2" s="64">
        <v>45523</v>
      </c>
      <c r="L2" t="s">
        <v>372</v>
      </c>
      <c r="M2" s="64">
        <v>45527</v>
      </c>
      <c r="N2" t="s">
        <v>373</v>
      </c>
      <c r="O2" t="s">
        <v>372</v>
      </c>
      <c r="P2">
        <v>0.74</v>
      </c>
      <c r="Q2">
        <v>1.38</v>
      </c>
      <c r="R2">
        <v>9400.2199999999993</v>
      </c>
      <c r="S2">
        <v>17530.14</v>
      </c>
      <c r="T2" t="s">
        <v>70</v>
      </c>
      <c r="AA2">
        <f t="shared" ref="AA2:AA65" si="0">SUMIF($D:$D,D2,$R:$R)</f>
        <v>235499.60999999996</v>
      </c>
      <c r="AB2">
        <f>COUNTIF($D$1:D2,D2)</f>
        <v>1</v>
      </c>
    </row>
    <row r="3" spans="1:28" x14ac:dyDescent="0.25">
      <c r="A3">
        <v>2</v>
      </c>
      <c r="B3">
        <v>183198</v>
      </c>
      <c r="C3">
        <v>24001572</v>
      </c>
      <c r="D3" t="s">
        <v>13</v>
      </c>
      <c r="E3" t="s">
        <v>215</v>
      </c>
      <c r="F3">
        <v>5158605</v>
      </c>
      <c r="G3">
        <v>305</v>
      </c>
      <c r="H3" t="s">
        <v>76</v>
      </c>
      <c r="I3">
        <v>17</v>
      </c>
      <c r="J3" s="64">
        <v>45525</v>
      </c>
      <c r="K3" s="64">
        <v>45526</v>
      </c>
      <c r="L3" t="s">
        <v>372</v>
      </c>
      <c r="M3" s="64">
        <v>45527</v>
      </c>
      <c r="N3" t="s">
        <v>373</v>
      </c>
      <c r="O3" t="s">
        <v>372</v>
      </c>
      <c r="P3">
        <v>0.82</v>
      </c>
      <c r="Q3">
        <v>2.27</v>
      </c>
      <c r="R3">
        <v>13.94</v>
      </c>
      <c r="S3">
        <v>38.590000000000003</v>
      </c>
      <c r="T3" t="s">
        <v>70</v>
      </c>
      <c r="AA3">
        <f t="shared" si="0"/>
        <v>235499.60999999996</v>
      </c>
      <c r="AB3">
        <f>COUNTIF($D$1:D3,D3)</f>
        <v>2</v>
      </c>
    </row>
    <row r="4" spans="1:28" x14ac:dyDescent="0.25">
      <c r="A4">
        <v>3</v>
      </c>
      <c r="B4">
        <v>183199</v>
      </c>
      <c r="C4">
        <v>24001573</v>
      </c>
      <c r="D4" t="s">
        <v>13</v>
      </c>
      <c r="E4" t="s">
        <v>215</v>
      </c>
      <c r="F4">
        <v>5158604</v>
      </c>
      <c r="G4">
        <v>305</v>
      </c>
      <c r="H4" t="s">
        <v>76</v>
      </c>
      <c r="I4">
        <v>1691</v>
      </c>
      <c r="J4" s="64">
        <v>45520</v>
      </c>
      <c r="K4" s="64">
        <v>45523</v>
      </c>
      <c r="L4" t="s">
        <v>372</v>
      </c>
      <c r="M4" s="64">
        <v>45527</v>
      </c>
      <c r="N4" t="s">
        <v>373</v>
      </c>
      <c r="O4" t="s">
        <v>372</v>
      </c>
      <c r="P4">
        <v>0.82</v>
      </c>
      <c r="Q4">
        <v>2.27</v>
      </c>
      <c r="R4">
        <v>1386.62</v>
      </c>
      <c r="S4">
        <v>3838.57</v>
      </c>
      <c r="T4" t="s">
        <v>70</v>
      </c>
      <c r="AA4">
        <f t="shared" si="0"/>
        <v>235499.60999999996</v>
      </c>
      <c r="AB4">
        <f>COUNTIF($D$1:D4,D4)</f>
        <v>3</v>
      </c>
    </row>
    <row r="5" spans="1:28" x14ac:dyDescent="0.25">
      <c r="A5">
        <v>4</v>
      </c>
      <c r="B5">
        <v>183122</v>
      </c>
      <c r="C5">
        <v>24001524</v>
      </c>
      <c r="D5" t="s">
        <v>13</v>
      </c>
      <c r="E5" t="s">
        <v>215</v>
      </c>
      <c r="F5">
        <v>5159303</v>
      </c>
      <c r="G5">
        <v>299</v>
      </c>
      <c r="H5" t="s">
        <v>76</v>
      </c>
      <c r="I5">
        <v>9489</v>
      </c>
      <c r="J5" s="64">
        <v>45505</v>
      </c>
      <c r="K5" s="64">
        <v>45525</v>
      </c>
      <c r="L5" t="s">
        <v>372</v>
      </c>
      <c r="M5" s="64">
        <v>45506</v>
      </c>
      <c r="N5" t="s">
        <v>374</v>
      </c>
      <c r="O5" t="s">
        <v>372</v>
      </c>
      <c r="P5">
        <v>0.83</v>
      </c>
      <c r="Q5">
        <v>2.1800000000000002</v>
      </c>
      <c r="R5">
        <v>7875.87</v>
      </c>
      <c r="S5">
        <v>20686.02</v>
      </c>
      <c r="T5" t="s">
        <v>70</v>
      </c>
      <c r="AA5">
        <f t="shared" si="0"/>
        <v>235499.60999999996</v>
      </c>
      <c r="AB5">
        <f>COUNTIF($D$1:D5,D5)</f>
        <v>4</v>
      </c>
    </row>
    <row r="6" spans="1:28" x14ac:dyDescent="0.25">
      <c r="A6">
        <v>5</v>
      </c>
      <c r="B6">
        <v>183176</v>
      </c>
      <c r="C6">
        <v>24001550</v>
      </c>
      <c r="D6" t="s">
        <v>13</v>
      </c>
      <c r="E6" t="s">
        <v>215</v>
      </c>
      <c r="F6">
        <v>5158596</v>
      </c>
      <c r="G6">
        <v>304</v>
      </c>
      <c r="H6" t="s">
        <v>76</v>
      </c>
      <c r="I6">
        <v>1239</v>
      </c>
      <c r="J6" s="64">
        <v>45505</v>
      </c>
      <c r="K6" s="64">
        <v>45516</v>
      </c>
      <c r="L6" t="s">
        <v>372</v>
      </c>
      <c r="M6" s="64">
        <v>45527</v>
      </c>
      <c r="N6" t="s">
        <v>373</v>
      </c>
      <c r="O6" t="s">
        <v>372</v>
      </c>
      <c r="P6">
        <v>0.8</v>
      </c>
      <c r="Q6">
        <v>1.88</v>
      </c>
      <c r="R6">
        <v>991.2</v>
      </c>
      <c r="S6">
        <v>2329.3200000000002</v>
      </c>
      <c r="T6" t="s">
        <v>70</v>
      </c>
      <c r="AA6">
        <f t="shared" si="0"/>
        <v>235499.60999999996</v>
      </c>
      <c r="AB6">
        <f>COUNTIF($D$1:D6,D6)</f>
        <v>5</v>
      </c>
    </row>
    <row r="7" spans="1:28" x14ac:dyDescent="0.25">
      <c r="A7">
        <v>6</v>
      </c>
      <c r="B7">
        <v>183177</v>
      </c>
      <c r="C7">
        <v>24001551</v>
      </c>
      <c r="D7" t="s">
        <v>13</v>
      </c>
      <c r="E7" t="s">
        <v>215</v>
      </c>
      <c r="F7" t="s">
        <v>375</v>
      </c>
      <c r="G7">
        <v>304</v>
      </c>
      <c r="H7" t="s">
        <v>76</v>
      </c>
      <c r="I7">
        <v>514</v>
      </c>
      <c r="J7" s="64">
        <v>45513</v>
      </c>
      <c r="K7" s="64">
        <v>45517</v>
      </c>
      <c r="L7" t="s">
        <v>372</v>
      </c>
      <c r="M7" s="64">
        <v>45527</v>
      </c>
      <c r="N7" t="s">
        <v>373</v>
      </c>
      <c r="O7" t="s">
        <v>372</v>
      </c>
      <c r="P7">
        <v>0.77</v>
      </c>
      <c r="Q7">
        <v>2.0099999999999998</v>
      </c>
      <c r="R7">
        <v>395.78</v>
      </c>
      <c r="S7">
        <v>1033.1400000000001</v>
      </c>
      <c r="T7" t="s">
        <v>70</v>
      </c>
      <c r="AA7">
        <f t="shared" si="0"/>
        <v>235499.60999999996</v>
      </c>
      <c r="AB7">
        <f>COUNTIF($D$1:D7,D7)</f>
        <v>6</v>
      </c>
    </row>
    <row r="8" spans="1:28" x14ac:dyDescent="0.25">
      <c r="A8">
        <v>7</v>
      </c>
      <c r="B8">
        <v>183183</v>
      </c>
      <c r="C8">
        <v>24001557</v>
      </c>
      <c r="D8" t="s">
        <v>13</v>
      </c>
      <c r="E8" t="s">
        <v>215</v>
      </c>
      <c r="F8">
        <v>5158582</v>
      </c>
      <c r="G8">
        <v>304</v>
      </c>
      <c r="H8" t="s">
        <v>76</v>
      </c>
      <c r="I8">
        <v>1585</v>
      </c>
      <c r="J8" s="64">
        <v>45517</v>
      </c>
      <c r="K8" s="64">
        <v>45523</v>
      </c>
      <c r="L8" t="s">
        <v>372</v>
      </c>
      <c r="M8" s="64">
        <v>45527</v>
      </c>
      <c r="N8" t="s">
        <v>373</v>
      </c>
      <c r="O8" t="s">
        <v>372</v>
      </c>
      <c r="P8">
        <v>0.76</v>
      </c>
      <c r="Q8">
        <v>1.43</v>
      </c>
      <c r="R8">
        <v>1204.5999999999999</v>
      </c>
      <c r="S8">
        <v>2266.5500000000002</v>
      </c>
      <c r="T8" t="s">
        <v>70</v>
      </c>
      <c r="AA8">
        <f t="shared" si="0"/>
        <v>235499.60999999996</v>
      </c>
      <c r="AB8">
        <f>COUNTIF($D$1:D8,D8)</f>
        <v>7</v>
      </c>
    </row>
    <row r="9" spans="1:28" x14ac:dyDescent="0.25">
      <c r="A9">
        <v>8</v>
      </c>
      <c r="B9">
        <v>183431</v>
      </c>
      <c r="C9">
        <v>24001621</v>
      </c>
      <c r="D9" t="s">
        <v>13</v>
      </c>
      <c r="E9" t="s">
        <v>215</v>
      </c>
      <c r="F9">
        <v>5158722</v>
      </c>
      <c r="G9">
        <v>380</v>
      </c>
      <c r="H9" t="s">
        <v>76</v>
      </c>
      <c r="I9">
        <v>20393</v>
      </c>
      <c r="J9" s="64">
        <v>45523</v>
      </c>
      <c r="K9" s="64">
        <v>45533</v>
      </c>
      <c r="L9" t="s">
        <v>372</v>
      </c>
      <c r="M9" s="64">
        <v>45541</v>
      </c>
      <c r="N9" t="s">
        <v>373</v>
      </c>
      <c r="O9" t="s">
        <v>376</v>
      </c>
      <c r="P9">
        <v>0.65</v>
      </c>
      <c r="Q9">
        <v>1.61</v>
      </c>
      <c r="R9">
        <v>13255.45</v>
      </c>
      <c r="S9">
        <v>32832.730000000003</v>
      </c>
      <c r="T9" t="s">
        <v>70</v>
      </c>
      <c r="AA9">
        <f t="shared" si="0"/>
        <v>235499.60999999996</v>
      </c>
      <c r="AB9">
        <f>COUNTIF($D$1:D9,D9)</f>
        <v>8</v>
      </c>
    </row>
    <row r="10" spans="1:28" x14ac:dyDescent="0.25">
      <c r="A10">
        <v>9</v>
      </c>
      <c r="B10">
        <v>183432</v>
      </c>
      <c r="C10">
        <v>24001622</v>
      </c>
      <c r="D10" t="s">
        <v>13</v>
      </c>
      <c r="E10" t="s">
        <v>215</v>
      </c>
      <c r="F10">
        <v>5158043</v>
      </c>
      <c r="G10">
        <v>380</v>
      </c>
      <c r="H10" t="s">
        <v>76</v>
      </c>
      <c r="I10">
        <v>3576</v>
      </c>
      <c r="J10" s="64">
        <v>45533</v>
      </c>
      <c r="K10" s="64">
        <v>45534</v>
      </c>
      <c r="L10" t="s">
        <v>372</v>
      </c>
      <c r="M10" s="64">
        <v>45548</v>
      </c>
      <c r="N10" t="s">
        <v>373</v>
      </c>
      <c r="O10" t="s">
        <v>376</v>
      </c>
      <c r="P10">
        <v>0.65</v>
      </c>
      <c r="Q10">
        <v>1.64</v>
      </c>
      <c r="R10">
        <v>2324.4</v>
      </c>
      <c r="S10">
        <v>5864.64</v>
      </c>
      <c r="T10" t="s">
        <v>70</v>
      </c>
      <c r="AA10">
        <f t="shared" si="0"/>
        <v>235499.60999999996</v>
      </c>
      <c r="AB10">
        <f>COUNTIF($D$1:D10,D10)</f>
        <v>9</v>
      </c>
    </row>
    <row r="11" spans="1:28" x14ac:dyDescent="0.25">
      <c r="A11">
        <v>10</v>
      </c>
      <c r="B11">
        <v>183004</v>
      </c>
      <c r="C11">
        <v>24001477</v>
      </c>
      <c r="D11" t="s">
        <v>13</v>
      </c>
      <c r="E11" t="s">
        <v>215</v>
      </c>
      <c r="F11">
        <v>5157986</v>
      </c>
      <c r="G11">
        <v>248</v>
      </c>
      <c r="H11" t="s">
        <v>76</v>
      </c>
      <c r="I11">
        <v>268</v>
      </c>
      <c r="J11" s="64">
        <v>45511</v>
      </c>
      <c r="K11" s="64">
        <v>45524</v>
      </c>
      <c r="L11" t="s">
        <v>372</v>
      </c>
      <c r="M11" s="64">
        <v>45485</v>
      </c>
      <c r="N11" t="s">
        <v>374</v>
      </c>
      <c r="O11" t="s">
        <v>377</v>
      </c>
      <c r="P11">
        <v>0.83</v>
      </c>
      <c r="Q11">
        <v>2.13</v>
      </c>
      <c r="R11">
        <v>222.44</v>
      </c>
      <c r="S11">
        <v>570.84</v>
      </c>
      <c r="T11" t="s">
        <v>70</v>
      </c>
      <c r="AA11">
        <f t="shared" si="0"/>
        <v>235499.60999999996</v>
      </c>
      <c r="AB11">
        <f>COUNTIF($D$1:D11,D11)</f>
        <v>10</v>
      </c>
    </row>
    <row r="12" spans="1:28" x14ac:dyDescent="0.25">
      <c r="A12">
        <v>11</v>
      </c>
      <c r="B12">
        <v>183174</v>
      </c>
      <c r="C12">
        <v>24001548</v>
      </c>
      <c r="D12" t="s">
        <v>13</v>
      </c>
      <c r="E12" t="s">
        <v>215</v>
      </c>
      <c r="F12">
        <v>5158586</v>
      </c>
      <c r="G12">
        <v>304</v>
      </c>
      <c r="H12" t="s">
        <v>76</v>
      </c>
      <c r="I12">
        <v>3015</v>
      </c>
      <c r="J12" s="64">
        <v>45511</v>
      </c>
      <c r="K12" s="64">
        <v>45524</v>
      </c>
      <c r="L12" t="s">
        <v>372</v>
      </c>
      <c r="M12" s="64">
        <v>45527</v>
      </c>
      <c r="N12" t="s">
        <v>373</v>
      </c>
      <c r="O12" t="s">
        <v>372</v>
      </c>
      <c r="P12">
        <v>0.7</v>
      </c>
      <c r="Q12">
        <v>1.64</v>
      </c>
      <c r="R12">
        <v>2110.5</v>
      </c>
      <c r="S12">
        <v>4944.6000000000004</v>
      </c>
      <c r="T12" t="s">
        <v>70</v>
      </c>
      <c r="AA12">
        <f t="shared" si="0"/>
        <v>235499.60999999996</v>
      </c>
      <c r="AB12">
        <f>COUNTIF($D$1:D12,D12)</f>
        <v>11</v>
      </c>
    </row>
    <row r="13" spans="1:28" x14ac:dyDescent="0.25">
      <c r="A13">
        <v>12</v>
      </c>
      <c r="B13">
        <v>183243</v>
      </c>
      <c r="C13">
        <v>24001601</v>
      </c>
      <c r="D13" t="s">
        <v>13</v>
      </c>
      <c r="E13" t="s">
        <v>116</v>
      </c>
      <c r="F13" t="s">
        <v>378</v>
      </c>
      <c r="H13" t="s">
        <v>86</v>
      </c>
      <c r="I13">
        <v>439</v>
      </c>
      <c r="J13" s="64">
        <v>45505</v>
      </c>
      <c r="K13" s="64">
        <v>45531</v>
      </c>
      <c r="L13" t="s">
        <v>372</v>
      </c>
      <c r="M13" s="64">
        <v>45520</v>
      </c>
      <c r="N13" t="s">
        <v>374</v>
      </c>
      <c r="O13" t="s">
        <v>372</v>
      </c>
      <c r="P13">
        <v>1.9</v>
      </c>
      <c r="Q13">
        <v>1.9</v>
      </c>
      <c r="R13">
        <v>834.1</v>
      </c>
      <c r="S13">
        <v>834.1</v>
      </c>
      <c r="T13" t="s">
        <v>71</v>
      </c>
      <c r="AA13">
        <f t="shared" si="0"/>
        <v>235499.60999999996</v>
      </c>
      <c r="AB13">
        <f>COUNTIF($D$1:D13,D13)</f>
        <v>12</v>
      </c>
    </row>
    <row r="14" spans="1:28" x14ac:dyDescent="0.25">
      <c r="A14">
        <v>13</v>
      </c>
      <c r="B14">
        <v>183253</v>
      </c>
      <c r="C14">
        <v>24001612</v>
      </c>
      <c r="D14" t="s">
        <v>13</v>
      </c>
      <c r="E14" t="s">
        <v>116</v>
      </c>
      <c r="F14" t="s">
        <v>379</v>
      </c>
      <c r="H14" t="s">
        <v>86</v>
      </c>
      <c r="I14">
        <v>854</v>
      </c>
      <c r="J14" s="64">
        <v>45505</v>
      </c>
      <c r="K14" s="64">
        <v>45532</v>
      </c>
      <c r="L14" t="s">
        <v>372</v>
      </c>
      <c r="M14" s="64">
        <v>45520</v>
      </c>
      <c r="N14" t="s">
        <v>374</v>
      </c>
      <c r="O14" t="s">
        <v>372</v>
      </c>
      <c r="P14">
        <v>1.9</v>
      </c>
      <c r="Q14">
        <v>1.9</v>
      </c>
      <c r="R14">
        <v>1622.6</v>
      </c>
      <c r="S14">
        <v>1622.6</v>
      </c>
      <c r="T14" t="s">
        <v>71</v>
      </c>
      <c r="AA14">
        <f t="shared" si="0"/>
        <v>235499.60999999996</v>
      </c>
      <c r="AB14">
        <f>COUNTIF($D$1:D14,D14)</f>
        <v>13</v>
      </c>
    </row>
    <row r="15" spans="1:28" x14ac:dyDescent="0.25">
      <c r="A15">
        <v>14</v>
      </c>
      <c r="B15">
        <v>183254</v>
      </c>
      <c r="C15">
        <v>24001612</v>
      </c>
      <c r="D15" t="s">
        <v>13</v>
      </c>
      <c r="E15" t="s">
        <v>116</v>
      </c>
      <c r="F15" t="s">
        <v>379</v>
      </c>
      <c r="H15" t="s">
        <v>86</v>
      </c>
      <c r="I15">
        <v>679</v>
      </c>
      <c r="J15" s="64">
        <v>45509</v>
      </c>
      <c r="K15" s="64">
        <v>45532</v>
      </c>
      <c r="L15" t="s">
        <v>372</v>
      </c>
      <c r="M15" s="64">
        <v>45520</v>
      </c>
      <c r="N15" t="s">
        <v>374</v>
      </c>
      <c r="O15" t="s">
        <v>372</v>
      </c>
      <c r="P15">
        <v>1.9</v>
      </c>
      <c r="Q15">
        <v>1.9</v>
      </c>
      <c r="R15">
        <v>1290.0999999999999</v>
      </c>
      <c r="S15">
        <v>1290.0999999999999</v>
      </c>
      <c r="T15" t="s">
        <v>71</v>
      </c>
      <c r="AA15">
        <f t="shared" si="0"/>
        <v>235499.60999999996</v>
      </c>
      <c r="AB15">
        <f>COUNTIF($D$1:D15,D15)</f>
        <v>14</v>
      </c>
    </row>
    <row r="16" spans="1:28" x14ac:dyDescent="0.25">
      <c r="A16">
        <v>15</v>
      </c>
      <c r="B16">
        <v>183431</v>
      </c>
      <c r="C16">
        <v>24001621</v>
      </c>
      <c r="D16" t="s">
        <v>13</v>
      </c>
      <c r="E16" t="s">
        <v>215</v>
      </c>
      <c r="F16">
        <v>5158722</v>
      </c>
      <c r="G16">
        <v>380</v>
      </c>
      <c r="H16" t="s">
        <v>86</v>
      </c>
      <c r="I16">
        <v>2538</v>
      </c>
      <c r="J16" s="64">
        <v>45519</v>
      </c>
      <c r="K16" s="64">
        <v>45524</v>
      </c>
      <c r="L16" t="s">
        <v>372</v>
      </c>
      <c r="M16" s="64">
        <v>45541</v>
      </c>
      <c r="N16" t="s">
        <v>373</v>
      </c>
      <c r="O16" t="s">
        <v>376</v>
      </c>
      <c r="P16">
        <v>0.65</v>
      </c>
      <c r="Q16">
        <v>1.61</v>
      </c>
      <c r="R16">
        <v>1649.7</v>
      </c>
      <c r="S16">
        <v>4086.18</v>
      </c>
      <c r="T16" t="s">
        <v>70</v>
      </c>
      <c r="AA16">
        <f t="shared" si="0"/>
        <v>235499.60999999996</v>
      </c>
      <c r="AB16">
        <f>COUNTIF($D$1:D16,D16)</f>
        <v>15</v>
      </c>
    </row>
    <row r="17" spans="1:28" x14ac:dyDescent="0.25">
      <c r="A17">
        <v>16</v>
      </c>
      <c r="B17">
        <v>183257</v>
      </c>
      <c r="C17">
        <v>24001614</v>
      </c>
      <c r="D17" t="s">
        <v>13</v>
      </c>
      <c r="E17" t="s">
        <v>116</v>
      </c>
      <c r="F17" t="s">
        <v>380</v>
      </c>
      <c r="H17" t="s">
        <v>86</v>
      </c>
      <c r="I17">
        <v>18</v>
      </c>
      <c r="J17" s="64">
        <v>45530</v>
      </c>
      <c r="K17" s="64">
        <v>45530</v>
      </c>
      <c r="L17" t="s">
        <v>372</v>
      </c>
      <c r="M17" s="64">
        <v>45520</v>
      </c>
      <c r="N17" t="s">
        <v>374</v>
      </c>
      <c r="O17" t="s">
        <v>372</v>
      </c>
      <c r="P17">
        <v>2.1</v>
      </c>
      <c r="Q17">
        <v>2.1</v>
      </c>
      <c r="R17">
        <v>37.799999999999997</v>
      </c>
      <c r="S17">
        <v>37.799999999999997</v>
      </c>
      <c r="T17" t="s">
        <v>71</v>
      </c>
      <c r="AA17">
        <f t="shared" si="0"/>
        <v>235499.60999999996</v>
      </c>
      <c r="AB17">
        <f>COUNTIF($D$1:D17,D17)</f>
        <v>16</v>
      </c>
    </row>
    <row r="18" spans="1:28" x14ac:dyDescent="0.25">
      <c r="A18">
        <v>17</v>
      </c>
      <c r="B18">
        <v>183126</v>
      </c>
      <c r="C18">
        <v>24001609</v>
      </c>
      <c r="D18" t="s">
        <v>13</v>
      </c>
      <c r="E18" t="s">
        <v>116</v>
      </c>
      <c r="F18" t="s">
        <v>381</v>
      </c>
      <c r="H18" t="s">
        <v>86</v>
      </c>
      <c r="I18">
        <v>227</v>
      </c>
      <c r="J18" s="64">
        <v>45505</v>
      </c>
      <c r="K18" s="64">
        <v>45531</v>
      </c>
      <c r="L18" t="s">
        <v>372</v>
      </c>
      <c r="M18" s="64">
        <v>45520</v>
      </c>
      <c r="N18" t="s">
        <v>374</v>
      </c>
      <c r="O18" t="s">
        <v>372</v>
      </c>
      <c r="P18">
        <v>1.95</v>
      </c>
      <c r="Q18">
        <v>1.95</v>
      </c>
      <c r="R18">
        <v>442.65</v>
      </c>
      <c r="S18">
        <v>442.65</v>
      </c>
      <c r="T18" t="s">
        <v>71</v>
      </c>
      <c r="AA18">
        <f t="shared" si="0"/>
        <v>235499.60999999996</v>
      </c>
      <c r="AB18">
        <f>COUNTIF($D$1:D18,D18)</f>
        <v>17</v>
      </c>
    </row>
    <row r="19" spans="1:28" x14ac:dyDescent="0.25">
      <c r="A19">
        <v>18</v>
      </c>
      <c r="B19">
        <v>183125</v>
      </c>
      <c r="C19">
        <v>24001599</v>
      </c>
      <c r="D19" t="s">
        <v>13</v>
      </c>
      <c r="E19" t="s">
        <v>116</v>
      </c>
      <c r="F19" t="s">
        <v>382</v>
      </c>
      <c r="H19" t="s">
        <v>86</v>
      </c>
      <c r="I19">
        <v>318</v>
      </c>
      <c r="J19" s="64">
        <v>45506</v>
      </c>
      <c r="K19" s="64">
        <v>45531</v>
      </c>
      <c r="L19" t="s">
        <v>372</v>
      </c>
      <c r="M19" s="64">
        <v>45520</v>
      </c>
      <c r="N19" t="s">
        <v>374</v>
      </c>
      <c r="O19" t="s">
        <v>372</v>
      </c>
      <c r="P19">
        <v>1.95</v>
      </c>
      <c r="Q19">
        <v>1.95</v>
      </c>
      <c r="R19">
        <v>620.1</v>
      </c>
      <c r="S19">
        <v>620.1</v>
      </c>
      <c r="T19" t="s">
        <v>71</v>
      </c>
      <c r="AA19">
        <f t="shared" si="0"/>
        <v>235499.60999999996</v>
      </c>
      <c r="AB19">
        <f>COUNTIF($D$1:D19,D19)</f>
        <v>18</v>
      </c>
    </row>
    <row r="20" spans="1:28" x14ac:dyDescent="0.25">
      <c r="A20">
        <v>19</v>
      </c>
      <c r="B20">
        <v>183248</v>
      </c>
      <c r="C20">
        <v>24001606</v>
      </c>
      <c r="D20" t="s">
        <v>13</v>
      </c>
      <c r="E20" t="s">
        <v>116</v>
      </c>
      <c r="F20" t="s">
        <v>383</v>
      </c>
      <c r="H20" t="s">
        <v>86</v>
      </c>
      <c r="I20">
        <v>626</v>
      </c>
      <c r="J20" s="64">
        <v>45509</v>
      </c>
      <c r="K20" s="64">
        <v>45531</v>
      </c>
      <c r="L20" t="s">
        <v>372</v>
      </c>
      <c r="M20" s="64">
        <v>45520</v>
      </c>
      <c r="N20" t="s">
        <v>374</v>
      </c>
      <c r="O20" t="s">
        <v>372</v>
      </c>
      <c r="P20">
        <v>1.95</v>
      </c>
      <c r="Q20">
        <v>1.95</v>
      </c>
      <c r="R20">
        <v>1220.7</v>
      </c>
      <c r="S20">
        <v>1220.7</v>
      </c>
      <c r="T20" t="s">
        <v>71</v>
      </c>
      <c r="AA20">
        <f t="shared" si="0"/>
        <v>235499.60999999996</v>
      </c>
      <c r="AB20">
        <f>COUNTIF($D$1:D20,D20)</f>
        <v>19</v>
      </c>
    </row>
    <row r="21" spans="1:28" x14ac:dyDescent="0.25">
      <c r="A21">
        <v>20</v>
      </c>
      <c r="B21">
        <v>183244</v>
      </c>
      <c r="C21">
        <v>24001602</v>
      </c>
      <c r="D21" t="s">
        <v>13</v>
      </c>
      <c r="E21" t="s">
        <v>116</v>
      </c>
      <c r="F21" t="s">
        <v>384</v>
      </c>
      <c r="H21" t="s">
        <v>86</v>
      </c>
      <c r="I21">
        <v>280</v>
      </c>
      <c r="J21" s="64">
        <v>45509</v>
      </c>
      <c r="K21" s="64">
        <v>45524</v>
      </c>
      <c r="L21" t="s">
        <v>372</v>
      </c>
      <c r="M21" s="64">
        <v>45520</v>
      </c>
      <c r="N21" t="s">
        <v>374</v>
      </c>
      <c r="O21" t="s">
        <v>372</v>
      </c>
      <c r="P21">
        <v>1.9</v>
      </c>
      <c r="Q21">
        <v>1.9</v>
      </c>
      <c r="R21">
        <v>532</v>
      </c>
      <c r="S21">
        <v>532</v>
      </c>
      <c r="T21" t="s">
        <v>71</v>
      </c>
      <c r="AA21">
        <f t="shared" si="0"/>
        <v>235499.60999999996</v>
      </c>
      <c r="AB21">
        <f>COUNTIF($D$1:D21,D21)</f>
        <v>20</v>
      </c>
    </row>
    <row r="22" spans="1:28" x14ac:dyDescent="0.25">
      <c r="A22">
        <v>21</v>
      </c>
      <c r="B22">
        <v>183249</v>
      </c>
      <c r="C22">
        <v>24001606</v>
      </c>
      <c r="D22" t="s">
        <v>13</v>
      </c>
      <c r="E22" t="s">
        <v>116</v>
      </c>
      <c r="F22" t="s">
        <v>383</v>
      </c>
      <c r="H22" t="s">
        <v>86</v>
      </c>
      <c r="I22">
        <v>613</v>
      </c>
      <c r="J22" s="64">
        <v>45513</v>
      </c>
      <c r="K22" s="64">
        <v>45531</v>
      </c>
      <c r="L22" t="s">
        <v>372</v>
      </c>
      <c r="M22" s="64">
        <v>45520</v>
      </c>
      <c r="N22" t="s">
        <v>374</v>
      </c>
      <c r="O22" t="s">
        <v>372</v>
      </c>
      <c r="P22">
        <v>1.95</v>
      </c>
      <c r="Q22">
        <v>1.95</v>
      </c>
      <c r="R22">
        <v>1195.3499999999999</v>
      </c>
      <c r="S22">
        <v>1195.3499999999999</v>
      </c>
      <c r="T22" t="s">
        <v>71</v>
      </c>
      <c r="AA22">
        <f t="shared" si="0"/>
        <v>235499.60999999996</v>
      </c>
      <c r="AB22">
        <f>COUNTIF($D$1:D22,D22)</f>
        <v>21</v>
      </c>
    </row>
    <row r="23" spans="1:28" x14ac:dyDescent="0.25">
      <c r="A23">
        <v>22</v>
      </c>
      <c r="B23">
        <v>183178</v>
      </c>
      <c r="C23">
        <v>24001552</v>
      </c>
      <c r="D23" t="s">
        <v>13</v>
      </c>
      <c r="E23" t="s">
        <v>215</v>
      </c>
      <c r="F23">
        <v>5158583</v>
      </c>
      <c r="G23">
        <v>304</v>
      </c>
      <c r="H23" t="s">
        <v>86</v>
      </c>
      <c r="I23">
        <v>1677</v>
      </c>
      <c r="J23" s="64">
        <v>45517</v>
      </c>
      <c r="K23" s="64">
        <v>45532</v>
      </c>
      <c r="L23" t="s">
        <v>372</v>
      </c>
      <c r="M23" s="64">
        <v>45527</v>
      </c>
      <c r="N23" t="s">
        <v>374</v>
      </c>
      <c r="O23" t="s">
        <v>372</v>
      </c>
      <c r="P23">
        <v>0.8</v>
      </c>
      <c r="Q23">
        <v>1.88</v>
      </c>
      <c r="R23">
        <v>1341.6</v>
      </c>
      <c r="S23">
        <v>3152.76</v>
      </c>
      <c r="T23" t="s">
        <v>70</v>
      </c>
      <c r="AA23">
        <f t="shared" si="0"/>
        <v>235499.60999999996</v>
      </c>
      <c r="AB23">
        <f>COUNTIF($D$1:D23,D23)</f>
        <v>22</v>
      </c>
    </row>
    <row r="24" spans="1:28" x14ac:dyDescent="0.25">
      <c r="A24">
        <v>23</v>
      </c>
      <c r="B24">
        <v>183183</v>
      </c>
      <c r="C24">
        <v>24001557</v>
      </c>
      <c r="D24" t="s">
        <v>13</v>
      </c>
      <c r="E24" t="s">
        <v>215</v>
      </c>
      <c r="F24">
        <v>5158582</v>
      </c>
      <c r="G24">
        <v>304</v>
      </c>
      <c r="H24" t="s">
        <v>86</v>
      </c>
      <c r="I24">
        <v>4730</v>
      </c>
      <c r="J24" s="64">
        <v>45518</v>
      </c>
      <c r="K24" s="64">
        <v>45526</v>
      </c>
      <c r="L24" t="s">
        <v>372</v>
      </c>
      <c r="M24" s="64">
        <v>45527</v>
      </c>
      <c r="N24" t="s">
        <v>373</v>
      </c>
      <c r="O24" t="s">
        <v>372</v>
      </c>
      <c r="P24">
        <v>0.76</v>
      </c>
      <c r="Q24">
        <v>1.43</v>
      </c>
      <c r="R24">
        <v>3594.8</v>
      </c>
      <c r="S24">
        <v>6763.9</v>
      </c>
      <c r="T24" t="s">
        <v>70</v>
      </c>
      <c r="AA24">
        <f t="shared" si="0"/>
        <v>235499.60999999996</v>
      </c>
      <c r="AB24">
        <f>COUNTIF($D$1:D24,D24)</f>
        <v>23</v>
      </c>
    </row>
    <row r="25" spans="1:28" x14ac:dyDescent="0.25">
      <c r="A25">
        <v>24</v>
      </c>
      <c r="B25">
        <v>183359</v>
      </c>
      <c r="C25">
        <v>24001678</v>
      </c>
      <c r="D25" t="s">
        <v>13</v>
      </c>
      <c r="E25" t="s">
        <v>116</v>
      </c>
      <c r="F25" t="s">
        <v>385</v>
      </c>
      <c r="H25" t="s">
        <v>86</v>
      </c>
      <c r="I25">
        <v>419</v>
      </c>
      <c r="J25" s="64">
        <v>45525</v>
      </c>
      <c r="K25" s="64">
        <v>45526</v>
      </c>
      <c r="L25" t="s">
        <v>372</v>
      </c>
      <c r="M25" s="64">
        <v>45527</v>
      </c>
      <c r="N25" t="s">
        <v>373</v>
      </c>
      <c r="O25" t="s">
        <v>372</v>
      </c>
      <c r="P25">
        <v>0.75</v>
      </c>
      <c r="Q25">
        <v>0.98</v>
      </c>
      <c r="R25">
        <v>314.25</v>
      </c>
      <c r="S25">
        <v>410.62</v>
      </c>
      <c r="T25" t="s">
        <v>71</v>
      </c>
      <c r="AA25">
        <f t="shared" si="0"/>
        <v>235499.60999999996</v>
      </c>
      <c r="AB25">
        <f>COUNTIF($D$1:D25,D25)</f>
        <v>24</v>
      </c>
    </row>
    <row r="26" spans="1:28" x14ac:dyDescent="0.25">
      <c r="A26">
        <v>25</v>
      </c>
      <c r="B26">
        <v>183361</v>
      </c>
      <c r="C26">
        <v>24001680</v>
      </c>
      <c r="D26" t="s">
        <v>13</v>
      </c>
      <c r="E26" t="s">
        <v>116</v>
      </c>
      <c r="F26" t="s">
        <v>386</v>
      </c>
      <c r="G26" t="s">
        <v>387</v>
      </c>
      <c r="H26" t="s">
        <v>86</v>
      </c>
      <c r="I26">
        <v>350</v>
      </c>
      <c r="J26" s="64">
        <v>45532</v>
      </c>
      <c r="K26" s="64">
        <v>45534</v>
      </c>
      <c r="L26" t="s">
        <v>372</v>
      </c>
      <c r="M26" s="64">
        <v>45541</v>
      </c>
      <c r="N26" t="s">
        <v>373</v>
      </c>
      <c r="O26" t="s">
        <v>376</v>
      </c>
      <c r="P26">
        <v>1</v>
      </c>
      <c r="Q26">
        <v>1</v>
      </c>
      <c r="R26">
        <v>350</v>
      </c>
      <c r="S26">
        <v>350</v>
      </c>
      <c r="T26" t="s">
        <v>71</v>
      </c>
      <c r="AA26">
        <f t="shared" si="0"/>
        <v>235499.60999999996</v>
      </c>
      <c r="AB26">
        <f>COUNTIF($D$1:D26,D26)</f>
        <v>25</v>
      </c>
    </row>
    <row r="27" spans="1:28" x14ac:dyDescent="0.25">
      <c r="A27">
        <v>26</v>
      </c>
      <c r="B27">
        <v>183040</v>
      </c>
      <c r="C27">
        <v>24001503</v>
      </c>
      <c r="D27" t="s">
        <v>13</v>
      </c>
      <c r="E27" t="s">
        <v>215</v>
      </c>
      <c r="F27">
        <v>5158043</v>
      </c>
      <c r="G27">
        <v>251</v>
      </c>
      <c r="H27" t="s">
        <v>79</v>
      </c>
      <c r="I27">
        <v>62</v>
      </c>
      <c r="J27" s="64">
        <v>45505</v>
      </c>
      <c r="K27" s="64">
        <v>45513</v>
      </c>
      <c r="L27" t="s">
        <v>372</v>
      </c>
      <c r="M27" s="64">
        <v>45503</v>
      </c>
      <c r="N27" t="s">
        <v>374</v>
      </c>
      <c r="O27" t="s">
        <v>377</v>
      </c>
      <c r="P27">
        <v>0.65</v>
      </c>
      <c r="Q27">
        <v>1.64</v>
      </c>
      <c r="R27">
        <v>40.299999999999997</v>
      </c>
      <c r="S27">
        <v>101.68</v>
      </c>
      <c r="T27" t="s">
        <v>70</v>
      </c>
      <c r="AA27">
        <f t="shared" si="0"/>
        <v>235499.60999999996</v>
      </c>
      <c r="AB27">
        <f>COUNTIF($D$1:D27,D27)</f>
        <v>26</v>
      </c>
    </row>
    <row r="28" spans="1:28" x14ac:dyDescent="0.25">
      <c r="A28">
        <v>27</v>
      </c>
      <c r="B28">
        <v>183174</v>
      </c>
      <c r="C28">
        <v>24001548</v>
      </c>
      <c r="D28" t="s">
        <v>13</v>
      </c>
      <c r="E28" t="s">
        <v>215</v>
      </c>
      <c r="F28">
        <v>5158586</v>
      </c>
      <c r="G28">
        <v>304</v>
      </c>
      <c r="H28" t="s">
        <v>79</v>
      </c>
      <c r="I28">
        <v>6913</v>
      </c>
      <c r="J28" s="64">
        <v>45505</v>
      </c>
      <c r="K28" s="64">
        <v>45518</v>
      </c>
      <c r="L28" t="s">
        <v>372</v>
      </c>
      <c r="M28" s="64">
        <v>45527</v>
      </c>
      <c r="N28" t="s">
        <v>373</v>
      </c>
      <c r="O28" t="s">
        <v>372</v>
      </c>
      <c r="P28">
        <v>0.7</v>
      </c>
      <c r="Q28">
        <v>1.64</v>
      </c>
      <c r="R28">
        <v>4839.1000000000004</v>
      </c>
      <c r="S28">
        <v>11337.32</v>
      </c>
      <c r="T28" t="s">
        <v>70</v>
      </c>
      <c r="AA28">
        <f t="shared" si="0"/>
        <v>235499.60999999996</v>
      </c>
      <c r="AB28">
        <f>COUNTIF($D$1:D28,D28)</f>
        <v>27</v>
      </c>
    </row>
    <row r="29" spans="1:28" x14ac:dyDescent="0.25">
      <c r="A29">
        <v>28</v>
      </c>
      <c r="B29">
        <v>183175</v>
      </c>
      <c r="C29">
        <v>24001549</v>
      </c>
      <c r="D29" t="s">
        <v>13</v>
      </c>
      <c r="E29" t="s">
        <v>215</v>
      </c>
      <c r="F29" t="s">
        <v>388</v>
      </c>
      <c r="G29">
        <v>304</v>
      </c>
      <c r="H29" t="s">
        <v>79</v>
      </c>
      <c r="I29">
        <v>1217</v>
      </c>
      <c r="J29" s="64">
        <v>45506</v>
      </c>
      <c r="K29" s="64">
        <v>45519</v>
      </c>
      <c r="L29" t="s">
        <v>372</v>
      </c>
      <c r="M29" s="64">
        <v>45527</v>
      </c>
      <c r="N29" t="s">
        <v>373</v>
      </c>
      <c r="O29" t="s">
        <v>372</v>
      </c>
      <c r="P29">
        <v>0.65</v>
      </c>
      <c r="Q29">
        <v>1.74</v>
      </c>
      <c r="R29">
        <v>791.05</v>
      </c>
      <c r="S29">
        <v>2117.58</v>
      </c>
      <c r="T29" t="s">
        <v>70</v>
      </c>
      <c r="AA29">
        <f t="shared" si="0"/>
        <v>235499.60999999996</v>
      </c>
      <c r="AB29">
        <f>COUNTIF($D$1:D29,D29)</f>
        <v>28</v>
      </c>
    </row>
    <row r="30" spans="1:28" x14ac:dyDescent="0.25">
      <c r="A30">
        <v>29</v>
      </c>
      <c r="B30">
        <v>183178</v>
      </c>
      <c r="C30">
        <v>24001552</v>
      </c>
      <c r="D30" t="s">
        <v>13</v>
      </c>
      <c r="E30" t="s">
        <v>215</v>
      </c>
      <c r="F30">
        <v>5158583</v>
      </c>
      <c r="G30">
        <v>304</v>
      </c>
      <c r="H30" t="s">
        <v>79</v>
      </c>
      <c r="I30">
        <v>1677</v>
      </c>
      <c r="J30" s="64">
        <v>45516</v>
      </c>
      <c r="K30" s="64">
        <v>45523</v>
      </c>
      <c r="L30" t="s">
        <v>372</v>
      </c>
      <c r="M30" s="64">
        <v>45527</v>
      </c>
      <c r="N30" t="s">
        <v>373</v>
      </c>
      <c r="O30" t="s">
        <v>372</v>
      </c>
      <c r="P30">
        <v>0.8</v>
      </c>
      <c r="Q30">
        <v>1.88</v>
      </c>
      <c r="R30">
        <v>1341.6</v>
      </c>
      <c r="S30">
        <v>3152.76</v>
      </c>
      <c r="T30" t="s">
        <v>70</v>
      </c>
      <c r="AA30">
        <f t="shared" si="0"/>
        <v>235499.60999999996</v>
      </c>
      <c r="AB30">
        <f>COUNTIF($D$1:D30,D30)</f>
        <v>29</v>
      </c>
    </row>
    <row r="31" spans="1:28" x14ac:dyDescent="0.25">
      <c r="A31">
        <v>30</v>
      </c>
      <c r="B31">
        <v>183431</v>
      </c>
      <c r="C31">
        <v>24001621</v>
      </c>
      <c r="D31" t="s">
        <v>13</v>
      </c>
      <c r="E31" t="s">
        <v>215</v>
      </c>
      <c r="F31">
        <v>5158722</v>
      </c>
      <c r="G31">
        <v>380</v>
      </c>
      <c r="H31" t="s">
        <v>79</v>
      </c>
      <c r="I31">
        <v>14493</v>
      </c>
      <c r="J31" s="64">
        <v>45505</v>
      </c>
      <c r="K31" s="64">
        <v>45533</v>
      </c>
      <c r="L31" t="s">
        <v>372</v>
      </c>
      <c r="M31" s="64">
        <v>45541</v>
      </c>
      <c r="N31" t="s">
        <v>373</v>
      </c>
      <c r="O31" t="s">
        <v>376</v>
      </c>
      <c r="P31">
        <v>0.65</v>
      </c>
      <c r="Q31">
        <v>1.61</v>
      </c>
      <c r="R31">
        <v>9420.4500000000007</v>
      </c>
      <c r="S31">
        <v>23333.73</v>
      </c>
      <c r="T31" t="s">
        <v>70</v>
      </c>
      <c r="AA31">
        <f t="shared" si="0"/>
        <v>235499.60999999996</v>
      </c>
      <c r="AB31">
        <f>COUNTIF($D$1:D31,D31)</f>
        <v>30</v>
      </c>
    </row>
    <row r="32" spans="1:28" x14ac:dyDescent="0.25">
      <c r="A32">
        <v>31</v>
      </c>
      <c r="B32">
        <v>183359</v>
      </c>
      <c r="C32">
        <v>24001678</v>
      </c>
      <c r="D32" t="s">
        <v>13</v>
      </c>
      <c r="E32" t="s">
        <v>116</v>
      </c>
      <c r="F32" t="s">
        <v>385</v>
      </c>
      <c r="H32" t="s">
        <v>79</v>
      </c>
      <c r="I32">
        <v>2022</v>
      </c>
      <c r="J32" s="64">
        <v>45520</v>
      </c>
      <c r="K32" s="64">
        <v>45533</v>
      </c>
      <c r="L32" t="s">
        <v>372</v>
      </c>
      <c r="M32" s="64">
        <v>45527</v>
      </c>
      <c r="N32" t="s">
        <v>374</v>
      </c>
      <c r="O32" t="s">
        <v>372</v>
      </c>
      <c r="P32">
        <v>0.75</v>
      </c>
      <c r="Q32">
        <v>0.98</v>
      </c>
      <c r="R32">
        <v>1516.5</v>
      </c>
      <c r="S32">
        <v>1981.56</v>
      </c>
      <c r="T32" t="s">
        <v>71</v>
      </c>
      <c r="AA32">
        <f t="shared" si="0"/>
        <v>235499.60999999996</v>
      </c>
      <c r="AB32">
        <f>COUNTIF($D$1:D32,D32)</f>
        <v>31</v>
      </c>
    </row>
    <row r="33" spans="1:28" x14ac:dyDescent="0.25">
      <c r="A33">
        <v>32</v>
      </c>
      <c r="B33">
        <v>183368</v>
      </c>
      <c r="C33">
        <v>24001684</v>
      </c>
      <c r="D33" t="s">
        <v>13</v>
      </c>
      <c r="E33" t="s">
        <v>116</v>
      </c>
      <c r="F33" t="s">
        <v>389</v>
      </c>
      <c r="G33" t="s">
        <v>389</v>
      </c>
      <c r="H33" t="s">
        <v>79</v>
      </c>
      <c r="I33">
        <v>1807</v>
      </c>
      <c r="J33" s="64">
        <v>45531</v>
      </c>
      <c r="K33" s="64">
        <v>45534</v>
      </c>
      <c r="L33" t="s">
        <v>372</v>
      </c>
      <c r="M33" s="64">
        <v>45558</v>
      </c>
      <c r="N33" t="s">
        <v>373</v>
      </c>
      <c r="O33" t="s">
        <v>376</v>
      </c>
      <c r="P33">
        <v>0.8</v>
      </c>
      <c r="Q33">
        <v>1.05</v>
      </c>
      <c r="R33">
        <v>1445.6</v>
      </c>
      <c r="S33">
        <v>1897.35</v>
      </c>
      <c r="T33" t="s">
        <v>71</v>
      </c>
      <c r="AA33">
        <f t="shared" si="0"/>
        <v>235499.60999999996</v>
      </c>
      <c r="AB33">
        <f>COUNTIF($D$1:D33,D33)</f>
        <v>32</v>
      </c>
    </row>
    <row r="34" spans="1:28" x14ac:dyDescent="0.25">
      <c r="A34">
        <v>33</v>
      </c>
      <c r="B34">
        <v>183176</v>
      </c>
      <c r="C34">
        <v>24001550</v>
      </c>
      <c r="D34" t="s">
        <v>13</v>
      </c>
      <c r="E34" t="s">
        <v>215</v>
      </c>
      <c r="F34">
        <v>5158596</v>
      </c>
      <c r="G34">
        <v>304</v>
      </c>
      <c r="H34" t="s">
        <v>79</v>
      </c>
      <c r="I34">
        <v>3265</v>
      </c>
      <c r="J34" s="64">
        <v>45513</v>
      </c>
      <c r="K34" s="64">
        <v>45520</v>
      </c>
      <c r="L34" t="s">
        <v>372</v>
      </c>
      <c r="M34" s="64">
        <v>45527</v>
      </c>
      <c r="N34" t="s">
        <v>373</v>
      </c>
      <c r="O34" t="s">
        <v>372</v>
      </c>
      <c r="P34">
        <v>0.8</v>
      </c>
      <c r="Q34">
        <v>1.88</v>
      </c>
      <c r="R34">
        <v>2612</v>
      </c>
      <c r="S34">
        <v>6138.2</v>
      </c>
      <c r="T34" t="s">
        <v>70</v>
      </c>
      <c r="AA34">
        <f t="shared" si="0"/>
        <v>235499.60999999996</v>
      </c>
      <c r="AB34">
        <f>COUNTIF($D$1:D34,D34)</f>
        <v>33</v>
      </c>
    </row>
    <row r="35" spans="1:28" x14ac:dyDescent="0.25">
      <c r="A35">
        <v>34</v>
      </c>
      <c r="B35">
        <v>183177</v>
      </c>
      <c r="C35">
        <v>24001551</v>
      </c>
      <c r="D35" t="s">
        <v>13</v>
      </c>
      <c r="E35" t="s">
        <v>215</v>
      </c>
      <c r="F35" t="s">
        <v>375</v>
      </c>
      <c r="G35">
        <v>304</v>
      </c>
      <c r="H35" t="s">
        <v>79</v>
      </c>
      <c r="I35">
        <v>502</v>
      </c>
      <c r="J35" s="64">
        <v>45516</v>
      </c>
      <c r="K35" s="64">
        <v>45520</v>
      </c>
      <c r="L35" t="s">
        <v>372</v>
      </c>
      <c r="M35" s="64">
        <v>45513</v>
      </c>
      <c r="N35" t="s">
        <v>374</v>
      </c>
      <c r="O35" t="s">
        <v>372</v>
      </c>
      <c r="P35">
        <v>0.77</v>
      </c>
      <c r="Q35">
        <v>2.0099999999999998</v>
      </c>
      <c r="R35">
        <v>386.54</v>
      </c>
      <c r="S35">
        <v>1009.02</v>
      </c>
      <c r="T35" t="s">
        <v>70</v>
      </c>
      <c r="AA35">
        <f t="shared" si="0"/>
        <v>235499.60999999996</v>
      </c>
      <c r="AB35">
        <f>COUNTIF($D$1:D35,D35)</f>
        <v>34</v>
      </c>
    </row>
    <row r="36" spans="1:28" x14ac:dyDescent="0.25">
      <c r="A36">
        <v>35</v>
      </c>
      <c r="B36">
        <v>183183</v>
      </c>
      <c r="C36">
        <v>24001557</v>
      </c>
      <c r="D36" t="s">
        <v>13</v>
      </c>
      <c r="E36" t="s">
        <v>215</v>
      </c>
      <c r="F36">
        <v>5158582</v>
      </c>
      <c r="G36">
        <v>304</v>
      </c>
      <c r="H36" t="s">
        <v>79</v>
      </c>
      <c r="I36">
        <v>4840</v>
      </c>
      <c r="J36" s="64">
        <v>45518</v>
      </c>
      <c r="K36" s="64">
        <v>45533</v>
      </c>
      <c r="L36" t="s">
        <v>372</v>
      </c>
      <c r="M36" s="64">
        <v>45527</v>
      </c>
      <c r="N36" t="s">
        <v>374</v>
      </c>
      <c r="O36" t="s">
        <v>372</v>
      </c>
      <c r="P36">
        <v>0.76</v>
      </c>
      <c r="Q36">
        <v>1.43</v>
      </c>
      <c r="R36">
        <v>3678.4</v>
      </c>
      <c r="S36">
        <v>6921.2</v>
      </c>
      <c r="T36" t="s">
        <v>70</v>
      </c>
      <c r="AA36">
        <f t="shared" si="0"/>
        <v>235499.60999999996</v>
      </c>
      <c r="AB36">
        <f>COUNTIF($D$1:D36,D36)</f>
        <v>35</v>
      </c>
    </row>
    <row r="37" spans="1:28" x14ac:dyDescent="0.25">
      <c r="A37">
        <v>36</v>
      </c>
      <c r="B37">
        <v>183109</v>
      </c>
      <c r="C37">
        <v>24001228</v>
      </c>
      <c r="D37" t="s">
        <v>13</v>
      </c>
      <c r="E37" t="s">
        <v>290</v>
      </c>
      <c r="F37" t="s">
        <v>390</v>
      </c>
      <c r="G37">
        <v>3509748</v>
      </c>
      <c r="H37" t="s">
        <v>115</v>
      </c>
      <c r="I37">
        <v>304</v>
      </c>
      <c r="J37" s="64">
        <v>45513</v>
      </c>
      <c r="K37" s="64">
        <v>45524</v>
      </c>
      <c r="L37" t="s">
        <v>372</v>
      </c>
      <c r="M37" s="64">
        <v>45520</v>
      </c>
      <c r="N37" t="s">
        <v>374</v>
      </c>
      <c r="O37" t="s">
        <v>372</v>
      </c>
      <c r="P37">
        <v>12.47</v>
      </c>
      <c r="Q37">
        <v>20.239999999999998</v>
      </c>
      <c r="R37">
        <v>3790.88</v>
      </c>
      <c r="S37">
        <v>6152.96</v>
      </c>
      <c r="T37" t="s">
        <v>71</v>
      </c>
      <c r="AA37">
        <f t="shared" si="0"/>
        <v>235499.60999999996</v>
      </c>
      <c r="AB37">
        <f>COUNTIF($D$1:D37,D37)</f>
        <v>36</v>
      </c>
    </row>
    <row r="38" spans="1:28" x14ac:dyDescent="0.25">
      <c r="A38">
        <v>37</v>
      </c>
      <c r="B38">
        <v>183268</v>
      </c>
      <c r="C38">
        <v>24001227</v>
      </c>
      <c r="D38" t="s">
        <v>13</v>
      </c>
      <c r="E38" t="s">
        <v>290</v>
      </c>
      <c r="F38" t="s">
        <v>391</v>
      </c>
      <c r="G38">
        <v>3509691</v>
      </c>
      <c r="H38" t="s">
        <v>115</v>
      </c>
      <c r="I38">
        <v>539</v>
      </c>
      <c r="J38" s="64">
        <v>45517</v>
      </c>
      <c r="K38" s="64">
        <v>45531</v>
      </c>
      <c r="L38" t="s">
        <v>372</v>
      </c>
      <c r="M38" s="64">
        <v>45527</v>
      </c>
      <c r="N38" t="s">
        <v>374</v>
      </c>
      <c r="O38" t="s">
        <v>372</v>
      </c>
      <c r="P38">
        <v>12.47</v>
      </c>
      <c r="Q38">
        <v>20.239999999999998</v>
      </c>
      <c r="R38">
        <v>6721.33</v>
      </c>
      <c r="S38">
        <v>10909.36</v>
      </c>
      <c r="T38" t="s">
        <v>71</v>
      </c>
      <c r="AA38">
        <f t="shared" si="0"/>
        <v>235499.60999999996</v>
      </c>
      <c r="AB38">
        <f>COUNTIF($D$1:D38,D38)</f>
        <v>37</v>
      </c>
    </row>
    <row r="39" spans="1:28" x14ac:dyDescent="0.25">
      <c r="A39">
        <v>38</v>
      </c>
      <c r="B39">
        <v>183389</v>
      </c>
      <c r="C39">
        <v>24001249</v>
      </c>
      <c r="D39" t="s">
        <v>13</v>
      </c>
      <c r="E39" t="s">
        <v>290</v>
      </c>
      <c r="F39" t="s">
        <v>390</v>
      </c>
      <c r="G39">
        <v>3510227</v>
      </c>
      <c r="H39" t="s">
        <v>115</v>
      </c>
      <c r="I39">
        <v>42</v>
      </c>
      <c r="J39" s="64">
        <v>45518</v>
      </c>
      <c r="K39" s="64">
        <v>45524</v>
      </c>
      <c r="L39" t="s">
        <v>372</v>
      </c>
      <c r="M39" s="64">
        <v>45527</v>
      </c>
      <c r="N39" t="s">
        <v>373</v>
      </c>
      <c r="O39" t="s">
        <v>372</v>
      </c>
      <c r="P39">
        <v>12.47</v>
      </c>
      <c r="Q39">
        <v>20.239999999999998</v>
      </c>
      <c r="R39">
        <v>523.74</v>
      </c>
      <c r="S39">
        <v>850.08</v>
      </c>
      <c r="T39" t="s">
        <v>71</v>
      </c>
      <c r="AA39">
        <f t="shared" si="0"/>
        <v>235499.60999999996</v>
      </c>
      <c r="AB39">
        <f>COUNTIF($D$1:D39,D39)</f>
        <v>38</v>
      </c>
    </row>
    <row r="40" spans="1:28" x14ac:dyDescent="0.25">
      <c r="A40">
        <v>39</v>
      </c>
      <c r="B40">
        <v>183390</v>
      </c>
      <c r="C40">
        <v>24001245</v>
      </c>
      <c r="D40" t="s">
        <v>13</v>
      </c>
      <c r="E40" t="s">
        <v>290</v>
      </c>
      <c r="F40">
        <v>6110555</v>
      </c>
      <c r="G40">
        <v>3510150</v>
      </c>
      <c r="H40" t="s">
        <v>115</v>
      </c>
      <c r="I40">
        <v>144</v>
      </c>
      <c r="J40" s="64">
        <v>45525</v>
      </c>
      <c r="K40" s="64">
        <v>45533</v>
      </c>
      <c r="L40" t="s">
        <v>372</v>
      </c>
      <c r="M40" s="64">
        <v>45546</v>
      </c>
      <c r="N40" t="s">
        <v>373</v>
      </c>
      <c r="O40" t="s">
        <v>376</v>
      </c>
      <c r="P40">
        <v>12.47</v>
      </c>
      <c r="Q40">
        <v>20.239999999999998</v>
      </c>
      <c r="R40">
        <v>1795.68</v>
      </c>
      <c r="S40">
        <v>2914.56</v>
      </c>
      <c r="T40" t="s">
        <v>71</v>
      </c>
      <c r="AA40">
        <f t="shared" si="0"/>
        <v>235499.60999999996</v>
      </c>
      <c r="AB40">
        <f>COUNTIF($D$1:D40,D40)</f>
        <v>39</v>
      </c>
    </row>
    <row r="41" spans="1:28" x14ac:dyDescent="0.25">
      <c r="A41">
        <v>40</v>
      </c>
      <c r="B41">
        <v>183392</v>
      </c>
      <c r="C41">
        <v>24001247</v>
      </c>
      <c r="D41" t="s">
        <v>13</v>
      </c>
      <c r="E41" t="s">
        <v>290</v>
      </c>
      <c r="F41">
        <v>6110557</v>
      </c>
      <c r="G41">
        <v>3510150</v>
      </c>
      <c r="H41" t="s">
        <v>115</v>
      </c>
      <c r="I41">
        <v>52</v>
      </c>
      <c r="J41" s="64">
        <v>45532</v>
      </c>
      <c r="K41" s="64">
        <v>45534</v>
      </c>
      <c r="L41" t="s">
        <v>372</v>
      </c>
      <c r="M41" s="64">
        <v>45546</v>
      </c>
      <c r="N41" t="s">
        <v>373</v>
      </c>
      <c r="O41" t="s">
        <v>376</v>
      </c>
      <c r="P41">
        <v>12.47</v>
      </c>
      <c r="Q41">
        <v>20.239999999999998</v>
      </c>
      <c r="R41">
        <v>648.44000000000005</v>
      </c>
      <c r="S41">
        <v>1052.48</v>
      </c>
      <c r="T41" t="s">
        <v>71</v>
      </c>
      <c r="AA41">
        <f t="shared" si="0"/>
        <v>235499.60999999996</v>
      </c>
      <c r="AB41">
        <f>COUNTIF($D$1:D41,D41)</f>
        <v>40</v>
      </c>
    </row>
    <row r="42" spans="1:28" x14ac:dyDescent="0.25">
      <c r="A42">
        <v>41</v>
      </c>
      <c r="B42">
        <v>183267</v>
      </c>
      <c r="C42">
        <v>24001198</v>
      </c>
      <c r="D42" t="s">
        <v>13</v>
      </c>
      <c r="E42" t="s">
        <v>290</v>
      </c>
      <c r="F42">
        <v>6110557</v>
      </c>
      <c r="G42">
        <v>3509444</v>
      </c>
      <c r="H42" t="s">
        <v>115</v>
      </c>
      <c r="I42">
        <v>480</v>
      </c>
      <c r="J42" s="64">
        <v>45505</v>
      </c>
      <c r="K42" s="64">
        <v>45517</v>
      </c>
      <c r="L42" t="s">
        <v>372</v>
      </c>
      <c r="M42" s="64">
        <v>45513</v>
      </c>
      <c r="N42" t="s">
        <v>374</v>
      </c>
      <c r="O42" t="s">
        <v>372</v>
      </c>
      <c r="P42">
        <v>12.92</v>
      </c>
      <c r="Q42">
        <v>20.239999999999998</v>
      </c>
      <c r="R42">
        <v>6201.6</v>
      </c>
      <c r="S42">
        <v>9715.2000000000007</v>
      </c>
      <c r="T42" t="s">
        <v>71</v>
      </c>
      <c r="AA42">
        <f t="shared" si="0"/>
        <v>235499.60999999996</v>
      </c>
      <c r="AB42">
        <f>COUNTIF($D$1:D42,D42)</f>
        <v>41</v>
      </c>
    </row>
    <row r="43" spans="1:28" x14ac:dyDescent="0.25">
      <c r="A43">
        <v>42</v>
      </c>
      <c r="B43">
        <v>183272</v>
      </c>
      <c r="C43">
        <v>24001236</v>
      </c>
      <c r="D43" t="s">
        <v>13</v>
      </c>
      <c r="E43" t="s">
        <v>290</v>
      </c>
      <c r="F43" t="s">
        <v>392</v>
      </c>
      <c r="G43">
        <v>3510019</v>
      </c>
      <c r="H43" t="s">
        <v>115</v>
      </c>
      <c r="I43">
        <v>95</v>
      </c>
      <c r="J43" s="64">
        <v>45527</v>
      </c>
      <c r="K43" s="64">
        <v>45534</v>
      </c>
      <c r="L43" t="s">
        <v>372</v>
      </c>
      <c r="M43" s="64">
        <v>45534</v>
      </c>
      <c r="N43" t="s">
        <v>373</v>
      </c>
      <c r="O43" t="s">
        <v>372</v>
      </c>
      <c r="P43">
        <v>12.47</v>
      </c>
      <c r="Q43">
        <v>20.239999999999998</v>
      </c>
      <c r="R43">
        <v>1184.6500000000001</v>
      </c>
      <c r="S43">
        <v>1922.8</v>
      </c>
      <c r="T43" t="s">
        <v>71</v>
      </c>
      <c r="AA43">
        <f t="shared" si="0"/>
        <v>235499.60999999996</v>
      </c>
      <c r="AB43">
        <f>COUNTIF($D$1:D43,D43)</f>
        <v>42</v>
      </c>
    </row>
    <row r="44" spans="1:28" x14ac:dyDescent="0.25">
      <c r="A44">
        <v>43</v>
      </c>
      <c r="B44">
        <v>183109</v>
      </c>
      <c r="C44">
        <v>24001228</v>
      </c>
      <c r="D44" t="s">
        <v>13</v>
      </c>
      <c r="E44" t="s">
        <v>290</v>
      </c>
      <c r="F44" t="s">
        <v>390</v>
      </c>
      <c r="G44">
        <v>3509748</v>
      </c>
      <c r="H44" t="s">
        <v>283</v>
      </c>
      <c r="I44">
        <v>296</v>
      </c>
      <c r="J44" s="64">
        <v>45513</v>
      </c>
      <c r="K44" s="64">
        <v>45520</v>
      </c>
      <c r="L44" t="s">
        <v>372</v>
      </c>
      <c r="M44" s="64">
        <v>45520</v>
      </c>
      <c r="N44" t="s">
        <v>373</v>
      </c>
      <c r="O44" t="s">
        <v>372</v>
      </c>
      <c r="P44">
        <v>12.47</v>
      </c>
      <c r="Q44">
        <v>20.239999999999998</v>
      </c>
      <c r="R44">
        <v>3691.12</v>
      </c>
      <c r="S44">
        <v>5991.04</v>
      </c>
      <c r="T44" t="s">
        <v>71</v>
      </c>
      <c r="AA44">
        <f t="shared" si="0"/>
        <v>235499.60999999996</v>
      </c>
      <c r="AB44">
        <f>COUNTIF($D$1:D44,D44)</f>
        <v>43</v>
      </c>
    </row>
    <row r="45" spans="1:28" x14ac:dyDescent="0.25">
      <c r="A45">
        <v>44</v>
      </c>
      <c r="B45">
        <v>183268</v>
      </c>
      <c r="C45">
        <v>24001227</v>
      </c>
      <c r="D45" t="s">
        <v>13</v>
      </c>
      <c r="E45" t="s">
        <v>290</v>
      </c>
      <c r="F45" t="s">
        <v>391</v>
      </c>
      <c r="G45">
        <v>3509691</v>
      </c>
      <c r="H45" t="s">
        <v>283</v>
      </c>
      <c r="I45">
        <v>417</v>
      </c>
      <c r="J45" s="64">
        <v>45518</v>
      </c>
      <c r="K45" s="64">
        <v>45526</v>
      </c>
      <c r="L45" t="s">
        <v>372</v>
      </c>
      <c r="M45" s="64">
        <v>45527</v>
      </c>
      <c r="N45" t="s">
        <v>373</v>
      </c>
      <c r="O45" t="s">
        <v>372</v>
      </c>
      <c r="P45">
        <v>12.47</v>
      </c>
      <c r="Q45">
        <v>20.239999999999998</v>
      </c>
      <c r="R45">
        <v>5199.99</v>
      </c>
      <c r="S45">
        <v>8440.08</v>
      </c>
      <c r="T45" t="s">
        <v>71</v>
      </c>
      <c r="AA45">
        <f t="shared" si="0"/>
        <v>235499.60999999996</v>
      </c>
      <c r="AB45">
        <f>COUNTIF($D$1:D45,D45)</f>
        <v>44</v>
      </c>
    </row>
    <row r="46" spans="1:28" x14ac:dyDescent="0.25">
      <c r="A46">
        <v>45</v>
      </c>
      <c r="B46">
        <v>183272</v>
      </c>
      <c r="C46">
        <v>24001236</v>
      </c>
      <c r="D46" t="s">
        <v>13</v>
      </c>
      <c r="E46" t="s">
        <v>290</v>
      </c>
      <c r="F46" t="s">
        <v>392</v>
      </c>
      <c r="G46">
        <v>3510019</v>
      </c>
      <c r="H46" t="s">
        <v>283</v>
      </c>
      <c r="I46">
        <v>100</v>
      </c>
      <c r="J46" s="64">
        <v>45526</v>
      </c>
      <c r="K46" s="64">
        <v>45527</v>
      </c>
      <c r="L46" t="s">
        <v>372</v>
      </c>
      <c r="M46" s="64">
        <v>45541</v>
      </c>
      <c r="N46" t="s">
        <v>373</v>
      </c>
      <c r="O46" t="s">
        <v>376</v>
      </c>
      <c r="P46">
        <v>12.47</v>
      </c>
      <c r="Q46">
        <v>20.239999999999998</v>
      </c>
      <c r="R46">
        <v>1247</v>
      </c>
      <c r="S46">
        <v>2024</v>
      </c>
      <c r="T46" t="s">
        <v>71</v>
      </c>
      <c r="AA46">
        <f t="shared" si="0"/>
        <v>235499.60999999996</v>
      </c>
      <c r="AB46">
        <f>COUNTIF($D$1:D46,D46)</f>
        <v>45</v>
      </c>
    </row>
    <row r="47" spans="1:28" x14ac:dyDescent="0.25">
      <c r="A47">
        <v>46</v>
      </c>
      <c r="B47">
        <v>183267</v>
      </c>
      <c r="C47">
        <v>24001198</v>
      </c>
      <c r="D47" t="s">
        <v>13</v>
      </c>
      <c r="E47" t="s">
        <v>290</v>
      </c>
      <c r="F47">
        <v>6110557</v>
      </c>
      <c r="G47">
        <v>3509444</v>
      </c>
      <c r="H47" t="s">
        <v>283</v>
      </c>
      <c r="I47">
        <v>501</v>
      </c>
      <c r="J47" s="64">
        <v>45505</v>
      </c>
      <c r="K47" s="64">
        <v>45517</v>
      </c>
      <c r="L47" t="s">
        <v>372</v>
      </c>
      <c r="M47" s="64">
        <v>45513</v>
      </c>
      <c r="N47" t="s">
        <v>374</v>
      </c>
      <c r="O47" t="s">
        <v>372</v>
      </c>
      <c r="P47">
        <v>12.92</v>
      </c>
      <c r="Q47">
        <v>20.239999999999998</v>
      </c>
      <c r="R47">
        <v>6472.92</v>
      </c>
      <c r="S47">
        <v>10140.24</v>
      </c>
      <c r="T47" t="s">
        <v>71</v>
      </c>
      <c r="AA47">
        <f t="shared" si="0"/>
        <v>235499.60999999996</v>
      </c>
      <c r="AB47">
        <f>COUNTIF($D$1:D47,D47)</f>
        <v>46</v>
      </c>
    </row>
    <row r="48" spans="1:28" x14ac:dyDescent="0.25">
      <c r="A48">
        <v>47</v>
      </c>
      <c r="B48">
        <v>183389</v>
      </c>
      <c r="C48">
        <v>24001249</v>
      </c>
      <c r="D48" t="s">
        <v>13</v>
      </c>
      <c r="E48" t="s">
        <v>290</v>
      </c>
      <c r="F48" t="s">
        <v>390</v>
      </c>
      <c r="G48">
        <v>3510227</v>
      </c>
      <c r="H48" t="s">
        <v>283</v>
      </c>
      <c r="I48">
        <v>98</v>
      </c>
      <c r="J48" s="64">
        <v>45523</v>
      </c>
      <c r="K48" s="64">
        <v>45526</v>
      </c>
      <c r="L48" t="s">
        <v>372</v>
      </c>
      <c r="M48" s="64">
        <v>45520</v>
      </c>
      <c r="N48" t="s">
        <v>374</v>
      </c>
      <c r="O48" t="s">
        <v>372</v>
      </c>
      <c r="P48">
        <v>12.47</v>
      </c>
      <c r="Q48">
        <v>20.239999999999998</v>
      </c>
      <c r="R48">
        <v>1222.06</v>
      </c>
      <c r="S48">
        <v>1983.52</v>
      </c>
      <c r="T48" t="s">
        <v>71</v>
      </c>
      <c r="AA48">
        <f t="shared" si="0"/>
        <v>235499.60999999996</v>
      </c>
      <c r="AB48">
        <f>COUNTIF($D$1:D48,D48)</f>
        <v>47</v>
      </c>
    </row>
    <row r="49" spans="1:28" x14ac:dyDescent="0.25">
      <c r="A49">
        <v>48</v>
      </c>
      <c r="B49">
        <v>183390</v>
      </c>
      <c r="C49">
        <v>24001245</v>
      </c>
      <c r="D49" t="s">
        <v>13</v>
      </c>
      <c r="E49" t="s">
        <v>290</v>
      </c>
      <c r="F49">
        <v>6110555</v>
      </c>
      <c r="G49">
        <v>3510150</v>
      </c>
      <c r="H49" t="s">
        <v>283</v>
      </c>
      <c r="I49">
        <v>261</v>
      </c>
      <c r="J49" s="64">
        <v>45526</v>
      </c>
      <c r="K49" s="64">
        <v>45533</v>
      </c>
      <c r="L49" t="s">
        <v>372</v>
      </c>
      <c r="M49" s="64">
        <v>45546</v>
      </c>
      <c r="N49" t="s">
        <v>373</v>
      </c>
      <c r="O49" t="s">
        <v>376</v>
      </c>
      <c r="P49">
        <v>12.47</v>
      </c>
      <c r="Q49">
        <v>20.239999999999998</v>
      </c>
      <c r="R49">
        <v>3254.67</v>
      </c>
      <c r="S49">
        <v>5282.64</v>
      </c>
      <c r="T49" t="s">
        <v>71</v>
      </c>
      <c r="AA49">
        <f t="shared" si="0"/>
        <v>235499.60999999996</v>
      </c>
      <c r="AB49">
        <f>COUNTIF($D$1:D49,D49)</f>
        <v>48</v>
      </c>
    </row>
    <row r="50" spans="1:28" x14ac:dyDescent="0.25">
      <c r="A50">
        <v>49</v>
      </c>
      <c r="B50">
        <v>183392</v>
      </c>
      <c r="C50">
        <v>24001247</v>
      </c>
      <c r="D50" t="s">
        <v>13</v>
      </c>
      <c r="E50" t="s">
        <v>290</v>
      </c>
      <c r="F50">
        <v>6110557</v>
      </c>
      <c r="G50">
        <v>3510150</v>
      </c>
      <c r="H50" t="s">
        <v>283</v>
      </c>
      <c r="I50">
        <v>220</v>
      </c>
      <c r="J50" s="64">
        <v>45532</v>
      </c>
      <c r="K50" s="64">
        <v>45534</v>
      </c>
      <c r="L50" t="s">
        <v>372</v>
      </c>
      <c r="M50" s="64">
        <v>45546</v>
      </c>
      <c r="N50" t="s">
        <v>373</v>
      </c>
      <c r="O50" t="s">
        <v>376</v>
      </c>
      <c r="P50">
        <v>12.47</v>
      </c>
      <c r="Q50">
        <v>20.239999999999998</v>
      </c>
      <c r="R50">
        <v>2743.4</v>
      </c>
      <c r="S50">
        <v>4452.8</v>
      </c>
      <c r="T50" t="s">
        <v>71</v>
      </c>
      <c r="AA50">
        <f t="shared" si="0"/>
        <v>235499.60999999996</v>
      </c>
      <c r="AB50">
        <f>COUNTIF($D$1:D50,D50)</f>
        <v>49</v>
      </c>
    </row>
    <row r="51" spans="1:28" x14ac:dyDescent="0.25">
      <c r="A51">
        <v>50</v>
      </c>
      <c r="B51">
        <v>183269</v>
      </c>
      <c r="C51">
        <v>24001240</v>
      </c>
      <c r="D51" t="s">
        <v>13</v>
      </c>
      <c r="E51" t="s">
        <v>290</v>
      </c>
      <c r="F51" t="s">
        <v>393</v>
      </c>
      <c r="G51">
        <v>3509881</v>
      </c>
      <c r="H51" t="s">
        <v>283</v>
      </c>
      <c r="I51">
        <v>46</v>
      </c>
      <c r="J51" s="64">
        <v>45534</v>
      </c>
      <c r="K51" s="64">
        <v>45534</v>
      </c>
      <c r="L51" t="s">
        <v>372</v>
      </c>
      <c r="M51" s="64">
        <v>45546</v>
      </c>
      <c r="N51" t="s">
        <v>373</v>
      </c>
      <c r="O51" t="s">
        <v>376</v>
      </c>
      <c r="P51">
        <v>12.47</v>
      </c>
      <c r="Q51">
        <v>20.22</v>
      </c>
      <c r="R51">
        <v>573.62</v>
      </c>
      <c r="S51">
        <v>930.12</v>
      </c>
      <c r="T51" t="s">
        <v>71</v>
      </c>
      <c r="AA51">
        <f t="shared" si="0"/>
        <v>235499.60999999996</v>
      </c>
      <c r="AB51">
        <f>COUNTIF($D$1:D51,D51)</f>
        <v>50</v>
      </c>
    </row>
    <row r="52" spans="1:28" x14ac:dyDescent="0.25">
      <c r="A52">
        <v>51</v>
      </c>
      <c r="B52">
        <v>183265</v>
      </c>
      <c r="C52">
        <v>24001222</v>
      </c>
      <c r="D52" t="s">
        <v>13</v>
      </c>
      <c r="E52" t="s">
        <v>290</v>
      </c>
      <c r="F52">
        <v>6180557</v>
      </c>
      <c r="G52">
        <v>3509335</v>
      </c>
      <c r="H52" t="s">
        <v>284</v>
      </c>
      <c r="I52">
        <v>377</v>
      </c>
      <c r="J52" s="64">
        <v>45505</v>
      </c>
      <c r="K52" s="64">
        <v>45517</v>
      </c>
      <c r="L52" t="s">
        <v>372</v>
      </c>
      <c r="M52" s="64">
        <v>45513</v>
      </c>
      <c r="N52" t="s">
        <v>374</v>
      </c>
      <c r="O52" t="s">
        <v>372</v>
      </c>
      <c r="P52">
        <v>15.94</v>
      </c>
      <c r="Q52">
        <v>28.92</v>
      </c>
      <c r="R52">
        <v>6009.38</v>
      </c>
      <c r="S52">
        <v>10902.84</v>
      </c>
      <c r="T52" t="s">
        <v>71</v>
      </c>
      <c r="AA52">
        <f t="shared" si="0"/>
        <v>235499.60999999996</v>
      </c>
      <c r="AB52">
        <f>COUNTIF($D$1:D52,D52)</f>
        <v>51</v>
      </c>
    </row>
    <row r="53" spans="1:28" x14ac:dyDescent="0.25">
      <c r="A53">
        <v>52</v>
      </c>
      <c r="B53">
        <v>183266</v>
      </c>
      <c r="C53">
        <v>24001224</v>
      </c>
      <c r="D53" t="s">
        <v>13</v>
      </c>
      <c r="E53" t="s">
        <v>290</v>
      </c>
      <c r="F53">
        <v>3509446</v>
      </c>
      <c r="G53">
        <v>3509446</v>
      </c>
      <c r="H53" t="s">
        <v>284</v>
      </c>
      <c r="I53">
        <v>601</v>
      </c>
      <c r="J53" s="64">
        <v>45516</v>
      </c>
      <c r="K53" s="64">
        <v>45520</v>
      </c>
      <c r="L53" t="s">
        <v>372</v>
      </c>
      <c r="M53" s="64">
        <v>45513</v>
      </c>
      <c r="N53" t="s">
        <v>374</v>
      </c>
      <c r="O53" t="s">
        <v>372</v>
      </c>
      <c r="P53">
        <v>15.96</v>
      </c>
      <c r="Q53">
        <v>28.92</v>
      </c>
      <c r="R53">
        <v>9591.9599999999991</v>
      </c>
      <c r="S53">
        <v>17380.919999999998</v>
      </c>
      <c r="T53" t="s">
        <v>71</v>
      </c>
      <c r="AA53">
        <f t="shared" si="0"/>
        <v>235499.60999999996</v>
      </c>
      <c r="AB53">
        <f>COUNTIF($D$1:D53,D53)</f>
        <v>52</v>
      </c>
    </row>
    <row r="54" spans="1:28" x14ac:dyDescent="0.25">
      <c r="A54">
        <v>53</v>
      </c>
      <c r="B54">
        <v>183114</v>
      </c>
      <c r="C54">
        <v>24001234</v>
      </c>
      <c r="D54" t="s">
        <v>13</v>
      </c>
      <c r="E54" t="s">
        <v>290</v>
      </c>
      <c r="F54">
        <v>77136</v>
      </c>
      <c r="G54">
        <v>3509938</v>
      </c>
      <c r="H54" t="s">
        <v>284</v>
      </c>
      <c r="I54">
        <v>480</v>
      </c>
      <c r="J54" s="64">
        <v>45505</v>
      </c>
      <c r="K54" s="64">
        <v>45511</v>
      </c>
      <c r="L54" t="s">
        <v>372</v>
      </c>
      <c r="M54" s="64">
        <v>45506</v>
      </c>
      <c r="N54" t="s">
        <v>374</v>
      </c>
      <c r="O54" t="s">
        <v>372</v>
      </c>
      <c r="P54">
        <v>15.1</v>
      </c>
      <c r="Q54">
        <v>25.22</v>
      </c>
      <c r="R54">
        <v>7248</v>
      </c>
      <c r="S54">
        <v>12105.6</v>
      </c>
      <c r="T54" t="s">
        <v>71</v>
      </c>
      <c r="AA54">
        <f t="shared" si="0"/>
        <v>235499.60999999996</v>
      </c>
      <c r="AB54">
        <f>COUNTIF($D$1:D54,D54)</f>
        <v>53</v>
      </c>
    </row>
    <row r="55" spans="1:28" x14ac:dyDescent="0.25">
      <c r="A55">
        <v>54</v>
      </c>
      <c r="B55">
        <v>183275</v>
      </c>
      <c r="C55">
        <v>24001232</v>
      </c>
      <c r="D55" t="s">
        <v>13</v>
      </c>
      <c r="E55" t="s">
        <v>290</v>
      </c>
      <c r="F55" t="s">
        <v>394</v>
      </c>
      <c r="G55">
        <v>3509765</v>
      </c>
      <c r="H55" t="s">
        <v>284</v>
      </c>
      <c r="I55">
        <v>542</v>
      </c>
      <c r="J55" s="64">
        <v>45527</v>
      </c>
      <c r="K55" s="64">
        <v>45534</v>
      </c>
      <c r="L55" t="s">
        <v>372</v>
      </c>
      <c r="M55" s="64">
        <v>45532</v>
      </c>
      <c r="N55" t="s">
        <v>374</v>
      </c>
      <c r="O55" t="s">
        <v>372</v>
      </c>
      <c r="P55">
        <v>17.02</v>
      </c>
      <c r="Q55">
        <v>29.21</v>
      </c>
      <c r="R55">
        <v>9224.84</v>
      </c>
      <c r="S55">
        <v>15831.82</v>
      </c>
      <c r="T55" t="s">
        <v>71</v>
      </c>
      <c r="AA55">
        <f t="shared" si="0"/>
        <v>235499.60999999996</v>
      </c>
      <c r="AB55">
        <f>COUNTIF($D$1:D55,D55)</f>
        <v>54</v>
      </c>
    </row>
    <row r="56" spans="1:28" x14ac:dyDescent="0.25">
      <c r="A56">
        <v>55</v>
      </c>
      <c r="B56">
        <v>183112</v>
      </c>
      <c r="C56">
        <v>24001229</v>
      </c>
      <c r="D56" t="s">
        <v>13</v>
      </c>
      <c r="E56" t="s">
        <v>290</v>
      </c>
      <c r="F56" t="s">
        <v>395</v>
      </c>
      <c r="G56">
        <v>3509749</v>
      </c>
      <c r="H56" t="s">
        <v>284</v>
      </c>
      <c r="I56">
        <v>500</v>
      </c>
      <c r="J56" s="64">
        <v>45520</v>
      </c>
      <c r="K56" s="64">
        <v>45525</v>
      </c>
      <c r="L56" t="s">
        <v>372</v>
      </c>
      <c r="M56" s="64">
        <v>45520</v>
      </c>
      <c r="N56" t="s">
        <v>374</v>
      </c>
      <c r="O56" t="s">
        <v>372</v>
      </c>
      <c r="P56">
        <v>15.94</v>
      </c>
      <c r="Q56">
        <v>28.92</v>
      </c>
      <c r="R56">
        <v>7970</v>
      </c>
      <c r="S56">
        <v>14460</v>
      </c>
      <c r="T56" t="s">
        <v>71</v>
      </c>
      <c r="AA56">
        <f t="shared" si="0"/>
        <v>235499.60999999996</v>
      </c>
      <c r="AB56">
        <f>COUNTIF($D$1:D56,D56)</f>
        <v>55</v>
      </c>
    </row>
    <row r="57" spans="1:28" x14ac:dyDescent="0.25">
      <c r="A57">
        <v>56</v>
      </c>
      <c r="B57">
        <v>183394</v>
      </c>
      <c r="C57">
        <v>24001250</v>
      </c>
      <c r="D57" t="s">
        <v>13</v>
      </c>
      <c r="E57" t="s">
        <v>290</v>
      </c>
      <c r="F57">
        <v>6180553</v>
      </c>
      <c r="G57">
        <v>3510246</v>
      </c>
      <c r="H57" t="s">
        <v>284</v>
      </c>
      <c r="I57">
        <v>180</v>
      </c>
      <c r="J57" s="64">
        <v>45525</v>
      </c>
      <c r="K57" s="64">
        <v>45527</v>
      </c>
      <c r="L57" t="s">
        <v>372</v>
      </c>
      <c r="M57" s="64">
        <v>45527</v>
      </c>
      <c r="N57" t="s">
        <v>373</v>
      </c>
      <c r="O57" t="s">
        <v>372</v>
      </c>
      <c r="P57">
        <v>15.94</v>
      </c>
      <c r="Q57">
        <v>28.92</v>
      </c>
      <c r="R57">
        <v>2869.2</v>
      </c>
      <c r="S57">
        <v>5205.6000000000004</v>
      </c>
      <c r="T57" t="s">
        <v>71</v>
      </c>
      <c r="AA57">
        <f t="shared" si="0"/>
        <v>235499.60999999996</v>
      </c>
      <c r="AB57">
        <f>COUNTIF($D$1:D57,D57)</f>
        <v>56</v>
      </c>
    </row>
    <row r="58" spans="1:28" x14ac:dyDescent="0.25">
      <c r="A58">
        <v>57</v>
      </c>
      <c r="B58">
        <v>183040</v>
      </c>
      <c r="C58">
        <v>24001503</v>
      </c>
      <c r="D58" t="s">
        <v>13</v>
      </c>
      <c r="E58" t="s">
        <v>215</v>
      </c>
      <c r="F58">
        <v>5158043</v>
      </c>
      <c r="G58">
        <v>251</v>
      </c>
      <c r="H58" t="s">
        <v>257</v>
      </c>
      <c r="I58">
        <v>354</v>
      </c>
      <c r="J58" s="64">
        <v>45505</v>
      </c>
      <c r="K58" s="64">
        <v>45526</v>
      </c>
      <c r="L58" t="s">
        <v>372</v>
      </c>
      <c r="M58" s="64">
        <v>45503</v>
      </c>
      <c r="N58" t="s">
        <v>374</v>
      </c>
      <c r="O58" t="s">
        <v>377</v>
      </c>
      <c r="P58">
        <v>0.65</v>
      </c>
      <c r="Q58">
        <v>1.64</v>
      </c>
      <c r="R58">
        <v>230.1</v>
      </c>
      <c r="S58">
        <v>580.55999999999995</v>
      </c>
      <c r="T58" t="s">
        <v>70</v>
      </c>
      <c r="AA58">
        <f t="shared" si="0"/>
        <v>235499.60999999996</v>
      </c>
      <c r="AB58">
        <f>COUNTIF($D$1:D58,D58)</f>
        <v>57</v>
      </c>
    </row>
    <row r="59" spans="1:28" x14ac:dyDescent="0.25">
      <c r="A59">
        <v>58</v>
      </c>
      <c r="B59">
        <v>183176</v>
      </c>
      <c r="C59">
        <v>24001550</v>
      </c>
      <c r="D59" t="s">
        <v>13</v>
      </c>
      <c r="E59" t="s">
        <v>215</v>
      </c>
      <c r="F59">
        <v>5158596</v>
      </c>
      <c r="G59">
        <v>304</v>
      </c>
      <c r="H59" t="s">
        <v>257</v>
      </c>
      <c r="I59">
        <v>4959</v>
      </c>
      <c r="J59" s="64">
        <v>45512</v>
      </c>
      <c r="K59" s="64">
        <v>45523</v>
      </c>
      <c r="L59" t="s">
        <v>372</v>
      </c>
      <c r="M59" s="64">
        <v>45527</v>
      </c>
      <c r="N59" t="s">
        <v>373</v>
      </c>
      <c r="O59" t="s">
        <v>372</v>
      </c>
      <c r="P59">
        <v>0.8</v>
      </c>
      <c r="Q59">
        <v>1.88</v>
      </c>
      <c r="R59">
        <v>3967.2</v>
      </c>
      <c r="S59">
        <v>9322.92</v>
      </c>
      <c r="T59" t="s">
        <v>70</v>
      </c>
      <c r="AA59">
        <f t="shared" si="0"/>
        <v>235499.60999999996</v>
      </c>
      <c r="AB59">
        <f>COUNTIF($D$1:D59,D59)</f>
        <v>58</v>
      </c>
    </row>
    <row r="60" spans="1:28" x14ac:dyDescent="0.25">
      <c r="A60">
        <v>59</v>
      </c>
      <c r="B60">
        <v>183177</v>
      </c>
      <c r="C60">
        <v>24001551</v>
      </c>
      <c r="D60" t="s">
        <v>13</v>
      </c>
      <c r="E60" t="s">
        <v>215</v>
      </c>
      <c r="F60" t="s">
        <v>375</v>
      </c>
      <c r="G60">
        <v>304</v>
      </c>
      <c r="H60" t="s">
        <v>257</v>
      </c>
      <c r="I60">
        <v>386</v>
      </c>
      <c r="J60" s="64">
        <v>45516</v>
      </c>
      <c r="K60" s="64">
        <v>45518</v>
      </c>
      <c r="L60" t="s">
        <v>372</v>
      </c>
      <c r="M60" s="64">
        <v>45527</v>
      </c>
      <c r="N60" t="s">
        <v>373</v>
      </c>
      <c r="O60" t="s">
        <v>372</v>
      </c>
      <c r="P60">
        <v>0.77</v>
      </c>
      <c r="Q60">
        <v>2.0099999999999998</v>
      </c>
      <c r="R60">
        <v>297.22000000000003</v>
      </c>
      <c r="S60">
        <v>775.86</v>
      </c>
      <c r="T60" t="s">
        <v>70</v>
      </c>
      <c r="AA60">
        <f t="shared" si="0"/>
        <v>235499.60999999996</v>
      </c>
      <c r="AB60">
        <f>COUNTIF($D$1:D60,D60)</f>
        <v>59</v>
      </c>
    </row>
    <row r="61" spans="1:28" x14ac:dyDescent="0.25">
      <c r="A61">
        <v>60</v>
      </c>
      <c r="B61">
        <v>183178</v>
      </c>
      <c r="C61">
        <v>24001552</v>
      </c>
      <c r="D61" t="s">
        <v>13</v>
      </c>
      <c r="E61" t="s">
        <v>215</v>
      </c>
      <c r="F61">
        <v>5158583</v>
      </c>
      <c r="G61">
        <v>304</v>
      </c>
      <c r="H61" t="s">
        <v>257</v>
      </c>
      <c r="I61">
        <v>4174</v>
      </c>
      <c r="J61" s="64">
        <v>45517</v>
      </c>
      <c r="K61" s="64">
        <v>45531</v>
      </c>
      <c r="L61" t="s">
        <v>372</v>
      </c>
      <c r="M61" s="64">
        <v>45527</v>
      </c>
      <c r="N61" t="s">
        <v>374</v>
      </c>
      <c r="O61" t="s">
        <v>372</v>
      </c>
      <c r="P61">
        <v>0.8</v>
      </c>
      <c r="Q61">
        <v>1.88</v>
      </c>
      <c r="R61">
        <v>3339.2</v>
      </c>
      <c r="S61">
        <v>7847.12</v>
      </c>
      <c r="T61" t="s">
        <v>70</v>
      </c>
      <c r="AA61">
        <f t="shared" si="0"/>
        <v>235499.60999999996</v>
      </c>
      <c r="AB61">
        <f>COUNTIF($D$1:D61,D61)</f>
        <v>60</v>
      </c>
    </row>
    <row r="62" spans="1:28" x14ac:dyDescent="0.25">
      <c r="A62">
        <v>61</v>
      </c>
      <c r="B62">
        <v>183179</v>
      </c>
      <c r="C62">
        <v>24001553</v>
      </c>
      <c r="D62" t="s">
        <v>13</v>
      </c>
      <c r="E62" t="s">
        <v>215</v>
      </c>
      <c r="F62" t="s">
        <v>396</v>
      </c>
      <c r="G62">
        <v>304</v>
      </c>
      <c r="H62" t="s">
        <v>257</v>
      </c>
      <c r="I62">
        <v>14</v>
      </c>
      <c r="J62" s="64">
        <v>45525</v>
      </c>
      <c r="K62" s="64">
        <v>45530</v>
      </c>
      <c r="L62" t="s">
        <v>372</v>
      </c>
      <c r="M62" s="64">
        <v>45527</v>
      </c>
      <c r="N62" t="s">
        <v>374</v>
      </c>
      <c r="O62" t="s">
        <v>372</v>
      </c>
      <c r="P62">
        <v>0.77</v>
      </c>
      <c r="Q62">
        <v>2.0099999999999998</v>
      </c>
      <c r="R62">
        <v>10.78</v>
      </c>
      <c r="S62">
        <v>28.14</v>
      </c>
      <c r="T62" t="s">
        <v>70</v>
      </c>
      <c r="AA62">
        <f t="shared" si="0"/>
        <v>235499.60999999996</v>
      </c>
      <c r="AB62">
        <f>COUNTIF($D$1:D62,D62)</f>
        <v>61</v>
      </c>
    </row>
    <row r="63" spans="1:28" x14ac:dyDescent="0.25">
      <c r="A63">
        <v>62</v>
      </c>
      <c r="B63">
        <v>183181</v>
      </c>
      <c r="C63">
        <v>24001555</v>
      </c>
      <c r="D63" t="s">
        <v>13</v>
      </c>
      <c r="E63" t="s">
        <v>215</v>
      </c>
      <c r="F63">
        <v>5157977</v>
      </c>
      <c r="G63">
        <v>304</v>
      </c>
      <c r="H63" t="s">
        <v>257</v>
      </c>
      <c r="I63">
        <v>10829</v>
      </c>
      <c r="J63" s="64">
        <v>45505</v>
      </c>
      <c r="K63" s="64">
        <v>45513</v>
      </c>
      <c r="L63" t="s">
        <v>372</v>
      </c>
      <c r="M63" s="64">
        <v>45527</v>
      </c>
      <c r="N63" t="s">
        <v>373</v>
      </c>
      <c r="O63" t="s">
        <v>372</v>
      </c>
      <c r="P63">
        <v>0.79</v>
      </c>
      <c r="Q63">
        <v>2.0099999999999998</v>
      </c>
      <c r="R63">
        <v>8554.91</v>
      </c>
      <c r="S63">
        <v>21766.29</v>
      </c>
      <c r="T63" t="s">
        <v>70</v>
      </c>
      <c r="AA63">
        <f t="shared" si="0"/>
        <v>235499.60999999996</v>
      </c>
      <c r="AB63">
        <f>COUNTIF($D$1:D63,D63)</f>
        <v>62</v>
      </c>
    </row>
    <row r="64" spans="1:28" x14ac:dyDescent="0.25">
      <c r="A64">
        <v>63</v>
      </c>
      <c r="B64">
        <v>183182</v>
      </c>
      <c r="C64">
        <v>24001556</v>
      </c>
      <c r="D64" t="s">
        <v>13</v>
      </c>
      <c r="E64" t="s">
        <v>215</v>
      </c>
      <c r="F64" t="s">
        <v>397</v>
      </c>
      <c r="G64">
        <v>304</v>
      </c>
      <c r="H64" t="s">
        <v>257</v>
      </c>
      <c r="I64">
        <v>367</v>
      </c>
      <c r="J64" s="64">
        <v>45505</v>
      </c>
      <c r="K64" s="64">
        <v>45525</v>
      </c>
      <c r="L64" t="s">
        <v>372</v>
      </c>
      <c r="M64" s="64">
        <v>45527</v>
      </c>
      <c r="N64" t="s">
        <v>373</v>
      </c>
      <c r="O64" t="s">
        <v>372</v>
      </c>
      <c r="P64">
        <v>0.77</v>
      </c>
      <c r="Q64">
        <v>2.16</v>
      </c>
      <c r="R64">
        <v>282.58999999999997</v>
      </c>
      <c r="S64">
        <v>792.72</v>
      </c>
      <c r="T64" t="s">
        <v>70</v>
      </c>
      <c r="AA64">
        <f t="shared" si="0"/>
        <v>235499.60999999996</v>
      </c>
      <c r="AB64">
        <f>COUNTIF($D$1:D64,D64)</f>
        <v>63</v>
      </c>
    </row>
    <row r="65" spans="1:28" x14ac:dyDescent="0.25">
      <c r="A65">
        <v>64</v>
      </c>
      <c r="B65">
        <v>183431</v>
      </c>
      <c r="C65">
        <v>24001621</v>
      </c>
      <c r="D65" t="s">
        <v>13</v>
      </c>
      <c r="E65" t="s">
        <v>215</v>
      </c>
      <c r="F65">
        <v>5158722</v>
      </c>
      <c r="G65">
        <v>380</v>
      </c>
      <c r="H65" t="s">
        <v>257</v>
      </c>
      <c r="I65">
        <v>11877</v>
      </c>
      <c r="J65" s="64">
        <v>45524</v>
      </c>
      <c r="K65" s="64">
        <v>45532</v>
      </c>
      <c r="L65" t="s">
        <v>372</v>
      </c>
      <c r="M65" s="64">
        <v>45541</v>
      </c>
      <c r="N65" t="s">
        <v>373</v>
      </c>
      <c r="O65" t="s">
        <v>376</v>
      </c>
      <c r="P65">
        <v>0.65</v>
      </c>
      <c r="Q65">
        <v>1.61</v>
      </c>
      <c r="R65">
        <v>7720.05</v>
      </c>
      <c r="S65">
        <v>19121.97</v>
      </c>
      <c r="T65" t="s">
        <v>70</v>
      </c>
      <c r="AA65">
        <f t="shared" si="0"/>
        <v>235499.60999999996</v>
      </c>
      <c r="AB65">
        <f>COUNTIF($D$1:D65,D65)</f>
        <v>64</v>
      </c>
    </row>
    <row r="66" spans="1:28" x14ac:dyDescent="0.25">
      <c r="A66">
        <v>65</v>
      </c>
      <c r="B66">
        <v>183480</v>
      </c>
      <c r="C66">
        <v>24001670</v>
      </c>
      <c r="D66" t="s">
        <v>13</v>
      </c>
      <c r="E66" t="s">
        <v>215</v>
      </c>
      <c r="F66">
        <v>5157998</v>
      </c>
      <c r="G66">
        <v>383</v>
      </c>
      <c r="H66" t="s">
        <v>257</v>
      </c>
      <c r="I66">
        <v>2528</v>
      </c>
      <c r="J66" s="64">
        <v>45532</v>
      </c>
      <c r="K66" s="64">
        <v>45534</v>
      </c>
      <c r="L66" t="s">
        <v>372</v>
      </c>
      <c r="M66" s="64">
        <v>45548</v>
      </c>
      <c r="N66" t="s">
        <v>373</v>
      </c>
      <c r="O66" t="s">
        <v>376</v>
      </c>
      <c r="P66">
        <v>1.24</v>
      </c>
      <c r="Q66">
        <v>3.21</v>
      </c>
      <c r="R66">
        <v>3134.72</v>
      </c>
      <c r="S66">
        <v>8114.88</v>
      </c>
      <c r="T66" t="s">
        <v>70</v>
      </c>
      <c r="AA66">
        <f t="shared" ref="AA66:AA129" si="1">SUMIF($D:$D,D66,$R:$R)</f>
        <v>235499.60999999996</v>
      </c>
      <c r="AB66">
        <f>COUNTIF($D$1:D66,D66)</f>
        <v>65</v>
      </c>
    </row>
    <row r="67" spans="1:28" x14ac:dyDescent="0.25">
      <c r="A67">
        <v>66</v>
      </c>
      <c r="B67">
        <v>183183</v>
      </c>
      <c r="C67">
        <v>24001557</v>
      </c>
      <c r="D67" t="s">
        <v>13</v>
      </c>
      <c r="E67" t="s">
        <v>215</v>
      </c>
      <c r="F67">
        <v>5158582</v>
      </c>
      <c r="G67">
        <v>304</v>
      </c>
      <c r="H67" t="s">
        <v>257</v>
      </c>
      <c r="I67">
        <v>4724</v>
      </c>
      <c r="J67" s="64">
        <v>45520</v>
      </c>
      <c r="K67" s="64">
        <v>45530</v>
      </c>
      <c r="L67" t="s">
        <v>372</v>
      </c>
      <c r="M67" s="64">
        <v>45513</v>
      </c>
      <c r="N67" t="s">
        <v>374</v>
      </c>
      <c r="O67" t="s">
        <v>372</v>
      </c>
      <c r="P67">
        <v>0.76</v>
      </c>
      <c r="Q67">
        <v>1.43</v>
      </c>
      <c r="R67">
        <v>3590.24</v>
      </c>
      <c r="S67">
        <v>6755.32</v>
      </c>
      <c r="T67" t="s">
        <v>70</v>
      </c>
      <c r="AA67">
        <f t="shared" si="1"/>
        <v>235499.60999999996</v>
      </c>
      <c r="AB67">
        <f>COUNTIF($D$1:D67,D67)</f>
        <v>66</v>
      </c>
    </row>
    <row r="68" spans="1:28" x14ac:dyDescent="0.25">
      <c r="A68">
        <v>67</v>
      </c>
      <c r="B68">
        <v>183122</v>
      </c>
      <c r="C68">
        <v>24001524</v>
      </c>
      <c r="D68" t="s">
        <v>13</v>
      </c>
      <c r="E68" t="s">
        <v>215</v>
      </c>
      <c r="F68">
        <v>5159303</v>
      </c>
      <c r="G68">
        <v>299</v>
      </c>
      <c r="H68" t="s">
        <v>265</v>
      </c>
      <c r="I68">
        <v>9263</v>
      </c>
      <c r="J68" s="64">
        <v>45505</v>
      </c>
      <c r="K68" s="64">
        <v>45524</v>
      </c>
      <c r="L68" t="s">
        <v>372</v>
      </c>
      <c r="M68" s="64">
        <v>45506</v>
      </c>
      <c r="N68" t="s">
        <v>374</v>
      </c>
      <c r="O68" t="s">
        <v>372</v>
      </c>
      <c r="P68">
        <v>0.83</v>
      </c>
      <c r="Q68">
        <v>2.1800000000000002</v>
      </c>
      <c r="R68">
        <v>7688.29</v>
      </c>
      <c r="S68">
        <v>20193.34</v>
      </c>
      <c r="T68" t="s">
        <v>70</v>
      </c>
      <c r="AA68">
        <f t="shared" si="1"/>
        <v>235499.60999999996</v>
      </c>
      <c r="AB68">
        <f>COUNTIF($D$1:D68,D68)</f>
        <v>67</v>
      </c>
    </row>
    <row r="69" spans="1:28" x14ac:dyDescent="0.25">
      <c r="A69">
        <v>68</v>
      </c>
      <c r="B69">
        <v>183123</v>
      </c>
      <c r="C69">
        <v>24001525</v>
      </c>
      <c r="D69" t="s">
        <v>13</v>
      </c>
      <c r="E69" t="s">
        <v>215</v>
      </c>
      <c r="F69" t="s">
        <v>398</v>
      </c>
      <c r="G69">
        <v>299</v>
      </c>
      <c r="H69" t="s">
        <v>265</v>
      </c>
      <c r="I69">
        <v>1779</v>
      </c>
      <c r="J69" s="64">
        <v>45511</v>
      </c>
      <c r="K69" s="64">
        <v>45526</v>
      </c>
      <c r="L69" t="s">
        <v>372</v>
      </c>
      <c r="M69" s="64">
        <v>45506</v>
      </c>
      <c r="N69" t="s">
        <v>374</v>
      </c>
      <c r="O69" t="s">
        <v>372</v>
      </c>
      <c r="P69">
        <v>0.84</v>
      </c>
      <c r="Q69">
        <v>2.4</v>
      </c>
      <c r="R69">
        <v>1494.36</v>
      </c>
      <c r="S69">
        <v>4269.6000000000004</v>
      </c>
      <c r="T69" t="s">
        <v>70</v>
      </c>
      <c r="AA69">
        <f t="shared" si="1"/>
        <v>235499.60999999996</v>
      </c>
      <c r="AB69">
        <f>COUNTIF($D$1:D69,D69)</f>
        <v>68</v>
      </c>
    </row>
    <row r="70" spans="1:28" x14ac:dyDescent="0.25">
      <c r="A70">
        <v>69</v>
      </c>
      <c r="B70">
        <v>183198</v>
      </c>
      <c r="C70">
        <v>24001572</v>
      </c>
      <c r="D70" t="s">
        <v>13</v>
      </c>
      <c r="E70" t="s">
        <v>215</v>
      </c>
      <c r="F70">
        <v>5158605</v>
      </c>
      <c r="G70">
        <v>305</v>
      </c>
      <c r="H70" t="s">
        <v>265</v>
      </c>
      <c r="I70">
        <v>1509</v>
      </c>
      <c r="J70" s="64">
        <v>45520</v>
      </c>
      <c r="K70" s="64">
        <v>45524</v>
      </c>
      <c r="L70" t="s">
        <v>372</v>
      </c>
      <c r="M70" s="64">
        <v>45527</v>
      </c>
      <c r="N70" t="s">
        <v>373</v>
      </c>
      <c r="O70" t="s">
        <v>372</v>
      </c>
      <c r="P70">
        <v>0.82</v>
      </c>
      <c r="Q70">
        <v>2.27</v>
      </c>
      <c r="R70">
        <v>1237.3800000000001</v>
      </c>
      <c r="S70">
        <v>3425.43</v>
      </c>
      <c r="T70" t="s">
        <v>70</v>
      </c>
      <c r="AA70">
        <f t="shared" si="1"/>
        <v>235499.60999999996</v>
      </c>
      <c r="AB70">
        <f>COUNTIF($D$1:D70,D70)</f>
        <v>69</v>
      </c>
    </row>
    <row r="71" spans="1:28" x14ac:dyDescent="0.25">
      <c r="A71">
        <v>70</v>
      </c>
      <c r="B71">
        <v>183199</v>
      </c>
      <c r="C71">
        <v>24001573</v>
      </c>
      <c r="D71" t="s">
        <v>13</v>
      </c>
      <c r="E71" t="s">
        <v>215</v>
      </c>
      <c r="F71">
        <v>5158604</v>
      </c>
      <c r="G71">
        <v>305</v>
      </c>
      <c r="H71" t="s">
        <v>265</v>
      </c>
      <c r="I71">
        <v>546</v>
      </c>
      <c r="J71" s="64">
        <v>45505</v>
      </c>
      <c r="K71" s="64">
        <v>45520</v>
      </c>
      <c r="L71" t="s">
        <v>372</v>
      </c>
      <c r="M71" s="64">
        <v>45527</v>
      </c>
      <c r="N71" t="s">
        <v>373</v>
      </c>
      <c r="O71" t="s">
        <v>372</v>
      </c>
      <c r="P71">
        <v>0.82</v>
      </c>
      <c r="Q71">
        <v>2.27</v>
      </c>
      <c r="R71">
        <v>447.72</v>
      </c>
      <c r="S71">
        <v>1239.42</v>
      </c>
      <c r="T71" t="s">
        <v>70</v>
      </c>
      <c r="AA71">
        <f t="shared" si="1"/>
        <v>235499.60999999996</v>
      </c>
      <c r="AB71">
        <f>COUNTIF($D$1:D71,D71)</f>
        <v>70</v>
      </c>
    </row>
    <row r="72" spans="1:28" x14ac:dyDescent="0.25">
      <c r="A72">
        <v>71</v>
      </c>
      <c r="B72">
        <v>183273</v>
      </c>
      <c r="C72">
        <v>24001237</v>
      </c>
      <c r="D72" t="s">
        <v>13</v>
      </c>
      <c r="E72" t="s">
        <v>290</v>
      </c>
      <c r="F72" t="s">
        <v>391</v>
      </c>
      <c r="G72">
        <v>3510065</v>
      </c>
      <c r="H72" t="s">
        <v>265</v>
      </c>
      <c r="I72">
        <v>318</v>
      </c>
      <c r="J72" s="64">
        <v>45532</v>
      </c>
      <c r="K72" s="64">
        <v>45534</v>
      </c>
      <c r="L72" t="s">
        <v>372</v>
      </c>
      <c r="M72" s="64">
        <v>45541</v>
      </c>
      <c r="N72" t="s">
        <v>373</v>
      </c>
      <c r="O72" t="s">
        <v>376</v>
      </c>
      <c r="P72">
        <v>12.47</v>
      </c>
      <c r="Q72">
        <v>20.239999999999998</v>
      </c>
      <c r="R72">
        <v>3965.46</v>
      </c>
      <c r="S72">
        <v>6436.32</v>
      </c>
      <c r="T72" t="s">
        <v>71</v>
      </c>
      <c r="AA72">
        <f t="shared" si="1"/>
        <v>235499.60999999996</v>
      </c>
      <c r="AB72">
        <f>COUNTIF($D$1:D72,D72)</f>
        <v>71</v>
      </c>
    </row>
    <row r="73" spans="1:28" x14ac:dyDescent="0.25">
      <c r="A73">
        <v>72</v>
      </c>
      <c r="B73">
        <v>183175</v>
      </c>
      <c r="C73">
        <v>24001549</v>
      </c>
      <c r="D73" t="s">
        <v>13</v>
      </c>
      <c r="E73" t="s">
        <v>215</v>
      </c>
      <c r="F73" t="s">
        <v>388</v>
      </c>
      <c r="G73">
        <v>304</v>
      </c>
      <c r="H73" t="s">
        <v>265</v>
      </c>
      <c r="I73">
        <v>321</v>
      </c>
      <c r="J73" s="64">
        <v>45512</v>
      </c>
      <c r="K73" s="64">
        <v>45523</v>
      </c>
      <c r="L73" t="s">
        <v>372</v>
      </c>
      <c r="M73" s="64">
        <v>45527</v>
      </c>
      <c r="N73" t="s">
        <v>373</v>
      </c>
      <c r="O73" t="s">
        <v>372</v>
      </c>
      <c r="P73">
        <v>0.65</v>
      </c>
      <c r="Q73">
        <v>1.74</v>
      </c>
      <c r="R73">
        <v>208.65</v>
      </c>
      <c r="S73">
        <v>558.54</v>
      </c>
      <c r="T73" t="s">
        <v>70</v>
      </c>
      <c r="AA73">
        <f t="shared" si="1"/>
        <v>235499.60999999996</v>
      </c>
      <c r="AB73">
        <f>COUNTIF($D$1:D73,D73)</f>
        <v>72</v>
      </c>
    </row>
    <row r="74" spans="1:28" x14ac:dyDescent="0.25">
      <c r="A74">
        <v>73</v>
      </c>
      <c r="B74">
        <v>183183</v>
      </c>
      <c r="C74">
        <v>24001557</v>
      </c>
      <c r="D74" t="s">
        <v>13</v>
      </c>
      <c r="E74" t="s">
        <v>215</v>
      </c>
      <c r="F74">
        <v>5158582</v>
      </c>
      <c r="G74">
        <v>304</v>
      </c>
      <c r="H74" t="s">
        <v>265</v>
      </c>
      <c r="I74">
        <v>3250</v>
      </c>
      <c r="J74" s="64">
        <v>45505</v>
      </c>
      <c r="K74" s="64">
        <v>45519</v>
      </c>
      <c r="L74" t="s">
        <v>372</v>
      </c>
      <c r="M74" s="64">
        <v>45527</v>
      </c>
      <c r="N74" t="s">
        <v>373</v>
      </c>
      <c r="O74" t="s">
        <v>372</v>
      </c>
      <c r="P74">
        <v>0.76</v>
      </c>
      <c r="Q74">
        <v>1.43</v>
      </c>
      <c r="R74">
        <v>2470</v>
      </c>
      <c r="S74">
        <v>4647.5</v>
      </c>
      <c r="T74" t="s">
        <v>70</v>
      </c>
      <c r="AA74">
        <f t="shared" si="1"/>
        <v>235499.60999999996</v>
      </c>
      <c r="AB74">
        <f>COUNTIF($D$1:D74,D74)</f>
        <v>73</v>
      </c>
    </row>
    <row r="75" spans="1:28" x14ac:dyDescent="0.25">
      <c r="A75">
        <v>74</v>
      </c>
      <c r="B75">
        <v>183174</v>
      </c>
      <c r="C75">
        <v>24001548</v>
      </c>
      <c r="D75" t="s">
        <v>13</v>
      </c>
      <c r="E75" t="s">
        <v>215</v>
      </c>
      <c r="F75">
        <v>5158586</v>
      </c>
      <c r="G75">
        <v>304</v>
      </c>
      <c r="H75" t="s">
        <v>265</v>
      </c>
      <c r="I75">
        <v>2559</v>
      </c>
      <c r="J75" s="64">
        <v>45512</v>
      </c>
      <c r="K75" s="64">
        <v>45523</v>
      </c>
      <c r="L75" t="s">
        <v>372</v>
      </c>
      <c r="M75" s="64">
        <v>45527</v>
      </c>
      <c r="N75" t="s">
        <v>373</v>
      </c>
      <c r="O75" t="s">
        <v>372</v>
      </c>
      <c r="P75">
        <v>0.7</v>
      </c>
      <c r="Q75">
        <v>1.64</v>
      </c>
      <c r="R75">
        <v>1791.3</v>
      </c>
      <c r="S75">
        <v>4196.76</v>
      </c>
      <c r="T75" t="s">
        <v>70</v>
      </c>
      <c r="AA75">
        <f t="shared" si="1"/>
        <v>235499.60999999996</v>
      </c>
      <c r="AB75">
        <f>COUNTIF($D$1:D75,D75)</f>
        <v>74</v>
      </c>
    </row>
    <row r="76" spans="1:28" x14ac:dyDescent="0.25">
      <c r="A76">
        <v>75</v>
      </c>
      <c r="B76">
        <v>183184</v>
      </c>
      <c r="C76">
        <v>24001558</v>
      </c>
      <c r="D76" t="s">
        <v>13</v>
      </c>
      <c r="E76" t="s">
        <v>215</v>
      </c>
      <c r="F76">
        <v>5158609</v>
      </c>
      <c r="G76">
        <v>304</v>
      </c>
      <c r="H76" t="s">
        <v>265</v>
      </c>
      <c r="I76">
        <v>9750</v>
      </c>
      <c r="J76" s="64">
        <v>45516</v>
      </c>
      <c r="K76" s="64">
        <v>45526</v>
      </c>
      <c r="L76" t="s">
        <v>372</v>
      </c>
      <c r="M76" s="64">
        <v>45527</v>
      </c>
      <c r="N76" t="s">
        <v>373</v>
      </c>
      <c r="O76" t="s">
        <v>372</v>
      </c>
      <c r="P76">
        <v>0.74</v>
      </c>
      <c r="Q76">
        <v>1.38</v>
      </c>
      <c r="R76">
        <v>7215</v>
      </c>
      <c r="S76">
        <v>13455</v>
      </c>
      <c r="T76" t="s">
        <v>70</v>
      </c>
      <c r="AA76">
        <f t="shared" si="1"/>
        <v>235499.60999999996</v>
      </c>
      <c r="AB76">
        <f>COUNTIF($D$1:D76,D76)</f>
        <v>75</v>
      </c>
    </row>
    <row r="77" spans="1:28" x14ac:dyDescent="0.25">
      <c r="A77">
        <v>76</v>
      </c>
      <c r="B77">
        <v>183176</v>
      </c>
      <c r="C77">
        <v>24001550</v>
      </c>
      <c r="D77" t="s">
        <v>13</v>
      </c>
      <c r="E77" t="s">
        <v>215</v>
      </c>
      <c r="F77">
        <v>5158596</v>
      </c>
      <c r="G77">
        <v>304</v>
      </c>
      <c r="H77" t="s">
        <v>265</v>
      </c>
      <c r="I77">
        <v>2760</v>
      </c>
      <c r="J77" s="64">
        <v>45513</v>
      </c>
      <c r="K77" s="64">
        <v>45526</v>
      </c>
      <c r="L77" t="s">
        <v>372</v>
      </c>
      <c r="M77" s="64">
        <v>45527</v>
      </c>
      <c r="N77" t="s">
        <v>373</v>
      </c>
      <c r="O77" t="s">
        <v>372</v>
      </c>
      <c r="P77">
        <v>0.8</v>
      </c>
      <c r="Q77">
        <v>1.88</v>
      </c>
      <c r="R77">
        <v>2208</v>
      </c>
      <c r="S77">
        <v>5188.8</v>
      </c>
      <c r="T77" t="s">
        <v>70</v>
      </c>
      <c r="AA77">
        <f t="shared" si="1"/>
        <v>235499.60999999996</v>
      </c>
      <c r="AB77">
        <f>COUNTIF($D$1:D77,D77)</f>
        <v>76</v>
      </c>
    </row>
    <row r="78" spans="1:28" x14ac:dyDescent="0.25">
      <c r="A78">
        <v>77</v>
      </c>
      <c r="B78">
        <v>183431</v>
      </c>
      <c r="C78">
        <v>24001621</v>
      </c>
      <c r="D78" t="s">
        <v>13</v>
      </c>
      <c r="E78" t="s">
        <v>215</v>
      </c>
      <c r="F78">
        <v>5158722</v>
      </c>
      <c r="G78">
        <v>380</v>
      </c>
      <c r="H78" t="s">
        <v>265</v>
      </c>
      <c r="I78">
        <v>11021</v>
      </c>
      <c r="J78" s="64">
        <v>45505</v>
      </c>
      <c r="K78" s="64">
        <v>45531</v>
      </c>
      <c r="L78" t="s">
        <v>372</v>
      </c>
      <c r="M78" s="64">
        <v>45541</v>
      </c>
      <c r="N78" t="s">
        <v>373</v>
      </c>
      <c r="O78" t="s">
        <v>376</v>
      </c>
      <c r="P78">
        <v>0.65</v>
      </c>
      <c r="Q78">
        <v>1.61</v>
      </c>
      <c r="R78">
        <v>7163.65</v>
      </c>
      <c r="S78">
        <v>17743.810000000001</v>
      </c>
      <c r="T78" t="s">
        <v>70</v>
      </c>
      <c r="AA78">
        <f t="shared" si="1"/>
        <v>235499.60999999996</v>
      </c>
      <c r="AB78">
        <f>COUNTIF($D$1:D78,D78)</f>
        <v>77</v>
      </c>
    </row>
    <row r="79" spans="1:28" x14ac:dyDescent="0.25">
      <c r="A79">
        <v>78</v>
      </c>
      <c r="B79">
        <v>183154</v>
      </c>
      <c r="C79">
        <v>24001528</v>
      </c>
      <c r="D79" t="s">
        <v>14</v>
      </c>
      <c r="E79" t="s">
        <v>215</v>
      </c>
      <c r="F79">
        <v>5158039</v>
      </c>
      <c r="G79">
        <v>302</v>
      </c>
      <c r="H79" t="s">
        <v>76</v>
      </c>
      <c r="I79">
        <v>3116</v>
      </c>
      <c r="J79" s="64">
        <v>45512</v>
      </c>
      <c r="K79" s="64">
        <v>45519</v>
      </c>
      <c r="L79" t="s">
        <v>372</v>
      </c>
      <c r="M79" s="64">
        <v>45527</v>
      </c>
      <c r="N79" t="s">
        <v>373</v>
      </c>
      <c r="O79" t="s">
        <v>372</v>
      </c>
      <c r="P79">
        <v>0.65</v>
      </c>
      <c r="Q79">
        <v>1.61</v>
      </c>
      <c r="R79">
        <v>2025.4</v>
      </c>
      <c r="S79">
        <v>5016.76</v>
      </c>
      <c r="T79" t="s">
        <v>70</v>
      </c>
      <c r="AA79">
        <f t="shared" si="1"/>
        <v>375177.73000000004</v>
      </c>
      <c r="AB79">
        <f>COUNTIF($D$1:D79,D79)</f>
        <v>1</v>
      </c>
    </row>
    <row r="80" spans="1:28" x14ac:dyDescent="0.25">
      <c r="A80">
        <v>79</v>
      </c>
      <c r="B80">
        <v>183152</v>
      </c>
      <c r="C80">
        <v>24001526</v>
      </c>
      <c r="D80" t="s">
        <v>14</v>
      </c>
      <c r="E80" t="s">
        <v>215</v>
      </c>
      <c r="F80">
        <v>5158040</v>
      </c>
      <c r="G80">
        <v>302</v>
      </c>
      <c r="H80" t="s">
        <v>76</v>
      </c>
      <c r="I80">
        <v>5429</v>
      </c>
      <c r="J80" s="64">
        <v>45505</v>
      </c>
      <c r="K80" s="64">
        <v>45516</v>
      </c>
      <c r="L80" t="s">
        <v>372</v>
      </c>
      <c r="M80" s="64">
        <v>45512</v>
      </c>
      <c r="N80" t="s">
        <v>374</v>
      </c>
      <c r="O80" t="s">
        <v>372</v>
      </c>
      <c r="P80">
        <v>0.65</v>
      </c>
      <c r="Q80">
        <v>1.61</v>
      </c>
      <c r="R80">
        <v>3528.85</v>
      </c>
      <c r="S80">
        <v>8740.69</v>
      </c>
      <c r="T80" t="s">
        <v>70</v>
      </c>
      <c r="AA80">
        <f t="shared" si="1"/>
        <v>375177.73000000004</v>
      </c>
      <c r="AB80">
        <f>COUNTIF($D$1:D80,D80)</f>
        <v>2</v>
      </c>
    </row>
    <row r="81" spans="1:28" x14ac:dyDescent="0.25">
      <c r="A81">
        <v>80</v>
      </c>
      <c r="B81">
        <v>183166</v>
      </c>
      <c r="C81">
        <v>24001540</v>
      </c>
      <c r="D81" t="s">
        <v>14</v>
      </c>
      <c r="E81" t="s">
        <v>215</v>
      </c>
      <c r="F81">
        <v>5157996</v>
      </c>
      <c r="G81">
        <v>303</v>
      </c>
      <c r="H81" t="s">
        <v>76</v>
      </c>
      <c r="I81">
        <v>3932</v>
      </c>
      <c r="J81" s="64">
        <v>45517</v>
      </c>
      <c r="K81" s="64">
        <v>45524</v>
      </c>
      <c r="L81" t="s">
        <v>372</v>
      </c>
      <c r="M81" s="64">
        <v>45527</v>
      </c>
      <c r="N81" t="s">
        <v>373</v>
      </c>
      <c r="O81" t="s">
        <v>372</v>
      </c>
      <c r="P81">
        <v>0.83</v>
      </c>
      <c r="Q81">
        <v>2.13</v>
      </c>
      <c r="R81">
        <v>3263.56</v>
      </c>
      <c r="S81">
        <v>8375.16</v>
      </c>
      <c r="T81" t="s">
        <v>70</v>
      </c>
      <c r="AA81">
        <f t="shared" si="1"/>
        <v>375177.73000000004</v>
      </c>
      <c r="AB81">
        <f>COUNTIF($D$1:D81,D81)</f>
        <v>3</v>
      </c>
    </row>
    <row r="82" spans="1:28" x14ac:dyDescent="0.25">
      <c r="A82">
        <v>81</v>
      </c>
      <c r="B82">
        <v>183194</v>
      </c>
      <c r="C82">
        <v>24001568</v>
      </c>
      <c r="D82" t="s">
        <v>14</v>
      </c>
      <c r="E82" t="s">
        <v>215</v>
      </c>
      <c r="F82">
        <v>5158009</v>
      </c>
      <c r="G82">
        <v>305</v>
      </c>
      <c r="H82" t="s">
        <v>76</v>
      </c>
      <c r="I82">
        <v>243</v>
      </c>
      <c r="J82" s="64">
        <v>45517</v>
      </c>
      <c r="K82" s="64">
        <v>45520</v>
      </c>
      <c r="L82" t="s">
        <v>372</v>
      </c>
      <c r="M82" s="64">
        <v>45527</v>
      </c>
      <c r="N82" t="s">
        <v>373</v>
      </c>
      <c r="O82" t="s">
        <v>372</v>
      </c>
      <c r="P82">
        <v>0.83</v>
      </c>
      <c r="Q82">
        <v>2.13</v>
      </c>
      <c r="R82">
        <v>201.69</v>
      </c>
      <c r="S82">
        <v>517.59</v>
      </c>
      <c r="T82" t="s">
        <v>70</v>
      </c>
      <c r="AA82">
        <f t="shared" si="1"/>
        <v>375177.73000000004</v>
      </c>
      <c r="AB82">
        <f>COUNTIF($D$1:D82,D82)</f>
        <v>4</v>
      </c>
    </row>
    <row r="83" spans="1:28" x14ac:dyDescent="0.25">
      <c r="A83">
        <v>82</v>
      </c>
      <c r="B83">
        <v>183205</v>
      </c>
      <c r="C83">
        <v>24001579</v>
      </c>
      <c r="D83" t="s">
        <v>14</v>
      </c>
      <c r="E83" t="s">
        <v>215</v>
      </c>
      <c r="F83" t="s">
        <v>399</v>
      </c>
      <c r="G83">
        <v>306</v>
      </c>
      <c r="H83" t="s">
        <v>76</v>
      </c>
      <c r="I83">
        <v>1596</v>
      </c>
      <c r="J83" s="64">
        <v>45523</v>
      </c>
      <c r="K83" s="64">
        <v>45526</v>
      </c>
      <c r="L83" t="s">
        <v>372</v>
      </c>
      <c r="M83" s="64">
        <v>45527</v>
      </c>
      <c r="N83" t="s">
        <v>373</v>
      </c>
      <c r="O83" t="s">
        <v>372</v>
      </c>
      <c r="P83">
        <v>0.76</v>
      </c>
      <c r="Q83">
        <v>2.0699999999999998</v>
      </c>
      <c r="R83">
        <v>1212.96</v>
      </c>
      <c r="S83">
        <v>3303.72</v>
      </c>
      <c r="T83" t="s">
        <v>70</v>
      </c>
      <c r="AA83">
        <f t="shared" si="1"/>
        <v>375177.73000000004</v>
      </c>
      <c r="AB83">
        <f>COUNTIF($D$1:D83,D83)</f>
        <v>5</v>
      </c>
    </row>
    <row r="84" spans="1:28" x14ac:dyDescent="0.25">
      <c r="A84">
        <v>83</v>
      </c>
      <c r="B84">
        <v>183429</v>
      </c>
      <c r="C84">
        <v>24001619</v>
      </c>
      <c r="D84" t="s">
        <v>14</v>
      </c>
      <c r="E84" t="s">
        <v>215</v>
      </c>
      <c r="F84">
        <v>5158059</v>
      </c>
      <c r="G84">
        <v>380</v>
      </c>
      <c r="H84" t="s">
        <v>76</v>
      </c>
      <c r="I84">
        <v>2499</v>
      </c>
      <c r="J84" s="64">
        <v>45525</v>
      </c>
      <c r="K84" s="64">
        <v>45534</v>
      </c>
      <c r="L84" t="s">
        <v>372</v>
      </c>
      <c r="M84" s="64">
        <v>45548</v>
      </c>
      <c r="N84" t="s">
        <v>373</v>
      </c>
      <c r="O84" t="s">
        <v>376</v>
      </c>
      <c r="P84">
        <v>0.65</v>
      </c>
      <c r="Q84">
        <v>1.61</v>
      </c>
      <c r="R84">
        <v>1624.35</v>
      </c>
      <c r="S84">
        <v>4023.39</v>
      </c>
      <c r="T84" t="s">
        <v>70</v>
      </c>
      <c r="AA84">
        <f t="shared" si="1"/>
        <v>375177.73000000004</v>
      </c>
      <c r="AB84">
        <f>COUNTIF($D$1:D84,D84)</f>
        <v>6</v>
      </c>
    </row>
    <row r="85" spans="1:28" x14ac:dyDescent="0.25">
      <c r="A85">
        <v>84</v>
      </c>
      <c r="B85">
        <v>183438</v>
      </c>
      <c r="C85">
        <v>24001643</v>
      </c>
      <c r="D85" t="s">
        <v>14</v>
      </c>
      <c r="E85" t="s">
        <v>215</v>
      </c>
      <c r="F85">
        <v>5158614</v>
      </c>
      <c r="G85">
        <v>382</v>
      </c>
      <c r="H85" t="s">
        <v>76</v>
      </c>
      <c r="I85">
        <v>5913</v>
      </c>
      <c r="J85" s="64">
        <v>45526</v>
      </c>
      <c r="K85" s="64">
        <v>45531</v>
      </c>
      <c r="L85" t="s">
        <v>372</v>
      </c>
      <c r="M85" s="64">
        <v>45548</v>
      </c>
      <c r="N85" t="s">
        <v>373</v>
      </c>
      <c r="O85" t="s">
        <v>376</v>
      </c>
      <c r="P85">
        <v>0.7</v>
      </c>
      <c r="Q85">
        <v>1.71</v>
      </c>
      <c r="R85">
        <v>4139.1000000000004</v>
      </c>
      <c r="S85">
        <v>10111.23</v>
      </c>
      <c r="T85" t="s">
        <v>70</v>
      </c>
      <c r="AA85">
        <f t="shared" si="1"/>
        <v>375177.73000000004</v>
      </c>
      <c r="AB85">
        <f>COUNTIF($D$1:D85,D85)</f>
        <v>7</v>
      </c>
    </row>
    <row r="86" spans="1:28" x14ac:dyDescent="0.25">
      <c r="A86">
        <v>85</v>
      </c>
      <c r="B86">
        <v>183155</v>
      </c>
      <c r="C86">
        <v>24001529</v>
      </c>
      <c r="D86" t="s">
        <v>14</v>
      </c>
      <c r="E86" t="s">
        <v>215</v>
      </c>
      <c r="F86">
        <v>5158038</v>
      </c>
      <c r="G86">
        <v>302</v>
      </c>
      <c r="H86" t="s">
        <v>76</v>
      </c>
      <c r="I86">
        <v>3755</v>
      </c>
      <c r="J86" s="64">
        <v>45510</v>
      </c>
      <c r="K86" s="64">
        <v>45517</v>
      </c>
      <c r="L86" t="s">
        <v>372</v>
      </c>
      <c r="M86" s="64">
        <v>45527</v>
      </c>
      <c r="N86" t="s">
        <v>373</v>
      </c>
      <c r="O86" t="s">
        <v>372</v>
      </c>
      <c r="P86">
        <v>0.65</v>
      </c>
      <c r="Q86">
        <v>1.61</v>
      </c>
      <c r="R86">
        <v>2440.75</v>
      </c>
      <c r="S86">
        <v>6045.55</v>
      </c>
      <c r="T86" t="s">
        <v>70</v>
      </c>
      <c r="AA86">
        <f t="shared" si="1"/>
        <v>375177.73000000004</v>
      </c>
      <c r="AB86">
        <f>COUNTIF($D$1:D86,D86)</f>
        <v>8</v>
      </c>
    </row>
    <row r="87" spans="1:28" x14ac:dyDescent="0.25">
      <c r="A87">
        <v>86</v>
      </c>
      <c r="B87">
        <v>183188</v>
      </c>
      <c r="C87">
        <v>24001562</v>
      </c>
      <c r="D87" t="s">
        <v>14</v>
      </c>
      <c r="E87" t="s">
        <v>215</v>
      </c>
      <c r="F87">
        <v>5158611</v>
      </c>
      <c r="G87">
        <v>305</v>
      </c>
      <c r="H87" t="s">
        <v>76</v>
      </c>
      <c r="I87">
        <v>573</v>
      </c>
      <c r="J87" s="64">
        <v>45505</v>
      </c>
      <c r="K87" s="64">
        <v>45530</v>
      </c>
      <c r="L87" t="s">
        <v>372</v>
      </c>
      <c r="M87" s="64">
        <v>45527</v>
      </c>
      <c r="N87" t="s">
        <v>374</v>
      </c>
      <c r="O87" t="s">
        <v>372</v>
      </c>
      <c r="P87">
        <v>0.7</v>
      </c>
      <c r="Q87">
        <v>1.64</v>
      </c>
      <c r="R87">
        <v>401.1</v>
      </c>
      <c r="S87">
        <v>939.72</v>
      </c>
      <c r="T87" t="s">
        <v>70</v>
      </c>
      <c r="AA87">
        <f t="shared" si="1"/>
        <v>375177.73000000004</v>
      </c>
      <c r="AB87">
        <f>COUNTIF($D$1:D87,D87)</f>
        <v>9</v>
      </c>
    </row>
    <row r="88" spans="1:28" x14ac:dyDescent="0.25">
      <c r="A88">
        <v>87</v>
      </c>
      <c r="B88">
        <v>183189</v>
      </c>
      <c r="C88">
        <v>24001563</v>
      </c>
      <c r="D88" t="s">
        <v>14</v>
      </c>
      <c r="E88" t="s">
        <v>215</v>
      </c>
      <c r="F88" t="s">
        <v>400</v>
      </c>
      <c r="G88">
        <v>305</v>
      </c>
      <c r="H88" t="s">
        <v>76</v>
      </c>
      <c r="I88">
        <v>645</v>
      </c>
      <c r="J88" s="64">
        <v>45525</v>
      </c>
      <c r="K88" s="64">
        <v>45532</v>
      </c>
      <c r="L88" t="s">
        <v>372</v>
      </c>
      <c r="M88" s="64">
        <v>45527</v>
      </c>
      <c r="N88" t="s">
        <v>374</v>
      </c>
      <c r="O88" t="s">
        <v>372</v>
      </c>
      <c r="P88">
        <v>0.65</v>
      </c>
      <c r="Q88">
        <v>1.74</v>
      </c>
      <c r="R88">
        <v>419.25</v>
      </c>
      <c r="S88">
        <v>1122.3</v>
      </c>
      <c r="T88" t="s">
        <v>70</v>
      </c>
      <c r="AA88">
        <f t="shared" si="1"/>
        <v>375177.73000000004</v>
      </c>
      <c r="AB88">
        <f>COUNTIF($D$1:D88,D88)</f>
        <v>10</v>
      </c>
    </row>
    <row r="89" spans="1:28" x14ac:dyDescent="0.25">
      <c r="A89">
        <v>88</v>
      </c>
      <c r="B89">
        <v>183204</v>
      </c>
      <c r="C89">
        <v>24001578</v>
      </c>
      <c r="D89" t="s">
        <v>14</v>
      </c>
      <c r="E89" t="s">
        <v>215</v>
      </c>
      <c r="F89">
        <v>5157989</v>
      </c>
      <c r="G89">
        <v>306</v>
      </c>
      <c r="H89" t="s">
        <v>76</v>
      </c>
      <c r="I89">
        <v>4</v>
      </c>
      <c r="J89" s="64">
        <v>45527</v>
      </c>
      <c r="K89" s="64">
        <v>45527</v>
      </c>
      <c r="L89" t="s">
        <v>372</v>
      </c>
      <c r="M89" s="64">
        <v>45527</v>
      </c>
      <c r="N89" t="s">
        <v>373</v>
      </c>
      <c r="O89" t="s">
        <v>372</v>
      </c>
      <c r="P89">
        <v>0.75</v>
      </c>
      <c r="Q89">
        <v>1.94</v>
      </c>
      <c r="R89">
        <v>3</v>
      </c>
      <c r="S89">
        <v>7.76</v>
      </c>
      <c r="T89" t="s">
        <v>70</v>
      </c>
      <c r="AA89">
        <f t="shared" si="1"/>
        <v>375177.73000000004</v>
      </c>
      <c r="AB89">
        <f>COUNTIF($D$1:D89,D89)</f>
        <v>11</v>
      </c>
    </row>
    <row r="90" spans="1:28" x14ac:dyDescent="0.25">
      <c r="A90">
        <v>89</v>
      </c>
      <c r="B90">
        <v>183152</v>
      </c>
      <c r="C90">
        <v>24001526</v>
      </c>
      <c r="D90" t="s">
        <v>14</v>
      </c>
      <c r="E90" t="s">
        <v>215</v>
      </c>
      <c r="F90">
        <v>5158040</v>
      </c>
      <c r="G90">
        <v>302</v>
      </c>
      <c r="H90" t="s">
        <v>86</v>
      </c>
      <c r="I90">
        <v>3681</v>
      </c>
      <c r="J90" s="64">
        <v>45505</v>
      </c>
      <c r="K90" s="64">
        <v>45512</v>
      </c>
      <c r="L90" t="s">
        <v>372</v>
      </c>
      <c r="M90" s="64">
        <v>45512</v>
      </c>
      <c r="N90" t="s">
        <v>373</v>
      </c>
      <c r="O90" t="s">
        <v>372</v>
      </c>
      <c r="P90">
        <v>0.65</v>
      </c>
      <c r="Q90">
        <v>1.61</v>
      </c>
      <c r="R90">
        <v>2392.65</v>
      </c>
      <c r="S90">
        <v>5926.41</v>
      </c>
      <c r="T90" t="s">
        <v>70</v>
      </c>
      <c r="AA90">
        <f t="shared" si="1"/>
        <v>375177.73000000004</v>
      </c>
      <c r="AB90">
        <f>COUNTIF($D$1:D90,D90)</f>
        <v>12</v>
      </c>
    </row>
    <row r="91" spans="1:28" x14ac:dyDescent="0.25">
      <c r="A91">
        <v>90</v>
      </c>
      <c r="B91">
        <v>183153</v>
      </c>
      <c r="C91">
        <v>24001527</v>
      </c>
      <c r="D91" t="s">
        <v>14</v>
      </c>
      <c r="E91" t="s">
        <v>215</v>
      </c>
      <c r="F91" t="s">
        <v>401</v>
      </c>
      <c r="G91">
        <v>302</v>
      </c>
      <c r="H91" t="s">
        <v>86</v>
      </c>
      <c r="I91">
        <v>350</v>
      </c>
      <c r="J91" s="64">
        <v>45505</v>
      </c>
      <c r="K91" s="64">
        <v>45510</v>
      </c>
      <c r="L91" t="s">
        <v>372</v>
      </c>
      <c r="M91" s="64">
        <v>45512</v>
      </c>
      <c r="N91" t="s">
        <v>373</v>
      </c>
      <c r="O91" t="s">
        <v>372</v>
      </c>
      <c r="P91">
        <v>0.65</v>
      </c>
      <c r="Q91">
        <v>1.73</v>
      </c>
      <c r="R91">
        <v>227.5</v>
      </c>
      <c r="S91">
        <v>605.5</v>
      </c>
      <c r="T91" t="s">
        <v>70</v>
      </c>
      <c r="AA91">
        <f t="shared" si="1"/>
        <v>375177.73000000004</v>
      </c>
      <c r="AB91">
        <f>COUNTIF($D$1:D91,D91)</f>
        <v>13</v>
      </c>
    </row>
    <row r="92" spans="1:28" x14ac:dyDescent="0.25">
      <c r="A92">
        <v>91</v>
      </c>
      <c r="B92">
        <v>183193</v>
      </c>
      <c r="C92">
        <v>24001567</v>
      </c>
      <c r="D92" t="s">
        <v>14</v>
      </c>
      <c r="E92" t="s">
        <v>215</v>
      </c>
      <c r="F92" t="s">
        <v>402</v>
      </c>
      <c r="G92">
        <v>305</v>
      </c>
      <c r="H92" t="s">
        <v>86</v>
      </c>
      <c r="I92">
        <v>5</v>
      </c>
      <c r="J92" s="64">
        <v>45527</v>
      </c>
      <c r="K92" s="64">
        <v>45527</v>
      </c>
      <c r="L92" t="s">
        <v>372</v>
      </c>
      <c r="M92" s="64">
        <v>45527</v>
      </c>
      <c r="N92" t="s">
        <v>373</v>
      </c>
      <c r="O92" t="s">
        <v>372</v>
      </c>
      <c r="P92">
        <v>0.77</v>
      </c>
      <c r="Q92">
        <v>2.0099999999999998</v>
      </c>
      <c r="R92">
        <v>3.85</v>
      </c>
      <c r="S92">
        <v>10.050000000000001</v>
      </c>
      <c r="T92" t="s">
        <v>70</v>
      </c>
      <c r="AA92">
        <f t="shared" si="1"/>
        <v>375177.73000000004</v>
      </c>
      <c r="AB92">
        <f>COUNTIF($D$1:D92,D92)</f>
        <v>14</v>
      </c>
    </row>
    <row r="93" spans="1:28" x14ac:dyDescent="0.25">
      <c r="A93">
        <v>92</v>
      </c>
      <c r="B93">
        <v>183195</v>
      </c>
      <c r="C93">
        <v>24001569</v>
      </c>
      <c r="D93" t="s">
        <v>14</v>
      </c>
      <c r="E93" t="s">
        <v>215</v>
      </c>
      <c r="F93">
        <v>5157986</v>
      </c>
      <c r="G93">
        <v>305</v>
      </c>
      <c r="H93" t="s">
        <v>86</v>
      </c>
      <c r="I93">
        <v>3237</v>
      </c>
      <c r="J93" s="64">
        <v>45524</v>
      </c>
      <c r="K93" s="64">
        <v>45533</v>
      </c>
      <c r="L93" t="s">
        <v>372</v>
      </c>
      <c r="M93" s="64">
        <v>45527</v>
      </c>
      <c r="N93" t="s">
        <v>374</v>
      </c>
      <c r="O93" t="s">
        <v>372</v>
      </c>
      <c r="P93">
        <v>0.83</v>
      </c>
      <c r="Q93">
        <v>2.13</v>
      </c>
      <c r="R93">
        <v>2686.71</v>
      </c>
      <c r="S93">
        <v>6894.81</v>
      </c>
      <c r="T93" t="s">
        <v>70</v>
      </c>
      <c r="AA93">
        <f t="shared" si="1"/>
        <v>375177.73000000004</v>
      </c>
      <c r="AB93">
        <f>COUNTIF($D$1:D93,D93)</f>
        <v>15</v>
      </c>
    </row>
    <row r="94" spans="1:28" x14ac:dyDescent="0.25">
      <c r="A94">
        <v>93</v>
      </c>
      <c r="B94">
        <v>183202</v>
      </c>
      <c r="C94">
        <v>24001576</v>
      </c>
      <c r="D94" t="s">
        <v>14</v>
      </c>
      <c r="E94" t="s">
        <v>215</v>
      </c>
      <c r="F94">
        <v>5157987</v>
      </c>
      <c r="G94">
        <v>306</v>
      </c>
      <c r="H94" t="s">
        <v>86</v>
      </c>
      <c r="I94">
        <v>1994</v>
      </c>
      <c r="J94" s="64">
        <v>45523</v>
      </c>
      <c r="K94" s="64">
        <v>45530</v>
      </c>
      <c r="L94" t="s">
        <v>372</v>
      </c>
      <c r="M94" s="64">
        <v>45527</v>
      </c>
      <c r="N94" t="s">
        <v>374</v>
      </c>
      <c r="O94" t="s">
        <v>372</v>
      </c>
      <c r="P94">
        <v>0.7</v>
      </c>
      <c r="Q94">
        <v>1.76</v>
      </c>
      <c r="R94">
        <v>1395.8</v>
      </c>
      <c r="S94">
        <v>3509.44</v>
      </c>
      <c r="T94" t="s">
        <v>70</v>
      </c>
      <c r="AA94">
        <f t="shared" si="1"/>
        <v>375177.73000000004</v>
      </c>
      <c r="AB94">
        <f>COUNTIF($D$1:D94,D94)</f>
        <v>16</v>
      </c>
    </row>
    <row r="95" spans="1:28" x14ac:dyDescent="0.25">
      <c r="A95">
        <v>94</v>
      </c>
      <c r="B95">
        <v>183434</v>
      </c>
      <c r="C95">
        <v>24001624</v>
      </c>
      <c r="D95" t="s">
        <v>14</v>
      </c>
      <c r="E95" t="s">
        <v>215</v>
      </c>
      <c r="F95">
        <v>5158060</v>
      </c>
      <c r="G95">
        <v>380</v>
      </c>
      <c r="H95" t="s">
        <v>86</v>
      </c>
      <c r="I95">
        <v>648</v>
      </c>
      <c r="J95" s="64">
        <v>45534</v>
      </c>
      <c r="K95" s="64">
        <v>45534</v>
      </c>
      <c r="L95" t="s">
        <v>372</v>
      </c>
      <c r="M95" s="64">
        <v>45548</v>
      </c>
      <c r="N95" t="s">
        <v>373</v>
      </c>
      <c r="O95" t="s">
        <v>376</v>
      </c>
      <c r="P95">
        <v>0.65</v>
      </c>
      <c r="Q95">
        <v>1.64</v>
      </c>
      <c r="R95">
        <v>421.2</v>
      </c>
      <c r="S95">
        <v>1062.72</v>
      </c>
      <c r="T95" t="s">
        <v>70</v>
      </c>
      <c r="AA95">
        <f t="shared" si="1"/>
        <v>375177.73000000004</v>
      </c>
      <c r="AB95">
        <f>COUNTIF($D$1:D95,D95)</f>
        <v>17</v>
      </c>
    </row>
    <row r="96" spans="1:28" x14ac:dyDescent="0.25">
      <c r="A96">
        <v>95</v>
      </c>
      <c r="B96">
        <v>183430</v>
      </c>
      <c r="C96">
        <v>24001620</v>
      </c>
      <c r="D96" t="s">
        <v>14</v>
      </c>
      <c r="E96" t="s">
        <v>215</v>
      </c>
      <c r="F96">
        <v>5158058</v>
      </c>
      <c r="G96">
        <v>380</v>
      </c>
      <c r="H96" t="s">
        <v>86</v>
      </c>
      <c r="I96">
        <v>4928</v>
      </c>
      <c r="J96" s="64">
        <v>45525</v>
      </c>
      <c r="K96" s="64">
        <v>45530</v>
      </c>
      <c r="L96" t="s">
        <v>372</v>
      </c>
      <c r="M96" s="64">
        <v>45548</v>
      </c>
      <c r="N96" t="s">
        <v>373</v>
      </c>
      <c r="O96" t="s">
        <v>376</v>
      </c>
      <c r="P96">
        <v>0.65</v>
      </c>
      <c r="Q96">
        <v>1.61</v>
      </c>
      <c r="R96">
        <v>3203.2</v>
      </c>
      <c r="S96">
        <v>7934.08</v>
      </c>
      <c r="T96" t="s">
        <v>70</v>
      </c>
      <c r="AA96">
        <f t="shared" si="1"/>
        <v>375177.73000000004</v>
      </c>
      <c r="AB96">
        <f>COUNTIF($D$1:D96,D96)</f>
        <v>18</v>
      </c>
    </row>
    <row r="97" spans="1:28" x14ac:dyDescent="0.25">
      <c r="A97">
        <v>96</v>
      </c>
      <c r="B97">
        <v>183180</v>
      </c>
      <c r="C97">
        <v>24001554</v>
      </c>
      <c r="D97" t="s">
        <v>14</v>
      </c>
      <c r="E97" t="s">
        <v>215</v>
      </c>
      <c r="F97">
        <v>5158003</v>
      </c>
      <c r="G97">
        <v>304</v>
      </c>
      <c r="H97" t="s">
        <v>86</v>
      </c>
      <c r="I97">
        <v>6696</v>
      </c>
      <c r="J97" s="64">
        <v>45517</v>
      </c>
      <c r="K97" s="64">
        <v>45533</v>
      </c>
      <c r="L97" t="s">
        <v>372</v>
      </c>
      <c r="M97" s="64">
        <v>45527</v>
      </c>
      <c r="N97" t="s">
        <v>374</v>
      </c>
      <c r="O97" t="s">
        <v>372</v>
      </c>
      <c r="P97">
        <v>0.7</v>
      </c>
      <c r="Q97">
        <v>1.76</v>
      </c>
      <c r="R97">
        <v>4687.2</v>
      </c>
      <c r="S97">
        <v>11784.96</v>
      </c>
      <c r="T97" t="s">
        <v>70</v>
      </c>
      <c r="AA97">
        <f t="shared" si="1"/>
        <v>375177.73000000004</v>
      </c>
      <c r="AB97">
        <f>COUNTIF($D$1:D97,D97)</f>
        <v>19</v>
      </c>
    </row>
    <row r="98" spans="1:28" x14ac:dyDescent="0.25">
      <c r="A98">
        <v>97</v>
      </c>
      <c r="B98">
        <v>183155</v>
      </c>
      <c r="C98">
        <v>24001529</v>
      </c>
      <c r="D98" t="s">
        <v>14</v>
      </c>
      <c r="E98" t="s">
        <v>215</v>
      </c>
      <c r="F98">
        <v>5158038</v>
      </c>
      <c r="G98">
        <v>302</v>
      </c>
      <c r="H98" t="s">
        <v>86</v>
      </c>
      <c r="I98">
        <v>6006</v>
      </c>
      <c r="J98" s="64">
        <v>45506</v>
      </c>
      <c r="K98" s="64">
        <v>45516</v>
      </c>
      <c r="L98" t="s">
        <v>372</v>
      </c>
      <c r="M98" s="64">
        <v>45527</v>
      </c>
      <c r="N98" t="s">
        <v>373</v>
      </c>
      <c r="O98" t="s">
        <v>372</v>
      </c>
      <c r="P98">
        <v>0.65</v>
      </c>
      <c r="Q98">
        <v>1.61</v>
      </c>
      <c r="R98">
        <v>3903.9</v>
      </c>
      <c r="S98">
        <v>9669.66</v>
      </c>
      <c r="T98" t="s">
        <v>70</v>
      </c>
      <c r="AA98">
        <f t="shared" si="1"/>
        <v>375177.73000000004</v>
      </c>
      <c r="AB98">
        <f>COUNTIF($D$1:D98,D98)</f>
        <v>20</v>
      </c>
    </row>
    <row r="99" spans="1:28" x14ac:dyDescent="0.25">
      <c r="A99">
        <v>98</v>
      </c>
      <c r="B99">
        <v>183154</v>
      </c>
      <c r="C99">
        <v>24001528</v>
      </c>
      <c r="D99" t="s">
        <v>14</v>
      </c>
      <c r="E99" t="s">
        <v>215</v>
      </c>
      <c r="F99">
        <v>5158039</v>
      </c>
      <c r="G99">
        <v>302</v>
      </c>
      <c r="H99" t="s">
        <v>86</v>
      </c>
      <c r="I99">
        <v>6782</v>
      </c>
      <c r="J99" s="64">
        <v>45510</v>
      </c>
      <c r="K99" s="64">
        <v>45516</v>
      </c>
      <c r="L99" t="s">
        <v>372</v>
      </c>
      <c r="M99" s="64">
        <v>45527</v>
      </c>
      <c r="N99" t="s">
        <v>373</v>
      </c>
      <c r="O99" t="s">
        <v>372</v>
      </c>
      <c r="P99">
        <v>0.65</v>
      </c>
      <c r="Q99">
        <v>1.61</v>
      </c>
      <c r="R99">
        <v>4408.3</v>
      </c>
      <c r="S99">
        <v>10919.02</v>
      </c>
      <c r="T99" t="s">
        <v>70</v>
      </c>
      <c r="AA99">
        <f t="shared" si="1"/>
        <v>375177.73000000004</v>
      </c>
      <c r="AB99">
        <f>COUNTIF($D$1:D99,D99)</f>
        <v>21</v>
      </c>
    </row>
    <row r="100" spans="1:28" x14ac:dyDescent="0.25">
      <c r="A100">
        <v>99</v>
      </c>
      <c r="B100">
        <v>183429</v>
      </c>
      <c r="C100">
        <v>24001619</v>
      </c>
      <c r="D100" t="s">
        <v>14</v>
      </c>
      <c r="E100" t="s">
        <v>215</v>
      </c>
      <c r="F100">
        <v>5158059</v>
      </c>
      <c r="G100">
        <v>380</v>
      </c>
      <c r="H100" t="s">
        <v>86</v>
      </c>
      <c r="I100">
        <v>2260</v>
      </c>
      <c r="J100" s="64">
        <v>45533</v>
      </c>
      <c r="K100" s="64">
        <v>45534</v>
      </c>
      <c r="L100" t="s">
        <v>372</v>
      </c>
      <c r="M100" s="64">
        <v>45548</v>
      </c>
      <c r="N100" t="s">
        <v>373</v>
      </c>
      <c r="O100" t="s">
        <v>376</v>
      </c>
      <c r="P100">
        <v>0.65</v>
      </c>
      <c r="Q100">
        <v>1.61</v>
      </c>
      <c r="R100">
        <v>1469</v>
      </c>
      <c r="S100">
        <v>3638.6</v>
      </c>
      <c r="T100" t="s">
        <v>70</v>
      </c>
      <c r="AA100">
        <f t="shared" si="1"/>
        <v>375177.73000000004</v>
      </c>
      <c r="AB100">
        <f>COUNTIF($D$1:D100,D100)</f>
        <v>22</v>
      </c>
    </row>
    <row r="101" spans="1:28" x14ac:dyDescent="0.25">
      <c r="A101">
        <v>100</v>
      </c>
      <c r="B101">
        <v>183152</v>
      </c>
      <c r="C101">
        <v>24001526</v>
      </c>
      <c r="D101" t="s">
        <v>14</v>
      </c>
      <c r="E101" t="s">
        <v>215</v>
      </c>
      <c r="F101">
        <v>5158040</v>
      </c>
      <c r="G101">
        <v>302</v>
      </c>
      <c r="H101" t="s">
        <v>79</v>
      </c>
      <c r="I101">
        <v>3679</v>
      </c>
      <c r="J101" s="64">
        <v>45505</v>
      </c>
      <c r="K101" s="64">
        <v>45516</v>
      </c>
      <c r="L101" t="s">
        <v>372</v>
      </c>
      <c r="M101" s="64">
        <v>45512</v>
      </c>
      <c r="N101" t="s">
        <v>374</v>
      </c>
      <c r="O101" t="s">
        <v>372</v>
      </c>
      <c r="P101">
        <v>0.65</v>
      </c>
      <c r="Q101">
        <v>1.61</v>
      </c>
      <c r="R101">
        <v>2391.35</v>
      </c>
      <c r="S101">
        <v>5923.19</v>
      </c>
      <c r="T101" t="s">
        <v>70</v>
      </c>
      <c r="AA101">
        <f t="shared" si="1"/>
        <v>375177.73000000004</v>
      </c>
      <c r="AB101">
        <f>COUNTIF($D$1:D101,D101)</f>
        <v>23</v>
      </c>
    </row>
    <row r="102" spans="1:28" x14ac:dyDescent="0.25">
      <c r="A102">
        <v>101</v>
      </c>
      <c r="B102">
        <v>183153</v>
      </c>
      <c r="C102">
        <v>24001527</v>
      </c>
      <c r="D102" t="s">
        <v>14</v>
      </c>
      <c r="E102" t="s">
        <v>215</v>
      </c>
      <c r="F102" t="s">
        <v>401</v>
      </c>
      <c r="G102">
        <v>302</v>
      </c>
      <c r="H102" t="s">
        <v>79</v>
      </c>
      <c r="I102">
        <v>350</v>
      </c>
      <c r="J102" s="64">
        <v>45505</v>
      </c>
      <c r="K102" s="64">
        <v>45510</v>
      </c>
      <c r="L102" t="s">
        <v>372</v>
      </c>
      <c r="M102" s="64">
        <v>45512</v>
      </c>
      <c r="N102" t="s">
        <v>373</v>
      </c>
      <c r="O102" t="s">
        <v>372</v>
      </c>
      <c r="P102">
        <v>0.65</v>
      </c>
      <c r="Q102">
        <v>1.73</v>
      </c>
      <c r="R102">
        <v>227.5</v>
      </c>
      <c r="S102">
        <v>605.5</v>
      </c>
      <c r="T102" t="s">
        <v>70</v>
      </c>
      <c r="AA102">
        <f t="shared" si="1"/>
        <v>375177.73000000004</v>
      </c>
      <c r="AB102">
        <f>COUNTIF($D$1:D102,D102)</f>
        <v>24</v>
      </c>
    </row>
    <row r="103" spans="1:28" x14ac:dyDescent="0.25">
      <c r="A103">
        <v>102</v>
      </c>
      <c r="B103">
        <v>183193</v>
      </c>
      <c r="C103">
        <v>24001567</v>
      </c>
      <c r="D103" t="s">
        <v>14</v>
      </c>
      <c r="E103" t="s">
        <v>215</v>
      </c>
      <c r="F103" t="s">
        <v>402</v>
      </c>
      <c r="G103">
        <v>305</v>
      </c>
      <c r="H103" t="s">
        <v>79</v>
      </c>
      <c r="I103">
        <v>6</v>
      </c>
      <c r="J103" s="64">
        <v>45527</v>
      </c>
      <c r="K103" s="64">
        <v>45527</v>
      </c>
      <c r="L103" t="s">
        <v>372</v>
      </c>
      <c r="M103" s="64">
        <v>45527</v>
      </c>
      <c r="N103" t="s">
        <v>373</v>
      </c>
      <c r="O103" t="s">
        <v>372</v>
      </c>
      <c r="P103">
        <v>0.77</v>
      </c>
      <c r="Q103">
        <v>2.0099999999999998</v>
      </c>
      <c r="R103">
        <v>4.62</v>
      </c>
      <c r="S103">
        <v>12.06</v>
      </c>
      <c r="T103" t="s">
        <v>70</v>
      </c>
      <c r="AA103">
        <f t="shared" si="1"/>
        <v>375177.73000000004</v>
      </c>
      <c r="AB103">
        <f>COUNTIF($D$1:D103,D103)</f>
        <v>25</v>
      </c>
    </row>
    <row r="104" spans="1:28" x14ac:dyDescent="0.25">
      <c r="A104">
        <v>103</v>
      </c>
      <c r="B104">
        <v>183195</v>
      </c>
      <c r="C104">
        <v>24001569</v>
      </c>
      <c r="D104" t="s">
        <v>14</v>
      </c>
      <c r="E104" t="s">
        <v>215</v>
      </c>
      <c r="F104">
        <v>5157986</v>
      </c>
      <c r="G104">
        <v>305</v>
      </c>
      <c r="H104" t="s">
        <v>79</v>
      </c>
      <c r="I104">
        <v>3238</v>
      </c>
      <c r="J104" s="64">
        <v>45524</v>
      </c>
      <c r="K104" s="64">
        <v>45533</v>
      </c>
      <c r="L104" t="s">
        <v>372</v>
      </c>
      <c r="M104" s="64">
        <v>45527</v>
      </c>
      <c r="N104" t="s">
        <v>374</v>
      </c>
      <c r="O104" t="s">
        <v>372</v>
      </c>
      <c r="P104">
        <v>0.83</v>
      </c>
      <c r="Q104">
        <v>2.13</v>
      </c>
      <c r="R104">
        <v>2687.54</v>
      </c>
      <c r="S104">
        <v>6896.94</v>
      </c>
      <c r="T104" t="s">
        <v>70</v>
      </c>
      <c r="AA104">
        <f t="shared" si="1"/>
        <v>375177.73000000004</v>
      </c>
      <c r="AB104">
        <f>COUNTIF($D$1:D104,D104)</f>
        <v>26</v>
      </c>
    </row>
    <row r="105" spans="1:28" x14ac:dyDescent="0.25">
      <c r="A105">
        <v>104</v>
      </c>
      <c r="B105">
        <v>183202</v>
      </c>
      <c r="C105">
        <v>24001576</v>
      </c>
      <c r="D105" t="s">
        <v>14</v>
      </c>
      <c r="E105" t="s">
        <v>215</v>
      </c>
      <c r="F105">
        <v>5157987</v>
      </c>
      <c r="G105">
        <v>306</v>
      </c>
      <c r="H105" t="s">
        <v>79</v>
      </c>
      <c r="I105">
        <v>1992</v>
      </c>
      <c r="J105" s="64">
        <v>45523</v>
      </c>
      <c r="K105" s="64">
        <v>45530</v>
      </c>
      <c r="L105" t="s">
        <v>372</v>
      </c>
      <c r="M105" s="64">
        <v>45527</v>
      </c>
      <c r="N105" t="s">
        <v>374</v>
      </c>
      <c r="O105" t="s">
        <v>372</v>
      </c>
      <c r="P105">
        <v>0.7</v>
      </c>
      <c r="Q105">
        <v>1.76</v>
      </c>
      <c r="R105">
        <v>1394.4</v>
      </c>
      <c r="S105">
        <v>3505.92</v>
      </c>
      <c r="T105" t="s">
        <v>70</v>
      </c>
      <c r="AA105">
        <f t="shared" si="1"/>
        <v>375177.73000000004</v>
      </c>
      <c r="AB105">
        <f>COUNTIF($D$1:D105,D105)</f>
        <v>27</v>
      </c>
    </row>
    <row r="106" spans="1:28" x14ac:dyDescent="0.25">
      <c r="A106">
        <v>105</v>
      </c>
      <c r="B106">
        <v>183434</v>
      </c>
      <c r="C106">
        <v>24001624</v>
      </c>
      <c r="D106" t="s">
        <v>14</v>
      </c>
      <c r="E106" t="s">
        <v>215</v>
      </c>
      <c r="F106">
        <v>5158060</v>
      </c>
      <c r="G106">
        <v>380</v>
      </c>
      <c r="H106" t="s">
        <v>79</v>
      </c>
      <c r="I106">
        <v>647</v>
      </c>
      <c r="J106" s="64">
        <v>45534</v>
      </c>
      <c r="K106" s="64">
        <v>45534</v>
      </c>
      <c r="L106" t="s">
        <v>372</v>
      </c>
      <c r="M106" s="64">
        <v>45548</v>
      </c>
      <c r="N106" t="s">
        <v>373</v>
      </c>
      <c r="O106" t="s">
        <v>376</v>
      </c>
      <c r="P106">
        <v>0.65</v>
      </c>
      <c r="Q106">
        <v>1.64</v>
      </c>
      <c r="R106">
        <v>420.55</v>
      </c>
      <c r="S106">
        <v>1061.08</v>
      </c>
      <c r="T106" t="s">
        <v>70</v>
      </c>
      <c r="AA106">
        <f t="shared" si="1"/>
        <v>375177.73000000004</v>
      </c>
      <c r="AB106">
        <f>COUNTIF($D$1:D106,D106)</f>
        <v>28</v>
      </c>
    </row>
    <row r="107" spans="1:28" x14ac:dyDescent="0.25">
      <c r="A107">
        <v>106</v>
      </c>
      <c r="B107">
        <v>183430</v>
      </c>
      <c r="C107">
        <v>24001620</v>
      </c>
      <c r="D107" t="s">
        <v>14</v>
      </c>
      <c r="E107" t="s">
        <v>215</v>
      </c>
      <c r="F107">
        <v>5158058</v>
      </c>
      <c r="G107">
        <v>380</v>
      </c>
      <c r="H107" t="s">
        <v>79</v>
      </c>
      <c r="I107">
        <v>4929</v>
      </c>
      <c r="J107" s="64">
        <v>45525</v>
      </c>
      <c r="K107" s="64">
        <v>45530</v>
      </c>
      <c r="L107" t="s">
        <v>372</v>
      </c>
      <c r="M107" s="64">
        <v>45548</v>
      </c>
      <c r="N107" t="s">
        <v>373</v>
      </c>
      <c r="O107" t="s">
        <v>376</v>
      </c>
      <c r="P107">
        <v>0.65</v>
      </c>
      <c r="Q107">
        <v>1.61</v>
      </c>
      <c r="R107">
        <v>3203.85</v>
      </c>
      <c r="S107">
        <v>7935.69</v>
      </c>
      <c r="T107" t="s">
        <v>70</v>
      </c>
      <c r="AA107">
        <f t="shared" si="1"/>
        <v>375177.73000000004</v>
      </c>
      <c r="AB107">
        <f>COUNTIF($D$1:D107,D107)</f>
        <v>29</v>
      </c>
    </row>
    <row r="108" spans="1:28" x14ac:dyDescent="0.25">
      <c r="A108">
        <v>107</v>
      </c>
      <c r="B108">
        <v>183180</v>
      </c>
      <c r="C108">
        <v>24001554</v>
      </c>
      <c r="D108" t="s">
        <v>14</v>
      </c>
      <c r="E108" t="s">
        <v>215</v>
      </c>
      <c r="F108">
        <v>5158003</v>
      </c>
      <c r="G108">
        <v>304</v>
      </c>
      <c r="H108" t="s">
        <v>79</v>
      </c>
      <c r="I108">
        <v>6697</v>
      </c>
      <c r="J108" s="64">
        <v>45517</v>
      </c>
      <c r="K108" s="64">
        <v>45530</v>
      </c>
      <c r="L108" t="s">
        <v>372</v>
      </c>
      <c r="M108" s="64">
        <v>45527</v>
      </c>
      <c r="N108" t="s">
        <v>374</v>
      </c>
      <c r="O108" t="s">
        <v>372</v>
      </c>
      <c r="P108">
        <v>0.7</v>
      </c>
      <c r="Q108">
        <v>1.76</v>
      </c>
      <c r="R108">
        <v>4687.8999999999996</v>
      </c>
      <c r="S108">
        <v>11786.72</v>
      </c>
      <c r="T108" t="s">
        <v>70</v>
      </c>
      <c r="AA108">
        <f t="shared" si="1"/>
        <v>375177.73000000004</v>
      </c>
      <c r="AB108">
        <f>COUNTIF($D$1:D108,D108)</f>
        <v>30</v>
      </c>
    </row>
    <row r="109" spans="1:28" x14ac:dyDescent="0.25">
      <c r="A109">
        <v>108</v>
      </c>
      <c r="B109">
        <v>183155</v>
      </c>
      <c r="C109">
        <v>24001529</v>
      </c>
      <c r="D109" t="s">
        <v>14</v>
      </c>
      <c r="E109" t="s">
        <v>215</v>
      </c>
      <c r="F109">
        <v>5158038</v>
      </c>
      <c r="G109">
        <v>302</v>
      </c>
      <c r="H109" t="s">
        <v>79</v>
      </c>
      <c r="I109">
        <v>6009</v>
      </c>
      <c r="J109" s="64">
        <v>45506</v>
      </c>
      <c r="K109" s="64">
        <v>45513</v>
      </c>
      <c r="L109" t="s">
        <v>372</v>
      </c>
      <c r="M109" s="64">
        <v>45527</v>
      </c>
      <c r="N109" t="s">
        <v>373</v>
      </c>
      <c r="O109" t="s">
        <v>372</v>
      </c>
      <c r="P109">
        <v>0.65</v>
      </c>
      <c r="Q109">
        <v>1.61</v>
      </c>
      <c r="R109">
        <v>3905.85</v>
      </c>
      <c r="S109">
        <v>9674.49</v>
      </c>
      <c r="T109" t="s">
        <v>70</v>
      </c>
      <c r="AA109">
        <f t="shared" si="1"/>
        <v>375177.73000000004</v>
      </c>
      <c r="AB109">
        <f>COUNTIF($D$1:D109,D109)</f>
        <v>31</v>
      </c>
    </row>
    <row r="110" spans="1:28" x14ac:dyDescent="0.25">
      <c r="A110">
        <v>109</v>
      </c>
      <c r="B110">
        <v>183154</v>
      </c>
      <c r="C110">
        <v>24001528</v>
      </c>
      <c r="D110" t="s">
        <v>14</v>
      </c>
      <c r="E110" t="s">
        <v>215</v>
      </c>
      <c r="F110">
        <v>5158039</v>
      </c>
      <c r="G110">
        <v>302</v>
      </c>
      <c r="H110" t="s">
        <v>79</v>
      </c>
      <c r="I110">
        <v>6784</v>
      </c>
      <c r="J110" s="64">
        <v>45510</v>
      </c>
      <c r="K110" s="64">
        <v>45516</v>
      </c>
      <c r="L110" t="s">
        <v>372</v>
      </c>
      <c r="M110" s="64">
        <v>45527</v>
      </c>
      <c r="N110" t="s">
        <v>373</v>
      </c>
      <c r="O110" t="s">
        <v>372</v>
      </c>
      <c r="P110">
        <v>0.65</v>
      </c>
      <c r="Q110">
        <v>1.61</v>
      </c>
      <c r="R110">
        <v>4409.6000000000004</v>
      </c>
      <c r="S110">
        <v>10922.24</v>
      </c>
      <c r="T110" t="s">
        <v>70</v>
      </c>
      <c r="AA110">
        <f t="shared" si="1"/>
        <v>375177.73000000004</v>
      </c>
      <c r="AB110">
        <f>COUNTIF($D$1:D110,D110)</f>
        <v>32</v>
      </c>
    </row>
    <row r="111" spans="1:28" x14ac:dyDescent="0.25">
      <c r="A111">
        <v>110</v>
      </c>
      <c r="B111">
        <v>183429</v>
      </c>
      <c r="C111">
        <v>24001619</v>
      </c>
      <c r="D111" t="s">
        <v>14</v>
      </c>
      <c r="E111" t="s">
        <v>215</v>
      </c>
      <c r="F111">
        <v>5158059</v>
      </c>
      <c r="G111">
        <v>380</v>
      </c>
      <c r="H111" t="s">
        <v>79</v>
      </c>
      <c r="I111">
        <v>2260</v>
      </c>
      <c r="J111" s="64">
        <v>45533</v>
      </c>
      <c r="K111" s="64">
        <v>45534</v>
      </c>
      <c r="L111" t="s">
        <v>372</v>
      </c>
      <c r="M111" s="64">
        <v>45548</v>
      </c>
      <c r="N111" t="s">
        <v>373</v>
      </c>
      <c r="O111" t="s">
        <v>376</v>
      </c>
      <c r="P111">
        <v>0.65</v>
      </c>
      <c r="Q111">
        <v>1.61</v>
      </c>
      <c r="R111">
        <v>1469</v>
      </c>
      <c r="S111">
        <v>3638.6</v>
      </c>
      <c r="T111" t="s">
        <v>70</v>
      </c>
      <c r="AA111">
        <f t="shared" si="1"/>
        <v>375177.73000000004</v>
      </c>
      <c r="AB111">
        <f>COUNTIF($D$1:D111,D111)</f>
        <v>33</v>
      </c>
    </row>
    <row r="112" spans="1:28" x14ac:dyDescent="0.25">
      <c r="A112">
        <v>111</v>
      </c>
      <c r="B112">
        <v>183116</v>
      </c>
      <c r="C112">
        <v>24001518</v>
      </c>
      <c r="D112" t="s">
        <v>14</v>
      </c>
      <c r="E112" t="s">
        <v>215</v>
      </c>
      <c r="F112">
        <v>5159305</v>
      </c>
      <c r="G112">
        <v>299</v>
      </c>
      <c r="H112" t="s">
        <v>115</v>
      </c>
      <c r="I112">
        <v>272</v>
      </c>
      <c r="J112" s="64">
        <v>45506</v>
      </c>
      <c r="K112" s="64">
        <v>45512</v>
      </c>
      <c r="L112" t="s">
        <v>372</v>
      </c>
      <c r="M112" s="64">
        <v>45510</v>
      </c>
      <c r="N112" t="s">
        <v>374</v>
      </c>
      <c r="O112" t="s">
        <v>372</v>
      </c>
      <c r="P112">
        <v>0.83</v>
      </c>
      <c r="Q112">
        <v>2.1800000000000002</v>
      </c>
      <c r="R112">
        <v>225.76</v>
      </c>
      <c r="S112">
        <v>592.96</v>
      </c>
      <c r="T112" t="s">
        <v>70</v>
      </c>
      <c r="AA112">
        <f t="shared" si="1"/>
        <v>375177.73000000004</v>
      </c>
      <c r="AB112">
        <f>COUNTIF($D$1:D112,D112)</f>
        <v>34</v>
      </c>
    </row>
    <row r="113" spans="1:28" x14ac:dyDescent="0.25">
      <c r="A113">
        <v>112</v>
      </c>
      <c r="B113">
        <v>183117</v>
      </c>
      <c r="C113">
        <v>24001519</v>
      </c>
      <c r="D113" t="s">
        <v>14</v>
      </c>
      <c r="E113" t="s">
        <v>215</v>
      </c>
      <c r="F113" t="s">
        <v>403</v>
      </c>
      <c r="G113">
        <v>299</v>
      </c>
      <c r="H113" t="s">
        <v>115</v>
      </c>
      <c r="I113">
        <v>52</v>
      </c>
      <c r="J113" s="64">
        <v>45510</v>
      </c>
      <c r="K113" s="64">
        <v>45512</v>
      </c>
      <c r="L113" t="s">
        <v>372</v>
      </c>
      <c r="M113" s="64">
        <v>45510</v>
      </c>
      <c r="N113" t="s">
        <v>374</v>
      </c>
      <c r="O113" t="s">
        <v>372</v>
      </c>
      <c r="P113">
        <v>0.84</v>
      </c>
      <c r="Q113">
        <v>2.4</v>
      </c>
      <c r="R113">
        <v>43.68</v>
      </c>
      <c r="S113">
        <v>124.8</v>
      </c>
      <c r="T113" t="s">
        <v>70</v>
      </c>
      <c r="AA113">
        <f t="shared" si="1"/>
        <v>375177.73000000004</v>
      </c>
      <c r="AB113">
        <f>COUNTIF($D$1:D113,D113)</f>
        <v>35</v>
      </c>
    </row>
    <row r="114" spans="1:28" x14ac:dyDescent="0.25">
      <c r="A114">
        <v>113</v>
      </c>
      <c r="B114">
        <v>183119</v>
      </c>
      <c r="C114">
        <v>24001521</v>
      </c>
      <c r="D114" t="s">
        <v>14</v>
      </c>
      <c r="E114" t="s">
        <v>215</v>
      </c>
      <c r="F114" t="s">
        <v>404</v>
      </c>
      <c r="G114">
        <v>299</v>
      </c>
      <c r="H114" t="s">
        <v>115</v>
      </c>
      <c r="I114">
        <v>154</v>
      </c>
      <c r="J114" s="64">
        <v>45505</v>
      </c>
      <c r="K114" s="64">
        <v>45509</v>
      </c>
      <c r="L114" t="s">
        <v>372</v>
      </c>
      <c r="M114" s="64">
        <v>45510</v>
      </c>
      <c r="N114" t="s">
        <v>373</v>
      </c>
      <c r="O114" t="s">
        <v>372</v>
      </c>
      <c r="P114">
        <v>0.84</v>
      </c>
      <c r="Q114">
        <v>2.4</v>
      </c>
      <c r="R114">
        <v>129.36000000000001</v>
      </c>
      <c r="S114">
        <v>369.6</v>
      </c>
      <c r="T114" t="s">
        <v>70</v>
      </c>
      <c r="AA114">
        <f t="shared" si="1"/>
        <v>375177.73000000004</v>
      </c>
      <c r="AB114">
        <f>COUNTIF($D$1:D114,D114)</f>
        <v>36</v>
      </c>
    </row>
    <row r="115" spans="1:28" x14ac:dyDescent="0.25">
      <c r="A115">
        <v>114</v>
      </c>
      <c r="B115">
        <v>183165</v>
      </c>
      <c r="C115">
        <v>24001539</v>
      </c>
      <c r="D115" t="s">
        <v>14</v>
      </c>
      <c r="E115" t="s">
        <v>215</v>
      </c>
      <c r="F115">
        <v>5158594</v>
      </c>
      <c r="G115">
        <v>303</v>
      </c>
      <c r="H115" t="s">
        <v>115</v>
      </c>
      <c r="I115">
        <v>1687</v>
      </c>
      <c r="J115" s="64">
        <v>45505</v>
      </c>
      <c r="K115" s="64">
        <v>45512</v>
      </c>
      <c r="L115" t="s">
        <v>372</v>
      </c>
      <c r="M115" s="64">
        <v>45512</v>
      </c>
      <c r="N115" t="s">
        <v>373</v>
      </c>
      <c r="O115" t="s">
        <v>372</v>
      </c>
      <c r="P115">
        <v>0.7</v>
      </c>
      <c r="Q115">
        <v>1.64</v>
      </c>
      <c r="R115">
        <v>1180.9000000000001</v>
      </c>
      <c r="S115">
        <v>2766.68</v>
      </c>
      <c r="T115" t="s">
        <v>70</v>
      </c>
      <c r="AA115">
        <f t="shared" si="1"/>
        <v>375177.73000000004</v>
      </c>
      <c r="AB115">
        <f>COUNTIF($D$1:D115,D115)</f>
        <v>37</v>
      </c>
    </row>
    <row r="116" spans="1:28" x14ac:dyDescent="0.25">
      <c r="A116">
        <v>115</v>
      </c>
      <c r="B116">
        <v>183167</v>
      </c>
      <c r="C116">
        <v>24001541</v>
      </c>
      <c r="D116" t="s">
        <v>14</v>
      </c>
      <c r="E116" t="s">
        <v>215</v>
      </c>
      <c r="F116">
        <v>5158001</v>
      </c>
      <c r="G116">
        <v>303</v>
      </c>
      <c r="H116" t="s">
        <v>115</v>
      </c>
      <c r="I116">
        <v>2685</v>
      </c>
      <c r="J116" s="64">
        <v>45517</v>
      </c>
      <c r="K116" s="64">
        <v>45520</v>
      </c>
      <c r="L116" t="s">
        <v>372</v>
      </c>
      <c r="M116" s="64">
        <v>45527</v>
      </c>
      <c r="N116" t="s">
        <v>373</v>
      </c>
      <c r="O116" t="s">
        <v>372</v>
      </c>
      <c r="P116">
        <v>0.83</v>
      </c>
      <c r="Q116">
        <v>2.13</v>
      </c>
      <c r="R116">
        <v>2228.5500000000002</v>
      </c>
      <c r="S116">
        <v>5719.05</v>
      </c>
      <c r="T116" t="s">
        <v>70</v>
      </c>
      <c r="AA116">
        <f t="shared" si="1"/>
        <v>375177.73000000004</v>
      </c>
      <c r="AB116">
        <f>COUNTIF($D$1:D116,D116)</f>
        <v>38</v>
      </c>
    </row>
    <row r="117" spans="1:28" x14ac:dyDescent="0.25">
      <c r="A117">
        <v>116</v>
      </c>
      <c r="B117">
        <v>183168</v>
      </c>
      <c r="C117">
        <v>24001542</v>
      </c>
      <c r="D117" t="s">
        <v>14</v>
      </c>
      <c r="E117" t="s">
        <v>215</v>
      </c>
      <c r="F117">
        <v>5158591</v>
      </c>
      <c r="G117">
        <v>303</v>
      </c>
      <c r="H117" t="s">
        <v>115</v>
      </c>
      <c r="I117">
        <v>6421</v>
      </c>
      <c r="J117" s="64">
        <v>45506</v>
      </c>
      <c r="K117" s="64">
        <v>45524</v>
      </c>
      <c r="L117" t="s">
        <v>372</v>
      </c>
      <c r="M117" s="64">
        <v>45527</v>
      </c>
      <c r="N117" t="s">
        <v>373</v>
      </c>
      <c r="O117" t="s">
        <v>372</v>
      </c>
      <c r="P117">
        <v>0.76</v>
      </c>
      <c r="Q117">
        <v>1.43</v>
      </c>
      <c r="R117">
        <v>4879.96</v>
      </c>
      <c r="S117">
        <v>9182.0300000000007</v>
      </c>
      <c r="T117" t="s">
        <v>70</v>
      </c>
      <c r="AA117">
        <f t="shared" si="1"/>
        <v>375177.73000000004</v>
      </c>
      <c r="AB117">
        <f>COUNTIF($D$1:D117,D117)</f>
        <v>39</v>
      </c>
    </row>
    <row r="118" spans="1:28" x14ac:dyDescent="0.25">
      <c r="A118">
        <v>117</v>
      </c>
      <c r="B118">
        <v>183185</v>
      </c>
      <c r="C118">
        <v>24001559</v>
      </c>
      <c r="D118" t="s">
        <v>14</v>
      </c>
      <c r="E118" t="s">
        <v>215</v>
      </c>
      <c r="F118">
        <v>5158603</v>
      </c>
      <c r="G118">
        <v>304</v>
      </c>
      <c r="H118" t="s">
        <v>115</v>
      </c>
      <c r="I118">
        <v>6740</v>
      </c>
      <c r="J118" s="64">
        <v>45511</v>
      </c>
      <c r="K118" s="64">
        <v>45524</v>
      </c>
      <c r="L118" t="s">
        <v>372</v>
      </c>
      <c r="M118" s="64">
        <v>45527</v>
      </c>
      <c r="N118" t="s">
        <v>373</v>
      </c>
      <c r="O118" t="s">
        <v>372</v>
      </c>
      <c r="P118">
        <v>0.77</v>
      </c>
      <c r="Q118">
        <v>1.46</v>
      </c>
      <c r="R118">
        <v>5189.8</v>
      </c>
      <c r="S118">
        <v>9840.4</v>
      </c>
      <c r="T118" t="s">
        <v>70</v>
      </c>
      <c r="AA118">
        <f t="shared" si="1"/>
        <v>375177.73000000004</v>
      </c>
      <c r="AB118">
        <f>COUNTIF($D$1:D118,D118)</f>
        <v>40</v>
      </c>
    </row>
    <row r="119" spans="1:28" x14ac:dyDescent="0.25">
      <c r="A119">
        <v>118</v>
      </c>
      <c r="B119">
        <v>183187</v>
      </c>
      <c r="C119">
        <v>24001561</v>
      </c>
      <c r="D119" t="s">
        <v>14</v>
      </c>
      <c r="E119" t="s">
        <v>215</v>
      </c>
      <c r="F119">
        <v>5158615</v>
      </c>
      <c r="G119">
        <v>305</v>
      </c>
      <c r="H119" t="s">
        <v>115</v>
      </c>
      <c r="I119">
        <v>305</v>
      </c>
      <c r="J119" s="64">
        <v>45523</v>
      </c>
      <c r="K119" s="64">
        <v>45530</v>
      </c>
      <c r="L119" t="s">
        <v>372</v>
      </c>
      <c r="M119" s="64">
        <v>45527</v>
      </c>
      <c r="N119" t="s">
        <v>374</v>
      </c>
      <c r="O119" t="s">
        <v>372</v>
      </c>
      <c r="P119">
        <v>0.7</v>
      </c>
      <c r="Q119">
        <v>1.79</v>
      </c>
      <c r="R119">
        <v>213.5</v>
      </c>
      <c r="S119">
        <v>545.95000000000005</v>
      </c>
      <c r="T119" t="s">
        <v>70</v>
      </c>
      <c r="AA119">
        <f t="shared" si="1"/>
        <v>375177.73000000004</v>
      </c>
      <c r="AB119">
        <f>COUNTIF($D$1:D119,D119)</f>
        <v>41</v>
      </c>
    </row>
    <row r="120" spans="1:28" x14ac:dyDescent="0.25">
      <c r="A120">
        <v>119</v>
      </c>
      <c r="B120">
        <v>183203</v>
      </c>
      <c r="C120">
        <v>24001577</v>
      </c>
      <c r="D120" t="s">
        <v>14</v>
      </c>
      <c r="E120" t="s">
        <v>215</v>
      </c>
      <c r="F120">
        <v>5157997</v>
      </c>
      <c r="G120">
        <v>306</v>
      </c>
      <c r="H120" t="s">
        <v>115</v>
      </c>
      <c r="I120">
        <v>1817</v>
      </c>
      <c r="J120" s="64">
        <v>45520</v>
      </c>
      <c r="K120" s="64">
        <v>45530</v>
      </c>
      <c r="L120" t="s">
        <v>372</v>
      </c>
      <c r="M120" s="64">
        <v>45527</v>
      </c>
      <c r="N120" t="s">
        <v>374</v>
      </c>
      <c r="O120" t="s">
        <v>372</v>
      </c>
      <c r="P120">
        <v>0.75</v>
      </c>
      <c r="Q120">
        <v>1.94</v>
      </c>
      <c r="R120">
        <v>1362.75</v>
      </c>
      <c r="S120">
        <v>3524.98</v>
      </c>
      <c r="T120" t="s">
        <v>70</v>
      </c>
      <c r="AA120">
        <f t="shared" si="1"/>
        <v>375177.73000000004</v>
      </c>
      <c r="AB120">
        <f>COUNTIF($D$1:D120,D120)</f>
        <v>42</v>
      </c>
    </row>
    <row r="121" spans="1:28" x14ac:dyDescent="0.25">
      <c r="A121">
        <v>120</v>
      </c>
      <c r="B121">
        <v>183200</v>
      </c>
      <c r="C121">
        <v>24001574</v>
      </c>
      <c r="D121" t="s">
        <v>14</v>
      </c>
      <c r="E121" t="s">
        <v>215</v>
      </c>
      <c r="F121">
        <v>5158617</v>
      </c>
      <c r="G121">
        <v>305</v>
      </c>
      <c r="H121" t="s">
        <v>115</v>
      </c>
      <c r="I121">
        <v>2378</v>
      </c>
      <c r="J121" s="64">
        <v>45516</v>
      </c>
      <c r="K121" s="64">
        <v>45525</v>
      </c>
      <c r="L121" t="s">
        <v>372</v>
      </c>
      <c r="M121" s="64">
        <v>45527</v>
      </c>
      <c r="N121" t="s">
        <v>373</v>
      </c>
      <c r="O121" t="s">
        <v>372</v>
      </c>
      <c r="P121">
        <v>0.74</v>
      </c>
      <c r="Q121">
        <v>1.38</v>
      </c>
      <c r="R121">
        <v>1759.72</v>
      </c>
      <c r="S121">
        <v>3281.64</v>
      </c>
      <c r="T121" t="s">
        <v>70</v>
      </c>
      <c r="AA121">
        <f t="shared" si="1"/>
        <v>375177.73000000004</v>
      </c>
      <c r="AB121">
        <f>COUNTIF($D$1:D121,D121)</f>
        <v>43</v>
      </c>
    </row>
    <row r="122" spans="1:28" x14ac:dyDescent="0.25">
      <c r="A122">
        <v>121</v>
      </c>
      <c r="B122">
        <v>183201</v>
      </c>
      <c r="C122">
        <v>24001575</v>
      </c>
      <c r="D122" t="s">
        <v>14</v>
      </c>
      <c r="E122" t="s">
        <v>215</v>
      </c>
      <c r="F122">
        <v>5158598</v>
      </c>
      <c r="G122">
        <v>305</v>
      </c>
      <c r="H122" t="s">
        <v>115</v>
      </c>
      <c r="I122">
        <v>2427</v>
      </c>
      <c r="J122" s="64">
        <v>45519</v>
      </c>
      <c r="K122" s="64">
        <v>45524</v>
      </c>
      <c r="L122" t="s">
        <v>372</v>
      </c>
      <c r="M122" s="64">
        <v>45527</v>
      </c>
      <c r="N122" t="s">
        <v>373</v>
      </c>
      <c r="O122" t="s">
        <v>372</v>
      </c>
      <c r="P122">
        <v>0.74</v>
      </c>
      <c r="Q122">
        <v>1.38</v>
      </c>
      <c r="R122">
        <v>1795.98</v>
      </c>
      <c r="S122">
        <v>3349.26</v>
      </c>
      <c r="T122" t="s">
        <v>70</v>
      </c>
      <c r="AA122">
        <f t="shared" si="1"/>
        <v>375177.73000000004</v>
      </c>
      <c r="AB122">
        <f>COUNTIF($D$1:D122,D122)</f>
        <v>44</v>
      </c>
    </row>
    <row r="123" spans="1:28" x14ac:dyDescent="0.25">
      <c r="A123">
        <v>122</v>
      </c>
      <c r="B123">
        <v>183433</v>
      </c>
      <c r="C123">
        <v>24001623</v>
      </c>
      <c r="D123" t="s">
        <v>14</v>
      </c>
      <c r="E123" t="s">
        <v>215</v>
      </c>
      <c r="F123">
        <v>5158037</v>
      </c>
      <c r="G123">
        <v>380</v>
      </c>
      <c r="H123" t="s">
        <v>115</v>
      </c>
      <c r="I123">
        <v>2684</v>
      </c>
      <c r="J123" s="64">
        <v>45530</v>
      </c>
      <c r="K123" s="64">
        <v>45533</v>
      </c>
      <c r="L123" t="s">
        <v>372</v>
      </c>
      <c r="M123" s="64">
        <v>45548</v>
      </c>
      <c r="N123" t="s">
        <v>373</v>
      </c>
      <c r="O123" t="s">
        <v>376</v>
      </c>
      <c r="P123">
        <v>0.65</v>
      </c>
      <c r="Q123">
        <v>1.64</v>
      </c>
      <c r="R123">
        <v>1744.6</v>
      </c>
      <c r="S123">
        <v>4401.76</v>
      </c>
      <c r="T123" t="s">
        <v>70</v>
      </c>
      <c r="AA123">
        <f t="shared" si="1"/>
        <v>375177.73000000004</v>
      </c>
      <c r="AB123">
        <f>COUNTIF($D$1:D123,D123)</f>
        <v>45</v>
      </c>
    </row>
    <row r="124" spans="1:28" x14ac:dyDescent="0.25">
      <c r="A124">
        <v>123</v>
      </c>
      <c r="B124">
        <v>182974</v>
      </c>
      <c r="C124">
        <v>24001437</v>
      </c>
      <c r="D124" t="s">
        <v>14</v>
      </c>
      <c r="E124" t="s">
        <v>215</v>
      </c>
      <c r="F124">
        <v>5158619</v>
      </c>
      <c r="G124">
        <v>247</v>
      </c>
      <c r="H124" t="s">
        <v>115</v>
      </c>
      <c r="I124">
        <v>39</v>
      </c>
      <c r="J124" s="64">
        <v>45513</v>
      </c>
      <c r="K124" s="64">
        <v>45516</v>
      </c>
      <c r="L124" t="s">
        <v>372</v>
      </c>
      <c r="M124" s="64">
        <v>45492</v>
      </c>
      <c r="N124" t="s">
        <v>374</v>
      </c>
      <c r="O124" t="s">
        <v>377</v>
      </c>
      <c r="P124">
        <v>0.7</v>
      </c>
      <c r="Q124">
        <v>1.71</v>
      </c>
      <c r="R124">
        <v>27.3</v>
      </c>
      <c r="S124">
        <v>66.69</v>
      </c>
      <c r="T124" t="s">
        <v>70</v>
      </c>
      <c r="AA124">
        <f t="shared" si="1"/>
        <v>375177.73000000004</v>
      </c>
      <c r="AB124">
        <f>COUNTIF($D$1:D124,D124)</f>
        <v>46</v>
      </c>
    </row>
    <row r="125" spans="1:28" x14ac:dyDescent="0.25">
      <c r="A125">
        <v>124</v>
      </c>
      <c r="B125">
        <v>183220</v>
      </c>
      <c r="C125">
        <v>24001592</v>
      </c>
      <c r="D125" t="s">
        <v>14</v>
      </c>
      <c r="E125" t="s">
        <v>215</v>
      </c>
      <c r="F125">
        <v>5159305</v>
      </c>
      <c r="G125">
        <v>354</v>
      </c>
      <c r="H125" t="s">
        <v>115</v>
      </c>
      <c r="I125">
        <v>4621</v>
      </c>
      <c r="J125" s="64">
        <v>45525</v>
      </c>
      <c r="K125" s="64">
        <v>45527</v>
      </c>
      <c r="L125" t="s">
        <v>372</v>
      </c>
      <c r="M125" s="64">
        <v>45534</v>
      </c>
      <c r="N125" t="s">
        <v>373</v>
      </c>
      <c r="O125" t="s">
        <v>372</v>
      </c>
      <c r="P125">
        <v>0.83</v>
      </c>
      <c r="Q125">
        <v>2.1800000000000002</v>
      </c>
      <c r="R125">
        <v>3835.43</v>
      </c>
      <c r="S125">
        <v>10073.780000000001</v>
      </c>
      <c r="T125" t="s">
        <v>70</v>
      </c>
      <c r="AA125">
        <f t="shared" si="1"/>
        <v>375177.73000000004</v>
      </c>
      <c r="AB125">
        <f>COUNTIF($D$1:D125,D125)</f>
        <v>47</v>
      </c>
    </row>
    <row r="126" spans="1:28" x14ac:dyDescent="0.25">
      <c r="A126">
        <v>125</v>
      </c>
      <c r="B126">
        <v>183211</v>
      </c>
      <c r="C126">
        <v>24001585</v>
      </c>
      <c r="D126" t="s">
        <v>14</v>
      </c>
      <c r="E126" t="s">
        <v>215</v>
      </c>
      <c r="F126">
        <v>5158597</v>
      </c>
      <c r="G126">
        <v>306</v>
      </c>
      <c r="H126" t="s">
        <v>115</v>
      </c>
      <c r="I126">
        <v>1052</v>
      </c>
      <c r="J126" s="64">
        <v>45518</v>
      </c>
      <c r="K126" s="64">
        <v>45518</v>
      </c>
      <c r="L126" t="s">
        <v>372</v>
      </c>
      <c r="M126" s="64">
        <v>45527</v>
      </c>
      <c r="N126" t="s">
        <v>373</v>
      </c>
      <c r="O126" t="s">
        <v>372</v>
      </c>
      <c r="P126">
        <v>1.01</v>
      </c>
      <c r="Q126">
        <v>2.3199999999999998</v>
      </c>
      <c r="R126">
        <v>1062.52</v>
      </c>
      <c r="S126">
        <v>2440.64</v>
      </c>
      <c r="T126" t="s">
        <v>70</v>
      </c>
      <c r="AA126">
        <f t="shared" si="1"/>
        <v>375177.73000000004</v>
      </c>
      <c r="AB126">
        <f>COUNTIF($D$1:D126,D126)</f>
        <v>48</v>
      </c>
    </row>
    <row r="127" spans="1:28" x14ac:dyDescent="0.25">
      <c r="A127">
        <v>126</v>
      </c>
      <c r="B127">
        <v>183186</v>
      </c>
      <c r="C127">
        <v>24001560</v>
      </c>
      <c r="D127" t="s">
        <v>14</v>
      </c>
      <c r="E127" t="s">
        <v>215</v>
      </c>
      <c r="F127">
        <v>5158610</v>
      </c>
      <c r="G127">
        <v>305</v>
      </c>
      <c r="H127" t="s">
        <v>115</v>
      </c>
      <c r="I127">
        <v>1710</v>
      </c>
      <c r="J127" s="64">
        <v>45505</v>
      </c>
      <c r="K127" s="64">
        <v>45523</v>
      </c>
      <c r="L127" t="s">
        <v>372</v>
      </c>
      <c r="M127" s="64">
        <v>45555</v>
      </c>
      <c r="N127" t="s">
        <v>373</v>
      </c>
      <c r="O127" t="s">
        <v>376</v>
      </c>
      <c r="P127">
        <v>0.7</v>
      </c>
      <c r="Q127">
        <v>1.79</v>
      </c>
      <c r="R127">
        <v>1197</v>
      </c>
      <c r="S127">
        <v>3060.9</v>
      </c>
      <c r="T127" t="s">
        <v>70</v>
      </c>
      <c r="AA127">
        <f t="shared" si="1"/>
        <v>375177.73000000004</v>
      </c>
      <c r="AB127">
        <f>COUNTIF($D$1:D127,D127)</f>
        <v>49</v>
      </c>
    </row>
    <row r="128" spans="1:28" x14ac:dyDescent="0.25">
      <c r="A128">
        <v>127</v>
      </c>
      <c r="B128">
        <v>183218</v>
      </c>
      <c r="C128">
        <v>24001588</v>
      </c>
      <c r="D128" t="s">
        <v>14</v>
      </c>
      <c r="E128" t="s">
        <v>215</v>
      </c>
      <c r="F128">
        <v>5158599</v>
      </c>
      <c r="G128">
        <v>348</v>
      </c>
      <c r="H128" t="s">
        <v>115</v>
      </c>
      <c r="I128">
        <v>1836</v>
      </c>
      <c r="J128" s="64">
        <v>45524</v>
      </c>
      <c r="K128" s="64">
        <v>45530</v>
      </c>
      <c r="L128" t="s">
        <v>372</v>
      </c>
      <c r="M128" s="64">
        <v>45527</v>
      </c>
      <c r="N128" t="s">
        <v>374</v>
      </c>
      <c r="O128" t="s">
        <v>372</v>
      </c>
      <c r="P128">
        <v>0.7</v>
      </c>
      <c r="Q128">
        <v>1.71</v>
      </c>
      <c r="R128">
        <v>1285.2</v>
      </c>
      <c r="S128">
        <v>3139.56</v>
      </c>
      <c r="T128" t="s">
        <v>70</v>
      </c>
      <c r="AA128">
        <f t="shared" si="1"/>
        <v>375177.73000000004</v>
      </c>
      <c r="AB128">
        <f>COUNTIF($D$1:D128,D128)</f>
        <v>50</v>
      </c>
    </row>
    <row r="129" spans="1:28" x14ac:dyDescent="0.25">
      <c r="A129">
        <v>128</v>
      </c>
      <c r="B129">
        <v>183441</v>
      </c>
      <c r="C129">
        <v>24001646</v>
      </c>
      <c r="D129" t="s">
        <v>14</v>
      </c>
      <c r="E129" t="s">
        <v>215</v>
      </c>
      <c r="F129">
        <v>5158619</v>
      </c>
      <c r="G129">
        <v>382</v>
      </c>
      <c r="H129" t="s">
        <v>115</v>
      </c>
      <c r="I129">
        <v>6472</v>
      </c>
      <c r="J129" s="64">
        <v>45531</v>
      </c>
      <c r="K129" s="64">
        <v>45534</v>
      </c>
      <c r="L129" t="s">
        <v>372</v>
      </c>
      <c r="M129" s="64">
        <v>45548</v>
      </c>
      <c r="N129" t="s">
        <v>373</v>
      </c>
      <c r="O129" t="s">
        <v>376</v>
      </c>
      <c r="P129">
        <v>0.7</v>
      </c>
      <c r="Q129">
        <v>1.71</v>
      </c>
      <c r="R129">
        <v>4530.3999999999996</v>
      </c>
      <c r="S129">
        <v>11067.12</v>
      </c>
      <c r="T129" t="s">
        <v>70</v>
      </c>
      <c r="AA129">
        <f t="shared" si="1"/>
        <v>375177.73000000004</v>
      </c>
      <c r="AB129">
        <f>COUNTIF($D$1:D129,D129)</f>
        <v>51</v>
      </c>
    </row>
    <row r="130" spans="1:28" x14ac:dyDescent="0.25">
      <c r="A130">
        <v>129</v>
      </c>
      <c r="B130">
        <v>183116</v>
      </c>
      <c r="C130">
        <v>24001518</v>
      </c>
      <c r="D130" t="s">
        <v>14</v>
      </c>
      <c r="E130" t="s">
        <v>215</v>
      </c>
      <c r="F130">
        <v>5159305</v>
      </c>
      <c r="G130">
        <v>299</v>
      </c>
      <c r="H130" t="s">
        <v>283</v>
      </c>
      <c r="I130">
        <v>270</v>
      </c>
      <c r="J130" s="64">
        <v>45506</v>
      </c>
      <c r="K130" s="64">
        <v>45512</v>
      </c>
      <c r="L130" t="s">
        <v>372</v>
      </c>
      <c r="M130" s="64">
        <v>45510</v>
      </c>
      <c r="N130" t="s">
        <v>374</v>
      </c>
      <c r="O130" t="s">
        <v>372</v>
      </c>
      <c r="P130">
        <v>0.83</v>
      </c>
      <c r="Q130">
        <v>2.1800000000000002</v>
      </c>
      <c r="R130">
        <v>224.1</v>
      </c>
      <c r="S130">
        <v>588.6</v>
      </c>
      <c r="T130" t="s">
        <v>70</v>
      </c>
      <c r="AA130">
        <f t="shared" ref="AA130:AA193" si="2">SUMIF($D:$D,D130,$R:$R)</f>
        <v>375177.73000000004</v>
      </c>
      <c r="AB130">
        <f>COUNTIF($D$1:D130,D130)</f>
        <v>52</v>
      </c>
    </row>
    <row r="131" spans="1:28" x14ac:dyDescent="0.25">
      <c r="A131">
        <v>130</v>
      </c>
      <c r="B131">
        <v>183117</v>
      </c>
      <c r="C131">
        <v>24001519</v>
      </c>
      <c r="D131" t="s">
        <v>14</v>
      </c>
      <c r="E131" t="s">
        <v>215</v>
      </c>
      <c r="F131" t="s">
        <v>403</v>
      </c>
      <c r="G131">
        <v>299</v>
      </c>
      <c r="H131" t="s">
        <v>283</v>
      </c>
      <c r="I131">
        <v>52</v>
      </c>
      <c r="J131" s="64">
        <v>45510</v>
      </c>
      <c r="K131" s="64">
        <v>45512</v>
      </c>
      <c r="L131" t="s">
        <v>372</v>
      </c>
      <c r="M131" s="64">
        <v>45510</v>
      </c>
      <c r="N131" t="s">
        <v>374</v>
      </c>
      <c r="O131" t="s">
        <v>372</v>
      </c>
      <c r="P131">
        <v>0.84</v>
      </c>
      <c r="Q131">
        <v>2.4</v>
      </c>
      <c r="R131">
        <v>43.68</v>
      </c>
      <c r="S131">
        <v>124.8</v>
      </c>
      <c r="T131" t="s">
        <v>70</v>
      </c>
      <c r="AA131">
        <f t="shared" si="2"/>
        <v>375177.73000000004</v>
      </c>
      <c r="AB131">
        <f>COUNTIF($D$1:D131,D131)</f>
        <v>53</v>
      </c>
    </row>
    <row r="132" spans="1:28" x14ac:dyDescent="0.25">
      <c r="A132">
        <v>131</v>
      </c>
      <c r="B132">
        <v>183119</v>
      </c>
      <c r="C132">
        <v>24001521</v>
      </c>
      <c r="D132" t="s">
        <v>14</v>
      </c>
      <c r="E132" t="s">
        <v>215</v>
      </c>
      <c r="F132" t="s">
        <v>404</v>
      </c>
      <c r="G132">
        <v>299</v>
      </c>
      <c r="H132" t="s">
        <v>283</v>
      </c>
      <c r="I132">
        <v>155</v>
      </c>
      <c r="J132" s="64">
        <v>45505</v>
      </c>
      <c r="K132" s="64">
        <v>45509</v>
      </c>
      <c r="L132" t="s">
        <v>372</v>
      </c>
      <c r="M132" s="64">
        <v>45510</v>
      </c>
      <c r="N132" t="s">
        <v>373</v>
      </c>
      <c r="O132" t="s">
        <v>372</v>
      </c>
      <c r="P132">
        <v>0.84</v>
      </c>
      <c r="Q132">
        <v>2.4</v>
      </c>
      <c r="R132">
        <v>130.19999999999999</v>
      </c>
      <c r="S132">
        <v>372</v>
      </c>
      <c r="T132" t="s">
        <v>70</v>
      </c>
      <c r="AA132">
        <f t="shared" si="2"/>
        <v>375177.73000000004</v>
      </c>
      <c r="AB132">
        <f>COUNTIF($D$1:D132,D132)</f>
        <v>54</v>
      </c>
    </row>
    <row r="133" spans="1:28" x14ac:dyDescent="0.25">
      <c r="A133">
        <v>132</v>
      </c>
      <c r="B133">
        <v>183165</v>
      </c>
      <c r="C133">
        <v>24001539</v>
      </c>
      <c r="D133" t="s">
        <v>14</v>
      </c>
      <c r="E133" t="s">
        <v>215</v>
      </c>
      <c r="F133">
        <v>5158594</v>
      </c>
      <c r="G133">
        <v>303</v>
      </c>
      <c r="H133" t="s">
        <v>283</v>
      </c>
      <c r="I133">
        <v>1686</v>
      </c>
      <c r="J133" s="64">
        <v>45505</v>
      </c>
      <c r="K133" s="64">
        <v>45512</v>
      </c>
      <c r="L133" t="s">
        <v>372</v>
      </c>
      <c r="M133" s="64">
        <v>45512</v>
      </c>
      <c r="N133" t="s">
        <v>373</v>
      </c>
      <c r="O133" t="s">
        <v>372</v>
      </c>
      <c r="P133">
        <v>0.7</v>
      </c>
      <c r="Q133">
        <v>1.64</v>
      </c>
      <c r="R133">
        <v>1180.2</v>
      </c>
      <c r="S133">
        <v>2765.04</v>
      </c>
      <c r="T133" t="s">
        <v>70</v>
      </c>
      <c r="AA133">
        <f t="shared" si="2"/>
        <v>375177.73000000004</v>
      </c>
      <c r="AB133">
        <f>COUNTIF($D$1:D133,D133)</f>
        <v>55</v>
      </c>
    </row>
    <row r="134" spans="1:28" x14ac:dyDescent="0.25">
      <c r="A134">
        <v>133</v>
      </c>
      <c r="B134">
        <v>183168</v>
      </c>
      <c r="C134">
        <v>24001542</v>
      </c>
      <c r="D134" t="s">
        <v>14</v>
      </c>
      <c r="E134" t="s">
        <v>215</v>
      </c>
      <c r="F134">
        <v>5158591</v>
      </c>
      <c r="G134">
        <v>303</v>
      </c>
      <c r="H134" t="s">
        <v>283</v>
      </c>
      <c r="I134">
        <v>6421</v>
      </c>
      <c r="J134" s="64">
        <v>45506</v>
      </c>
      <c r="K134" s="64">
        <v>45526</v>
      </c>
      <c r="L134" t="s">
        <v>372</v>
      </c>
      <c r="M134" s="64">
        <v>45527</v>
      </c>
      <c r="N134" t="s">
        <v>373</v>
      </c>
      <c r="O134" t="s">
        <v>372</v>
      </c>
      <c r="P134">
        <v>0.76</v>
      </c>
      <c r="Q134">
        <v>1.43</v>
      </c>
      <c r="R134">
        <v>4879.96</v>
      </c>
      <c r="S134">
        <v>9182.0300000000007</v>
      </c>
      <c r="T134" t="s">
        <v>70</v>
      </c>
      <c r="AA134">
        <f t="shared" si="2"/>
        <v>375177.73000000004</v>
      </c>
      <c r="AB134">
        <f>COUNTIF($D$1:D134,D134)</f>
        <v>56</v>
      </c>
    </row>
    <row r="135" spans="1:28" x14ac:dyDescent="0.25">
      <c r="A135">
        <v>134</v>
      </c>
      <c r="B135">
        <v>183185</v>
      </c>
      <c r="C135">
        <v>24001559</v>
      </c>
      <c r="D135" t="s">
        <v>14</v>
      </c>
      <c r="E135" t="s">
        <v>215</v>
      </c>
      <c r="F135">
        <v>5158603</v>
      </c>
      <c r="G135">
        <v>304</v>
      </c>
      <c r="H135" t="s">
        <v>283</v>
      </c>
      <c r="I135">
        <v>6741</v>
      </c>
      <c r="J135" s="64">
        <v>45511</v>
      </c>
      <c r="K135" s="64">
        <v>45526</v>
      </c>
      <c r="L135" t="s">
        <v>372</v>
      </c>
      <c r="M135" s="64">
        <v>45527</v>
      </c>
      <c r="N135" t="s">
        <v>373</v>
      </c>
      <c r="O135" t="s">
        <v>372</v>
      </c>
      <c r="P135">
        <v>0.77</v>
      </c>
      <c r="Q135">
        <v>1.46</v>
      </c>
      <c r="R135">
        <v>5190.57</v>
      </c>
      <c r="S135">
        <v>9841.86</v>
      </c>
      <c r="T135" t="s">
        <v>70</v>
      </c>
      <c r="AA135">
        <f t="shared" si="2"/>
        <v>375177.73000000004</v>
      </c>
      <c r="AB135">
        <f>COUNTIF($D$1:D135,D135)</f>
        <v>57</v>
      </c>
    </row>
    <row r="136" spans="1:28" x14ac:dyDescent="0.25">
      <c r="A136">
        <v>135</v>
      </c>
      <c r="B136">
        <v>183187</v>
      </c>
      <c r="C136">
        <v>24001561</v>
      </c>
      <c r="D136" t="s">
        <v>14</v>
      </c>
      <c r="E136" t="s">
        <v>215</v>
      </c>
      <c r="F136">
        <v>5158615</v>
      </c>
      <c r="G136">
        <v>305</v>
      </c>
      <c r="H136" t="s">
        <v>283</v>
      </c>
      <c r="I136">
        <v>306</v>
      </c>
      <c r="J136" s="64">
        <v>45523</v>
      </c>
      <c r="K136" s="64">
        <v>45530</v>
      </c>
      <c r="L136" t="s">
        <v>372</v>
      </c>
      <c r="M136" s="64">
        <v>45527</v>
      </c>
      <c r="N136" t="s">
        <v>374</v>
      </c>
      <c r="O136" t="s">
        <v>372</v>
      </c>
      <c r="P136">
        <v>0.7</v>
      </c>
      <c r="Q136">
        <v>1.79</v>
      </c>
      <c r="R136">
        <v>214.2</v>
      </c>
      <c r="S136">
        <v>547.74</v>
      </c>
      <c r="T136" t="s">
        <v>70</v>
      </c>
      <c r="AA136">
        <f t="shared" si="2"/>
        <v>375177.73000000004</v>
      </c>
      <c r="AB136">
        <f>COUNTIF($D$1:D136,D136)</f>
        <v>58</v>
      </c>
    </row>
    <row r="137" spans="1:28" x14ac:dyDescent="0.25">
      <c r="A137">
        <v>136</v>
      </c>
      <c r="B137">
        <v>183203</v>
      </c>
      <c r="C137">
        <v>24001577</v>
      </c>
      <c r="D137" t="s">
        <v>14</v>
      </c>
      <c r="E137" t="s">
        <v>215</v>
      </c>
      <c r="F137">
        <v>5157997</v>
      </c>
      <c r="G137">
        <v>306</v>
      </c>
      <c r="H137" t="s">
        <v>283</v>
      </c>
      <c r="I137">
        <v>1818</v>
      </c>
      <c r="J137" s="64">
        <v>45520</v>
      </c>
      <c r="K137" s="64">
        <v>45530</v>
      </c>
      <c r="L137" t="s">
        <v>372</v>
      </c>
      <c r="M137" s="64">
        <v>45527</v>
      </c>
      <c r="N137" t="s">
        <v>374</v>
      </c>
      <c r="O137" t="s">
        <v>372</v>
      </c>
      <c r="P137">
        <v>0.75</v>
      </c>
      <c r="Q137">
        <v>1.94</v>
      </c>
      <c r="R137">
        <v>1363.5</v>
      </c>
      <c r="S137">
        <v>3526.92</v>
      </c>
      <c r="T137" t="s">
        <v>70</v>
      </c>
      <c r="AA137">
        <f t="shared" si="2"/>
        <v>375177.73000000004</v>
      </c>
      <c r="AB137">
        <f>COUNTIF($D$1:D137,D137)</f>
        <v>59</v>
      </c>
    </row>
    <row r="138" spans="1:28" x14ac:dyDescent="0.25">
      <c r="A138">
        <v>137</v>
      </c>
      <c r="B138">
        <v>183201</v>
      </c>
      <c r="C138">
        <v>24001575</v>
      </c>
      <c r="D138" t="s">
        <v>14</v>
      </c>
      <c r="E138" t="s">
        <v>215</v>
      </c>
      <c r="F138">
        <v>5158598</v>
      </c>
      <c r="G138">
        <v>305</v>
      </c>
      <c r="H138" t="s">
        <v>283</v>
      </c>
      <c r="I138">
        <v>2426</v>
      </c>
      <c r="J138" s="64">
        <v>45519</v>
      </c>
      <c r="K138" s="64">
        <v>45524</v>
      </c>
      <c r="L138" t="s">
        <v>372</v>
      </c>
      <c r="M138" s="64">
        <v>45527</v>
      </c>
      <c r="N138" t="s">
        <v>373</v>
      </c>
      <c r="O138" t="s">
        <v>372</v>
      </c>
      <c r="P138">
        <v>0.74</v>
      </c>
      <c r="Q138">
        <v>1.38</v>
      </c>
      <c r="R138">
        <v>1795.24</v>
      </c>
      <c r="S138">
        <v>3347.88</v>
      </c>
      <c r="T138" t="s">
        <v>70</v>
      </c>
      <c r="AA138">
        <f t="shared" si="2"/>
        <v>375177.73000000004</v>
      </c>
      <c r="AB138">
        <f>COUNTIF($D$1:D138,D138)</f>
        <v>60</v>
      </c>
    </row>
    <row r="139" spans="1:28" x14ac:dyDescent="0.25">
      <c r="A139">
        <v>138</v>
      </c>
      <c r="B139">
        <v>183433</v>
      </c>
      <c r="C139">
        <v>24001623</v>
      </c>
      <c r="D139" t="s">
        <v>14</v>
      </c>
      <c r="E139" t="s">
        <v>215</v>
      </c>
      <c r="F139">
        <v>5158037</v>
      </c>
      <c r="G139">
        <v>380</v>
      </c>
      <c r="H139" t="s">
        <v>283</v>
      </c>
      <c r="I139">
        <v>2686</v>
      </c>
      <c r="J139" s="64">
        <v>45530</v>
      </c>
      <c r="K139" s="64">
        <v>45533</v>
      </c>
      <c r="L139" t="s">
        <v>372</v>
      </c>
      <c r="M139" s="64">
        <v>45548</v>
      </c>
      <c r="N139" t="s">
        <v>373</v>
      </c>
      <c r="O139" t="s">
        <v>376</v>
      </c>
      <c r="P139">
        <v>0.65</v>
      </c>
      <c r="Q139">
        <v>1.64</v>
      </c>
      <c r="R139">
        <v>1745.9</v>
      </c>
      <c r="S139">
        <v>4405.04</v>
      </c>
      <c r="T139" t="s">
        <v>70</v>
      </c>
      <c r="AA139">
        <f t="shared" si="2"/>
        <v>375177.73000000004</v>
      </c>
      <c r="AB139">
        <f>COUNTIF($D$1:D139,D139)</f>
        <v>61</v>
      </c>
    </row>
    <row r="140" spans="1:28" x14ac:dyDescent="0.25">
      <c r="A140">
        <v>139</v>
      </c>
      <c r="B140">
        <v>182974</v>
      </c>
      <c r="C140">
        <v>24001437</v>
      </c>
      <c r="D140" t="s">
        <v>14</v>
      </c>
      <c r="E140" t="s">
        <v>215</v>
      </c>
      <c r="F140">
        <v>5158619</v>
      </c>
      <c r="G140">
        <v>247</v>
      </c>
      <c r="H140" t="s">
        <v>283</v>
      </c>
      <c r="I140">
        <v>39</v>
      </c>
      <c r="J140" s="64">
        <v>45513</v>
      </c>
      <c r="K140" s="64">
        <v>45516</v>
      </c>
      <c r="L140" t="s">
        <v>372</v>
      </c>
      <c r="M140" s="64">
        <v>45492</v>
      </c>
      <c r="N140" t="s">
        <v>374</v>
      </c>
      <c r="O140" t="s">
        <v>377</v>
      </c>
      <c r="P140">
        <v>0.7</v>
      </c>
      <c r="Q140">
        <v>1.71</v>
      </c>
      <c r="R140">
        <v>27.3</v>
      </c>
      <c r="S140">
        <v>66.69</v>
      </c>
      <c r="T140" t="s">
        <v>70</v>
      </c>
      <c r="AA140">
        <f t="shared" si="2"/>
        <v>375177.73000000004</v>
      </c>
      <c r="AB140">
        <f>COUNTIF($D$1:D140,D140)</f>
        <v>62</v>
      </c>
    </row>
    <row r="141" spans="1:28" x14ac:dyDescent="0.25">
      <c r="A141">
        <v>140</v>
      </c>
      <c r="B141">
        <v>183200</v>
      </c>
      <c r="C141">
        <v>24001574</v>
      </c>
      <c r="D141" t="s">
        <v>14</v>
      </c>
      <c r="E141" t="s">
        <v>215</v>
      </c>
      <c r="F141">
        <v>5158617</v>
      </c>
      <c r="G141">
        <v>305</v>
      </c>
      <c r="H141" t="s">
        <v>283</v>
      </c>
      <c r="I141">
        <v>2253</v>
      </c>
      <c r="J141" s="64">
        <v>45516</v>
      </c>
      <c r="K141" s="64">
        <v>45520</v>
      </c>
      <c r="L141" t="s">
        <v>372</v>
      </c>
      <c r="M141" s="64">
        <v>45527</v>
      </c>
      <c r="N141" t="s">
        <v>373</v>
      </c>
      <c r="O141" t="s">
        <v>372</v>
      </c>
      <c r="P141">
        <v>0.74</v>
      </c>
      <c r="Q141">
        <v>1.38</v>
      </c>
      <c r="R141">
        <v>1667.22</v>
      </c>
      <c r="S141">
        <v>3109.14</v>
      </c>
      <c r="T141" t="s">
        <v>70</v>
      </c>
      <c r="AA141">
        <f t="shared" si="2"/>
        <v>375177.73000000004</v>
      </c>
      <c r="AB141">
        <f>COUNTIF($D$1:D141,D141)</f>
        <v>63</v>
      </c>
    </row>
    <row r="142" spans="1:28" x14ac:dyDescent="0.25">
      <c r="A142">
        <v>141</v>
      </c>
      <c r="B142">
        <v>183220</v>
      </c>
      <c r="C142">
        <v>24001592</v>
      </c>
      <c r="D142" t="s">
        <v>14</v>
      </c>
      <c r="E142" t="s">
        <v>215</v>
      </c>
      <c r="F142">
        <v>5159305</v>
      </c>
      <c r="G142">
        <v>354</v>
      </c>
      <c r="H142" t="s">
        <v>283</v>
      </c>
      <c r="I142">
        <v>4621</v>
      </c>
      <c r="J142" s="64">
        <v>45525</v>
      </c>
      <c r="K142" s="64">
        <v>45527</v>
      </c>
      <c r="L142" t="s">
        <v>372</v>
      </c>
      <c r="M142" s="64">
        <v>45534</v>
      </c>
      <c r="N142" t="s">
        <v>373</v>
      </c>
      <c r="O142" t="s">
        <v>372</v>
      </c>
      <c r="P142">
        <v>0.83</v>
      </c>
      <c r="Q142">
        <v>2.1800000000000002</v>
      </c>
      <c r="R142">
        <v>3835.43</v>
      </c>
      <c r="S142">
        <v>10073.780000000001</v>
      </c>
      <c r="T142" t="s">
        <v>70</v>
      </c>
      <c r="AA142">
        <f t="shared" si="2"/>
        <v>375177.73000000004</v>
      </c>
      <c r="AB142">
        <f>COUNTIF($D$1:D142,D142)</f>
        <v>64</v>
      </c>
    </row>
    <row r="143" spans="1:28" x14ac:dyDescent="0.25">
      <c r="A143">
        <v>142</v>
      </c>
      <c r="B143">
        <v>183167</v>
      </c>
      <c r="C143">
        <v>24001541</v>
      </c>
      <c r="D143" t="s">
        <v>14</v>
      </c>
      <c r="E143" t="s">
        <v>215</v>
      </c>
      <c r="F143">
        <v>5158001</v>
      </c>
      <c r="G143">
        <v>303</v>
      </c>
      <c r="H143" t="s">
        <v>283</v>
      </c>
      <c r="I143">
        <v>1020</v>
      </c>
      <c r="J143" s="64">
        <v>45517</v>
      </c>
      <c r="K143" s="64">
        <v>45534</v>
      </c>
      <c r="L143" t="s">
        <v>372</v>
      </c>
      <c r="M143" s="64">
        <v>45527</v>
      </c>
      <c r="N143" t="s">
        <v>374</v>
      </c>
      <c r="O143" t="s">
        <v>372</v>
      </c>
      <c r="P143">
        <v>0.83</v>
      </c>
      <c r="Q143">
        <v>2.13</v>
      </c>
      <c r="R143">
        <v>846.6</v>
      </c>
      <c r="S143">
        <v>2172.6</v>
      </c>
      <c r="T143" t="s">
        <v>70</v>
      </c>
      <c r="AA143">
        <f t="shared" si="2"/>
        <v>375177.73000000004</v>
      </c>
      <c r="AB143">
        <f>COUNTIF($D$1:D143,D143)</f>
        <v>65</v>
      </c>
    </row>
    <row r="144" spans="1:28" x14ac:dyDescent="0.25">
      <c r="A144">
        <v>143</v>
      </c>
      <c r="B144">
        <v>183166</v>
      </c>
      <c r="C144">
        <v>24001540</v>
      </c>
      <c r="D144" t="s">
        <v>14</v>
      </c>
      <c r="E144" t="s">
        <v>215</v>
      </c>
      <c r="F144">
        <v>5157996</v>
      </c>
      <c r="G144">
        <v>303</v>
      </c>
      <c r="H144" t="s">
        <v>283</v>
      </c>
      <c r="I144">
        <v>1938</v>
      </c>
      <c r="J144" s="64">
        <v>45517</v>
      </c>
      <c r="K144" s="64">
        <v>45517</v>
      </c>
      <c r="L144" t="s">
        <v>372</v>
      </c>
      <c r="M144" s="64">
        <v>45527</v>
      </c>
      <c r="N144" t="s">
        <v>373</v>
      </c>
      <c r="O144" t="s">
        <v>372</v>
      </c>
      <c r="P144">
        <v>0.83</v>
      </c>
      <c r="Q144">
        <v>2.13</v>
      </c>
      <c r="R144">
        <v>1608.54</v>
      </c>
      <c r="S144">
        <v>4127.9399999999996</v>
      </c>
      <c r="T144" t="s">
        <v>70</v>
      </c>
      <c r="AA144">
        <f t="shared" si="2"/>
        <v>375177.73000000004</v>
      </c>
      <c r="AB144">
        <f>COUNTIF($D$1:D144,D144)</f>
        <v>66</v>
      </c>
    </row>
    <row r="145" spans="1:28" x14ac:dyDescent="0.25">
      <c r="A145">
        <v>144</v>
      </c>
      <c r="B145">
        <v>183211</v>
      </c>
      <c r="C145">
        <v>24001585</v>
      </c>
      <c r="D145" t="s">
        <v>14</v>
      </c>
      <c r="E145" t="s">
        <v>215</v>
      </c>
      <c r="F145">
        <v>5158597</v>
      </c>
      <c r="G145">
        <v>306</v>
      </c>
      <c r="H145" t="s">
        <v>283</v>
      </c>
      <c r="I145">
        <v>1053</v>
      </c>
      <c r="J145" s="64">
        <v>45518</v>
      </c>
      <c r="K145" s="64">
        <v>45518</v>
      </c>
      <c r="L145" t="s">
        <v>372</v>
      </c>
      <c r="M145" s="64">
        <v>45527</v>
      </c>
      <c r="N145" t="s">
        <v>373</v>
      </c>
      <c r="O145" t="s">
        <v>372</v>
      </c>
      <c r="P145">
        <v>1.01</v>
      </c>
      <c r="Q145">
        <v>2.3199999999999998</v>
      </c>
      <c r="R145">
        <v>1063.53</v>
      </c>
      <c r="S145">
        <v>2442.96</v>
      </c>
      <c r="T145" t="s">
        <v>70</v>
      </c>
      <c r="AA145">
        <f t="shared" si="2"/>
        <v>375177.73000000004</v>
      </c>
      <c r="AB145">
        <f>COUNTIF($D$1:D145,D145)</f>
        <v>67</v>
      </c>
    </row>
    <row r="146" spans="1:28" x14ac:dyDescent="0.25">
      <c r="A146">
        <v>145</v>
      </c>
      <c r="B146">
        <v>183186</v>
      </c>
      <c r="C146">
        <v>24001560</v>
      </c>
      <c r="D146" t="s">
        <v>14</v>
      </c>
      <c r="E146" t="s">
        <v>215</v>
      </c>
      <c r="F146">
        <v>5158610</v>
      </c>
      <c r="G146">
        <v>305</v>
      </c>
      <c r="H146" t="s">
        <v>283</v>
      </c>
      <c r="I146">
        <v>1765</v>
      </c>
      <c r="J146" s="64">
        <v>45523</v>
      </c>
      <c r="K146" s="64">
        <v>45526</v>
      </c>
      <c r="L146" t="s">
        <v>372</v>
      </c>
      <c r="M146" s="64">
        <v>45555</v>
      </c>
      <c r="N146" t="s">
        <v>373</v>
      </c>
      <c r="O146" t="s">
        <v>376</v>
      </c>
      <c r="P146">
        <v>0.7</v>
      </c>
      <c r="Q146">
        <v>1.79</v>
      </c>
      <c r="R146">
        <v>1235.5</v>
      </c>
      <c r="S146">
        <v>3159.35</v>
      </c>
      <c r="T146" t="s">
        <v>70</v>
      </c>
      <c r="AA146">
        <f t="shared" si="2"/>
        <v>375177.73000000004</v>
      </c>
      <c r="AB146">
        <f>COUNTIF($D$1:D146,D146)</f>
        <v>68</v>
      </c>
    </row>
    <row r="147" spans="1:28" x14ac:dyDescent="0.25">
      <c r="A147">
        <v>146</v>
      </c>
      <c r="B147">
        <v>183218</v>
      </c>
      <c r="C147">
        <v>24001588</v>
      </c>
      <c r="D147" t="s">
        <v>14</v>
      </c>
      <c r="E147" t="s">
        <v>215</v>
      </c>
      <c r="F147">
        <v>5158599</v>
      </c>
      <c r="G147">
        <v>348</v>
      </c>
      <c r="H147" t="s">
        <v>283</v>
      </c>
      <c r="I147">
        <v>1836</v>
      </c>
      <c r="J147" s="64">
        <v>45524</v>
      </c>
      <c r="K147" s="64">
        <v>45530</v>
      </c>
      <c r="L147" t="s">
        <v>372</v>
      </c>
      <c r="M147" s="64">
        <v>45527</v>
      </c>
      <c r="N147" t="s">
        <v>374</v>
      </c>
      <c r="O147" t="s">
        <v>372</v>
      </c>
      <c r="P147">
        <v>0.7</v>
      </c>
      <c r="Q147">
        <v>1.71</v>
      </c>
      <c r="R147">
        <v>1285.2</v>
      </c>
      <c r="S147">
        <v>3139.56</v>
      </c>
      <c r="T147" t="s">
        <v>70</v>
      </c>
      <c r="AA147">
        <f t="shared" si="2"/>
        <v>375177.73000000004</v>
      </c>
      <c r="AB147">
        <f>COUNTIF($D$1:D147,D147)</f>
        <v>69</v>
      </c>
    </row>
    <row r="148" spans="1:28" x14ac:dyDescent="0.25">
      <c r="A148">
        <v>147</v>
      </c>
      <c r="B148">
        <v>183441</v>
      </c>
      <c r="C148">
        <v>24001646</v>
      </c>
      <c r="D148" t="s">
        <v>14</v>
      </c>
      <c r="E148" t="s">
        <v>215</v>
      </c>
      <c r="F148">
        <v>5158619</v>
      </c>
      <c r="G148">
        <v>382</v>
      </c>
      <c r="H148" t="s">
        <v>283</v>
      </c>
      <c r="I148">
        <v>6473</v>
      </c>
      <c r="J148" s="64">
        <v>45531</v>
      </c>
      <c r="K148" s="64">
        <v>45534</v>
      </c>
      <c r="L148" t="s">
        <v>372</v>
      </c>
      <c r="M148" s="64">
        <v>45548</v>
      </c>
      <c r="N148" t="s">
        <v>373</v>
      </c>
      <c r="O148" t="s">
        <v>376</v>
      </c>
      <c r="P148">
        <v>0.7</v>
      </c>
      <c r="Q148">
        <v>1.71</v>
      </c>
      <c r="R148">
        <v>4531.1000000000004</v>
      </c>
      <c r="S148">
        <v>11068.83</v>
      </c>
      <c r="T148" t="s">
        <v>70</v>
      </c>
      <c r="AA148">
        <f t="shared" si="2"/>
        <v>375177.73000000004</v>
      </c>
      <c r="AB148">
        <f>COUNTIF($D$1:D148,D148)</f>
        <v>70</v>
      </c>
    </row>
    <row r="149" spans="1:28" x14ac:dyDescent="0.25">
      <c r="A149">
        <v>148</v>
      </c>
      <c r="B149">
        <v>183116</v>
      </c>
      <c r="C149">
        <v>24001518</v>
      </c>
      <c r="D149" t="s">
        <v>14</v>
      </c>
      <c r="E149" t="s">
        <v>215</v>
      </c>
      <c r="F149">
        <v>5159305</v>
      </c>
      <c r="G149">
        <v>299</v>
      </c>
      <c r="H149" t="s">
        <v>284</v>
      </c>
      <c r="I149">
        <v>818</v>
      </c>
      <c r="J149" s="64">
        <v>45505</v>
      </c>
      <c r="K149" s="64">
        <v>45505</v>
      </c>
      <c r="L149" t="s">
        <v>372</v>
      </c>
      <c r="M149" s="64">
        <v>45510</v>
      </c>
      <c r="N149" t="s">
        <v>373</v>
      </c>
      <c r="O149" t="s">
        <v>372</v>
      </c>
      <c r="P149">
        <v>0.83</v>
      </c>
      <c r="Q149">
        <v>2.1800000000000002</v>
      </c>
      <c r="R149">
        <v>678.94</v>
      </c>
      <c r="S149">
        <v>1783.24</v>
      </c>
      <c r="T149" t="s">
        <v>70</v>
      </c>
      <c r="AA149">
        <f t="shared" si="2"/>
        <v>375177.73000000004</v>
      </c>
      <c r="AB149">
        <f>COUNTIF($D$1:D149,D149)</f>
        <v>71</v>
      </c>
    </row>
    <row r="150" spans="1:28" x14ac:dyDescent="0.25">
      <c r="A150">
        <v>149</v>
      </c>
      <c r="B150">
        <v>183118</v>
      </c>
      <c r="C150">
        <v>24001520</v>
      </c>
      <c r="D150" t="s">
        <v>14</v>
      </c>
      <c r="E150" t="s">
        <v>215</v>
      </c>
      <c r="F150">
        <v>5159296</v>
      </c>
      <c r="G150">
        <v>299</v>
      </c>
      <c r="H150" t="s">
        <v>284</v>
      </c>
      <c r="I150">
        <v>614</v>
      </c>
      <c r="J150" s="64">
        <v>45506</v>
      </c>
      <c r="K150" s="64">
        <v>45512</v>
      </c>
      <c r="L150" t="s">
        <v>372</v>
      </c>
      <c r="M150" s="64">
        <v>45510</v>
      </c>
      <c r="N150" t="s">
        <v>374</v>
      </c>
      <c r="O150" t="s">
        <v>372</v>
      </c>
      <c r="P150">
        <v>0.83</v>
      </c>
      <c r="Q150">
        <v>2.1800000000000002</v>
      </c>
      <c r="R150">
        <v>509.62</v>
      </c>
      <c r="S150">
        <v>1338.52</v>
      </c>
      <c r="T150" t="s">
        <v>70</v>
      </c>
      <c r="AA150">
        <f t="shared" si="2"/>
        <v>375177.73000000004</v>
      </c>
      <c r="AB150">
        <f>COUNTIF($D$1:D150,D150)</f>
        <v>72</v>
      </c>
    </row>
    <row r="151" spans="1:28" x14ac:dyDescent="0.25">
      <c r="A151">
        <v>150</v>
      </c>
      <c r="B151">
        <v>183165</v>
      </c>
      <c r="C151">
        <v>24001539</v>
      </c>
      <c r="D151" t="s">
        <v>14</v>
      </c>
      <c r="E151" t="s">
        <v>215</v>
      </c>
      <c r="F151">
        <v>5158594</v>
      </c>
      <c r="G151">
        <v>303</v>
      </c>
      <c r="H151" t="s">
        <v>284</v>
      </c>
      <c r="I151">
        <v>4472</v>
      </c>
      <c r="J151" s="64">
        <v>45505</v>
      </c>
      <c r="K151" s="64">
        <v>45516</v>
      </c>
      <c r="L151" t="s">
        <v>372</v>
      </c>
      <c r="M151" s="64">
        <v>45512</v>
      </c>
      <c r="N151" t="s">
        <v>374</v>
      </c>
      <c r="O151" t="s">
        <v>372</v>
      </c>
      <c r="P151">
        <v>0.7</v>
      </c>
      <c r="Q151">
        <v>1.64</v>
      </c>
      <c r="R151">
        <v>3130.4</v>
      </c>
      <c r="S151">
        <v>7334.08</v>
      </c>
      <c r="T151" t="s">
        <v>70</v>
      </c>
      <c r="AA151">
        <f t="shared" si="2"/>
        <v>375177.73000000004</v>
      </c>
      <c r="AB151">
        <f>COUNTIF($D$1:D151,D151)</f>
        <v>73</v>
      </c>
    </row>
    <row r="152" spans="1:28" x14ac:dyDescent="0.25">
      <c r="A152">
        <v>151</v>
      </c>
      <c r="B152">
        <v>183168</v>
      </c>
      <c r="C152">
        <v>24001542</v>
      </c>
      <c r="D152" t="s">
        <v>14</v>
      </c>
      <c r="E152" t="s">
        <v>215</v>
      </c>
      <c r="F152">
        <v>5158591</v>
      </c>
      <c r="G152">
        <v>303</v>
      </c>
      <c r="H152" t="s">
        <v>284</v>
      </c>
      <c r="I152">
        <v>5361</v>
      </c>
      <c r="J152" s="64">
        <v>45509</v>
      </c>
      <c r="K152" s="64">
        <v>45512</v>
      </c>
      <c r="L152" t="s">
        <v>372</v>
      </c>
      <c r="M152" s="64">
        <v>45527</v>
      </c>
      <c r="N152" t="s">
        <v>373</v>
      </c>
      <c r="O152" t="s">
        <v>372</v>
      </c>
      <c r="P152">
        <v>0.76</v>
      </c>
      <c r="Q152">
        <v>1.43</v>
      </c>
      <c r="R152">
        <v>4074.36</v>
      </c>
      <c r="S152">
        <v>7666.23</v>
      </c>
      <c r="T152" t="s">
        <v>70</v>
      </c>
      <c r="AA152">
        <f t="shared" si="2"/>
        <v>375177.73000000004</v>
      </c>
      <c r="AB152">
        <f>COUNTIF($D$1:D152,D152)</f>
        <v>74</v>
      </c>
    </row>
    <row r="153" spans="1:28" x14ac:dyDescent="0.25">
      <c r="A153">
        <v>152</v>
      </c>
      <c r="B153">
        <v>183185</v>
      </c>
      <c r="C153">
        <v>24001559</v>
      </c>
      <c r="D153" t="s">
        <v>14</v>
      </c>
      <c r="E153" t="s">
        <v>215</v>
      </c>
      <c r="F153">
        <v>5158603</v>
      </c>
      <c r="G153">
        <v>304</v>
      </c>
      <c r="H153" t="s">
        <v>284</v>
      </c>
      <c r="I153">
        <v>4626</v>
      </c>
      <c r="J153" s="64">
        <v>45510</v>
      </c>
      <c r="K153" s="64">
        <v>45517</v>
      </c>
      <c r="L153" t="s">
        <v>372</v>
      </c>
      <c r="M153" s="64">
        <v>45527</v>
      </c>
      <c r="N153" t="s">
        <v>373</v>
      </c>
      <c r="O153" t="s">
        <v>372</v>
      </c>
      <c r="P153">
        <v>0.77</v>
      </c>
      <c r="Q153">
        <v>1.46</v>
      </c>
      <c r="R153">
        <v>3562.02</v>
      </c>
      <c r="S153">
        <v>6753.96</v>
      </c>
      <c r="T153" t="s">
        <v>70</v>
      </c>
      <c r="AA153">
        <f t="shared" si="2"/>
        <v>375177.73000000004</v>
      </c>
      <c r="AB153">
        <f>COUNTIF($D$1:D153,D153)</f>
        <v>75</v>
      </c>
    </row>
    <row r="154" spans="1:28" x14ac:dyDescent="0.25">
      <c r="A154">
        <v>153</v>
      </c>
      <c r="B154">
        <v>183186</v>
      </c>
      <c r="C154">
        <v>24001560</v>
      </c>
      <c r="D154" t="s">
        <v>14</v>
      </c>
      <c r="E154" t="s">
        <v>215</v>
      </c>
      <c r="F154">
        <v>5158610</v>
      </c>
      <c r="G154">
        <v>305</v>
      </c>
      <c r="H154" t="s">
        <v>284</v>
      </c>
      <c r="I154">
        <v>464</v>
      </c>
      <c r="J154" s="64">
        <v>45520</v>
      </c>
      <c r="K154" s="64">
        <v>45533</v>
      </c>
      <c r="L154" t="s">
        <v>372</v>
      </c>
      <c r="M154" s="64">
        <v>45555</v>
      </c>
      <c r="N154" t="s">
        <v>373</v>
      </c>
      <c r="O154" t="s">
        <v>376</v>
      </c>
      <c r="P154">
        <v>0.7</v>
      </c>
      <c r="Q154">
        <v>1.79</v>
      </c>
      <c r="R154">
        <v>324.8</v>
      </c>
      <c r="S154">
        <v>830.56</v>
      </c>
      <c r="T154" t="s">
        <v>70</v>
      </c>
      <c r="AA154">
        <f t="shared" si="2"/>
        <v>375177.73000000004</v>
      </c>
      <c r="AB154">
        <f>COUNTIF($D$1:D154,D154)</f>
        <v>76</v>
      </c>
    </row>
    <row r="155" spans="1:28" x14ac:dyDescent="0.25">
      <c r="A155">
        <v>154</v>
      </c>
      <c r="B155">
        <v>183201</v>
      </c>
      <c r="C155">
        <v>24001575</v>
      </c>
      <c r="D155" t="s">
        <v>14</v>
      </c>
      <c r="E155" t="s">
        <v>215</v>
      </c>
      <c r="F155">
        <v>5158598</v>
      </c>
      <c r="G155">
        <v>305</v>
      </c>
      <c r="H155" t="s">
        <v>284</v>
      </c>
      <c r="I155">
        <v>3265</v>
      </c>
      <c r="J155" s="64">
        <v>45518</v>
      </c>
      <c r="K155" s="64">
        <v>45533</v>
      </c>
      <c r="L155" t="s">
        <v>372</v>
      </c>
      <c r="M155" s="64">
        <v>45527</v>
      </c>
      <c r="N155" t="s">
        <v>374</v>
      </c>
      <c r="O155" t="s">
        <v>372</v>
      </c>
      <c r="P155">
        <v>0.74</v>
      </c>
      <c r="Q155">
        <v>1.38</v>
      </c>
      <c r="R155">
        <v>2416.1</v>
      </c>
      <c r="S155">
        <v>4505.7</v>
      </c>
      <c r="T155" t="s">
        <v>70</v>
      </c>
      <c r="AA155">
        <f t="shared" si="2"/>
        <v>375177.73000000004</v>
      </c>
      <c r="AB155">
        <f>COUNTIF($D$1:D155,D155)</f>
        <v>77</v>
      </c>
    </row>
    <row r="156" spans="1:28" x14ac:dyDescent="0.25">
      <c r="A156">
        <v>155</v>
      </c>
      <c r="B156">
        <v>183211</v>
      </c>
      <c r="C156">
        <v>24001585</v>
      </c>
      <c r="D156" t="s">
        <v>14</v>
      </c>
      <c r="E156" t="s">
        <v>215</v>
      </c>
      <c r="F156">
        <v>5158597</v>
      </c>
      <c r="G156">
        <v>306</v>
      </c>
      <c r="H156" t="s">
        <v>284</v>
      </c>
      <c r="I156">
        <v>1156</v>
      </c>
      <c r="J156" s="64">
        <v>45519</v>
      </c>
      <c r="K156" s="64">
        <v>45534</v>
      </c>
      <c r="L156" t="s">
        <v>372</v>
      </c>
      <c r="M156" s="64">
        <v>45527</v>
      </c>
      <c r="N156" t="s">
        <v>374</v>
      </c>
      <c r="O156" t="s">
        <v>372</v>
      </c>
      <c r="P156">
        <v>1.01</v>
      </c>
      <c r="Q156">
        <v>2.3199999999999998</v>
      </c>
      <c r="R156">
        <v>1167.56</v>
      </c>
      <c r="S156">
        <v>2681.92</v>
      </c>
      <c r="T156" t="s">
        <v>70</v>
      </c>
      <c r="AA156">
        <f t="shared" si="2"/>
        <v>375177.73000000004</v>
      </c>
      <c r="AB156">
        <f>COUNTIF($D$1:D156,D156)</f>
        <v>78</v>
      </c>
    </row>
    <row r="157" spans="1:28" x14ac:dyDescent="0.25">
      <c r="A157">
        <v>156</v>
      </c>
      <c r="B157">
        <v>183442</v>
      </c>
      <c r="C157">
        <v>24001647</v>
      </c>
      <c r="D157" t="s">
        <v>14</v>
      </c>
      <c r="E157" t="s">
        <v>215</v>
      </c>
      <c r="F157" t="s">
        <v>405</v>
      </c>
      <c r="G157">
        <v>382</v>
      </c>
      <c r="H157" t="s">
        <v>284</v>
      </c>
      <c r="I157">
        <v>785</v>
      </c>
      <c r="J157" s="64">
        <v>45533</v>
      </c>
      <c r="K157" s="64">
        <v>45534</v>
      </c>
      <c r="L157" t="s">
        <v>372</v>
      </c>
      <c r="M157" s="64">
        <v>45548</v>
      </c>
      <c r="N157" t="s">
        <v>373</v>
      </c>
      <c r="O157" t="s">
        <v>376</v>
      </c>
      <c r="P157">
        <v>0.67</v>
      </c>
      <c r="Q157">
        <v>1.83</v>
      </c>
      <c r="R157">
        <v>525.95000000000005</v>
      </c>
      <c r="S157">
        <v>1436.55</v>
      </c>
      <c r="T157" t="s">
        <v>70</v>
      </c>
      <c r="AA157">
        <f t="shared" si="2"/>
        <v>375177.73000000004</v>
      </c>
      <c r="AB157">
        <f>COUNTIF($D$1:D157,D157)</f>
        <v>79</v>
      </c>
    </row>
    <row r="158" spans="1:28" x14ac:dyDescent="0.25">
      <c r="A158">
        <v>157</v>
      </c>
      <c r="B158">
        <v>183200</v>
      </c>
      <c r="C158">
        <v>24001574</v>
      </c>
      <c r="D158" t="s">
        <v>14</v>
      </c>
      <c r="E158" t="s">
        <v>215</v>
      </c>
      <c r="F158">
        <v>5158617</v>
      </c>
      <c r="G158">
        <v>305</v>
      </c>
      <c r="H158" t="s">
        <v>284</v>
      </c>
      <c r="I158">
        <v>3183</v>
      </c>
      <c r="J158" s="64">
        <v>45513</v>
      </c>
      <c r="K158" s="64">
        <v>45518</v>
      </c>
      <c r="L158" t="s">
        <v>372</v>
      </c>
      <c r="M158" s="64">
        <v>45527</v>
      </c>
      <c r="N158" t="s">
        <v>373</v>
      </c>
      <c r="O158" t="s">
        <v>372</v>
      </c>
      <c r="P158">
        <v>0.74</v>
      </c>
      <c r="Q158">
        <v>1.38</v>
      </c>
      <c r="R158">
        <v>2355.42</v>
      </c>
      <c r="S158">
        <v>4392.54</v>
      </c>
      <c r="T158" t="s">
        <v>70</v>
      </c>
      <c r="AA158">
        <f t="shared" si="2"/>
        <v>375177.73000000004</v>
      </c>
      <c r="AB158">
        <f>COUNTIF($D$1:D158,D158)</f>
        <v>80</v>
      </c>
    </row>
    <row r="159" spans="1:28" x14ac:dyDescent="0.25">
      <c r="A159">
        <v>158</v>
      </c>
      <c r="B159">
        <v>183220</v>
      </c>
      <c r="C159">
        <v>24001592</v>
      </c>
      <c r="D159" t="s">
        <v>14</v>
      </c>
      <c r="E159" t="s">
        <v>215</v>
      </c>
      <c r="F159">
        <v>5159305</v>
      </c>
      <c r="G159">
        <v>354</v>
      </c>
      <c r="H159" t="s">
        <v>284</v>
      </c>
      <c r="I159">
        <v>4209</v>
      </c>
      <c r="J159" s="64">
        <v>45526</v>
      </c>
      <c r="K159" s="64">
        <v>45534</v>
      </c>
      <c r="L159" t="s">
        <v>372</v>
      </c>
      <c r="M159" s="64">
        <v>45534</v>
      </c>
      <c r="N159" t="s">
        <v>373</v>
      </c>
      <c r="O159" t="s">
        <v>372</v>
      </c>
      <c r="P159">
        <v>0.83</v>
      </c>
      <c r="Q159">
        <v>2.1800000000000002</v>
      </c>
      <c r="R159">
        <v>3493.47</v>
      </c>
      <c r="S159">
        <v>9175.6200000000008</v>
      </c>
      <c r="T159" t="s">
        <v>70</v>
      </c>
      <c r="AA159">
        <f t="shared" si="2"/>
        <v>375177.73000000004</v>
      </c>
      <c r="AB159">
        <f>COUNTIF($D$1:D159,D159)</f>
        <v>81</v>
      </c>
    </row>
    <row r="160" spans="1:28" x14ac:dyDescent="0.25">
      <c r="A160">
        <v>159</v>
      </c>
      <c r="B160">
        <v>183167</v>
      </c>
      <c r="C160">
        <v>24001541</v>
      </c>
      <c r="D160" t="s">
        <v>14</v>
      </c>
      <c r="E160" t="s">
        <v>215</v>
      </c>
      <c r="F160">
        <v>5158001</v>
      </c>
      <c r="G160">
        <v>303</v>
      </c>
      <c r="H160" t="s">
        <v>284</v>
      </c>
      <c r="I160">
        <v>2612</v>
      </c>
      <c r="J160" s="64">
        <v>45517</v>
      </c>
      <c r="K160" s="64">
        <v>45523</v>
      </c>
      <c r="L160" t="s">
        <v>372</v>
      </c>
      <c r="M160" s="64">
        <v>45527</v>
      </c>
      <c r="N160" t="s">
        <v>373</v>
      </c>
      <c r="O160" t="s">
        <v>372</v>
      </c>
      <c r="P160">
        <v>0.83</v>
      </c>
      <c r="Q160">
        <v>2.13</v>
      </c>
      <c r="R160">
        <v>2167.96</v>
      </c>
      <c r="S160">
        <v>5563.56</v>
      </c>
      <c r="T160" t="s">
        <v>70</v>
      </c>
      <c r="AA160">
        <f t="shared" si="2"/>
        <v>375177.73000000004</v>
      </c>
      <c r="AB160">
        <f>COUNTIF($D$1:D160,D160)</f>
        <v>82</v>
      </c>
    </row>
    <row r="161" spans="1:28" x14ac:dyDescent="0.25">
      <c r="A161">
        <v>160</v>
      </c>
      <c r="B161">
        <v>183187</v>
      </c>
      <c r="C161">
        <v>24001561</v>
      </c>
      <c r="D161" t="s">
        <v>14</v>
      </c>
      <c r="E161" t="s">
        <v>215</v>
      </c>
      <c r="F161">
        <v>5158615</v>
      </c>
      <c r="G161">
        <v>305</v>
      </c>
      <c r="H161" t="s">
        <v>284</v>
      </c>
      <c r="I161">
        <v>1665</v>
      </c>
      <c r="J161" s="64">
        <v>45523</v>
      </c>
      <c r="K161" s="64">
        <v>45526</v>
      </c>
      <c r="L161" t="s">
        <v>372</v>
      </c>
      <c r="M161" s="64">
        <v>45513</v>
      </c>
      <c r="N161" t="s">
        <v>374</v>
      </c>
      <c r="O161" t="s">
        <v>372</v>
      </c>
      <c r="P161">
        <v>0.7</v>
      </c>
      <c r="Q161">
        <v>1.79</v>
      </c>
      <c r="R161">
        <v>1165.5</v>
      </c>
      <c r="S161">
        <v>2980.35</v>
      </c>
      <c r="T161" t="s">
        <v>70</v>
      </c>
      <c r="AA161">
        <f t="shared" si="2"/>
        <v>375177.73000000004</v>
      </c>
      <c r="AB161">
        <f>COUNTIF($D$1:D161,D161)</f>
        <v>83</v>
      </c>
    </row>
    <row r="162" spans="1:28" x14ac:dyDescent="0.25">
      <c r="A162">
        <v>161</v>
      </c>
      <c r="B162">
        <v>183218</v>
      </c>
      <c r="C162">
        <v>24001588</v>
      </c>
      <c r="D162" t="s">
        <v>14</v>
      </c>
      <c r="E162" t="s">
        <v>215</v>
      </c>
      <c r="F162">
        <v>5158599</v>
      </c>
      <c r="G162">
        <v>348</v>
      </c>
      <c r="H162" t="s">
        <v>284</v>
      </c>
      <c r="I162">
        <v>2061</v>
      </c>
      <c r="J162" s="64">
        <v>45524</v>
      </c>
      <c r="K162" s="64">
        <v>45534</v>
      </c>
      <c r="L162" t="s">
        <v>372</v>
      </c>
      <c r="M162" s="64">
        <v>45527</v>
      </c>
      <c r="N162" t="s">
        <v>374</v>
      </c>
      <c r="O162" t="s">
        <v>372</v>
      </c>
      <c r="P162">
        <v>0.7</v>
      </c>
      <c r="Q162">
        <v>1.71</v>
      </c>
      <c r="R162">
        <v>1442.7</v>
      </c>
      <c r="S162">
        <v>3524.31</v>
      </c>
      <c r="T162" t="s">
        <v>70</v>
      </c>
      <c r="AA162">
        <f t="shared" si="2"/>
        <v>375177.73000000004</v>
      </c>
      <c r="AB162">
        <f>COUNTIF($D$1:D162,D162)</f>
        <v>84</v>
      </c>
    </row>
    <row r="163" spans="1:28" x14ac:dyDescent="0.25">
      <c r="A163">
        <v>162</v>
      </c>
      <c r="B163">
        <v>183203</v>
      </c>
      <c r="C163">
        <v>24001577</v>
      </c>
      <c r="D163" t="s">
        <v>14</v>
      </c>
      <c r="E163" t="s">
        <v>215</v>
      </c>
      <c r="F163">
        <v>5157997</v>
      </c>
      <c r="G163">
        <v>306</v>
      </c>
      <c r="H163" t="s">
        <v>284</v>
      </c>
      <c r="I163">
        <v>343</v>
      </c>
      <c r="J163" s="64">
        <v>45525</v>
      </c>
      <c r="K163" s="64">
        <v>45533</v>
      </c>
      <c r="L163" t="s">
        <v>372</v>
      </c>
      <c r="M163" s="64">
        <v>45527</v>
      </c>
      <c r="N163" t="s">
        <v>374</v>
      </c>
      <c r="O163" t="s">
        <v>372</v>
      </c>
      <c r="P163">
        <v>0.75</v>
      </c>
      <c r="Q163">
        <v>1.94</v>
      </c>
      <c r="R163">
        <v>257.25</v>
      </c>
      <c r="S163">
        <v>665.42</v>
      </c>
      <c r="T163" t="s">
        <v>70</v>
      </c>
      <c r="AA163">
        <f t="shared" si="2"/>
        <v>375177.73000000004</v>
      </c>
      <c r="AB163">
        <f>COUNTIF($D$1:D163,D163)</f>
        <v>85</v>
      </c>
    </row>
    <row r="164" spans="1:28" x14ac:dyDescent="0.25">
      <c r="A164">
        <v>163</v>
      </c>
      <c r="B164">
        <v>183433</v>
      </c>
      <c r="C164">
        <v>24001623</v>
      </c>
      <c r="D164" t="s">
        <v>14</v>
      </c>
      <c r="E164" t="s">
        <v>215</v>
      </c>
      <c r="F164">
        <v>5158037</v>
      </c>
      <c r="G164">
        <v>380</v>
      </c>
      <c r="H164" t="s">
        <v>284</v>
      </c>
      <c r="I164">
        <v>2870</v>
      </c>
      <c r="J164" s="64">
        <v>45527</v>
      </c>
      <c r="K164" s="64">
        <v>45533</v>
      </c>
      <c r="L164" t="s">
        <v>372</v>
      </c>
      <c r="M164" s="64">
        <v>45548</v>
      </c>
      <c r="N164" t="s">
        <v>373</v>
      </c>
      <c r="O164" t="s">
        <v>376</v>
      </c>
      <c r="P164">
        <v>0.65</v>
      </c>
      <c r="Q164">
        <v>1.64</v>
      </c>
      <c r="R164">
        <v>1865.5</v>
      </c>
      <c r="S164">
        <v>4706.8</v>
      </c>
      <c r="T164" t="s">
        <v>70</v>
      </c>
      <c r="AA164">
        <f t="shared" si="2"/>
        <v>375177.73000000004</v>
      </c>
      <c r="AB164">
        <f>COUNTIF($D$1:D164,D164)</f>
        <v>86</v>
      </c>
    </row>
    <row r="165" spans="1:28" x14ac:dyDescent="0.25">
      <c r="A165">
        <v>164</v>
      </c>
      <c r="B165">
        <v>183441</v>
      </c>
      <c r="C165">
        <v>24001646</v>
      </c>
      <c r="D165" t="s">
        <v>14</v>
      </c>
      <c r="E165" t="s">
        <v>215</v>
      </c>
      <c r="F165">
        <v>5158619</v>
      </c>
      <c r="G165">
        <v>382</v>
      </c>
      <c r="H165" t="s">
        <v>284</v>
      </c>
      <c r="I165">
        <v>5305</v>
      </c>
      <c r="J165" s="64">
        <v>45532</v>
      </c>
      <c r="K165" s="64">
        <v>45534</v>
      </c>
      <c r="L165" t="s">
        <v>372</v>
      </c>
      <c r="M165" s="64">
        <v>45548</v>
      </c>
      <c r="N165" t="s">
        <v>373</v>
      </c>
      <c r="O165" t="s">
        <v>376</v>
      </c>
      <c r="P165">
        <v>0.7</v>
      </c>
      <c r="Q165">
        <v>1.71</v>
      </c>
      <c r="R165">
        <v>3713.5</v>
      </c>
      <c r="S165">
        <v>9071.5499999999993</v>
      </c>
      <c r="T165" t="s">
        <v>70</v>
      </c>
      <c r="AA165">
        <f t="shared" si="2"/>
        <v>375177.73000000004</v>
      </c>
      <c r="AB165">
        <f>COUNTIF($D$1:D165,D165)</f>
        <v>87</v>
      </c>
    </row>
    <row r="166" spans="1:28" x14ac:dyDescent="0.25">
      <c r="A166">
        <v>165</v>
      </c>
      <c r="B166">
        <v>183116</v>
      </c>
      <c r="C166">
        <v>24001518</v>
      </c>
      <c r="D166" t="s">
        <v>14</v>
      </c>
      <c r="E166" t="s">
        <v>215</v>
      </c>
      <c r="F166">
        <v>5159305</v>
      </c>
      <c r="G166">
        <v>299</v>
      </c>
      <c r="H166" t="s">
        <v>185</v>
      </c>
      <c r="I166">
        <v>817</v>
      </c>
      <c r="J166" s="64">
        <v>45505</v>
      </c>
      <c r="K166" s="64">
        <v>45505</v>
      </c>
      <c r="L166" t="s">
        <v>372</v>
      </c>
      <c r="M166" s="64">
        <v>45510</v>
      </c>
      <c r="N166" t="s">
        <v>373</v>
      </c>
      <c r="O166" t="s">
        <v>372</v>
      </c>
      <c r="P166">
        <v>0.83</v>
      </c>
      <c r="Q166">
        <v>2.1800000000000002</v>
      </c>
      <c r="R166">
        <v>678.11</v>
      </c>
      <c r="S166">
        <v>1781.06</v>
      </c>
      <c r="T166" t="s">
        <v>70</v>
      </c>
      <c r="AA166">
        <f t="shared" si="2"/>
        <v>375177.73000000004</v>
      </c>
      <c r="AB166">
        <f>COUNTIF($D$1:D166,D166)</f>
        <v>88</v>
      </c>
    </row>
    <row r="167" spans="1:28" x14ac:dyDescent="0.25">
      <c r="A167">
        <v>166</v>
      </c>
      <c r="B167">
        <v>183118</v>
      </c>
      <c r="C167">
        <v>24001520</v>
      </c>
      <c r="D167" t="s">
        <v>14</v>
      </c>
      <c r="E167" t="s">
        <v>215</v>
      </c>
      <c r="F167">
        <v>5159296</v>
      </c>
      <c r="G167">
        <v>299</v>
      </c>
      <c r="H167" t="s">
        <v>185</v>
      </c>
      <c r="I167">
        <v>612</v>
      </c>
      <c r="J167" s="64">
        <v>45506</v>
      </c>
      <c r="K167" s="64">
        <v>45512</v>
      </c>
      <c r="L167" t="s">
        <v>372</v>
      </c>
      <c r="M167" s="64">
        <v>45510</v>
      </c>
      <c r="N167" t="s">
        <v>374</v>
      </c>
      <c r="O167" t="s">
        <v>372</v>
      </c>
      <c r="P167">
        <v>0.83</v>
      </c>
      <c r="Q167">
        <v>2.1800000000000002</v>
      </c>
      <c r="R167">
        <v>507.96</v>
      </c>
      <c r="S167">
        <v>1334.16</v>
      </c>
      <c r="T167" t="s">
        <v>70</v>
      </c>
      <c r="AA167">
        <f t="shared" si="2"/>
        <v>375177.73000000004</v>
      </c>
      <c r="AB167">
        <f>COUNTIF($D$1:D167,D167)</f>
        <v>89</v>
      </c>
    </row>
    <row r="168" spans="1:28" x14ac:dyDescent="0.25">
      <c r="A168">
        <v>167</v>
      </c>
      <c r="B168">
        <v>183165</v>
      </c>
      <c r="C168">
        <v>24001539</v>
      </c>
      <c r="D168" t="s">
        <v>14</v>
      </c>
      <c r="E168" t="s">
        <v>215</v>
      </c>
      <c r="F168">
        <v>5158594</v>
      </c>
      <c r="G168">
        <v>303</v>
      </c>
      <c r="H168" t="s">
        <v>185</v>
      </c>
      <c r="I168">
        <v>4473</v>
      </c>
      <c r="J168" s="64">
        <v>45505</v>
      </c>
      <c r="K168" s="64">
        <v>45518</v>
      </c>
      <c r="L168" t="s">
        <v>372</v>
      </c>
      <c r="M168" s="64">
        <v>45512</v>
      </c>
      <c r="N168" t="s">
        <v>374</v>
      </c>
      <c r="O168" t="s">
        <v>372</v>
      </c>
      <c r="P168">
        <v>0.7</v>
      </c>
      <c r="Q168">
        <v>1.64</v>
      </c>
      <c r="R168">
        <v>3131.1</v>
      </c>
      <c r="S168">
        <v>7335.72</v>
      </c>
      <c r="T168" t="s">
        <v>70</v>
      </c>
      <c r="AA168">
        <f t="shared" si="2"/>
        <v>375177.73000000004</v>
      </c>
      <c r="AB168">
        <f>COUNTIF($D$1:D168,D168)</f>
        <v>90</v>
      </c>
    </row>
    <row r="169" spans="1:28" x14ac:dyDescent="0.25">
      <c r="A169">
        <v>168</v>
      </c>
      <c r="B169">
        <v>183168</v>
      </c>
      <c r="C169">
        <v>24001542</v>
      </c>
      <c r="D169" t="s">
        <v>14</v>
      </c>
      <c r="E169" t="s">
        <v>215</v>
      </c>
      <c r="F169">
        <v>5158591</v>
      </c>
      <c r="G169">
        <v>303</v>
      </c>
      <c r="H169" t="s">
        <v>185</v>
      </c>
      <c r="I169">
        <v>5363</v>
      </c>
      <c r="J169" s="64">
        <v>45509</v>
      </c>
      <c r="K169" s="64">
        <v>45512</v>
      </c>
      <c r="L169" t="s">
        <v>372</v>
      </c>
      <c r="M169" s="64">
        <v>45527</v>
      </c>
      <c r="N169" t="s">
        <v>373</v>
      </c>
      <c r="O169" t="s">
        <v>372</v>
      </c>
      <c r="P169">
        <v>0.76</v>
      </c>
      <c r="Q169">
        <v>1.43</v>
      </c>
      <c r="R169">
        <v>4075.88</v>
      </c>
      <c r="S169">
        <v>7669.09</v>
      </c>
      <c r="T169" t="s">
        <v>70</v>
      </c>
      <c r="AA169">
        <f t="shared" si="2"/>
        <v>375177.73000000004</v>
      </c>
      <c r="AB169">
        <f>COUNTIF($D$1:D169,D169)</f>
        <v>91</v>
      </c>
    </row>
    <row r="170" spans="1:28" x14ac:dyDescent="0.25">
      <c r="A170">
        <v>169</v>
      </c>
      <c r="B170">
        <v>183185</v>
      </c>
      <c r="C170">
        <v>24001559</v>
      </c>
      <c r="D170" t="s">
        <v>14</v>
      </c>
      <c r="E170" t="s">
        <v>215</v>
      </c>
      <c r="F170">
        <v>5158603</v>
      </c>
      <c r="G170">
        <v>304</v>
      </c>
      <c r="H170" t="s">
        <v>185</v>
      </c>
      <c r="I170">
        <v>2886</v>
      </c>
      <c r="J170" s="64">
        <v>45510</v>
      </c>
      <c r="K170" s="64">
        <v>45516</v>
      </c>
      <c r="L170" t="s">
        <v>372</v>
      </c>
      <c r="M170" s="64">
        <v>45527</v>
      </c>
      <c r="N170" t="s">
        <v>373</v>
      </c>
      <c r="O170" t="s">
        <v>372</v>
      </c>
      <c r="P170">
        <v>0.77</v>
      </c>
      <c r="Q170">
        <v>1.46</v>
      </c>
      <c r="R170">
        <v>2222.2199999999998</v>
      </c>
      <c r="S170">
        <v>4213.5600000000004</v>
      </c>
      <c r="T170" t="s">
        <v>70</v>
      </c>
      <c r="AA170">
        <f t="shared" si="2"/>
        <v>375177.73000000004</v>
      </c>
      <c r="AB170">
        <f>COUNTIF($D$1:D170,D170)</f>
        <v>92</v>
      </c>
    </row>
    <row r="171" spans="1:28" x14ac:dyDescent="0.25">
      <c r="A171">
        <v>170</v>
      </c>
      <c r="B171">
        <v>183201</v>
      </c>
      <c r="C171">
        <v>24001575</v>
      </c>
      <c r="D171" t="s">
        <v>14</v>
      </c>
      <c r="E171" t="s">
        <v>215</v>
      </c>
      <c r="F171">
        <v>5158598</v>
      </c>
      <c r="G171">
        <v>305</v>
      </c>
      <c r="H171" t="s">
        <v>185</v>
      </c>
      <c r="I171">
        <v>3265</v>
      </c>
      <c r="J171" s="64">
        <v>45518</v>
      </c>
      <c r="K171" s="64">
        <v>45534</v>
      </c>
      <c r="L171" t="s">
        <v>372</v>
      </c>
      <c r="M171" s="64">
        <v>45527</v>
      </c>
      <c r="N171" t="s">
        <v>374</v>
      </c>
      <c r="O171" t="s">
        <v>372</v>
      </c>
      <c r="P171">
        <v>0.74</v>
      </c>
      <c r="Q171">
        <v>1.38</v>
      </c>
      <c r="R171">
        <v>2416.1</v>
      </c>
      <c r="S171">
        <v>4505.7</v>
      </c>
      <c r="T171" t="s">
        <v>70</v>
      </c>
      <c r="AA171">
        <f t="shared" si="2"/>
        <v>375177.73000000004</v>
      </c>
      <c r="AB171">
        <f>COUNTIF($D$1:D171,D171)</f>
        <v>93</v>
      </c>
    </row>
    <row r="172" spans="1:28" x14ac:dyDescent="0.25">
      <c r="A172">
        <v>171</v>
      </c>
      <c r="B172">
        <v>183209</v>
      </c>
      <c r="C172">
        <v>24001583</v>
      </c>
      <c r="D172" t="s">
        <v>14</v>
      </c>
      <c r="E172" t="s">
        <v>215</v>
      </c>
      <c r="F172">
        <v>5158007</v>
      </c>
      <c r="G172">
        <v>306</v>
      </c>
      <c r="H172" t="s">
        <v>185</v>
      </c>
      <c r="I172">
        <v>210</v>
      </c>
      <c r="J172" s="64">
        <v>45517</v>
      </c>
      <c r="K172" s="64">
        <v>45517</v>
      </c>
      <c r="L172" t="s">
        <v>372</v>
      </c>
      <c r="M172" s="64">
        <v>45527</v>
      </c>
      <c r="N172" t="s">
        <v>373</v>
      </c>
      <c r="O172" t="s">
        <v>372</v>
      </c>
      <c r="P172">
        <v>0.8</v>
      </c>
      <c r="Q172">
        <v>2.08</v>
      </c>
      <c r="R172">
        <v>168</v>
      </c>
      <c r="S172">
        <v>436.8</v>
      </c>
      <c r="T172" t="s">
        <v>70</v>
      </c>
      <c r="AA172">
        <f t="shared" si="2"/>
        <v>375177.73000000004</v>
      </c>
      <c r="AB172">
        <f>COUNTIF($D$1:D172,D172)</f>
        <v>94</v>
      </c>
    </row>
    <row r="173" spans="1:28" x14ac:dyDescent="0.25">
      <c r="A173">
        <v>172</v>
      </c>
      <c r="B173">
        <v>183442</v>
      </c>
      <c r="C173">
        <v>24001647</v>
      </c>
      <c r="D173" t="s">
        <v>14</v>
      </c>
      <c r="E173" t="s">
        <v>215</v>
      </c>
      <c r="F173" t="s">
        <v>405</v>
      </c>
      <c r="G173">
        <v>382</v>
      </c>
      <c r="H173" t="s">
        <v>185</v>
      </c>
      <c r="I173">
        <v>785</v>
      </c>
      <c r="J173" s="64">
        <v>45533</v>
      </c>
      <c r="K173" s="64">
        <v>45534</v>
      </c>
      <c r="L173" t="s">
        <v>372</v>
      </c>
      <c r="M173" s="64">
        <v>45548</v>
      </c>
      <c r="N173" t="s">
        <v>373</v>
      </c>
      <c r="O173" t="s">
        <v>376</v>
      </c>
      <c r="P173">
        <v>0.67</v>
      </c>
      <c r="Q173">
        <v>1.83</v>
      </c>
      <c r="R173">
        <v>525.95000000000005</v>
      </c>
      <c r="S173">
        <v>1436.55</v>
      </c>
      <c r="T173" t="s">
        <v>70</v>
      </c>
      <c r="AA173">
        <f t="shared" si="2"/>
        <v>375177.73000000004</v>
      </c>
      <c r="AB173">
        <f>COUNTIF($D$1:D173,D173)</f>
        <v>95</v>
      </c>
    </row>
    <row r="174" spans="1:28" x14ac:dyDescent="0.25">
      <c r="A174">
        <v>173</v>
      </c>
      <c r="B174">
        <v>183200</v>
      </c>
      <c r="C174">
        <v>24001574</v>
      </c>
      <c r="D174" t="s">
        <v>14</v>
      </c>
      <c r="E174" t="s">
        <v>215</v>
      </c>
      <c r="F174">
        <v>5158617</v>
      </c>
      <c r="G174">
        <v>305</v>
      </c>
      <c r="H174" t="s">
        <v>185</v>
      </c>
      <c r="I174">
        <v>3182</v>
      </c>
      <c r="J174" s="64">
        <v>45513</v>
      </c>
      <c r="K174" s="64">
        <v>45519</v>
      </c>
      <c r="L174" t="s">
        <v>372</v>
      </c>
      <c r="M174" s="64">
        <v>45527</v>
      </c>
      <c r="N174" t="s">
        <v>373</v>
      </c>
      <c r="O174" t="s">
        <v>372</v>
      </c>
      <c r="P174">
        <v>0.74</v>
      </c>
      <c r="Q174">
        <v>1.38</v>
      </c>
      <c r="R174">
        <v>2354.6799999999998</v>
      </c>
      <c r="S174">
        <v>4391.16</v>
      </c>
      <c r="T174" t="s">
        <v>70</v>
      </c>
      <c r="AA174">
        <f t="shared" si="2"/>
        <v>375177.73000000004</v>
      </c>
      <c r="AB174">
        <f>COUNTIF($D$1:D174,D174)</f>
        <v>96</v>
      </c>
    </row>
    <row r="175" spans="1:28" x14ac:dyDescent="0.25">
      <c r="A175">
        <v>174</v>
      </c>
      <c r="B175">
        <v>183220</v>
      </c>
      <c r="C175">
        <v>24001592</v>
      </c>
      <c r="D175" t="s">
        <v>14</v>
      </c>
      <c r="E175" t="s">
        <v>215</v>
      </c>
      <c r="F175">
        <v>5159305</v>
      </c>
      <c r="G175">
        <v>354</v>
      </c>
      <c r="H175" t="s">
        <v>185</v>
      </c>
      <c r="I175">
        <v>4211</v>
      </c>
      <c r="J175" s="64">
        <v>45526</v>
      </c>
      <c r="K175" s="64">
        <v>45534</v>
      </c>
      <c r="L175" t="s">
        <v>372</v>
      </c>
      <c r="M175" s="64">
        <v>45534</v>
      </c>
      <c r="N175" t="s">
        <v>373</v>
      </c>
      <c r="O175" t="s">
        <v>372</v>
      </c>
      <c r="P175">
        <v>0.83</v>
      </c>
      <c r="Q175">
        <v>2.1800000000000002</v>
      </c>
      <c r="R175">
        <v>3495.13</v>
      </c>
      <c r="S175">
        <v>9179.98</v>
      </c>
      <c r="T175" t="s">
        <v>70</v>
      </c>
      <c r="AA175">
        <f t="shared" si="2"/>
        <v>375177.73000000004</v>
      </c>
      <c r="AB175">
        <f>COUNTIF($D$1:D175,D175)</f>
        <v>97</v>
      </c>
    </row>
    <row r="176" spans="1:28" x14ac:dyDescent="0.25">
      <c r="A176">
        <v>175</v>
      </c>
      <c r="B176">
        <v>183167</v>
      </c>
      <c r="C176">
        <v>24001541</v>
      </c>
      <c r="D176" t="s">
        <v>14</v>
      </c>
      <c r="E176" t="s">
        <v>215</v>
      </c>
      <c r="F176">
        <v>5158001</v>
      </c>
      <c r="G176">
        <v>303</v>
      </c>
      <c r="H176" t="s">
        <v>185</v>
      </c>
      <c r="I176">
        <v>2403</v>
      </c>
      <c r="J176" s="64">
        <v>45518</v>
      </c>
      <c r="K176" s="64">
        <v>45524</v>
      </c>
      <c r="L176" t="s">
        <v>372</v>
      </c>
      <c r="M176" s="64">
        <v>45527</v>
      </c>
      <c r="N176" t="s">
        <v>373</v>
      </c>
      <c r="O176" t="s">
        <v>372</v>
      </c>
      <c r="P176">
        <v>0.83</v>
      </c>
      <c r="Q176">
        <v>2.13</v>
      </c>
      <c r="R176">
        <v>1994.49</v>
      </c>
      <c r="S176">
        <v>5118.3900000000003</v>
      </c>
      <c r="T176" t="s">
        <v>70</v>
      </c>
      <c r="AA176">
        <f t="shared" si="2"/>
        <v>375177.73000000004</v>
      </c>
      <c r="AB176">
        <f>COUNTIF($D$1:D176,D176)</f>
        <v>98</v>
      </c>
    </row>
    <row r="177" spans="1:28" x14ac:dyDescent="0.25">
      <c r="A177">
        <v>176</v>
      </c>
      <c r="B177">
        <v>183211</v>
      </c>
      <c r="C177">
        <v>24001585</v>
      </c>
      <c r="D177" t="s">
        <v>14</v>
      </c>
      <c r="E177" t="s">
        <v>215</v>
      </c>
      <c r="F177">
        <v>5158597</v>
      </c>
      <c r="G177">
        <v>306</v>
      </c>
      <c r="H177" t="s">
        <v>185</v>
      </c>
      <c r="I177">
        <v>1154</v>
      </c>
      <c r="J177" s="64">
        <v>45519</v>
      </c>
      <c r="K177" s="64">
        <v>45531</v>
      </c>
      <c r="L177" t="s">
        <v>372</v>
      </c>
      <c r="M177" s="64">
        <v>45527</v>
      </c>
      <c r="N177" t="s">
        <v>374</v>
      </c>
      <c r="O177" t="s">
        <v>372</v>
      </c>
      <c r="P177">
        <v>1.01</v>
      </c>
      <c r="Q177">
        <v>2.3199999999999998</v>
      </c>
      <c r="R177">
        <v>1165.54</v>
      </c>
      <c r="S177">
        <v>2677.28</v>
      </c>
      <c r="T177" t="s">
        <v>70</v>
      </c>
      <c r="AA177">
        <f t="shared" si="2"/>
        <v>375177.73000000004</v>
      </c>
      <c r="AB177">
        <f>COUNTIF($D$1:D177,D177)</f>
        <v>99</v>
      </c>
    </row>
    <row r="178" spans="1:28" x14ac:dyDescent="0.25">
      <c r="A178">
        <v>177</v>
      </c>
      <c r="B178">
        <v>183186</v>
      </c>
      <c r="C178">
        <v>24001560</v>
      </c>
      <c r="D178" t="s">
        <v>14</v>
      </c>
      <c r="E178" t="s">
        <v>215</v>
      </c>
      <c r="F178">
        <v>5158610</v>
      </c>
      <c r="G178">
        <v>305</v>
      </c>
      <c r="H178" t="s">
        <v>185</v>
      </c>
      <c r="I178">
        <v>461</v>
      </c>
      <c r="J178" s="64">
        <v>45520</v>
      </c>
      <c r="K178" s="64">
        <v>45533</v>
      </c>
      <c r="L178" t="s">
        <v>372</v>
      </c>
      <c r="M178" s="64">
        <v>45555</v>
      </c>
      <c r="N178" t="s">
        <v>373</v>
      </c>
      <c r="O178" t="s">
        <v>376</v>
      </c>
      <c r="P178">
        <v>0.7</v>
      </c>
      <c r="Q178">
        <v>1.79</v>
      </c>
      <c r="R178">
        <v>322.7</v>
      </c>
      <c r="S178">
        <v>825.19</v>
      </c>
      <c r="T178" t="s">
        <v>70</v>
      </c>
      <c r="AA178">
        <f t="shared" si="2"/>
        <v>375177.73000000004</v>
      </c>
      <c r="AB178">
        <f>COUNTIF($D$1:D178,D178)</f>
        <v>100</v>
      </c>
    </row>
    <row r="179" spans="1:28" x14ac:dyDescent="0.25">
      <c r="A179">
        <v>178</v>
      </c>
      <c r="B179">
        <v>183187</v>
      </c>
      <c r="C179">
        <v>24001561</v>
      </c>
      <c r="D179" t="s">
        <v>14</v>
      </c>
      <c r="E179" t="s">
        <v>215</v>
      </c>
      <c r="F179">
        <v>5158615</v>
      </c>
      <c r="G179">
        <v>305</v>
      </c>
      <c r="H179" t="s">
        <v>185</v>
      </c>
      <c r="I179">
        <v>1665</v>
      </c>
      <c r="J179" s="64">
        <v>45523</v>
      </c>
      <c r="K179" s="64">
        <v>45531</v>
      </c>
      <c r="L179" t="s">
        <v>372</v>
      </c>
      <c r="M179" s="64">
        <v>45527</v>
      </c>
      <c r="N179" t="s">
        <v>374</v>
      </c>
      <c r="O179" t="s">
        <v>372</v>
      </c>
      <c r="P179">
        <v>0.7</v>
      </c>
      <c r="Q179">
        <v>1.79</v>
      </c>
      <c r="R179">
        <v>1165.5</v>
      </c>
      <c r="S179">
        <v>2980.35</v>
      </c>
      <c r="T179" t="s">
        <v>70</v>
      </c>
      <c r="AA179">
        <f t="shared" si="2"/>
        <v>375177.73000000004</v>
      </c>
      <c r="AB179">
        <f>COUNTIF($D$1:D179,D179)</f>
        <v>101</v>
      </c>
    </row>
    <row r="180" spans="1:28" x14ac:dyDescent="0.25">
      <c r="A180">
        <v>179</v>
      </c>
      <c r="B180">
        <v>183218</v>
      </c>
      <c r="C180">
        <v>24001588</v>
      </c>
      <c r="D180" t="s">
        <v>14</v>
      </c>
      <c r="E180" t="s">
        <v>215</v>
      </c>
      <c r="F180">
        <v>5158599</v>
      </c>
      <c r="G180">
        <v>348</v>
      </c>
      <c r="H180" t="s">
        <v>185</v>
      </c>
      <c r="I180">
        <v>2062</v>
      </c>
      <c r="J180" s="64">
        <v>45524</v>
      </c>
      <c r="K180" s="64">
        <v>45534</v>
      </c>
      <c r="L180" t="s">
        <v>372</v>
      </c>
      <c r="M180" s="64">
        <v>45527</v>
      </c>
      <c r="N180" t="s">
        <v>374</v>
      </c>
      <c r="O180" t="s">
        <v>372</v>
      </c>
      <c r="P180">
        <v>0.7</v>
      </c>
      <c r="Q180">
        <v>1.71</v>
      </c>
      <c r="R180">
        <v>1443.4</v>
      </c>
      <c r="S180">
        <v>3526.02</v>
      </c>
      <c r="T180" t="s">
        <v>70</v>
      </c>
      <c r="AA180">
        <f t="shared" si="2"/>
        <v>375177.73000000004</v>
      </c>
      <c r="AB180">
        <f>COUNTIF($D$1:D180,D180)</f>
        <v>102</v>
      </c>
    </row>
    <row r="181" spans="1:28" x14ac:dyDescent="0.25">
      <c r="A181">
        <v>180</v>
      </c>
      <c r="B181">
        <v>183203</v>
      </c>
      <c r="C181">
        <v>24001577</v>
      </c>
      <c r="D181" t="s">
        <v>14</v>
      </c>
      <c r="E181" t="s">
        <v>215</v>
      </c>
      <c r="F181">
        <v>5157997</v>
      </c>
      <c r="G181">
        <v>306</v>
      </c>
      <c r="H181" t="s">
        <v>185</v>
      </c>
      <c r="I181">
        <v>341</v>
      </c>
      <c r="J181" s="64">
        <v>45525</v>
      </c>
      <c r="K181" s="64">
        <v>45531</v>
      </c>
      <c r="L181" t="s">
        <v>372</v>
      </c>
      <c r="M181" s="64">
        <v>45527</v>
      </c>
      <c r="N181" t="s">
        <v>374</v>
      </c>
      <c r="O181" t="s">
        <v>372</v>
      </c>
      <c r="P181">
        <v>0.75</v>
      </c>
      <c r="Q181">
        <v>1.94</v>
      </c>
      <c r="R181">
        <v>255.75</v>
      </c>
      <c r="S181">
        <v>661.54</v>
      </c>
      <c r="T181" t="s">
        <v>70</v>
      </c>
      <c r="AA181">
        <f t="shared" si="2"/>
        <v>375177.73000000004</v>
      </c>
      <c r="AB181">
        <f>COUNTIF($D$1:D181,D181)</f>
        <v>103</v>
      </c>
    </row>
    <row r="182" spans="1:28" x14ac:dyDescent="0.25">
      <c r="A182">
        <v>181</v>
      </c>
      <c r="B182">
        <v>183433</v>
      </c>
      <c r="C182">
        <v>24001623</v>
      </c>
      <c r="D182" t="s">
        <v>14</v>
      </c>
      <c r="E182" t="s">
        <v>215</v>
      </c>
      <c r="F182">
        <v>5158037</v>
      </c>
      <c r="G182">
        <v>380</v>
      </c>
      <c r="H182" t="s">
        <v>185</v>
      </c>
      <c r="I182">
        <v>2871</v>
      </c>
      <c r="J182" s="64">
        <v>45527</v>
      </c>
      <c r="K182" s="64">
        <v>45531</v>
      </c>
      <c r="L182" t="s">
        <v>372</v>
      </c>
      <c r="M182" s="64">
        <v>45548</v>
      </c>
      <c r="N182" t="s">
        <v>373</v>
      </c>
      <c r="O182" t="s">
        <v>376</v>
      </c>
      <c r="P182">
        <v>0.65</v>
      </c>
      <c r="Q182">
        <v>1.64</v>
      </c>
      <c r="R182">
        <v>1866.15</v>
      </c>
      <c r="S182">
        <v>4708.4399999999996</v>
      </c>
      <c r="T182" t="s">
        <v>70</v>
      </c>
      <c r="AA182">
        <f t="shared" si="2"/>
        <v>375177.73000000004</v>
      </c>
      <c r="AB182">
        <f>COUNTIF($D$1:D182,D182)</f>
        <v>104</v>
      </c>
    </row>
    <row r="183" spans="1:28" x14ac:dyDescent="0.25">
      <c r="A183">
        <v>182</v>
      </c>
      <c r="B183">
        <v>183441</v>
      </c>
      <c r="C183">
        <v>24001646</v>
      </c>
      <c r="D183" t="s">
        <v>14</v>
      </c>
      <c r="E183" t="s">
        <v>215</v>
      </c>
      <c r="F183">
        <v>5158619</v>
      </c>
      <c r="G183">
        <v>382</v>
      </c>
      <c r="H183" t="s">
        <v>185</v>
      </c>
      <c r="I183">
        <v>5306</v>
      </c>
      <c r="J183" s="64">
        <v>45532</v>
      </c>
      <c r="K183" s="64">
        <v>45534</v>
      </c>
      <c r="L183" t="s">
        <v>372</v>
      </c>
      <c r="M183" s="64">
        <v>45548</v>
      </c>
      <c r="N183" t="s">
        <v>373</v>
      </c>
      <c r="O183" t="s">
        <v>376</v>
      </c>
      <c r="P183">
        <v>0.7</v>
      </c>
      <c r="Q183">
        <v>1.71</v>
      </c>
      <c r="R183">
        <v>3714.2</v>
      </c>
      <c r="S183">
        <v>9073.26</v>
      </c>
      <c r="T183" t="s">
        <v>70</v>
      </c>
      <c r="AA183">
        <f t="shared" si="2"/>
        <v>375177.73000000004</v>
      </c>
      <c r="AB183">
        <f>COUNTIF($D$1:D183,D183)</f>
        <v>105</v>
      </c>
    </row>
    <row r="184" spans="1:28" x14ac:dyDescent="0.25">
      <c r="A184">
        <v>183</v>
      </c>
      <c r="B184">
        <v>183121</v>
      </c>
      <c r="C184">
        <v>24001523</v>
      </c>
      <c r="D184" t="s">
        <v>14</v>
      </c>
      <c r="E184" t="s">
        <v>215</v>
      </c>
      <c r="F184" t="s">
        <v>406</v>
      </c>
      <c r="G184">
        <v>299</v>
      </c>
      <c r="H184" t="s">
        <v>197</v>
      </c>
      <c r="I184">
        <v>50</v>
      </c>
      <c r="J184" s="64">
        <v>45505</v>
      </c>
      <c r="K184" s="64">
        <v>45509</v>
      </c>
      <c r="L184" t="s">
        <v>372</v>
      </c>
      <c r="M184" s="64">
        <v>45506</v>
      </c>
      <c r="N184" t="s">
        <v>374</v>
      </c>
      <c r="O184" t="s">
        <v>372</v>
      </c>
      <c r="P184">
        <v>0.84</v>
      </c>
      <c r="Q184">
        <v>2.4</v>
      </c>
      <c r="R184">
        <v>42</v>
      </c>
      <c r="S184">
        <v>120</v>
      </c>
      <c r="T184" t="s">
        <v>70</v>
      </c>
      <c r="AA184">
        <f t="shared" si="2"/>
        <v>375177.73000000004</v>
      </c>
      <c r="AB184">
        <f>COUNTIF($D$1:D184,D184)</f>
        <v>106</v>
      </c>
    </row>
    <row r="185" spans="1:28" x14ac:dyDescent="0.25">
      <c r="A185">
        <v>184</v>
      </c>
      <c r="B185">
        <v>183165</v>
      </c>
      <c r="C185">
        <v>24001539</v>
      </c>
      <c r="D185" t="s">
        <v>14</v>
      </c>
      <c r="E185" t="s">
        <v>215</v>
      </c>
      <c r="F185">
        <v>5158594</v>
      </c>
      <c r="G185">
        <v>303</v>
      </c>
      <c r="H185" t="s">
        <v>197</v>
      </c>
      <c r="I185">
        <v>3600</v>
      </c>
      <c r="J185" s="64">
        <v>45506</v>
      </c>
      <c r="K185" s="64">
        <v>45531</v>
      </c>
      <c r="L185" t="s">
        <v>372</v>
      </c>
      <c r="M185" s="64">
        <v>45512</v>
      </c>
      <c r="N185" t="s">
        <v>374</v>
      </c>
      <c r="O185" t="s">
        <v>372</v>
      </c>
      <c r="P185">
        <v>0.7</v>
      </c>
      <c r="Q185">
        <v>1.64</v>
      </c>
      <c r="R185">
        <v>2520</v>
      </c>
      <c r="S185">
        <v>5904</v>
      </c>
      <c r="T185" t="s">
        <v>70</v>
      </c>
      <c r="AA185">
        <f t="shared" si="2"/>
        <v>375177.73000000004</v>
      </c>
      <c r="AB185">
        <f>COUNTIF($D$1:D185,D185)</f>
        <v>107</v>
      </c>
    </row>
    <row r="186" spans="1:28" x14ac:dyDescent="0.25">
      <c r="A186">
        <v>185</v>
      </c>
      <c r="B186">
        <v>183190</v>
      </c>
      <c r="C186">
        <v>24001564</v>
      </c>
      <c r="D186" t="s">
        <v>14</v>
      </c>
      <c r="E186" t="s">
        <v>215</v>
      </c>
      <c r="F186">
        <v>5158602</v>
      </c>
      <c r="G186">
        <v>305</v>
      </c>
      <c r="H186" t="s">
        <v>197</v>
      </c>
      <c r="I186">
        <v>3480</v>
      </c>
      <c r="J186" s="64">
        <v>45519</v>
      </c>
      <c r="K186" s="64">
        <v>45523</v>
      </c>
      <c r="L186" t="s">
        <v>372</v>
      </c>
      <c r="M186" s="64">
        <v>45527</v>
      </c>
      <c r="N186" t="s">
        <v>373</v>
      </c>
      <c r="O186" t="s">
        <v>372</v>
      </c>
      <c r="P186">
        <v>0.8</v>
      </c>
      <c r="Q186">
        <v>1.88</v>
      </c>
      <c r="R186">
        <v>2784</v>
      </c>
      <c r="S186">
        <v>6542.4</v>
      </c>
      <c r="T186" t="s">
        <v>70</v>
      </c>
      <c r="AA186">
        <f t="shared" si="2"/>
        <v>375177.73000000004</v>
      </c>
      <c r="AB186">
        <f>COUNTIF($D$1:D186,D186)</f>
        <v>108</v>
      </c>
    </row>
    <row r="187" spans="1:28" x14ac:dyDescent="0.25">
      <c r="A187">
        <v>186</v>
      </c>
      <c r="B187">
        <v>183191</v>
      </c>
      <c r="C187">
        <v>24001565</v>
      </c>
      <c r="D187" t="s">
        <v>14</v>
      </c>
      <c r="E187" t="s">
        <v>215</v>
      </c>
      <c r="F187" t="s">
        <v>407</v>
      </c>
      <c r="G187">
        <v>305</v>
      </c>
      <c r="H187" t="s">
        <v>197</v>
      </c>
      <c r="I187">
        <v>259</v>
      </c>
      <c r="J187" s="64">
        <v>45520</v>
      </c>
      <c r="K187" s="64">
        <v>45520</v>
      </c>
      <c r="L187" t="s">
        <v>372</v>
      </c>
      <c r="M187" s="64">
        <v>45527</v>
      </c>
      <c r="N187" t="s">
        <v>373</v>
      </c>
      <c r="O187" t="s">
        <v>372</v>
      </c>
      <c r="P187">
        <v>0.77</v>
      </c>
      <c r="Q187">
        <v>2.0099999999999998</v>
      </c>
      <c r="R187">
        <v>199.43</v>
      </c>
      <c r="S187">
        <v>520.59</v>
      </c>
      <c r="T187" t="s">
        <v>70</v>
      </c>
      <c r="AA187">
        <f t="shared" si="2"/>
        <v>375177.73000000004</v>
      </c>
      <c r="AB187">
        <f>COUNTIF($D$1:D187,D187)</f>
        <v>109</v>
      </c>
    </row>
    <row r="188" spans="1:28" x14ac:dyDescent="0.25">
      <c r="A188">
        <v>187</v>
      </c>
      <c r="B188">
        <v>183192</v>
      </c>
      <c r="C188">
        <v>24001566</v>
      </c>
      <c r="D188" t="s">
        <v>14</v>
      </c>
      <c r="E188" t="s">
        <v>215</v>
      </c>
      <c r="F188">
        <v>5158587</v>
      </c>
      <c r="G188">
        <v>305</v>
      </c>
      <c r="H188" t="s">
        <v>197</v>
      </c>
      <c r="I188">
        <v>1931</v>
      </c>
      <c r="J188" s="64">
        <v>45523</v>
      </c>
      <c r="K188" s="64">
        <v>45526</v>
      </c>
      <c r="L188" t="s">
        <v>372</v>
      </c>
      <c r="M188" s="64">
        <v>45527</v>
      </c>
      <c r="N188" t="s">
        <v>373</v>
      </c>
      <c r="O188" t="s">
        <v>372</v>
      </c>
      <c r="P188">
        <v>0.8</v>
      </c>
      <c r="Q188">
        <v>1.88</v>
      </c>
      <c r="R188">
        <v>1544.8</v>
      </c>
      <c r="S188">
        <v>3630.28</v>
      </c>
      <c r="T188" t="s">
        <v>70</v>
      </c>
      <c r="AA188">
        <f t="shared" si="2"/>
        <v>375177.73000000004</v>
      </c>
      <c r="AB188">
        <f>COUNTIF($D$1:D188,D188)</f>
        <v>110</v>
      </c>
    </row>
    <row r="189" spans="1:28" x14ac:dyDescent="0.25">
      <c r="A189">
        <v>188</v>
      </c>
      <c r="B189">
        <v>183206</v>
      </c>
      <c r="C189">
        <v>24001580</v>
      </c>
      <c r="D189" t="s">
        <v>14</v>
      </c>
      <c r="E189" t="s">
        <v>215</v>
      </c>
      <c r="F189">
        <v>5157994</v>
      </c>
      <c r="G189">
        <v>306</v>
      </c>
      <c r="H189" t="s">
        <v>197</v>
      </c>
      <c r="I189">
        <v>1538</v>
      </c>
      <c r="J189" s="64">
        <v>45513</v>
      </c>
      <c r="K189" s="64">
        <v>45534</v>
      </c>
      <c r="L189" t="s">
        <v>372</v>
      </c>
      <c r="M189" s="64">
        <v>45527</v>
      </c>
      <c r="N189" t="s">
        <v>374</v>
      </c>
      <c r="O189" t="s">
        <v>372</v>
      </c>
      <c r="P189">
        <v>0.93</v>
      </c>
      <c r="Q189">
        <v>2.2400000000000002</v>
      </c>
      <c r="R189">
        <v>1430.34</v>
      </c>
      <c r="S189">
        <v>3445.12</v>
      </c>
      <c r="T189" t="s">
        <v>70</v>
      </c>
      <c r="AA189">
        <f t="shared" si="2"/>
        <v>375177.73000000004</v>
      </c>
      <c r="AB189">
        <f>COUNTIF($D$1:D189,D189)</f>
        <v>111</v>
      </c>
    </row>
    <row r="190" spans="1:28" x14ac:dyDescent="0.25">
      <c r="A190">
        <v>189</v>
      </c>
      <c r="B190">
        <v>183196</v>
      </c>
      <c r="C190">
        <v>24001570</v>
      </c>
      <c r="D190" t="s">
        <v>14</v>
      </c>
      <c r="E190" t="s">
        <v>215</v>
      </c>
      <c r="F190">
        <v>5158004</v>
      </c>
      <c r="G190">
        <v>305</v>
      </c>
      <c r="H190" t="s">
        <v>197</v>
      </c>
      <c r="I190">
        <v>1750</v>
      </c>
      <c r="J190" s="64">
        <v>45513</v>
      </c>
      <c r="K190" s="64">
        <v>45525</v>
      </c>
      <c r="L190" t="s">
        <v>372</v>
      </c>
      <c r="M190" s="64">
        <v>45527</v>
      </c>
      <c r="N190" t="s">
        <v>373</v>
      </c>
      <c r="O190" t="s">
        <v>372</v>
      </c>
      <c r="P190">
        <v>0.79</v>
      </c>
      <c r="Q190">
        <v>2.0099999999999998</v>
      </c>
      <c r="R190">
        <v>1382.5</v>
      </c>
      <c r="S190">
        <v>3517.5</v>
      </c>
      <c r="T190" t="s">
        <v>70</v>
      </c>
      <c r="AA190">
        <f t="shared" si="2"/>
        <v>375177.73000000004</v>
      </c>
      <c r="AB190">
        <f>COUNTIF($D$1:D190,D190)</f>
        <v>112</v>
      </c>
    </row>
    <row r="191" spans="1:28" x14ac:dyDescent="0.25">
      <c r="A191">
        <v>190</v>
      </c>
      <c r="B191">
        <v>183197</v>
      </c>
      <c r="C191">
        <v>24001571</v>
      </c>
      <c r="D191" t="s">
        <v>14</v>
      </c>
      <c r="E191" t="s">
        <v>215</v>
      </c>
      <c r="F191" t="s">
        <v>408</v>
      </c>
      <c r="G191">
        <v>305</v>
      </c>
      <c r="H191" t="s">
        <v>197</v>
      </c>
      <c r="I191">
        <v>347</v>
      </c>
      <c r="J191" s="64">
        <v>45513</v>
      </c>
      <c r="K191" s="64">
        <v>45531</v>
      </c>
      <c r="L191" t="s">
        <v>372</v>
      </c>
      <c r="M191" s="64">
        <v>45527</v>
      </c>
      <c r="N191" t="s">
        <v>374</v>
      </c>
      <c r="O191" t="s">
        <v>372</v>
      </c>
      <c r="P191">
        <v>0.77</v>
      </c>
      <c r="Q191">
        <v>2.16</v>
      </c>
      <c r="R191">
        <v>267.19</v>
      </c>
      <c r="S191">
        <v>749.52</v>
      </c>
      <c r="T191" t="s">
        <v>70</v>
      </c>
      <c r="AA191">
        <f t="shared" si="2"/>
        <v>375177.73000000004</v>
      </c>
      <c r="AB191">
        <f>COUNTIF($D$1:D191,D191)</f>
        <v>113</v>
      </c>
    </row>
    <row r="192" spans="1:28" x14ac:dyDescent="0.25">
      <c r="A192">
        <v>191</v>
      </c>
      <c r="B192">
        <v>183207</v>
      </c>
      <c r="C192">
        <v>24001581</v>
      </c>
      <c r="D192" t="s">
        <v>14</v>
      </c>
      <c r="E192" t="s">
        <v>215</v>
      </c>
      <c r="F192">
        <v>5158002</v>
      </c>
      <c r="G192">
        <v>306</v>
      </c>
      <c r="H192" t="s">
        <v>197</v>
      </c>
      <c r="I192">
        <v>1840</v>
      </c>
      <c r="J192" s="64">
        <v>45518</v>
      </c>
      <c r="K192" s="64">
        <v>45518</v>
      </c>
      <c r="L192" t="s">
        <v>372</v>
      </c>
      <c r="M192" s="64">
        <v>45527</v>
      </c>
      <c r="N192" t="s">
        <v>373</v>
      </c>
      <c r="O192" t="s">
        <v>372</v>
      </c>
      <c r="P192">
        <v>0.93</v>
      </c>
      <c r="Q192">
        <v>2.2400000000000002</v>
      </c>
      <c r="R192">
        <v>1711.2</v>
      </c>
      <c r="S192">
        <v>4121.6000000000004</v>
      </c>
      <c r="T192" t="s">
        <v>70</v>
      </c>
      <c r="AA192">
        <f t="shared" si="2"/>
        <v>375177.73000000004</v>
      </c>
      <c r="AB192">
        <f>COUNTIF($D$1:D192,D192)</f>
        <v>114</v>
      </c>
    </row>
    <row r="193" spans="1:28" x14ac:dyDescent="0.25">
      <c r="A193">
        <v>192</v>
      </c>
      <c r="B193">
        <v>183208</v>
      </c>
      <c r="C193">
        <v>24001582</v>
      </c>
      <c r="D193" t="s">
        <v>14</v>
      </c>
      <c r="E193" t="s">
        <v>215</v>
      </c>
      <c r="F193">
        <v>5157991</v>
      </c>
      <c r="G193">
        <v>306</v>
      </c>
      <c r="H193" t="s">
        <v>197</v>
      </c>
      <c r="I193">
        <v>3</v>
      </c>
      <c r="J193" s="64">
        <v>45517</v>
      </c>
      <c r="K193" s="64">
        <v>45517</v>
      </c>
      <c r="L193" t="s">
        <v>372</v>
      </c>
      <c r="M193" s="64">
        <v>45527</v>
      </c>
      <c r="N193" t="s">
        <v>373</v>
      </c>
      <c r="O193" t="s">
        <v>372</v>
      </c>
      <c r="P193">
        <v>0.8</v>
      </c>
      <c r="Q193">
        <v>2.08</v>
      </c>
      <c r="R193">
        <v>2.4</v>
      </c>
      <c r="S193">
        <v>6.24</v>
      </c>
      <c r="T193" t="s">
        <v>70</v>
      </c>
      <c r="AA193">
        <f t="shared" si="2"/>
        <v>375177.73000000004</v>
      </c>
      <c r="AB193">
        <f>COUNTIF($D$1:D193,D193)</f>
        <v>115</v>
      </c>
    </row>
    <row r="194" spans="1:28" x14ac:dyDescent="0.25">
      <c r="A194">
        <v>193</v>
      </c>
      <c r="B194">
        <v>183218</v>
      </c>
      <c r="C194">
        <v>24001588</v>
      </c>
      <c r="D194" t="s">
        <v>14</v>
      </c>
      <c r="E194" t="s">
        <v>215</v>
      </c>
      <c r="F194">
        <v>5158599</v>
      </c>
      <c r="G194">
        <v>348</v>
      </c>
      <c r="H194" t="s">
        <v>197</v>
      </c>
      <c r="I194">
        <v>3571</v>
      </c>
      <c r="J194" s="64">
        <v>45523</v>
      </c>
      <c r="K194" s="64">
        <v>45525</v>
      </c>
      <c r="L194" t="s">
        <v>372</v>
      </c>
      <c r="M194" s="64">
        <v>45527</v>
      </c>
      <c r="N194" t="s">
        <v>373</v>
      </c>
      <c r="O194" t="s">
        <v>372</v>
      </c>
      <c r="P194">
        <v>0.7</v>
      </c>
      <c r="Q194">
        <v>1.71</v>
      </c>
      <c r="R194">
        <v>2499.6999999999998</v>
      </c>
      <c r="S194">
        <v>6106.41</v>
      </c>
      <c r="T194" t="s">
        <v>70</v>
      </c>
      <c r="AA194">
        <f t="shared" ref="AA194:AA257" si="3">SUMIF($D:$D,D194,$R:$R)</f>
        <v>375177.73000000004</v>
      </c>
      <c r="AB194">
        <f>COUNTIF($D$1:D194,D194)</f>
        <v>116</v>
      </c>
    </row>
    <row r="195" spans="1:28" x14ac:dyDescent="0.25">
      <c r="A195">
        <v>194</v>
      </c>
      <c r="B195">
        <v>183427</v>
      </c>
      <c r="C195">
        <v>24001617</v>
      </c>
      <c r="D195" t="s">
        <v>14</v>
      </c>
      <c r="E195" t="s">
        <v>215</v>
      </c>
      <c r="F195">
        <v>5158044</v>
      </c>
      <c r="G195">
        <v>380</v>
      </c>
      <c r="H195" t="s">
        <v>197</v>
      </c>
      <c r="I195">
        <v>5071</v>
      </c>
      <c r="J195" s="64">
        <v>45527</v>
      </c>
      <c r="K195" s="64">
        <v>45533</v>
      </c>
      <c r="L195" t="s">
        <v>372</v>
      </c>
      <c r="M195" s="64">
        <v>45548</v>
      </c>
      <c r="N195" t="s">
        <v>373</v>
      </c>
      <c r="O195" t="s">
        <v>376</v>
      </c>
      <c r="P195">
        <v>0.65</v>
      </c>
      <c r="Q195">
        <v>1.61</v>
      </c>
      <c r="R195">
        <v>3296.15</v>
      </c>
      <c r="S195">
        <v>8164.31</v>
      </c>
      <c r="T195" t="s">
        <v>70</v>
      </c>
      <c r="AA195">
        <f t="shared" si="3"/>
        <v>375177.73000000004</v>
      </c>
      <c r="AB195">
        <f>COUNTIF($D$1:D195,D195)</f>
        <v>117</v>
      </c>
    </row>
    <row r="196" spans="1:28" x14ac:dyDescent="0.25">
      <c r="A196">
        <v>195</v>
      </c>
      <c r="B196">
        <v>183049</v>
      </c>
      <c r="C196">
        <v>24001512</v>
      </c>
      <c r="D196" t="s">
        <v>14</v>
      </c>
      <c r="E196" t="s">
        <v>215</v>
      </c>
      <c r="F196">
        <v>5158039</v>
      </c>
      <c r="G196">
        <v>251</v>
      </c>
      <c r="H196" t="s">
        <v>197</v>
      </c>
      <c r="I196">
        <v>25</v>
      </c>
      <c r="J196" s="64">
        <v>45505</v>
      </c>
      <c r="K196" s="64">
        <v>45505</v>
      </c>
      <c r="L196" t="s">
        <v>372</v>
      </c>
      <c r="M196" s="64">
        <v>45503</v>
      </c>
      <c r="N196" t="s">
        <v>374</v>
      </c>
      <c r="O196" t="s">
        <v>377</v>
      </c>
      <c r="P196">
        <v>0.65</v>
      </c>
      <c r="Q196">
        <v>1.61</v>
      </c>
      <c r="R196">
        <v>16.25</v>
      </c>
      <c r="S196">
        <v>40.25</v>
      </c>
      <c r="T196" t="s">
        <v>70</v>
      </c>
      <c r="AA196">
        <f t="shared" si="3"/>
        <v>375177.73000000004</v>
      </c>
      <c r="AB196">
        <f>COUNTIF($D$1:D196,D196)</f>
        <v>118</v>
      </c>
    </row>
    <row r="197" spans="1:28" x14ac:dyDescent="0.25">
      <c r="A197">
        <v>196</v>
      </c>
      <c r="B197">
        <v>183154</v>
      </c>
      <c r="C197">
        <v>24001528</v>
      </c>
      <c r="D197" t="s">
        <v>14</v>
      </c>
      <c r="E197" t="s">
        <v>215</v>
      </c>
      <c r="F197">
        <v>5158039</v>
      </c>
      <c r="G197">
        <v>302</v>
      </c>
      <c r="H197" t="s">
        <v>197</v>
      </c>
      <c r="I197">
        <v>6010</v>
      </c>
      <c r="J197" s="64">
        <v>45510</v>
      </c>
      <c r="K197" s="64">
        <v>45525</v>
      </c>
      <c r="L197" t="s">
        <v>372</v>
      </c>
      <c r="M197" s="64">
        <v>45527</v>
      </c>
      <c r="N197" t="s">
        <v>373</v>
      </c>
      <c r="O197" t="s">
        <v>372</v>
      </c>
      <c r="P197">
        <v>0.65</v>
      </c>
      <c r="Q197">
        <v>1.61</v>
      </c>
      <c r="R197">
        <v>3906.5</v>
      </c>
      <c r="S197">
        <v>9676.1</v>
      </c>
      <c r="T197" t="s">
        <v>70</v>
      </c>
      <c r="AA197">
        <f t="shared" si="3"/>
        <v>375177.73000000004</v>
      </c>
      <c r="AB197">
        <f>COUNTIF($D$1:D197,D197)</f>
        <v>119</v>
      </c>
    </row>
    <row r="198" spans="1:28" x14ac:dyDescent="0.25">
      <c r="A198">
        <v>197</v>
      </c>
      <c r="B198">
        <v>183167</v>
      </c>
      <c r="C198">
        <v>24001541</v>
      </c>
      <c r="D198" t="s">
        <v>14</v>
      </c>
      <c r="E198" t="s">
        <v>215</v>
      </c>
      <c r="F198">
        <v>5158001</v>
      </c>
      <c r="G198">
        <v>303</v>
      </c>
      <c r="H198" t="s">
        <v>197</v>
      </c>
      <c r="I198">
        <v>1195</v>
      </c>
      <c r="J198" s="64">
        <v>45517</v>
      </c>
      <c r="K198" s="64">
        <v>45517</v>
      </c>
      <c r="L198" t="s">
        <v>372</v>
      </c>
      <c r="M198" s="64">
        <v>45527</v>
      </c>
      <c r="N198" t="s">
        <v>373</v>
      </c>
      <c r="O198" t="s">
        <v>372</v>
      </c>
      <c r="P198">
        <v>0.83</v>
      </c>
      <c r="Q198">
        <v>2.13</v>
      </c>
      <c r="R198">
        <v>991.85</v>
      </c>
      <c r="S198">
        <v>2545.35</v>
      </c>
      <c r="T198" t="s">
        <v>70</v>
      </c>
      <c r="AA198">
        <f t="shared" si="3"/>
        <v>375177.73000000004</v>
      </c>
      <c r="AB198">
        <f>COUNTIF($D$1:D198,D198)</f>
        <v>120</v>
      </c>
    </row>
    <row r="199" spans="1:28" x14ac:dyDescent="0.25">
      <c r="A199">
        <v>198</v>
      </c>
      <c r="B199">
        <v>183209</v>
      </c>
      <c r="C199">
        <v>24001583</v>
      </c>
      <c r="D199" t="s">
        <v>14</v>
      </c>
      <c r="E199" t="s">
        <v>215</v>
      </c>
      <c r="F199">
        <v>5158007</v>
      </c>
      <c r="G199">
        <v>306</v>
      </c>
      <c r="H199" t="s">
        <v>197</v>
      </c>
      <c r="I199">
        <v>564</v>
      </c>
      <c r="J199" s="64">
        <v>45517</v>
      </c>
      <c r="K199" s="64">
        <v>45520</v>
      </c>
      <c r="L199" t="s">
        <v>372</v>
      </c>
      <c r="M199" s="64">
        <v>45527</v>
      </c>
      <c r="N199" t="s">
        <v>373</v>
      </c>
      <c r="O199" t="s">
        <v>372</v>
      </c>
      <c r="P199">
        <v>0.8</v>
      </c>
      <c r="Q199">
        <v>2.08</v>
      </c>
      <c r="R199">
        <v>451.2</v>
      </c>
      <c r="S199">
        <v>1173.1199999999999</v>
      </c>
      <c r="T199" t="s">
        <v>70</v>
      </c>
      <c r="AA199">
        <f t="shared" si="3"/>
        <v>375177.73000000004</v>
      </c>
      <c r="AB199">
        <f>COUNTIF($D$1:D199,D199)</f>
        <v>121</v>
      </c>
    </row>
    <row r="200" spans="1:28" x14ac:dyDescent="0.25">
      <c r="A200">
        <v>199</v>
      </c>
      <c r="B200">
        <v>183200</v>
      </c>
      <c r="C200">
        <v>24001574</v>
      </c>
      <c r="D200" t="s">
        <v>14</v>
      </c>
      <c r="E200" t="s">
        <v>215</v>
      </c>
      <c r="F200">
        <v>5158617</v>
      </c>
      <c r="G200">
        <v>305</v>
      </c>
      <c r="H200" t="s">
        <v>197</v>
      </c>
      <c r="I200">
        <v>159</v>
      </c>
      <c r="J200" s="64">
        <v>45517</v>
      </c>
      <c r="K200" s="64">
        <v>45517</v>
      </c>
      <c r="L200" t="s">
        <v>372</v>
      </c>
      <c r="M200" s="64">
        <v>45527</v>
      </c>
      <c r="N200" t="s">
        <v>373</v>
      </c>
      <c r="O200" t="s">
        <v>372</v>
      </c>
      <c r="P200">
        <v>0.74</v>
      </c>
      <c r="Q200">
        <v>1.38</v>
      </c>
      <c r="R200">
        <v>117.66</v>
      </c>
      <c r="S200">
        <v>219.42</v>
      </c>
      <c r="T200" t="s">
        <v>70</v>
      </c>
      <c r="AA200">
        <f t="shared" si="3"/>
        <v>375177.73000000004</v>
      </c>
      <c r="AB200">
        <f>COUNTIF($D$1:D200,D200)</f>
        <v>122</v>
      </c>
    </row>
    <row r="201" spans="1:28" x14ac:dyDescent="0.25">
      <c r="A201">
        <v>200</v>
      </c>
      <c r="B201">
        <v>183210</v>
      </c>
      <c r="C201">
        <v>24001584</v>
      </c>
      <c r="D201" t="s">
        <v>14</v>
      </c>
      <c r="E201" t="s">
        <v>215</v>
      </c>
      <c r="F201">
        <v>5157980</v>
      </c>
      <c r="G201">
        <v>306</v>
      </c>
      <c r="H201" t="s">
        <v>197</v>
      </c>
      <c r="I201">
        <v>15</v>
      </c>
      <c r="J201" s="64">
        <v>45519</v>
      </c>
      <c r="K201" s="64">
        <v>45520</v>
      </c>
      <c r="L201" t="s">
        <v>372</v>
      </c>
      <c r="M201" s="64">
        <v>45527</v>
      </c>
      <c r="N201" t="s">
        <v>373</v>
      </c>
      <c r="O201" t="s">
        <v>372</v>
      </c>
      <c r="P201">
        <v>0.8</v>
      </c>
      <c r="Q201">
        <v>2.08</v>
      </c>
      <c r="R201">
        <v>12</v>
      </c>
      <c r="S201">
        <v>31.2</v>
      </c>
      <c r="T201" t="s">
        <v>70</v>
      </c>
      <c r="AA201">
        <f t="shared" si="3"/>
        <v>375177.73000000004</v>
      </c>
      <c r="AB201">
        <f>COUNTIF($D$1:D201,D201)</f>
        <v>123</v>
      </c>
    </row>
    <row r="202" spans="1:28" x14ac:dyDescent="0.25">
      <c r="A202">
        <v>201</v>
      </c>
      <c r="B202">
        <v>183221</v>
      </c>
      <c r="C202">
        <v>24001593</v>
      </c>
      <c r="D202" t="s">
        <v>14</v>
      </c>
      <c r="E202" t="s">
        <v>215</v>
      </c>
      <c r="F202">
        <v>5159307</v>
      </c>
      <c r="G202">
        <v>354</v>
      </c>
      <c r="H202" t="s">
        <v>197</v>
      </c>
      <c r="I202">
        <v>4855</v>
      </c>
      <c r="J202" s="64">
        <v>45526</v>
      </c>
      <c r="K202" s="64">
        <v>45530</v>
      </c>
      <c r="L202" t="s">
        <v>372</v>
      </c>
      <c r="M202" s="64">
        <v>45534</v>
      </c>
      <c r="N202" t="s">
        <v>373</v>
      </c>
      <c r="O202" t="s">
        <v>372</v>
      </c>
      <c r="P202">
        <v>0.83</v>
      </c>
      <c r="Q202">
        <v>2.1800000000000002</v>
      </c>
      <c r="R202">
        <v>4029.65</v>
      </c>
      <c r="S202">
        <v>10583.9</v>
      </c>
      <c r="T202" t="s">
        <v>70</v>
      </c>
      <c r="AA202">
        <f t="shared" si="3"/>
        <v>375177.73000000004</v>
      </c>
      <c r="AB202">
        <f>COUNTIF($D$1:D202,D202)</f>
        <v>124</v>
      </c>
    </row>
    <row r="203" spans="1:28" x14ac:dyDescent="0.25">
      <c r="A203">
        <v>202</v>
      </c>
      <c r="B203">
        <v>183121</v>
      </c>
      <c r="C203">
        <v>24001523</v>
      </c>
      <c r="D203" t="s">
        <v>14</v>
      </c>
      <c r="E203" t="s">
        <v>215</v>
      </c>
      <c r="F203" t="s">
        <v>406</v>
      </c>
      <c r="G203">
        <v>299</v>
      </c>
      <c r="H203" t="s">
        <v>198</v>
      </c>
      <c r="I203">
        <v>50</v>
      </c>
      <c r="J203" s="64">
        <v>45505</v>
      </c>
      <c r="K203" s="64">
        <v>45509</v>
      </c>
      <c r="L203" t="s">
        <v>372</v>
      </c>
      <c r="M203" s="64">
        <v>45506</v>
      </c>
      <c r="N203" t="s">
        <v>374</v>
      </c>
      <c r="O203" t="s">
        <v>372</v>
      </c>
      <c r="P203">
        <v>0.84</v>
      </c>
      <c r="Q203">
        <v>2.4</v>
      </c>
      <c r="R203">
        <v>42</v>
      </c>
      <c r="S203">
        <v>120</v>
      </c>
      <c r="T203" t="s">
        <v>70</v>
      </c>
      <c r="AA203">
        <f t="shared" si="3"/>
        <v>375177.73000000004</v>
      </c>
      <c r="AB203">
        <f>COUNTIF($D$1:D203,D203)</f>
        <v>125</v>
      </c>
    </row>
    <row r="204" spans="1:28" x14ac:dyDescent="0.25">
      <c r="A204">
        <v>203</v>
      </c>
      <c r="B204">
        <v>183165</v>
      </c>
      <c r="C204">
        <v>24001539</v>
      </c>
      <c r="D204" t="s">
        <v>14</v>
      </c>
      <c r="E204" t="s">
        <v>215</v>
      </c>
      <c r="F204">
        <v>5158594</v>
      </c>
      <c r="G204">
        <v>303</v>
      </c>
      <c r="H204" t="s">
        <v>198</v>
      </c>
      <c r="I204">
        <v>3600</v>
      </c>
      <c r="J204" s="64">
        <v>45506</v>
      </c>
      <c r="K204" s="64">
        <v>45532</v>
      </c>
      <c r="L204" t="s">
        <v>372</v>
      </c>
      <c r="M204" s="64">
        <v>45512</v>
      </c>
      <c r="N204" t="s">
        <v>374</v>
      </c>
      <c r="O204" t="s">
        <v>372</v>
      </c>
      <c r="P204">
        <v>0.7</v>
      </c>
      <c r="Q204">
        <v>1.64</v>
      </c>
      <c r="R204">
        <v>2520</v>
      </c>
      <c r="S204">
        <v>5904</v>
      </c>
      <c r="T204" t="s">
        <v>70</v>
      </c>
      <c r="AA204">
        <f t="shared" si="3"/>
        <v>375177.73000000004</v>
      </c>
      <c r="AB204">
        <f>COUNTIF($D$1:D204,D204)</f>
        <v>126</v>
      </c>
    </row>
    <row r="205" spans="1:28" x14ac:dyDescent="0.25">
      <c r="A205">
        <v>204</v>
      </c>
      <c r="B205">
        <v>183190</v>
      </c>
      <c r="C205">
        <v>24001564</v>
      </c>
      <c r="D205" t="s">
        <v>14</v>
      </c>
      <c r="E205" t="s">
        <v>215</v>
      </c>
      <c r="F205">
        <v>5158602</v>
      </c>
      <c r="G205">
        <v>305</v>
      </c>
      <c r="H205" t="s">
        <v>198</v>
      </c>
      <c r="I205">
        <v>3479</v>
      </c>
      <c r="J205" s="64">
        <v>45519</v>
      </c>
      <c r="K205" s="64">
        <v>45524</v>
      </c>
      <c r="L205" t="s">
        <v>372</v>
      </c>
      <c r="M205" s="64">
        <v>45527</v>
      </c>
      <c r="N205" t="s">
        <v>373</v>
      </c>
      <c r="O205" t="s">
        <v>372</v>
      </c>
      <c r="P205">
        <v>0.8</v>
      </c>
      <c r="Q205">
        <v>1.88</v>
      </c>
      <c r="R205">
        <v>2783.2</v>
      </c>
      <c r="S205">
        <v>6540.52</v>
      </c>
      <c r="T205" t="s">
        <v>70</v>
      </c>
      <c r="AA205">
        <f t="shared" si="3"/>
        <v>375177.73000000004</v>
      </c>
      <c r="AB205">
        <f>COUNTIF($D$1:D205,D205)</f>
        <v>127</v>
      </c>
    </row>
    <row r="206" spans="1:28" x14ac:dyDescent="0.25">
      <c r="A206">
        <v>205</v>
      </c>
      <c r="B206">
        <v>183191</v>
      </c>
      <c r="C206">
        <v>24001565</v>
      </c>
      <c r="D206" t="s">
        <v>14</v>
      </c>
      <c r="E206" t="s">
        <v>215</v>
      </c>
      <c r="F206" t="s">
        <v>407</v>
      </c>
      <c r="G206">
        <v>305</v>
      </c>
      <c r="H206" t="s">
        <v>198</v>
      </c>
      <c r="I206">
        <v>261</v>
      </c>
      <c r="J206" s="64">
        <v>45520</v>
      </c>
      <c r="K206" s="64">
        <v>45520</v>
      </c>
      <c r="L206" t="s">
        <v>372</v>
      </c>
      <c r="M206" s="64">
        <v>45527</v>
      </c>
      <c r="N206" t="s">
        <v>373</v>
      </c>
      <c r="O206" t="s">
        <v>372</v>
      </c>
      <c r="P206">
        <v>0.77</v>
      </c>
      <c r="Q206">
        <v>2.0099999999999998</v>
      </c>
      <c r="R206">
        <v>200.97</v>
      </c>
      <c r="S206">
        <v>524.61</v>
      </c>
      <c r="T206" t="s">
        <v>70</v>
      </c>
      <c r="AA206">
        <f t="shared" si="3"/>
        <v>375177.73000000004</v>
      </c>
      <c r="AB206">
        <f>COUNTIF($D$1:D206,D206)</f>
        <v>128</v>
      </c>
    </row>
    <row r="207" spans="1:28" x14ac:dyDescent="0.25">
      <c r="A207">
        <v>206</v>
      </c>
      <c r="B207">
        <v>183192</v>
      </c>
      <c r="C207">
        <v>24001566</v>
      </c>
      <c r="D207" t="s">
        <v>14</v>
      </c>
      <c r="E207" t="s">
        <v>215</v>
      </c>
      <c r="F207">
        <v>5158587</v>
      </c>
      <c r="G207">
        <v>305</v>
      </c>
      <c r="H207" t="s">
        <v>198</v>
      </c>
      <c r="I207">
        <v>1929</v>
      </c>
      <c r="J207" s="64">
        <v>45523</v>
      </c>
      <c r="K207" s="64">
        <v>45526</v>
      </c>
      <c r="L207" t="s">
        <v>372</v>
      </c>
      <c r="M207" s="64">
        <v>45527</v>
      </c>
      <c r="N207" t="s">
        <v>373</v>
      </c>
      <c r="O207" t="s">
        <v>372</v>
      </c>
      <c r="P207">
        <v>0.8</v>
      </c>
      <c r="Q207">
        <v>1.88</v>
      </c>
      <c r="R207">
        <v>1543.2</v>
      </c>
      <c r="S207">
        <v>3626.52</v>
      </c>
      <c r="T207" t="s">
        <v>70</v>
      </c>
      <c r="AA207">
        <f t="shared" si="3"/>
        <v>375177.73000000004</v>
      </c>
      <c r="AB207">
        <f>COUNTIF($D$1:D207,D207)</f>
        <v>129</v>
      </c>
    </row>
    <row r="208" spans="1:28" x14ac:dyDescent="0.25">
      <c r="A208">
        <v>207</v>
      </c>
      <c r="B208">
        <v>183206</v>
      </c>
      <c r="C208">
        <v>24001580</v>
      </c>
      <c r="D208" t="s">
        <v>14</v>
      </c>
      <c r="E208" t="s">
        <v>215</v>
      </c>
      <c r="F208">
        <v>5157994</v>
      </c>
      <c r="G208">
        <v>306</v>
      </c>
      <c r="H208" t="s">
        <v>198</v>
      </c>
      <c r="I208">
        <v>1537</v>
      </c>
      <c r="J208" s="64">
        <v>45513</v>
      </c>
      <c r="K208" s="64">
        <v>45527</v>
      </c>
      <c r="L208" t="s">
        <v>372</v>
      </c>
      <c r="M208" s="64">
        <v>45527</v>
      </c>
      <c r="N208" t="s">
        <v>373</v>
      </c>
      <c r="O208" t="s">
        <v>372</v>
      </c>
      <c r="P208">
        <v>0.93</v>
      </c>
      <c r="Q208">
        <v>2.2400000000000002</v>
      </c>
      <c r="R208">
        <v>1429.41</v>
      </c>
      <c r="S208">
        <v>3442.88</v>
      </c>
      <c r="T208" t="s">
        <v>70</v>
      </c>
      <c r="AA208">
        <f t="shared" si="3"/>
        <v>375177.73000000004</v>
      </c>
      <c r="AB208">
        <f>COUNTIF($D$1:D208,D208)</f>
        <v>130</v>
      </c>
    </row>
    <row r="209" spans="1:28" x14ac:dyDescent="0.25">
      <c r="A209">
        <v>208</v>
      </c>
      <c r="B209">
        <v>183196</v>
      </c>
      <c r="C209">
        <v>24001570</v>
      </c>
      <c r="D209" t="s">
        <v>14</v>
      </c>
      <c r="E209" t="s">
        <v>215</v>
      </c>
      <c r="F209">
        <v>5158004</v>
      </c>
      <c r="G209">
        <v>305</v>
      </c>
      <c r="H209" t="s">
        <v>198</v>
      </c>
      <c r="I209">
        <v>1750</v>
      </c>
      <c r="J209" s="64">
        <v>45513</v>
      </c>
      <c r="K209" s="64">
        <v>45525</v>
      </c>
      <c r="L209" t="s">
        <v>372</v>
      </c>
      <c r="M209" s="64">
        <v>45527</v>
      </c>
      <c r="N209" t="s">
        <v>373</v>
      </c>
      <c r="O209" t="s">
        <v>372</v>
      </c>
      <c r="P209">
        <v>0.79</v>
      </c>
      <c r="Q209">
        <v>2.0099999999999998</v>
      </c>
      <c r="R209">
        <v>1382.5</v>
      </c>
      <c r="S209">
        <v>3517.5</v>
      </c>
      <c r="T209" t="s">
        <v>70</v>
      </c>
      <c r="AA209">
        <f t="shared" si="3"/>
        <v>375177.73000000004</v>
      </c>
      <c r="AB209">
        <f>COUNTIF($D$1:D209,D209)</f>
        <v>131</v>
      </c>
    </row>
    <row r="210" spans="1:28" x14ac:dyDescent="0.25">
      <c r="A210">
        <v>209</v>
      </c>
      <c r="B210">
        <v>183197</v>
      </c>
      <c r="C210">
        <v>24001571</v>
      </c>
      <c r="D210" t="s">
        <v>14</v>
      </c>
      <c r="E210" t="s">
        <v>215</v>
      </c>
      <c r="F210" t="s">
        <v>408</v>
      </c>
      <c r="G210">
        <v>305</v>
      </c>
      <c r="H210" t="s">
        <v>198</v>
      </c>
      <c r="I210">
        <v>348</v>
      </c>
      <c r="J210" s="64">
        <v>45513</v>
      </c>
      <c r="K210" s="64">
        <v>45525</v>
      </c>
      <c r="L210" t="s">
        <v>372</v>
      </c>
      <c r="M210" s="64">
        <v>45527</v>
      </c>
      <c r="N210" t="s">
        <v>373</v>
      </c>
      <c r="O210" t="s">
        <v>372</v>
      </c>
      <c r="P210">
        <v>0.77</v>
      </c>
      <c r="Q210">
        <v>2.16</v>
      </c>
      <c r="R210">
        <v>267.95999999999998</v>
      </c>
      <c r="S210">
        <v>751.68</v>
      </c>
      <c r="T210" t="s">
        <v>70</v>
      </c>
      <c r="AA210">
        <f t="shared" si="3"/>
        <v>375177.73000000004</v>
      </c>
      <c r="AB210">
        <f>COUNTIF($D$1:D210,D210)</f>
        <v>132</v>
      </c>
    </row>
    <row r="211" spans="1:28" x14ac:dyDescent="0.25">
      <c r="A211">
        <v>210</v>
      </c>
      <c r="B211">
        <v>183207</v>
      </c>
      <c r="C211">
        <v>24001581</v>
      </c>
      <c r="D211" t="s">
        <v>14</v>
      </c>
      <c r="E211" t="s">
        <v>215</v>
      </c>
      <c r="F211">
        <v>5158002</v>
      </c>
      <c r="G211">
        <v>306</v>
      </c>
      <c r="H211" t="s">
        <v>198</v>
      </c>
      <c r="I211">
        <v>1840</v>
      </c>
      <c r="J211" s="64">
        <v>45518</v>
      </c>
      <c r="K211" s="64">
        <v>45532</v>
      </c>
      <c r="L211" t="s">
        <v>372</v>
      </c>
      <c r="M211" s="64">
        <v>45527</v>
      </c>
      <c r="N211" t="s">
        <v>374</v>
      </c>
      <c r="O211" t="s">
        <v>372</v>
      </c>
      <c r="P211">
        <v>0.93</v>
      </c>
      <c r="Q211">
        <v>2.2400000000000002</v>
      </c>
      <c r="R211">
        <v>1711.2</v>
      </c>
      <c r="S211">
        <v>4121.6000000000004</v>
      </c>
      <c r="T211" t="s">
        <v>70</v>
      </c>
      <c r="AA211">
        <f t="shared" si="3"/>
        <v>375177.73000000004</v>
      </c>
      <c r="AB211">
        <f>COUNTIF($D$1:D211,D211)</f>
        <v>133</v>
      </c>
    </row>
    <row r="212" spans="1:28" x14ac:dyDescent="0.25">
      <c r="A212">
        <v>211</v>
      </c>
      <c r="B212">
        <v>183208</v>
      </c>
      <c r="C212">
        <v>24001582</v>
      </c>
      <c r="D212" t="s">
        <v>14</v>
      </c>
      <c r="E212" t="s">
        <v>215</v>
      </c>
      <c r="F212">
        <v>5157991</v>
      </c>
      <c r="G212">
        <v>306</v>
      </c>
      <c r="H212" t="s">
        <v>198</v>
      </c>
      <c r="I212">
        <v>559</v>
      </c>
      <c r="J212" s="64">
        <v>45517</v>
      </c>
      <c r="K212" s="64">
        <v>45517</v>
      </c>
      <c r="L212" t="s">
        <v>372</v>
      </c>
      <c r="M212" s="64">
        <v>45527</v>
      </c>
      <c r="N212" t="s">
        <v>373</v>
      </c>
      <c r="O212" t="s">
        <v>372</v>
      </c>
      <c r="P212">
        <v>0.8</v>
      </c>
      <c r="Q212">
        <v>2.08</v>
      </c>
      <c r="R212">
        <v>447.2</v>
      </c>
      <c r="S212">
        <v>1162.72</v>
      </c>
      <c r="T212" t="s">
        <v>70</v>
      </c>
      <c r="AA212">
        <f t="shared" si="3"/>
        <v>375177.73000000004</v>
      </c>
      <c r="AB212">
        <f>COUNTIF($D$1:D212,D212)</f>
        <v>134</v>
      </c>
    </row>
    <row r="213" spans="1:28" x14ac:dyDescent="0.25">
      <c r="A213">
        <v>212</v>
      </c>
      <c r="B213">
        <v>183210</v>
      </c>
      <c r="C213">
        <v>24001584</v>
      </c>
      <c r="D213" t="s">
        <v>14</v>
      </c>
      <c r="E213" t="s">
        <v>215</v>
      </c>
      <c r="F213">
        <v>5157980</v>
      </c>
      <c r="G213">
        <v>306</v>
      </c>
      <c r="H213" t="s">
        <v>198</v>
      </c>
      <c r="I213">
        <v>177</v>
      </c>
      <c r="J213" s="64">
        <v>45517</v>
      </c>
      <c r="K213" s="64">
        <v>45520</v>
      </c>
      <c r="L213" t="s">
        <v>372</v>
      </c>
      <c r="M213" s="64">
        <v>45527</v>
      </c>
      <c r="N213" t="s">
        <v>373</v>
      </c>
      <c r="O213" t="s">
        <v>372</v>
      </c>
      <c r="P213">
        <v>0.8</v>
      </c>
      <c r="Q213">
        <v>2.08</v>
      </c>
      <c r="R213">
        <v>141.6</v>
      </c>
      <c r="S213">
        <v>368.16</v>
      </c>
      <c r="T213" t="s">
        <v>70</v>
      </c>
      <c r="AA213">
        <f t="shared" si="3"/>
        <v>375177.73000000004</v>
      </c>
      <c r="AB213">
        <f>COUNTIF($D$1:D213,D213)</f>
        <v>135</v>
      </c>
    </row>
    <row r="214" spans="1:28" x14ac:dyDescent="0.25">
      <c r="A214">
        <v>213</v>
      </c>
      <c r="B214">
        <v>183218</v>
      </c>
      <c r="C214">
        <v>24001588</v>
      </c>
      <c r="D214" t="s">
        <v>14</v>
      </c>
      <c r="E214" t="s">
        <v>215</v>
      </c>
      <c r="F214">
        <v>5158599</v>
      </c>
      <c r="G214">
        <v>348</v>
      </c>
      <c r="H214" t="s">
        <v>198</v>
      </c>
      <c r="I214">
        <v>3574</v>
      </c>
      <c r="J214" s="64">
        <v>45523</v>
      </c>
      <c r="K214" s="64">
        <v>45525</v>
      </c>
      <c r="L214" t="s">
        <v>372</v>
      </c>
      <c r="M214" s="64">
        <v>45527</v>
      </c>
      <c r="N214" t="s">
        <v>373</v>
      </c>
      <c r="O214" t="s">
        <v>372</v>
      </c>
      <c r="P214">
        <v>0.7</v>
      </c>
      <c r="Q214">
        <v>1.71</v>
      </c>
      <c r="R214">
        <v>2501.8000000000002</v>
      </c>
      <c r="S214">
        <v>6111.54</v>
      </c>
      <c r="T214" t="s">
        <v>70</v>
      </c>
      <c r="AA214">
        <f t="shared" si="3"/>
        <v>375177.73000000004</v>
      </c>
      <c r="AB214">
        <f>COUNTIF($D$1:D214,D214)</f>
        <v>136</v>
      </c>
    </row>
    <row r="215" spans="1:28" x14ac:dyDescent="0.25">
      <c r="A215">
        <v>214</v>
      </c>
      <c r="B215">
        <v>183427</v>
      </c>
      <c r="C215">
        <v>24001617</v>
      </c>
      <c r="D215" t="s">
        <v>14</v>
      </c>
      <c r="E215" t="s">
        <v>215</v>
      </c>
      <c r="F215">
        <v>5158044</v>
      </c>
      <c r="G215">
        <v>380</v>
      </c>
      <c r="H215" t="s">
        <v>198</v>
      </c>
      <c r="I215">
        <v>5072</v>
      </c>
      <c r="J215" s="64">
        <v>45527</v>
      </c>
      <c r="K215" s="64">
        <v>45533</v>
      </c>
      <c r="L215" t="s">
        <v>372</v>
      </c>
      <c r="M215" s="64">
        <v>45548</v>
      </c>
      <c r="N215" t="s">
        <v>373</v>
      </c>
      <c r="O215" t="s">
        <v>376</v>
      </c>
      <c r="P215">
        <v>0.65</v>
      </c>
      <c r="Q215">
        <v>1.61</v>
      </c>
      <c r="R215">
        <v>3296.8</v>
      </c>
      <c r="S215">
        <v>8165.92</v>
      </c>
      <c r="T215" t="s">
        <v>70</v>
      </c>
      <c r="AA215">
        <f t="shared" si="3"/>
        <v>375177.73000000004</v>
      </c>
      <c r="AB215">
        <f>COUNTIF($D$1:D215,D215)</f>
        <v>137</v>
      </c>
    </row>
    <row r="216" spans="1:28" x14ac:dyDescent="0.25">
      <c r="A216">
        <v>215</v>
      </c>
      <c r="B216">
        <v>183049</v>
      </c>
      <c r="C216">
        <v>24001512</v>
      </c>
      <c r="D216" t="s">
        <v>14</v>
      </c>
      <c r="E216" t="s">
        <v>215</v>
      </c>
      <c r="F216">
        <v>5158039</v>
      </c>
      <c r="G216">
        <v>251</v>
      </c>
      <c r="H216" t="s">
        <v>198</v>
      </c>
      <c r="I216">
        <v>25</v>
      </c>
      <c r="J216" s="64">
        <v>45505</v>
      </c>
      <c r="K216" s="64">
        <v>45534</v>
      </c>
      <c r="L216" t="s">
        <v>372</v>
      </c>
      <c r="M216" s="64">
        <v>45503</v>
      </c>
      <c r="N216" t="s">
        <v>374</v>
      </c>
      <c r="O216" t="s">
        <v>377</v>
      </c>
      <c r="P216">
        <v>0.65</v>
      </c>
      <c r="Q216">
        <v>1.61</v>
      </c>
      <c r="R216">
        <v>16.25</v>
      </c>
      <c r="S216">
        <v>40.25</v>
      </c>
      <c r="T216" t="s">
        <v>70</v>
      </c>
      <c r="AA216">
        <f t="shared" si="3"/>
        <v>375177.73000000004</v>
      </c>
      <c r="AB216">
        <f>COUNTIF($D$1:D216,D216)</f>
        <v>138</v>
      </c>
    </row>
    <row r="217" spans="1:28" x14ac:dyDescent="0.25">
      <c r="A217">
        <v>216</v>
      </c>
      <c r="B217">
        <v>183154</v>
      </c>
      <c r="C217">
        <v>24001528</v>
      </c>
      <c r="D217" t="s">
        <v>14</v>
      </c>
      <c r="E217" t="s">
        <v>215</v>
      </c>
      <c r="F217">
        <v>5158039</v>
      </c>
      <c r="G217">
        <v>302</v>
      </c>
      <c r="H217" t="s">
        <v>198</v>
      </c>
      <c r="I217">
        <v>5926</v>
      </c>
      <c r="J217" s="64">
        <v>45510</v>
      </c>
      <c r="K217" s="64">
        <v>45525</v>
      </c>
      <c r="L217" t="s">
        <v>372</v>
      </c>
      <c r="M217" s="64">
        <v>45527</v>
      </c>
      <c r="N217" t="s">
        <v>373</v>
      </c>
      <c r="O217" t="s">
        <v>372</v>
      </c>
      <c r="P217">
        <v>0.65</v>
      </c>
      <c r="Q217">
        <v>1.61</v>
      </c>
      <c r="R217">
        <v>3851.9</v>
      </c>
      <c r="S217">
        <v>9540.86</v>
      </c>
      <c r="T217" t="s">
        <v>70</v>
      </c>
      <c r="AA217">
        <f t="shared" si="3"/>
        <v>375177.73000000004</v>
      </c>
      <c r="AB217">
        <f>COUNTIF($D$1:D217,D217)</f>
        <v>139</v>
      </c>
    </row>
    <row r="218" spans="1:28" x14ac:dyDescent="0.25">
      <c r="A218">
        <v>217</v>
      </c>
      <c r="B218">
        <v>183209</v>
      </c>
      <c r="C218">
        <v>24001583</v>
      </c>
      <c r="D218" t="s">
        <v>14</v>
      </c>
      <c r="E218" t="s">
        <v>215</v>
      </c>
      <c r="F218">
        <v>5158007</v>
      </c>
      <c r="G218">
        <v>306</v>
      </c>
      <c r="H218" t="s">
        <v>198</v>
      </c>
      <c r="I218">
        <v>1279</v>
      </c>
      <c r="J218" s="64">
        <v>45517</v>
      </c>
      <c r="K218" s="64">
        <v>45523</v>
      </c>
      <c r="L218" t="s">
        <v>372</v>
      </c>
      <c r="M218" s="64">
        <v>45527</v>
      </c>
      <c r="N218" t="s">
        <v>373</v>
      </c>
      <c r="O218" t="s">
        <v>372</v>
      </c>
      <c r="P218">
        <v>0.8</v>
      </c>
      <c r="Q218">
        <v>2.08</v>
      </c>
      <c r="R218">
        <v>1023.2</v>
      </c>
      <c r="S218">
        <v>2660.32</v>
      </c>
      <c r="T218" t="s">
        <v>70</v>
      </c>
      <c r="AA218">
        <f t="shared" si="3"/>
        <v>375177.73000000004</v>
      </c>
      <c r="AB218">
        <f>COUNTIF($D$1:D218,D218)</f>
        <v>140</v>
      </c>
    </row>
    <row r="219" spans="1:28" x14ac:dyDescent="0.25">
      <c r="A219">
        <v>218</v>
      </c>
      <c r="B219">
        <v>183221</v>
      </c>
      <c r="C219">
        <v>24001593</v>
      </c>
      <c r="D219" t="s">
        <v>14</v>
      </c>
      <c r="E219" t="s">
        <v>215</v>
      </c>
      <c r="F219">
        <v>5159307</v>
      </c>
      <c r="G219">
        <v>354</v>
      </c>
      <c r="H219" t="s">
        <v>198</v>
      </c>
      <c r="I219">
        <v>4855</v>
      </c>
      <c r="J219" s="64">
        <v>45526</v>
      </c>
      <c r="K219" s="64">
        <v>45534</v>
      </c>
      <c r="L219" t="s">
        <v>372</v>
      </c>
      <c r="M219" s="64">
        <v>45534</v>
      </c>
      <c r="N219" t="s">
        <v>373</v>
      </c>
      <c r="O219" t="s">
        <v>372</v>
      </c>
      <c r="P219">
        <v>0.83</v>
      </c>
      <c r="Q219">
        <v>2.1800000000000002</v>
      </c>
      <c r="R219">
        <v>4029.65</v>
      </c>
      <c r="S219">
        <v>10583.9</v>
      </c>
      <c r="T219" t="s">
        <v>70</v>
      </c>
      <c r="AA219">
        <f t="shared" si="3"/>
        <v>375177.73000000004</v>
      </c>
      <c r="AB219">
        <f>COUNTIF($D$1:D219,D219)</f>
        <v>141</v>
      </c>
    </row>
    <row r="220" spans="1:28" x14ac:dyDescent="0.25">
      <c r="A220">
        <v>219</v>
      </c>
      <c r="B220">
        <v>183120</v>
      </c>
      <c r="C220">
        <v>24001522</v>
      </c>
      <c r="D220" t="s">
        <v>14</v>
      </c>
      <c r="E220" t="s">
        <v>215</v>
      </c>
      <c r="F220">
        <v>5159307</v>
      </c>
      <c r="G220">
        <v>299</v>
      </c>
      <c r="H220" t="s">
        <v>175</v>
      </c>
      <c r="I220">
        <v>688</v>
      </c>
      <c r="J220" s="64">
        <v>45505</v>
      </c>
      <c r="K220" s="64">
        <v>45512</v>
      </c>
      <c r="L220" t="s">
        <v>372</v>
      </c>
      <c r="M220" s="64">
        <v>45510</v>
      </c>
      <c r="N220" t="s">
        <v>374</v>
      </c>
      <c r="O220" t="s">
        <v>372</v>
      </c>
      <c r="P220">
        <v>0.83</v>
      </c>
      <c r="Q220">
        <v>2.1800000000000002</v>
      </c>
      <c r="R220">
        <v>571.04</v>
      </c>
      <c r="S220">
        <v>1499.84</v>
      </c>
      <c r="T220" t="s">
        <v>70</v>
      </c>
      <c r="AA220">
        <f t="shared" si="3"/>
        <v>375177.73000000004</v>
      </c>
      <c r="AB220">
        <f>COUNTIF($D$1:D220,D220)</f>
        <v>142</v>
      </c>
    </row>
    <row r="221" spans="1:28" x14ac:dyDescent="0.25">
      <c r="A221">
        <v>220</v>
      </c>
      <c r="B221">
        <v>183165</v>
      </c>
      <c r="C221">
        <v>24001539</v>
      </c>
      <c r="D221" t="s">
        <v>14</v>
      </c>
      <c r="E221" t="s">
        <v>215</v>
      </c>
      <c r="F221">
        <v>5158594</v>
      </c>
      <c r="G221">
        <v>303</v>
      </c>
      <c r="H221" t="s">
        <v>175</v>
      </c>
      <c r="I221">
        <v>1642</v>
      </c>
      <c r="J221" s="64">
        <v>45506</v>
      </c>
      <c r="K221" s="64">
        <v>45509</v>
      </c>
      <c r="L221" t="s">
        <v>372</v>
      </c>
      <c r="M221" s="64">
        <v>45512</v>
      </c>
      <c r="N221" t="s">
        <v>373</v>
      </c>
      <c r="O221" t="s">
        <v>372</v>
      </c>
      <c r="P221">
        <v>0.7</v>
      </c>
      <c r="Q221">
        <v>1.64</v>
      </c>
      <c r="R221">
        <v>1149.4000000000001</v>
      </c>
      <c r="S221">
        <v>2692.88</v>
      </c>
      <c r="T221" t="s">
        <v>70</v>
      </c>
      <c r="AA221">
        <f t="shared" si="3"/>
        <v>375177.73000000004</v>
      </c>
      <c r="AB221">
        <f>COUNTIF($D$1:D221,D221)</f>
        <v>143</v>
      </c>
    </row>
    <row r="222" spans="1:28" x14ac:dyDescent="0.25">
      <c r="A222">
        <v>221</v>
      </c>
      <c r="B222">
        <v>183190</v>
      </c>
      <c r="C222">
        <v>24001564</v>
      </c>
      <c r="D222" t="s">
        <v>14</v>
      </c>
      <c r="E222" t="s">
        <v>215</v>
      </c>
      <c r="F222">
        <v>5158602</v>
      </c>
      <c r="G222">
        <v>305</v>
      </c>
      <c r="H222" t="s">
        <v>175</v>
      </c>
      <c r="I222">
        <v>448</v>
      </c>
      <c r="J222" s="64">
        <v>45519</v>
      </c>
      <c r="K222" s="64">
        <v>45531</v>
      </c>
      <c r="L222" t="s">
        <v>372</v>
      </c>
      <c r="M222" s="64">
        <v>45527</v>
      </c>
      <c r="N222" t="s">
        <v>374</v>
      </c>
      <c r="O222" t="s">
        <v>372</v>
      </c>
      <c r="P222">
        <v>0.8</v>
      </c>
      <c r="Q222">
        <v>1.88</v>
      </c>
      <c r="R222">
        <v>358.4</v>
      </c>
      <c r="S222">
        <v>842.24</v>
      </c>
      <c r="T222" t="s">
        <v>70</v>
      </c>
      <c r="AA222">
        <f t="shared" si="3"/>
        <v>375177.73000000004</v>
      </c>
      <c r="AB222">
        <f>COUNTIF($D$1:D222,D222)</f>
        <v>144</v>
      </c>
    </row>
    <row r="223" spans="1:28" x14ac:dyDescent="0.25">
      <c r="A223">
        <v>222</v>
      </c>
      <c r="B223">
        <v>183191</v>
      </c>
      <c r="C223">
        <v>24001565</v>
      </c>
      <c r="D223" t="s">
        <v>14</v>
      </c>
      <c r="E223" t="s">
        <v>215</v>
      </c>
      <c r="F223" t="s">
        <v>407</v>
      </c>
      <c r="G223">
        <v>305</v>
      </c>
      <c r="H223" t="s">
        <v>175</v>
      </c>
      <c r="I223">
        <v>275</v>
      </c>
      <c r="J223" s="64">
        <v>45519</v>
      </c>
      <c r="K223" s="64">
        <v>45531</v>
      </c>
      <c r="L223" t="s">
        <v>372</v>
      </c>
      <c r="M223" s="64">
        <v>45527</v>
      </c>
      <c r="N223" t="s">
        <v>374</v>
      </c>
      <c r="O223" t="s">
        <v>372</v>
      </c>
      <c r="P223">
        <v>0.77</v>
      </c>
      <c r="Q223">
        <v>2.0099999999999998</v>
      </c>
      <c r="R223">
        <v>211.75</v>
      </c>
      <c r="S223">
        <v>552.75</v>
      </c>
      <c r="T223" t="s">
        <v>70</v>
      </c>
      <c r="AA223">
        <f t="shared" si="3"/>
        <v>375177.73000000004</v>
      </c>
      <c r="AB223">
        <f>COUNTIF($D$1:D223,D223)</f>
        <v>145</v>
      </c>
    </row>
    <row r="224" spans="1:28" x14ac:dyDescent="0.25">
      <c r="A224">
        <v>223</v>
      </c>
      <c r="B224">
        <v>183192</v>
      </c>
      <c r="C224">
        <v>24001566</v>
      </c>
      <c r="D224" t="s">
        <v>14</v>
      </c>
      <c r="E224" t="s">
        <v>215</v>
      </c>
      <c r="F224">
        <v>5158587</v>
      </c>
      <c r="G224">
        <v>305</v>
      </c>
      <c r="H224" t="s">
        <v>175</v>
      </c>
      <c r="I224">
        <v>1515</v>
      </c>
      <c r="J224" s="64">
        <v>45520</v>
      </c>
      <c r="K224" s="64">
        <v>45524</v>
      </c>
      <c r="L224" t="s">
        <v>372</v>
      </c>
      <c r="M224" s="64">
        <v>45527</v>
      </c>
      <c r="N224" t="s">
        <v>373</v>
      </c>
      <c r="O224" t="s">
        <v>372</v>
      </c>
      <c r="P224">
        <v>0.8</v>
      </c>
      <c r="Q224">
        <v>1.88</v>
      </c>
      <c r="R224">
        <v>1212</v>
      </c>
      <c r="S224">
        <v>2848.2</v>
      </c>
      <c r="T224" t="s">
        <v>70</v>
      </c>
      <c r="AA224">
        <f t="shared" si="3"/>
        <v>375177.73000000004</v>
      </c>
      <c r="AB224">
        <f>COUNTIF($D$1:D224,D224)</f>
        <v>146</v>
      </c>
    </row>
    <row r="225" spans="1:28" x14ac:dyDescent="0.25">
      <c r="A225">
        <v>224</v>
      </c>
      <c r="B225">
        <v>183193</v>
      </c>
      <c r="C225">
        <v>24001567</v>
      </c>
      <c r="D225" t="s">
        <v>14</v>
      </c>
      <c r="E225" t="s">
        <v>215</v>
      </c>
      <c r="F225" t="s">
        <v>402</v>
      </c>
      <c r="G225">
        <v>305</v>
      </c>
      <c r="H225" t="s">
        <v>175</v>
      </c>
      <c r="I225">
        <v>490</v>
      </c>
      <c r="J225" s="64">
        <v>45520</v>
      </c>
      <c r="K225" s="64">
        <v>45523</v>
      </c>
      <c r="L225" t="s">
        <v>372</v>
      </c>
      <c r="M225" s="64">
        <v>45527</v>
      </c>
      <c r="N225" t="s">
        <v>373</v>
      </c>
      <c r="O225" t="s">
        <v>372</v>
      </c>
      <c r="P225">
        <v>0.77</v>
      </c>
      <c r="Q225">
        <v>2.0099999999999998</v>
      </c>
      <c r="R225">
        <v>377.3</v>
      </c>
      <c r="S225">
        <v>984.9</v>
      </c>
      <c r="T225" t="s">
        <v>70</v>
      </c>
      <c r="AA225">
        <f t="shared" si="3"/>
        <v>375177.73000000004</v>
      </c>
      <c r="AB225">
        <f>COUNTIF($D$1:D225,D225)</f>
        <v>147</v>
      </c>
    </row>
    <row r="226" spans="1:28" x14ac:dyDescent="0.25">
      <c r="A226">
        <v>225</v>
      </c>
      <c r="B226">
        <v>183194</v>
      </c>
      <c r="C226">
        <v>24001568</v>
      </c>
      <c r="D226" t="s">
        <v>14</v>
      </c>
      <c r="E226" t="s">
        <v>215</v>
      </c>
      <c r="F226">
        <v>5158009</v>
      </c>
      <c r="G226">
        <v>305</v>
      </c>
      <c r="H226" t="s">
        <v>175</v>
      </c>
      <c r="I226">
        <v>1214</v>
      </c>
      <c r="J226" s="64">
        <v>45517</v>
      </c>
      <c r="K226" s="64">
        <v>45517</v>
      </c>
      <c r="L226" t="s">
        <v>372</v>
      </c>
      <c r="M226" s="64">
        <v>45527</v>
      </c>
      <c r="N226" t="s">
        <v>373</v>
      </c>
      <c r="O226" t="s">
        <v>372</v>
      </c>
      <c r="P226">
        <v>0.83</v>
      </c>
      <c r="Q226">
        <v>2.13</v>
      </c>
      <c r="R226">
        <v>1007.62</v>
      </c>
      <c r="S226">
        <v>2585.8200000000002</v>
      </c>
      <c r="T226" t="s">
        <v>70</v>
      </c>
      <c r="AA226">
        <f t="shared" si="3"/>
        <v>375177.73000000004</v>
      </c>
      <c r="AB226">
        <f>COUNTIF($D$1:D226,D226)</f>
        <v>148</v>
      </c>
    </row>
    <row r="227" spans="1:28" x14ac:dyDescent="0.25">
      <c r="A227">
        <v>226</v>
      </c>
      <c r="B227">
        <v>183206</v>
      </c>
      <c r="C227">
        <v>24001580</v>
      </c>
      <c r="D227" t="s">
        <v>14</v>
      </c>
      <c r="E227" t="s">
        <v>215</v>
      </c>
      <c r="F227">
        <v>5157994</v>
      </c>
      <c r="G227">
        <v>306</v>
      </c>
      <c r="H227" t="s">
        <v>175</v>
      </c>
      <c r="I227">
        <v>269</v>
      </c>
      <c r="J227" s="64">
        <v>45516</v>
      </c>
      <c r="K227" s="64">
        <v>45520</v>
      </c>
      <c r="L227" t="s">
        <v>372</v>
      </c>
      <c r="M227" s="64">
        <v>45527</v>
      </c>
      <c r="N227" t="s">
        <v>373</v>
      </c>
      <c r="O227" t="s">
        <v>372</v>
      </c>
      <c r="P227">
        <v>0.93</v>
      </c>
      <c r="Q227">
        <v>2.2400000000000002</v>
      </c>
      <c r="R227">
        <v>250.17</v>
      </c>
      <c r="S227">
        <v>602.55999999999995</v>
      </c>
      <c r="T227" t="s">
        <v>70</v>
      </c>
      <c r="AA227">
        <f t="shared" si="3"/>
        <v>375177.73000000004</v>
      </c>
      <c r="AB227">
        <f>COUNTIF($D$1:D227,D227)</f>
        <v>149</v>
      </c>
    </row>
    <row r="228" spans="1:28" x14ac:dyDescent="0.25">
      <c r="A228">
        <v>227</v>
      </c>
      <c r="B228">
        <v>183196</v>
      </c>
      <c r="C228">
        <v>24001570</v>
      </c>
      <c r="D228" t="s">
        <v>14</v>
      </c>
      <c r="E228" t="s">
        <v>215</v>
      </c>
      <c r="F228">
        <v>5158004</v>
      </c>
      <c r="G228">
        <v>305</v>
      </c>
      <c r="H228" t="s">
        <v>175</v>
      </c>
      <c r="I228">
        <v>1365</v>
      </c>
      <c r="J228" s="64">
        <v>45513</v>
      </c>
      <c r="K228" s="64">
        <v>45517</v>
      </c>
      <c r="L228" t="s">
        <v>372</v>
      </c>
      <c r="M228" s="64">
        <v>45527</v>
      </c>
      <c r="N228" t="s">
        <v>373</v>
      </c>
      <c r="O228" t="s">
        <v>372</v>
      </c>
      <c r="P228">
        <v>0.79</v>
      </c>
      <c r="Q228">
        <v>2.0099999999999998</v>
      </c>
      <c r="R228">
        <v>1078.3499999999999</v>
      </c>
      <c r="S228">
        <v>2743.65</v>
      </c>
      <c r="T228" t="s">
        <v>70</v>
      </c>
      <c r="AA228">
        <f t="shared" si="3"/>
        <v>375177.73000000004</v>
      </c>
      <c r="AB228">
        <f>COUNTIF($D$1:D228,D228)</f>
        <v>150</v>
      </c>
    </row>
    <row r="229" spans="1:28" x14ac:dyDescent="0.25">
      <c r="A229">
        <v>228</v>
      </c>
      <c r="B229">
        <v>183197</v>
      </c>
      <c r="C229">
        <v>24001571</v>
      </c>
      <c r="D229" t="s">
        <v>14</v>
      </c>
      <c r="E229" t="s">
        <v>215</v>
      </c>
      <c r="F229" t="s">
        <v>408</v>
      </c>
      <c r="G229">
        <v>305</v>
      </c>
      <c r="H229" t="s">
        <v>175</v>
      </c>
      <c r="I229">
        <v>158</v>
      </c>
      <c r="J229" s="64">
        <v>45513</v>
      </c>
      <c r="K229" s="64">
        <v>45513</v>
      </c>
      <c r="L229" t="s">
        <v>372</v>
      </c>
      <c r="M229" s="64">
        <v>45527</v>
      </c>
      <c r="N229" t="s">
        <v>373</v>
      </c>
      <c r="O229" t="s">
        <v>372</v>
      </c>
      <c r="P229">
        <v>0.77</v>
      </c>
      <c r="Q229">
        <v>2.16</v>
      </c>
      <c r="R229">
        <v>121.66</v>
      </c>
      <c r="S229">
        <v>341.28</v>
      </c>
      <c r="T229" t="s">
        <v>70</v>
      </c>
      <c r="AA229">
        <f t="shared" si="3"/>
        <v>375177.73000000004</v>
      </c>
      <c r="AB229">
        <f>COUNTIF($D$1:D229,D229)</f>
        <v>151</v>
      </c>
    </row>
    <row r="230" spans="1:28" x14ac:dyDescent="0.25">
      <c r="A230">
        <v>229</v>
      </c>
      <c r="B230">
        <v>183207</v>
      </c>
      <c r="C230">
        <v>24001581</v>
      </c>
      <c r="D230" t="s">
        <v>14</v>
      </c>
      <c r="E230" t="s">
        <v>215</v>
      </c>
      <c r="F230">
        <v>5158002</v>
      </c>
      <c r="G230">
        <v>306</v>
      </c>
      <c r="H230" t="s">
        <v>175</v>
      </c>
      <c r="I230">
        <v>1029</v>
      </c>
      <c r="J230" s="64">
        <v>45518</v>
      </c>
      <c r="K230" s="64">
        <v>45519</v>
      </c>
      <c r="L230" t="s">
        <v>372</v>
      </c>
      <c r="M230" s="64">
        <v>45527</v>
      </c>
      <c r="N230" t="s">
        <v>373</v>
      </c>
      <c r="O230" t="s">
        <v>372</v>
      </c>
      <c r="P230">
        <v>0.93</v>
      </c>
      <c r="Q230">
        <v>2.2400000000000002</v>
      </c>
      <c r="R230">
        <v>956.97</v>
      </c>
      <c r="S230">
        <v>2304.96</v>
      </c>
      <c r="T230" t="s">
        <v>70</v>
      </c>
      <c r="AA230">
        <f t="shared" si="3"/>
        <v>375177.73000000004</v>
      </c>
      <c r="AB230">
        <f>COUNTIF($D$1:D230,D230)</f>
        <v>152</v>
      </c>
    </row>
    <row r="231" spans="1:28" x14ac:dyDescent="0.25">
      <c r="A231">
        <v>230</v>
      </c>
      <c r="B231">
        <v>183208</v>
      </c>
      <c r="C231">
        <v>24001582</v>
      </c>
      <c r="D231" t="s">
        <v>14</v>
      </c>
      <c r="E231" t="s">
        <v>215</v>
      </c>
      <c r="F231">
        <v>5157991</v>
      </c>
      <c r="G231">
        <v>306</v>
      </c>
      <c r="H231" t="s">
        <v>175</v>
      </c>
      <c r="I231">
        <v>906</v>
      </c>
      <c r="J231" s="64">
        <v>45516</v>
      </c>
      <c r="K231" s="64">
        <v>45527</v>
      </c>
      <c r="L231" t="s">
        <v>372</v>
      </c>
      <c r="M231" s="64">
        <v>45527</v>
      </c>
      <c r="N231" t="s">
        <v>373</v>
      </c>
      <c r="O231" t="s">
        <v>372</v>
      </c>
      <c r="P231">
        <v>0.8</v>
      </c>
      <c r="Q231">
        <v>2.08</v>
      </c>
      <c r="R231">
        <v>724.8</v>
      </c>
      <c r="S231">
        <v>1884.48</v>
      </c>
      <c r="T231" t="s">
        <v>70</v>
      </c>
      <c r="AA231">
        <f t="shared" si="3"/>
        <v>375177.73000000004</v>
      </c>
      <c r="AB231">
        <f>COUNTIF($D$1:D231,D231)</f>
        <v>153</v>
      </c>
    </row>
    <row r="232" spans="1:28" x14ac:dyDescent="0.25">
      <c r="A232">
        <v>231</v>
      </c>
      <c r="B232">
        <v>183218</v>
      </c>
      <c r="C232">
        <v>24001588</v>
      </c>
      <c r="D232" t="s">
        <v>14</v>
      </c>
      <c r="E232" t="s">
        <v>215</v>
      </c>
      <c r="F232">
        <v>5158599</v>
      </c>
      <c r="G232">
        <v>348</v>
      </c>
      <c r="H232" t="s">
        <v>175</v>
      </c>
      <c r="I232">
        <v>3452</v>
      </c>
      <c r="J232" s="64">
        <v>45523</v>
      </c>
      <c r="K232" s="64">
        <v>45524</v>
      </c>
      <c r="L232" t="s">
        <v>372</v>
      </c>
      <c r="M232" s="64">
        <v>45527</v>
      </c>
      <c r="N232" t="s">
        <v>373</v>
      </c>
      <c r="O232" t="s">
        <v>372</v>
      </c>
      <c r="P232">
        <v>0.7</v>
      </c>
      <c r="Q232">
        <v>1.71</v>
      </c>
      <c r="R232">
        <v>2416.4</v>
      </c>
      <c r="S232">
        <v>5902.92</v>
      </c>
      <c r="T232" t="s">
        <v>70</v>
      </c>
      <c r="AA232">
        <f t="shared" si="3"/>
        <v>375177.73000000004</v>
      </c>
      <c r="AB232">
        <f>COUNTIF($D$1:D232,D232)</f>
        <v>154</v>
      </c>
    </row>
    <row r="233" spans="1:28" x14ac:dyDescent="0.25">
      <c r="A233">
        <v>232</v>
      </c>
      <c r="B233">
        <v>183427</v>
      </c>
      <c r="C233">
        <v>24001617</v>
      </c>
      <c r="D233" t="s">
        <v>14</v>
      </c>
      <c r="E233" t="s">
        <v>215</v>
      </c>
      <c r="F233">
        <v>5158044</v>
      </c>
      <c r="G233">
        <v>380</v>
      </c>
      <c r="H233" t="s">
        <v>175</v>
      </c>
      <c r="I233">
        <v>5530</v>
      </c>
      <c r="J233" s="64">
        <v>45526</v>
      </c>
      <c r="K233" s="64">
        <v>45531</v>
      </c>
      <c r="L233" t="s">
        <v>372</v>
      </c>
      <c r="M233" s="64">
        <v>45548</v>
      </c>
      <c r="N233" t="s">
        <v>373</v>
      </c>
      <c r="O233" t="s">
        <v>376</v>
      </c>
      <c r="P233">
        <v>0.65</v>
      </c>
      <c r="Q233">
        <v>1.61</v>
      </c>
      <c r="R233">
        <v>3594.5</v>
      </c>
      <c r="S233">
        <v>8903.2999999999993</v>
      </c>
      <c r="T233" t="s">
        <v>70</v>
      </c>
      <c r="AA233">
        <f t="shared" si="3"/>
        <v>375177.73000000004</v>
      </c>
      <c r="AB233">
        <f>COUNTIF($D$1:D233,D233)</f>
        <v>155</v>
      </c>
    </row>
    <row r="234" spans="1:28" x14ac:dyDescent="0.25">
      <c r="A234">
        <v>233</v>
      </c>
      <c r="B234">
        <v>183049</v>
      </c>
      <c r="C234">
        <v>24001512</v>
      </c>
      <c r="D234" t="s">
        <v>14</v>
      </c>
      <c r="E234" t="s">
        <v>215</v>
      </c>
      <c r="F234">
        <v>5158039</v>
      </c>
      <c r="G234">
        <v>251</v>
      </c>
      <c r="H234" t="s">
        <v>175</v>
      </c>
      <c r="I234">
        <v>32</v>
      </c>
      <c r="J234" s="64">
        <v>45505</v>
      </c>
      <c r="K234" s="64">
        <v>45505</v>
      </c>
      <c r="L234" t="s">
        <v>372</v>
      </c>
      <c r="M234" s="64">
        <v>45503</v>
      </c>
      <c r="N234" t="s">
        <v>374</v>
      </c>
      <c r="O234" t="s">
        <v>377</v>
      </c>
      <c r="P234">
        <v>0.65</v>
      </c>
      <c r="Q234">
        <v>1.61</v>
      </c>
      <c r="R234">
        <v>20.8</v>
      </c>
      <c r="S234">
        <v>51.52</v>
      </c>
      <c r="T234" t="s">
        <v>70</v>
      </c>
      <c r="AA234">
        <f t="shared" si="3"/>
        <v>375177.73000000004</v>
      </c>
      <c r="AB234">
        <f>COUNTIF($D$1:D234,D234)</f>
        <v>156</v>
      </c>
    </row>
    <row r="235" spans="1:28" x14ac:dyDescent="0.25">
      <c r="A235">
        <v>234</v>
      </c>
      <c r="B235">
        <v>183154</v>
      </c>
      <c r="C235">
        <v>24001528</v>
      </c>
      <c r="D235" t="s">
        <v>14</v>
      </c>
      <c r="E235" t="s">
        <v>215</v>
      </c>
      <c r="F235">
        <v>5158039</v>
      </c>
      <c r="G235">
        <v>302</v>
      </c>
      <c r="H235" t="s">
        <v>175</v>
      </c>
      <c r="I235">
        <v>6465</v>
      </c>
      <c r="J235" s="64">
        <v>45509</v>
      </c>
      <c r="K235" s="64">
        <v>45516</v>
      </c>
      <c r="L235" t="s">
        <v>372</v>
      </c>
      <c r="M235" s="64">
        <v>45527</v>
      </c>
      <c r="N235" t="s">
        <v>373</v>
      </c>
      <c r="O235" t="s">
        <v>372</v>
      </c>
      <c r="P235">
        <v>0.65</v>
      </c>
      <c r="Q235">
        <v>1.61</v>
      </c>
      <c r="R235">
        <v>4202.25</v>
      </c>
      <c r="S235">
        <v>10408.65</v>
      </c>
      <c r="T235" t="s">
        <v>70</v>
      </c>
      <c r="AA235">
        <f t="shared" si="3"/>
        <v>375177.73000000004</v>
      </c>
      <c r="AB235">
        <f>COUNTIF($D$1:D235,D235)</f>
        <v>157</v>
      </c>
    </row>
    <row r="236" spans="1:28" x14ac:dyDescent="0.25">
      <c r="A236">
        <v>235</v>
      </c>
      <c r="B236">
        <v>183221</v>
      </c>
      <c r="C236">
        <v>24001593</v>
      </c>
      <c r="D236" t="s">
        <v>14</v>
      </c>
      <c r="E236" t="s">
        <v>215</v>
      </c>
      <c r="F236">
        <v>5159307</v>
      </c>
      <c r="G236">
        <v>354</v>
      </c>
      <c r="H236" t="s">
        <v>175</v>
      </c>
      <c r="I236">
        <v>2524</v>
      </c>
      <c r="J236" s="64">
        <v>45525</v>
      </c>
      <c r="K236" s="64">
        <v>45530</v>
      </c>
      <c r="L236" t="s">
        <v>372</v>
      </c>
      <c r="M236" s="64">
        <v>45534</v>
      </c>
      <c r="N236" t="s">
        <v>373</v>
      </c>
      <c r="O236" t="s">
        <v>372</v>
      </c>
      <c r="P236">
        <v>0.83</v>
      </c>
      <c r="Q236">
        <v>2.1800000000000002</v>
      </c>
      <c r="R236">
        <v>2094.92</v>
      </c>
      <c r="S236">
        <v>5502.32</v>
      </c>
      <c r="T236" t="s">
        <v>70</v>
      </c>
      <c r="AA236">
        <f t="shared" si="3"/>
        <v>375177.73000000004</v>
      </c>
      <c r="AB236">
        <f>COUNTIF($D$1:D236,D236)</f>
        <v>158</v>
      </c>
    </row>
    <row r="237" spans="1:28" x14ac:dyDescent="0.25">
      <c r="A237">
        <v>236</v>
      </c>
      <c r="B237">
        <v>183209</v>
      </c>
      <c r="C237">
        <v>24001583</v>
      </c>
      <c r="D237" t="s">
        <v>14</v>
      </c>
      <c r="E237" t="s">
        <v>215</v>
      </c>
      <c r="F237">
        <v>5158007</v>
      </c>
      <c r="G237">
        <v>306</v>
      </c>
      <c r="H237" t="s">
        <v>175</v>
      </c>
      <c r="I237">
        <v>63</v>
      </c>
      <c r="J237" s="64">
        <v>45518</v>
      </c>
      <c r="K237" s="64">
        <v>45526</v>
      </c>
      <c r="L237" t="s">
        <v>372</v>
      </c>
      <c r="M237" s="64">
        <v>45527</v>
      </c>
      <c r="N237" t="s">
        <v>373</v>
      </c>
      <c r="O237" t="s">
        <v>372</v>
      </c>
      <c r="P237">
        <v>0.8</v>
      </c>
      <c r="Q237">
        <v>2.08</v>
      </c>
      <c r="R237">
        <v>50.4</v>
      </c>
      <c r="S237">
        <v>131.04</v>
      </c>
      <c r="T237" t="s">
        <v>70</v>
      </c>
      <c r="AA237">
        <f t="shared" si="3"/>
        <v>375177.73000000004</v>
      </c>
      <c r="AB237">
        <f>COUNTIF($D$1:D237,D237)</f>
        <v>159</v>
      </c>
    </row>
    <row r="238" spans="1:28" x14ac:dyDescent="0.25">
      <c r="A238">
        <v>237</v>
      </c>
      <c r="B238">
        <v>183210</v>
      </c>
      <c r="C238">
        <v>24001584</v>
      </c>
      <c r="D238" t="s">
        <v>14</v>
      </c>
      <c r="E238" t="s">
        <v>215</v>
      </c>
      <c r="F238">
        <v>5157980</v>
      </c>
      <c r="G238">
        <v>306</v>
      </c>
      <c r="H238" t="s">
        <v>175</v>
      </c>
      <c r="I238">
        <v>1500</v>
      </c>
      <c r="J238" s="64">
        <v>45518</v>
      </c>
      <c r="K238" s="64">
        <v>45525</v>
      </c>
      <c r="L238" t="s">
        <v>372</v>
      </c>
      <c r="M238" s="64">
        <v>45527</v>
      </c>
      <c r="N238" t="s">
        <v>373</v>
      </c>
      <c r="O238" t="s">
        <v>372</v>
      </c>
      <c r="P238">
        <v>0.8</v>
      </c>
      <c r="Q238">
        <v>2.08</v>
      </c>
      <c r="R238">
        <v>1200</v>
      </c>
      <c r="S238">
        <v>3120</v>
      </c>
      <c r="T238" t="s">
        <v>70</v>
      </c>
      <c r="AA238">
        <f t="shared" si="3"/>
        <v>375177.73000000004</v>
      </c>
      <c r="AB238">
        <f>COUNTIF($D$1:D238,D238)</f>
        <v>160</v>
      </c>
    </row>
    <row r="239" spans="1:28" x14ac:dyDescent="0.25">
      <c r="A239">
        <v>238</v>
      </c>
      <c r="B239">
        <v>183120</v>
      </c>
      <c r="C239">
        <v>24001522</v>
      </c>
      <c r="D239" t="s">
        <v>14</v>
      </c>
      <c r="E239" t="s">
        <v>215</v>
      </c>
      <c r="F239">
        <v>5159307</v>
      </c>
      <c r="G239">
        <v>299</v>
      </c>
      <c r="H239" t="s">
        <v>257</v>
      </c>
      <c r="I239">
        <v>689</v>
      </c>
      <c r="J239" s="64">
        <v>45505</v>
      </c>
      <c r="K239" s="64">
        <v>45512</v>
      </c>
      <c r="L239" t="s">
        <v>372</v>
      </c>
      <c r="M239" s="64">
        <v>45510</v>
      </c>
      <c r="N239" t="s">
        <v>374</v>
      </c>
      <c r="O239" t="s">
        <v>372</v>
      </c>
      <c r="P239">
        <v>0.83</v>
      </c>
      <c r="Q239">
        <v>2.1800000000000002</v>
      </c>
      <c r="R239">
        <v>571.87</v>
      </c>
      <c r="S239">
        <v>1502.02</v>
      </c>
      <c r="T239" t="s">
        <v>70</v>
      </c>
      <c r="AA239">
        <f t="shared" si="3"/>
        <v>375177.73000000004</v>
      </c>
      <c r="AB239">
        <f>COUNTIF($D$1:D239,D239)</f>
        <v>161</v>
      </c>
    </row>
    <row r="240" spans="1:28" x14ac:dyDescent="0.25">
      <c r="A240">
        <v>239</v>
      </c>
      <c r="B240">
        <v>183165</v>
      </c>
      <c r="C240">
        <v>24001539</v>
      </c>
      <c r="D240" t="s">
        <v>14</v>
      </c>
      <c r="E240" t="s">
        <v>215</v>
      </c>
      <c r="F240">
        <v>5158594</v>
      </c>
      <c r="G240">
        <v>303</v>
      </c>
      <c r="H240" t="s">
        <v>257</v>
      </c>
      <c r="I240">
        <v>1643</v>
      </c>
      <c r="J240" s="64">
        <v>45506</v>
      </c>
      <c r="K240" s="64">
        <v>45509</v>
      </c>
      <c r="L240" t="s">
        <v>372</v>
      </c>
      <c r="M240" s="64">
        <v>45512</v>
      </c>
      <c r="N240" t="s">
        <v>373</v>
      </c>
      <c r="O240" t="s">
        <v>372</v>
      </c>
      <c r="P240">
        <v>0.7</v>
      </c>
      <c r="Q240">
        <v>1.64</v>
      </c>
      <c r="R240">
        <v>1150.0999999999999</v>
      </c>
      <c r="S240">
        <v>2694.52</v>
      </c>
      <c r="T240" t="s">
        <v>70</v>
      </c>
      <c r="AA240">
        <f t="shared" si="3"/>
        <v>375177.73000000004</v>
      </c>
      <c r="AB240">
        <f>COUNTIF($D$1:D240,D240)</f>
        <v>162</v>
      </c>
    </row>
    <row r="241" spans="1:28" x14ac:dyDescent="0.25">
      <c r="A241">
        <v>240</v>
      </c>
      <c r="B241">
        <v>183190</v>
      </c>
      <c r="C241">
        <v>24001564</v>
      </c>
      <c r="D241" t="s">
        <v>14</v>
      </c>
      <c r="E241" t="s">
        <v>215</v>
      </c>
      <c r="F241">
        <v>5158602</v>
      </c>
      <c r="G241">
        <v>305</v>
      </c>
      <c r="H241" t="s">
        <v>257</v>
      </c>
      <c r="I241">
        <v>447</v>
      </c>
      <c r="J241" s="64">
        <v>45505</v>
      </c>
      <c r="K241" s="64">
        <v>45531</v>
      </c>
      <c r="L241" t="s">
        <v>372</v>
      </c>
      <c r="M241" s="64">
        <v>45527</v>
      </c>
      <c r="N241" t="s">
        <v>374</v>
      </c>
      <c r="O241" t="s">
        <v>372</v>
      </c>
      <c r="P241">
        <v>0.8</v>
      </c>
      <c r="Q241">
        <v>1.88</v>
      </c>
      <c r="R241">
        <v>357.6</v>
      </c>
      <c r="S241">
        <v>840.36</v>
      </c>
      <c r="T241" t="s">
        <v>70</v>
      </c>
      <c r="AA241">
        <f t="shared" si="3"/>
        <v>375177.73000000004</v>
      </c>
      <c r="AB241">
        <f>COUNTIF($D$1:D241,D241)</f>
        <v>163</v>
      </c>
    </row>
    <row r="242" spans="1:28" x14ac:dyDescent="0.25">
      <c r="A242">
        <v>241</v>
      </c>
      <c r="B242">
        <v>183191</v>
      </c>
      <c r="C242">
        <v>24001565</v>
      </c>
      <c r="D242" t="s">
        <v>14</v>
      </c>
      <c r="E242" t="s">
        <v>215</v>
      </c>
      <c r="F242" t="s">
        <v>407</v>
      </c>
      <c r="G242">
        <v>305</v>
      </c>
      <c r="H242" t="s">
        <v>257</v>
      </c>
      <c r="I242">
        <v>275</v>
      </c>
      <c r="J242" s="64">
        <v>45519</v>
      </c>
      <c r="K242" s="64">
        <v>45531</v>
      </c>
      <c r="L242" t="s">
        <v>372</v>
      </c>
      <c r="M242" s="64">
        <v>45527</v>
      </c>
      <c r="N242" t="s">
        <v>374</v>
      </c>
      <c r="O242" t="s">
        <v>372</v>
      </c>
      <c r="P242">
        <v>0.77</v>
      </c>
      <c r="Q242">
        <v>2.0099999999999998</v>
      </c>
      <c r="R242">
        <v>211.75</v>
      </c>
      <c r="S242">
        <v>552.75</v>
      </c>
      <c r="T242" t="s">
        <v>70</v>
      </c>
      <c r="AA242">
        <f t="shared" si="3"/>
        <v>375177.73000000004</v>
      </c>
      <c r="AB242">
        <f>COUNTIF($D$1:D242,D242)</f>
        <v>164</v>
      </c>
    </row>
    <row r="243" spans="1:28" x14ac:dyDescent="0.25">
      <c r="A243">
        <v>242</v>
      </c>
      <c r="B243">
        <v>183192</v>
      </c>
      <c r="C243">
        <v>24001566</v>
      </c>
      <c r="D243" t="s">
        <v>14</v>
      </c>
      <c r="E243" t="s">
        <v>215</v>
      </c>
      <c r="F243">
        <v>5158587</v>
      </c>
      <c r="G243">
        <v>305</v>
      </c>
      <c r="H243" t="s">
        <v>257</v>
      </c>
      <c r="I243">
        <v>1515</v>
      </c>
      <c r="J243" s="64">
        <v>45520</v>
      </c>
      <c r="K243" s="64">
        <v>45524</v>
      </c>
      <c r="L243" t="s">
        <v>372</v>
      </c>
      <c r="M243" s="64">
        <v>45527</v>
      </c>
      <c r="N243" t="s">
        <v>373</v>
      </c>
      <c r="O243" t="s">
        <v>372</v>
      </c>
      <c r="P243">
        <v>0.8</v>
      </c>
      <c r="Q243">
        <v>1.88</v>
      </c>
      <c r="R243">
        <v>1212</v>
      </c>
      <c r="S243">
        <v>2848.2</v>
      </c>
      <c r="T243" t="s">
        <v>70</v>
      </c>
      <c r="AA243">
        <f t="shared" si="3"/>
        <v>375177.73000000004</v>
      </c>
      <c r="AB243">
        <f>COUNTIF($D$1:D243,D243)</f>
        <v>165</v>
      </c>
    </row>
    <row r="244" spans="1:28" x14ac:dyDescent="0.25">
      <c r="A244">
        <v>243</v>
      </c>
      <c r="B244">
        <v>183193</v>
      </c>
      <c r="C244">
        <v>24001567</v>
      </c>
      <c r="D244" t="s">
        <v>14</v>
      </c>
      <c r="E244" t="s">
        <v>215</v>
      </c>
      <c r="F244" t="s">
        <v>402</v>
      </c>
      <c r="G244">
        <v>305</v>
      </c>
      <c r="H244" t="s">
        <v>257</v>
      </c>
      <c r="I244">
        <v>490</v>
      </c>
      <c r="J244" s="64">
        <v>45520</v>
      </c>
      <c r="K244" s="64">
        <v>45523</v>
      </c>
      <c r="L244" t="s">
        <v>372</v>
      </c>
      <c r="M244" s="64">
        <v>45527</v>
      </c>
      <c r="N244" t="s">
        <v>373</v>
      </c>
      <c r="O244" t="s">
        <v>372</v>
      </c>
      <c r="P244">
        <v>0.77</v>
      </c>
      <c r="Q244">
        <v>2.0099999999999998</v>
      </c>
      <c r="R244">
        <v>377.3</v>
      </c>
      <c r="S244">
        <v>984.9</v>
      </c>
      <c r="T244" t="s">
        <v>70</v>
      </c>
      <c r="AA244">
        <f t="shared" si="3"/>
        <v>375177.73000000004</v>
      </c>
      <c r="AB244">
        <f>COUNTIF($D$1:D244,D244)</f>
        <v>166</v>
      </c>
    </row>
    <row r="245" spans="1:28" x14ac:dyDescent="0.25">
      <c r="A245">
        <v>244</v>
      </c>
      <c r="B245">
        <v>183206</v>
      </c>
      <c r="C245">
        <v>24001580</v>
      </c>
      <c r="D245" t="s">
        <v>14</v>
      </c>
      <c r="E245" t="s">
        <v>215</v>
      </c>
      <c r="F245">
        <v>5157994</v>
      </c>
      <c r="G245">
        <v>306</v>
      </c>
      <c r="H245" t="s">
        <v>257</v>
      </c>
      <c r="I245">
        <v>268</v>
      </c>
      <c r="J245" s="64">
        <v>45516</v>
      </c>
      <c r="K245" s="64">
        <v>45520</v>
      </c>
      <c r="L245" t="s">
        <v>372</v>
      </c>
      <c r="M245" s="64">
        <v>45527</v>
      </c>
      <c r="N245" t="s">
        <v>373</v>
      </c>
      <c r="O245" t="s">
        <v>372</v>
      </c>
      <c r="P245">
        <v>0.93</v>
      </c>
      <c r="Q245">
        <v>2.2400000000000002</v>
      </c>
      <c r="R245">
        <v>249.24</v>
      </c>
      <c r="S245">
        <v>600.32000000000005</v>
      </c>
      <c r="T245" t="s">
        <v>70</v>
      </c>
      <c r="AA245">
        <f t="shared" si="3"/>
        <v>375177.73000000004</v>
      </c>
      <c r="AB245">
        <f>COUNTIF($D$1:D245,D245)</f>
        <v>167</v>
      </c>
    </row>
    <row r="246" spans="1:28" x14ac:dyDescent="0.25">
      <c r="A246">
        <v>245</v>
      </c>
      <c r="B246">
        <v>183196</v>
      </c>
      <c r="C246">
        <v>24001570</v>
      </c>
      <c r="D246" t="s">
        <v>14</v>
      </c>
      <c r="E246" t="s">
        <v>215</v>
      </c>
      <c r="F246">
        <v>5158004</v>
      </c>
      <c r="G246">
        <v>305</v>
      </c>
      <c r="H246" t="s">
        <v>257</v>
      </c>
      <c r="I246">
        <v>681</v>
      </c>
      <c r="J246" s="64">
        <v>45513</v>
      </c>
      <c r="K246" s="64">
        <v>45533</v>
      </c>
      <c r="L246" t="s">
        <v>372</v>
      </c>
      <c r="M246" s="64">
        <v>45527</v>
      </c>
      <c r="N246" t="s">
        <v>374</v>
      </c>
      <c r="O246" t="s">
        <v>372</v>
      </c>
      <c r="P246">
        <v>0.79</v>
      </c>
      <c r="Q246">
        <v>2.0099999999999998</v>
      </c>
      <c r="R246">
        <v>537.99</v>
      </c>
      <c r="S246">
        <v>1368.81</v>
      </c>
      <c r="T246" t="s">
        <v>70</v>
      </c>
      <c r="AA246">
        <f t="shared" si="3"/>
        <v>375177.73000000004</v>
      </c>
      <c r="AB246">
        <f>COUNTIF($D$1:D246,D246)</f>
        <v>168</v>
      </c>
    </row>
    <row r="247" spans="1:28" x14ac:dyDescent="0.25">
      <c r="A247">
        <v>246</v>
      </c>
      <c r="B247">
        <v>183197</v>
      </c>
      <c r="C247">
        <v>24001571</v>
      </c>
      <c r="D247" t="s">
        <v>14</v>
      </c>
      <c r="E247" t="s">
        <v>215</v>
      </c>
      <c r="F247" t="s">
        <v>408</v>
      </c>
      <c r="G247">
        <v>305</v>
      </c>
      <c r="H247" t="s">
        <v>257</v>
      </c>
      <c r="I247">
        <v>157</v>
      </c>
      <c r="J247" s="64">
        <v>45513</v>
      </c>
      <c r="K247" s="64">
        <v>45532</v>
      </c>
      <c r="L247" t="s">
        <v>372</v>
      </c>
      <c r="M247" s="64">
        <v>45527</v>
      </c>
      <c r="N247" t="s">
        <v>374</v>
      </c>
      <c r="O247" t="s">
        <v>372</v>
      </c>
      <c r="P247">
        <v>0.77</v>
      </c>
      <c r="Q247">
        <v>2.16</v>
      </c>
      <c r="R247">
        <v>120.89</v>
      </c>
      <c r="S247">
        <v>339.12</v>
      </c>
      <c r="T247" t="s">
        <v>70</v>
      </c>
      <c r="AA247">
        <f t="shared" si="3"/>
        <v>375177.73000000004</v>
      </c>
      <c r="AB247">
        <f>COUNTIF($D$1:D247,D247)</f>
        <v>169</v>
      </c>
    </row>
    <row r="248" spans="1:28" x14ac:dyDescent="0.25">
      <c r="A248">
        <v>247</v>
      </c>
      <c r="B248">
        <v>183207</v>
      </c>
      <c r="C248">
        <v>24001581</v>
      </c>
      <c r="D248" t="s">
        <v>14</v>
      </c>
      <c r="E248" t="s">
        <v>215</v>
      </c>
      <c r="F248">
        <v>5158002</v>
      </c>
      <c r="G248">
        <v>306</v>
      </c>
      <c r="H248" t="s">
        <v>257</v>
      </c>
      <c r="I248">
        <v>1030</v>
      </c>
      <c r="J248" s="64">
        <v>45518</v>
      </c>
      <c r="K248" s="64">
        <v>45519</v>
      </c>
      <c r="L248" t="s">
        <v>372</v>
      </c>
      <c r="M248" s="64">
        <v>45527</v>
      </c>
      <c r="N248" t="s">
        <v>373</v>
      </c>
      <c r="O248" t="s">
        <v>372</v>
      </c>
      <c r="P248">
        <v>0.93</v>
      </c>
      <c r="Q248">
        <v>2.2400000000000002</v>
      </c>
      <c r="R248">
        <v>957.9</v>
      </c>
      <c r="S248">
        <v>2307.1999999999998</v>
      </c>
      <c r="T248" t="s">
        <v>70</v>
      </c>
      <c r="AA248">
        <f t="shared" si="3"/>
        <v>375177.73000000004</v>
      </c>
      <c r="AB248">
        <f>COUNTIF($D$1:D248,D248)</f>
        <v>170</v>
      </c>
    </row>
    <row r="249" spans="1:28" x14ac:dyDescent="0.25">
      <c r="A249">
        <v>248</v>
      </c>
      <c r="B249">
        <v>183208</v>
      </c>
      <c r="C249">
        <v>24001582</v>
      </c>
      <c r="D249" t="s">
        <v>14</v>
      </c>
      <c r="E249" t="s">
        <v>215</v>
      </c>
      <c r="F249">
        <v>5157991</v>
      </c>
      <c r="G249">
        <v>306</v>
      </c>
      <c r="H249" t="s">
        <v>257</v>
      </c>
      <c r="I249">
        <v>908</v>
      </c>
      <c r="J249" s="64">
        <v>45516</v>
      </c>
      <c r="K249" s="64">
        <v>45527</v>
      </c>
      <c r="L249" t="s">
        <v>372</v>
      </c>
      <c r="M249" s="64">
        <v>45527</v>
      </c>
      <c r="N249" t="s">
        <v>373</v>
      </c>
      <c r="O249" t="s">
        <v>372</v>
      </c>
      <c r="P249">
        <v>0.8</v>
      </c>
      <c r="Q249">
        <v>2.08</v>
      </c>
      <c r="R249">
        <v>726.4</v>
      </c>
      <c r="S249">
        <v>1888.64</v>
      </c>
      <c r="T249" t="s">
        <v>70</v>
      </c>
      <c r="AA249">
        <f t="shared" si="3"/>
        <v>375177.73000000004</v>
      </c>
      <c r="AB249">
        <f>COUNTIF($D$1:D249,D249)</f>
        <v>171</v>
      </c>
    </row>
    <row r="250" spans="1:28" x14ac:dyDescent="0.25">
      <c r="A250">
        <v>249</v>
      </c>
      <c r="B250">
        <v>183218</v>
      </c>
      <c r="C250">
        <v>24001588</v>
      </c>
      <c r="D250" t="s">
        <v>14</v>
      </c>
      <c r="E250" t="s">
        <v>215</v>
      </c>
      <c r="F250">
        <v>5158599</v>
      </c>
      <c r="G250">
        <v>348</v>
      </c>
      <c r="H250" t="s">
        <v>257</v>
      </c>
      <c r="I250">
        <v>3453</v>
      </c>
      <c r="J250" s="64">
        <v>45523</v>
      </c>
      <c r="K250" s="64">
        <v>45524</v>
      </c>
      <c r="L250" t="s">
        <v>372</v>
      </c>
      <c r="M250" s="64">
        <v>45527</v>
      </c>
      <c r="N250" t="s">
        <v>373</v>
      </c>
      <c r="O250" t="s">
        <v>372</v>
      </c>
      <c r="P250">
        <v>0.7</v>
      </c>
      <c r="Q250">
        <v>1.71</v>
      </c>
      <c r="R250">
        <v>2417.1</v>
      </c>
      <c r="S250">
        <v>5904.63</v>
      </c>
      <c r="T250" t="s">
        <v>70</v>
      </c>
      <c r="AA250">
        <f t="shared" si="3"/>
        <v>375177.73000000004</v>
      </c>
      <c r="AB250">
        <f>COUNTIF($D$1:D250,D250)</f>
        <v>172</v>
      </c>
    </row>
    <row r="251" spans="1:28" x14ac:dyDescent="0.25">
      <c r="A251">
        <v>250</v>
      </c>
      <c r="B251">
        <v>183427</v>
      </c>
      <c r="C251">
        <v>24001617</v>
      </c>
      <c r="D251" t="s">
        <v>14</v>
      </c>
      <c r="E251" t="s">
        <v>215</v>
      </c>
      <c r="F251">
        <v>5158044</v>
      </c>
      <c r="G251">
        <v>380</v>
      </c>
      <c r="H251" t="s">
        <v>257</v>
      </c>
      <c r="I251">
        <v>5531</v>
      </c>
      <c r="J251" s="64">
        <v>45526</v>
      </c>
      <c r="K251" s="64">
        <v>45531</v>
      </c>
      <c r="L251" t="s">
        <v>372</v>
      </c>
      <c r="M251" s="64">
        <v>45548</v>
      </c>
      <c r="N251" t="s">
        <v>373</v>
      </c>
      <c r="O251" t="s">
        <v>376</v>
      </c>
      <c r="P251">
        <v>0.65</v>
      </c>
      <c r="Q251">
        <v>1.61</v>
      </c>
      <c r="R251">
        <v>3595.15</v>
      </c>
      <c r="S251">
        <v>8904.91</v>
      </c>
      <c r="T251" t="s">
        <v>70</v>
      </c>
      <c r="AA251">
        <f t="shared" si="3"/>
        <v>375177.73000000004</v>
      </c>
      <c r="AB251">
        <f>COUNTIF($D$1:D251,D251)</f>
        <v>173</v>
      </c>
    </row>
    <row r="252" spans="1:28" x14ac:dyDescent="0.25">
      <c r="A252">
        <v>251</v>
      </c>
      <c r="B252">
        <v>183049</v>
      </c>
      <c r="C252">
        <v>24001512</v>
      </c>
      <c r="D252" t="s">
        <v>14</v>
      </c>
      <c r="E252" t="s">
        <v>215</v>
      </c>
      <c r="F252">
        <v>5158039</v>
      </c>
      <c r="G252">
        <v>251</v>
      </c>
      <c r="H252" t="s">
        <v>257</v>
      </c>
      <c r="I252">
        <v>33</v>
      </c>
      <c r="J252" s="64">
        <v>45505</v>
      </c>
      <c r="K252" s="64">
        <v>45505</v>
      </c>
      <c r="L252" t="s">
        <v>372</v>
      </c>
      <c r="M252" s="64">
        <v>45503</v>
      </c>
      <c r="N252" t="s">
        <v>374</v>
      </c>
      <c r="O252" t="s">
        <v>377</v>
      </c>
      <c r="P252">
        <v>0.65</v>
      </c>
      <c r="Q252">
        <v>1.61</v>
      </c>
      <c r="R252">
        <v>21.45</v>
      </c>
      <c r="S252">
        <v>53.13</v>
      </c>
      <c r="T252" t="s">
        <v>70</v>
      </c>
      <c r="AA252">
        <f t="shared" si="3"/>
        <v>375177.73000000004</v>
      </c>
      <c r="AB252">
        <f>COUNTIF($D$1:D252,D252)</f>
        <v>174</v>
      </c>
    </row>
    <row r="253" spans="1:28" x14ac:dyDescent="0.25">
      <c r="A253">
        <v>252</v>
      </c>
      <c r="B253">
        <v>183154</v>
      </c>
      <c r="C253">
        <v>24001528</v>
      </c>
      <c r="D253" t="s">
        <v>14</v>
      </c>
      <c r="E253" t="s">
        <v>215</v>
      </c>
      <c r="F253">
        <v>5158039</v>
      </c>
      <c r="G253">
        <v>302</v>
      </c>
      <c r="H253" t="s">
        <v>257</v>
      </c>
      <c r="I253">
        <v>6465</v>
      </c>
      <c r="J253" s="64">
        <v>45509</v>
      </c>
      <c r="K253" s="64">
        <v>45516</v>
      </c>
      <c r="L253" t="s">
        <v>372</v>
      </c>
      <c r="M253" s="64">
        <v>45527</v>
      </c>
      <c r="N253" t="s">
        <v>373</v>
      </c>
      <c r="O253" t="s">
        <v>372</v>
      </c>
      <c r="P253">
        <v>0.65</v>
      </c>
      <c r="Q253">
        <v>1.61</v>
      </c>
      <c r="R253">
        <v>4202.25</v>
      </c>
      <c r="S253">
        <v>10408.65</v>
      </c>
      <c r="T253" t="s">
        <v>70</v>
      </c>
      <c r="AA253">
        <f t="shared" si="3"/>
        <v>375177.73000000004</v>
      </c>
      <c r="AB253">
        <f>COUNTIF($D$1:D253,D253)</f>
        <v>175</v>
      </c>
    </row>
    <row r="254" spans="1:28" x14ac:dyDescent="0.25">
      <c r="A254">
        <v>253</v>
      </c>
      <c r="B254">
        <v>183194</v>
      </c>
      <c r="C254">
        <v>24001568</v>
      </c>
      <c r="D254" t="s">
        <v>14</v>
      </c>
      <c r="E254" t="s">
        <v>215</v>
      </c>
      <c r="F254">
        <v>5158009</v>
      </c>
      <c r="G254">
        <v>305</v>
      </c>
      <c r="H254" t="s">
        <v>257</v>
      </c>
      <c r="I254">
        <v>175</v>
      </c>
      <c r="J254" s="64">
        <v>45517</v>
      </c>
      <c r="K254" s="64">
        <v>45517</v>
      </c>
      <c r="L254" t="s">
        <v>372</v>
      </c>
      <c r="M254" s="64">
        <v>45527</v>
      </c>
      <c r="N254" t="s">
        <v>373</v>
      </c>
      <c r="O254" t="s">
        <v>372</v>
      </c>
      <c r="P254">
        <v>0.83</v>
      </c>
      <c r="Q254">
        <v>2.13</v>
      </c>
      <c r="R254">
        <v>145.25</v>
      </c>
      <c r="S254">
        <v>372.75</v>
      </c>
      <c r="T254" t="s">
        <v>70</v>
      </c>
      <c r="AA254">
        <f t="shared" si="3"/>
        <v>375177.73000000004</v>
      </c>
      <c r="AB254">
        <f>COUNTIF($D$1:D254,D254)</f>
        <v>176</v>
      </c>
    </row>
    <row r="255" spans="1:28" x14ac:dyDescent="0.25">
      <c r="A255">
        <v>254</v>
      </c>
      <c r="B255">
        <v>183209</v>
      </c>
      <c r="C255">
        <v>24001583</v>
      </c>
      <c r="D255" t="s">
        <v>14</v>
      </c>
      <c r="E255" t="s">
        <v>215</v>
      </c>
      <c r="F255">
        <v>5158007</v>
      </c>
      <c r="G255">
        <v>306</v>
      </c>
      <c r="H255" t="s">
        <v>257</v>
      </c>
      <c r="I255">
        <v>63</v>
      </c>
      <c r="J255" s="64">
        <v>45518</v>
      </c>
      <c r="K255" s="64">
        <v>45526</v>
      </c>
      <c r="L255" t="s">
        <v>372</v>
      </c>
      <c r="M255" s="64">
        <v>45527</v>
      </c>
      <c r="N255" t="s">
        <v>373</v>
      </c>
      <c r="O255" t="s">
        <v>372</v>
      </c>
      <c r="P255">
        <v>0.8</v>
      </c>
      <c r="Q255">
        <v>2.08</v>
      </c>
      <c r="R255">
        <v>50.4</v>
      </c>
      <c r="S255">
        <v>131.04</v>
      </c>
      <c r="T255" t="s">
        <v>70</v>
      </c>
      <c r="AA255">
        <f t="shared" si="3"/>
        <v>375177.73000000004</v>
      </c>
      <c r="AB255">
        <f>COUNTIF($D$1:D255,D255)</f>
        <v>177</v>
      </c>
    </row>
    <row r="256" spans="1:28" x14ac:dyDescent="0.25">
      <c r="A256">
        <v>255</v>
      </c>
      <c r="B256">
        <v>183210</v>
      </c>
      <c r="C256">
        <v>24001584</v>
      </c>
      <c r="D256" t="s">
        <v>14</v>
      </c>
      <c r="E256" t="s">
        <v>215</v>
      </c>
      <c r="F256">
        <v>5157980</v>
      </c>
      <c r="G256">
        <v>306</v>
      </c>
      <c r="H256" t="s">
        <v>257</v>
      </c>
      <c r="I256">
        <v>1500</v>
      </c>
      <c r="J256" s="64">
        <v>45518</v>
      </c>
      <c r="K256" s="64">
        <v>45533</v>
      </c>
      <c r="L256" t="s">
        <v>372</v>
      </c>
      <c r="M256" s="64">
        <v>45527</v>
      </c>
      <c r="N256" t="s">
        <v>374</v>
      </c>
      <c r="O256" t="s">
        <v>372</v>
      </c>
      <c r="P256">
        <v>0.8</v>
      </c>
      <c r="Q256">
        <v>2.08</v>
      </c>
      <c r="R256">
        <v>1200</v>
      </c>
      <c r="S256">
        <v>3120</v>
      </c>
      <c r="T256" t="s">
        <v>70</v>
      </c>
      <c r="AA256">
        <f t="shared" si="3"/>
        <v>375177.73000000004</v>
      </c>
      <c r="AB256">
        <f>COUNTIF($D$1:D256,D256)</f>
        <v>178</v>
      </c>
    </row>
    <row r="257" spans="1:28" x14ac:dyDescent="0.25">
      <c r="A257">
        <v>256</v>
      </c>
      <c r="B257">
        <v>183221</v>
      </c>
      <c r="C257">
        <v>24001593</v>
      </c>
      <c r="D257" t="s">
        <v>14</v>
      </c>
      <c r="E257" t="s">
        <v>215</v>
      </c>
      <c r="F257">
        <v>5159307</v>
      </c>
      <c r="G257">
        <v>354</v>
      </c>
      <c r="H257" t="s">
        <v>257</v>
      </c>
      <c r="I257">
        <v>2526</v>
      </c>
      <c r="J257" s="64">
        <v>45525</v>
      </c>
      <c r="K257" s="64">
        <v>45530</v>
      </c>
      <c r="L257" t="s">
        <v>372</v>
      </c>
      <c r="M257" s="64">
        <v>45534</v>
      </c>
      <c r="N257" t="s">
        <v>373</v>
      </c>
      <c r="O257" t="s">
        <v>372</v>
      </c>
      <c r="P257">
        <v>0.83</v>
      </c>
      <c r="Q257">
        <v>2.1800000000000002</v>
      </c>
      <c r="R257">
        <v>2096.58</v>
      </c>
      <c r="S257">
        <v>5506.68</v>
      </c>
      <c r="T257" t="s">
        <v>70</v>
      </c>
      <c r="AA257">
        <f t="shared" si="3"/>
        <v>375177.73000000004</v>
      </c>
      <c r="AB257">
        <f>COUNTIF($D$1:D257,D257)</f>
        <v>179</v>
      </c>
    </row>
    <row r="258" spans="1:28" x14ac:dyDescent="0.25">
      <c r="A258">
        <v>257</v>
      </c>
      <c r="B258">
        <v>183054</v>
      </c>
      <c r="C258">
        <v>24001517</v>
      </c>
      <c r="D258" t="s">
        <v>14</v>
      </c>
      <c r="E258" t="s">
        <v>215</v>
      </c>
      <c r="F258">
        <v>5158722</v>
      </c>
      <c r="G258">
        <v>251</v>
      </c>
      <c r="H258" t="s">
        <v>265</v>
      </c>
      <c r="I258">
        <v>43</v>
      </c>
      <c r="J258" s="64">
        <v>45506</v>
      </c>
      <c r="K258" s="64">
        <v>45506</v>
      </c>
      <c r="L258" t="s">
        <v>372</v>
      </c>
      <c r="M258" s="64">
        <v>45503</v>
      </c>
      <c r="N258" t="s">
        <v>374</v>
      </c>
      <c r="O258" t="s">
        <v>377</v>
      </c>
      <c r="P258">
        <v>0.65</v>
      </c>
      <c r="Q258">
        <v>1.61</v>
      </c>
      <c r="R258">
        <v>27.95</v>
      </c>
      <c r="S258">
        <v>69.23</v>
      </c>
      <c r="T258" t="s">
        <v>70</v>
      </c>
      <c r="AA258">
        <f t="shared" ref="AA258:AA321" si="4">SUMIF($D:$D,D258,$R:$R)</f>
        <v>375177.73000000004</v>
      </c>
      <c r="AB258">
        <f>COUNTIF($D$1:D258,D258)</f>
        <v>180</v>
      </c>
    </row>
    <row r="259" spans="1:28" x14ac:dyDescent="0.25">
      <c r="A259">
        <v>258</v>
      </c>
      <c r="B259">
        <v>183154</v>
      </c>
      <c r="C259">
        <v>24001528</v>
      </c>
      <c r="D259" t="s">
        <v>14</v>
      </c>
      <c r="E259" t="s">
        <v>215</v>
      </c>
      <c r="F259">
        <v>5158039</v>
      </c>
      <c r="G259">
        <v>302</v>
      </c>
      <c r="H259" t="s">
        <v>265</v>
      </c>
      <c r="I259">
        <v>4249</v>
      </c>
      <c r="J259" s="64">
        <v>45505</v>
      </c>
      <c r="K259" s="64">
        <v>45525</v>
      </c>
      <c r="L259" t="s">
        <v>372</v>
      </c>
      <c r="M259" s="64">
        <v>45527</v>
      </c>
      <c r="N259" t="s">
        <v>373</v>
      </c>
      <c r="O259" t="s">
        <v>372</v>
      </c>
      <c r="P259">
        <v>0.65</v>
      </c>
      <c r="Q259">
        <v>1.61</v>
      </c>
      <c r="R259">
        <v>2761.85</v>
      </c>
      <c r="S259">
        <v>6840.89</v>
      </c>
      <c r="T259" t="s">
        <v>70</v>
      </c>
      <c r="AA259">
        <f t="shared" si="4"/>
        <v>375177.73000000004</v>
      </c>
      <c r="AB259">
        <f>COUNTIF($D$1:D259,D259)</f>
        <v>181</v>
      </c>
    </row>
    <row r="260" spans="1:28" x14ac:dyDescent="0.25">
      <c r="A260">
        <v>259</v>
      </c>
      <c r="B260">
        <v>183152</v>
      </c>
      <c r="C260">
        <v>24001526</v>
      </c>
      <c r="D260" t="s">
        <v>14</v>
      </c>
      <c r="E260" t="s">
        <v>215</v>
      </c>
      <c r="F260">
        <v>5158040</v>
      </c>
      <c r="G260">
        <v>302</v>
      </c>
      <c r="H260" t="s">
        <v>265</v>
      </c>
      <c r="I260">
        <v>4204</v>
      </c>
      <c r="J260" s="64">
        <v>45505</v>
      </c>
      <c r="K260" s="64">
        <v>45510</v>
      </c>
      <c r="L260" t="s">
        <v>372</v>
      </c>
      <c r="M260" s="64">
        <v>45512</v>
      </c>
      <c r="N260" t="s">
        <v>373</v>
      </c>
      <c r="O260" t="s">
        <v>372</v>
      </c>
      <c r="P260">
        <v>0.65</v>
      </c>
      <c r="Q260">
        <v>1.61</v>
      </c>
      <c r="R260">
        <v>2732.6</v>
      </c>
      <c r="S260">
        <v>6768.44</v>
      </c>
      <c r="T260" t="s">
        <v>70</v>
      </c>
      <c r="AA260">
        <f t="shared" si="4"/>
        <v>375177.73000000004</v>
      </c>
      <c r="AB260">
        <f>COUNTIF($D$1:D260,D260)</f>
        <v>182</v>
      </c>
    </row>
    <row r="261" spans="1:28" x14ac:dyDescent="0.25">
      <c r="A261">
        <v>260</v>
      </c>
      <c r="B261">
        <v>183166</v>
      </c>
      <c r="C261">
        <v>24001540</v>
      </c>
      <c r="D261" t="s">
        <v>14</v>
      </c>
      <c r="E261" t="s">
        <v>215</v>
      </c>
      <c r="F261">
        <v>5157996</v>
      </c>
      <c r="G261">
        <v>303</v>
      </c>
      <c r="H261" t="s">
        <v>265</v>
      </c>
      <c r="I261">
        <v>3990</v>
      </c>
      <c r="J261" s="64">
        <v>45518</v>
      </c>
      <c r="K261" s="64">
        <v>45523</v>
      </c>
      <c r="L261" t="s">
        <v>372</v>
      </c>
      <c r="M261" s="64">
        <v>45527</v>
      </c>
      <c r="N261" t="s">
        <v>373</v>
      </c>
      <c r="O261" t="s">
        <v>372</v>
      </c>
      <c r="P261">
        <v>0.83</v>
      </c>
      <c r="Q261">
        <v>2.13</v>
      </c>
      <c r="R261">
        <v>3311.7</v>
      </c>
      <c r="S261">
        <v>8498.7000000000007</v>
      </c>
      <c r="T261" t="s">
        <v>70</v>
      </c>
      <c r="AA261">
        <f t="shared" si="4"/>
        <v>375177.73000000004</v>
      </c>
      <c r="AB261">
        <f>COUNTIF($D$1:D261,D261)</f>
        <v>183</v>
      </c>
    </row>
    <row r="262" spans="1:28" x14ac:dyDescent="0.25">
      <c r="A262">
        <v>261</v>
      </c>
      <c r="B262">
        <v>183167</v>
      </c>
      <c r="C262">
        <v>24001541</v>
      </c>
      <c r="D262" t="s">
        <v>14</v>
      </c>
      <c r="E262" t="s">
        <v>215</v>
      </c>
      <c r="F262">
        <v>5158001</v>
      </c>
      <c r="G262">
        <v>303</v>
      </c>
      <c r="H262" t="s">
        <v>265</v>
      </c>
      <c r="I262">
        <v>1265</v>
      </c>
      <c r="J262" s="64">
        <v>45516</v>
      </c>
      <c r="K262" s="64">
        <v>45524</v>
      </c>
      <c r="L262" t="s">
        <v>372</v>
      </c>
      <c r="M262" s="64">
        <v>45527</v>
      </c>
      <c r="N262" t="s">
        <v>373</v>
      </c>
      <c r="O262" t="s">
        <v>372</v>
      </c>
      <c r="P262">
        <v>0.83</v>
      </c>
      <c r="Q262">
        <v>2.13</v>
      </c>
      <c r="R262">
        <v>1049.95</v>
      </c>
      <c r="S262">
        <v>2694.45</v>
      </c>
      <c r="T262" t="s">
        <v>70</v>
      </c>
      <c r="AA262">
        <f t="shared" si="4"/>
        <v>375177.73000000004</v>
      </c>
      <c r="AB262">
        <f>COUNTIF($D$1:D262,D262)</f>
        <v>184</v>
      </c>
    </row>
    <row r="263" spans="1:28" x14ac:dyDescent="0.25">
      <c r="A263">
        <v>262</v>
      </c>
      <c r="B263">
        <v>183188</v>
      </c>
      <c r="C263">
        <v>24001562</v>
      </c>
      <c r="D263" t="s">
        <v>14</v>
      </c>
      <c r="E263" t="s">
        <v>215</v>
      </c>
      <c r="F263">
        <v>5158611</v>
      </c>
      <c r="G263">
        <v>305</v>
      </c>
      <c r="H263" t="s">
        <v>265</v>
      </c>
      <c r="I263">
        <v>3111</v>
      </c>
      <c r="J263" s="64">
        <v>45524</v>
      </c>
      <c r="K263" s="64">
        <v>45534</v>
      </c>
      <c r="L263" t="s">
        <v>372</v>
      </c>
      <c r="M263" s="64">
        <v>45527</v>
      </c>
      <c r="N263" t="s">
        <v>374</v>
      </c>
      <c r="O263" t="s">
        <v>372</v>
      </c>
      <c r="P263">
        <v>0.7</v>
      </c>
      <c r="Q263">
        <v>1.64</v>
      </c>
      <c r="R263">
        <v>2177.6999999999998</v>
      </c>
      <c r="S263">
        <v>5102.04</v>
      </c>
      <c r="T263" t="s">
        <v>70</v>
      </c>
      <c r="AA263">
        <f t="shared" si="4"/>
        <v>375177.73000000004</v>
      </c>
      <c r="AB263">
        <f>COUNTIF($D$1:D263,D263)</f>
        <v>185</v>
      </c>
    </row>
    <row r="264" spans="1:28" x14ac:dyDescent="0.25">
      <c r="A264">
        <v>263</v>
      </c>
      <c r="B264">
        <v>183189</v>
      </c>
      <c r="C264">
        <v>24001563</v>
      </c>
      <c r="D264" t="s">
        <v>14</v>
      </c>
      <c r="E264" t="s">
        <v>215</v>
      </c>
      <c r="F264" t="s">
        <v>400</v>
      </c>
      <c r="G264">
        <v>305</v>
      </c>
      <c r="H264" t="s">
        <v>265</v>
      </c>
      <c r="I264">
        <v>181</v>
      </c>
      <c r="J264" s="64">
        <v>45524</v>
      </c>
      <c r="K264" s="64">
        <v>45533</v>
      </c>
      <c r="L264" t="s">
        <v>372</v>
      </c>
      <c r="M264" s="64">
        <v>45527</v>
      </c>
      <c r="N264" t="s">
        <v>374</v>
      </c>
      <c r="O264" t="s">
        <v>372</v>
      </c>
      <c r="P264">
        <v>0.65</v>
      </c>
      <c r="Q264">
        <v>1.74</v>
      </c>
      <c r="R264">
        <v>117.65</v>
      </c>
      <c r="S264">
        <v>314.94</v>
      </c>
      <c r="T264" t="s">
        <v>70</v>
      </c>
      <c r="AA264">
        <f t="shared" si="4"/>
        <v>375177.73000000004</v>
      </c>
      <c r="AB264">
        <f>COUNTIF($D$1:D264,D264)</f>
        <v>186</v>
      </c>
    </row>
    <row r="265" spans="1:28" x14ac:dyDescent="0.25">
      <c r="A265">
        <v>264</v>
      </c>
      <c r="B265">
        <v>183204</v>
      </c>
      <c r="C265">
        <v>24001578</v>
      </c>
      <c r="D265" t="s">
        <v>14</v>
      </c>
      <c r="E265" t="s">
        <v>215</v>
      </c>
      <c r="F265">
        <v>5157989</v>
      </c>
      <c r="G265">
        <v>306</v>
      </c>
      <c r="H265" t="s">
        <v>265</v>
      </c>
      <c r="I265">
        <v>541</v>
      </c>
      <c r="J265" s="64">
        <v>45523</v>
      </c>
      <c r="K265" s="64">
        <v>45527</v>
      </c>
      <c r="L265" t="s">
        <v>372</v>
      </c>
      <c r="M265" s="64">
        <v>45527</v>
      </c>
      <c r="N265" t="s">
        <v>373</v>
      </c>
      <c r="O265" t="s">
        <v>372</v>
      </c>
      <c r="P265">
        <v>0.75</v>
      </c>
      <c r="Q265">
        <v>1.94</v>
      </c>
      <c r="R265">
        <v>405.75</v>
      </c>
      <c r="S265">
        <v>1049.54</v>
      </c>
      <c r="T265" t="s">
        <v>70</v>
      </c>
      <c r="AA265">
        <f t="shared" si="4"/>
        <v>375177.73000000004</v>
      </c>
      <c r="AB265">
        <f>COUNTIF($D$1:D265,D265)</f>
        <v>187</v>
      </c>
    </row>
    <row r="266" spans="1:28" x14ac:dyDescent="0.25">
      <c r="A266">
        <v>265</v>
      </c>
      <c r="B266">
        <v>183015</v>
      </c>
      <c r="C266">
        <v>24001480</v>
      </c>
      <c r="D266" t="s">
        <v>14</v>
      </c>
      <c r="E266" t="s">
        <v>215</v>
      </c>
      <c r="F266">
        <v>5157997</v>
      </c>
      <c r="G266">
        <v>249</v>
      </c>
      <c r="H266" t="s">
        <v>265</v>
      </c>
      <c r="I266">
        <v>8</v>
      </c>
      <c r="J266" s="64">
        <v>45509</v>
      </c>
      <c r="K266" s="64">
        <v>45509</v>
      </c>
      <c r="L266" t="s">
        <v>372</v>
      </c>
      <c r="M266" s="64">
        <v>45492</v>
      </c>
      <c r="N266" t="s">
        <v>374</v>
      </c>
      <c r="O266" t="s">
        <v>377</v>
      </c>
      <c r="P266">
        <v>0.75</v>
      </c>
      <c r="Q266">
        <v>1.94</v>
      </c>
      <c r="R266">
        <v>6</v>
      </c>
      <c r="S266">
        <v>15.52</v>
      </c>
      <c r="T266" t="s">
        <v>70</v>
      </c>
      <c r="AA266">
        <f t="shared" si="4"/>
        <v>375177.73000000004</v>
      </c>
      <c r="AB266">
        <f>COUNTIF($D$1:D266,D266)</f>
        <v>188</v>
      </c>
    </row>
    <row r="267" spans="1:28" x14ac:dyDescent="0.25">
      <c r="A267">
        <v>266</v>
      </c>
      <c r="B267">
        <v>183429</v>
      </c>
      <c r="C267">
        <v>24001619</v>
      </c>
      <c r="D267" t="s">
        <v>14</v>
      </c>
      <c r="E267" t="s">
        <v>215</v>
      </c>
      <c r="F267">
        <v>5158059</v>
      </c>
      <c r="G267">
        <v>380</v>
      </c>
      <c r="H267" t="s">
        <v>265</v>
      </c>
      <c r="I267">
        <v>3010</v>
      </c>
      <c r="J267" s="64">
        <v>45526</v>
      </c>
      <c r="K267" s="64">
        <v>45534</v>
      </c>
      <c r="L267" t="s">
        <v>372</v>
      </c>
      <c r="M267" s="64">
        <v>45548</v>
      </c>
      <c r="N267" t="s">
        <v>373</v>
      </c>
      <c r="O267" t="s">
        <v>376</v>
      </c>
      <c r="P267">
        <v>0.65</v>
      </c>
      <c r="Q267">
        <v>1.61</v>
      </c>
      <c r="R267">
        <v>1956.5</v>
      </c>
      <c r="S267">
        <v>4846.1000000000004</v>
      </c>
      <c r="T267" t="s">
        <v>70</v>
      </c>
      <c r="AA267">
        <f t="shared" si="4"/>
        <v>375177.73000000004</v>
      </c>
      <c r="AB267">
        <f>COUNTIF($D$1:D267,D267)</f>
        <v>189</v>
      </c>
    </row>
    <row r="268" spans="1:28" x14ac:dyDescent="0.25">
      <c r="A268">
        <v>267</v>
      </c>
      <c r="B268">
        <v>183155</v>
      </c>
      <c r="C268">
        <v>24001529</v>
      </c>
      <c r="D268" t="s">
        <v>14</v>
      </c>
      <c r="E268" t="s">
        <v>215</v>
      </c>
      <c r="F268">
        <v>5158038</v>
      </c>
      <c r="G268">
        <v>302</v>
      </c>
      <c r="H268" t="s">
        <v>265</v>
      </c>
      <c r="I268">
        <v>6145</v>
      </c>
      <c r="J268" s="64">
        <v>45509</v>
      </c>
      <c r="K268" s="64">
        <v>45512</v>
      </c>
      <c r="L268" t="s">
        <v>372</v>
      </c>
      <c r="M268" s="64">
        <v>45527</v>
      </c>
      <c r="N268" t="s">
        <v>373</v>
      </c>
      <c r="O268" t="s">
        <v>372</v>
      </c>
      <c r="P268">
        <v>0.65</v>
      </c>
      <c r="Q268">
        <v>1.61</v>
      </c>
      <c r="R268">
        <v>3994.25</v>
      </c>
      <c r="S268">
        <v>9893.4500000000007</v>
      </c>
      <c r="T268" t="s">
        <v>70</v>
      </c>
      <c r="AA268">
        <f t="shared" si="4"/>
        <v>375177.73000000004</v>
      </c>
      <c r="AB268">
        <f>COUNTIF($D$1:D268,D268)</f>
        <v>190</v>
      </c>
    </row>
    <row r="269" spans="1:28" x14ac:dyDescent="0.25">
      <c r="A269">
        <v>268</v>
      </c>
      <c r="B269">
        <v>183194</v>
      </c>
      <c r="C269">
        <v>24001568</v>
      </c>
      <c r="D269" t="s">
        <v>14</v>
      </c>
      <c r="E269" t="s">
        <v>215</v>
      </c>
      <c r="F269">
        <v>5158009</v>
      </c>
      <c r="G269">
        <v>305</v>
      </c>
      <c r="H269" t="s">
        <v>265</v>
      </c>
      <c r="I269">
        <v>1702</v>
      </c>
      <c r="J269" s="64">
        <v>45517</v>
      </c>
      <c r="K269" s="64">
        <v>45520</v>
      </c>
      <c r="L269" t="s">
        <v>372</v>
      </c>
      <c r="M269" s="64">
        <v>45527</v>
      </c>
      <c r="N269" t="s">
        <v>373</v>
      </c>
      <c r="O269" t="s">
        <v>372</v>
      </c>
      <c r="P269">
        <v>0.83</v>
      </c>
      <c r="Q269">
        <v>2.13</v>
      </c>
      <c r="R269">
        <v>1412.66</v>
      </c>
      <c r="S269">
        <v>3625.26</v>
      </c>
      <c r="T269" t="s">
        <v>70</v>
      </c>
      <c r="AA269">
        <f t="shared" si="4"/>
        <v>375177.73000000004</v>
      </c>
      <c r="AB269">
        <f>COUNTIF($D$1:D269,D269)</f>
        <v>191</v>
      </c>
    </row>
    <row r="270" spans="1:28" x14ac:dyDescent="0.25">
      <c r="A270">
        <v>269</v>
      </c>
      <c r="B270">
        <v>183438</v>
      </c>
      <c r="C270">
        <v>24001643</v>
      </c>
      <c r="D270" t="s">
        <v>14</v>
      </c>
      <c r="E270" t="s">
        <v>215</v>
      </c>
      <c r="F270">
        <v>5158614</v>
      </c>
      <c r="G270">
        <v>382</v>
      </c>
      <c r="H270" t="s">
        <v>265</v>
      </c>
      <c r="I270">
        <v>9648</v>
      </c>
      <c r="J270" s="64">
        <v>45527</v>
      </c>
      <c r="K270" s="64">
        <v>45533</v>
      </c>
      <c r="L270" t="s">
        <v>372</v>
      </c>
      <c r="M270" s="64">
        <v>45548</v>
      </c>
      <c r="N270" t="s">
        <v>373</v>
      </c>
      <c r="O270" t="s">
        <v>376</v>
      </c>
      <c r="P270">
        <v>0.7</v>
      </c>
      <c r="Q270">
        <v>1.71</v>
      </c>
      <c r="R270">
        <v>6753.6</v>
      </c>
      <c r="S270">
        <v>16498.080000000002</v>
      </c>
      <c r="T270" t="s">
        <v>70</v>
      </c>
      <c r="AA270">
        <f t="shared" si="4"/>
        <v>375177.73000000004</v>
      </c>
      <c r="AB270">
        <f>COUNTIF($D$1:D270,D270)</f>
        <v>192</v>
      </c>
    </row>
    <row r="271" spans="1:28" x14ac:dyDescent="0.25">
      <c r="A271">
        <v>270</v>
      </c>
      <c r="B271">
        <v>183205</v>
      </c>
      <c r="C271">
        <v>24001579</v>
      </c>
      <c r="D271" t="s">
        <v>14</v>
      </c>
      <c r="E271" t="s">
        <v>215</v>
      </c>
      <c r="F271" t="s">
        <v>399</v>
      </c>
      <c r="G271">
        <v>306</v>
      </c>
      <c r="H271" t="s">
        <v>265</v>
      </c>
      <c r="I271">
        <v>25</v>
      </c>
      <c r="J271" s="64">
        <v>45527</v>
      </c>
      <c r="K271" s="64">
        <v>45531</v>
      </c>
      <c r="L271" t="s">
        <v>372</v>
      </c>
      <c r="M271" s="64">
        <v>45527</v>
      </c>
      <c r="N271" t="s">
        <v>374</v>
      </c>
      <c r="O271" t="s">
        <v>372</v>
      </c>
      <c r="P271">
        <v>0.76</v>
      </c>
      <c r="Q271">
        <v>2.0699999999999998</v>
      </c>
      <c r="R271">
        <v>19</v>
      </c>
      <c r="S271">
        <v>51.75</v>
      </c>
      <c r="T271" t="s">
        <v>70</v>
      </c>
      <c r="AA271">
        <f t="shared" si="4"/>
        <v>375177.73000000004</v>
      </c>
      <c r="AB271">
        <f>COUNTIF($D$1:D271,D271)</f>
        <v>193</v>
      </c>
    </row>
    <row r="272" spans="1:28" x14ac:dyDescent="0.25">
      <c r="A272">
        <v>271</v>
      </c>
      <c r="B272">
        <v>183202</v>
      </c>
      <c r="C272">
        <v>24001576</v>
      </c>
      <c r="D272" t="s">
        <v>14</v>
      </c>
      <c r="E272" t="s">
        <v>215</v>
      </c>
      <c r="F272">
        <v>5157987</v>
      </c>
      <c r="G272">
        <v>306</v>
      </c>
      <c r="H272" t="s">
        <v>265</v>
      </c>
      <c r="I272">
        <v>9</v>
      </c>
      <c r="J272" s="64">
        <v>45527</v>
      </c>
      <c r="K272" s="64">
        <v>45531</v>
      </c>
      <c r="L272" t="s">
        <v>372</v>
      </c>
      <c r="M272" s="64">
        <v>45527</v>
      </c>
      <c r="N272" t="s">
        <v>374</v>
      </c>
      <c r="O272" t="s">
        <v>372</v>
      </c>
      <c r="P272">
        <v>0.7</v>
      </c>
      <c r="Q272">
        <v>1.76</v>
      </c>
      <c r="R272">
        <v>6.3</v>
      </c>
      <c r="S272">
        <v>15.84</v>
      </c>
      <c r="T272" t="s">
        <v>70</v>
      </c>
      <c r="AA272">
        <f t="shared" si="4"/>
        <v>375177.73000000004</v>
      </c>
      <c r="AB272">
        <f>COUNTIF($D$1:D272,D272)</f>
        <v>194</v>
      </c>
    </row>
    <row r="273" spans="1:28" x14ac:dyDescent="0.25">
      <c r="A273">
        <v>272</v>
      </c>
      <c r="B273">
        <v>183054</v>
      </c>
      <c r="C273">
        <v>24001517</v>
      </c>
      <c r="D273" t="s">
        <v>14</v>
      </c>
      <c r="E273" t="s">
        <v>215</v>
      </c>
      <c r="F273">
        <v>5158722</v>
      </c>
      <c r="G273">
        <v>251</v>
      </c>
      <c r="H273" t="s">
        <v>332</v>
      </c>
      <c r="I273">
        <v>43</v>
      </c>
      <c r="J273" s="64">
        <v>45506</v>
      </c>
      <c r="K273" s="64">
        <v>45506</v>
      </c>
      <c r="L273" t="s">
        <v>372</v>
      </c>
      <c r="M273" s="64">
        <v>45503</v>
      </c>
      <c r="N273" t="s">
        <v>374</v>
      </c>
      <c r="O273" t="s">
        <v>377</v>
      </c>
      <c r="P273">
        <v>0.65</v>
      </c>
      <c r="Q273">
        <v>1.61</v>
      </c>
      <c r="R273">
        <v>27.95</v>
      </c>
      <c r="S273">
        <v>69.23</v>
      </c>
      <c r="T273" t="s">
        <v>70</v>
      </c>
      <c r="AA273">
        <f t="shared" si="4"/>
        <v>375177.73000000004</v>
      </c>
      <c r="AB273">
        <f>COUNTIF($D$1:D273,D273)</f>
        <v>195</v>
      </c>
    </row>
    <row r="274" spans="1:28" x14ac:dyDescent="0.25">
      <c r="A274">
        <v>273</v>
      </c>
      <c r="B274">
        <v>183154</v>
      </c>
      <c r="C274">
        <v>24001528</v>
      </c>
      <c r="D274" t="s">
        <v>14</v>
      </c>
      <c r="E274" t="s">
        <v>215</v>
      </c>
      <c r="F274">
        <v>5158039</v>
      </c>
      <c r="G274">
        <v>302</v>
      </c>
      <c r="H274" t="s">
        <v>332</v>
      </c>
      <c r="I274">
        <v>5120</v>
      </c>
      <c r="J274" s="64">
        <v>45512</v>
      </c>
      <c r="K274" s="64">
        <v>45516</v>
      </c>
      <c r="L274" t="s">
        <v>372</v>
      </c>
      <c r="M274" s="64">
        <v>45527</v>
      </c>
      <c r="N274" t="s">
        <v>373</v>
      </c>
      <c r="O274" t="s">
        <v>372</v>
      </c>
      <c r="P274">
        <v>0.65</v>
      </c>
      <c r="Q274">
        <v>1.61</v>
      </c>
      <c r="R274">
        <v>3328</v>
      </c>
      <c r="S274">
        <v>8243.2000000000007</v>
      </c>
      <c r="T274" t="s">
        <v>70</v>
      </c>
      <c r="AA274">
        <f t="shared" si="4"/>
        <v>375177.73000000004</v>
      </c>
      <c r="AB274">
        <f>COUNTIF($D$1:D274,D274)</f>
        <v>196</v>
      </c>
    </row>
    <row r="275" spans="1:28" x14ac:dyDescent="0.25">
      <c r="A275">
        <v>274</v>
      </c>
      <c r="B275">
        <v>183188</v>
      </c>
      <c r="C275">
        <v>24001562</v>
      </c>
      <c r="D275" t="s">
        <v>14</v>
      </c>
      <c r="E275" t="s">
        <v>215</v>
      </c>
      <c r="F275">
        <v>5158611</v>
      </c>
      <c r="G275">
        <v>305</v>
      </c>
      <c r="H275" t="s">
        <v>332</v>
      </c>
      <c r="I275">
        <v>3112</v>
      </c>
      <c r="J275" s="64">
        <v>45524</v>
      </c>
      <c r="K275" s="64">
        <v>45527</v>
      </c>
      <c r="L275" t="s">
        <v>372</v>
      </c>
      <c r="M275" s="64">
        <v>45527</v>
      </c>
      <c r="N275" t="s">
        <v>373</v>
      </c>
      <c r="O275" t="s">
        <v>372</v>
      </c>
      <c r="P275">
        <v>0.7</v>
      </c>
      <c r="Q275">
        <v>1.64</v>
      </c>
      <c r="R275">
        <v>2178.4</v>
      </c>
      <c r="S275">
        <v>5103.68</v>
      </c>
      <c r="T275" t="s">
        <v>70</v>
      </c>
      <c r="AA275">
        <f t="shared" si="4"/>
        <v>375177.73000000004</v>
      </c>
      <c r="AB275">
        <f>COUNTIF($D$1:D275,D275)</f>
        <v>197</v>
      </c>
    </row>
    <row r="276" spans="1:28" x14ac:dyDescent="0.25">
      <c r="A276">
        <v>275</v>
      </c>
      <c r="B276">
        <v>183189</v>
      </c>
      <c r="C276">
        <v>24001563</v>
      </c>
      <c r="D276" t="s">
        <v>14</v>
      </c>
      <c r="E276" t="s">
        <v>215</v>
      </c>
      <c r="F276" t="s">
        <v>400</v>
      </c>
      <c r="G276">
        <v>305</v>
      </c>
      <c r="H276" t="s">
        <v>332</v>
      </c>
      <c r="I276">
        <v>180</v>
      </c>
      <c r="J276" s="64">
        <v>45524</v>
      </c>
      <c r="K276" s="64">
        <v>45533</v>
      </c>
      <c r="L276" t="s">
        <v>372</v>
      </c>
      <c r="M276" s="64">
        <v>45527</v>
      </c>
      <c r="N276" t="s">
        <v>374</v>
      </c>
      <c r="O276" t="s">
        <v>372</v>
      </c>
      <c r="P276">
        <v>0.65</v>
      </c>
      <c r="Q276">
        <v>1.74</v>
      </c>
      <c r="R276">
        <v>117</v>
      </c>
      <c r="S276">
        <v>313.2</v>
      </c>
      <c r="T276" t="s">
        <v>70</v>
      </c>
      <c r="AA276">
        <f t="shared" si="4"/>
        <v>375177.73000000004</v>
      </c>
      <c r="AB276">
        <f>COUNTIF($D$1:D276,D276)</f>
        <v>198</v>
      </c>
    </row>
    <row r="277" spans="1:28" x14ac:dyDescent="0.25">
      <c r="A277">
        <v>276</v>
      </c>
      <c r="B277">
        <v>183204</v>
      </c>
      <c r="C277">
        <v>24001578</v>
      </c>
      <c r="D277" t="s">
        <v>14</v>
      </c>
      <c r="E277" t="s">
        <v>215</v>
      </c>
      <c r="F277">
        <v>5157989</v>
      </c>
      <c r="G277">
        <v>306</v>
      </c>
      <c r="H277" t="s">
        <v>332</v>
      </c>
      <c r="I277">
        <v>539</v>
      </c>
      <c r="J277" s="64">
        <v>45523</v>
      </c>
      <c r="K277" s="64">
        <v>45524</v>
      </c>
      <c r="L277" t="s">
        <v>372</v>
      </c>
      <c r="M277" s="64">
        <v>45527</v>
      </c>
      <c r="N277" t="s">
        <v>373</v>
      </c>
      <c r="O277" t="s">
        <v>372</v>
      </c>
      <c r="P277">
        <v>0.75</v>
      </c>
      <c r="Q277">
        <v>1.94</v>
      </c>
      <c r="R277">
        <v>404.25</v>
      </c>
      <c r="S277">
        <v>1045.6600000000001</v>
      </c>
      <c r="T277" t="s">
        <v>70</v>
      </c>
      <c r="AA277">
        <f t="shared" si="4"/>
        <v>375177.73000000004</v>
      </c>
      <c r="AB277">
        <f>COUNTIF($D$1:D277,D277)</f>
        <v>199</v>
      </c>
    </row>
    <row r="278" spans="1:28" x14ac:dyDescent="0.25">
      <c r="A278">
        <v>277</v>
      </c>
      <c r="B278">
        <v>183015</v>
      </c>
      <c r="C278">
        <v>24001480</v>
      </c>
      <c r="D278" t="s">
        <v>14</v>
      </c>
      <c r="E278" t="s">
        <v>215</v>
      </c>
      <c r="F278">
        <v>5157997</v>
      </c>
      <c r="G278">
        <v>249</v>
      </c>
      <c r="H278" t="s">
        <v>332</v>
      </c>
      <c r="I278">
        <v>8</v>
      </c>
      <c r="J278" s="64">
        <v>45509</v>
      </c>
      <c r="K278" s="64">
        <v>45509</v>
      </c>
      <c r="L278" t="s">
        <v>372</v>
      </c>
      <c r="M278" s="64">
        <v>45492</v>
      </c>
      <c r="N278" t="s">
        <v>374</v>
      </c>
      <c r="O278" t="s">
        <v>377</v>
      </c>
      <c r="P278">
        <v>0.75</v>
      </c>
      <c r="Q278">
        <v>1.94</v>
      </c>
      <c r="R278">
        <v>6</v>
      </c>
      <c r="S278">
        <v>15.52</v>
      </c>
      <c r="T278" t="s">
        <v>70</v>
      </c>
      <c r="AA278">
        <f t="shared" si="4"/>
        <v>375177.73000000004</v>
      </c>
      <c r="AB278">
        <f>COUNTIF($D$1:D278,D278)</f>
        <v>200</v>
      </c>
    </row>
    <row r="279" spans="1:28" x14ac:dyDescent="0.25">
      <c r="A279">
        <v>278</v>
      </c>
      <c r="B279">
        <v>183429</v>
      </c>
      <c r="C279">
        <v>24001619</v>
      </c>
      <c r="D279" t="s">
        <v>14</v>
      </c>
      <c r="E279" t="s">
        <v>215</v>
      </c>
      <c r="F279">
        <v>5158059</v>
      </c>
      <c r="G279">
        <v>380</v>
      </c>
      <c r="H279" t="s">
        <v>332</v>
      </c>
      <c r="I279">
        <v>3009</v>
      </c>
      <c r="J279" s="64">
        <v>45526</v>
      </c>
      <c r="K279" s="64">
        <v>45534</v>
      </c>
      <c r="L279" t="s">
        <v>372</v>
      </c>
      <c r="M279" s="64">
        <v>45548</v>
      </c>
      <c r="N279" t="s">
        <v>373</v>
      </c>
      <c r="O279" t="s">
        <v>376</v>
      </c>
      <c r="P279">
        <v>0.65</v>
      </c>
      <c r="Q279">
        <v>1.61</v>
      </c>
      <c r="R279">
        <v>1955.85</v>
      </c>
      <c r="S279">
        <v>4844.49</v>
      </c>
      <c r="T279" t="s">
        <v>70</v>
      </c>
      <c r="AA279">
        <f t="shared" si="4"/>
        <v>375177.73000000004</v>
      </c>
      <c r="AB279">
        <f>COUNTIF($D$1:D279,D279)</f>
        <v>201</v>
      </c>
    </row>
    <row r="280" spans="1:28" x14ac:dyDescent="0.25">
      <c r="A280">
        <v>279</v>
      </c>
      <c r="B280">
        <v>183438</v>
      </c>
      <c r="C280">
        <v>24001643</v>
      </c>
      <c r="D280" t="s">
        <v>14</v>
      </c>
      <c r="E280" t="s">
        <v>215</v>
      </c>
      <c r="F280">
        <v>5158614</v>
      </c>
      <c r="G280">
        <v>382</v>
      </c>
      <c r="H280" t="s">
        <v>332</v>
      </c>
      <c r="I280">
        <v>11825</v>
      </c>
      <c r="J280" s="64">
        <v>45527</v>
      </c>
      <c r="K280" s="64">
        <v>45534</v>
      </c>
      <c r="L280" t="s">
        <v>372</v>
      </c>
      <c r="M280" s="64">
        <v>45548</v>
      </c>
      <c r="N280" t="s">
        <v>373</v>
      </c>
      <c r="O280" t="s">
        <v>376</v>
      </c>
      <c r="P280">
        <v>0.7</v>
      </c>
      <c r="Q280">
        <v>1.71</v>
      </c>
      <c r="R280">
        <v>8277.5</v>
      </c>
      <c r="S280">
        <v>20220.75</v>
      </c>
      <c r="T280" t="s">
        <v>70</v>
      </c>
      <c r="AA280">
        <f t="shared" si="4"/>
        <v>375177.73000000004</v>
      </c>
      <c r="AB280">
        <f>COUNTIF($D$1:D280,D280)</f>
        <v>202</v>
      </c>
    </row>
    <row r="281" spans="1:28" x14ac:dyDescent="0.25">
      <c r="A281">
        <v>280</v>
      </c>
      <c r="B281">
        <v>183152</v>
      </c>
      <c r="C281">
        <v>24001526</v>
      </c>
      <c r="D281" t="s">
        <v>14</v>
      </c>
      <c r="E281" t="s">
        <v>215</v>
      </c>
      <c r="F281">
        <v>5158040</v>
      </c>
      <c r="G281">
        <v>302</v>
      </c>
      <c r="H281" t="s">
        <v>332</v>
      </c>
      <c r="I281">
        <v>4203</v>
      </c>
      <c r="J281" s="64">
        <v>45505</v>
      </c>
      <c r="K281" s="64">
        <v>45511</v>
      </c>
      <c r="L281" t="s">
        <v>372</v>
      </c>
      <c r="M281" s="64">
        <v>45512</v>
      </c>
      <c r="N281" t="s">
        <v>373</v>
      </c>
      <c r="O281" t="s">
        <v>372</v>
      </c>
      <c r="P281">
        <v>0.65</v>
      </c>
      <c r="Q281">
        <v>1.61</v>
      </c>
      <c r="R281">
        <v>2731.95</v>
      </c>
      <c r="S281">
        <v>6766.83</v>
      </c>
      <c r="T281" t="s">
        <v>70</v>
      </c>
      <c r="AA281">
        <f t="shared" si="4"/>
        <v>375177.73000000004</v>
      </c>
      <c r="AB281">
        <f>COUNTIF($D$1:D281,D281)</f>
        <v>203</v>
      </c>
    </row>
    <row r="282" spans="1:28" x14ac:dyDescent="0.25">
      <c r="A282">
        <v>281</v>
      </c>
      <c r="B282">
        <v>183155</v>
      </c>
      <c r="C282">
        <v>24001529</v>
      </c>
      <c r="D282" t="s">
        <v>14</v>
      </c>
      <c r="E282" t="s">
        <v>215</v>
      </c>
      <c r="F282">
        <v>5158038</v>
      </c>
      <c r="G282">
        <v>302</v>
      </c>
      <c r="H282" t="s">
        <v>332</v>
      </c>
      <c r="I282">
        <v>6145</v>
      </c>
      <c r="J282" s="64">
        <v>45509</v>
      </c>
      <c r="K282" s="64">
        <v>45516</v>
      </c>
      <c r="L282" t="s">
        <v>372</v>
      </c>
      <c r="M282" s="64">
        <v>45527</v>
      </c>
      <c r="N282" t="s">
        <v>373</v>
      </c>
      <c r="O282" t="s">
        <v>372</v>
      </c>
      <c r="P282">
        <v>0.65</v>
      </c>
      <c r="Q282">
        <v>1.61</v>
      </c>
      <c r="R282">
        <v>3994.25</v>
      </c>
      <c r="S282">
        <v>9893.4500000000007</v>
      </c>
      <c r="T282" t="s">
        <v>70</v>
      </c>
      <c r="AA282">
        <f t="shared" si="4"/>
        <v>375177.73000000004</v>
      </c>
      <c r="AB282">
        <f>COUNTIF($D$1:D282,D282)</f>
        <v>204</v>
      </c>
    </row>
    <row r="283" spans="1:28" x14ac:dyDescent="0.25">
      <c r="A283">
        <v>282</v>
      </c>
      <c r="B283">
        <v>183166</v>
      </c>
      <c r="C283">
        <v>24001540</v>
      </c>
      <c r="D283" t="s">
        <v>14</v>
      </c>
      <c r="E283" t="s">
        <v>215</v>
      </c>
      <c r="F283">
        <v>5157996</v>
      </c>
      <c r="G283">
        <v>303</v>
      </c>
      <c r="H283" t="s">
        <v>332</v>
      </c>
      <c r="I283">
        <v>3989</v>
      </c>
      <c r="J283" s="64">
        <v>45518</v>
      </c>
      <c r="K283" s="64">
        <v>45523</v>
      </c>
      <c r="L283" t="s">
        <v>372</v>
      </c>
      <c r="M283" s="64">
        <v>45527</v>
      </c>
      <c r="N283" t="s">
        <v>373</v>
      </c>
      <c r="O283" t="s">
        <v>372</v>
      </c>
      <c r="P283">
        <v>0.83</v>
      </c>
      <c r="Q283">
        <v>2.13</v>
      </c>
      <c r="R283">
        <v>3310.87</v>
      </c>
      <c r="S283">
        <v>8496.57</v>
      </c>
      <c r="T283" t="s">
        <v>70</v>
      </c>
      <c r="AA283">
        <f t="shared" si="4"/>
        <v>375177.73000000004</v>
      </c>
      <c r="AB283">
        <f>COUNTIF($D$1:D283,D283)</f>
        <v>205</v>
      </c>
    </row>
    <row r="284" spans="1:28" x14ac:dyDescent="0.25">
      <c r="A284">
        <v>283</v>
      </c>
      <c r="B284">
        <v>183206</v>
      </c>
      <c r="C284">
        <v>24001580</v>
      </c>
      <c r="D284" t="s">
        <v>14</v>
      </c>
      <c r="E284" t="s">
        <v>215</v>
      </c>
      <c r="F284">
        <v>5157994</v>
      </c>
      <c r="G284">
        <v>306</v>
      </c>
      <c r="H284" t="s">
        <v>332</v>
      </c>
      <c r="I284">
        <v>1701</v>
      </c>
      <c r="J284" s="64">
        <v>45517</v>
      </c>
      <c r="K284" s="64">
        <v>45523</v>
      </c>
      <c r="L284" t="s">
        <v>372</v>
      </c>
      <c r="M284" s="64">
        <v>45527</v>
      </c>
      <c r="N284" t="s">
        <v>373</v>
      </c>
      <c r="O284" t="s">
        <v>372</v>
      </c>
      <c r="P284">
        <v>0.93</v>
      </c>
      <c r="Q284">
        <v>2.2400000000000002</v>
      </c>
      <c r="R284">
        <v>1581.93</v>
      </c>
      <c r="S284">
        <v>3810.24</v>
      </c>
      <c r="T284" t="s">
        <v>70</v>
      </c>
      <c r="AA284">
        <f t="shared" si="4"/>
        <v>375177.73000000004</v>
      </c>
      <c r="AB284">
        <f>COUNTIF($D$1:D284,D284)</f>
        <v>206</v>
      </c>
    </row>
    <row r="285" spans="1:28" x14ac:dyDescent="0.25">
      <c r="A285">
        <v>284</v>
      </c>
      <c r="B285">
        <v>183194</v>
      </c>
      <c r="C285">
        <v>24001568</v>
      </c>
      <c r="D285" t="s">
        <v>14</v>
      </c>
      <c r="E285" t="s">
        <v>215</v>
      </c>
      <c r="F285">
        <v>5158009</v>
      </c>
      <c r="G285">
        <v>305</v>
      </c>
      <c r="H285" t="s">
        <v>332</v>
      </c>
      <c r="I285">
        <v>50</v>
      </c>
      <c r="J285" s="64">
        <v>45518</v>
      </c>
      <c r="K285" s="64">
        <v>45525</v>
      </c>
      <c r="L285" t="s">
        <v>372</v>
      </c>
      <c r="M285" s="64">
        <v>45527</v>
      </c>
      <c r="N285" t="s">
        <v>373</v>
      </c>
      <c r="O285" t="s">
        <v>372</v>
      </c>
      <c r="P285">
        <v>0.83</v>
      </c>
      <c r="Q285">
        <v>2.13</v>
      </c>
      <c r="R285">
        <v>41.5</v>
      </c>
      <c r="S285">
        <v>106.5</v>
      </c>
      <c r="T285" t="s">
        <v>70</v>
      </c>
      <c r="AA285">
        <f t="shared" si="4"/>
        <v>375177.73000000004</v>
      </c>
      <c r="AB285">
        <f>COUNTIF($D$1:D285,D285)</f>
        <v>207</v>
      </c>
    </row>
    <row r="286" spans="1:28" x14ac:dyDescent="0.25">
      <c r="A286">
        <v>285</v>
      </c>
      <c r="B286">
        <v>183205</v>
      </c>
      <c r="C286">
        <v>24001579</v>
      </c>
      <c r="D286" t="s">
        <v>14</v>
      </c>
      <c r="E286" t="s">
        <v>215</v>
      </c>
      <c r="F286" t="s">
        <v>399</v>
      </c>
      <c r="G286">
        <v>306</v>
      </c>
      <c r="H286" t="s">
        <v>332</v>
      </c>
      <c r="I286">
        <v>25</v>
      </c>
      <c r="J286" s="64">
        <v>45527</v>
      </c>
      <c r="K286" s="64">
        <v>45530</v>
      </c>
      <c r="L286" t="s">
        <v>372</v>
      </c>
      <c r="M286" s="64">
        <v>45527</v>
      </c>
      <c r="N286" t="s">
        <v>374</v>
      </c>
      <c r="O286" t="s">
        <v>372</v>
      </c>
      <c r="P286">
        <v>0.76</v>
      </c>
      <c r="Q286">
        <v>2.0699999999999998</v>
      </c>
      <c r="R286">
        <v>19</v>
      </c>
      <c r="S286">
        <v>51.75</v>
      </c>
      <c r="T286" t="s">
        <v>70</v>
      </c>
      <c r="AA286">
        <f t="shared" si="4"/>
        <v>375177.73000000004</v>
      </c>
      <c r="AB286">
        <f>COUNTIF($D$1:D286,D286)</f>
        <v>208</v>
      </c>
    </row>
    <row r="287" spans="1:28" x14ac:dyDescent="0.25">
      <c r="A287">
        <v>286</v>
      </c>
      <c r="B287">
        <v>183202</v>
      </c>
      <c r="C287">
        <v>24001576</v>
      </c>
      <c r="D287" t="s">
        <v>14</v>
      </c>
      <c r="E287" t="s">
        <v>215</v>
      </c>
      <c r="F287">
        <v>5157987</v>
      </c>
      <c r="G287">
        <v>306</v>
      </c>
      <c r="H287" t="s">
        <v>332</v>
      </c>
      <c r="I287">
        <v>9</v>
      </c>
      <c r="J287" s="64">
        <v>45527</v>
      </c>
      <c r="K287" s="64">
        <v>45530</v>
      </c>
      <c r="L287" t="s">
        <v>372</v>
      </c>
      <c r="M287" s="64">
        <v>45527</v>
      </c>
      <c r="N287" t="s">
        <v>374</v>
      </c>
      <c r="O287" t="s">
        <v>372</v>
      </c>
      <c r="P287">
        <v>0.7</v>
      </c>
      <c r="Q287">
        <v>1.76</v>
      </c>
      <c r="R287">
        <v>6.3</v>
      </c>
      <c r="S287">
        <v>15.84</v>
      </c>
      <c r="T287" t="s">
        <v>70</v>
      </c>
      <c r="AA287">
        <f t="shared" si="4"/>
        <v>375177.73000000004</v>
      </c>
      <c r="AB287">
        <f>COUNTIF($D$1:D287,D287)</f>
        <v>209</v>
      </c>
    </row>
    <row r="288" spans="1:28" x14ac:dyDescent="0.25">
      <c r="A288">
        <v>287</v>
      </c>
      <c r="B288">
        <v>183205</v>
      </c>
      <c r="C288">
        <v>24001579</v>
      </c>
      <c r="D288" t="s">
        <v>14</v>
      </c>
      <c r="E288" t="s">
        <v>215</v>
      </c>
      <c r="F288" t="s">
        <v>399</v>
      </c>
      <c r="G288">
        <v>306</v>
      </c>
      <c r="H288" t="s">
        <v>333</v>
      </c>
      <c r="I288">
        <v>1594</v>
      </c>
      <c r="J288" s="64">
        <v>45523</v>
      </c>
      <c r="K288" s="64">
        <v>45526</v>
      </c>
      <c r="L288" t="s">
        <v>372</v>
      </c>
      <c r="M288" s="64">
        <v>45527</v>
      </c>
      <c r="N288" t="s">
        <v>373</v>
      </c>
      <c r="O288" t="s">
        <v>372</v>
      </c>
      <c r="P288">
        <v>0.76</v>
      </c>
      <c r="Q288">
        <v>2.0699999999999998</v>
      </c>
      <c r="R288">
        <v>1211.44</v>
      </c>
      <c r="S288">
        <v>3299.58</v>
      </c>
      <c r="T288" t="s">
        <v>70</v>
      </c>
      <c r="AA288">
        <f t="shared" si="4"/>
        <v>375177.73000000004</v>
      </c>
      <c r="AB288">
        <f>COUNTIF($D$1:D288,D288)</f>
        <v>210</v>
      </c>
    </row>
    <row r="289" spans="1:28" x14ac:dyDescent="0.25">
      <c r="A289">
        <v>288</v>
      </c>
      <c r="B289">
        <v>183429</v>
      </c>
      <c r="C289">
        <v>24001619</v>
      </c>
      <c r="D289" t="s">
        <v>14</v>
      </c>
      <c r="E289" t="s">
        <v>215</v>
      </c>
      <c r="F289">
        <v>5158059</v>
      </c>
      <c r="G289">
        <v>380</v>
      </c>
      <c r="H289" t="s">
        <v>333</v>
      </c>
      <c r="I289">
        <v>2502</v>
      </c>
      <c r="J289" s="64">
        <v>45525</v>
      </c>
      <c r="K289" s="64">
        <v>45534</v>
      </c>
      <c r="L289" t="s">
        <v>372</v>
      </c>
      <c r="M289" s="64">
        <v>45548</v>
      </c>
      <c r="N289" t="s">
        <v>373</v>
      </c>
      <c r="O289" t="s">
        <v>376</v>
      </c>
      <c r="P289">
        <v>0.65</v>
      </c>
      <c r="Q289">
        <v>1.61</v>
      </c>
      <c r="R289">
        <v>1626.3</v>
      </c>
      <c r="S289">
        <v>4028.22</v>
      </c>
      <c r="T289" t="s">
        <v>70</v>
      </c>
      <c r="AA289">
        <f t="shared" si="4"/>
        <v>375177.73000000004</v>
      </c>
      <c r="AB289">
        <f>COUNTIF($D$1:D289,D289)</f>
        <v>211</v>
      </c>
    </row>
    <row r="290" spans="1:28" x14ac:dyDescent="0.25">
      <c r="A290">
        <v>289</v>
      </c>
      <c r="B290">
        <v>183438</v>
      </c>
      <c r="C290">
        <v>24001643</v>
      </c>
      <c r="D290" t="s">
        <v>14</v>
      </c>
      <c r="E290" t="s">
        <v>215</v>
      </c>
      <c r="F290">
        <v>5158614</v>
      </c>
      <c r="G290">
        <v>382</v>
      </c>
      <c r="H290" t="s">
        <v>333</v>
      </c>
      <c r="I290">
        <v>11763</v>
      </c>
      <c r="J290" s="64">
        <v>45526</v>
      </c>
      <c r="K290" s="64">
        <v>45534</v>
      </c>
      <c r="L290" t="s">
        <v>372</v>
      </c>
      <c r="M290" s="64">
        <v>45548</v>
      </c>
      <c r="N290" t="s">
        <v>373</v>
      </c>
      <c r="O290" t="s">
        <v>376</v>
      </c>
      <c r="P290">
        <v>0.7</v>
      </c>
      <c r="Q290">
        <v>1.71</v>
      </c>
      <c r="R290">
        <v>8234.1</v>
      </c>
      <c r="S290">
        <v>20114.73</v>
      </c>
      <c r="T290" t="s">
        <v>70</v>
      </c>
      <c r="AA290">
        <f t="shared" si="4"/>
        <v>375177.73000000004</v>
      </c>
      <c r="AB290">
        <f>COUNTIF($D$1:D290,D290)</f>
        <v>212</v>
      </c>
    </row>
    <row r="291" spans="1:28" x14ac:dyDescent="0.25">
      <c r="A291">
        <v>290</v>
      </c>
      <c r="B291">
        <v>183152</v>
      </c>
      <c r="C291">
        <v>24001526</v>
      </c>
      <c r="D291" t="s">
        <v>14</v>
      </c>
      <c r="E291" t="s">
        <v>215</v>
      </c>
      <c r="F291">
        <v>5158040</v>
      </c>
      <c r="G291">
        <v>302</v>
      </c>
      <c r="H291" t="s">
        <v>333</v>
      </c>
      <c r="I291">
        <v>5430</v>
      </c>
      <c r="J291" s="64">
        <v>45505</v>
      </c>
      <c r="K291" s="64">
        <v>45511</v>
      </c>
      <c r="L291" t="s">
        <v>372</v>
      </c>
      <c r="M291" s="64">
        <v>45512</v>
      </c>
      <c r="N291" t="s">
        <v>373</v>
      </c>
      <c r="O291" t="s">
        <v>372</v>
      </c>
      <c r="P291">
        <v>0.65</v>
      </c>
      <c r="Q291">
        <v>1.61</v>
      </c>
      <c r="R291">
        <v>3529.5</v>
      </c>
      <c r="S291">
        <v>8742.2999999999993</v>
      </c>
      <c r="T291" t="s">
        <v>70</v>
      </c>
      <c r="AA291">
        <f t="shared" si="4"/>
        <v>375177.73000000004</v>
      </c>
      <c r="AB291">
        <f>COUNTIF($D$1:D291,D291)</f>
        <v>213</v>
      </c>
    </row>
    <row r="292" spans="1:28" x14ac:dyDescent="0.25">
      <c r="A292">
        <v>291</v>
      </c>
      <c r="B292">
        <v>183155</v>
      </c>
      <c r="C292">
        <v>24001529</v>
      </c>
      <c r="D292" t="s">
        <v>14</v>
      </c>
      <c r="E292" t="s">
        <v>215</v>
      </c>
      <c r="F292">
        <v>5158038</v>
      </c>
      <c r="G292">
        <v>302</v>
      </c>
      <c r="H292" t="s">
        <v>333</v>
      </c>
      <c r="I292">
        <v>6057</v>
      </c>
      <c r="J292" s="64">
        <v>45510</v>
      </c>
      <c r="K292" s="64">
        <v>45520</v>
      </c>
      <c r="L292" t="s">
        <v>372</v>
      </c>
      <c r="M292" s="64">
        <v>45527</v>
      </c>
      <c r="N292" t="s">
        <v>373</v>
      </c>
      <c r="O292" t="s">
        <v>372</v>
      </c>
      <c r="P292">
        <v>0.65</v>
      </c>
      <c r="Q292">
        <v>1.61</v>
      </c>
      <c r="R292">
        <v>3937.05</v>
      </c>
      <c r="S292">
        <v>9751.77</v>
      </c>
      <c r="T292" t="s">
        <v>70</v>
      </c>
      <c r="AA292">
        <f t="shared" si="4"/>
        <v>375177.73000000004</v>
      </c>
      <c r="AB292">
        <f>COUNTIF($D$1:D292,D292)</f>
        <v>214</v>
      </c>
    </row>
    <row r="293" spans="1:28" x14ac:dyDescent="0.25">
      <c r="A293">
        <v>292</v>
      </c>
      <c r="B293">
        <v>183154</v>
      </c>
      <c r="C293">
        <v>24001528</v>
      </c>
      <c r="D293" t="s">
        <v>14</v>
      </c>
      <c r="E293" t="s">
        <v>215</v>
      </c>
      <c r="F293">
        <v>5158039</v>
      </c>
      <c r="G293">
        <v>302</v>
      </c>
      <c r="H293" t="s">
        <v>333</v>
      </c>
      <c r="I293">
        <v>1712</v>
      </c>
      <c r="J293" s="64">
        <v>45513</v>
      </c>
      <c r="K293" s="64">
        <v>45519</v>
      </c>
      <c r="L293" t="s">
        <v>372</v>
      </c>
      <c r="M293" s="64">
        <v>45527</v>
      </c>
      <c r="N293" t="s">
        <v>373</v>
      </c>
      <c r="O293" t="s">
        <v>372</v>
      </c>
      <c r="P293">
        <v>0.65</v>
      </c>
      <c r="Q293">
        <v>1.61</v>
      </c>
      <c r="R293">
        <v>1112.8</v>
      </c>
      <c r="S293">
        <v>2756.32</v>
      </c>
      <c r="T293" t="s">
        <v>70</v>
      </c>
      <c r="AA293">
        <f t="shared" si="4"/>
        <v>375177.73000000004</v>
      </c>
      <c r="AB293">
        <f>COUNTIF($D$1:D293,D293)</f>
        <v>215</v>
      </c>
    </row>
    <row r="294" spans="1:28" x14ac:dyDescent="0.25">
      <c r="A294">
        <v>293</v>
      </c>
      <c r="B294">
        <v>183166</v>
      </c>
      <c r="C294">
        <v>24001540</v>
      </c>
      <c r="D294" t="s">
        <v>14</v>
      </c>
      <c r="E294" t="s">
        <v>215</v>
      </c>
      <c r="F294">
        <v>5157996</v>
      </c>
      <c r="G294">
        <v>303</v>
      </c>
      <c r="H294" t="s">
        <v>333</v>
      </c>
      <c r="I294">
        <v>3911</v>
      </c>
      <c r="J294" s="64">
        <v>45518</v>
      </c>
      <c r="K294" s="64">
        <v>45525</v>
      </c>
      <c r="L294" t="s">
        <v>372</v>
      </c>
      <c r="M294" s="64">
        <v>45527</v>
      </c>
      <c r="N294" t="s">
        <v>373</v>
      </c>
      <c r="O294" t="s">
        <v>372</v>
      </c>
      <c r="P294">
        <v>0.83</v>
      </c>
      <c r="Q294">
        <v>2.13</v>
      </c>
      <c r="R294">
        <v>3246.13</v>
      </c>
      <c r="S294">
        <v>8330.43</v>
      </c>
      <c r="T294" t="s">
        <v>70</v>
      </c>
      <c r="AA294">
        <f t="shared" si="4"/>
        <v>375177.73000000004</v>
      </c>
      <c r="AB294">
        <f>COUNTIF($D$1:D294,D294)</f>
        <v>216</v>
      </c>
    </row>
    <row r="295" spans="1:28" x14ac:dyDescent="0.25">
      <c r="A295">
        <v>294</v>
      </c>
      <c r="B295">
        <v>183206</v>
      </c>
      <c r="C295">
        <v>24001580</v>
      </c>
      <c r="D295" t="s">
        <v>14</v>
      </c>
      <c r="E295" t="s">
        <v>215</v>
      </c>
      <c r="F295">
        <v>5157994</v>
      </c>
      <c r="G295">
        <v>306</v>
      </c>
      <c r="H295" t="s">
        <v>333</v>
      </c>
      <c r="I295">
        <v>1458</v>
      </c>
      <c r="J295" s="64">
        <v>45517</v>
      </c>
      <c r="K295" s="64">
        <v>45523</v>
      </c>
      <c r="L295" t="s">
        <v>372</v>
      </c>
      <c r="M295" s="64">
        <v>45527</v>
      </c>
      <c r="N295" t="s">
        <v>373</v>
      </c>
      <c r="O295" t="s">
        <v>372</v>
      </c>
      <c r="P295">
        <v>0.93</v>
      </c>
      <c r="Q295">
        <v>2.2400000000000002</v>
      </c>
      <c r="R295">
        <v>1355.94</v>
      </c>
      <c r="S295">
        <v>3265.92</v>
      </c>
      <c r="T295" t="s">
        <v>70</v>
      </c>
      <c r="AA295">
        <f t="shared" si="4"/>
        <v>375177.73000000004</v>
      </c>
      <c r="AB295">
        <f>COUNTIF($D$1:D295,D295)</f>
        <v>217</v>
      </c>
    </row>
    <row r="296" spans="1:28" x14ac:dyDescent="0.25">
      <c r="A296">
        <v>295</v>
      </c>
      <c r="B296">
        <v>183197</v>
      </c>
      <c r="C296">
        <v>24001571</v>
      </c>
      <c r="D296" t="s">
        <v>14</v>
      </c>
      <c r="E296" t="s">
        <v>215</v>
      </c>
      <c r="F296" t="s">
        <v>408</v>
      </c>
      <c r="G296">
        <v>305</v>
      </c>
      <c r="H296" t="s">
        <v>333</v>
      </c>
      <c r="I296">
        <v>292</v>
      </c>
      <c r="J296" s="64">
        <v>45517</v>
      </c>
      <c r="K296" s="64">
        <v>45523</v>
      </c>
      <c r="L296" t="s">
        <v>372</v>
      </c>
      <c r="M296" s="64">
        <v>45527</v>
      </c>
      <c r="N296" t="s">
        <v>373</v>
      </c>
      <c r="O296" t="s">
        <v>372</v>
      </c>
      <c r="P296">
        <v>0.77</v>
      </c>
      <c r="Q296">
        <v>2.16</v>
      </c>
      <c r="R296">
        <v>224.84</v>
      </c>
      <c r="S296">
        <v>630.72</v>
      </c>
      <c r="T296" t="s">
        <v>70</v>
      </c>
      <c r="AA296">
        <f t="shared" si="4"/>
        <v>375177.73000000004</v>
      </c>
      <c r="AB296">
        <f>COUNTIF($D$1:D296,D296)</f>
        <v>218</v>
      </c>
    </row>
    <row r="297" spans="1:28" x14ac:dyDescent="0.25">
      <c r="A297">
        <v>296</v>
      </c>
      <c r="B297">
        <v>183194</v>
      </c>
      <c r="C297">
        <v>24001568</v>
      </c>
      <c r="D297" t="s">
        <v>14</v>
      </c>
      <c r="E297" t="s">
        <v>215</v>
      </c>
      <c r="F297">
        <v>5158009</v>
      </c>
      <c r="G297">
        <v>305</v>
      </c>
      <c r="H297" t="s">
        <v>333</v>
      </c>
      <c r="I297">
        <v>233</v>
      </c>
      <c r="J297" s="64">
        <v>45519</v>
      </c>
      <c r="K297" s="64">
        <v>45520</v>
      </c>
      <c r="L297" t="s">
        <v>372</v>
      </c>
      <c r="M297" s="64">
        <v>45527</v>
      </c>
      <c r="N297" t="s">
        <v>373</v>
      </c>
      <c r="O297" t="s">
        <v>372</v>
      </c>
      <c r="P297">
        <v>0.83</v>
      </c>
      <c r="Q297">
        <v>2.13</v>
      </c>
      <c r="R297">
        <v>193.39</v>
      </c>
      <c r="S297">
        <v>496.29</v>
      </c>
      <c r="T297" t="s">
        <v>70</v>
      </c>
      <c r="AA297">
        <f t="shared" si="4"/>
        <v>375177.73000000004</v>
      </c>
      <c r="AB297">
        <f>COUNTIF($D$1:D297,D297)</f>
        <v>219</v>
      </c>
    </row>
    <row r="298" spans="1:28" x14ac:dyDescent="0.25">
      <c r="A298">
        <v>297</v>
      </c>
      <c r="B298">
        <v>183188</v>
      </c>
      <c r="C298">
        <v>24001562</v>
      </c>
      <c r="D298" t="s">
        <v>14</v>
      </c>
      <c r="E298" t="s">
        <v>215</v>
      </c>
      <c r="F298">
        <v>5158611</v>
      </c>
      <c r="G298">
        <v>305</v>
      </c>
      <c r="H298" t="s">
        <v>333</v>
      </c>
      <c r="I298">
        <v>572</v>
      </c>
      <c r="J298" s="64">
        <v>45524</v>
      </c>
      <c r="K298" s="64">
        <v>45530</v>
      </c>
      <c r="L298" t="s">
        <v>372</v>
      </c>
      <c r="M298" s="64">
        <v>45527</v>
      </c>
      <c r="N298" t="s">
        <v>374</v>
      </c>
      <c r="O298" t="s">
        <v>372</v>
      </c>
      <c r="P298">
        <v>0.7</v>
      </c>
      <c r="Q298">
        <v>1.64</v>
      </c>
      <c r="R298">
        <v>400.4</v>
      </c>
      <c r="S298">
        <v>938.08</v>
      </c>
      <c r="T298" t="s">
        <v>70</v>
      </c>
      <c r="AA298">
        <f t="shared" si="4"/>
        <v>375177.73000000004</v>
      </c>
      <c r="AB298">
        <f>COUNTIF($D$1:D298,D298)</f>
        <v>220</v>
      </c>
    </row>
    <row r="299" spans="1:28" x14ac:dyDescent="0.25">
      <c r="A299">
        <v>298</v>
      </c>
      <c r="B299">
        <v>183189</v>
      </c>
      <c r="C299">
        <v>24001563</v>
      </c>
      <c r="D299" t="s">
        <v>14</v>
      </c>
      <c r="E299" t="s">
        <v>215</v>
      </c>
      <c r="F299" t="s">
        <v>400</v>
      </c>
      <c r="G299">
        <v>305</v>
      </c>
      <c r="H299" t="s">
        <v>333</v>
      </c>
      <c r="I299">
        <v>645</v>
      </c>
      <c r="J299" s="64">
        <v>45525</v>
      </c>
      <c r="K299" s="64">
        <v>45525</v>
      </c>
      <c r="L299" t="s">
        <v>372</v>
      </c>
      <c r="M299" s="64">
        <v>45527</v>
      </c>
      <c r="N299" t="s">
        <v>373</v>
      </c>
      <c r="O299" t="s">
        <v>372</v>
      </c>
      <c r="P299">
        <v>0.65</v>
      </c>
      <c r="Q299">
        <v>1.74</v>
      </c>
      <c r="R299">
        <v>419.25</v>
      </c>
      <c r="S299">
        <v>1122.3</v>
      </c>
      <c r="T299" t="s">
        <v>70</v>
      </c>
      <c r="AA299">
        <f t="shared" si="4"/>
        <v>375177.73000000004</v>
      </c>
      <c r="AB299">
        <f>COUNTIF($D$1:D299,D299)</f>
        <v>221</v>
      </c>
    </row>
    <row r="300" spans="1:28" x14ac:dyDescent="0.25">
      <c r="A300">
        <v>299</v>
      </c>
      <c r="B300">
        <v>183204</v>
      </c>
      <c r="C300">
        <v>24001578</v>
      </c>
      <c r="D300" t="s">
        <v>14</v>
      </c>
      <c r="E300" t="s">
        <v>215</v>
      </c>
      <c r="F300">
        <v>5157989</v>
      </c>
      <c r="G300">
        <v>306</v>
      </c>
      <c r="H300" t="s">
        <v>333</v>
      </c>
      <c r="I300">
        <v>4</v>
      </c>
      <c r="J300" s="64">
        <v>45527</v>
      </c>
      <c r="K300" s="64">
        <v>45527</v>
      </c>
      <c r="L300" t="s">
        <v>372</v>
      </c>
      <c r="M300" s="64">
        <v>45527</v>
      </c>
      <c r="N300" t="s">
        <v>373</v>
      </c>
      <c r="O300" t="s">
        <v>372</v>
      </c>
      <c r="P300">
        <v>0.75</v>
      </c>
      <c r="Q300">
        <v>1.94</v>
      </c>
      <c r="R300">
        <v>3</v>
      </c>
      <c r="S300">
        <v>7.76</v>
      </c>
      <c r="T300" t="s">
        <v>70</v>
      </c>
      <c r="AA300">
        <f t="shared" si="4"/>
        <v>375177.73000000004</v>
      </c>
      <c r="AB300">
        <f>COUNTIF($D$1:D300,D300)</f>
        <v>222</v>
      </c>
    </row>
    <row r="301" spans="1:28" x14ac:dyDescent="0.25">
      <c r="A301">
        <v>300</v>
      </c>
      <c r="B301">
        <v>183156</v>
      </c>
      <c r="C301">
        <v>24001530</v>
      </c>
      <c r="D301" t="s">
        <v>12</v>
      </c>
      <c r="E301" t="s">
        <v>215</v>
      </c>
      <c r="F301">
        <v>5158614</v>
      </c>
      <c r="G301">
        <v>303</v>
      </c>
      <c r="H301" t="s">
        <v>216</v>
      </c>
      <c r="I301">
        <v>123</v>
      </c>
      <c r="J301" s="64">
        <v>45505</v>
      </c>
      <c r="K301" s="64">
        <v>45509</v>
      </c>
      <c r="L301" t="s">
        <v>372</v>
      </c>
      <c r="M301" s="64">
        <v>45512</v>
      </c>
      <c r="N301" t="s">
        <v>373</v>
      </c>
      <c r="O301" t="s">
        <v>372</v>
      </c>
      <c r="P301">
        <v>0.7</v>
      </c>
      <c r="Q301">
        <v>1.71</v>
      </c>
      <c r="R301">
        <v>86.1</v>
      </c>
      <c r="S301">
        <v>210.33</v>
      </c>
      <c r="T301" t="s">
        <v>70</v>
      </c>
      <c r="AA301">
        <f t="shared" si="4"/>
        <v>218983.93000000005</v>
      </c>
      <c r="AB301">
        <f>COUNTIF($D$1:D301,D301)</f>
        <v>1</v>
      </c>
    </row>
    <row r="302" spans="1:28" x14ac:dyDescent="0.25">
      <c r="A302">
        <v>301</v>
      </c>
      <c r="B302">
        <v>183161</v>
      </c>
      <c r="C302">
        <v>24001535</v>
      </c>
      <c r="D302" t="s">
        <v>12</v>
      </c>
      <c r="E302" t="s">
        <v>215</v>
      </c>
      <c r="F302">
        <v>5158618</v>
      </c>
      <c r="G302">
        <v>303</v>
      </c>
      <c r="H302" t="s">
        <v>216</v>
      </c>
      <c r="I302">
        <v>3055</v>
      </c>
      <c r="J302" s="64">
        <v>45511</v>
      </c>
      <c r="K302" s="64">
        <v>45512</v>
      </c>
      <c r="L302" t="s">
        <v>372</v>
      </c>
      <c r="M302" s="64">
        <v>45527</v>
      </c>
      <c r="N302" t="s">
        <v>373</v>
      </c>
      <c r="O302" t="s">
        <v>372</v>
      </c>
      <c r="P302">
        <v>0.7</v>
      </c>
      <c r="Q302">
        <v>1.71</v>
      </c>
      <c r="R302">
        <v>2138.5</v>
      </c>
      <c r="S302">
        <v>5224.05</v>
      </c>
      <c r="T302" t="s">
        <v>70</v>
      </c>
      <c r="AA302">
        <f t="shared" si="4"/>
        <v>218983.93000000005</v>
      </c>
      <c r="AB302">
        <f>COUNTIF($D$1:D302,D302)</f>
        <v>2</v>
      </c>
    </row>
    <row r="303" spans="1:28" x14ac:dyDescent="0.25">
      <c r="A303">
        <v>302</v>
      </c>
      <c r="B303">
        <v>183162</v>
      </c>
      <c r="C303">
        <v>24001536</v>
      </c>
      <c r="D303" t="s">
        <v>12</v>
      </c>
      <c r="E303" t="s">
        <v>215</v>
      </c>
      <c r="F303" t="s">
        <v>409</v>
      </c>
      <c r="G303">
        <v>303</v>
      </c>
      <c r="H303" t="s">
        <v>216</v>
      </c>
      <c r="I303">
        <v>240</v>
      </c>
      <c r="J303" s="64">
        <v>45510</v>
      </c>
      <c r="K303" s="64">
        <v>45511</v>
      </c>
      <c r="L303" t="s">
        <v>372</v>
      </c>
      <c r="M303" s="64">
        <v>45527</v>
      </c>
      <c r="N303" t="s">
        <v>373</v>
      </c>
      <c r="O303" t="s">
        <v>372</v>
      </c>
      <c r="P303">
        <v>0.67</v>
      </c>
      <c r="Q303">
        <v>1.83</v>
      </c>
      <c r="R303">
        <v>160.80000000000001</v>
      </c>
      <c r="S303">
        <v>439.2</v>
      </c>
      <c r="T303" t="s">
        <v>70</v>
      </c>
      <c r="AA303">
        <f t="shared" si="4"/>
        <v>218983.93000000005</v>
      </c>
      <c r="AB303">
        <f>COUNTIF($D$1:D303,D303)</f>
        <v>3</v>
      </c>
    </row>
    <row r="304" spans="1:28" x14ac:dyDescent="0.25">
      <c r="A304">
        <v>303</v>
      </c>
      <c r="B304">
        <v>183158</v>
      </c>
      <c r="C304">
        <v>24001532</v>
      </c>
      <c r="D304" t="s">
        <v>12</v>
      </c>
      <c r="E304" t="s">
        <v>215</v>
      </c>
      <c r="F304">
        <v>5158592</v>
      </c>
      <c r="G304">
        <v>303</v>
      </c>
      <c r="H304" t="s">
        <v>216</v>
      </c>
      <c r="I304">
        <v>2555</v>
      </c>
      <c r="J304" s="64">
        <v>45516</v>
      </c>
      <c r="K304" s="64">
        <v>45523</v>
      </c>
      <c r="L304" t="s">
        <v>372</v>
      </c>
      <c r="M304" s="64">
        <v>45527</v>
      </c>
      <c r="N304" t="s">
        <v>373</v>
      </c>
      <c r="O304" t="s">
        <v>372</v>
      </c>
      <c r="P304">
        <v>0.7</v>
      </c>
      <c r="Q304">
        <v>1.71</v>
      </c>
      <c r="R304">
        <v>1788.5</v>
      </c>
      <c r="S304">
        <v>4369.05</v>
      </c>
      <c r="T304" t="s">
        <v>70</v>
      </c>
      <c r="AA304">
        <f t="shared" si="4"/>
        <v>218983.93000000005</v>
      </c>
      <c r="AB304">
        <f>COUNTIF($D$1:D304,D304)</f>
        <v>4</v>
      </c>
    </row>
    <row r="305" spans="1:28" x14ac:dyDescent="0.25">
      <c r="A305">
        <v>304</v>
      </c>
      <c r="B305">
        <v>183159</v>
      </c>
      <c r="C305">
        <v>24001533</v>
      </c>
      <c r="D305" t="s">
        <v>12</v>
      </c>
      <c r="E305" t="s">
        <v>215</v>
      </c>
      <c r="F305">
        <v>5158619</v>
      </c>
      <c r="G305">
        <v>303</v>
      </c>
      <c r="H305" t="s">
        <v>216</v>
      </c>
      <c r="I305">
        <v>3675</v>
      </c>
      <c r="J305" s="64">
        <v>45512</v>
      </c>
      <c r="K305" s="64">
        <v>45517</v>
      </c>
      <c r="L305" t="s">
        <v>372</v>
      </c>
      <c r="M305" s="64">
        <v>45527</v>
      </c>
      <c r="N305" t="s">
        <v>373</v>
      </c>
      <c r="O305" t="s">
        <v>372</v>
      </c>
      <c r="P305">
        <v>0.7</v>
      </c>
      <c r="Q305">
        <v>1.71</v>
      </c>
      <c r="R305">
        <v>2572.5</v>
      </c>
      <c r="S305">
        <v>6284.25</v>
      </c>
      <c r="T305" t="s">
        <v>70</v>
      </c>
      <c r="AA305">
        <f t="shared" si="4"/>
        <v>218983.93000000005</v>
      </c>
      <c r="AB305">
        <f>COUNTIF($D$1:D305,D305)</f>
        <v>5</v>
      </c>
    </row>
    <row r="306" spans="1:28" x14ac:dyDescent="0.25">
      <c r="A306">
        <v>305</v>
      </c>
      <c r="B306">
        <v>183160</v>
      </c>
      <c r="C306">
        <v>24001534</v>
      </c>
      <c r="D306" t="s">
        <v>12</v>
      </c>
      <c r="E306" t="s">
        <v>215</v>
      </c>
      <c r="F306" t="s">
        <v>405</v>
      </c>
      <c r="G306">
        <v>303</v>
      </c>
      <c r="H306" t="s">
        <v>216</v>
      </c>
      <c r="I306">
        <v>350</v>
      </c>
      <c r="J306" s="64">
        <v>45512</v>
      </c>
      <c r="K306" s="64">
        <v>45519</v>
      </c>
      <c r="L306" t="s">
        <v>372</v>
      </c>
      <c r="M306" s="64">
        <v>45527</v>
      </c>
      <c r="N306" t="s">
        <v>373</v>
      </c>
      <c r="O306" t="s">
        <v>372</v>
      </c>
      <c r="P306">
        <v>0.67</v>
      </c>
      <c r="Q306">
        <v>1.83</v>
      </c>
      <c r="R306">
        <v>234.5</v>
      </c>
      <c r="S306">
        <v>640.5</v>
      </c>
      <c r="T306" t="s">
        <v>70</v>
      </c>
      <c r="AA306">
        <f t="shared" si="4"/>
        <v>218983.93000000005</v>
      </c>
      <c r="AB306">
        <f>COUNTIF($D$1:D306,D306)</f>
        <v>6</v>
      </c>
    </row>
    <row r="307" spans="1:28" x14ac:dyDescent="0.25">
      <c r="A307">
        <v>306</v>
      </c>
      <c r="B307">
        <v>183169</v>
      </c>
      <c r="C307">
        <v>24001543</v>
      </c>
      <c r="D307" t="s">
        <v>12</v>
      </c>
      <c r="E307" t="s">
        <v>215</v>
      </c>
      <c r="F307">
        <v>5158607</v>
      </c>
      <c r="G307">
        <v>304</v>
      </c>
      <c r="H307" t="s">
        <v>216</v>
      </c>
      <c r="I307">
        <v>3978</v>
      </c>
      <c r="J307" s="64">
        <v>45506</v>
      </c>
      <c r="K307" s="64">
        <v>45518</v>
      </c>
      <c r="L307" t="s">
        <v>372</v>
      </c>
      <c r="M307" s="64">
        <v>45512</v>
      </c>
      <c r="N307" t="s">
        <v>374</v>
      </c>
      <c r="O307" t="s">
        <v>372</v>
      </c>
      <c r="P307">
        <v>0.7</v>
      </c>
      <c r="Q307">
        <v>1.71</v>
      </c>
      <c r="R307">
        <v>2784.6</v>
      </c>
      <c r="S307">
        <v>6802.38</v>
      </c>
      <c r="T307" t="s">
        <v>70</v>
      </c>
      <c r="AA307">
        <f t="shared" si="4"/>
        <v>218983.93000000005</v>
      </c>
      <c r="AB307">
        <f>COUNTIF($D$1:D307,D307)</f>
        <v>7</v>
      </c>
    </row>
    <row r="308" spans="1:28" x14ac:dyDescent="0.25">
      <c r="A308">
        <v>307</v>
      </c>
      <c r="B308">
        <v>183170</v>
      </c>
      <c r="C308">
        <v>24001544</v>
      </c>
      <c r="D308" t="s">
        <v>12</v>
      </c>
      <c r="E308" t="s">
        <v>215</v>
      </c>
      <c r="F308" t="s">
        <v>410</v>
      </c>
      <c r="G308">
        <v>304</v>
      </c>
      <c r="H308" t="s">
        <v>216</v>
      </c>
      <c r="I308">
        <v>190</v>
      </c>
      <c r="J308" s="64">
        <v>45505</v>
      </c>
      <c r="K308" s="64">
        <v>45510</v>
      </c>
      <c r="L308" t="s">
        <v>372</v>
      </c>
      <c r="M308" s="64">
        <v>45512</v>
      </c>
      <c r="N308" t="s">
        <v>373</v>
      </c>
      <c r="O308" t="s">
        <v>372</v>
      </c>
      <c r="P308">
        <v>0.67</v>
      </c>
      <c r="Q308">
        <v>1.83</v>
      </c>
      <c r="R308">
        <v>127.3</v>
      </c>
      <c r="S308">
        <v>347.7</v>
      </c>
      <c r="T308" t="s">
        <v>70</v>
      </c>
      <c r="AA308">
        <f t="shared" si="4"/>
        <v>218983.93000000005</v>
      </c>
      <c r="AB308">
        <f>COUNTIF($D$1:D308,D308)</f>
        <v>8</v>
      </c>
    </row>
    <row r="309" spans="1:28" x14ac:dyDescent="0.25">
      <c r="A309">
        <v>308</v>
      </c>
      <c r="B309">
        <v>183171</v>
      </c>
      <c r="C309">
        <v>24001545</v>
      </c>
      <c r="D309" t="s">
        <v>12</v>
      </c>
      <c r="E309" t="s">
        <v>215</v>
      </c>
      <c r="F309">
        <v>5158590</v>
      </c>
      <c r="G309">
        <v>304</v>
      </c>
      <c r="H309" t="s">
        <v>216</v>
      </c>
      <c r="I309">
        <v>2010</v>
      </c>
      <c r="J309" s="64">
        <v>45505</v>
      </c>
      <c r="K309" s="64">
        <v>45524</v>
      </c>
      <c r="L309" t="s">
        <v>372</v>
      </c>
      <c r="M309" s="64">
        <v>45512</v>
      </c>
      <c r="N309" t="s">
        <v>374</v>
      </c>
      <c r="O309" t="s">
        <v>372</v>
      </c>
      <c r="P309">
        <v>0.7</v>
      </c>
      <c r="Q309">
        <v>1.71</v>
      </c>
      <c r="R309">
        <v>1407</v>
      </c>
      <c r="S309">
        <v>3437.1</v>
      </c>
      <c r="T309" t="s">
        <v>70</v>
      </c>
      <c r="AA309">
        <f t="shared" si="4"/>
        <v>218983.93000000005</v>
      </c>
      <c r="AB309">
        <f>COUNTIF($D$1:D309,D309)</f>
        <v>9</v>
      </c>
    </row>
    <row r="310" spans="1:28" x14ac:dyDescent="0.25">
      <c r="A310">
        <v>309</v>
      </c>
      <c r="B310">
        <v>183172</v>
      </c>
      <c r="C310">
        <v>24001546</v>
      </c>
      <c r="D310" t="s">
        <v>12</v>
      </c>
      <c r="E310" t="s">
        <v>215</v>
      </c>
      <c r="F310">
        <v>5158584</v>
      </c>
      <c r="G310">
        <v>304</v>
      </c>
      <c r="H310" t="s">
        <v>216</v>
      </c>
      <c r="I310">
        <v>2410</v>
      </c>
      <c r="J310" s="64">
        <v>45509</v>
      </c>
      <c r="K310" s="64">
        <v>45526</v>
      </c>
      <c r="L310" t="s">
        <v>372</v>
      </c>
      <c r="M310" s="64">
        <v>45527</v>
      </c>
      <c r="N310" t="s">
        <v>373</v>
      </c>
      <c r="O310" t="s">
        <v>372</v>
      </c>
      <c r="P310">
        <v>0.7</v>
      </c>
      <c r="Q310">
        <v>1.71</v>
      </c>
      <c r="R310">
        <v>1687</v>
      </c>
      <c r="S310">
        <v>4121.1000000000004</v>
      </c>
      <c r="T310" t="s">
        <v>70</v>
      </c>
      <c r="AA310">
        <f t="shared" si="4"/>
        <v>218983.93000000005</v>
      </c>
      <c r="AB310">
        <f>COUNTIF($D$1:D310,D310)</f>
        <v>10</v>
      </c>
    </row>
    <row r="311" spans="1:28" x14ac:dyDescent="0.25">
      <c r="A311">
        <v>310</v>
      </c>
      <c r="B311">
        <v>183173</v>
      </c>
      <c r="C311">
        <v>24001547</v>
      </c>
      <c r="D311" t="s">
        <v>12</v>
      </c>
      <c r="E311" t="s">
        <v>215</v>
      </c>
      <c r="F311" t="s">
        <v>411</v>
      </c>
      <c r="G311">
        <v>304</v>
      </c>
      <c r="H311" t="s">
        <v>216</v>
      </c>
      <c r="I311">
        <v>240</v>
      </c>
      <c r="J311" s="64">
        <v>45509</v>
      </c>
      <c r="K311" s="64">
        <v>45525</v>
      </c>
      <c r="L311" t="s">
        <v>372</v>
      </c>
      <c r="M311" s="64">
        <v>45527</v>
      </c>
      <c r="N311" t="s">
        <v>373</v>
      </c>
      <c r="O311" t="s">
        <v>372</v>
      </c>
      <c r="P311">
        <v>0.67</v>
      </c>
      <c r="Q311">
        <v>1.83</v>
      </c>
      <c r="R311">
        <v>160.80000000000001</v>
      </c>
      <c r="S311">
        <v>439.2</v>
      </c>
      <c r="T311" t="s">
        <v>70</v>
      </c>
      <c r="AA311">
        <f t="shared" si="4"/>
        <v>218983.93000000005</v>
      </c>
      <c r="AB311">
        <f>COUNTIF($D$1:D311,D311)</f>
        <v>11</v>
      </c>
    </row>
    <row r="312" spans="1:28" x14ac:dyDescent="0.25">
      <c r="A312">
        <v>311</v>
      </c>
      <c r="B312">
        <v>183219</v>
      </c>
      <c r="C312">
        <v>24001589</v>
      </c>
      <c r="D312" t="s">
        <v>12</v>
      </c>
      <c r="E312" t="s">
        <v>215</v>
      </c>
      <c r="F312">
        <v>5158594</v>
      </c>
      <c r="G312">
        <v>348</v>
      </c>
      <c r="H312" t="s">
        <v>216</v>
      </c>
      <c r="I312">
        <v>1480</v>
      </c>
      <c r="J312" s="64">
        <v>45524</v>
      </c>
      <c r="K312" s="64">
        <v>45525</v>
      </c>
      <c r="L312" t="s">
        <v>372</v>
      </c>
      <c r="M312" s="64">
        <v>45527</v>
      </c>
      <c r="N312" t="s">
        <v>373</v>
      </c>
      <c r="O312" t="s">
        <v>372</v>
      </c>
      <c r="P312">
        <v>0.7</v>
      </c>
      <c r="Q312">
        <v>1.64</v>
      </c>
      <c r="R312">
        <v>1036</v>
      </c>
      <c r="S312">
        <v>2427.1999999999998</v>
      </c>
      <c r="T312" t="s">
        <v>70</v>
      </c>
      <c r="AA312">
        <f t="shared" si="4"/>
        <v>218983.93000000005</v>
      </c>
      <c r="AB312">
        <f>COUNTIF($D$1:D312,D312)</f>
        <v>12</v>
      </c>
    </row>
    <row r="313" spans="1:28" x14ac:dyDescent="0.25">
      <c r="A313">
        <v>312</v>
      </c>
      <c r="B313">
        <v>183426</v>
      </c>
      <c r="C313">
        <v>24001616</v>
      </c>
      <c r="D313" t="s">
        <v>12</v>
      </c>
      <c r="E313" t="s">
        <v>215</v>
      </c>
      <c r="F313">
        <v>5158039</v>
      </c>
      <c r="G313">
        <v>380</v>
      </c>
      <c r="H313" t="s">
        <v>216</v>
      </c>
      <c r="I313">
        <v>9965</v>
      </c>
      <c r="J313" s="64">
        <v>45511</v>
      </c>
      <c r="K313" s="64">
        <v>45533</v>
      </c>
      <c r="L313" t="s">
        <v>372</v>
      </c>
      <c r="M313" s="64">
        <v>45534</v>
      </c>
      <c r="N313" t="s">
        <v>373</v>
      </c>
      <c r="O313" t="s">
        <v>372</v>
      </c>
      <c r="P313">
        <v>0.65</v>
      </c>
      <c r="Q313">
        <v>1.61</v>
      </c>
      <c r="R313">
        <v>6477.25</v>
      </c>
      <c r="S313">
        <v>16043.65</v>
      </c>
      <c r="T313" t="s">
        <v>70</v>
      </c>
      <c r="AA313">
        <f t="shared" si="4"/>
        <v>218983.93000000005</v>
      </c>
      <c r="AB313">
        <f>COUNTIF($D$1:D313,D313)</f>
        <v>13</v>
      </c>
    </row>
    <row r="314" spans="1:28" x14ac:dyDescent="0.25">
      <c r="A314">
        <v>313</v>
      </c>
      <c r="B314">
        <v>183428</v>
      </c>
      <c r="C314">
        <v>24001618</v>
      </c>
      <c r="D314" t="s">
        <v>12</v>
      </c>
      <c r="E314" t="s">
        <v>215</v>
      </c>
      <c r="F314">
        <v>5158038</v>
      </c>
      <c r="G314">
        <v>380</v>
      </c>
      <c r="H314" t="s">
        <v>216</v>
      </c>
      <c r="I314">
        <v>10099</v>
      </c>
      <c r="J314" s="64">
        <v>45531</v>
      </c>
      <c r="K314" s="64">
        <v>45534</v>
      </c>
      <c r="L314" t="s">
        <v>372</v>
      </c>
      <c r="M314" s="64">
        <v>45548</v>
      </c>
      <c r="N314" t="s">
        <v>373</v>
      </c>
      <c r="O314" t="s">
        <v>376</v>
      </c>
      <c r="P314">
        <v>0.65</v>
      </c>
      <c r="Q314">
        <v>1.61</v>
      </c>
      <c r="R314">
        <v>6564.35</v>
      </c>
      <c r="S314">
        <v>16259.39</v>
      </c>
      <c r="T314" t="s">
        <v>70</v>
      </c>
      <c r="AA314">
        <f t="shared" si="4"/>
        <v>218983.93000000005</v>
      </c>
      <c r="AB314">
        <f>COUNTIF($D$1:D314,D314)</f>
        <v>14</v>
      </c>
    </row>
    <row r="315" spans="1:28" x14ac:dyDescent="0.25">
      <c r="A315">
        <v>314</v>
      </c>
      <c r="B315">
        <v>183163</v>
      </c>
      <c r="C315">
        <v>24001537</v>
      </c>
      <c r="D315" t="s">
        <v>12</v>
      </c>
      <c r="E315" t="s">
        <v>215</v>
      </c>
      <c r="F315">
        <v>5158599</v>
      </c>
      <c r="G315">
        <v>303</v>
      </c>
      <c r="H315" t="s">
        <v>216</v>
      </c>
      <c r="I315">
        <v>5550</v>
      </c>
      <c r="J315" s="64">
        <v>45517</v>
      </c>
      <c r="K315" s="64">
        <v>45523</v>
      </c>
      <c r="L315" t="s">
        <v>372</v>
      </c>
      <c r="M315" s="64">
        <v>45527</v>
      </c>
      <c r="N315" t="s">
        <v>373</v>
      </c>
      <c r="O315" t="s">
        <v>372</v>
      </c>
      <c r="P315">
        <v>0.7</v>
      </c>
      <c r="Q315">
        <v>1.71</v>
      </c>
      <c r="R315">
        <v>3885</v>
      </c>
      <c r="S315">
        <v>9490.5</v>
      </c>
      <c r="T315" t="s">
        <v>70</v>
      </c>
      <c r="AA315">
        <f t="shared" si="4"/>
        <v>218983.93000000005</v>
      </c>
      <c r="AB315">
        <f>COUNTIF($D$1:D315,D315)</f>
        <v>15</v>
      </c>
    </row>
    <row r="316" spans="1:28" x14ac:dyDescent="0.25">
      <c r="A316">
        <v>315</v>
      </c>
      <c r="B316">
        <v>183164</v>
      </c>
      <c r="C316">
        <v>24001538</v>
      </c>
      <c r="D316" t="s">
        <v>12</v>
      </c>
      <c r="E316" t="s">
        <v>215</v>
      </c>
      <c r="F316" t="s">
        <v>412</v>
      </c>
      <c r="G316">
        <v>303</v>
      </c>
      <c r="H316" t="s">
        <v>216</v>
      </c>
      <c r="I316">
        <v>120</v>
      </c>
      <c r="J316" s="64">
        <v>45517</v>
      </c>
      <c r="K316" s="64">
        <v>45518</v>
      </c>
      <c r="L316" t="s">
        <v>372</v>
      </c>
      <c r="M316" s="64">
        <v>45527</v>
      </c>
      <c r="N316" t="s">
        <v>373</v>
      </c>
      <c r="O316" t="s">
        <v>372</v>
      </c>
      <c r="P316">
        <v>0.67</v>
      </c>
      <c r="Q316">
        <v>1.83</v>
      </c>
      <c r="R316">
        <v>80.400000000000006</v>
      </c>
      <c r="S316">
        <v>219.6</v>
      </c>
      <c r="T316" t="s">
        <v>70</v>
      </c>
      <c r="AA316">
        <f t="shared" si="4"/>
        <v>218983.93000000005</v>
      </c>
      <c r="AB316">
        <f>COUNTIF($D$1:D316,D316)</f>
        <v>16</v>
      </c>
    </row>
    <row r="317" spans="1:28" x14ac:dyDescent="0.25">
      <c r="A317">
        <v>316</v>
      </c>
      <c r="B317">
        <v>183216</v>
      </c>
      <c r="C317">
        <v>24001586</v>
      </c>
      <c r="D317" t="s">
        <v>12</v>
      </c>
      <c r="E317" t="s">
        <v>215</v>
      </c>
      <c r="F317">
        <v>5158596</v>
      </c>
      <c r="G317">
        <v>348</v>
      </c>
      <c r="H317" t="s">
        <v>216</v>
      </c>
      <c r="I317">
        <v>3981</v>
      </c>
      <c r="J317" s="64">
        <v>45520</v>
      </c>
      <c r="K317" s="64">
        <v>45527</v>
      </c>
      <c r="L317" t="s">
        <v>372</v>
      </c>
      <c r="M317" s="64">
        <v>45527</v>
      </c>
      <c r="N317" t="s">
        <v>373</v>
      </c>
      <c r="O317" t="s">
        <v>372</v>
      </c>
      <c r="P317">
        <v>0.8</v>
      </c>
      <c r="Q317">
        <v>1.88</v>
      </c>
      <c r="R317">
        <v>3184.8</v>
      </c>
      <c r="S317">
        <v>7484.28</v>
      </c>
      <c r="T317" t="s">
        <v>70</v>
      </c>
      <c r="AA317">
        <f t="shared" si="4"/>
        <v>218983.93000000005</v>
      </c>
      <c r="AB317">
        <f>COUNTIF($D$1:D317,D317)</f>
        <v>17</v>
      </c>
    </row>
    <row r="318" spans="1:28" x14ac:dyDescent="0.25">
      <c r="A318">
        <v>317</v>
      </c>
      <c r="B318">
        <v>183217</v>
      </c>
      <c r="C318">
        <v>24001587</v>
      </c>
      <c r="D318" t="s">
        <v>12</v>
      </c>
      <c r="E318" t="s">
        <v>215</v>
      </c>
      <c r="F318">
        <v>5158614</v>
      </c>
      <c r="G318">
        <v>348</v>
      </c>
      <c r="H318" t="s">
        <v>216</v>
      </c>
      <c r="I318">
        <v>2905</v>
      </c>
      <c r="J318" s="64">
        <v>45519</v>
      </c>
      <c r="K318" s="64">
        <v>45524</v>
      </c>
      <c r="L318" t="s">
        <v>372</v>
      </c>
      <c r="M318" s="64">
        <v>45527</v>
      </c>
      <c r="N318" t="s">
        <v>373</v>
      </c>
      <c r="O318" t="s">
        <v>372</v>
      </c>
      <c r="P318">
        <v>0.7</v>
      </c>
      <c r="Q318">
        <v>1.71</v>
      </c>
      <c r="R318">
        <v>2033.5</v>
      </c>
      <c r="S318">
        <v>4967.55</v>
      </c>
      <c r="T318" t="s">
        <v>70</v>
      </c>
      <c r="AA318">
        <f t="shared" si="4"/>
        <v>218983.93000000005</v>
      </c>
      <c r="AB318">
        <f>COUNTIF($D$1:D318,D318)</f>
        <v>18</v>
      </c>
    </row>
    <row r="319" spans="1:28" x14ac:dyDescent="0.25">
      <c r="A319">
        <v>318</v>
      </c>
      <c r="B319">
        <v>183161</v>
      </c>
      <c r="C319">
        <v>24001535</v>
      </c>
      <c r="D319" t="s">
        <v>12</v>
      </c>
      <c r="E319" t="s">
        <v>215</v>
      </c>
      <c r="F319">
        <v>5158618</v>
      </c>
      <c r="G319">
        <v>303</v>
      </c>
      <c r="H319" t="s">
        <v>236</v>
      </c>
      <c r="I319">
        <v>4434</v>
      </c>
      <c r="J319" s="64">
        <v>45510</v>
      </c>
      <c r="K319" s="64">
        <v>45513</v>
      </c>
      <c r="L319" t="s">
        <v>372</v>
      </c>
      <c r="M319" s="64">
        <v>45527</v>
      </c>
      <c r="N319" t="s">
        <v>373</v>
      </c>
      <c r="O319" t="s">
        <v>372</v>
      </c>
      <c r="P319">
        <v>0.7</v>
      </c>
      <c r="Q319">
        <v>1.71</v>
      </c>
      <c r="R319">
        <v>3103.8</v>
      </c>
      <c r="S319">
        <v>7582.14</v>
      </c>
      <c r="T319" t="s">
        <v>70</v>
      </c>
      <c r="AA319">
        <f t="shared" si="4"/>
        <v>218983.93000000005</v>
      </c>
      <c r="AB319">
        <f>COUNTIF($D$1:D319,D319)</f>
        <v>19</v>
      </c>
    </row>
    <row r="320" spans="1:28" x14ac:dyDescent="0.25">
      <c r="A320">
        <v>319</v>
      </c>
      <c r="B320">
        <v>183162</v>
      </c>
      <c r="C320">
        <v>24001536</v>
      </c>
      <c r="D320" t="s">
        <v>12</v>
      </c>
      <c r="E320" t="s">
        <v>215</v>
      </c>
      <c r="F320" t="s">
        <v>409</v>
      </c>
      <c r="G320">
        <v>303</v>
      </c>
      <c r="H320" t="s">
        <v>236</v>
      </c>
      <c r="I320">
        <v>300</v>
      </c>
      <c r="J320" s="64">
        <v>45510</v>
      </c>
      <c r="K320" s="64">
        <v>45513</v>
      </c>
      <c r="L320" t="s">
        <v>372</v>
      </c>
      <c r="M320" s="64">
        <v>45527</v>
      </c>
      <c r="N320" t="s">
        <v>373</v>
      </c>
      <c r="O320" t="s">
        <v>372</v>
      </c>
      <c r="P320">
        <v>0.67</v>
      </c>
      <c r="Q320">
        <v>1.83</v>
      </c>
      <c r="R320">
        <v>201</v>
      </c>
      <c r="S320">
        <v>549</v>
      </c>
      <c r="T320" t="s">
        <v>70</v>
      </c>
      <c r="AA320">
        <f t="shared" si="4"/>
        <v>218983.93000000005</v>
      </c>
      <c r="AB320">
        <f>COUNTIF($D$1:D320,D320)</f>
        <v>20</v>
      </c>
    </row>
    <row r="321" spans="1:28" x14ac:dyDescent="0.25">
      <c r="A321">
        <v>320</v>
      </c>
      <c r="B321">
        <v>183158</v>
      </c>
      <c r="C321">
        <v>24001532</v>
      </c>
      <c r="D321" t="s">
        <v>12</v>
      </c>
      <c r="E321" t="s">
        <v>215</v>
      </c>
      <c r="F321">
        <v>5158592</v>
      </c>
      <c r="G321">
        <v>303</v>
      </c>
      <c r="H321" t="s">
        <v>236</v>
      </c>
      <c r="I321">
        <v>4566</v>
      </c>
      <c r="J321" s="64">
        <v>45513</v>
      </c>
      <c r="K321" s="64">
        <v>45519</v>
      </c>
      <c r="L321" t="s">
        <v>372</v>
      </c>
      <c r="M321" s="64">
        <v>45527</v>
      </c>
      <c r="N321" t="s">
        <v>373</v>
      </c>
      <c r="O321" t="s">
        <v>372</v>
      </c>
      <c r="P321">
        <v>0.7</v>
      </c>
      <c r="Q321">
        <v>1.71</v>
      </c>
      <c r="R321">
        <v>3196.2</v>
      </c>
      <c r="S321">
        <v>7807.86</v>
      </c>
      <c r="T321" t="s">
        <v>70</v>
      </c>
      <c r="AA321">
        <f t="shared" si="4"/>
        <v>218983.93000000005</v>
      </c>
      <c r="AB321">
        <f>COUNTIF($D$1:D321,D321)</f>
        <v>21</v>
      </c>
    </row>
    <row r="322" spans="1:28" x14ac:dyDescent="0.25">
      <c r="A322">
        <v>321</v>
      </c>
      <c r="B322">
        <v>183159</v>
      </c>
      <c r="C322">
        <v>24001533</v>
      </c>
      <c r="D322" t="s">
        <v>12</v>
      </c>
      <c r="E322" t="s">
        <v>215</v>
      </c>
      <c r="F322">
        <v>5158619</v>
      </c>
      <c r="G322">
        <v>303</v>
      </c>
      <c r="H322" t="s">
        <v>236</v>
      </c>
      <c r="I322">
        <v>4000</v>
      </c>
      <c r="J322" s="64">
        <v>45512</v>
      </c>
      <c r="K322" s="64">
        <v>45518</v>
      </c>
      <c r="L322" t="s">
        <v>372</v>
      </c>
      <c r="M322" s="64">
        <v>45527</v>
      </c>
      <c r="N322" t="s">
        <v>373</v>
      </c>
      <c r="O322" t="s">
        <v>372</v>
      </c>
      <c r="P322">
        <v>0.7</v>
      </c>
      <c r="Q322">
        <v>1.71</v>
      </c>
      <c r="R322">
        <v>2800</v>
      </c>
      <c r="S322">
        <v>6840</v>
      </c>
      <c r="T322" t="s">
        <v>70</v>
      </c>
      <c r="AA322">
        <f t="shared" ref="AA322:AA385" si="5">SUMIF($D:$D,D322,$R:$R)</f>
        <v>218983.93000000005</v>
      </c>
      <c r="AB322">
        <f>COUNTIF($D$1:D322,D322)</f>
        <v>22</v>
      </c>
    </row>
    <row r="323" spans="1:28" x14ac:dyDescent="0.25">
      <c r="A323">
        <v>322</v>
      </c>
      <c r="B323">
        <v>183160</v>
      </c>
      <c r="C323">
        <v>24001534</v>
      </c>
      <c r="D323" t="s">
        <v>12</v>
      </c>
      <c r="E323" t="s">
        <v>215</v>
      </c>
      <c r="F323" t="s">
        <v>405</v>
      </c>
      <c r="G323">
        <v>303</v>
      </c>
      <c r="H323" t="s">
        <v>236</v>
      </c>
      <c r="I323">
        <v>10</v>
      </c>
      <c r="J323" s="64">
        <v>45512</v>
      </c>
      <c r="K323" s="64">
        <v>45513</v>
      </c>
      <c r="L323" t="s">
        <v>372</v>
      </c>
      <c r="M323" s="64">
        <v>45527</v>
      </c>
      <c r="N323" t="s">
        <v>373</v>
      </c>
      <c r="O323" t="s">
        <v>372</v>
      </c>
      <c r="P323">
        <v>0.67</v>
      </c>
      <c r="Q323">
        <v>1.83</v>
      </c>
      <c r="R323">
        <v>6.7</v>
      </c>
      <c r="S323">
        <v>18.3</v>
      </c>
      <c r="T323" t="s">
        <v>70</v>
      </c>
      <c r="AA323">
        <f t="shared" si="5"/>
        <v>218983.93000000005</v>
      </c>
      <c r="AB323">
        <f>COUNTIF($D$1:D323,D323)</f>
        <v>23</v>
      </c>
    </row>
    <row r="324" spans="1:28" x14ac:dyDescent="0.25">
      <c r="A324">
        <v>323</v>
      </c>
      <c r="B324">
        <v>183169</v>
      </c>
      <c r="C324">
        <v>24001543</v>
      </c>
      <c r="D324" t="s">
        <v>12</v>
      </c>
      <c r="E324" t="s">
        <v>215</v>
      </c>
      <c r="F324">
        <v>5158607</v>
      </c>
      <c r="G324">
        <v>304</v>
      </c>
      <c r="H324" t="s">
        <v>236</v>
      </c>
      <c r="I324">
        <v>1392</v>
      </c>
      <c r="J324" s="64">
        <v>45506</v>
      </c>
      <c r="K324" s="64">
        <v>45511</v>
      </c>
      <c r="L324" t="s">
        <v>372</v>
      </c>
      <c r="M324" s="64">
        <v>45512</v>
      </c>
      <c r="N324" t="s">
        <v>373</v>
      </c>
      <c r="O324" t="s">
        <v>372</v>
      </c>
      <c r="P324">
        <v>0.7</v>
      </c>
      <c r="Q324">
        <v>1.71</v>
      </c>
      <c r="R324">
        <v>974.4</v>
      </c>
      <c r="S324">
        <v>2380.3200000000002</v>
      </c>
      <c r="T324" t="s">
        <v>70</v>
      </c>
      <c r="AA324">
        <f t="shared" si="5"/>
        <v>218983.93000000005</v>
      </c>
      <c r="AB324">
        <f>COUNTIF($D$1:D324,D324)</f>
        <v>24</v>
      </c>
    </row>
    <row r="325" spans="1:28" x14ac:dyDescent="0.25">
      <c r="A325">
        <v>324</v>
      </c>
      <c r="B325">
        <v>183170</v>
      </c>
      <c r="C325">
        <v>24001544</v>
      </c>
      <c r="D325" t="s">
        <v>12</v>
      </c>
      <c r="E325" t="s">
        <v>215</v>
      </c>
      <c r="F325" t="s">
        <v>410</v>
      </c>
      <c r="G325">
        <v>304</v>
      </c>
      <c r="H325" t="s">
        <v>236</v>
      </c>
      <c r="I325">
        <v>505</v>
      </c>
      <c r="J325" s="64">
        <v>45506</v>
      </c>
      <c r="K325" s="64">
        <v>45519</v>
      </c>
      <c r="L325" t="s">
        <v>372</v>
      </c>
      <c r="M325" s="64">
        <v>45512</v>
      </c>
      <c r="N325" t="s">
        <v>374</v>
      </c>
      <c r="O325" t="s">
        <v>372</v>
      </c>
      <c r="P325">
        <v>0.67</v>
      </c>
      <c r="Q325">
        <v>1.83</v>
      </c>
      <c r="R325">
        <v>338.35</v>
      </c>
      <c r="S325">
        <v>924.15</v>
      </c>
      <c r="T325" t="s">
        <v>70</v>
      </c>
      <c r="AA325">
        <f t="shared" si="5"/>
        <v>218983.93000000005</v>
      </c>
      <c r="AB325">
        <f>COUNTIF($D$1:D325,D325)</f>
        <v>25</v>
      </c>
    </row>
    <row r="326" spans="1:28" x14ac:dyDescent="0.25">
      <c r="A326">
        <v>325</v>
      </c>
      <c r="B326">
        <v>183171</v>
      </c>
      <c r="C326">
        <v>24001545</v>
      </c>
      <c r="D326" t="s">
        <v>12</v>
      </c>
      <c r="E326" t="s">
        <v>215</v>
      </c>
      <c r="F326">
        <v>5158590</v>
      </c>
      <c r="G326">
        <v>304</v>
      </c>
      <c r="H326" t="s">
        <v>236</v>
      </c>
      <c r="I326">
        <v>1400</v>
      </c>
      <c r="J326" s="64">
        <v>45505</v>
      </c>
      <c r="K326" s="64">
        <v>45506</v>
      </c>
      <c r="L326" t="s">
        <v>372</v>
      </c>
      <c r="M326" s="64">
        <v>45512</v>
      </c>
      <c r="N326" t="s">
        <v>373</v>
      </c>
      <c r="O326" t="s">
        <v>372</v>
      </c>
      <c r="P326">
        <v>0.7</v>
      </c>
      <c r="Q326">
        <v>1.71</v>
      </c>
      <c r="R326">
        <v>980</v>
      </c>
      <c r="S326">
        <v>2394</v>
      </c>
      <c r="T326" t="s">
        <v>70</v>
      </c>
      <c r="AA326">
        <f t="shared" si="5"/>
        <v>218983.93000000005</v>
      </c>
      <c r="AB326">
        <f>COUNTIF($D$1:D326,D326)</f>
        <v>26</v>
      </c>
    </row>
    <row r="327" spans="1:28" x14ac:dyDescent="0.25">
      <c r="A327">
        <v>326</v>
      </c>
      <c r="B327">
        <v>183172</v>
      </c>
      <c r="C327">
        <v>24001546</v>
      </c>
      <c r="D327" t="s">
        <v>12</v>
      </c>
      <c r="E327" t="s">
        <v>215</v>
      </c>
      <c r="F327">
        <v>5158584</v>
      </c>
      <c r="G327">
        <v>304</v>
      </c>
      <c r="H327" t="s">
        <v>236</v>
      </c>
      <c r="I327">
        <v>2270</v>
      </c>
      <c r="J327" s="64">
        <v>45509</v>
      </c>
      <c r="K327" s="64">
        <v>45516</v>
      </c>
      <c r="L327" t="s">
        <v>372</v>
      </c>
      <c r="M327" s="64">
        <v>45527</v>
      </c>
      <c r="N327" t="s">
        <v>373</v>
      </c>
      <c r="O327" t="s">
        <v>372</v>
      </c>
      <c r="P327">
        <v>0.7</v>
      </c>
      <c r="Q327">
        <v>1.71</v>
      </c>
      <c r="R327">
        <v>1589</v>
      </c>
      <c r="S327">
        <v>3881.7</v>
      </c>
      <c r="T327" t="s">
        <v>70</v>
      </c>
      <c r="AA327">
        <f t="shared" si="5"/>
        <v>218983.93000000005</v>
      </c>
      <c r="AB327">
        <f>COUNTIF($D$1:D327,D327)</f>
        <v>27</v>
      </c>
    </row>
    <row r="328" spans="1:28" x14ac:dyDescent="0.25">
      <c r="A328">
        <v>327</v>
      </c>
      <c r="B328">
        <v>183173</v>
      </c>
      <c r="C328">
        <v>24001547</v>
      </c>
      <c r="D328" t="s">
        <v>12</v>
      </c>
      <c r="E328" t="s">
        <v>215</v>
      </c>
      <c r="F328" t="s">
        <v>411</v>
      </c>
      <c r="G328">
        <v>304</v>
      </c>
      <c r="H328" t="s">
        <v>236</v>
      </c>
      <c r="I328">
        <v>65</v>
      </c>
      <c r="J328" s="64">
        <v>45509</v>
      </c>
      <c r="K328" s="64">
        <v>45511</v>
      </c>
      <c r="L328" t="s">
        <v>372</v>
      </c>
      <c r="M328" s="64">
        <v>45527</v>
      </c>
      <c r="N328" t="s">
        <v>373</v>
      </c>
      <c r="O328" t="s">
        <v>372</v>
      </c>
      <c r="P328">
        <v>0.67</v>
      </c>
      <c r="Q328">
        <v>1.83</v>
      </c>
      <c r="R328">
        <v>43.55</v>
      </c>
      <c r="S328">
        <v>118.95</v>
      </c>
      <c r="T328" t="s">
        <v>70</v>
      </c>
      <c r="AA328">
        <f t="shared" si="5"/>
        <v>218983.93000000005</v>
      </c>
      <c r="AB328">
        <f>COUNTIF($D$1:D328,D328)</f>
        <v>28</v>
      </c>
    </row>
    <row r="329" spans="1:28" x14ac:dyDescent="0.25">
      <c r="A329">
        <v>328</v>
      </c>
      <c r="B329">
        <v>183219</v>
      </c>
      <c r="C329">
        <v>24001589</v>
      </c>
      <c r="D329" t="s">
        <v>12</v>
      </c>
      <c r="E329" t="s">
        <v>215</v>
      </c>
      <c r="F329">
        <v>5158594</v>
      </c>
      <c r="G329">
        <v>348</v>
      </c>
      <c r="H329" t="s">
        <v>236</v>
      </c>
      <c r="I329">
        <v>694</v>
      </c>
      <c r="J329" s="64">
        <v>45524</v>
      </c>
      <c r="K329" s="64">
        <v>45527</v>
      </c>
      <c r="L329" t="s">
        <v>372</v>
      </c>
      <c r="M329" s="64">
        <v>45527</v>
      </c>
      <c r="N329" t="s">
        <v>373</v>
      </c>
      <c r="O329" t="s">
        <v>372</v>
      </c>
      <c r="P329">
        <v>0.7</v>
      </c>
      <c r="Q329">
        <v>1.64</v>
      </c>
      <c r="R329">
        <v>485.8</v>
      </c>
      <c r="S329">
        <v>1138.1600000000001</v>
      </c>
      <c r="T329" t="s">
        <v>70</v>
      </c>
      <c r="AA329">
        <f t="shared" si="5"/>
        <v>218983.93000000005</v>
      </c>
      <c r="AB329">
        <f>COUNTIF($D$1:D329,D329)</f>
        <v>29</v>
      </c>
    </row>
    <row r="330" spans="1:28" x14ac:dyDescent="0.25">
      <c r="A330">
        <v>329</v>
      </c>
      <c r="B330">
        <v>183426</v>
      </c>
      <c r="C330">
        <v>24001616</v>
      </c>
      <c r="D330" t="s">
        <v>12</v>
      </c>
      <c r="E330" t="s">
        <v>215</v>
      </c>
      <c r="F330">
        <v>5158039</v>
      </c>
      <c r="G330">
        <v>380</v>
      </c>
      <c r="H330" t="s">
        <v>236</v>
      </c>
      <c r="I330">
        <v>11865</v>
      </c>
      <c r="J330" s="64">
        <v>45524</v>
      </c>
      <c r="K330" s="64">
        <v>45533</v>
      </c>
      <c r="L330" t="s">
        <v>372</v>
      </c>
      <c r="M330" s="64">
        <v>45534</v>
      </c>
      <c r="N330" t="s">
        <v>373</v>
      </c>
      <c r="O330" t="s">
        <v>372</v>
      </c>
      <c r="P330">
        <v>0.65</v>
      </c>
      <c r="Q330">
        <v>1.61</v>
      </c>
      <c r="R330">
        <v>7712.25</v>
      </c>
      <c r="S330">
        <v>19102.650000000001</v>
      </c>
      <c r="T330" t="s">
        <v>70</v>
      </c>
      <c r="AA330">
        <f t="shared" si="5"/>
        <v>218983.93000000005</v>
      </c>
      <c r="AB330">
        <f>COUNTIF($D$1:D330,D330)</f>
        <v>30</v>
      </c>
    </row>
    <row r="331" spans="1:28" x14ac:dyDescent="0.25">
      <c r="A331">
        <v>330</v>
      </c>
      <c r="B331">
        <v>183428</v>
      </c>
      <c r="C331">
        <v>24001618</v>
      </c>
      <c r="D331" t="s">
        <v>12</v>
      </c>
      <c r="E331" t="s">
        <v>215</v>
      </c>
      <c r="F331">
        <v>5158038</v>
      </c>
      <c r="G331">
        <v>380</v>
      </c>
      <c r="H331" t="s">
        <v>236</v>
      </c>
      <c r="I331">
        <v>8784</v>
      </c>
      <c r="J331" s="64">
        <v>45531</v>
      </c>
      <c r="K331" s="64">
        <v>45534</v>
      </c>
      <c r="L331" t="s">
        <v>372</v>
      </c>
      <c r="M331" s="64">
        <v>45548</v>
      </c>
      <c r="N331" t="s">
        <v>373</v>
      </c>
      <c r="O331" t="s">
        <v>376</v>
      </c>
      <c r="P331">
        <v>0.65</v>
      </c>
      <c r="Q331">
        <v>1.61</v>
      </c>
      <c r="R331">
        <v>5709.6</v>
      </c>
      <c r="S331">
        <v>14142.24</v>
      </c>
      <c r="T331" t="s">
        <v>70</v>
      </c>
      <c r="AA331">
        <f t="shared" si="5"/>
        <v>218983.93000000005</v>
      </c>
      <c r="AB331">
        <f>COUNTIF($D$1:D331,D331)</f>
        <v>31</v>
      </c>
    </row>
    <row r="332" spans="1:28" x14ac:dyDescent="0.25">
      <c r="A332">
        <v>331</v>
      </c>
      <c r="B332">
        <v>183163</v>
      </c>
      <c r="C332">
        <v>24001537</v>
      </c>
      <c r="D332" t="s">
        <v>12</v>
      </c>
      <c r="E332" t="s">
        <v>215</v>
      </c>
      <c r="F332">
        <v>5158599</v>
      </c>
      <c r="G332">
        <v>303</v>
      </c>
      <c r="H332" t="s">
        <v>236</v>
      </c>
      <c r="I332">
        <v>5520</v>
      </c>
      <c r="J332" s="64">
        <v>45517</v>
      </c>
      <c r="K332" s="64">
        <v>45523</v>
      </c>
      <c r="L332" t="s">
        <v>372</v>
      </c>
      <c r="M332" s="64">
        <v>45527</v>
      </c>
      <c r="N332" t="s">
        <v>373</v>
      </c>
      <c r="O332" t="s">
        <v>372</v>
      </c>
      <c r="P332">
        <v>0.7</v>
      </c>
      <c r="Q332">
        <v>1.71</v>
      </c>
      <c r="R332">
        <v>3864</v>
      </c>
      <c r="S332">
        <v>9439.2000000000007</v>
      </c>
      <c r="T332" t="s">
        <v>70</v>
      </c>
      <c r="AA332">
        <f t="shared" si="5"/>
        <v>218983.93000000005</v>
      </c>
      <c r="AB332">
        <f>COUNTIF($D$1:D332,D332)</f>
        <v>32</v>
      </c>
    </row>
    <row r="333" spans="1:28" x14ac:dyDescent="0.25">
      <c r="A333">
        <v>332</v>
      </c>
      <c r="B333">
        <v>183164</v>
      </c>
      <c r="C333">
        <v>24001538</v>
      </c>
      <c r="D333" t="s">
        <v>12</v>
      </c>
      <c r="E333" t="s">
        <v>215</v>
      </c>
      <c r="F333" t="s">
        <v>412</v>
      </c>
      <c r="G333">
        <v>303</v>
      </c>
      <c r="H333" t="s">
        <v>236</v>
      </c>
      <c r="I333">
        <v>245</v>
      </c>
      <c r="J333" s="64">
        <v>45517</v>
      </c>
      <c r="K333" s="64">
        <v>45525</v>
      </c>
      <c r="L333" t="s">
        <v>372</v>
      </c>
      <c r="M333" s="64">
        <v>45527</v>
      </c>
      <c r="N333" t="s">
        <v>373</v>
      </c>
      <c r="O333" t="s">
        <v>372</v>
      </c>
      <c r="P333">
        <v>0.67</v>
      </c>
      <c r="Q333">
        <v>1.83</v>
      </c>
      <c r="R333">
        <v>164.15</v>
      </c>
      <c r="S333">
        <v>448.35</v>
      </c>
      <c r="T333" t="s">
        <v>70</v>
      </c>
      <c r="AA333">
        <f t="shared" si="5"/>
        <v>218983.93000000005</v>
      </c>
      <c r="AB333">
        <f>COUNTIF($D$1:D333,D333)</f>
        <v>33</v>
      </c>
    </row>
    <row r="334" spans="1:28" x14ac:dyDescent="0.25">
      <c r="A334">
        <v>333</v>
      </c>
      <c r="B334">
        <v>183216</v>
      </c>
      <c r="C334">
        <v>24001586</v>
      </c>
      <c r="D334" t="s">
        <v>12</v>
      </c>
      <c r="E334" t="s">
        <v>215</v>
      </c>
      <c r="F334">
        <v>5158596</v>
      </c>
      <c r="G334">
        <v>348</v>
      </c>
      <c r="H334" t="s">
        <v>236</v>
      </c>
      <c r="I334">
        <v>2391</v>
      </c>
      <c r="J334" s="64">
        <v>45523</v>
      </c>
      <c r="K334" s="64">
        <v>45527</v>
      </c>
      <c r="L334" t="s">
        <v>372</v>
      </c>
      <c r="M334" s="64">
        <v>45527</v>
      </c>
      <c r="N334" t="s">
        <v>373</v>
      </c>
      <c r="O334" t="s">
        <v>372</v>
      </c>
      <c r="P334">
        <v>0.8</v>
      </c>
      <c r="Q334">
        <v>1.88</v>
      </c>
      <c r="R334">
        <v>1912.8</v>
      </c>
      <c r="S334">
        <v>4495.08</v>
      </c>
      <c r="T334" t="s">
        <v>70</v>
      </c>
      <c r="AA334">
        <f t="shared" si="5"/>
        <v>218983.93000000005</v>
      </c>
      <c r="AB334">
        <f>COUNTIF($D$1:D334,D334)</f>
        <v>34</v>
      </c>
    </row>
    <row r="335" spans="1:28" x14ac:dyDescent="0.25">
      <c r="A335">
        <v>334</v>
      </c>
      <c r="B335">
        <v>183217</v>
      </c>
      <c r="C335">
        <v>24001587</v>
      </c>
      <c r="D335" t="s">
        <v>12</v>
      </c>
      <c r="E335" t="s">
        <v>215</v>
      </c>
      <c r="F335">
        <v>5158614</v>
      </c>
      <c r="G335">
        <v>348</v>
      </c>
      <c r="H335" t="s">
        <v>236</v>
      </c>
      <c r="I335">
        <v>2349</v>
      </c>
      <c r="J335" s="64">
        <v>45520</v>
      </c>
      <c r="K335" s="64">
        <v>45526</v>
      </c>
      <c r="L335" t="s">
        <v>372</v>
      </c>
      <c r="M335" s="64">
        <v>45527</v>
      </c>
      <c r="N335" t="s">
        <v>373</v>
      </c>
      <c r="O335" t="s">
        <v>372</v>
      </c>
      <c r="P335">
        <v>0.7</v>
      </c>
      <c r="Q335">
        <v>1.71</v>
      </c>
      <c r="R335">
        <v>1644.3</v>
      </c>
      <c r="S335">
        <v>4016.79</v>
      </c>
      <c r="T335" t="s">
        <v>70</v>
      </c>
      <c r="AA335">
        <f t="shared" si="5"/>
        <v>218983.93000000005</v>
      </c>
      <c r="AB335">
        <f>COUNTIF($D$1:D335,D335)</f>
        <v>35</v>
      </c>
    </row>
    <row r="336" spans="1:28" x14ac:dyDescent="0.25">
      <c r="A336">
        <v>335</v>
      </c>
      <c r="B336">
        <v>183156</v>
      </c>
      <c r="C336">
        <v>24001530</v>
      </c>
      <c r="D336" t="s">
        <v>12</v>
      </c>
      <c r="E336" t="s">
        <v>215</v>
      </c>
      <c r="F336">
        <v>5158614</v>
      </c>
      <c r="G336">
        <v>303</v>
      </c>
      <c r="H336" t="s">
        <v>237</v>
      </c>
      <c r="I336">
        <v>5</v>
      </c>
      <c r="J336" s="64">
        <v>45505</v>
      </c>
      <c r="K336" s="64">
        <v>45505</v>
      </c>
      <c r="L336" t="s">
        <v>372</v>
      </c>
      <c r="M336" s="64">
        <v>45512</v>
      </c>
      <c r="N336" t="s">
        <v>373</v>
      </c>
      <c r="O336" t="s">
        <v>372</v>
      </c>
      <c r="P336">
        <v>0.7</v>
      </c>
      <c r="Q336">
        <v>1.71</v>
      </c>
      <c r="R336">
        <v>3.5</v>
      </c>
      <c r="S336">
        <v>8.5500000000000007</v>
      </c>
      <c r="T336" t="s">
        <v>70</v>
      </c>
      <c r="AA336">
        <f t="shared" si="5"/>
        <v>218983.93000000005</v>
      </c>
      <c r="AB336">
        <f>COUNTIF($D$1:D336,D336)</f>
        <v>36</v>
      </c>
    </row>
    <row r="337" spans="1:28" x14ac:dyDescent="0.25">
      <c r="A337">
        <v>336</v>
      </c>
      <c r="B337">
        <v>183161</v>
      </c>
      <c r="C337">
        <v>24001535</v>
      </c>
      <c r="D337" t="s">
        <v>12</v>
      </c>
      <c r="E337" t="s">
        <v>215</v>
      </c>
      <c r="F337">
        <v>5158618</v>
      </c>
      <c r="G337">
        <v>303</v>
      </c>
      <c r="H337" t="s">
        <v>237</v>
      </c>
      <c r="I337">
        <v>3034</v>
      </c>
      <c r="J337" s="64">
        <v>45510</v>
      </c>
      <c r="K337" s="64">
        <v>45512</v>
      </c>
      <c r="L337" t="s">
        <v>372</v>
      </c>
      <c r="M337" s="64">
        <v>45527</v>
      </c>
      <c r="N337" t="s">
        <v>373</v>
      </c>
      <c r="O337" t="s">
        <v>372</v>
      </c>
      <c r="P337">
        <v>0.7</v>
      </c>
      <c r="Q337">
        <v>1.71</v>
      </c>
      <c r="R337">
        <v>2123.8000000000002</v>
      </c>
      <c r="S337">
        <v>5188.1400000000003</v>
      </c>
      <c r="T337" t="s">
        <v>70</v>
      </c>
      <c r="AA337">
        <f t="shared" si="5"/>
        <v>218983.93000000005</v>
      </c>
      <c r="AB337">
        <f>COUNTIF($D$1:D337,D337)</f>
        <v>37</v>
      </c>
    </row>
    <row r="338" spans="1:28" x14ac:dyDescent="0.25">
      <c r="A338">
        <v>337</v>
      </c>
      <c r="B338">
        <v>183162</v>
      </c>
      <c r="C338">
        <v>24001536</v>
      </c>
      <c r="D338" t="s">
        <v>12</v>
      </c>
      <c r="E338" t="s">
        <v>215</v>
      </c>
      <c r="F338" t="s">
        <v>409</v>
      </c>
      <c r="G338">
        <v>303</v>
      </c>
      <c r="H338" t="s">
        <v>237</v>
      </c>
      <c r="I338">
        <v>515</v>
      </c>
      <c r="J338" s="64">
        <v>45510</v>
      </c>
      <c r="K338" s="64">
        <v>45516</v>
      </c>
      <c r="L338" t="s">
        <v>372</v>
      </c>
      <c r="M338" s="64">
        <v>45527</v>
      </c>
      <c r="N338" t="s">
        <v>373</v>
      </c>
      <c r="O338" t="s">
        <v>372</v>
      </c>
      <c r="P338">
        <v>0.67</v>
      </c>
      <c r="Q338">
        <v>1.83</v>
      </c>
      <c r="R338">
        <v>345.05</v>
      </c>
      <c r="S338">
        <v>942.45</v>
      </c>
      <c r="T338" t="s">
        <v>70</v>
      </c>
      <c r="AA338">
        <f t="shared" si="5"/>
        <v>218983.93000000005</v>
      </c>
      <c r="AB338">
        <f>COUNTIF($D$1:D338,D338)</f>
        <v>38</v>
      </c>
    </row>
    <row r="339" spans="1:28" x14ac:dyDescent="0.25">
      <c r="A339">
        <v>338</v>
      </c>
      <c r="B339">
        <v>183158</v>
      </c>
      <c r="C339">
        <v>24001532</v>
      </c>
      <c r="D339" t="s">
        <v>12</v>
      </c>
      <c r="E339" t="s">
        <v>215</v>
      </c>
      <c r="F339">
        <v>5158592</v>
      </c>
      <c r="G339">
        <v>303</v>
      </c>
      <c r="H339" t="s">
        <v>237</v>
      </c>
      <c r="I339">
        <v>2320</v>
      </c>
      <c r="J339" s="64">
        <v>45516</v>
      </c>
      <c r="K339" s="64">
        <v>45523</v>
      </c>
      <c r="L339" t="s">
        <v>372</v>
      </c>
      <c r="M339" s="64">
        <v>45527</v>
      </c>
      <c r="N339" t="s">
        <v>373</v>
      </c>
      <c r="O339" t="s">
        <v>372</v>
      </c>
      <c r="P339">
        <v>0.7</v>
      </c>
      <c r="Q339">
        <v>1.71</v>
      </c>
      <c r="R339">
        <v>1624</v>
      </c>
      <c r="S339">
        <v>3967.2</v>
      </c>
      <c r="T339" t="s">
        <v>70</v>
      </c>
      <c r="AA339">
        <f t="shared" si="5"/>
        <v>218983.93000000005</v>
      </c>
      <c r="AB339">
        <f>COUNTIF($D$1:D339,D339)</f>
        <v>39</v>
      </c>
    </row>
    <row r="340" spans="1:28" x14ac:dyDescent="0.25">
      <c r="A340">
        <v>339</v>
      </c>
      <c r="B340">
        <v>183159</v>
      </c>
      <c r="C340">
        <v>24001533</v>
      </c>
      <c r="D340" t="s">
        <v>12</v>
      </c>
      <c r="E340" t="s">
        <v>215</v>
      </c>
      <c r="F340">
        <v>5158619</v>
      </c>
      <c r="G340">
        <v>303</v>
      </c>
      <c r="H340" t="s">
        <v>237</v>
      </c>
      <c r="I340">
        <v>4520</v>
      </c>
      <c r="J340" s="64">
        <v>45512</v>
      </c>
      <c r="K340" s="64">
        <v>45519</v>
      </c>
      <c r="L340" t="s">
        <v>372</v>
      </c>
      <c r="M340" s="64">
        <v>45527</v>
      </c>
      <c r="N340" t="s">
        <v>373</v>
      </c>
      <c r="O340" t="s">
        <v>372</v>
      </c>
      <c r="P340">
        <v>0.7</v>
      </c>
      <c r="Q340">
        <v>1.71</v>
      </c>
      <c r="R340">
        <v>3164</v>
      </c>
      <c r="S340">
        <v>7729.2</v>
      </c>
      <c r="T340" t="s">
        <v>70</v>
      </c>
      <c r="AA340">
        <f t="shared" si="5"/>
        <v>218983.93000000005</v>
      </c>
      <c r="AB340">
        <f>COUNTIF($D$1:D340,D340)</f>
        <v>40</v>
      </c>
    </row>
    <row r="341" spans="1:28" x14ac:dyDescent="0.25">
      <c r="A341">
        <v>340</v>
      </c>
      <c r="B341">
        <v>183160</v>
      </c>
      <c r="C341">
        <v>24001534</v>
      </c>
      <c r="D341" t="s">
        <v>12</v>
      </c>
      <c r="E341" t="s">
        <v>215</v>
      </c>
      <c r="F341" t="s">
        <v>405</v>
      </c>
      <c r="G341">
        <v>303</v>
      </c>
      <c r="H341" t="s">
        <v>237</v>
      </c>
      <c r="I341">
        <v>155</v>
      </c>
      <c r="J341" s="64">
        <v>45512</v>
      </c>
      <c r="K341" s="64">
        <v>45512</v>
      </c>
      <c r="L341" t="s">
        <v>372</v>
      </c>
      <c r="M341" s="64">
        <v>45527</v>
      </c>
      <c r="N341" t="s">
        <v>373</v>
      </c>
      <c r="O341" t="s">
        <v>372</v>
      </c>
      <c r="P341">
        <v>0.67</v>
      </c>
      <c r="Q341">
        <v>1.83</v>
      </c>
      <c r="R341">
        <v>103.85</v>
      </c>
      <c r="S341">
        <v>283.64999999999998</v>
      </c>
      <c r="T341" t="s">
        <v>70</v>
      </c>
      <c r="AA341">
        <f t="shared" si="5"/>
        <v>218983.93000000005</v>
      </c>
      <c r="AB341">
        <f>COUNTIF($D$1:D341,D341)</f>
        <v>41</v>
      </c>
    </row>
    <row r="342" spans="1:28" x14ac:dyDescent="0.25">
      <c r="A342">
        <v>341</v>
      </c>
      <c r="B342">
        <v>183169</v>
      </c>
      <c r="C342">
        <v>24001543</v>
      </c>
      <c r="D342" t="s">
        <v>12</v>
      </c>
      <c r="E342" t="s">
        <v>215</v>
      </c>
      <c r="F342">
        <v>5158607</v>
      </c>
      <c r="G342">
        <v>304</v>
      </c>
      <c r="H342" t="s">
        <v>237</v>
      </c>
      <c r="I342">
        <v>2831</v>
      </c>
      <c r="J342" s="64">
        <v>45505</v>
      </c>
      <c r="K342" s="64">
        <v>45518</v>
      </c>
      <c r="L342" t="s">
        <v>372</v>
      </c>
      <c r="M342" s="64">
        <v>45512</v>
      </c>
      <c r="N342" t="s">
        <v>374</v>
      </c>
      <c r="O342" t="s">
        <v>372</v>
      </c>
      <c r="P342">
        <v>0.7</v>
      </c>
      <c r="Q342">
        <v>1.71</v>
      </c>
      <c r="R342">
        <v>1981.7</v>
      </c>
      <c r="S342">
        <v>4841.01</v>
      </c>
      <c r="T342" t="s">
        <v>70</v>
      </c>
      <c r="AA342">
        <f t="shared" si="5"/>
        <v>218983.93000000005</v>
      </c>
      <c r="AB342">
        <f>COUNTIF($D$1:D342,D342)</f>
        <v>42</v>
      </c>
    </row>
    <row r="343" spans="1:28" x14ac:dyDescent="0.25">
      <c r="A343">
        <v>342</v>
      </c>
      <c r="B343">
        <v>183170</v>
      </c>
      <c r="C343">
        <v>24001544</v>
      </c>
      <c r="D343" t="s">
        <v>12</v>
      </c>
      <c r="E343" t="s">
        <v>215</v>
      </c>
      <c r="F343" t="s">
        <v>410</v>
      </c>
      <c r="G343">
        <v>304</v>
      </c>
      <c r="H343" t="s">
        <v>237</v>
      </c>
      <c r="I343">
        <v>525</v>
      </c>
      <c r="J343" s="64">
        <v>45505</v>
      </c>
      <c r="K343" s="64">
        <v>45519</v>
      </c>
      <c r="L343" t="s">
        <v>372</v>
      </c>
      <c r="M343" s="64">
        <v>45512</v>
      </c>
      <c r="N343" t="s">
        <v>374</v>
      </c>
      <c r="O343" t="s">
        <v>372</v>
      </c>
      <c r="P343">
        <v>0.67</v>
      </c>
      <c r="Q343">
        <v>1.83</v>
      </c>
      <c r="R343">
        <v>351.75</v>
      </c>
      <c r="S343">
        <v>960.75</v>
      </c>
      <c r="T343" t="s">
        <v>70</v>
      </c>
      <c r="AA343">
        <f t="shared" si="5"/>
        <v>218983.93000000005</v>
      </c>
      <c r="AB343">
        <f>COUNTIF($D$1:D343,D343)</f>
        <v>43</v>
      </c>
    </row>
    <row r="344" spans="1:28" x14ac:dyDescent="0.25">
      <c r="A344">
        <v>343</v>
      </c>
      <c r="B344">
        <v>183171</v>
      </c>
      <c r="C344">
        <v>24001545</v>
      </c>
      <c r="D344" t="s">
        <v>12</v>
      </c>
      <c r="E344" t="s">
        <v>215</v>
      </c>
      <c r="F344">
        <v>5158590</v>
      </c>
      <c r="G344">
        <v>304</v>
      </c>
      <c r="H344" t="s">
        <v>237</v>
      </c>
      <c r="I344">
        <v>735</v>
      </c>
      <c r="J344" s="64">
        <v>45505</v>
      </c>
      <c r="K344" s="64">
        <v>45510</v>
      </c>
      <c r="L344" t="s">
        <v>372</v>
      </c>
      <c r="M344" s="64">
        <v>45512</v>
      </c>
      <c r="N344" t="s">
        <v>373</v>
      </c>
      <c r="O344" t="s">
        <v>372</v>
      </c>
      <c r="P344">
        <v>0.7</v>
      </c>
      <c r="Q344">
        <v>1.71</v>
      </c>
      <c r="R344">
        <v>514.5</v>
      </c>
      <c r="S344">
        <v>1256.8499999999999</v>
      </c>
      <c r="T344" t="s">
        <v>70</v>
      </c>
      <c r="AA344">
        <f t="shared" si="5"/>
        <v>218983.93000000005</v>
      </c>
      <c r="AB344">
        <f>COUNTIF($D$1:D344,D344)</f>
        <v>44</v>
      </c>
    </row>
    <row r="345" spans="1:28" x14ac:dyDescent="0.25">
      <c r="A345">
        <v>344</v>
      </c>
      <c r="B345">
        <v>183172</v>
      </c>
      <c r="C345">
        <v>24001546</v>
      </c>
      <c r="D345" t="s">
        <v>12</v>
      </c>
      <c r="E345" t="s">
        <v>215</v>
      </c>
      <c r="F345">
        <v>5158584</v>
      </c>
      <c r="G345">
        <v>304</v>
      </c>
      <c r="H345" t="s">
        <v>237</v>
      </c>
      <c r="I345">
        <v>2176</v>
      </c>
      <c r="J345" s="64">
        <v>45509</v>
      </c>
      <c r="K345" s="64">
        <v>45511</v>
      </c>
      <c r="L345" t="s">
        <v>372</v>
      </c>
      <c r="M345" s="64">
        <v>45527</v>
      </c>
      <c r="N345" t="s">
        <v>373</v>
      </c>
      <c r="O345" t="s">
        <v>372</v>
      </c>
      <c r="P345">
        <v>0.7</v>
      </c>
      <c r="Q345">
        <v>1.71</v>
      </c>
      <c r="R345">
        <v>1523.2</v>
      </c>
      <c r="S345">
        <v>3720.96</v>
      </c>
      <c r="T345" t="s">
        <v>70</v>
      </c>
      <c r="AA345">
        <f t="shared" si="5"/>
        <v>218983.93000000005</v>
      </c>
      <c r="AB345">
        <f>COUNTIF($D$1:D345,D345)</f>
        <v>45</v>
      </c>
    </row>
    <row r="346" spans="1:28" x14ac:dyDescent="0.25">
      <c r="A346">
        <v>345</v>
      </c>
      <c r="B346">
        <v>183173</v>
      </c>
      <c r="C346">
        <v>24001547</v>
      </c>
      <c r="D346" t="s">
        <v>12</v>
      </c>
      <c r="E346" t="s">
        <v>215</v>
      </c>
      <c r="F346" t="s">
        <v>411</v>
      </c>
      <c r="G346">
        <v>304</v>
      </c>
      <c r="H346" t="s">
        <v>237</v>
      </c>
      <c r="I346">
        <v>360</v>
      </c>
      <c r="J346" s="64">
        <v>45509</v>
      </c>
      <c r="K346" s="64">
        <v>45520</v>
      </c>
      <c r="L346" t="s">
        <v>372</v>
      </c>
      <c r="M346" s="64">
        <v>45527</v>
      </c>
      <c r="N346" t="s">
        <v>373</v>
      </c>
      <c r="O346" t="s">
        <v>372</v>
      </c>
      <c r="P346">
        <v>0.67</v>
      </c>
      <c r="Q346">
        <v>1.83</v>
      </c>
      <c r="R346">
        <v>241.2</v>
      </c>
      <c r="S346">
        <v>658.8</v>
      </c>
      <c r="T346" t="s">
        <v>70</v>
      </c>
      <c r="AA346">
        <f t="shared" si="5"/>
        <v>218983.93000000005</v>
      </c>
      <c r="AB346">
        <f>COUNTIF($D$1:D346,D346)</f>
        <v>46</v>
      </c>
    </row>
    <row r="347" spans="1:28" x14ac:dyDescent="0.25">
      <c r="A347">
        <v>346</v>
      </c>
      <c r="B347">
        <v>183219</v>
      </c>
      <c r="C347">
        <v>24001589</v>
      </c>
      <c r="D347" t="s">
        <v>12</v>
      </c>
      <c r="E347" t="s">
        <v>215</v>
      </c>
      <c r="F347">
        <v>5158594</v>
      </c>
      <c r="G347">
        <v>348</v>
      </c>
      <c r="H347" t="s">
        <v>237</v>
      </c>
      <c r="I347">
        <v>496</v>
      </c>
      <c r="J347" s="64">
        <v>45524</v>
      </c>
      <c r="K347" s="64">
        <v>45525</v>
      </c>
      <c r="L347" t="s">
        <v>372</v>
      </c>
      <c r="M347" s="64">
        <v>45527</v>
      </c>
      <c r="N347" t="s">
        <v>373</v>
      </c>
      <c r="O347" t="s">
        <v>372</v>
      </c>
      <c r="P347">
        <v>0.7</v>
      </c>
      <c r="Q347">
        <v>1.64</v>
      </c>
      <c r="R347">
        <v>347.2</v>
      </c>
      <c r="S347">
        <v>813.44</v>
      </c>
      <c r="T347" t="s">
        <v>70</v>
      </c>
      <c r="AA347">
        <f t="shared" si="5"/>
        <v>218983.93000000005</v>
      </c>
      <c r="AB347">
        <f>COUNTIF($D$1:D347,D347)</f>
        <v>47</v>
      </c>
    </row>
    <row r="348" spans="1:28" x14ac:dyDescent="0.25">
      <c r="A348">
        <v>347</v>
      </c>
      <c r="B348">
        <v>183426</v>
      </c>
      <c r="C348">
        <v>24001616</v>
      </c>
      <c r="D348" t="s">
        <v>12</v>
      </c>
      <c r="E348" t="s">
        <v>215</v>
      </c>
      <c r="F348">
        <v>5158039</v>
      </c>
      <c r="G348">
        <v>380</v>
      </c>
      <c r="H348" t="s">
        <v>237</v>
      </c>
      <c r="I348">
        <v>10475</v>
      </c>
      <c r="J348" s="64">
        <v>45525</v>
      </c>
      <c r="K348" s="64">
        <v>45530</v>
      </c>
      <c r="L348" t="s">
        <v>372</v>
      </c>
      <c r="M348" s="64">
        <v>45534</v>
      </c>
      <c r="N348" t="s">
        <v>373</v>
      </c>
      <c r="O348" t="s">
        <v>372</v>
      </c>
      <c r="P348">
        <v>0.65</v>
      </c>
      <c r="Q348">
        <v>1.61</v>
      </c>
      <c r="R348">
        <v>6808.75</v>
      </c>
      <c r="S348">
        <v>16864.75</v>
      </c>
      <c r="T348" t="s">
        <v>70</v>
      </c>
      <c r="AA348">
        <f t="shared" si="5"/>
        <v>218983.93000000005</v>
      </c>
      <c r="AB348">
        <f>COUNTIF($D$1:D348,D348)</f>
        <v>48</v>
      </c>
    </row>
    <row r="349" spans="1:28" x14ac:dyDescent="0.25">
      <c r="A349">
        <v>348</v>
      </c>
      <c r="B349">
        <v>183428</v>
      </c>
      <c r="C349">
        <v>24001618</v>
      </c>
      <c r="D349" t="s">
        <v>12</v>
      </c>
      <c r="E349" t="s">
        <v>215</v>
      </c>
      <c r="F349">
        <v>5158038</v>
      </c>
      <c r="G349">
        <v>380</v>
      </c>
      <c r="H349" t="s">
        <v>237</v>
      </c>
      <c r="I349">
        <v>10655</v>
      </c>
      <c r="J349" s="64">
        <v>45531</v>
      </c>
      <c r="K349" s="64">
        <v>45534</v>
      </c>
      <c r="L349" t="s">
        <v>372</v>
      </c>
      <c r="M349" s="64">
        <v>45548</v>
      </c>
      <c r="N349" t="s">
        <v>373</v>
      </c>
      <c r="O349" t="s">
        <v>376</v>
      </c>
      <c r="P349">
        <v>0.65</v>
      </c>
      <c r="Q349">
        <v>1.61</v>
      </c>
      <c r="R349">
        <v>6925.75</v>
      </c>
      <c r="S349">
        <v>17154.55</v>
      </c>
      <c r="T349" t="s">
        <v>70</v>
      </c>
      <c r="AA349">
        <f t="shared" si="5"/>
        <v>218983.93000000005</v>
      </c>
      <c r="AB349">
        <f>COUNTIF($D$1:D349,D349)</f>
        <v>49</v>
      </c>
    </row>
    <row r="350" spans="1:28" x14ac:dyDescent="0.25">
      <c r="A350">
        <v>349</v>
      </c>
      <c r="B350">
        <v>183163</v>
      </c>
      <c r="C350">
        <v>24001537</v>
      </c>
      <c r="D350" t="s">
        <v>12</v>
      </c>
      <c r="E350" t="s">
        <v>215</v>
      </c>
      <c r="F350">
        <v>5158599</v>
      </c>
      <c r="G350">
        <v>303</v>
      </c>
      <c r="H350" t="s">
        <v>237</v>
      </c>
      <c r="I350">
        <v>4565</v>
      </c>
      <c r="J350" s="64">
        <v>45517</v>
      </c>
      <c r="K350" s="64">
        <v>45524</v>
      </c>
      <c r="L350" t="s">
        <v>372</v>
      </c>
      <c r="M350" s="64">
        <v>45527</v>
      </c>
      <c r="N350" t="s">
        <v>373</v>
      </c>
      <c r="O350" t="s">
        <v>372</v>
      </c>
      <c r="P350">
        <v>0.7</v>
      </c>
      <c r="Q350">
        <v>1.71</v>
      </c>
      <c r="R350">
        <v>3195.5</v>
      </c>
      <c r="S350">
        <v>7806.15</v>
      </c>
      <c r="T350" t="s">
        <v>70</v>
      </c>
      <c r="AA350">
        <f t="shared" si="5"/>
        <v>218983.93000000005</v>
      </c>
      <c r="AB350">
        <f>COUNTIF($D$1:D350,D350)</f>
        <v>50</v>
      </c>
    </row>
    <row r="351" spans="1:28" x14ac:dyDescent="0.25">
      <c r="A351">
        <v>350</v>
      </c>
      <c r="B351">
        <v>183164</v>
      </c>
      <c r="C351">
        <v>24001538</v>
      </c>
      <c r="D351" t="s">
        <v>12</v>
      </c>
      <c r="E351" t="s">
        <v>215</v>
      </c>
      <c r="F351" t="s">
        <v>412</v>
      </c>
      <c r="G351">
        <v>303</v>
      </c>
      <c r="H351" t="s">
        <v>237</v>
      </c>
      <c r="I351">
        <v>71</v>
      </c>
      <c r="J351" s="64">
        <v>45517</v>
      </c>
      <c r="K351" s="64">
        <v>45518</v>
      </c>
      <c r="L351" t="s">
        <v>372</v>
      </c>
      <c r="M351" s="64">
        <v>45527</v>
      </c>
      <c r="N351" t="s">
        <v>373</v>
      </c>
      <c r="O351" t="s">
        <v>372</v>
      </c>
      <c r="P351">
        <v>0.67</v>
      </c>
      <c r="Q351">
        <v>1.83</v>
      </c>
      <c r="R351">
        <v>47.57</v>
      </c>
      <c r="S351">
        <v>129.93</v>
      </c>
      <c r="T351" t="s">
        <v>70</v>
      </c>
      <c r="AA351">
        <f t="shared" si="5"/>
        <v>218983.93000000005</v>
      </c>
      <c r="AB351">
        <f>COUNTIF($D$1:D351,D351)</f>
        <v>51</v>
      </c>
    </row>
    <row r="352" spans="1:28" x14ac:dyDescent="0.25">
      <c r="A352">
        <v>351</v>
      </c>
      <c r="B352">
        <v>183216</v>
      </c>
      <c r="C352">
        <v>24001586</v>
      </c>
      <c r="D352" t="s">
        <v>12</v>
      </c>
      <c r="E352" t="s">
        <v>215</v>
      </c>
      <c r="F352">
        <v>5158596</v>
      </c>
      <c r="G352">
        <v>348</v>
      </c>
      <c r="H352" t="s">
        <v>237</v>
      </c>
      <c r="I352">
        <v>6484</v>
      </c>
      <c r="J352" s="64">
        <v>45520</v>
      </c>
      <c r="K352" s="64">
        <v>45532</v>
      </c>
      <c r="L352" t="s">
        <v>372</v>
      </c>
      <c r="M352" s="64">
        <v>45527</v>
      </c>
      <c r="N352" t="s">
        <v>374</v>
      </c>
      <c r="O352" t="s">
        <v>372</v>
      </c>
      <c r="P352">
        <v>0.8</v>
      </c>
      <c r="Q352">
        <v>1.88</v>
      </c>
      <c r="R352">
        <v>5187.2</v>
      </c>
      <c r="S352">
        <v>12189.92</v>
      </c>
      <c r="T352" t="s">
        <v>70</v>
      </c>
      <c r="AA352">
        <f t="shared" si="5"/>
        <v>218983.93000000005</v>
      </c>
      <c r="AB352">
        <f>COUNTIF($D$1:D352,D352)</f>
        <v>52</v>
      </c>
    </row>
    <row r="353" spans="1:28" x14ac:dyDescent="0.25">
      <c r="A353">
        <v>352</v>
      </c>
      <c r="B353">
        <v>183217</v>
      </c>
      <c r="C353">
        <v>24001587</v>
      </c>
      <c r="D353" t="s">
        <v>12</v>
      </c>
      <c r="E353" t="s">
        <v>215</v>
      </c>
      <c r="F353">
        <v>5158614</v>
      </c>
      <c r="G353">
        <v>348</v>
      </c>
      <c r="H353" t="s">
        <v>237</v>
      </c>
      <c r="I353">
        <v>2329</v>
      </c>
      <c r="J353" s="64">
        <v>45519</v>
      </c>
      <c r="K353" s="64">
        <v>45524</v>
      </c>
      <c r="L353" t="s">
        <v>372</v>
      </c>
      <c r="M353" s="64">
        <v>45527</v>
      </c>
      <c r="N353" t="s">
        <v>373</v>
      </c>
      <c r="O353" t="s">
        <v>372</v>
      </c>
      <c r="P353">
        <v>0.7</v>
      </c>
      <c r="Q353">
        <v>1.71</v>
      </c>
      <c r="R353">
        <v>1630.3</v>
      </c>
      <c r="S353">
        <v>3982.59</v>
      </c>
      <c r="T353" t="s">
        <v>70</v>
      </c>
      <c r="AA353">
        <f t="shared" si="5"/>
        <v>218983.93000000005</v>
      </c>
      <c r="AB353">
        <f>COUNTIF($D$1:D353,D353)</f>
        <v>53</v>
      </c>
    </row>
    <row r="354" spans="1:28" x14ac:dyDescent="0.25">
      <c r="A354">
        <v>353</v>
      </c>
      <c r="B354">
        <v>183161</v>
      </c>
      <c r="C354">
        <v>24001535</v>
      </c>
      <c r="D354" t="s">
        <v>12</v>
      </c>
      <c r="E354" t="s">
        <v>215</v>
      </c>
      <c r="F354">
        <v>5158618</v>
      </c>
      <c r="G354">
        <v>303</v>
      </c>
      <c r="H354" t="s">
        <v>238</v>
      </c>
      <c r="I354">
        <v>4496</v>
      </c>
      <c r="J354" s="64">
        <v>45510</v>
      </c>
      <c r="K354" s="64">
        <v>45516</v>
      </c>
      <c r="L354" t="s">
        <v>372</v>
      </c>
      <c r="M354" s="64">
        <v>45527</v>
      </c>
      <c r="N354" t="s">
        <v>373</v>
      </c>
      <c r="O354" t="s">
        <v>372</v>
      </c>
      <c r="P354">
        <v>0.7</v>
      </c>
      <c r="Q354">
        <v>1.71</v>
      </c>
      <c r="R354">
        <v>3147.2</v>
      </c>
      <c r="S354">
        <v>7688.16</v>
      </c>
      <c r="T354" t="s">
        <v>70</v>
      </c>
      <c r="AA354">
        <f t="shared" si="5"/>
        <v>218983.93000000005</v>
      </c>
      <c r="AB354">
        <f>COUNTIF($D$1:D354,D354)</f>
        <v>54</v>
      </c>
    </row>
    <row r="355" spans="1:28" x14ac:dyDescent="0.25">
      <c r="A355">
        <v>354</v>
      </c>
      <c r="B355">
        <v>183162</v>
      </c>
      <c r="C355">
        <v>24001536</v>
      </c>
      <c r="D355" t="s">
        <v>12</v>
      </c>
      <c r="E355" t="s">
        <v>215</v>
      </c>
      <c r="F355" t="s">
        <v>409</v>
      </c>
      <c r="G355">
        <v>303</v>
      </c>
      <c r="H355" t="s">
        <v>238</v>
      </c>
      <c r="I355">
        <v>25</v>
      </c>
      <c r="J355" s="64">
        <v>45510</v>
      </c>
      <c r="K355" s="64">
        <v>45510</v>
      </c>
      <c r="L355" t="s">
        <v>372</v>
      </c>
      <c r="M355" s="64">
        <v>45527</v>
      </c>
      <c r="N355" t="s">
        <v>373</v>
      </c>
      <c r="O355" t="s">
        <v>372</v>
      </c>
      <c r="P355">
        <v>0.67</v>
      </c>
      <c r="Q355">
        <v>1.83</v>
      </c>
      <c r="R355">
        <v>16.75</v>
      </c>
      <c r="S355">
        <v>45.75</v>
      </c>
      <c r="T355" t="s">
        <v>70</v>
      </c>
      <c r="AA355">
        <f t="shared" si="5"/>
        <v>218983.93000000005</v>
      </c>
      <c r="AB355">
        <f>COUNTIF($D$1:D355,D355)</f>
        <v>55</v>
      </c>
    </row>
    <row r="356" spans="1:28" x14ac:dyDescent="0.25">
      <c r="A356">
        <v>355</v>
      </c>
      <c r="B356">
        <v>183158</v>
      </c>
      <c r="C356">
        <v>24001532</v>
      </c>
      <c r="D356" t="s">
        <v>12</v>
      </c>
      <c r="E356" t="s">
        <v>215</v>
      </c>
      <c r="F356">
        <v>5158592</v>
      </c>
      <c r="G356">
        <v>303</v>
      </c>
      <c r="H356" t="s">
        <v>238</v>
      </c>
      <c r="I356">
        <v>4435</v>
      </c>
      <c r="J356" s="64">
        <v>45513</v>
      </c>
      <c r="K356" s="64">
        <v>45518</v>
      </c>
      <c r="L356" t="s">
        <v>372</v>
      </c>
      <c r="M356" s="64">
        <v>45527</v>
      </c>
      <c r="N356" t="s">
        <v>373</v>
      </c>
      <c r="O356" t="s">
        <v>372</v>
      </c>
      <c r="P356">
        <v>0.7</v>
      </c>
      <c r="Q356">
        <v>1.71</v>
      </c>
      <c r="R356">
        <v>3104.5</v>
      </c>
      <c r="S356">
        <v>7583.85</v>
      </c>
      <c r="T356" t="s">
        <v>70</v>
      </c>
      <c r="AA356">
        <f t="shared" si="5"/>
        <v>218983.93000000005</v>
      </c>
      <c r="AB356">
        <f>COUNTIF($D$1:D356,D356)</f>
        <v>56</v>
      </c>
    </row>
    <row r="357" spans="1:28" x14ac:dyDescent="0.25">
      <c r="A357">
        <v>356</v>
      </c>
      <c r="B357">
        <v>183159</v>
      </c>
      <c r="C357">
        <v>24001533</v>
      </c>
      <c r="D357" t="s">
        <v>12</v>
      </c>
      <c r="E357" t="s">
        <v>215</v>
      </c>
      <c r="F357">
        <v>5158619</v>
      </c>
      <c r="G357">
        <v>303</v>
      </c>
      <c r="H357" t="s">
        <v>238</v>
      </c>
      <c r="I357">
        <v>3170</v>
      </c>
      <c r="J357" s="64">
        <v>45511</v>
      </c>
      <c r="K357" s="64">
        <v>45516</v>
      </c>
      <c r="L357" t="s">
        <v>372</v>
      </c>
      <c r="M357" s="64">
        <v>45527</v>
      </c>
      <c r="N357" t="s">
        <v>373</v>
      </c>
      <c r="O357" t="s">
        <v>372</v>
      </c>
      <c r="P357">
        <v>0.7</v>
      </c>
      <c r="Q357">
        <v>1.71</v>
      </c>
      <c r="R357">
        <v>2219</v>
      </c>
      <c r="S357">
        <v>5420.7</v>
      </c>
      <c r="T357" t="s">
        <v>70</v>
      </c>
      <c r="AA357">
        <f t="shared" si="5"/>
        <v>218983.93000000005</v>
      </c>
      <c r="AB357">
        <f>COUNTIF($D$1:D357,D357)</f>
        <v>57</v>
      </c>
    </row>
    <row r="358" spans="1:28" x14ac:dyDescent="0.25">
      <c r="A358">
        <v>357</v>
      </c>
      <c r="B358">
        <v>183160</v>
      </c>
      <c r="C358">
        <v>24001534</v>
      </c>
      <c r="D358" t="s">
        <v>12</v>
      </c>
      <c r="E358" t="s">
        <v>215</v>
      </c>
      <c r="F358" t="s">
        <v>405</v>
      </c>
      <c r="G358">
        <v>303</v>
      </c>
      <c r="H358" t="s">
        <v>238</v>
      </c>
      <c r="I358">
        <v>195</v>
      </c>
      <c r="J358" s="64">
        <v>45511</v>
      </c>
      <c r="K358" s="64">
        <v>45518</v>
      </c>
      <c r="L358" t="s">
        <v>372</v>
      </c>
      <c r="M358" s="64">
        <v>45527</v>
      </c>
      <c r="N358" t="s">
        <v>373</v>
      </c>
      <c r="O358" t="s">
        <v>372</v>
      </c>
      <c r="P358">
        <v>0.67</v>
      </c>
      <c r="Q358">
        <v>1.83</v>
      </c>
      <c r="R358">
        <v>130.65</v>
      </c>
      <c r="S358">
        <v>356.85</v>
      </c>
      <c r="T358" t="s">
        <v>70</v>
      </c>
      <c r="AA358">
        <f t="shared" si="5"/>
        <v>218983.93000000005</v>
      </c>
      <c r="AB358">
        <f>COUNTIF($D$1:D358,D358)</f>
        <v>58</v>
      </c>
    </row>
    <row r="359" spans="1:28" x14ac:dyDescent="0.25">
      <c r="A359">
        <v>358</v>
      </c>
      <c r="B359">
        <v>183169</v>
      </c>
      <c r="C359">
        <v>24001543</v>
      </c>
      <c r="D359" t="s">
        <v>12</v>
      </c>
      <c r="E359" t="s">
        <v>215</v>
      </c>
      <c r="F359">
        <v>5158607</v>
      </c>
      <c r="G359">
        <v>304</v>
      </c>
      <c r="H359" t="s">
        <v>238</v>
      </c>
      <c r="I359">
        <v>2214</v>
      </c>
      <c r="J359" s="64">
        <v>45506</v>
      </c>
      <c r="K359" s="64">
        <v>45509</v>
      </c>
      <c r="L359" t="s">
        <v>372</v>
      </c>
      <c r="M359" s="64">
        <v>45512</v>
      </c>
      <c r="N359" t="s">
        <v>373</v>
      </c>
      <c r="O359" t="s">
        <v>372</v>
      </c>
      <c r="P359">
        <v>0.7</v>
      </c>
      <c r="Q359">
        <v>1.71</v>
      </c>
      <c r="R359">
        <v>1549.8</v>
      </c>
      <c r="S359">
        <v>3785.94</v>
      </c>
      <c r="T359" t="s">
        <v>70</v>
      </c>
      <c r="AA359">
        <f t="shared" si="5"/>
        <v>218983.93000000005</v>
      </c>
      <c r="AB359">
        <f>COUNTIF($D$1:D359,D359)</f>
        <v>59</v>
      </c>
    </row>
    <row r="360" spans="1:28" x14ac:dyDescent="0.25">
      <c r="A360">
        <v>359</v>
      </c>
      <c r="B360">
        <v>183170</v>
      </c>
      <c r="C360">
        <v>24001544</v>
      </c>
      <c r="D360" t="s">
        <v>12</v>
      </c>
      <c r="E360" t="s">
        <v>215</v>
      </c>
      <c r="F360" t="s">
        <v>410</v>
      </c>
      <c r="G360">
        <v>304</v>
      </c>
      <c r="H360" t="s">
        <v>238</v>
      </c>
      <c r="I360">
        <v>151</v>
      </c>
      <c r="J360" s="64">
        <v>45506</v>
      </c>
      <c r="K360" s="64">
        <v>45509</v>
      </c>
      <c r="L360" t="s">
        <v>372</v>
      </c>
      <c r="M360" s="64">
        <v>45512</v>
      </c>
      <c r="N360" t="s">
        <v>373</v>
      </c>
      <c r="O360" t="s">
        <v>372</v>
      </c>
      <c r="P360">
        <v>0.67</v>
      </c>
      <c r="Q360">
        <v>1.83</v>
      </c>
      <c r="R360">
        <v>101.17</v>
      </c>
      <c r="S360">
        <v>276.33</v>
      </c>
      <c r="T360" t="s">
        <v>70</v>
      </c>
      <c r="AA360">
        <f t="shared" si="5"/>
        <v>218983.93000000005</v>
      </c>
      <c r="AB360">
        <f>COUNTIF($D$1:D360,D360)</f>
        <v>60</v>
      </c>
    </row>
    <row r="361" spans="1:28" x14ac:dyDescent="0.25">
      <c r="A361">
        <v>360</v>
      </c>
      <c r="B361">
        <v>183171</v>
      </c>
      <c r="C361">
        <v>24001545</v>
      </c>
      <c r="D361" t="s">
        <v>12</v>
      </c>
      <c r="E361" t="s">
        <v>215</v>
      </c>
      <c r="F361">
        <v>5158590</v>
      </c>
      <c r="G361">
        <v>304</v>
      </c>
      <c r="H361" t="s">
        <v>238</v>
      </c>
      <c r="I361">
        <v>2275</v>
      </c>
      <c r="J361" s="64">
        <v>45505</v>
      </c>
      <c r="K361" s="64">
        <v>45517</v>
      </c>
      <c r="L361" t="s">
        <v>372</v>
      </c>
      <c r="M361" s="64">
        <v>45512</v>
      </c>
      <c r="N361" t="s">
        <v>374</v>
      </c>
      <c r="O361" t="s">
        <v>372</v>
      </c>
      <c r="P361">
        <v>0.7</v>
      </c>
      <c r="Q361">
        <v>1.71</v>
      </c>
      <c r="R361">
        <v>1592.5</v>
      </c>
      <c r="S361">
        <v>3890.25</v>
      </c>
      <c r="T361" t="s">
        <v>70</v>
      </c>
      <c r="AA361">
        <f t="shared" si="5"/>
        <v>218983.93000000005</v>
      </c>
      <c r="AB361">
        <f>COUNTIF($D$1:D361,D361)</f>
        <v>61</v>
      </c>
    </row>
    <row r="362" spans="1:28" x14ac:dyDescent="0.25">
      <c r="A362">
        <v>361</v>
      </c>
      <c r="B362">
        <v>183172</v>
      </c>
      <c r="C362">
        <v>24001546</v>
      </c>
      <c r="D362" t="s">
        <v>12</v>
      </c>
      <c r="E362" t="s">
        <v>215</v>
      </c>
      <c r="F362">
        <v>5158584</v>
      </c>
      <c r="G362">
        <v>304</v>
      </c>
      <c r="H362" t="s">
        <v>238</v>
      </c>
      <c r="I362">
        <v>2491</v>
      </c>
      <c r="J362" s="64">
        <v>45509</v>
      </c>
      <c r="K362" s="64">
        <v>45519</v>
      </c>
      <c r="L362" t="s">
        <v>372</v>
      </c>
      <c r="M362" s="64">
        <v>45527</v>
      </c>
      <c r="N362" t="s">
        <v>373</v>
      </c>
      <c r="O362" t="s">
        <v>372</v>
      </c>
      <c r="P362">
        <v>0.7</v>
      </c>
      <c r="Q362">
        <v>1.71</v>
      </c>
      <c r="R362">
        <v>1743.7</v>
      </c>
      <c r="S362">
        <v>4259.6099999999997</v>
      </c>
      <c r="T362" t="s">
        <v>70</v>
      </c>
      <c r="AA362">
        <f t="shared" si="5"/>
        <v>218983.93000000005</v>
      </c>
      <c r="AB362">
        <f>COUNTIF($D$1:D362,D362)</f>
        <v>62</v>
      </c>
    </row>
    <row r="363" spans="1:28" x14ac:dyDescent="0.25">
      <c r="A363">
        <v>362</v>
      </c>
      <c r="B363">
        <v>183173</v>
      </c>
      <c r="C363">
        <v>24001547</v>
      </c>
      <c r="D363" t="s">
        <v>12</v>
      </c>
      <c r="E363" t="s">
        <v>215</v>
      </c>
      <c r="F363" t="s">
        <v>411</v>
      </c>
      <c r="G363">
        <v>304</v>
      </c>
      <c r="H363" t="s">
        <v>238</v>
      </c>
      <c r="I363">
        <v>2</v>
      </c>
      <c r="J363" s="64">
        <v>45509</v>
      </c>
      <c r="K363" s="64">
        <v>45510</v>
      </c>
      <c r="L363" t="s">
        <v>372</v>
      </c>
      <c r="M363" s="64">
        <v>45527</v>
      </c>
      <c r="N363" t="s">
        <v>373</v>
      </c>
      <c r="O363" t="s">
        <v>372</v>
      </c>
      <c r="P363">
        <v>0.67</v>
      </c>
      <c r="Q363">
        <v>1.83</v>
      </c>
      <c r="R363">
        <v>1.34</v>
      </c>
      <c r="S363">
        <v>3.66</v>
      </c>
      <c r="T363" t="s">
        <v>70</v>
      </c>
      <c r="AA363">
        <f t="shared" si="5"/>
        <v>218983.93000000005</v>
      </c>
      <c r="AB363">
        <f>COUNTIF($D$1:D363,D363)</f>
        <v>63</v>
      </c>
    </row>
    <row r="364" spans="1:28" x14ac:dyDescent="0.25">
      <c r="A364">
        <v>363</v>
      </c>
      <c r="B364">
        <v>183219</v>
      </c>
      <c r="C364">
        <v>24001589</v>
      </c>
      <c r="D364" t="s">
        <v>12</v>
      </c>
      <c r="E364" t="s">
        <v>215</v>
      </c>
      <c r="F364">
        <v>5158594</v>
      </c>
      <c r="G364">
        <v>348</v>
      </c>
      <c r="H364" t="s">
        <v>238</v>
      </c>
      <c r="I364">
        <v>1730</v>
      </c>
      <c r="J364" s="64">
        <v>45524</v>
      </c>
      <c r="K364" s="64">
        <v>45525</v>
      </c>
      <c r="L364" t="s">
        <v>372</v>
      </c>
      <c r="M364" s="64">
        <v>45527</v>
      </c>
      <c r="N364" t="s">
        <v>373</v>
      </c>
      <c r="O364" t="s">
        <v>372</v>
      </c>
      <c r="P364">
        <v>0.7</v>
      </c>
      <c r="Q364">
        <v>1.64</v>
      </c>
      <c r="R364">
        <v>1211</v>
      </c>
      <c r="S364">
        <v>2837.2</v>
      </c>
      <c r="T364" t="s">
        <v>70</v>
      </c>
      <c r="AA364">
        <f t="shared" si="5"/>
        <v>218983.93000000005</v>
      </c>
      <c r="AB364">
        <f>COUNTIF($D$1:D364,D364)</f>
        <v>64</v>
      </c>
    </row>
    <row r="365" spans="1:28" x14ac:dyDescent="0.25">
      <c r="A365">
        <v>364</v>
      </c>
      <c r="B365">
        <v>183426</v>
      </c>
      <c r="C365">
        <v>24001616</v>
      </c>
      <c r="D365" t="s">
        <v>12</v>
      </c>
      <c r="E365" t="s">
        <v>215</v>
      </c>
      <c r="F365">
        <v>5158039</v>
      </c>
      <c r="G365">
        <v>380</v>
      </c>
      <c r="H365" t="s">
        <v>238</v>
      </c>
      <c r="I365">
        <v>11804</v>
      </c>
      <c r="J365" s="64">
        <v>45524</v>
      </c>
      <c r="K365" s="64">
        <v>45532</v>
      </c>
      <c r="L365" t="s">
        <v>372</v>
      </c>
      <c r="M365" s="64">
        <v>45534</v>
      </c>
      <c r="N365" t="s">
        <v>373</v>
      </c>
      <c r="O365" t="s">
        <v>372</v>
      </c>
      <c r="P365">
        <v>0.65</v>
      </c>
      <c r="Q365">
        <v>1.61</v>
      </c>
      <c r="R365">
        <v>7672.6</v>
      </c>
      <c r="S365">
        <v>19004.439999999999</v>
      </c>
      <c r="T365" t="s">
        <v>70</v>
      </c>
      <c r="AA365">
        <f t="shared" si="5"/>
        <v>218983.93000000005</v>
      </c>
      <c r="AB365">
        <f>COUNTIF($D$1:D365,D365)</f>
        <v>65</v>
      </c>
    </row>
    <row r="366" spans="1:28" x14ac:dyDescent="0.25">
      <c r="A366">
        <v>365</v>
      </c>
      <c r="B366">
        <v>183428</v>
      </c>
      <c r="C366">
        <v>24001618</v>
      </c>
      <c r="D366" t="s">
        <v>12</v>
      </c>
      <c r="E366" t="s">
        <v>215</v>
      </c>
      <c r="F366">
        <v>5158038</v>
      </c>
      <c r="G366">
        <v>380</v>
      </c>
      <c r="H366" t="s">
        <v>238</v>
      </c>
      <c r="I366">
        <v>9776</v>
      </c>
      <c r="J366" s="64">
        <v>45531</v>
      </c>
      <c r="K366" s="64">
        <v>45534</v>
      </c>
      <c r="L366" t="s">
        <v>372</v>
      </c>
      <c r="M366" s="64">
        <v>45548</v>
      </c>
      <c r="N366" t="s">
        <v>373</v>
      </c>
      <c r="O366" t="s">
        <v>376</v>
      </c>
      <c r="P366">
        <v>0.65</v>
      </c>
      <c r="Q366">
        <v>1.61</v>
      </c>
      <c r="R366">
        <v>6354.4</v>
      </c>
      <c r="S366">
        <v>15739.36</v>
      </c>
      <c r="T366" t="s">
        <v>70</v>
      </c>
      <c r="AA366">
        <f t="shared" si="5"/>
        <v>218983.93000000005</v>
      </c>
      <c r="AB366">
        <f>COUNTIF($D$1:D366,D366)</f>
        <v>66</v>
      </c>
    </row>
    <row r="367" spans="1:28" x14ac:dyDescent="0.25">
      <c r="A367">
        <v>366</v>
      </c>
      <c r="B367">
        <v>183163</v>
      </c>
      <c r="C367">
        <v>24001537</v>
      </c>
      <c r="D367" t="s">
        <v>12</v>
      </c>
      <c r="E367" t="s">
        <v>215</v>
      </c>
      <c r="F367">
        <v>5158599</v>
      </c>
      <c r="G367">
        <v>303</v>
      </c>
      <c r="H367" t="s">
        <v>238</v>
      </c>
      <c r="I367">
        <v>6496</v>
      </c>
      <c r="J367" s="64">
        <v>45517</v>
      </c>
      <c r="K367" s="64">
        <v>45523</v>
      </c>
      <c r="L367" t="s">
        <v>372</v>
      </c>
      <c r="M367" s="64">
        <v>45527</v>
      </c>
      <c r="N367" t="s">
        <v>373</v>
      </c>
      <c r="O367" t="s">
        <v>372</v>
      </c>
      <c r="P367">
        <v>0.7</v>
      </c>
      <c r="Q367">
        <v>1.71</v>
      </c>
      <c r="R367">
        <v>4547.2</v>
      </c>
      <c r="S367">
        <v>11108.16</v>
      </c>
      <c r="T367" t="s">
        <v>70</v>
      </c>
      <c r="AA367">
        <f t="shared" si="5"/>
        <v>218983.93000000005</v>
      </c>
      <c r="AB367">
        <f>COUNTIF($D$1:D367,D367)</f>
        <v>67</v>
      </c>
    </row>
    <row r="368" spans="1:28" x14ac:dyDescent="0.25">
      <c r="A368">
        <v>367</v>
      </c>
      <c r="B368">
        <v>183164</v>
      </c>
      <c r="C368">
        <v>24001538</v>
      </c>
      <c r="D368" t="s">
        <v>12</v>
      </c>
      <c r="E368" t="s">
        <v>215</v>
      </c>
      <c r="F368" t="s">
        <v>412</v>
      </c>
      <c r="G368">
        <v>303</v>
      </c>
      <c r="H368" t="s">
        <v>238</v>
      </c>
      <c r="I368">
        <v>290</v>
      </c>
      <c r="J368" s="64">
        <v>45517</v>
      </c>
      <c r="K368" s="64">
        <v>45523</v>
      </c>
      <c r="L368" t="s">
        <v>372</v>
      </c>
      <c r="M368" s="64">
        <v>45527</v>
      </c>
      <c r="N368" t="s">
        <v>373</v>
      </c>
      <c r="O368" t="s">
        <v>372</v>
      </c>
      <c r="P368">
        <v>0.67</v>
      </c>
      <c r="Q368">
        <v>1.83</v>
      </c>
      <c r="R368">
        <v>194.3</v>
      </c>
      <c r="S368">
        <v>530.70000000000005</v>
      </c>
      <c r="T368" t="s">
        <v>70</v>
      </c>
      <c r="AA368">
        <f t="shared" si="5"/>
        <v>218983.93000000005</v>
      </c>
      <c r="AB368">
        <f>COUNTIF($D$1:D368,D368)</f>
        <v>68</v>
      </c>
    </row>
    <row r="369" spans="1:28" x14ac:dyDescent="0.25">
      <c r="A369">
        <v>368</v>
      </c>
      <c r="B369">
        <v>183216</v>
      </c>
      <c r="C369">
        <v>24001586</v>
      </c>
      <c r="D369" t="s">
        <v>12</v>
      </c>
      <c r="E369" t="s">
        <v>215</v>
      </c>
      <c r="F369">
        <v>5158596</v>
      </c>
      <c r="G369">
        <v>348</v>
      </c>
      <c r="H369" t="s">
        <v>238</v>
      </c>
      <c r="I369">
        <v>2445</v>
      </c>
      <c r="J369" s="64">
        <v>45523</v>
      </c>
      <c r="K369" s="64">
        <v>45524</v>
      </c>
      <c r="L369" t="s">
        <v>372</v>
      </c>
      <c r="M369" s="64">
        <v>45527</v>
      </c>
      <c r="N369" t="s">
        <v>373</v>
      </c>
      <c r="O369" t="s">
        <v>372</v>
      </c>
      <c r="P369">
        <v>0.8</v>
      </c>
      <c r="Q369">
        <v>1.88</v>
      </c>
      <c r="R369">
        <v>1956</v>
      </c>
      <c r="S369">
        <v>4596.6000000000004</v>
      </c>
      <c r="T369" t="s">
        <v>70</v>
      </c>
      <c r="AA369">
        <f t="shared" si="5"/>
        <v>218983.93000000005</v>
      </c>
      <c r="AB369">
        <f>COUNTIF($D$1:D369,D369)</f>
        <v>69</v>
      </c>
    </row>
    <row r="370" spans="1:28" x14ac:dyDescent="0.25">
      <c r="A370">
        <v>369</v>
      </c>
      <c r="B370">
        <v>183217</v>
      </c>
      <c r="C370">
        <v>24001587</v>
      </c>
      <c r="D370" t="s">
        <v>12</v>
      </c>
      <c r="E370" t="s">
        <v>215</v>
      </c>
      <c r="F370">
        <v>5158614</v>
      </c>
      <c r="G370">
        <v>348</v>
      </c>
      <c r="H370" t="s">
        <v>238</v>
      </c>
      <c r="I370">
        <v>2930</v>
      </c>
      <c r="J370" s="64">
        <v>45519</v>
      </c>
      <c r="K370" s="64">
        <v>45531</v>
      </c>
      <c r="L370" t="s">
        <v>372</v>
      </c>
      <c r="M370" s="64">
        <v>45527</v>
      </c>
      <c r="N370" t="s">
        <v>374</v>
      </c>
      <c r="O370" t="s">
        <v>372</v>
      </c>
      <c r="P370">
        <v>0.7</v>
      </c>
      <c r="Q370">
        <v>1.71</v>
      </c>
      <c r="R370">
        <v>2051</v>
      </c>
      <c r="S370">
        <v>5010.3</v>
      </c>
      <c r="T370" t="s">
        <v>70</v>
      </c>
      <c r="AA370">
        <f t="shared" si="5"/>
        <v>218983.93000000005</v>
      </c>
      <c r="AB370">
        <f>COUNTIF($D$1:D370,D370)</f>
        <v>70</v>
      </c>
    </row>
    <row r="371" spans="1:28" x14ac:dyDescent="0.25">
      <c r="A371">
        <v>370</v>
      </c>
      <c r="B371">
        <v>183156</v>
      </c>
      <c r="C371">
        <v>24001530</v>
      </c>
      <c r="D371" t="s">
        <v>12</v>
      </c>
      <c r="E371" t="s">
        <v>215</v>
      </c>
      <c r="F371">
        <v>5158614</v>
      </c>
      <c r="G371">
        <v>303</v>
      </c>
      <c r="H371" t="s">
        <v>239</v>
      </c>
      <c r="I371">
        <v>60</v>
      </c>
      <c r="J371" s="64">
        <v>45505</v>
      </c>
      <c r="K371" s="64">
        <v>45505</v>
      </c>
      <c r="L371" t="s">
        <v>372</v>
      </c>
      <c r="M371" s="64">
        <v>45512</v>
      </c>
      <c r="N371" t="s">
        <v>373</v>
      </c>
      <c r="O371" t="s">
        <v>372</v>
      </c>
      <c r="P371">
        <v>0.7</v>
      </c>
      <c r="Q371">
        <v>1.71</v>
      </c>
      <c r="R371">
        <v>42</v>
      </c>
      <c r="S371">
        <v>102.6</v>
      </c>
      <c r="T371" t="s">
        <v>70</v>
      </c>
      <c r="AA371">
        <f t="shared" si="5"/>
        <v>218983.93000000005</v>
      </c>
      <c r="AB371">
        <f>COUNTIF($D$1:D371,D371)</f>
        <v>71</v>
      </c>
    </row>
    <row r="372" spans="1:28" x14ac:dyDescent="0.25">
      <c r="A372">
        <v>371</v>
      </c>
      <c r="B372">
        <v>183161</v>
      </c>
      <c r="C372">
        <v>24001535</v>
      </c>
      <c r="D372" t="s">
        <v>12</v>
      </c>
      <c r="E372" t="s">
        <v>215</v>
      </c>
      <c r="F372">
        <v>5158618</v>
      </c>
      <c r="G372">
        <v>303</v>
      </c>
      <c r="H372" t="s">
        <v>239</v>
      </c>
      <c r="I372">
        <v>3635</v>
      </c>
      <c r="J372" s="64">
        <v>45511</v>
      </c>
      <c r="K372" s="64">
        <v>45513</v>
      </c>
      <c r="L372" t="s">
        <v>372</v>
      </c>
      <c r="M372" s="64">
        <v>45527</v>
      </c>
      <c r="N372" t="s">
        <v>373</v>
      </c>
      <c r="O372" t="s">
        <v>372</v>
      </c>
      <c r="P372">
        <v>0.7</v>
      </c>
      <c r="Q372">
        <v>1.71</v>
      </c>
      <c r="R372">
        <v>2544.5</v>
      </c>
      <c r="S372">
        <v>6215.85</v>
      </c>
      <c r="T372" t="s">
        <v>70</v>
      </c>
      <c r="AA372">
        <f t="shared" si="5"/>
        <v>218983.93000000005</v>
      </c>
      <c r="AB372">
        <f>COUNTIF($D$1:D372,D372)</f>
        <v>72</v>
      </c>
    </row>
    <row r="373" spans="1:28" x14ac:dyDescent="0.25">
      <c r="A373">
        <v>372</v>
      </c>
      <c r="B373">
        <v>183162</v>
      </c>
      <c r="C373">
        <v>24001536</v>
      </c>
      <c r="D373" t="s">
        <v>12</v>
      </c>
      <c r="E373" t="s">
        <v>215</v>
      </c>
      <c r="F373" t="s">
        <v>409</v>
      </c>
      <c r="G373">
        <v>303</v>
      </c>
      <c r="H373" t="s">
        <v>239</v>
      </c>
      <c r="I373">
        <v>10</v>
      </c>
      <c r="J373" s="64">
        <v>45511</v>
      </c>
      <c r="K373" s="64">
        <v>45511</v>
      </c>
      <c r="L373" t="s">
        <v>372</v>
      </c>
      <c r="M373" s="64">
        <v>45527</v>
      </c>
      <c r="N373" t="s">
        <v>373</v>
      </c>
      <c r="O373" t="s">
        <v>372</v>
      </c>
      <c r="P373">
        <v>0.67</v>
      </c>
      <c r="Q373">
        <v>1.83</v>
      </c>
      <c r="R373">
        <v>6.7</v>
      </c>
      <c r="S373">
        <v>18.3</v>
      </c>
      <c r="T373" t="s">
        <v>70</v>
      </c>
      <c r="AA373">
        <f t="shared" si="5"/>
        <v>218983.93000000005</v>
      </c>
      <c r="AB373">
        <f>COUNTIF($D$1:D373,D373)</f>
        <v>73</v>
      </c>
    </row>
    <row r="374" spans="1:28" x14ac:dyDescent="0.25">
      <c r="A374">
        <v>373</v>
      </c>
      <c r="B374">
        <v>183158</v>
      </c>
      <c r="C374">
        <v>24001532</v>
      </c>
      <c r="D374" t="s">
        <v>12</v>
      </c>
      <c r="E374" t="s">
        <v>215</v>
      </c>
      <c r="F374">
        <v>5158592</v>
      </c>
      <c r="G374">
        <v>303</v>
      </c>
      <c r="H374" t="s">
        <v>239</v>
      </c>
      <c r="I374">
        <v>2485</v>
      </c>
      <c r="J374" s="64">
        <v>45516</v>
      </c>
      <c r="K374" s="64">
        <v>45518</v>
      </c>
      <c r="L374" t="s">
        <v>372</v>
      </c>
      <c r="M374" s="64">
        <v>45527</v>
      </c>
      <c r="N374" t="s">
        <v>373</v>
      </c>
      <c r="O374" t="s">
        <v>372</v>
      </c>
      <c r="P374">
        <v>0.7</v>
      </c>
      <c r="Q374">
        <v>1.71</v>
      </c>
      <c r="R374">
        <v>1739.5</v>
      </c>
      <c r="S374">
        <v>4249.3500000000004</v>
      </c>
      <c r="T374" t="s">
        <v>70</v>
      </c>
      <c r="AA374">
        <f t="shared" si="5"/>
        <v>218983.93000000005</v>
      </c>
      <c r="AB374">
        <f>COUNTIF($D$1:D374,D374)</f>
        <v>74</v>
      </c>
    </row>
    <row r="375" spans="1:28" x14ac:dyDescent="0.25">
      <c r="A375">
        <v>374</v>
      </c>
      <c r="B375">
        <v>183159</v>
      </c>
      <c r="C375">
        <v>24001533</v>
      </c>
      <c r="D375" t="s">
        <v>12</v>
      </c>
      <c r="E375" t="s">
        <v>215</v>
      </c>
      <c r="F375">
        <v>5158619</v>
      </c>
      <c r="G375">
        <v>303</v>
      </c>
      <c r="H375" t="s">
        <v>239</v>
      </c>
      <c r="I375">
        <v>3055</v>
      </c>
      <c r="J375" s="64">
        <v>45512</v>
      </c>
      <c r="K375" s="64">
        <v>45518</v>
      </c>
      <c r="L375" t="s">
        <v>372</v>
      </c>
      <c r="M375" s="64">
        <v>45527</v>
      </c>
      <c r="N375" t="s">
        <v>373</v>
      </c>
      <c r="O375" t="s">
        <v>372</v>
      </c>
      <c r="P375">
        <v>0.7</v>
      </c>
      <c r="Q375">
        <v>1.71</v>
      </c>
      <c r="R375">
        <v>2138.5</v>
      </c>
      <c r="S375">
        <v>5224.05</v>
      </c>
      <c r="T375" t="s">
        <v>70</v>
      </c>
      <c r="AA375">
        <f t="shared" si="5"/>
        <v>218983.93000000005</v>
      </c>
      <c r="AB375">
        <f>COUNTIF($D$1:D375,D375)</f>
        <v>75</v>
      </c>
    </row>
    <row r="376" spans="1:28" x14ac:dyDescent="0.25">
      <c r="A376">
        <v>375</v>
      </c>
      <c r="B376">
        <v>183160</v>
      </c>
      <c r="C376">
        <v>24001534</v>
      </c>
      <c r="D376" t="s">
        <v>12</v>
      </c>
      <c r="E376" t="s">
        <v>215</v>
      </c>
      <c r="F376" t="s">
        <v>405</v>
      </c>
      <c r="G376">
        <v>303</v>
      </c>
      <c r="H376" t="s">
        <v>239</v>
      </c>
      <c r="I376">
        <v>325</v>
      </c>
      <c r="J376" s="64">
        <v>45512</v>
      </c>
      <c r="K376" s="64">
        <v>45519</v>
      </c>
      <c r="L376" t="s">
        <v>372</v>
      </c>
      <c r="M376" s="64">
        <v>45527</v>
      </c>
      <c r="N376" t="s">
        <v>373</v>
      </c>
      <c r="O376" t="s">
        <v>372</v>
      </c>
      <c r="P376">
        <v>0.67</v>
      </c>
      <c r="Q376">
        <v>1.83</v>
      </c>
      <c r="R376">
        <v>217.75</v>
      </c>
      <c r="S376">
        <v>594.75</v>
      </c>
      <c r="T376" t="s">
        <v>70</v>
      </c>
      <c r="AA376">
        <f t="shared" si="5"/>
        <v>218983.93000000005</v>
      </c>
      <c r="AB376">
        <f>COUNTIF($D$1:D376,D376)</f>
        <v>76</v>
      </c>
    </row>
    <row r="377" spans="1:28" x14ac:dyDescent="0.25">
      <c r="A377">
        <v>376</v>
      </c>
      <c r="B377">
        <v>183169</v>
      </c>
      <c r="C377">
        <v>24001543</v>
      </c>
      <c r="D377" t="s">
        <v>12</v>
      </c>
      <c r="E377" t="s">
        <v>215</v>
      </c>
      <c r="F377">
        <v>5158607</v>
      </c>
      <c r="G377">
        <v>304</v>
      </c>
      <c r="H377" t="s">
        <v>239</v>
      </c>
      <c r="I377">
        <v>4235</v>
      </c>
      <c r="J377" s="64">
        <v>45506</v>
      </c>
      <c r="K377" s="64">
        <v>45518</v>
      </c>
      <c r="L377" t="s">
        <v>372</v>
      </c>
      <c r="M377" s="64">
        <v>45512</v>
      </c>
      <c r="N377" t="s">
        <v>374</v>
      </c>
      <c r="O377" t="s">
        <v>372</v>
      </c>
      <c r="P377">
        <v>0.7</v>
      </c>
      <c r="Q377">
        <v>1.71</v>
      </c>
      <c r="R377">
        <v>2964.5</v>
      </c>
      <c r="S377">
        <v>7241.85</v>
      </c>
      <c r="T377" t="s">
        <v>70</v>
      </c>
      <c r="AA377">
        <f t="shared" si="5"/>
        <v>218983.93000000005</v>
      </c>
      <c r="AB377">
        <f>COUNTIF($D$1:D377,D377)</f>
        <v>77</v>
      </c>
    </row>
    <row r="378" spans="1:28" x14ac:dyDescent="0.25">
      <c r="A378">
        <v>377</v>
      </c>
      <c r="B378">
        <v>183170</v>
      </c>
      <c r="C378">
        <v>24001544</v>
      </c>
      <c r="D378" t="s">
        <v>12</v>
      </c>
      <c r="E378" t="s">
        <v>215</v>
      </c>
      <c r="F378" t="s">
        <v>410</v>
      </c>
      <c r="G378">
        <v>304</v>
      </c>
      <c r="H378" t="s">
        <v>239</v>
      </c>
      <c r="I378">
        <v>22</v>
      </c>
      <c r="J378" s="64">
        <v>45509</v>
      </c>
      <c r="K378" s="64">
        <v>45510</v>
      </c>
      <c r="L378" t="s">
        <v>372</v>
      </c>
      <c r="M378" s="64">
        <v>45512</v>
      </c>
      <c r="N378" t="s">
        <v>373</v>
      </c>
      <c r="O378" t="s">
        <v>372</v>
      </c>
      <c r="P378">
        <v>0.67</v>
      </c>
      <c r="Q378">
        <v>1.83</v>
      </c>
      <c r="R378">
        <v>14.74</v>
      </c>
      <c r="S378">
        <v>40.26</v>
      </c>
      <c r="T378" t="s">
        <v>70</v>
      </c>
      <c r="AA378">
        <f t="shared" si="5"/>
        <v>218983.93000000005</v>
      </c>
      <c r="AB378">
        <f>COUNTIF($D$1:D378,D378)</f>
        <v>78</v>
      </c>
    </row>
    <row r="379" spans="1:28" x14ac:dyDescent="0.25">
      <c r="A379">
        <v>378</v>
      </c>
      <c r="B379">
        <v>183171</v>
      </c>
      <c r="C379">
        <v>24001545</v>
      </c>
      <c r="D379" t="s">
        <v>12</v>
      </c>
      <c r="E379" t="s">
        <v>215</v>
      </c>
      <c r="F379">
        <v>5158590</v>
      </c>
      <c r="G379">
        <v>304</v>
      </c>
      <c r="H379" t="s">
        <v>239</v>
      </c>
      <c r="I379">
        <v>2360</v>
      </c>
      <c r="J379" s="64">
        <v>45505</v>
      </c>
      <c r="K379" s="64">
        <v>45523</v>
      </c>
      <c r="L379" t="s">
        <v>372</v>
      </c>
      <c r="M379" s="64">
        <v>45512</v>
      </c>
      <c r="N379" t="s">
        <v>374</v>
      </c>
      <c r="O379" t="s">
        <v>372</v>
      </c>
      <c r="P379">
        <v>0.7</v>
      </c>
      <c r="Q379">
        <v>1.71</v>
      </c>
      <c r="R379">
        <v>1652</v>
      </c>
      <c r="S379">
        <v>4035.6</v>
      </c>
      <c r="T379" t="s">
        <v>70</v>
      </c>
      <c r="AA379">
        <f t="shared" si="5"/>
        <v>218983.93000000005</v>
      </c>
      <c r="AB379">
        <f>COUNTIF($D$1:D379,D379)</f>
        <v>79</v>
      </c>
    </row>
    <row r="380" spans="1:28" x14ac:dyDescent="0.25">
      <c r="A380">
        <v>379</v>
      </c>
      <c r="B380">
        <v>183172</v>
      </c>
      <c r="C380">
        <v>24001546</v>
      </c>
      <c r="D380" t="s">
        <v>12</v>
      </c>
      <c r="E380" t="s">
        <v>215</v>
      </c>
      <c r="F380">
        <v>5158584</v>
      </c>
      <c r="G380">
        <v>304</v>
      </c>
      <c r="H380" t="s">
        <v>239</v>
      </c>
      <c r="I380">
        <v>2180</v>
      </c>
      <c r="J380" s="64">
        <v>45510</v>
      </c>
      <c r="K380" s="64">
        <v>45511</v>
      </c>
      <c r="L380" t="s">
        <v>372</v>
      </c>
      <c r="M380" s="64">
        <v>45527</v>
      </c>
      <c r="N380" t="s">
        <v>373</v>
      </c>
      <c r="O380" t="s">
        <v>372</v>
      </c>
      <c r="P380">
        <v>0.7</v>
      </c>
      <c r="Q380">
        <v>1.71</v>
      </c>
      <c r="R380">
        <v>1526</v>
      </c>
      <c r="S380">
        <v>3727.8</v>
      </c>
      <c r="T380" t="s">
        <v>70</v>
      </c>
      <c r="AA380">
        <f t="shared" si="5"/>
        <v>218983.93000000005</v>
      </c>
      <c r="AB380">
        <f>COUNTIF($D$1:D380,D380)</f>
        <v>80</v>
      </c>
    </row>
    <row r="381" spans="1:28" x14ac:dyDescent="0.25">
      <c r="A381">
        <v>380</v>
      </c>
      <c r="B381">
        <v>183173</v>
      </c>
      <c r="C381">
        <v>24001547</v>
      </c>
      <c r="D381" t="s">
        <v>12</v>
      </c>
      <c r="E381" t="s">
        <v>215</v>
      </c>
      <c r="F381" t="s">
        <v>411</v>
      </c>
      <c r="G381">
        <v>304</v>
      </c>
      <c r="H381" t="s">
        <v>239</v>
      </c>
      <c r="I381">
        <v>10</v>
      </c>
      <c r="J381" s="64">
        <v>45510</v>
      </c>
      <c r="K381" s="64">
        <v>45510</v>
      </c>
      <c r="L381" t="s">
        <v>372</v>
      </c>
      <c r="M381" s="64">
        <v>45527</v>
      </c>
      <c r="N381" t="s">
        <v>373</v>
      </c>
      <c r="O381" t="s">
        <v>372</v>
      </c>
      <c r="P381">
        <v>0.67</v>
      </c>
      <c r="Q381">
        <v>1.83</v>
      </c>
      <c r="R381">
        <v>6.7</v>
      </c>
      <c r="S381">
        <v>18.3</v>
      </c>
      <c r="T381" t="s">
        <v>70</v>
      </c>
      <c r="AA381">
        <f t="shared" si="5"/>
        <v>218983.93000000005</v>
      </c>
      <c r="AB381">
        <f>COUNTIF($D$1:D381,D381)</f>
        <v>81</v>
      </c>
    </row>
    <row r="382" spans="1:28" x14ac:dyDescent="0.25">
      <c r="A382">
        <v>381</v>
      </c>
      <c r="B382">
        <v>183219</v>
      </c>
      <c r="C382">
        <v>24001589</v>
      </c>
      <c r="D382" t="s">
        <v>12</v>
      </c>
      <c r="E382" t="s">
        <v>215</v>
      </c>
      <c r="F382">
        <v>5158594</v>
      </c>
      <c r="G382">
        <v>348</v>
      </c>
      <c r="H382" t="s">
        <v>239</v>
      </c>
      <c r="I382">
        <v>690</v>
      </c>
      <c r="J382" s="64">
        <v>45525</v>
      </c>
      <c r="K382" s="64">
        <v>45527</v>
      </c>
      <c r="L382" t="s">
        <v>372</v>
      </c>
      <c r="M382" s="64">
        <v>45527</v>
      </c>
      <c r="N382" t="s">
        <v>373</v>
      </c>
      <c r="O382" t="s">
        <v>372</v>
      </c>
      <c r="P382">
        <v>0.7</v>
      </c>
      <c r="Q382">
        <v>1.64</v>
      </c>
      <c r="R382">
        <v>483</v>
      </c>
      <c r="S382">
        <v>1131.5999999999999</v>
      </c>
      <c r="T382" t="s">
        <v>70</v>
      </c>
      <c r="AA382">
        <f t="shared" si="5"/>
        <v>218983.93000000005</v>
      </c>
      <c r="AB382">
        <f>COUNTIF($D$1:D382,D382)</f>
        <v>82</v>
      </c>
    </row>
    <row r="383" spans="1:28" x14ac:dyDescent="0.25">
      <c r="A383">
        <v>382</v>
      </c>
      <c r="B383">
        <v>183426</v>
      </c>
      <c r="C383">
        <v>24001616</v>
      </c>
      <c r="D383" t="s">
        <v>12</v>
      </c>
      <c r="E383" t="s">
        <v>215</v>
      </c>
      <c r="F383">
        <v>5158039</v>
      </c>
      <c r="G383">
        <v>380</v>
      </c>
      <c r="H383" t="s">
        <v>239</v>
      </c>
      <c r="I383">
        <v>11839</v>
      </c>
      <c r="J383" s="64">
        <v>45525</v>
      </c>
      <c r="K383" s="64">
        <v>45532</v>
      </c>
      <c r="L383" t="s">
        <v>372</v>
      </c>
      <c r="M383" s="64">
        <v>45534</v>
      </c>
      <c r="N383" t="s">
        <v>373</v>
      </c>
      <c r="O383" t="s">
        <v>372</v>
      </c>
      <c r="P383">
        <v>0.65</v>
      </c>
      <c r="Q383">
        <v>1.61</v>
      </c>
      <c r="R383">
        <v>7695.35</v>
      </c>
      <c r="S383">
        <v>19060.79</v>
      </c>
      <c r="T383" t="s">
        <v>70</v>
      </c>
      <c r="AA383">
        <f t="shared" si="5"/>
        <v>218983.93000000005</v>
      </c>
      <c r="AB383">
        <f>COUNTIF($D$1:D383,D383)</f>
        <v>83</v>
      </c>
    </row>
    <row r="384" spans="1:28" x14ac:dyDescent="0.25">
      <c r="A384">
        <v>383</v>
      </c>
      <c r="B384">
        <v>183428</v>
      </c>
      <c r="C384">
        <v>24001618</v>
      </c>
      <c r="D384" t="s">
        <v>12</v>
      </c>
      <c r="E384" t="s">
        <v>215</v>
      </c>
      <c r="F384">
        <v>5158038</v>
      </c>
      <c r="G384">
        <v>380</v>
      </c>
      <c r="H384" t="s">
        <v>239</v>
      </c>
      <c r="I384">
        <v>8300</v>
      </c>
      <c r="J384" s="64">
        <v>45531</v>
      </c>
      <c r="K384" s="64">
        <v>45534</v>
      </c>
      <c r="L384" t="s">
        <v>372</v>
      </c>
      <c r="M384" s="64">
        <v>45548</v>
      </c>
      <c r="N384" t="s">
        <v>373</v>
      </c>
      <c r="O384" t="s">
        <v>376</v>
      </c>
      <c r="P384">
        <v>0.65</v>
      </c>
      <c r="Q384">
        <v>1.61</v>
      </c>
      <c r="R384">
        <v>5395</v>
      </c>
      <c r="S384">
        <v>13363</v>
      </c>
      <c r="T384" t="s">
        <v>70</v>
      </c>
      <c r="AA384">
        <f t="shared" si="5"/>
        <v>218983.93000000005</v>
      </c>
      <c r="AB384">
        <f>COUNTIF($D$1:D384,D384)</f>
        <v>84</v>
      </c>
    </row>
    <row r="385" spans="1:28" x14ac:dyDescent="0.25">
      <c r="A385">
        <v>384</v>
      </c>
      <c r="B385">
        <v>183163</v>
      </c>
      <c r="C385">
        <v>24001537</v>
      </c>
      <c r="D385" t="s">
        <v>12</v>
      </c>
      <c r="E385" t="s">
        <v>215</v>
      </c>
      <c r="F385">
        <v>5158599</v>
      </c>
      <c r="G385">
        <v>303</v>
      </c>
      <c r="H385" t="s">
        <v>239</v>
      </c>
      <c r="I385">
        <v>6235</v>
      </c>
      <c r="J385" s="64">
        <v>45517</v>
      </c>
      <c r="K385" s="64">
        <v>45520</v>
      </c>
      <c r="L385" t="s">
        <v>372</v>
      </c>
      <c r="M385" s="64">
        <v>45527</v>
      </c>
      <c r="N385" t="s">
        <v>373</v>
      </c>
      <c r="O385" t="s">
        <v>372</v>
      </c>
      <c r="P385">
        <v>0.7</v>
      </c>
      <c r="Q385">
        <v>1.71</v>
      </c>
      <c r="R385">
        <v>4364.5</v>
      </c>
      <c r="S385">
        <v>10661.85</v>
      </c>
      <c r="T385" t="s">
        <v>70</v>
      </c>
      <c r="AA385">
        <f t="shared" si="5"/>
        <v>218983.93000000005</v>
      </c>
      <c r="AB385">
        <f>COUNTIF($D$1:D385,D385)</f>
        <v>85</v>
      </c>
    </row>
    <row r="386" spans="1:28" x14ac:dyDescent="0.25">
      <c r="A386">
        <v>385</v>
      </c>
      <c r="B386">
        <v>183164</v>
      </c>
      <c r="C386">
        <v>24001538</v>
      </c>
      <c r="D386" t="s">
        <v>12</v>
      </c>
      <c r="E386" t="s">
        <v>215</v>
      </c>
      <c r="F386" t="s">
        <v>412</v>
      </c>
      <c r="G386">
        <v>303</v>
      </c>
      <c r="H386" t="s">
        <v>239</v>
      </c>
      <c r="I386">
        <v>295</v>
      </c>
      <c r="J386" s="64">
        <v>45517</v>
      </c>
      <c r="K386" s="64">
        <v>45520</v>
      </c>
      <c r="L386" t="s">
        <v>372</v>
      </c>
      <c r="M386" s="64">
        <v>45527</v>
      </c>
      <c r="N386" t="s">
        <v>373</v>
      </c>
      <c r="O386" t="s">
        <v>372</v>
      </c>
      <c r="P386">
        <v>0.67</v>
      </c>
      <c r="Q386">
        <v>1.83</v>
      </c>
      <c r="R386">
        <v>197.65</v>
      </c>
      <c r="S386">
        <v>539.85</v>
      </c>
      <c r="T386" t="s">
        <v>70</v>
      </c>
      <c r="AA386">
        <f t="shared" ref="AA386:AA449" si="6">SUMIF($D:$D,D386,$R:$R)</f>
        <v>218983.93000000005</v>
      </c>
      <c r="AB386">
        <f>COUNTIF($D$1:D386,D386)</f>
        <v>86</v>
      </c>
    </row>
    <row r="387" spans="1:28" x14ac:dyDescent="0.25">
      <c r="A387">
        <v>386</v>
      </c>
      <c r="B387">
        <v>183216</v>
      </c>
      <c r="C387">
        <v>24001586</v>
      </c>
      <c r="D387" t="s">
        <v>12</v>
      </c>
      <c r="E387" t="s">
        <v>215</v>
      </c>
      <c r="F387">
        <v>5158596</v>
      </c>
      <c r="G387">
        <v>348</v>
      </c>
      <c r="H387" t="s">
        <v>239</v>
      </c>
      <c r="I387">
        <v>5880</v>
      </c>
      <c r="J387" s="64">
        <v>45520</v>
      </c>
      <c r="K387" s="64">
        <v>45531</v>
      </c>
      <c r="L387" t="s">
        <v>372</v>
      </c>
      <c r="M387" s="64">
        <v>45527</v>
      </c>
      <c r="N387" t="s">
        <v>374</v>
      </c>
      <c r="O387" t="s">
        <v>372</v>
      </c>
      <c r="P387">
        <v>0.8</v>
      </c>
      <c r="Q387">
        <v>1.88</v>
      </c>
      <c r="R387">
        <v>4704</v>
      </c>
      <c r="S387">
        <v>11054.4</v>
      </c>
      <c r="T387" t="s">
        <v>70</v>
      </c>
      <c r="AA387">
        <f t="shared" si="6"/>
        <v>218983.93000000005</v>
      </c>
      <c r="AB387">
        <f>COUNTIF($D$1:D387,D387)</f>
        <v>87</v>
      </c>
    </row>
    <row r="388" spans="1:28" x14ac:dyDescent="0.25">
      <c r="A388">
        <v>387</v>
      </c>
      <c r="B388">
        <v>183217</v>
      </c>
      <c r="C388">
        <v>24001587</v>
      </c>
      <c r="D388" t="s">
        <v>12</v>
      </c>
      <c r="E388" t="s">
        <v>215</v>
      </c>
      <c r="F388">
        <v>5158614</v>
      </c>
      <c r="G388">
        <v>348</v>
      </c>
      <c r="H388" t="s">
        <v>239</v>
      </c>
      <c r="I388">
        <v>1939</v>
      </c>
      <c r="J388" s="64">
        <v>45519</v>
      </c>
      <c r="K388" s="64">
        <v>45527</v>
      </c>
      <c r="L388" t="s">
        <v>372</v>
      </c>
      <c r="M388" s="64">
        <v>45527</v>
      </c>
      <c r="N388" t="s">
        <v>373</v>
      </c>
      <c r="O388" t="s">
        <v>372</v>
      </c>
      <c r="P388">
        <v>0.7</v>
      </c>
      <c r="Q388">
        <v>1.71</v>
      </c>
      <c r="R388">
        <v>1357.3</v>
      </c>
      <c r="S388">
        <v>3315.69</v>
      </c>
      <c r="T388" t="s">
        <v>70</v>
      </c>
      <c r="AA388">
        <f t="shared" si="6"/>
        <v>218983.93000000005</v>
      </c>
      <c r="AB388">
        <f>COUNTIF($D$1:D388,D388)</f>
        <v>88</v>
      </c>
    </row>
    <row r="389" spans="1:28" x14ac:dyDescent="0.25">
      <c r="A389">
        <v>388</v>
      </c>
      <c r="B389">
        <v>183156</v>
      </c>
      <c r="C389">
        <v>24001530</v>
      </c>
      <c r="D389" t="s">
        <v>12</v>
      </c>
      <c r="E389" t="s">
        <v>215</v>
      </c>
      <c r="F389">
        <v>5158614</v>
      </c>
      <c r="G389">
        <v>303</v>
      </c>
      <c r="H389" t="s">
        <v>241</v>
      </c>
      <c r="I389">
        <v>2020</v>
      </c>
      <c r="J389" s="64">
        <v>45505</v>
      </c>
      <c r="K389" s="64">
        <v>45509</v>
      </c>
      <c r="L389" t="s">
        <v>372</v>
      </c>
      <c r="M389" s="64">
        <v>45512</v>
      </c>
      <c r="N389" t="s">
        <v>373</v>
      </c>
      <c r="O389" t="s">
        <v>372</v>
      </c>
      <c r="P389">
        <v>0.7</v>
      </c>
      <c r="Q389">
        <v>1.71</v>
      </c>
      <c r="R389">
        <v>1414</v>
      </c>
      <c r="S389">
        <v>3454.2</v>
      </c>
      <c r="T389" t="s">
        <v>70</v>
      </c>
      <c r="AA389">
        <f t="shared" si="6"/>
        <v>218983.93000000005</v>
      </c>
      <c r="AB389">
        <f>COUNTIF($D$1:D389,D389)</f>
        <v>89</v>
      </c>
    </row>
    <row r="390" spans="1:28" x14ac:dyDescent="0.25">
      <c r="A390">
        <v>389</v>
      </c>
      <c r="B390">
        <v>183161</v>
      </c>
      <c r="C390">
        <v>24001535</v>
      </c>
      <c r="D390" t="s">
        <v>12</v>
      </c>
      <c r="E390" t="s">
        <v>215</v>
      </c>
      <c r="F390">
        <v>5158618</v>
      </c>
      <c r="G390">
        <v>303</v>
      </c>
      <c r="H390" t="s">
        <v>241</v>
      </c>
      <c r="I390">
        <v>3765</v>
      </c>
      <c r="J390" s="64">
        <v>45510</v>
      </c>
      <c r="K390" s="64">
        <v>45516</v>
      </c>
      <c r="L390" t="s">
        <v>372</v>
      </c>
      <c r="M390" s="64">
        <v>45527</v>
      </c>
      <c r="N390" t="s">
        <v>373</v>
      </c>
      <c r="O390" t="s">
        <v>372</v>
      </c>
      <c r="P390">
        <v>0.7</v>
      </c>
      <c r="Q390">
        <v>1.71</v>
      </c>
      <c r="R390">
        <v>2635.5</v>
      </c>
      <c r="S390">
        <v>6438.15</v>
      </c>
      <c r="T390" t="s">
        <v>70</v>
      </c>
      <c r="AA390">
        <f t="shared" si="6"/>
        <v>218983.93000000005</v>
      </c>
      <c r="AB390">
        <f>COUNTIF($D$1:D390,D390)</f>
        <v>90</v>
      </c>
    </row>
    <row r="391" spans="1:28" x14ac:dyDescent="0.25">
      <c r="A391">
        <v>390</v>
      </c>
      <c r="B391">
        <v>183162</v>
      </c>
      <c r="C391">
        <v>24001536</v>
      </c>
      <c r="D391" t="s">
        <v>12</v>
      </c>
      <c r="E391" t="s">
        <v>215</v>
      </c>
      <c r="F391" t="s">
        <v>409</v>
      </c>
      <c r="G391">
        <v>303</v>
      </c>
      <c r="H391" t="s">
        <v>241</v>
      </c>
      <c r="I391">
        <v>535</v>
      </c>
      <c r="J391" s="64">
        <v>45510</v>
      </c>
      <c r="K391" s="64">
        <v>45513</v>
      </c>
      <c r="L391" t="s">
        <v>372</v>
      </c>
      <c r="M391" s="64">
        <v>45527</v>
      </c>
      <c r="N391" t="s">
        <v>373</v>
      </c>
      <c r="O391" t="s">
        <v>372</v>
      </c>
      <c r="P391">
        <v>0.67</v>
      </c>
      <c r="Q391">
        <v>1.83</v>
      </c>
      <c r="R391">
        <v>358.45</v>
      </c>
      <c r="S391">
        <v>979.05</v>
      </c>
      <c r="T391" t="s">
        <v>70</v>
      </c>
      <c r="AA391">
        <f t="shared" si="6"/>
        <v>218983.93000000005</v>
      </c>
      <c r="AB391">
        <f>COUNTIF($D$1:D391,D391)</f>
        <v>91</v>
      </c>
    </row>
    <row r="392" spans="1:28" x14ac:dyDescent="0.25">
      <c r="A392">
        <v>391</v>
      </c>
      <c r="B392">
        <v>183158</v>
      </c>
      <c r="C392">
        <v>24001532</v>
      </c>
      <c r="D392" t="s">
        <v>12</v>
      </c>
      <c r="E392" t="s">
        <v>215</v>
      </c>
      <c r="F392">
        <v>5158592</v>
      </c>
      <c r="G392">
        <v>303</v>
      </c>
      <c r="H392" t="s">
        <v>241</v>
      </c>
      <c r="I392">
        <v>4670</v>
      </c>
      <c r="J392" s="64">
        <v>45516</v>
      </c>
      <c r="K392" s="64">
        <v>45520</v>
      </c>
      <c r="L392" t="s">
        <v>372</v>
      </c>
      <c r="M392" s="64">
        <v>45527</v>
      </c>
      <c r="N392" t="s">
        <v>373</v>
      </c>
      <c r="O392" t="s">
        <v>372</v>
      </c>
      <c r="P392">
        <v>0.7</v>
      </c>
      <c r="Q392">
        <v>1.71</v>
      </c>
      <c r="R392">
        <v>3269</v>
      </c>
      <c r="S392">
        <v>7985.7</v>
      </c>
      <c r="T392" t="s">
        <v>70</v>
      </c>
      <c r="AA392">
        <f t="shared" si="6"/>
        <v>218983.93000000005</v>
      </c>
      <c r="AB392">
        <f>COUNTIF($D$1:D392,D392)</f>
        <v>92</v>
      </c>
    </row>
    <row r="393" spans="1:28" x14ac:dyDescent="0.25">
      <c r="A393">
        <v>392</v>
      </c>
      <c r="B393">
        <v>183159</v>
      </c>
      <c r="C393">
        <v>24001533</v>
      </c>
      <c r="D393" t="s">
        <v>12</v>
      </c>
      <c r="E393" t="s">
        <v>215</v>
      </c>
      <c r="F393">
        <v>5158619</v>
      </c>
      <c r="G393">
        <v>303</v>
      </c>
      <c r="H393" t="s">
        <v>241</v>
      </c>
      <c r="I393">
        <v>4465</v>
      </c>
      <c r="J393" s="64">
        <v>45512</v>
      </c>
      <c r="K393" s="64">
        <v>45519</v>
      </c>
      <c r="L393" t="s">
        <v>372</v>
      </c>
      <c r="M393" s="64">
        <v>45527</v>
      </c>
      <c r="N393" t="s">
        <v>373</v>
      </c>
      <c r="O393" t="s">
        <v>372</v>
      </c>
      <c r="P393">
        <v>0.7</v>
      </c>
      <c r="Q393">
        <v>1.71</v>
      </c>
      <c r="R393">
        <v>3125.5</v>
      </c>
      <c r="S393">
        <v>7635.15</v>
      </c>
      <c r="T393" t="s">
        <v>70</v>
      </c>
      <c r="AA393">
        <f t="shared" si="6"/>
        <v>218983.93000000005</v>
      </c>
      <c r="AB393">
        <f>COUNTIF($D$1:D393,D393)</f>
        <v>93</v>
      </c>
    </row>
    <row r="394" spans="1:28" x14ac:dyDescent="0.25">
      <c r="A394">
        <v>393</v>
      </c>
      <c r="B394">
        <v>183160</v>
      </c>
      <c r="C394">
        <v>24001534</v>
      </c>
      <c r="D394" t="s">
        <v>12</v>
      </c>
      <c r="E394" t="s">
        <v>215</v>
      </c>
      <c r="F394" t="s">
        <v>405</v>
      </c>
      <c r="G394">
        <v>303</v>
      </c>
      <c r="H394" t="s">
        <v>241</v>
      </c>
      <c r="I394">
        <v>42</v>
      </c>
      <c r="J394" s="64">
        <v>45512</v>
      </c>
      <c r="K394" s="64">
        <v>45516</v>
      </c>
      <c r="L394" t="s">
        <v>372</v>
      </c>
      <c r="M394" s="64">
        <v>45527</v>
      </c>
      <c r="N394" t="s">
        <v>373</v>
      </c>
      <c r="O394" t="s">
        <v>372</v>
      </c>
      <c r="P394">
        <v>0.67</v>
      </c>
      <c r="Q394">
        <v>1.83</v>
      </c>
      <c r="R394">
        <v>28.14</v>
      </c>
      <c r="S394">
        <v>76.86</v>
      </c>
      <c r="T394" t="s">
        <v>70</v>
      </c>
      <c r="AA394">
        <f t="shared" si="6"/>
        <v>218983.93000000005</v>
      </c>
      <c r="AB394">
        <f>COUNTIF($D$1:D394,D394)</f>
        <v>94</v>
      </c>
    </row>
    <row r="395" spans="1:28" x14ac:dyDescent="0.25">
      <c r="A395">
        <v>394</v>
      </c>
      <c r="B395">
        <v>183169</v>
      </c>
      <c r="C395">
        <v>24001543</v>
      </c>
      <c r="D395" t="s">
        <v>12</v>
      </c>
      <c r="E395" t="s">
        <v>215</v>
      </c>
      <c r="F395">
        <v>5158607</v>
      </c>
      <c r="G395">
        <v>304</v>
      </c>
      <c r="H395" t="s">
        <v>241</v>
      </c>
      <c r="I395">
        <v>1166</v>
      </c>
      <c r="J395" s="64">
        <v>45506</v>
      </c>
      <c r="K395" s="64">
        <v>45511</v>
      </c>
      <c r="L395" t="s">
        <v>372</v>
      </c>
      <c r="M395" s="64">
        <v>45512</v>
      </c>
      <c r="N395" t="s">
        <v>373</v>
      </c>
      <c r="O395" t="s">
        <v>372</v>
      </c>
      <c r="P395">
        <v>0.7</v>
      </c>
      <c r="Q395">
        <v>1.71</v>
      </c>
      <c r="R395">
        <v>816.2</v>
      </c>
      <c r="S395">
        <v>1993.86</v>
      </c>
      <c r="T395" t="s">
        <v>70</v>
      </c>
      <c r="AA395">
        <f t="shared" si="6"/>
        <v>218983.93000000005</v>
      </c>
      <c r="AB395">
        <f>COUNTIF($D$1:D395,D395)</f>
        <v>95</v>
      </c>
    </row>
    <row r="396" spans="1:28" x14ac:dyDescent="0.25">
      <c r="A396">
        <v>395</v>
      </c>
      <c r="B396">
        <v>183170</v>
      </c>
      <c r="C396">
        <v>24001544</v>
      </c>
      <c r="D396" t="s">
        <v>12</v>
      </c>
      <c r="E396" t="s">
        <v>215</v>
      </c>
      <c r="F396" t="s">
        <v>410</v>
      </c>
      <c r="G396">
        <v>304</v>
      </c>
      <c r="H396" t="s">
        <v>241</v>
      </c>
      <c r="I396">
        <v>660</v>
      </c>
      <c r="J396" s="64">
        <v>45506</v>
      </c>
      <c r="K396" s="64">
        <v>45523</v>
      </c>
      <c r="L396" t="s">
        <v>372</v>
      </c>
      <c r="M396" s="64">
        <v>45512</v>
      </c>
      <c r="N396" t="s">
        <v>374</v>
      </c>
      <c r="O396" t="s">
        <v>372</v>
      </c>
      <c r="P396">
        <v>0.67</v>
      </c>
      <c r="Q396">
        <v>1.83</v>
      </c>
      <c r="R396">
        <v>442.2</v>
      </c>
      <c r="S396">
        <v>1207.8</v>
      </c>
      <c r="T396" t="s">
        <v>70</v>
      </c>
      <c r="AA396">
        <f t="shared" si="6"/>
        <v>218983.93000000005</v>
      </c>
      <c r="AB396">
        <f>COUNTIF($D$1:D396,D396)</f>
        <v>96</v>
      </c>
    </row>
    <row r="397" spans="1:28" x14ac:dyDescent="0.25">
      <c r="A397">
        <v>396</v>
      </c>
      <c r="B397">
        <v>183171</v>
      </c>
      <c r="C397">
        <v>24001545</v>
      </c>
      <c r="D397" t="s">
        <v>12</v>
      </c>
      <c r="E397" t="s">
        <v>215</v>
      </c>
      <c r="F397">
        <v>5158590</v>
      </c>
      <c r="G397">
        <v>304</v>
      </c>
      <c r="H397" t="s">
        <v>241</v>
      </c>
      <c r="I397">
        <v>1080</v>
      </c>
      <c r="J397" s="64">
        <v>45505</v>
      </c>
      <c r="K397" s="64">
        <v>45506</v>
      </c>
      <c r="L397" t="s">
        <v>372</v>
      </c>
      <c r="M397" s="64">
        <v>45512</v>
      </c>
      <c r="N397" t="s">
        <v>373</v>
      </c>
      <c r="O397" t="s">
        <v>372</v>
      </c>
      <c r="P397">
        <v>0.7</v>
      </c>
      <c r="Q397">
        <v>1.71</v>
      </c>
      <c r="R397">
        <v>756</v>
      </c>
      <c r="S397">
        <v>1846.8</v>
      </c>
      <c r="T397" t="s">
        <v>70</v>
      </c>
      <c r="AA397">
        <f t="shared" si="6"/>
        <v>218983.93000000005</v>
      </c>
      <c r="AB397">
        <f>COUNTIF($D$1:D397,D397)</f>
        <v>97</v>
      </c>
    </row>
    <row r="398" spans="1:28" x14ac:dyDescent="0.25">
      <c r="A398">
        <v>397</v>
      </c>
      <c r="B398">
        <v>183172</v>
      </c>
      <c r="C398">
        <v>24001546</v>
      </c>
      <c r="D398" t="s">
        <v>12</v>
      </c>
      <c r="E398" t="s">
        <v>215</v>
      </c>
      <c r="F398">
        <v>5158584</v>
      </c>
      <c r="G398">
        <v>304</v>
      </c>
      <c r="H398" t="s">
        <v>241</v>
      </c>
      <c r="I398">
        <v>2465</v>
      </c>
      <c r="J398" s="64">
        <v>45509</v>
      </c>
      <c r="K398" s="64">
        <v>45523</v>
      </c>
      <c r="L398" t="s">
        <v>372</v>
      </c>
      <c r="M398" s="64">
        <v>45527</v>
      </c>
      <c r="N398" t="s">
        <v>373</v>
      </c>
      <c r="O398" t="s">
        <v>372</v>
      </c>
      <c r="P398">
        <v>0.7</v>
      </c>
      <c r="Q398">
        <v>1.71</v>
      </c>
      <c r="R398">
        <v>1725.5</v>
      </c>
      <c r="S398">
        <v>4215.1499999999996</v>
      </c>
      <c r="T398" t="s">
        <v>70</v>
      </c>
      <c r="AA398">
        <f t="shared" si="6"/>
        <v>218983.93000000005</v>
      </c>
      <c r="AB398">
        <f>COUNTIF($D$1:D398,D398)</f>
        <v>98</v>
      </c>
    </row>
    <row r="399" spans="1:28" x14ac:dyDescent="0.25">
      <c r="A399">
        <v>398</v>
      </c>
      <c r="B399">
        <v>183173</v>
      </c>
      <c r="C399">
        <v>24001547</v>
      </c>
      <c r="D399" t="s">
        <v>12</v>
      </c>
      <c r="E399" t="s">
        <v>215</v>
      </c>
      <c r="F399" t="s">
        <v>411</v>
      </c>
      <c r="G399">
        <v>304</v>
      </c>
      <c r="H399" t="s">
        <v>241</v>
      </c>
      <c r="I399">
        <v>350</v>
      </c>
      <c r="J399" s="64">
        <v>45509</v>
      </c>
      <c r="K399" s="64">
        <v>45525</v>
      </c>
      <c r="L399" t="s">
        <v>372</v>
      </c>
      <c r="M399" s="64">
        <v>45527</v>
      </c>
      <c r="N399" t="s">
        <v>373</v>
      </c>
      <c r="O399" t="s">
        <v>372</v>
      </c>
      <c r="P399">
        <v>0.67</v>
      </c>
      <c r="Q399">
        <v>1.83</v>
      </c>
      <c r="R399">
        <v>234.5</v>
      </c>
      <c r="S399">
        <v>640.5</v>
      </c>
      <c r="T399" t="s">
        <v>70</v>
      </c>
      <c r="AA399">
        <f t="shared" si="6"/>
        <v>218983.93000000005</v>
      </c>
      <c r="AB399">
        <f>COUNTIF($D$1:D399,D399)</f>
        <v>99</v>
      </c>
    </row>
    <row r="400" spans="1:28" x14ac:dyDescent="0.25">
      <c r="A400">
        <v>399</v>
      </c>
      <c r="B400">
        <v>183219</v>
      </c>
      <c r="C400">
        <v>24001589</v>
      </c>
      <c r="D400" t="s">
        <v>12</v>
      </c>
      <c r="E400" t="s">
        <v>215</v>
      </c>
      <c r="F400">
        <v>5158594</v>
      </c>
      <c r="G400">
        <v>348</v>
      </c>
      <c r="H400" t="s">
        <v>241</v>
      </c>
      <c r="I400">
        <v>1510</v>
      </c>
      <c r="J400" s="64">
        <v>45524</v>
      </c>
      <c r="K400" s="64">
        <v>45526</v>
      </c>
      <c r="L400" t="s">
        <v>372</v>
      </c>
      <c r="M400" s="64">
        <v>45527</v>
      </c>
      <c r="N400" t="s">
        <v>373</v>
      </c>
      <c r="O400" t="s">
        <v>372</v>
      </c>
      <c r="P400">
        <v>0.7</v>
      </c>
      <c r="Q400">
        <v>1.64</v>
      </c>
      <c r="R400">
        <v>1057</v>
      </c>
      <c r="S400">
        <v>2476.4</v>
      </c>
      <c r="T400" t="s">
        <v>70</v>
      </c>
      <c r="AA400">
        <f t="shared" si="6"/>
        <v>218983.93000000005</v>
      </c>
      <c r="AB400">
        <f>COUNTIF($D$1:D400,D400)</f>
        <v>100</v>
      </c>
    </row>
    <row r="401" spans="1:28" x14ac:dyDescent="0.25">
      <c r="A401">
        <v>400</v>
      </c>
      <c r="B401">
        <v>183426</v>
      </c>
      <c r="C401">
        <v>24001616</v>
      </c>
      <c r="D401" t="s">
        <v>12</v>
      </c>
      <c r="E401" t="s">
        <v>215</v>
      </c>
      <c r="F401">
        <v>5158039</v>
      </c>
      <c r="G401">
        <v>380</v>
      </c>
      <c r="H401" t="s">
        <v>241</v>
      </c>
      <c r="I401">
        <v>12857</v>
      </c>
      <c r="J401" s="64">
        <v>45525</v>
      </c>
      <c r="K401" s="64">
        <v>45531</v>
      </c>
      <c r="L401" t="s">
        <v>372</v>
      </c>
      <c r="M401" s="64">
        <v>45534</v>
      </c>
      <c r="N401" t="s">
        <v>373</v>
      </c>
      <c r="O401" t="s">
        <v>372</v>
      </c>
      <c r="P401">
        <v>0.65</v>
      </c>
      <c r="Q401">
        <v>1.61</v>
      </c>
      <c r="R401">
        <v>8357.0499999999993</v>
      </c>
      <c r="S401">
        <v>20699.77</v>
      </c>
      <c r="T401" t="s">
        <v>70</v>
      </c>
      <c r="AA401">
        <f t="shared" si="6"/>
        <v>218983.93000000005</v>
      </c>
      <c r="AB401">
        <f>COUNTIF($D$1:D401,D401)</f>
        <v>101</v>
      </c>
    </row>
    <row r="402" spans="1:28" x14ac:dyDescent="0.25">
      <c r="A402">
        <v>401</v>
      </c>
      <c r="B402">
        <v>183428</v>
      </c>
      <c r="C402">
        <v>24001618</v>
      </c>
      <c r="D402" t="s">
        <v>12</v>
      </c>
      <c r="E402" t="s">
        <v>215</v>
      </c>
      <c r="F402">
        <v>5158038</v>
      </c>
      <c r="G402">
        <v>380</v>
      </c>
      <c r="H402" t="s">
        <v>241</v>
      </c>
      <c r="I402">
        <v>7790</v>
      </c>
      <c r="J402" s="64">
        <v>45532</v>
      </c>
      <c r="K402" s="64">
        <v>45534</v>
      </c>
      <c r="L402" t="s">
        <v>372</v>
      </c>
      <c r="M402" s="64">
        <v>45548</v>
      </c>
      <c r="N402" t="s">
        <v>373</v>
      </c>
      <c r="O402" t="s">
        <v>376</v>
      </c>
      <c r="P402">
        <v>0.65</v>
      </c>
      <c r="Q402">
        <v>1.61</v>
      </c>
      <c r="R402">
        <v>5063.5</v>
      </c>
      <c r="S402">
        <v>12541.9</v>
      </c>
      <c r="T402" t="s">
        <v>70</v>
      </c>
      <c r="AA402">
        <f t="shared" si="6"/>
        <v>218983.93000000005</v>
      </c>
      <c r="AB402">
        <f>COUNTIF($D$1:D402,D402)</f>
        <v>102</v>
      </c>
    </row>
    <row r="403" spans="1:28" x14ac:dyDescent="0.25">
      <c r="A403">
        <v>402</v>
      </c>
      <c r="B403">
        <v>183163</v>
      </c>
      <c r="C403">
        <v>24001537</v>
      </c>
      <c r="D403" t="s">
        <v>12</v>
      </c>
      <c r="E403" t="s">
        <v>215</v>
      </c>
      <c r="F403">
        <v>5158599</v>
      </c>
      <c r="G403">
        <v>303</v>
      </c>
      <c r="H403" t="s">
        <v>241</v>
      </c>
      <c r="I403">
        <v>4845</v>
      </c>
      <c r="J403" s="64">
        <v>45518</v>
      </c>
      <c r="K403" s="64">
        <v>45523</v>
      </c>
      <c r="L403" t="s">
        <v>372</v>
      </c>
      <c r="M403" s="64">
        <v>45527</v>
      </c>
      <c r="N403" t="s">
        <v>373</v>
      </c>
      <c r="O403" t="s">
        <v>372</v>
      </c>
      <c r="P403">
        <v>0.7</v>
      </c>
      <c r="Q403">
        <v>1.71</v>
      </c>
      <c r="R403">
        <v>3391.5</v>
      </c>
      <c r="S403">
        <v>8284.9500000000007</v>
      </c>
      <c r="T403" t="s">
        <v>70</v>
      </c>
      <c r="AA403">
        <f t="shared" si="6"/>
        <v>218983.93000000005</v>
      </c>
      <c r="AB403">
        <f>COUNTIF($D$1:D403,D403)</f>
        <v>103</v>
      </c>
    </row>
    <row r="404" spans="1:28" x14ac:dyDescent="0.25">
      <c r="A404">
        <v>403</v>
      </c>
      <c r="B404">
        <v>183164</v>
      </c>
      <c r="C404">
        <v>24001538</v>
      </c>
      <c r="D404" t="s">
        <v>12</v>
      </c>
      <c r="E404" t="s">
        <v>215</v>
      </c>
      <c r="F404" t="s">
        <v>412</v>
      </c>
      <c r="G404">
        <v>303</v>
      </c>
      <c r="H404" t="s">
        <v>241</v>
      </c>
      <c r="I404">
        <v>71</v>
      </c>
      <c r="J404" s="64">
        <v>45517</v>
      </c>
      <c r="K404" s="64">
        <v>45525</v>
      </c>
      <c r="L404" t="s">
        <v>372</v>
      </c>
      <c r="M404" s="64">
        <v>45527</v>
      </c>
      <c r="N404" t="s">
        <v>373</v>
      </c>
      <c r="O404" t="s">
        <v>372</v>
      </c>
      <c r="P404">
        <v>0.67</v>
      </c>
      <c r="Q404">
        <v>1.83</v>
      </c>
      <c r="R404">
        <v>47.57</v>
      </c>
      <c r="S404">
        <v>129.93</v>
      </c>
      <c r="T404" t="s">
        <v>70</v>
      </c>
      <c r="AA404">
        <f t="shared" si="6"/>
        <v>218983.93000000005</v>
      </c>
      <c r="AB404">
        <f>COUNTIF($D$1:D404,D404)</f>
        <v>104</v>
      </c>
    </row>
    <row r="405" spans="1:28" x14ac:dyDescent="0.25">
      <c r="A405">
        <v>404</v>
      </c>
      <c r="B405">
        <v>183216</v>
      </c>
      <c r="C405">
        <v>24001586</v>
      </c>
      <c r="D405" t="s">
        <v>12</v>
      </c>
      <c r="E405" t="s">
        <v>215</v>
      </c>
      <c r="F405">
        <v>5158596</v>
      </c>
      <c r="G405">
        <v>348</v>
      </c>
      <c r="H405" t="s">
        <v>241</v>
      </c>
      <c r="I405">
        <v>3192</v>
      </c>
      <c r="J405" s="64">
        <v>45523</v>
      </c>
      <c r="K405" s="64">
        <v>45526</v>
      </c>
      <c r="L405" t="s">
        <v>372</v>
      </c>
      <c r="M405" s="64">
        <v>45527</v>
      </c>
      <c r="N405" t="s">
        <v>373</v>
      </c>
      <c r="O405" t="s">
        <v>372</v>
      </c>
      <c r="P405">
        <v>0.8</v>
      </c>
      <c r="Q405">
        <v>1.88</v>
      </c>
      <c r="R405">
        <v>2553.6</v>
      </c>
      <c r="S405">
        <v>6000.96</v>
      </c>
      <c r="T405" t="s">
        <v>70</v>
      </c>
      <c r="AA405">
        <f t="shared" si="6"/>
        <v>218983.93000000005</v>
      </c>
      <c r="AB405">
        <f>COUNTIF($D$1:D405,D405)</f>
        <v>105</v>
      </c>
    </row>
    <row r="406" spans="1:28" x14ac:dyDescent="0.25">
      <c r="A406">
        <v>405</v>
      </c>
      <c r="B406">
        <v>183217</v>
      </c>
      <c r="C406">
        <v>24001587</v>
      </c>
      <c r="D406" t="s">
        <v>12</v>
      </c>
      <c r="E406" t="s">
        <v>215</v>
      </c>
      <c r="F406">
        <v>5158614</v>
      </c>
      <c r="G406">
        <v>348</v>
      </c>
      <c r="H406" t="s">
        <v>241</v>
      </c>
      <c r="I406">
        <v>2589</v>
      </c>
      <c r="J406" s="64">
        <v>45520</v>
      </c>
      <c r="K406" s="64">
        <v>45527</v>
      </c>
      <c r="L406" t="s">
        <v>372</v>
      </c>
      <c r="M406" s="64">
        <v>45527</v>
      </c>
      <c r="N406" t="s">
        <v>373</v>
      </c>
      <c r="O406" t="s">
        <v>372</v>
      </c>
      <c r="P406">
        <v>0.7</v>
      </c>
      <c r="Q406">
        <v>1.71</v>
      </c>
      <c r="R406">
        <v>1812.3</v>
      </c>
      <c r="S406">
        <v>4427.1899999999996</v>
      </c>
      <c r="T406" t="s">
        <v>70</v>
      </c>
      <c r="AA406">
        <f t="shared" si="6"/>
        <v>218983.93000000005</v>
      </c>
      <c r="AB406">
        <f>COUNTIF($D$1:D406,D406)</f>
        <v>106</v>
      </c>
    </row>
    <row r="407" spans="1:28" x14ac:dyDescent="0.25">
      <c r="A407">
        <v>406</v>
      </c>
      <c r="B407">
        <v>182816</v>
      </c>
      <c r="C407">
        <v>24001017</v>
      </c>
      <c r="D407" t="s">
        <v>8</v>
      </c>
      <c r="E407" t="s">
        <v>75</v>
      </c>
      <c r="F407">
        <v>910010286</v>
      </c>
      <c r="G407" t="s">
        <v>413</v>
      </c>
      <c r="H407" t="s">
        <v>76</v>
      </c>
      <c r="I407">
        <v>2550</v>
      </c>
      <c r="J407" s="64">
        <v>45517</v>
      </c>
      <c r="K407" s="64">
        <v>45531</v>
      </c>
      <c r="L407" t="s">
        <v>372</v>
      </c>
      <c r="M407" s="64">
        <v>45618</v>
      </c>
      <c r="N407" t="s">
        <v>373</v>
      </c>
      <c r="O407" t="s">
        <v>414</v>
      </c>
      <c r="P407">
        <v>2.16</v>
      </c>
      <c r="Q407">
        <v>6.71</v>
      </c>
      <c r="R407">
        <v>5508</v>
      </c>
      <c r="S407">
        <v>17110.5</v>
      </c>
      <c r="T407" t="s">
        <v>70</v>
      </c>
      <c r="AA407">
        <f t="shared" si="6"/>
        <v>32663.23</v>
      </c>
      <c r="AB407">
        <f>COUNTIF($D$1:D407,D407)</f>
        <v>1</v>
      </c>
    </row>
    <row r="408" spans="1:28" x14ac:dyDescent="0.25">
      <c r="A408">
        <v>407</v>
      </c>
      <c r="B408">
        <v>182821</v>
      </c>
      <c r="C408">
        <v>24001152</v>
      </c>
      <c r="D408" t="s">
        <v>8</v>
      </c>
      <c r="E408" t="s">
        <v>75</v>
      </c>
      <c r="F408">
        <v>910010211</v>
      </c>
      <c r="G408" t="s">
        <v>415</v>
      </c>
      <c r="H408" t="s">
        <v>76</v>
      </c>
      <c r="I408">
        <v>1856</v>
      </c>
      <c r="J408" s="64">
        <v>45505</v>
      </c>
      <c r="K408" s="64">
        <v>45516</v>
      </c>
      <c r="L408" t="s">
        <v>372</v>
      </c>
      <c r="M408" s="64">
        <v>45527</v>
      </c>
      <c r="N408" t="s">
        <v>373</v>
      </c>
      <c r="O408" t="s">
        <v>372</v>
      </c>
      <c r="P408">
        <v>2.13</v>
      </c>
      <c r="Q408">
        <v>6.61</v>
      </c>
      <c r="R408">
        <v>3953.28</v>
      </c>
      <c r="S408">
        <v>12268.16</v>
      </c>
      <c r="T408" t="s">
        <v>70</v>
      </c>
      <c r="AA408">
        <f t="shared" si="6"/>
        <v>32663.23</v>
      </c>
      <c r="AB408">
        <f>COUNTIF($D$1:D408,D408)</f>
        <v>2</v>
      </c>
    </row>
    <row r="409" spans="1:28" x14ac:dyDescent="0.25">
      <c r="A409">
        <v>408</v>
      </c>
      <c r="B409">
        <v>182843</v>
      </c>
      <c r="C409">
        <v>24001158</v>
      </c>
      <c r="D409" t="s">
        <v>8</v>
      </c>
      <c r="E409" t="s">
        <v>75</v>
      </c>
      <c r="F409">
        <v>910010321</v>
      </c>
      <c r="G409" t="s">
        <v>416</v>
      </c>
      <c r="H409" t="s">
        <v>76</v>
      </c>
      <c r="I409">
        <v>468</v>
      </c>
      <c r="J409" s="64">
        <v>45532</v>
      </c>
      <c r="K409" s="64">
        <v>45534</v>
      </c>
      <c r="L409" t="s">
        <v>372</v>
      </c>
      <c r="M409" s="64">
        <v>45646</v>
      </c>
      <c r="N409" t="s">
        <v>373</v>
      </c>
      <c r="O409" t="s">
        <v>417</v>
      </c>
      <c r="P409">
        <v>1.96</v>
      </c>
      <c r="Q409">
        <v>4.55</v>
      </c>
      <c r="R409">
        <v>917.28</v>
      </c>
      <c r="S409">
        <v>2129.4</v>
      </c>
      <c r="T409" t="s">
        <v>70</v>
      </c>
      <c r="AA409">
        <f t="shared" si="6"/>
        <v>32663.23</v>
      </c>
      <c r="AB409">
        <f>COUNTIF($D$1:D409,D409)</f>
        <v>3</v>
      </c>
    </row>
    <row r="410" spans="1:28" x14ac:dyDescent="0.25">
      <c r="A410">
        <v>409</v>
      </c>
      <c r="B410">
        <v>182822</v>
      </c>
      <c r="C410">
        <v>24001156</v>
      </c>
      <c r="D410" t="s">
        <v>8</v>
      </c>
      <c r="E410" t="s">
        <v>75</v>
      </c>
      <c r="F410">
        <v>910010211</v>
      </c>
      <c r="G410" t="s">
        <v>418</v>
      </c>
      <c r="H410" t="s">
        <v>86</v>
      </c>
      <c r="I410">
        <v>1657</v>
      </c>
      <c r="J410" s="64">
        <v>45513</v>
      </c>
      <c r="K410" s="64">
        <v>45533</v>
      </c>
      <c r="L410" t="s">
        <v>372</v>
      </c>
      <c r="M410" s="64">
        <v>45558</v>
      </c>
      <c r="N410" t="s">
        <v>373</v>
      </c>
      <c r="O410" t="s">
        <v>376</v>
      </c>
      <c r="P410">
        <v>1.68</v>
      </c>
      <c r="Q410">
        <v>4.9000000000000004</v>
      </c>
      <c r="R410">
        <v>2783.76</v>
      </c>
      <c r="S410">
        <v>8119.3</v>
      </c>
      <c r="T410" t="s">
        <v>70</v>
      </c>
      <c r="AA410">
        <f t="shared" si="6"/>
        <v>32663.23</v>
      </c>
      <c r="AB410">
        <f>COUNTIF($D$1:D410,D410)</f>
        <v>4</v>
      </c>
    </row>
    <row r="411" spans="1:28" x14ac:dyDescent="0.25">
      <c r="A411">
        <v>410</v>
      </c>
      <c r="B411">
        <v>183388</v>
      </c>
      <c r="C411">
        <v>24001163</v>
      </c>
      <c r="D411" t="s">
        <v>8</v>
      </c>
      <c r="E411" t="s">
        <v>75</v>
      </c>
      <c r="F411">
        <v>910010183</v>
      </c>
      <c r="H411" t="s">
        <v>86</v>
      </c>
      <c r="I411">
        <v>824</v>
      </c>
      <c r="J411" s="64">
        <v>45506</v>
      </c>
      <c r="K411" s="64">
        <v>45531</v>
      </c>
      <c r="L411" t="s">
        <v>372</v>
      </c>
      <c r="M411" s="64">
        <v>45536</v>
      </c>
      <c r="N411" t="s">
        <v>373</v>
      </c>
      <c r="O411" t="s">
        <v>376</v>
      </c>
      <c r="P411">
        <v>2.09</v>
      </c>
      <c r="Q411">
        <v>7.06</v>
      </c>
      <c r="R411">
        <v>1722.16</v>
      </c>
      <c r="S411">
        <v>5817.44</v>
      </c>
      <c r="T411" t="s">
        <v>70</v>
      </c>
      <c r="AA411">
        <f t="shared" si="6"/>
        <v>32663.23</v>
      </c>
      <c r="AB411">
        <f>COUNTIF($D$1:D411,D411)</f>
        <v>5</v>
      </c>
    </row>
    <row r="412" spans="1:28" x14ac:dyDescent="0.25">
      <c r="A412">
        <v>411</v>
      </c>
      <c r="B412">
        <v>183318</v>
      </c>
      <c r="C412">
        <v>24001167</v>
      </c>
      <c r="D412" t="s">
        <v>8</v>
      </c>
      <c r="E412" t="s">
        <v>75</v>
      </c>
      <c r="F412">
        <v>910007293</v>
      </c>
      <c r="H412" t="s">
        <v>86</v>
      </c>
      <c r="I412">
        <v>1243</v>
      </c>
      <c r="J412" s="64">
        <v>45505</v>
      </c>
      <c r="K412" s="64">
        <v>45526</v>
      </c>
      <c r="L412" t="s">
        <v>372</v>
      </c>
      <c r="M412" s="64">
        <v>45566</v>
      </c>
      <c r="N412" t="s">
        <v>373</v>
      </c>
      <c r="O412" t="s">
        <v>419</v>
      </c>
      <c r="P412">
        <v>2.69</v>
      </c>
      <c r="Q412">
        <v>7.85</v>
      </c>
      <c r="R412">
        <v>3343.67</v>
      </c>
      <c r="S412">
        <v>9757.5499999999993</v>
      </c>
      <c r="T412" t="s">
        <v>70</v>
      </c>
      <c r="AA412">
        <f t="shared" si="6"/>
        <v>32663.23</v>
      </c>
      <c r="AB412">
        <f>COUNTIF($D$1:D412,D412)</f>
        <v>6</v>
      </c>
    </row>
    <row r="413" spans="1:28" x14ac:dyDescent="0.25">
      <c r="A413">
        <v>412</v>
      </c>
      <c r="B413">
        <v>181912</v>
      </c>
      <c r="C413">
        <v>23001208</v>
      </c>
      <c r="D413" t="s">
        <v>8</v>
      </c>
      <c r="E413" t="s">
        <v>75</v>
      </c>
      <c r="F413">
        <v>910007576</v>
      </c>
      <c r="G413" t="s">
        <v>420</v>
      </c>
      <c r="H413" t="s">
        <v>79</v>
      </c>
      <c r="I413">
        <v>1106</v>
      </c>
      <c r="J413" s="64">
        <v>45505</v>
      </c>
      <c r="K413" s="64">
        <v>45513</v>
      </c>
      <c r="L413" t="s">
        <v>372</v>
      </c>
      <c r="M413" s="64">
        <v>45527</v>
      </c>
      <c r="N413" t="s">
        <v>373</v>
      </c>
      <c r="O413" t="s">
        <v>372</v>
      </c>
      <c r="P413">
        <v>2.1</v>
      </c>
      <c r="Q413">
        <v>4.41</v>
      </c>
      <c r="R413">
        <v>2322.6</v>
      </c>
      <c r="S413">
        <v>4877.46</v>
      </c>
      <c r="T413" t="s">
        <v>70</v>
      </c>
      <c r="AA413">
        <f t="shared" si="6"/>
        <v>32663.23</v>
      </c>
      <c r="AB413">
        <f>COUNTIF($D$1:D413,D413)</f>
        <v>7</v>
      </c>
    </row>
    <row r="414" spans="1:28" x14ac:dyDescent="0.25">
      <c r="A414">
        <v>413</v>
      </c>
      <c r="B414">
        <v>183369</v>
      </c>
      <c r="C414">
        <v>24001181</v>
      </c>
      <c r="D414" t="s">
        <v>8</v>
      </c>
      <c r="E414" t="s">
        <v>75</v>
      </c>
      <c r="F414">
        <v>910007374</v>
      </c>
      <c r="H414" t="s">
        <v>79</v>
      </c>
      <c r="I414">
        <v>123</v>
      </c>
      <c r="J414" s="64">
        <v>45534</v>
      </c>
      <c r="K414" s="64">
        <v>45534</v>
      </c>
      <c r="L414" t="s">
        <v>372</v>
      </c>
      <c r="M414" s="64">
        <v>45558</v>
      </c>
      <c r="N414" t="s">
        <v>373</v>
      </c>
      <c r="O414" t="s">
        <v>376</v>
      </c>
      <c r="P414">
        <v>1.81</v>
      </c>
      <c r="Q414">
        <v>5.03</v>
      </c>
      <c r="R414">
        <v>222.63</v>
      </c>
      <c r="S414">
        <v>618.69000000000005</v>
      </c>
      <c r="T414" t="s">
        <v>70</v>
      </c>
      <c r="AA414">
        <f t="shared" si="6"/>
        <v>32663.23</v>
      </c>
      <c r="AB414">
        <f>COUNTIF($D$1:D414,D414)</f>
        <v>8</v>
      </c>
    </row>
    <row r="415" spans="1:28" x14ac:dyDescent="0.25">
      <c r="A415">
        <v>414</v>
      </c>
      <c r="B415">
        <v>182818</v>
      </c>
      <c r="C415">
        <v>24001006</v>
      </c>
      <c r="D415" t="s">
        <v>8</v>
      </c>
      <c r="E415" t="s">
        <v>75</v>
      </c>
      <c r="F415">
        <v>910006627</v>
      </c>
      <c r="G415" t="s">
        <v>421</v>
      </c>
      <c r="H415" t="s">
        <v>79</v>
      </c>
      <c r="I415">
        <v>1032</v>
      </c>
      <c r="J415" s="64">
        <v>45516</v>
      </c>
      <c r="K415" s="64">
        <v>45534</v>
      </c>
      <c r="L415" t="s">
        <v>372</v>
      </c>
      <c r="M415" s="64">
        <v>45541</v>
      </c>
      <c r="N415" t="s">
        <v>373</v>
      </c>
      <c r="O415" t="s">
        <v>376</v>
      </c>
      <c r="P415">
        <v>1.72</v>
      </c>
      <c r="Q415">
        <v>4.76</v>
      </c>
      <c r="R415">
        <v>1775.04</v>
      </c>
      <c r="S415">
        <v>4912.32</v>
      </c>
      <c r="T415" t="s">
        <v>70</v>
      </c>
      <c r="AA415">
        <f t="shared" si="6"/>
        <v>32663.23</v>
      </c>
      <c r="AB415">
        <f>COUNTIF($D$1:D415,D415)</f>
        <v>9</v>
      </c>
    </row>
    <row r="416" spans="1:28" x14ac:dyDescent="0.25">
      <c r="A416">
        <v>415</v>
      </c>
      <c r="B416">
        <v>182812</v>
      </c>
      <c r="C416">
        <v>23001210</v>
      </c>
      <c r="D416" t="s">
        <v>8</v>
      </c>
      <c r="E416" t="s">
        <v>75</v>
      </c>
      <c r="F416">
        <v>910006628</v>
      </c>
      <c r="G416" t="s">
        <v>422</v>
      </c>
      <c r="H416" t="s">
        <v>79</v>
      </c>
      <c r="I416">
        <v>972</v>
      </c>
      <c r="J416" s="64">
        <v>45523</v>
      </c>
      <c r="K416" s="64">
        <v>45533</v>
      </c>
      <c r="L416" t="s">
        <v>372</v>
      </c>
      <c r="M416" s="64">
        <v>45541</v>
      </c>
      <c r="N416" t="s">
        <v>373</v>
      </c>
      <c r="O416" t="s">
        <v>376</v>
      </c>
      <c r="P416">
        <v>2.0699999999999998</v>
      </c>
      <c r="Q416">
        <v>5.33</v>
      </c>
      <c r="R416">
        <v>2012.04</v>
      </c>
      <c r="S416">
        <v>5180.76</v>
      </c>
      <c r="T416" t="s">
        <v>70</v>
      </c>
      <c r="AA416">
        <f t="shared" si="6"/>
        <v>32663.23</v>
      </c>
      <c r="AB416">
        <f>COUNTIF($D$1:D416,D416)</f>
        <v>10</v>
      </c>
    </row>
    <row r="417" spans="1:28" x14ac:dyDescent="0.25">
      <c r="A417">
        <v>416</v>
      </c>
      <c r="B417">
        <v>182813</v>
      </c>
      <c r="C417">
        <v>23001210</v>
      </c>
      <c r="D417" t="s">
        <v>8</v>
      </c>
      <c r="E417" t="s">
        <v>75</v>
      </c>
      <c r="F417">
        <v>910006628</v>
      </c>
      <c r="G417" t="s">
        <v>422</v>
      </c>
      <c r="H417" t="s">
        <v>79</v>
      </c>
      <c r="I417">
        <v>991</v>
      </c>
      <c r="J417" s="64">
        <v>45530</v>
      </c>
      <c r="K417" s="64">
        <v>45533</v>
      </c>
      <c r="L417" t="s">
        <v>372</v>
      </c>
      <c r="M417" s="64">
        <v>45541</v>
      </c>
      <c r="N417" t="s">
        <v>373</v>
      </c>
      <c r="O417" t="s">
        <v>376</v>
      </c>
      <c r="P417">
        <v>2.0699999999999998</v>
      </c>
      <c r="Q417">
        <v>5.33</v>
      </c>
      <c r="R417">
        <v>2051.37</v>
      </c>
      <c r="S417">
        <v>5282.03</v>
      </c>
      <c r="T417" t="s">
        <v>70</v>
      </c>
      <c r="AA417">
        <f t="shared" si="6"/>
        <v>32663.23</v>
      </c>
      <c r="AB417">
        <f>COUNTIF($D$1:D417,D417)</f>
        <v>11</v>
      </c>
    </row>
    <row r="418" spans="1:28" x14ac:dyDescent="0.25">
      <c r="A418">
        <v>417</v>
      </c>
      <c r="B418">
        <v>182941</v>
      </c>
      <c r="C418">
        <v>23001208</v>
      </c>
      <c r="D418" t="s">
        <v>8</v>
      </c>
      <c r="E418" t="s">
        <v>75</v>
      </c>
      <c r="F418">
        <v>910007576</v>
      </c>
      <c r="H418" t="s">
        <v>79</v>
      </c>
      <c r="I418">
        <v>655</v>
      </c>
      <c r="J418" s="64">
        <v>45505</v>
      </c>
      <c r="K418" s="64">
        <v>45516</v>
      </c>
      <c r="L418" t="s">
        <v>372</v>
      </c>
      <c r="M418" s="64">
        <v>45527</v>
      </c>
      <c r="N418" t="s">
        <v>373</v>
      </c>
      <c r="O418" t="s">
        <v>372</v>
      </c>
      <c r="P418">
        <v>2.1</v>
      </c>
      <c r="Q418">
        <v>4.41</v>
      </c>
      <c r="R418">
        <v>1375.5</v>
      </c>
      <c r="S418">
        <v>2888.55</v>
      </c>
      <c r="T418" t="s">
        <v>70</v>
      </c>
      <c r="AA418">
        <f t="shared" si="6"/>
        <v>32663.23</v>
      </c>
      <c r="AB418">
        <f>COUNTIF($D$1:D418,D418)</f>
        <v>12</v>
      </c>
    </row>
    <row r="419" spans="1:28" x14ac:dyDescent="0.25">
      <c r="A419">
        <v>418</v>
      </c>
      <c r="B419">
        <v>183293</v>
      </c>
      <c r="C419">
        <v>24001187</v>
      </c>
      <c r="D419" t="s">
        <v>8</v>
      </c>
      <c r="E419" t="s">
        <v>121</v>
      </c>
      <c r="F419" t="s">
        <v>423</v>
      </c>
      <c r="H419" t="s">
        <v>115</v>
      </c>
      <c r="I419">
        <v>440</v>
      </c>
      <c r="J419" s="64">
        <v>45505</v>
      </c>
      <c r="K419" s="64">
        <v>45506</v>
      </c>
      <c r="L419" t="s">
        <v>372</v>
      </c>
      <c r="M419" s="64">
        <v>45499</v>
      </c>
      <c r="N419" t="s">
        <v>374</v>
      </c>
      <c r="O419" t="s">
        <v>377</v>
      </c>
      <c r="P419">
        <v>3.22</v>
      </c>
      <c r="Q419">
        <v>3.38</v>
      </c>
      <c r="R419">
        <v>1416.8</v>
      </c>
      <c r="S419">
        <v>1487.2</v>
      </c>
      <c r="T419" t="s">
        <v>71</v>
      </c>
      <c r="AA419">
        <f t="shared" si="6"/>
        <v>32663.23</v>
      </c>
      <c r="AB419">
        <f>COUNTIF($D$1:D419,D419)</f>
        <v>13</v>
      </c>
    </row>
    <row r="420" spans="1:28" x14ac:dyDescent="0.25">
      <c r="A420">
        <v>419</v>
      </c>
      <c r="B420">
        <v>183388</v>
      </c>
      <c r="C420">
        <v>24001163</v>
      </c>
      <c r="D420" t="s">
        <v>8</v>
      </c>
      <c r="E420" t="s">
        <v>75</v>
      </c>
      <c r="F420">
        <v>910010183</v>
      </c>
      <c r="H420" t="s">
        <v>115</v>
      </c>
      <c r="I420">
        <v>1550</v>
      </c>
      <c r="J420" s="64">
        <v>45513</v>
      </c>
      <c r="K420" s="64">
        <v>45526</v>
      </c>
      <c r="L420" t="s">
        <v>372</v>
      </c>
      <c r="M420" s="64">
        <v>45555</v>
      </c>
      <c r="N420" t="s">
        <v>373</v>
      </c>
      <c r="O420" t="s">
        <v>376</v>
      </c>
      <c r="P420">
        <v>2.09</v>
      </c>
      <c r="Q420">
        <v>7.06</v>
      </c>
      <c r="R420">
        <v>3239.5</v>
      </c>
      <c r="S420">
        <v>10943</v>
      </c>
      <c r="T420" t="s">
        <v>70</v>
      </c>
      <c r="AA420">
        <f t="shared" si="6"/>
        <v>32663.23</v>
      </c>
      <c r="AB420">
        <f>COUNTIF($D$1:D420,D420)</f>
        <v>14</v>
      </c>
    </row>
    <row r="421" spans="1:28" x14ac:dyDescent="0.25">
      <c r="A421">
        <v>420</v>
      </c>
      <c r="B421">
        <v>182843</v>
      </c>
      <c r="C421">
        <v>24001158</v>
      </c>
      <c r="D421" t="s">
        <v>8</v>
      </c>
      <c r="E421" t="s">
        <v>75</v>
      </c>
      <c r="F421">
        <v>910010321</v>
      </c>
      <c r="G421" t="s">
        <v>416</v>
      </c>
      <c r="H421" t="s">
        <v>115</v>
      </c>
      <c r="I421">
        <v>10</v>
      </c>
      <c r="J421" s="64">
        <v>45527</v>
      </c>
      <c r="K421" s="64">
        <v>45534</v>
      </c>
      <c r="L421" t="s">
        <v>372</v>
      </c>
      <c r="M421" s="64">
        <v>45669</v>
      </c>
      <c r="N421" t="s">
        <v>373</v>
      </c>
      <c r="O421" t="s">
        <v>424</v>
      </c>
      <c r="P421">
        <v>1.96</v>
      </c>
      <c r="Q421">
        <v>4.55</v>
      </c>
      <c r="R421">
        <v>19.600000000000001</v>
      </c>
      <c r="S421">
        <v>45.5</v>
      </c>
      <c r="T421" t="s">
        <v>70</v>
      </c>
      <c r="AA421">
        <f t="shared" si="6"/>
        <v>32663.23</v>
      </c>
      <c r="AB421">
        <f>COUNTIF($D$1:D421,D421)</f>
        <v>15</v>
      </c>
    </row>
    <row r="422" spans="1:28" x14ac:dyDescent="0.25">
      <c r="A422">
        <v>421</v>
      </c>
      <c r="B422">
        <v>183084</v>
      </c>
      <c r="C422">
        <v>24001210</v>
      </c>
      <c r="D422" t="s">
        <v>9</v>
      </c>
      <c r="E422" t="s">
        <v>82</v>
      </c>
      <c r="F422" t="s">
        <v>425</v>
      </c>
      <c r="G422" t="s">
        <v>426</v>
      </c>
      <c r="H422" t="s">
        <v>76</v>
      </c>
      <c r="I422">
        <v>13</v>
      </c>
      <c r="J422" s="64">
        <v>45505</v>
      </c>
      <c r="K422" s="64">
        <v>45512</v>
      </c>
      <c r="L422" t="s">
        <v>372</v>
      </c>
      <c r="M422" s="64">
        <v>45527</v>
      </c>
      <c r="N422" t="s">
        <v>373</v>
      </c>
      <c r="O422" t="s">
        <v>372</v>
      </c>
      <c r="P422">
        <v>3.11</v>
      </c>
      <c r="Q422">
        <v>3.38</v>
      </c>
      <c r="R422">
        <v>40.43</v>
      </c>
      <c r="S422">
        <v>43.94</v>
      </c>
      <c r="T422" t="s">
        <v>427</v>
      </c>
      <c r="AA422">
        <f t="shared" si="6"/>
        <v>48019.700000000004</v>
      </c>
      <c r="AB422">
        <f>COUNTIF($D$1:D422,D422)</f>
        <v>1</v>
      </c>
    </row>
    <row r="423" spans="1:28" x14ac:dyDescent="0.25">
      <c r="A423">
        <v>422</v>
      </c>
      <c r="B423">
        <v>183088</v>
      </c>
      <c r="C423">
        <v>24001213</v>
      </c>
      <c r="D423" t="s">
        <v>9</v>
      </c>
      <c r="E423" t="s">
        <v>82</v>
      </c>
      <c r="F423" t="s">
        <v>428</v>
      </c>
      <c r="G423" t="s">
        <v>429</v>
      </c>
      <c r="H423" t="s">
        <v>76</v>
      </c>
      <c r="I423">
        <v>77</v>
      </c>
      <c r="J423" s="64">
        <v>45511</v>
      </c>
      <c r="K423" s="64">
        <v>45517</v>
      </c>
      <c r="L423" t="s">
        <v>372</v>
      </c>
      <c r="M423" s="64">
        <v>45527</v>
      </c>
      <c r="N423" t="s">
        <v>373</v>
      </c>
      <c r="O423" t="s">
        <v>372</v>
      </c>
      <c r="P423">
        <v>3.44</v>
      </c>
      <c r="Q423">
        <v>3.71</v>
      </c>
      <c r="R423">
        <v>264.88</v>
      </c>
      <c r="S423">
        <v>285.67</v>
      </c>
      <c r="T423" t="s">
        <v>427</v>
      </c>
      <c r="AA423">
        <f t="shared" si="6"/>
        <v>48019.700000000004</v>
      </c>
      <c r="AB423">
        <f>COUNTIF($D$1:D423,D423)</f>
        <v>2</v>
      </c>
    </row>
    <row r="424" spans="1:28" x14ac:dyDescent="0.25">
      <c r="A424">
        <v>423</v>
      </c>
      <c r="B424">
        <v>183097</v>
      </c>
      <c r="C424">
        <v>24001219</v>
      </c>
      <c r="D424" t="s">
        <v>9</v>
      </c>
      <c r="E424" t="s">
        <v>82</v>
      </c>
      <c r="F424" t="s">
        <v>430</v>
      </c>
      <c r="G424" t="s">
        <v>431</v>
      </c>
      <c r="H424" t="s">
        <v>76</v>
      </c>
      <c r="I424">
        <v>1467</v>
      </c>
      <c r="J424" s="64">
        <v>45505</v>
      </c>
      <c r="K424" s="64">
        <v>45513</v>
      </c>
      <c r="L424" t="s">
        <v>372</v>
      </c>
      <c r="M424" s="64">
        <v>45548</v>
      </c>
      <c r="N424" t="s">
        <v>373</v>
      </c>
      <c r="O424" t="s">
        <v>376</v>
      </c>
      <c r="P424">
        <v>2.8</v>
      </c>
      <c r="Q424">
        <v>3.07</v>
      </c>
      <c r="R424">
        <v>4107.6000000000004</v>
      </c>
      <c r="S424">
        <v>4503.6899999999996</v>
      </c>
      <c r="T424" t="s">
        <v>427</v>
      </c>
      <c r="AA424">
        <f t="shared" si="6"/>
        <v>48019.700000000004</v>
      </c>
      <c r="AB424">
        <f>COUNTIF($D$1:D424,D424)</f>
        <v>3</v>
      </c>
    </row>
    <row r="425" spans="1:28" x14ac:dyDescent="0.25">
      <c r="A425">
        <v>424</v>
      </c>
      <c r="B425">
        <v>183405</v>
      </c>
      <c r="C425">
        <v>24001230</v>
      </c>
      <c r="D425" t="s">
        <v>9</v>
      </c>
      <c r="E425" t="s">
        <v>137</v>
      </c>
      <c r="F425" t="s">
        <v>432</v>
      </c>
      <c r="H425" t="s">
        <v>76</v>
      </c>
      <c r="I425">
        <v>100</v>
      </c>
      <c r="J425" s="64">
        <v>45513</v>
      </c>
      <c r="K425" s="64">
        <v>45516</v>
      </c>
      <c r="L425" t="s">
        <v>372</v>
      </c>
      <c r="M425" s="64">
        <v>45520</v>
      </c>
      <c r="N425" t="s">
        <v>373</v>
      </c>
      <c r="O425" t="s">
        <v>372</v>
      </c>
      <c r="P425">
        <v>18.87</v>
      </c>
      <c r="Q425">
        <v>19</v>
      </c>
      <c r="R425">
        <v>1887</v>
      </c>
      <c r="S425">
        <v>1900</v>
      </c>
      <c r="T425" t="s">
        <v>427</v>
      </c>
      <c r="AA425">
        <f t="shared" si="6"/>
        <v>48019.700000000004</v>
      </c>
      <c r="AB425">
        <f>COUNTIF($D$1:D425,D425)</f>
        <v>4</v>
      </c>
    </row>
    <row r="426" spans="1:28" x14ac:dyDescent="0.25">
      <c r="A426">
        <v>425</v>
      </c>
      <c r="B426">
        <v>183406</v>
      </c>
      <c r="C426">
        <v>24001231</v>
      </c>
      <c r="D426" t="s">
        <v>9</v>
      </c>
      <c r="E426" t="s">
        <v>137</v>
      </c>
      <c r="F426" t="s">
        <v>433</v>
      </c>
      <c r="H426" t="s">
        <v>76</v>
      </c>
      <c r="I426">
        <v>103</v>
      </c>
      <c r="J426" s="64">
        <v>45516</v>
      </c>
      <c r="K426" s="64">
        <v>45520</v>
      </c>
      <c r="L426" t="s">
        <v>372</v>
      </c>
      <c r="M426" s="64">
        <v>45520</v>
      </c>
      <c r="N426" t="s">
        <v>373</v>
      </c>
      <c r="O426" t="s">
        <v>372</v>
      </c>
      <c r="P426">
        <v>18.12</v>
      </c>
      <c r="Q426">
        <v>18.25</v>
      </c>
      <c r="R426">
        <v>1866.36</v>
      </c>
      <c r="S426">
        <v>1879.75</v>
      </c>
      <c r="T426" t="s">
        <v>427</v>
      </c>
      <c r="AA426">
        <f t="shared" si="6"/>
        <v>48019.700000000004</v>
      </c>
      <c r="AB426">
        <f>COUNTIF($D$1:D426,D426)</f>
        <v>5</v>
      </c>
    </row>
    <row r="427" spans="1:28" x14ac:dyDescent="0.25">
      <c r="A427">
        <v>426</v>
      </c>
      <c r="B427">
        <v>183332</v>
      </c>
      <c r="C427">
        <v>24001168</v>
      </c>
      <c r="D427" t="s">
        <v>9</v>
      </c>
      <c r="E427" t="s">
        <v>75</v>
      </c>
      <c r="F427">
        <v>910010307</v>
      </c>
      <c r="H427" t="s">
        <v>76</v>
      </c>
      <c r="I427">
        <v>1641</v>
      </c>
      <c r="J427" s="64">
        <v>45513</v>
      </c>
      <c r="K427" s="64">
        <v>45535</v>
      </c>
      <c r="L427" t="s">
        <v>372</v>
      </c>
      <c r="M427" s="64">
        <v>45551</v>
      </c>
      <c r="N427" t="s">
        <v>373</v>
      </c>
      <c r="O427" t="s">
        <v>376</v>
      </c>
      <c r="P427">
        <v>4.09</v>
      </c>
      <c r="Q427">
        <v>7.84</v>
      </c>
      <c r="R427">
        <v>6711.69</v>
      </c>
      <c r="S427">
        <v>12865.44</v>
      </c>
      <c r="T427" t="s">
        <v>70</v>
      </c>
      <c r="AA427">
        <f t="shared" si="6"/>
        <v>48019.700000000004</v>
      </c>
      <c r="AB427">
        <f>COUNTIF($D$1:D427,D427)</f>
        <v>6</v>
      </c>
    </row>
    <row r="428" spans="1:28" x14ac:dyDescent="0.25">
      <c r="A428">
        <v>427</v>
      </c>
      <c r="B428">
        <v>183620</v>
      </c>
      <c r="C428">
        <v>24001296</v>
      </c>
      <c r="D428" t="s">
        <v>9</v>
      </c>
      <c r="E428" t="s">
        <v>137</v>
      </c>
      <c r="F428" t="s">
        <v>434</v>
      </c>
      <c r="G428" t="s">
        <v>435</v>
      </c>
      <c r="H428" t="s">
        <v>76</v>
      </c>
      <c r="I428">
        <v>280</v>
      </c>
      <c r="J428" s="64">
        <v>45535</v>
      </c>
      <c r="K428" s="64">
        <v>45535</v>
      </c>
      <c r="L428" t="s">
        <v>372</v>
      </c>
      <c r="M428" s="64">
        <v>45566</v>
      </c>
      <c r="N428" t="s">
        <v>373</v>
      </c>
      <c r="O428" t="s">
        <v>419</v>
      </c>
      <c r="P428">
        <v>1.94</v>
      </c>
      <c r="Q428">
        <v>1.95</v>
      </c>
      <c r="R428">
        <v>543.20000000000005</v>
      </c>
      <c r="S428">
        <v>546</v>
      </c>
      <c r="T428" t="s">
        <v>427</v>
      </c>
      <c r="AA428">
        <f t="shared" si="6"/>
        <v>48019.700000000004</v>
      </c>
      <c r="AB428">
        <f>COUNTIF($D$1:D428,D428)</f>
        <v>7</v>
      </c>
    </row>
    <row r="429" spans="1:28" x14ac:dyDescent="0.25">
      <c r="A429">
        <v>428</v>
      </c>
      <c r="B429">
        <v>182664</v>
      </c>
      <c r="C429">
        <v>24001109</v>
      </c>
      <c r="D429" t="s">
        <v>9</v>
      </c>
      <c r="E429" t="s">
        <v>137</v>
      </c>
      <c r="F429" t="s">
        <v>436</v>
      </c>
      <c r="G429" t="s">
        <v>437</v>
      </c>
      <c r="H429" t="s">
        <v>86</v>
      </c>
      <c r="I429">
        <v>1972</v>
      </c>
      <c r="J429" s="64">
        <v>45517</v>
      </c>
      <c r="K429" s="64">
        <v>45528</v>
      </c>
      <c r="L429" t="s">
        <v>372</v>
      </c>
      <c r="M429" s="64">
        <v>45562</v>
      </c>
      <c r="N429" t="s">
        <v>373</v>
      </c>
      <c r="O429" t="s">
        <v>376</v>
      </c>
      <c r="P429">
        <v>0.28999999999999998</v>
      </c>
      <c r="Q429">
        <v>0.3</v>
      </c>
      <c r="R429">
        <v>571.88</v>
      </c>
      <c r="S429">
        <v>591.6</v>
      </c>
      <c r="T429" t="s">
        <v>427</v>
      </c>
      <c r="AA429">
        <f t="shared" si="6"/>
        <v>48019.700000000004</v>
      </c>
      <c r="AB429">
        <f>COUNTIF($D$1:D429,D429)</f>
        <v>8</v>
      </c>
    </row>
    <row r="430" spans="1:28" x14ac:dyDescent="0.25">
      <c r="A430">
        <v>429</v>
      </c>
      <c r="B430">
        <v>182665</v>
      </c>
      <c r="C430">
        <v>24001110</v>
      </c>
      <c r="D430" t="s">
        <v>9</v>
      </c>
      <c r="E430" t="s">
        <v>137</v>
      </c>
      <c r="F430" t="s">
        <v>438</v>
      </c>
      <c r="G430" t="s">
        <v>437</v>
      </c>
      <c r="H430" t="s">
        <v>86</v>
      </c>
      <c r="I430">
        <v>7859</v>
      </c>
      <c r="J430" s="64">
        <v>45517</v>
      </c>
      <c r="K430" s="64">
        <v>45525</v>
      </c>
      <c r="L430" t="s">
        <v>372</v>
      </c>
      <c r="M430" s="64">
        <v>45562</v>
      </c>
      <c r="N430" t="s">
        <v>373</v>
      </c>
      <c r="O430" t="s">
        <v>376</v>
      </c>
      <c r="P430">
        <v>0.24</v>
      </c>
      <c r="Q430">
        <v>0.25</v>
      </c>
      <c r="R430">
        <v>1886.16</v>
      </c>
      <c r="S430">
        <v>1964.75</v>
      </c>
      <c r="T430" t="s">
        <v>427</v>
      </c>
      <c r="AA430">
        <f t="shared" si="6"/>
        <v>48019.700000000004</v>
      </c>
      <c r="AB430">
        <f>COUNTIF($D$1:D430,D430)</f>
        <v>9</v>
      </c>
    </row>
    <row r="431" spans="1:28" x14ac:dyDescent="0.25">
      <c r="A431">
        <v>430</v>
      </c>
      <c r="B431">
        <v>182666</v>
      </c>
      <c r="C431">
        <v>24001111</v>
      </c>
      <c r="D431" t="s">
        <v>9</v>
      </c>
      <c r="E431" t="s">
        <v>137</v>
      </c>
      <c r="F431" t="s">
        <v>439</v>
      </c>
      <c r="G431" t="s">
        <v>437</v>
      </c>
      <c r="H431" t="s">
        <v>86</v>
      </c>
      <c r="I431">
        <v>2060</v>
      </c>
      <c r="J431" s="64">
        <v>45525</v>
      </c>
      <c r="K431" s="64">
        <v>45526</v>
      </c>
      <c r="L431" t="s">
        <v>372</v>
      </c>
      <c r="M431" s="64">
        <v>45562</v>
      </c>
      <c r="N431" t="s">
        <v>373</v>
      </c>
      <c r="O431" t="s">
        <v>376</v>
      </c>
      <c r="P431">
        <v>0.24</v>
      </c>
      <c r="Q431">
        <v>0.6</v>
      </c>
      <c r="R431">
        <v>494.4</v>
      </c>
      <c r="S431">
        <v>1236</v>
      </c>
      <c r="T431" t="s">
        <v>427</v>
      </c>
      <c r="AA431">
        <f t="shared" si="6"/>
        <v>48019.700000000004</v>
      </c>
      <c r="AB431">
        <f>COUNTIF($D$1:D431,D431)</f>
        <v>10</v>
      </c>
    </row>
    <row r="432" spans="1:28" x14ac:dyDescent="0.25">
      <c r="A432">
        <v>431</v>
      </c>
      <c r="B432">
        <v>182667</v>
      </c>
      <c r="C432">
        <v>24001112</v>
      </c>
      <c r="D432" t="s">
        <v>9</v>
      </c>
      <c r="E432" t="s">
        <v>137</v>
      </c>
      <c r="F432" t="s">
        <v>440</v>
      </c>
      <c r="G432" t="s">
        <v>437</v>
      </c>
      <c r="H432" t="s">
        <v>86</v>
      </c>
      <c r="I432">
        <v>1540</v>
      </c>
      <c r="J432" s="64">
        <v>45516</v>
      </c>
      <c r="K432" s="64">
        <v>45517</v>
      </c>
      <c r="L432" t="s">
        <v>372</v>
      </c>
      <c r="M432" s="64">
        <v>45562</v>
      </c>
      <c r="N432" t="s">
        <v>373</v>
      </c>
      <c r="O432" t="s">
        <v>376</v>
      </c>
      <c r="P432">
        <v>0.24</v>
      </c>
      <c r="Q432">
        <v>0.25</v>
      </c>
      <c r="R432">
        <v>369.6</v>
      </c>
      <c r="S432">
        <v>385</v>
      </c>
      <c r="T432" t="s">
        <v>427</v>
      </c>
      <c r="AA432">
        <f t="shared" si="6"/>
        <v>48019.700000000004</v>
      </c>
      <c r="AB432">
        <f>COUNTIF($D$1:D432,D432)</f>
        <v>11</v>
      </c>
    </row>
    <row r="433" spans="1:28" x14ac:dyDescent="0.25">
      <c r="A433">
        <v>432</v>
      </c>
      <c r="B433">
        <v>182660</v>
      </c>
      <c r="C433">
        <v>24001105</v>
      </c>
      <c r="D433" t="s">
        <v>9</v>
      </c>
      <c r="E433" t="s">
        <v>137</v>
      </c>
      <c r="F433" t="s">
        <v>441</v>
      </c>
      <c r="G433" t="s">
        <v>437</v>
      </c>
      <c r="H433" t="s">
        <v>86</v>
      </c>
      <c r="I433">
        <v>5377</v>
      </c>
      <c r="J433" s="64">
        <v>45528</v>
      </c>
      <c r="K433" s="64">
        <v>45535</v>
      </c>
      <c r="L433" t="s">
        <v>372</v>
      </c>
      <c r="M433" s="64">
        <v>45562</v>
      </c>
      <c r="N433" t="s">
        <v>373</v>
      </c>
      <c r="O433" t="s">
        <v>376</v>
      </c>
      <c r="P433">
        <v>0.37</v>
      </c>
      <c r="Q433">
        <v>0.38</v>
      </c>
      <c r="R433">
        <v>1989.49</v>
      </c>
      <c r="S433">
        <v>2043.26</v>
      </c>
      <c r="T433" t="s">
        <v>427</v>
      </c>
      <c r="AA433">
        <f t="shared" si="6"/>
        <v>48019.700000000004</v>
      </c>
      <c r="AB433">
        <f>COUNTIF($D$1:D433,D433)</f>
        <v>12</v>
      </c>
    </row>
    <row r="434" spans="1:28" x14ac:dyDescent="0.25">
      <c r="A434">
        <v>433</v>
      </c>
      <c r="B434">
        <v>183106</v>
      </c>
      <c r="C434">
        <v>24001174</v>
      </c>
      <c r="D434" t="s">
        <v>9</v>
      </c>
      <c r="E434" t="s">
        <v>137</v>
      </c>
      <c r="F434" t="s">
        <v>442</v>
      </c>
      <c r="G434" t="s">
        <v>443</v>
      </c>
      <c r="H434" t="s">
        <v>86</v>
      </c>
      <c r="I434">
        <v>3000</v>
      </c>
      <c r="J434" s="64">
        <v>45505</v>
      </c>
      <c r="K434" s="64">
        <v>45513</v>
      </c>
      <c r="L434" t="s">
        <v>372</v>
      </c>
      <c r="M434" s="64">
        <v>45527</v>
      </c>
      <c r="N434" t="s">
        <v>373</v>
      </c>
      <c r="O434" t="s">
        <v>372</v>
      </c>
      <c r="P434">
        <v>0.34</v>
      </c>
      <c r="Q434">
        <v>0.35</v>
      </c>
      <c r="R434">
        <v>1020</v>
      </c>
      <c r="S434">
        <v>1050</v>
      </c>
      <c r="T434" t="s">
        <v>427</v>
      </c>
      <c r="AA434">
        <f t="shared" si="6"/>
        <v>48019.700000000004</v>
      </c>
      <c r="AB434">
        <f>COUNTIF($D$1:D434,D434)</f>
        <v>13</v>
      </c>
    </row>
    <row r="435" spans="1:28" x14ac:dyDescent="0.25">
      <c r="A435">
        <v>434</v>
      </c>
      <c r="B435">
        <v>183107</v>
      </c>
      <c r="C435">
        <v>24001175</v>
      </c>
      <c r="D435" t="s">
        <v>9</v>
      </c>
      <c r="E435" t="s">
        <v>137</v>
      </c>
      <c r="F435" t="s">
        <v>444</v>
      </c>
      <c r="G435" t="s">
        <v>443</v>
      </c>
      <c r="H435" t="s">
        <v>86</v>
      </c>
      <c r="I435">
        <v>3051</v>
      </c>
      <c r="J435" s="64">
        <v>45505</v>
      </c>
      <c r="K435" s="64">
        <v>45516</v>
      </c>
      <c r="L435" t="s">
        <v>372</v>
      </c>
      <c r="M435" s="64">
        <v>45527</v>
      </c>
      <c r="N435" t="s">
        <v>373</v>
      </c>
      <c r="O435" t="s">
        <v>372</v>
      </c>
      <c r="P435">
        <v>0.28999999999999998</v>
      </c>
      <c r="Q435">
        <v>0.3</v>
      </c>
      <c r="R435">
        <v>884.79</v>
      </c>
      <c r="S435">
        <v>915.3</v>
      </c>
      <c r="T435" t="s">
        <v>427</v>
      </c>
      <c r="AA435">
        <f t="shared" si="6"/>
        <v>48019.700000000004</v>
      </c>
      <c r="AB435">
        <f>COUNTIF($D$1:D435,D435)</f>
        <v>14</v>
      </c>
    </row>
    <row r="436" spans="1:28" x14ac:dyDescent="0.25">
      <c r="A436">
        <v>435</v>
      </c>
      <c r="B436">
        <v>182669</v>
      </c>
      <c r="C436">
        <v>24001114</v>
      </c>
      <c r="D436" t="s">
        <v>9</v>
      </c>
      <c r="E436" t="s">
        <v>137</v>
      </c>
      <c r="F436" t="s">
        <v>445</v>
      </c>
      <c r="G436" t="s">
        <v>437</v>
      </c>
      <c r="H436" t="s">
        <v>79</v>
      </c>
      <c r="I436">
        <v>1502</v>
      </c>
      <c r="J436" s="64">
        <v>45505</v>
      </c>
      <c r="K436" s="64">
        <v>45518</v>
      </c>
      <c r="L436" t="s">
        <v>372</v>
      </c>
      <c r="M436" s="64">
        <v>45562</v>
      </c>
      <c r="N436" t="s">
        <v>373</v>
      </c>
      <c r="O436" t="s">
        <v>376</v>
      </c>
      <c r="P436">
        <v>1.86</v>
      </c>
      <c r="Q436">
        <v>1.95</v>
      </c>
      <c r="R436">
        <v>2793.72</v>
      </c>
      <c r="S436">
        <v>2928.9</v>
      </c>
      <c r="T436" t="s">
        <v>427</v>
      </c>
      <c r="AA436">
        <f t="shared" si="6"/>
        <v>48019.700000000004</v>
      </c>
      <c r="AB436">
        <f>COUNTIF($D$1:D436,D436)</f>
        <v>15</v>
      </c>
    </row>
    <row r="437" spans="1:28" x14ac:dyDescent="0.25">
      <c r="A437">
        <v>436</v>
      </c>
      <c r="B437">
        <v>182917</v>
      </c>
      <c r="C437">
        <v>24001136</v>
      </c>
      <c r="D437" t="s">
        <v>9</v>
      </c>
      <c r="E437" t="s">
        <v>137</v>
      </c>
      <c r="F437" t="s">
        <v>446</v>
      </c>
      <c r="G437" t="s">
        <v>447</v>
      </c>
      <c r="H437" t="s">
        <v>79</v>
      </c>
      <c r="I437">
        <v>3382</v>
      </c>
      <c r="J437" s="64">
        <v>45505</v>
      </c>
      <c r="K437" s="64">
        <v>45518</v>
      </c>
      <c r="L437" t="s">
        <v>372</v>
      </c>
      <c r="M437" s="64">
        <v>45562</v>
      </c>
      <c r="N437" t="s">
        <v>373</v>
      </c>
      <c r="O437" t="s">
        <v>376</v>
      </c>
      <c r="P437">
        <v>1.54</v>
      </c>
      <c r="Q437">
        <v>1.65</v>
      </c>
      <c r="R437">
        <v>5208.28</v>
      </c>
      <c r="S437">
        <v>5580.3</v>
      </c>
      <c r="T437" t="s">
        <v>427</v>
      </c>
      <c r="AA437">
        <f t="shared" si="6"/>
        <v>48019.700000000004</v>
      </c>
      <c r="AB437">
        <f>COUNTIF($D$1:D437,D437)</f>
        <v>16</v>
      </c>
    </row>
    <row r="438" spans="1:28" x14ac:dyDescent="0.25">
      <c r="A438">
        <v>437</v>
      </c>
      <c r="B438">
        <v>183367</v>
      </c>
      <c r="C438">
        <v>24001684</v>
      </c>
      <c r="D438" t="s">
        <v>9</v>
      </c>
      <c r="E438" t="s">
        <v>116</v>
      </c>
      <c r="F438" t="s">
        <v>389</v>
      </c>
      <c r="G438" t="s">
        <v>389</v>
      </c>
      <c r="H438" t="s">
        <v>79</v>
      </c>
      <c r="I438">
        <v>5396</v>
      </c>
      <c r="J438" s="64">
        <v>45520</v>
      </c>
      <c r="K438" s="64">
        <v>45535</v>
      </c>
      <c r="L438" t="s">
        <v>372</v>
      </c>
      <c r="M438" s="64">
        <v>45558</v>
      </c>
      <c r="N438" t="s">
        <v>373</v>
      </c>
      <c r="O438" t="s">
        <v>376</v>
      </c>
      <c r="P438">
        <v>0.8</v>
      </c>
      <c r="Q438">
        <v>1.05</v>
      </c>
      <c r="R438">
        <v>4316.8</v>
      </c>
      <c r="S438">
        <v>5665.8</v>
      </c>
      <c r="T438" t="s">
        <v>71</v>
      </c>
      <c r="AA438">
        <f t="shared" si="6"/>
        <v>48019.700000000004</v>
      </c>
      <c r="AB438">
        <f>COUNTIF($D$1:D438,D438)</f>
        <v>17</v>
      </c>
    </row>
    <row r="439" spans="1:28" x14ac:dyDescent="0.25">
      <c r="A439">
        <v>438</v>
      </c>
      <c r="B439">
        <v>182914</v>
      </c>
      <c r="C439">
        <v>24001133</v>
      </c>
      <c r="D439" t="s">
        <v>9</v>
      </c>
      <c r="E439" t="s">
        <v>137</v>
      </c>
      <c r="F439" t="s">
        <v>448</v>
      </c>
      <c r="G439" t="s">
        <v>447</v>
      </c>
      <c r="H439" t="s">
        <v>79</v>
      </c>
      <c r="I439">
        <v>226</v>
      </c>
      <c r="J439" s="64">
        <v>45518</v>
      </c>
      <c r="K439" s="64">
        <v>45519</v>
      </c>
      <c r="L439" t="s">
        <v>372</v>
      </c>
      <c r="M439" s="64">
        <v>45562</v>
      </c>
      <c r="N439" t="s">
        <v>373</v>
      </c>
      <c r="O439" t="s">
        <v>376</v>
      </c>
      <c r="P439">
        <v>1.54</v>
      </c>
      <c r="Q439">
        <v>1.65</v>
      </c>
      <c r="R439">
        <v>348.04</v>
      </c>
      <c r="S439">
        <v>372.9</v>
      </c>
      <c r="T439" t="s">
        <v>427</v>
      </c>
      <c r="AA439">
        <f t="shared" si="6"/>
        <v>48019.700000000004</v>
      </c>
      <c r="AB439">
        <f>COUNTIF($D$1:D439,D439)</f>
        <v>18</v>
      </c>
    </row>
    <row r="440" spans="1:28" x14ac:dyDescent="0.25">
      <c r="A440">
        <v>439</v>
      </c>
      <c r="B440">
        <v>182910</v>
      </c>
      <c r="C440">
        <v>24001130</v>
      </c>
      <c r="D440" t="s">
        <v>9</v>
      </c>
      <c r="E440" t="s">
        <v>137</v>
      </c>
      <c r="F440" t="s">
        <v>449</v>
      </c>
      <c r="G440" t="s">
        <v>447</v>
      </c>
      <c r="H440" t="s">
        <v>115</v>
      </c>
      <c r="I440">
        <v>1150</v>
      </c>
      <c r="J440" s="64">
        <v>45505</v>
      </c>
      <c r="K440" s="64">
        <v>45517</v>
      </c>
      <c r="L440" t="s">
        <v>372</v>
      </c>
      <c r="M440" s="64">
        <v>45504</v>
      </c>
      <c r="N440" t="s">
        <v>374</v>
      </c>
      <c r="O440" t="s">
        <v>377</v>
      </c>
      <c r="P440">
        <v>1.54</v>
      </c>
      <c r="Q440">
        <v>1.65</v>
      </c>
      <c r="R440">
        <v>1771</v>
      </c>
      <c r="S440">
        <v>1897.5</v>
      </c>
      <c r="T440" t="s">
        <v>427</v>
      </c>
      <c r="AA440">
        <f t="shared" si="6"/>
        <v>48019.700000000004</v>
      </c>
      <c r="AB440">
        <f>COUNTIF($D$1:D440,D440)</f>
        <v>19</v>
      </c>
    </row>
    <row r="441" spans="1:28" x14ac:dyDescent="0.25">
      <c r="A441">
        <v>440</v>
      </c>
      <c r="B441">
        <v>182914</v>
      </c>
      <c r="C441">
        <v>24001133</v>
      </c>
      <c r="D441" t="s">
        <v>9</v>
      </c>
      <c r="E441" t="s">
        <v>137</v>
      </c>
      <c r="F441" t="s">
        <v>448</v>
      </c>
      <c r="G441" t="s">
        <v>447</v>
      </c>
      <c r="H441" t="s">
        <v>115</v>
      </c>
      <c r="I441">
        <v>1472</v>
      </c>
      <c r="J441" s="64">
        <v>45505</v>
      </c>
      <c r="K441" s="64">
        <v>45519</v>
      </c>
      <c r="L441" t="s">
        <v>372</v>
      </c>
      <c r="M441" s="64">
        <v>45562</v>
      </c>
      <c r="N441" t="s">
        <v>373</v>
      </c>
      <c r="O441" t="s">
        <v>376</v>
      </c>
      <c r="P441">
        <v>1.54</v>
      </c>
      <c r="Q441">
        <v>1.65</v>
      </c>
      <c r="R441">
        <v>2266.88</v>
      </c>
      <c r="S441">
        <v>2428.8000000000002</v>
      </c>
      <c r="T441" t="s">
        <v>427</v>
      </c>
      <c r="AA441">
        <f t="shared" si="6"/>
        <v>48019.700000000004</v>
      </c>
      <c r="AB441">
        <f>COUNTIF($D$1:D441,D441)</f>
        <v>20</v>
      </c>
    </row>
    <row r="442" spans="1:28" x14ac:dyDescent="0.25">
      <c r="A442">
        <v>441</v>
      </c>
      <c r="B442">
        <v>183367</v>
      </c>
      <c r="C442">
        <v>24001684</v>
      </c>
      <c r="D442" t="s">
        <v>9</v>
      </c>
      <c r="E442" t="s">
        <v>116</v>
      </c>
      <c r="F442" t="s">
        <v>389</v>
      </c>
      <c r="G442" t="s">
        <v>389</v>
      </c>
      <c r="H442" t="s">
        <v>115</v>
      </c>
      <c r="I442">
        <v>5742</v>
      </c>
      <c r="J442" s="64">
        <v>45517</v>
      </c>
      <c r="K442" s="64">
        <v>45535</v>
      </c>
      <c r="L442" t="s">
        <v>372</v>
      </c>
      <c r="M442" s="64">
        <v>45558</v>
      </c>
      <c r="N442" t="s">
        <v>373</v>
      </c>
      <c r="O442" t="s">
        <v>376</v>
      </c>
      <c r="P442">
        <v>0.8</v>
      </c>
      <c r="Q442">
        <v>1.05</v>
      </c>
      <c r="R442">
        <v>4593.6000000000004</v>
      </c>
      <c r="S442">
        <v>6029.1</v>
      </c>
      <c r="T442" t="s">
        <v>71</v>
      </c>
      <c r="AA442">
        <f t="shared" si="6"/>
        <v>48019.700000000004</v>
      </c>
      <c r="AB442">
        <f>COUNTIF($D$1:D442,D442)</f>
        <v>21</v>
      </c>
    </row>
    <row r="443" spans="1:28" x14ac:dyDescent="0.25">
      <c r="A443">
        <v>442</v>
      </c>
      <c r="B443">
        <v>183357</v>
      </c>
      <c r="C443">
        <v>24001228</v>
      </c>
      <c r="D443" t="s">
        <v>9</v>
      </c>
      <c r="E443" t="s">
        <v>121</v>
      </c>
      <c r="F443">
        <v>4848</v>
      </c>
      <c r="H443" t="s">
        <v>115</v>
      </c>
      <c r="I443">
        <v>1272</v>
      </c>
      <c r="J443" s="64">
        <v>45505</v>
      </c>
      <c r="K443" s="64">
        <v>45516</v>
      </c>
      <c r="L443" t="s">
        <v>372</v>
      </c>
      <c r="M443" s="64">
        <v>45520</v>
      </c>
      <c r="N443" t="s">
        <v>373</v>
      </c>
      <c r="O443" t="s">
        <v>372</v>
      </c>
      <c r="P443">
        <v>2.19</v>
      </c>
      <c r="Q443">
        <v>2.5</v>
      </c>
      <c r="R443">
        <v>2785.68</v>
      </c>
      <c r="S443">
        <v>3180</v>
      </c>
      <c r="T443" t="s">
        <v>71</v>
      </c>
      <c r="AA443">
        <f t="shared" si="6"/>
        <v>48019.700000000004</v>
      </c>
      <c r="AB443">
        <f>COUNTIF($D$1:D443,D443)</f>
        <v>22</v>
      </c>
    </row>
    <row r="444" spans="1:28" x14ac:dyDescent="0.25">
      <c r="A444">
        <v>443</v>
      </c>
      <c r="B444">
        <v>182904</v>
      </c>
      <c r="C444">
        <v>24001123</v>
      </c>
      <c r="D444" t="s">
        <v>9</v>
      </c>
      <c r="E444" t="s">
        <v>137</v>
      </c>
      <c r="F444" t="s">
        <v>450</v>
      </c>
      <c r="G444" t="s">
        <v>447</v>
      </c>
      <c r="H444" t="s">
        <v>115</v>
      </c>
      <c r="I444">
        <v>309</v>
      </c>
      <c r="J444" s="64">
        <v>45505</v>
      </c>
      <c r="K444" s="64">
        <v>45513</v>
      </c>
      <c r="L444" t="s">
        <v>372</v>
      </c>
      <c r="M444" s="64">
        <v>45474</v>
      </c>
      <c r="N444" t="s">
        <v>374</v>
      </c>
      <c r="O444" t="s">
        <v>377</v>
      </c>
      <c r="P444">
        <v>1.54</v>
      </c>
      <c r="Q444">
        <v>1.65</v>
      </c>
      <c r="R444">
        <v>475.86</v>
      </c>
      <c r="S444">
        <v>509.85</v>
      </c>
      <c r="T444" t="s">
        <v>427</v>
      </c>
      <c r="AA444">
        <f t="shared" si="6"/>
        <v>48019.700000000004</v>
      </c>
      <c r="AB444">
        <f>COUNTIF($D$1:D444,D444)</f>
        <v>23</v>
      </c>
    </row>
    <row r="445" spans="1:28" x14ac:dyDescent="0.25">
      <c r="A445">
        <v>444</v>
      </c>
      <c r="B445">
        <v>181866</v>
      </c>
      <c r="C445">
        <v>23001622</v>
      </c>
      <c r="D445" t="s">
        <v>9</v>
      </c>
      <c r="E445" t="s">
        <v>159</v>
      </c>
      <c r="F445" t="s">
        <v>451</v>
      </c>
      <c r="G445" t="s">
        <v>452</v>
      </c>
      <c r="H445" t="s">
        <v>115</v>
      </c>
      <c r="I445">
        <v>432</v>
      </c>
      <c r="J445" s="64">
        <v>45512</v>
      </c>
      <c r="K445" s="64">
        <v>45519</v>
      </c>
      <c r="L445" t="s">
        <v>372</v>
      </c>
      <c r="M445" s="64">
        <v>45516</v>
      </c>
      <c r="N445" t="s">
        <v>374</v>
      </c>
      <c r="O445" t="s">
        <v>372</v>
      </c>
      <c r="P445">
        <v>0.42</v>
      </c>
      <c r="Q445">
        <v>1.05</v>
      </c>
      <c r="R445">
        <v>181.44</v>
      </c>
      <c r="S445">
        <v>453.6</v>
      </c>
      <c r="T445" t="s">
        <v>70</v>
      </c>
      <c r="AA445">
        <f t="shared" si="6"/>
        <v>48019.700000000004</v>
      </c>
      <c r="AB445">
        <f>COUNTIF($D$1:D445,D445)</f>
        <v>24</v>
      </c>
    </row>
    <row r="446" spans="1:28" x14ac:dyDescent="0.25">
      <c r="A446">
        <v>445</v>
      </c>
      <c r="B446">
        <v>181864</v>
      </c>
      <c r="C446">
        <v>23001619</v>
      </c>
      <c r="D446" t="s">
        <v>9</v>
      </c>
      <c r="E446" t="s">
        <v>159</v>
      </c>
      <c r="F446" t="s">
        <v>453</v>
      </c>
      <c r="G446" t="s">
        <v>452</v>
      </c>
      <c r="H446" t="s">
        <v>115</v>
      </c>
      <c r="I446">
        <v>1526</v>
      </c>
      <c r="J446" s="64">
        <v>45514</v>
      </c>
      <c r="K446" s="64">
        <v>45519</v>
      </c>
      <c r="L446" t="s">
        <v>372</v>
      </c>
      <c r="M446" s="64">
        <v>45518</v>
      </c>
      <c r="N446" t="s">
        <v>374</v>
      </c>
      <c r="O446" t="s">
        <v>372</v>
      </c>
      <c r="P446">
        <v>0.42</v>
      </c>
      <c r="Q446">
        <v>1</v>
      </c>
      <c r="R446">
        <v>640.91999999999996</v>
      </c>
      <c r="S446">
        <v>1526</v>
      </c>
      <c r="T446" t="s">
        <v>70</v>
      </c>
      <c r="AA446">
        <f t="shared" si="6"/>
        <v>48019.700000000004</v>
      </c>
      <c r="AB446">
        <f>COUNTIF($D$1:D446,D446)</f>
        <v>25</v>
      </c>
    </row>
    <row r="447" spans="1:28" x14ac:dyDescent="0.25">
      <c r="A447">
        <v>446</v>
      </c>
      <c r="B447">
        <v>183360</v>
      </c>
      <c r="C447">
        <v>24001678</v>
      </c>
      <c r="D447" t="s">
        <v>10</v>
      </c>
      <c r="E447" t="s">
        <v>116</v>
      </c>
      <c r="F447" t="s">
        <v>385</v>
      </c>
      <c r="H447" t="s">
        <v>76</v>
      </c>
      <c r="I447">
        <v>4458</v>
      </c>
      <c r="J447" s="64">
        <v>45517</v>
      </c>
      <c r="K447" s="64">
        <v>45535</v>
      </c>
      <c r="L447" t="s">
        <v>372</v>
      </c>
      <c r="M447" s="64">
        <v>45527</v>
      </c>
      <c r="N447" t="s">
        <v>374</v>
      </c>
      <c r="O447" t="s">
        <v>372</v>
      </c>
      <c r="P447">
        <v>0.75</v>
      </c>
      <c r="Q447">
        <v>0.98</v>
      </c>
      <c r="R447">
        <v>3343.5</v>
      </c>
      <c r="S447">
        <v>4368.84</v>
      </c>
      <c r="T447" t="s">
        <v>71</v>
      </c>
      <c r="AA447">
        <f t="shared" si="6"/>
        <v>115371.26499999998</v>
      </c>
      <c r="AB447">
        <f>COUNTIF($D$1:D447,D447)</f>
        <v>1</v>
      </c>
    </row>
    <row r="448" spans="1:28" x14ac:dyDescent="0.25">
      <c r="A448">
        <v>447</v>
      </c>
      <c r="B448">
        <v>183364</v>
      </c>
      <c r="C448">
        <v>24001682</v>
      </c>
      <c r="D448" t="s">
        <v>10</v>
      </c>
      <c r="E448" t="s">
        <v>116</v>
      </c>
      <c r="F448" t="s">
        <v>454</v>
      </c>
      <c r="G448" t="s">
        <v>454</v>
      </c>
      <c r="H448" t="s">
        <v>76</v>
      </c>
      <c r="I448">
        <v>240</v>
      </c>
      <c r="J448" s="64">
        <v>45535</v>
      </c>
      <c r="K448" s="64">
        <v>45535</v>
      </c>
      <c r="L448" t="s">
        <v>372</v>
      </c>
      <c r="M448" s="64">
        <v>45541</v>
      </c>
      <c r="N448" t="s">
        <v>373</v>
      </c>
      <c r="O448" t="s">
        <v>376</v>
      </c>
      <c r="P448">
        <v>0.8</v>
      </c>
      <c r="Q448">
        <v>1</v>
      </c>
      <c r="R448">
        <v>192</v>
      </c>
      <c r="S448">
        <v>240</v>
      </c>
      <c r="T448" t="s">
        <v>71</v>
      </c>
      <c r="AA448">
        <f t="shared" si="6"/>
        <v>115371.26499999998</v>
      </c>
      <c r="AB448">
        <f>COUNTIF($D$1:D448,D448)</f>
        <v>2</v>
      </c>
    </row>
    <row r="449" spans="1:28" x14ac:dyDescent="0.25">
      <c r="A449">
        <v>448</v>
      </c>
      <c r="B449">
        <v>182007</v>
      </c>
      <c r="C449">
        <v>23001620</v>
      </c>
      <c r="D449" t="s">
        <v>10</v>
      </c>
      <c r="E449" t="s">
        <v>159</v>
      </c>
      <c r="F449" t="s">
        <v>455</v>
      </c>
      <c r="G449" t="s">
        <v>452</v>
      </c>
      <c r="H449" t="s">
        <v>76</v>
      </c>
      <c r="I449">
        <v>236</v>
      </c>
      <c r="J449" s="64">
        <v>45505</v>
      </c>
      <c r="K449" s="64">
        <v>45505</v>
      </c>
      <c r="L449" t="s">
        <v>372</v>
      </c>
      <c r="M449" s="64">
        <v>45509</v>
      </c>
      <c r="N449" t="s">
        <v>373</v>
      </c>
      <c r="O449" t="s">
        <v>372</v>
      </c>
      <c r="P449">
        <v>0.42</v>
      </c>
      <c r="Q449">
        <v>1.05</v>
      </c>
      <c r="R449">
        <v>99.12</v>
      </c>
      <c r="S449">
        <v>247.8</v>
      </c>
      <c r="T449" t="s">
        <v>70</v>
      </c>
      <c r="AA449">
        <f t="shared" si="6"/>
        <v>115371.26499999998</v>
      </c>
      <c r="AB449">
        <f>COUNTIF($D$1:D449,D449)</f>
        <v>3</v>
      </c>
    </row>
    <row r="450" spans="1:28" x14ac:dyDescent="0.25">
      <c r="A450">
        <v>449</v>
      </c>
      <c r="B450">
        <v>181822</v>
      </c>
      <c r="C450">
        <v>23001617</v>
      </c>
      <c r="D450" t="s">
        <v>10</v>
      </c>
      <c r="E450" t="s">
        <v>159</v>
      </c>
      <c r="F450" t="s">
        <v>456</v>
      </c>
      <c r="G450" t="s">
        <v>457</v>
      </c>
      <c r="H450" t="s">
        <v>76</v>
      </c>
      <c r="I450">
        <v>5895</v>
      </c>
      <c r="J450" s="64">
        <v>45505</v>
      </c>
      <c r="K450" s="64">
        <v>45507</v>
      </c>
      <c r="L450" t="s">
        <v>372</v>
      </c>
      <c r="M450" s="64">
        <v>45518</v>
      </c>
      <c r="N450" t="s">
        <v>373</v>
      </c>
      <c r="O450" t="s">
        <v>372</v>
      </c>
      <c r="P450">
        <v>0.45</v>
      </c>
      <c r="Q450">
        <v>1.0900000000000001</v>
      </c>
      <c r="R450">
        <v>2652.75</v>
      </c>
      <c r="S450">
        <v>6425.55</v>
      </c>
      <c r="T450" t="s">
        <v>70</v>
      </c>
      <c r="AA450">
        <f t="shared" ref="AA450:AA513" si="7">SUMIF($D:$D,D450,$R:$R)</f>
        <v>115371.26499999998</v>
      </c>
      <c r="AB450">
        <f>COUNTIF($D$1:D450,D450)</f>
        <v>4</v>
      </c>
    </row>
    <row r="451" spans="1:28" x14ac:dyDescent="0.25">
      <c r="A451">
        <v>450</v>
      </c>
      <c r="B451">
        <v>183305</v>
      </c>
      <c r="C451">
        <v>24001200</v>
      </c>
      <c r="D451" t="s">
        <v>10</v>
      </c>
      <c r="E451" t="s">
        <v>159</v>
      </c>
      <c r="F451" t="s">
        <v>458</v>
      </c>
      <c r="G451" t="s">
        <v>457</v>
      </c>
      <c r="H451" t="s">
        <v>76</v>
      </c>
      <c r="I451">
        <v>23924</v>
      </c>
      <c r="J451" s="64">
        <v>45509</v>
      </c>
      <c r="K451" s="64">
        <v>45534</v>
      </c>
      <c r="L451" t="s">
        <v>372</v>
      </c>
      <c r="M451" s="64">
        <v>45590</v>
      </c>
      <c r="N451" t="s">
        <v>373</v>
      </c>
      <c r="O451" t="s">
        <v>419</v>
      </c>
      <c r="P451">
        <v>0.45</v>
      </c>
      <c r="Q451">
        <v>1.03</v>
      </c>
      <c r="R451">
        <v>10765.8</v>
      </c>
      <c r="S451">
        <v>24641.72</v>
      </c>
      <c r="T451" t="s">
        <v>70</v>
      </c>
      <c r="AA451">
        <f t="shared" si="7"/>
        <v>115371.26499999998</v>
      </c>
      <c r="AB451">
        <f>COUNTIF($D$1:D451,D451)</f>
        <v>5</v>
      </c>
    </row>
    <row r="452" spans="1:28" x14ac:dyDescent="0.25">
      <c r="A452">
        <v>451</v>
      </c>
      <c r="B452">
        <v>182078</v>
      </c>
      <c r="C452">
        <v>24001067</v>
      </c>
      <c r="D452" t="s">
        <v>10</v>
      </c>
      <c r="E452" t="s">
        <v>159</v>
      </c>
      <c r="F452" t="s">
        <v>459</v>
      </c>
      <c r="G452" t="s">
        <v>460</v>
      </c>
      <c r="H452" t="s">
        <v>86</v>
      </c>
      <c r="I452">
        <v>60</v>
      </c>
      <c r="J452" s="64">
        <v>45505</v>
      </c>
      <c r="K452" s="64">
        <v>45505</v>
      </c>
      <c r="L452" t="s">
        <v>372</v>
      </c>
      <c r="M452" s="64">
        <v>45481</v>
      </c>
      <c r="N452" t="s">
        <v>374</v>
      </c>
      <c r="O452" t="s">
        <v>377</v>
      </c>
      <c r="P452">
        <v>0.93</v>
      </c>
      <c r="Q452">
        <v>2.2999999999999998</v>
      </c>
      <c r="R452">
        <v>55.8</v>
      </c>
      <c r="S452">
        <v>138</v>
      </c>
      <c r="T452" t="s">
        <v>70</v>
      </c>
      <c r="AA452">
        <f t="shared" si="7"/>
        <v>115371.26499999998</v>
      </c>
      <c r="AB452">
        <f>COUNTIF($D$1:D452,D452)</f>
        <v>6</v>
      </c>
    </row>
    <row r="453" spans="1:28" x14ac:dyDescent="0.25">
      <c r="A453">
        <v>452</v>
      </c>
      <c r="B453">
        <v>183360</v>
      </c>
      <c r="C453">
        <v>24001678</v>
      </c>
      <c r="D453" t="s">
        <v>10</v>
      </c>
      <c r="E453" t="s">
        <v>116</v>
      </c>
      <c r="F453" t="s">
        <v>385</v>
      </c>
      <c r="H453" t="s">
        <v>86</v>
      </c>
      <c r="I453">
        <v>3539</v>
      </c>
      <c r="J453" s="64">
        <v>45517</v>
      </c>
      <c r="K453" s="64">
        <v>45534</v>
      </c>
      <c r="L453" t="s">
        <v>372</v>
      </c>
      <c r="M453" s="64">
        <v>45527</v>
      </c>
      <c r="N453" t="s">
        <v>374</v>
      </c>
      <c r="O453" t="s">
        <v>372</v>
      </c>
      <c r="P453">
        <v>0.75</v>
      </c>
      <c r="Q453">
        <v>0.98</v>
      </c>
      <c r="R453">
        <v>2654.25</v>
      </c>
      <c r="S453">
        <v>3468.22</v>
      </c>
      <c r="T453" t="s">
        <v>71</v>
      </c>
      <c r="AA453">
        <f t="shared" si="7"/>
        <v>115371.26499999998</v>
      </c>
      <c r="AB453">
        <f>COUNTIF($D$1:D453,D453)</f>
        <v>7</v>
      </c>
    </row>
    <row r="454" spans="1:28" x14ac:dyDescent="0.25">
      <c r="A454">
        <v>453</v>
      </c>
      <c r="B454">
        <v>181822</v>
      </c>
      <c r="C454">
        <v>23001617</v>
      </c>
      <c r="D454" t="s">
        <v>10</v>
      </c>
      <c r="E454" t="s">
        <v>159</v>
      </c>
      <c r="F454" t="s">
        <v>456</v>
      </c>
      <c r="G454" t="s">
        <v>457</v>
      </c>
      <c r="H454" t="s">
        <v>86</v>
      </c>
      <c r="I454">
        <v>12792</v>
      </c>
      <c r="J454" s="64">
        <v>45505</v>
      </c>
      <c r="K454" s="64">
        <v>45512</v>
      </c>
      <c r="L454" t="s">
        <v>372</v>
      </c>
      <c r="M454" s="64">
        <v>45518</v>
      </c>
      <c r="N454" t="s">
        <v>373</v>
      </c>
      <c r="O454" t="s">
        <v>372</v>
      </c>
      <c r="P454">
        <v>0.45</v>
      </c>
      <c r="Q454">
        <v>1.0900000000000001</v>
      </c>
      <c r="R454">
        <v>5756.4</v>
      </c>
      <c r="S454">
        <v>13943.28</v>
      </c>
      <c r="T454" t="s">
        <v>70</v>
      </c>
      <c r="AA454">
        <f t="shared" si="7"/>
        <v>115371.26499999998</v>
      </c>
      <c r="AB454">
        <f>COUNTIF($D$1:D454,D454)</f>
        <v>8</v>
      </c>
    </row>
    <row r="455" spans="1:28" x14ac:dyDescent="0.25">
      <c r="A455">
        <v>454</v>
      </c>
      <c r="B455">
        <v>183305</v>
      </c>
      <c r="C455">
        <v>24001200</v>
      </c>
      <c r="D455" t="s">
        <v>10</v>
      </c>
      <c r="E455" t="s">
        <v>159</v>
      </c>
      <c r="F455" t="s">
        <v>458</v>
      </c>
      <c r="G455" t="s">
        <v>457</v>
      </c>
      <c r="H455" t="s">
        <v>86</v>
      </c>
      <c r="I455">
        <v>25263</v>
      </c>
      <c r="J455" s="64">
        <v>45509</v>
      </c>
      <c r="K455" s="64">
        <v>45535</v>
      </c>
      <c r="L455" t="s">
        <v>372</v>
      </c>
      <c r="M455" s="64">
        <v>45590</v>
      </c>
      <c r="N455" t="s">
        <v>373</v>
      </c>
      <c r="O455" t="s">
        <v>419</v>
      </c>
      <c r="P455">
        <v>0.45</v>
      </c>
      <c r="Q455">
        <v>1.03</v>
      </c>
      <c r="R455">
        <v>11368.35</v>
      </c>
      <c r="S455">
        <v>26020.89</v>
      </c>
      <c r="T455" t="s">
        <v>70</v>
      </c>
      <c r="AA455">
        <f t="shared" si="7"/>
        <v>115371.26499999998</v>
      </c>
      <c r="AB455">
        <f>COUNTIF($D$1:D455,D455)</f>
        <v>9</v>
      </c>
    </row>
    <row r="456" spans="1:28" x14ac:dyDescent="0.25">
      <c r="A456">
        <v>455</v>
      </c>
      <c r="B456">
        <v>183370</v>
      </c>
      <c r="C456">
        <v>24001685</v>
      </c>
      <c r="D456" t="s">
        <v>10</v>
      </c>
      <c r="E456" t="s">
        <v>116</v>
      </c>
      <c r="F456" t="s">
        <v>461</v>
      </c>
      <c r="G456" t="s">
        <v>461</v>
      </c>
      <c r="H456" t="s">
        <v>86</v>
      </c>
      <c r="I456">
        <v>410</v>
      </c>
      <c r="J456" s="64">
        <v>45535</v>
      </c>
      <c r="K456" s="64">
        <v>45535</v>
      </c>
      <c r="L456" t="s">
        <v>372</v>
      </c>
      <c r="M456" s="64">
        <v>45558</v>
      </c>
      <c r="N456" t="s">
        <v>373</v>
      </c>
      <c r="O456" t="s">
        <v>376</v>
      </c>
      <c r="P456">
        <v>0.75</v>
      </c>
      <c r="Q456">
        <v>0.97</v>
      </c>
      <c r="R456">
        <v>307.5</v>
      </c>
      <c r="S456">
        <v>397.7</v>
      </c>
      <c r="T456" t="s">
        <v>71</v>
      </c>
      <c r="AA456">
        <f t="shared" si="7"/>
        <v>115371.26499999998</v>
      </c>
      <c r="AB456">
        <f>COUNTIF($D$1:D456,D456)</f>
        <v>10</v>
      </c>
    </row>
    <row r="457" spans="1:28" x14ac:dyDescent="0.25">
      <c r="A457">
        <v>456</v>
      </c>
      <c r="B457">
        <v>183239</v>
      </c>
      <c r="C457">
        <v>24001040</v>
      </c>
      <c r="D457" t="s">
        <v>10</v>
      </c>
      <c r="E457" t="s">
        <v>174</v>
      </c>
      <c r="F457" t="s">
        <v>462</v>
      </c>
      <c r="G457" t="s">
        <v>463</v>
      </c>
      <c r="H457" t="s">
        <v>79</v>
      </c>
      <c r="I457">
        <v>398</v>
      </c>
      <c r="J457" s="64">
        <v>45505</v>
      </c>
      <c r="K457" s="64">
        <v>45523</v>
      </c>
      <c r="L457" t="s">
        <v>372</v>
      </c>
      <c r="M457" s="64">
        <v>45523</v>
      </c>
      <c r="N457" t="s">
        <v>373</v>
      </c>
      <c r="O457" t="s">
        <v>372</v>
      </c>
      <c r="P457">
        <v>2.69</v>
      </c>
      <c r="Q457">
        <v>6.77</v>
      </c>
      <c r="R457">
        <v>1070.6199999999999</v>
      </c>
      <c r="S457">
        <v>2694.46</v>
      </c>
      <c r="T457" t="s">
        <v>70</v>
      </c>
      <c r="AA457">
        <f t="shared" si="7"/>
        <v>115371.26499999998</v>
      </c>
      <c r="AB457">
        <f>COUNTIF($D$1:D457,D457)</f>
        <v>11</v>
      </c>
    </row>
    <row r="458" spans="1:28" x14ac:dyDescent="0.25">
      <c r="A458">
        <v>457</v>
      </c>
      <c r="B458">
        <v>183240</v>
      </c>
      <c r="C458">
        <v>24001041</v>
      </c>
      <c r="D458" t="s">
        <v>10</v>
      </c>
      <c r="E458" t="s">
        <v>174</v>
      </c>
      <c r="F458" t="s">
        <v>464</v>
      </c>
      <c r="G458" t="s">
        <v>463</v>
      </c>
      <c r="H458" t="s">
        <v>79</v>
      </c>
      <c r="I458">
        <v>736</v>
      </c>
      <c r="J458" s="64">
        <v>45523</v>
      </c>
      <c r="K458" s="64">
        <v>45530</v>
      </c>
      <c r="L458" t="s">
        <v>372</v>
      </c>
      <c r="M458" s="64">
        <v>45523</v>
      </c>
      <c r="N458" t="s">
        <v>374</v>
      </c>
      <c r="O458" t="s">
        <v>372</v>
      </c>
      <c r="P458">
        <v>1.0900000000000001</v>
      </c>
      <c r="Q458">
        <v>3.35</v>
      </c>
      <c r="R458">
        <v>802.24</v>
      </c>
      <c r="S458">
        <v>2465.6</v>
      </c>
      <c r="T458" t="s">
        <v>70</v>
      </c>
      <c r="AA458">
        <f t="shared" si="7"/>
        <v>115371.26499999998</v>
      </c>
      <c r="AB458">
        <f>COUNTIF($D$1:D458,D458)</f>
        <v>12</v>
      </c>
    </row>
    <row r="459" spans="1:28" x14ac:dyDescent="0.25">
      <c r="A459">
        <v>458</v>
      </c>
      <c r="B459">
        <v>183233</v>
      </c>
      <c r="C459">
        <v>24001054</v>
      </c>
      <c r="D459" t="s">
        <v>10</v>
      </c>
      <c r="E459" t="s">
        <v>174</v>
      </c>
      <c r="F459" t="s">
        <v>465</v>
      </c>
      <c r="G459" t="s">
        <v>466</v>
      </c>
      <c r="H459" t="s">
        <v>79</v>
      </c>
      <c r="I459">
        <v>528</v>
      </c>
      <c r="J459" s="64">
        <v>45524</v>
      </c>
      <c r="K459" s="64">
        <v>45535</v>
      </c>
      <c r="L459" t="s">
        <v>372</v>
      </c>
      <c r="M459" s="64">
        <v>45548</v>
      </c>
      <c r="N459" t="s">
        <v>373</v>
      </c>
      <c r="O459" t="s">
        <v>376</v>
      </c>
      <c r="P459">
        <v>2.27</v>
      </c>
      <c r="Q459">
        <v>5.33</v>
      </c>
      <c r="R459">
        <v>1198.56</v>
      </c>
      <c r="S459">
        <v>2814.24</v>
      </c>
      <c r="T459" t="s">
        <v>70</v>
      </c>
      <c r="AA459">
        <f t="shared" si="7"/>
        <v>115371.26499999998</v>
      </c>
      <c r="AB459">
        <f>COUNTIF($D$1:D459,D459)</f>
        <v>13</v>
      </c>
    </row>
    <row r="460" spans="1:28" x14ac:dyDescent="0.25">
      <c r="A460">
        <v>459</v>
      </c>
      <c r="B460">
        <v>183235</v>
      </c>
      <c r="C460">
        <v>24001056</v>
      </c>
      <c r="D460" t="s">
        <v>10</v>
      </c>
      <c r="E460" t="s">
        <v>174</v>
      </c>
      <c r="F460" t="s">
        <v>467</v>
      </c>
      <c r="G460" t="s">
        <v>468</v>
      </c>
      <c r="H460" t="s">
        <v>79</v>
      </c>
      <c r="I460">
        <v>805</v>
      </c>
      <c r="J460" s="64">
        <v>45530</v>
      </c>
      <c r="K460" s="64">
        <v>45530</v>
      </c>
      <c r="L460" t="s">
        <v>372</v>
      </c>
      <c r="M460" s="64">
        <v>45548</v>
      </c>
      <c r="N460" t="s">
        <v>373</v>
      </c>
      <c r="O460" t="s">
        <v>376</v>
      </c>
      <c r="P460">
        <v>1.08</v>
      </c>
      <c r="Q460">
        <v>2.58</v>
      </c>
      <c r="R460">
        <v>869.4</v>
      </c>
      <c r="S460">
        <v>2076.9</v>
      </c>
      <c r="T460" t="s">
        <v>70</v>
      </c>
      <c r="AA460">
        <f t="shared" si="7"/>
        <v>115371.26499999998</v>
      </c>
      <c r="AB460">
        <f>COUNTIF($D$1:D460,D460)</f>
        <v>14</v>
      </c>
    </row>
    <row r="461" spans="1:28" x14ac:dyDescent="0.25">
      <c r="A461">
        <v>460</v>
      </c>
      <c r="B461">
        <v>183231</v>
      </c>
      <c r="C461">
        <v>24001052</v>
      </c>
      <c r="D461" t="s">
        <v>10</v>
      </c>
      <c r="E461" t="s">
        <v>174</v>
      </c>
      <c r="F461" t="s">
        <v>469</v>
      </c>
      <c r="G461" t="s">
        <v>470</v>
      </c>
      <c r="H461" t="s">
        <v>79</v>
      </c>
      <c r="I461">
        <v>602</v>
      </c>
      <c r="J461" s="64">
        <v>45527</v>
      </c>
      <c r="K461" s="64">
        <v>45528</v>
      </c>
      <c r="L461" t="s">
        <v>372</v>
      </c>
      <c r="M461" s="64">
        <v>45541</v>
      </c>
      <c r="N461" t="s">
        <v>373</v>
      </c>
      <c r="O461" t="s">
        <v>376</v>
      </c>
      <c r="P461">
        <v>2.16</v>
      </c>
      <c r="Q461">
        <v>4.1900000000000004</v>
      </c>
      <c r="R461">
        <v>1300.32</v>
      </c>
      <c r="S461">
        <v>2522.38</v>
      </c>
      <c r="T461" t="s">
        <v>70</v>
      </c>
      <c r="AA461">
        <f t="shared" si="7"/>
        <v>115371.26499999998</v>
      </c>
      <c r="AB461">
        <f>COUNTIF($D$1:D461,D461)</f>
        <v>15</v>
      </c>
    </row>
    <row r="462" spans="1:28" x14ac:dyDescent="0.25">
      <c r="A462">
        <v>461</v>
      </c>
      <c r="B462">
        <v>183370</v>
      </c>
      <c r="C462">
        <v>24001685</v>
      </c>
      <c r="D462" t="s">
        <v>10</v>
      </c>
      <c r="E462" t="s">
        <v>116</v>
      </c>
      <c r="F462" t="s">
        <v>461</v>
      </c>
      <c r="G462" t="s">
        <v>461</v>
      </c>
      <c r="H462" t="s">
        <v>79</v>
      </c>
      <c r="I462">
        <v>945</v>
      </c>
      <c r="J462" s="64">
        <v>45534</v>
      </c>
      <c r="K462" s="64">
        <v>45535</v>
      </c>
      <c r="L462" t="s">
        <v>372</v>
      </c>
      <c r="M462" s="64">
        <v>45558</v>
      </c>
      <c r="N462" t="s">
        <v>373</v>
      </c>
      <c r="O462" t="s">
        <v>376</v>
      </c>
      <c r="P462">
        <v>0.75</v>
      </c>
      <c r="Q462">
        <v>0.97</v>
      </c>
      <c r="R462">
        <v>708.75</v>
      </c>
      <c r="S462">
        <v>916.65</v>
      </c>
      <c r="T462" t="s">
        <v>71</v>
      </c>
      <c r="AA462">
        <f t="shared" si="7"/>
        <v>115371.26499999998</v>
      </c>
      <c r="AB462">
        <f>COUNTIF($D$1:D462,D462)</f>
        <v>16</v>
      </c>
    </row>
    <row r="463" spans="1:28" x14ac:dyDescent="0.25">
      <c r="A463">
        <v>462</v>
      </c>
      <c r="B463">
        <v>183253</v>
      </c>
      <c r="C463">
        <v>24001612</v>
      </c>
      <c r="D463" t="s">
        <v>10</v>
      </c>
      <c r="E463" t="s">
        <v>116</v>
      </c>
      <c r="F463" t="s">
        <v>379</v>
      </c>
      <c r="H463" t="s">
        <v>79</v>
      </c>
      <c r="I463">
        <v>252</v>
      </c>
      <c r="J463" s="64">
        <v>45505</v>
      </c>
      <c r="K463" s="64">
        <v>45523</v>
      </c>
      <c r="L463" t="s">
        <v>372</v>
      </c>
      <c r="M463" s="64">
        <v>45520</v>
      </c>
      <c r="N463" t="s">
        <v>374</v>
      </c>
      <c r="O463" t="s">
        <v>372</v>
      </c>
      <c r="P463">
        <v>1.9</v>
      </c>
      <c r="Q463">
        <v>1.9</v>
      </c>
      <c r="R463">
        <v>478.8</v>
      </c>
      <c r="S463">
        <v>478.8</v>
      </c>
      <c r="T463" t="s">
        <v>71</v>
      </c>
      <c r="AA463">
        <f t="shared" si="7"/>
        <v>115371.26499999998</v>
      </c>
      <c r="AB463">
        <f>COUNTIF($D$1:D463,D463)</f>
        <v>17</v>
      </c>
    </row>
    <row r="464" spans="1:28" x14ac:dyDescent="0.25">
      <c r="A464">
        <v>463</v>
      </c>
      <c r="B464">
        <v>183305</v>
      </c>
      <c r="C464">
        <v>24001200</v>
      </c>
      <c r="D464" t="s">
        <v>10</v>
      </c>
      <c r="E464" t="s">
        <v>159</v>
      </c>
      <c r="F464" t="s">
        <v>458</v>
      </c>
      <c r="G464" t="s">
        <v>457</v>
      </c>
      <c r="H464" t="s">
        <v>79</v>
      </c>
      <c r="I464">
        <v>5100</v>
      </c>
      <c r="J464" s="64">
        <v>45510</v>
      </c>
      <c r="K464" s="64">
        <v>45519</v>
      </c>
      <c r="L464" t="s">
        <v>372</v>
      </c>
      <c r="M464" s="64">
        <v>45590</v>
      </c>
      <c r="N464" t="s">
        <v>373</v>
      </c>
      <c r="O464" t="s">
        <v>419</v>
      </c>
      <c r="P464">
        <v>0.45</v>
      </c>
      <c r="Q464">
        <v>1.03</v>
      </c>
      <c r="R464">
        <v>2295</v>
      </c>
      <c r="S464">
        <v>5253</v>
      </c>
      <c r="T464" t="s">
        <v>70</v>
      </c>
      <c r="AA464">
        <f t="shared" si="7"/>
        <v>115371.26499999998</v>
      </c>
      <c r="AB464">
        <f>COUNTIF($D$1:D464,D464)</f>
        <v>18</v>
      </c>
    </row>
    <row r="465" spans="1:28" x14ac:dyDescent="0.25">
      <c r="A465">
        <v>464</v>
      </c>
      <c r="B465">
        <v>182680</v>
      </c>
      <c r="C465">
        <v>24001080</v>
      </c>
      <c r="D465" t="s">
        <v>10</v>
      </c>
      <c r="E465" t="s">
        <v>159</v>
      </c>
      <c r="F465" t="s">
        <v>471</v>
      </c>
      <c r="G465" t="s">
        <v>472</v>
      </c>
      <c r="H465" t="s">
        <v>79</v>
      </c>
      <c r="I465">
        <v>330</v>
      </c>
      <c r="J465" s="64">
        <v>45517</v>
      </c>
      <c r="K465" s="64">
        <v>45526</v>
      </c>
      <c r="L465" t="s">
        <v>372</v>
      </c>
      <c r="M465" s="64">
        <v>45518</v>
      </c>
      <c r="N465" t="s">
        <v>374</v>
      </c>
      <c r="O465" t="s">
        <v>372</v>
      </c>
      <c r="P465">
        <v>1.2549999999999999</v>
      </c>
      <c r="Q465">
        <v>1.9</v>
      </c>
      <c r="R465">
        <v>414.15</v>
      </c>
      <c r="S465">
        <v>627</v>
      </c>
      <c r="T465" t="s">
        <v>70</v>
      </c>
      <c r="AA465">
        <f t="shared" si="7"/>
        <v>115371.26499999998</v>
      </c>
      <c r="AB465">
        <f>COUNTIF($D$1:D465,D465)</f>
        <v>19</v>
      </c>
    </row>
    <row r="466" spans="1:28" x14ac:dyDescent="0.25">
      <c r="A466">
        <v>465</v>
      </c>
      <c r="B466">
        <v>183224</v>
      </c>
      <c r="C466">
        <v>24001045</v>
      </c>
      <c r="D466" t="s">
        <v>10</v>
      </c>
      <c r="E466" t="s">
        <v>174</v>
      </c>
      <c r="F466" t="s">
        <v>473</v>
      </c>
      <c r="G466" t="s">
        <v>474</v>
      </c>
      <c r="H466" t="s">
        <v>79</v>
      </c>
      <c r="I466">
        <v>159</v>
      </c>
      <c r="J466" s="64">
        <v>45518</v>
      </c>
      <c r="K466" s="64">
        <v>45519</v>
      </c>
      <c r="L466" t="s">
        <v>372</v>
      </c>
      <c r="M466" s="64">
        <v>45524</v>
      </c>
      <c r="N466" t="s">
        <v>373</v>
      </c>
      <c r="O466" t="s">
        <v>372</v>
      </c>
      <c r="P466">
        <v>1.06</v>
      </c>
      <c r="Q466">
        <v>2.4700000000000002</v>
      </c>
      <c r="R466">
        <v>168.54</v>
      </c>
      <c r="S466">
        <v>392.73</v>
      </c>
      <c r="T466" t="s">
        <v>70</v>
      </c>
      <c r="AA466">
        <f t="shared" si="7"/>
        <v>115371.26499999998</v>
      </c>
      <c r="AB466">
        <f>COUNTIF($D$1:D466,D466)</f>
        <v>20</v>
      </c>
    </row>
    <row r="467" spans="1:28" x14ac:dyDescent="0.25">
      <c r="A467">
        <v>466</v>
      </c>
      <c r="B467">
        <v>183225</v>
      </c>
      <c r="C467">
        <v>24001046</v>
      </c>
      <c r="D467" t="s">
        <v>10</v>
      </c>
      <c r="E467" t="s">
        <v>174</v>
      </c>
      <c r="F467" t="s">
        <v>475</v>
      </c>
      <c r="G467" t="s">
        <v>476</v>
      </c>
      <c r="H467" t="s">
        <v>79</v>
      </c>
      <c r="I467">
        <v>422</v>
      </c>
      <c r="J467" s="64">
        <v>45525</v>
      </c>
      <c r="K467" s="64">
        <v>45530</v>
      </c>
      <c r="L467" t="s">
        <v>372</v>
      </c>
      <c r="M467" s="64">
        <v>45523</v>
      </c>
      <c r="N467" t="s">
        <v>374</v>
      </c>
      <c r="O467" t="s">
        <v>372</v>
      </c>
      <c r="P467">
        <v>1.77</v>
      </c>
      <c r="Q467">
        <v>5.16</v>
      </c>
      <c r="R467">
        <v>746.94</v>
      </c>
      <c r="S467">
        <v>2177.52</v>
      </c>
      <c r="T467" t="s">
        <v>70</v>
      </c>
      <c r="AA467">
        <f t="shared" si="7"/>
        <v>115371.26499999998</v>
      </c>
      <c r="AB467">
        <f>COUNTIF($D$1:D467,D467)</f>
        <v>21</v>
      </c>
    </row>
    <row r="468" spans="1:28" x14ac:dyDescent="0.25">
      <c r="A468">
        <v>467</v>
      </c>
      <c r="B468">
        <v>183360</v>
      </c>
      <c r="C468">
        <v>24001678</v>
      </c>
      <c r="D468" t="s">
        <v>10</v>
      </c>
      <c r="E468" t="s">
        <v>116</v>
      </c>
      <c r="F468" t="s">
        <v>385</v>
      </c>
      <c r="H468" t="s">
        <v>79</v>
      </c>
      <c r="I468">
        <v>2927</v>
      </c>
      <c r="J468" s="64">
        <v>45530</v>
      </c>
      <c r="K468" s="64">
        <v>45533</v>
      </c>
      <c r="L468" t="s">
        <v>372</v>
      </c>
      <c r="M468" s="64">
        <v>45527</v>
      </c>
      <c r="N468" t="s">
        <v>374</v>
      </c>
      <c r="O468" t="s">
        <v>372</v>
      </c>
      <c r="P468">
        <v>0.75</v>
      </c>
      <c r="Q468">
        <v>0.98</v>
      </c>
      <c r="R468">
        <v>2195.25</v>
      </c>
      <c r="S468">
        <v>2868.46</v>
      </c>
      <c r="T468" t="s">
        <v>71</v>
      </c>
      <c r="AA468">
        <f t="shared" si="7"/>
        <v>115371.26499999998</v>
      </c>
      <c r="AB468">
        <f>COUNTIF($D$1:D468,D468)</f>
        <v>22</v>
      </c>
    </row>
    <row r="469" spans="1:28" x14ac:dyDescent="0.25">
      <c r="A469">
        <v>468</v>
      </c>
      <c r="B469">
        <v>183239</v>
      </c>
      <c r="C469">
        <v>24001040</v>
      </c>
      <c r="D469" t="s">
        <v>10</v>
      </c>
      <c r="E469" t="s">
        <v>174</v>
      </c>
      <c r="F469" t="s">
        <v>462</v>
      </c>
      <c r="G469" t="s">
        <v>463</v>
      </c>
      <c r="H469" t="s">
        <v>115</v>
      </c>
      <c r="I469">
        <v>404</v>
      </c>
      <c r="J469" s="64">
        <v>45518</v>
      </c>
      <c r="K469" s="64">
        <v>45527</v>
      </c>
      <c r="L469" t="s">
        <v>372</v>
      </c>
      <c r="M469" s="64">
        <v>45523</v>
      </c>
      <c r="N469" t="s">
        <v>374</v>
      </c>
      <c r="O469" t="s">
        <v>372</v>
      </c>
      <c r="P469">
        <v>2.69</v>
      </c>
      <c r="Q469">
        <v>6.77</v>
      </c>
      <c r="R469">
        <v>1086.76</v>
      </c>
      <c r="S469">
        <v>2735.08</v>
      </c>
      <c r="T469" t="s">
        <v>70</v>
      </c>
      <c r="AA469">
        <f t="shared" si="7"/>
        <v>115371.26499999998</v>
      </c>
      <c r="AB469">
        <f>COUNTIF($D$1:D469,D469)</f>
        <v>23</v>
      </c>
    </row>
    <row r="470" spans="1:28" x14ac:dyDescent="0.25">
      <c r="A470">
        <v>469</v>
      </c>
      <c r="B470">
        <v>183240</v>
      </c>
      <c r="C470">
        <v>24001041</v>
      </c>
      <c r="D470" t="s">
        <v>10</v>
      </c>
      <c r="E470" t="s">
        <v>174</v>
      </c>
      <c r="F470" t="s">
        <v>464</v>
      </c>
      <c r="G470" t="s">
        <v>463</v>
      </c>
      <c r="H470" t="s">
        <v>115</v>
      </c>
      <c r="I470">
        <v>980</v>
      </c>
      <c r="J470" s="64">
        <v>45520</v>
      </c>
      <c r="K470" s="64">
        <v>45527</v>
      </c>
      <c r="L470" t="s">
        <v>372</v>
      </c>
      <c r="M470" s="64">
        <v>45523</v>
      </c>
      <c r="N470" t="s">
        <v>374</v>
      </c>
      <c r="O470" t="s">
        <v>372</v>
      </c>
      <c r="P470">
        <v>1.0900000000000001</v>
      </c>
      <c r="Q470">
        <v>3.35</v>
      </c>
      <c r="R470">
        <v>1068.2</v>
      </c>
      <c r="S470">
        <v>3283</v>
      </c>
      <c r="T470" t="s">
        <v>70</v>
      </c>
      <c r="AA470">
        <f t="shared" si="7"/>
        <v>115371.26499999998</v>
      </c>
      <c r="AB470">
        <f>COUNTIF($D$1:D470,D470)</f>
        <v>24</v>
      </c>
    </row>
    <row r="471" spans="1:28" x14ac:dyDescent="0.25">
      <c r="A471">
        <v>470</v>
      </c>
      <c r="B471">
        <v>183233</v>
      </c>
      <c r="C471">
        <v>24001054</v>
      </c>
      <c r="D471" t="s">
        <v>10</v>
      </c>
      <c r="E471" t="s">
        <v>174</v>
      </c>
      <c r="F471" t="s">
        <v>465</v>
      </c>
      <c r="G471" t="s">
        <v>466</v>
      </c>
      <c r="H471" t="s">
        <v>115</v>
      </c>
      <c r="I471">
        <v>440</v>
      </c>
      <c r="J471" s="64">
        <v>45505</v>
      </c>
      <c r="K471" s="64">
        <v>45535</v>
      </c>
      <c r="L471" t="s">
        <v>372</v>
      </c>
      <c r="M471" s="64">
        <v>45548</v>
      </c>
      <c r="N471" t="s">
        <v>373</v>
      </c>
      <c r="O471" t="s">
        <v>376</v>
      </c>
      <c r="P471">
        <v>2.27</v>
      </c>
      <c r="Q471">
        <v>5.33</v>
      </c>
      <c r="R471">
        <v>998.8</v>
      </c>
      <c r="S471">
        <v>2345.1999999999998</v>
      </c>
      <c r="T471" t="s">
        <v>70</v>
      </c>
      <c r="AA471">
        <f t="shared" si="7"/>
        <v>115371.26499999998</v>
      </c>
      <c r="AB471">
        <f>COUNTIF($D$1:D471,D471)</f>
        <v>25</v>
      </c>
    </row>
    <row r="472" spans="1:28" x14ac:dyDescent="0.25">
      <c r="A472">
        <v>471</v>
      </c>
      <c r="B472">
        <v>183231</v>
      </c>
      <c r="C472">
        <v>24001052</v>
      </c>
      <c r="D472" t="s">
        <v>10</v>
      </c>
      <c r="E472" t="s">
        <v>174</v>
      </c>
      <c r="F472" t="s">
        <v>469</v>
      </c>
      <c r="G472" t="s">
        <v>470</v>
      </c>
      <c r="H472" t="s">
        <v>115</v>
      </c>
      <c r="I472">
        <v>385</v>
      </c>
      <c r="J472" s="64">
        <v>45505</v>
      </c>
      <c r="K472" s="64">
        <v>45530</v>
      </c>
      <c r="L472" t="s">
        <v>372</v>
      </c>
      <c r="M472" s="64">
        <v>45541</v>
      </c>
      <c r="N472" t="s">
        <v>373</v>
      </c>
      <c r="O472" t="s">
        <v>376</v>
      </c>
      <c r="P472">
        <v>2.16</v>
      </c>
      <c r="Q472">
        <v>4.1900000000000004</v>
      </c>
      <c r="R472">
        <v>831.6</v>
      </c>
      <c r="S472">
        <v>1613.15</v>
      </c>
      <c r="T472" t="s">
        <v>70</v>
      </c>
      <c r="AA472">
        <f t="shared" si="7"/>
        <v>115371.26499999998</v>
      </c>
      <c r="AB472">
        <f>COUNTIF($D$1:D472,D472)</f>
        <v>26</v>
      </c>
    </row>
    <row r="473" spans="1:28" x14ac:dyDescent="0.25">
      <c r="A473">
        <v>472</v>
      </c>
      <c r="B473">
        <v>183253</v>
      </c>
      <c r="C473">
        <v>24001612</v>
      </c>
      <c r="D473" t="s">
        <v>10</v>
      </c>
      <c r="E473" t="s">
        <v>116</v>
      </c>
      <c r="F473" t="s">
        <v>379</v>
      </c>
      <c r="H473" t="s">
        <v>115</v>
      </c>
      <c r="I473">
        <v>152</v>
      </c>
      <c r="J473" s="64">
        <v>45505</v>
      </c>
      <c r="K473" s="64">
        <v>45520</v>
      </c>
      <c r="L473" t="s">
        <v>372</v>
      </c>
      <c r="M473" s="64">
        <v>45520</v>
      </c>
      <c r="N473" t="s">
        <v>373</v>
      </c>
      <c r="O473" t="s">
        <v>372</v>
      </c>
      <c r="P473">
        <v>1.9</v>
      </c>
      <c r="Q473">
        <v>1.9</v>
      </c>
      <c r="R473">
        <v>288.8</v>
      </c>
      <c r="S473">
        <v>288.8</v>
      </c>
      <c r="T473" t="s">
        <v>71</v>
      </c>
      <c r="AA473">
        <f t="shared" si="7"/>
        <v>115371.26499999998</v>
      </c>
      <c r="AB473">
        <f>COUNTIF($D$1:D473,D473)</f>
        <v>27</v>
      </c>
    </row>
    <row r="474" spans="1:28" x14ac:dyDescent="0.25">
      <c r="A474">
        <v>473</v>
      </c>
      <c r="B474">
        <v>183305</v>
      </c>
      <c r="C474">
        <v>24001200</v>
      </c>
      <c r="D474" t="s">
        <v>10</v>
      </c>
      <c r="E474" t="s">
        <v>159</v>
      </c>
      <c r="F474" t="s">
        <v>458</v>
      </c>
      <c r="G474" t="s">
        <v>457</v>
      </c>
      <c r="H474" t="s">
        <v>115</v>
      </c>
      <c r="I474">
        <v>6590</v>
      </c>
      <c r="J474" s="64">
        <v>45511</v>
      </c>
      <c r="K474" s="64">
        <v>45520</v>
      </c>
      <c r="L474" t="s">
        <v>372</v>
      </c>
      <c r="M474" s="64">
        <v>45590</v>
      </c>
      <c r="N474" t="s">
        <v>373</v>
      </c>
      <c r="O474" t="s">
        <v>419</v>
      </c>
      <c r="P474">
        <v>0.45</v>
      </c>
      <c r="Q474">
        <v>1.03</v>
      </c>
      <c r="R474">
        <v>2965.5</v>
      </c>
      <c r="S474">
        <v>6787.7</v>
      </c>
      <c r="T474" t="s">
        <v>70</v>
      </c>
      <c r="AA474">
        <f t="shared" si="7"/>
        <v>115371.26499999998</v>
      </c>
      <c r="AB474">
        <f>COUNTIF($D$1:D474,D474)</f>
        <v>28</v>
      </c>
    </row>
    <row r="475" spans="1:28" x14ac:dyDescent="0.25">
      <c r="A475">
        <v>474</v>
      </c>
      <c r="B475">
        <v>182680</v>
      </c>
      <c r="C475">
        <v>24001080</v>
      </c>
      <c r="D475" t="s">
        <v>10</v>
      </c>
      <c r="E475" t="s">
        <v>159</v>
      </c>
      <c r="F475" t="s">
        <v>471</v>
      </c>
      <c r="G475" t="s">
        <v>472</v>
      </c>
      <c r="H475" t="s">
        <v>115</v>
      </c>
      <c r="I475">
        <v>97</v>
      </c>
      <c r="J475" s="64">
        <v>45516</v>
      </c>
      <c r="K475" s="64">
        <v>45520</v>
      </c>
      <c r="L475" t="s">
        <v>372</v>
      </c>
      <c r="M475" s="64">
        <v>45518</v>
      </c>
      <c r="N475" t="s">
        <v>374</v>
      </c>
      <c r="O475" t="s">
        <v>372</v>
      </c>
      <c r="P475">
        <v>1.2549999999999999</v>
      </c>
      <c r="Q475">
        <v>1.9</v>
      </c>
      <c r="R475">
        <v>121.735</v>
      </c>
      <c r="S475">
        <v>184.3</v>
      </c>
      <c r="T475" t="s">
        <v>70</v>
      </c>
      <c r="AA475">
        <f t="shared" si="7"/>
        <v>115371.26499999998</v>
      </c>
      <c r="AB475">
        <f>COUNTIF($D$1:D475,D475)</f>
        <v>29</v>
      </c>
    </row>
    <row r="476" spans="1:28" x14ac:dyDescent="0.25">
      <c r="A476">
        <v>475</v>
      </c>
      <c r="B476">
        <v>183224</v>
      </c>
      <c r="C476">
        <v>24001045</v>
      </c>
      <c r="D476" t="s">
        <v>10</v>
      </c>
      <c r="E476" t="s">
        <v>174</v>
      </c>
      <c r="F476" t="s">
        <v>473</v>
      </c>
      <c r="G476" t="s">
        <v>474</v>
      </c>
      <c r="H476" t="s">
        <v>115</v>
      </c>
      <c r="I476">
        <v>130</v>
      </c>
      <c r="J476" s="64">
        <v>45517</v>
      </c>
      <c r="K476" s="64">
        <v>45517</v>
      </c>
      <c r="L476" t="s">
        <v>372</v>
      </c>
      <c r="M476" s="64">
        <v>45524</v>
      </c>
      <c r="N476" t="s">
        <v>373</v>
      </c>
      <c r="O476" t="s">
        <v>372</v>
      </c>
      <c r="P476">
        <v>1.06</v>
      </c>
      <c r="Q476">
        <v>2.4700000000000002</v>
      </c>
      <c r="R476">
        <v>137.80000000000001</v>
      </c>
      <c r="S476">
        <v>321.10000000000002</v>
      </c>
      <c r="T476" t="s">
        <v>70</v>
      </c>
      <c r="AA476">
        <f t="shared" si="7"/>
        <v>115371.26499999998</v>
      </c>
      <c r="AB476">
        <f>COUNTIF($D$1:D476,D476)</f>
        <v>30</v>
      </c>
    </row>
    <row r="477" spans="1:28" x14ac:dyDescent="0.25">
      <c r="A477">
        <v>476</v>
      </c>
      <c r="B477">
        <v>183360</v>
      </c>
      <c r="C477">
        <v>24001678</v>
      </c>
      <c r="D477" t="s">
        <v>10</v>
      </c>
      <c r="E477" t="s">
        <v>116</v>
      </c>
      <c r="F477" t="s">
        <v>385</v>
      </c>
      <c r="H477" t="s">
        <v>115</v>
      </c>
      <c r="I477">
        <v>2958</v>
      </c>
      <c r="J477" s="64">
        <v>45531</v>
      </c>
      <c r="K477" s="64">
        <v>45533</v>
      </c>
      <c r="L477" t="s">
        <v>372</v>
      </c>
      <c r="M477" s="64">
        <v>45527</v>
      </c>
      <c r="N477" t="s">
        <v>374</v>
      </c>
      <c r="O477" t="s">
        <v>372</v>
      </c>
      <c r="P477">
        <v>0.75</v>
      </c>
      <c r="Q477">
        <v>0.98</v>
      </c>
      <c r="R477">
        <v>2218.5</v>
      </c>
      <c r="S477">
        <v>2898.84</v>
      </c>
      <c r="T477" t="s">
        <v>71</v>
      </c>
      <c r="AA477">
        <f t="shared" si="7"/>
        <v>115371.26499999998</v>
      </c>
      <c r="AB477">
        <f>COUNTIF($D$1:D477,D477)</f>
        <v>31</v>
      </c>
    </row>
    <row r="478" spans="1:28" x14ac:dyDescent="0.25">
      <c r="A478">
        <v>477</v>
      </c>
      <c r="B478">
        <v>183370</v>
      </c>
      <c r="C478">
        <v>24001685</v>
      </c>
      <c r="D478" t="s">
        <v>10</v>
      </c>
      <c r="E478" t="s">
        <v>116</v>
      </c>
      <c r="F478" t="s">
        <v>461</v>
      </c>
      <c r="G478" t="s">
        <v>461</v>
      </c>
      <c r="H478" t="s">
        <v>115</v>
      </c>
      <c r="I478">
        <v>1505</v>
      </c>
      <c r="J478" s="64">
        <v>45534</v>
      </c>
      <c r="K478" s="64">
        <v>45535</v>
      </c>
      <c r="L478" t="s">
        <v>372</v>
      </c>
      <c r="M478" s="64">
        <v>45558</v>
      </c>
      <c r="N478" t="s">
        <v>373</v>
      </c>
      <c r="O478" t="s">
        <v>376</v>
      </c>
      <c r="P478">
        <v>0.75</v>
      </c>
      <c r="Q478">
        <v>0.97</v>
      </c>
      <c r="R478">
        <v>1128.75</v>
      </c>
      <c r="S478">
        <v>1459.85</v>
      </c>
      <c r="T478" t="s">
        <v>71</v>
      </c>
      <c r="AA478">
        <f t="shared" si="7"/>
        <v>115371.26499999998</v>
      </c>
      <c r="AB478">
        <f>COUNTIF($D$1:D478,D478)</f>
        <v>32</v>
      </c>
    </row>
    <row r="479" spans="1:28" x14ac:dyDescent="0.25">
      <c r="A479">
        <v>478</v>
      </c>
      <c r="B479">
        <v>183227</v>
      </c>
      <c r="C479">
        <v>24001048</v>
      </c>
      <c r="D479" t="s">
        <v>10</v>
      </c>
      <c r="E479" t="s">
        <v>174</v>
      </c>
      <c r="F479" t="s">
        <v>477</v>
      </c>
      <c r="G479" t="s">
        <v>478</v>
      </c>
      <c r="H479" t="s">
        <v>185</v>
      </c>
      <c r="I479">
        <v>350</v>
      </c>
      <c r="J479" s="64">
        <v>45534</v>
      </c>
      <c r="K479" s="64">
        <v>45535</v>
      </c>
      <c r="L479" t="s">
        <v>372</v>
      </c>
      <c r="M479" s="64">
        <v>45541</v>
      </c>
      <c r="N479" t="s">
        <v>373</v>
      </c>
      <c r="O479" t="s">
        <v>376</v>
      </c>
      <c r="P479">
        <v>1.97</v>
      </c>
      <c r="Q479">
        <v>4.84</v>
      </c>
      <c r="R479">
        <v>689.5</v>
      </c>
      <c r="S479">
        <v>1694</v>
      </c>
      <c r="T479" t="s">
        <v>70</v>
      </c>
      <c r="AA479">
        <f t="shared" si="7"/>
        <v>115371.26499999998</v>
      </c>
      <c r="AB479">
        <f>COUNTIF($D$1:D479,D479)</f>
        <v>33</v>
      </c>
    </row>
    <row r="480" spans="1:28" x14ac:dyDescent="0.25">
      <c r="A480">
        <v>479</v>
      </c>
      <c r="B480">
        <v>183238</v>
      </c>
      <c r="C480">
        <v>24001039</v>
      </c>
      <c r="D480" t="s">
        <v>10</v>
      </c>
      <c r="E480" t="s">
        <v>174</v>
      </c>
      <c r="F480" t="s">
        <v>479</v>
      </c>
      <c r="G480" t="s">
        <v>478</v>
      </c>
      <c r="H480" t="s">
        <v>185</v>
      </c>
      <c r="I480">
        <v>1606</v>
      </c>
      <c r="J480" s="64">
        <v>45505</v>
      </c>
      <c r="K480" s="64">
        <v>45524</v>
      </c>
      <c r="L480" t="s">
        <v>372</v>
      </c>
      <c r="M480" s="64">
        <v>45523</v>
      </c>
      <c r="N480" t="s">
        <v>374</v>
      </c>
      <c r="O480" t="s">
        <v>372</v>
      </c>
      <c r="P480">
        <v>1.78</v>
      </c>
      <c r="Q480">
        <v>4.5199999999999996</v>
      </c>
      <c r="R480">
        <v>2858.68</v>
      </c>
      <c r="S480">
        <v>7259.12</v>
      </c>
      <c r="T480" t="s">
        <v>70</v>
      </c>
      <c r="AA480">
        <f t="shared" si="7"/>
        <v>115371.26499999998</v>
      </c>
      <c r="AB480">
        <f>COUNTIF($D$1:D480,D480)</f>
        <v>34</v>
      </c>
    </row>
    <row r="481" spans="1:28" x14ac:dyDescent="0.25">
      <c r="A481">
        <v>480</v>
      </c>
      <c r="B481">
        <v>183241</v>
      </c>
      <c r="C481">
        <v>24001042</v>
      </c>
      <c r="D481" t="s">
        <v>10</v>
      </c>
      <c r="E481" t="s">
        <v>174</v>
      </c>
      <c r="F481" t="s">
        <v>480</v>
      </c>
      <c r="G481" t="s">
        <v>481</v>
      </c>
      <c r="H481" t="s">
        <v>185</v>
      </c>
      <c r="I481">
        <v>1710</v>
      </c>
      <c r="J481" s="64">
        <v>45505</v>
      </c>
      <c r="K481" s="64">
        <v>45525</v>
      </c>
      <c r="L481" t="s">
        <v>372</v>
      </c>
      <c r="M481" s="64">
        <v>45523</v>
      </c>
      <c r="N481" t="s">
        <v>374</v>
      </c>
      <c r="O481" t="s">
        <v>372</v>
      </c>
      <c r="P481">
        <v>1.35</v>
      </c>
      <c r="Q481">
        <v>2.4700000000000002</v>
      </c>
      <c r="R481">
        <v>2308.5</v>
      </c>
      <c r="S481">
        <v>4223.7</v>
      </c>
      <c r="T481" t="s">
        <v>70</v>
      </c>
      <c r="AA481">
        <f t="shared" si="7"/>
        <v>115371.26499999998</v>
      </c>
      <c r="AB481">
        <f>COUNTIF($D$1:D481,D481)</f>
        <v>35</v>
      </c>
    </row>
    <row r="482" spans="1:28" x14ac:dyDescent="0.25">
      <c r="A482">
        <v>481</v>
      </c>
      <c r="B482">
        <v>183223</v>
      </c>
      <c r="C482">
        <v>24001044</v>
      </c>
      <c r="D482" t="s">
        <v>10</v>
      </c>
      <c r="E482" t="s">
        <v>174</v>
      </c>
      <c r="F482" t="s">
        <v>482</v>
      </c>
      <c r="G482" t="s">
        <v>483</v>
      </c>
      <c r="H482" t="s">
        <v>185</v>
      </c>
      <c r="I482">
        <v>139</v>
      </c>
      <c r="J482" s="64">
        <v>45517</v>
      </c>
      <c r="K482" s="64">
        <v>45519</v>
      </c>
      <c r="L482" t="s">
        <v>372</v>
      </c>
      <c r="M482" s="64">
        <v>45523</v>
      </c>
      <c r="N482" t="s">
        <v>373</v>
      </c>
      <c r="O482" t="s">
        <v>372</v>
      </c>
      <c r="P482">
        <v>1.3</v>
      </c>
      <c r="Q482">
        <v>2.8</v>
      </c>
      <c r="R482">
        <v>180.7</v>
      </c>
      <c r="S482">
        <v>389.2</v>
      </c>
      <c r="T482" t="s">
        <v>70</v>
      </c>
      <c r="AA482">
        <f t="shared" si="7"/>
        <v>115371.26499999998</v>
      </c>
      <c r="AB482">
        <f>COUNTIF($D$1:D482,D482)</f>
        <v>36</v>
      </c>
    </row>
    <row r="483" spans="1:28" x14ac:dyDescent="0.25">
      <c r="A483">
        <v>482</v>
      </c>
      <c r="B483">
        <v>183224</v>
      </c>
      <c r="C483">
        <v>24001045</v>
      </c>
      <c r="D483" t="s">
        <v>10</v>
      </c>
      <c r="E483" t="s">
        <v>174</v>
      </c>
      <c r="F483" t="s">
        <v>473</v>
      </c>
      <c r="G483" t="s">
        <v>474</v>
      </c>
      <c r="H483" t="s">
        <v>185</v>
      </c>
      <c r="I483">
        <v>1432</v>
      </c>
      <c r="J483" s="64">
        <v>45509</v>
      </c>
      <c r="K483" s="64">
        <v>45520</v>
      </c>
      <c r="L483" t="s">
        <v>372</v>
      </c>
      <c r="M483" s="64">
        <v>45523</v>
      </c>
      <c r="N483" t="s">
        <v>373</v>
      </c>
      <c r="O483" t="s">
        <v>372</v>
      </c>
      <c r="P483">
        <v>1.06</v>
      </c>
      <c r="Q483">
        <v>2.4700000000000002</v>
      </c>
      <c r="R483">
        <v>1517.92</v>
      </c>
      <c r="S483">
        <v>3537.04</v>
      </c>
      <c r="T483" t="s">
        <v>70</v>
      </c>
      <c r="AA483">
        <f t="shared" si="7"/>
        <v>115371.26499999998</v>
      </c>
      <c r="AB483">
        <f>COUNTIF($D$1:D483,D483)</f>
        <v>37</v>
      </c>
    </row>
    <row r="484" spans="1:28" x14ac:dyDescent="0.25">
      <c r="A484">
        <v>483</v>
      </c>
      <c r="B484">
        <v>183225</v>
      </c>
      <c r="C484">
        <v>24001046</v>
      </c>
      <c r="D484" t="s">
        <v>10</v>
      </c>
      <c r="E484" t="s">
        <v>174</v>
      </c>
      <c r="F484" t="s">
        <v>475</v>
      </c>
      <c r="G484" t="s">
        <v>476</v>
      </c>
      <c r="H484" t="s">
        <v>185</v>
      </c>
      <c r="I484">
        <v>170</v>
      </c>
      <c r="J484" s="64">
        <v>45520</v>
      </c>
      <c r="K484" s="64">
        <v>45525</v>
      </c>
      <c r="L484" t="s">
        <v>372</v>
      </c>
      <c r="M484" s="64">
        <v>45523</v>
      </c>
      <c r="N484" t="s">
        <v>374</v>
      </c>
      <c r="O484" t="s">
        <v>372</v>
      </c>
      <c r="P484">
        <v>1.77</v>
      </c>
      <c r="Q484">
        <v>5.16</v>
      </c>
      <c r="R484">
        <v>300.89999999999998</v>
      </c>
      <c r="S484">
        <v>877.2</v>
      </c>
      <c r="T484" t="s">
        <v>70</v>
      </c>
      <c r="AA484">
        <f t="shared" si="7"/>
        <v>115371.26499999998</v>
      </c>
      <c r="AB484">
        <f>COUNTIF($D$1:D484,D484)</f>
        <v>38</v>
      </c>
    </row>
    <row r="485" spans="1:28" x14ac:dyDescent="0.25">
      <c r="A485">
        <v>484</v>
      </c>
      <c r="B485">
        <v>183234</v>
      </c>
      <c r="C485">
        <v>24001055</v>
      </c>
      <c r="D485" t="s">
        <v>10</v>
      </c>
      <c r="E485" t="s">
        <v>174</v>
      </c>
      <c r="F485" t="s">
        <v>484</v>
      </c>
      <c r="G485" t="s">
        <v>485</v>
      </c>
      <c r="H485" t="s">
        <v>185</v>
      </c>
      <c r="I485">
        <v>549</v>
      </c>
      <c r="J485" s="64">
        <v>45526</v>
      </c>
      <c r="K485" s="64">
        <v>45533</v>
      </c>
      <c r="L485" t="s">
        <v>372</v>
      </c>
      <c r="M485" s="64">
        <v>45541</v>
      </c>
      <c r="N485" t="s">
        <v>373</v>
      </c>
      <c r="O485" t="s">
        <v>376</v>
      </c>
      <c r="P485">
        <v>1.4</v>
      </c>
      <c r="Q485">
        <v>2.8</v>
      </c>
      <c r="R485">
        <v>768.6</v>
      </c>
      <c r="S485">
        <v>1537.2</v>
      </c>
      <c r="T485" t="s">
        <v>70</v>
      </c>
      <c r="AA485">
        <f t="shared" si="7"/>
        <v>115371.26499999998</v>
      </c>
      <c r="AB485">
        <f>COUNTIF($D$1:D485,D485)</f>
        <v>39</v>
      </c>
    </row>
    <row r="486" spans="1:28" x14ac:dyDescent="0.25">
      <c r="A486">
        <v>485</v>
      </c>
      <c r="B486">
        <v>183236</v>
      </c>
      <c r="C486">
        <v>24001057</v>
      </c>
      <c r="D486" t="s">
        <v>10</v>
      </c>
      <c r="E486" t="s">
        <v>174</v>
      </c>
      <c r="F486" t="s">
        <v>486</v>
      </c>
      <c r="G486" t="s">
        <v>487</v>
      </c>
      <c r="H486" t="s">
        <v>185</v>
      </c>
      <c r="I486">
        <v>785</v>
      </c>
      <c r="J486" s="64">
        <v>45506</v>
      </c>
      <c r="K486" s="64">
        <v>45535</v>
      </c>
      <c r="L486" t="s">
        <v>372</v>
      </c>
      <c r="M486" s="64">
        <v>45541</v>
      </c>
      <c r="N486" t="s">
        <v>373</v>
      </c>
      <c r="O486" t="s">
        <v>376</v>
      </c>
      <c r="P486">
        <v>2</v>
      </c>
      <c r="Q486">
        <v>4.68</v>
      </c>
      <c r="R486">
        <v>1570</v>
      </c>
      <c r="S486">
        <v>3673.8</v>
      </c>
      <c r="T486" t="s">
        <v>70</v>
      </c>
      <c r="AA486">
        <f t="shared" si="7"/>
        <v>115371.26499999998</v>
      </c>
      <c r="AB486">
        <f>COUNTIF($D$1:D486,D486)</f>
        <v>40</v>
      </c>
    </row>
    <row r="487" spans="1:28" x14ac:dyDescent="0.25">
      <c r="A487">
        <v>486</v>
      </c>
      <c r="B487">
        <v>183228</v>
      </c>
      <c r="C487">
        <v>24001049</v>
      </c>
      <c r="D487" t="s">
        <v>10</v>
      </c>
      <c r="E487" t="s">
        <v>174</v>
      </c>
      <c r="F487" t="s">
        <v>488</v>
      </c>
      <c r="G487" t="s">
        <v>489</v>
      </c>
      <c r="H487" t="s">
        <v>185</v>
      </c>
      <c r="I487">
        <v>1107</v>
      </c>
      <c r="J487" s="64">
        <v>45528</v>
      </c>
      <c r="K487" s="64">
        <v>45534</v>
      </c>
      <c r="L487" t="s">
        <v>372</v>
      </c>
      <c r="M487" s="64">
        <v>45541</v>
      </c>
      <c r="N487" t="s">
        <v>373</v>
      </c>
      <c r="O487" t="s">
        <v>376</v>
      </c>
      <c r="P487">
        <v>1.94</v>
      </c>
      <c r="Q487">
        <v>4.5199999999999996</v>
      </c>
      <c r="R487">
        <v>2147.58</v>
      </c>
      <c r="S487">
        <v>5003.6400000000003</v>
      </c>
      <c r="T487" t="s">
        <v>70</v>
      </c>
      <c r="AA487">
        <f t="shared" si="7"/>
        <v>115371.26499999998</v>
      </c>
      <c r="AB487">
        <f>COUNTIF($D$1:D487,D487)</f>
        <v>41</v>
      </c>
    </row>
    <row r="488" spans="1:28" x14ac:dyDescent="0.25">
      <c r="A488">
        <v>487</v>
      </c>
      <c r="B488">
        <v>183229</v>
      </c>
      <c r="C488">
        <v>24001050</v>
      </c>
      <c r="D488" t="s">
        <v>10</v>
      </c>
      <c r="E488" t="s">
        <v>174</v>
      </c>
      <c r="F488" t="s">
        <v>490</v>
      </c>
      <c r="G488" t="s">
        <v>491</v>
      </c>
      <c r="H488" t="s">
        <v>185</v>
      </c>
      <c r="I488">
        <v>1592</v>
      </c>
      <c r="J488" s="64">
        <v>45518</v>
      </c>
      <c r="K488" s="64">
        <v>45527</v>
      </c>
      <c r="L488" t="s">
        <v>372</v>
      </c>
      <c r="M488" s="64">
        <v>45541</v>
      </c>
      <c r="N488" t="s">
        <v>373</v>
      </c>
      <c r="O488" t="s">
        <v>376</v>
      </c>
      <c r="P488">
        <v>1.36</v>
      </c>
      <c r="Q488">
        <v>2.8</v>
      </c>
      <c r="R488">
        <v>2165.12</v>
      </c>
      <c r="S488">
        <v>4457.6000000000004</v>
      </c>
      <c r="T488" t="s">
        <v>70</v>
      </c>
      <c r="AA488">
        <f t="shared" si="7"/>
        <v>115371.26499999998</v>
      </c>
      <c r="AB488">
        <f>COUNTIF($D$1:D488,D488)</f>
        <v>42</v>
      </c>
    </row>
    <row r="489" spans="1:28" x14ac:dyDescent="0.25">
      <c r="A489">
        <v>488</v>
      </c>
      <c r="B489">
        <v>183237</v>
      </c>
      <c r="C489">
        <v>24001058</v>
      </c>
      <c r="D489" t="s">
        <v>10</v>
      </c>
      <c r="E489" t="s">
        <v>174</v>
      </c>
      <c r="F489" t="s">
        <v>492</v>
      </c>
      <c r="G489" t="s">
        <v>493</v>
      </c>
      <c r="H489" t="s">
        <v>185</v>
      </c>
      <c r="I489">
        <v>1877</v>
      </c>
      <c r="J489" s="64">
        <v>45505</v>
      </c>
      <c r="K489" s="64">
        <v>45533</v>
      </c>
      <c r="L489" t="s">
        <v>372</v>
      </c>
      <c r="M489" s="64">
        <v>45541</v>
      </c>
      <c r="N489" t="s">
        <v>373</v>
      </c>
      <c r="O489" t="s">
        <v>376</v>
      </c>
      <c r="P489">
        <v>1.34</v>
      </c>
      <c r="Q489">
        <v>3.12</v>
      </c>
      <c r="R489">
        <v>2515.1799999999998</v>
      </c>
      <c r="S489">
        <v>5856.24</v>
      </c>
      <c r="T489" t="s">
        <v>70</v>
      </c>
      <c r="AA489">
        <f t="shared" si="7"/>
        <v>115371.26499999998</v>
      </c>
      <c r="AB489">
        <f>COUNTIF($D$1:D489,D489)</f>
        <v>43</v>
      </c>
    </row>
    <row r="490" spans="1:28" x14ac:dyDescent="0.25">
      <c r="A490">
        <v>489</v>
      </c>
      <c r="B490">
        <v>183227</v>
      </c>
      <c r="C490">
        <v>24001048</v>
      </c>
      <c r="D490" t="s">
        <v>10</v>
      </c>
      <c r="E490" t="s">
        <v>174</v>
      </c>
      <c r="F490" t="s">
        <v>477</v>
      </c>
      <c r="G490" t="s">
        <v>478</v>
      </c>
      <c r="H490" t="s">
        <v>197</v>
      </c>
      <c r="I490">
        <v>450</v>
      </c>
      <c r="J490" s="64">
        <v>45534</v>
      </c>
      <c r="K490" s="64">
        <v>45535</v>
      </c>
      <c r="L490" t="s">
        <v>372</v>
      </c>
      <c r="M490" s="64">
        <v>45541</v>
      </c>
      <c r="N490" t="s">
        <v>373</v>
      </c>
      <c r="O490" t="s">
        <v>376</v>
      </c>
      <c r="P490">
        <v>1.97</v>
      </c>
      <c r="Q490">
        <v>4.84</v>
      </c>
      <c r="R490">
        <v>886.5</v>
      </c>
      <c r="S490">
        <v>2178</v>
      </c>
      <c r="T490" t="s">
        <v>70</v>
      </c>
      <c r="AA490">
        <f t="shared" si="7"/>
        <v>115371.26499999998</v>
      </c>
      <c r="AB490">
        <f>COUNTIF($D$1:D490,D490)</f>
        <v>44</v>
      </c>
    </row>
    <row r="491" spans="1:28" x14ac:dyDescent="0.25">
      <c r="A491">
        <v>490</v>
      </c>
      <c r="B491">
        <v>183238</v>
      </c>
      <c r="C491">
        <v>24001039</v>
      </c>
      <c r="D491" t="s">
        <v>10</v>
      </c>
      <c r="E491" t="s">
        <v>174</v>
      </c>
      <c r="F491" t="s">
        <v>479</v>
      </c>
      <c r="G491" t="s">
        <v>478</v>
      </c>
      <c r="H491" t="s">
        <v>197</v>
      </c>
      <c r="I491">
        <v>764</v>
      </c>
      <c r="J491" s="64">
        <v>45519</v>
      </c>
      <c r="K491" s="64">
        <v>45524</v>
      </c>
      <c r="L491" t="s">
        <v>372</v>
      </c>
      <c r="M491" s="64">
        <v>45523</v>
      </c>
      <c r="N491" t="s">
        <v>374</v>
      </c>
      <c r="O491" t="s">
        <v>372</v>
      </c>
      <c r="P491">
        <v>1.78</v>
      </c>
      <c r="Q491">
        <v>4.5199999999999996</v>
      </c>
      <c r="R491">
        <v>1359.92</v>
      </c>
      <c r="S491">
        <v>3453.28</v>
      </c>
      <c r="T491" t="s">
        <v>70</v>
      </c>
      <c r="AA491">
        <f t="shared" si="7"/>
        <v>115371.26499999998</v>
      </c>
      <c r="AB491">
        <f>COUNTIF($D$1:D491,D491)</f>
        <v>45</v>
      </c>
    </row>
    <row r="492" spans="1:28" x14ac:dyDescent="0.25">
      <c r="A492">
        <v>491</v>
      </c>
      <c r="B492">
        <v>183241</v>
      </c>
      <c r="C492">
        <v>24001042</v>
      </c>
      <c r="D492" t="s">
        <v>10</v>
      </c>
      <c r="E492" t="s">
        <v>174</v>
      </c>
      <c r="F492" t="s">
        <v>480</v>
      </c>
      <c r="G492" t="s">
        <v>481</v>
      </c>
      <c r="H492" t="s">
        <v>197</v>
      </c>
      <c r="I492">
        <v>1635</v>
      </c>
      <c r="J492" s="64">
        <v>45505</v>
      </c>
      <c r="K492" s="64">
        <v>45523</v>
      </c>
      <c r="L492" t="s">
        <v>372</v>
      </c>
      <c r="M492" s="64">
        <v>45523</v>
      </c>
      <c r="N492" t="s">
        <v>373</v>
      </c>
      <c r="O492" t="s">
        <v>372</v>
      </c>
      <c r="P492">
        <v>1.35</v>
      </c>
      <c r="Q492">
        <v>2.4700000000000002</v>
      </c>
      <c r="R492">
        <v>2207.25</v>
      </c>
      <c r="S492">
        <v>4038.45</v>
      </c>
      <c r="T492" t="s">
        <v>70</v>
      </c>
      <c r="AA492">
        <f t="shared" si="7"/>
        <v>115371.26499999998</v>
      </c>
      <c r="AB492">
        <f>COUNTIF($D$1:D492,D492)</f>
        <v>46</v>
      </c>
    </row>
    <row r="493" spans="1:28" x14ac:dyDescent="0.25">
      <c r="A493">
        <v>492</v>
      </c>
      <c r="B493">
        <v>183223</v>
      </c>
      <c r="C493">
        <v>24001044</v>
      </c>
      <c r="D493" t="s">
        <v>10</v>
      </c>
      <c r="E493" t="s">
        <v>174</v>
      </c>
      <c r="F493" t="s">
        <v>482</v>
      </c>
      <c r="G493" t="s">
        <v>483</v>
      </c>
      <c r="H493" t="s">
        <v>197</v>
      </c>
      <c r="I493">
        <v>80</v>
      </c>
      <c r="J493" s="64">
        <v>45520</v>
      </c>
      <c r="K493" s="64">
        <v>45520</v>
      </c>
      <c r="L493" t="s">
        <v>372</v>
      </c>
      <c r="M493" s="64">
        <v>45523</v>
      </c>
      <c r="N493" t="s">
        <v>373</v>
      </c>
      <c r="O493" t="s">
        <v>372</v>
      </c>
      <c r="P493">
        <v>1.3</v>
      </c>
      <c r="Q493">
        <v>2.8</v>
      </c>
      <c r="R493">
        <v>104</v>
      </c>
      <c r="S493">
        <v>224</v>
      </c>
      <c r="T493" t="s">
        <v>70</v>
      </c>
      <c r="AA493">
        <f t="shared" si="7"/>
        <v>115371.26499999998</v>
      </c>
      <c r="AB493">
        <f>COUNTIF($D$1:D493,D493)</f>
        <v>47</v>
      </c>
    </row>
    <row r="494" spans="1:28" x14ac:dyDescent="0.25">
      <c r="A494">
        <v>493</v>
      </c>
      <c r="B494">
        <v>183224</v>
      </c>
      <c r="C494">
        <v>24001045</v>
      </c>
      <c r="D494" t="s">
        <v>10</v>
      </c>
      <c r="E494" t="s">
        <v>174</v>
      </c>
      <c r="F494" t="s">
        <v>473</v>
      </c>
      <c r="G494" t="s">
        <v>474</v>
      </c>
      <c r="H494" t="s">
        <v>197</v>
      </c>
      <c r="I494">
        <v>1703</v>
      </c>
      <c r="J494" s="64">
        <v>45509</v>
      </c>
      <c r="K494" s="64">
        <v>45511</v>
      </c>
      <c r="L494" t="s">
        <v>372</v>
      </c>
      <c r="M494" s="64">
        <v>45523</v>
      </c>
      <c r="N494" t="s">
        <v>373</v>
      </c>
      <c r="O494" t="s">
        <v>372</v>
      </c>
      <c r="P494">
        <v>1.06</v>
      </c>
      <c r="Q494">
        <v>2.4700000000000002</v>
      </c>
      <c r="R494">
        <v>1805.18</v>
      </c>
      <c r="S494">
        <v>4206.41</v>
      </c>
      <c r="T494" t="s">
        <v>70</v>
      </c>
      <c r="AA494">
        <f t="shared" si="7"/>
        <v>115371.26499999998</v>
      </c>
      <c r="AB494">
        <f>COUNTIF($D$1:D494,D494)</f>
        <v>48</v>
      </c>
    </row>
    <row r="495" spans="1:28" x14ac:dyDescent="0.25">
      <c r="A495">
        <v>494</v>
      </c>
      <c r="B495">
        <v>183225</v>
      </c>
      <c r="C495">
        <v>24001046</v>
      </c>
      <c r="D495" t="s">
        <v>10</v>
      </c>
      <c r="E495" t="s">
        <v>174</v>
      </c>
      <c r="F495" t="s">
        <v>475</v>
      </c>
      <c r="G495" t="s">
        <v>476</v>
      </c>
      <c r="H495" t="s">
        <v>197</v>
      </c>
      <c r="I495">
        <v>99</v>
      </c>
      <c r="J495" s="64">
        <v>45526</v>
      </c>
      <c r="K495" s="64">
        <v>45526</v>
      </c>
      <c r="L495" t="s">
        <v>372</v>
      </c>
      <c r="M495" s="64">
        <v>45523</v>
      </c>
      <c r="N495" t="s">
        <v>374</v>
      </c>
      <c r="O495" t="s">
        <v>372</v>
      </c>
      <c r="P495">
        <v>1.77</v>
      </c>
      <c r="Q495">
        <v>5.16</v>
      </c>
      <c r="R495">
        <v>175.23</v>
      </c>
      <c r="S495">
        <v>510.84</v>
      </c>
      <c r="T495" t="s">
        <v>70</v>
      </c>
      <c r="AA495">
        <f t="shared" si="7"/>
        <v>115371.26499999998</v>
      </c>
      <c r="AB495">
        <f>COUNTIF($D$1:D495,D495)</f>
        <v>49</v>
      </c>
    </row>
    <row r="496" spans="1:28" x14ac:dyDescent="0.25">
      <c r="A496">
        <v>495</v>
      </c>
      <c r="B496">
        <v>183234</v>
      </c>
      <c r="C496">
        <v>24001055</v>
      </c>
      <c r="D496" t="s">
        <v>10</v>
      </c>
      <c r="E496" t="s">
        <v>174</v>
      </c>
      <c r="F496" t="s">
        <v>484</v>
      </c>
      <c r="G496" t="s">
        <v>485</v>
      </c>
      <c r="H496" t="s">
        <v>197</v>
      </c>
      <c r="I496">
        <v>616</v>
      </c>
      <c r="J496" s="64">
        <v>45532</v>
      </c>
      <c r="K496" s="64">
        <v>45533</v>
      </c>
      <c r="L496" t="s">
        <v>372</v>
      </c>
      <c r="M496" s="64">
        <v>45541</v>
      </c>
      <c r="N496" t="s">
        <v>373</v>
      </c>
      <c r="O496" t="s">
        <v>376</v>
      </c>
      <c r="P496">
        <v>1.4</v>
      </c>
      <c r="Q496">
        <v>2.8</v>
      </c>
      <c r="R496">
        <v>862.4</v>
      </c>
      <c r="S496">
        <v>1724.8</v>
      </c>
      <c r="T496" t="s">
        <v>70</v>
      </c>
      <c r="AA496">
        <f t="shared" si="7"/>
        <v>115371.26499999998</v>
      </c>
      <c r="AB496">
        <f>COUNTIF($D$1:D496,D496)</f>
        <v>50</v>
      </c>
    </row>
    <row r="497" spans="1:28" x14ac:dyDescent="0.25">
      <c r="A497">
        <v>496</v>
      </c>
      <c r="B497">
        <v>183236</v>
      </c>
      <c r="C497">
        <v>24001057</v>
      </c>
      <c r="D497" t="s">
        <v>10</v>
      </c>
      <c r="E497" t="s">
        <v>174</v>
      </c>
      <c r="F497" t="s">
        <v>486</v>
      </c>
      <c r="G497" t="s">
        <v>487</v>
      </c>
      <c r="H497" t="s">
        <v>197</v>
      </c>
      <c r="I497">
        <v>861</v>
      </c>
      <c r="J497" s="64">
        <v>45506</v>
      </c>
      <c r="K497" s="64">
        <v>45534</v>
      </c>
      <c r="L497" t="s">
        <v>372</v>
      </c>
      <c r="M497" s="64">
        <v>45541</v>
      </c>
      <c r="N497" t="s">
        <v>373</v>
      </c>
      <c r="O497" t="s">
        <v>376</v>
      </c>
      <c r="P497">
        <v>2</v>
      </c>
      <c r="Q497">
        <v>4.68</v>
      </c>
      <c r="R497">
        <v>1722</v>
      </c>
      <c r="S497">
        <v>4029.48</v>
      </c>
      <c r="T497" t="s">
        <v>70</v>
      </c>
      <c r="AA497">
        <f t="shared" si="7"/>
        <v>115371.26499999998</v>
      </c>
      <c r="AB497">
        <f>COUNTIF($D$1:D497,D497)</f>
        <v>51</v>
      </c>
    </row>
    <row r="498" spans="1:28" x14ac:dyDescent="0.25">
      <c r="A498">
        <v>497</v>
      </c>
      <c r="B498">
        <v>183228</v>
      </c>
      <c r="C498">
        <v>24001049</v>
      </c>
      <c r="D498" t="s">
        <v>10</v>
      </c>
      <c r="E498" t="s">
        <v>174</v>
      </c>
      <c r="F498" t="s">
        <v>488</v>
      </c>
      <c r="G498" t="s">
        <v>489</v>
      </c>
      <c r="H498" t="s">
        <v>197</v>
      </c>
      <c r="I498">
        <v>729</v>
      </c>
      <c r="J498" s="64">
        <v>45530</v>
      </c>
      <c r="K498" s="64">
        <v>45532</v>
      </c>
      <c r="L498" t="s">
        <v>372</v>
      </c>
      <c r="M498" s="64">
        <v>45541</v>
      </c>
      <c r="N498" t="s">
        <v>373</v>
      </c>
      <c r="O498" t="s">
        <v>376</v>
      </c>
      <c r="P498">
        <v>1.94</v>
      </c>
      <c r="Q498">
        <v>4.5199999999999996</v>
      </c>
      <c r="R498">
        <v>1414.26</v>
      </c>
      <c r="S498">
        <v>3295.08</v>
      </c>
      <c r="T498" t="s">
        <v>70</v>
      </c>
      <c r="AA498">
        <f t="shared" si="7"/>
        <v>115371.26499999998</v>
      </c>
      <c r="AB498">
        <f>COUNTIF($D$1:D498,D498)</f>
        <v>52</v>
      </c>
    </row>
    <row r="499" spans="1:28" x14ac:dyDescent="0.25">
      <c r="A499">
        <v>498</v>
      </c>
      <c r="B499">
        <v>183229</v>
      </c>
      <c r="C499">
        <v>24001050</v>
      </c>
      <c r="D499" t="s">
        <v>10</v>
      </c>
      <c r="E499" t="s">
        <v>174</v>
      </c>
      <c r="F499" t="s">
        <v>490</v>
      </c>
      <c r="G499" t="s">
        <v>491</v>
      </c>
      <c r="H499" t="s">
        <v>197</v>
      </c>
      <c r="I499">
        <v>1774</v>
      </c>
      <c r="J499" s="64">
        <v>45517</v>
      </c>
      <c r="K499" s="64">
        <v>45528</v>
      </c>
      <c r="L499" t="s">
        <v>372</v>
      </c>
      <c r="M499" s="64">
        <v>45541</v>
      </c>
      <c r="N499" t="s">
        <v>373</v>
      </c>
      <c r="O499" t="s">
        <v>376</v>
      </c>
      <c r="P499">
        <v>1.36</v>
      </c>
      <c r="Q499">
        <v>2.8</v>
      </c>
      <c r="R499">
        <v>2412.64</v>
      </c>
      <c r="S499">
        <v>4967.2</v>
      </c>
      <c r="T499" t="s">
        <v>70</v>
      </c>
      <c r="AA499">
        <f t="shared" si="7"/>
        <v>115371.26499999998</v>
      </c>
      <c r="AB499">
        <f>COUNTIF($D$1:D499,D499)</f>
        <v>53</v>
      </c>
    </row>
    <row r="500" spans="1:28" x14ac:dyDescent="0.25">
      <c r="A500">
        <v>499</v>
      </c>
      <c r="B500">
        <v>183237</v>
      </c>
      <c r="C500">
        <v>24001058</v>
      </c>
      <c r="D500" t="s">
        <v>10</v>
      </c>
      <c r="E500" t="s">
        <v>174</v>
      </c>
      <c r="F500" t="s">
        <v>492</v>
      </c>
      <c r="G500" t="s">
        <v>493</v>
      </c>
      <c r="H500" t="s">
        <v>197</v>
      </c>
      <c r="I500">
        <v>1373</v>
      </c>
      <c r="J500" s="64">
        <v>45512</v>
      </c>
      <c r="K500" s="64">
        <v>45516</v>
      </c>
      <c r="L500" t="s">
        <v>372</v>
      </c>
      <c r="M500" s="64">
        <v>45541</v>
      </c>
      <c r="N500" t="s">
        <v>373</v>
      </c>
      <c r="O500" t="s">
        <v>376</v>
      </c>
      <c r="P500">
        <v>1.34</v>
      </c>
      <c r="Q500">
        <v>3.12</v>
      </c>
      <c r="R500">
        <v>1839.82</v>
      </c>
      <c r="S500">
        <v>4283.76</v>
      </c>
      <c r="T500" t="s">
        <v>70</v>
      </c>
      <c r="AA500">
        <f t="shared" si="7"/>
        <v>115371.26499999998</v>
      </c>
      <c r="AB500">
        <f>COUNTIF($D$1:D500,D500)</f>
        <v>54</v>
      </c>
    </row>
    <row r="501" spans="1:28" x14ac:dyDescent="0.25">
      <c r="A501">
        <v>500</v>
      </c>
      <c r="B501">
        <v>183235</v>
      </c>
      <c r="C501">
        <v>24001056</v>
      </c>
      <c r="D501" t="s">
        <v>10</v>
      </c>
      <c r="E501" t="s">
        <v>174</v>
      </c>
      <c r="F501" t="s">
        <v>467</v>
      </c>
      <c r="G501" t="s">
        <v>468</v>
      </c>
      <c r="H501" t="s">
        <v>198</v>
      </c>
      <c r="I501">
        <v>449</v>
      </c>
      <c r="J501" s="64">
        <v>45505</v>
      </c>
      <c r="K501" s="64">
        <v>45535</v>
      </c>
      <c r="L501" t="s">
        <v>372</v>
      </c>
      <c r="M501" s="64">
        <v>45548</v>
      </c>
      <c r="N501" t="s">
        <v>373</v>
      </c>
      <c r="O501" t="s">
        <v>376</v>
      </c>
      <c r="P501">
        <v>1.08</v>
      </c>
      <c r="Q501">
        <v>2.58</v>
      </c>
      <c r="R501">
        <v>484.92</v>
      </c>
      <c r="S501">
        <v>1158.42</v>
      </c>
      <c r="T501" t="s">
        <v>70</v>
      </c>
      <c r="AA501">
        <f t="shared" si="7"/>
        <v>115371.26499999998</v>
      </c>
      <c r="AB501">
        <f>COUNTIF($D$1:D501,D501)</f>
        <v>55</v>
      </c>
    </row>
    <row r="502" spans="1:28" x14ac:dyDescent="0.25">
      <c r="A502">
        <v>501</v>
      </c>
      <c r="B502">
        <v>183232</v>
      </c>
      <c r="C502">
        <v>24001053</v>
      </c>
      <c r="D502" t="s">
        <v>10</v>
      </c>
      <c r="E502" t="s">
        <v>174</v>
      </c>
      <c r="F502" t="s">
        <v>494</v>
      </c>
      <c r="G502" t="s">
        <v>495</v>
      </c>
      <c r="H502" t="s">
        <v>198</v>
      </c>
      <c r="I502">
        <v>683</v>
      </c>
      <c r="J502" s="64">
        <v>45531</v>
      </c>
      <c r="K502" s="64">
        <v>45535</v>
      </c>
      <c r="L502" t="s">
        <v>372</v>
      </c>
      <c r="M502" s="64">
        <v>45548</v>
      </c>
      <c r="N502" t="s">
        <v>373</v>
      </c>
      <c r="O502" t="s">
        <v>376</v>
      </c>
      <c r="P502">
        <v>1.17</v>
      </c>
      <c r="Q502">
        <v>2.69</v>
      </c>
      <c r="R502">
        <v>799.11</v>
      </c>
      <c r="S502">
        <v>1837.27</v>
      </c>
      <c r="T502" t="s">
        <v>70</v>
      </c>
      <c r="AA502">
        <f t="shared" si="7"/>
        <v>115371.26499999998</v>
      </c>
      <c r="AB502">
        <f>COUNTIF($D$1:D502,D502)</f>
        <v>56</v>
      </c>
    </row>
    <row r="503" spans="1:28" x14ac:dyDescent="0.25">
      <c r="A503">
        <v>502</v>
      </c>
      <c r="B503">
        <v>183302</v>
      </c>
      <c r="C503">
        <v>24001207</v>
      </c>
      <c r="D503" t="s">
        <v>10</v>
      </c>
      <c r="E503" t="s">
        <v>159</v>
      </c>
      <c r="F503" t="s">
        <v>496</v>
      </c>
      <c r="G503" t="s">
        <v>452</v>
      </c>
      <c r="H503" t="s">
        <v>198</v>
      </c>
      <c r="I503">
        <v>17618</v>
      </c>
      <c r="J503" s="64">
        <v>45513</v>
      </c>
      <c r="K503" s="64">
        <v>45535</v>
      </c>
      <c r="L503" t="s">
        <v>372</v>
      </c>
      <c r="M503" s="64">
        <v>45593</v>
      </c>
      <c r="N503" t="s">
        <v>373</v>
      </c>
      <c r="O503" t="s">
        <v>419</v>
      </c>
      <c r="P503">
        <v>0.41</v>
      </c>
      <c r="Q503">
        <v>1.02</v>
      </c>
      <c r="R503">
        <v>7223.38</v>
      </c>
      <c r="S503">
        <v>17970.36</v>
      </c>
      <c r="T503" t="s">
        <v>70</v>
      </c>
      <c r="AA503">
        <f t="shared" si="7"/>
        <v>115371.26499999998</v>
      </c>
      <c r="AB503">
        <f>COUNTIF($D$1:D503,D503)</f>
        <v>57</v>
      </c>
    </row>
    <row r="504" spans="1:28" x14ac:dyDescent="0.25">
      <c r="A504">
        <v>503</v>
      </c>
      <c r="B504">
        <v>183305</v>
      </c>
      <c r="C504">
        <v>24001200</v>
      </c>
      <c r="D504" t="s">
        <v>10</v>
      </c>
      <c r="E504" t="s">
        <v>159</v>
      </c>
      <c r="F504" t="s">
        <v>458</v>
      </c>
      <c r="G504" t="s">
        <v>457</v>
      </c>
      <c r="H504" t="s">
        <v>198</v>
      </c>
      <c r="I504">
        <v>4696</v>
      </c>
      <c r="J504" s="64">
        <v>45509</v>
      </c>
      <c r="K504" s="64">
        <v>45514</v>
      </c>
      <c r="L504" t="s">
        <v>372</v>
      </c>
      <c r="M504" s="64">
        <v>45590</v>
      </c>
      <c r="N504" t="s">
        <v>373</v>
      </c>
      <c r="O504" t="s">
        <v>419</v>
      </c>
      <c r="P504">
        <v>0.45</v>
      </c>
      <c r="Q504">
        <v>1.03</v>
      </c>
      <c r="R504">
        <v>2113.1999999999998</v>
      </c>
      <c r="S504">
        <v>4836.88</v>
      </c>
      <c r="T504" t="s">
        <v>70</v>
      </c>
      <c r="AA504">
        <f t="shared" si="7"/>
        <v>115371.26499999998</v>
      </c>
      <c r="AB504">
        <f>COUNTIF($D$1:D504,D504)</f>
        <v>58</v>
      </c>
    </row>
    <row r="505" spans="1:28" x14ac:dyDescent="0.25">
      <c r="A505">
        <v>504</v>
      </c>
      <c r="B505">
        <v>183232</v>
      </c>
      <c r="C505">
        <v>24001053</v>
      </c>
      <c r="D505" t="s">
        <v>10</v>
      </c>
      <c r="E505" t="s">
        <v>174</v>
      </c>
      <c r="F505" t="s">
        <v>494</v>
      </c>
      <c r="G505" t="s">
        <v>495</v>
      </c>
      <c r="H505" t="s">
        <v>175</v>
      </c>
      <c r="I505">
        <v>1422</v>
      </c>
      <c r="J505" s="64">
        <v>45530</v>
      </c>
      <c r="K505" s="64">
        <v>45535</v>
      </c>
      <c r="L505" t="s">
        <v>372</v>
      </c>
      <c r="M505" s="64">
        <v>45548</v>
      </c>
      <c r="N505" t="s">
        <v>373</v>
      </c>
      <c r="O505" t="s">
        <v>376</v>
      </c>
      <c r="P505">
        <v>1.17</v>
      </c>
      <c r="Q505">
        <v>2.69</v>
      </c>
      <c r="R505">
        <v>1663.74</v>
      </c>
      <c r="S505">
        <v>3825.18</v>
      </c>
      <c r="T505" t="s">
        <v>70</v>
      </c>
      <c r="AA505">
        <f t="shared" si="7"/>
        <v>115371.26499999998</v>
      </c>
      <c r="AB505">
        <f>COUNTIF($D$1:D505,D505)</f>
        <v>59</v>
      </c>
    </row>
    <row r="506" spans="1:28" x14ac:dyDescent="0.25">
      <c r="A506">
        <v>505</v>
      </c>
      <c r="B506">
        <v>183302</v>
      </c>
      <c r="C506">
        <v>24001207</v>
      </c>
      <c r="D506" t="s">
        <v>10</v>
      </c>
      <c r="E506" t="s">
        <v>159</v>
      </c>
      <c r="F506" t="s">
        <v>496</v>
      </c>
      <c r="G506" t="s">
        <v>452</v>
      </c>
      <c r="H506" t="s">
        <v>175</v>
      </c>
      <c r="I506">
        <v>18775</v>
      </c>
      <c r="J506" s="64">
        <v>45513</v>
      </c>
      <c r="K506" s="64">
        <v>45535</v>
      </c>
      <c r="L506" t="s">
        <v>372</v>
      </c>
      <c r="M506" s="64">
        <v>45593</v>
      </c>
      <c r="N506" t="s">
        <v>373</v>
      </c>
      <c r="O506" t="s">
        <v>419</v>
      </c>
      <c r="P506">
        <v>0.41</v>
      </c>
      <c r="Q506">
        <v>1.02</v>
      </c>
      <c r="R506">
        <v>7697.75</v>
      </c>
      <c r="S506">
        <v>19150.5</v>
      </c>
      <c r="T506" t="s">
        <v>70</v>
      </c>
      <c r="AA506">
        <f t="shared" si="7"/>
        <v>115371.26499999998</v>
      </c>
      <c r="AB506">
        <f>COUNTIF($D$1:D506,D506)</f>
        <v>60</v>
      </c>
    </row>
    <row r="507" spans="1:28" x14ac:dyDescent="0.25">
      <c r="A507">
        <v>506</v>
      </c>
      <c r="B507">
        <v>183305</v>
      </c>
      <c r="C507">
        <v>24001200</v>
      </c>
      <c r="D507" t="s">
        <v>10</v>
      </c>
      <c r="E507" t="s">
        <v>159</v>
      </c>
      <c r="F507" t="s">
        <v>458</v>
      </c>
      <c r="G507" t="s">
        <v>457</v>
      </c>
      <c r="H507" t="s">
        <v>175</v>
      </c>
      <c r="I507">
        <v>4820</v>
      </c>
      <c r="J507" s="64">
        <v>45509</v>
      </c>
      <c r="K507" s="64">
        <v>45514</v>
      </c>
      <c r="L507" t="s">
        <v>372</v>
      </c>
      <c r="M507" s="64">
        <v>45590</v>
      </c>
      <c r="N507" t="s">
        <v>373</v>
      </c>
      <c r="O507" t="s">
        <v>419</v>
      </c>
      <c r="P507">
        <v>0.45</v>
      </c>
      <c r="Q507">
        <v>1.03</v>
      </c>
      <c r="R507">
        <v>2169</v>
      </c>
      <c r="S507">
        <v>4964.6000000000004</v>
      </c>
      <c r="T507" t="s">
        <v>70</v>
      </c>
      <c r="AA507">
        <f t="shared" si="7"/>
        <v>115371.26499999998</v>
      </c>
      <c r="AB507">
        <f>COUNTIF($D$1:D507,D507)</f>
        <v>61</v>
      </c>
    </row>
    <row r="508" spans="1:28" x14ac:dyDescent="0.25">
      <c r="A508">
        <v>507</v>
      </c>
      <c r="B508">
        <v>183235</v>
      </c>
      <c r="C508">
        <v>24001056</v>
      </c>
      <c r="D508" t="s">
        <v>10</v>
      </c>
      <c r="E508" t="s">
        <v>174</v>
      </c>
      <c r="F508" t="s">
        <v>467</v>
      </c>
      <c r="G508" t="s">
        <v>468</v>
      </c>
      <c r="H508" t="s">
        <v>175</v>
      </c>
      <c r="I508">
        <v>1035</v>
      </c>
      <c r="J508" s="64">
        <v>45530</v>
      </c>
      <c r="K508" s="64">
        <v>45534</v>
      </c>
      <c r="L508" t="s">
        <v>372</v>
      </c>
      <c r="M508" s="64">
        <v>45548</v>
      </c>
      <c r="N508" t="s">
        <v>373</v>
      </c>
      <c r="O508" t="s">
        <v>376</v>
      </c>
      <c r="P508">
        <v>1.08</v>
      </c>
      <c r="Q508">
        <v>2.58</v>
      </c>
      <c r="R508">
        <v>1117.8</v>
      </c>
      <c r="S508">
        <v>2670.3</v>
      </c>
      <c r="T508" t="s">
        <v>70</v>
      </c>
      <c r="AA508">
        <f t="shared" si="7"/>
        <v>115371.26499999998</v>
      </c>
      <c r="AB508">
        <f>COUNTIF($D$1:D508,D508)</f>
        <v>62</v>
      </c>
    </row>
    <row r="509" spans="1:28" x14ac:dyDescent="0.25">
      <c r="A509">
        <v>508</v>
      </c>
      <c r="B509">
        <v>183083</v>
      </c>
      <c r="C509">
        <v>24001209</v>
      </c>
      <c r="D509" t="s">
        <v>7</v>
      </c>
      <c r="E509" t="s">
        <v>82</v>
      </c>
      <c r="F509" t="s">
        <v>497</v>
      </c>
      <c r="G509" t="s">
        <v>426</v>
      </c>
      <c r="H509" t="s">
        <v>76</v>
      </c>
      <c r="I509">
        <v>55</v>
      </c>
      <c r="J509" s="64">
        <v>45505</v>
      </c>
      <c r="K509" s="64">
        <v>45524</v>
      </c>
      <c r="L509" t="s">
        <v>372</v>
      </c>
      <c r="M509" s="64">
        <v>45527</v>
      </c>
      <c r="N509" t="s">
        <v>373</v>
      </c>
      <c r="O509" t="s">
        <v>372</v>
      </c>
      <c r="P509">
        <v>3.8</v>
      </c>
      <c r="Q509">
        <v>4.07</v>
      </c>
      <c r="R509">
        <v>209</v>
      </c>
      <c r="S509">
        <v>223.85</v>
      </c>
      <c r="T509" t="s">
        <v>427</v>
      </c>
      <c r="AA509">
        <f t="shared" si="7"/>
        <v>55260.119999999995</v>
      </c>
      <c r="AB509">
        <f>COUNTIF($D$1:D509,D509)</f>
        <v>1</v>
      </c>
    </row>
    <row r="510" spans="1:28" x14ac:dyDescent="0.25">
      <c r="A510">
        <v>509</v>
      </c>
      <c r="B510">
        <v>183090</v>
      </c>
      <c r="C510">
        <v>24001215</v>
      </c>
      <c r="D510" t="s">
        <v>7</v>
      </c>
      <c r="E510" t="s">
        <v>82</v>
      </c>
      <c r="F510" t="s">
        <v>498</v>
      </c>
      <c r="G510" t="s">
        <v>431</v>
      </c>
      <c r="H510" t="s">
        <v>76</v>
      </c>
      <c r="I510">
        <v>4063</v>
      </c>
      <c r="J510" s="64">
        <v>45505</v>
      </c>
      <c r="K510" s="64">
        <v>45535</v>
      </c>
      <c r="L510" t="s">
        <v>372</v>
      </c>
      <c r="M510" s="64">
        <v>45569</v>
      </c>
      <c r="N510" t="s">
        <v>373</v>
      </c>
      <c r="O510" t="s">
        <v>419</v>
      </c>
      <c r="P510">
        <v>3.45</v>
      </c>
      <c r="Q510">
        <v>3.72</v>
      </c>
      <c r="R510">
        <v>14017.35</v>
      </c>
      <c r="S510">
        <v>15114.36</v>
      </c>
      <c r="T510" t="s">
        <v>427</v>
      </c>
      <c r="AA510">
        <f t="shared" si="7"/>
        <v>55260.119999999995</v>
      </c>
      <c r="AB510">
        <f>COUNTIF($D$1:D510,D510)</f>
        <v>2</v>
      </c>
    </row>
    <row r="511" spans="1:28" x14ac:dyDescent="0.25">
      <c r="A511">
        <v>510</v>
      </c>
      <c r="B511">
        <v>182815</v>
      </c>
      <c r="C511">
        <v>24001009</v>
      </c>
      <c r="D511" t="s">
        <v>7</v>
      </c>
      <c r="E511" t="s">
        <v>75</v>
      </c>
      <c r="F511">
        <v>910010189</v>
      </c>
      <c r="G511" t="s">
        <v>499</v>
      </c>
      <c r="H511" t="s">
        <v>76</v>
      </c>
      <c r="I511">
        <v>1300</v>
      </c>
      <c r="J511" s="64">
        <v>45530</v>
      </c>
      <c r="K511" s="64">
        <v>45535</v>
      </c>
      <c r="L511" t="s">
        <v>372</v>
      </c>
      <c r="M511" s="64">
        <v>45566</v>
      </c>
      <c r="N511" t="s">
        <v>373</v>
      </c>
      <c r="O511" t="s">
        <v>419</v>
      </c>
      <c r="P511">
        <v>3.28</v>
      </c>
      <c r="Q511">
        <v>8.8800000000000008</v>
      </c>
      <c r="R511">
        <v>4264</v>
      </c>
      <c r="S511">
        <v>11544</v>
      </c>
      <c r="T511" t="s">
        <v>70</v>
      </c>
      <c r="AA511">
        <f t="shared" si="7"/>
        <v>55260.119999999995</v>
      </c>
      <c r="AB511">
        <f>COUNTIF($D$1:D511,D511)</f>
        <v>3</v>
      </c>
    </row>
    <row r="512" spans="1:28" x14ac:dyDescent="0.25">
      <c r="A512">
        <v>511</v>
      </c>
      <c r="B512">
        <v>183086</v>
      </c>
      <c r="C512">
        <v>24001212</v>
      </c>
      <c r="D512" t="s">
        <v>7</v>
      </c>
      <c r="E512" t="s">
        <v>82</v>
      </c>
      <c r="F512" t="s">
        <v>500</v>
      </c>
      <c r="G512" t="s">
        <v>429</v>
      </c>
      <c r="H512" t="s">
        <v>86</v>
      </c>
      <c r="I512">
        <v>1055</v>
      </c>
      <c r="J512" s="64">
        <v>45514</v>
      </c>
      <c r="K512" s="64">
        <v>45525</v>
      </c>
      <c r="L512" t="s">
        <v>372</v>
      </c>
      <c r="M512" s="64">
        <v>45548</v>
      </c>
      <c r="N512" t="s">
        <v>373</v>
      </c>
      <c r="O512" t="s">
        <v>376</v>
      </c>
      <c r="P512">
        <v>4.7</v>
      </c>
      <c r="Q512">
        <v>4.97</v>
      </c>
      <c r="R512">
        <v>4958.5</v>
      </c>
      <c r="S512">
        <v>5243.35</v>
      </c>
      <c r="T512" t="s">
        <v>427</v>
      </c>
      <c r="AA512">
        <f t="shared" si="7"/>
        <v>55260.119999999995</v>
      </c>
      <c r="AB512">
        <f>COUNTIF($D$1:D512,D512)</f>
        <v>4</v>
      </c>
    </row>
    <row r="513" spans="1:28" x14ac:dyDescent="0.25">
      <c r="A513">
        <v>512</v>
      </c>
      <c r="B513">
        <v>183093</v>
      </c>
      <c r="C513">
        <v>24001216</v>
      </c>
      <c r="D513" t="s">
        <v>7</v>
      </c>
      <c r="E513" t="s">
        <v>82</v>
      </c>
      <c r="F513" t="s">
        <v>501</v>
      </c>
      <c r="G513" t="s">
        <v>431</v>
      </c>
      <c r="H513" t="s">
        <v>86</v>
      </c>
      <c r="I513">
        <v>18</v>
      </c>
      <c r="J513" s="64">
        <v>45505</v>
      </c>
      <c r="K513" s="64">
        <v>45524</v>
      </c>
      <c r="L513" t="s">
        <v>372</v>
      </c>
      <c r="M513" s="64">
        <v>45527</v>
      </c>
      <c r="N513" t="s">
        <v>373</v>
      </c>
      <c r="O513" t="s">
        <v>372</v>
      </c>
      <c r="P513">
        <v>4.1500000000000004</v>
      </c>
      <c r="Q513">
        <v>4.42</v>
      </c>
      <c r="R513">
        <v>74.7</v>
      </c>
      <c r="S513">
        <v>79.56</v>
      </c>
      <c r="T513" t="s">
        <v>427</v>
      </c>
      <c r="AA513">
        <f t="shared" si="7"/>
        <v>55260.119999999995</v>
      </c>
      <c r="AB513">
        <f>COUNTIF($D$1:D513,D513)</f>
        <v>5</v>
      </c>
    </row>
    <row r="514" spans="1:28" x14ac:dyDescent="0.25">
      <c r="A514">
        <v>513</v>
      </c>
      <c r="B514">
        <v>183095</v>
      </c>
      <c r="C514">
        <v>24001217</v>
      </c>
      <c r="D514" t="s">
        <v>7</v>
      </c>
      <c r="E514" t="s">
        <v>82</v>
      </c>
      <c r="F514" t="s">
        <v>502</v>
      </c>
      <c r="G514" t="s">
        <v>431</v>
      </c>
      <c r="H514" t="s">
        <v>86</v>
      </c>
      <c r="I514">
        <v>36</v>
      </c>
      <c r="J514" s="64">
        <v>45505</v>
      </c>
      <c r="K514" s="64">
        <v>45525</v>
      </c>
      <c r="L514" t="s">
        <v>372</v>
      </c>
      <c r="M514" s="64">
        <v>45527</v>
      </c>
      <c r="N514" t="s">
        <v>373</v>
      </c>
      <c r="O514" t="s">
        <v>372</v>
      </c>
      <c r="P514">
        <v>3.6</v>
      </c>
      <c r="Q514">
        <v>3.87</v>
      </c>
      <c r="R514">
        <v>129.6</v>
      </c>
      <c r="S514">
        <v>139.32</v>
      </c>
      <c r="T514" t="s">
        <v>427</v>
      </c>
      <c r="AA514">
        <f t="shared" ref="AA514:AA538" si="8">SUMIF($D:$D,D514,$R:$R)</f>
        <v>55260.119999999995</v>
      </c>
      <c r="AB514">
        <f>COUNTIF($D$1:D514,D514)</f>
        <v>6</v>
      </c>
    </row>
    <row r="515" spans="1:28" x14ac:dyDescent="0.25">
      <c r="A515">
        <v>514</v>
      </c>
      <c r="B515">
        <v>183096</v>
      </c>
      <c r="C515">
        <v>24001218</v>
      </c>
      <c r="D515" t="s">
        <v>7</v>
      </c>
      <c r="E515" t="s">
        <v>82</v>
      </c>
      <c r="F515" t="s">
        <v>503</v>
      </c>
      <c r="G515" t="s">
        <v>431</v>
      </c>
      <c r="H515" t="s">
        <v>86</v>
      </c>
      <c r="I515">
        <v>1717</v>
      </c>
      <c r="J515" s="64">
        <v>45505</v>
      </c>
      <c r="K515" s="64">
        <v>45535</v>
      </c>
      <c r="L515" t="s">
        <v>372</v>
      </c>
      <c r="M515" s="64">
        <v>45548</v>
      </c>
      <c r="N515" t="s">
        <v>373</v>
      </c>
      <c r="O515" t="s">
        <v>376</v>
      </c>
      <c r="P515">
        <v>3.2</v>
      </c>
      <c r="Q515">
        <v>3.47</v>
      </c>
      <c r="R515">
        <v>5494.4</v>
      </c>
      <c r="S515">
        <v>5957.99</v>
      </c>
      <c r="T515" t="s">
        <v>427</v>
      </c>
      <c r="AA515">
        <f t="shared" si="8"/>
        <v>55260.119999999995</v>
      </c>
      <c r="AB515">
        <f>COUNTIF($D$1:D515,D515)</f>
        <v>7</v>
      </c>
    </row>
    <row r="516" spans="1:28" x14ac:dyDescent="0.25">
      <c r="A516">
        <v>515</v>
      </c>
      <c r="B516">
        <v>183298</v>
      </c>
      <c r="C516">
        <v>24001254</v>
      </c>
      <c r="D516" t="s">
        <v>7</v>
      </c>
      <c r="E516" t="s">
        <v>96</v>
      </c>
      <c r="F516">
        <v>50011881</v>
      </c>
      <c r="G516" t="s">
        <v>504</v>
      </c>
      <c r="H516" t="s">
        <v>86</v>
      </c>
      <c r="I516">
        <v>2325</v>
      </c>
      <c r="J516" s="64">
        <v>45524</v>
      </c>
      <c r="K516" s="64">
        <v>45535</v>
      </c>
      <c r="L516" t="s">
        <v>372</v>
      </c>
      <c r="M516" s="64">
        <v>45575</v>
      </c>
      <c r="N516" t="s">
        <v>373</v>
      </c>
      <c r="O516" t="s">
        <v>419</v>
      </c>
      <c r="P516">
        <v>4</v>
      </c>
      <c r="Q516">
        <v>4.1500000000000004</v>
      </c>
      <c r="R516">
        <v>9300</v>
      </c>
      <c r="S516">
        <v>9648.75</v>
      </c>
      <c r="T516" t="s">
        <v>71</v>
      </c>
      <c r="AA516">
        <f t="shared" si="8"/>
        <v>55260.119999999995</v>
      </c>
      <c r="AB516">
        <f>COUNTIF($D$1:D516,D516)</f>
        <v>8</v>
      </c>
    </row>
    <row r="517" spans="1:28" x14ac:dyDescent="0.25">
      <c r="A517">
        <v>516</v>
      </c>
      <c r="B517">
        <v>183089</v>
      </c>
      <c r="C517">
        <v>24001214</v>
      </c>
      <c r="D517" t="s">
        <v>7</v>
      </c>
      <c r="E517" t="s">
        <v>82</v>
      </c>
      <c r="F517" t="s">
        <v>505</v>
      </c>
      <c r="G517" t="s">
        <v>429</v>
      </c>
      <c r="H517" t="s">
        <v>79</v>
      </c>
      <c r="I517">
        <v>1399</v>
      </c>
      <c r="J517" s="64">
        <v>45507</v>
      </c>
      <c r="K517" s="64">
        <v>45528</v>
      </c>
      <c r="L517" t="s">
        <v>372</v>
      </c>
      <c r="M517" s="64">
        <v>45569</v>
      </c>
      <c r="N517" t="s">
        <v>373</v>
      </c>
      <c r="O517" t="s">
        <v>419</v>
      </c>
      <c r="P517">
        <v>3.88</v>
      </c>
      <c r="Q517">
        <v>4.1500000000000004</v>
      </c>
      <c r="R517">
        <v>5428.12</v>
      </c>
      <c r="S517">
        <v>5805.85</v>
      </c>
      <c r="T517" t="s">
        <v>427</v>
      </c>
      <c r="AA517">
        <f t="shared" si="8"/>
        <v>55260.119999999995</v>
      </c>
      <c r="AB517">
        <f>COUNTIF($D$1:D517,D517)</f>
        <v>9</v>
      </c>
    </row>
    <row r="518" spans="1:28" x14ac:dyDescent="0.25">
      <c r="A518">
        <v>517</v>
      </c>
      <c r="B518">
        <v>183098</v>
      </c>
      <c r="C518">
        <v>24001220</v>
      </c>
      <c r="D518" t="s">
        <v>7</v>
      </c>
      <c r="E518" t="s">
        <v>82</v>
      </c>
      <c r="F518" t="s">
        <v>506</v>
      </c>
      <c r="G518" t="s">
        <v>431</v>
      </c>
      <c r="H518" t="s">
        <v>79</v>
      </c>
      <c r="I518">
        <v>385</v>
      </c>
      <c r="J518" s="64">
        <v>45505</v>
      </c>
      <c r="K518" s="64">
        <v>45506</v>
      </c>
      <c r="L518" t="s">
        <v>372</v>
      </c>
      <c r="M518" s="64">
        <v>45527</v>
      </c>
      <c r="N518" t="s">
        <v>373</v>
      </c>
      <c r="O518" t="s">
        <v>372</v>
      </c>
      <c r="P518">
        <v>3.4</v>
      </c>
      <c r="Q518">
        <v>3.67</v>
      </c>
      <c r="R518">
        <v>1309</v>
      </c>
      <c r="S518">
        <v>1412.95</v>
      </c>
      <c r="T518" t="s">
        <v>427</v>
      </c>
      <c r="AA518">
        <f t="shared" si="8"/>
        <v>55260.119999999995</v>
      </c>
      <c r="AB518">
        <f>COUNTIF($D$1:D518,D518)</f>
        <v>10</v>
      </c>
    </row>
    <row r="519" spans="1:28" x14ac:dyDescent="0.25">
      <c r="A519">
        <v>518</v>
      </c>
      <c r="B519">
        <v>183085</v>
      </c>
      <c r="C519">
        <v>24001211</v>
      </c>
      <c r="D519" t="s">
        <v>7</v>
      </c>
      <c r="E519" t="s">
        <v>82</v>
      </c>
      <c r="F519" t="s">
        <v>507</v>
      </c>
      <c r="G519" t="s">
        <v>426</v>
      </c>
      <c r="H519" t="s">
        <v>79</v>
      </c>
      <c r="I519">
        <v>2050</v>
      </c>
      <c r="J519" s="64">
        <v>45505</v>
      </c>
      <c r="K519" s="64">
        <v>45525</v>
      </c>
      <c r="L519" t="s">
        <v>372</v>
      </c>
      <c r="M519" s="64">
        <v>45548</v>
      </c>
      <c r="N519" t="s">
        <v>373</v>
      </c>
      <c r="O519" t="s">
        <v>376</v>
      </c>
      <c r="P519">
        <v>3.4</v>
      </c>
      <c r="Q519">
        <v>3.67</v>
      </c>
      <c r="R519">
        <v>6970</v>
      </c>
      <c r="S519">
        <v>7523.5</v>
      </c>
      <c r="T519" t="s">
        <v>427</v>
      </c>
      <c r="AA519">
        <f t="shared" si="8"/>
        <v>55260.119999999995</v>
      </c>
      <c r="AB519">
        <f>COUNTIF($D$1:D519,D519)</f>
        <v>11</v>
      </c>
    </row>
    <row r="520" spans="1:28" x14ac:dyDescent="0.25">
      <c r="A520">
        <v>519</v>
      </c>
      <c r="B520">
        <v>182814</v>
      </c>
      <c r="C520">
        <v>24001008</v>
      </c>
      <c r="D520" t="s">
        <v>7</v>
      </c>
      <c r="E520" t="s">
        <v>75</v>
      </c>
      <c r="F520">
        <v>910010188</v>
      </c>
      <c r="G520" t="s">
        <v>508</v>
      </c>
      <c r="H520" t="s">
        <v>79</v>
      </c>
      <c r="I520">
        <v>1005</v>
      </c>
      <c r="J520" s="64">
        <v>45530</v>
      </c>
      <c r="K520" s="64">
        <v>45535</v>
      </c>
      <c r="L520" t="s">
        <v>372</v>
      </c>
      <c r="M520" s="64">
        <v>45566</v>
      </c>
      <c r="N520" t="s">
        <v>373</v>
      </c>
      <c r="O520" t="s">
        <v>419</v>
      </c>
      <c r="P520">
        <v>3.09</v>
      </c>
      <c r="Q520">
        <v>8.0299999999999994</v>
      </c>
      <c r="R520">
        <v>3105.45</v>
      </c>
      <c r="S520">
        <v>8070.15</v>
      </c>
      <c r="T520" t="s">
        <v>70</v>
      </c>
      <c r="AA520">
        <f t="shared" si="8"/>
        <v>55260.119999999995</v>
      </c>
      <c r="AB520">
        <f>COUNTIF($D$1:D520,D520)</f>
        <v>12</v>
      </c>
    </row>
    <row r="521" spans="1:28" x14ac:dyDescent="0.25">
      <c r="A521">
        <v>520</v>
      </c>
      <c r="B521">
        <v>183305</v>
      </c>
      <c r="C521">
        <v>24001200</v>
      </c>
      <c r="D521" t="s">
        <v>11</v>
      </c>
      <c r="E521" t="s">
        <v>159</v>
      </c>
      <c r="F521" t="s">
        <v>458</v>
      </c>
      <c r="G521" t="s">
        <v>457</v>
      </c>
      <c r="H521" t="s">
        <v>76</v>
      </c>
      <c r="I521">
        <v>24224</v>
      </c>
      <c r="J521" s="64">
        <v>45511</v>
      </c>
      <c r="K521" s="64">
        <v>45534</v>
      </c>
      <c r="L521" t="s">
        <v>372</v>
      </c>
      <c r="M521" s="64">
        <v>45593</v>
      </c>
      <c r="N521" t="s">
        <v>373</v>
      </c>
      <c r="O521" t="s">
        <v>419</v>
      </c>
      <c r="P521">
        <v>0.45</v>
      </c>
      <c r="Q521">
        <v>1.03</v>
      </c>
      <c r="R521">
        <v>10900.8</v>
      </c>
      <c r="S521">
        <v>24950.720000000001</v>
      </c>
      <c r="T521" t="s">
        <v>70</v>
      </c>
      <c r="AA521">
        <f t="shared" si="8"/>
        <v>66022.570000000007</v>
      </c>
      <c r="AB521">
        <f>COUNTIF($D$1:D521,D521)</f>
        <v>1</v>
      </c>
    </row>
    <row r="522" spans="1:28" x14ac:dyDescent="0.25">
      <c r="A522">
        <v>521</v>
      </c>
      <c r="B522">
        <v>182007</v>
      </c>
      <c r="C522">
        <v>23001620</v>
      </c>
      <c r="D522" t="s">
        <v>11</v>
      </c>
      <c r="E522" t="s">
        <v>159</v>
      </c>
      <c r="F522" t="s">
        <v>455</v>
      </c>
      <c r="G522" t="s">
        <v>452</v>
      </c>
      <c r="H522" t="s">
        <v>76</v>
      </c>
      <c r="I522">
        <v>236</v>
      </c>
      <c r="J522" s="64">
        <v>45505</v>
      </c>
      <c r="K522" s="64">
        <v>45505</v>
      </c>
      <c r="L522" t="s">
        <v>372</v>
      </c>
      <c r="M522" s="64">
        <v>45518</v>
      </c>
      <c r="N522" t="s">
        <v>373</v>
      </c>
      <c r="O522" t="s">
        <v>372</v>
      </c>
      <c r="P522">
        <v>0.42</v>
      </c>
      <c r="Q522">
        <v>1.05</v>
      </c>
      <c r="R522">
        <v>99.12</v>
      </c>
      <c r="S522">
        <v>247.8</v>
      </c>
      <c r="T522" t="s">
        <v>70</v>
      </c>
      <c r="AA522">
        <f t="shared" si="8"/>
        <v>66022.570000000007</v>
      </c>
      <c r="AB522">
        <f>COUNTIF($D$1:D522,D522)</f>
        <v>2</v>
      </c>
    </row>
    <row r="523" spans="1:28" x14ac:dyDescent="0.25">
      <c r="A523">
        <v>522</v>
      </c>
      <c r="B523">
        <v>181822</v>
      </c>
      <c r="C523">
        <v>23001617</v>
      </c>
      <c r="D523" t="s">
        <v>11</v>
      </c>
      <c r="E523" t="s">
        <v>159</v>
      </c>
      <c r="F523" t="s">
        <v>456</v>
      </c>
      <c r="G523" t="s">
        <v>457</v>
      </c>
      <c r="H523" t="s">
        <v>76</v>
      </c>
      <c r="I523">
        <v>5895</v>
      </c>
      <c r="J523" s="64">
        <v>45505</v>
      </c>
      <c r="K523" s="64">
        <v>45511</v>
      </c>
      <c r="L523" t="s">
        <v>372</v>
      </c>
      <c r="M523" s="64">
        <v>45518</v>
      </c>
      <c r="N523" t="s">
        <v>373</v>
      </c>
      <c r="O523" t="s">
        <v>372</v>
      </c>
      <c r="P523">
        <v>0.45</v>
      </c>
      <c r="Q523">
        <v>1.0900000000000001</v>
      </c>
      <c r="R523">
        <v>2652.75</v>
      </c>
      <c r="S523">
        <v>6425.55</v>
      </c>
      <c r="T523" t="s">
        <v>70</v>
      </c>
      <c r="AA523">
        <f t="shared" si="8"/>
        <v>66022.570000000007</v>
      </c>
      <c r="AB523">
        <f>COUNTIF($D$1:D523,D523)</f>
        <v>3</v>
      </c>
    </row>
    <row r="524" spans="1:28" x14ac:dyDescent="0.25">
      <c r="A524">
        <v>523</v>
      </c>
      <c r="B524">
        <v>183302</v>
      </c>
      <c r="C524">
        <v>24001207</v>
      </c>
      <c r="D524" t="s">
        <v>11</v>
      </c>
      <c r="E524" t="s">
        <v>159</v>
      </c>
      <c r="F524" t="s">
        <v>496</v>
      </c>
      <c r="G524" t="s">
        <v>452</v>
      </c>
      <c r="H524" t="s">
        <v>76</v>
      </c>
      <c r="I524">
        <v>4500</v>
      </c>
      <c r="J524" s="64">
        <v>45506</v>
      </c>
      <c r="K524" s="64">
        <v>45535</v>
      </c>
      <c r="L524" t="s">
        <v>372</v>
      </c>
      <c r="M524" s="64">
        <v>45593</v>
      </c>
      <c r="N524" t="s">
        <v>373</v>
      </c>
      <c r="O524" t="s">
        <v>419</v>
      </c>
      <c r="P524">
        <v>0.41</v>
      </c>
      <c r="Q524">
        <v>1.02</v>
      </c>
      <c r="R524">
        <v>1845</v>
      </c>
      <c r="S524">
        <v>4590</v>
      </c>
      <c r="T524" t="s">
        <v>70</v>
      </c>
      <c r="AA524">
        <f t="shared" si="8"/>
        <v>66022.570000000007</v>
      </c>
      <c r="AB524">
        <f>COUNTIF($D$1:D524,D524)</f>
        <v>4</v>
      </c>
    </row>
    <row r="525" spans="1:28" x14ac:dyDescent="0.25">
      <c r="A525">
        <v>524</v>
      </c>
      <c r="B525">
        <v>183305</v>
      </c>
      <c r="C525">
        <v>24001200</v>
      </c>
      <c r="D525" t="s">
        <v>11</v>
      </c>
      <c r="E525" t="s">
        <v>159</v>
      </c>
      <c r="F525" t="s">
        <v>458</v>
      </c>
      <c r="G525" t="s">
        <v>457</v>
      </c>
      <c r="H525" t="s">
        <v>86</v>
      </c>
      <c r="I525">
        <v>25154</v>
      </c>
      <c r="J525" s="64">
        <v>45509</v>
      </c>
      <c r="K525" s="64">
        <v>45535</v>
      </c>
      <c r="L525" t="s">
        <v>372</v>
      </c>
      <c r="M525" s="64">
        <v>45593</v>
      </c>
      <c r="N525" t="s">
        <v>373</v>
      </c>
      <c r="O525" t="s">
        <v>419</v>
      </c>
      <c r="P525">
        <v>0.45</v>
      </c>
      <c r="Q525">
        <v>1.03</v>
      </c>
      <c r="R525">
        <v>11319.3</v>
      </c>
      <c r="S525">
        <v>25908.62</v>
      </c>
      <c r="T525" t="s">
        <v>70</v>
      </c>
      <c r="AA525">
        <f t="shared" si="8"/>
        <v>66022.570000000007</v>
      </c>
      <c r="AB525">
        <f>COUNTIF($D$1:D525,D525)</f>
        <v>5</v>
      </c>
    </row>
    <row r="526" spans="1:28" x14ac:dyDescent="0.25">
      <c r="A526">
        <v>525</v>
      </c>
      <c r="B526">
        <v>181822</v>
      </c>
      <c r="C526">
        <v>23001617</v>
      </c>
      <c r="D526" t="s">
        <v>11</v>
      </c>
      <c r="E526" t="s">
        <v>159</v>
      </c>
      <c r="F526" t="s">
        <v>456</v>
      </c>
      <c r="G526" t="s">
        <v>457</v>
      </c>
      <c r="H526" t="s">
        <v>86</v>
      </c>
      <c r="I526">
        <v>14299</v>
      </c>
      <c r="J526" s="64">
        <v>45505</v>
      </c>
      <c r="K526" s="64">
        <v>45512</v>
      </c>
      <c r="L526" t="s">
        <v>372</v>
      </c>
      <c r="M526" s="64">
        <v>45518</v>
      </c>
      <c r="N526" t="s">
        <v>373</v>
      </c>
      <c r="O526" t="s">
        <v>372</v>
      </c>
      <c r="P526">
        <v>0.45</v>
      </c>
      <c r="Q526">
        <v>1.0900000000000001</v>
      </c>
      <c r="R526">
        <v>6434.55</v>
      </c>
      <c r="S526">
        <v>15585.91</v>
      </c>
      <c r="T526" t="s">
        <v>70</v>
      </c>
      <c r="AA526">
        <f t="shared" si="8"/>
        <v>66022.570000000007</v>
      </c>
      <c r="AB526">
        <f>COUNTIF($D$1:D526,D526)</f>
        <v>6</v>
      </c>
    </row>
    <row r="527" spans="1:28" x14ac:dyDescent="0.25">
      <c r="A527">
        <v>526</v>
      </c>
      <c r="B527">
        <v>183302</v>
      </c>
      <c r="C527">
        <v>24001207</v>
      </c>
      <c r="D527" t="s">
        <v>11</v>
      </c>
      <c r="E527" t="s">
        <v>159</v>
      </c>
      <c r="F527" t="s">
        <v>496</v>
      </c>
      <c r="G527" t="s">
        <v>452</v>
      </c>
      <c r="H527" t="s">
        <v>86</v>
      </c>
      <c r="I527">
        <v>4575</v>
      </c>
      <c r="J527" s="64">
        <v>45523</v>
      </c>
      <c r="K527" s="64">
        <v>45535</v>
      </c>
      <c r="L527" t="s">
        <v>372</v>
      </c>
      <c r="M527" s="64">
        <v>45593</v>
      </c>
      <c r="N527" t="s">
        <v>373</v>
      </c>
      <c r="O527" t="s">
        <v>419</v>
      </c>
      <c r="P527">
        <v>0.41</v>
      </c>
      <c r="Q527">
        <v>1.02</v>
      </c>
      <c r="R527">
        <v>1875.75</v>
      </c>
      <c r="S527">
        <v>4666.5</v>
      </c>
      <c r="T527" t="s">
        <v>70</v>
      </c>
      <c r="AA527">
        <f t="shared" si="8"/>
        <v>66022.570000000007</v>
      </c>
      <c r="AB527">
        <f>COUNTIF($D$1:D527,D527)</f>
        <v>7</v>
      </c>
    </row>
    <row r="528" spans="1:28" x14ac:dyDescent="0.25">
      <c r="A528">
        <v>527</v>
      </c>
      <c r="B528">
        <v>183370</v>
      </c>
      <c r="C528">
        <v>24001685</v>
      </c>
      <c r="D528" t="s">
        <v>11</v>
      </c>
      <c r="E528" t="s">
        <v>116</v>
      </c>
      <c r="F528" t="s">
        <v>461</v>
      </c>
      <c r="G528" t="s">
        <v>461</v>
      </c>
      <c r="H528" t="s">
        <v>79</v>
      </c>
      <c r="I528">
        <v>945</v>
      </c>
      <c r="J528" s="64">
        <v>45534</v>
      </c>
      <c r="K528" s="64">
        <v>45535</v>
      </c>
      <c r="L528" t="s">
        <v>372</v>
      </c>
      <c r="M528" s="64">
        <v>45558</v>
      </c>
      <c r="N528" t="s">
        <v>373</v>
      </c>
      <c r="O528" t="s">
        <v>376</v>
      </c>
      <c r="P528">
        <v>0.75</v>
      </c>
      <c r="Q528">
        <v>0.97</v>
      </c>
      <c r="R528">
        <v>708.75</v>
      </c>
      <c r="S528">
        <v>916.65</v>
      </c>
      <c r="T528" t="s">
        <v>71</v>
      </c>
      <c r="AA528">
        <f t="shared" si="8"/>
        <v>66022.570000000007</v>
      </c>
      <c r="AB528">
        <f>COUNTIF($D$1:D528,D528)</f>
        <v>8</v>
      </c>
    </row>
    <row r="529" spans="1:28" x14ac:dyDescent="0.25">
      <c r="A529">
        <v>528</v>
      </c>
      <c r="B529">
        <v>181822</v>
      </c>
      <c r="C529">
        <v>23001617</v>
      </c>
      <c r="D529" t="s">
        <v>11</v>
      </c>
      <c r="E529" t="s">
        <v>159</v>
      </c>
      <c r="F529" t="s">
        <v>456</v>
      </c>
      <c r="G529" t="s">
        <v>457</v>
      </c>
      <c r="H529" t="s">
        <v>79</v>
      </c>
      <c r="I529">
        <v>7355</v>
      </c>
      <c r="J529" s="64">
        <v>45505</v>
      </c>
      <c r="K529" s="64">
        <v>45511</v>
      </c>
      <c r="L529" t="s">
        <v>372</v>
      </c>
      <c r="M529" s="64">
        <v>45518</v>
      </c>
      <c r="N529" t="s">
        <v>373</v>
      </c>
      <c r="O529" t="s">
        <v>372</v>
      </c>
      <c r="P529">
        <v>0.45</v>
      </c>
      <c r="Q529">
        <v>1.0900000000000001</v>
      </c>
      <c r="R529">
        <v>3309.75</v>
      </c>
      <c r="S529">
        <v>8016.95</v>
      </c>
      <c r="T529" t="s">
        <v>70</v>
      </c>
      <c r="AA529">
        <f t="shared" si="8"/>
        <v>66022.570000000007</v>
      </c>
      <c r="AB529">
        <f>COUNTIF($D$1:D529,D529)</f>
        <v>9</v>
      </c>
    </row>
    <row r="530" spans="1:28" x14ac:dyDescent="0.25">
      <c r="A530">
        <v>529</v>
      </c>
      <c r="B530">
        <v>183305</v>
      </c>
      <c r="C530">
        <v>24001200</v>
      </c>
      <c r="D530" t="s">
        <v>11</v>
      </c>
      <c r="E530" t="s">
        <v>159</v>
      </c>
      <c r="F530" t="s">
        <v>458</v>
      </c>
      <c r="G530" t="s">
        <v>457</v>
      </c>
      <c r="H530" t="s">
        <v>79</v>
      </c>
      <c r="I530">
        <v>18074</v>
      </c>
      <c r="J530" s="64">
        <v>45510</v>
      </c>
      <c r="K530" s="64">
        <v>45527</v>
      </c>
      <c r="L530" t="s">
        <v>372</v>
      </c>
      <c r="M530" s="64">
        <v>45590</v>
      </c>
      <c r="N530" t="s">
        <v>373</v>
      </c>
      <c r="O530" t="s">
        <v>419</v>
      </c>
      <c r="P530">
        <v>0.45</v>
      </c>
      <c r="Q530">
        <v>1.03</v>
      </c>
      <c r="R530">
        <v>8133.3</v>
      </c>
      <c r="S530">
        <v>18616.22</v>
      </c>
      <c r="T530" t="s">
        <v>70</v>
      </c>
      <c r="AA530">
        <f t="shared" si="8"/>
        <v>66022.570000000007</v>
      </c>
      <c r="AB530">
        <f>COUNTIF($D$1:D530,D530)</f>
        <v>10</v>
      </c>
    </row>
    <row r="531" spans="1:28" x14ac:dyDescent="0.25">
      <c r="A531">
        <v>530</v>
      </c>
      <c r="B531">
        <v>183302</v>
      </c>
      <c r="C531">
        <v>24001207</v>
      </c>
      <c r="D531" t="s">
        <v>11</v>
      </c>
      <c r="E531" t="s">
        <v>159</v>
      </c>
      <c r="F531" t="s">
        <v>496</v>
      </c>
      <c r="G531" t="s">
        <v>452</v>
      </c>
      <c r="H531" t="s">
        <v>79</v>
      </c>
      <c r="I531">
        <v>2305</v>
      </c>
      <c r="J531" s="64">
        <v>45514</v>
      </c>
      <c r="K531" s="64">
        <v>45528</v>
      </c>
      <c r="L531" t="s">
        <v>372</v>
      </c>
      <c r="M531" s="64">
        <v>45593</v>
      </c>
      <c r="N531" t="s">
        <v>373</v>
      </c>
      <c r="O531" t="s">
        <v>419</v>
      </c>
      <c r="P531">
        <v>0.41</v>
      </c>
      <c r="Q531">
        <v>1.02</v>
      </c>
      <c r="R531">
        <v>945.05</v>
      </c>
      <c r="S531">
        <v>2351.1</v>
      </c>
      <c r="T531" t="s">
        <v>70</v>
      </c>
      <c r="AA531">
        <f t="shared" si="8"/>
        <v>66022.570000000007</v>
      </c>
      <c r="AB531">
        <f>COUNTIF($D$1:D531,D531)</f>
        <v>11</v>
      </c>
    </row>
    <row r="532" spans="1:28" x14ac:dyDescent="0.25">
      <c r="A532">
        <v>531</v>
      </c>
      <c r="B532">
        <v>183360</v>
      </c>
      <c r="C532">
        <v>24001678</v>
      </c>
      <c r="D532" t="s">
        <v>11</v>
      </c>
      <c r="E532" t="s">
        <v>116</v>
      </c>
      <c r="F532" t="s">
        <v>385</v>
      </c>
      <c r="H532" t="s">
        <v>79</v>
      </c>
      <c r="I532">
        <v>2682</v>
      </c>
      <c r="J532" s="64">
        <v>45528</v>
      </c>
      <c r="K532" s="64">
        <v>45534</v>
      </c>
      <c r="L532" t="s">
        <v>372</v>
      </c>
      <c r="M532" s="64">
        <v>45527</v>
      </c>
      <c r="N532" t="s">
        <v>374</v>
      </c>
      <c r="O532" t="s">
        <v>372</v>
      </c>
      <c r="P532">
        <v>0.75</v>
      </c>
      <c r="Q532">
        <v>0.98</v>
      </c>
      <c r="R532">
        <v>2011.5</v>
      </c>
      <c r="S532">
        <v>2628.36</v>
      </c>
      <c r="T532" t="s">
        <v>71</v>
      </c>
      <c r="AA532">
        <f t="shared" si="8"/>
        <v>66022.570000000007</v>
      </c>
      <c r="AB532">
        <f>COUNTIF($D$1:D532,D532)</f>
        <v>12</v>
      </c>
    </row>
    <row r="533" spans="1:28" x14ac:dyDescent="0.25">
      <c r="A533">
        <v>532</v>
      </c>
      <c r="B533">
        <v>181878</v>
      </c>
      <c r="C533">
        <v>23001648</v>
      </c>
      <c r="D533" t="s">
        <v>11</v>
      </c>
      <c r="E533" t="s">
        <v>159</v>
      </c>
      <c r="F533" t="s">
        <v>509</v>
      </c>
      <c r="G533" t="s">
        <v>510</v>
      </c>
      <c r="H533" t="s">
        <v>115</v>
      </c>
      <c r="I533">
        <v>160</v>
      </c>
      <c r="J533" s="64">
        <v>45505</v>
      </c>
      <c r="K533" s="64">
        <v>45526</v>
      </c>
      <c r="L533" t="s">
        <v>372</v>
      </c>
      <c r="M533" s="64">
        <v>45481</v>
      </c>
      <c r="N533" t="s">
        <v>374</v>
      </c>
      <c r="O533" t="s">
        <v>377</v>
      </c>
      <c r="P533">
        <v>1.58</v>
      </c>
      <c r="Q533">
        <v>2.5</v>
      </c>
      <c r="R533">
        <v>252.8</v>
      </c>
      <c r="S533">
        <v>400</v>
      </c>
      <c r="T533" t="s">
        <v>70</v>
      </c>
      <c r="AA533">
        <f t="shared" si="8"/>
        <v>66022.570000000007</v>
      </c>
      <c r="AB533">
        <f>COUNTIF($D$1:D533,D533)</f>
        <v>13</v>
      </c>
    </row>
    <row r="534" spans="1:28" x14ac:dyDescent="0.25">
      <c r="A534">
        <v>533</v>
      </c>
      <c r="B534">
        <v>181822</v>
      </c>
      <c r="C534">
        <v>23001617</v>
      </c>
      <c r="D534" t="s">
        <v>11</v>
      </c>
      <c r="E534" t="s">
        <v>159</v>
      </c>
      <c r="F534" t="s">
        <v>456</v>
      </c>
      <c r="G534" t="s">
        <v>457</v>
      </c>
      <c r="H534" t="s">
        <v>115</v>
      </c>
      <c r="I534">
        <v>6673</v>
      </c>
      <c r="J534" s="64">
        <v>45505</v>
      </c>
      <c r="K534" s="64">
        <v>45511</v>
      </c>
      <c r="L534" t="s">
        <v>372</v>
      </c>
      <c r="M534" s="64">
        <v>45518</v>
      </c>
      <c r="N534" t="s">
        <v>373</v>
      </c>
      <c r="O534" t="s">
        <v>372</v>
      </c>
      <c r="P534">
        <v>0.45</v>
      </c>
      <c r="Q534">
        <v>1.0900000000000001</v>
      </c>
      <c r="R534">
        <v>3002.85</v>
      </c>
      <c r="S534">
        <v>7273.57</v>
      </c>
      <c r="T534" t="s">
        <v>70</v>
      </c>
      <c r="AA534">
        <f t="shared" si="8"/>
        <v>66022.570000000007</v>
      </c>
      <c r="AB534">
        <f>COUNTIF($D$1:D534,D534)</f>
        <v>14</v>
      </c>
    </row>
    <row r="535" spans="1:28" x14ac:dyDescent="0.25">
      <c r="A535">
        <v>534</v>
      </c>
      <c r="B535">
        <v>183305</v>
      </c>
      <c r="C535">
        <v>24001200</v>
      </c>
      <c r="D535" t="s">
        <v>11</v>
      </c>
      <c r="E535" t="s">
        <v>159</v>
      </c>
      <c r="F535" t="s">
        <v>458</v>
      </c>
      <c r="G535" t="s">
        <v>457</v>
      </c>
      <c r="H535" t="s">
        <v>115</v>
      </c>
      <c r="I535">
        <v>16935</v>
      </c>
      <c r="J535" s="64">
        <v>45511</v>
      </c>
      <c r="K535" s="64">
        <v>45530</v>
      </c>
      <c r="L535" t="s">
        <v>372</v>
      </c>
      <c r="M535" s="64">
        <v>45590</v>
      </c>
      <c r="N535" t="s">
        <v>373</v>
      </c>
      <c r="O535" t="s">
        <v>419</v>
      </c>
      <c r="P535">
        <v>0.45</v>
      </c>
      <c r="Q535">
        <v>1.03</v>
      </c>
      <c r="R535">
        <v>7620.75</v>
      </c>
      <c r="S535">
        <v>17443.05</v>
      </c>
      <c r="T535" t="s">
        <v>70</v>
      </c>
      <c r="AA535">
        <f t="shared" si="8"/>
        <v>66022.570000000007</v>
      </c>
      <c r="AB535">
        <f>COUNTIF($D$1:D535,D535)</f>
        <v>15</v>
      </c>
    </row>
    <row r="536" spans="1:28" x14ac:dyDescent="0.25">
      <c r="A536">
        <v>535</v>
      </c>
      <c r="B536">
        <v>183302</v>
      </c>
      <c r="C536">
        <v>24001207</v>
      </c>
      <c r="D536" t="s">
        <v>11</v>
      </c>
      <c r="E536" t="s">
        <v>159</v>
      </c>
      <c r="F536" t="s">
        <v>496</v>
      </c>
      <c r="G536" t="s">
        <v>452</v>
      </c>
      <c r="H536" t="s">
        <v>115</v>
      </c>
      <c r="I536">
        <v>4530</v>
      </c>
      <c r="J536" s="64">
        <v>45516</v>
      </c>
      <c r="K536" s="64">
        <v>45528</v>
      </c>
      <c r="L536" t="s">
        <v>372</v>
      </c>
      <c r="M536" s="64">
        <v>45593</v>
      </c>
      <c r="N536" t="s">
        <v>373</v>
      </c>
      <c r="O536" t="s">
        <v>419</v>
      </c>
      <c r="P536">
        <v>0.41</v>
      </c>
      <c r="Q536">
        <v>1.02</v>
      </c>
      <c r="R536">
        <v>1857.3</v>
      </c>
      <c r="S536">
        <v>4620.6000000000004</v>
      </c>
      <c r="T536" t="s">
        <v>70</v>
      </c>
      <c r="AA536">
        <f t="shared" si="8"/>
        <v>66022.570000000007</v>
      </c>
      <c r="AB536">
        <f>COUNTIF($D$1:D536,D536)</f>
        <v>16</v>
      </c>
    </row>
    <row r="537" spans="1:28" x14ac:dyDescent="0.25">
      <c r="A537">
        <v>536</v>
      </c>
      <c r="B537">
        <v>183360</v>
      </c>
      <c r="C537">
        <v>24001678</v>
      </c>
      <c r="D537" t="s">
        <v>11</v>
      </c>
      <c r="E537" t="s">
        <v>116</v>
      </c>
      <c r="F537" t="s">
        <v>385</v>
      </c>
      <c r="H537" t="s">
        <v>115</v>
      </c>
      <c r="I537">
        <v>2566</v>
      </c>
      <c r="J537" s="64">
        <v>45528</v>
      </c>
      <c r="K537" s="64">
        <v>45534</v>
      </c>
      <c r="L537" t="s">
        <v>372</v>
      </c>
      <c r="M537" s="64">
        <v>45527</v>
      </c>
      <c r="N537" t="s">
        <v>374</v>
      </c>
      <c r="O537" t="s">
        <v>372</v>
      </c>
      <c r="P537">
        <v>0.75</v>
      </c>
      <c r="Q537">
        <v>0.98</v>
      </c>
      <c r="R537">
        <v>1924.5</v>
      </c>
      <c r="S537">
        <v>2514.6799999999998</v>
      </c>
      <c r="T537" t="s">
        <v>71</v>
      </c>
      <c r="AA537">
        <f t="shared" si="8"/>
        <v>66022.570000000007</v>
      </c>
      <c r="AB537">
        <f>COUNTIF($D$1:D537,D537)</f>
        <v>17</v>
      </c>
    </row>
    <row r="538" spans="1:28" x14ac:dyDescent="0.25">
      <c r="A538">
        <v>537</v>
      </c>
      <c r="B538">
        <v>183370</v>
      </c>
      <c r="C538">
        <v>24001685</v>
      </c>
      <c r="D538" t="s">
        <v>11</v>
      </c>
      <c r="E538" t="s">
        <v>116</v>
      </c>
      <c r="F538" t="s">
        <v>461</v>
      </c>
      <c r="G538" t="s">
        <v>461</v>
      </c>
      <c r="H538" t="s">
        <v>115</v>
      </c>
      <c r="I538">
        <v>1505</v>
      </c>
      <c r="J538" s="64">
        <v>45534</v>
      </c>
      <c r="K538" s="64">
        <v>45535</v>
      </c>
      <c r="L538" t="s">
        <v>372</v>
      </c>
      <c r="M538" s="64">
        <v>45558</v>
      </c>
      <c r="N538" t="s">
        <v>373</v>
      </c>
      <c r="O538" t="s">
        <v>376</v>
      </c>
      <c r="P538">
        <v>0.75</v>
      </c>
      <c r="Q538">
        <v>0.97</v>
      </c>
      <c r="R538">
        <v>1128.75</v>
      </c>
      <c r="S538">
        <v>1459.85</v>
      </c>
      <c r="T538" t="s">
        <v>71</v>
      </c>
      <c r="AA538">
        <f t="shared" si="8"/>
        <v>66022.570000000007</v>
      </c>
      <c r="AB538">
        <f>COUNTIF($D$1:D538,D538)</f>
        <v>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62E36-FECC-4B44-AA57-C8AEE8F06924}">
  <sheetPr codeName="Sheet13"/>
  <dimension ref="A1:K9"/>
  <sheetViews>
    <sheetView workbookViewId="0">
      <selection activeCell="B1" sqref="B1:K9"/>
    </sheetView>
  </sheetViews>
  <sheetFormatPr defaultRowHeight="15" x14ac:dyDescent="0.25"/>
  <sheetData>
    <row r="1" spans="1:11" x14ac:dyDescent="0.25">
      <c r="B1" t="s">
        <v>60</v>
      </c>
      <c r="C1" t="s">
        <v>66</v>
      </c>
      <c r="D1" t="s">
        <v>67</v>
      </c>
      <c r="E1" t="s">
        <v>68</v>
      </c>
      <c r="F1" t="s">
        <v>69</v>
      </c>
      <c r="K1" t="s">
        <v>511</v>
      </c>
    </row>
    <row r="2" spans="1:11" x14ac:dyDescent="0.25">
      <c r="A2" t="str">
        <f t="shared" ref="A2:A9" si="0">MID(B2,1,FIND(" Total",B2,1)-1)</f>
        <v>CBA</v>
      </c>
      <c r="B2" t="s">
        <v>99</v>
      </c>
      <c r="C2">
        <v>15409</v>
      </c>
      <c r="D2">
        <v>55263.999999999993</v>
      </c>
      <c r="E2">
        <v>51006.84</v>
      </c>
      <c r="F2">
        <v>4257.16</v>
      </c>
      <c r="K2">
        <f>VLOOKUP(A2,CC2_RKFS!$D:$AA,24,FALSE)</f>
        <v>55260.119999999995</v>
      </c>
    </row>
    <row r="3" spans="1:11" x14ac:dyDescent="0.25">
      <c r="A3" t="str">
        <f t="shared" si="0"/>
        <v>CHW</v>
      </c>
      <c r="B3" t="s">
        <v>133</v>
      </c>
      <c r="C3">
        <v>17900</v>
      </c>
      <c r="D3">
        <v>39416.19999999999</v>
      </c>
      <c r="E3">
        <v>39770</v>
      </c>
      <c r="F3">
        <v>-353.79999999999984</v>
      </c>
      <c r="K3">
        <f>VLOOKUP(A3,CC2_RKFS!$D:$AA,24,FALSE)</f>
        <v>32663.23</v>
      </c>
    </row>
    <row r="4" spans="1:11" x14ac:dyDescent="0.25">
      <c r="A4" t="str">
        <f t="shared" si="0"/>
        <v>CNJ2</v>
      </c>
      <c r="B4" t="s">
        <v>168</v>
      </c>
      <c r="C4">
        <v>51283</v>
      </c>
      <c r="D4">
        <v>48344.13</v>
      </c>
      <c r="E4">
        <v>54035.999999999985</v>
      </c>
      <c r="F4">
        <v>-5691.8700000000026</v>
      </c>
      <c r="K4">
        <f>VLOOKUP(A4,CC2_RKFS!$D:$AA,24,FALSE)</f>
        <v>48019.700000000004</v>
      </c>
    </row>
    <row r="5" spans="1:11" x14ac:dyDescent="0.25">
      <c r="A5" t="str">
        <f t="shared" si="0"/>
        <v>CVA</v>
      </c>
      <c r="B5" t="s">
        <v>210</v>
      </c>
      <c r="C5">
        <v>163095</v>
      </c>
      <c r="D5">
        <v>109241.65999999997</v>
      </c>
      <c r="E5">
        <v>113348.48</v>
      </c>
      <c r="F5">
        <v>-4106.8200000000033</v>
      </c>
      <c r="K5">
        <f>VLOOKUP(A5,CC2_RKFS!$D:$AA,24,FALSE)</f>
        <v>115371.26499999998</v>
      </c>
    </row>
    <row r="6" spans="1:11" x14ac:dyDescent="0.25">
      <c r="A6" t="str">
        <f t="shared" si="0"/>
        <v>CVA2</v>
      </c>
      <c r="B6" t="s">
        <v>214</v>
      </c>
      <c r="C6">
        <v>98479</v>
      </c>
      <c r="D6">
        <v>45335.02</v>
      </c>
      <c r="E6">
        <v>32741.999999999996</v>
      </c>
      <c r="F6">
        <v>12593.02</v>
      </c>
      <c r="K6">
        <f>VLOOKUP(A6,CC2_RKFS!$D:$AA,24,FALSE)</f>
        <v>66022.570000000007</v>
      </c>
    </row>
    <row r="7" spans="1:11" x14ac:dyDescent="0.25">
      <c r="A7" t="str">
        <f t="shared" si="0"/>
        <v>KLB</v>
      </c>
      <c r="B7" t="s">
        <v>243</v>
      </c>
      <c r="C7">
        <v>323449</v>
      </c>
      <c r="D7">
        <v>222354.35000000012</v>
      </c>
      <c r="E7">
        <v>125136.00000000001</v>
      </c>
      <c r="F7">
        <v>97218.349999999977</v>
      </c>
      <c r="K7">
        <f>VLOOKUP(A7,CC2_RKFS!$D:$AA,24,FALSE)</f>
        <v>218983.93000000005</v>
      </c>
    </row>
    <row r="8" spans="1:11" x14ac:dyDescent="0.25">
      <c r="A8" t="str">
        <f t="shared" si="0"/>
        <v>MJ1</v>
      </c>
      <c r="B8" t="s">
        <v>296</v>
      </c>
      <c r="C8">
        <v>208202</v>
      </c>
      <c r="D8">
        <v>250639.88</v>
      </c>
      <c r="E8">
        <v>166202.93908629441</v>
      </c>
      <c r="F8">
        <v>84436.940913705592</v>
      </c>
      <c r="K8">
        <f>VLOOKUP(A8,CC2_RKFS!$D:$AA,24,FALSE)</f>
        <v>235499.60999999996</v>
      </c>
    </row>
    <row r="9" spans="1:11" x14ac:dyDescent="0.25">
      <c r="A9" t="str">
        <f t="shared" si="0"/>
        <v>MJ2</v>
      </c>
      <c r="B9" t="s">
        <v>356</v>
      </c>
      <c r="C9">
        <v>626386</v>
      </c>
      <c r="D9">
        <v>452556.94999999966</v>
      </c>
      <c r="E9">
        <v>262910.00000000023</v>
      </c>
      <c r="F9">
        <v>189646.94999999998</v>
      </c>
      <c r="K9">
        <f>VLOOKUP(A9,CC2_RKFS!$D:$AA,24,FALSE)</f>
        <v>375177.73000000004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425A1-E157-4742-B64A-3C808FF344CE}">
  <sheetPr codeName="Sheet14"/>
  <dimension ref="A1:E9"/>
  <sheetViews>
    <sheetView workbookViewId="0">
      <selection activeCell="A2" sqref="A2:A9"/>
    </sheetView>
  </sheetViews>
  <sheetFormatPr defaultRowHeight="15" x14ac:dyDescent="0.25"/>
  <cols>
    <col min="1" max="1" width="5.7109375" bestFit="1" customWidth="1"/>
    <col min="2" max="5" width="12.5703125" bestFit="1" customWidth="1"/>
  </cols>
  <sheetData>
    <row r="1" spans="1:5" x14ac:dyDescent="0.25">
      <c r="B1" t="s">
        <v>16</v>
      </c>
      <c r="C1" t="s">
        <v>17</v>
      </c>
      <c r="D1" t="s">
        <v>18</v>
      </c>
      <c r="E1" t="s">
        <v>19</v>
      </c>
    </row>
    <row r="2" spans="1:5" x14ac:dyDescent="0.25">
      <c r="A2" t="s">
        <v>7</v>
      </c>
      <c r="B2" s="65">
        <f>_xlfn.IFNA(VLOOKUP(A2,OLAH1_TotalDraft!$A:$K,11,FALSE),0)</f>
        <v>55260.119999999995</v>
      </c>
      <c r="C2" s="65">
        <f>IFERROR(VLOOKUP(A2,OLAH1_TotalDraft!$A:$C,3,FALSE),0)</f>
        <v>15409</v>
      </c>
      <c r="D2" s="65">
        <f>IFERROR(VLOOKUP(A2,OLAH1_TotalDraft!$A:$D,4,FALSE),0)</f>
        <v>55263.999999999993</v>
      </c>
      <c r="E2" s="65">
        <f>IFERROR(VLOOKUP(A2,OLAH1_TotalDraft!$A:$F,6,FALSE),0)</f>
        <v>4257.16</v>
      </c>
    </row>
    <row r="3" spans="1:5" x14ac:dyDescent="0.25">
      <c r="A3" t="s">
        <v>8</v>
      </c>
      <c r="B3" s="65">
        <f>_xlfn.IFNA(VLOOKUP(A3,OLAH1_TotalDraft!$A:$K,11,FALSE),0)</f>
        <v>32663.23</v>
      </c>
      <c r="C3" s="65">
        <f>IFERROR(VLOOKUP(A3,OLAH1_TotalDraft!$A:$C,3,FALSE),0)</f>
        <v>17900</v>
      </c>
      <c r="D3" s="65">
        <f>IFERROR(VLOOKUP(A3,OLAH1_TotalDraft!$A:$D,4,FALSE),0)</f>
        <v>39416.19999999999</v>
      </c>
      <c r="E3" s="65">
        <f>IFERROR(VLOOKUP(A3,OLAH1_TotalDraft!$A:$F,6,FALSE),0)</f>
        <v>-353.79999999999984</v>
      </c>
    </row>
    <row r="4" spans="1:5" x14ac:dyDescent="0.25">
      <c r="A4" t="s">
        <v>9</v>
      </c>
      <c r="B4" s="65">
        <f>_xlfn.IFNA(VLOOKUP(A4,OLAH1_TotalDraft!$A:$K,11,FALSE),0)</f>
        <v>48019.700000000004</v>
      </c>
      <c r="C4" s="65">
        <f>IFERROR(VLOOKUP(A4,OLAH1_TotalDraft!$A:$C,3,FALSE),0)</f>
        <v>51283</v>
      </c>
      <c r="D4" s="65">
        <f>IFERROR(VLOOKUP(A4,OLAH1_TotalDraft!$A:$D,4,FALSE),0)</f>
        <v>48344.13</v>
      </c>
      <c r="E4" s="65">
        <f>IFERROR(VLOOKUP(A4,OLAH1_TotalDraft!$A:$F,6,FALSE),0)</f>
        <v>-5691.8700000000026</v>
      </c>
    </row>
    <row r="5" spans="1:5" x14ac:dyDescent="0.25">
      <c r="A5" t="s">
        <v>10</v>
      </c>
      <c r="B5" s="65">
        <f>_xlfn.IFNA(VLOOKUP(A5,OLAH1_TotalDraft!$A:$K,11,FALSE),0)</f>
        <v>115371.26499999998</v>
      </c>
      <c r="C5" s="65">
        <f>IFERROR(VLOOKUP(A5,OLAH1_TotalDraft!$A:$C,3,FALSE),0)</f>
        <v>163095</v>
      </c>
      <c r="D5" s="65">
        <f>IFERROR(VLOOKUP(A5,OLAH1_TotalDraft!$A:$D,4,FALSE),0)</f>
        <v>109241.65999999997</v>
      </c>
      <c r="E5" s="65">
        <f>IFERROR(VLOOKUP(A5,OLAH1_TotalDraft!$A:$F,6,FALSE),0)</f>
        <v>-4106.8200000000033</v>
      </c>
    </row>
    <row r="6" spans="1:5" x14ac:dyDescent="0.25">
      <c r="A6" t="s">
        <v>11</v>
      </c>
      <c r="B6" s="65">
        <f>_xlfn.IFNA(VLOOKUP(A6,OLAH1_TotalDraft!$A:$K,11,FALSE),0)</f>
        <v>66022.570000000007</v>
      </c>
      <c r="C6" s="65">
        <f>IFERROR(VLOOKUP(A6,OLAH1_TotalDraft!$A:$C,3,FALSE),0)</f>
        <v>98479</v>
      </c>
      <c r="D6" s="65">
        <f>IFERROR(VLOOKUP(A6,OLAH1_TotalDraft!$A:$D,4,FALSE),0)</f>
        <v>45335.02</v>
      </c>
      <c r="E6" s="65">
        <f>IFERROR(VLOOKUP(A6,OLAH1_TotalDraft!$A:$F,6,FALSE),0)</f>
        <v>12593.02</v>
      </c>
    </row>
    <row r="7" spans="1:5" x14ac:dyDescent="0.25">
      <c r="A7" t="s">
        <v>12</v>
      </c>
      <c r="B7" s="65">
        <f>_xlfn.IFNA(VLOOKUP(A7,OLAH1_TotalDraft!$A:$K,11,FALSE),0)</f>
        <v>218983.93000000005</v>
      </c>
      <c r="C7" s="65">
        <f>IFERROR(VLOOKUP(A7,OLAH1_TotalDraft!$A:$C,3,FALSE),0)</f>
        <v>323449</v>
      </c>
      <c r="D7" s="65">
        <f>IFERROR(VLOOKUP(A7,OLAH1_TotalDraft!$A:$D,4,FALSE),0)</f>
        <v>222354.35000000012</v>
      </c>
      <c r="E7" s="65">
        <f>IFERROR(VLOOKUP(A7,OLAH1_TotalDraft!$A:$F,6,FALSE),0)</f>
        <v>97218.349999999977</v>
      </c>
    </row>
    <row r="8" spans="1:5" x14ac:dyDescent="0.25">
      <c r="A8" t="s">
        <v>13</v>
      </c>
      <c r="B8" s="65">
        <f>_xlfn.IFNA(VLOOKUP(A8,OLAH1_TotalDraft!$A:$K,11,FALSE),0)</f>
        <v>235499.60999999996</v>
      </c>
      <c r="C8" s="65">
        <f>IFERROR(VLOOKUP(A8,OLAH1_TotalDraft!$A:$C,3,FALSE),0)</f>
        <v>208202</v>
      </c>
      <c r="D8" s="65">
        <f>IFERROR(VLOOKUP(A8,OLAH1_TotalDraft!$A:$D,4,FALSE),0)</f>
        <v>250639.88</v>
      </c>
      <c r="E8" s="65">
        <f>IFERROR(VLOOKUP(A8,OLAH1_TotalDraft!$A:$F,6,FALSE),0)</f>
        <v>84436.940913705592</v>
      </c>
    </row>
    <row r="9" spans="1:5" x14ac:dyDescent="0.25">
      <c r="A9" t="s">
        <v>14</v>
      </c>
      <c r="B9" s="65">
        <f>_xlfn.IFNA(VLOOKUP(A9,OLAH1_TotalDraft!$A:$K,11,FALSE),0)</f>
        <v>375177.73000000004</v>
      </c>
      <c r="C9" s="65">
        <f>IFERROR(VLOOKUP(A9,OLAH1_TotalDraft!$A:$C,3,FALSE),0)</f>
        <v>626386</v>
      </c>
      <c r="D9" s="65">
        <f>IFERROR(VLOOKUP(A9,OLAH1_TotalDraft!$A:$D,4,FALSE),0)</f>
        <v>452556.94999999966</v>
      </c>
      <c r="E9" s="65">
        <f>IFERROR(VLOOKUP(A9,OLAH1_TotalDraft!$A:$F,6,FALSE),0)</f>
        <v>189646.94999999998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E81A0-06B0-4374-83F7-6CC82EF73C80}">
  <sheetPr codeName="Sheet15"/>
  <dimension ref="A1:I9"/>
  <sheetViews>
    <sheetView workbookViewId="0"/>
  </sheetViews>
  <sheetFormatPr defaultRowHeight="15" x14ac:dyDescent="0.25"/>
  <cols>
    <col min="1" max="1" width="13.7109375" bestFit="1" customWidth="1"/>
    <col min="2" max="2" width="9" bestFit="1" customWidth="1"/>
    <col min="3" max="3" width="8.140625" bestFit="1" customWidth="1"/>
    <col min="4" max="4" width="13.5703125" bestFit="1" customWidth="1"/>
    <col min="5" max="5" width="14.28515625" bestFit="1" customWidth="1"/>
    <col min="6" max="8" width="12.5703125" bestFit="1" customWidth="1"/>
    <col min="9" max="9" width="17.7109375" bestFit="1" customWidth="1"/>
  </cols>
  <sheetData>
    <row r="1" spans="1:9" x14ac:dyDescent="0.25">
      <c r="A1" t="s">
        <v>513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</row>
    <row r="2" spans="1:9" x14ac:dyDescent="0.25">
      <c r="A2" t="str">
        <f t="shared" ref="A2:A9" si="0">$B2&amp;"-"&amp;C2</f>
        <v>CBA-AUGUST</v>
      </c>
      <c r="B2" t="s">
        <v>7</v>
      </c>
      <c r="C2" t="str">
        <f>HOME!$F$12</f>
        <v>AUGUST</v>
      </c>
      <c r="D2" s="65">
        <f>_xlfn.IFNA(VLOOKUP($B2,OLAH2_ByMonth!$A:$B,2,FALSE),0)</f>
        <v>55260.119999999995</v>
      </c>
      <c r="E2" s="65">
        <f>_xlfn.IFNA(VLOOKUP($B2,OLAH2_ByMonth!$A:$C,3,FALSE),0)</f>
        <v>15409</v>
      </c>
      <c r="F2" s="65">
        <f>_xlfn.IFNA(VLOOKUP($B2,OLAH2_ByMonth!$A:$D,4,FALSE),0)</f>
        <v>55263.999999999993</v>
      </c>
      <c r="G2" s="65">
        <f>_xlfn.IFNA(VLOOKUP($B2,OLAH1_TotalDraft!$A:$E,5,FALSE),0)</f>
        <v>51006.84</v>
      </c>
      <c r="H2" s="65">
        <f>_xlfn.IFNA(VLOOKUP($B2,OLAH2_ByMonth!$A:$E,5,FALSE),0)</f>
        <v>4257.16</v>
      </c>
      <c r="I2" s="65">
        <f t="shared" ref="I2:I9" si="1">IFERROR(F2/D2-1,"-")</f>
        <v>7.0213383539519114E-5</v>
      </c>
    </row>
    <row r="3" spans="1:9" x14ac:dyDescent="0.25">
      <c r="A3" t="str">
        <f t="shared" si="0"/>
        <v>CHW-AUGUST</v>
      </c>
      <c r="B3" t="s">
        <v>8</v>
      </c>
      <c r="C3" t="str">
        <f>HOME!$F$12</f>
        <v>AUGUST</v>
      </c>
      <c r="D3" s="65">
        <f>_xlfn.IFNA(VLOOKUP($B3,OLAH2_ByMonth!$A:$B,2,FALSE),0)</f>
        <v>32663.23</v>
      </c>
      <c r="E3" s="65">
        <f>_xlfn.IFNA(VLOOKUP($B3,OLAH2_ByMonth!$A:$C,3,FALSE),0)</f>
        <v>17900</v>
      </c>
      <c r="F3" s="65">
        <f>_xlfn.IFNA(VLOOKUP($B3,OLAH2_ByMonth!$A:$D,4,FALSE),0)</f>
        <v>39416.19999999999</v>
      </c>
      <c r="G3" s="65">
        <f>_xlfn.IFNA(VLOOKUP($B3,OLAH1_TotalDraft!$A:$E,5,FALSE),0)</f>
        <v>39770</v>
      </c>
      <c r="H3" s="65">
        <f>_xlfn.IFNA(VLOOKUP($B3,OLAH2_ByMonth!$A:$E,5,FALSE),0)</f>
        <v>-353.79999999999984</v>
      </c>
      <c r="I3" s="65">
        <f t="shared" si="1"/>
        <v>0.20674532188029149</v>
      </c>
    </row>
    <row r="4" spans="1:9" x14ac:dyDescent="0.25">
      <c r="A4" t="str">
        <f t="shared" si="0"/>
        <v>CNJ2-AUGUST</v>
      </c>
      <c r="B4" t="s">
        <v>9</v>
      </c>
      <c r="C4" t="str">
        <f>HOME!$F$12</f>
        <v>AUGUST</v>
      </c>
      <c r="D4" s="65">
        <f>_xlfn.IFNA(VLOOKUP($B4,OLAH2_ByMonth!$A:$B,2,FALSE),0)</f>
        <v>48019.700000000004</v>
      </c>
      <c r="E4" s="65">
        <f>_xlfn.IFNA(VLOOKUP($B4,OLAH2_ByMonth!$A:$C,3,FALSE),0)</f>
        <v>51283</v>
      </c>
      <c r="F4" s="65">
        <f>_xlfn.IFNA(VLOOKUP($B4,OLAH2_ByMonth!$A:$D,4,FALSE),0)</f>
        <v>48344.13</v>
      </c>
      <c r="G4" s="65">
        <f>_xlfn.IFNA(VLOOKUP($B4,OLAH1_TotalDraft!$A:$E,5,FALSE),0)</f>
        <v>54035.999999999985</v>
      </c>
      <c r="H4" s="65">
        <f>_xlfn.IFNA(VLOOKUP($B4,OLAH2_ByMonth!$A:$E,5,FALSE),0)</f>
        <v>-5691.8700000000026</v>
      </c>
      <c r="I4" s="65">
        <f t="shared" si="1"/>
        <v>6.7561854822082434E-3</v>
      </c>
    </row>
    <row r="5" spans="1:9" x14ac:dyDescent="0.25">
      <c r="A5" t="str">
        <f t="shared" si="0"/>
        <v>CVA-AUGUST</v>
      </c>
      <c r="B5" t="s">
        <v>10</v>
      </c>
      <c r="C5" t="str">
        <f>HOME!$F$12</f>
        <v>AUGUST</v>
      </c>
      <c r="D5" s="65">
        <f>_xlfn.IFNA(VLOOKUP($B5,OLAH2_ByMonth!$A:$B,2,FALSE),0)</f>
        <v>115371.26499999998</v>
      </c>
      <c r="E5" s="65">
        <f>_xlfn.IFNA(VLOOKUP($B5,OLAH2_ByMonth!$A:$C,3,FALSE),0)</f>
        <v>163095</v>
      </c>
      <c r="F5" s="65">
        <f>_xlfn.IFNA(VLOOKUP($B5,OLAH2_ByMonth!$A:$D,4,FALSE),0)</f>
        <v>109241.65999999997</v>
      </c>
      <c r="G5" s="65">
        <f>_xlfn.IFNA(VLOOKUP($B5,OLAH1_TotalDraft!$A:$E,5,FALSE),0)</f>
        <v>113348.48</v>
      </c>
      <c r="H5" s="65">
        <f>_xlfn.IFNA(VLOOKUP($B5,OLAH2_ByMonth!$A:$E,5,FALSE),0)</f>
        <v>-4106.8200000000033</v>
      </c>
      <c r="I5" s="65">
        <f t="shared" si="1"/>
        <v>-5.3129390580921587E-2</v>
      </c>
    </row>
    <row r="6" spans="1:9" x14ac:dyDescent="0.25">
      <c r="A6" t="str">
        <f t="shared" si="0"/>
        <v>CVA2-AUGUST</v>
      </c>
      <c r="B6" t="s">
        <v>11</v>
      </c>
      <c r="C6" t="str">
        <f>HOME!$F$12</f>
        <v>AUGUST</v>
      </c>
      <c r="D6" s="65">
        <f>_xlfn.IFNA(VLOOKUP($B6,OLAH2_ByMonth!$A:$B,2,FALSE),0)</f>
        <v>66022.570000000007</v>
      </c>
      <c r="E6" s="65">
        <f>_xlfn.IFNA(VLOOKUP($B6,OLAH2_ByMonth!$A:$C,3,FALSE),0)</f>
        <v>98479</v>
      </c>
      <c r="F6" s="65">
        <f>_xlfn.IFNA(VLOOKUP($B6,OLAH2_ByMonth!$A:$D,4,FALSE),0)</f>
        <v>45335.02</v>
      </c>
      <c r="G6" s="65">
        <f>_xlfn.IFNA(VLOOKUP($B6,OLAH1_TotalDraft!$A:$E,5,FALSE),0)</f>
        <v>32741.999999999996</v>
      </c>
      <c r="H6" s="65">
        <f>_xlfn.IFNA(VLOOKUP($B6,OLAH2_ByMonth!$A:$E,5,FALSE),0)</f>
        <v>12593.02</v>
      </c>
      <c r="I6" s="65">
        <f t="shared" si="1"/>
        <v>-0.31334057429148865</v>
      </c>
    </row>
    <row r="7" spans="1:9" x14ac:dyDescent="0.25">
      <c r="A7" t="str">
        <f t="shared" si="0"/>
        <v>KLB-AUGUST</v>
      </c>
      <c r="B7" t="s">
        <v>12</v>
      </c>
      <c r="C7" t="str">
        <f>HOME!$F$12</f>
        <v>AUGUST</v>
      </c>
      <c r="D7" s="65">
        <f>_xlfn.IFNA(VLOOKUP($B7,OLAH2_ByMonth!$A:$B,2,FALSE),0)</f>
        <v>218983.93000000005</v>
      </c>
      <c r="E7" s="65">
        <f>_xlfn.IFNA(VLOOKUP($B7,OLAH2_ByMonth!$A:$C,3,FALSE),0)</f>
        <v>323449</v>
      </c>
      <c r="F7" s="65">
        <f>_xlfn.IFNA(VLOOKUP($B7,OLAH2_ByMonth!$A:$D,4,FALSE),0)</f>
        <v>222354.35000000012</v>
      </c>
      <c r="G7" s="65">
        <f>_xlfn.IFNA(VLOOKUP($B7,OLAH1_TotalDraft!$A:$E,5,FALSE),0)</f>
        <v>125136.00000000001</v>
      </c>
      <c r="H7" s="65">
        <f>_xlfn.IFNA(VLOOKUP($B7,OLAH2_ByMonth!$A:$E,5,FALSE),0)</f>
        <v>97218.349999999977</v>
      </c>
      <c r="I7" s="65">
        <f t="shared" si="1"/>
        <v>1.5391175051064465E-2</v>
      </c>
    </row>
    <row r="8" spans="1:9" x14ac:dyDescent="0.25">
      <c r="A8" t="str">
        <f t="shared" si="0"/>
        <v>MJ1-AUGUST</v>
      </c>
      <c r="B8" t="s">
        <v>13</v>
      </c>
      <c r="C8" t="str">
        <f>HOME!$F$12</f>
        <v>AUGUST</v>
      </c>
      <c r="D8" s="65">
        <f>_xlfn.IFNA(VLOOKUP($B8,OLAH2_ByMonth!$A:$B,2,FALSE),0)</f>
        <v>235499.60999999996</v>
      </c>
      <c r="E8" s="65">
        <f>_xlfn.IFNA(VLOOKUP($B8,OLAH2_ByMonth!$A:$C,3,FALSE),0)</f>
        <v>208202</v>
      </c>
      <c r="F8" s="65">
        <f>_xlfn.IFNA(VLOOKUP($B8,OLAH2_ByMonth!$A:$D,4,FALSE),0)</f>
        <v>250639.88</v>
      </c>
      <c r="G8" s="65">
        <f>_xlfn.IFNA(VLOOKUP($B8,OLAH1_TotalDraft!$A:$E,5,FALSE),0)</f>
        <v>166202.93908629441</v>
      </c>
      <c r="H8" s="65">
        <f>_xlfn.IFNA(VLOOKUP($B8,OLAH2_ByMonth!$A:$E,5,FALSE),0)</f>
        <v>84436.940913705592</v>
      </c>
      <c r="I8" s="65">
        <f t="shared" si="1"/>
        <v>6.4290000310404105E-2</v>
      </c>
    </row>
    <row r="9" spans="1:9" x14ac:dyDescent="0.25">
      <c r="A9" t="str">
        <f t="shared" si="0"/>
        <v>MJ2-AUGUST</v>
      </c>
      <c r="B9" t="s">
        <v>14</v>
      </c>
      <c r="C9" t="str">
        <f>HOME!$F$12</f>
        <v>AUGUST</v>
      </c>
      <c r="D9" s="65">
        <f>_xlfn.IFNA(VLOOKUP($B9,OLAH2_ByMonth!$A:$B,2,FALSE),0)</f>
        <v>375177.73000000004</v>
      </c>
      <c r="E9" s="65">
        <f>_xlfn.IFNA(VLOOKUP($B9,OLAH2_ByMonth!$A:$C,3,FALSE),0)</f>
        <v>626386</v>
      </c>
      <c r="F9" s="65">
        <f>_xlfn.IFNA(VLOOKUP($B9,OLAH2_ByMonth!$A:$D,4,FALSE),0)</f>
        <v>452556.94999999966</v>
      </c>
      <c r="G9" s="65">
        <f>_xlfn.IFNA(VLOOKUP($B9,OLAH1_TotalDraft!$A:$E,5,FALSE),0)</f>
        <v>262910.00000000023</v>
      </c>
      <c r="H9" s="65">
        <f>_xlfn.IFNA(VLOOKUP($B9,OLAH2_ByMonth!$A:$E,5,FALSE),0)</f>
        <v>189646.94999999998</v>
      </c>
      <c r="I9" s="65">
        <f t="shared" si="1"/>
        <v>0.20624683666591737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Temp - By Factory</vt:lpstr>
      <vt:lpstr>Temp - By Month</vt:lpstr>
      <vt:lpstr>SetupDB</vt:lpstr>
      <vt:lpstr>HOME</vt:lpstr>
      <vt:lpstr>RPA2</vt:lpstr>
      <vt:lpstr>CC1_ResumePerBuyer</vt:lpstr>
      <vt:lpstr>CC2_RKFS</vt:lpstr>
      <vt:lpstr>OLAH1_TotalDraft</vt:lpstr>
      <vt:lpstr>OLAH2_ByMonth</vt:lpstr>
      <vt:lpstr>OLAH3_ByFactory</vt:lpstr>
      <vt:lpstr>'Temp - By Factory'!Print_Area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2024-09-12T07:42:12Z</dcterms:modified>
</cp:coreProperties>
</file>