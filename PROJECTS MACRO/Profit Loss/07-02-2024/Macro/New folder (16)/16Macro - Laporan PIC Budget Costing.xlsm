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6)\"/>
    </mc:Choice>
  </mc:AlternateContent>
  <xr:revisionPtr revIDLastSave="0" documentId="13_ncr:1_{3F893DBC-9B22-4F1F-BC3F-37B031E69CF0}" xr6:coauthVersionLast="47" xr6:coauthVersionMax="47" xr10:uidLastSave="{00000000-0000-0000-0000-000000000000}"/>
  <bookViews>
    <workbookView xWindow="-120" yWindow="-120" windowWidth="20640" windowHeight="11160" activeTab="6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107" l="1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L19" i="107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3" i="133" l="1"/>
  <c r="A1" i="133"/>
  <c r="A3" i="1" l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H16" i="108"/>
  <c r="F10" i="108"/>
  <c r="E10" i="108"/>
  <c r="D10" i="108"/>
  <c r="C10" i="108"/>
  <c r="H9" i="108"/>
  <c r="H8" i="108"/>
  <c r="H7" i="108"/>
  <c r="H29" i="108" l="1"/>
  <c r="D38" i="108"/>
  <c r="F38" i="108"/>
  <c r="E38" i="108"/>
  <c r="H10" i="108"/>
  <c r="G9" i="108" s="1"/>
  <c r="H98" i="108"/>
  <c r="H136" i="108"/>
  <c r="H24" i="108"/>
  <c r="E14" i="108"/>
  <c r="H59" i="108"/>
  <c r="E99" i="108"/>
  <c r="F14" i="108"/>
  <c r="F99" i="108"/>
  <c r="B137" i="108"/>
  <c r="E137" i="108"/>
  <c r="H115" i="108"/>
  <c r="F137" i="108"/>
  <c r="D14" i="108"/>
  <c r="D99" i="108"/>
  <c r="D137" i="108"/>
  <c r="B99" i="108"/>
  <c r="B39" i="108"/>
  <c r="C38" i="108"/>
  <c r="C99" i="108"/>
  <c r="C137" i="108"/>
  <c r="G129" i="108" l="1"/>
  <c r="G121" i="108"/>
  <c r="G113" i="108"/>
  <c r="G105" i="108"/>
  <c r="G97" i="108"/>
  <c r="G89" i="108"/>
  <c r="G81" i="108"/>
  <c r="G73" i="108"/>
  <c r="G65" i="108"/>
  <c r="G57" i="108"/>
  <c r="G49" i="108"/>
  <c r="G33" i="108"/>
  <c r="G25" i="108"/>
  <c r="G17" i="108"/>
  <c r="G63" i="108"/>
  <c r="G15" i="108"/>
  <c r="G7" i="108"/>
  <c r="G22" i="108"/>
  <c r="G36" i="108"/>
  <c r="G131" i="108"/>
  <c r="G83" i="108"/>
  <c r="G59" i="108"/>
  <c r="G11" i="108"/>
  <c r="G130" i="108"/>
  <c r="G74" i="108"/>
  <c r="G10" i="108"/>
  <c r="G136" i="108"/>
  <c r="G128" i="108"/>
  <c r="G120" i="108"/>
  <c r="G112" i="108"/>
  <c r="G104" i="108"/>
  <c r="G96" i="108"/>
  <c r="G88" i="108"/>
  <c r="G80" i="108"/>
  <c r="G72" i="108"/>
  <c r="G64" i="108"/>
  <c r="G56" i="108"/>
  <c r="G48" i="108"/>
  <c r="G40" i="108"/>
  <c r="G32" i="108"/>
  <c r="G24" i="108"/>
  <c r="G16" i="108"/>
  <c r="G8" i="108"/>
  <c r="G71" i="108"/>
  <c r="G47" i="108"/>
  <c r="G23" i="108"/>
  <c r="G46" i="108"/>
  <c r="G52" i="108"/>
  <c r="G12" i="108"/>
  <c r="G107" i="108"/>
  <c r="G75" i="108"/>
  <c r="G27" i="108"/>
  <c r="G98" i="108"/>
  <c r="G34" i="108"/>
  <c r="G135" i="108"/>
  <c r="G127" i="108"/>
  <c r="G119" i="108"/>
  <c r="G111" i="108"/>
  <c r="G103" i="108"/>
  <c r="G95" i="108"/>
  <c r="G87" i="108"/>
  <c r="G79" i="108"/>
  <c r="G55" i="108"/>
  <c r="G31" i="108"/>
  <c r="G30" i="108"/>
  <c r="G37" i="108"/>
  <c r="G20" i="108"/>
  <c r="G115" i="108"/>
  <c r="G51" i="108"/>
  <c r="G114" i="108"/>
  <c r="G82" i="108"/>
  <c r="G58" i="108"/>
  <c r="G26" i="108"/>
  <c r="G134" i="108"/>
  <c r="G126" i="108"/>
  <c r="G118" i="108"/>
  <c r="G110" i="108"/>
  <c r="G102" i="108"/>
  <c r="G94" i="108"/>
  <c r="G86" i="108"/>
  <c r="G78" i="108"/>
  <c r="G70" i="108"/>
  <c r="G62" i="108"/>
  <c r="G54" i="108"/>
  <c r="G29" i="108"/>
  <c r="G123" i="108"/>
  <c r="G67" i="108"/>
  <c r="G19" i="108"/>
  <c r="G106" i="108"/>
  <c r="G50" i="108"/>
  <c r="G133" i="108"/>
  <c r="G125" i="108"/>
  <c r="G117" i="108"/>
  <c r="G109" i="108"/>
  <c r="G101" i="108"/>
  <c r="G93" i="108"/>
  <c r="G85" i="108"/>
  <c r="G77" i="108"/>
  <c r="G69" i="108"/>
  <c r="G61" i="108"/>
  <c r="G53" i="108"/>
  <c r="G45" i="108"/>
  <c r="G21" i="108"/>
  <c r="G28" i="108"/>
  <c r="G43" i="108"/>
  <c r="G122" i="108"/>
  <c r="G66" i="108"/>
  <c r="G18" i="108"/>
  <c r="G132" i="108"/>
  <c r="G124" i="108"/>
  <c r="G116" i="108"/>
  <c r="G108" i="108"/>
  <c r="G100" i="108"/>
  <c r="G92" i="108"/>
  <c r="G84" i="108"/>
  <c r="G76" i="108"/>
  <c r="G68" i="108"/>
  <c r="G60" i="108"/>
  <c r="G44" i="108"/>
  <c r="G91" i="108"/>
  <c r="G35" i="108"/>
  <c r="G90" i="108"/>
  <c r="G42" i="108"/>
  <c r="D39" i="108"/>
  <c r="F39" i="108"/>
  <c r="E39" i="108"/>
  <c r="H13" i="108"/>
  <c r="H14" i="108" s="1"/>
  <c r="G14" i="108" s="1"/>
  <c r="C14" i="108"/>
  <c r="H137" i="108"/>
  <c r="H38" i="108"/>
  <c r="H99" i="108"/>
  <c r="G99" i="108" s="1"/>
  <c r="C39" i="108"/>
  <c r="D41" i="108" l="1"/>
  <c r="G137" i="108"/>
  <c r="G38" i="108"/>
  <c r="G13" i="108"/>
  <c r="F41" i="108"/>
  <c r="D139" i="108"/>
  <c r="F139" i="108"/>
  <c r="E139" i="108"/>
  <c r="E41" i="108"/>
  <c r="C139" i="108"/>
  <c r="H39" i="108"/>
  <c r="G39" i="108" s="1"/>
  <c r="C41" i="108"/>
  <c r="D140" i="108" l="1"/>
  <c r="E140" i="108"/>
  <c r="F140" i="108"/>
  <c r="C140" i="108"/>
  <c r="H41" i="108"/>
  <c r="G41" i="108" s="1"/>
  <c r="H139" i="108"/>
  <c r="G139" i="108" l="1"/>
  <c r="H140" i="108"/>
  <c r="H3" i="108" l="1"/>
  <c r="G140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K62" i="107" s="1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J13" i="1"/>
  <c r="M13" i="1" s="1"/>
  <c r="H59" i="107"/>
  <c r="B140" i="108"/>
  <c r="B41" i="108"/>
  <c r="M154" i="1"/>
  <c r="M94" i="1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22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M19" i="1"/>
  <c r="K5" i="16"/>
  <c r="K8" i="16"/>
  <c r="M100" i="1"/>
  <c r="M88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<sst xmlns="http://schemas.openxmlformats.org/spreadsheetml/2006/main" count="2405" uniqueCount="575">
  <si>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</si>
  <si>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</si>
  <si>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</si>
  <si>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</si>
  <si>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</si>
  <si>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</si>
  <si>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</si>
  <si>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</si>
  <si>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</si>
  <si>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</si>
  <si>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</si>
  <si>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</si>
  <si>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</si>
  <si>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</si>
  <si>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</si>
  <si>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</si>
  <si>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</si>
  <si>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</si>
  <si>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</si>
  <si>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</si>
  <si>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</si>
  <si>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</si>
  <si>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</si>
  <si>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</si>
  <si>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</si>
  <si>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</si>
  <si>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</si>
  <si>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</si>
  <si>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</si>
  <si>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</si>
  <si>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</si>
  <si>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</si>
  <si>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</si>
  <si>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</si>
  <si>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</si>
  <si>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</si>
  <si>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</si>
  <si>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</si>
  <si>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</si>
  <si>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</si>
  <si>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</si>
  <si>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</si>
  <si>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</si>
  <si>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</si>
  <si>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</si>
  <si>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</si>
  <si>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</si>
  <si>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</si>
  <si>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</si>
  <si>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</si>
  <si>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</si>
  <si>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</si>
  <si>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</si>
  <si>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</si>
  <si>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</si>
  <si>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</si>
  <si>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</si>
  <si>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</si>
  <si>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</si>
  <si>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</si>
  <si>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</si>
  <si>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</si>
  <si>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</si>
  <si>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</si>
  <si>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</si>
  <si>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</si>
  <si>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</si>
  <si>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</si>
  <si>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</si>
  <si>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</si>
  <si>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</si>
  <si>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</si>
  <si>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</si>
  <si>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</si>
  <si>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</si>
  <si>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</si>
  <si>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</si>
  <si>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</si>
  <si>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</si>
  <si>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</si>
  <si>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</si>
  <si>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</si>
  <si>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</si>
  <si>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</si>
  <si>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</si>
  <si>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</si>
  <si>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</si>
  <si>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</si>
  <si>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</si>
  <si>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</si>
  <si>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</si>
  <si>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</si>
  <si>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</si>
  <si>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</si>
  <si>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</si>
  <si>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</si>
  <si>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</si>
  <si>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</si>
  <si>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</si>
  <si>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</si>
  <si>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</si>
  <si>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</si>
  <si>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</si>
  <si>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</si>
  <si>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</si>
  <si>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</si>
  <si>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</si>
  <si>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</si>
  <si>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</si>
  <si>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</si>
  <si>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</si>
  <si>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</si>
  <si>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</si>
  <si>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</si>
  <si>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</si>
  <si>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</si>
  <si>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</si>
  <si>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</si>
  <si>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</si>
  <si>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</si>
  <si>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</si>
  <si>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</si>
  <si>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</si>
  <si>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</si>
  <si>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</si>
  <si>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</si>
  <si>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</si>
  <si>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</si>
  <si>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</si>
  <si>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</si>
  <si>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</si>
  <si>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</si>
  <si>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</si>
  <si>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</si>
  <si>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</si>
  <si>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</si>
  <si>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</si>
  <si>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</si>
  <si>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</si>
  <si>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</si>
  <si>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</si>
  <si>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</si>
  <si>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</si>
  <si>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</si>
  <si>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</si>
  <si>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</si>
  <si>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</si>
  <si>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</si>
  <si>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</si>
  <si>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</si>
  <si>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</si>
  <si>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</si>
  <si>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</si>
  <si>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</si>
  <si>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</si>
  <si>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</si>
  <si>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</si>
  <si>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</si>
  <si>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</si>
  <si>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</si>
  <si>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</si>
  <si>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</si>
  <si>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</si>
  <si>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</si>
  <si>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</si>
  <si>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</si>
  <si>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</si>
  <si>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</si>
  <si>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</si>
  <si>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</si>
  <si>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</si>
  <si>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</si>
  <si>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</si>
  <si>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</si>
  <si>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</si>
  <si>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</si>
  <si>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</si>
  <si>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</si>
  <si>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</si>
  <si>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</si>
  <si>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</si>
  <si>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</si>
  <si>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</si>
  <si>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</si>
  <si>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</si>
  <si>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</si>
  <si>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</si>
  <si>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</si>
  <si>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</si>
  <si>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</si>
  <si>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</si>
  <si>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</si>
  <si>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</si>
  <si>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</si>
  <si>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</si>
  <si>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</si>
  <si>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</si>
  <si>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</si>
  <si>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</si>
  <si>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</si>
  <si>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</si>
  <si>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</si>
  <si>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</si>
  <si>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</si>
  <si>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</si>
  <si>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</si>
  <si>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</si>
  <si>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</si>
  <si>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</si>
  <si>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</si>
  <si>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</si>
  <si>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</si>
  <si>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</si>
  <si>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</si>
  <si>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</si>
  <si>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</si>
  <si>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</si>
  <si>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</si>
  <si>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</si>
  <si>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</si>
  <si>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</si>
  <si>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</si>
  <si>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</si>
  <si>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</si>
  <si>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</si>
  <si>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</si>
  <si>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</si>
  <si>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</si>
  <si>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</si>
  <si>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</si>
  <si>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</si>
  <si>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</si>
  <si>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</si>
  <si>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</si>
  <si>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</si>
  <si>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</si>
  <si>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</si>
  <si>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</si>
  <si>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</si>
  <si>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</si>
  <si>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</si>
  <si>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</si>
  <si>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</si>
  <si>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</si>
  <si>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</si>
  <si>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</si>
  <si>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</si>
  <si>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</si>
  <si>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</si>
  <si>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</si>
  <si>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</si>
  <si>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</si>
  <si>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</si>
  <si>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</si>
  <si>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</si>
  <si>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</si>
  <si>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</si>
  <si>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</si>
  <si>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</si>
  <si>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</si>
  <si>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</si>
  <si>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</si>
  <si>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</si>
  <si>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</si>
  <si>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</si>
  <si>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</si>
  <si>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</si>
  <si>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</si>
  <si>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</si>
  <si>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</si>
  <si>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</si>
  <si>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</si>
  <si>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</si>
  <si>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</si>
  <si>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</si>
  <si>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</si>
  <si>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</si>
  <si>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</si>
  <si>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</si>
  <si>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</si>
  <si>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</si>
  <si>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</si>
  <si>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</si>
  <si>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</si>
  <si>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</si>
  <si>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</si>
  <si>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</si>
  <si>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</si>
  <si>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</si>
  <si>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</si>
  <si>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</si>
  <si>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</si>
  <si>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</si>
  <si>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</si>
  <si>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</si>
  <si>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</si>
  <si>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</si>
  <si>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</si>
  <si>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</si>
  <si>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</si>
  <si>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</si>
  <si>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</si>
  <si>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</si>
  <si>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</si>
  <si>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</si>
  <si>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</si>
  <si>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</si>
  <si>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</si>
  <si>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</si>
  <si>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</si>
  <si>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</si>
  <si>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</si>
  <si>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</si>
  <si>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</si>
  <si>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</si>
  <si>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</si>
  <si>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</si>
  <si>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</si>
  <si>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</si>
  <si>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</si>
  <si>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</si>
  <si>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</si>
  <si>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</si>
  <si>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</si>
  <si>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</si>
  <si>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</si>
  <si>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</si>
  <si>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</si>
  <si>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</si>
  <si>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</si>
  <si>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</si>
  <si>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</si>
  <si>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</si>
  <si>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</si>
  <si>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</si>
  <si>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</si>
  <si>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</si>
  <si>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</si>
  <si>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</si>
  <si>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</si>
  <si>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</si>
  <si>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</si>
  <si>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</si>
  <si>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</si>
  <si>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</si>
  <si>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</si>
  <si>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</si>
  <si>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</si>
  <si>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</si>
  <si>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</si>
  <si>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</si>
  <si>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</si>
  <si>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</si>
  <si>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</si>
  <si>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</si>
  <si>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</si>
  <si>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</si>
  <si>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</si>
  <si>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</si>
  <si>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</si>
  <si>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</si>
  <si>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</si>
  <si>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</si>
  <si>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</si>
  <si>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</si>
  <si>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</si>
  <si>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</si>
  <si>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</si>
  <si>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</si>
  <si>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</si>
  <si>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</si>
  <si>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</si>
  <si>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</si>
  <si>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</si>
  <si>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</si>
  <si>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</si>
  <si>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</si>
  <si>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</si>
  <si>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</si>
  <si>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</si>
  <si>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</si>
  <si>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</si>
  <si>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</si>
  <si>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</si>
  <si>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</si>
  <si>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</si>
  <si>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</si>
  <si>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</si>
  <si>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</si>
  <si>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</si>
  <si>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</si>
  <si>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</si>
  <si>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</si>
  <si>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</si>
  <si>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</si>
  <si>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</si>
  <si>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</si>
  <si>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</si>
  <si>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</si>
  <si>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</si>
  <si>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</si>
  <si>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</si>
  <si>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</si>
  <si>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</si>
  <si>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</si>
  <si>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</si>
  <si>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</si>
  <si>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</si>
  <si>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</si>
  <si>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</si>
  <si>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</si>
  <si>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</si>
  <si>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</si>
  <si>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</si>
  <si>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</si>
  <si>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</si>
  <si>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</si>
  <si>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</si>
  <si>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</si>
  <si>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</si>
  <si>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</si>
  <si>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</si>
  <si>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</si>
  <si>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</si>
  <si>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</si>
  <si>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</si>
  <si>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</si>
  <si>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</si>
  <si>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</si>
  <si>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</si>
  <si>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</si>
  <si>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</si>
  <si>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</si>
  <si>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</si>
  <si>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</si>
  <si>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</si>
  <si>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</si>
  <si>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</si>
  <si>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</si>
  <si>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</si>
  <si>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</si>
  <si>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</si>
  <si>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</si>
  <si>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</si>
  <si>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</si>
  <si>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</si>
  <si>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</si>
  <si>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</si>
  <si>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</si>
  <si>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</si>
  <si>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</si>
  <si>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</si>
  <si>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</si>
  <si>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</si>
  <si>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</si>
  <si>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</si>
  <si>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</si>
  <si>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</si>
  <si>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</si>
  <si>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</si>
  <si>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</si>
  <si>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</si>
  <si>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</si>
  <si>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</si>
  <si>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</si>
  <si>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</si>
  <si>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</si>
  <si>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</si>
  <si>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</si>
  <si>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</si>
  <si>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</si>
  <si>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</si>
  <si>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</si>
  <si>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</si>
  <si>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</si>
  <si>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</si>
  <si>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</si>
  <si>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</si>
  <si>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</si>
  <si>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</si>
  <si>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</si>
  <si>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</si>
  <si>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</si>
  <si>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</si>
  <si>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</si>
  <si>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</si>
  <si>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</si>
  <si>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</si>
  <si>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</si>
  <si>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</si>
  <si>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</si>
  <si>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</si>
  <si>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</si>
  <si>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</si>
  <si>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</si>
  <si>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</si>
  <si>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</si>
  <si>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</si>
  <si>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</si>
  <si>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</si>
  <si>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</si>
  <si>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</si>
  <si>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</si>
  <si>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</si>
  <si>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</si>
  <si>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</si>
  <si>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</si>
  <si>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</si>
  <si>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</si>
  <si>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</si>
  <si>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</si>
  <si>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</si>
  <si>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</si>
  <si>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</si>
  <si>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</si>
  <si>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</si>
  <si>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</si>
  <si>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</si>
  <si>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</si>
  <si>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</si>
  <si>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</si>
  <si>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</si>
  <si>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</si>
  <si>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</si>
  <si>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</si>
  <si>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</si>
  <si>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</si>
  <si>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</si>
  <si>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</si>
  <si>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</si>
  <si>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</si>
  <si>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</si>
  <si>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</si>
  <si>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</si>
  <si>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</si>
  <si>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</si>
  <si>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</si>
  <si>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</si>
  <si>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</si>
  <si>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</si>
  <si>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</si>
  <si>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</si>
  <si>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</si>
  <si>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</si>
  <si>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A1</t>
  </si>
  <si>
    <t>A2</t>
  </si>
  <si>
    <t>A3</t>
  </si>
  <si>
    <t>A4</t>
  </si>
  <si>
    <t>A5</t>
  </si>
  <si>
    <t>A6</t>
  </si>
  <si>
    <t>A7</t>
  </si>
  <si>
    <t>A MID</t>
  </si>
  <si>
    <t>A LAST</t>
  </si>
  <si>
    <t>W1</t>
  </si>
  <si>
    <t>W2</t>
  </si>
  <si>
    <t>W3</t>
  </si>
  <si>
    <t>W MID</t>
  </si>
  <si>
    <t>W LAST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</si>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</sst>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2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2" borderId="0" xfId="3" applyFill="1"/>
    <xf numFmtId="0" fontId="9" fillId="10" borderId="0" xfId="3" applyFill="1"/>
    <xf numFmtId="0" fontId="29" fillId="11" borderId="1" xfId="0" applyFont="1" applyFill="1" applyBorder="1" applyAlignment="1">
      <alignment horizontal="center" vertical="center"/>
    </xf>
    <xf numFmtId="10" fontId="29" fillId="11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2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31" fillId="12" borderId="0" xfId="0" applyFont="1" applyFill="1"/>
    <xf numFmtId="10" fontId="31" fillId="12" borderId="0" xfId="2" applyNumberFormat="1" applyFont="1" applyFill="1" applyAlignment="1">
      <alignment horizontal="center"/>
    </xf>
    <xf numFmtId="0" fontId="31" fillId="10" borderId="0" xfId="0" applyFont="1" applyFill="1"/>
    <xf numFmtId="43" fontId="31" fillId="0" borderId="0" xfId="1" applyFont="1" applyAlignment="1">
      <alignment horizontal="center"/>
    </xf>
    <xf numFmtId="0" fontId="32" fillId="10" borderId="0" xfId="0" applyFont="1" applyFill="1" applyAlignment="1">
      <alignment horizontal="center"/>
    </xf>
    <xf numFmtId="43" fontId="32" fillId="10" borderId="0" xfId="1" applyFont="1" applyFill="1" applyAlignment="1">
      <alignment horizontal="center"/>
    </xf>
    <xf numFmtId="10" fontId="32" fillId="10" borderId="0" xfId="2" applyNumberFormat="1" applyFont="1" applyFill="1" applyAlignment="1">
      <alignment horizontal="center"/>
    </xf>
    <xf numFmtId="0" fontId="32" fillId="10" borderId="0" xfId="0" applyFont="1" applyFill="1"/>
    <xf numFmtId="0" fontId="33" fillId="0" borderId="0" xfId="0" applyFont="1"/>
    <xf numFmtId="43" fontId="34" fillId="10" borderId="0" xfId="1" applyFont="1" applyFill="1" applyAlignment="1">
      <alignment horizontal="center"/>
    </xf>
    <xf numFmtId="0" fontId="32" fillId="10" borderId="0" xfId="0" applyFont="1" applyFill="1" applyAlignment="1">
      <alignment horizontal="left"/>
    </xf>
    <xf numFmtId="0" fontId="29" fillId="11" borderId="1" xfId="0" applyFont="1" applyFill="1" applyBorder="1" applyAlignment="1">
      <alignment horizontal="left" vertical="center"/>
    </xf>
    <xf numFmtId="0" fontId="31" fillId="12" borderId="0" xfId="0" applyFont="1" applyFill="1" applyAlignment="1">
      <alignment horizontal="left"/>
    </xf>
    <xf numFmtId="0" fontId="31" fillId="10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10" borderId="0" xfId="0" applyFont="1" applyFill="1"/>
    <xf numFmtId="43" fontId="39" fillId="10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10" borderId="0" xfId="0" applyNumberFormat="1" applyFont="1" applyFill="1" applyAlignment="1">
      <alignment horizontal="center" vertical="center"/>
    </xf>
    <xf numFmtId="43" fontId="39" fillId="8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2" borderId="0" xfId="0" applyFont="1" applyFill="1"/>
    <xf numFmtId="43" fontId="39" fillId="12" borderId="0" xfId="1" applyFont="1" applyFill="1" applyBorder="1"/>
    <xf numFmtId="10" fontId="36" fillId="12" borderId="0" xfId="0" applyNumberFormat="1" applyFont="1" applyFill="1" applyAlignment="1">
      <alignment horizontal="center" vertical="center"/>
    </xf>
    <xf numFmtId="9" fontId="36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0" fontId="43" fillId="15" borderId="0" xfId="0" applyFont="1" applyFill="1"/>
    <xf numFmtId="43" fontId="43" fillId="15" borderId="0" xfId="1" applyFont="1" applyFill="1" applyBorder="1"/>
    <xf numFmtId="0" fontId="43" fillId="16" borderId="0" xfId="0" applyFont="1" applyFill="1"/>
    <xf numFmtId="43" fontId="43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10" borderId="0" xfId="0" applyNumberFormat="1" applyFont="1" applyFill="1" applyAlignment="1">
      <alignment horizontal="center"/>
    </xf>
    <xf numFmtId="10" fontId="39" fillId="12" borderId="0" xfId="0" applyNumberFormat="1" applyFont="1" applyFill="1" applyAlignment="1">
      <alignment horizontal="center"/>
    </xf>
    <xf numFmtId="0" fontId="43" fillId="15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6" borderId="0" xfId="0" applyFont="1" applyFill="1" applyAlignment="1">
      <alignment horizontal="center"/>
    </xf>
    <xf numFmtId="0" fontId="44" fillId="15" borderId="10" xfId="0" applyFont="1" applyFill="1" applyBorder="1" applyAlignment="1">
      <alignment horizontal="center" vertical="center"/>
    </xf>
    <xf numFmtId="9" fontId="44" fillId="15" borderId="10" xfId="2" applyFont="1" applyFill="1" applyBorder="1" applyAlignment="1">
      <alignment horizontal="center" vertical="center"/>
    </xf>
    <xf numFmtId="43" fontId="44" fillId="15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2" borderId="0" xfId="0" applyFont="1" applyFill="1" applyAlignment="1">
      <alignment vertical="center"/>
    </xf>
    <xf numFmtId="43" fontId="44" fillId="16" borderId="10" xfId="1" applyFont="1" applyFill="1" applyBorder="1" applyAlignment="1">
      <alignment horizontal="center"/>
    </xf>
    <xf numFmtId="43" fontId="5" fillId="16" borderId="10" xfId="1" applyFont="1" applyFill="1" applyBorder="1" applyAlignment="1">
      <alignment horizontal="center"/>
    </xf>
    <xf numFmtId="3" fontId="46" fillId="12" borderId="16" xfId="5" applyNumberFormat="1" applyFont="1" applyFill="1" applyBorder="1"/>
    <xf numFmtId="0" fontId="49" fillId="15" borderId="0" xfId="5" applyFont="1" applyFill="1" applyAlignment="1">
      <alignment horizontal="center" vertical="center"/>
    </xf>
    <xf numFmtId="10" fontId="49" fillId="15" borderId="0" xfId="5" applyNumberFormat="1" applyFont="1" applyFill="1" applyAlignment="1">
      <alignment horizontal="center" vertical="center"/>
    </xf>
    <xf numFmtId="0" fontId="29" fillId="9" borderId="0" xfId="5" applyFont="1" applyFill="1" applyAlignment="1">
      <alignment horizontal="center"/>
    </xf>
    <xf numFmtId="4" fontId="29" fillId="9" borderId="0" xfId="5" applyNumberFormat="1" applyFont="1" applyFill="1" applyAlignment="1">
      <alignment horizontal="right"/>
    </xf>
    <xf numFmtId="10" fontId="50" fillId="9" borderId="0" xfId="5" applyNumberFormat="1" applyFont="1" applyFill="1" applyAlignment="1">
      <alignment horizontal="right"/>
    </xf>
    <xf numFmtId="0" fontId="29" fillId="15" borderId="0" xfId="5" applyFont="1" applyFill="1" applyAlignment="1">
      <alignment horizontal="center"/>
    </xf>
    <xf numFmtId="4" fontId="29" fillId="15" borderId="0" xfId="5" applyNumberFormat="1" applyFont="1" applyFill="1" applyAlignment="1">
      <alignment horizontal="right"/>
    </xf>
    <xf numFmtId="10" fontId="50" fillId="15" borderId="0" xfId="5" applyNumberFormat="1" applyFont="1" applyFill="1" applyAlignment="1">
      <alignment horizontal="right"/>
    </xf>
    <xf numFmtId="4" fontId="49" fillId="15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7" borderId="21" xfId="0" applyNumberFormat="1" applyFont="1" applyFill="1" applyBorder="1"/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7" borderId="21" xfId="5" applyNumberFormat="1" applyFont="1" applyFill="1" applyBorder="1" applyAlignment="1">
      <alignment horizontal="righ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2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10" borderId="0" xfId="2" applyNumberFormat="1" applyFont="1" applyFill="1" applyAlignment="1">
      <alignment horizontal="center"/>
    </xf>
    <xf numFmtId="0" fontId="29" fillId="11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10" borderId="0" xfId="2" applyFont="1" applyFill="1" applyAlignment="1">
      <alignment horizontal="center"/>
    </xf>
    <xf numFmtId="9" fontId="31" fillId="12" borderId="0" xfId="2" applyFont="1" applyFill="1" applyAlignment="1">
      <alignment horizontal="center"/>
    </xf>
    <xf numFmtId="9" fontId="59" fillId="10" borderId="0" xfId="2" applyFont="1" applyFill="1" applyAlignment="1">
      <alignment horizontal="center"/>
    </xf>
    <xf numFmtId="9" fontId="31" fillId="10" borderId="0" xfId="2" applyFont="1" applyFill="1" applyAlignment="1">
      <alignment horizontal="center"/>
    </xf>
    <xf numFmtId="9" fontId="39" fillId="10" borderId="0" xfId="2" applyFont="1" applyFill="1" applyBorder="1" applyAlignment="1">
      <alignment horizontal="center"/>
    </xf>
    <xf numFmtId="9" fontId="39" fillId="12" borderId="0" xfId="2" applyFont="1" applyFill="1" applyBorder="1" applyAlignment="1">
      <alignment horizontal="center"/>
    </xf>
    <xf numFmtId="0" fontId="2" fillId="12" borderId="0" xfId="0" applyFont="1" applyFill="1"/>
    <xf numFmtId="0" fontId="33" fillId="12" borderId="0" xfId="0" applyFont="1" applyFill="1"/>
    <xf numFmtId="0" fontId="3" fillId="12" borderId="0" xfId="0" applyFont="1" applyFill="1" applyAlignment="1">
      <alignment vertical="center"/>
    </xf>
    <xf numFmtId="0" fontId="61" fillId="10" borderId="0" xfId="0" applyFont="1" applyFill="1" applyAlignment="1">
      <alignment horizontal="left"/>
    </xf>
    <xf numFmtId="164" fontId="31" fillId="12" borderId="0" xfId="1" applyNumberFormat="1" applyFont="1" applyFill="1" applyAlignment="1">
      <alignment horizontal="center"/>
    </xf>
    <xf numFmtId="164" fontId="31" fillId="10" borderId="0" xfId="1" applyNumberFormat="1" applyFont="1" applyFill="1" applyAlignment="1">
      <alignment horizontal="center"/>
    </xf>
    <xf numFmtId="0" fontId="28" fillId="9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10" borderId="0" xfId="0" applyFont="1" applyFill="1"/>
    <xf numFmtId="0" fontId="63" fillId="11" borderId="1" xfId="0" applyFont="1" applyFill="1" applyBorder="1" applyAlignment="1">
      <alignment horizontal="left" vertical="center"/>
    </xf>
    <xf numFmtId="43" fontId="29" fillId="11" borderId="1" xfId="1" applyFont="1" applyFill="1" applyBorder="1" applyAlignment="1">
      <alignment horizontal="center" vertical="center"/>
    </xf>
    <xf numFmtId="0" fontId="64" fillId="9" borderId="0" xfId="0" applyFont="1" applyFill="1" applyAlignment="1">
      <alignment vertical="top"/>
    </xf>
    <xf numFmtId="43" fontId="2" fillId="12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7" borderId="0" xfId="0" applyFont="1" applyFill="1"/>
    <xf numFmtId="2" fontId="2" fillId="0" borderId="0" xfId="0" applyNumberFormat="1" applyFont="1"/>
    <xf numFmtId="164" fontId="32" fillId="10" borderId="0" xfId="1" applyNumberFormat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43" fontId="65" fillId="0" borderId="0" xfId="1" applyFont="1" applyFill="1" applyAlignment="1">
      <alignment horizontal="center"/>
    </xf>
    <xf numFmtId="164" fontId="65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5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6" fillId="10" borderId="0" xfId="1" applyFont="1" applyFill="1" applyAlignment="1">
      <alignment horizontal="center"/>
    </xf>
    <xf numFmtId="0" fontId="61" fillId="10" borderId="0" xfId="1" applyNumberFormat="1" applyFont="1" applyFill="1" applyAlignment="1">
      <alignment horizontal="center"/>
    </xf>
    <xf numFmtId="0" fontId="67" fillId="11" borderId="1" xfId="0" applyFont="1" applyFill="1" applyBorder="1" applyAlignment="1">
      <alignment horizontal="center" vertical="center"/>
    </xf>
    <xf numFmtId="10" fontId="31" fillId="10" borderId="0" xfId="2" applyNumberFormat="1" applyFont="1" applyFill="1" applyAlignment="1">
      <alignment horizontal="center"/>
    </xf>
    <xf numFmtId="43" fontId="29" fillId="11" borderId="1" xfId="1" applyFont="1" applyFill="1" applyBorder="1" applyAlignment="1">
      <alignment horizontal="left" vertical="center"/>
    </xf>
    <xf numFmtId="0" fontId="1" fillId="0" borderId="17" xfId="1" applyNumberFormat="1" applyFont="1" applyBorder="1"/>
    <xf numFmtId="0" fontId="1" fillId="6" borderId="18" xfId="1" applyNumberFormat="1" applyFont="1" applyFill="1" applyBorder="1"/>
    <xf numFmtId="0" fontId="39" fillId="10" borderId="0" xfId="1" applyNumberFormat="1" applyFont="1" applyFill="1" applyBorder="1"/>
    <xf numFmtId="0" fontId="39" fillId="12" borderId="0" xfId="1" applyNumberFormat="1" applyFont="1" applyFill="1" applyBorder="1"/>
    <xf numFmtId="0" fontId="43" fillId="15" borderId="0" xfId="1" applyNumberFormat="1" applyFont="1" applyFill="1" applyBorder="1"/>
    <xf numFmtId="0" fontId="39" fillId="0" borderId="0" xfId="1" applyNumberFormat="1" applyFont="1" applyBorder="1"/>
    <xf numFmtId="0" fontId="39" fillId="6" borderId="0" xfId="1" applyNumberFormat="1" applyFont="1" applyFill="1" applyBorder="1"/>
    <xf numFmtId="0" fontId="43" fillId="16" borderId="0" xfId="1" applyNumberFormat="1" applyFont="1" applyFill="1" applyBorder="1"/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8" fillId="3" borderId="6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7" xfId="0" applyFont="1" applyFill="1" applyBorder="1" applyAlignment="1">
      <alignment horizontal="center" vertical="center"/>
    </xf>
    <xf numFmtId="0" fontId="68" fillId="3" borderId="8" xfId="0" applyFont="1" applyFill="1" applyBorder="1" applyAlignment="1">
      <alignment horizontal="center" vertical="center"/>
    </xf>
    <xf numFmtId="0" fontId="68" fillId="3" borderId="2" xfId="0" applyFont="1" applyFill="1" applyBorder="1" applyAlignment="1">
      <alignment horizontal="center" vertical="center"/>
    </xf>
    <xf numFmtId="0" fontId="68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/>
    </xf>
    <xf numFmtId="0" fontId="44" fillId="16" borderId="14" xfId="0" applyFont="1" applyFill="1" applyBorder="1" applyAlignment="1">
      <alignment horizontal="center"/>
    </xf>
    <xf numFmtId="0" fontId="40" fillId="9" borderId="13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14" xfId="0" applyFont="1" applyFill="1" applyBorder="1" applyAlignment="1">
      <alignment horizontal="center" vertical="center"/>
    </xf>
    <xf numFmtId="0" fontId="40" fillId="9" borderId="6" xfId="0" applyFont="1" applyFill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64" fillId="9" borderId="0" xfId="0" applyFont="1" applyFill="1" applyAlignment="1">
      <alignment horizontal="left" vertical="top"/>
    </xf>
    <xf numFmtId="0" fontId="60" fillId="13" borderId="1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left" vertical="top"/>
    </xf>
    <xf numFmtId="0" fontId="35" fillId="9" borderId="0" xfId="0" applyFont="1" applyFill="1" applyAlignment="1">
      <alignment horizontal="center"/>
    </xf>
    <xf numFmtId="0" fontId="60" fillId="14" borderId="1" xfId="0" applyFont="1" applyFill="1" applyBorder="1" applyAlignment="1">
      <alignment horizontal="center" vertical="center"/>
    </xf>
    <xf numFmtId="0" fontId="45" fillId="9" borderId="0" xfId="4" applyFont="1" applyFill="1" applyAlignment="1">
      <alignment horizontal="left"/>
    </xf>
    <xf numFmtId="0" fontId="41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819978</xdr:colOff>
      <xdr:row>0</xdr:row>
      <xdr:rowOff>122581</xdr:rowOff>
    </xdr:from>
    <xdr:to>
      <xdr:col>4</xdr:col>
      <xdr:colOff>2317473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601403" y="122581"/>
          <a:ext cx="1497495" cy="518493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2175428</xdr:colOff>
      <xdr:row>0</xdr:row>
      <xdr:rowOff>122582</xdr:rowOff>
    </xdr:from>
    <xdr:to>
      <xdr:col>5</xdr:col>
      <xdr:colOff>45554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1128" y="122582"/>
          <a:ext cx="1499151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2324100</xdr:colOff>
          <xdr:row>1</xdr:row>
          <xdr:rowOff>38100</xdr:rowOff>
        </xdr:from>
        <xdr:to>
          <xdr:col>4</xdr:col>
          <xdr:colOff>3676650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../../../Tarikan%20JD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image" Target="../media/image5.emf"/><Relationship Id="rId1" Type="http://schemas.openxmlformats.org/officeDocument/2006/relationships/hyperlink" Target="../../../Untuk%20Di%20Share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hyperlink" Target="../WO%20BUDGETING" TargetMode="Externa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/../../Tarikan%20JDE/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/../../Tarikan%20JDE/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/../../Tarikan%20JDE/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/../../Tarikan%20JDE/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/../../Tarikan%20JDE/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zoomScaleNormal="100" workbookViewId="0">
      <selection activeCell="B6" sqref="B6:F6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</cols>
  <sheetData>
    <row r="1" spans="1:6" ht="12" customHeight="1">
      <c r="C1" s="197" t="s">
        <v>315</v>
      </c>
      <c r="D1" s="197"/>
      <c r="E1" s="197"/>
      <c r="F1" s="2"/>
    </row>
    <row r="2" spans="1:6" ht="33" customHeight="1">
      <c r="C2" s="206" t="s">
        <v>325</v>
      </c>
      <c r="D2" s="207"/>
      <c r="E2" s="208"/>
      <c r="F2" s="12" t="s">
        <v>209</v>
      </c>
    </row>
    <row r="3" spans="1:6" ht="12" customHeight="1">
      <c r="C3" s="209"/>
      <c r="D3" s="210"/>
      <c r="E3" s="211"/>
      <c r="F3" s="12"/>
    </row>
    <row r="4" spans="1:6" ht="12" customHeight="1">
      <c r="C4" s="209"/>
      <c r="D4" s="210"/>
      <c r="E4" s="211"/>
      <c r="F4" s="12"/>
    </row>
    <row r="5" spans="1:6" ht="12" customHeight="1">
      <c r="B5" s="161"/>
      <c r="C5" s="209"/>
      <c r="D5" s="210"/>
      <c r="E5" s="211"/>
      <c r="F5" s="160"/>
    </row>
    <row r="6" spans="1:6" ht="5.25" customHeight="1">
      <c r="B6" s="198"/>
      <c r="C6" s="198"/>
      <c r="D6" s="198"/>
      <c r="E6" s="198"/>
      <c r="F6" s="198"/>
    </row>
    <row r="7" spans="1:6" ht="18" customHeight="1">
      <c r="B7" s="158"/>
      <c r="C7" s="200" t="s">
        <v>530</v>
      </c>
      <c r="D7" s="201"/>
      <c r="E7" s="202"/>
      <c r="F7" s="159"/>
    </row>
    <row r="8" spans="1:6" ht="12" customHeight="1">
      <c r="C8" s="200"/>
      <c r="D8" s="201"/>
      <c r="E8" s="202"/>
      <c r="F8" s="12"/>
    </row>
    <row r="9" spans="1:6" ht="6.75" customHeight="1">
      <c r="A9" s="198"/>
      <c r="B9" s="198"/>
      <c r="C9" s="203"/>
      <c r="D9" s="204"/>
      <c r="E9" s="205"/>
      <c r="F9" s="12"/>
    </row>
    <row r="10" spans="1:6" ht="18" customHeight="1">
      <c r="A10" s="198"/>
      <c r="B10" s="198"/>
      <c r="C10" s="199" t="s">
        <v>316</v>
      </c>
      <c r="D10" s="199"/>
      <c r="E10" s="199"/>
      <c r="F10" s="12"/>
    </row>
    <row r="11" spans="1:6" ht="15.75">
      <c r="C11" s="7" t="s">
        <v>317</v>
      </c>
      <c r="D11" s="8"/>
      <c r="E11" s="5" t="s">
        <v>318</v>
      </c>
      <c r="F11" s="12"/>
    </row>
    <row r="12" spans="1:6">
      <c r="C12" s="196" t="s">
        <v>534</v>
      </c>
      <c r="D12" s="196"/>
      <c r="E12" s="6" t="s">
        <v>359</v>
      </c>
      <c r="F12" s="12" t="s">
        <v>209</v>
      </c>
    </row>
    <row r="13" spans="1:6">
      <c r="C13" s="11" t="s">
        <v>533</v>
      </c>
      <c r="D13" s="11"/>
      <c r="E13" s="6" t="s">
        <v>326</v>
      </c>
      <c r="F13" s="12" t="s">
        <v>209</v>
      </c>
    </row>
    <row r="14" spans="1:6">
      <c r="C14" s="196" t="s">
        <v>531</v>
      </c>
      <c r="D14" s="196"/>
      <c r="E14" s="15" t="s">
        <v>346</v>
      </c>
      <c r="F14" s="12" t="s">
        <v>209</v>
      </c>
    </row>
    <row r="15" spans="1:6">
      <c r="C15" s="11" t="s">
        <v>532</v>
      </c>
      <c r="D15" s="11"/>
      <c r="E15" s="15" t="s">
        <v>347</v>
      </c>
      <c r="F15" s="12" t="s">
        <v>209</v>
      </c>
    </row>
    <row r="16" spans="1:6">
      <c r="C16" s="11" t="s">
        <v>535</v>
      </c>
      <c r="D16" s="11"/>
      <c r="E16" s="17" t="s">
        <v>358</v>
      </c>
      <c r="F16" s="12" t="s">
        <v>209</v>
      </c>
    </row>
    <row r="17" spans="3:6">
      <c r="C17" s="11" t="s">
        <v>536</v>
      </c>
      <c r="D17" s="11"/>
      <c r="E17" s="17" t="s">
        <v>567</v>
      </c>
      <c r="F17" s="12" t="s">
        <v>209</v>
      </c>
    </row>
    <row r="18" spans="3:6">
      <c r="C18" s="11"/>
      <c r="D18" s="11"/>
      <c r="E18" s="162"/>
      <c r="F18" s="12" t="s">
        <v>209</v>
      </c>
    </row>
    <row r="19" spans="3:6">
      <c r="C19" s="11"/>
      <c r="D19" s="11"/>
      <c r="E19" s="162"/>
      <c r="F19" s="12"/>
    </row>
    <row r="20" spans="3:6" ht="1.5" customHeight="1">
      <c r="C20" s="195"/>
      <c r="D20" s="195"/>
      <c r="E20" s="195"/>
      <c r="F20" s="12"/>
    </row>
    <row r="21" spans="3:6">
      <c r="F21" s="12"/>
    </row>
    <row r="22" spans="3:6">
      <c r="F22" s="12"/>
    </row>
    <row r="23" spans="3:6">
      <c r="F23" s="12"/>
    </row>
    <row r="24" spans="3:6">
      <c r="F24" s="12"/>
    </row>
    <row r="25" spans="3:6">
      <c r="F25" s="12"/>
    </row>
    <row r="26" spans="3:6">
      <c r="F26" s="12"/>
    </row>
    <row r="27" spans="3:6">
      <c r="F27" s="12"/>
    </row>
    <row r="28" spans="3:6">
      <c r="F28" s="12"/>
    </row>
    <row r="29" spans="3:6">
      <c r="F29" s="12"/>
    </row>
    <row r="30" spans="3:6">
      <c r="F30" s="12"/>
    </row>
    <row r="31" spans="3:6">
      <c r="F31" s="12"/>
    </row>
    <row r="32" spans="3:6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E17" r:id="rId4" xr:uid="{8B4B8F8C-C0F2-4376-9ECD-F490D178679B}"/>
  </hyperlinks>
  <pageMargins left="0.7" right="0.7" top="0.75" bottom="0.75" header="0.3" footer="0.3"/>
  <drawing r:id="rId5"/>
  <legacyDrawing r:id="rId6"/>
  <controls>
    <mc:AlternateContent xmlns:mc="http://schemas.openxmlformats.org/markup-compatibility/2006">
      <mc:Choice Requires="x14">
        <control shapeId="9228" r:id="rId7" name="btn_ActualCost">
          <controlPr defaultSize="0" autoLine="0" r:id="rId8">
            <anchor moveWithCells="1">
              <from>
                <xdr:col>4</xdr:col>
                <xdr:colOff>2324100</xdr:colOff>
                <xdr:row>1</xdr:row>
                <xdr:rowOff>38100</xdr:rowOff>
              </from>
              <to>
                <xdr:col>4</xdr:col>
                <xdr:colOff>3676650</xdr:colOff>
                <xdr:row>1</xdr:row>
                <xdr:rowOff>371475</xdr:rowOff>
              </to>
            </anchor>
          </controlPr>
        </control>
      </mc:Choice>
      <mc:Fallback>
        <control shapeId="9228" r:id="rId7" name="btn_ActualCost"/>
      </mc:Fallback>
    </mc:AlternateContent>
    <mc:AlternateContent xmlns:mc="http://schemas.openxmlformats.org/markup-compatibility/2006">
      <mc:Choice Requires="x14">
        <control shapeId="9226" r:id="rId9" name="btn_UpdateRemark">
          <controlPr defaultSize="0" autoLine="0" r:id="rId10">
            <anchor moveWithCells="1">
              <from>
                <xdr:col>4</xdr:col>
                <xdr:colOff>962025</xdr:colOff>
                <xdr:row>1</xdr:row>
                <xdr:rowOff>47625</xdr:rowOff>
              </from>
              <to>
                <xdr:col>4</xdr:col>
                <xdr:colOff>2162175</xdr:colOff>
                <xdr:row>1</xdr:row>
                <xdr:rowOff>381000</xdr:rowOff>
              </to>
            </anchor>
          </controlPr>
        </control>
      </mc:Choice>
      <mc:Fallback>
        <control shapeId="9226" r:id="rId9" name="btn_UpdateRemark"/>
      </mc:Fallback>
    </mc:AlternateContent>
    <mc:AlternateContent xmlns:mc="http://schemas.openxmlformats.org/markup-compatibility/2006">
      <mc:Choice Requires="x14">
        <control shapeId="9225" r:id="rId11" name="btn_RPA_AccLedger">
          <controlPr defaultSize="0" autoLine="0" autoPict="0" r:id="rId12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1" name="btn_RPA_AccLedger"/>
      </mc:Fallback>
    </mc:AlternateContent>
    <mc:AlternateContent xmlns:mc="http://schemas.openxmlformats.org/markup-compatibility/2006">
      <mc:Choice Requires="x14">
        <control shapeId="9218" r:id="rId13" name="btn_Execute">
          <controlPr defaultSize="0" autoLine="0" r:id="rId14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3" name="btn_Execute"/>
      </mc:Fallback>
    </mc:AlternateContent>
    <mc:AlternateContent xmlns:mc="http://schemas.openxmlformats.org/markup-compatibility/2006">
      <mc:Choice Requires="x14">
        <control shapeId="9224" r:id="rId15" name="btn_UpdateDataAccount">
          <controlPr defaultSize="0" autoLine="0" r:id="rId16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5" name="btn_UpdateDataAccount"/>
      </mc:Fallback>
    </mc:AlternateContent>
    <mc:AlternateContent xmlns:mc="http://schemas.openxmlformats.org/markup-compatibility/2006">
      <mc:Choice Requires="x14">
        <control shapeId="9230" r:id="rId17" name="btn_ShareDataCosting">
          <controlPr defaultSize="0" autoLine="0" autoPict="0" r:id="rId18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7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80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80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14" t="s">
        <v>323</v>
      </c>
      <c r="B1" s="215"/>
      <c r="C1" s="216"/>
      <c r="D1" s="83"/>
      <c r="E1" s="83"/>
      <c r="F1" s="83"/>
      <c r="G1" s="217" t="s">
        <v>345</v>
      </c>
      <c r="H1" s="218"/>
      <c r="I1" s="218"/>
      <c r="J1" s="218"/>
      <c r="K1" s="218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67897.759999999995</v>
      </c>
      <c r="D3" s="82"/>
      <c r="E3" s="82"/>
      <c r="F3" s="82"/>
      <c r="G3" s="63" t="s">
        <v>9</v>
      </c>
      <c r="H3" s="98">
        <f t="shared" ref="H3:H10" si="0">I3/$I$11</f>
        <v>8.1590977598792011E-2</v>
      </c>
      <c r="I3" s="97">
        <f>SUMIF('All Costing'!$A$6:$A$1048576,RESUME!G3,'All Costing'!$G$6:$H$1048576)</f>
        <v>67897.759999999995</v>
      </c>
      <c r="J3" s="97">
        <f>SUMIF('All Costing'!$A$6:$A$1048576,RESUME!G3,'All Costing'!$H$6:$H$1048576)</f>
        <v>49040.840000000033</v>
      </c>
      <c r="K3" s="97">
        <f t="shared" ref="K3:K10" si="1">I3-J3</f>
        <v>18856.919999999962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230970.03999999998</v>
      </c>
      <c r="D4" s="82"/>
      <c r="E4" s="82"/>
      <c r="F4" s="82"/>
      <c r="G4" s="63" t="s">
        <v>35</v>
      </c>
      <c r="H4" s="98">
        <f t="shared" si="0"/>
        <v>0.27755070800026532</v>
      </c>
      <c r="I4" s="97">
        <f>SUMIF('All Costing'!$A$6:$A$1048576,RESUME!G4,'All Costing'!$G$6:$H$1048576)</f>
        <v>230970.03999999998</v>
      </c>
      <c r="J4" s="97">
        <f>SUMIF('All Costing'!$A$6:$A$1048576,RESUME!G4,'All Costing'!$H$6:$H$1048576)</f>
        <v>12242.990000000002</v>
      </c>
      <c r="K4" s="97">
        <f t="shared" si="1"/>
        <v>218727.05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8500</v>
      </c>
      <c r="D5" s="82"/>
      <c r="E5" s="82"/>
      <c r="F5" s="82"/>
      <c r="G5" s="63" t="s">
        <v>43</v>
      </c>
      <c r="H5" s="98">
        <f t="shared" si="0"/>
        <v>1.0214229594462793E-2</v>
      </c>
      <c r="I5" s="97">
        <f>SUMIF('All Costing'!$A$6:$A$1048576,RESUME!G5,'All Costing'!$G$6:$H$1048576)</f>
        <v>8500</v>
      </c>
      <c r="J5" s="97">
        <f>SUMIF('All Costing'!$A$6:$A$1048576,RESUME!G5,'All Costing'!$H$6:$H$1048576)</f>
        <v>386.13</v>
      </c>
      <c r="K5" s="97">
        <f t="shared" si="1"/>
        <v>8113.87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1000</v>
      </c>
      <c r="D6" s="82"/>
      <c r="E6" s="82"/>
      <c r="F6" s="82"/>
      <c r="G6" s="63" t="s">
        <v>311</v>
      </c>
      <c r="H6" s="98">
        <f t="shared" si="0"/>
        <v>1.2016740699367992E-3</v>
      </c>
      <c r="I6" s="97">
        <f>SUMIF('All Costing'!$A$6:$A$1048576,RESUME!G6,'All Costing'!$G$6:$H$1048576)</f>
        <v>1000</v>
      </c>
      <c r="J6" s="97">
        <f>SUMIF('All Costing'!$A$6:$A$1048576,RESUME!G6,'All Costing'!$H$6:$H$1048576)</f>
        <v>2723.49</v>
      </c>
      <c r="K6" s="97">
        <f t="shared" si="1"/>
        <v>-1723.4899999999998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87145.539999999964</v>
      </c>
      <c r="D7" s="82"/>
      <c r="E7" s="82"/>
      <c r="F7" s="82"/>
      <c r="G7" s="63" t="s">
        <v>65</v>
      </c>
      <c r="H7" s="98">
        <f t="shared" si="0"/>
        <v>0.1047205357286401</v>
      </c>
      <c r="I7" s="97">
        <f>SUMIF('All Costing'!$A$6:$A$1048576,RESUME!G7,'All Costing'!$G$6:$H$1048576)</f>
        <v>87145.539999999964</v>
      </c>
      <c r="J7" s="97">
        <f>SUMIF('All Costing'!$A$6:$A$1048576,RESUME!G7,'All Costing'!$H$6:$H$1048576)</f>
        <v>32771.61</v>
      </c>
      <c r="K7" s="97">
        <f t="shared" si="1"/>
        <v>54373.929999999964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100496.79432973135</v>
      </c>
      <c r="D8" s="82"/>
      <c r="E8" s="82"/>
      <c r="F8" s="82"/>
      <c r="G8" s="63" t="s">
        <v>139</v>
      </c>
      <c r="H8" s="98">
        <f t="shared" si="0"/>
        <v>0.12076439185780972</v>
      </c>
      <c r="I8" s="97">
        <f>SUMIF('All Costing'!$A$6:$A$1048576,RESUME!G8,'All Costing'!$G$6:$H$1048576)</f>
        <v>100496.79432973135</v>
      </c>
      <c r="J8" s="97">
        <f>SUMIF('All Costing'!$A$6:$A$1048576,RESUME!G8,'All Costing'!$H$6:$H$1048576)</f>
        <v>15400.28</v>
      </c>
      <c r="K8" s="97">
        <f t="shared" si="1"/>
        <v>85096.514329731348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118626.19999999998</v>
      </c>
      <c r="D9" s="82"/>
      <c r="E9" s="82"/>
      <c r="F9" s="82"/>
      <c r="G9" s="63" t="s">
        <v>322</v>
      </c>
      <c r="H9" s="98">
        <f t="shared" si="0"/>
        <v>0.29780020186995526</v>
      </c>
      <c r="I9" s="97">
        <f>SUMIF('All Costing'!$A$6:$A$1048576,RESUME!G9,'All Costing'!$G$6:$H$1048576)</f>
        <v>247821.11000000002</v>
      </c>
      <c r="J9" s="97">
        <f>SUMIF('All Costing'!$A$6:$A$1048576,RESUME!G9,'All Costing'!$H$6:$H$1048576)</f>
        <v>38261.370000000003</v>
      </c>
      <c r="K9" s="97">
        <f t="shared" si="1"/>
        <v>209559.74000000002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129194.91000000002</v>
      </c>
      <c r="D10" s="82"/>
      <c r="E10" s="82"/>
      <c r="F10" s="82"/>
      <c r="G10" s="63" t="s">
        <v>157</v>
      </c>
      <c r="H10" s="98">
        <f t="shared" si="0"/>
        <v>0.10615728128013797</v>
      </c>
      <c r="I10" s="97">
        <f>SUMIF('All Costing'!$A$6:$A$1048576,RESUME!G10,'All Costing'!$G$6:$H$1048576)</f>
        <v>88341.16</v>
      </c>
      <c r="J10" s="97">
        <f>SUMIF('All Costing'!$A$6:$A$1048576,RESUME!G10,'All Costing'!$H$6:$H$1048576)</f>
        <v>6677.2400000000007</v>
      </c>
      <c r="K10" s="97">
        <f t="shared" si="1"/>
        <v>81663.92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247821.11000000002</v>
      </c>
      <c r="D11" s="82"/>
      <c r="E11" s="82"/>
      <c r="F11" s="82"/>
      <c r="G11" s="212" t="s">
        <v>34</v>
      </c>
      <c r="H11" s="213"/>
      <c r="I11" s="100">
        <f>SUM(I3:I10)</f>
        <v>832172.40432973136</v>
      </c>
      <c r="J11" s="100">
        <f>SUM(J3:J10)</f>
        <v>157503.95000000001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88341.16</v>
      </c>
      <c r="D12" s="82"/>
      <c r="E12" s="82"/>
      <c r="F12" s="82"/>
      <c r="H12" s="16"/>
      <c r="I12"/>
      <c r="J12"/>
      <c r="K12"/>
    </row>
    <row r="13" spans="1:12">
      <c r="A13" s="212" t="s">
        <v>34</v>
      </c>
      <c r="B13" s="213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A162"/>
  <sheetViews>
    <sheetView zoomScale="70" zoomScaleNormal="70" workbookViewId="0">
      <pane xSplit="2" ySplit="5" topLeftCell="S6" activePane="bottomRight" state="frozen"/>
      <selection pane="topRight" activeCell="C1" sqref="C1"/>
      <selection pane="bottomLeft" activeCell="A6" sqref="A6"/>
      <selection pane="bottomRight" activeCell="A5" sqref="A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customWidth="1"/>
    <col min="11" max="11" width="24.28515625" style="144" customWidth="1"/>
    <col min="12" max="12" width="21.28515625" style="144" customWidth="1"/>
    <col min="13" max="13" width="26.28515625" style="144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6" t="str">
        <f ca="1">"MONTHLY BUDGET TH "&amp;YEAR(TODAY())</f>
        <v>MONTHLY BUDGET TH 2024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57"/>
      <c r="O1" s="157"/>
      <c r="P1" s="166"/>
      <c r="Q1" s="166"/>
      <c r="R1" s="151"/>
    </row>
    <row r="2" spans="1:27" ht="15.75" customHeight="1">
      <c r="A2" s="166"/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57"/>
      <c r="O2" s="157"/>
      <c r="P2" s="166"/>
      <c r="Q2" s="166"/>
      <c r="R2" s="151"/>
    </row>
    <row r="3" spans="1:27" s="49" customFormat="1" ht="17.25" customHeight="1">
      <c r="A3" s="154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2"/>
      <c r="M3" s="142"/>
      <c r="N3" s="48"/>
      <c r="O3" s="45"/>
      <c r="P3" s="45"/>
      <c r="Q3" s="51"/>
      <c r="R3" s="152"/>
    </row>
    <row r="4" spans="1:27" s="49" customFormat="1" ht="16.5" customHeight="1">
      <c r="A4" s="51"/>
      <c r="B4" s="51"/>
      <c r="C4" s="51"/>
      <c r="D4" s="45"/>
      <c r="E4" s="45"/>
      <c r="F4" s="45"/>
      <c r="G4" s="181"/>
      <c r="H4" s="182"/>
      <c r="I4" s="50"/>
      <c r="J4" s="47"/>
      <c r="K4" s="147">
        <v>0.8</v>
      </c>
      <c r="L4" s="147">
        <v>1</v>
      </c>
      <c r="M4" s="145"/>
      <c r="N4" s="48"/>
      <c r="O4" s="45"/>
      <c r="P4" s="45"/>
      <c r="Q4" s="45"/>
      <c r="R4" s="152"/>
    </row>
    <row r="5" spans="1:27" s="35" customFormat="1" ht="28.5" customHeight="1">
      <c r="A5" s="52" t="s">
        <v>172</v>
      </c>
      <c r="B5" s="164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85" t="s">
        <v>524</v>
      </c>
      <c r="H5" s="165" t="s">
        <v>6</v>
      </c>
      <c r="I5" s="165" t="s">
        <v>190</v>
      </c>
      <c r="J5" s="33" t="s">
        <v>7</v>
      </c>
      <c r="K5" s="33" t="s">
        <v>526</v>
      </c>
      <c r="L5" s="143" t="s">
        <v>527</v>
      </c>
      <c r="M5" s="143" t="s">
        <v>8</v>
      </c>
      <c r="N5" s="34" t="s">
        <v>173</v>
      </c>
      <c r="O5" s="141" t="s">
        <v>314</v>
      </c>
      <c r="P5" s="33" t="s">
        <v>328</v>
      </c>
      <c r="Q5" s="33" t="s">
        <v>528</v>
      </c>
      <c r="R5" s="153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5">
        <v>10000</v>
      </c>
      <c r="H6" s="155">
        <v>15169.11</v>
      </c>
      <c r="I6" s="155">
        <f t="shared" ref="I6:I69" si="0">G6-H6</f>
        <v>-5169.1100000000006</v>
      </c>
      <c r="J6" s="42">
        <f>IFERROR(G6/VLOOKUP(A6,RESUME!$G$3:$I$10,3,FALSE),0)</f>
        <v>0.14728026373771388</v>
      </c>
      <c r="K6" s="155">
        <f>G6*$K$4</f>
        <v>8000</v>
      </c>
      <c r="L6" s="155">
        <f>G6*$L$4</f>
        <v>10000</v>
      </c>
      <c r="M6" s="146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51" t="s">
        <v>544</v>
      </c>
      <c r="R6" s="167"/>
      <c r="AA6" s="170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6">
        <v>10000</v>
      </c>
      <c r="H7" s="156">
        <v>7555.56</v>
      </c>
      <c r="I7" s="156">
        <f t="shared" si="0"/>
        <v>2444.4399999999996</v>
      </c>
      <c r="J7" s="184">
        <f>IFERROR(G7/VLOOKUP(A7,RESUME!$G$3:$I$10,3,FALSE),0)</f>
        <v>0.14728026373771388</v>
      </c>
      <c r="K7" s="156">
        <f t="shared" ref="K7:K70" si="3">G7*$K$4</f>
        <v>8000</v>
      </c>
      <c r="L7" s="156">
        <f t="shared" ref="L7:L70" si="4">G7*$L$4</f>
        <v>10000</v>
      </c>
      <c r="M7" s="148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3" t="s">
        <v>545</v>
      </c>
      <c r="R7" s="167"/>
      <c r="AA7" s="170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5">
        <v>1987.05</v>
      </c>
      <c r="H8" s="155">
        <v>2284</v>
      </c>
      <c r="I8" s="155">
        <f t="shared" si="0"/>
        <v>-296.95000000000005</v>
      </c>
      <c r="J8" s="42">
        <f>IFERROR(G8/VLOOKUP(A8,RESUME!$G$3:$I$10,3,FALSE),0)</f>
        <v>2.9265324806002437E-2</v>
      </c>
      <c r="K8" s="155">
        <f t="shared" si="3"/>
        <v>1589.64</v>
      </c>
      <c r="L8" s="155">
        <f t="shared" si="4"/>
        <v>1987.05</v>
      </c>
      <c r="M8" s="146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51" t="s">
        <v>546</v>
      </c>
      <c r="R8" s="167"/>
      <c r="AA8" s="170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6">
        <v>326</v>
      </c>
      <c r="H9" s="156">
        <v>394.88</v>
      </c>
      <c r="I9" s="156">
        <f t="shared" si="0"/>
        <v>-68.88</v>
      </c>
      <c r="J9" s="184">
        <f>IFERROR(G9/VLOOKUP(A9,RESUME!$G$3:$I$10,3,FALSE),0)</f>
        <v>4.8013365978494729E-3</v>
      </c>
      <c r="K9" s="156">
        <f t="shared" si="3"/>
        <v>260.8</v>
      </c>
      <c r="L9" s="156">
        <f t="shared" si="4"/>
        <v>326</v>
      </c>
      <c r="M9" s="148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3" t="s">
        <v>529</v>
      </c>
      <c r="R9" s="167"/>
      <c r="AA9" s="170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5">
        <v>15015.099999999999</v>
      </c>
      <c r="H10" s="155">
        <v>5880.0999999999985</v>
      </c>
      <c r="I10" s="155">
        <f t="shared" si="0"/>
        <v>9135</v>
      </c>
      <c r="J10" s="42">
        <f>IFERROR(G10/VLOOKUP(A10,RESUME!$G$3:$I$10,3,FALSE),0)</f>
        <v>0.22114278880481478</v>
      </c>
      <c r="K10" s="155">
        <f t="shared" si="3"/>
        <v>12012.08</v>
      </c>
      <c r="L10" s="155">
        <f t="shared" si="4"/>
        <v>15015.099999999999</v>
      </c>
      <c r="M10" s="146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51" t="s">
        <v>529</v>
      </c>
      <c r="R10" s="167"/>
      <c r="AA10" s="170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6">
        <v>26.7199999999998</v>
      </c>
      <c r="H11" s="156">
        <v>706.3</v>
      </c>
      <c r="I11" s="156">
        <f t="shared" si="0"/>
        <v>-679.58000000000015</v>
      </c>
      <c r="J11" s="184">
        <f>IFERROR(G11/VLOOKUP(A11,RESUME!$G$3:$I$10,3,FALSE),0)</f>
        <v>3.9353286470716859E-4</v>
      </c>
      <c r="K11" s="156">
        <f t="shared" si="3"/>
        <v>21.375999999999841</v>
      </c>
      <c r="L11" s="156">
        <f t="shared" si="4"/>
        <v>26.7199999999998</v>
      </c>
      <c r="M11" s="148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3" t="s">
        <v>547</v>
      </c>
      <c r="R11" s="167"/>
      <c r="AA11" s="170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5">
        <v>15124.89</v>
      </c>
      <c r="H12" s="155">
        <v>5170.79000000003</v>
      </c>
      <c r="I12" s="155">
        <f t="shared" si="0"/>
        <v>9954.0999999999694</v>
      </c>
      <c r="J12" s="42">
        <f>IFERROR(G12/VLOOKUP(A12,RESUME!$G$3:$I$10,3,FALSE),0)</f>
        <v>0.22275977882039114</v>
      </c>
      <c r="K12" s="155">
        <f t="shared" si="3"/>
        <v>12099.912</v>
      </c>
      <c r="L12" s="155">
        <f t="shared" si="4"/>
        <v>15124.89</v>
      </c>
      <c r="M12" s="146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51" t="s">
        <v>529</v>
      </c>
      <c r="R12" s="167"/>
      <c r="AA12" s="170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6">
        <v>639</v>
      </c>
      <c r="H13" s="156">
        <v>513.23</v>
      </c>
      <c r="I13" s="156">
        <f t="shared" si="0"/>
        <v>125.76999999999998</v>
      </c>
      <c r="J13" s="184">
        <f>IFERROR(G13/VLOOKUP(A13,RESUME!$G$3:$I$10,3,FALSE),0)</f>
        <v>9.4112088528399175E-3</v>
      </c>
      <c r="K13" s="156">
        <f t="shared" si="3"/>
        <v>511.20000000000005</v>
      </c>
      <c r="L13" s="156">
        <f t="shared" si="4"/>
        <v>639</v>
      </c>
      <c r="M13" s="148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3" t="s">
        <v>529</v>
      </c>
      <c r="R13" s="167"/>
      <c r="AA13" s="170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5">
        <v>1265</v>
      </c>
      <c r="H14" s="155">
        <v>839.63</v>
      </c>
      <c r="I14" s="155">
        <f t="shared" si="0"/>
        <v>425.37</v>
      </c>
      <c r="J14" s="42">
        <f>IFERROR(G14/VLOOKUP(A14,RESUME!$G$3:$I$10,3,FALSE),0)</f>
        <v>1.8630953362820807E-2</v>
      </c>
      <c r="K14" s="155">
        <f t="shared" si="3"/>
        <v>1012</v>
      </c>
      <c r="L14" s="155">
        <f t="shared" si="4"/>
        <v>1265</v>
      </c>
      <c r="M14" s="146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51" t="s">
        <v>529</v>
      </c>
      <c r="R14" s="167"/>
      <c r="AA14" s="170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6">
        <v>2489</v>
      </c>
      <c r="H15" s="156">
        <v>457.93</v>
      </c>
      <c r="I15" s="156">
        <f t="shared" si="0"/>
        <v>2031.07</v>
      </c>
      <c r="J15" s="184">
        <f>IFERROR(G15/VLOOKUP(A15,RESUME!$G$3:$I$10,3,FALSE),0)</f>
        <v>3.6658057644316989E-2</v>
      </c>
      <c r="K15" s="156">
        <f t="shared" si="3"/>
        <v>1991.2</v>
      </c>
      <c r="L15" s="156">
        <f t="shared" si="4"/>
        <v>2489</v>
      </c>
      <c r="M15" s="148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3" t="s">
        <v>529</v>
      </c>
      <c r="R15" s="167"/>
      <c r="AA15" s="170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5">
        <v>1025</v>
      </c>
      <c r="H16" s="155">
        <v>29</v>
      </c>
      <c r="I16" s="155">
        <f t="shared" si="0"/>
        <v>996</v>
      </c>
      <c r="J16" s="42">
        <f>IFERROR(G16/VLOOKUP(A16,RESUME!$G$3:$I$10,3,FALSE),0)</f>
        <v>1.5096227033115674E-2</v>
      </c>
      <c r="K16" s="155">
        <f t="shared" si="3"/>
        <v>820</v>
      </c>
      <c r="L16" s="155">
        <f t="shared" si="4"/>
        <v>1025</v>
      </c>
      <c r="M16" s="146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51" t="s">
        <v>529</v>
      </c>
      <c r="R16" s="167"/>
      <c r="AA16" s="170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6">
        <v>8000</v>
      </c>
      <c r="H17" s="156">
        <v>7427.99</v>
      </c>
      <c r="I17" s="156">
        <f t="shared" si="0"/>
        <v>572.01000000000022</v>
      </c>
      <c r="J17" s="184">
        <f>IFERROR(G17/VLOOKUP(A17,RESUME!$G$3:$I$10,3,FALSE),0)</f>
        <v>0.11782421099017111</v>
      </c>
      <c r="K17" s="156">
        <f t="shared" si="3"/>
        <v>6400</v>
      </c>
      <c r="L17" s="156">
        <f t="shared" si="4"/>
        <v>8000</v>
      </c>
      <c r="M17" s="148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3" t="s">
        <v>548</v>
      </c>
      <c r="R17" s="167"/>
      <c r="AA17" s="170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5">
        <v>1000</v>
      </c>
      <c r="H18" s="155">
        <v>2612.3200000000002</v>
      </c>
      <c r="I18" s="155">
        <f t="shared" si="0"/>
        <v>-1612.3200000000002</v>
      </c>
      <c r="J18" s="42">
        <f>IFERROR(G18/VLOOKUP(A18,RESUME!$G$3:$I$10,3,FALSE),0)</f>
        <v>1.4728026373771389E-2</v>
      </c>
      <c r="K18" s="155">
        <f t="shared" si="3"/>
        <v>800</v>
      </c>
      <c r="L18" s="155">
        <f t="shared" si="4"/>
        <v>1000</v>
      </c>
      <c r="M18" s="146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51" t="s">
        <v>549</v>
      </c>
      <c r="R18" s="167"/>
      <c r="AA18" s="170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6">
        <v>1000</v>
      </c>
      <c r="H19" s="156"/>
      <c r="I19" s="156">
        <f t="shared" si="0"/>
        <v>1000</v>
      </c>
      <c r="J19" s="184">
        <f>IFERROR(G19/VLOOKUP(A19,RESUME!$G$3:$I$10,3,FALSE),0)</f>
        <v>1.4728026373771389E-2</v>
      </c>
      <c r="K19" s="156">
        <f t="shared" si="3"/>
        <v>800</v>
      </c>
      <c r="L19" s="156">
        <f t="shared" si="4"/>
        <v>1000</v>
      </c>
      <c r="M19" s="148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3" t="s">
        <v>550</v>
      </c>
      <c r="R19" s="167"/>
      <c r="AA19" s="170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5">
        <v>151561</v>
      </c>
      <c r="H20" s="155"/>
      <c r="I20" s="155">
        <f t="shared" si="0"/>
        <v>151561</v>
      </c>
      <c r="J20" s="42">
        <f>IFERROR(G20/VLOOKUP(A20,RESUME!$G$3:$I$10,3,FALSE),0)</f>
        <v>0.65619333139484248</v>
      </c>
      <c r="K20" s="155">
        <f t="shared" si="3"/>
        <v>121248.8</v>
      </c>
      <c r="L20" s="155">
        <f t="shared" si="4"/>
        <v>151561</v>
      </c>
      <c r="M20" s="146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51" t="s">
        <v>529</v>
      </c>
      <c r="R20" s="167"/>
      <c r="AA20" s="170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6">
        <v>26883.15</v>
      </c>
      <c r="H21" s="156"/>
      <c r="I21" s="156">
        <f t="shared" si="0"/>
        <v>26883.15</v>
      </c>
      <c r="J21" s="184">
        <f>IFERROR(G21/VLOOKUP(A21,RESUME!$G$3:$I$10,3,FALSE),0)</f>
        <v>0.11639236846475848</v>
      </c>
      <c r="K21" s="156">
        <f t="shared" si="3"/>
        <v>21506.520000000004</v>
      </c>
      <c r="L21" s="156">
        <f t="shared" si="4"/>
        <v>26883.15</v>
      </c>
      <c r="M21" s="148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3" t="s">
        <v>529</v>
      </c>
      <c r="R21" s="167"/>
      <c r="AA21" s="170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5">
        <v>32525.89</v>
      </c>
      <c r="H22" s="155"/>
      <c r="I22" s="155">
        <f t="shared" si="0"/>
        <v>32525.89</v>
      </c>
      <c r="J22" s="42">
        <f>IFERROR(G22/VLOOKUP(A22,RESUME!$G$3:$I$10,3,FALSE),0)</f>
        <v>0.14082298292886819</v>
      </c>
      <c r="K22" s="155">
        <f t="shared" si="3"/>
        <v>26020.712</v>
      </c>
      <c r="L22" s="155">
        <f t="shared" si="4"/>
        <v>32525.89</v>
      </c>
      <c r="M22" s="146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51" t="s">
        <v>529</v>
      </c>
      <c r="R22" s="167"/>
      <c r="AA22" s="170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6">
        <v>5000</v>
      </c>
      <c r="H23" s="156">
        <v>846.54</v>
      </c>
      <c r="I23" s="156">
        <f t="shared" si="0"/>
        <v>4153.46</v>
      </c>
      <c r="J23" s="184">
        <f>IFERROR(G23/VLOOKUP(A23,RESUME!$G$3:$I$10,3,FALSE),0)</f>
        <v>2.1647829302882747E-2</v>
      </c>
      <c r="K23" s="156">
        <f t="shared" si="3"/>
        <v>4000</v>
      </c>
      <c r="L23" s="156">
        <f t="shared" si="4"/>
        <v>5000</v>
      </c>
      <c r="M23" s="148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3" t="s">
        <v>529</v>
      </c>
      <c r="R23" s="167"/>
      <c r="AA23" s="170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5">
        <v>7500</v>
      </c>
      <c r="H24" s="155">
        <v>11331.25</v>
      </c>
      <c r="I24" s="155">
        <f t="shared" si="0"/>
        <v>-3831.25</v>
      </c>
      <c r="J24" s="42">
        <f>IFERROR(G24/VLOOKUP(A24,RESUME!$G$3:$I$10,3,FALSE),0)</f>
        <v>3.2471743954324124E-2</v>
      </c>
      <c r="K24" s="155">
        <f t="shared" si="3"/>
        <v>6000</v>
      </c>
      <c r="L24" s="155">
        <f t="shared" si="4"/>
        <v>7500</v>
      </c>
      <c r="M24" s="146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51" t="s">
        <v>529</v>
      </c>
      <c r="R24" s="167"/>
      <c r="AA24" s="170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6">
        <v>7500</v>
      </c>
      <c r="H25" s="156">
        <v>65.2</v>
      </c>
      <c r="I25" s="156">
        <f t="shared" si="0"/>
        <v>7434.8</v>
      </c>
      <c r="J25" s="184">
        <f>IFERROR(G25/VLOOKUP(A25,RESUME!$G$3:$I$10,3,FALSE),0)</f>
        <v>3.2471743954324124E-2</v>
      </c>
      <c r="K25" s="156">
        <f t="shared" si="3"/>
        <v>6000</v>
      </c>
      <c r="L25" s="156">
        <f t="shared" si="4"/>
        <v>7500</v>
      </c>
      <c r="M25" s="148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3" t="s">
        <v>529</v>
      </c>
      <c r="R25" s="167"/>
      <c r="AA25" s="170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5">
        <v>450</v>
      </c>
      <c r="H26" s="155"/>
      <c r="I26" s="155">
        <f t="shared" si="0"/>
        <v>450</v>
      </c>
      <c r="J26" s="42">
        <f>IFERROR(G26/VLOOKUP(A26,RESUME!$G$3:$I$10,3,FALSE),0)</f>
        <v>5.2941176470588235E-2</v>
      </c>
      <c r="K26" s="155">
        <f t="shared" si="3"/>
        <v>360</v>
      </c>
      <c r="L26" s="155">
        <f t="shared" si="4"/>
        <v>450</v>
      </c>
      <c r="M26" s="146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51" t="s">
        <v>529</v>
      </c>
      <c r="R26" s="167"/>
      <c r="AA26" s="170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6">
        <v>450</v>
      </c>
      <c r="H27" s="156"/>
      <c r="I27" s="156">
        <f t="shared" si="0"/>
        <v>450</v>
      </c>
      <c r="J27" s="184">
        <f>IFERROR(G27/VLOOKUP(A27,RESUME!$G$3:$I$10,3,FALSE),0)</f>
        <v>5.2941176470588235E-2</v>
      </c>
      <c r="K27" s="156">
        <f t="shared" si="3"/>
        <v>360</v>
      </c>
      <c r="L27" s="156">
        <f t="shared" si="4"/>
        <v>450</v>
      </c>
      <c r="M27" s="148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3" t="s">
        <v>529</v>
      </c>
      <c r="R27" s="167"/>
      <c r="AA27" s="170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5">
        <v>450</v>
      </c>
      <c r="H28" s="155"/>
      <c r="I28" s="155">
        <f t="shared" si="0"/>
        <v>450</v>
      </c>
      <c r="J28" s="42">
        <f>IFERROR(G28/VLOOKUP(A28,RESUME!$G$3:$I$10,3,FALSE),0)</f>
        <v>5.2941176470588235E-2</v>
      </c>
      <c r="K28" s="155">
        <f t="shared" si="3"/>
        <v>360</v>
      </c>
      <c r="L28" s="155">
        <f t="shared" si="4"/>
        <v>450</v>
      </c>
      <c r="M28" s="146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51" t="s">
        <v>529</v>
      </c>
      <c r="R28" s="167"/>
      <c r="AA28" s="170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6">
        <v>450</v>
      </c>
      <c r="H29" s="156"/>
      <c r="I29" s="156">
        <f t="shared" si="0"/>
        <v>450</v>
      </c>
      <c r="J29" s="184">
        <f>IFERROR(G29/VLOOKUP(A29,RESUME!$G$3:$I$10,3,FALSE),0)</f>
        <v>5.2941176470588235E-2</v>
      </c>
      <c r="K29" s="156">
        <f t="shared" si="3"/>
        <v>360</v>
      </c>
      <c r="L29" s="156">
        <f t="shared" si="4"/>
        <v>450</v>
      </c>
      <c r="M29" s="148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3" t="s">
        <v>529</v>
      </c>
      <c r="R29" s="167"/>
      <c r="AA29" s="170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5">
        <v>6300</v>
      </c>
      <c r="H30" s="155"/>
      <c r="I30" s="155">
        <f t="shared" si="0"/>
        <v>6300</v>
      </c>
      <c r="J30" s="42">
        <f>IFERROR(G30/VLOOKUP(A30,RESUME!$G$3:$I$10,3,FALSE),0)</f>
        <v>0.74117647058823533</v>
      </c>
      <c r="K30" s="155">
        <f t="shared" si="3"/>
        <v>5040</v>
      </c>
      <c r="L30" s="155">
        <f t="shared" si="4"/>
        <v>6300</v>
      </c>
      <c r="M30" s="146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51" t="s">
        <v>529</v>
      </c>
      <c r="R30" s="167"/>
      <c r="AA30" s="170"/>
    </row>
    <row r="31" spans="1:27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6">
        <v>100</v>
      </c>
      <c r="H31" s="156">
        <v>357.33</v>
      </c>
      <c r="I31" s="156">
        <f t="shared" si="0"/>
        <v>-257.33</v>
      </c>
      <c r="J31" s="184">
        <f>IFERROR(G31/VLOOKUP(A31,RESUME!$G$3:$I$10,3,FALSE),0)</f>
        <v>1.1764705882352941E-2</v>
      </c>
      <c r="K31" s="156">
        <f t="shared" si="3"/>
        <v>80</v>
      </c>
      <c r="L31" s="156">
        <f t="shared" si="4"/>
        <v>100</v>
      </c>
      <c r="M31" s="148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3" t="s">
        <v>529</v>
      </c>
      <c r="R31" s="167"/>
      <c r="AA31" s="170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5">
        <v>100</v>
      </c>
      <c r="H32" s="155">
        <v>28.8</v>
      </c>
      <c r="I32" s="155">
        <f t="shared" si="0"/>
        <v>71.2</v>
      </c>
      <c r="J32" s="42">
        <f>IFERROR(G32/VLOOKUP(A32,RESUME!$G$3:$I$10,3,FALSE),0)</f>
        <v>1.1764705882352941E-2</v>
      </c>
      <c r="K32" s="155">
        <f t="shared" si="3"/>
        <v>80</v>
      </c>
      <c r="L32" s="155">
        <f t="shared" si="4"/>
        <v>100</v>
      </c>
      <c r="M32" s="146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51" t="s">
        <v>529</v>
      </c>
      <c r="R32" s="167"/>
      <c r="AA32" s="170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6">
        <v>100</v>
      </c>
      <c r="H33" s="156"/>
      <c r="I33" s="156">
        <f t="shared" si="0"/>
        <v>100</v>
      </c>
      <c r="J33" s="184">
        <f>IFERROR(G33/VLOOKUP(A33,RESUME!$G$3:$I$10,3,FALSE),0)</f>
        <v>1.1764705882352941E-2</v>
      </c>
      <c r="K33" s="156">
        <f t="shared" si="3"/>
        <v>80</v>
      </c>
      <c r="L33" s="156">
        <f t="shared" si="4"/>
        <v>100</v>
      </c>
      <c r="M33" s="148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3" t="s">
        <v>529</v>
      </c>
      <c r="R33" s="167"/>
      <c r="AA33" s="170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5">
        <v>100</v>
      </c>
      <c r="H34" s="155"/>
      <c r="I34" s="155">
        <f t="shared" si="0"/>
        <v>100</v>
      </c>
      <c r="J34" s="42">
        <f>IFERROR(G34/VLOOKUP(A34,RESUME!$G$3:$I$10,3,FALSE),0)</f>
        <v>1.1764705882352941E-2</v>
      </c>
      <c r="K34" s="155">
        <f t="shared" si="3"/>
        <v>80</v>
      </c>
      <c r="L34" s="155">
        <f t="shared" si="4"/>
        <v>100</v>
      </c>
      <c r="M34" s="146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51" t="s">
        <v>529</v>
      </c>
      <c r="R34" s="167"/>
      <c r="AA34" s="170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6">
        <v>200</v>
      </c>
      <c r="H35" s="156">
        <v>632.79</v>
      </c>
      <c r="I35" s="156">
        <f t="shared" si="0"/>
        <v>-432.78999999999996</v>
      </c>
      <c r="J35" s="184">
        <f>IFERROR(G35/VLOOKUP(A35,RESUME!$G$3:$I$10,3,FALSE),0)</f>
        <v>0.2</v>
      </c>
      <c r="K35" s="156">
        <f t="shared" si="3"/>
        <v>160</v>
      </c>
      <c r="L35" s="156">
        <f t="shared" si="4"/>
        <v>200</v>
      </c>
      <c r="M35" s="148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3" t="s">
        <v>529</v>
      </c>
      <c r="R35" s="167"/>
      <c r="AA35" s="170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5">
        <v>700</v>
      </c>
      <c r="H36" s="155">
        <v>2090.6999999999998</v>
      </c>
      <c r="I36" s="155">
        <f t="shared" si="0"/>
        <v>-1390.6999999999998</v>
      </c>
      <c r="J36" s="42">
        <f>IFERROR(G36/VLOOKUP(A36,RESUME!$G$3:$I$10,3,FALSE),0)</f>
        <v>0.7</v>
      </c>
      <c r="K36" s="155">
        <f t="shared" si="3"/>
        <v>560</v>
      </c>
      <c r="L36" s="155">
        <f t="shared" si="4"/>
        <v>700</v>
      </c>
      <c r="M36" s="146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51" t="s">
        <v>529</v>
      </c>
      <c r="R36" s="167"/>
      <c r="AA36" s="170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6">
        <v>50</v>
      </c>
      <c r="H37" s="156"/>
      <c r="I37" s="156">
        <f t="shared" si="0"/>
        <v>50</v>
      </c>
      <c r="J37" s="184">
        <f>IFERROR(G37/VLOOKUP(A37,RESUME!$G$3:$I$10,3,FALSE),0)</f>
        <v>0.05</v>
      </c>
      <c r="K37" s="156">
        <f t="shared" si="3"/>
        <v>40</v>
      </c>
      <c r="L37" s="156">
        <f t="shared" si="4"/>
        <v>50</v>
      </c>
      <c r="M37" s="148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3" t="s">
        <v>529</v>
      </c>
      <c r="R37" s="167"/>
      <c r="AA37" s="170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5">
        <v>50</v>
      </c>
      <c r="H38" s="155"/>
      <c r="I38" s="155">
        <f t="shared" si="0"/>
        <v>50</v>
      </c>
      <c r="J38" s="42">
        <f>IFERROR(G38/VLOOKUP(A38,RESUME!$G$3:$I$10,3,FALSE),0)</f>
        <v>0.05</v>
      </c>
      <c r="K38" s="155">
        <f t="shared" si="3"/>
        <v>40</v>
      </c>
      <c r="L38" s="155">
        <f t="shared" si="4"/>
        <v>50</v>
      </c>
      <c r="M38" s="146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51" t="s">
        <v>529</v>
      </c>
      <c r="R38" s="167"/>
      <c r="AA38" s="170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6"/>
      <c r="H39" s="156">
        <v>165.91</v>
      </c>
      <c r="I39" s="156">
        <f t="shared" si="0"/>
        <v>-165.91</v>
      </c>
      <c r="J39" s="184">
        <f>IFERROR(G39/VLOOKUP(A39,RESUME!$G$3:$I$10,3,FALSE),0)</f>
        <v>0</v>
      </c>
      <c r="K39" s="156">
        <f t="shared" si="3"/>
        <v>0</v>
      </c>
      <c r="L39" s="156">
        <f t="shared" si="4"/>
        <v>0</v>
      </c>
      <c r="M39" s="148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3" t="s">
        <v>544</v>
      </c>
      <c r="R39" s="167"/>
      <c r="AA39" s="170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5">
        <v>4917.96</v>
      </c>
      <c r="H40" s="155">
        <v>2781.48</v>
      </c>
      <c r="I40" s="155">
        <f t="shared" si="0"/>
        <v>2136.48</v>
      </c>
      <c r="J40" s="42">
        <f>IFERROR(G40/VLOOKUP(A40,RESUME!$G$3:$I$10,3,FALSE),0)</f>
        <v>5.6433869134324049E-2</v>
      </c>
      <c r="K40" s="155">
        <f t="shared" si="3"/>
        <v>3934.3680000000004</v>
      </c>
      <c r="L40" s="155">
        <f t="shared" si="4"/>
        <v>4917.96</v>
      </c>
      <c r="M40" s="146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51" t="s">
        <v>529</v>
      </c>
      <c r="R40" s="167"/>
      <c r="AA40" s="170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6">
        <v>281</v>
      </c>
      <c r="H41" s="156">
        <v>158.19999999999999</v>
      </c>
      <c r="I41" s="156">
        <f t="shared" si="0"/>
        <v>122.80000000000001</v>
      </c>
      <c r="J41" s="184">
        <f>IFERROR(G41/VLOOKUP(A41,RESUME!$G$3:$I$10,3,FALSE),0)</f>
        <v>3.2244908919033619E-3</v>
      </c>
      <c r="K41" s="156">
        <f t="shared" si="3"/>
        <v>224.8</v>
      </c>
      <c r="L41" s="156">
        <f t="shared" si="4"/>
        <v>281</v>
      </c>
      <c r="M41" s="148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3" t="s">
        <v>529</v>
      </c>
      <c r="R41" s="167"/>
      <c r="AA41" s="170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5">
        <v>64.58</v>
      </c>
      <c r="H42" s="155">
        <v>63.28</v>
      </c>
      <c r="I42" s="155">
        <f t="shared" si="0"/>
        <v>1.2999999999999972</v>
      </c>
      <c r="J42" s="42">
        <f>IFERROR(G42/VLOOKUP(A42,RESUME!$G$3:$I$10,3,FALSE),0)</f>
        <v>7.4105915231003239E-4</v>
      </c>
      <c r="K42" s="155">
        <f t="shared" si="3"/>
        <v>51.664000000000001</v>
      </c>
      <c r="L42" s="155">
        <f t="shared" si="4"/>
        <v>64.58</v>
      </c>
      <c r="M42" s="146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51" t="s">
        <v>529</v>
      </c>
      <c r="R42" s="167"/>
      <c r="AA42" s="170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6">
        <v>2027.63</v>
      </c>
      <c r="H43" s="156">
        <v>1863.9</v>
      </c>
      <c r="I43" s="156">
        <f t="shared" si="0"/>
        <v>163.73000000000002</v>
      </c>
      <c r="J43" s="184">
        <f>IFERROR(G43/VLOOKUP(A43,RESUME!$G$3:$I$10,3,FALSE),0)</f>
        <v>2.3267168922242044E-2</v>
      </c>
      <c r="K43" s="156">
        <f t="shared" si="3"/>
        <v>1622.1040000000003</v>
      </c>
      <c r="L43" s="156">
        <f t="shared" si="4"/>
        <v>2027.63</v>
      </c>
      <c r="M43" s="148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3" t="s">
        <v>529</v>
      </c>
      <c r="R43" s="167"/>
      <c r="AA43" s="170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5">
        <v>1453.67</v>
      </c>
      <c r="H44" s="155">
        <v>922.87</v>
      </c>
      <c r="I44" s="155">
        <f t="shared" si="0"/>
        <v>530.80000000000007</v>
      </c>
      <c r="J44" s="42">
        <f>IFERROR(G44/VLOOKUP(A44,RESUME!$G$3:$I$10,3,FALSE),0)</f>
        <v>1.6680945462039718E-2</v>
      </c>
      <c r="K44" s="155">
        <f t="shared" si="3"/>
        <v>1162.9360000000001</v>
      </c>
      <c r="L44" s="155">
        <f t="shared" si="4"/>
        <v>1453.67</v>
      </c>
      <c r="M44" s="146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51" t="s">
        <v>529</v>
      </c>
      <c r="R44" s="167"/>
      <c r="AA44" s="170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6">
        <v>531</v>
      </c>
      <c r="H45" s="156">
        <v>156.87</v>
      </c>
      <c r="I45" s="156">
        <f t="shared" si="0"/>
        <v>374.13</v>
      </c>
      <c r="J45" s="184">
        <f>IFERROR(G45/VLOOKUP(A45,RESUME!$G$3:$I$10,3,FALSE),0)</f>
        <v>6.0932550306074208E-3</v>
      </c>
      <c r="K45" s="156">
        <f t="shared" si="3"/>
        <v>424.8</v>
      </c>
      <c r="L45" s="156">
        <f t="shared" si="4"/>
        <v>531</v>
      </c>
      <c r="M45" s="148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3" t="s">
        <v>529</v>
      </c>
      <c r="R45" s="167"/>
      <c r="AA45" s="170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5">
        <v>2429</v>
      </c>
      <c r="H46" s="155">
        <v>91.44</v>
      </c>
      <c r="I46" s="155">
        <f t="shared" si="0"/>
        <v>2337.56</v>
      </c>
      <c r="J46" s="42">
        <f>IFERROR(G46/VLOOKUP(A46,RESUME!$G$3:$I$10,3,FALSE),0)</f>
        <v>2.7872912371648635E-2</v>
      </c>
      <c r="K46" s="155">
        <f t="shared" si="3"/>
        <v>1943.2</v>
      </c>
      <c r="L46" s="155">
        <f t="shared" si="4"/>
        <v>2429</v>
      </c>
      <c r="M46" s="146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51" t="s">
        <v>529</v>
      </c>
      <c r="R46" s="167"/>
      <c r="AA46" s="170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6">
        <v>200</v>
      </c>
      <c r="H47" s="156">
        <v>70.88</v>
      </c>
      <c r="I47" s="156">
        <f t="shared" si="0"/>
        <v>129.12</v>
      </c>
      <c r="J47" s="184">
        <f>IFERROR(G47/VLOOKUP(A47,RESUME!$G$3:$I$10,3,FALSE),0)</f>
        <v>2.2950113109632469E-3</v>
      </c>
      <c r="K47" s="156">
        <f t="shared" si="3"/>
        <v>160</v>
      </c>
      <c r="L47" s="156">
        <f t="shared" si="4"/>
        <v>200</v>
      </c>
      <c r="M47" s="148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3" t="s">
        <v>529</v>
      </c>
      <c r="R47" s="167"/>
      <c r="AA47" s="170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5">
        <v>3004.76</v>
      </c>
      <c r="H48" s="155">
        <v>8323.4</v>
      </c>
      <c r="I48" s="155">
        <f t="shared" si="0"/>
        <v>-5318.6399999999994</v>
      </c>
      <c r="J48" s="42">
        <f>IFERROR(G48/VLOOKUP(A48,RESUME!$G$3:$I$10,3,FALSE),0)</f>
        <v>3.4479790933649633E-2</v>
      </c>
      <c r="K48" s="155">
        <f t="shared" si="3"/>
        <v>2403.8080000000004</v>
      </c>
      <c r="L48" s="155">
        <f t="shared" si="4"/>
        <v>3004.76</v>
      </c>
      <c r="M48" s="146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51" t="s">
        <v>529</v>
      </c>
      <c r="R48" s="167"/>
      <c r="AA48" s="170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6">
        <v>1543.55</v>
      </c>
      <c r="H49" s="156"/>
      <c r="I49" s="156">
        <f t="shared" si="0"/>
        <v>1543.55</v>
      </c>
      <c r="J49" s="184">
        <f>IFERROR(G49/VLOOKUP(A49,RESUME!$G$3:$I$10,3,FALSE),0)</f>
        <v>1.7712323545186599E-2</v>
      </c>
      <c r="K49" s="156">
        <f t="shared" si="3"/>
        <v>1234.8400000000001</v>
      </c>
      <c r="L49" s="156">
        <f t="shared" si="4"/>
        <v>1543.55</v>
      </c>
      <c r="M49" s="148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3" t="s">
        <v>529</v>
      </c>
      <c r="R49" s="167"/>
      <c r="AA49" s="170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5">
        <v>938.47</v>
      </c>
      <c r="H50" s="155">
        <v>634.54999999999995</v>
      </c>
      <c r="I50" s="155">
        <f t="shared" si="0"/>
        <v>303.92000000000007</v>
      </c>
      <c r="J50" s="42">
        <f>IFERROR(G50/VLOOKUP(A50,RESUME!$G$3:$I$10,3,FALSE),0)</f>
        <v>1.0768996324998392E-2</v>
      </c>
      <c r="K50" s="155">
        <f t="shared" si="3"/>
        <v>750.77600000000007</v>
      </c>
      <c r="L50" s="155">
        <f t="shared" si="4"/>
        <v>938.47</v>
      </c>
      <c r="M50" s="146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51" t="s">
        <v>529</v>
      </c>
      <c r="R50" s="167"/>
      <c r="AA50" s="170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6">
        <v>175.55</v>
      </c>
      <c r="H51" s="156"/>
      <c r="I51" s="156">
        <f t="shared" si="0"/>
        <v>175.55</v>
      </c>
      <c r="J51" s="184">
        <f>IFERROR(G51/VLOOKUP(A51,RESUME!$G$3:$I$10,3,FALSE),0)</f>
        <v>2.0144461781979902E-3</v>
      </c>
      <c r="K51" s="156">
        <f t="shared" si="3"/>
        <v>140.44000000000003</v>
      </c>
      <c r="L51" s="156">
        <f t="shared" si="4"/>
        <v>175.55</v>
      </c>
      <c r="M51" s="148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3" t="s">
        <v>529</v>
      </c>
      <c r="R51" s="167"/>
      <c r="AA51" s="170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5">
        <v>2294.39</v>
      </c>
      <c r="H52" s="155">
        <v>1371.93</v>
      </c>
      <c r="I52" s="155">
        <f t="shared" si="0"/>
        <v>922.45999999999981</v>
      </c>
      <c r="J52" s="42">
        <f>IFERROR(G52/VLOOKUP(A52,RESUME!$G$3:$I$10,3,FALSE),0)</f>
        <v>2.632825500880482E-2</v>
      </c>
      <c r="K52" s="155">
        <f t="shared" si="3"/>
        <v>1835.5119999999999</v>
      </c>
      <c r="L52" s="155">
        <f t="shared" si="4"/>
        <v>2294.39</v>
      </c>
      <c r="M52" s="146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51" t="s">
        <v>529</v>
      </c>
      <c r="R52" s="167"/>
      <c r="AA52" s="170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6">
        <v>1987.05</v>
      </c>
      <c r="H53" s="156"/>
      <c r="I53" s="156">
        <f t="shared" si="0"/>
        <v>1987.05</v>
      </c>
      <c r="J53" s="184">
        <f>IFERROR(G53/VLOOKUP(A53,RESUME!$G$3:$I$10,3,FALSE),0)</f>
        <v>2.2801511127247598E-2</v>
      </c>
      <c r="K53" s="156">
        <f t="shared" si="3"/>
        <v>1589.64</v>
      </c>
      <c r="L53" s="156">
        <f t="shared" si="4"/>
        <v>1987.05</v>
      </c>
      <c r="M53" s="148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3" t="s">
        <v>529</v>
      </c>
      <c r="R53" s="167"/>
      <c r="AA53" s="170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5">
        <v>1692.67</v>
      </c>
      <c r="H54" s="155"/>
      <c r="I54" s="155">
        <f t="shared" si="0"/>
        <v>1692.67</v>
      </c>
      <c r="J54" s="42">
        <f>IFERROR(G54/VLOOKUP(A54,RESUME!$G$3:$I$10,3,FALSE),0)</f>
        <v>1.9423483978640799E-2</v>
      </c>
      <c r="K54" s="155">
        <f t="shared" si="3"/>
        <v>1354.1360000000002</v>
      </c>
      <c r="L54" s="155">
        <f t="shared" si="4"/>
        <v>1692.67</v>
      </c>
      <c r="M54" s="146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51" t="s">
        <v>529</v>
      </c>
      <c r="R54" s="167"/>
      <c r="AA54" s="170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6">
        <v>569</v>
      </c>
      <c r="H55" s="156">
        <v>460.21</v>
      </c>
      <c r="I55" s="156">
        <f t="shared" si="0"/>
        <v>108.79000000000002</v>
      </c>
      <c r="J55" s="184">
        <f>IFERROR(G55/VLOOKUP(A55,RESUME!$G$3:$I$10,3,FALSE),0)</f>
        <v>6.5293071796904377E-3</v>
      </c>
      <c r="K55" s="156">
        <f t="shared" si="3"/>
        <v>455.20000000000005</v>
      </c>
      <c r="L55" s="156">
        <f t="shared" si="4"/>
        <v>569</v>
      </c>
      <c r="M55" s="148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3" t="s">
        <v>529</v>
      </c>
      <c r="R55" s="167"/>
      <c r="AA55" s="170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5">
        <v>300</v>
      </c>
      <c r="H56" s="155"/>
      <c r="I56" s="155">
        <f t="shared" si="0"/>
        <v>300</v>
      </c>
      <c r="J56" s="42">
        <f>IFERROR(G56/VLOOKUP(A56,RESUME!$G$3:$I$10,3,FALSE),0)</f>
        <v>3.4425169664448704E-3</v>
      </c>
      <c r="K56" s="155">
        <f t="shared" si="3"/>
        <v>240</v>
      </c>
      <c r="L56" s="155">
        <f t="shared" si="4"/>
        <v>300</v>
      </c>
      <c r="M56" s="146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51" t="s">
        <v>529</v>
      </c>
      <c r="R56" s="167"/>
      <c r="AA56" s="170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6">
        <v>2288.86</v>
      </c>
      <c r="H57" s="156"/>
      <c r="I57" s="156">
        <f t="shared" si="0"/>
        <v>2288.86</v>
      </c>
      <c r="J57" s="184">
        <f>IFERROR(G57/VLOOKUP(A57,RESUME!$G$3:$I$10,3,FALSE),0)</f>
        <v>2.6264797946056691E-2</v>
      </c>
      <c r="K57" s="156">
        <f t="shared" si="3"/>
        <v>1831.0880000000002</v>
      </c>
      <c r="L57" s="156">
        <f t="shared" si="4"/>
        <v>2288.86</v>
      </c>
      <c r="M57" s="148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3" t="s">
        <v>529</v>
      </c>
      <c r="R57" s="167"/>
      <c r="AA57" s="170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5">
        <v>36500.160000000003</v>
      </c>
      <c r="H58" s="155">
        <v>122.79</v>
      </c>
      <c r="I58" s="155">
        <f t="shared" si="0"/>
        <v>36377.370000000003</v>
      </c>
      <c r="J58" s="42">
        <f>IFERROR(G58/VLOOKUP(A58,RESUME!$G$3:$I$10,3,FALSE),0)</f>
        <v>0.4188414002598414</v>
      </c>
      <c r="K58" s="155">
        <f t="shared" si="3"/>
        <v>29200.128000000004</v>
      </c>
      <c r="L58" s="155">
        <f t="shared" si="4"/>
        <v>36500.160000000003</v>
      </c>
      <c r="M58" s="146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51" t="s">
        <v>529</v>
      </c>
      <c r="R58" s="167"/>
      <c r="AA58" s="170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6">
        <v>1440.17</v>
      </c>
      <c r="H59" s="156">
        <v>0.63</v>
      </c>
      <c r="I59" s="156">
        <f t="shared" si="0"/>
        <v>1439.54</v>
      </c>
      <c r="J59" s="184">
        <f>IFERROR(G59/VLOOKUP(A59,RESUME!$G$3:$I$10,3,FALSE),0)</f>
        <v>1.6526032198549697E-2</v>
      </c>
      <c r="K59" s="156">
        <f t="shared" si="3"/>
        <v>1152.1360000000002</v>
      </c>
      <c r="L59" s="156">
        <f t="shared" si="4"/>
        <v>1440.17</v>
      </c>
      <c r="M59" s="148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3" t="s">
        <v>529</v>
      </c>
      <c r="R59" s="167"/>
      <c r="AA59" s="170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5">
        <v>14.27</v>
      </c>
      <c r="H60" s="155"/>
      <c r="I60" s="155">
        <f t="shared" si="0"/>
        <v>14.27</v>
      </c>
      <c r="J60" s="42">
        <f>IFERROR(G60/VLOOKUP(A60,RESUME!$G$3:$I$10,3,FALSE),0)</f>
        <v>1.6374905703722768E-4</v>
      </c>
      <c r="K60" s="155">
        <f t="shared" si="3"/>
        <v>11.416</v>
      </c>
      <c r="L60" s="155">
        <f t="shared" si="4"/>
        <v>14.27</v>
      </c>
      <c r="M60" s="146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51" t="s">
        <v>529</v>
      </c>
      <c r="R60" s="167"/>
      <c r="AA60" s="170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6">
        <v>35.56</v>
      </c>
      <c r="H61" s="156"/>
      <c r="I61" s="156">
        <f t="shared" si="0"/>
        <v>35.56</v>
      </c>
      <c r="J61" s="184">
        <f>IFERROR(G61/VLOOKUP(A61,RESUME!$G$3:$I$10,3,FALSE),0)</f>
        <v>4.0805301108926532E-4</v>
      </c>
      <c r="K61" s="156">
        <f t="shared" si="3"/>
        <v>28.448000000000004</v>
      </c>
      <c r="L61" s="156">
        <f t="shared" si="4"/>
        <v>35.56</v>
      </c>
      <c r="M61" s="148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3" t="s">
        <v>529</v>
      </c>
      <c r="R61" s="167"/>
      <c r="AA61" s="170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5">
        <v>9.69</v>
      </c>
      <c r="H62" s="155">
        <v>20.88</v>
      </c>
      <c r="I62" s="155">
        <f t="shared" si="0"/>
        <v>-11.19</v>
      </c>
      <c r="J62" s="42">
        <f>IFERROR(G62/VLOOKUP(A62,RESUME!$G$3:$I$10,3,FALSE),0)</f>
        <v>1.1119329801616931E-4</v>
      </c>
      <c r="K62" s="155">
        <f t="shared" si="3"/>
        <v>7.7519999999999998</v>
      </c>
      <c r="L62" s="155">
        <f t="shared" si="4"/>
        <v>9.69</v>
      </c>
      <c r="M62" s="146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51" t="s">
        <v>529</v>
      </c>
      <c r="R62" s="167"/>
      <c r="AA62" s="170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6">
        <v>400</v>
      </c>
      <c r="H63" s="156">
        <v>1454.06</v>
      </c>
      <c r="I63" s="156">
        <f t="shared" si="0"/>
        <v>-1054.06</v>
      </c>
      <c r="J63" s="184">
        <f>IFERROR(G63/VLOOKUP(A63,RESUME!$G$3:$I$10,3,FALSE),0)</f>
        <v>4.5900226219264938E-3</v>
      </c>
      <c r="K63" s="156">
        <f t="shared" si="3"/>
        <v>320</v>
      </c>
      <c r="L63" s="156">
        <f t="shared" si="4"/>
        <v>400</v>
      </c>
      <c r="M63" s="148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3" t="s">
        <v>551</v>
      </c>
      <c r="R63" s="167"/>
      <c r="AA63" s="170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5">
        <v>100</v>
      </c>
      <c r="H64" s="155"/>
      <c r="I64" s="155">
        <f t="shared" si="0"/>
        <v>100</v>
      </c>
      <c r="J64" s="42">
        <f>IFERROR(G64/VLOOKUP(A64,RESUME!$G$3:$I$10,3,FALSE),0)</f>
        <v>1.1475056554816235E-3</v>
      </c>
      <c r="K64" s="155">
        <f t="shared" si="3"/>
        <v>80</v>
      </c>
      <c r="L64" s="155">
        <f t="shared" si="4"/>
        <v>100</v>
      </c>
      <c r="M64" s="146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51" t="s">
        <v>529</v>
      </c>
      <c r="R64" s="167"/>
      <c r="AA64" s="170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6">
        <v>100</v>
      </c>
      <c r="H65" s="156"/>
      <c r="I65" s="156">
        <f t="shared" si="0"/>
        <v>100</v>
      </c>
      <c r="J65" s="184">
        <f>IFERROR(G65/VLOOKUP(A65,RESUME!$G$3:$I$10,3,FALSE),0)</f>
        <v>1.1475056554816235E-3</v>
      </c>
      <c r="K65" s="156">
        <f t="shared" si="3"/>
        <v>80</v>
      </c>
      <c r="L65" s="156">
        <f t="shared" si="4"/>
        <v>100</v>
      </c>
      <c r="M65" s="148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3" t="s">
        <v>529</v>
      </c>
      <c r="R65" s="167"/>
      <c r="AA65" s="170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5">
        <v>100</v>
      </c>
      <c r="H66" s="155">
        <v>510.61</v>
      </c>
      <c r="I66" s="155">
        <f t="shared" si="0"/>
        <v>-410.61</v>
      </c>
      <c r="J66" s="42">
        <f>IFERROR(G66/VLOOKUP(A66,RESUME!$G$3:$I$10,3,FALSE),0)</f>
        <v>1.1475056554816235E-3</v>
      </c>
      <c r="K66" s="155">
        <f t="shared" si="3"/>
        <v>80</v>
      </c>
      <c r="L66" s="155">
        <f t="shared" si="4"/>
        <v>100</v>
      </c>
      <c r="M66" s="146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51" t="s">
        <v>529</v>
      </c>
      <c r="R66" s="167"/>
      <c r="AA66" s="170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6">
        <v>100</v>
      </c>
      <c r="H67" s="156"/>
      <c r="I67" s="156">
        <f t="shared" si="0"/>
        <v>100</v>
      </c>
      <c r="J67" s="184">
        <f>IFERROR(G67/VLOOKUP(A67,RESUME!$G$3:$I$10,3,FALSE),0)</f>
        <v>1.1475056554816235E-3</v>
      </c>
      <c r="K67" s="156">
        <f t="shared" si="3"/>
        <v>80</v>
      </c>
      <c r="L67" s="156">
        <f t="shared" si="4"/>
        <v>100</v>
      </c>
      <c r="M67" s="148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3" t="s">
        <v>529</v>
      </c>
      <c r="R67" s="167"/>
      <c r="AA67" s="170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5">
        <v>250</v>
      </c>
      <c r="H68" s="155"/>
      <c r="I68" s="155">
        <f t="shared" si="0"/>
        <v>250</v>
      </c>
      <c r="J68" s="42">
        <f>IFERROR(G68/VLOOKUP(A68,RESUME!$G$3:$I$10,3,FALSE),0)</f>
        <v>2.8687641387040589E-3</v>
      </c>
      <c r="K68" s="155">
        <f t="shared" si="3"/>
        <v>200</v>
      </c>
      <c r="L68" s="155">
        <f t="shared" si="4"/>
        <v>250</v>
      </c>
      <c r="M68" s="146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51" t="s">
        <v>529</v>
      </c>
      <c r="R68" s="167"/>
      <c r="AA68" s="170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6">
        <v>300</v>
      </c>
      <c r="H69" s="156"/>
      <c r="I69" s="156">
        <f t="shared" si="0"/>
        <v>300</v>
      </c>
      <c r="J69" s="184">
        <f>IFERROR(G69/VLOOKUP(A69,RESUME!$G$3:$I$10,3,FALSE),0)</f>
        <v>3.4425169664448704E-3</v>
      </c>
      <c r="K69" s="156">
        <f t="shared" si="3"/>
        <v>240</v>
      </c>
      <c r="L69" s="156">
        <f t="shared" si="4"/>
        <v>300</v>
      </c>
      <c r="M69" s="148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3" t="s">
        <v>529</v>
      </c>
      <c r="R69" s="167"/>
      <c r="AA69" s="170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5">
        <v>100</v>
      </c>
      <c r="H70" s="155"/>
      <c r="I70" s="155">
        <f t="shared" ref="I70:I133" si="7">G70-H70</f>
        <v>100</v>
      </c>
      <c r="J70" s="42">
        <f>IFERROR(G70/VLOOKUP(A70,RESUME!$G$3:$I$10,3,FALSE),0)</f>
        <v>1.1475056554816235E-3</v>
      </c>
      <c r="K70" s="155">
        <f t="shared" si="3"/>
        <v>80</v>
      </c>
      <c r="L70" s="155">
        <f t="shared" si="4"/>
        <v>100</v>
      </c>
      <c r="M70" s="146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51" t="s">
        <v>529</v>
      </c>
      <c r="R70" s="167"/>
      <c r="AA70" s="170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6">
        <v>100</v>
      </c>
      <c r="H71" s="156"/>
      <c r="I71" s="156">
        <f t="shared" si="7"/>
        <v>100</v>
      </c>
      <c r="J71" s="184">
        <f>IFERROR(G71/VLOOKUP(A71,RESUME!$G$3:$I$10,3,FALSE),0)</f>
        <v>1.1475056554816235E-3</v>
      </c>
      <c r="K71" s="156">
        <f t="shared" ref="K71:K134" si="11">G71*$K$4</f>
        <v>80</v>
      </c>
      <c r="L71" s="156">
        <f t="shared" ref="L71:L134" si="12">G71*$L$4</f>
        <v>100</v>
      </c>
      <c r="M71" s="148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3" t="s">
        <v>529</v>
      </c>
      <c r="R71" s="167"/>
      <c r="AA71" s="170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5">
        <v>328.75</v>
      </c>
      <c r="H72" s="155">
        <v>854.27</v>
      </c>
      <c r="I72" s="155">
        <f t="shared" si="7"/>
        <v>-525.52</v>
      </c>
      <c r="J72" s="42">
        <f>IFERROR(G72/VLOOKUP(A72,RESUME!$G$3:$I$10,3,FALSE),0)</f>
        <v>3.7724248423958375E-3</v>
      </c>
      <c r="K72" s="155">
        <f t="shared" si="11"/>
        <v>263</v>
      </c>
      <c r="L72" s="155">
        <f t="shared" si="12"/>
        <v>328.75</v>
      </c>
      <c r="M72" s="146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51" t="s">
        <v>529</v>
      </c>
      <c r="R72" s="167"/>
      <c r="AA72" s="170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6">
        <v>109.79</v>
      </c>
      <c r="H73" s="156"/>
      <c r="I73" s="156">
        <f t="shared" si="7"/>
        <v>109.79</v>
      </c>
      <c r="J73" s="184">
        <f>IFERROR(G73/VLOOKUP(A73,RESUME!$G$3:$I$10,3,FALSE),0)</f>
        <v>1.2598464591532744E-3</v>
      </c>
      <c r="K73" s="156">
        <f t="shared" si="11"/>
        <v>87.832000000000008</v>
      </c>
      <c r="L73" s="156">
        <f t="shared" si="12"/>
        <v>109.79</v>
      </c>
      <c r="M73" s="148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3" t="s">
        <v>529</v>
      </c>
      <c r="R73" s="167"/>
      <c r="AA73" s="170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5">
        <v>169.38</v>
      </c>
      <c r="H74" s="155">
        <v>50.62</v>
      </c>
      <c r="I74" s="155">
        <f t="shared" si="7"/>
        <v>118.75999999999999</v>
      </c>
      <c r="J74" s="42">
        <f>IFERROR(G74/VLOOKUP(A74,RESUME!$G$3:$I$10,3,FALSE),0)</f>
        <v>1.9436450792547739E-3</v>
      </c>
      <c r="K74" s="155">
        <f t="shared" si="11"/>
        <v>135.50399999999999</v>
      </c>
      <c r="L74" s="155">
        <f t="shared" si="12"/>
        <v>169.38</v>
      </c>
      <c r="M74" s="146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51" t="s">
        <v>529</v>
      </c>
      <c r="R74" s="167"/>
      <c r="AA74" s="170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6">
        <v>142.08000000000001</v>
      </c>
      <c r="H75" s="156">
        <v>60.12</v>
      </c>
      <c r="I75" s="156">
        <f t="shared" si="7"/>
        <v>81.960000000000008</v>
      </c>
      <c r="J75" s="184">
        <f>IFERROR(G75/VLOOKUP(A75,RESUME!$G$3:$I$10,3,FALSE),0)</f>
        <v>1.6303760353082908E-3</v>
      </c>
      <c r="K75" s="156">
        <f t="shared" si="11"/>
        <v>113.66400000000002</v>
      </c>
      <c r="L75" s="156">
        <f t="shared" si="12"/>
        <v>142.08000000000001</v>
      </c>
      <c r="M75" s="148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3" t="s">
        <v>529</v>
      </c>
      <c r="R75" s="167"/>
      <c r="AA75" s="170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5">
        <v>4300</v>
      </c>
      <c r="H76" s="155">
        <v>2655.51</v>
      </c>
      <c r="I76" s="155">
        <f t="shared" si="7"/>
        <v>1644.4899999999998</v>
      </c>
      <c r="J76" s="42">
        <f>IFERROR(G76/VLOOKUP(A76,RESUME!$G$3:$I$10,3,FALSE),0)</f>
        <v>4.934274318570981E-2</v>
      </c>
      <c r="K76" s="155">
        <f t="shared" si="11"/>
        <v>3440</v>
      </c>
      <c r="L76" s="155">
        <f t="shared" si="12"/>
        <v>4300</v>
      </c>
      <c r="M76" s="146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51" t="s">
        <v>529</v>
      </c>
      <c r="R76" s="167"/>
      <c r="AA76" s="170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6">
        <v>1495.98</v>
      </c>
      <c r="H77" s="156">
        <v>402.21</v>
      </c>
      <c r="I77" s="156">
        <f t="shared" si="7"/>
        <v>1093.77</v>
      </c>
      <c r="J77" s="184">
        <f>IFERROR(G77/VLOOKUP(A77,RESUME!$G$3:$I$10,3,FALSE),0)</f>
        <v>1.7166455104873992E-2</v>
      </c>
      <c r="K77" s="156">
        <f t="shared" si="11"/>
        <v>1196.7840000000001</v>
      </c>
      <c r="L77" s="156">
        <f t="shared" si="12"/>
        <v>1495.98</v>
      </c>
      <c r="M77" s="148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3" t="s">
        <v>529</v>
      </c>
      <c r="R77" s="167"/>
      <c r="AA77" s="170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5">
        <v>516.97</v>
      </c>
      <c r="H78" s="155">
        <v>562.23</v>
      </c>
      <c r="I78" s="155">
        <f t="shared" si="7"/>
        <v>-45.259999999999991</v>
      </c>
      <c r="J78" s="42">
        <f>IFERROR(G78/VLOOKUP(A78,RESUME!$G$3:$I$10,3,FALSE),0)</f>
        <v>5.9322599871433493E-3</v>
      </c>
      <c r="K78" s="155">
        <f t="shared" si="11"/>
        <v>413.57600000000002</v>
      </c>
      <c r="L78" s="155">
        <f t="shared" si="12"/>
        <v>516.97</v>
      </c>
      <c r="M78" s="146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51" t="s">
        <v>529</v>
      </c>
      <c r="R78" s="167"/>
      <c r="AA78" s="170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6">
        <v>1463.62</v>
      </c>
      <c r="H79" s="156">
        <v>1068.93</v>
      </c>
      <c r="I79" s="156">
        <f t="shared" si="7"/>
        <v>394.68999999999983</v>
      </c>
      <c r="J79" s="184">
        <f>IFERROR(G79/VLOOKUP(A79,RESUME!$G$3:$I$10,3,FALSE),0)</f>
        <v>1.6795122274760137E-2</v>
      </c>
      <c r="K79" s="156">
        <f t="shared" si="11"/>
        <v>1170.896</v>
      </c>
      <c r="L79" s="156">
        <f t="shared" si="12"/>
        <v>1463.62</v>
      </c>
      <c r="M79" s="148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3" t="s">
        <v>529</v>
      </c>
      <c r="R79" s="167"/>
      <c r="AA79" s="170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5">
        <v>1779.8599999999997</v>
      </c>
      <c r="H80" s="155">
        <v>1304.79</v>
      </c>
      <c r="I80" s="155">
        <f t="shared" si="7"/>
        <v>475.06999999999971</v>
      </c>
      <c r="J80" s="42">
        <f>IFERROR(G80/VLOOKUP(A80,RESUME!$G$3:$I$10,3,FALSE),0)</f>
        <v>2.042399415965522E-2</v>
      </c>
      <c r="K80" s="155">
        <f t="shared" si="11"/>
        <v>1423.8879999999999</v>
      </c>
      <c r="L80" s="155">
        <f t="shared" si="12"/>
        <v>1779.8599999999997</v>
      </c>
      <c r="M80" s="146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51" t="s">
        <v>529</v>
      </c>
      <c r="R80" s="167"/>
      <c r="AA80" s="170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6">
        <v>1115.46</v>
      </c>
      <c r="H81" s="156">
        <v>1165.8</v>
      </c>
      <c r="I81" s="156">
        <f t="shared" si="7"/>
        <v>-50.339999999999918</v>
      </c>
      <c r="J81" s="184">
        <f>IFERROR(G81/VLOOKUP(A81,RESUME!$G$3:$I$10,3,FALSE),0)</f>
        <v>1.2799966584635319E-2</v>
      </c>
      <c r="K81" s="156">
        <f t="shared" si="11"/>
        <v>892.36800000000005</v>
      </c>
      <c r="L81" s="156">
        <f t="shared" si="12"/>
        <v>1115.46</v>
      </c>
      <c r="M81" s="148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3" t="s">
        <v>529</v>
      </c>
      <c r="R81" s="167"/>
      <c r="AA81" s="170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5">
        <v>651</v>
      </c>
      <c r="H82" s="155">
        <v>121.46</v>
      </c>
      <c r="I82" s="155">
        <f t="shared" si="7"/>
        <v>529.54</v>
      </c>
      <c r="J82" s="42">
        <f>IFERROR(G82/VLOOKUP(A82,RESUME!$G$3:$I$10,3,FALSE),0)</f>
        <v>7.4702618171853695E-3</v>
      </c>
      <c r="K82" s="155">
        <f t="shared" si="11"/>
        <v>520.80000000000007</v>
      </c>
      <c r="L82" s="155">
        <f t="shared" si="12"/>
        <v>651</v>
      </c>
      <c r="M82" s="146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51" t="s">
        <v>529</v>
      </c>
      <c r="R82" s="167"/>
      <c r="AA82" s="170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6">
        <v>466</v>
      </c>
      <c r="H83" s="156"/>
      <c r="I83" s="156">
        <f t="shared" si="7"/>
        <v>466</v>
      </c>
      <c r="J83" s="184">
        <f>IFERROR(G83/VLOOKUP(A83,RESUME!$G$3:$I$10,3,FALSE),0)</f>
        <v>5.3473763545443653E-3</v>
      </c>
      <c r="K83" s="156">
        <f t="shared" si="11"/>
        <v>372.8</v>
      </c>
      <c r="L83" s="156">
        <f t="shared" si="12"/>
        <v>466</v>
      </c>
      <c r="M83" s="148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3" t="s">
        <v>529</v>
      </c>
      <c r="R83" s="167"/>
      <c r="AA83" s="170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5">
        <v>1388.61</v>
      </c>
      <c r="H84" s="155"/>
      <c r="I84" s="155">
        <f t="shared" si="7"/>
        <v>1388.61</v>
      </c>
      <c r="J84" s="42">
        <f>IFERROR(G84/VLOOKUP(A84,RESUME!$G$3:$I$10,3,FALSE),0)</f>
        <v>1.5934378282583372E-2</v>
      </c>
      <c r="K84" s="155">
        <f t="shared" si="11"/>
        <v>1110.8879999999999</v>
      </c>
      <c r="L84" s="155">
        <f t="shared" si="12"/>
        <v>1388.61</v>
      </c>
      <c r="M84" s="146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51" t="s">
        <v>529</v>
      </c>
      <c r="R84" s="167"/>
      <c r="AA84" s="170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6">
        <v>221.29</v>
      </c>
      <c r="H85" s="156"/>
      <c r="I85" s="156">
        <f t="shared" si="7"/>
        <v>221.29</v>
      </c>
      <c r="J85" s="184">
        <f>IFERROR(G85/VLOOKUP(A85,RESUME!$G$3:$I$10,3,FALSE),0)</f>
        <v>2.5393152650152848E-3</v>
      </c>
      <c r="K85" s="156">
        <f t="shared" si="11"/>
        <v>177.03200000000001</v>
      </c>
      <c r="L85" s="156">
        <f t="shared" si="12"/>
        <v>221.29</v>
      </c>
      <c r="M85" s="148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3" t="s">
        <v>529</v>
      </c>
      <c r="R85" s="167"/>
      <c r="AA85" s="170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5">
        <v>764.4</v>
      </c>
      <c r="H86" s="155"/>
      <c r="I86" s="155">
        <f t="shared" si="7"/>
        <v>764.4</v>
      </c>
      <c r="J86" s="42">
        <f>IFERROR(G86/VLOOKUP(A86,RESUME!$G$3:$I$10,3,FALSE),0)</f>
        <v>8.7715332305015291E-3</v>
      </c>
      <c r="K86" s="155">
        <f t="shared" si="11"/>
        <v>611.52</v>
      </c>
      <c r="L86" s="155">
        <f t="shared" si="12"/>
        <v>764.4</v>
      </c>
      <c r="M86" s="146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51" t="s">
        <v>529</v>
      </c>
      <c r="R86" s="167"/>
      <c r="AA86" s="170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6">
        <v>255</v>
      </c>
      <c r="H87" s="156">
        <v>139.61000000000001</v>
      </c>
      <c r="I87" s="156">
        <f t="shared" si="7"/>
        <v>115.38999999999999</v>
      </c>
      <c r="J87" s="184">
        <f>IFERROR(G87/VLOOKUP(A87,RESUME!$G$3:$I$10,3,FALSE),0)</f>
        <v>2.9261394214781401E-3</v>
      </c>
      <c r="K87" s="156">
        <f t="shared" si="11"/>
        <v>204</v>
      </c>
      <c r="L87" s="156">
        <f t="shared" si="12"/>
        <v>255</v>
      </c>
      <c r="M87" s="148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3" t="s">
        <v>529</v>
      </c>
      <c r="R87" s="167"/>
      <c r="AA87" s="170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5">
        <v>200</v>
      </c>
      <c r="H88" s="155"/>
      <c r="I88" s="155">
        <f t="shared" si="7"/>
        <v>200</v>
      </c>
      <c r="J88" s="42">
        <f>IFERROR(G88/VLOOKUP(A88,RESUME!$G$3:$I$10,3,FALSE),0)</f>
        <v>2.2950113109632469E-3</v>
      </c>
      <c r="K88" s="155">
        <f t="shared" si="11"/>
        <v>160</v>
      </c>
      <c r="L88" s="155">
        <f t="shared" si="12"/>
        <v>200</v>
      </c>
      <c r="M88" s="146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51" t="s">
        <v>529</v>
      </c>
      <c r="R88" s="167"/>
      <c r="AA88" s="170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6">
        <v>464.37</v>
      </c>
      <c r="H89" s="156">
        <v>73.55</v>
      </c>
      <c r="I89" s="156">
        <f t="shared" si="7"/>
        <v>390.82</v>
      </c>
      <c r="J89" s="184">
        <f>IFERROR(G89/VLOOKUP(A89,RESUME!$G$3:$I$10,3,FALSE),0)</f>
        <v>5.3286720123600154E-3</v>
      </c>
      <c r="K89" s="156">
        <f t="shared" si="11"/>
        <v>371.49600000000004</v>
      </c>
      <c r="L89" s="156">
        <f t="shared" si="12"/>
        <v>464.37</v>
      </c>
      <c r="M89" s="148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3" t="s">
        <v>529</v>
      </c>
      <c r="R89" s="167"/>
      <c r="AA89" s="170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5">
        <v>515.79999999999995</v>
      </c>
      <c r="H90" s="155">
        <v>442.95</v>
      </c>
      <c r="I90" s="155">
        <f t="shared" si="7"/>
        <v>72.849999999999966</v>
      </c>
      <c r="J90" s="42">
        <f>IFERROR(G90/VLOOKUP(A90,RESUME!$G$3:$I$10,3,FALSE),0)</f>
        <v>5.9188341709742135E-3</v>
      </c>
      <c r="K90" s="155">
        <f t="shared" si="11"/>
        <v>412.64</v>
      </c>
      <c r="L90" s="155">
        <f t="shared" si="12"/>
        <v>515.79999999999995</v>
      </c>
      <c r="M90" s="146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51" t="s">
        <v>529</v>
      </c>
      <c r="R90" s="167"/>
      <c r="AA90" s="170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6">
        <v>1891.43</v>
      </c>
      <c r="H91" s="156">
        <v>1881.2</v>
      </c>
      <c r="I91" s="156">
        <f t="shared" si="7"/>
        <v>10.230000000000018</v>
      </c>
      <c r="J91" s="184">
        <f>IFERROR(G91/VLOOKUP(A91,RESUME!$G$3:$I$10,3,FALSE),0)</f>
        <v>2.1704266219476073E-2</v>
      </c>
      <c r="K91" s="156">
        <f t="shared" si="11"/>
        <v>1513.1440000000002</v>
      </c>
      <c r="L91" s="156">
        <f t="shared" si="12"/>
        <v>1891.43</v>
      </c>
      <c r="M91" s="148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3" t="s">
        <v>529</v>
      </c>
      <c r="R91" s="167"/>
      <c r="AA91" s="170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5">
        <v>1328.48</v>
      </c>
      <c r="H92" s="155">
        <v>1436.85</v>
      </c>
      <c r="I92" s="155">
        <f t="shared" si="7"/>
        <v>-108.36999999999989</v>
      </c>
      <c r="J92" s="42">
        <f>IFERROR(G92/VLOOKUP(A92,RESUME!$G$3:$I$10,3,FALSE),0)</f>
        <v>1.5244383131942272E-2</v>
      </c>
      <c r="K92" s="155">
        <f t="shared" si="11"/>
        <v>1062.7840000000001</v>
      </c>
      <c r="L92" s="155">
        <f t="shared" si="12"/>
        <v>1328.48</v>
      </c>
      <c r="M92" s="146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51" t="s">
        <v>529</v>
      </c>
      <c r="R92" s="167"/>
      <c r="AA92" s="170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6">
        <v>1328.28</v>
      </c>
      <c r="H93" s="156">
        <v>1377.62</v>
      </c>
      <c r="I93" s="156">
        <f t="shared" si="7"/>
        <v>-49.339999999999918</v>
      </c>
      <c r="J93" s="184">
        <f>IFERROR(G93/VLOOKUP(A93,RESUME!$G$3:$I$10,3,FALSE),0)</f>
        <v>1.5242088120631308E-2</v>
      </c>
      <c r="K93" s="156">
        <f t="shared" si="11"/>
        <v>1062.624</v>
      </c>
      <c r="L93" s="156">
        <f t="shared" si="12"/>
        <v>1328.28</v>
      </c>
      <c r="M93" s="148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3" t="s">
        <v>552</v>
      </c>
      <c r="R93" s="167"/>
      <c r="AA93" s="170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5">
        <v>2736.7799999999997</v>
      </c>
      <c r="H94" s="155"/>
      <c r="I94" s="155">
        <f t="shared" si="7"/>
        <v>2736.7799999999997</v>
      </c>
      <c r="J94" s="42">
        <f>IFERROR(G94/VLOOKUP(A94,RESUME!$G$3:$I$10,3,FALSE),0)</f>
        <v>2.7232510432328692E-2</v>
      </c>
      <c r="K94" s="155">
        <f t="shared" si="11"/>
        <v>2189.424</v>
      </c>
      <c r="L94" s="155">
        <f t="shared" si="12"/>
        <v>2736.7799999999997</v>
      </c>
      <c r="M94" s="146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51" t="s">
        <v>553</v>
      </c>
      <c r="R94" s="167"/>
      <c r="AA94" s="170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6">
        <v>200</v>
      </c>
      <c r="H95" s="156"/>
      <c r="I95" s="156">
        <f t="shared" si="7"/>
        <v>200</v>
      </c>
      <c r="J95" s="184">
        <f>IFERROR(G95/VLOOKUP(A95,RESUME!$G$3:$I$10,3,FALSE),0)</f>
        <v>1.990113230316554E-3</v>
      </c>
      <c r="K95" s="156">
        <f t="shared" si="11"/>
        <v>160</v>
      </c>
      <c r="L95" s="156">
        <f t="shared" si="12"/>
        <v>200</v>
      </c>
      <c r="M95" s="148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3" t="s">
        <v>529</v>
      </c>
      <c r="R95" s="167"/>
      <c r="AA95" s="170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5">
        <v>1460</v>
      </c>
      <c r="H96" s="155">
        <v>2181.4299999999998</v>
      </c>
      <c r="I96" s="155">
        <f t="shared" si="7"/>
        <v>-721.42999999999984</v>
      </c>
      <c r="J96" s="42">
        <f>IFERROR(G96/VLOOKUP(A96,RESUME!$G$3:$I$10,3,FALSE),0)</f>
        <v>1.4527826581310844E-2</v>
      </c>
      <c r="K96" s="155">
        <f t="shared" si="11"/>
        <v>1168</v>
      </c>
      <c r="L96" s="155">
        <f t="shared" si="12"/>
        <v>1460</v>
      </c>
      <c r="M96" s="146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51" t="s">
        <v>554</v>
      </c>
      <c r="R96" s="167"/>
      <c r="AA96" s="170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6">
        <v>4235.2299999999996</v>
      </c>
      <c r="H97" s="156"/>
      <c r="I97" s="156">
        <f t="shared" si="7"/>
        <v>4235.2299999999996</v>
      </c>
      <c r="J97" s="184">
        <f>IFERROR(G97/VLOOKUP(A97,RESUME!$G$3:$I$10,3,FALSE),0)</f>
        <v>4.2142936282167892E-2</v>
      </c>
      <c r="K97" s="156">
        <f t="shared" si="11"/>
        <v>3388.1839999999997</v>
      </c>
      <c r="L97" s="156">
        <f t="shared" si="12"/>
        <v>4235.2299999999996</v>
      </c>
      <c r="M97" s="148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3" t="s">
        <v>555</v>
      </c>
      <c r="R97" s="167"/>
      <c r="AA97" s="170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5">
        <v>821.62</v>
      </c>
      <c r="H98" s="155"/>
      <c r="I98" s="155">
        <f t="shared" si="7"/>
        <v>821.62</v>
      </c>
      <c r="J98" s="42">
        <f>IFERROR(G98/VLOOKUP(A98,RESUME!$G$3:$I$10,3,FALSE),0)</f>
        <v>8.175584161463436E-3</v>
      </c>
      <c r="K98" s="155">
        <f t="shared" si="11"/>
        <v>657.29600000000005</v>
      </c>
      <c r="L98" s="155">
        <f t="shared" si="12"/>
        <v>821.62</v>
      </c>
      <c r="M98" s="146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51" t="s">
        <v>529</v>
      </c>
      <c r="R98" s="167"/>
      <c r="AA98" s="170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6">
        <v>55</v>
      </c>
      <c r="H99" s="156"/>
      <c r="I99" s="156">
        <f t="shared" si="7"/>
        <v>55</v>
      </c>
      <c r="J99" s="184">
        <f>IFERROR(G99/VLOOKUP(A99,RESUME!$G$3:$I$10,3,FALSE),0)</f>
        <v>5.4728113833705236E-4</v>
      </c>
      <c r="K99" s="156">
        <f t="shared" si="11"/>
        <v>44</v>
      </c>
      <c r="L99" s="156">
        <f t="shared" si="12"/>
        <v>55</v>
      </c>
      <c r="M99" s="148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3" t="s">
        <v>529</v>
      </c>
      <c r="R99" s="167"/>
      <c r="AA99" s="170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5">
        <v>20.09</v>
      </c>
      <c r="H100" s="155"/>
      <c r="I100" s="155">
        <f t="shared" si="7"/>
        <v>20.09</v>
      </c>
      <c r="J100" s="42">
        <f>IFERROR(G100/VLOOKUP(A100,RESUME!$G$3:$I$10,3,FALSE),0)</f>
        <v>1.9990687398529784E-4</v>
      </c>
      <c r="K100" s="155">
        <f t="shared" si="11"/>
        <v>16.071999999999999</v>
      </c>
      <c r="L100" s="155">
        <f t="shared" si="12"/>
        <v>20.09</v>
      </c>
      <c r="M100" s="146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51" t="s">
        <v>529</v>
      </c>
      <c r="R100" s="167"/>
      <c r="AA100" s="170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6">
        <v>563</v>
      </c>
      <c r="H101" s="156">
        <v>84.77</v>
      </c>
      <c r="I101" s="156">
        <f t="shared" si="7"/>
        <v>478.23</v>
      </c>
      <c r="J101" s="184">
        <f>IFERROR(G101/VLOOKUP(A101,RESUME!$G$3:$I$10,3,FALSE),0)</f>
        <v>5.6021687433410999E-3</v>
      </c>
      <c r="K101" s="156">
        <f t="shared" si="11"/>
        <v>450.40000000000003</v>
      </c>
      <c r="L101" s="156">
        <f t="shared" si="12"/>
        <v>563</v>
      </c>
      <c r="M101" s="148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3" t="s">
        <v>529</v>
      </c>
      <c r="R101" s="167"/>
      <c r="AA101" s="170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5">
        <v>50</v>
      </c>
      <c r="H102" s="155"/>
      <c r="I102" s="155">
        <f t="shared" si="7"/>
        <v>50</v>
      </c>
      <c r="J102" s="42">
        <f>IFERROR(G102/VLOOKUP(A102,RESUME!$G$3:$I$10,3,FALSE),0)</f>
        <v>4.9752830757913849E-4</v>
      </c>
      <c r="K102" s="155">
        <f t="shared" si="11"/>
        <v>40</v>
      </c>
      <c r="L102" s="155">
        <f t="shared" si="12"/>
        <v>50</v>
      </c>
      <c r="M102" s="146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51" t="s">
        <v>529</v>
      </c>
      <c r="R102" s="167"/>
      <c r="AA102" s="170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6">
        <v>50</v>
      </c>
      <c r="H103" s="156"/>
      <c r="I103" s="156">
        <f t="shared" si="7"/>
        <v>50</v>
      </c>
      <c r="J103" s="184">
        <f>IFERROR(G103/VLOOKUP(A103,RESUME!$G$3:$I$10,3,FALSE),0)</f>
        <v>4.9752830757913849E-4</v>
      </c>
      <c r="K103" s="156">
        <f t="shared" si="11"/>
        <v>40</v>
      </c>
      <c r="L103" s="156">
        <f t="shared" si="12"/>
        <v>50</v>
      </c>
      <c r="M103" s="148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3" t="s">
        <v>529</v>
      </c>
      <c r="R103" s="167"/>
      <c r="AA103" s="170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5">
        <v>50</v>
      </c>
      <c r="H104" s="155">
        <v>1313.04</v>
      </c>
      <c r="I104" s="155">
        <f t="shared" si="7"/>
        <v>-1263.04</v>
      </c>
      <c r="J104" s="42">
        <f>IFERROR(G104/VLOOKUP(A104,RESUME!$G$3:$I$10,3,FALSE),0)</f>
        <v>4.9752830757913849E-4</v>
      </c>
      <c r="K104" s="155">
        <f t="shared" si="11"/>
        <v>40</v>
      </c>
      <c r="L104" s="155">
        <f t="shared" si="12"/>
        <v>50</v>
      </c>
      <c r="M104" s="146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51" t="s">
        <v>556</v>
      </c>
      <c r="R104" s="167"/>
      <c r="AA104" s="170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6">
        <v>50</v>
      </c>
      <c r="H105" s="156"/>
      <c r="I105" s="156">
        <f t="shared" si="7"/>
        <v>50</v>
      </c>
      <c r="J105" s="184">
        <f>IFERROR(G105/VLOOKUP(A105,RESUME!$G$3:$I$10,3,FALSE),0)</f>
        <v>4.9752830757913849E-4</v>
      </c>
      <c r="K105" s="156">
        <f t="shared" si="11"/>
        <v>40</v>
      </c>
      <c r="L105" s="156">
        <f t="shared" si="12"/>
        <v>50</v>
      </c>
      <c r="M105" s="148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3" t="s">
        <v>529</v>
      </c>
      <c r="R105" s="167"/>
      <c r="AA105" s="170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5">
        <v>50</v>
      </c>
      <c r="H106" s="155"/>
      <c r="I106" s="155">
        <f t="shared" si="7"/>
        <v>50</v>
      </c>
      <c r="J106" s="42">
        <f>IFERROR(G106/VLOOKUP(A106,RESUME!$G$3:$I$10,3,FALSE),0)</f>
        <v>4.9752830757913849E-4</v>
      </c>
      <c r="K106" s="155">
        <f t="shared" si="11"/>
        <v>40</v>
      </c>
      <c r="L106" s="155">
        <f t="shared" si="12"/>
        <v>50</v>
      </c>
      <c r="M106" s="146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51" t="s">
        <v>529</v>
      </c>
      <c r="R106" s="167"/>
      <c r="AA106" s="170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6">
        <v>50</v>
      </c>
      <c r="H107" s="156"/>
      <c r="I107" s="156">
        <f t="shared" si="7"/>
        <v>50</v>
      </c>
      <c r="J107" s="184">
        <f>IFERROR(G107/VLOOKUP(A107,RESUME!$G$3:$I$10,3,FALSE),0)</f>
        <v>4.9752830757913849E-4</v>
      </c>
      <c r="K107" s="156">
        <f t="shared" si="11"/>
        <v>40</v>
      </c>
      <c r="L107" s="156">
        <f t="shared" si="12"/>
        <v>50</v>
      </c>
      <c r="M107" s="148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3" t="s">
        <v>529</v>
      </c>
      <c r="R107" s="167"/>
      <c r="AA107" s="170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5">
        <v>3978</v>
      </c>
      <c r="H108" s="155">
        <v>4309.0600000000004</v>
      </c>
      <c r="I108" s="155">
        <f t="shared" si="7"/>
        <v>-331.0600000000004</v>
      </c>
      <c r="J108" s="42">
        <f>IFERROR(G108/VLOOKUP(A108,RESUME!$G$3:$I$10,3,FALSE),0)</f>
        <v>3.9583352150996259E-2</v>
      </c>
      <c r="K108" s="155">
        <f t="shared" si="11"/>
        <v>3182.4</v>
      </c>
      <c r="L108" s="155">
        <f t="shared" si="12"/>
        <v>3978</v>
      </c>
      <c r="M108" s="146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51" t="s">
        <v>529</v>
      </c>
      <c r="R108" s="167"/>
      <c r="AA108" s="170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6">
        <v>5000</v>
      </c>
      <c r="H109" s="156">
        <v>3055.97</v>
      </c>
      <c r="I109" s="156">
        <f t="shared" si="7"/>
        <v>1944.0300000000002</v>
      </c>
      <c r="J109" s="184">
        <f>IFERROR(G109/VLOOKUP(A109,RESUME!$G$3:$I$10,3,FALSE),0)</f>
        <v>4.9752830757913848E-2</v>
      </c>
      <c r="K109" s="156">
        <f t="shared" si="11"/>
        <v>4000</v>
      </c>
      <c r="L109" s="156">
        <f t="shared" si="12"/>
        <v>5000</v>
      </c>
      <c r="M109" s="148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3" t="s">
        <v>529</v>
      </c>
      <c r="R109" s="167"/>
      <c r="AA109" s="170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5">
        <v>3463.43</v>
      </c>
      <c r="H110" s="155">
        <v>3779.14</v>
      </c>
      <c r="I110" s="155">
        <f t="shared" si="7"/>
        <v>-315.71000000000004</v>
      </c>
      <c r="J110" s="42">
        <f>IFERROR(G110/VLOOKUP(A110,RESUME!$G$3:$I$10,3,FALSE),0)</f>
        <v>3.446308932637631E-2</v>
      </c>
      <c r="K110" s="155">
        <f t="shared" si="11"/>
        <v>2770.7440000000001</v>
      </c>
      <c r="L110" s="155">
        <f t="shared" si="12"/>
        <v>3463.43</v>
      </c>
      <c r="M110" s="146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51" t="s">
        <v>529</v>
      </c>
      <c r="R110" s="167"/>
      <c r="AA110" s="170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6">
        <v>23.95</v>
      </c>
      <c r="H111" s="156"/>
      <c r="I111" s="156">
        <f t="shared" si="7"/>
        <v>23.95</v>
      </c>
      <c r="J111" s="184">
        <f>IFERROR(G111/VLOOKUP(A111,RESUME!$G$3:$I$10,3,FALSE),0)</f>
        <v>2.3831605933040734E-4</v>
      </c>
      <c r="K111" s="156">
        <f t="shared" si="11"/>
        <v>19.16</v>
      </c>
      <c r="L111" s="156">
        <f t="shared" si="12"/>
        <v>23.95</v>
      </c>
      <c r="M111" s="148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3" t="s">
        <v>529</v>
      </c>
      <c r="R111" s="167"/>
      <c r="AA111" s="170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5">
        <v>47747.46</v>
      </c>
      <c r="H112" s="155"/>
      <c r="I112" s="155">
        <f t="shared" si="7"/>
        <v>47747.46</v>
      </c>
      <c r="J112" s="42">
        <f>IFERROR(G112/VLOOKUP(A112,RESUME!$G$3:$I$10,3,FALSE),0)</f>
        <v>0.47511425930005224</v>
      </c>
      <c r="K112" s="155">
        <f t="shared" si="11"/>
        <v>38197.968000000001</v>
      </c>
      <c r="L112" s="155">
        <f t="shared" si="12"/>
        <v>47747.46</v>
      </c>
      <c r="M112" s="146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51" t="s">
        <v>529</v>
      </c>
      <c r="R112" s="167"/>
      <c r="AA112" s="170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6">
        <v>2800</v>
      </c>
      <c r="H113" s="156"/>
      <c r="I113" s="156">
        <f t="shared" si="7"/>
        <v>2800</v>
      </c>
      <c r="J113" s="184">
        <f>IFERROR(G113/VLOOKUP(A113,RESUME!$G$3:$I$10,3,FALSE),0)</f>
        <v>2.7861585224431756E-2</v>
      </c>
      <c r="K113" s="156">
        <f t="shared" si="11"/>
        <v>2240</v>
      </c>
      <c r="L113" s="156">
        <f t="shared" si="12"/>
        <v>2800</v>
      </c>
      <c r="M113" s="148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3" t="s">
        <v>529</v>
      </c>
      <c r="R113" s="167"/>
      <c r="AA113" s="170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5">
        <v>812</v>
      </c>
      <c r="H114" s="155">
        <v>676.87</v>
      </c>
      <c r="I114" s="155">
        <f t="shared" si="7"/>
        <v>135.13</v>
      </c>
      <c r="J114" s="42">
        <f>IFERROR(G114/VLOOKUP(A114,RESUME!$G$3:$I$10,3,FALSE),0)</f>
        <v>8.0798597150852098E-3</v>
      </c>
      <c r="K114" s="155">
        <f t="shared" si="11"/>
        <v>649.6</v>
      </c>
      <c r="L114" s="155">
        <f t="shared" si="12"/>
        <v>812</v>
      </c>
      <c r="M114" s="146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51" t="s">
        <v>529</v>
      </c>
      <c r="R114" s="167"/>
      <c r="AA114" s="170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6">
        <v>26280.234329731342</v>
      </c>
      <c r="H115" s="156"/>
      <c r="I115" s="156">
        <f t="shared" si="7"/>
        <v>26280.234329731342</v>
      </c>
      <c r="J115" s="184">
        <f>IFERROR(G115/VLOOKUP(A115,RESUME!$G$3:$I$10,3,FALSE),0)</f>
        <v>0.26150321017708822</v>
      </c>
      <c r="K115" s="156">
        <f t="shared" si="11"/>
        <v>21024.187463785074</v>
      </c>
      <c r="L115" s="156">
        <f t="shared" si="12"/>
        <v>26280.234329731342</v>
      </c>
      <c r="M115" s="148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3" t="s">
        <v>557</v>
      </c>
      <c r="R115" s="167"/>
      <c r="AA115" s="170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5">
        <v>137.53</v>
      </c>
      <c r="H116" s="155"/>
      <c r="I116" s="155">
        <f t="shared" si="7"/>
        <v>137.53</v>
      </c>
      <c r="J116" s="42">
        <f>IFERROR(G116/VLOOKUP(A116,RESUME!$G$3:$I$10,3,FALSE),0)</f>
        <v>5.5495675892985874E-4</v>
      </c>
      <c r="K116" s="155">
        <f t="shared" si="11"/>
        <v>110.024</v>
      </c>
      <c r="L116" s="155">
        <f t="shared" si="12"/>
        <v>137.53</v>
      </c>
      <c r="M116" s="146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51" t="s">
        <v>529</v>
      </c>
      <c r="R116" s="167"/>
      <c r="AA116" s="170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6">
        <v>5157.3999999999996</v>
      </c>
      <c r="H117" s="156"/>
      <c r="I117" s="156">
        <f t="shared" si="7"/>
        <v>5157.3999999999996</v>
      </c>
      <c r="J117" s="184">
        <f>IFERROR(G117/VLOOKUP(A117,RESUME!$G$3:$I$10,3,FALSE),0)</f>
        <v>2.0810979339088584E-2</v>
      </c>
      <c r="K117" s="156">
        <f t="shared" si="11"/>
        <v>4125.92</v>
      </c>
      <c r="L117" s="156">
        <f t="shared" si="12"/>
        <v>5157.3999999999996</v>
      </c>
      <c r="M117" s="148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3" t="s">
        <v>529</v>
      </c>
      <c r="R117" s="167"/>
      <c r="AA117" s="170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5">
        <v>500</v>
      </c>
      <c r="H118" s="155">
        <v>90.17</v>
      </c>
      <c r="I118" s="155">
        <f t="shared" si="7"/>
        <v>409.83</v>
      </c>
      <c r="J118" s="42">
        <f>IFERROR(G118/VLOOKUP(A118,RESUME!$G$3:$I$10,3,FALSE),0)</f>
        <v>2.0175843776988971E-3</v>
      </c>
      <c r="K118" s="155">
        <f t="shared" si="11"/>
        <v>400</v>
      </c>
      <c r="L118" s="155">
        <f t="shared" si="12"/>
        <v>500</v>
      </c>
      <c r="M118" s="146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51" t="s">
        <v>529</v>
      </c>
      <c r="R118" s="167"/>
      <c r="AA118" s="170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6">
        <v>250</v>
      </c>
      <c r="H119" s="156"/>
      <c r="I119" s="156">
        <f t="shared" si="7"/>
        <v>250</v>
      </c>
      <c r="J119" s="184">
        <f>IFERROR(G119/VLOOKUP(A119,RESUME!$G$3:$I$10,3,FALSE),0)</f>
        <v>1.0087921888494486E-3</v>
      </c>
      <c r="K119" s="156">
        <f t="shared" si="11"/>
        <v>200</v>
      </c>
      <c r="L119" s="156">
        <f t="shared" si="12"/>
        <v>250</v>
      </c>
      <c r="M119" s="148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3" t="s">
        <v>529</v>
      </c>
      <c r="R119" s="167"/>
      <c r="AA119" s="170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5">
        <v>3183.98</v>
      </c>
      <c r="H120" s="155">
        <v>3929.89</v>
      </c>
      <c r="I120" s="155">
        <f t="shared" si="7"/>
        <v>-745.90999999999985</v>
      </c>
      <c r="J120" s="42">
        <f>IFERROR(G120/VLOOKUP(A120,RESUME!$G$3:$I$10,3,FALSE),0)</f>
        <v>1.284789661381147E-2</v>
      </c>
      <c r="K120" s="155">
        <f t="shared" si="11"/>
        <v>2547.1840000000002</v>
      </c>
      <c r="L120" s="155">
        <f t="shared" si="12"/>
        <v>3183.98</v>
      </c>
      <c r="M120" s="146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51" t="s">
        <v>529</v>
      </c>
      <c r="R120" s="167"/>
      <c r="AA120" s="170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6">
        <v>126.99</v>
      </c>
      <c r="H121" s="156"/>
      <c r="I121" s="156">
        <f t="shared" si="7"/>
        <v>126.99</v>
      </c>
      <c r="J121" s="184">
        <f>IFERROR(G121/VLOOKUP(A121,RESUME!$G$3:$I$10,3,FALSE),0)</f>
        <v>5.124260802479659E-4</v>
      </c>
      <c r="K121" s="156">
        <f t="shared" si="11"/>
        <v>101.592</v>
      </c>
      <c r="L121" s="156">
        <f t="shared" si="12"/>
        <v>126.99</v>
      </c>
      <c r="M121" s="148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3" t="s">
        <v>529</v>
      </c>
      <c r="R121" s="167"/>
      <c r="AA121" s="170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5">
        <v>754.58</v>
      </c>
      <c r="H122" s="155">
        <v>182.02</v>
      </c>
      <c r="I122" s="155">
        <f t="shared" si="7"/>
        <v>572.56000000000006</v>
      </c>
      <c r="J122" s="42">
        <f>IFERROR(G122/VLOOKUP(A122,RESUME!$G$3:$I$10,3,FALSE),0)</f>
        <v>3.0448576394480681E-3</v>
      </c>
      <c r="K122" s="155">
        <f t="shared" si="11"/>
        <v>603.6640000000001</v>
      </c>
      <c r="L122" s="155">
        <f t="shared" si="12"/>
        <v>754.58</v>
      </c>
      <c r="M122" s="146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51" t="s">
        <v>529</v>
      </c>
      <c r="R122" s="167"/>
      <c r="AA122" s="170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6">
        <v>6722.26</v>
      </c>
      <c r="H123" s="156">
        <v>3755.27</v>
      </c>
      <c r="I123" s="156">
        <f t="shared" si="7"/>
        <v>2966.9900000000002</v>
      </c>
      <c r="J123" s="184">
        <f>IFERROR(G123/VLOOKUP(A123,RESUME!$G$3:$I$10,3,FALSE),0)</f>
        <v>2.7125453517660381E-2</v>
      </c>
      <c r="K123" s="156">
        <f t="shared" si="11"/>
        <v>5377.8080000000009</v>
      </c>
      <c r="L123" s="156">
        <f t="shared" si="12"/>
        <v>6722.26</v>
      </c>
      <c r="M123" s="148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3" t="s">
        <v>529</v>
      </c>
      <c r="R123" s="167"/>
      <c r="AA123" s="170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5">
        <v>5152.29</v>
      </c>
      <c r="H124" s="155">
        <v>4098.6000000000004</v>
      </c>
      <c r="I124" s="155">
        <f t="shared" si="7"/>
        <v>1053.6899999999996</v>
      </c>
      <c r="J124" s="42">
        <f>IFERROR(G124/VLOOKUP(A124,RESUME!$G$3:$I$10,3,FALSE),0)</f>
        <v>2.0790359626748502E-2</v>
      </c>
      <c r="K124" s="155">
        <f t="shared" si="11"/>
        <v>4121.8320000000003</v>
      </c>
      <c r="L124" s="155">
        <f t="shared" si="12"/>
        <v>5152.29</v>
      </c>
      <c r="M124" s="146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51" t="s">
        <v>529</v>
      </c>
      <c r="R124" s="167"/>
      <c r="AA124" s="170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6">
        <v>3188</v>
      </c>
      <c r="H125" s="156">
        <v>827.12</v>
      </c>
      <c r="I125" s="156">
        <f t="shared" si="7"/>
        <v>2360.88</v>
      </c>
      <c r="J125" s="184">
        <f>IFERROR(G125/VLOOKUP(A125,RESUME!$G$3:$I$10,3,FALSE),0)</f>
        <v>1.2864117992208169E-2</v>
      </c>
      <c r="K125" s="156">
        <f t="shared" si="11"/>
        <v>2550.4</v>
      </c>
      <c r="L125" s="156">
        <f t="shared" si="12"/>
        <v>3188</v>
      </c>
      <c r="M125" s="148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3" t="s">
        <v>529</v>
      </c>
      <c r="R125" s="167"/>
      <c r="AA125" s="170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5">
        <v>2043.4899999999998</v>
      </c>
      <c r="H126" s="155"/>
      <c r="I126" s="155">
        <f t="shared" si="7"/>
        <v>2043.4899999999998</v>
      </c>
      <c r="J126" s="42">
        <f>IFERROR(G126/VLOOKUP(A126,RESUME!$G$3:$I$10,3,FALSE),0)</f>
        <v>8.2458269999678389E-3</v>
      </c>
      <c r="K126" s="155">
        <f t="shared" si="11"/>
        <v>1634.7919999999999</v>
      </c>
      <c r="L126" s="155">
        <f t="shared" si="12"/>
        <v>2043.4899999999998</v>
      </c>
      <c r="M126" s="146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51" t="s">
        <v>529</v>
      </c>
      <c r="R126" s="167"/>
      <c r="AA126" s="170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6">
        <v>78109.679999999993</v>
      </c>
      <c r="H127" s="156">
        <v>901.67</v>
      </c>
      <c r="I127" s="156">
        <f t="shared" si="7"/>
        <v>77208.009999999995</v>
      </c>
      <c r="J127" s="184">
        <f>IFERROR(G127/VLOOKUP(A127,RESUME!$G$3:$I$10,3,FALSE),0)</f>
        <v>0.31518574023011997</v>
      </c>
      <c r="K127" s="156">
        <f t="shared" si="11"/>
        <v>62487.743999999999</v>
      </c>
      <c r="L127" s="156">
        <f t="shared" si="12"/>
        <v>78109.679999999993</v>
      </c>
      <c r="M127" s="148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3" t="s">
        <v>529</v>
      </c>
      <c r="R127" s="167"/>
      <c r="AA127" s="170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5">
        <v>250</v>
      </c>
      <c r="H128" s="155"/>
      <c r="I128" s="155">
        <f t="shared" si="7"/>
        <v>250</v>
      </c>
      <c r="J128" s="42">
        <f>IFERROR(G128/VLOOKUP(A128,RESUME!$G$3:$I$10,3,FALSE),0)</f>
        <v>1.0087921888494486E-3</v>
      </c>
      <c r="K128" s="155">
        <f t="shared" si="11"/>
        <v>200</v>
      </c>
      <c r="L128" s="155">
        <f t="shared" si="12"/>
        <v>250</v>
      </c>
      <c r="M128" s="146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51" t="s">
        <v>529</v>
      </c>
      <c r="R128" s="167"/>
      <c r="AA128" s="170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6">
        <v>250</v>
      </c>
      <c r="H129" s="156"/>
      <c r="I129" s="156">
        <f t="shared" si="7"/>
        <v>250</v>
      </c>
      <c r="J129" s="184">
        <f>IFERROR(G129/VLOOKUP(A129,RESUME!$G$3:$I$10,3,FALSE),0)</f>
        <v>1.0087921888494486E-3</v>
      </c>
      <c r="K129" s="156">
        <f t="shared" si="11"/>
        <v>200</v>
      </c>
      <c r="L129" s="156">
        <f t="shared" si="12"/>
        <v>250</v>
      </c>
      <c r="M129" s="148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3" t="s">
        <v>529</v>
      </c>
      <c r="R129" s="167"/>
      <c r="AA129" s="170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5">
        <v>250</v>
      </c>
      <c r="H130" s="155">
        <v>158.19999999999999</v>
      </c>
      <c r="I130" s="155">
        <f t="shared" si="7"/>
        <v>91.800000000000011</v>
      </c>
      <c r="J130" s="42">
        <f>IFERROR(G130/VLOOKUP(A130,RESUME!$G$3:$I$10,3,FALSE),0)</f>
        <v>1.0087921888494486E-3</v>
      </c>
      <c r="K130" s="155">
        <f t="shared" si="11"/>
        <v>200</v>
      </c>
      <c r="L130" s="155">
        <f t="shared" si="12"/>
        <v>250</v>
      </c>
      <c r="M130" s="146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51" t="s">
        <v>529</v>
      </c>
      <c r="R130" s="167"/>
      <c r="AA130" s="170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6">
        <v>250</v>
      </c>
      <c r="H131" s="156">
        <v>471.43</v>
      </c>
      <c r="I131" s="156">
        <f t="shared" si="7"/>
        <v>-221.43</v>
      </c>
      <c r="J131" s="184">
        <f>IFERROR(G131/VLOOKUP(A131,RESUME!$G$3:$I$10,3,FALSE),0)</f>
        <v>1.0087921888494486E-3</v>
      </c>
      <c r="K131" s="156">
        <f t="shared" si="11"/>
        <v>200</v>
      </c>
      <c r="L131" s="156">
        <f t="shared" si="12"/>
        <v>250</v>
      </c>
      <c r="M131" s="148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3" t="s">
        <v>529</v>
      </c>
      <c r="R131" s="167"/>
      <c r="AA131" s="170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5">
        <v>10800</v>
      </c>
      <c r="H132" s="155"/>
      <c r="I132" s="155">
        <f t="shared" si="7"/>
        <v>10800</v>
      </c>
      <c r="J132" s="42">
        <f>IFERROR(G132/VLOOKUP(A132,RESUME!$G$3:$I$10,3,FALSE),0)</f>
        <v>4.3579822558296184E-2</v>
      </c>
      <c r="K132" s="155">
        <f t="shared" si="11"/>
        <v>8640</v>
      </c>
      <c r="L132" s="155">
        <f t="shared" si="12"/>
        <v>10800</v>
      </c>
      <c r="M132" s="146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51" t="s">
        <v>529</v>
      </c>
      <c r="R132" s="167"/>
      <c r="AA132" s="170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6">
        <v>1500</v>
      </c>
      <c r="H133" s="156">
        <v>3525.46</v>
      </c>
      <c r="I133" s="156">
        <f t="shared" si="7"/>
        <v>-2025.46</v>
      </c>
      <c r="J133" s="184">
        <f>IFERROR(G133/VLOOKUP(A133,RESUME!$G$3:$I$10,3,FALSE),0)</f>
        <v>6.0527531330966918E-3</v>
      </c>
      <c r="K133" s="156">
        <f t="shared" si="11"/>
        <v>1200</v>
      </c>
      <c r="L133" s="156">
        <f t="shared" si="12"/>
        <v>1500</v>
      </c>
      <c r="M133" s="148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3" t="s">
        <v>529</v>
      </c>
      <c r="R133" s="167"/>
      <c r="AA133" s="170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5">
        <v>504.76</v>
      </c>
      <c r="H134" s="155"/>
      <c r="I134" s="155">
        <f t="shared" ref="I134:I162" si="14">G134-H134</f>
        <v>504.76</v>
      </c>
      <c r="J134" s="42">
        <f>IFERROR(G134/VLOOKUP(A134,RESUME!$G$3:$I$10,3,FALSE),0)</f>
        <v>2.0367917809745906E-3</v>
      </c>
      <c r="K134" s="155">
        <f t="shared" si="11"/>
        <v>403.80799999999999</v>
      </c>
      <c r="L134" s="155">
        <f t="shared" si="12"/>
        <v>504.76</v>
      </c>
      <c r="M134" s="146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51" t="s">
        <v>529</v>
      </c>
      <c r="R134" s="167"/>
      <c r="AA134" s="170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6">
        <v>5702.68</v>
      </c>
      <c r="H135" s="156"/>
      <c r="I135" s="156">
        <f t="shared" si="14"/>
        <v>5702.68</v>
      </c>
      <c r="J135" s="184">
        <f>IFERROR(G135/VLOOKUP(A135,RESUME!$G$3:$I$10,3,FALSE),0)</f>
        <v>2.3011276158031897E-2</v>
      </c>
      <c r="K135" s="156">
        <f t="shared" ref="K135:K162" si="18">G135*$K$4</f>
        <v>4562.1440000000002</v>
      </c>
      <c r="L135" s="156">
        <f t="shared" ref="L135:L162" si="19">G135*$L$4</f>
        <v>5702.68</v>
      </c>
      <c r="M135" s="148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3" t="s">
        <v>529</v>
      </c>
      <c r="R135" s="167"/>
      <c r="AA135" s="170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5">
        <v>700</v>
      </c>
      <c r="H136" s="155">
        <v>443.59</v>
      </c>
      <c r="I136" s="155">
        <f t="shared" si="14"/>
        <v>256.41000000000003</v>
      </c>
      <c r="J136" s="42">
        <f>IFERROR(G136/VLOOKUP(A136,RESUME!$G$3:$I$10,3,FALSE),0)</f>
        <v>2.8246181287784563E-3</v>
      </c>
      <c r="K136" s="155">
        <f t="shared" si="18"/>
        <v>560</v>
      </c>
      <c r="L136" s="155">
        <f t="shared" si="19"/>
        <v>700</v>
      </c>
      <c r="M136" s="146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51" t="s">
        <v>529</v>
      </c>
      <c r="R136" s="167"/>
      <c r="AA136" s="170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6">
        <v>300</v>
      </c>
      <c r="H137" s="156"/>
      <c r="I137" s="156">
        <f t="shared" si="14"/>
        <v>300</v>
      </c>
      <c r="J137" s="184">
        <f>IFERROR(G137/VLOOKUP(A137,RESUME!$G$3:$I$10,3,FALSE),0)</f>
        <v>1.2105506266193384E-3</v>
      </c>
      <c r="K137" s="156">
        <f t="shared" si="18"/>
        <v>240</v>
      </c>
      <c r="L137" s="156">
        <f t="shared" si="19"/>
        <v>300</v>
      </c>
      <c r="M137" s="148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3" t="s">
        <v>529</v>
      </c>
      <c r="R137" s="167"/>
      <c r="AA137" s="170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5">
        <v>3500</v>
      </c>
      <c r="H138" s="155">
        <v>4436.3599999999997</v>
      </c>
      <c r="I138" s="155">
        <f t="shared" si="14"/>
        <v>-936.35999999999967</v>
      </c>
      <c r="J138" s="42">
        <f>IFERROR(G138/VLOOKUP(A138,RESUME!$G$3:$I$10,3,FALSE),0)</f>
        <v>1.4123090643892281E-2</v>
      </c>
      <c r="K138" s="155">
        <f t="shared" si="18"/>
        <v>2800</v>
      </c>
      <c r="L138" s="155">
        <f t="shared" si="19"/>
        <v>3500</v>
      </c>
      <c r="M138" s="146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51" t="s">
        <v>529</v>
      </c>
      <c r="R138" s="167"/>
      <c r="AA138" s="170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6">
        <v>512.71</v>
      </c>
      <c r="H139" s="156"/>
      <c r="I139" s="156">
        <f t="shared" si="14"/>
        <v>512.71</v>
      </c>
      <c r="J139" s="184">
        <f>IFERROR(G139/VLOOKUP(A139,RESUME!$G$3:$I$10,3,FALSE),0)</f>
        <v>2.0688713725800032E-3</v>
      </c>
      <c r="K139" s="156">
        <f t="shared" si="18"/>
        <v>410.16800000000006</v>
      </c>
      <c r="L139" s="156">
        <f t="shared" si="19"/>
        <v>512.71</v>
      </c>
      <c r="M139" s="148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3" t="s">
        <v>529</v>
      </c>
      <c r="R139" s="167"/>
      <c r="AA139" s="170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5">
        <v>754.58</v>
      </c>
      <c r="H140" s="155">
        <v>729.12999999999988</v>
      </c>
      <c r="I140" s="155">
        <f t="shared" si="14"/>
        <v>25.450000000000159</v>
      </c>
      <c r="J140" s="42">
        <f>IFERROR(G140/VLOOKUP(A140,RESUME!$G$3:$I$10,3,FALSE),0)</f>
        <v>3.0448576394480681E-3</v>
      </c>
      <c r="K140" s="155">
        <f t="shared" si="18"/>
        <v>603.6640000000001</v>
      </c>
      <c r="L140" s="155">
        <f t="shared" si="19"/>
        <v>754.58</v>
      </c>
      <c r="M140" s="146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51" t="s">
        <v>529</v>
      </c>
      <c r="R140" s="167"/>
      <c r="AA140" s="170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6"/>
      <c r="H141" s="156">
        <v>529.23</v>
      </c>
      <c r="I141" s="156">
        <f t="shared" si="14"/>
        <v>-529.23</v>
      </c>
      <c r="J141" s="184">
        <f>IFERROR(G141/VLOOKUP(A141,RESUME!$G$3:$I$10,3,FALSE),0)</f>
        <v>0</v>
      </c>
      <c r="K141" s="156">
        <f t="shared" si="18"/>
        <v>0</v>
      </c>
      <c r="L141" s="156">
        <f t="shared" si="19"/>
        <v>0</v>
      </c>
      <c r="M141" s="148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3" t="s">
        <v>529</v>
      </c>
      <c r="R141" s="167"/>
      <c r="AA141" s="170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5">
        <v>5672.9500000000007</v>
      </c>
      <c r="H142" s="155">
        <v>2872.63</v>
      </c>
      <c r="I142" s="155">
        <f t="shared" si="14"/>
        <v>2800.3200000000006</v>
      </c>
      <c r="J142" s="42">
        <f>IFERROR(G142/VLOOKUP(A142,RESUME!$G$3:$I$10,3,FALSE),0)</f>
        <v>2.2891310590933921E-2</v>
      </c>
      <c r="K142" s="155">
        <f t="shared" si="18"/>
        <v>4538.3600000000006</v>
      </c>
      <c r="L142" s="155">
        <f t="shared" si="19"/>
        <v>5672.9500000000007</v>
      </c>
      <c r="M142" s="146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51" t="s">
        <v>529</v>
      </c>
      <c r="R142" s="167"/>
      <c r="AA142" s="170"/>
    </row>
    <row r="143" spans="1:27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6">
        <v>4918.54</v>
      </c>
      <c r="H143" s="156">
        <v>5107.6000000000004</v>
      </c>
      <c r="I143" s="156">
        <f t="shared" si="14"/>
        <v>-189.0600000000004</v>
      </c>
      <c r="J143" s="184">
        <f>IFERROR(G143/VLOOKUP(A143,RESUME!$G$3:$I$10,3,FALSE),0)</f>
        <v>1.9847138930174268E-2</v>
      </c>
      <c r="K143" s="156">
        <f t="shared" si="18"/>
        <v>3934.8320000000003</v>
      </c>
      <c r="L143" s="156">
        <f t="shared" si="19"/>
        <v>4918.54</v>
      </c>
      <c r="M143" s="148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163" t="s">
        <v>529</v>
      </c>
      <c r="R143" s="167"/>
      <c r="AA143" s="170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5">
        <v>1600</v>
      </c>
      <c r="H144" s="155">
        <v>436.66</v>
      </c>
      <c r="I144" s="155">
        <f t="shared" si="14"/>
        <v>1163.3399999999999</v>
      </c>
      <c r="J144" s="42">
        <f>IFERROR(G144/VLOOKUP(A144,RESUME!$G$3:$I$10,3,FALSE),0)</f>
        <v>6.4562700086364709E-3</v>
      </c>
      <c r="K144" s="155">
        <f t="shared" si="18"/>
        <v>1280</v>
      </c>
      <c r="L144" s="155">
        <f t="shared" si="19"/>
        <v>1600</v>
      </c>
      <c r="M144" s="146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51" t="s">
        <v>529</v>
      </c>
      <c r="R144" s="167"/>
      <c r="AA144" s="170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6">
        <v>3106.38</v>
      </c>
      <c r="H145" s="156">
        <v>160.61000000000001</v>
      </c>
      <c r="I145" s="156">
        <f t="shared" si="14"/>
        <v>2945.77</v>
      </c>
      <c r="J145" s="184">
        <f>IFERROR(G145/VLOOKUP(A145,RESUME!$G$3:$I$10,3,FALSE),0)</f>
        <v>1.2534767518392602E-2</v>
      </c>
      <c r="K145" s="156">
        <f t="shared" si="18"/>
        <v>2485.1040000000003</v>
      </c>
      <c r="L145" s="156">
        <f t="shared" si="19"/>
        <v>3106.38</v>
      </c>
      <c r="M145" s="148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3" t="s">
        <v>529</v>
      </c>
      <c r="R145" s="167"/>
      <c r="AA145" s="170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5">
        <v>97892.700000000012</v>
      </c>
      <c r="H146" s="155">
        <v>901.66</v>
      </c>
      <c r="I146" s="155">
        <f t="shared" si="14"/>
        <v>96991.040000000008</v>
      </c>
      <c r="J146" s="42">
        <f>IFERROR(G146/VLOOKUP(A146,RESUME!$G$3:$I$10,3,FALSE),0)</f>
        <v>0.39501356442152974</v>
      </c>
      <c r="K146" s="155">
        <f t="shared" si="18"/>
        <v>78314.160000000018</v>
      </c>
      <c r="L146" s="155">
        <f t="shared" si="19"/>
        <v>97892.700000000012</v>
      </c>
      <c r="M146" s="146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51" t="s">
        <v>529</v>
      </c>
      <c r="R146" s="167"/>
      <c r="AA146" s="170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6">
        <v>300</v>
      </c>
      <c r="H147" s="156"/>
      <c r="I147" s="156">
        <f t="shared" si="14"/>
        <v>300</v>
      </c>
      <c r="J147" s="184">
        <f>IFERROR(G147/VLOOKUP(A147,RESUME!$G$3:$I$10,3,FALSE),0)</f>
        <v>1.2105506266193384E-3</v>
      </c>
      <c r="K147" s="156">
        <f t="shared" si="18"/>
        <v>240</v>
      </c>
      <c r="L147" s="156">
        <f t="shared" si="19"/>
        <v>300</v>
      </c>
      <c r="M147" s="148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3" t="s">
        <v>529</v>
      </c>
      <c r="R147" s="167"/>
      <c r="AA147" s="170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5">
        <v>300</v>
      </c>
      <c r="H148" s="155"/>
      <c r="I148" s="155">
        <f t="shared" si="14"/>
        <v>300</v>
      </c>
      <c r="J148" s="42">
        <f>IFERROR(G148/VLOOKUP(A148,RESUME!$G$3:$I$10,3,FALSE),0)</f>
        <v>1.2105506266193384E-3</v>
      </c>
      <c r="K148" s="155">
        <f t="shared" si="18"/>
        <v>240</v>
      </c>
      <c r="L148" s="155">
        <f t="shared" si="19"/>
        <v>300</v>
      </c>
      <c r="M148" s="146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51" t="s">
        <v>529</v>
      </c>
      <c r="R148" s="167"/>
      <c r="AA148" s="170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6">
        <v>300</v>
      </c>
      <c r="H149" s="156">
        <v>538.35</v>
      </c>
      <c r="I149" s="156">
        <f t="shared" si="14"/>
        <v>-238.35000000000002</v>
      </c>
      <c r="J149" s="184">
        <f>IFERROR(G149/VLOOKUP(A149,RESUME!$G$3:$I$10,3,FALSE),0)</f>
        <v>1.2105506266193384E-3</v>
      </c>
      <c r="K149" s="156">
        <f t="shared" si="18"/>
        <v>240</v>
      </c>
      <c r="L149" s="156">
        <f t="shared" si="19"/>
        <v>300</v>
      </c>
      <c r="M149" s="148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3" t="s">
        <v>529</v>
      </c>
      <c r="R149" s="167"/>
      <c r="AA149" s="170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5">
        <v>300</v>
      </c>
      <c r="H150" s="155">
        <v>120.24</v>
      </c>
      <c r="I150" s="155">
        <f t="shared" si="14"/>
        <v>179.76</v>
      </c>
      <c r="J150" s="42">
        <f>IFERROR(G150/VLOOKUP(A150,RESUME!$G$3:$I$10,3,FALSE),0)</f>
        <v>1.2105506266193384E-3</v>
      </c>
      <c r="K150" s="155">
        <f t="shared" si="18"/>
        <v>240</v>
      </c>
      <c r="L150" s="155">
        <f t="shared" si="19"/>
        <v>300</v>
      </c>
      <c r="M150" s="146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51" t="s">
        <v>529</v>
      </c>
      <c r="R150" s="167"/>
      <c r="AA150" s="170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6">
        <v>2346.61</v>
      </c>
      <c r="H151" s="156">
        <v>4045.48</v>
      </c>
      <c r="I151" s="156">
        <f t="shared" si="14"/>
        <v>-1698.87</v>
      </c>
      <c r="J151" s="184">
        <f>IFERROR(G151/VLOOKUP(A151,RESUME!$G$3:$I$10,3,FALSE),0)</f>
        <v>9.46896735310402E-3</v>
      </c>
      <c r="K151" s="156">
        <f t="shared" si="18"/>
        <v>1877.2880000000002</v>
      </c>
      <c r="L151" s="156">
        <f t="shared" si="19"/>
        <v>2346.61</v>
      </c>
      <c r="M151" s="148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3" t="s">
        <v>529</v>
      </c>
      <c r="R151" s="167"/>
      <c r="AA151" s="170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5">
        <v>483</v>
      </c>
      <c r="H152" s="155"/>
      <c r="I152" s="155">
        <f t="shared" si="14"/>
        <v>483</v>
      </c>
      <c r="J152" s="42">
        <f>IFERROR(G152/VLOOKUP(A152,RESUME!$G$3:$I$10,3,FALSE),0)</f>
        <v>1.9489865088571348E-3</v>
      </c>
      <c r="K152" s="155">
        <f t="shared" si="18"/>
        <v>386.40000000000003</v>
      </c>
      <c r="L152" s="155">
        <f t="shared" si="19"/>
        <v>483</v>
      </c>
      <c r="M152" s="146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51" t="s">
        <v>529</v>
      </c>
      <c r="R152" s="167"/>
      <c r="AA152" s="170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6">
        <v>943.01</v>
      </c>
      <c r="H153" s="156">
        <v>474.59</v>
      </c>
      <c r="I153" s="156">
        <f t="shared" si="14"/>
        <v>468.42</v>
      </c>
      <c r="J153" s="184">
        <f>IFERROR(G153/VLOOKUP(A153,RESUME!$G$3:$I$10,3,FALSE),0)</f>
        <v>1.0674639092355137E-2</v>
      </c>
      <c r="K153" s="156">
        <f t="shared" si="18"/>
        <v>754.40800000000002</v>
      </c>
      <c r="L153" s="156">
        <f t="shared" si="19"/>
        <v>943.01</v>
      </c>
      <c r="M153" s="148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3" t="s">
        <v>558</v>
      </c>
      <c r="R153" s="167"/>
      <c r="AA153" s="170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5">
        <v>3000</v>
      </c>
      <c r="H154" s="155">
        <v>680.2</v>
      </c>
      <c r="I154" s="155">
        <f t="shared" si="14"/>
        <v>2319.8000000000002</v>
      </c>
      <c r="J154" s="42">
        <f>IFERROR(G154/VLOOKUP(A154,RESUME!$G$3:$I$10,3,FALSE),0)</f>
        <v>3.3959255232781635E-2</v>
      </c>
      <c r="K154" s="155">
        <f t="shared" si="18"/>
        <v>2400</v>
      </c>
      <c r="L154" s="155">
        <f t="shared" si="19"/>
        <v>3000</v>
      </c>
      <c r="M154" s="146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51" t="s">
        <v>559</v>
      </c>
      <c r="R154" s="167"/>
      <c r="AA154" s="170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6">
        <v>27000</v>
      </c>
      <c r="H155" s="156">
        <v>4859.3</v>
      </c>
      <c r="I155" s="156">
        <f t="shared" si="14"/>
        <v>22140.7</v>
      </c>
      <c r="J155" s="184">
        <f>IFERROR(G155/VLOOKUP(A155,RESUME!$G$3:$I$10,3,FALSE),0)</f>
        <v>0.30563329709503473</v>
      </c>
      <c r="K155" s="156">
        <f t="shared" si="18"/>
        <v>21600</v>
      </c>
      <c r="L155" s="156">
        <f t="shared" si="19"/>
        <v>27000</v>
      </c>
      <c r="M155" s="148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3" t="s">
        <v>560</v>
      </c>
      <c r="R155" s="167"/>
      <c r="AA155" s="170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5">
        <v>743.73</v>
      </c>
      <c r="H156" s="155"/>
      <c r="I156" s="155">
        <f t="shared" si="14"/>
        <v>743.73</v>
      </c>
      <c r="J156" s="42">
        <f>IFERROR(G156/VLOOKUP(A156,RESUME!$G$3:$I$10,3,FALSE),0)</f>
        <v>8.4188389647588957E-3</v>
      </c>
      <c r="K156" s="155">
        <f t="shared" si="18"/>
        <v>594.98400000000004</v>
      </c>
      <c r="L156" s="155">
        <f t="shared" si="19"/>
        <v>743.73</v>
      </c>
      <c r="M156" s="146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51" t="s">
        <v>529</v>
      </c>
      <c r="R156" s="167"/>
      <c r="AA156" s="170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6">
        <v>2000</v>
      </c>
      <c r="H157" s="156">
        <v>171.94</v>
      </c>
      <c r="I157" s="156">
        <f t="shared" si="14"/>
        <v>1828.06</v>
      </c>
      <c r="J157" s="184">
        <f>IFERROR(G157/VLOOKUP(A157,RESUME!$G$3:$I$10,3,FALSE),0)</f>
        <v>2.263950348852109E-2</v>
      </c>
      <c r="K157" s="156">
        <f t="shared" si="18"/>
        <v>1600</v>
      </c>
      <c r="L157" s="156">
        <f t="shared" si="19"/>
        <v>2000</v>
      </c>
      <c r="M157" s="148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3" t="s">
        <v>561</v>
      </c>
      <c r="R157" s="167"/>
      <c r="AA157" s="170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5">
        <v>1000</v>
      </c>
      <c r="H158" s="155">
        <v>91.72</v>
      </c>
      <c r="I158" s="155">
        <f t="shared" si="14"/>
        <v>908.28</v>
      </c>
      <c r="J158" s="42">
        <f>IFERROR(G158/VLOOKUP(A158,RESUME!$G$3:$I$10,3,FALSE),0)</f>
        <v>1.1319751744260545E-2</v>
      </c>
      <c r="K158" s="155">
        <f t="shared" si="18"/>
        <v>800</v>
      </c>
      <c r="L158" s="155">
        <f t="shared" si="19"/>
        <v>1000</v>
      </c>
      <c r="M158" s="146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51" t="s">
        <v>562</v>
      </c>
      <c r="R158" s="167"/>
      <c r="AA158" s="170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6">
        <v>1000</v>
      </c>
      <c r="H159" s="156">
        <v>212.18</v>
      </c>
      <c r="I159" s="156">
        <f t="shared" si="14"/>
        <v>787.81999999999994</v>
      </c>
      <c r="J159" s="184">
        <f>IFERROR(G159/VLOOKUP(A159,RESUME!$G$3:$I$10,3,FALSE),0)</f>
        <v>1.1319751744260545E-2</v>
      </c>
      <c r="K159" s="156">
        <f t="shared" si="18"/>
        <v>800</v>
      </c>
      <c r="L159" s="156">
        <f t="shared" si="19"/>
        <v>1000</v>
      </c>
      <c r="M159" s="148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3" t="s">
        <v>563</v>
      </c>
      <c r="R159" s="167"/>
      <c r="AA159" s="170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5">
        <v>1000</v>
      </c>
      <c r="H160" s="155">
        <v>187.31</v>
      </c>
      <c r="I160" s="155">
        <f t="shared" si="14"/>
        <v>812.69</v>
      </c>
      <c r="J160" s="42">
        <f>IFERROR(G160/VLOOKUP(A160,RESUME!$G$3:$I$10,3,FALSE),0)</f>
        <v>1.1319751744260545E-2</v>
      </c>
      <c r="K160" s="155">
        <f t="shared" si="18"/>
        <v>800</v>
      </c>
      <c r="L160" s="155">
        <f t="shared" si="19"/>
        <v>1000</v>
      </c>
      <c r="M160" s="146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51" t="s">
        <v>564</v>
      </c>
      <c r="R160" s="167"/>
      <c r="AA160" s="170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6">
        <v>45654.420000000006</v>
      </c>
      <c r="H161" s="156"/>
      <c r="I161" s="156">
        <f t="shared" si="14"/>
        <v>45654.420000000006</v>
      </c>
      <c r="J161" s="184">
        <f>IFERROR(G161/VLOOKUP(A161,RESUME!$G$3:$I$10,3,FALSE),0)</f>
        <v>0.51679670042820358</v>
      </c>
      <c r="K161" s="156">
        <f t="shared" si="18"/>
        <v>36523.536000000007</v>
      </c>
      <c r="L161" s="156">
        <f t="shared" si="19"/>
        <v>45654.420000000006</v>
      </c>
      <c r="M161" s="148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3" t="s">
        <v>565</v>
      </c>
      <c r="R161" s="167"/>
      <c r="AA161" s="170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5">
        <v>6000</v>
      </c>
      <c r="H162" s="155"/>
      <c r="I162" s="155">
        <f t="shared" si="14"/>
        <v>6000</v>
      </c>
      <c r="J162" s="42">
        <f>IFERROR(G162/VLOOKUP(A162,RESUME!$G$3:$I$10,3,FALSE),0)</f>
        <v>6.791851046556327E-2</v>
      </c>
      <c r="K162" s="155">
        <f t="shared" si="18"/>
        <v>4800</v>
      </c>
      <c r="L162" s="155">
        <f t="shared" si="19"/>
        <v>6000</v>
      </c>
      <c r="M162" s="146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51" t="s">
        <v>566</v>
      </c>
      <c r="R162" s="167"/>
      <c r="AA162" s="170"/>
    </row>
  </sheetData>
  <autoFilter ref="A5:Q162" xr:uid="{00000000-0001-0000-0000-000000000000}">
    <filterColumn colId="13">
      <customFilters>
        <customFilter operator="notEqual" val="ACCOUNT TIDAK DITEMUKAN"/>
      </customFilters>
    </filterColumn>
  </autoFilter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7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20.140625" style="1" bestFit="1" customWidth="1"/>
    <col min="15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2" ht="15.75" customHeight="1">
      <c r="A1" s="219" t="str">
        <f ca="1">"MONTHLY BUDGET TH "&amp;YEAR(TODAY())</f>
        <v>MONTHLY BUDGET TH 2024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</row>
    <row r="2" spans="1:22" ht="28.5" customHeight="1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</row>
    <row r="3" spans="1:22" s="49" customFormat="1" ht="17.25" customHeight="1">
      <c r="A3" s="154" t="str">
        <f>'All Costing'!A3</f>
        <v>Periode : February-2024</v>
      </c>
      <c r="B3" s="51"/>
      <c r="C3" s="51"/>
      <c r="D3" s="45"/>
      <c r="E3" s="45"/>
      <c r="F3" s="45"/>
      <c r="G3" s="46"/>
      <c r="H3" s="171"/>
      <c r="I3" s="47"/>
      <c r="J3" s="47"/>
      <c r="K3" s="45"/>
      <c r="L3" s="51"/>
      <c r="M3" s="51"/>
      <c r="N3" s="51"/>
      <c r="O3" s="51"/>
      <c r="P3" s="51"/>
      <c r="Q3" s="51"/>
    </row>
    <row r="4" spans="1:22" s="49" customFormat="1" ht="16.5" customHeight="1">
      <c r="A4" s="51"/>
      <c r="B4" s="51"/>
      <c r="C4" s="51"/>
      <c r="D4" s="45"/>
      <c r="E4" s="45"/>
      <c r="F4" s="45"/>
      <c r="G4" s="50"/>
      <c r="H4" s="171" t="s">
        <v>209</v>
      </c>
      <c r="I4" s="172"/>
      <c r="J4" s="172"/>
      <c r="K4" s="45"/>
      <c r="L4" s="51"/>
      <c r="M4" s="51"/>
      <c r="N4" s="51"/>
      <c r="O4" s="51"/>
      <c r="P4" s="51"/>
      <c r="Q4" s="51"/>
    </row>
    <row r="5" spans="1:22" s="35" customFormat="1" ht="28.5" customHeight="1">
      <c r="A5" s="52" t="s">
        <v>172</v>
      </c>
      <c r="B5" s="164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5" t="s">
        <v>6</v>
      </c>
      <c r="I5" s="165" t="s">
        <v>190</v>
      </c>
      <c r="J5" s="33" t="s">
        <v>7</v>
      </c>
      <c r="K5" s="33" t="s">
        <v>526</v>
      </c>
      <c r="L5" s="143" t="s">
        <v>527</v>
      </c>
      <c r="M5" s="143" t="s">
        <v>8</v>
      </c>
      <c r="N5" s="34" t="s">
        <v>173</v>
      </c>
      <c r="O5" s="141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</row>
    <row r="6" spans="1:22">
      <c r="B6"/>
      <c r="F6" s="178"/>
      <c r="G6" s="173"/>
      <c r="H6" s="174"/>
      <c r="I6" s="174"/>
      <c r="J6" s="175"/>
    </row>
    <row r="7" spans="1:22">
      <c r="B7"/>
      <c r="F7" s="179"/>
      <c r="G7" s="176"/>
      <c r="I7" s="175"/>
      <c r="J7" s="175"/>
    </row>
    <row r="8" spans="1:22">
      <c r="B8"/>
      <c r="F8" s="179"/>
      <c r="G8" s="176"/>
      <c r="I8" s="175"/>
      <c r="J8" s="175"/>
    </row>
    <row r="9" spans="1:22">
      <c r="B9"/>
      <c r="F9" s="179"/>
      <c r="G9" s="176"/>
      <c r="I9" s="175"/>
      <c r="J9" s="175"/>
    </row>
    <row r="10" spans="1:22">
      <c r="B10"/>
      <c r="F10" s="179"/>
      <c r="G10" s="176"/>
      <c r="I10" s="175"/>
      <c r="J10" s="175"/>
    </row>
    <row r="11" spans="1:22">
      <c r="B11"/>
      <c r="F11" s="179"/>
      <c r="G11" s="176"/>
      <c r="I11" s="175"/>
      <c r="J11" s="175"/>
    </row>
    <row r="12" spans="1:22">
      <c r="B12"/>
      <c r="F12" s="179"/>
      <c r="G12" s="176"/>
      <c r="I12" s="175"/>
      <c r="J12" s="175"/>
    </row>
    <row r="13" spans="1:22">
      <c r="B13"/>
      <c r="F13" s="179"/>
      <c r="G13" s="176"/>
      <c r="I13" s="175"/>
      <c r="J13" s="175"/>
    </row>
    <row r="14" spans="1:22">
      <c r="B14"/>
      <c r="F14" s="179"/>
      <c r="G14" s="176"/>
      <c r="I14" s="175"/>
      <c r="J14" s="175"/>
    </row>
    <row r="15" spans="1:22">
      <c r="B15"/>
      <c r="F15" s="179"/>
      <c r="G15" s="176"/>
      <c r="I15" s="175"/>
      <c r="J15" s="175"/>
    </row>
    <row r="16" spans="1:22">
      <c r="B16"/>
      <c r="F16" s="179"/>
      <c r="G16" s="176"/>
      <c r="I16" s="175"/>
      <c r="J16" s="175"/>
    </row>
    <row r="17" spans="2:10">
      <c r="B17"/>
      <c r="F17" s="179"/>
      <c r="G17" s="176"/>
      <c r="I17" s="175"/>
      <c r="J17" s="175"/>
    </row>
    <row r="18" spans="2:10">
      <c r="B18"/>
      <c r="F18" s="179"/>
      <c r="G18" s="176"/>
      <c r="I18" s="175"/>
      <c r="J18" s="175"/>
    </row>
    <row r="19" spans="2:10">
      <c r="B19"/>
      <c r="F19" s="179"/>
      <c r="G19" s="176"/>
      <c r="I19" s="175"/>
      <c r="J19" s="175"/>
    </row>
    <row r="20" spans="2:10">
      <c r="B20"/>
      <c r="F20" s="179"/>
      <c r="G20" s="176"/>
      <c r="I20" s="175"/>
      <c r="J20" s="175"/>
    </row>
    <row r="21" spans="2:10">
      <c r="B21"/>
      <c r="F21" s="179"/>
      <c r="G21" s="176"/>
      <c r="I21" s="175"/>
      <c r="J21" s="175"/>
    </row>
    <row r="22" spans="2:10">
      <c r="B22"/>
      <c r="F22" s="179"/>
      <c r="G22" s="176"/>
      <c r="I22" s="175"/>
      <c r="J22" s="175"/>
    </row>
    <row r="23" spans="2:10">
      <c r="B23"/>
      <c r="G23" s="176"/>
      <c r="H23" s="176"/>
      <c r="I23" s="175"/>
      <c r="J23" s="175"/>
    </row>
    <row r="24" spans="2:10">
      <c r="B24"/>
      <c r="G24" s="176"/>
      <c r="H24" s="176"/>
      <c r="I24" s="175"/>
      <c r="J24" s="175"/>
    </row>
    <row r="25" spans="2:10">
      <c r="B25"/>
      <c r="G25" s="176"/>
      <c r="H25" s="176"/>
      <c r="I25" s="175"/>
      <c r="J25" s="175"/>
    </row>
    <row r="26" spans="2:10">
      <c r="B26"/>
      <c r="G26" s="176"/>
      <c r="H26" s="176"/>
      <c r="I26" s="175"/>
      <c r="J26" s="175"/>
    </row>
    <row r="27" spans="2:10">
      <c r="B27"/>
      <c r="G27" s="176"/>
      <c r="H27" s="176"/>
      <c r="I27" s="175"/>
      <c r="J27" s="175"/>
    </row>
    <row r="28" spans="2:10">
      <c r="B28"/>
      <c r="G28" s="176"/>
      <c r="H28" s="176"/>
      <c r="I28" s="175"/>
      <c r="J28" s="175"/>
    </row>
    <row r="29" spans="2:10">
      <c r="B29"/>
      <c r="G29" s="176"/>
      <c r="H29" s="176"/>
      <c r="I29" s="175"/>
      <c r="J29" s="175"/>
    </row>
    <row r="30" spans="2:10">
      <c r="B30"/>
      <c r="G30" s="176"/>
      <c r="H30" s="176"/>
      <c r="I30" s="175"/>
      <c r="J30" s="175"/>
    </row>
    <row r="31" spans="2:10">
      <c r="B31"/>
      <c r="G31" s="176"/>
      <c r="H31" s="176"/>
      <c r="I31" s="175"/>
      <c r="J31" s="175"/>
    </row>
    <row r="32" spans="2:10">
      <c r="B32"/>
      <c r="G32" s="176"/>
      <c r="H32" s="176"/>
      <c r="I32" s="175"/>
      <c r="J32" s="175"/>
    </row>
    <row r="33" spans="2:10">
      <c r="B33"/>
      <c r="G33" s="176"/>
      <c r="H33" s="176"/>
      <c r="I33" s="175"/>
      <c r="J33" s="175"/>
    </row>
    <row r="34" spans="2:10">
      <c r="B34"/>
      <c r="G34" s="176"/>
      <c r="H34" s="176"/>
      <c r="I34" s="175"/>
      <c r="J34" s="175"/>
    </row>
    <row r="35" spans="2:10">
      <c r="B35"/>
      <c r="G35" s="176"/>
      <c r="H35" s="176"/>
      <c r="I35" s="175"/>
      <c r="J35" s="175"/>
    </row>
    <row r="36" spans="2:10">
      <c r="B36"/>
      <c r="G36" s="176"/>
      <c r="H36" s="176"/>
      <c r="I36" s="175"/>
      <c r="J36" s="175"/>
    </row>
    <row r="37" spans="2:10">
      <c r="B37"/>
      <c r="G37" s="176"/>
      <c r="H37" s="176"/>
      <c r="I37" s="175"/>
      <c r="J37" s="175"/>
    </row>
    <row r="38" spans="2:10">
      <c r="B38"/>
      <c r="G38" s="176"/>
      <c r="H38" s="176"/>
      <c r="I38" s="175"/>
      <c r="J38" s="175"/>
    </row>
    <row r="39" spans="2:10">
      <c r="B39"/>
      <c r="G39" s="176"/>
      <c r="H39" s="176"/>
      <c r="I39" s="175"/>
      <c r="J39" s="175"/>
    </row>
    <row r="40" spans="2:10">
      <c r="B40"/>
      <c r="G40" s="176"/>
      <c r="H40" s="176"/>
      <c r="I40" s="175"/>
      <c r="J40" s="175"/>
    </row>
    <row r="41" spans="2:10">
      <c r="B41"/>
      <c r="G41" s="176"/>
      <c r="H41" s="176"/>
      <c r="I41" s="175"/>
      <c r="J41" s="175"/>
    </row>
    <row r="42" spans="2:10">
      <c r="B42"/>
      <c r="G42" s="176"/>
      <c r="H42" s="176"/>
      <c r="I42" s="175"/>
      <c r="J42" s="175"/>
    </row>
    <row r="43" spans="2:10">
      <c r="B43"/>
      <c r="G43" s="176"/>
      <c r="H43" s="176"/>
      <c r="I43" s="175"/>
      <c r="J43" s="175"/>
    </row>
    <row r="44" spans="2:10">
      <c r="B44"/>
      <c r="G44" s="176"/>
      <c r="H44" s="176"/>
      <c r="I44" s="175"/>
      <c r="J44" s="175"/>
    </row>
    <row r="45" spans="2:10">
      <c r="B45"/>
      <c r="G45" s="176"/>
      <c r="H45" s="176"/>
      <c r="I45" s="175"/>
      <c r="J45" s="175"/>
    </row>
    <row r="46" spans="2:10">
      <c r="B46"/>
      <c r="G46" s="176"/>
      <c r="H46" s="176"/>
      <c r="I46" s="175"/>
      <c r="J46" s="175"/>
    </row>
    <row r="47" spans="2:10">
      <c r="B47"/>
      <c r="G47" s="176"/>
      <c r="H47" s="176"/>
      <c r="I47" s="175"/>
      <c r="J47" s="175"/>
    </row>
    <row r="48" spans="2:10">
      <c r="B48"/>
      <c r="G48" s="176"/>
      <c r="H48" s="176"/>
      <c r="I48" s="175"/>
      <c r="J48" s="175"/>
    </row>
    <row r="49" spans="2:17">
      <c r="B49"/>
      <c r="G49" s="176"/>
      <c r="H49" s="176"/>
      <c r="I49" s="175"/>
      <c r="J49" s="175"/>
    </row>
    <row r="50" spans="2:17">
      <c r="B50"/>
      <c r="G50" s="176"/>
      <c r="H50" s="176"/>
      <c r="I50" s="175"/>
      <c r="J50" s="175"/>
    </row>
    <row r="51" spans="2:17">
      <c r="B51"/>
      <c r="G51" s="176"/>
      <c r="H51" s="176"/>
      <c r="I51" s="175"/>
      <c r="J51" s="175"/>
    </row>
    <row r="52" spans="2:17">
      <c r="B52"/>
      <c r="G52" s="176"/>
      <c r="H52" s="176"/>
      <c r="I52" s="175"/>
      <c r="J52" s="175"/>
    </row>
    <row r="53" spans="2:17">
      <c r="B53"/>
      <c r="G53" s="176"/>
      <c r="H53" s="176"/>
      <c r="I53" s="175"/>
      <c r="J53" s="175"/>
    </row>
    <row r="54" spans="2:17">
      <c r="B54"/>
      <c r="G54" s="176"/>
      <c r="H54" s="176"/>
      <c r="I54" s="175"/>
      <c r="J54" s="175"/>
    </row>
    <row r="55" spans="2:17">
      <c r="B55"/>
      <c r="G55" s="176"/>
      <c r="H55" s="176"/>
      <c r="I55" s="175"/>
      <c r="J55" s="175"/>
    </row>
    <row r="56" spans="2:17">
      <c r="B56"/>
      <c r="G56" s="176"/>
      <c r="H56" s="176"/>
      <c r="I56" s="175"/>
      <c r="J56" s="175"/>
    </row>
    <row r="57" spans="2:17">
      <c r="B57"/>
      <c r="G57" s="176"/>
      <c r="H57" s="176"/>
      <c r="I57" s="175"/>
      <c r="J57" s="175"/>
    </row>
    <row r="58" spans="2:17">
      <c r="B58"/>
      <c r="G58" s="176"/>
      <c r="H58" s="176"/>
      <c r="I58" s="175"/>
      <c r="J58" s="175"/>
    </row>
    <row r="59" spans="2:17">
      <c r="B59"/>
      <c r="G59" s="176"/>
      <c r="H59" s="176"/>
      <c r="I59" s="175"/>
      <c r="J59" s="175"/>
    </row>
    <row r="60" spans="2:17">
      <c r="B60"/>
      <c r="G60" s="176"/>
      <c r="H60" s="176"/>
      <c r="I60" s="175"/>
      <c r="J60" s="175"/>
    </row>
    <row r="61" spans="2:17">
      <c r="B61"/>
      <c r="G61" s="176"/>
      <c r="H61" s="176"/>
      <c r="I61" s="175"/>
      <c r="J61" s="175"/>
    </row>
    <row r="62" spans="2:17">
      <c r="B62"/>
      <c r="G62" s="176"/>
      <c r="H62" s="176"/>
      <c r="I62" s="175"/>
      <c r="J62" s="175"/>
    </row>
    <row r="63" spans="2:17">
      <c r="B63"/>
      <c r="G63" s="176"/>
      <c r="H63" s="176"/>
      <c r="I63" s="175"/>
      <c r="J63" s="175"/>
    </row>
    <row r="64" spans="2:17">
      <c r="B64"/>
      <c r="G64" s="176"/>
      <c r="H64" s="176"/>
      <c r="I64" s="175"/>
      <c r="J64" s="175"/>
      <c r="Q64" s="1" t="s">
        <v>529</v>
      </c>
    </row>
    <row r="65" spans="2:17">
      <c r="B65"/>
      <c r="G65" s="176"/>
      <c r="H65" s="176"/>
      <c r="I65" s="175"/>
      <c r="J65" s="175"/>
      <c r="Q65" s="1" t="s">
        <v>529</v>
      </c>
    </row>
    <row r="66" spans="2:17">
      <c r="B66"/>
      <c r="G66" s="176"/>
      <c r="H66" s="176"/>
      <c r="I66" s="175"/>
      <c r="J66" s="175"/>
      <c r="Q66" s="1" t="s">
        <v>529</v>
      </c>
    </row>
    <row r="67" spans="2:17">
      <c r="B67"/>
      <c r="G67" s="176"/>
      <c r="H67" s="176"/>
      <c r="I67" s="175"/>
      <c r="J67" s="175"/>
      <c r="Q67" s="1" t="s">
        <v>529</v>
      </c>
    </row>
    <row r="68" spans="2:17">
      <c r="B68"/>
      <c r="G68" s="176"/>
      <c r="H68" s="176"/>
      <c r="I68" s="175"/>
      <c r="J68" s="175"/>
      <c r="Q68" s="1" t="s">
        <v>529</v>
      </c>
    </row>
    <row r="69" spans="2:17">
      <c r="B69"/>
      <c r="G69" s="176"/>
      <c r="H69" s="176"/>
      <c r="I69" s="175"/>
      <c r="J69" s="175"/>
      <c r="Q69" s="1" t="s">
        <v>529</v>
      </c>
    </row>
    <row r="70" spans="2:17">
      <c r="B70"/>
      <c r="G70" s="176"/>
      <c r="H70" s="176"/>
      <c r="I70" s="175"/>
      <c r="J70" s="175"/>
      <c r="Q70" s="1" t="s">
        <v>529</v>
      </c>
    </row>
    <row r="71" spans="2:17">
      <c r="B71"/>
      <c r="G71" s="176"/>
      <c r="H71" s="176"/>
      <c r="I71" s="175"/>
      <c r="J71" s="175"/>
      <c r="Q71" s="1" t="s">
        <v>529</v>
      </c>
    </row>
    <row r="72" spans="2:17">
      <c r="B72"/>
      <c r="G72" s="176"/>
      <c r="H72" s="176"/>
      <c r="I72" s="175"/>
      <c r="J72" s="175"/>
      <c r="Q72" s="1" t="s">
        <v>529</v>
      </c>
    </row>
    <row r="73" spans="2:17">
      <c r="B73"/>
      <c r="G73" s="176"/>
      <c r="H73" s="176"/>
      <c r="I73" s="175"/>
      <c r="J73" s="175"/>
      <c r="Q73" s="1" t="s">
        <v>529</v>
      </c>
    </row>
    <row r="74" spans="2:17">
      <c r="B74"/>
      <c r="G74" s="176"/>
      <c r="H74" s="176"/>
      <c r="I74" s="175"/>
      <c r="J74" s="175"/>
      <c r="Q74" s="1" t="s">
        <v>529</v>
      </c>
    </row>
    <row r="75" spans="2:17">
      <c r="B75"/>
      <c r="G75" s="176"/>
      <c r="H75" s="176"/>
      <c r="I75" s="175"/>
      <c r="J75" s="175"/>
      <c r="Q75" s="1" t="s">
        <v>529</v>
      </c>
    </row>
    <row r="76" spans="2:17">
      <c r="B76"/>
      <c r="G76" s="176"/>
      <c r="H76" s="176"/>
      <c r="I76" s="175"/>
      <c r="J76" s="175"/>
      <c r="Q76" s="1" t="s">
        <v>529</v>
      </c>
    </row>
    <row r="77" spans="2:17">
      <c r="B77"/>
      <c r="G77" s="176"/>
      <c r="H77" s="176"/>
      <c r="I77" s="175"/>
      <c r="J77" s="175"/>
      <c r="Q77" s="1" t="s">
        <v>529</v>
      </c>
    </row>
    <row r="78" spans="2:17">
      <c r="B78"/>
      <c r="G78" s="176"/>
      <c r="H78" s="176"/>
      <c r="I78" s="175"/>
      <c r="J78" s="175"/>
      <c r="Q78" s="1" t="s">
        <v>529</v>
      </c>
    </row>
    <row r="79" spans="2:17">
      <c r="B79"/>
      <c r="G79" s="176"/>
      <c r="H79" s="176"/>
      <c r="I79" s="175"/>
      <c r="J79" s="175"/>
      <c r="Q79" s="1" t="s">
        <v>529</v>
      </c>
    </row>
    <row r="80" spans="2:17">
      <c r="B80"/>
      <c r="G80" s="176"/>
      <c r="H80" s="176"/>
      <c r="I80" s="175"/>
      <c r="J80" s="175"/>
      <c r="Q80" s="1" t="s">
        <v>529</v>
      </c>
    </row>
    <row r="81" spans="2:17">
      <c r="B81"/>
      <c r="G81" s="176"/>
      <c r="H81" s="176"/>
      <c r="I81" s="175"/>
      <c r="J81" s="175"/>
      <c r="Q81" s="1" t="s">
        <v>529</v>
      </c>
    </row>
    <row r="82" spans="2:17">
      <c r="B82"/>
      <c r="G82" s="176"/>
      <c r="H82" s="176"/>
      <c r="I82" s="175"/>
      <c r="J82" s="175"/>
      <c r="Q82" s="1" t="s">
        <v>529</v>
      </c>
    </row>
    <row r="83" spans="2:17">
      <c r="B83"/>
      <c r="G83" s="176"/>
      <c r="H83" s="176"/>
      <c r="I83" s="175"/>
      <c r="J83" s="175"/>
      <c r="Q83" s="1" t="s">
        <v>529</v>
      </c>
    </row>
    <row r="84" spans="2:17">
      <c r="B84"/>
      <c r="G84" s="176"/>
      <c r="H84" s="176"/>
      <c r="I84" s="175"/>
      <c r="J84" s="175"/>
      <c r="Q84" s="1" t="s">
        <v>529</v>
      </c>
    </row>
    <row r="85" spans="2:17">
      <c r="B85"/>
      <c r="G85" s="176"/>
      <c r="H85" s="176"/>
      <c r="I85" s="175"/>
      <c r="J85" s="175"/>
      <c r="Q85" s="1" t="s">
        <v>529</v>
      </c>
    </row>
    <row r="86" spans="2:17">
      <c r="B86"/>
      <c r="G86" s="176"/>
      <c r="H86" s="176"/>
      <c r="I86" s="175"/>
      <c r="J86" s="175"/>
      <c r="Q86" s="1" t="s">
        <v>529</v>
      </c>
    </row>
    <row r="87" spans="2:17">
      <c r="B87"/>
      <c r="G87" s="176"/>
      <c r="H87" s="176"/>
      <c r="I87" s="175"/>
      <c r="J87" s="175"/>
      <c r="Q87" s="1" t="s">
        <v>529</v>
      </c>
    </row>
    <row r="88" spans="2:17">
      <c r="B88"/>
      <c r="G88" s="176"/>
      <c r="H88" s="176"/>
      <c r="I88" s="175"/>
      <c r="J88" s="175"/>
      <c r="Q88" s="1" t="s">
        <v>529</v>
      </c>
    </row>
    <row r="89" spans="2:17">
      <c r="B89"/>
      <c r="G89" s="176"/>
      <c r="H89" s="176"/>
      <c r="I89" s="175"/>
      <c r="J89" s="175"/>
      <c r="Q89" s="1" t="s">
        <v>529</v>
      </c>
    </row>
    <row r="90" spans="2:17">
      <c r="B90"/>
      <c r="G90" s="176"/>
      <c r="H90" s="176"/>
      <c r="I90" s="175"/>
      <c r="J90" s="175"/>
      <c r="Q90" s="1" t="s">
        <v>529</v>
      </c>
    </row>
    <row r="91" spans="2:17">
      <c r="B91"/>
      <c r="G91" s="176"/>
      <c r="H91" s="176"/>
      <c r="I91" s="175"/>
      <c r="J91" s="175"/>
      <c r="Q91" s="1" t="s">
        <v>529</v>
      </c>
    </row>
    <row r="92" spans="2:17" ht="16.5" customHeight="1">
      <c r="B92"/>
      <c r="G92" s="176"/>
      <c r="H92" s="176"/>
      <c r="I92" s="175"/>
      <c r="J92" s="175"/>
      <c r="Q92" s="1" t="s">
        <v>529</v>
      </c>
    </row>
    <row r="93" spans="2:17">
      <c r="B93"/>
      <c r="G93" s="176"/>
      <c r="H93" s="176"/>
      <c r="I93" s="175"/>
      <c r="J93" s="175"/>
      <c r="Q93" s="1" t="s">
        <v>552</v>
      </c>
    </row>
    <row r="94" spans="2:17">
      <c r="B94"/>
      <c r="G94" s="176"/>
      <c r="H94" s="176"/>
      <c r="I94" s="175"/>
      <c r="J94" s="175"/>
      <c r="Q94" s="1" t="s">
        <v>553</v>
      </c>
    </row>
    <row r="95" spans="2:17">
      <c r="B95"/>
      <c r="G95" s="176"/>
      <c r="H95" s="176"/>
      <c r="I95" s="175"/>
      <c r="J95" s="175"/>
      <c r="Q95" s="1" t="s">
        <v>529</v>
      </c>
    </row>
    <row r="96" spans="2:17">
      <c r="B96"/>
      <c r="G96" s="176"/>
      <c r="H96" s="176"/>
      <c r="I96" s="175"/>
      <c r="J96" s="175"/>
      <c r="Q96" s="1" t="s">
        <v>554</v>
      </c>
    </row>
    <row r="97" spans="2:17">
      <c r="B97"/>
      <c r="G97" s="176"/>
      <c r="H97" s="176"/>
      <c r="I97" s="175"/>
      <c r="J97" s="175"/>
      <c r="Q97" s="1" t="s">
        <v>555</v>
      </c>
    </row>
    <row r="98" spans="2:17">
      <c r="B98"/>
      <c r="G98" s="176"/>
      <c r="H98" s="176"/>
      <c r="I98" s="175"/>
      <c r="J98" s="175"/>
      <c r="Q98" s="1" t="s">
        <v>529</v>
      </c>
    </row>
    <row r="99" spans="2:17">
      <c r="B99"/>
      <c r="G99" s="176"/>
      <c r="H99" s="176"/>
      <c r="I99" s="175"/>
      <c r="J99" s="175"/>
      <c r="Q99" s="1" t="s">
        <v>529</v>
      </c>
    </row>
    <row r="100" spans="2:17">
      <c r="B100"/>
      <c r="G100" s="176"/>
      <c r="H100" s="176"/>
      <c r="I100" s="175"/>
      <c r="J100" s="175"/>
      <c r="Q100" s="1" t="s">
        <v>529</v>
      </c>
    </row>
    <row r="101" spans="2:17">
      <c r="B101"/>
      <c r="G101" s="176"/>
      <c r="H101" s="176"/>
      <c r="I101" s="175"/>
      <c r="J101" s="175"/>
      <c r="Q101" s="1" t="s">
        <v>529</v>
      </c>
    </row>
    <row r="102" spans="2:17">
      <c r="B102"/>
      <c r="G102" s="176"/>
      <c r="H102" s="176"/>
      <c r="I102" s="175"/>
      <c r="J102" s="175"/>
      <c r="Q102" s="1" t="s">
        <v>529</v>
      </c>
    </row>
    <row r="103" spans="2:17">
      <c r="B103"/>
      <c r="G103" s="176"/>
      <c r="H103" s="176"/>
      <c r="I103" s="175"/>
      <c r="J103" s="175"/>
      <c r="Q103" s="1" t="s">
        <v>529</v>
      </c>
    </row>
    <row r="104" spans="2:17">
      <c r="B104"/>
      <c r="G104" s="176"/>
      <c r="H104" s="176"/>
      <c r="I104" s="175"/>
      <c r="J104" s="175"/>
      <c r="Q104" s="1" t="s">
        <v>556</v>
      </c>
    </row>
    <row r="105" spans="2:17">
      <c r="B105"/>
      <c r="G105" s="176"/>
      <c r="H105" s="176"/>
      <c r="I105" s="175"/>
      <c r="J105" s="175"/>
      <c r="Q105" s="1" t="s">
        <v>529</v>
      </c>
    </row>
    <row r="106" spans="2:17">
      <c r="B106"/>
      <c r="G106" s="176"/>
      <c r="H106" s="176"/>
      <c r="I106" s="175"/>
      <c r="J106" s="175"/>
      <c r="Q106" s="1" t="s">
        <v>529</v>
      </c>
    </row>
    <row r="107" spans="2:17">
      <c r="B107"/>
      <c r="G107" s="176"/>
      <c r="H107" s="176"/>
      <c r="I107" s="175"/>
      <c r="J107" s="175"/>
      <c r="Q107" s="1" t="s">
        <v>529</v>
      </c>
    </row>
    <row r="108" spans="2:17">
      <c r="B108"/>
      <c r="G108" s="176"/>
      <c r="H108" s="176"/>
      <c r="I108" s="175"/>
      <c r="J108" s="175"/>
      <c r="Q108" s="1" t="s">
        <v>529</v>
      </c>
    </row>
    <row r="109" spans="2:17">
      <c r="B109"/>
      <c r="G109" s="176"/>
      <c r="H109" s="176"/>
      <c r="I109" s="175"/>
      <c r="J109" s="175"/>
      <c r="Q109" s="1" t="s">
        <v>529</v>
      </c>
    </row>
    <row r="110" spans="2:17">
      <c r="B110"/>
      <c r="G110" s="176"/>
      <c r="H110" s="176"/>
      <c r="I110" s="175"/>
      <c r="J110" s="175"/>
      <c r="Q110" s="1" t="s">
        <v>529</v>
      </c>
    </row>
    <row r="111" spans="2:17">
      <c r="B111"/>
      <c r="G111" s="176"/>
      <c r="H111" s="176"/>
      <c r="I111" s="175"/>
      <c r="J111" s="175"/>
      <c r="Q111" s="1" t="s">
        <v>529</v>
      </c>
    </row>
    <row r="112" spans="2:17">
      <c r="B112"/>
      <c r="G112" s="176"/>
      <c r="H112" s="176"/>
      <c r="I112" s="175"/>
      <c r="J112" s="175"/>
      <c r="Q112" s="1" t="s">
        <v>529</v>
      </c>
    </row>
    <row r="113" spans="2:17">
      <c r="B113"/>
      <c r="G113" s="176"/>
      <c r="H113" s="176"/>
      <c r="I113" s="175"/>
      <c r="J113" s="175"/>
      <c r="Q113" s="1" t="s">
        <v>529</v>
      </c>
    </row>
    <row r="114" spans="2:17">
      <c r="B114"/>
      <c r="G114" s="176"/>
      <c r="H114" s="176"/>
      <c r="I114" s="175"/>
      <c r="J114" s="175"/>
      <c r="Q114" s="1" t="s">
        <v>529</v>
      </c>
    </row>
    <row r="115" spans="2:17">
      <c r="B115"/>
      <c r="G115" s="176"/>
      <c r="H115" s="176"/>
      <c r="I115" s="175"/>
      <c r="J115" s="175"/>
      <c r="Q115" s="1" t="s">
        <v>557</v>
      </c>
    </row>
    <row r="116" spans="2:17">
      <c r="B116"/>
      <c r="G116" s="176"/>
      <c r="H116" s="176"/>
      <c r="I116" s="175"/>
      <c r="J116" s="175"/>
      <c r="Q116" s="1" t="s">
        <v>529</v>
      </c>
    </row>
    <row r="117" spans="2:17">
      <c r="B117"/>
      <c r="G117" s="176"/>
      <c r="H117" s="176"/>
      <c r="I117" s="175"/>
      <c r="J117" s="175"/>
      <c r="Q117" s="1" t="s">
        <v>529</v>
      </c>
    </row>
    <row r="118" spans="2:17">
      <c r="B118"/>
      <c r="G118" s="176"/>
      <c r="H118" s="176"/>
      <c r="I118" s="175"/>
      <c r="J118" s="175"/>
      <c r="Q118" s="1" t="s">
        <v>529</v>
      </c>
    </row>
    <row r="119" spans="2:17">
      <c r="B119"/>
      <c r="G119" s="176"/>
      <c r="H119" s="176"/>
      <c r="I119" s="175"/>
      <c r="J119" s="175"/>
      <c r="Q119" s="1" t="s">
        <v>529</v>
      </c>
    </row>
    <row r="120" spans="2:17">
      <c r="B120"/>
      <c r="G120" s="176"/>
      <c r="H120" s="176"/>
      <c r="I120" s="175"/>
      <c r="J120" s="175"/>
      <c r="Q120" s="1" t="s">
        <v>529</v>
      </c>
    </row>
    <row r="121" spans="2:17">
      <c r="B121"/>
      <c r="G121" s="176"/>
      <c r="H121" s="176"/>
      <c r="I121" s="175"/>
      <c r="J121" s="175"/>
      <c r="Q121" s="1" t="s">
        <v>529</v>
      </c>
    </row>
    <row r="122" spans="2:17">
      <c r="B122"/>
      <c r="G122" s="176"/>
      <c r="H122" s="176"/>
      <c r="I122" s="175"/>
      <c r="J122" s="175"/>
      <c r="Q122" s="1" t="s">
        <v>529</v>
      </c>
    </row>
    <row r="123" spans="2:17">
      <c r="B123"/>
      <c r="G123" s="176"/>
      <c r="H123" s="176"/>
      <c r="I123" s="175"/>
      <c r="J123" s="175"/>
      <c r="Q123" s="1" t="s">
        <v>529</v>
      </c>
    </row>
    <row r="124" spans="2:17">
      <c r="B124"/>
      <c r="G124" s="176"/>
      <c r="H124" s="176"/>
      <c r="I124" s="175"/>
      <c r="J124" s="175"/>
      <c r="Q124" s="1" t="s">
        <v>529</v>
      </c>
    </row>
    <row r="125" spans="2:17">
      <c r="B125"/>
      <c r="G125" s="176"/>
      <c r="H125" s="176"/>
      <c r="I125" s="175"/>
      <c r="J125" s="175"/>
      <c r="Q125" s="1" t="s">
        <v>529</v>
      </c>
    </row>
    <row r="126" spans="2:17">
      <c r="B126"/>
      <c r="G126" s="176"/>
      <c r="H126" s="176"/>
      <c r="I126" s="175"/>
      <c r="J126" s="175"/>
      <c r="Q126" s="1" t="s">
        <v>529</v>
      </c>
    </row>
    <row r="127" spans="2:17">
      <c r="B127"/>
      <c r="G127" s="176"/>
      <c r="H127" s="176"/>
      <c r="I127" s="175"/>
      <c r="J127" s="175"/>
      <c r="Q127" s="1" t="s">
        <v>529</v>
      </c>
    </row>
    <row r="128" spans="2:17">
      <c r="B128"/>
      <c r="G128" s="176"/>
      <c r="H128" s="176"/>
      <c r="I128" s="175"/>
      <c r="J128" s="175"/>
      <c r="Q128" s="1" t="s">
        <v>529</v>
      </c>
    </row>
    <row r="129" spans="2:17">
      <c r="B129"/>
      <c r="G129" s="176"/>
      <c r="H129" s="176"/>
      <c r="I129" s="175"/>
      <c r="J129" s="175"/>
      <c r="Q129" s="1" t="s">
        <v>529</v>
      </c>
    </row>
    <row r="130" spans="2:17">
      <c r="B130"/>
      <c r="G130" s="176"/>
      <c r="H130" s="176"/>
      <c r="I130" s="175"/>
      <c r="J130" s="175"/>
      <c r="Q130" s="1" t="s">
        <v>529</v>
      </c>
    </row>
    <row r="131" spans="2:17">
      <c r="B131"/>
      <c r="G131" s="176"/>
      <c r="H131" s="176"/>
      <c r="I131" s="175"/>
      <c r="J131" s="175"/>
      <c r="Q131" s="1" t="s">
        <v>529</v>
      </c>
    </row>
    <row r="132" spans="2:17">
      <c r="B132"/>
      <c r="G132" s="176"/>
      <c r="H132" s="176"/>
      <c r="I132" s="175"/>
      <c r="J132" s="175"/>
      <c r="Q132" s="1" t="s">
        <v>529</v>
      </c>
    </row>
    <row r="133" spans="2:17">
      <c r="B133"/>
      <c r="G133" s="176"/>
      <c r="H133" s="176"/>
      <c r="I133" s="175"/>
      <c r="J133" s="175"/>
      <c r="Q133" s="1" t="s">
        <v>529</v>
      </c>
    </row>
    <row r="134" spans="2:17">
      <c r="B134"/>
      <c r="G134" s="176"/>
      <c r="H134" s="176"/>
      <c r="I134" s="175"/>
      <c r="J134" s="175"/>
      <c r="Q134" s="1" t="s">
        <v>529</v>
      </c>
    </row>
    <row r="135" spans="2:17">
      <c r="B135"/>
      <c r="G135" s="176"/>
      <c r="H135" s="176"/>
      <c r="I135" s="175"/>
      <c r="J135" s="175"/>
      <c r="Q135" s="1" t="s">
        <v>529</v>
      </c>
    </row>
    <row r="136" spans="2:17">
      <c r="B136"/>
      <c r="G136" s="176"/>
      <c r="H136" s="176"/>
      <c r="I136" s="175"/>
      <c r="J136" s="175"/>
      <c r="Q136" s="1" t="s">
        <v>529</v>
      </c>
    </row>
    <row r="137" spans="2:17">
      <c r="B137"/>
      <c r="G137" s="176"/>
      <c r="H137" s="176"/>
      <c r="I137" s="175"/>
      <c r="J137" s="175"/>
      <c r="Q137" s="1" t="s">
        <v>529</v>
      </c>
    </row>
    <row r="138" spans="2:17">
      <c r="B138"/>
      <c r="G138" s="176"/>
      <c r="H138" s="176"/>
      <c r="I138" s="175"/>
      <c r="J138" s="175"/>
      <c r="Q138" s="1" t="s">
        <v>529</v>
      </c>
    </row>
    <row r="139" spans="2:17">
      <c r="B139"/>
      <c r="G139" s="176"/>
      <c r="H139" s="176"/>
      <c r="I139" s="175"/>
      <c r="J139" s="175"/>
      <c r="Q139" s="1" t="s">
        <v>529</v>
      </c>
    </row>
    <row r="140" spans="2:17">
      <c r="B140"/>
      <c r="G140" s="176"/>
      <c r="H140" s="176"/>
      <c r="I140" s="175"/>
      <c r="J140" s="175"/>
      <c r="Q140" s="1" t="s">
        <v>529</v>
      </c>
    </row>
    <row r="141" spans="2:17">
      <c r="B141"/>
      <c r="G141" s="176"/>
      <c r="H141" s="176"/>
      <c r="I141" s="175"/>
      <c r="J141" s="175"/>
      <c r="Q141" s="1" t="s">
        <v>529</v>
      </c>
    </row>
    <row r="142" spans="2:17">
      <c r="B142"/>
      <c r="G142" s="176"/>
      <c r="H142" s="176"/>
      <c r="I142" s="175"/>
      <c r="J142" s="175"/>
      <c r="Q142" s="1" t="s">
        <v>529</v>
      </c>
    </row>
    <row r="143" spans="2:17">
      <c r="B143"/>
      <c r="G143" s="176"/>
      <c r="H143" s="176"/>
      <c r="I143" s="175"/>
      <c r="J143" s="175"/>
      <c r="Q143" s="1" t="s">
        <v>529</v>
      </c>
    </row>
    <row r="144" spans="2:17">
      <c r="B144"/>
      <c r="G144" s="176"/>
      <c r="H144" s="176"/>
      <c r="I144" s="175"/>
      <c r="J144" s="175"/>
      <c r="Q144" s="1" t="s">
        <v>529</v>
      </c>
    </row>
    <row r="145" spans="2:17">
      <c r="B145"/>
      <c r="G145" s="176"/>
      <c r="H145" s="176"/>
      <c r="I145" s="175"/>
      <c r="J145" s="175"/>
      <c r="Q145" s="1" t="s">
        <v>529</v>
      </c>
    </row>
    <row r="146" spans="2:17">
      <c r="B146"/>
      <c r="G146" s="176"/>
      <c r="H146" s="176"/>
      <c r="I146" s="175"/>
      <c r="J146" s="175"/>
      <c r="Q146" s="1" t="s">
        <v>529</v>
      </c>
    </row>
    <row r="147" spans="2:17">
      <c r="B147"/>
      <c r="G147" s="176"/>
      <c r="H147" s="176"/>
      <c r="I147" s="175"/>
      <c r="J147" s="175"/>
      <c r="Q147" s="1" t="s">
        <v>529</v>
      </c>
    </row>
    <row r="148" spans="2:17">
      <c r="B148"/>
      <c r="G148" s="176"/>
      <c r="H148" s="176"/>
      <c r="I148" s="175"/>
      <c r="J148" s="175"/>
      <c r="Q148" s="1" t="s">
        <v>529</v>
      </c>
    </row>
    <row r="149" spans="2:17">
      <c r="B149"/>
      <c r="G149" s="176"/>
      <c r="H149" s="176"/>
      <c r="I149" s="175"/>
      <c r="J149" s="175"/>
      <c r="Q149" s="1" t="s">
        <v>529</v>
      </c>
    </row>
    <row r="150" spans="2:17">
      <c r="B150"/>
      <c r="G150" s="176"/>
      <c r="H150" s="176"/>
      <c r="I150" s="175"/>
      <c r="J150" s="175"/>
      <c r="Q150" s="1" t="s">
        <v>529</v>
      </c>
    </row>
    <row r="151" spans="2:17">
      <c r="B151"/>
      <c r="G151" s="176"/>
      <c r="H151" s="176"/>
      <c r="I151" s="175"/>
      <c r="J151" s="175"/>
      <c r="Q151" s="1" t="s">
        <v>529</v>
      </c>
    </row>
    <row r="152" spans="2:17">
      <c r="B152"/>
      <c r="G152" s="176"/>
      <c r="H152" s="176"/>
      <c r="I152" s="175"/>
      <c r="J152" s="175"/>
      <c r="Q152" s="1" t="s">
        <v>529</v>
      </c>
    </row>
    <row r="153" spans="2:17">
      <c r="B153"/>
      <c r="G153" s="176"/>
      <c r="H153" s="176"/>
      <c r="I153" s="175"/>
      <c r="J153" s="175"/>
      <c r="Q153" s="1" t="s">
        <v>558</v>
      </c>
    </row>
    <row r="154" spans="2:17">
      <c r="B154"/>
      <c r="G154" s="176"/>
      <c r="H154" s="176"/>
      <c r="I154" s="175"/>
      <c r="J154" s="175"/>
      <c r="Q154" s="1" t="s">
        <v>559</v>
      </c>
    </row>
    <row r="155" spans="2:17">
      <c r="B155"/>
      <c r="G155" s="176"/>
      <c r="H155" s="176"/>
      <c r="I155" s="175"/>
      <c r="J155" s="175"/>
      <c r="Q155" s="1" t="s">
        <v>560</v>
      </c>
    </row>
    <row r="156" spans="2:17">
      <c r="B156"/>
      <c r="G156" s="176"/>
      <c r="H156" s="176"/>
      <c r="I156" s="175"/>
      <c r="J156" s="175"/>
      <c r="Q156" s="1" t="s">
        <v>529</v>
      </c>
    </row>
    <row r="157" spans="2:17">
      <c r="B157"/>
      <c r="G157" s="176"/>
      <c r="H157" s="176"/>
      <c r="I157" s="175"/>
      <c r="J157" s="175"/>
      <c r="Q157" s="1" t="s">
        <v>561</v>
      </c>
    </row>
    <row r="158" spans="2:17">
      <c r="B158"/>
      <c r="G158" s="176"/>
      <c r="H158" s="176"/>
      <c r="I158" s="175"/>
      <c r="J158" s="175"/>
      <c r="Q158" s="1" t="s">
        <v>562</v>
      </c>
    </row>
    <row r="159" spans="2:17">
      <c r="B159"/>
      <c r="G159" s="176"/>
      <c r="H159" s="176"/>
      <c r="I159" s="175"/>
      <c r="J159" s="175"/>
      <c r="Q159" s="1" t="s">
        <v>563</v>
      </c>
    </row>
    <row r="160" spans="2:17">
      <c r="B160"/>
      <c r="G160" s="176"/>
      <c r="H160" s="176"/>
      <c r="I160" s="175"/>
      <c r="J160" s="175"/>
      <c r="Q160" s="1" t="s">
        <v>564</v>
      </c>
    </row>
    <row r="161" spans="2:17">
      <c r="B161"/>
      <c r="G161" s="176"/>
      <c r="H161" s="176"/>
      <c r="I161" s="175"/>
      <c r="J161" s="175"/>
      <c r="Q161" s="1" t="s">
        <v>565</v>
      </c>
    </row>
    <row r="162" spans="2:17">
      <c r="B162"/>
      <c r="G162" s="176"/>
      <c r="H162" s="176"/>
      <c r="I162" s="175"/>
      <c r="J162" s="175"/>
      <c r="Q162" s="1" t="s">
        <v>566</v>
      </c>
    </row>
  </sheetData>
  <mergeCells count="1">
    <mergeCell ref="A1:Q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tabSelected="1" zoomScale="85" zoomScaleNormal="85" workbookViewId="0">
      <pane xSplit="4" ySplit="4" topLeftCell="G5" activePane="bottomRight" state="frozen"/>
      <selection activeCell="C4" sqref="C4"/>
      <selection pane="topRight" activeCell="C4" sqref="C4"/>
      <selection pane="bottomLeft" activeCell="C4" sqref="C4"/>
      <selection pane="bottomRight" activeCell="C4" sqref="C4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18.5703125" customWidth="1"/>
    <col min="10" max="10" width="12.42578125" bestFit="1" customWidth="1"/>
    <col min="11" max="11" width="14.7109375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2"/>
      <c r="B1" s="221" t="s">
        <v>480</v>
      </c>
      <c r="C1" s="221"/>
      <c r="D1" s="221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82"/>
    </row>
    <row r="2" spans="1:15">
      <c r="A2" s="82"/>
      <c r="B2" s="221"/>
      <c r="C2" s="221"/>
      <c r="D2" s="221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82"/>
    </row>
    <row r="3" spans="1:15">
      <c r="A3" s="82"/>
      <c r="B3" s="221"/>
      <c r="C3" s="221"/>
      <c r="D3" s="221"/>
      <c r="E3" s="220" t="s">
        <v>525</v>
      </c>
      <c r="F3" s="220"/>
      <c r="G3" s="220"/>
      <c r="H3" s="220"/>
      <c r="I3" s="223" t="s">
        <v>6</v>
      </c>
      <c r="J3" s="223"/>
      <c r="K3" s="223"/>
      <c r="L3" s="223"/>
      <c r="M3" s="223"/>
      <c r="N3" s="223"/>
      <c r="O3" s="82"/>
    </row>
    <row r="4" spans="1:15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83" t="s">
        <v>568</v>
      </c>
      <c r="J4" s="183" t="s">
        <v>374</v>
      </c>
      <c r="K4" s="183" t="s">
        <v>483</v>
      </c>
      <c r="L4" s="32" t="s">
        <v>484</v>
      </c>
      <c r="M4" s="32" t="s">
        <v>486</v>
      </c>
      <c r="N4" s="183" t="s">
        <v>485</v>
      </c>
      <c r="O4" s="83"/>
    </row>
    <row r="5" spans="1:15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86"/>
      <c r="J5" s="22"/>
      <c r="K5" s="23"/>
      <c r="L5" s="22">
        <v>100</v>
      </c>
      <c r="M5" s="24">
        <f>N5/L5</f>
        <v>0.75</v>
      </c>
      <c r="N5" s="22">
        <v>75</v>
      </c>
      <c r="O5" s="82"/>
    </row>
    <row r="6" spans="1:15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86"/>
      <c r="J6" s="22"/>
      <c r="K6" s="23"/>
      <c r="L6" s="22">
        <v>101</v>
      </c>
      <c r="M6" s="25">
        <f>N6/L6</f>
        <v>0.59405940594059403</v>
      </c>
      <c r="N6" s="22">
        <v>60</v>
      </c>
      <c r="O6" s="82"/>
    </row>
    <row r="7" spans="1:15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86"/>
      <c r="J7" s="22"/>
      <c r="K7" s="23"/>
      <c r="L7" s="22"/>
      <c r="M7" s="22"/>
      <c r="N7" s="22"/>
      <c r="O7" s="82"/>
    </row>
    <row r="8" spans="1:15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86"/>
      <c r="J8" s="27"/>
      <c r="K8" s="22"/>
      <c r="L8" s="22"/>
      <c r="M8" s="22"/>
      <c r="N8" s="22"/>
      <c r="O8" s="82"/>
    </row>
    <row r="9" spans="1:15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186"/>
      <c r="J9" s="22"/>
      <c r="K9" s="22"/>
      <c r="L9" s="22"/>
      <c r="M9" s="22"/>
      <c r="N9" s="22"/>
      <c r="O9" s="82"/>
    </row>
    <row r="10" spans="1:15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86"/>
      <c r="J10" s="27"/>
      <c r="K10" s="22"/>
      <c r="L10" s="22"/>
      <c r="M10" s="22"/>
      <c r="N10" s="22"/>
      <c r="O10" s="82"/>
    </row>
    <row r="11" spans="1:15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86"/>
      <c r="J11" s="27"/>
      <c r="K11" s="22"/>
      <c r="L11" s="22"/>
      <c r="M11" s="22"/>
      <c r="N11" s="22"/>
      <c r="O11" s="82"/>
    </row>
    <row r="12" spans="1:15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86"/>
      <c r="J12" s="22"/>
      <c r="K12" s="23"/>
      <c r="L12" s="22"/>
      <c r="M12" s="22"/>
      <c r="N12" s="22"/>
      <c r="O12" s="82"/>
    </row>
    <row r="13" spans="1:15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86"/>
      <c r="J13" s="22"/>
      <c r="K13" s="22"/>
      <c r="L13" s="22"/>
      <c r="M13" s="22"/>
      <c r="N13" s="22"/>
      <c r="O13" s="82"/>
    </row>
    <row r="14" spans="1:15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86"/>
      <c r="J14" s="22"/>
      <c r="K14" s="23"/>
      <c r="L14" s="22"/>
      <c r="M14" s="22"/>
      <c r="N14" s="22"/>
      <c r="O14" s="82"/>
    </row>
    <row r="15" spans="1:15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86"/>
      <c r="J15" s="22"/>
      <c r="K15" s="23"/>
      <c r="L15" s="22"/>
      <c r="M15" s="22"/>
      <c r="N15" s="22"/>
      <c r="O15" s="82"/>
    </row>
    <row r="16" spans="1:15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86"/>
      <c r="J16" s="27"/>
      <c r="K16" s="22"/>
      <c r="L16" s="22"/>
      <c r="M16" s="22"/>
      <c r="N16" s="22"/>
      <c r="O16" s="82"/>
    </row>
    <row r="17" spans="1:15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86"/>
      <c r="J17" s="27"/>
      <c r="K17" s="22"/>
      <c r="L17" s="22"/>
      <c r="M17" s="22"/>
      <c r="N17" s="22"/>
      <c r="O17" s="82"/>
    </row>
    <row r="18" spans="1:15" hidden="1">
      <c r="A18" s="82"/>
      <c r="B18" s="58" t="s">
        <v>501</v>
      </c>
      <c r="C18" s="59"/>
      <c r="D18" s="85"/>
      <c r="E18" s="60">
        <f t="shared" ref="E18:L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187"/>
      <c r="J18" s="60">
        <f t="shared" si="2"/>
        <v>0</v>
      </c>
      <c r="K18" s="60">
        <f t="shared" si="2"/>
        <v>0</v>
      </c>
      <c r="L18" s="60">
        <f t="shared" si="2"/>
        <v>201</v>
      </c>
      <c r="M18" s="60"/>
      <c r="N18" s="60">
        <f>SUM(N5:N17)</f>
        <v>135</v>
      </c>
      <c r="O18" s="82"/>
    </row>
    <row r="19" spans="1:15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188">
        <v>1204</v>
      </c>
      <c r="J19" s="62"/>
      <c r="K19" s="62">
        <v>4127.76</v>
      </c>
      <c r="L19" s="62">
        <f>J19+K19</f>
        <v>4127.76</v>
      </c>
      <c r="M19" s="149">
        <f>IFERROR(N19/L19,0)</f>
        <v>0.70139494544256442</v>
      </c>
      <c r="N19" s="62">
        <v>2895.19</v>
      </c>
      <c r="O19" s="82"/>
    </row>
    <row r="20" spans="1:15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189"/>
      <c r="J20" s="74"/>
      <c r="K20" s="74"/>
      <c r="L20" s="74">
        <f>I20+J20</f>
        <v>0</v>
      </c>
      <c r="M20" s="150">
        <f t="shared" ref="M20:M36" si="4">IFERROR(N20/L20,0)</f>
        <v>0</v>
      </c>
      <c r="N20" s="74"/>
      <c r="O20" s="82"/>
    </row>
    <row r="21" spans="1:15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188"/>
      <c r="J21" s="62"/>
      <c r="K21" s="62"/>
      <c r="L21" s="62">
        <f>J21+K21</f>
        <v>0</v>
      </c>
      <c r="M21" s="149">
        <f t="shared" si="4"/>
        <v>0</v>
      </c>
      <c r="N21" s="62"/>
      <c r="O21" s="82"/>
    </row>
    <row r="22" spans="1:15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189"/>
      <c r="J22" s="74"/>
      <c r="K22" s="74"/>
      <c r="L22" s="74">
        <f>I22+J22</f>
        <v>0</v>
      </c>
      <c r="M22" s="150">
        <f t="shared" si="4"/>
        <v>0</v>
      </c>
      <c r="N22" s="74"/>
      <c r="O22" s="82"/>
    </row>
    <row r="23" spans="1:15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188"/>
      <c r="J23" s="62"/>
      <c r="K23" s="62"/>
      <c r="L23" s="62">
        <f>J23+K23</f>
        <v>0</v>
      </c>
      <c r="M23" s="149">
        <f t="shared" si="4"/>
        <v>0</v>
      </c>
      <c r="N23" s="62"/>
      <c r="O23" s="82"/>
    </row>
    <row r="24" spans="1:15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189">
        <v>1204</v>
      </c>
      <c r="J24" s="74"/>
      <c r="K24" s="74">
        <v>17403.52</v>
      </c>
      <c r="L24" s="74">
        <f>I24+J24</f>
        <v>1204</v>
      </c>
      <c r="M24" s="150">
        <f t="shared" si="4"/>
        <v>9.1499169435215943</v>
      </c>
      <c r="N24" s="74">
        <v>11016.5</v>
      </c>
      <c r="O24" s="82"/>
    </row>
    <row r="25" spans="1:15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188"/>
      <c r="J25" s="62"/>
      <c r="K25" s="62"/>
      <c r="L25" s="62">
        <f>J25+K25</f>
        <v>0</v>
      </c>
      <c r="M25" s="149">
        <f t="shared" si="4"/>
        <v>0</v>
      </c>
      <c r="N25" s="62"/>
      <c r="O25" s="82"/>
    </row>
    <row r="26" spans="1:15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189">
        <v>1201</v>
      </c>
      <c r="J26" s="74">
        <v>38110.050000000003</v>
      </c>
      <c r="K26" s="74"/>
      <c r="L26" s="74">
        <f>I26+J26</f>
        <v>39311.050000000003</v>
      </c>
      <c r="M26" s="150">
        <f t="shared" si="4"/>
        <v>3.4407628389473185E-2</v>
      </c>
      <c r="N26" s="74">
        <v>1352.6</v>
      </c>
      <c r="O26" s="82"/>
    </row>
    <row r="27" spans="1:15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188"/>
      <c r="J27" s="62"/>
      <c r="K27" s="62"/>
      <c r="L27" s="62">
        <f>J27+K27</f>
        <v>0</v>
      </c>
      <c r="M27" s="149">
        <f t="shared" si="4"/>
        <v>0</v>
      </c>
      <c r="N27" s="62"/>
      <c r="O27" s="82"/>
    </row>
    <row r="28" spans="1:15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189"/>
      <c r="J28" s="74"/>
      <c r="K28" s="74"/>
      <c r="L28" s="74">
        <f>I28+J28</f>
        <v>0</v>
      </c>
      <c r="M28" s="150">
        <f t="shared" si="4"/>
        <v>0</v>
      </c>
      <c r="N28" s="74"/>
      <c r="O28" s="82"/>
    </row>
    <row r="29" spans="1:15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188">
        <v>1201</v>
      </c>
      <c r="J29" s="62"/>
      <c r="K29" s="62">
        <v>257836.78</v>
      </c>
      <c r="L29" s="62">
        <f>J29+K29</f>
        <v>257836.78</v>
      </c>
      <c r="M29" s="149">
        <f t="shared" si="4"/>
        <v>0.3764771651274888</v>
      </c>
      <c r="N29" s="62">
        <v>97069.66</v>
      </c>
      <c r="O29" s="82"/>
    </row>
    <row r="30" spans="1:15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189"/>
      <c r="J30" s="74"/>
      <c r="K30" s="74"/>
      <c r="L30" s="74">
        <f>I30+J30</f>
        <v>0</v>
      </c>
      <c r="M30" s="150">
        <f t="shared" si="4"/>
        <v>0</v>
      </c>
      <c r="N30" s="74"/>
      <c r="O30" s="82"/>
    </row>
    <row r="31" spans="1:15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188"/>
      <c r="J31" s="62"/>
      <c r="K31" s="62"/>
      <c r="L31" s="62">
        <f>J31+K31</f>
        <v>0</v>
      </c>
      <c r="M31" s="149">
        <f t="shared" si="4"/>
        <v>0</v>
      </c>
      <c r="N31" s="62"/>
      <c r="O31" s="82"/>
    </row>
    <row r="32" spans="1:15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189"/>
      <c r="J32" s="74"/>
      <c r="K32" s="74"/>
      <c r="L32" s="74">
        <f>I32+J32</f>
        <v>0</v>
      </c>
      <c r="M32" s="150">
        <f t="shared" si="4"/>
        <v>0</v>
      </c>
      <c r="N32" s="74"/>
      <c r="O32" s="82"/>
    </row>
    <row r="33" spans="1:15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188">
        <v>1204</v>
      </c>
      <c r="J33" s="62"/>
      <c r="K33" s="62">
        <v>10157.61</v>
      </c>
      <c r="L33" s="62">
        <f>J33+K33</f>
        <v>10157.61</v>
      </c>
      <c r="M33" s="149">
        <f t="shared" si="4"/>
        <v>2.899876053520464</v>
      </c>
      <c r="N33" s="62">
        <v>29455.81</v>
      </c>
      <c r="O33" s="82"/>
    </row>
    <row r="34" spans="1:15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189"/>
      <c r="J34" s="74"/>
      <c r="K34" s="74"/>
      <c r="L34" s="74">
        <f>I34+J34</f>
        <v>0</v>
      </c>
      <c r="M34" s="150">
        <f t="shared" si="4"/>
        <v>0</v>
      </c>
      <c r="N34" s="74"/>
      <c r="O34" s="82"/>
    </row>
    <row r="35" spans="1:15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188">
        <v>1201</v>
      </c>
      <c r="J35" s="62"/>
      <c r="K35" s="62">
        <v>18708.3</v>
      </c>
      <c r="L35" s="62">
        <f>J35+K35</f>
        <v>18708.3</v>
      </c>
      <c r="M35" s="149">
        <f t="shared" si="4"/>
        <v>1.1044295847297724E-2</v>
      </c>
      <c r="N35" s="62">
        <v>206.62</v>
      </c>
      <c r="O35" s="82"/>
    </row>
    <row r="36" spans="1:15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189"/>
      <c r="J36" s="74"/>
      <c r="K36" s="74"/>
      <c r="L36" s="74">
        <f>I36+J36</f>
        <v>0</v>
      </c>
      <c r="M36" s="150">
        <f t="shared" si="4"/>
        <v>0</v>
      </c>
      <c r="N36" s="74"/>
      <c r="O36" s="82"/>
    </row>
    <row r="37" spans="1:15">
      <c r="A37" s="82"/>
      <c r="B37" s="78" t="s">
        <v>513</v>
      </c>
      <c r="C37" s="78"/>
      <c r="D37" s="88"/>
      <c r="E37" s="79">
        <f t="shared" ref="E37:L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190"/>
      <c r="J37" s="79">
        <f t="shared" si="5"/>
        <v>38110.050000000003</v>
      </c>
      <c r="K37" s="79">
        <f t="shared" si="5"/>
        <v>308233.96999999997</v>
      </c>
      <c r="L37" s="79">
        <f t="shared" si="5"/>
        <v>331345.5</v>
      </c>
      <c r="M37" s="79"/>
      <c r="N37" s="79">
        <f>SUM(N19:N36)</f>
        <v>141996.38</v>
      </c>
      <c r="O37" s="82"/>
    </row>
    <row r="38" spans="1:15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191"/>
      <c r="J38" s="64"/>
      <c r="K38" s="64"/>
      <c r="L38" s="64"/>
      <c r="M38" s="64"/>
      <c r="N38" s="64"/>
      <c r="O38" s="82"/>
    </row>
    <row r="39" spans="1:15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191"/>
      <c r="J39" s="64"/>
      <c r="K39" s="64"/>
      <c r="L39" s="64"/>
      <c r="M39" s="64"/>
      <c r="N39" s="64"/>
      <c r="O39" s="82"/>
    </row>
    <row r="40" spans="1:15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191"/>
      <c r="J40" s="64"/>
      <c r="K40" s="64"/>
      <c r="L40" s="64"/>
      <c r="M40" s="64"/>
      <c r="N40" s="64"/>
      <c r="O40" s="82"/>
    </row>
    <row r="41" spans="1:15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191"/>
      <c r="J41" s="64"/>
      <c r="K41" s="64"/>
      <c r="L41" s="64"/>
      <c r="M41" s="64"/>
      <c r="N41" s="64"/>
      <c r="O41" s="82"/>
    </row>
    <row r="42" spans="1:15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191"/>
      <c r="J42" s="64"/>
      <c r="K42" s="64"/>
      <c r="L42" s="64"/>
      <c r="M42" s="64"/>
      <c r="N42" s="64"/>
      <c r="O42" s="82"/>
    </row>
    <row r="43" spans="1:15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191"/>
      <c r="J43" s="64"/>
      <c r="K43" s="64"/>
      <c r="L43" s="64"/>
      <c r="M43" s="64"/>
      <c r="N43" s="64"/>
      <c r="O43" s="82"/>
    </row>
    <row r="44" spans="1:15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191"/>
      <c r="J44" s="64"/>
      <c r="K44" s="64"/>
      <c r="L44" s="64"/>
      <c r="M44" s="64"/>
      <c r="N44" s="64"/>
      <c r="O44" s="82"/>
    </row>
    <row r="45" spans="1:15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191"/>
      <c r="J45" s="64"/>
      <c r="K45" s="64"/>
      <c r="L45" s="64"/>
      <c r="M45" s="64"/>
      <c r="N45" s="64"/>
      <c r="O45" s="82"/>
    </row>
    <row r="46" spans="1:15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191"/>
      <c r="J46" s="67"/>
      <c r="K46" s="64"/>
      <c r="L46" s="64"/>
      <c r="M46" s="64"/>
      <c r="N46" s="64"/>
      <c r="O46" s="82"/>
    </row>
    <row r="47" spans="1:15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191"/>
      <c r="J47" s="67"/>
      <c r="K47" s="64"/>
      <c r="L47" s="64"/>
      <c r="M47" s="64"/>
      <c r="N47" s="64"/>
      <c r="O47" s="82"/>
    </row>
    <row r="48" spans="1:15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191"/>
      <c r="J48" s="64"/>
      <c r="K48" s="64"/>
      <c r="L48" s="64"/>
      <c r="M48" s="64"/>
      <c r="N48" s="64"/>
      <c r="O48" s="82"/>
    </row>
    <row r="49" spans="1:15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191"/>
      <c r="J49" s="67"/>
      <c r="K49" s="64"/>
      <c r="L49" s="64"/>
      <c r="M49" s="64"/>
      <c r="N49" s="64"/>
      <c r="O49" s="82"/>
    </row>
    <row r="50" spans="1:15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191"/>
      <c r="J50" s="67"/>
      <c r="K50" s="64"/>
      <c r="L50" s="64"/>
      <c r="M50" s="64"/>
      <c r="N50" s="64"/>
      <c r="O50" s="82"/>
    </row>
    <row r="51" spans="1:15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191"/>
      <c r="J51" s="64"/>
      <c r="K51" s="64"/>
      <c r="L51" s="64"/>
      <c r="M51" s="64"/>
      <c r="N51" s="64"/>
      <c r="O51" s="82"/>
    </row>
    <row r="52" spans="1:15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191"/>
      <c r="J52" s="64"/>
      <c r="K52" s="64"/>
      <c r="L52" s="64"/>
      <c r="M52" s="64"/>
      <c r="N52" s="64"/>
      <c r="O52" s="82"/>
    </row>
    <row r="53" spans="1:15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191"/>
      <c r="J53" s="64"/>
      <c r="K53" s="64"/>
      <c r="L53" s="64"/>
      <c r="M53" s="64"/>
      <c r="N53" s="64"/>
      <c r="O53" s="82"/>
    </row>
    <row r="54" spans="1:15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191"/>
      <c r="J54" s="67"/>
      <c r="K54" s="64"/>
      <c r="L54" s="64"/>
      <c r="M54" s="64"/>
      <c r="N54" s="64"/>
      <c r="O54" s="82"/>
    </row>
    <row r="55" spans="1:15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191"/>
      <c r="J55" s="67"/>
      <c r="K55" s="64"/>
      <c r="L55" s="64"/>
      <c r="M55" s="64"/>
      <c r="N55" s="64"/>
      <c r="O55" s="82"/>
    </row>
    <row r="56" spans="1:15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191"/>
      <c r="J56" s="64"/>
      <c r="K56" s="64"/>
      <c r="L56" s="64"/>
      <c r="M56" s="64"/>
      <c r="N56" s="64"/>
      <c r="O56" s="82"/>
    </row>
    <row r="57" spans="1:15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191"/>
      <c r="J57" s="67"/>
      <c r="K57" s="64"/>
      <c r="L57" s="64"/>
      <c r="M57" s="64"/>
      <c r="N57" s="64"/>
      <c r="O57" s="82"/>
    </row>
    <row r="58" spans="1:15" hidden="1">
      <c r="A58" s="82"/>
      <c r="B58" s="70" t="s">
        <v>521</v>
      </c>
      <c r="C58" s="70"/>
      <c r="D58" s="90"/>
      <c r="E58" s="71">
        <f t="shared" ref="E58:L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192"/>
      <c r="J58" s="71">
        <f t="shared" si="6"/>
        <v>0</v>
      </c>
      <c r="K58" s="71">
        <f t="shared" si="6"/>
        <v>0</v>
      </c>
      <c r="L58" s="71">
        <f t="shared" si="6"/>
        <v>0</v>
      </c>
      <c r="M58" s="71"/>
      <c r="N58" s="71">
        <f>SUM(N38:N57)</f>
        <v>0</v>
      </c>
      <c r="O58" s="82"/>
    </row>
    <row r="59" spans="1:15">
      <c r="A59" s="82"/>
      <c r="B59" s="80" t="s">
        <v>484</v>
      </c>
      <c r="C59" s="80"/>
      <c r="D59" s="91"/>
      <c r="E59" s="81">
        <f t="shared" ref="E59:L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193"/>
      <c r="J59" s="81">
        <f t="shared" si="7"/>
        <v>38110.050000000003</v>
      </c>
      <c r="K59" s="81">
        <f t="shared" si="7"/>
        <v>308233.96999999997</v>
      </c>
      <c r="L59" s="81">
        <f t="shared" si="7"/>
        <v>331546.5</v>
      </c>
      <c r="M59" s="81"/>
      <c r="N59" s="81">
        <f>N58+N37+N18</f>
        <v>142131.38</v>
      </c>
      <c r="O59" s="82"/>
    </row>
    <row r="61" spans="1:15">
      <c r="F61">
        <v>1959523.1</v>
      </c>
      <c r="K61">
        <v>1959523.1</v>
      </c>
    </row>
    <row r="62" spans="1:15">
      <c r="F62" s="13">
        <f>F58-F61</f>
        <v>-3.5483869723975658E-3</v>
      </c>
      <c r="K62" s="13">
        <f>K58-K61</f>
        <v>-1959523.1</v>
      </c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119" activePane="bottomRight" state="frozen"/>
      <selection activeCell="C4" sqref="C4"/>
      <selection pane="topRight" activeCell="C4" sqref="C4"/>
      <selection pane="bottomLeft" activeCell="C4" sqref="C4"/>
      <selection pane="bottomRight" activeCell="B139" sqref="B139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7.42578125" bestFit="1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24" t="s">
        <v>360</v>
      </c>
      <c r="B1" s="224"/>
      <c r="C1" s="224"/>
      <c r="D1" s="224"/>
      <c r="E1" s="224"/>
      <c r="F1" s="224"/>
      <c r="G1" s="224"/>
      <c r="H1" s="224"/>
    </row>
    <row r="2" spans="1:18" ht="15.75">
      <c r="A2" s="225" t="s">
        <v>361</v>
      </c>
      <c r="B2" s="225"/>
      <c r="C2" s="225"/>
      <c r="D2" s="225"/>
      <c r="E2" s="225"/>
      <c r="F2" s="225"/>
      <c r="G2" s="225"/>
      <c r="H2" s="225"/>
    </row>
    <row r="3" spans="1:18">
      <c r="A3" s="102" t="s">
        <v>362</v>
      </c>
      <c r="B3" s="140">
        <f>B140</f>
        <v>-58146.039720000234</v>
      </c>
      <c r="C3" s="226"/>
      <c r="D3" s="198"/>
      <c r="E3" s="198"/>
      <c r="F3" s="198"/>
      <c r="G3" s="227"/>
      <c r="H3" s="140">
        <f>H140</f>
        <v>-164403.28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I4" s="194" t="s">
        <v>570</v>
      </c>
      <c r="J4" s="180" t="s">
        <v>569</v>
      </c>
      <c r="L4" s="16"/>
      <c r="N4" s="16"/>
      <c r="O4" s="16"/>
      <c r="P4" s="16"/>
      <c r="Q4" s="16"/>
    </row>
    <row r="5" spans="1:18" ht="15.75">
      <c r="A5" s="139" t="s">
        <v>371</v>
      </c>
      <c r="B5" s="115"/>
      <c r="C5" s="116"/>
      <c r="D5" s="116"/>
      <c r="E5" s="116"/>
      <c r="F5" s="112"/>
      <c r="G5" s="112"/>
      <c r="H5" s="116"/>
      <c r="I5" t="s">
        <v>529</v>
      </c>
      <c r="M5" s="18"/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I6" t="s">
        <v>529</v>
      </c>
      <c r="M6" s="18"/>
      <c r="N6" s="18"/>
      <c r="O6" s="18"/>
      <c r="P6" s="18"/>
      <c r="Q6" s="18"/>
      <c r="R6" s="18"/>
    </row>
    <row r="7" spans="1:18">
      <c r="A7" s="120" t="s">
        <v>373</v>
      </c>
      <c r="B7" s="168">
        <f>Material_Cost!F37</f>
        <v>2059808.14</v>
      </c>
      <c r="C7" s="121">
        <v>18500</v>
      </c>
      <c r="D7" s="118">
        <v>4000</v>
      </c>
      <c r="E7" s="118">
        <v>0</v>
      </c>
      <c r="F7" s="118">
        <v>0</v>
      </c>
      <c r="G7" s="122">
        <f>IFERROR(H7/$H$10,"")</f>
        <v>0.82222222222222219</v>
      </c>
      <c r="H7" s="121">
        <f>C7</f>
        <v>18500</v>
      </c>
      <c r="I7" t="s">
        <v>529</v>
      </c>
      <c r="M7" s="18"/>
      <c r="N7" s="18"/>
      <c r="O7" s="18"/>
      <c r="P7" s="18"/>
      <c r="Q7" s="18"/>
      <c r="R7" s="18"/>
    </row>
    <row r="8" spans="1:18">
      <c r="A8" s="120" t="s">
        <v>374</v>
      </c>
      <c r="B8" s="168">
        <f>Material_Cost!E37</f>
        <v>56825.2</v>
      </c>
      <c r="C8" s="123">
        <v>4000</v>
      </c>
      <c r="D8" s="118">
        <v>1500</v>
      </c>
      <c r="E8" s="118">
        <v>0</v>
      </c>
      <c r="F8" s="118">
        <v>0</v>
      </c>
      <c r="G8" s="122">
        <f t="shared" ref="G8:G71" si="0">IFERROR(H8/$H$10,"")</f>
        <v>0.17777777777777778</v>
      </c>
      <c r="H8" s="121">
        <f>C8</f>
        <v>4000</v>
      </c>
      <c r="I8" t="s">
        <v>529</v>
      </c>
      <c r="M8" s="18"/>
      <c r="N8" s="18"/>
      <c r="O8" s="18"/>
      <c r="P8" s="18"/>
      <c r="Q8" s="18"/>
      <c r="R8" s="18"/>
    </row>
    <row r="9" spans="1:18">
      <c r="A9" s="120" t="s">
        <v>375</v>
      </c>
      <c r="B9" s="124"/>
      <c r="C9" s="125">
        <v>0</v>
      </c>
      <c r="D9" s="118">
        <v>0</v>
      </c>
      <c r="E9" s="118">
        <v>0</v>
      </c>
      <c r="F9" s="118">
        <v>0</v>
      </c>
      <c r="G9" s="122">
        <f t="shared" si="0"/>
        <v>0</v>
      </c>
      <c r="H9" s="121">
        <f>C9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H10" si="1">B7+B8+B9</f>
        <v>2116633.34</v>
      </c>
      <c r="C10" s="127">
        <f t="shared" si="1"/>
        <v>22500</v>
      </c>
      <c r="D10" s="127">
        <f t="shared" si="1"/>
        <v>5500</v>
      </c>
      <c r="E10" s="127">
        <f t="shared" si="1"/>
        <v>0</v>
      </c>
      <c r="F10" s="127">
        <f t="shared" si="1"/>
        <v>0</v>
      </c>
      <c r="G10" s="122">
        <f t="shared" si="0"/>
        <v>1</v>
      </c>
      <c r="H10" s="127">
        <f t="shared" si="1"/>
        <v>22500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>
        <f t="shared" si="0"/>
        <v>0</v>
      </c>
      <c r="H11" s="118"/>
      <c r="I11" t="s">
        <v>529</v>
      </c>
      <c r="M11" s="18"/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>
        <f t="shared" si="0"/>
        <v>0</v>
      </c>
      <c r="H12" s="118"/>
      <c r="I12" t="s">
        <v>529</v>
      </c>
      <c r="M12" s="18"/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>
        <v>3600</v>
      </c>
      <c r="D13" s="115">
        <v>0</v>
      </c>
      <c r="E13" s="115">
        <v>0</v>
      </c>
      <c r="F13" s="115">
        <v>0</v>
      </c>
      <c r="G13" s="122">
        <f t="shared" si="0"/>
        <v>0.16</v>
      </c>
      <c r="H13" s="118">
        <f>SUM(C13:F13)</f>
        <v>3600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3600</v>
      </c>
      <c r="D14" s="127">
        <f>D13</f>
        <v>0</v>
      </c>
      <c r="E14" s="127">
        <f>E13</f>
        <v>0</v>
      </c>
      <c r="F14" s="127">
        <f>F13</f>
        <v>0</v>
      </c>
      <c r="G14" s="122">
        <f t="shared" si="0"/>
        <v>0.16</v>
      </c>
      <c r="H14" s="127">
        <f>H13</f>
        <v>3600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>
        <f t="shared" si="0"/>
        <v>0</v>
      </c>
      <c r="H15" s="129"/>
      <c r="I15" t="s">
        <v>529</v>
      </c>
      <c r="M15" s="18"/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>
        <f t="shared" si="0"/>
        <v>0</v>
      </c>
      <c r="H16" s="118">
        <f t="shared" ref="H16:H79" si="2">SUM(C16:F16)</f>
        <v>0</v>
      </c>
      <c r="I16" t="s">
        <v>529</v>
      </c>
      <c r="M16" s="18"/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>
        <v>122.79</v>
      </c>
      <c r="D17" s="118">
        <v>901.66</v>
      </c>
      <c r="E17" s="118">
        <v>901.67</v>
      </c>
      <c r="F17" s="118">
        <v>0</v>
      </c>
      <c r="G17" s="122">
        <f t="shared" si="0"/>
        <v>8.5605333333333325E-2</v>
      </c>
      <c r="H17" s="118">
        <f t="shared" si="2"/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>
        <v>0</v>
      </c>
      <c r="D18" s="118">
        <v>0</v>
      </c>
      <c r="E18" s="118">
        <v>0</v>
      </c>
      <c r="F18" s="118">
        <v>0</v>
      </c>
      <c r="G18" s="122">
        <f t="shared" si="0"/>
        <v>0</v>
      </c>
      <c r="H18" s="118">
        <f t="shared" si="2"/>
        <v>0</v>
      </c>
      <c r="I18" t="s">
        <v>209</v>
      </c>
      <c r="J18" t="s">
        <v>571</v>
      </c>
      <c r="M18" s="18"/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>
        <v>0</v>
      </c>
      <c r="D19" s="118">
        <v>0</v>
      </c>
      <c r="E19" s="118">
        <v>0</v>
      </c>
      <c r="F19" s="118">
        <v>0</v>
      </c>
      <c r="G19" s="122">
        <f t="shared" si="0"/>
        <v>0</v>
      </c>
      <c r="H19" s="118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>
        <v>0</v>
      </c>
      <c r="D20" s="118">
        <v>0</v>
      </c>
      <c r="E20" s="118">
        <v>0</v>
      </c>
      <c r="F20" s="118">
        <v>0</v>
      </c>
      <c r="G20" s="122">
        <f t="shared" si="0"/>
        <v>0</v>
      </c>
      <c r="H20" s="118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>
        <v>2655.51</v>
      </c>
      <c r="D21" s="118">
        <v>4436.3599999999997</v>
      </c>
      <c r="E21" s="118">
        <v>3929.89</v>
      </c>
      <c r="F21" s="118">
        <v>2181.4299999999998</v>
      </c>
      <c r="G21" s="122">
        <f t="shared" si="0"/>
        <v>0.58680844444444447</v>
      </c>
      <c r="H21" s="118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>
        <v>0</v>
      </c>
      <c r="D22" s="118">
        <v>0</v>
      </c>
      <c r="E22" s="118">
        <v>0</v>
      </c>
      <c r="F22" s="118">
        <v>0</v>
      </c>
      <c r="G22" s="122">
        <f t="shared" si="0"/>
        <v>0</v>
      </c>
      <c r="H22" s="118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>
        <v>0</v>
      </c>
      <c r="D23" s="118">
        <v>0</v>
      </c>
      <c r="E23" s="118">
        <v>0</v>
      </c>
      <c r="F23" s="118">
        <v>0</v>
      </c>
      <c r="G23" s="122">
        <f t="shared" si="0"/>
        <v>0</v>
      </c>
      <c r="H23" s="118">
        <f t="shared" si="2"/>
        <v>0</v>
      </c>
      <c r="I23" t="s">
        <v>91</v>
      </c>
      <c r="J23" t="s">
        <v>573</v>
      </c>
      <c r="M23" s="18"/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2778.3</v>
      </c>
      <c r="D24" s="127">
        <f>SUM(D17:D23)</f>
        <v>5338.0199999999995</v>
      </c>
      <c r="E24" s="127">
        <f>SUM(E17:E23)</f>
        <v>4831.5599999999995</v>
      </c>
      <c r="F24" s="127">
        <f>SUM(F17:F23)</f>
        <v>2181.4299999999998</v>
      </c>
      <c r="G24" s="122">
        <f t="shared" si="0"/>
        <v>0.67241377777777778</v>
      </c>
      <c r="H24" s="116">
        <f t="shared" si="2"/>
        <v>15129.31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>
        <f t="shared" si="0"/>
        <v>0</v>
      </c>
      <c r="H25" s="118"/>
      <c r="I25" t="s">
        <v>529</v>
      </c>
      <c r="M25" s="18"/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>
        <f t="shared" si="0"/>
        <v>0</v>
      </c>
      <c r="H26" s="118"/>
      <c r="I26" t="s">
        <v>529</v>
      </c>
      <c r="M26" s="18"/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>
        <v>91.44</v>
      </c>
      <c r="D27" s="118">
        <v>160.61000000000001</v>
      </c>
      <c r="E27" s="118">
        <v>0</v>
      </c>
      <c r="F27" s="118">
        <v>91.44</v>
      </c>
      <c r="G27" s="122">
        <f t="shared" si="0"/>
        <v>1.5266222222222223E-2</v>
      </c>
      <c r="H27" s="118">
        <f t="shared" si="2"/>
        <v>343.49</v>
      </c>
      <c r="I27" t="s">
        <v>152</v>
      </c>
      <c r="J27" t="s">
        <v>574</v>
      </c>
      <c r="M27" s="18"/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>
        <v>8323.4</v>
      </c>
      <c r="D28" s="118">
        <v>0</v>
      </c>
      <c r="E28" s="118">
        <v>8323.4</v>
      </c>
      <c r="F28" s="118">
        <v>8323.4</v>
      </c>
      <c r="G28" s="122">
        <f t="shared" si="0"/>
        <v>1.1097866666666665</v>
      </c>
      <c r="H28" s="118">
        <f t="shared" si="2"/>
        <v>24970.199999999997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>
        <v>156.87</v>
      </c>
      <c r="D29" s="118">
        <v>436.66</v>
      </c>
      <c r="E29" s="118">
        <v>827.12</v>
      </c>
      <c r="F29" s="118">
        <v>84.77</v>
      </c>
      <c r="G29" s="122">
        <f t="shared" si="0"/>
        <v>6.6907555555555553E-2</v>
      </c>
      <c r="H29" s="118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>
        <v>0</v>
      </c>
      <c r="D30" s="118">
        <v>0</v>
      </c>
      <c r="E30" s="118">
        <v>0</v>
      </c>
      <c r="F30" s="118">
        <v>0</v>
      </c>
      <c r="G30" s="122">
        <f t="shared" si="0"/>
        <v>0</v>
      </c>
      <c r="H30" s="118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>
        <v>1863.9</v>
      </c>
      <c r="D31" s="118">
        <v>5107.6000000000004</v>
      </c>
      <c r="E31" s="118">
        <v>4098.6000000000004</v>
      </c>
      <c r="F31" s="118">
        <v>3779.14</v>
      </c>
      <c r="G31" s="122">
        <f t="shared" si="0"/>
        <v>0.65996622222222223</v>
      </c>
      <c r="H31" s="118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>
        <v>0</v>
      </c>
      <c r="D32" s="118">
        <v>0</v>
      </c>
      <c r="E32" s="118">
        <v>0</v>
      </c>
      <c r="F32" s="118">
        <v>0</v>
      </c>
      <c r="G32" s="122">
        <f t="shared" si="0"/>
        <v>0</v>
      </c>
      <c r="H32" s="118">
        <f t="shared" si="2"/>
        <v>0</v>
      </c>
      <c r="I32" t="s">
        <v>209</v>
      </c>
      <c r="J32" t="s">
        <v>571</v>
      </c>
      <c r="M32" s="18"/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>
        <v>0</v>
      </c>
      <c r="D33" s="118">
        <v>0</v>
      </c>
      <c r="E33" s="118">
        <v>0</v>
      </c>
      <c r="F33" s="118">
        <v>0</v>
      </c>
      <c r="G33" s="122">
        <f t="shared" si="0"/>
        <v>0</v>
      </c>
      <c r="H33" s="118">
        <f t="shared" si="2"/>
        <v>0</v>
      </c>
      <c r="I33" t="s">
        <v>209</v>
      </c>
      <c r="J33" t="s">
        <v>571</v>
      </c>
      <c r="M33" s="18"/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>
        <v>0</v>
      </c>
      <c r="D34" s="118">
        <v>0</v>
      </c>
      <c r="E34" s="118">
        <v>0</v>
      </c>
      <c r="F34" s="118">
        <v>0</v>
      </c>
      <c r="G34" s="122">
        <f t="shared" si="0"/>
        <v>0</v>
      </c>
      <c r="H34" s="118">
        <f t="shared" si="2"/>
        <v>0</v>
      </c>
      <c r="I34" t="s">
        <v>209</v>
      </c>
      <c r="J34" t="s">
        <v>571</v>
      </c>
      <c r="M34" s="18"/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>
        <v>0</v>
      </c>
      <c r="D35" s="118">
        <v>0</v>
      </c>
      <c r="E35" s="118">
        <v>0</v>
      </c>
      <c r="F35" s="118">
        <v>0</v>
      </c>
      <c r="G35" s="122">
        <f t="shared" si="0"/>
        <v>0</v>
      </c>
      <c r="H35" s="118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>
        <v>73.55</v>
      </c>
      <c r="D36" s="118">
        <v>73.55</v>
      </c>
      <c r="E36" s="118">
        <v>73.55</v>
      </c>
      <c r="F36" s="118">
        <v>0</v>
      </c>
      <c r="G36" s="122">
        <f t="shared" si="0"/>
        <v>9.8066666666666649E-3</v>
      </c>
      <c r="H36" s="118">
        <f t="shared" si="2"/>
        <v>220.64999999999998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>
        <v>0</v>
      </c>
      <c r="D37" s="118">
        <v>0</v>
      </c>
      <c r="E37" s="118">
        <v>0</v>
      </c>
      <c r="F37" s="118">
        <v>0</v>
      </c>
      <c r="G37" s="122">
        <f t="shared" si="0"/>
        <v>0</v>
      </c>
      <c r="H37" s="118">
        <f t="shared" si="2"/>
        <v>0</v>
      </c>
      <c r="I37" t="s">
        <v>209</v>
      </c>
      <c r="J37" t="s">
        <v>571</v>
      </c>
      <c r="M37" s="18"/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10509.16</v>
      </c>
      <c r="D38" s="127">
        <f>SUM(D27:D37)</f>
        <v>5778.420000000001</v>
      </c>
      <c r="E38" s="127">
        <f>SUM(E27:E37)</f>
        <v>13322.67</v>
      </c>
      <c r="F38" s="127">
        <f>SUM(F27:F37)</f>
        <v>12278.75</v>
      </c>
      <c r="G38" s="122">
        <f t="shared" si="0"/>
        <v>1.8617333333333332</v>
      </c>
      <c r="H38" s="116">
        <f t="shared" si="2"/>
        <v>41889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13287.46</v>
      </c>
      <c r="D39" s="127">
        <f>D24+D38</f>
        <v>11116.44</v>
      </c>
      <c r="E39" s="127">
        <f>E24+E38</f>
        <v>18154.23</v>
      </c>
      <c r="F39" s="127">
        <f>F24+F38</f>
        <v>14460.18</v>
      </c>
      <c r="G39" s="122">
        <f t="shared" si="0"/>
        <v>2.5341471111111114</v>
      </c>
      <c r="H39" s="116">
        <f t="shared" si="2"/>
        <v>57018.310000000005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>
        <f t="shared" si="0"/>
        <v>0</v>
      </c>
      <c r="H40" s="116"/>
      <c r="I40" t="s">
        <v>529</v>
      </c>
      <c r="M40" s="18"/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5612.5400000000009</v>
      </c>
      <c r="D41" s="127">
        <f>D10-D14-D39</f>
        <v>-5616.4400000000005</v>
      </c>
      <c r="E41" s="127">
        <f>E10-E14-E39</f>
        <v>-18154.23</v>
      </c>
      <c r="F41" s="127">
        <f>F10-F14-F39</f>
        <v>-14460.18</v>
      </c>
      <c r="G41" s="122">
        <f t="shared" si="0"/>
        <v>-1.4497026666666666</v>
      </c>
      <c r="H41" s="116">
        <f t="shared" si="2"/>
        <v>-32618.309999999998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>
        <f t="shared" si="0"/>
        <v>0</v>
      </c>
      <c r="H42" s="118"/>
      <c r="I42" t="s">
        <v>529</v>
      </c>
      <c r="M42" s="18"/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>
        <f t="shared" si="0"/>
        <v>0</v>
      </c>
      <c r="H43" s="118"/>
      <c r="I43" t="s">
        <v>529</v>
      </c>
      <c r="M43" s="18"/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>
        <f t="shared" si="0"/>
        <v>0</v>
      </c>
      <c r="H44" s="118"/>
      <c r="I44" t="s">
        <v>529</v>
      </c>
      <c r="M44" s="18"/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>
        <f t="shared" si="0"/>
        <v>0</v>
      </c>
      <c r="H45" s="118"/>
      <c r="I45" t="s">
        <v>529</v>
      </c>
      <c r="M45" s="18"/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>
        <v>0</v>
      </c>
      <c r="D46" s="118">
        <v>0</v>
      </c>
      <c r="E46" s="118">
        <v>0</v>
      </c>
      <c r="F46" s="118">
        <v>0</v>
      </c>
      <c r="G46" s="122">
        <f t="shared" si="0"/>
        <v>0</v>
      </c>
      <c r="H46" s="118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>
        <v>357.33</v>
      </c>
      <c r="D47" s="118">
        <v>357.33</v>
      </c>
      <c r="E47" s="118">
        <v>357.33</v>
      </c>
      <c r="F47" s="118">
        <v>357.33</v>
      </c>
      <c r="G47" s="122">
        <f t="shared" si="0"/>
        <v>6.3525333333333336E-2</v>
      </c>
      <c r="H47" s="118">
        <f t="shared" si="2"/>
        <v>1429.32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>
        <f t="shared" si="0"/>
        <v>0</v>
      </c>
      <c r="H48" s="118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>
        <v>7427.99</v>
      </c>
      <c r="D49" s="118">
        <v>0</v>
      </c>
      <c r="E49" s="118">
        <v>2612.3200000000002</v>
      </c>
      <c r="F49" s="118">
        <v>7427.99</v>
      </c>
      <c r="G49" s="122">
        <f t="shared" si="0"/>
        <v>0.77636888888888889</v>
      </c>
      <c r="H49" s="118">
        <f t="shared" si="2"/>
        <v>17468.3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>
        <v>0</v>
      </c>
      <c r="D50" s="118">
        <v>0</v>
      </c>
      <c r="E50" s="118">
        <v>0</v>
      </c>
      <c r="F50" s="118">
        <v>0</v>
      </c>
      <c r="G50" s="122">
        <f t="shared" si="0"/>
        <v>0</v>
      </c>
      <c r="H50" s="118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>
        <v>15169.11</v>
      </c>
      <c r="D51" s="118">
        <v>7555.56</v>
      </c>
      <c r="E51" s="118">
        <v>15169.11</v>
      </c>
      <c r="F51" s="118">
        <v>15169.11</v>
      </c>
      <c r="G51" s="122">
        <f t="shared" si="0"/>
        <v>2.3583506666666665</v>
      </c>
      <c r="H51" s="118">
        <f t="shared" si="2"/>
        <v>53062.89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>
        <v>0</v>
      </c>
      <c r="D52" s="135">
        <v>0</v>
      </c>
      <c r="E52" s="118">
        <v>0</v>
      </c>
      <c r="F52" s="118">
        <v>0</v>
      </c>
      <c r="G52" s="122">
        <f t="shared" si="0"/>
        <v>0</v>
      </c>
      <c r="H52" s="118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>
        <v>0</v>
      </c>
      <c r="D53" s="118">
        <v>0</v>
      </c>
      <c r="E53" s="118">
        <v>0</v>
      </c>
      <c r="F53" s="118">
        <v>0</v>
      </c>
      <c r="G53" s="122">
        <f t="shared" si="0"/>
        <v>0</v>
      </c>
      <c r="H53" s="118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>
        <f t="shared" si="0"/>
        <v>0</v>
      </c>
      <c r="H54" s="118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>
        <v>0</v>
      </c>
      <c r="D55" s="118">
        <v>0</v>
      </c>
      <c r="E55" s="118">
        <v>0</v>
      </c>
      <c r="F55" s="118">
        <v>0</v>
      </c>
      <c r="G55" s="122">
        <f t="shared" si="0"/>
        <v>0</v>
      </c>
      <c r="H55" s="118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>
        <v>0</v>
      </c>
      <c r="D56" s="118">
        <v>0</v>
      </c>
      <c r="E56" s="118">
        <v>0</v>
      </c>
      <c r="F56" s="118">
        <v>0</v>
      </c>
      <c r="G56" s="122">
        <f t="shared" si="0"/>
        <v>0</v>
      </c>
      <c r="H56" s="118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>
        <v>0</v>
      </c>
      <c r="D57" s="118">
        <v>0</v>
      </c>
      <c r="E57" s="118">
        <v>0</v>
      </c>
      <c r="F57" s="118">
        <v>0</v>
      </c>
      <c r="G57" s="122">
        <f t="shared" si="0"/>
        <v>0</v>
      </c>
      <c r="H57" s="118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>
        <v>0</v>
      </c>
      <c r="D58" s="118">
        <v>0</v>
      </c>
      <c r="E58" s="118">
        <v>0</v>
      </c>
      <c r="F58" s="118">
        <v>0</v>
      </c>
      <c r="G58" s="122">
        <f t="shared" si="0"/>
        <v>0</v>
      </c>
      <c r="H58" s="118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22954.43</v>
      </c>
      <c r="D59" s="127">
        <f>SUM(D46:D58)</f>
        <v>7912.89</v>
      </c>
      <c r="E59" s="127">
        <f>SUM(E46:E58)</f>
        <v>18138.760000000002</v>
      </c>
      <c r="F59" s="127">
        <f>SUM(F46:F58)</f>
        <v>22954.43</v>
      </c>
      <c r="G59" s="122">
        <f t="shared" si="0"/>
        <v>3.1982448888888895</v>
      </c>
      <c r="H59" s="116">
        <f t="shared" si="2"/>
        <v>71960.510000000009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>
        <f t="shared" si="0"/>
        <v>0</v>
      </c>
      <c r="H60" s="118"/>
      <c r="I60" t="s">
        <v>529</v>
      </c>
      <c r="M60" s="18"/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>
        <f t="shared" si="0"/>
        <v>0</v>
      </c>
      <c r="H61" s="118"/>
      <c r="I61" t="s">
        <v>529</v>
      </c>
      <c r="M61" s="18"/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>
        <f t="shared" si="0"/>
        <v>0</v>
      </c>
      <c r="H62" s="118"/>
      <c r="I62" t="s">
        <v>529</v>
      </c>
      <c r="M62" s="18"/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>
        <v>0</v>
      </c>
      <c r="D63" s="118">
        <v>0</v>
      </c>
      <c r="E63" s="118">
        <v>0</v>
      </c>
      <c r="F63" s="118">
        <v>0</v>
      </c>
      <c r="G63" s="122">
        <f t="shared" si="0"/>
        <v>0</v>
      </c>
      <c r="H63" s="118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>
        <v>0</v>
      </c>
      <c r="D64" s="118">
        <v>0</v>
      </c>
      <c r="E64" s="118">
        <v>0</v>
      </c>
      <c r="F64" s="118">
        <v>0</v>
      </c>
      <c r="G64" s="122">
        <f t="shared" si="0"/>
        <v>0</v>
      </c>
      <c r="H64" s="118">
        <f t="shared" si="2"/>
        <v>0</v>
      </c>
      <c r="I64" t="s">
        <v>209</v>
      </c>
      <c r="J64" t="s">
        <v>571</v>
      </c>
      <c r="M64" s="18"/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>
        <v>0</v>
      </c>
      <c r="D65" s="118">
        <v>0</v>
      </c>
      <c r="E65" s="118">
        <v>0</v>
      </c>
      <c r="F65" s="118">
        <v>0</v>
      </c>
      <c r="G65" s="122">
        <f t="shared" si="0"/>
        <v>0</v>
      </c>
      <c r="H65" s="118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>
        <v>0</v>
      </c>
      <c r="D66" s="118">
        <v>0</v>
      </c>
      <c r="E66" s="118">
        <v>0</v>
      </c>
      <c r="F66" s="118">
        <v>0</v>
      </c>
      <c r="G66" s="122">
        <f t="shared" si="0"/>
        <v>0</v>
      </c>
      <c r="H66" s="118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>
        <v>0</v>
      </c>
      <c r="D67" s="118">
        <v>0</v>
      </c>
      <c r="E67" s="118">
        <v>0</v>
      </c>
      <c r="F67" s="118">
        <v>0</v>
      </c>
      <c r="G67" s="122">
        <f t="shared" si="0"/>
        <v>0</v>
      </c>
      <c r="H67" s="118">
        <f t="shared" si="2"/>
        <v>0</v>
      </c>
      <c r="J67" t="s">
        <v>572</v>
      </c>
      <c r="M67" s="18"/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>
        <v>0</v>
      </c>
      <c r="D68" s="118">
        <v>0</v>
      </c>
      <c r="E68" s="118">
        <v>0</v>
      </c>
      <c r="F68" s="118">
        <v>0</v>
      </c>
      <c r="G68" s="122">
        <f t="shared" si="0"/>
        <v>0</v>
      </c>
      <c r="H68" s="118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>
        <v>0</v>
      </c>
      <c r="D69" s="118">
        <v>0</v>
      </c>
      <c r="E69" s="118">
        <v>0</v>
      </c>
      <c r="F69" s="118">
        <v>0</v>
      </c>
      <c r="G69" s="122">
        <f t="shared" si="0"/>
        <v>0</v>
      </c>
      <c r="H69" s="118">
        <f t="shared" si="2"/>
        <v>0</v>
      </c>
      <c r="I69" t="s">
        <v>91</v>
      </c>
      <c r="J69" t="s">
        <v>573</v>
      </c>
      <c r="M69" s="18"/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>
        <v>91.44</v>
      </c>
      <c r="D70" s="118">
        <v>160.61000000000001</v>
      </c>
      <c r="E70" s="118">
        <v>0</v>
      </c>
      <c r="F70" s="118">
        <v>91.44</v>
      </c>
      <c r="G70" s="122">
        <f t="shared" si="0"/>
        <v>1.5266222222222223E-2</v>
      </c>
      <c r="H70" s="118">
        <f t="shared" si="2"/>
        <v>343.49</v>
      </c>
      <c r="I70" t="s">
        <v>152</v>
      </c>
      <c r="J70" t="s">
        <v>574</v>
      </c>
      <c r="M70" s="18"/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>
        <f t="shared" si="0"/>
        <v>0</v>
      </c>
      <c r="H71" s="118"/>
      <c r="I71" t="s">
        <v>529</v>
      </c>
      <c r="M71" s="18"/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>
        <v>0</v>
      </c>
      <c r="D72" s="118">
        <v>0</v>
      </c>
      <c r="E72" s="118">
        <v>0</v>
      </c>
      <c r="F72" s="118">
        <v>0</v>
      </c>
      <c r="G72" s="122">
        <f t="shared" ref="G72:G135" si="3">IFERROR(H72/$H$10,"")</f>
        <v>0</v>
      </c>
      <c r="H72" s="118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>
        <v>139.61000000000001</v>
      </c>
      <c r="D73" s="118">
        <v>139.61000000000001</v>
      </c>
      <c r="E73" s="118">
        <v>139.61000000000001</v>
      </c>
      <c r="F73" s="118">
        <v>0</v>
      </c>
      <c r="G73" s="122">
        <f t="shared" si="3"/>
        <v>1.8614666666666668E-2</v>
      </c>
      <c r="H73" s="118">
        <f t="shared" si="2"/>
        <v>418.83000000000004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>
        <v>0</v>
      </c>
      <c r="D74" s="118">
        <v>0</v>
      </c>
      <c r="E74" s="118">
        <v>0</v>
      </c>
      <c r="F74" s="118">
        <v>0</v>
      </c>
      <c r="G74" s="122">
        <f t="shared" si="3"/>
        <v>0</v>
      </c>
      <c r="H74" s="118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>
        <v>460.21</v>
      </c>
      <c r="D75" s="118">
        <v>0</v>
      </c>
      <c r="E75" s="118">
        <v>460.21</v>
      </c>
      <c r="F75" s="118">
        <v>460.21</v>
      </c>
      <c r="G75" s="122">
        <f t="shared" si="3"/>
        <v>6.136133333333333E-2</v>
      </c>
      <c r="H75" s="118">
        <f t="shared" si="2"/>
        <v>1380.6299999999999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>
        <v>0</v>
      </c>
      <c r="D76" s="118">
        <v>0</v>
      </c>
      <c r="E76" s="118">
        <v>0</v>
      </c>
      <c r="F76" s="118">
        <v>0</v>
      </c>
      <c r="G76" s="122">
        <f t="shared" si="3"/>
        <v>0</v>
      </c>
      <c r="H76" s="118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>
        <v>0</v>
      </c>
      <c r="D77" s="118">
        <v>0</v>
      </c>
      <c r="E77" s="118">
        <v>0</v>
      </c>
      <c r="F77" s="118">
        <v>0</v>
      </c>
      <c r="G77" s="122">
        <f t="shared" si="3"/>
        <v>0</v>
      </c>
      <c r="H77" s="118">
        <f t="shared" si="2"/>
        <v>0</v>
      </c>
      <c r="I77" t="s">
        <v>209</v>
      </c>
      <c r="J77" t="s">
        <v>571</v>
      </c>
      <c r="M77" s="18"/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>
        <v>0</v>
      </c>
      <c r="D78" s="118">
        <v>0</v>
      </c>
      <c r="E78" s="118">
        <v>0</v>
      </c>
      <c r="F78" s="118">
        <v>0</v>
      </c>
      <c r="G78" s="122">
        <f t="shared" si="3"/>
        <v>0</v>
      </c>
      <c r="H78" s="118">
        <f t="shared" si="2"/>
        <v>0</v>
      </c>
      <c r="I78" t="s">
        <v>209</v>
      </c>
      <c r="J78" t="s">
        <v>571</v>
      </c>
      <c r="M78" s="18"/>
      <c r="N78" s="18"/>
      <c r="O78" s="18"/>
      <c r="P78" s="18"/>
      <c r="Q78" s="18"/>
      <c r="R78" s="18"/>
    </row>
    <row r="79" spans="1:18">
      <c r="A79" s="136" t="s">
        <v>427</v>
      </c>
      <c r="B79" s="125">
        <v>0</v>
      </c>
      <c r="C79" s="118">
        <v>0</v>
      </c>
      <c r="D79" s="118">
        <v>0</v>
      </c>
      <c r="E79" s="118">
        <v>0</v>
      </c>
      <c r="F79" s="118">
        <v>0</v>
      </c>
      <c r="G79" s="122">
        <f t="shared" si="3"/>
        <v>0</v>
      </c>
      <c r="H79" s="118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6" t="s">
        <v>71</v>
      </c>
      <c r="B80" s="125">
        <v>345.96999999999997</v>
      </c>
      <c r="C80" s="118">
        <v>158.19999999999999</v>
      </c>
      <c r="D80" s="118">
        <v>63.28</v>
      </c>
      <c r="E80" s="118">
        <v>158.19999999999999</v>
      </c>
      <c r="F80" s="118">
        <v>158.19999999999999</v>
      </c>
      <c r="G80" s="122">
        <f t="shared" si="3"/>
        <v>2.3905777777777772E-2</v>
      </c>
      <c r="H80" s="118">
        <f t="shared" ref="H80:H137" si="4">SUM(C80:F80)</f>
        <v>537.87999999999988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>
        <v>634.54999999999995</v>
      </c>
      <c r="D81" s="118">
        <v>1371.93</v>
      </c>
      <c r="E81" s="118">
        <v>0</v>
      </c>
      <c r="F81" s="118">
        <v>0</v>
      </c>
      <c r="G81" s="122">
        <f t="shared" si="3"/>
        <v>8.9176888888888889E-2</v>
      </c>
      <c r="H81" s="118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>
        <v>0.63</v>
      </c>
      <c r="D82" s="118">
        <v>20.88</v>
      </c>
      <c r="E82" s="118">
        <v>0</v>
      </c>
      <c r="F82" s="118">
        <v>0</v>
      </c>
      <c r="G82" s="122">
        <f t="shared" si="3"/>
        <v>9.5599999999999993E-4</v>
      </c>
      <c r="H82" s="118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>
        <v>0</v>
      </c>
      <c r="D83" s="118">
        <v>0</v>
      </c>
      <c r="E83" s="118">
        <v>0</v>
      </c>
      <c r="F83" s="118">
        <v>0</v>
      </c>
      <c r="G83" s="122">
        <f t="shared" si="3"/>
        <v>0</v>
      </c>
      <c r="H83" s="118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20" t="s">
        <v>430</v>
      </c>
      <c r="B84" s="137">
        <v>750</v>
      </c>
      <c r="C84" s="134">
        <v>0</v>
      </c>
      <c r="D84" s="134">
        <v>0</v>
      </c>
      <c r="E84" s="134">
        <v>0</v>
      </c>
      <c r="F84" s="134">
        <v>0</v>
      </c>
      <c r="G84" s="122">
        <f t="shared" si="3"/>
        <v>0</v>
      </c>
      <c r="H84" s="134">
        <f t="shared" si="4"/>
        <v>0</v>
      </c>
      <c r="I84" t="s">
        <v>209</v>
      </c>
      <c r="J84" t="s">
        <v>571</v>
      </c>
      <c r="M84" s="18"/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>
        <v>0</v>
      </c>
      <c r="D85" s="118">
        <v>0</v>
      </c>
      <c r="E85" s="118">
        <v>0</v>
      </c>
      <c r="F85" s="118">
        <v>0</v>
      </c>
      <c r="G85" s="122">
        <f t="shared" si="3"/>
        <v>0</v>
      </c>
      <c r="H85" s="118">
        <f t="shared" si="4"/>
        <v>0</v>
      </c>
      <c r="I85" t="s">
        <v>209</v>
      </c>
      <c r="J85" t="s">
        <v>571</v>
      </c>
      <c r="M85" s="18"/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>
        <v>2781.48</v>
      </c>
      <c r="D86" s="118">
        <v>2872.63</v>
      </c>
      <c r="E86" s="118">
        <v>3755.27</v>
      </c>
      <c r="F86" s="118">
        <v>3055.97</v>
      </c>
      <c r="G86" s="122">
        <f t="shared" si="3"/>
        <v>0.55401555555555559</v>
      </c>
      <c r="H86" s="118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6" t="s">
        <v>432</v>
      </c>
      <c r="B87" s="125">
        <v>2095.96</v>
      </c>
      <c r="C87" s="118">
        <v>922.87</v>
      </c>
      <c r="D87" s="118">
        <v>0</v>
      </c>
      <c r="E87" s="118">
        <v>0</v>
      </c>
      <c r="F87" s="118">
        <v>922.87</v>
      </c>
      <c r="G87" s="122">
        <f t="shared" si="3"/>
        <v>8.2032888888888891E-2</v>
      </c>
      <c r="H87" s="118">
        <f t="shared" si="4"/>
        <v>1845.74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6" t="s">
        <v>134</v>
      </c>
      <c r="B88" s="125">
        <v>200</v>
      </c>
      <c r="C88" s="118">
        <v>0</v>
      </c>
      <c r="D88" s="118">
        <v>0</v>
      </c>
      <c r="E88" s="118">
        <v>0</v>
      </c>
      <c r="F88" s="118">
        <v>0</v>
      </c>
      <c r="G88" s="122">
        <f t="shared" si="3"/>
        <v>0</v>
      </c>
      <c r="H88" s="118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>
        <v>0</v>
      </c>
      <c r="D89" s="118">
        <v>0</v>
      </c>
      <c r="E89" s="118">
        <v>0</v>
      </c>
      <c r="F89" s="118">
        <v>0</v>
      </c>
      <c r="G89" s="122">
        <f t="shared" si="3"/>
        <v>0</v>
      </c>
      <c r="H89" s="118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>
        <v>0</v>
      </c>
      <c r="D90" s="118">
        <v>0</v>
      </c>
      <c r="E90" s="118">
        <v>0</v>
      </c>
      <c r="F90" s="118">
        <v>0</v>
      </c>
      <c r="G90" s="122">
        <f t="shared" si="3"/>
        <v>0</v>
      </c>
      <c r="H90" s="118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>
        <v>2284</v>
      </c>
      <c r="D91" s="118">
        <v>394.88</v>
      </c>
      <c r="E91" s="118">
        <v>2284</v>
      </c>
      <c r="F91" s="118">
        <v>2284</v>
      </c>
      <c r="G91" s="122">
        <f t="shared" si="3"/>
        <v>0.32208355555555557</v>
      </c>
      <c r="H91" s="118">
        <f t="shared" si="4"/>
        <v>7246.88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>
        <v>0</v>
      </c>
      <c r="D92" s="118">
        <v>0</v>
      </c>
      <c r="E92" s="118">
        <v>0</v>
      </c>
      <c r="F92" s="118">
        <v>0</v>
      </c>
      <c r="G92" s="122">
        <f t="shared" si="3"/>
        <v>0</v>
      </c>
      <c r="H92" s="118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>
        <v>0</v>
      </c>
      <c r="D93" s="118">
        <v>0</v>
      </c>
      <c r="E93" s="118">
        <v>0</v>
      </c>
      <c r="F93" s="118">
        <v>0</v>
      </c>
      <c r="G93" s="122">
        <f t="shared" si="3"/>
        <v>0</v>
      </c>
      <c r="H93" s="118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>
        <v>474.59</v>
      </c>
      <c r="D94" s="118">
        <v>474.59</v>
      </c>
      <c r="E94" s="118">
        <v>474.59</v>
      </c>
      <c r="F94" s="118">
        <v>474.59</v>
      </c>
      <c r="G94" s="122">
        <f t="shared" si="3"/>
        <v>8.4371555555555547E-2</v>
      </c>
      <c r="H94" s="118">
        <f t="shared" si="4"/>
        <v>1898.36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>
        <v>402.21</v>
      </c>
      <c r="D95" s="118">
        <v>1304.79</v>
      </c>
      <c r="E95" s="118">
        <v>1068.93</v>
      </c>
      <c r="F95" s="118">
        <v>562.23</v>
      </c>
      <c r="G95" s="122">
        <f t="shared" si="3"/>
        <v>0.14836266666666667</v>
      </c>
      <c r="H95" s="118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6" t="s">
        <v>440</v>
      </c>
      <c r="B96" s="125">
        <v>0</v>
      </c>
      <c r="C96" s="118">
        <v>0</v>
      </c>
      <c r="D96" s="118">
        <v>0</v>
      </c>
      <c r="E96" s="118">
        <v>0</v>
      </c>
      <c r="F96" s="118">
        <v>0</v>
      </c>
      <c r="G96" s="122">
        <f t="shared" si="3"/>
        <v>0</v>
      </c>
      <c r="H96" s="118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6" t="s">
        <v>441</v>
      </c>
      <c r="B97" s="125">
        <v>0</v>
      </c>
      <c r="C97" s="118">
        <v>0</v>
      </c>
      <c r="D97" s="118">
        <v>0</v>
      </c>
      <c r="E97" s="118">
        <v>0</v>
      </c>
      <c r="F97" s="118">
        <v>0</v>
      </c>
      <c r="G97" s="122">
        <f t="shared" si="3"/>
        <v>0</v>
      </c>
      <c r="H97" s="118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8349.7899999999991</v>
      </c>
      <c r="D98" s="127">
        <f>SUM(D63:D97)</f>
        <v>6803.2000000000007</v>
      </c>
      <c r="E98" s="127">
        <f>SUM(E63:E97)</f>
        <v>8340.81</v>
      </c>
      <c r="F98" s="127">
        <f>SUM(F63:F97)</f>
        <v>8009.51</v>
      </c>
      <c r="G98" s="122">
        <f t="shared" si="3"/>
        <v>1.400147111111111</v>
      </c>
      <c r="H98" s="116">
        <f>SUM(C98:F98)</f>
        <v>31503.309999999998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31304.22</v>
      </c>
      <c r="D99" s="127">
        <f>D98+D59</f>
        <v>14716.09</v>
      </c>
      <c r="E99" s="127">
        <f>E98+E59</f>
        <v>26479.57</v>
      </c>
      <c r="F99" s="127">
        <f>F98+F59</f>
        <v>30963.940000000002</v>
      </c>
      <c r="G99" s="122">
        <f t="shared" si="3"/>
        <v>4.5983920000000005</v>
      </c>
      <c r="H99" s="116">
        <f>SUM(C99:F99)</f>
        <v>103463.82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>
        <f t="shared" si="3"/>
        <v>0</v>
      </c>
      <c r="H100" s="118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>
        <f t="shared" si="3"/>
        <v>0</v>
      </c>
      <c r="H101" s="118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>
        <f t="shared" si="3"/>
        <v>0</v>
      </c>
      <c r="H102" s="118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>
        <v>0</v>
      </c>
      <c r="D103" s="118">
        <v>0</v>
      </c>
      <c r="E103" s="118">
        <v>0</v>
      </c>
      <c r="F103" s="118">
        <v>0</v>
      </c>
      <c r="G103" s="122">
        <f t="shared" si="3"/>
        <v>0</v>
      </c>
      <c r="H103" s="118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>
        <v>0</v>
      </c>
      <c r="D104" s="118">
        <v>0</v>
      </c>
      <c r="E104" s="118">
        <v>0</v>
      </c>
      <c r="F104" s="118">
        <v>0</v>
      </c>
      <c r="G104" s="122">
        <f t="shared" si="3"/>
        <v>0</v>
      </c>
      <c r="H104" s="118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>
        <v>0</v>
      </c>
      <c r="D105" s="118">
        <v>0</v>
      </c>
      <c r="E105" s="118">
        <v>0</v>
      </c>
      <c r="F105" s="118">
        <v>0</v>
      </c>
      <c r="G105" s="122">
        <f t="shared" si="3"/>
        <v>0</v>
      </c>
      <c r="H105" s="118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>
        <v>0</v>
      </c>
      <c r="D106" s="118">
        <v>0</v>
      </c>
      <c r="E106" s="118">
        <v>0</v>
      </c>
      <c r="F106" s="118">
        <v>0</v>
      </c>
      <c r="G106" s="122">
        <f t="shared" si="3"/>
        <v>0</v>
      </c>
      <c r="H106" s="118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>
        <v>0</v>
      </c>
      <c r="D107" s="118">
        <v>0</v>
      </c>
      <c r="E107" s="118">
        <v>0</v>
      </c>
      <c r="F107" s="118">
        <v>0</v>
      </c>
      <c r="G107" s="122">
        <f t="shared" si="3"/>
        <v>0</v>
      </c>
      <c r="H107" s="118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>
        <v>0</v>
      </c>
      <c r="D108" s="118">
        <v>0</v>
      </c>
      <c r="E108" s="118">
        <v>0</v>
      </c>
      <c r="F108" s="118">
        <v>0</v>
      </c>
      <c r="G108" s="122">
        <f t="shared" si="3"/>
        <v>0</v>
      </c>
      <c r="H108" s="118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>
        <v>0</v>
      </c>
      <c r="D109" s="118">
        <v>0</v>
      </c>
      <c r="E109" s="118">
        <v>0</v>
      </c>
      <c r="F109" s="118">
        <v>0</v>
      </c>
      <c r="G109" s="122">
        <f t="shared" si="3"/>
        <v>0</v>
      </c>
      <c r="H109" s="118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>
        <v>0</v>
      </c>
      <c r="D110" s="118">
        <v>0</v>
      </c>
      <c r="E110" s="118">
        <v>0</v>
      </c>
      <c r="F110" s="118">
        <v>0</v>
      </c>
      <c r="G110" s="122">
        <f t="shared" si="3"/>
        <v>0</v>
      </c>
      <c r="H110" s="118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>
        <v>0</v>
      </c>
      <c r="D111" s="118">
        <v>0</v>
      </c>
      <c r="E111" s="118">
        <v>0</v>
      </c>
      <c r="F111" s="118">
        <v>0</v>
      </c>
      <c r="G111" s="122">
        <f t="shared" si="3"/>
        <v>0</v>
      </c>
      <c r="H111" s="118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>
        <v>0</v>
      </c>
      <c r="D112" s="118">
        <v>0</v>
      </c>
      <c r="E112" s="118">
        <v>0</v>
      </c>
      <c r="F112" s="118">
        <v>0</v>
      </c>
      <c r="G112" s="122">
        <f t="shared" si="3"/>
        <v>0</v>
      </c>
      <c r="H112" s="118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>
        <v>0</v>
      </c>
      <c r="D113" s="118">
        <v>0</v>
      </c>
      <c r="E113" s="118">
        <v>0</v>
      </c>
      <c r="F113" s="118">
        <v>0</v>
      </c>
      <c r="G113" s="122">
        <f t="shared" si="3"/>
        <v>0</v>
      </c>
      <c r="H113" s="118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>
        <v>0</v>
      </c>
      <c r="D114" s="118">
        <v>0</v>
      </c>
      <c r="E114" s="118">
        <v>0</v>
      </c>
      <c r="F114" s="118">
        <v>0</v>
      </c>
      <c r="G114" s="122">
        <f t="shared" si="3"/>
        <v>0</v>
      </c>
      <c r="H114" s="118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>
        <f t="shared" si="3"/>
        <v>0</v>
      </c>
      <c r="H115" s="116">
        <f t="shared" si="4"/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>
        <f t="shared" si="3"/>
        <v>0</v>
      </c>
      <c r="H116" s="118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>
        <f t="shared" si="3"/>
        <v>0</v>
      </c>
      <c r="H117" s="118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>
        <v>0</v>
      </c>
      <c r="D118" s="118">
        <v>0</v>
      </c>
      <c r="E118" s="118">
        <v>0</v>
      </c>
      <c r="F118" s="118">
        <v>0</v>
      </c>
      <c r="G118" s="122">
        <f t="shared" si="3"/>
        <v>0</v>
      </c>
      <c r="H118" s="118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>
        <v>171.94</v>
      </c>
      <c r="D119" s="112">
        <v>187.31</v>
      </c>
      <c r="E119" s="112">
        <v>212.18</v>
      </c>
      <c r="F119" s="112">
        <v>91.72</v>
      </c>
      <c r="G119" s="122">
        <f t="shared" si="3"/>
        <v>2.9473333333333337E-2</v>
      </c>
      <c r="H119" s="118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>
        <v>0</v>
      </c>
      <c r="D120" s="118">
        <v>0</v>
      </c>
      <c r="E120" s="118">
        <v>0</v>
      </c>
      <c r="F120" s="118">
        <v>0</v>
      </c>
      <c r="G120" s="122">
        <f t="shared" si="3"/>
        <v>0</v>
      </c>
      <c r="H120" s="118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>
        <v>0</v>
      </c>
      <c r="D121" s="118">
        <v>0</v>
      </c>
      <c r="E121" s="118">
        <v>0</v>
      </c>
      <c r="F121" s="118">
        <v>0</v>
      </c>
      <c r="G121" s="122">
        <f t="shared" si="3"/>
        <v>0</v>
      </c>
      <c r="H121" s="118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>
        <v>0</v>
      </c>
      <c r="D122" s="118">
        <v>0</v>
      </c>
      <c r="E122" s="118">
        <v>0</v>
      </c>
      <c r="F122" s="118">
        <v>0</v>
      </c>
      <c r="G122" s="122">
        <f t="shared" si="3"/>
        <v>0</v>
      </c>
      <c r="H122" s="118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>
        <v>0</v>
      </c>
      <c r="D123" s="118">
        <v>0</v>
      </c>
      <c r="E123" s="118">
        <v>0</v>
      </c>
      <c r="F123" s="118">
        <v>0</v>
      </c>
      <c r="G123" s="122">
        <f t="shared" si="3"/>
        <v>0</v>
      </c>
      <c r="H123" s="118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>
        <v>0</v>
      </c>
      <c r="D124" s="118">
        <v>0</v>
      </c>
      <c r="E124" s="118">
        <v>0</v>
      </c>
      <c r="F124" s="118">
        <v>0</v>
      </c>
      <c r="G124" s="122">
        <f t="shared" si="3"/>
        <v>0</v>
      </c>
      <c r="H124" s="118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8">
        <v>4859.3</v>
      </c>
      <c r="D125" s="138">
        <v>4859.3</v>
      </c>
      <c r="E125" s="138">
        <v>4859.3</v>
      </c>
      <c r="F125" s="138">
        <v>4859.3</v>
      </c>
      <c r="G125" s="122">
        <f t="shared" si="3"/>
        <v>0.86387555555555562</v>
      </c>
      <c r="H125" s="118">
        <f t="shared" si="4"/>
        <v>19437.2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>
        <v>0</v>
      </c>
      <c r="D126" s="112">
        <v>0</v>
      </c>
      <c r="E126" s="112">
        <v>0</v>
      </c>
      <c r="F126" s="112">
        <v>0</v>
      </c>
      <c r="G126" s="122">
        <f t="shared" si="3"/>
        <v>0</v>
      </c>
      <c r="H126" s="118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>
        <v>0</v>
      </c>
      <c r="D127" s="118">
        <v>0</v>
      </c>
      <c r="E127" s="118">
        <v>0</v>
      </c>
      <c r="F127" s="118">
        <v>0</v>
      </c>
      <c r="G127" s="122">
        <f t="shared" si="3"/>
        <v>0</v>
      </c>
      <c r="H127" s="118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>
        <v>0</v>
      </c>
      <c r="D128" s="118">
        <v>0</v>
      </c>
      <c r="E128" s="118">
        <v>0</v>
      </c>
      <c r="F128" s="118">
        <v>0</v>
      </c>
      <c r="G128" s="122">
        <f t="shared" si="3"/>
        <v>0</v>
      </c>
      <c r="H128" s="118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>
        <v>0</v>
      </c>
      <c r="D129" s="118">
        <v>0</v>
      </c>
      <c r="E129" s="118">
        <v>0</v>
      </c>
      <c r="F129" s="118">
        <v>0</v>
      </c>
      <c r="G129" s="122">
        <f t="shared" si="3"/>
        <v>0</v>
      </c>
      <c r="H129" s="118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8">
        <v>0</v>
      </c>
      <c r="D130" s="138">
        <v>0</v>
      </c>
      <c r="E130" s="138">
        <v>0</v>
      </c>
      <c r="F130" s="138">
        <v>0</v>
      </c>
      <c r="G130" s="122">
        <f t="shared" si="3"/>
        <v>0</v>
      </c>
      <c r="H130" s="118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>
        <v>680.2</v>
      </c>
      <c r="D131" s="118">
        <v>680.2</v>
      </c>
      <c r="E131" s="118">
        <v>680.2</v>
      </c>
      <c r="F131" s="118">
        <v>680.2</v>
      </c>
      <c r="G131" s="122">
        <f t="shared" si="3"/>
        <v>0.12092444444444446</v>
      </c>
      <c r="H131" s="118">
        <f t="shared" si="4"/>
        <v>2720.8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>
        <v>0</v>
      </c>
      <c r="D132" s="118">
        <v>0</v>
      </c>
      <c r="E132" s="118">
        <v>0</v>
      </c>
      <c r="F132" s="118">
        <v>0</v>
      </c>
      <c r="G132" s="122">
        <f t="shared" si="3"/>
        <v>0</v>
      </c>
      <c r="H132" s="118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>
        <v>0</v>
      </c>
      <c r="D133" s="118">
        <v>0</v>
      </c>
      <c r="E133" s="118">
        <v>0</v>
      </c>
      <c r="F133" s="118">
        <v>0</v>
      </c>
      <c r="G133" s="122">
        <f t="shared" si="3"/>
        <v>0</v>
      </c>
      <c r="H133" s="118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>
        <v>0</v>
      </c>
      <c r="D134" s="118">
        <v>0</v>
      </c>
      <c r="E134" s="118">
        <v>0</v>
      </c>
      <c r="F134" s="118">
        <v>0</v>
      </c>
      <c r="G134" s="122">
        <f t="shared" si="3"/>
        <v>0</v>
      </c>
      <c r="H134" s="118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>
        <v>0</v>
      </c>
      <c r="D135" s="118">
        <v>0</v>
      </c>
      <c r="E135" s="118">
        <v>0</v>
      </c>
      <c r="F135" s="118">
        <v>0</v>
      </c>
      <c r="G135" s="122">
        <f t="shared" si="3"/>
        <v>0</v>
      </c>
      <c r="H135" s="118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5711.44</v>
      </c>
      <c r="D136" s="127">
        <f>SUM(D118:D135)</f>
        <v>5726.81</v>
      </c>
      <c r="E136" s="127">
        <f>SUM(E118:E135)</f>
        <v>5751.68</v>
      </c>
      <c r="F136" s="127">
        <f>SUM(F118:F135)</f>
        <v>5631.22</v>
      </c>
      <c r="G136" s="122">
        <f t="shared" ref="G136:G137" si="5">IFERROR(H136/$H$10,"")</f>
        <v>1.0142733333333334</v>
      </c>
      <c r="H136" s="116">
        <f t="shared" si="4"/>
        <v>22821.15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5711.44</v>
      </c>
      <c r="D137" s="127">
        <f>D115+D136</f>
        <v>5726.81</v>
      </c>
      <c r="E137" s="127">
        <f>E115+E136</f>
        <v>5751.68</v>
      </c>
      <c r="F137" s="127">
        <f>F115+F136</f>
        <v>5631.22</v>
      </c>
      <c r="G137" s="122">
        <f t="shared" si="5"/>
        <v>1.0142733333333334</v>
      </c>
      <c r="H137" s="116">
        <f t="shared" si="4"/>
        <v>22821.15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28"/>
      <c r="B138" s="228"/>
      <c r="C138" s="228"/>
      <c r="D138" s="228"/>
      <c r="E138" s="228"/>
      <c r="F138" s="228"/>
      <c r="G138" s="228"/>
      <c r="H138" s="228"/>
      <c r="M138" s="18"/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53903.12</v>
      </c>
      <c r="D139" s="109">
        <f>D14+D39+D99+D137</f>
        <v>31559.34</v>
      </c>
      <c r="E139" s="109">
        <f>E14+E39+E99+E137</f>
        <v>50385.48</v>
      </c>
      <c r="F139" s="109">
        <f>F14+F39+F99+F137</f>
        <v>51055.340000000004</v>
      </c>
      <c r="G139" s="110">
        <f>H139/$H$10</f>
        <v>8.3068124444444447</v>
      </c>
      <c r="H139" s="109">
        <f>H14+H39+H99+H137</f>
        <v>186903.28</v>
      </c>
      <c r="M139" s="18"/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6">C10-C139</f>
        <v>-31403.120000000003</v>
      </c>
      <c r="D140" s="106">
        <f t="shared" si="6"/>
        <v>-26059.34</v>
      </c>
      <c r="E140" s="106">
        <f t="shared" si="6"/>
        <v>-50385.48</v>
      </c>
      <c r="F140" s="106">
        <f t="shared" si="6"/>
        <v>-51055.340000000004</v>
      </c>
      <c r="G140" s="107">
        <f>H140/$H$10</f>
        <v>-7.3068124444444447</v>
      </c>
      <c r="H140" s="106">
        <f t="shared" si="6"/>
        <v>-164403.28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69" t="s">
        <v>538</v>
      </c>
      <c r="B1" s="169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2024-02-27T01:05:50Z</dcterms:modified>
</cp:coreProperties>
</file>