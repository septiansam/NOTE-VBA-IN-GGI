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1)\"/>
    </mc:Choice>
  </mc:AlternateContent>
  <xr:revisionPtr revIDLastSave="0" documentId="13_ncr:1_{91473429-BF25-4A14-8D75-8851AFA40107}" xr6:coauthVersionLast="47" xr6:coauthVersionMax="47" xr10:uidLastSave="{00000000-0000-0000-0000-000000000000}"/>
  <bookViews>
    <workbookView xWindow="-120" yWindow="-120" windowWidth="20640" windowHeight="11160" activeTab="2" xr2:uid="{00000000-000D-0000-FFFF-FFFF00000000}"/>
  </bookViews>
  <sheets>
    <sheet name="(HOME)" sheetId="11" r:id="rId1"/>
    <sheet name="Ref1" sheetId="10" state="hidden" r:id="rId2"/>
    <sheet name="All Costing" sheetId="1" r:id="rId3"/>
    <sheet name="RESUME" sheetId="16" r:id="rId4"/>
    <sheet name="Ref_Account" sheetId="22" state="hidden" r:id="rId5"/>
    <sheet name="temp_laporan1" sheetId="14" state="hidden" r:id="rId6"/>
    <sheet name="Material_Cost" sheetId="107" r:id="rId7"/>
    <sheet name="Production_Cost" sheetId="108" r:id="rId8"/>
  </sheets>
  <functionGroups builtInGroupCount="19"/>
  <externalReferences>
    <externalReference r:id="rId9"/>
  </externalReferences>
  <definedNames>
    <definedName name="_xlnm._FilterDatabase" localSheetId="2" hidden="1">'All Costing'!$A$5:$O$162</definedName>
    <definedName name="_xlnm._FilterDatabase" localSheetId="1" hidden="1">'Ref1'!$A$1:$Z$13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8" i="108" l="1"/>
  <c r="F137" i="108"/>
  <c r="F136" i="108"/>
  <c r="E136" i="108"/>
  <c r="D136" i="108"/>
  <c r="C136" i="108"/>
  <c r="H136" i="108" s="1"/>
  <c r="B136" i="108"/>
  <c r="H135" i="108"/>
  <c r="I135" i="108" s="1"/>
  <c r="I134" i="108"/>
  <c r="H134" i="108"/>
  <c r="G134" i="108" s="1"/>
  <c r="I133" i="108"/>
  <c r="H133" i="108"/>
  <c r="G133" i="108" s="1"/>
  <c r="I132" i="108"/>
  <c r="H132" i="108"/>
  <c r="I131" i="108"/>
  <c r="H131" i="108"/>
  <c r="I130" i="108"/>
  <c r="H130" i="108"/>
  <c r="H129" i="108"/>
  <c r="I129" i="108" s="1"/>
  <c r="H128" i="108"/>
  <c r="G128" i="108" s="1"/>
  <c r="H127" i="108"/>
  <c r="I127" i="108" s="1"/>
  <c r="I126" i="108"/>
  <c r="H126" i="108"/>
  <c r="G126" i="108" s="1"/>
  <c r="I125" i="108"/>
  <c r="H125" i="108"/>
  <c r="G125" i="108" s="1"/>
  <c r="I124" i="108"/>
  <c r="H124" i="108"/>
  <c r="I123" i="108"/>
  <c r="H123" i="108"/>
  <c r="I122" i="108"/>
  <c r="H122" i="108"/>
  <c r="H121" i="108"/>
  <c r="I121" i="108" s="1"/>
  <c r="H120" i="108"/>
  <c r="G120" i="108" s="1"/>
  <c r="H119" i="108"/>
  <c r="I119" i="108" s="1"/>
  <c r="I118" i="108"/>
  <c r="H118" i="108"/>
  <c r="G118" i="108" s="1"/>
  <c r="I117" i="108"/>
  <c r="I116" i="108"/>
  <c r="F115" i="108"/>
  <c r="E115" i="108"/>
  <c r="E137" i="108" s="1"/>
  <c r="D115" i="108"/>
  <c r="D137" i="108" s="1"/>
  <c r="C115" i="108"/>
  <c r="H115" i="108" s="1"/>
  <c r="B115" i="108"/>
  <c r="B137" i="108" s="1"/>
  <c r="H114" i="108"/>
  <c r="I114" i="108" s="1"/>
  <c r="I113" i="108"/>
  <c r="H113" i="108"/>
  <c r="G113" i="108" s="1"/>
  <c r="I112" i="108"/>
  <c r="H112" i="108"/>
  <c r="G112" i="108" s="1"/>
  <c r="I111" i="108"/>
  <c r="H111" i="108"/>
  <c r="I110" i="108"/>
  <c r="H110" i="108"/>
  <c r="I109" i="108"/>
  <c r="H109" i="108"/>
  <c r="H108" i="108"/>
  <c r="I108" i="108" s="1"/>
  <c r="H107" i="108"/>
  <c r="G107" i="108" s="1"/>
  <c r="H106" i="108"/>
  <c r="I106" i="108" s="1"/>
  <c r="I105" i="108"/>
  <c r="H105" i="108"/>
  <c r="G105" i="108" s="1"/>
  <c r="I104" i="108"/>
  <c r="H104" i="108"/>
  <c r="G104" i="108" s="1"/>
  <c r="I103" i="108"/>
  <c r="H103" i="108"/>
  <c r="I102" i="108"/>
  <c r="I101" i="108"/>
  <c r="I100" i="108"/>
  <c r="F98" i="108"/>
  <c r="F99" i="108" s="1"/>
  <c r="E98" i="108"/>
  <c r="E99" i="108" s="1"/>
  <c r="D98" i="108"/>
  <c r="D99" i="108" s="1"/>
  <c r="C98" i="108"/>
  <c r="H98" i="108" s="1"/>
  <c r="B98" i="108"/>
  <c r="B99" i="108" s="1"/>
  <c r="I97" i="108"/>
  <c r="H97" i="108"/>
  <c r="H96" i="108"/>
  <c r="I96" i="108" s="1"/>
  <c r="H95" i="108"/>
  <c r="G95" i="108" s="1"/>
  <c r="H94" i="108"/>
  <c r="I94" i="108" s="1"/>
  <c r="I93" i="108"/>
  <c r="H93" i="108"/>
  <c r="G93" i="108" s="1"/>
  <c r="I92" i="108"/>
  <c r="H92" i="108"/>
  <c r="G92" i="108" s="1"/>
  <c r="I91" i="108"/>
  <c r="H91" i="108"/>
  <c r="I90" i="108"/>
  <c r="H90" i="108"/>
  <c r="I89" i="108"/>
  <c r="H89" i="108"/>
  <c r="H88" i="108"/>
  <c r="I88" i="108" s="1"/>
  <c r="H87" i="108"/>
  <c r="G87" i="108" s="1"/>
  <c r="H86" i="108"/>
  <c r="I86" i="108" s="1"/>
  <c r="I85" i="108"/>
  <c r="H85" i="108"/>
  <c r="G85" i="108" s="1"/>
  <c r="I84" i="108"/>
  <c r="H84" i="108"/>
  <c r="G84" i="108" s="1"/>
  <c r="I83" i="108"/>
  <c r="H83" i="108"/>
  <c r="I82" i="108"/>
  <c r="H82" i="108"/>
  <c r="I81" i="108"/>
  <c r="H81" i="108"/>
  <c r="H80" i="108"/>
  <c r="I80" i="108" s="1"/>
  <c r="H79" i="108"/>
  <c r="G79" i="108" s="1"/>
  <c r="H78" i="108"/>
  <c r="I78" i="108" s="1"/>
  <c r="I77" i="108"/>
  <c r="H77" i="108"/>
  <c r="G77" i="108" s="1"/>
  <c r="I76" i="108"/>
  <c r="H76" i="108"/>
  <c r="G76" i="108" s="1"/>
  <c r="I75" i="108"/>
  <c r="H75" i="108"/>
  <c r="I74" i="108"/>
  <c r="H74" i="108"/>
  <c r="I73" i="108"/>
  <c r="H73" i="108"/>
  <c r="H72" i="108"/>
  <c r="I72" i="108" s="1"/>
  <c r="H71" i="108"/>
  <c r="G71" i="108" s="1"/>
  <c r="H70" i="108"/>
  <c r="I70" i="108" s="1"/>
  <c r="I69" i="108"/>
  <c r="H69" i="108"/>
  <c r="G69" i="108" s="1"/>
  <c r="I68" i="108"/>
  <c r="H68" i="108"/>
  <c r="G68" i="108" s="1"/>
  <c r="I67" i="108"/>
  <c r="H67" i="108"/>
  <c r="I66" i="108"/>
  <c r="H66" i="108"/>
  <c r="I65" i="108"/>
  <c r="H65" i="108"/>
  <c r="H64" i="108"/>
  <c r="I64" i="108" s="1"/>
  <c r="H63" i="108"/>
  <c r="G63" i="108" s="1"/>
  <c r="I62" i="108"/>
  <c r="I61" i="108"/>
  <c r="I60" i="108"/>
  <c r="F59" i="108"/>
  <c r="E59" i="108"/>
  <c r="H59" i="108" s="1"/>
  <c r="D59" i="108"/>
  <c r="C59" i="108"/>
  <c r="B59" i="108"/>
  <c r="I58" i="108"/>
  <c r="H58" i="108"/>
  <c r="G58" i="108" s="1"/>
  <c r="I57" i="108"/>
  <c r="H57" i="108"/>
  <c r="G57" i="108" s="1"/>
  <c r="H56" i="108"/>
  <c r="I56" i="108" s="1"/>
  <c r="I55" i="108"/>
  <c r="H55" i="108"/>
  <c r="I54" i="108"/>
  <c r="H54" i="108"/>
  <c r="G54" i="108" s="1"/>
  <c r="H53" i="108"/>
  <c r="I53" i="108" s="1"/>
  <c r="H52" i="108"/>
  <c r="G52" i="108" s="1"/>
  <c r="H51" i="108"/>
  <c r="I51" i="108" s="1"/>
  <c r="I50" i="108"/>
  <c r="H50" i="108"/>
  <c r="G50" i="108" s="1"/>
  <c r="I49" i="108"/>
  <c r="H49" i="108"/>
  <c r="G49" i="108" s="1"/>
  <c r="H48" i="108"/>
  <c r="I48" i="108" s="1"/>
  <c r="I47" i="108"/>
  <c r="H47" i="108"/>
  <c r="I46" i="108"/>
  <c r="H46" i="108"/>
  <c r="G46" i="108" s="1"/>
  <c r="I45" i="108"/>
  <c r="I44" i="108"/>
  <c r="I43" i="108"/>
  <c r="I42" i="108"/>
  <c r="I40" i="108"/>
  <c r="E38" i="108"/>
  <c r="B38" i="108"/>
  <c r="I37" i="108"/>
  <c r="H37" i="108"/>
  <c r="G37" i="108" s="1"/>
  <c r="B37" i="108"/>
  <c r="I36" i="108"/>
  <c r="H36" i="108"/>
  <c r="I35" i="108"/>
  <c r="H35" i="108"/>
  <c r="G35" i="108" s="1"/>
  <c r="H34" i="108"/>
  <c r="I34" i="108" s="1"/>
  <c r="H33" i="108"/>
  <c r="I33" i="108" s="1"/>
  <c r="G33" i="108"/>
  <c r="I32" i="108"/>
  <c r="H32" i="108"/>
  <c r="G32" i="108" s="1"/>
  <c r="H31" i="108"/>
  <c r="I31" i="108" s="1"/>
  <c r="H30" i="108"/>
  <c r="G30" i="108" s="1"/>
  <c r="F29" i="108"/>
  <c r="F38" i="108" s="1"/>
  <c r="E29" i="108"/>
  <c r="D29" i="108"/>
  <c r="D38" i="108" s="1"/>
  <c r="C29" i="108"/>
  <c r="H29" i="108" s="1"/>
  <c r="I28" i="108"/>
  <c r="H28" i="108"/>
  <c r="G28" i="108" s="1"/>
  <c r="H27" i="108"/>
  <c r="I27" i="108" s="1"/>
  <c r="I26" i="108"/>
  <c r="I25" i="108"/>
  <c r="F24" i="108"/>
  <c r="F39" i="108" s="1"/>
  <c r="E24" i="108"/>
  <c r="E39" i="108" s="1"/>
  <c r="D24" i="108"/>
  <c r="C24" i="108"/>
  <c r="H24" i="108" s="1"/>
  <c r="B24" i="108"/>
  <c r="B39" i="108" s="1"/>
  <c r="I23" i="108"/>
  <c r="H23" i="108"/>
  <c r="G23" i="108" s="1"/>
  <c r="H22" i="108"/>
  <c r="I22" i="108" s="1"/>
  <c r="H21" i="108"/>
  <c r="G21" i="108" s="1"/>
  <c r="I20" i="108"/>
  <c r="H20" i="108"/>
  <c r="I19" i="108"/>
  <c r="H19" i="108"/>
  <c r="I18" i="108"/>
  <c r="H18" i="108"/>
  <c r="G18" i="108" s="1"/>
  <c r="H17" i="108"/>
  <c r="I17" i="108" s="1"/>
  <c r="H16" i="108"/>
  <c r="F13" i="108"/>
  <c r="F14" i="108" s="1"/>
  <c r="F139" i="108" s="1"/>
  <c r="E13" i="108"/>
  <c r="E14" i="108" s="1"/>
  <c r="D13" i="108"/>
  <c r="D14" i="108" s="1"/>
  <c r="B13" i="108"/>
  <c r="B14" i="108" s="1"/>
  <c r="B139" i="108" s="1"/>
  <c r="H10" i="108"/>
  <c r="G103" i="108" s="1"/>
  <c r="F10" i="108"/>
  <c r="E10" i="108"/>
  <c r="D10" i="108"/>
  <c r="C10" i="108"/>
  <c r="C13" i="108" s="1"/>
  <c r="H9" i="108"/>
  <c r="H8" i="108"/>
  <c r="B8" i="108"/>
  <c r="H7" i="108"/>
  <c r="G7" i="108" s="1"/>
  <c r="B7" i="108"/>
  <c r="B10" i="108" s="1"/>
  <c r="D41" i="108" l="1"/>
  <c r="E139" i="108"/>
  <c r="I24" i="108"/>
  <c r="G24" i="108"/>
  <c r="I98" i="108"/>
  <c r="G98" i="108"/>
  <c r="I136" i="108"/>
  <c r="G136" i="108"/>
  <c r="C14" i="108"/>
  <c r="H13" i="108"/>
  <c r="D39" i="108"/>
  <c r="D139" i="108" s="1"/>
  <c r="D140" i="108" s="1"/>
  <c r="I29" i="108"/>
  <c r="G29" i="108"/>
  <c r="E140" i="108"/>
  <c r="I59" i="108"/>
  <c r="G59" i="108"/>
  <c r="B41" i="108"/>
  <c r="B140" i="108"/>
  <c r="B3" i="108" s="1"/>
  <c r="F41" i="108"/>
  <c r="I115" i="108"/>
  <c r="G115" i="108"/>
  <c r="G55" i="108"/>
  <c r="G66" i="108"/>
  <c r="G82" i="108"/>
  <c r="G110" i="108"/>
  <c r="G8" i="108"/>
  <c r="G19" i="108"/>
  <c r="I21" i="108"/>
  <c r="I30" i="108"/>
  <c r="G36" i="108"/>
  <c r="C38" i="108"/>
  <c r="H38" i="108" s="1"/>
  <c r="I52" i="108"/>
  <c r="I63" i="108"/>
  <c r="I71" i="108"/>
  <c r="I79" i="108"/>
  <c r="I87" i="108"/>
  <c r="I95" i="108"/>
  <c r="C99" i="108"/>
  <c r="H99" i="108" s="1"/>
  <c r="I107" i="108"/>
  <c r="I120" i="108"/>
  <c r="I128" i="108"/>
  <c r="G47" i="108"/>
  <c r="G74" i="108"/>
  <c r="G90" i="108"/>
  <c r="G123" i="108"/>
  <c r="G131" i="108"/>
  <c r="C137" i="108"/>
  <c r="H137" i="108" s="1"/>
  <c r="G10" i="108"/>
  <c r="G22" i="108"/>
  <c r="G27" i="108"/>
  <c r="G31" i="108"/>
  <c r="G53" i="108"/>
  <c r="G64" i="108"/>
  <c r="G72" i="108"/>
  <c r="G80" i="108"/>
  <c r="G88" i="108"/>
  <c r="G96" i="108"/>
  <c r="G108" i="108"/>
  <c r="G121" i="108"/>
  <c r="G129" i="108"/>
  <c r="G9" i="108"/>
  <c r="G34" i="108"/>
  <c r="G56" i="108"/>
  <c r="G17" i="108"/>
  <c r="G48" i="108"/>
  <c r="G20" i="108"/>
  <c r="E41" i="108"/>
  <c r="G51" i="108"/>
  <c r="G70" i="108"/>
  <c r="G78" i="108"/>
  <c r="G86" i="108"/>
  <c r="G94" i="108"/>
  <c r="G106" i="108"/>
  <c r="G114" i="108"/>
  <c r="G119" i="108"/>
  <c r="G127" i="108"/>
  <c r="G135" i="108"/>
  <c r="F140" i="108"/>
  <c r="G83" i="108"/>
  <c r="G91" i="108"/>
  <c r="G124" i="108"/>
  <c r="G65" i="108"/>
  <c r="G73" i="108"/>
  <c r="G81" i="108"/>
  <c r="G89" i="108"/>
  <c r="G97" i="108"/>
  <c r="G109" i="108"/>
  <c r="G122" i="108"/>
  <c r="G130" i="108"/>
  <c r="G75" i="108"/>
  <c r="G111" i="108"/>
  <c r="G132" i="108"/>
  <c r="G67" i="108"/>
  <c r="I99" i="108" l="1"/>
  <c r="G99" i="108"/>
  <c r="I38" i="108"/>
  <c r="G38" i="108"/>
  <c r="I137" i="108"/>
  <c r="G137" i="108"/>
  <c r="H14" i="108"/>
  <c r="G13" i="108"/>
  <c r="C39" i="108"/>
  <c r="C139" i="108"/>
  <c r="C140" i="108" s="1"/>
  <c r="H39" i="108" l="1"/>
  <c r="C41" i="108"/>
  <c r="H41" i="108" s="1"/>
  <c r="G14" i="108"/>
  <c r="G41" i="108" l="1"/>
  <c r="I41" i="108"/>
  <c r="I39" i="108"/>
  <c r="G39" i="108"/>
  <c r="H139" i="108"/>
  <c r="I139" i="108" l="1"/>
  <c r="G139" i="108"/>
  <c r="H140" i="108"/>
  <c r="I140" i="108" l="1"/>
  <c r="H3" i="108"/>
  <c r="G140" i="108"/>
  <c r="O21" i="1" l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47" i="1"/>
  <c r="O60" i="1"/>
  <c r="O62" i="1"/>
  <c r="O67" i="1"/>
  <c r="O69" i="1"/>
  <c r="O70" i="1"/>
  <c r="O91" i="1"/>
  <c r="O92" i="1"/>
  <c r="O93" i="1"/>
  <c r="O122" i="1"/>
  <c r="O129" i="1"/>
  <c r="O134" i="1"/>
  <c r="O135" i="1"/>
  <c r="O136" i="1"/>
  <c r="O140" i="1"/>
  <c r="I6" i="1"/>
  <c r="O6" i="1" s="1"/>
  <c r="I7" i="1"/>
  <c r="O7" i="1" s="1"/>
  <c r="I8" i="1"/>
  <c r="O8" i="1" s="1"/>
  <c r="I9" i="1"/>
  <c r="O9" i="1" s="1"/>
  <c r="I10" i="1"/>
  <c r="O10" i="1" s="1"/>
  <c r="I11" i="1"/>
  <c r="O11" i="1" s="1"/>
  <c r="I12" i="1"/>
  <c r="O12" i="1" s="1"/>
  <c r="I13" i="1"/>
  <c r="O13" i="1" s="1"/>
  <c r="I14" i="1"/>
  <c r="O14" i="1" s="1"/>
  <c r="I15" i="1"/>
  <c r="O15" i="1" s="1"/>
  <c r="I16" i="1"/>
  <c r="O16" i="1" s="1"/>
  <c r="I17" i="1"/>
  <c r="O17" i="1" s="1"/>
  <c r="I18" i="1"/>
  <c r="O18" i="1" s="1"/>
  <c r="I19" i="1"/>
  <c r="O19" i="1" s="1"/>
  <c r="I20" i="1"/>
  <c r="O20" i="1" s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O39" i="1" s="1"/>
  <c r="I40" i="1"/>
  <c r="O40" i="1" s="1"/>
  <c r="I41" i="1"/>
  <c r="O41" i="1" s="1"/>
  <c r="I42" i="1"/>
  <c r="O42" i="1" s="1"/>
  <c r="I43" i="1"/>
  <c r="O43" i="1" s="1"/>
  <c r="I44" i="1"/>
  <c r="O44" i="1" s="1"/>
  <c r="I45" i="1"/>
  <c r="O45" i="1" s="1"/>
  <c r="I46" i="1"/>
  <c r="O46" i="1" s="1"/>
  <c r="I47" i="1"/>
  <c r="I48" i="1"/>
  <c r="O48" i="1" s="1"/>
  <c r="I49" i="1"/>
  <c r="O49" i="1" s="1"/>
  <c r="I50" i="1"/>
  <c r="O50" i="1" s="1"/>
  <c r="I51" i="1"/>
  <c r="O51" i="1" s="1"/>
  <c r="I52" i="1"/>
  <c r="O52" i="1" s="1"/>
  <c r="I53" i="1"/>
  <c r="O53" i="1" s="1"/>
  <c r="I54" i="1"/>
  <c r="O54" i="1" s="1"/>
  <c r="I55" i="1"/>
  <c r="O55" i="1" s="1"/>
  <c r="I56" i="1"/>
  <c r="O56" i="1" s="1"/>
  <c r="I57" i="1"/>
  <c r="O57" i="1" s="1"/>
  <c r="I58" i="1"/>
  <c r="O58" i="1" s="1"/>
  <c r="I59" i="1"/>
  <c r="O59" i="1" s="1"/>
  <c r="I60" i="1"/>
  <c r="I61" i="1"/>
  <c r="O61" i="1" s="1"/>
  <c r="I62" i="1"/>
  <c r="I63" i="1"/>
  <c r="O63" i="1" s="1"/>
  <c r="I64" i="1"/>
  <c r="O64" i="1" s="1"/>
  <c r="I65" i="1"/>
  <c r="O65" i="1" s="1"/>
  <c r="I66" i="1"/>
  <c r="O66" i="1" s="1"/>
  <c r="I67" i="1"/>
  <c r="I68" i="1"/>
  <c r="O68" i="1" s="1"/>
  <c r="I69" i="1"/>
  <c r="I70" i="1"/>
  <c r="I71" i="1"/>
  <c r="O71" i="1" s="1"/>
  <c r="I72" i="1"/>
  <c r="O72" i="1" s="1"/>
  <c r="I73" i="1"/>
  <c r="O73" i="1" s="1"/>
  <c r="I74" i="1"/>
  <c r="O74" i="1" s="1"/>
  <c r="I75" i="1"/>
  <c r="O75" i="1" s="1"/>
  <c r="I76" i="1"/>
  <c r="O76" i="1" s="1"/>
  <c r="I77" i="1"/>
  <c r="O77" i="1" s="1"/>
  <c r="I78" i="1"/>
  <c r="O78" i="1" s="1"/>
  <c r="I79" i="1"/>
  <c r="O79" i="1" s="1"/>
  <c r="I80" i="1"/>
  <c r="O80" i="1" s="1"/>
  <c r="I81" i="1"/>
  <c r="O81" i="1" s="1"/>
  <c r="I82" i="1"/>
  <c r="O82" i="1" s="1"/>
  <c r="I83" i="1"/>
  <c r="O83" i="1" s="1"/>
  <c r="I84" i="1"/>
  <c r="O84" i="1" s="1"/>
  <c r="I85" i="1"/>
  <c r="O85" i="1" s="1"/>
  <c r="I86" i="1"/>
  <c r="O86" i="1" s="1"/>
  <c r="I87" i="1"/>
  <c r="O87" i="1" s="1"/>
  <c r="I88" i="1"/>
  <c r="O88" i="1" s="1"/>
  <c r="I89" i="1"/>
  <c r="O89" i="1" s="1"/>
  <c r="I90" i="1"/>
  <c r="O90" i="1" s="1"/>
  <c r="I91" i="1"/>
  <c r="I92" i="1"/>
  <c r="I93" i="1"/>
  <c r="I94" i="1"/>
  <c r="O94" i="1" s="1"/>
  <c r="I95" i="1"/>
  <c r="O95" i="1" s="1"/>
  <c r="I96" i="1"/>
  <c r="O96" i="1" s="1"/>
  <c r="I97" i="1"/>
  <c r="O97" i="1" s="1"/>
  <c r="I98" i="1"/>
  <c r="O98" i="1" s="1"/>
  <c r="I99" i="1"/>
  <c r="O99" i="1" s="1"/>
  <c r="I100" i="1"/>
  <c r="O100" i="1" s="1"/>
  <c r="I101" i="1"/>
  <c r="O101" i="1" s="1"/>
  <c r="I102" i="1"/>
  <c r="O102" i="1" s="1"/>
  <c r="I103" i="1"/>
  <c r="O103" i="1" s="1"/>
  <c r="I104" i="1"/>
  <c r="O104" i="1" s="1"/>
  <c r="I105" i="1"/>
  <c r="O105" i="1" s="1"/>
  <c r="I106" i="1"/>
  <c r="O106" i="1" s="1"/>
  <c r="I107" i="1"/>
  <c r="O107" i="1" s="1"/>
  <c r="I108" i="1"/>
  <c r="O108" i="1" s="1"/>
  <c r="I109" i="1"/>
  <c r="O109" i="1" s="1"/>
  <c r="I110" i="1"/>
  <c r="O110" i="1" s="1"/>
  <c r="I111" i="1"/>
  <c r="O111" i="1" s="1"/>
  <c r="I112" i="1"/>
  <c r="O112" i="1" s="1"/>
  <c r="I113" i="1"/>
  <c r="O113" i="1" s="1"/>
  <c r="I114" i="1"/>
  <c r="O114" i="1" s="1"/>
  <c r="I115" i="1"/>
  <c r="O115" i="1" s="1"/>
  <c r="I116" i="1"/>
  <c r="O116" i="1" s="1"/>
  <c r="I117" i="1"/>
  <c r="O117" i="1" s="1"/>
  <c r="I118" i="1"/>
  <c r="O118" i="1" s="1"/>
  <c r="I119" i="1"/>
  <c r="O119" i="1" s="1"/>
  <c r="I120" i="1"/>
  <c r="O120" i="1" s="1"/>
  <c r="I121" i="1"/>
  <c r="O121" i="1" s="1"/>
  <c r="I122" i="1"/>
  <c r="I123" i="1"/>
  <c r="O123" i="1" s="1"/>
  <c r="I124" i="1"/>
  <c r="O124" i="1" s="1"/>
  <c r="I125" i="1"/>
  <c r="O125" i="1" s="1"/>
  <c r="I126" i="1"/>
  <c r="O126" i="1" s="1"/>
  <c r="I127" i="1"/>
  <c r="O127" i="1" s="1"/>
  <c r="I128" i="1"/>
  <c r="O128" i="1" s="1"/>
  <c r="I129" i="1"/>
  <c r="I130" i="1"/>
  <c r="O130" i="1" s="1"/>
  <c r="I131" i="1"/>
  <c r="O131" i="1" s="1"/>
  <c r="I132" i="1"/>
  <c r="O132" i="1" s="1"/>
  <c r="I133" i="1"/>
  <c r="O133" i="1" s="1"/>
  <c r="I134" i="1"/>
  <c r="I135" i="1"/>
  <c r="I136" i="1"/>
  <c r="I137" i="1"/>
  <c r="O137" i="1" s="1"/>
  <c r="I138" i="1"/>
  <c r="O138" i="1" s="1"/>
  <c r="I139" i="1"/>
  <c r="O139" i="1" s="1"/>
  <c r="I140" i="1"/>
  <c r="I141" i="1"/>
  <c r="O141" i="1" s="1"/>
  <c r="I142" i="1"/>
  <c r="O142" i="1" s="1"/>
  <c r="I143" i="1"/>
  <c r="O143" i="1" s="1"/>
  <c r="I144" i="1"/>
  <c r="O144" i="1" s="1"/>
  <c r="I145" i="1"/>
  <c r="O145" i="1" s="1"/>
  <c r="I146" i="1"/>
  <c r="O146" i="1" s="1"/>
  <c r="I147" i="1"/>
  <c r="O147" i="1" s="1"/>
  <c r="I148" i="1"/>
  <c r="O148" i="1" s="1"/>
  <c r="I149" i="1"/>
  <c r="O149" i="1" s="1"/>
  <c r="I150" i="1"/>
  <c r="O150" i="1" s="1"/>
  <c r="I151" i="1"/>
  <c r="O151" i="1" s="1"/>
  <c r="I152" i="1"/>
  <c r="O152" i="1" s="1"/>
  <c r="I153" i="1"/>
  <c r="O153" i="1" s="1"/>
  <c r="I154" i="1"/>
  <c r="O154" i="1" s="1"/>
  <c r="I155" i="1"/>
  <c r="O155" i="1" s="1"/>
  <c r="I156" i="1"/>
  <c r="O156" i="1" s="1"/>
  <c r="I157" i="1"/>
  <c r="O157" i="1" s="1"/>
  <c r="I158" i="1"/>
  <c r="O158" i="1" s="1"/>
  <c r="I159" i="1"/>
  <c r="O159" i="1" s="1"/>
  <c r="I160" i="1"/>
  <c r="O160" i="1" s="1"/>
  <c r="I161" i="1"/>
  <c r="O161" i="1" s="1"/>
  <c r="I162" i="1"/>
  <c r="O162" i="1" s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M59" i="107" s="1"/>
  <c r="K58" i="107"/>
  <c r="K59" i="107" s="1"/>
  <c r="J58" i="107"/>
  <c r="J62" i="107" s="1"/>
  <c r="I58" i="107"/>
  <c r="I59" i="107" s="1"/>
  <c r="F58" i="107"/>
  <c r="F59" i="107" s="1"/>
  <c r="E58" i="107"/>
  <c r="E59" i="107" s="1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G37" i="107"/>
  <c r="F37" i="107"/>
  <c r="E37" i="107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H29" i="107"/>
  <c r="G29" i="107"/>
  <c r="H28" i="107"/>
  <c r="G28" i="107"/>
  <c r="H27" i="107"/>
  <c r="G27" i="107"/>
  <c r="G26" i="107"/>
  <c r="H26" i="107" s="1"/>
  <c r="H25" i="107"/>
  <c r="G25" i="107"/>
  <c r="H24" i="107"/>
  <c r="G24" i="107"/>
  <c r="H23" i="107"/>
  <c r="G23" i="107"/>
  <c r="G22" i="107"/>
  <c r="H22" i="107" s="1"/>
  <c r="H21" i="107"/>
  <c r="G21" i="107"/>
  <c r="H20" i="107"/>
  <c r="G20" i="107"/>
  <c r="H19" i="107"/>
  <c r="G19" i="107"/>
  <c r="M18" i="107"/>
  <c r="K18" i="107"/>
  <c r="J18" i="107"/>
  <c r="I18" i="107"/>
  <c r="F18" i="107"/>
  <c r="E18" i="107"/>
  <c r="G17" i="107"/>
  <c r="H17" i="107" s="1"/>
  <c r="H16" i="107"/>
  <c r="G16" i="107"/>
  <c r="H15" i="107"/>
  <c r="G15" i="107"/>
  <c r="H14" i="107"/>
  <c r="G14" i="107"/>
  <c r="G13" i="107"/>
  <c r="H13" i="107" s="1"/>
  <c r="H12" i="107"/>
  <c r="G12" i="107"/>
  <c r="H11" i="107"/>
  <c r="G11" i="107"/>
  <c r="H10" i="107"/>
  <c r="G10" i="107"/>
  <c r="G9" i="107"/>
  <c r="H9" i="107" s="1"/>
  <c r="H8" i="107"/>
  <c r="G8" i="107"/>
  <c r="H7" i="107"/>
  <c r="G7" i="107"/>
  <c r="L6" i="107"/>
  <c r="G6" i="107"/>
  <c r="H6" i="107" s="1"/>
  <c r="L5" i="107"/>
  <c r="H5" i="107"/>
  <c r="G5" i="107"/>
  <c r="G18" i="107" s="1"/>
  <c r="C10" i="16"/>
  <c r="C9" i="16"/>
  <c r="C12" i="16"/>
  <c r="C11" i="16"/>
  <c r="C8" i="16"/>
  <c r="C7" i="16"/>
  <c r="C6" i="16"/>
  <c r="C5" i="16"/>
  <c r="C4" i="16"/>
  <c r="C3" i="16"/>
  <c r="H37" i="107" l="1"/>
  <c r="H58" i="107"/>
  <c r="H59" i="107" s="1"/>
  <c r="H18" i="107"/>
  <c r="G58" i="107"/>
  <c r="G59" i="107" s="1"/>
  <c r="J59" i="107"/>
  <c r="F62" i="107"/>
  <c r="L11" i="1"/>
  <c r="L10" i="1"/>
  <c r="L6" i="1"/>
  <c r="L7" i="1"/>
  <c r="L8" i="1"/>
  <c r="L9" i="1"/>
  <c r="L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54" i="1" l="1"/>
  <c r="K154" i="1" s="1"/>
  <c r="J118" i="1"/>
  <c r="K118" i="1" s="1"/>
  <c r="J94" i="1"/>
  <c r="K94" i="1" s="1"/>
  <c r="J40" i="1"/>
  <c r="K40" i="1" s="1"/>
  <c r="J29" i="1"/>
  <c r="K29" i="1" s="1"/>
  <c r="J24" i="1"/>
  <c r="K24" i="1" s="1"/>
  <c r="J6" i="1"/>
  <c r="K6" i="1" s="1"/>
  <c r="L91" i="1"/>
  <c r="L79" i="1"/>
  <c r="L145" i="1"/>
  <c r="L32" i="1"/>
  <c r="L139" i="1"/>
  <c r="L43" i="1"/>
  <c r="L127" i="1"/>
  <c r="L133" i="1"/>
  <c r="L97" i="1"/>
  <c r="L37" i="1"/>
  <c r="L26" i="1"/>
  <c r="L21" i="1"/>
  <c r="L73" i="1"/>
  <c r="L67" i="1"/>
  <c r="L157" i="1"/>
  <c r="L109" i="1"/>
  <c r="L61" i="1"/>
  <c r="L15" i="1"/>
  <c r="L121" i="1"/>
  <c r="L115" i="1"/>
  <c r="L151" i="1"/>
  <c r="L103" i="1"/>
  <c r="L55" i="1"/>
  <c r="L49" i="1"/>
  <c r="L150" i="1"/>
  <c r="L120" i="1"/>
  <c r="L143" i="1"/>
  <c r="L119" i="1"/>
  <c r="L89" i="1"/>
  <c r="L148" i="1"/>
  <c r="L130" i="1"/>
  <c r="L112" i="1"/>
  <c r="L94" i="1"/>
  <c r="L82" i="1"/>
  <c r="L64" i="1"/>
  <c r="L46" i="1"/>
  <c r="L159" i="1"/>
  <c r="L147" i="1"/>
  <c r="L141" i="1"/>
  <c r="L129" i="1"/>
  <c r="L117" i="1"/>
  <c r="L105" i="1"/>
  <c r="L93" i="1"/>
  <c r="L81" i="1"/>
  <c r="L69" i="1"/>
  <c r="L51" i="1"/>
  <c r="L39" i="1"/>
  <c r="L158" i="1"/>
  <c r="L152" i="1"/>
  <c r="L146" i="1"/>
  <c r="L140" i="1"/>
  <c r="L134" i="1"/>
  <c r="L128" i="1"/>
  <c r="L122" i="1"/>
  <c r="L116" i="1"/>
  <c r="L110" i="1"/>
  <c r="L104" i="1"/>
  <c r="L98" i="1"/>
  <c r="L92" i="1"/>
  <c r="L86" i="1"/>
  <c r="L80" i="1"/>
  <c r="L74" i="1"/>
  <c r="L68" i="1"/>
  <c r="L62" i="1"/>
  <c r="L56" i="1"/>
  <c r="L50" i="1"/>
  <c r="L44" i="1"/>
  <c r="L38" i="1"/>
  <c r="L33" i="1"/>
  <c r="L27" i="1"/>
  <c r="L22" i="1"/>
  <c r="L16" i="1"/>
  <c r="L162" i="1"/>
  <c r="L138" i="1"/>
  <c r="L114" i="1"/>
  <c r="L108" i="1"/>
  <c r="L102" i="1"/>
  <c r="L96" i="1"/>
  <c r="L90" i="1"/>
  <c r="L84" i="1"/>
  <c r="L78" i="1"/>
  <c r="L72" i="1"/>
  <c r="L66" i="1"/>
  <c r="L60" i="1"/>
  <c r="L54" i="1"/>
  <c r="L48" i="1"/>
  <c r="L42" i="1"/>
  <c r="L36" i="1"/>
  <c r="L31" i="1"/>
  <c r="L20" i="1"/>
  <c r="L14" i="1"/>
  <c r="L144" i="1"/>
  <c r="L161" i="1"/>
  <c r="L137" i="1"/>
  <c r="L113" i="1"/>
  <c r="L95" i="1"/>
  <c r="L83" i="1"/>
  <c r="L77" i="1"/>
  <c r="L71" i="1"/>
  <c r="L65" i="1"/>
  <c r="L59" i="1"/>
  <c r="L53" i="1"/>
  <c r="L47" i="1"/>
  <c r="L41" i="1"/>
  <c r="L35" i="1"/>
  <c r="L30" i="1"/>
  <c r="L25" i="1"/>
  <c r="L19" i="1"/>
  <c r="L13" i="1"/>
  <c r="L156" i="1"/>
  <c r="L132" i="1"/>
  <c r="L155" i="1"/>
  <c r="L131" i="1"/>
  <c r="L101" i="1"/>
  <c r="L154" i="1"/>
  <c r="L136" i="1"/>
  <c r="L118" i="1"/>
  <c r="L100" i="1"/>
  <c r="L76" i="1"/>
  <c r="L58" i="1"/>
  <c r="L40" i="1"/>
  <c r="L29" i="1"/>
  <c r="L24" i="1"/>
  <c r="L18" i="1"/>
  <c r="L12" i="1"/>
  <c r="L126" i="1"/>
  <c r="L149" i="1"/>
  <c r="L125" i="1"/>
  <c r="L107" i="1"/>
  <c r="L160" i="1"/>
  <c r="L142" i="1"/>
  <c r="L124" i="1"/>
  <c r="L106" i="1"/>
  <c r="L88" i="1"/>
  <c r="L70" i="1"/>
  <c r="L52" i="1"/>
  <c r="L153" i="1"/>
  <c r="L135" i="1"/>
  <c r="L123" i="1"/>
  <c r="L111" i="1"/>
  <c r="L99" i="1"/>
  <c r="L87" i="1"/>
  <c r="L75" i="1"/>
  <c r="L63" i="1"/>
  <c r="L57" i="1"/>
  <c r="L45" i="1"/>
  <c r="L34" i="1"/>
  <c r="L28" i="1"/>
  <c r="L23" i="1"/>
  <c r="L17" i="1"/>
  <c r="J11" i="16"/>
  <c r="K7" i="16"/>
  <c r="J159" i="1"/>
  <c r="K159" i="1" s="1"/>
  <c r="J153" i="1"/>
  <c r="K153" i="1" s="1"/>
  <c r="J147" i="1"/>
  <c r="K147" i="1" s="1"/>
  <c r="J141" i="1"/>
  <c r="K141" i="1" s="1"/>
  <c r="J135" i="1"/>
  <c r="K135" i="1" s="1"/>
  <c r="J129" i="1"/>
  <c r="K129" i="1" s="1"/>
  <c r="J123" i="1"/>
  <c r="K123" i="1" s="1"/>
  <c r="J117" i="1"/>
  <c r="K117" i="1" s="1"/>
  <c r="J111" i="1"/>
  <c r="K111" i="1" s="1"/>
  <c r="J105" i="1"/>
  <c r="K105" i="1" s="1"/>
  <c r="J99" i="1"/>
  <c r="K99" i="1" s="1"/>
  <c r="J93" i="1"/>
  <c r="K93" i="1" s="1"/>
  <c r="J87" i="1"/>
  <c r="K87" i="1" s="1"/>
  <c r="J81" i="1"/>
  <c r="K81" i="1" s="1"/>
  <c r="J75" i="1"/>
  <c r="K75" i="1" s="1"/>
  <c r="J69" i="1"/>
  <c r="K69" i="1" s="1"/>
  <c r="J63" i="1"/>
  <c r="K63" i="1" s="1"/>
  <c r="J57" i="1"/>
  <c r="K57" i="1" s="1"/>
  <c r="J51" i="1"/>
  <c r="K51" i="1" s="1"/>
  <c r="J45" i="1"/>
  <c r="K45" i="1" s="1"/>
  <c r="J39" i="1"/>
  <c r="K39" i="1" s="1"/>
  <c r="J34" i="1"/>
  <c r="K34" i="1" s="1"/>
  <c r="J28" i="1"/>
  <c r="K28" i="1" s="1"/>
  <c r="J23" i="1"/>
  <c r="K23" i="1" s="1"/>
  <c r="J17" i="1"/>
  <c r="K17" i="1" s="1"/>
  <c r="J11" i="1"/>
  <c r="K11" i="1" s="1"/>
  <c r="K6" i="16"/>
  <c r="J158" i="1"/>
  <c r="K158" i="1" s="1"/>
  <c r="J152" i="1"/>
  <c r="K152" i="1" s="1"/>
  <c r="J146" i="1"/>
  <c r="K146" i="1" s="1"/>
  <c r="J140" i="1"/>
  <c r="K140" i="1" s="1"/>
  <c r="J134" i="1"/>
  <c r="K134" i="1" s="1"/>
  <c r="J128" i="1"/>
  <c r="K128" i="1" s="1"/>
  <c r="J122" i="1"/>
  <c r="K122" i="1" s="1"/>
  <c r="J116" i="1"/>
  <c r="K116" i="1" s="1"/>
  <c r="J110" i="1"/>
  <c r="K110" i="1" s="1"/>
  <c r="J104" i="1"/>
  <c r="K104" i="1" s="1"/>
  <c r="J98" i="1"/>
  <c r="K98" i="1" s="1"/>
  <c r="J92" i="1"/>
  <c r="K92" i="1" s="1"/>
  <c r="J86" i="1"/>
  <c r="K86" i="1" s="1"/>
  <c r="J80" i="1"/>
  <c r="K80" i="1" s="1"/>
  <c r="J74" i="1"/>
  <c r="K74" i="1" s="1"/>
  <c r="J68" i="1"/>
  <c r="K68" i="1" s="1"/>
  <c r="J62" i="1"/>
  <c r="K62" i="1" s="1"/>
  <c r="J56" i="1"/>
  <c r="K56" i="1" s="1"/>
  <c r="J50" i="1"/>
  <c r="K50" i="1" s="1"/>
  <c r="J44" i="1"/>
  <c r="K44" i="1" s="1"/>
  <c r="J38" i="1"/>
  <c r="K38" i="1" s="1"/>
  <c r="J33" i="1"/>
  <c r="K33" i="1" s="1"/>
  <c r="J27" i="1"/>
  <c r="K27" i="1" s="1"/>
  <c r="J22" i="1"/>
  <c r="K22" i="1" s="1"/>
  <c r="J16" i="1"/>
  <c r="K16" i="1" s="1"/>
  <c r="J10" i="1"/>
  <c r="K10" i="1" s="1"/>
  <c r="J157" i="1"/>
  <c r="K157" i="1" s="1"/>
  <c r="J151" i="1"/>
  <c r="K151" i="1" s="1"/>
  <c r="J145" i="1"/>
  <c r="K145" i="1" s="1"/>
  <c r="J139" i="1"/>
  <c r="K139" i="1" s="1"/>
  <c r="J133" i="1"/>
  <c r="K133" i="1" s="1"/>
  <c r="J127" i="1"/>
  <c r="K127" i="1" s="1"/>
  <c r="J121" i="1"/>
  <c r="K121" i="1" s="1"/>
  <c r="J115" i="1"/>
  <c r="K115" i="1" s="1"/>
  <c r="J109" i="1"/>
  <c r="K109" i="1" s="1"/>
  <c r="J103" i="1"/>
  <c r="K103" i="1" s="1"/>
  <c r="J97" i="1"/>
  <c r="K97" i="1" s="1"/>
  <c r="J91" i="1"/>
  <c r="K91" i="1" s="1"/>
  <c r="J85" i="1"/>
  <c r="K85" i="1" s="1"/>
  <c r="J79" i="1"/>
  <c r="K79" i="1" s="1"/>
  <c r="J73" i="1"/>
  <c r="K73" i="1" s="1"/>
  <c r="J67" i="1"/>
  <c r="K67" i="1" s="1"/>
  <c r="J61" i="1"/>
  <c r="K61" i="1" s="1"/>
  <c r="J55" i="1"/>
  <c r="K55" i="1" s="1"/>
  <c r="J49" i="1"/>
  <c r="K49" i="1" s="1"/>
  <c r="J43" i="1"/>
  <c r="K43" i="1" s="1"/>
  <c r="J37" i="1"/>
  <c r="K37" i="1" s="1"/>
  <c r="J32" i="1"/>
  <c r="K32" i="1" s="1"/>
  <c r="J26" i="1"/>
  <c r="K26" i="1" s="1"/>
  <c r="J21" i="1"/>
  <c r="K21" i="1" s="1"/>
  <c r="J15" i="1"/>
  <c r="K15" i="1" s="1"/>
  <c r="J9" i="1"/>
  <c r="K9" i="1" s="1"/>
  <c r="K10" i="16"/>
  <c r="K4" i="16"/>
  <c r="J162" i="1"/>
  <c r="K162" i="1" s="1"/>
  <c r="J156" i="1"/>
  <c r="K156" i="1" s="1"/>
  <c r="J150" i="1"/>
  <c r="K150" i="1" s="1"/>
  <c r="J144" i="1"/>
  <c r="K144" i="1" s="1"/>
  <c r="J138" i="1"/>
  <c r="K138" i="1" s="1"/>
  <c r="J132" i="1"/>
  <c r="K132" i="1" s="1"/>
  <c r="J126" i="1"/>
  <c r="K126" i="1" s="1"/>
  <c r="J120" i="1"/>
  <c r="K120" i="1" s="1"/>
  <c r="J114" i="1"/>
  <c r="K114" i="1" s="1"/>
  <c r="J108" i="1"/>
  <c r="K108" i="1" s="1"/>
  <c r="J102" i="1"/>
  <c r="K102" i="1" s="1"/>
  <c r="J96" i="1"/>
  <c r="K96" i="1" s="1"/>
  <c r="J90" i="1"/>
  <c r="K90" i="1" s="1"/>
  <c r="J84" i="1"/>
  <c r="K84" i="1" s="1"/>
  <c r="J78" i="1"/>
  <c r="K78" i="1" s="1"/>
  <c r="J72" i="1"/>
  <c r="K72" i="1" s="1"/>
  <c r="J66" i="1"/>
  <c r="K66" i="1" s="1"/>
  <c r="J60" i="1"/>
  <c r="K60" i="1" s="1"/>
  <c r="J54" i="1"/>
  <c r="K54" i="1" s="1"/>
  <c r="J48" i="1"/>
  <c r="K48" i="1" s="1"/>
  <c r="J42" i="1"/>
  <c r="K42" i="1" s="1"/>
  <c r="J36" i="1"/>
  <c r="K36" i="1" s="1"/>
  <c r="J31" i="1"/>
  <c r="K31" i="1" s="1"/>
  <c r="J20" i="1"/>
  <c r="K20" i="1" s="1"/>
  <c r="J14" i="1"/>
  <c r="K14" i="1" s="1"/>
  <c r="J8" i="1"/>
  <c r="K8" i="1" s="1"/>
  <c r="I11" i="16"/>
  <c r="H10" i="16" s="1"/>
  <c r="K9" i="16"/>
  <c r="K3" i="16"/>
  <c r="J161" i="1"/>
  <c r="K161" i="1" s="1"/>
  <c r="J155" i="1"/>
  <c r="K155" i="1" s="1"/>
  <c r="J149" i="1"/>
  <c r="K149" i="1" s="1"/>
  <c r="J143" i="1"/>
  <c r="K143" i="1" s="1"/>
  <c r="J137" i="1"/>
  <c r="K137" i="1" s="1"/>
  <c r="J131" i="1"/>
  <c r="K131" i="1" s="1"/>
  <c r="J125" i="1"/>
  <c r="K125" i="1" s="1"/>
  <c r="J119" i="1"/>
  <c r="K119" i="1" s="1"/>
  <c r="J113" i="1"/>
  <c r="K113" i="1" s="1"/>
  <c r="J107" i="1"/>
  <c r="K107" i="1" s="1"/>
  <c r="J101" i="1"/>
  <c r="K101" i="1" s="1"/>
  <c r="J95" i="1"/>
  <c r="K95" i="1" s="1"/>
  <c r="J89" i="1"/>
  <c r="K89" i="1" s="1"/>
  <c r="J83" i="1"/>
  <c r="K83" i="1" s="1"/>
  <c r="J77" i="1"/>
  <c r="K77" i="1" s="1"/>
  <c r="J71" i="1"/>
  <c r="K71" i="1" s="1"/>
  <c r="J65" i="1"/>
  <c r="K65" i="1" s="1"/>
  <c r="J59" i="1"/>
  <c r="K59" i="1" s="1"/>
  <c r="J53" i="1"/>
  <c r="K53" i="1" s="1"/>
  <c r="J47" i="1"/>
  <c r="K47" i="1" s="1"/>
  <c r="J41" i="1"/>
  <c r="K41" i="1" s="1"/>
  <c r="J35" i="1"/>
  <c r="K35" i="1" s="1"/>
  <c r="J30" i="1"/>
  <c r="K30" i="1" s="1"/>
  <c r="J25" i="1"/>
  <c r="K25" i="1" s="1"/>
  <c r="J19" i="1"/>
  <c r="K19" i="1" s="1"/>
  <c r="J13" i="1"/>
  <c r="K13" i="1" s="1"/>
  <c r="J7" i="1"/>
  <c r="K7" i="1" s="1"/>
  <c r="K5" i="16"/>
  <c r="K8" i="16"/>
  <c r="J160" i="1"/>
  <c r="K160" i="1" s="1"/>
  <c r="J148" i="1"/>
  <c r="K148" i="1" s="1"/>
  <c r="J142" i="1"/>
  <c r="K142" i="1" s="1"/>
  <c r="J136" i="1"/>
  <c r="K136" i="1" s="1"/>
  <c r="J130" i="1"/>
  <c r="K130" i="1" s="1"/>
  <c r="J124" i="1"/>
  <c r="K124" i="1" s="1"/>
  <c r="J112" i="1"/>
  <c r="K112" i="1" s="1"/>
  <c r="J106" i="1"/>
  <c r="K106" i="1" s="1"/>
  <c r="J100" i="1"/>
  <c r="K100" i="1" s="1"/>
  <c r="J88" i="1"/>
  <c r="K88" i="1" s="1"/>
  <c r="J82" i="1"/>
  <c r="K82" i="1" s="1"/>
  <c r="J76" i="1"/>
  <c r="K76" i="1" s="1"/>
  <c r="J70" i="1"/>
  <c r="K70" i="1" s="1"/>
  <c r="J64" i="1"/>
  <c r="K64" i="1" s="1"/>
  <c r="J58" i="1"/>
  <c r="K58" i="1" s="1"/>
  <c r="J52" i="1"/>
  <c r="K52" i="1" s="1"/>
  <c r="J46" i="1"/>
  <c r="K46" i="1" s="1"/>
  <c r="J18" i="1"/>
  <c r="K18" i="1" s="1"/>
  <c r="J12" i="1"/>
  <c r="K12" i="1" s="1"/>
  <c r="A1" i="1"/>
  <c r="H5" i="16" l="1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<sst xmlns="http://schemas.openxmlformats.org/spreadsheetml/2006/main" count="1866" uniqueCount="534">
  <si>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</si>
  <si>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</si>
  <si>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</si>
  <si>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</si>
  <si>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</si>
  <si>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</si>
  <si>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</si>
  <si>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</si>
  <si>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</si>
  <si>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</si>
  <si>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</si>
  <si>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</si>
  <si>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</si>
  <si>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</si>
  <si>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</si>
  <si>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</si>
  <si>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</si>
  <si>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</si>
  <si>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</si>
  <si>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</si>
  <si>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</si>
  <si>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</si>
  <si>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</si>
  <si>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</si>
  <si>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</si>
  <si>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</si>
  <si>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</si>
  <si>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</si>
  <si>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</si>
  <si>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</si>
  <si>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</si>
  <si>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</si>
  <si>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</si>
  <si>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</si>
  <si>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</si>
  <si>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</si>
  <si>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</si>
  <si>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</si>
  <si>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</si>
  <si>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</si>
  <si>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</si>
  <si>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</si>
  <si>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</si>
  <si>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</si>
  <si>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</si>
  <si>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</si>
  <si>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</si>
  <si>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</si>
  <si>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</si>
  <si>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</si>
  <si>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</si>
  <si>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</si>
  <si>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</si>
  <si>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</si>
  <si>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</si>
  <si>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</si>
  <si>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</si>
  <si>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</si>
  <si>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</si>
  <si>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</si>
  <si>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</si>
  <si>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</si>
  <si>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</si>
  <si>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</si>
  <si>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</si>
  <si>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</si>
  <si>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</si>
  <si>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</si>
  <si>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</si>
  <si>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</si>
  <si>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</si>
  <si>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</si>
  <si>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</si>
  <si>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</si>
  <si>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</si>
  <si>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</si>
  <si>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</si>
  <si>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</si>
  <si>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</si>
  <si>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</si>
  <si>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</si>
  <si>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</si>
  <si>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</si>
  <si>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</si>
  <si>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</si>
  <si>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</si>
  <si>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</si>
  <si>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</si>
  <si>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</si>
  <si>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</si>
  <si>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</si>
  <si>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</si>
  <si>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</si>
  <si>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</si>
  <si>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</si>
  <si>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</si>
  <si>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</si>
  <si>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</si>
  <si>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</si>
  <si>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</si>
  <si>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</si>
  <si>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</si>
  <si>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</si>
  <si>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</si>
  <si>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</si>
  <si>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</si>
  <si>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</si>
  <si>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</si>
  <si>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</si>
  <si>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</si>
  <si>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</si>
  <si>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</si>
  <si>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</si>
  <si>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</si>
  <si>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</si>
  <si>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</si>
  <si>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</si>
  <si>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</si>
  <si>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</si>
  <si>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</si>
  <si>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</si>
  <si>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</si>
  <si>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</si>
  <si>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</si>
  <si>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</si>
  <si>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</si>
  <si>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</si>
  <si>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</si>
  <si>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</si>
  <si>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</si>
  <si>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</si>
  <si>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</si>
  <si>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</si>
  <si>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</si>
  <si>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</si>
  <si>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</si>
  <si>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</si>
  <si>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</si>
  <si>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</si>
  <si>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</si>
  <si>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</si>
  <si>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</si>
  <si>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</si>
  <si>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</si>
  <si>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</si>
  <si>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</si>
  <si>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</si>
  <si>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</si>
  <si>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</si>
  <si>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</si>
  <si>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</si>
  <si>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</si>
  <si>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</si>
  <si>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</si>
  <si>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</si>
  <si>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</si>
  <si>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</si>
  <si>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</si>
  <si>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</si>
  <si>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</si>
  <si>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</si>
  <si>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</si>
  <si>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</si>
  <si>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</si>
  <si>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</si>
  <si>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</si>
  <si>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</si>
  <si>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</si>
  <si>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</si>
  <si>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</si>
  <si>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</si>
  <si>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</si>
  <si>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</si>
  <si>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</si>
  <si>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</si>
  <si>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</si>
  <si>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</si>
  <si>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</si>
  <si>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</si>
  <si>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</si>
  <si>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</si>
  <si>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</si>
  <si>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</si>
  <si>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</si>
  <si>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</si>
  <si>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</si>
  <si>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</si>
  <si>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</si>
  <si>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</si>
  <si>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</si>
  <si>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</si>
  <si>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</si>
  <si>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</si>
  <si>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</si>
  <si>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</si>
  <si>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</si>
  <si>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</si>
  <si>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</si>
  <si>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</si>
  <si>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</si>
  <si>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</si>
  <si>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</si>
  <si>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</si>
  <si>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</si>
  <si>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</si>
  <si>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</si>
  <si>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</si>
  <si>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</si>
  <si>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</si>
  <si>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</si>
  <si>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</si>
  <si>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</si>
  <si>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</si>
  <si>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</si>
  <si>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</si>
  <si>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</si>
  <si>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</si>
  <si>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</si>
  <si>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</si>
  <si>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</si>
  <si>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</si>
  <si>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</si>
  <si>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</si>
  <si>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</si>
  <si>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</si>
  <si>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</si>
  <si>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</si>
  <si>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</si>
  <si>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</si>
  <si>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</si>
  <si>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</si>
  <si>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</si>
  <si>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</si>
  <si>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</si>
  <si>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</si>
  <si>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</si>
  <si>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</si>
  <si>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</si>
  <si>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</si>
  <si>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</si>
  <si>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</si>
  <si>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</si>
  <si>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</si>
  <si>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</si>
  <si>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</si>
  <si>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</si>
  <si>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</si>
  <si>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</si>
  <si>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</si>
  <si>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</si>
  <si>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</si>
  <si>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</si>
  <si>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</si>
  <si>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</si>
  <si>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</si>
  <si>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</si>
  <si>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</si>
  <si>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</si>
  <si>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</si>
  <si>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</si>
  <si>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</si>
  <si>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</si>
  <si>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</si>
  <si>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</si>
  <si>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</si>
  <si>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</si>
  <si>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</si>
  <si>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</si>
  <si>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</si>
  <si>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</si>
  <si>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</si>
  <si>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</si>
  <si>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</si>
  <si>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</si>
  <si>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</si>
  <si>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</si>
  <si>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</si>
  <si>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</si>
  <si>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</si>
  <si>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</si>
  <si>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</si>
  <si>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</si>
  <si>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</si>
  <si>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</si>
  <si>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</si>
  <si>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</si>
  <si>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</si>
  <si>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</si>
  <si>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</si>
  <si>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</si>
  <si>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</si>
  <si>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</si>
  <si>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</si>
  <si>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</si>
  <si>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</si>
  <si>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</si>
  <si>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</si>
  <si>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</si>
  <si>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</si>
  <si>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</si>
  <si>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</si>
  <si>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</si>
  <si>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</si>
  <si>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</si>
  <si>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</si>
  <si>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</si>
  <si>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</si>
  <si>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</si>
  <si>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</si>
  <si>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</si>
  <si>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</si>
  <si>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</si>
  <si>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</si>
  <si>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</si>
  <si>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</si>
  <si>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</si>
  <si>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</si>
  <si>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</si>
  <si>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</si>
  <si>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</si>
  <si>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</si>
  <si>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</si>
  <si>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</si>
  <si>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</si>
  <si>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</si>
  <si>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</si>
  <si>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</si>
  <si>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</si>
  <si>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</si>
  <si>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</si>
  <si>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</si>
  <si>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</si>
  <si>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</si>
  <si>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</si>
  <si>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</si>
  <si>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</si>
  <si>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</si>
  <si>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</si>
  <si>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</si>
  <si>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</si>
  <si>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</si>
  <si>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</si>
  <si>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</si>
  <si>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</si>
  <si>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</si>
  <si>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</si>
  <si>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</si>
  <si>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</si>
  <si>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</si>
  <si>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</si>
  <si>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</si>
  <si>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BULAN int (Periode Penarikan Data untuk RPA)</t>
  </si>
  <si>
    <t>TAHUN int (Periode Penarikan Data untuk RPA)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</si>
  <si>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</si>
  <si>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</si>
  <si>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</si>
  <si>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</si>
  <si>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</si>
  <si>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</si>
  <si>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</si>
  <si>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</si>
  <si>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</si>
  <si>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</si>
  <si>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</si>
  <si>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</si>
  <si>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</si>
  <si>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LOKASI FOLDER  (Untuk di Share)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</si>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</sst>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b/>
      <sz val="11"/>
      <color rgb="FFFF0000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b/>
      <sz val="11"/>
      <color theme="9" tint="-0.499984740745262"/>
      <name val="Verdana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19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164" fontId="12" fillId="2" borderId="1" xfId="1" applyNumberFormat="1" applyFont="1" applyFill="1" applyBorder="1" applyAlignment="1">
      <alignment horizontal="center"/>
    </xf>
    <xf numFmtId="10" fontId="12" fillId="2" borderId="1" xfId="2" applyNumberFormat="1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9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10" fontId="30" fillId="12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3" borderId="0" xfId="0" applyFont="1" applyFill="1" applyAlignment="1">
      <alignment horizontal="center"/>
    </xf>
    <xf numFmtId="0" fontId="32" fillId="11" borderId="0" xfId="0" applyFont="1" applyFill="1" applyAlignment="1">
      <alignment horizontal="center"/>
    </xf>
    <xf numFmtId="0" fontId="32" fillId="13" borderId="0" xfId="0" applyFont="1" applyFill="1"/>
    <xf numFmtId="10" fontId="32" fillId="13" borderId="0" xfId="2" applyNumberFormat="1" applyFont="1" applyFill="1" applyAlignment="1">
      <alignment horizontal="center"/>
    </xf>
    <xf numFmtId="0" fontId="32" fillId="11" borderId="0" xfId="0" applyFont="1" applyFill="1"/>
    <xf numFmtId="10" fontId="32" fillId="11" borderId="0" xfId="2" applyNumberFormat="1" applyFont="1" applyFill="1" applyAlignment="1">
      <alignment horizontal="center"/>
    </xf>
    <xf numFmtId="0" fontId="33" fillId="13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29" fillId="10" borderId="0" xfId="0" applyFont="1" applyFill="1" applyAlignment="1">
      <alignment horizontal="left" vertical="center"/>
    </xf>
    <xf numFmtId="0" fontId="2" fillId="0" borderId="0" xfId="0" applyFont="1" applyAlignment="1">
      <alignment horizontal="center"/>
    </xf>
    <xf numFmtId="0" fontId="34" fillId="11" borderId="0" xfId="0" applyFont="1" applyFill="1" applyAlignment="1">
      <alignment horizontal="center"/>
    </xf>
    <xf numFmtId="10" fontId="34" fillId="11" borderId="0" xfId="2" applyNumberFormat="1" applyFont="1" applyFill="1" applyAlignment="1">
      <alignment horizontal="center"/>
    </xf>
    <xf numFmtId="0" fontId="34" fillId="11" borderId="0" xfId="0" applyFont="1" applyFill="1"/>
    <xf numFmtId="0" fontId="35" fillId="0" borderId="0" xfId="0" applyFont="1"/>
    <xf numFmtId="0" fontId="34" fillId="11" borderId="0" xfId="0" applyFont="1" applyFill="1" applyAlignment="1">
      <alignment horizontal="left"/>
    </xf>
    <xf numFmtId="0" fontId="30" fillId="12" borderId="1" xfId="0" applyFont="1" applyFill="1" applyBorder="1" applyAlignment="1">
      <alignment horizontal="left" vertical="center"/>
    </xf>
    <xf numFmtId="0" fontId="32" fillId="13" borderId="0" xfId="0" applyFont="1" applyFill="1" applyAlignment="1">
      <alignment horizontal="left"/>
    </xf>
    <xf numFmtId="0" fontId="32" fillId="11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164" fontId="34" fillId="11" borderId="0" xfId="1" applyNumberFormat="1" applyFont="1" applyFill="1" applyAlignment="1">
      <alignment horizontal="center"/>
    </xf>
    <xf numFmtId="164" fontId="36" fillId="11" borderId="0" xfId="1" applyNumberFormat="1" applyFont="1" applyFill="1" applyAlignment="1">
      <alignment horizontal="center"/>
    </xf>
    <xf numFmtId="164" fontId="32" fillId="13" borderId="0" xfId="1" applyNumberFormat="1" applyFont="1" applyFill="1" applyAlignment="1">
      <alignment horizontal="center"/>
    </xf>
    <xf numFmtId="164" fontId="32" fillId="11" borderId="0" xfId="1" applyNumberFormat="1" applyFont="1" applyFill="1" applyAlignment="1">
      <alignment horizontal="center"/>
    </xf>
    <xf numFmtId="164" fontId="32" fillId="0" borderId="0" xfId="1" applyNumberFormat="1" applyFont="1" applyAlignment="1">
      <alignment horizontal="center"/>
    </xf>
    <xf numFmtId="0" fontId="10" fillId="13" borderId="0" xfId="3" applyFill="1" applyAlignment="1">
      <alignment horizontal="left"/>
    </xf>
    <xf numFmtId="0" fontId="10" fillId="11" borderId="0" xfId="3" applyFill="1" applyAlignment="1">
      <alignment horizontal="left"/>
    </xf>
    <xf numFmtId="164" fontId="30" fillId="12" borderId="1" xfId="1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37" fillId="10" borderId="0" xfId="0" applyFont="1" applyFill="1" applyAlignment="1">
      <alignment horizontal="center"/>
    </xf>
    <xf numFmtId="0" fontId="38" fillId="14" borderId="1" xfId="0" applyFont="1" applyFill="1" applyBorder="1" applyAlignment="1">
      <alignment horizontal="center" vertical="center"/>
    </xf>
    <xf numFmtId="0" fontId="38" fillId="15" borderId="1" xfId="0" applyFont="1" applyFill="1" applyBorder="1" applyAlignment="1">
      <alignment horizontal="center" vertical="center"/>
    </xf>
    <xf numFmtId="0" fontId="45" fillId="10" borderId="0" xfId="0" applyFont="1" applyFill="1" applyAlignment="1">
      <alignment horizontal="left" vertical="top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2" fillId="11" borderId="0" xfId="0" applyFont="1" applyFill="1" applyBorder="1"/>
    <xf numFmtId="43" fontId="42" fillId="11" borderId="0" xfId="1" applyFont="1" applyFill="1" applyBorder="1"/>
    <xf numFmtId="0" fontId="42" fillId="0" borderId="0" xfId="0" applyFont="1" applyBorder="1"/>
    <xf numFmtId="43" fontId="42" fillId="0" borderId="0" xfId="1" applyFont="1" applyBorder="1"/>
    <xf numFmtId="10" fontId="39" fillId="0" borderId="0" xfId="0" applyNumberFormat="1" applyFont="1" applyBorder="1" applyAlignment="1">
      <alignment horizontal="center" vertical="center"/>
    </xf>
    <xf numFmtId="10" fontId="39" fillId="11" borderId="0" xfId="0" applyNumberFormat="1" applyFont="1" applyFill="1" applyBorder="1" applyAlignment="1">
      <alignment horizontal="center" vertical="center"/>
    </xf>
    <xf numFmtId="43" fontId="42" fillId="9" borderId="0" xfId="1" applyFont="1" applyFill="1" applyBorder="1"/>
    <xf numFmtId="9" fontId="39" fillId="0" borderId="0" xfId="0" applyNumberFormat="1" applyFont="1" applyBorder="1" applyAlignment="1">
      <alignment horizontal="center" vertical="center"/>
    </xf>
    <xf numFmtId="9" fontId="40" fillId="0" borderId="0" xfId="0" applyNumberFormat="1" applyFont="1" applyBorder="1" applyAlignment="1">
      <alignment horizontal="center" vertical="center"/>
    </xf>
    <xf numFmtId="0" fontId="42" fillId="6" borderId="0" xfId="0" applyFont="1" applyFill="1" applyBorder="1"/>
    <xf numFmtId="43" fontId="42" fillId="6" borderId="0" xfId="1" applyFont="1" applyFill="1" applyBorder="1"/>
    <xf numFmtId="9" fontId="41" fillId="0" borderId="0" xfId="0" applyNumberFormat="1" applyFont="1" applyBorder="1" applyAlignment="1">
      <alignment horizontal="center" vertical="center"/>
    </xf>
    <xf numFmtId="0" fontId="42" fillId="13" borderId="0" xfId="0" applyFont="1" applyFill="1" applyBorder="1"/>
    <xf numFmtId="43" fontId="42" fillId="13" borderId="0" xfId="1" applyFont="1" applyFill="1" applyBorder="1"/>
    <xf numFmtId="10" fontId="39" fillId="13" borderId="0" xfId="0" applyNumberFormat="1" applyFont="1" applyFill="1" applyBorder="1" applyAlignment="1">
      <alignment horizontal="center" vertical="center"/>
    </xf>
    <xf numFmtId="9" fontId="39" fillId="13" borderId="0" xfId="0" applyNumberFormat="1" applyFont="1" applyFill="1" applyBorder="1" applyAlignment="1">
      <alignment horizontal="center" vertical="center"/>
    </xf>
    <xf numFmtId="9" fontId="40" fillId="13" borderId="0" xfId="0" applyNumberFormat="1" applyFont="1" applyFill="1" applyBorder="1" applyAlignment="1">
      <alignment horizontal="center" vertical="center"/>
    </xf>
    <xf numFmtId="0" fontId="46" fillId="16" borderId="0" xfId="0" applyFont="1" applyFill="1" applyBorder="1"/>
    <xf numFmtId="43" fontId="46" fillId="16" borderId="0" xfId="1" applyFont="1" applyFill="1" applyBorder="1"/>
    <xf numFmtId="0" fontId="46" fillId="17" borderId="0" xfId="0" applyFont="1" applyFill="1" applyBorder="1"/>
    <xf numFmtId="43" fontId="46" fillId="17" borderId="0" xfId="1" applyFont="1" applyFill="1" applyBorder="1"/>
    <xf numFmtId="0" fontId="0" fillId="13" borderId="0" xfId="0" applyFill="1"/>
    <xf numFmtId="0" fontId="0" fillId="13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2" fillId="11" borderId="0" xfId="0" applyNumberFormat="1" applyFont="1" applyFill="1" applyBorder="1" applyAlignment="1">
      <alignment horizontal="center"/>
    </xf>
    <xf numFmtId="10" fontId="42" fillId="13" borderId="0" xfId="0" applyNumberFormat="1" applyFont="1" applyFill="1" applyBorder="1" applyAlignment="1">
      <alignment horizontal="center"/>
    </xf>
    <xf numFmtId="0" fontId="46" fillId="16" borderId="0" xfId="0" applyFont="1" applyFill="1" applyBorder="1" applyAlignment="1">
      <alignment horizontal="center"/>
    </xf>
    <xf numFmtId="10" fontId="42" fillId="0" borderId="0" xfId="0" applyNumberFormat="1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46" fillId="17" borderId="0" xfId="0" applyFont="1" applyFill="1" applyBorder="1" applyAlignment="1">
      <alignment horizontal="center"/>
    </xf>
    <xf numFmtId="0" fontId="43" fillId="10" borderId="13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4" xfId="0" applyFont="1" applyFill="1" applyBorder="1" applyAlignment="1">
      <alignment horizontal="center" vertical="center"/>
    </xf>
    <xf numFmtId="0" fontId="43" fillId="10" borderId="6" xfId="0" applyFont="1" applyFill="1" applyBorder="1" applyAlignment="1">
      <alignment horizontal="center" vertical="center"/>
    </xf>
    <xf numFmtId="0" fontId="43" fillId="10" borderId="0" xfId="0" applyFont="1" applyFill="1" applyAlignment="1">
      <alignment horizontal="center" vertical="center"/>
    </xf>
    <xf numFmtId="0" fontId="47" fillId="16" borderId="10" xfId="0" applyFont="1" applyFill="1" applyBorder="1" applyAlignment="1">
      <alignment horizontal="center" vertical="center"/>
    </xf>
    <xf numFmtId="9" fontId="47" fillId="16" borderId="10" xfId="2" applyFont="1" applyFill="1" applyBorder="1" applyAlignment="1">
      <alignment horizontal="center" vertical="center"/>
    </xf>
    <xf numFmtId="43" fontId="47" fillId="16" borderId="10" xfId="1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2" fillId="0" borderId="0" xfId="0" applyFont="1"/>
    <xf numFmtId="9" fontId="42" fillId="0" borderId="0" xfId="2" applyFont="1" applyAlignment="1">
      <alignment horizontal="center" vertical="center"/>
    </xf>
    <xf numFmtId="43" fontId="42" fillId="0" borderId="0" xfId="1" applyFont="1"/>
    <xf numFmtId="9" fontId="42" fillId="0" borderId="0" xfId="2" applyFont="1" applyAlignment="1">
      <alignment horizontal="center"/>
    </xf>
    <xf numFmtId="0" fontId="42" fillId="13" borderId="0" xfId="0" applyFont="1" applyFill="1" applyAlignment="1">
      <alignment vertical="center"/>
    </xf>
    <xf numFmtId="0" fontId="47" fillId="17" borderId="13" xfId="0" applyFont="1" applyFill="1" applyBorder="1" applyAlignment="1">
      <alignment horizontal="center"/>
    </xf>
    <xf numFmtId="0" fontId="47" fillId="17" borderId="14" xfId="0" applyFont="1" applyFill="1" applyBorder="1" applyAlignment="1">
      <alignment horizontal="center"/>
    </xf>
    <xf numFmtId="43" fontId="47" fillId="17" borderId="10" xfId="1" applyFont="1" applyFill="1" applyBorder="1" applyAlignment="1">
      <alignment horizontal="center"/>
    </xf>
    <xf numFmtId="43" fontId="6" fillId="17" borderId="10" xfId="1" applyFont="1" applyFill="1" applyBorder="1" applyAlignment="1">
      <alignment horizontal="center"/>
    </xf>
    <xf numFmtId="0" fontId="48" fillId="10" borderId="0" xfId="4" applyFont="1" applyFill="1" applyAlignment="1">
      <alignment horizontal="left"/>
    </xf>
    <xf numFmtId="0" fontId="44" fillId="10" borderId="0" xfId="4" applyFont="1" applyFill="1" applyAlignment="1">
      <alignment horizontal="left"/>
    </xf>
    <xf numFmtId="3" fontId="49" fillId="13" borderId="16" xfId="5" applyNumberFormat="1" applyFont="1" applyFill="1" applyBorder="1" applyAlignment="1"/>
    <xf numFmtId="0" fontId="52" fillId="16" borderId="0" xfId="5" applyFont="1" applyFill="1" applyBorder="1" applyAlignment="1">
      <alignment horizontal="center" vertical="center"/>
    </xf>
    <xf numFmtId="10" fontId="52" fillId="16" borderId="0" xfId="5" applyNumberFormat="1" applyFont="1" applyFill="1" applyBorder="1" applyAlignment="1">
      <alignment horizontal="center" vertical="center"/>
    </xf>
    <xf numFmtId="0" fontId="30" fillId="10" borderId="0" xfId="5" applyFont="1" applyFill="1" applyBorder="1" applyAlignment="1">
      <alignment horizontal="center"/>
    </xf>
    <xf numFmtId="4" fontId="30" fillId="10" borderId="0" xfId="5" applyNumberFormat="1" applyFont="1" applyFill="1" applyBorder="1" applyAlignment="1">
      <alignment horizontal="right"/>
    </xf>
    <xf numFmtId="10" fontId="53" fillId="10" borderId="0" xfId="5" applyNumberFormat="1" applyFont="1" applyFill="1" applyBorder="1" applyAlignment="1">
      <alignment horizontal="right"/>
    </xf>
    <xf numFmtId="0" fontId="30" fillId="16" borderId="0" xfId="5" applyFont="1" applyFill="1" applyBorder="1" applyAlignment="1">
      <alignment horizontal="center"/>
    </xf>
    <xf numFmtId="4" fontId="30" fillId="16" borderId="0" xfId="5" applyNumberFormat="1" applyFont="1" applyFill="1" applyBorder="1" applyAlignment="1">
      <alignment horizontal="right"/>
    </xf>
    <xf numFmtId="10" fontId="53" fillId="16" borderId="0" xfId="5" applyNumberFormat="1" applyFont="1" applyFill="1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4" fontId="52" fillId="16" borderId="0" xfId="0" applyNumberFormat="1" applyFont="1" applyFill="1" applyBorder="1" applyAlignment="1">
      <alignment horizontal="center" vertical="center"/>
    </xf>
    <xf numFmtId="0" fontId="22" fillId="13" borderId="0" xfId="5" applyFont="1" applyFill="1" applyBorder="1" applyAlignment="1">
      <alignment horizontal="center"/>
    </xf>
    <xf numFmtId="0" fontId="32" fillId="0" borderId="21" xfId="0" applyFont="1" applyBorder="1"/>
    <xf numFmtId="0" fontId="54" fillId="0" borderId="21" xfId="5" applyFont="1" applyBorder="1" applyAlignment="1">
      <alignment horizontal="center"/>
    </xf>
    <xf numFmtId="0" fontId="50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8" fillId="0" borderId="21" xfId="0" applyNumberFormat="1" applyFont="1" applyBorder="1"/>
    <xf numFmtId="0" fontId="59" fillId="0" borderId="21" xfId="5" applyFont="1" applyBorder="1" applyAlignment="1">
      <alignment horizontal="left"/>
    </xf>
    <xf numFmtId="4" fontId="55" fillId="0" borderId="21" xfId="0" applyNumberFormat="1" applyFont="1" applyBorder="1"/>
    <xf numFmtId="10" fontId="50" fillId="0" borderId="21" xfId="5" applyNumberFormat="1" applyFont="1" applyBorder="1" applyAlignment="1">
      <alignment horizontal="right"/>
    </xf>
    <xf numFmtId="0" fontId="55" fillId="0" borderId="21" xfId="5" applyFont="1" applyBorder="1" applyAlignment="1">
      <alignment horizontal="left"/>
    </xf>
    <xf numFmtId="4" fontId="58" fillId="0" borderId="21" xfId="6" applyNumberFormat="1" applyFont="1" applyBorder="1" applyAlignment="1">
      <alignment horizontal="center"/>
    </xf>
    <xf numFmtId="4" fontId="58" fillId="0" borderId="21" xfId="6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right"/>
    </xf>
    <xf numFmtId="4" fontId="58" fillId="0" borderId="21" xfId="0" applyNumberFormat="1" applyFont="1" applyBorder="1" applyAlignment="1">
      <alignment horizontal="right"/>
    </xf>
    <xf numFmtId="4" fontId="58" fillId="0" borderId="21" xfId="6" applyNumberFormat="1" applyFont="1" applyBorder="1"/>
    <xf numFmtId="4" fontId="55" fillId="0" borderId="21" xfId="5" applyNumberFormat="1" applyFont="1" applyBorder="1" applyAlignment="1">
      <alignment horizontal="right"/>
    </xf>
    <xf numFmtId="0" fontId="57" fillId="0" borderId="21" xfId="5" applyFont="1" applyBorder="1" applyAlignment="1">
      <alignment horizontal="center"/>
    </xf>
    <xf numFmtId="4" fontId="58" fillId="0" borderId="21" xfId="5" applyNumberFormat="1" applyFont="1" applyBorder="1" applyAlignment="1">
      <alignment horizontal="right"/>
    </xf>
    <xf numFmtId="4" fontId="32" fillId="6" borderId="21" xfId="0" applyNumberFormat="1" applyFont="1" applyFill="1" applyBorder="1"/>
    <xf numFmtId="10" fontId="58" fillId="0" borderId="21" xfId="5" applyNumberFormat="1" applyFont="1" applyBorder="1" applyAlignment="1">
      <alignment horizontal="center"/>
    </xf>
    <xf numFmtId="4" fontId="55" fillId="0" borderId="21" xfId="7" applyNumberFormat="1" applyFont="1" applyBorder="1"/>
    <xf numFmtId="4" fontId="55" fillId="7" borderId="21" xfId="5" applyNumberFormat="1" applyFont="1" applyFill="1" applyBorder="1" applyAlignment="1">
      <alignment horizontal="right"/>
    </xf>
    <xf numFmtId="0" fontId="58" fillId="0" borderId="21" xfId="5" applyFont="1" applyBorder="1" applyAlignment="1">
      <alignment horizontal="center"/>
    </xf>
    <xf numFmtId="0" fontId="56" fillId="0" borderId="21" xfId="5" applyFont="1" applyBorder="1" applyAlignment="1">
      <alignment horizontal="left"/>
    </xf>
    <xf numFmtId="0" fontId="55" fillId="0" borderId="21" xfId="5" applyFont="1" applyBorder="1"/>
    <xf numFmtId="0" fontId="50" fillId="0" borderId="21" xfId="5" applyFont="1" applyBorder="1" applyAlignment="1">
      <alignment horizontal="left"/>
    </xf>
    <xf numFmtId="4" fontId="55" fillId="8" borderId="21" xfId="0" applyNumberFormat="1" applyFont="1" applyFill="1" applyBorder="1"/>
    <xf numFmtId="10" fontId="55" fillId="8" borderId="21" xfId="5" applyNumberFormat="1" applyFont="1" applyFill="1" applyBorder="1" applyAlignment="1">
      <alignment horizontal="right"/>
    </xf>
    <xf numFmtId="4" fontId="55" fillId="0" borderId="21" xfId="0" applyNumberFormat="1" applyFont="1" applyBorder="1" applyAlignment="1">
      <alignment horizontal="center"/>
    </xf>
    <xf numFmtId="0" fontId="60" fillId="0" borderId="21" xfId="5" applyFont="1" applyBorder="1" applyAlignment="1">
      <alignment horizontal="left"/>
    </xf>
    <xf numFmtId="4" fontId="55" fillId="8" borderId="21" xfId="5" applyNumberFormat="1" applyFont="1" applyFill="1" applyBorder="1" applyAlignment="1">
      <alignment horizontal="right"/>
    </xf>
    <xf numFmtId="4" fontId="55" fillId="0" borderId="21" xfId="8" applyNumberFormat="1" applyFont="1" applyBorder="1"/>
    <xf numFmtId="0" fontId="51" fillId="0" borderId="21" xfId="5" applyFont="1" applyBorder="1" applyAlignment="1">
      <alignment horizontal="center"/>
    </xf>
    <xf numFmtId="3" fontId="61" fillId="13" borderId="16" xfId="5" applyNumberFormat="1" applyFont="1" applyFill="1" applyBorder="1" applyAlignment="1"/>
    <xf numFmtId="0" fontId="31" fillId="4" borderId="1" xfId="0" applyFont="1" applyFill="1" applyBorder="1" applyAlignment="1">
      <alignment horizontal="center" vertic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3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F9297"/>
      <color rgb="FF346265"/>
      <color rgb="FFFFFFFF"/>
      <color rgb="FF76B3B8"/>
      <color rgb="FFE4F0F1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0310" y="713184"/>
          <a:ext cx="1670698" cy="439184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4131" y="310183"/>
          <a:ext cx="1676815" cy="4358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49909" y="329648"/>
          <a:ext cx="1581978" cy="385662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RPA%20Excel%20Template\Accounting%20Finance\Santy\Profit%20Loss\07-02-2024\bahan\Copy%20of%20PIC%20per%20Budget%202024.xlsx" TargetMode="External"/><Relationship Id="rId1" Type="http://schemas.openxmlformats.org/officeDocument/2006/relationships/externalLinkPath" Target="/RPA%20Excel%20Template/Accounting%20Finance/Santy/Profit%20Loss/07-02-2024/bahan/Copy%20of%20PIC%20per%20Budget%2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b"/>
      <sheetName val="Material_Cost-Feb"/>
      <sheetName val="PIC-Feb"/>
      <sheetName val="Asep"/>
      <sheetName val="Choer"/>
      <sheetName val="Fira"/>
      <sheetName val="Fung"/>
      <sheetName val="Owijaya"/>
      <sheetName val="Wawan"/>
      <sheetName val="Toni"/>
      <sheetName val="Santy"/>
    </sheetNames>
    <sheetDataSet>
      <sheetData sheetId="0"/>
      <sheetData sheetId="1">
        <row r="37">
          <cell r="E37">
            <v>56825.2</v>
          </cell>
          <cell r="F37">
            <v>2059808.14</v>
          </cell>
          <cell r="H37">
            <v>1262311.8657199999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NEW%20of%20Data%20PIC%20Budget%20Th%202024-3.xlsx" TargetMode="External"/><Relationship Id="rId1" Type="http://schemas.openxmlformats.org/officeDocument/2006/relationships/hyperlink" Target="../../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Tarikan%20JDE/1205.631100.xlsx" TargetMode="External"/><Relationship Id="rId21" Type="http://schemas.openxmlformats.org/officeDocument/2006/relationships/hyperlink" Target="../../../Tarikan%20JDE/1201.730300.xlsx" TargetMode="External"/><Relationship Id="rId42" Type="http://schemas.openxmlformats.org/officeDocument/2006/relationships/hyperlink" Target="../../../Tarikan%20JDE/1201.630200.xlsx" TargetMode="External"/><Relationship Id="rId63" Type="http://schemas.openxmlformats.org/officeDocument/2006/relationships/hyperlink" Target="../../../Tarikan%20JDE/1205.630760.xlsx" TargetMode="External"/><Relationship Id="rId84" Type="http://schemas.openxmlformats.org/officeDocument/2006/relationships/hyperlink" Target="../../../Tarikan%20JDE/1201.630450.xlsx" TargetMode="External"/><Relationship Id="rId138" Type="http://schemas.openxmlformats.org/officeDocument/2006/relationships/hyperlink" Target="../../../Tarikan%20JDE/1204.630400.xlsx" TargetMode="External"/><Relationship Id="rId107" Type="http://schemas.openxmlformats.org/officeDocument/2006/relationships/hyperlink" Target="../../../Tarikan%20JDE/1206.630110.xlsx" TargetMode="External"/><Relationship Id="rId11" Type="http://schemas.openxmlformats.org/officeDocument/2006/relationships/hyperlink" Target="../../../Tarikan%20JDE/1201.631150.xlsx" TargetMode="External"/><Relationship Id="rId32" Type="http://schemas.openxmlformats.org/officeDocument/2006/relationships/hyperlink" Target="../../../Tarikan%20JDE/1201.710200.xlsx" TargetMode="External"/><Relationship Id="rId53" Type="http://schemas.openxmlformats.org/officeDocument/2006/relationships/hyperlink" Target="../../../Tarikan%20JDE/1201.630110.xlsx" TargetMode="External"/><Relationship Id="rId74" Type="http://schemas.openxmlformats.org/officeDocument/2006/relationships/hyperlink" Target="../../../Tarikan%20JDE/1205.816130.xlsx" TargetMode="External"/><Relationship Id="rId128" Type="http://schemas.openxmlformats.org/officeDocument/2006/relationships/hyperlink" Target="../../../Tarikan%20JDE/1205.631110.xlsx" TargetMode="External"/><Relationship Id="rId149" Type="http://schemas.openxmlformats.org/officeDocument/2006/relationships/hyperlink" Target="../../../Tarikan%20JDE/1201.920410.xlsx" TargetMode="External"/><Relationship Id="rId5" Type="http://schemas.openxmlformats.org/officeDocument/2006/relationships/hyperlink" Target="../../../Tarikan%20JDE/1201.631100.xlsx" TargetMode="External"/><Relationship Id="rId95" Type="http://schemas.openxmlformats.org/officeDocument/2006/relationships/hyperlink" Target="../../../Tarikan%20JDE/1206.630450.xlsx" TargetMode="External"/><Relationship Id="rId22" Type="http://schemas.openxmlformats.org/officeDocument/2006/relationships/hyperlink" Target="../../../Tarikan%20JDE/1201.730300.xlsx" TargetMode="External"/><Relationship Id="rId43" Type="http://schemas.openxmlformats.org/officeDocument/2006/relationships/hyperlink" Target="../../../Tarikan%20JDE/1201.630530.xlsx" TargetMode="External"/><Relationship Id="rId64" Type="http://schemas.openxmlformats.org/officeDocument/2006/relationships/hyperlink" Target="../../../Tarikan%20JDE/1204.630760.xlsx" TargetMode="External"/><Relationship Id="rId118" Type="http://schemas.openxmlformats.org/officeDocument/2006/relationships/hyperlink" Target="../../../Tarikan%20JDE/1205.812100.xlsx" TargetMode="External"/><Relationship Id="rId139" Type="http://schemas.openxmlformats.org/officeDocument/2006/relationships/hyperlink" Target="../../../Tarikan%20JDE/1204.630300.xlsx" TargetMode="External"/><Relationship Id="rId80" Type="http://schemas.openxmlformats.org/officeDocument/2006/relationships/hyperlink" Target="../../../Tarikan%20JDE/1201.815110.xlsx" TargetMode="External"/><Relationship Id="rId85" Type="http://schemas.openxmlformats.org/officeDocument/2006/relationships/hyperlink" Target="../../../Tarikan%20JDE/1201.631100.xlsx" TargetMode="External"/><Relationship Id="rId150" Type="http://schemas.openxmlformats.org/officeDocument/2006/relationships/hyperlink" Target="../../../Tarikan%20JDE/1201.920120.xlsx" TargetMode="External"/><Relationship Id="rId155" Type="http://schemas.openxmlformats.org/officeDocument/2006/relationships/hyperlink" Target="../../../Tarikan%20JDE/1204.920700.xlsx" TargetMode="External"/><Relationship Id="rId12" Type="http://schemas.openxmlformats.org/officeDocument/2006/relationships/hyperlink" Target="../../../Tarikan%20JDE/1201.720100.xlsx" TargetMode="External"/><Relationship Id="rId17" Type="http://schemas.openxmlformats.org/officeDocument/2006/relationships/hyperlink" Target="../../../Tarikan%20JDE/1204.630600.xlsx" TargetMode="External"/><Relationship Id="rId33" Type="http://schemas.openxmlformats.org/officeDocument/2006/relationships/hyperlink" Target="../../../Tarikan%20JDE/1201.710200.xlsx" TargetMode="External"/><Relationship Id="rId38" Type="http://schemas.openxmlformats.org/officeDocument/2006/relationships/hyperlink" Target="../../../Tarikan%20JDE/1201.630400.xlsx" TargetMode="External"/><Relationship Id="rId59" Type="http://schemas.openxmlformats.org/officeDocument/2006/relationships/hyperlink" Target="../../../Tarikan%20JDE/1201.630770.xlsx" TargetMode="External"/><Relationship Id="rId103" Type="http://schemas.openxmlformats.org/officeDocument/2006/relationships/hyperlink" Target="../../../Tarikan%20JDE/1206.631110.xlsx" TargetMode="External"/><Relationship Id="rId108" Type="http://schemas.openxmlformats.org/officeDocument/2006/relationships/hyperlink" Target="../../../Tarikan%20JDE/1206.801110.xlsx" TargetMode="External"/><Relationship Id="rId124" Type="http://schemas.openxmlformats.org/officeDocument/2006/relationships/hyperlink" Target="../../../Tarikan%20JDE/1205.630750.xlsx" TargetMode="External"/><Relationship Id="rId129" Type="http://schemas.openxmlformats.org/officeDocument/2006/relationships/hyperlink" Target="../../../Tarikan%20JDE/1204.813100.xlsx" TargetMode="External"/><Relationship Id="rId54" Type="http://schemas.openxmlformats.org/officeDocument/2006/relationships/hyperlink" Target="../../../Tarikan%20JDE/1201.809100.xlsx" TargetMode="External"/><Relationship Id="rId70" Type="http://schemas.openxmlformats.org/officeDocument/2006/relationships/hyperlink" Target="../../../Tarikan%20JDE/1204.810110.xlsx" TargetMode="External"/><Relationship Id="rId75" Type="http://schemas.openxmlformats.org/officeDocument/2006/relationships/hyperlink" Target="../../../Tarikan%20JDE/1204.816130.xlsx" TargetMode="External"/><Relationship Id="rId91" Type="http://schemas.openxmlformats.org/officeDocument/2006/relationships/hyperlink" Target="../../../Tarikan%20JDE/1206.630130.xlsx" TargetMode="External"/><Relationship Id="rId96" Type="http://schemas.openxmlformats.org/officeDocument/2006/relationships/hyperlink" Target="../../../Tarikan%20JDE/1206.630300.xlsx" TargetMode="External"/><Relationship Id="rId140" Type="http://schemas.openxmlformats.org/officeDocument/2006/relationships/hyperlink" Target="../../../Tarikan%20JDE/1204.630200.xlsx" TargetMode="External"/><Relationship Id="rId145" Type="http://schemas.openxmlformats.org/officeDocument/2006/relationships/hyperlink" Target="../../../Tarikan%20JDE/1204.630730.xlsx" TargetMode="External"/><Relationship Id="rId1" Type="http://schemas.openxmlformats.org/officeDocument/2006/relationships/hyperlink" Target="../../../Tarikan%20JDE/1201.720400.xlsx" TargetMode="External"/><Relationship Id="rId6" Type="http://schemas.openxmlformats.org/officeDocument/2006/relationships/hyperlink" Target="../../../Tarikan%20JDE/1205.631100.xlsx" TargetMode="External"/><Relationship Id="rId23" Type="http://schemas.openxmlformats.org/officeDocument/2006/relationships/hyperlink" Target="../../../Tarikan%20JDE/1201.730300.xlsx" TargetMode="External"/><Relationship Id="rId28" Type="http://schemas.openxmlformats.org/officeDocument/2006/relationships/hyperlink" Target="../../../Tarikan%20JDE/1201.710200.xlsx" TargetMode="External"/><Relationship Id="rId49" Type="http://schemas.openxmlformats.org/officeDocument/2006/relationships/hyperlink" Target="../../../Tarikan%20JDE/1204.630900.xlsx" TargetMode="External"/><Relationship Id="rId114" Type="http://schemas.openxmlformats.org/officeDocument/2006/relationships/hyperlink" Target="../../../Tarikan%20JDE/1205.630740.xlsx" TargetMode="External"/><Relationship Id="rId119" Type="http://schemas.openxmlformats.org/officeDocument/2006/relationships/hyperlink" Target="../../../Tarikan%20JDE/1205.630400.xlsx" TargetMode="External"/><Relationship Id="rId44" Type="http://schemas.openxmlformats.org/officeDocument/2006/relationships/hyperlink" Target="../../../Tarikan%20JDE/1204.630530.xlsx" TargetMode="External"/><Relationship Id="rId60" Type="http://schemas.openxmlformats.org/officeDocument/2006/relationships/hyperlink" Target="../../../Tarikan%20JDE/1201.630750.xlsx" TargetMode="External"/><Relationship Id="rId65" Type="http://schemas.openxmlformats.org/officeDocument/2006/relationships/hyperlink" Target="../../../Tarikan%20JDE/1201.630730.xlsx" TargetMode="External"/><Relationship Id="rId81" Type="http://schemas.openxmlformats.org/officeDocument/2006/relationships/hyperlink" Target="../../../Tarikan%20JDE/1201.815120.xlsx" TargetMode="External"/><Relationship Id="rId86" Type="http://schemas.openxmlformats.org/officeDocument/2006/relationships/hyperlink" Target="../../../Tarikan%20JDE/1201.631100.xlsx" TargetMode="External"/><Relationship Id="rId130" Type="http://schemas.openxmlformats.org/officeDocument/2006/relationships/hyperlink" Target="../../../Tarikan%20JDE/1204.801160.xlsx" TargetMode="External"/><Relationship Id="rId135" Type="http://schemas.openxmlformats.org/officeDocument/2006/relationships/hyperlink" Target="../../../Tarikan%20JDE/1204.631100.xlsx" TargetMode="External"/><Relationship Id="rId151" Type="http://schemas.openxmlformats.org/officeDocument/2006/relationships/hyperlink" Target="../../../Tarikan%20JDE/1201.805120.xlsx" TargetMode="External"/><Relationship Id="rId156" Type="http://schemas.openxmlformats.org/officeDocument/2006/relationships/hyperlink" Target="../../../Tarikan%20JDE/1201.801110.xlsx" TargetMode="External"/><Relationship Id="rId13" Type="http://schemas.openxmlformats.org/officeDocument/2006/relationships/hyperlink" Target="../../../Tarikan%20JDE/1205.720100.xlsx" TargetMode="External"/><Relationship Id="rId18" Type="http://schemas.openxmlformats.org/officeDocument/2006/relationships/hyperlink" Target="../../../Tarikan%20JDE/1201.630600.xlsx" TargetMode="External"/><Relationship Id="rId39" Type="http://schemas.openxmlformats.org/officeDocument/2006/relationships/hyperlink" Target="../../../Tarikan%20JDE/1201.813100.xlsx" TargetMode="External"/><Relationship Id="rId109" Type="http://schemas.openxmlformats.org/officeDocument/2006/relationships/hyperlink" Target="../../../Tarikan%20JDE/1206.631180.xlsx" TargetMode="External"/><Relationship Id="rId34" Type="http://schemas.openxmlformats.org/officeDocument/2006/relationships/hyperlink" Target="../../../Tarikan%20JDE/1201.720500.xlsx" TargetMode="External"/><Relationship Id="rId50" Type="http://schemas.openxmlformats.org/officeDocument/2006/relationships/hyperlink" Target="../../../Tarikan%20JDE/1201.802140.xlsx" TargetMode="External"/><Relationship Id="rId55" Type="http://schemas.openxmlformats.org/officeDocument/2006/relationships/hyperlink" Target="../../../Tarikan%20JDE/1206.809100.xlsx" TargetMode="External"/><Relationship Id="rId76" Type="http://schemas.openxmlformats.org/officeDocument/2006/relationships/hyperlink" Target="../../../Tarikan%20JDE/1206.631100.xlsx" TargetMode="External"/><Relationship Id="rId97" Type="http://schemas.openxmlformats.org/officeDocument/2006/relationships/hyperlink" Target="../../../Tarikan%20JDE/1206.630770.xlsx" TargetMode="External"/><Relationship Id="rId104" Type="http://schemas.openxmlformats.org/officeDocument/2006/relationships/hyperlink" Target="../../../Tarikan%20JDE/1206.812100.xlsx" TargetMode="External"/><Relationship Id="rId120" Type="http://schemas.openxmlformats.org/officeDocument/2006/relationships/hyperlink" Target="../../../Tarikan%20JDE/1205.630300.xlsx" TargetMode="External"/><Relationship Id="rId125" Type="http://schemas.openxmlformats.org/officeDocument/2006/relationships/hyperlink" Target="../../../Tarikan%20JDE/1205.630720.xlsx" TargetMode="External"/><Relationship Id="rId141" Type="http://schemas.openxmlformats.org/officeDocument/2006/relationships/hyperlink" Target="../../../Tarikan%20JDE/1204.630110.xlsx" TargetMode="External"/><Relationship Id="rId146" Type="http://schemas.openxmlformats.org/officeDocument/2006/relationships/hyperlink" Target="../../../Tarikan%20JDE/1204.631110.xlsx" TargetMode="External"/><Relationship Id="rId7" Type="http://schemas.openxmlformats.org/officeDocument/2006/relationships/hyperlink" Target="../../../Tarikan%20JDE/1204.631100.xlsx" TargetMode="External"/><Relationship Id="rId71" Type="http://schemas.openxmlformats.org/officeDocument/2006/relationships/hyperlink" Target="../../../Tarikan%20JDE/1201.630130.xlsx" TargetMode="External"/><Relationship Id="rId92" Type="http://schemas.openxmlformats.org/officeDocument/2006/relationships/hyperlink" Target="../../../Tarikan%20JDE/1206.631000.xlsx" TargetMode="External"/><Relationship Id="rId2" Type="http://schemas.openxmlformats.org/officeDocument/2006/relationships/hyperlink" Target="../../../Tarikan%20JDE/1204.720400.xlsx" TargetMode="External"/><Relationship Id="rId29" Type="http://schemas.openxmlformats.org/officeDocument/2006/relationships/hyperlink" Target="../../../Tarikan%20JDE/1201.710200.xlsx" TargetMode="External"/><Relationship Id="rId24" Type="http://schemas.openxmlformats.org/officeDocument/2006/relationships/hyperlink" Target="../../../Tarikan%20JDE/1201.730300.xlsx" TargetMode="External"/><Relationship Id="rId40" Type="http://schemas.openxmlformats.org/officeDocument/2006/relationships/hyperlink" Target="../../../Tarikan%20JDE/1201.630300.xlsx" TargetMode="External"/><Relationship Id="rId45" Type="http://schemas.openxmlformats.org/officeDocument/2006/relationships/hyperlink" Target="../../../Tarikan%20JDE/1201.808100.xlsx" TargetMode="External"/><Relationship Id="rId66" Type="http://schemas.openxmlformats.org/officeDocument/2006/relationships/hyperlink" Target="../../../Tarikan%20JDE/1201.630740.xlsx" TargetMode="External"/><Relationship Id="rId87" Type="http://schemas.openxmlformats.org/officeDocument/2006/relationships/hyperlink" Target="../../../Tarikan%20JDE/1205.631100.xlsx" TargetMode="External"/><Relationship Id="rId110" Type="http://schemas.openxmlformats.org/officeDocument/2006/relationships/hyperlink" Target="../../../Tarikan%20JDE/1206.630600.xlsx" TargetMode="External"/><Relationship Id="rId115" Type="http://schemas.openxmlformats.org/officeDocument/2006/relationships/hyperlink" Target="../../../Tarikan%20JDE/1205.630130.xlsx" TargetMode="External"/><Relationship Id="rId131" Type="http://schemas.openxmlformats.org/officeDocument/2006/relationships/hyperlink" Target="../../../Tarikan%20JDE/1204.630710.xlsx" TargetMode="External"/><Relationship Id="rId136" Type="http://schemas.openxmlformats.org/officeDocument/2006/relationships/hyperlink" Target="../../../Tarikan%20JDE/1204.720500.xlsx" TargetMode="External"/><Relationship Id="rId157" Type="http://schemas.openxmlformats.org/officeDocument/2006/relationships/hyperlink" Target="../../../Tarikan%20JDE/1204.801110.xlsx" TargetMode="External"/><Relationship Id="rId61" Type="http://schemas.openxmlformats.org/officeDocument/2006/relationships/hyperlink" Target="../../../Tarikan%20JDE/1201.630720.xlsx" TargetMode="External"/><Relationship Id="rId82" Type="http://schemas.openxmlformats.org/officeDocument/2006/relationships/hyperlink" Target="../../../Tarikan%20JDE/1201.802120.xlsx" TargetMode="External"/><Relationship Id="rId152" Type="http://schemas.openxmlformats.org/officeDocument/2006/relationships/hyperlink" Target="../../../Tarikan%20JDE/1201.920700.xlsx" TargetMode="External"/><Relationship Id="rId19" Type="http://schemas.openxmlformats.org/officeDocument/2006/relationships/hyperlink" Target="../../../Tarikan%20JDE/1205.630600.xlsx" TargetMode="External"/><Relationship Id="rId14" Type="http://schemas.openxmlformats.org/officeDocument/2006/relationships/hyperlink" Target="../../../Tarikan%20JDE/1204.720100.xlsx" TargetMode="External"/><Relationship Id="rId30" Type="http://schemas.openxmlformats.org/officeDocument/2006/relationships/hyperlink" Target="../../../Tarikan%20JDE/1201.730300.xlsx" TargetMode="External"/><Relationship Id="rId35" Type="http://schemas.openxmlformats.org/officeDocument/2006/relationships/hyperlink" Target="../../../Tarikan%20JDE/1201.812100.xlsx" TargetMode="External"/><Relationship Id="rId56" Type="http://schemas.openxmlformats.org/officeDocument/2006/relationships/hyperlink" Target="../../../Tarikan%20JDE/1205.809100.xlsx" TargetMode="External"/><Relationship Id="rId77" Type="http://schemas.openxmlformats.org/officeDocument/2006/relationships/hyperlink" Target="../../../Tarikan%20JDE/1201.631110.xlsx" TargetMode="External"/><Relationship Id="rId100" Type="http://schemas.openxmlformats.org/officeDocument/2006/relationships/hyperlink" Target="../../../Tarikan%20JDE/1206.630760.xlsx" TargetMode="External"/><Relationship Id="rId105" Type="http://schemas.openxmlformats.org/officeDocument/2006/relationships/hyperlink" Target="../../../Tarikan%20JDE/1206.630400.xlsx" TargetMode="External"/><Relationship Id="rId126" Type="http://schemas.openxmlformats.org/officeDocument/2006/relationships/hyperlink" Target="../../../Tarikan%20JDE/1205.630730.xlsx" TargetMode="External"/><Relationship Id="rId147" Type="http://schemas.openxmlformats.org/officeDocument/2006/relationships/hyperlink" Target="../../../Tarikan%20JDE/1204.631140.xlsx" TargetMode="External"/><Relationship Id="rId8" Type="http://schemas.openxmlformats.org/officeDocument/2006/relationships/hyperlink" Target="../../../Tarikan%20JDE/1201.631180.xlsx" TargetMode="External"/><Relationship Id="rId51" Type="http://schemas.openxmlformats.org/officeDocument/2006/relationships/hyperlink" Target="../../../Tarikan%20JDE/1204.802140.xlsx" TargetMode="External"/><Relationship Id="rId72" Type="http://schemas.openxmlformats.org/officeDocument/2006/relationships/hyperlink" Target="../../../Tarikan%20JDE/1201.816130.xlsx" TargetMode="External"/><Relationship Id="rId93" Type="http://schemas.openxmlformats.org/officeDocument/2006/relationships/hyperlink" Target="../../../Tarikan%20JDE/1206.815110.xlsx" TargetMode="External"/><Relationship Id="rId98" Type="http://schemas.openxmlformats.org/officeDocument/2006/relationships/hyperlink" Target="../../../Tarikan%20JDE/1206.630750.xlsx" TargetMode="External"/><Relationship Id="rId121" Type="http://schemas.openxmlformats.org/officeDocument/2006/relationships/hyperlink" Target="../../../Tarikan%20JDE/1205.630200.xlsx" TargetMode="External"/><Relationship Id="rId142" Type="http://schemas.openxmlformats.org/officeDocument/2006/relationships/hyperlink" Target="../../../Tarikan%20JDE/1204.630770.xlsx" TargetMode="External"/><Relationship Id="rId3" Type="http://schemas.openxmlformats.org/officeDocument/2006/relationships/hyperlink" Target="../../../Tarikan%20JDE/1201.816110.xlsx" TargetMode="External"/><Relationship Id="rId25" Type="http://schemas.openxmlformats.org/officeDocument/2006/relationships/hyperlink" Target="../../../Tarikan%20JDE/1201.730200.xlsx" TargetMode="External"/><Relationship Id="rId46" Type="http://schemas.openxmlformats.org/officeDocument/2006/relationships/hyperlink" Target="../../../Tarikan%20JDE/1205.808100.xlsx" TargetMode="External"/><Relationship Id="rId67" Type="http://schemas.openxmlformats.org/officeDocument/2006/relationships/hyperlink" Target="../../../Tarikan%20JDE/1201.810110.xlsx" TargetMode="External"/><Relationship Id="rId116" Type="http://schemas.openxmlformats.org/officeDocument/2006/relationships/hyperlink" Target="../../../Tarikan%20JDE/1205.815110.xlsx" TargetMode="External"/><Relationship Id="rId137" Type="http://schemas.openxmlformats.org/officeDocument/2006/relationships/hyperlink" Target="../../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../../Tarikan%20JDE/1204.630600.xlsx" TargetMode="External"/><Relationship Id="rId41" Type="http://schemas.openxmlformats.org/officeDocument/2006/relationships/hyperlink" Target="../../../Tarikan%20JDE/1201.630200.xlsx" TargetMode="External"/><Relationship Id="rId62" Type="http://schemas.openxmlformats.org/officeDocument/2006/relationships/hyperlink" Target="../../../Tarikan%20JDE/1201.630760.xlsx" TargetMode="External"/><Relationship Id="rId83" Type="http://schemas.openxmlformats.org/officeDocument/2006/relationships/hyperlink" Target="../../../Tarikan%20JDE/1201.814110.xlsx" TargetMode="External"/><Relationship Id="rId88" Type="http://schemas.openxmlformats.org/officeDocument/2006/relationships/hyperlink" Target="../../../Tarikan%20JDE/1204.631100.xlsx" TargetMode="External"/><Relationship Id="rId111" Type="http://schemas.openxmlformats.org/officeDocument/2006/relationships/hyperlink" Target="../../../Tarikan%20JDE/1205.813100.xlsx" TargetMode="External"/><Relationship Id="rId132" Type="http://schemas.openxmlformats.org/officeDocument/2006/relationships/hyperlink" Target="../../../Tarikan%20JDE/1204.630740.xlsx" TargetMode="External"/><Relationship Id="rId153" Type="http://schemas.openxmlformats.org/officeDocument/2006/relationships/hyperlink" Target="../../../Tarikan%20JDE/1206.920700.xlsx" TargetMode="External"/><Relationship Id="rId15" Type="http://schemas.openxmlformats.org/officeDocument/2006/relationships/hyperlink" Target="../../../Tarikan%20JDE/1201.630600.xlsx" TargetMode="External"/><Relationship Id="rId36" Type="http://schemas.openxmlformats.org/officeDocument/2006/relationships/hyperlink" Target="../../../Tarikan%20JDE/1201.807100.xlsx" TargetMode="External"/><Relationship Id="rId57" Type="http://schemas.openxmlformats.org/officeDocument/2006/relationships/hyperlink" Target="../../../Tarikan%20JDE/1204.809100.xlsx" TargetMode="External"/><Relationship Id="rId106" Type="http://schemas.openxmlformats.org/officeDocument/2006/relationships/hyperlink" Target="../../../Tarikan%20JDE/1206.808100.xlsx" TargetMode="External"/><Relationship Id="rId127" Type="http://schemas.openxmlformats.org/officeDocument/2006/relationships/hyperlink" Target="../../../Tarikan%20JDE/1205.801110.xlsx" TargetMode="External"/><Relationship Id="rId10" Type="http://schemas.openxmlformats.org/officeDocument/2006/relationships/hyperlink" Target="../../../Tarikan%20JDE/1205.631180.xlsx" TargetMode="External"/><Relationship Id="rId31" Type="http://schemas.openxmlformats.org/officeDocument/2006/relationships/hyperlink" Target="../../../Tarikan%20JDE/1201.730200.xlsx" TargetMode="External"/><Relationship Id="rId52" Type="http://schemas.openxmlformats.org/officeDocument/2006/relationships/hyperlink" Target="../../../Tarikan%20JDE/1201.801160.xlsx" TargetMode="External"/><Relationship Id="rId73" Type="http://schemas.openxmlformats.org/officeDocument/2006/relationships/hyperlink" Target="../../../Tarikan%20JDE/1206.816130.xlsx" TargetMode="External"/><Relationship Id="rId78" Type="http://schemas.openxmlformats.org/officeDocument/2006/relationships/hyperlink" Target="../../../Tarikan%20JDE/1201.631140.xlsx" TargetMode="External"/><Relationship Id="rId94" Type="http://schemas.openxmlformats.org/officeDocument/2006/relationships/hyperlink" Target="../../../Tarikan%20JDE/1206.802120.xlsx" TargetMode="External"/><Relationship Id="rId99" Type="http://schemas.openxmlformats.org/officeDocument/2006/relationships/hyperlink" Target="../../../Tarikan%20JDE/1206.630720.xlsx" TargetMode="External"/><Relationship Id="rId101" Type="http://schemas.openxmlformats.org/officeDocument/2006/relationships/hyperlink" Target="../../../Tarikan%20JDE/1206.630730.xlsx" TargetMode="External"/><Relationship Id="rId122" Type="http://schemas.openxmlformats.org/officeDocument/2006/relationships/hyperlink" Target="../../../Tarikan%20JDE/1205.630110.xlsx" TargetMode="External"/><Relationship Id="rId143" Type="http://schemas.openxmlformats.org/officeDocument/2006/relationships/hyperlink" Target="../../../Tarikan%20JDE/1204.630750.xlsx" TargetMode="External"/><Relationship Id="rId148" Type="http://schemas.openxmlformats.org/officeDocument/2006/relationships/hyperlink" Target="../../../Tarikan%20JDE/1201.816120.xlsx" TargetMode="External"/><Relationship Id="rId4" Type="http://schemas.openxmlformats.org/officeDocument/2006/relationships/hyperlink" Target="../../../Tarikan%20JDE/1204.816110.xlsx" TargetMode="External"/><Relationship Id="rId9" Type="http://schemas.openxmlformats.org/officeDocument/2006/relationships/hyperlink" Target="../../../Tarikan%20JDE/1204.631180.xlsx" TargetMode="External"/><Relationship Id="rId26" Type="http://schemas.openxmlformats.org/officeDocument/2006/relationships/hyperlink" Target="../../../Tarikan%20JDE/1201.710200.xlsx" TargetMode="External"/><Relationship Id="rId47" Type="http://schemas.openxmlformats.org/officeDocument/2006/relationships/hyperlink" Target="../../../Tarikan%20JDE/1204.808100.xlsx" TargetMode="External"/><Relationship Id="rId68" Type="http://schemas.openxmlformats.org/officeDocument/2006/relationships/hyperlink" Target="../../../Tarikan%20JDE/1206.810110.xlsx" TargetMode="External"/><Relationship Id="rId89" Type="http://schemas.openxmlformats.org/officeDocument/2006/relationships/hyperlink" Target="../../../Tarikan%20JDE/1206.801160.xlsx" TargetMode="External"/><Relationship Id="rId112" Type="http://schemas.openxmlformats.org/officeDocument/2006/relationships/hyperlink" Target="../../../Tarikan%20JDE/1205.801160.xlsx" TargetMode="External"/><Relationship Id="rId133" Type="http://schemas.openxmlformats.org/officeDocument/2006/relationships/hyperlink" Target="../../../Tarikan%20JDE/1204.630130.xlsx" TargetMode="External"/><Relationship Id="rId154" Type="http://schemas.openxmlformats.org/officeDocument/2006/relationships/hyperlink" Target="../../../Tarikan%20JDE/1205.920700.xlsx" TargetMode="External"/><Relationship Id="rId16" Type="http://schemas.openxmlformats.org/officeDocument/2006/relationships/hyperlink" Target="../../../Tarikan%20JDE/1205.630600.xlsx" TargetMode="External"/><Relationship Id="rId37" Type="http://schemas.openxmlformats.org/officeDocument/2006/relationships/hyperlink" Target="../../../Tarikan%20JDE/1204.807100.xlsx" TargetMode="External"/><Relationship Id="rId58" Type="http://schemas.openxmlformats.org/officeDocument/2006/relationships/hyperlink" Target="../../../Tarikan%20JDE/1201.630710.xlsx" TargetMode="External"/><Relationship Id="rId79" Type="http://schemas.openxmlformats.org/officeDocument/2006/relationships/hyperlink" Target="../../../Tarikan%20JDE/1201.631000.xlsx" TargetMode="External"/><Relationship Id="rId102" Type="http://schemas.openxmlformats.org/officeDocument/2006/relationships/hyperlink" Target="../../../Tarikan%20JDE/1206.630740.xlsx" TargetMode="External"/><Relationship Id="rId123" Type="http://schemas.openxmlformats.org/officeDocument/2006/relationships/hyperlink" Target="../../../Tarikan%20JDE/1205.630770.xlsx" TargetMode="External"/><Relationship Id="rId144" Type="http://schemas.openxmlformats.org/officeDocument/2006/relationships/hyperlink" Target="../../../Tarikan%20JDE/1204.630720.xlsx" TargetMode="External"/><Relationship Id="rId90" Type="http://schemas.openxmlformats.org/officeDocument/2006/relationships/hyperlink" Target="../../../Tarikan%20JDE/1206.630710.xlsx" TargetMode="External"/><Relationship Id="rId27" Type="http://schemas.openxmlformats.org/officeDocument/2006/relationships/hyperlink" Target="../../../Tarikan%20JDE/1201.710200.xlsx" TargetMode="External"/><Relationship Id="rId48" Type="http://schemas.openxmlformats.org/officeDocument/2006/relationships/hyperlink" Target="../../../Tarikan%20JDE/1201.630900.xlsx" TargetMode="External"/><Relationship Id="rId69" Type="http://schemas.openxmlformats.org/officeDocument/2006/relationships/hyperlink" Target="../../../Tarikan%20JDE/1205.810110.xlsx" TargetMode="External"/><Relationship Id="rId113" Type="http://schemas.openxmlformats.org/officeDocument/2006/relationships/hyperlink" Target="../../../Tarikan%20JDE/1205.630710.xlsx" TargetMode="External"/><Relationship Id="rId134" Type="http://schemas.openxmlformats.org/officeDocument/2006/relationships/hyperlink" Target="../../../Tarikan%20JDE/1204.81511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32"/>
  <sheetViews>
    <sheetView showGridLines="0" zoomScaleNormal="100" workbookViewId="0">
      <selection activeCell="C11" sqref="C11"/>
    </sheetView>
  </sheetViews>
  <sheetFormatPr defaultRowHeight="15"/>
  <cols>
    <col min="1" max="1" width="2.42578125" customWidth="1"/>
    <col min="2" max="2" width="3.5703125" customWidth="1"/>
    <col min="3" max="3" width="43.42578125" bestFit="1" customWidth="1"/>
    <col min="4" max="4" width="1.7109375" customWidth="1"/>
    <col min="5" max="5" width="55.85546875" customWidth="1"/>
    <col min="6" max="6" width="1.7109375" bestFit="1" customWidth="1"/>
    <col min="7" max="7" width="5.5703125" customWidth="1"/>
  </cols>
  <sheetData>
    <row r="1" spans="1:6" ht="12" customHeight="1">
      <c r="A1" s="54"/>
      <c r="B1" s="54"/>
      <c r="C1" s="55" t="s">
        <v>318</v>
      </c>
      <c r="D1" s="55"/>
      <c r="E1" s="55"/>
      <c r="F1" s="8"/>
    </row>
    <row r="2" spans="1:6" ht="12" customHeight="1">
      <c r="A2" s="54"/>
      <c r="B2" s="54"/>
      <c r="C2" s="56" t="s">
        <v>328</v>
      </c>
      <c r="D2" s="57"/>
      <c r="E2" s="58"/>
      <c r="F2" s="20" t="s">
        <v>211</v>
      </c>
    </row>
    <row r="3" spans="1:6" ht="12" customHeight="1">
      <c r="A3" s="54"/>
      <c r="B3" s="54"/>
      <c r="C3" s="59"/>
      <c r="D3" s="60"/>
      <c r="E3" s="61"/>
      <c r="F3" s="20"/>
    </row>
    <row r="4" spans="1:6" ht="12" customHeight="1">
      <c r="A4" s="54"/>
      <c r="B4" s="54"/>
      <c r="C4" s="59"/>
      <c r="D4" s="60"/>
      <c r="E4" s="61"/>
      <c r="F4" s="20"/>
    </row>
    <row r="5" spans="1:6" ht="12" customHeight="1">
      <c r="A5" s="54"/>
      <c r="B5" s="54"/>
      <c r="C5" s="59"/>
      <c r="D5" s="60"/>
      <c r="E5" s="61"/>
      <c r="F5" s="20"/>
    </row>
    <row r="6" spans="1:6" ht="12" customHeight="1">
      <c r="A6" s="54"/>
      <c r="B6" s="54"/>
      <c r="C6" s="59"/>
      <c r="D6" s="60"/>
      <c r="E6" s="61"/>
      <c r="F6" s="20"/>
    </row>
    <row r="7" spans="1:6" ht="12" customHeight="1">
      <c r="A7" s="54"/>
      <c r="B7" s="54"/>
      <c r="C7" s="59"/>
      <c r="D7" s="60"/>
      <c r="E7" s="61"/>
      <c r="F7" s="20"/>
    </row>
    <row r="8" spans="1:6" ht="12" customHeight="1">
      <c r="A8" s="54"/>
      <c r="B8" s="54"/>
      <c r="C8" s="59"/>
      <c r="D8" s="60"/>
      <c r="E8" s="61"/>
      <c r="F8" s="20"/>
    </row>
    <row r="9" spans="1:6" ht="6.75" customHeight="1">
      <c r="A9" s="54"/>
      <c r="B9" s="54"/>
      <c r="C9" s="62"/>
      <c r="D9" s="63"/>
      <c r="E9" s="64"/>
      <c r="F9" s="20"/>
    </row>
    <row r="10" spans="1:6" ht="18" customHeight="1">
      <c r="A10" s="54"/>
      <c r="B10" s="54"/>
      <c r="C10" s="65" t="s">
        <v>319</v>
      </c>
      <c r="D10" s="65"/>
      <c r="E10" s="65"/>
      <c r="F10" s="20"/>
    </row>
    <row r="11" spans="1:6" ht="15.75">
      <c r="C11" s="15" t="s">
        <v>320</v>
      </c>
      <c r="D11" s="16"/>
      <c r="E11" s="13" t="s">
        <v>321</v>
      </c>
      <c r="F11" s="20"/>
    </row>
    <row r="12" spans="1:6">
      <c r="C12" s="53" t="s">
        <v>329</v>
      </c>
      <c r="D12" s="53"/>
      <c r="E12" s="14" t="s">
        <v>367</v>
      </c>
      <c r="F12" s="20" t="s">
        <v>211</v>
      </c>
    </row>
    <row r="13" spans="1:6">
      <c r="C13" s="19" t="s">
        <v>330</v>
      </c>
      <c r="D13" s="19"/>
      <c r="E13" s="14" t="s">
        <v>331</v>
      </c>
      <c r="F13" s="20" t="s">
        <v>211</v>
      </c>
    </row>
    <row r="14" spans="1:6">
      <c r="C14" s="53" t="s">
        <v>351</v>
      </c>
      <c r="D14" s="53"/>
      <c r="E14" s="23" t="s">
        <v>353</v>
      </c>
      <c r="F14" s="20" t="s">
        <v>211</v>
      </c>
    </row>
    <row r="15" spans="1:6">
      <c r="C15" s="19" t="s">
        <v>352</v>
      </c>
      <c r="D15" s="19"/>
      <c r="E15" s="23" t="s">
        <v>354</v>
      </c>
      <c r="F15" s="20" t="s">
        <v>211</v>
      </c>
    </row>
    <row r="16" spans="1:6">
      <c r="C16" s="19" t="s">
        <v>366</v>
      </c>
      <c r="D16" s="19"/>
      <c r="E16" s="25" t="s">
        <v>365</v>
      </c>
      <c r="F16" s="20" t="s">
        <v>211</v>
      </c>
    </row>
    <row r="17" spans="3:6">
      <c r="C17" s="19"/>
      <c r="D17" s="19"/>
      <c r="F17" s="20" t="s">
        <v>211</v>
      </c>
    </row>
    <row r="18" spans="3:6" ht="1.5" customHeight="1">
      <c r="C18" s="52"/>
      <c r="D18" s="52"/>
      <c r="E18" s="52"/>
      <c r="F18" s="20"/>
    </row>
    <row r="19" spans="3:6">
      <c r="F19" s="20"/>
    </row>
    <row r="20" spans="3:6">
      <c r="F20" s="20"/>
    </row>
    <row r="21" spans="3:6">
      <c r="F21" s="20"/>
    </row>
    <row r="22" spans="3:6">
      <c r="F22" s="20"/>
    </row>
    <row r="23" spans="3:6">
      <c r="F23" s="20"/>
    </row>
    <row r="24" spans="3:6">
      <c r="F24" s="20"/>
    </row>
    <row r="25" spans="3:6">
      <c r="F25" s="20"/>
    </row>
    <row r="26" spans="3:6">
      <c r="F26" s="20"/>
    </row>
    <row r="27" spans="3:6">
      <c r="F27" s="20"/>
    </row>
    <row r="28" spans="3:6">
      <c r="F28" s="20"/>
    </row>
    <row r="29" spans="3:6">
      <c r="F29" s="20"/>
    </row>
    <row r="30" spans="3:6">
      <c r="F30" s="20"/>
    </row>
    <row r="31" spans="3:6">
      <c r="F31" s="20"/>
    </row>
    <row r="32" spans="3:6">
      <c r="F32" s="20"/>
    </row>
  </sheetData>
  <mergeCells count="8">
    <mergeCell ref="C18:E18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display="\\10.8.0.35\rpa$\RPA Excel Template\Accounting Finance\Santy\Profit Loss\07-02-2024\Tarikan JDE" xr:uid="{0007FD13-BAF9-4905-87BE-19FBE5C13B56}"/>
    <hyperlink ref="E13" r:id="rId2" xr:uid="{24514AAD-1976-4895-9499-8629E57746EE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4" r:id="rId5" name="btn_UpdateDataAccount">
          <controlPr defaultSize="0" autoLine="0" r:id="rId6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5" name="btn_UpdateDataAccount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28575</xdr:rowOff>
              </from>
              <to>
                <xdr:col>2</xdr:col>
                <xdr:colOff>1857375</xdr:colOff>
                <xdr:row>6</xdr:row>
                <xdr:rowOff>133350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5" r:id="rId9" name="CommandButton1">
          <controlPr defaultSize="0" autoLine="0" r:id="rId10">
            <anchor moveWithCells="1">
              <from>
                <xdr:col>4</xdr:col>
                <xdr:colOff>1790700</xdr:colOff>
                <xdr:row>2</xdr:row>
                <xdr:rowOff>85725</xdr:rowOff>
              </from>
              <to>
                <xdr:col>4</xdr:col>
                <xdr:colOff>3067050</xdr:colOff>
                <xdr:row>4</xdr:row>
                <xdr:rowOff>38100</xdr:rowOff>
              </to>
            </anchor>
          </controlPr>
        </control>
      </mc:Choice>
      <mc:Fallback>
        <control shapeId="9225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D1" zoomScale="85" zoomScaleNormal="85" workbookViewId="0">
      <selection activeCell="A2" sqref="A2:A15"/>
    </sheetView>
  </sheetViews>
  <sheetFormatPr defaultRowHeight="15"/>
  <cols>
    <col min="1" max="1" width="64.28515625" bestFit="1" customWidth="1"/>
    <col min="2" max="2" width="24.85546875" bestFit="1" customWidth="1"/>
    <col min="3" max="3" width="24.5703125" bestFit="1" customWidth="1"/>
    <col min="4" max="4" width="26.7109375" bestFit="1" customWidth="1"/>
    <col min="5" max="5" width="16.7109375" bestFit="1" customWidth="1"/>
    <col min="6" max="6" width="12.28515625" bestFit="1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2" t="s">
        <v>339</v>
      </c>
      <c r="B1" s="9" t="s">
        <v>173</v>
      </c>
      <c r="C1" s="9" t="s">
        <v>1</v>
      </c>
      <c r="D1" s="9" t="s">
        <v>2</v>
      </c>
      <c r="E1" s="9" t="s">
        <v>3</v>
      </c>
      <c r="F1" s="9" t="s">
        <v>4</v>
      </c>
      <c r="G1" s="12" t="s">
        <v>175</v>
      </c>
      <c r="H1" s="12" t="s">
        <v>337</v>
      </c>
      <c r="I1" s="12" t="s">
        <v>211</v>
      </c>
      <c r="J1" s="12" t="s">
        <v>211</v>
      </c>
      <c r="K1" s="12" t="s">
        <v>211</v>
      </c>
      <c r="L1" s="12" t="s">
        <v>211</v>
      </c>
      <c r="M1" s="12" t="s">
        <v>211</v>
      </c>
      <c r="N1" s="12" t="s">
        <v>211</v>
      </c>
      <c r="O1" s="12" t="s">
        <v>211</v>
      </c>
      <c r="P1" s="12" t="s">
        <v>211</v>
      </c>
      <c r="Q1" s="12" t="s">
        <v>211</v>
      </c>
      <c r="R1" s="12" t="s">
        <v>211</v>
      </c>
      <c r="S1" s="12" t="s">
        <v>211</v>
      </c>
      <c r="T1" s="12" t="s">
        <v>211</v>
      </c>
      <c r="U1" s="12" t="s">
        <v>211</v>
      </c>
      <c r="V1" s="12" t="s">
        <v>211</v>
      </c>
      <c r="W1" s="12" t="s">
        <v>211</v>
      </c>
      <c r="X1" s="12" t="s">
        <v>359</v>
      </c>
      <c r="Y1" s="12" t="s">
        <v>360</v>
      </c>
      <c r="Z1" s="12" t="s">
        <v>358</v>
      </c>
    </row>
    <row r="2" spans="1:26">
      <c r="A2" t="s">
        <v>340</v>
      </c>
      <c r="B2" t="s">
        <v>10</v>
      </c>
      <c r="C2" t="s">
        <v>21</v>
      </c>
      <c r="D2" t="s">
        <v>22</v>
      </c>
      <c r="E2" t="s">
        <v>13</v>
      </c>
      <c r="G2" t="s">
        <v>184</v>
      </c>
      <c r="H2" t="s">
        <v>338</v>
      </c>
      <c r="Z2" t="s">
        <v>338</v>
      </c>
    </row>
    <row r="3" spans="1:26">
      <c r="A3" t="s">
        <v>341</v>
      </c>
      <c r="B3" t="s">
        <v>66</v>
      </c>
      <c r="C3" t="s">
        <v>21</v>
      </c>
      <c r="D3" t="s">
        <v>139</v>
      </c>
      <c r="E3" t="s">
        <v>13</v>
      </c>
      <c r="G3" t="s">
        <v>184</v>
      </c>
      <c r="H3" t="s">
        <v>334</v>
      </c>
    </row>
    <row r="4" spans="1:26">
      <c r="A4" t="s">
        <v>342</v>
      </c>
      <c r="B4" t="s">
        <v>66</v>
      </c>
      <c r="C4" t="s">
        <v>21</v>
      </c>
      <c r="D4" t="s">
        <v>122</v>
      </c>
      <c r="E4" t="s">
        <v>13</v>
      </c>
      <c r="G4" t="s">
        <v>184</v>
      </c>
      <c r="H4" t="s">
        <v>335</v>
      </c>
    </row>
    <row r="5" spans="1:26">
      <c r="A5" t="s">
        <v>343</v>
      </c>
      <c r="B5" t="s">
        <v>325</v>
      </c>
      <c r="C5" t="s">
        <v>21</v>
      </c>
      <c r="D5" t="s">
        <v>151</v>
      </c>
      <c r="E5" t="s">
        <v>24</v>
      </c>
      <c r="G5" t="s">
        <v>186</v>
      </c>
      <c r="H5" t="s">
        <v>336</v>
      </c>
    </row>
    <row r="6" spans="1:26">
      <c r="A6" t="s">
        <v>344</v>
      </c>
      <c r="B6" t="s">
        <v>325</v>
      </c>
      <c r="C6" t="s">
        <v>21</v>
      </c>
      <c r="D6" t="s">
        <v>151</v>
      </c>
      <c r="E6" t="s">
        <v>15</v>
      </c>
      <c r="G6" t="s">
        <v>185</v>
      </c>
      <c r="H6" t="s">
        <v>336</v>
      </c>
    </row>
    <row r="7" spans="1:26">
      <c r="A7" t="s">
        <v>345</v>
      </c>
      <c r="B7" t="s">
        <v>66</v>
      </c>
      <c r="C7" t="s">
        <v>21</v>
      </c>
      <c r="D7" t="s">
        <v>122</v>
      </c>
      <c r="E7" t="s">
        <v>24</v>
      </c>
      <c r="G7" t="s">
        <v>186</v>
      </c>
      <c r="H7" t="s">
        <v>335</v>
      </c>
    </row>
    <row r="8" spans="1:26">
      <c r="A8" t="s">
        <v>346</v>
      </c>
      <c r="B8" t="s">
        <v>66</v>
      </c>
      <c r="C8" t="s">
        <v>21</v>
      </c>
      <c r="D8" t="s">
        <v>122</v>
      </c>
      <c r="E8" t="s">
        <v>15</v>
      </c>
      <c r="G8" t="s">
        <v>185</v>
      </c>
      <c r="H8" t="s">
        <v>335</v>
      </c>
    </row>
    <row r="9" spans="1:26">
      <c r="A9" t="s">
        <v>347</v>
      </c>
      <c r="B9" t="s">
        <v>66</v>
      </c>
      <c r="C9" t="s">
        <v>21</v>
      </c>
      <c r="D9" t="s">
        <v>122</v>
      </c>
      <c r="E9" t="s">
        <v>100</v>
      </c>
      <c r="G9" t="s">
        <v>183</v>
      </c>
      <c r="H9" t="s">
        <v>335</v>
      </c>
    </row>
    <row r="10" spans="1:26">
      <c r="A10" t="s">
        <v>348</v>
      </c>
      <c r="B10" t="s">
        <v>10</v>
      </c>
      <c r="C10" t="s">
        <v>21</v>
      </c>
      <c r="D10" t="s">
        <v>22</v>
      </c>
      <c r="E10" t="s">
        <v>24</v>
      </c>
      <c r="G10" t="s">
        <v>186</v>
      </c>
      <c r="H10" t="s">
        <v>338</v>
      </c>
      <c r="Z10" t="s">
        <v>338</v>
      </c>
    </row>
    <row r="11" spans="1:26">
      <c r="A11" t="s">
        <v>349</v>
      </c>
      <c r="B11" t="s">
        <v>10</v>
      </c>
      <c r="C11" t="s">
        <v>21</v>
      </c>
      <c r="D11" t="s">
        <v>22</v>
      </c>
      <c r="E11" t="s">
        <v>15</v>
      </c>
      <c r="G11" t="s">
        <v>185</v>
      </c>
      <c r="H11" t="s">
        <v>338</v>
      </c>
      <c r="Z11" t="s">
        <v>338</v>
      </c>
    </row>
    <row r="12" spans="1:26">
      <c r="A12" t="s">
        <v>361</v>
      </c>
      <c r="B12" t="s">
        <v>66</v>
      </c>
      <c r="C12" t="s">
        <v>153</v>
      </c>
      <c r="D12" t="s">
        <v>83</v>
      </c>
      <c r="E12" t="s">
        <v>13</v>
      </c>
      <c r="F12" t="s">
        <v>74</v>
      </c>
      <c r="G12" t="s">
        <v>226</v>
      </c>
      <c r="N12" s="22"/>
      <c r="X12" t="s">
        <v>355</v>
      </c>
      <c r="Y12">
        <v>38</v>
      </c>
      <c r="Z12" t="s">
        <v>356</v>
      </c>
    </row>
    <row r="13" spans="1:26">
      <c r="A13" t="s">
        <v>362</v>
      </c>
      <c r="B13" t="s">
        <v>66</v>
      </c>
      <c r="C13" t="s">
        <v>153</v>
      </c>
      <c r="D13" t="s">
        <v>82</v>
      </c>
      <c r="E13" t="s">
        <v>13</v>
      </c>
      <c r="F13" t="s">
        <v>74</v>
      </c>
      <c r="G13" t="s">
        <v>226</v>
      </c>
      <c r="X13" t="s">
        <v>355</v>
      </c>
      <c r="Y13">
        <v>38</v>
      </c>
      <c r="Z13" t="s">
        <v>357</v>
      </c>
    </row>
    <row r="14" spans="1:26">
      <c r="A14" t="s">
        <v>363</v>
      </c>
      <c r="B14" t="s">
        <v>36</v>
      </c>
      <c r="C14" t="s">
        <v>37</v>
      </c>
      <c r="D14" t="s">
        <v>38</v>
      </c>
      <c r="E14" t="s">
        <v>13</v>
      </c>
      <c r="F14" t="s">
        <v>39</v>
      </c>
      <c r="G14" t="s">
        <v>216</v>
      </c>
      <c r="X14" t="s">
        <v>38</v>
      </c>
      <c r="Y14">
        <v>1</v>
      </c>
      <c r="Z14" t="s">
        <v>338</v>
      </c>
    </row>
    <row r="15" spans="1:26">
      <c r="A15" t="s">
        <v>364</v>
      </c>
      <c r="B15" t="s">
        <v>36</v>
      </c>
      <c r="C15" t="s">
        <v>37</v>
      </c>
      <c r="D15" t="s">
        <v>41</v>
      </c>
      <c r="E15" t="s">
        <v>13</v>
      </c>
      <c r="F15" t="s">
        <v>42</v>
      </c>
      <c r="G15" t="s">
        <v>216</v>
      </c>
      <c r="X15" t="s">
        <v>41</v>
      </c>
      <c r="Y15">
        <v>1</v>
      </c>
      <c r="Z15" t="s">
        <v>338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62"/>
  <sheetViews>
    <sheetView tabSelected="1" zoomScale="85" zoomScaleNormal="85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C7" sqref="C7"/>
    </sheetView>
  </sheetViews>
  <sheetFormatPr defaultColWidth="16.28515625" defaultRowHeight="15.75"/>
  <cols>
    <col min="1" max="1" width="27.5703125" style="76" bestFit="1" customWidth="1"/>
    <col min="2" max="2" width="39.85546875" style="76" bestFit="1" customWidth="1"/>
    <col min="3" max="3" width="61" style="76" customWidth="1"/>
    <col min="4" max="4" width="17" style="44" customWidth="1"/>
    <col min="5" max="5" width="17.42578125" style="44" customWidth="1"/>
    <col min="6" max="6" width="40.140625" style="44" customWidth="1"/>
    <col min="7" max="7" width="24.85546875" style="81" bestFit="1" customWidth="1"/>
    <col min="8" max="8" width="22.7109375" style="81" customWidth="1"/>
    <col min="9" max="9" width="24.5703125" style="81" bestFit="1" customWidth="1"/>
    <col min="10" max="10" width="16.28515625" style="43" customWidth="1"/>
    <col min="11" max="11" width="24.28515625" style="43" customWidth="1"/>
    <col min="12" max="12" width="20.85546875" style="42" customWidth="1"/>
    <col min="13" max="13" width="16.85546875" style="42" customWidth="1"/>
    <col min="14" max="14" width="23.7109375" style="44" customWidth="1"/>
    <col min="15" max="15" width="19.28515625" style="44" bestFit="1" customWidth="1"/>
    <col min="16" max="16384" width="16.28515625" style="1"/>
  </cols>
  <sheetData>
    <row r="1" spans="1:15">
      <c r="A1" s="66" t="str">
        <f ca="1">"MONTHLY BUDGET TH "&amp;YEAR(TODAY())</f>
        <v>MONTHLY BUDGET TH 2024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</row>
    <row r="2" spans="1:15" ht="28.5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</row>
    <row r="3" spans="1:15" s="71" customFormat="1" ht="5.25" customHeight="1">
      <c r="A3" s="72"/>
      <c r="B3" s="72"/>
      <c r="C3" s="72"/>
      <c r="D3" s="68"/>
      <c r="E3" s="68"/>
      <c r="F3" s="68"/>
      <c r="G3" s="77"/>
      <c r="H3" s="77"/>
      <c r="I3" s="77"/>
      <c r="J3" s="69"/>
      <c r="K3" s="69"/>
      <c r="L3" s="70"/>
      <c r="M3" s="70"/>
      <c r="N3" s="68"/>
      <c r="O3" s="68"/>
    </row>
    <row r="4" spans="1:15" s="71" customFormat="1" ht="6.75" customHeight="1">
      <c r="A4" s="72"/>
      <c r="B4" s="72"/>
      <c r="C4" s="72"/>
      <c r="D4" s="68"/>
      <c r="E4" s="68"/>
      <c r="F4" s="68"/>
      <c r="G4" s="78"/>
      <c r="H4" s="77" t="s">
        <v>211</v>
      </c>
      <c r="I4" s="78"/>
      <c r="J4" s="69"/>
      <c r="K4" s="69"/>
      <c r="L4" s="70"/>
      <c r="M4" s="70"/>
      <c r="N4" s="68"/>
      <c r="O4" s="68"/>
    </row>
    <row r="5" spans="1:15" s="41" customFormat="1" ht="28.5" customHeight="1">
      <c r="A5" s="73" t="s">
        <v>173</v>
      </c>
      <c r="B5" s="73" t="s">
        <v>531</v>
      </c>
      <c r="C5" s="73" t="s">
        <v>530</v>
      </c>
      <c r="D5" s="38" t="s">
        <v>3</v>
      </c>
      <c r="E5" s="38" t="s">
        <v>4</v>
      </c>
      <c r="F5" s="38" t="s">
        <v>5</v>
      </c>
      <c r="G5" s="84" t="s">
        <v>532</v>
      </c>
      <c r="H5" s="84" t="s">
        <v>7</v>
      </c>
      <c r="I5" s="84" t="s">
        <v>192</v>
      </c>
      <c r="J5" s="39" t="s">
        <v>8</v>
      </c>
      <c r="K5" s="39" t="s">
        <v>9</v>
      </c>
      <c r="L5" s="40" t="s">
        <v>175</v>
      </c>
      <c r="M5" s="40" t="s">
        <v>316</v>
      </c>
      <c r="N5" s="191" t="s">
        <v>317</v>
      </c>
      <c r="O5" s="39" t="s">
        <v>333</v>
      </c>
    </row>
    <row r="6" spans="1:15">
      <c r="A6" s="74" t="s">
        <v>10</v>
      </c>
      <c r="B6" s="82" t="s">
        <v>11</v>
      </c>
      <c r="C6" s="74" t="s">
        <v>12</v>
      </c>
      <c r="D6" s="45" t="s">
        <v>13</v>
      </c>
      <c r="E6" s="45" t="s">
        <v>14</v>
      </c>
      <c r="F6" s="45"/>
      <c r="G6" s="79">
        <v>10000</v>
      </c>
      <c r="H6" s="79">
        <v>8590.3700000000008</v>
      </c>
      <c r="I6" s="79">
        <f t="shared" ref="I6:I37" si="0">G6-H6</f>
        <v>1409.6299999999992</v>
      </c>
      <c r="J6" s="48">
        <f>G6/VLOOKUP(A6,RESUME!$G$3:$I$10,3,FALSE)</f>
        <v>0.14728026373771388</v>
      </c>
      <c r="K6" s="48">
        <f t="shared" ref="K6:K37" si="1">IFERROR((G6/H6)*J6,"")</f>
        <v>0.17144810262854088</v>
      </c>
      <c r="L6" s="47" t="str">
        <f>_xlfn.IFNA(VLOOKUP(A6&amp;"-"&amp;B6&amp;"-"&amp;D6,Ref_Account!$A:$F,6,FALSE),"ACCOUNT TIDAK DITEMUKAN")</f>
        <v>1201.720400</v>
      </c>
      <c r="M6" s="47"/>
      <c r="N6" s="45">
        <f t="shared" ref="N6:N37" si="2">IF(L6="ACCOUNT TIDAK DITEMUKAN","9999",COUNTIF($L$6:$L$164,L6))</f>
        <v>1</v>
      </c>
      <c r="O6" s="45" t="str">
        <f t="shared" ref="O6:O37" si="3">IF(I6&gt;0,"OK","OVER")</f>
        <v>OK</v>
      </c>
    </row>
    <row r="7" spans="1:15">
      <c r="A7" s="75" t="s">
        <v>10</v>
      </c>
      <c r="B7" s="83" t="s">
        <v>11</v>
      </c>
      <c r="C7" s="75" t="s">
        <v>12</v>
      </c>
      <c r="D7" s="46" t="s">
        <v>15</v>
      </c>
      <c r="E7" s="46" t="s">
        <v>16</v>
      </c>
      <c r="F7" s="46"/>
      <c r="G7" s="80">
        <v>10000</v>
      </c>
      <c r="H7" s="80">
        <v>3143.46</v>
      </c>
      <c r="I7" s="80">
        <f t="shared" si="0"/>
        <v>6856.54</v>
      </c>
      <c r="J7" s="50">
        <f>G7/VLOOKUP(A7,RESUME!$G$3:$I$10,3,FALSE)</f>
        <v>0.14728026373771388</v>
      </c>
      <c r="K7" s="50">
        <f t="shared" si="1"/>
        <v>0.46852914857422673</v>
      </c>
      <c r="L7" s="49" t="str">
        <f>_xlfn.IFNA(VLOOKUP(A7&amp;"-"&amp;B7&amp;"-"&amp;D7,Ref_Account!$A:$F,6,FALSE),"ACCOUNT TIDAK DITEMUKAN")</f>
        <v>1204.720400</v>
      </c>
      <c r="M7" s="49"/>
      <c r="N7" s="46">
        <f t="shared" si="2"/>
        <v>1</v>
      </c>
      <c r="O7" s="46" t="str">
        <f t="shared" si="3"/>
        <v>OK</v>
      </c>
    </row>
    <row r="8" spans="1:15">
      <c r="A8" s="74" t="s">
        <v>10</v>
      </c>
      <c r="B8" s="82" t="s">
        <v>17</v>
      </c>
      <c r="C8" s="74" t="s">
        <v>18</v>
      </c>
      <c r="D8" s="45" t="s">
        <v>13</v>
      </c>
      <c r="E8" s="45" t="s">
        <v>19</v>
      </c>
      <c r="F8" s="45"/>
      <c r="G8" s="79">
        <v>1987.05</v>
      </c>
      <c r="H8" s="79"/>
      <c r="I8" s="79">
        <f t="shared" si="0"/>
        <v>1987.05</v>
      </c>
      <c r="J8" s="48">
        <f>G8/VLOOKUP(A8,RESUME!$G$3:$I$10,3,FALSE)</f>
        <v>2.9265324806002437E-2</v>
      </c>
      <c r="K8" s="48" t="str">
        <f t="shared" si="1"/>
        <v/>
      </c>
      <c r="L8" s="47" t="str">
        <f>_xlfn.IFNA(VLOOKUP(A8&amp;"-"&amp;B8&amp;"-"&amp;D8,Ref_Account!$A:$F,6,FALSE),"ACCOUNT TIDAK DITEMUKAN")</f>
        <v>1201.816110</v>
      </c>
      <c r="M8" s="47"/>
      <c r="N8" s="45">
        <f t="shared" si="2"/>
        <v>1</v>
      </c>
      <c r="O8" s="45" t="str">
        <f t="shared" si="3"/>
        <v>OK</v>
      </c>
    </row>
    <row r="9" spans="1:15">
      <c r="A9" s="75" t="s">
        <v>10</v>
      </c>
      <c r="B9" s="83" t="s">
        <v>17</v>
      </c>
      <c r="C9" s="75" t="s">
        <v>18</v>
      </c>
      <c r="D9" s="46" t="s">
        <v>15</v>
      </c>
      <c r="E9" s="46" t="s">
        <v>20</v>
      </c>
      <c r="F9" s="46"/>
      <c r="G9" s="80">
        <v>326</v>
      </c>
      <c r="H9" s="80">
        <v>394.88</v>
      </c>
      <c r="I9" s="80">
        <f t="shared" si="0"/>
        <v>-68.88</v>
      </c>
      <c r="J9" s="50">
        <f>G9/VLOOKUP(A9,RESUME!$G$3:$I$10,3,FALSE)</f>
        <v>4.8013365978494729E-3</v>
      </c>
      <c r="K9" s="50">
        <f t="shared" si="1"/>
        <v>3.9638263039377232E-3</v>
      </c>
      <c r="L9" s="49" t="str">
        <f>_xlfn.IFNA(VLOOKUP(A9&amp;"-"&amp;B9&amp;"-"&amp;D9,Ref_Account!$A:$F,6,FALSE),"ACCOUNT TIDAK DITEMUKAN")</f>
        <v>1204.816110</v>
      </c>
      <c r="M9" s="49"/>
      <c r="N9" s="46">
        <f t="shared" si="2"/>
        <v>1</v>
      </c>
      <c r="O9" s="46" t="str">
        <f t="shared" si="3"/>
        <v>OVER</v>
      </c>
    </row>
    <row r="10" spans="1:15">
      <c r="A10" s="74" t="s">
        <v>10</v>
      </c>
      <c r="B10" s="82" t="s">
        <v>21</v>
      </c>
      <c r="C10" s="74" t="s">
        <v>22</v>
      </c>
      <c r="D10" s="45" t="s">
        <v>13</v>
      </c>
      <c r="E10" s="45" t="s">
        <v>23</v>
      </c>
      <c r="F10" s="45"/>
      <c r="G10" s="79">
        <v>15015.099999999999</v>
      </c>
      <c r="H10" s="79">
        <v>5694.9699999999975</v>
      </c>
      <c r="I10" s="79">
        <f t="shared" si="0"/>
        <v>9320.130000000001</v>
      </c>
      <c r="J10" s="48">
        <f>G10/VLOOKUP(A10,RESUME!$G$3:$I$10,3,FALSE)</f>
        <v>0.22114278880481478</v>
      </c>
      <c r="K10" s="48">
        <f t="shared" si="1"/>
        <v>0.5830550623064169</v>
      </c>
      <c r="L10" s="47" t="str">
        <f>_xlfn.IFNA(VLOOKUP(A10&amp;"-"&amp;B10&amp;"-"&amp;D10,Ref_Account!$A:$F,6,FALSE),"ACCOUNT TIDAK DITEMUKAN")</f>
        <v>1201.631100</v>
      </c>
      <c r="M10" s="47"/>
      <c r="N10" s="45">
        <f t="shared" si="2"/>
        <v>3</v>
      </c>
      <c r="O10" s="45" t="str">
        <f t="shared" si="3"/>
        <v>OK</v>
      </c>
    </row>
    <row r="11" spans="1:15">
      <c r="A11" s="75" t="s">
        <v>10</v>
      </c>
      <c r="B11" s="83" t="s">
        <v>21</v>
      </c>
      <c r="C11" s="75" t="s">
        <v>22</v>
      </c>
      <c r="D11" s="46" t="s">
        <v>24</v>
      </c>
      <c r="E11" s="46" t="s">
        <v>25</v>
      </c>
      <c r="F11" s="46"/>
      <c r="G11" s="80">
        <v>26.7199999999998</v>
      </c>
      <c r="H11" s="80">
        <v>475.78</v>
      </c>
      <c r="I11" s="80">
        <f t="shared" si="0"/>
        <v>-449.06000000000017</v>
      </c>
      <c r="J11" s="50">
        <f>G11/VLOOKUP(A11,RESUME!$G$3:$I$10,3,FALSE)</f>
        <v>3.9353286470716859E-4</v>
      </c>
      <c r="K11" s="50">
        <f t="shared" si="1"/>
        <v>2.210096713812154E-5</v>
      </c>
      <c r="L11" s="49" t="str">
        <f>_xlfn.IFNA(VLOOKUP(A11&amp;"-"&amp;B11&amp;"-"&amp;D11,Ref_Account!$A:$F,6,FALSE),"ACCOUNT TIDAK DITEMUKAN")</f>
        <v>1205.631100</v>
      </c>
      <c r="M11" s="49"/>
      <c r="N11" s="46">
        <f t="shared" si="2"/>
        <v>3</v>
      </c>
      <c r="O11" s="46" t="str">
        <f t="shared" si="3"/>
        <v>OVER</v>
      </c>
    </row>
    <row r="12" spans="1:15">
      <c r="A12" s="74" t="s">
        <v>10</v>
      </c>
      <c r="B12" s="82" t="s">
        <v>21</v>
      </c>
      <c r="C12" s="74" t="s">
        <v>22</v>
      </c>
      <c r="D12" s="45" t="s">
        <v>15</v>
      </c>
      <c r="E12" s="45" t="s">
        <v>25</v>
      </c>
      <c r="F12" s="45"/>
      <c r="G12" s="79">
        <v>15124.89</v>
      </c>
      <c r="H12" s="79">
        <v>1394454.02</v>
      </c>
      <c r="I12" s="79">
        <f t="shared" si="0"/>
        <v>-1379329.1300000001</v>
      </c>
      <c r="J12" s="48">
        <f>G12/VLOOKUP(A12,RESUME!$G$3:$I$10,3,FALSE)</f>
        <v>0.22275977882039114</v>
      </c>
      <c r="K12" s="48">
        <f t="shared" si="1"/>
        <v>2.4161550705578271E-3</v>
      </c>
      <c r="L12" s="47" t="str">
        <f>_xlfn.IFNA(VLOOKUP(A12&amp;"-"&amp;B12&amp;"-"&amp;D12,Ref_Account!$A:$F,6,FALSE),"ACCOUNT TIDAK DITEMUKAN")</f>
        <v>1204.631100</v>
      </c>
      <c r="M12" s="47"/>
      <c r="N12" s="45">
        <f t="shared" si="2"/>
        <v>3</v>
      </c>
      <c r="O12" s="45" t="str">
        <f t="shared" si="3"/>
        <v>OVER</v>
      </c>
    </row>
    <row r="13" spans="1:15">
      <c r="A13" s="75" t="s">
        <v>10</v>
      </c>
      <c r="B13" s="83" t="s">
        <v>26</v>
      </c>
      <c r="C13" s="75" t="s">
        <v>27</v>
      </c>
      <c r="D13" s="46" t="s">
        <v>13</v>
      </c>
      <c r="E13" s="46" t="s">
        <v>28</v>
      </c>
      <c r="F13" s="46"/>
      <c r="G13" s="80">
        <v>639</v>
      </c>
      <c r="H13" s="80">
        <v>4.83</v>
      </c>
      <c r="I13" s="80">
        <f t="shared" si="0"/>
        <v>634.16999999999996</v>
      </c>
      <c r="J13" s="50">
        <f>G13/VLOOKUP(A13,RESUME!$G$3:$I$10,3,FALSE)</f>
        <v>9.4112088528399175E-3</v>
      </c>
      <c r="K13" s="50">
        <f t="shared" si="1"/>
        <v>1.2450853948167095</v>
      </c>
      <c r="L13" s="49" t="str">
        <f>_xlfn.IFNA(VLOOKUP(A13&amp;"-"&amp;B13&amp;"-"&amp;D13,Ref_Account!$A:$F,6,FALSE),"ACCOUNT TIDAK DITEMUKAN")</f>
        <v>1201.631180</v>
      </c>
      <c r="M13" s="49"/>
      <c r="N13" s="46">
        <f t="shared" si="2"/>
        <v>1</v>
      </c>
      <c r="O13" s="46" t="str">
        <f t="shared" si="3"/>
        <v>OK</v>
      </c>
    </row>
    <row r="14" spans="1:15">
      <c r="A14" s="74" t="s">
        <v>10</v>
      </c>
      <c r="B14" s="82" t="s">
        <v>26</v>
      </c>
      <c r="C14" s="74" t="s">
        <v>27</v>
      </c>
      <c r="D14" s="45" t="s">
        <v>24</v>
      </c>
      <c r="E14" s="45" t="s">
        <v>29</v>
      </c>
      <c r="F14" s="45"/>
      <c r="G14" s="79">
        <v>1265</v>
      </c>
      <c r="H14" s="79">
        <v>598.58000000000004</v>
      </c>
      <c r="I14" s="79">
        <f t="shared" si="0"/>
        <v>666.42</v>
      </c>
      <c r="J14" s="48">
        <f>G14/VLOOKUP(A14,RESUME!$G$3:$I$10,3,FALSE)</f>
        <v>1.8630953362820807E-2</v>
      </c>
      <c r="K14" s="48">
        <f t="shared" si="1"/>
        <v>3.9373443823663201E-2</v>
      </c>
      <c r="L14" s="47" t="str">
        <f>_xlfn.IFNA(VLOOKUP(A14&amp;"-"&amp;B14&amp;"-"&amp;D14,Ref_Account!$A:$F,6,FALSE),"ACCOUNT TIDAK DITEMUKAN")</f>
        <v>1204.631180</v>
      </c>
      <c r="M14" s="47"/>
      <c r="N14" s="45">
        <f t="shared" si="2"/>
        <v>1</v>
      </c>
      <c r="O14" s="51" t="str">
        <f t="shared" si="3"/>
        <v>OK</v>
      </c>
    </row>
    <row r="15" spans="1:15">
      <c r="A15" s="75" t="s">
        <v>10</v>
      </c>
      <c r="B15" s="83" t="s">
        <v>26</v>
      </c>
      <c r="C15" s="75" t="s">
        <v>27</v>
      </c>
      <c r="D15" s="46" t="s">
        <v>15</v>
      </c>
      <c r="E15" s="46" t="s">
        <v>29</v>
      </c>
      <c r="F15" s="46"/>
      <c r="G15" s="80">
        <v>2489</v>
      </c>
      <c r="H15" s="80">
        <v>217.48</v>
      </c>
      <c r="I15" s="80">
        <f t="shared" si="0"/>
        <v>2271.52</v>
      </c>
      <c r="J15" s="50">
        <f>G15/VLOOKUP(A15,RESUME!$G$3:$I$10,3,FALSE)</f>
        <v>3.6658057644316989E-2</v>
      </c>
      <c r="K15" s="50">
        <f t="shared" si="1"/>
        <v>0.41954159222321591</v>
      </c>
      <c r="L15" s="49" t="str">
        <f>_xlfn.IFNA(VLOOKUP(A15&amp;"-"&amp;B15&amp;"-"&amp;D15,Ref_Account!$A:$F,6,FALSE),"ACCOUNT TIDAK DITEMUKAN")</f>
        <v>1205.631180</v>
      </c>
      <c r="M15" s="49"/>
      <c r="N15" s="46">
        <f t="shared" si="2"/>
        <v>1</v>
      </c>
      <c r="O15" s="46" t="str">
        <f t="shared" si="3"/>
        <v>OK</v>
      </c>
    </row>
    <row r="16" spans="1:15">
      <c r="A16" s="74" t="s">
        <v>10</v>
      </c>
      <c r="B16" s="82" t="s">
        <v>30</v>
      </c>
      <c r="C16" s="74" t="s">
        <v>31</v>
      </c>
      <c r="D16" s="45" t="s">
        <v>13</v>
      </c>
      <c r="E16" s="45" t="s">
        <v>28</v>
      </c>
      <c r="F16" s="45"/>
      <c r="G16" s="79">
        <v>1025</v>
      </c>
      <c r="H16" s="79"/>
      <c r="I16" s="79">
        <f t="shared" si="0"/>
        <v>1025</v>
      </c>
      <c r="J16" s="48">
        <f>G16/VLOOKUP(A16,RESUME!$G$3:$I$10,3,FALSE)</f>
        <v>1.5096227033115674E-2</v>
      </c>
      <c r="K16" s="48" t="str">
        <f t="shared" si="1"/>
        <v/>
      </c>
      <c r="L16" s="47" t="str">
        <f>_xlfn.IFNA(VLOOKUP(A16&amp;"-"&amp;B16&amp;"-"&amp;D16,Ref_Account!$A:$F,6,FALSE),"ACCOUNT TIDAK DITEMUKAN")</f>
        <v>1201.631150</v>
      </c>
      <c r="M16" s="47"/>
      <c r="N16" s="45">
        <f t="shared" si="2"/>
        <v>1</v>
      </c>
      <c r="O16" s="45" t="str">
        <f t="shared" si="3"/>
        <v>OK</v>
      </c>
    </row>
    <row r="17" spans="1:15">
      <c r="A17" s="75" t="s">
        <v>10</v>
      </c>
      <c r="B17" s="83" t="s">
        <v>32</v>
      </c>
      <c r="C17" s="75" t="s">
        <v>33</v>
      </c>
      <c r="D17" s="46" t="s">
        <v>13</v>
      </c>
      <c r="E17" s="46" t="s">
        <v>34</v>
      </c>
      <c r="F17" s="46"/>
      <c r="G17" s="80">
        <v>8000</v>
      </c>
      <c r="H17" s="80">
        <v>669.9</v>
      </c>
      <c r="I17" s="80">
        <f t="shared" si="0"/>
        <v>7330.1</v>
      </c>
      <c r="J17" s="50">
        <f>G17/VLOOKUP(A17,RESUME!$G$3:$I$10,3,FALSE)</f>
        <v>0.11782421099017111</v>
      </c>
      <c r="K17" s="50">
        <f t="shared" si="1"/>
        <v>1.4070662605185387</v>
      </c>
      <c r="L17" s="49" t="str">
        <f>_xlfn.IFNA(VLOOKUP(A17&amp;"-"&amp;B17&amp;"-"&amp;D17,Ref_Account!$A:$F,6,FALSE),"ACCOUNT TIDAK DITEMUKAN")</f>
        <v>1201.720100</v>
      </c>
      <c r="M17" s="49"/>
      <c r="N17" s="46">
        <f t="shared" si="2"/>
        <v>1</v>
      </c>
      <c r="O17" s="46" t="str">
        <f t="shared" si="3"/>
        <v>OK</v>
      </c>
    </row>
    <row r="18" spans="1:15">
      <c r="A18" s="74" t="s">
        <v>10</v>
      </c>
      <c r="B18" s="82" t="s">
        <v>32</v>
      </c>
      <c r="C18" s="74" t="s">
        <v>33</v>
      </c>
      <c r="D18" s="45" t="s">
        <v>24</v>
      </c>
      <c r="E18" s="45" t="s">
        <v>34</v>
      </c>
      <c r="F18" s="45"/>
      <c r="G18" s="79">
        <v>1000</v>
      </c>
      <c r="H18" s="79">
        <v>2590.0100000000002</v>
      </c>
      <c r="I18" s="79">
        <f t="shared" si="0"/>
        <v>-1590.0100000000002</v>
      </c>
      <c r="J18" s="48">
        <f>G18/VLOOKUP(A18,RESUME!$G$3:$I$10,3,FALSE)</f>
        <v>1.4728026373771389E-2</v>
      </c>
      <c r="K18" s="48">
        <f t="shared" si="1"/>
        <v>5.6864747139089757E-3</v>
      </c>
      <c r="L18" s="47" t="str">
        <f>_xlfn.IFNA(VLOOKUP(A18&amp;"-"&amp;B18&amp;"-"&amp;D18,Ref_Account!$A:$F,6,FALSE),"ACCOUNT TIDAK DITEMUKAN")</f>
        <v>1205.720100</v>
      </c>
      <c r="M18" s="47"/>
      <c r="N18" s="45">
        <f t="shared" si="2"/>
        <v>1</v>
      </c>
      <c r="O18" s="45" t="str">
        <f t="shared" si="3"/>
        <v>OVER</v>
      </c>
    </row>
    <row r="19" spans="1:15">
      <c r="A19" s="75" t="s">
        <v>10</v>
      </c>
      <c r="B19" s="83" t="s">
        <v>32</v>
      </c>
      <c r="C19" s="75" t="s">
        <v>33</v>
      </c>
      <c r="D19" s="46" t="s">
        <v>15</v>
      </c>
      <c r="E19" s="46" t="s">
        <v>34</v>
      </c>
      <c r="F19" s="46"/>
      <c r="G19" s="80">
        <v>1000</v>
      </c>
      <c r="H19" s="80"/>
      <c r="I19" s="80">
        <f t="shared" si="0"/>
        <v>1000</v>
      </c>
      <c r="J19" s="50">
        <f>G19/VLOOKUP(A19,RESUME!$G$3:$I$10,3,FALSE)</f>
        <v>1.4728026373771389E-2</v>
      </c>
      <c r="K19" s="50" t="str">
        <f t="shared" si="1"/>
        <v/>
      </c>
      <c r="L19" s="49" t="str">
        <f>_xlfn.IFNA(VLOOKUP(A19&amp;"-"&amp;B19&amp;"-"&amp;D19,Ref_Account!$A:$F,6,FALSE),"ACCOUNT TIDAK DITEMUKAN")</f>
        <v>1204.720100</v>
      </c>
      <c r="M19" s="49"/>
      <c r="N19" s="46">
        <f t="shared" si="2"/>
        <v>1</v>
      </c>
      <c r="O19" s="46" t="str">
        <f t="shared" si="3"/>
        <v>OK</v>
      </c>
    </row>
    <row r="20" spans="1:15">
      <c r="A20" s="74" t="s">
        <v>36</v>
      </c>
      <c r="B20" s="82" t="s">
        <v>37</v>
      </c>
      <c r="C20" s="74" t="s">
        <v>38</v>
      </c>
      <c r="D20" s="45" t="s">
        <v>13</v>
      </c>
      <c r="E20" s="45" t="s">
        <v>39</v>
      </c>
      <c r="F20" s="45"/>
      <c r="G20" s="79">
        <v>151561</v>
      </c>
      <c r="H20" s="79">
        <v>199.33</v>
      </c>
      <c r="I20" s="79">
        <f t="shared" si="0"/>
        <v>151361.67000000001</v>
      </c>
      <c r="J20" s="48">
        <f>G20/VLOOKUP(A20,RESUME!$G$3:$I$10,3,FALSE)</f>
        <v>0.65619333139484248</v>
      </c>
      <c r="K20" s="48">
        <f t="shared" si="1"/>
        <v>498.93802989782631</v>
      </c>
      <c r="L20" s="47" t="str">
        <f>_xlfn.IFNA(VLOOKUP(A20&amp;"-"&amp;B20&amp;"-"&amp;D20,Ref_Account!$A:$F,6,FALSE),"ACCOUNT TIDAK DITEMUKAN")</f>
        <v>1201.630600</v>
      </c>
      <c r="M20" s="47"/>
      <c r="N20" s="45">
        <f t="shared" si="2"/>
        <v>2</v>
      </c>
      <c r="O20" s="45" t="str">
        <f t="shared" si="3"/>
        <v>OK</v>
      </c>
    </row>
    <row r="21" spans="1:15">
      <c r="A21" s="75" t="s">
        <v>36</v>
      </c>
      <c r="B21" s="83" t="s">
        <v>37</v>
      </c>
      <c r="C21" s="75" t="s">
        <v>38</v>
      </c>
      <c r="D21" s="46" t="s">
        <v>24</v>
      </c>
      <c r="E21" s="46" t="s">
        <v>39</v>
      </c>
      <c r="F21" s="46"/>
      <c r="G21" s="80">
        <v>26883.15</v>
      </c>
      <c r="H21" s="80"/>
      <c r="I21" s="80">
        <f t="shared" si="0"/>
        <v>26883.15</v>
      </c>
      <c r="J21" s="50">
        <f>G21/VLOOKUP(A21,RESUME!$G$3:$I$10,3,FALSE)</f>
        <v>0.11639236846475848</v>
      </c>
      <c r="K21" s="50" t="str">
        <f t="shared" si="1"/>
        <v/>
      </c>
      <c r="L21" s="49" t="str">
        <f>_xlfn.IFNA(VLOOKUP(A21&amp;"-"&amp;B21&amp;"-"&amp;D21,Ref_Account!$A:$F,6,FALSE),"ACCOUNT TIDAK DITEMUKAN")</f>
        <v>1205.630600</v>
      </c>
      <c r="M21" s="49"/>
      <c r="N21" s="46">
        <f t="shared" si="2"/>
        <v>2</v>
      </c>
      <c r="O21" s="46" t="str">
        <f t="shared" si="3"/>
        <v>OK</v>
      </c>
    </row>
    <row r="22" spans="1:15">
      <c r="A22" s="74" t="s">
        <v>36</v>
      </c>
      <c r="B22" s="82" t="s">
        <v>37</v>
      </c>
      <c r="C22" s="74" t="s">
        <v>38</v>
      </c>
      <c r="D22" s="45" t="s">
        <v>15</v>
      </c>
      <c r="E22" s="45" t="s">
        <v>40</v>
      </c>
      <c r="F22" s="45"/>
      <c r="G22" s="79">
        <v>32525.89</v>
      </c>
      <c r="H22" s="79"/>
      <c r="I22" s="79">
        <f t="shared" si="0"/>
        <v>32525.89</v>
      </c>
      <c r="J22" s="48">
        <f>G22/VLOOKUP(A22,RESUME!$G$3:$I$10,3,FALSE)</f>
        <v>0.14082298292886819</v>
      </c>
      <c r="K22" s="48" t="str">
        <f t="shared" si="1"/>
        <v/>
      </c>
      <c r="L22" s="47" t="str">
        <f>_xlfn.IFNA(VLOOKUP(A22&amp;"-"&amp;B22&amp;"-"&amp;D22,Ref_Account!$A:$F,6,FALSE),"ACCOUNT TIDAK DITEMUKAN")</f>
        <v>1204.630600</v>
      </c>
      <c r="M22" s="47"/>
      <c r="N22" s="45">
        <f t="shared" si="2"/>
        <v>2</v>
      </c>
      <c r="O22" s="45" t="str">
        <f t="shared" si="3"/>
        <v>OK</v>
      </c>
    </row>
    <row r="23" spans="1:15">
      <c r="A23" s="75" t="s">
        <v>36</v>
      </c>
      <c r="B23" s="83" t="s">
        <v>37</v>
      </c>
      <c r="C23" s="75" t="s">
        <v>41</v>
      </c>
      <c r="D23" s="46" t="s">
        <v>13</v>
      </c>
      <c r="E23" s="46" t="s">
        <v>42</v>
      </c>
      <c r="F23" s="46"/>
      <c r="G23" s="80">
        <v>5000</v>
      </c>
      <c r="H23" s="80">
        <v>470.59999999999991</v>
      </c>
      <c r="I23" s="80">
        <f t="shared" si="0"/>
        <v>4529.3999999999996</v>
      </c>
      <c r="J23" s="50">
        <f>G23/VLOOKUP(A23,RESUME!$G$3:$I$10,3,FALSE)</f>
        <v>2.1647829302882747E-2</v>
      </c>
      <c r="K23" s="50">
        <f t="shared" si="1"/>
        <v>0.23000243628222219</v>
      </c>
      <c r="L23" s="49" t="str">
        <f>_xlfn.IFNA(VLOOKUP(A23&amp;"-"&amp;B23&amp;"-"&amp;D23,Ref_Account!$A:$F,6,FALSE),"ACCOUNT TIDAK DITEMUKAN")</f>
        <v>1201.630600</v>
      </c>
      <c r="M23" s="49"/>
      <c r="N23" s="46">
        <f t="shared" si="2"/>
        <v>2</v>
      </c>
      <c r="O23" s="46" t="str">
        <f t="shared" si="3"/>
        <v>OK</v>
      </c>
    </row>
    <row r="24" spans="1:15">
      <c r="A24" s="74" t="s">
        <v>36</v>
      </c>
      <c r="B24" s="82" t="s">
        <v>37</v>
      </c>
      <c r="C24" s="74" t="s">
        <v>38</v>
      </c>
      <c r="D24" s="45" t="s">
        <v>24</v>
      </c>
      <c r="E24" s="45" t="s">
        <v>43</v>
      </c>
      <c r="F24" s="45"/>
      <c r="G24" s="79">
        <v>7500</v>
      </c>
      <c r="H24" s="79"/>
      <c r="I24" s="79">
        <f t="shared" si="0"/>
        <v>7500</v>
      </c>
      <c r="J24" s="48">
        <f>G24/VLOOKUP(A24,RESUME!$G$3:$I$10,3,FALSE)</f>
        <v>3.2471743954324124E-2</v>
      </c>
      <c r="K24" s="48" t="str">
        <f t="shared" si="1"/>
        <v/>
      </c>
      <c r="L24" s="47" t="str">
        <f>_xlfn.IFNA(VLOOKUP(A24&amp;"-"&amp;B24&amp;"-"&amp;D24,Ref_Account!$A:$F,6,FALSE),"ACCOUNT TIDAK DITEMUKAN")</f>
        <v>1205.630600</v>
      </c>
      <c r="M24" s="47"/>
      <c r="N24" s="45">
        <f t="shared" si="2"/>
        <v>2</v>
      </c>
      <c r="O24" s="45" t="str">
        <f t="shared" si="3"/>
        <v>OK</v>
      </c>
    </row>
    <row r="25" spans="1:15">
      <c r="A25" s="75" t="s">
        <v>36</v>
      </c>
      <c r="B25" s="83" t="s">
        <v>37</v>
      </c>
      <c r="C25" s="75" t="s">
        <v>38</v>
      </c>
      <c r="D25" s="46" t="s">
        <v>15</v>
      </c>
      <c r="E25" s="46" t="s">
        <v>42</v>
      </c>
      <c r="F25" s="46"/>
      <c r="G25" s="80">
        <v>7500</v>
      </c>
      <c r="H25" s="80"/>
      <c r="I25" s="80">
        <f t="shared" si="0"/>
        <v>7500</v>
      </c>
      <c r="J25" s="50">
        <f>G25/VLOOKUP(A25,RESUME!$G$3:$I$10,3,FALSE)</f>
        <v>3.2471743954324124E-2</v>
      </c>
      <c r="K25" s="50" t="str">
        <f t="shared" si="1"/>
        <v/>
      </c>
      <c r="L25" s="49" t="str">
        <f>_xlfn.IFNA(VLOOKUP(A25&amp;"-"&amp;B25&amp;"-"&amp;D25,Ref_Account!$A:$F,6,FALSE),"ACCOUNT TIDAK DITEMUKAN")</f>
        <v>1204.630600</v>
      </c>
      <c r="M25" s="49"/>
      <c r="N25" s="46">
        <f t="shared" si="2"/>
        <v>2</v>
      </c>
      <c r="O25" s="46" t="str">
        <f t="shared" si="3"/>
        <v>OK</v>
      </c>
    </row>
    <row r="26" spans="1:15">
      <c r="A26" s="74" t="s">
        <v>44</v>
      </c>
      <c r="B26" s="82" t="s">
        <v>45</v>
      </c>
      <c r="C26" s="74" t="s">
        <v>46</v>
      </c>
      <c r="D26" s="45" t="s">
        <v>13</v>
      </c>
      <c r="E26" s="45" t="s">
        <v>47</v>
      </c>
      <c r="F26" s="45" t="s">
        <v>48</v>
      </c>
      <c r="G26" s="79">
        <v>450</v>
      </c>
      <c r="H26" s="79"/>
      <c r="I26" s="79">
        <f t="shared" si="0"/>
        <v>450</v>
      </c>
      <c r="J26" s="48">
        <f>G26/VLOOKUP(A26,RESUME!$G$3:$I$10,3,FALSE)</f>
        <v>5.2941176470588235E-2</v>
      </c>
      <c r="K26" s="48" t="str">
        <f t="shared" si="1"/>
        <v/>
      </c>
      <c r="L26" s="47" t="str">
        <f>_xlfn.IFNA(VLOOKUP(A26&amp;"-"&amp;B26&amp;"-"&amp;D26,Ref_Account!$A:$F,6,FALSE),"ACCOUNT TIDAK DITEMUKAN")</f>
        <v>1201.730300</v>
      </c>
      <c r="M26" s="47"/>
      <c r="N26" s="45">
        <f t="shared" si="2"/>
        <v>5</v>
      </c>
      <c r="O26" s="45" t="str">
        <f t="shared" si="3"/>
        <v>OK</v>
      </c>
    </row>
    <row r="27" spans="1:15">
      <c r="A27" s="75" t="s">
        <v>44</v>
      </c>
      <c r="B27" s="83" t="s">
        <v>45</v>
      </c>
      <c r="C27" s="75" t="s">
        <v>46</v>
      </c>
      <c r="D27" s="46" t="s">
        <v>13</v>
      </c>
      <c r="E27" s="46" t="s">
        <v>49</v>
      </c>
      <c r="F27" s="46" t="s">
        <v>50</v>
      </c>
      <c r="G27" s="80">
        <v>450</v>
      </c>
      <c r="H27" s="80"/>
      <c r="I27" s="80">
        <f t="shared" si="0"/>
        <v>450</v>
      </c>
      <c r="J27" s="50">
        <f>G27/VLOOKUP(A27,RESUME!$G$3:$I$10,3,FALSE)</f>
        <v>5.2941176470588235E-2</v>
      </c>
      <c r="K27" s="50" t="str">
        <f t="shared" si="1"/>
        <v/>
      </c>
      <c r="L27" s="49" t="str">
        <f>_xlfn.IFNA(VLOOKUP(A27&amp;"-"&amp;B27&amp;"-"&amp;D27,Ref_Account!$A:$F,6,FALSE),"ACCOUNT TIDAK DITEMUKAN")</f>
        <v>1201.730300</v>
      </c>
      <c r="M27" s="49"/>
      <c r="N27" s="46">
        <f t="shared" si="2"/>
        <v>5</v>
      </c>
      <c r="O27" s="46" t="str">
        <f t="shared" si="3"/>
        <v>OK</v>
      </c>
    </row>
    <row r="28" spans="1:15">
      <c r="A28" s="74" t="s">
        <v>44</v>
      </c>
      <c r="B28" s="82" t="s">
        <v>45</v>
      </c>
      <c r="C28" s="74" t="s">
        <v>46</v>
      </c>
      <c r="D28" s="45" t="s">
        <v>13</v>
      </c>
      <c r="E28" s="45" t="s">
        <v>51</v>
      </c>
      <c r="F28" s="45" t="s">
        <v>52</v>
      </c>
      <c r="G28" s="79">
        <v>450</v>
      </c>
      <c r="H28" s="79"/>
      <c r="I28" s="79">
        <f t="shared" si="0"/>
        <v>450</v>
      </c>
      <c r="J28" s="48">
        <f>G28/VLOOKUP(A28,RESUME!$G$3:$I$10,3,FALSE)</f>
        <v>5.2941176470588235E-2</v>
      </c>
      <c r="K28" s="48" t="str">
        <f t="shared" si="1"/>
        <v/>
      </c>
      <c r="L28" s="47" t="str">
        <f>_xlfn.IFNA(VLOOKUP(A28&amp;"-"&amp;B28&amp;"-"&amp;D28,Ref_Account!$A:$F,6,FALSE),"ACCOUNT TIDAK DITEMUKAN")</f>
        <v>1201.730300</v>
      </c>
      <c r="M28" s="47"/>
      <c r="N28" s="45">
        <f t="shared" si="2"/>
        <v>5</v>
      </c>
      <c r="O28" s="45" t="str">
        <f t="shared" si="3"/>
        <v>OK</v>
      </c>
    </row>
    <row r="29" spans="1:15">
      <c r="A29" s="75" t="s">
        <v>44</v>
      </c>
      <c r="B29" s="83" t="s">
        <v>45</v>
      </c>
      <c r="C29" s="75" t="s">
        <v>46</v>
      </c>
      <c r="D29" s="46" t="s">
        <v>13</v>
      </c>
      <c r="E29" s="46" t="s">
        <v>53</v>
      </c>
      <c r="F29" s="46" t="s">
        <v>54</v>
      </c>
      <c r="G29" s="80">
        <v>450</v>
      </c>
      <c r="H29" s="80"/>
      <c r="I29" s="80">
        <f t="shared" si="0"/>
        <v>450</v>
      </c>
      <c r="J29" s="50">
        <f>G29/VLOOKUP(A29,RESUME!$G$3:$I$10,3,FALSE)</f>
        <v>5.2941176470588235E-2</v>
      </c>
      <c r="K29" s="50" t="str">
        <f t="shared" si="1"/>
        <v/>
      </c>
      <c r="L29" s="49" t="str">
        <f>_xlfn.IFNA(VLOOKUP(A29&amp;"-"&amp;B29&amp;"-"&amp;D29,Ref_Account!$A:$F,6,FALSE),"ACCOUNT TIDAK DITEMUKAN")</f>
        <v>1201.730300</v>
      </c>
      <c r="M29" s="49"/>
      <c r="N29" s="46">
        <f t="shared" si="2"/>
        <v>5</v>
      </c>
      <c r="O29" s="46" t="str">
        <f t="shared" si="3"/>
        <v>OK</v>
      </c>
    </row>
    <row r="30" spans="1:15">
      <c r="A30" s="74" t="s">
        <v>44</v>
      </c>
      <c r="B30" s="82" t="s">
        <v>55</v>
      </c>
      <c r="C30" s="74" t="s">
        <v>56</v>
      </c>
      <c r="D30" s="45" t="s">
        <v>13</v>
      </c>
      <c r="E30" s="45" t="s">
        <v>53</v>
      </c>
      <c r="F30" s="45" t="s">
        <v>57</v>
      </c>
      <c r="G30" s="79">
        <v>6300</v>
      </c>
      <c r="H30" s="79"/>
      <c r="I30" s="79">
        <f t="shared" si="0"/>
        <v>6300</v>
      </c>
      <c r="J30" s="48">
        <f>G30/VLOOKUP(A30,RESUME!$G$3:$I$10,3,FALSE)</f>
        <v>0.74117647058823533</v>
      </c>
      <c r="K30" s="48" t="str">
        <f t="shared" si="1"/>
        <v/>
      </c>
      <c r="L30" s="47" t="str">
        <f>_xlfn.IFNA(VLOOKUP(A30&amp;"-"&amp;B30&amp;"-"&amp;D30,Ref_Account!$A:$F,6,FALSE),"ACCOUNT TIDAK DITEMUKAN")</f>
        <v>1201.730200</v>
      </c>
      <c r="M30" s="47"/>
      <c r="N30" s="45">
        <f t="shared" si="2"/>
        <v>2</v>
      </c>
      <c r="O30" s="45" t="str">
        <f t="shared" si="3"/>
        <v>OK</v>
      </c>
    </row>
    <row r="31" spans="1:15">
      <c r="A31" s="75" t="s">
        <v>44</v>
      </c>
      <c r="B31" s="83" t="s">
        <v>58</v>
      </c>
      <c r="C31" s="75" t="s">
        <v>59</v>
      </c>
      <c r="D31" s="46" t="s">
        <v>13</v>
      </c>
      <c r="E31" s="46" t="s">
        <v>47</v>
      </c>
      <c r="F31" s="46" t="s">
        <v>48</v>
      </c>
      <c r="G31" s="80">
        <v>100</v>
      </c>
      <c r="H31" s="80"/>
      <c r="I31" s="80">
        <f t="shared" si="0"/>
        <v>100</v>
      </c>
      <c r="J31" s="50">
        <f>G31/VLOOKUP(A31,RESUME!$G$3:$I$10,3,FALSE)</f>
        <v>1.1764705882352941E-2</v>
      </c>
      <c r="K31" s="50" t="str">
        <f t="shared" si="1"/>
        <v/>
      </c>
      <c r="L31" s="49" t="str">
        <f>_xlfn.IFNA(VLOOKUP(A31&amp;"-"&amp;B31&amp;"-"&amp;D31,Ref_Account!$A:$F,6,FALSE),"ACCOUNT TIDAK DITEMUKAN")</f>
        <v>1201.710200</v>
      </c>
      <c r="M31" s="49"/>
      <c r="N31" s="46">
        <f t="shared" si="2"/>
        <v>6</v>
      </c>
      <c r="O31" s="46" t="str">
        <f t="shared" si="3"/>
        <v>OK</v>
      </c>
    </row>
    <row r="32" spans="1:15">
      <c r="A32" s="74" t="s">
        <v>44</v>
      </c>
      <c r="B32" s="82" t="s">
        <v>58</v>
      </c>
      <c r="C32" s="74" t="s">
        <v>59</v>
      </c>
      <c r="D32" s="45" t="s">
        <v>13</v>
      </c>
      <c r="E32" s="45" t="s">
        <v>49</v>
      </c>
      <c r="F32" s="45" t="s">
        <v>50</v>
      </c>
      <c r="G32" s="79">
        <v>100</v>
      </c>
      <c r="H32" s="79"/>
      <c r="I32" s="79">
        <f t="shared" si="0"/>
        <v>100</v>
      </c>
      <c r="J32" s="48">
        <f>G32/VLOOKUP(A32,RESUME!$G$3:$I$10,3,FALSE)</f>
        <v>1.1764705882352941E-2</v>
      </c>
      <c r="K32" s="48" t="str">
        <f t="shared" si="1"/>
        <v/>
      </c>
      <c r="L32" s="47" t="str">
        <f>_xlfn.IFNA(VLOOKUP(A32&amp;"-"&amp;B32&amp;"-"&amp;D32,Ref_Account!$A:$F,6,FALSE),"ACCOUNT TIDAK DITEMUKAN")</f>
        <v>1201.710200</v>
      </c>
      <c r="M32" s="47"/>
      <c r="N32" s="45">
        <f t="shared" si="2"/>
        <v>6</v>
      </c>
      <c r="O32" s="45" t="str">
        <f t="shared" si="3"/>
        <v>OK</v>
      </c>
    </row>
    <row r="33" spans="1:15">
      <c r="A33" s="75" t="s">
        <v>44</v>
      </c>
      <c r="B33" s="83" t="s">
        <v>58</v>
      </c>
      <c r="C33" s="75" t="s">
        <v>59</v>
      </c>
      <c r="D33" s="46" t="s">
        <v>13</v>
      </c>
      <c r="E33" s="46" t="s">
        <v>51</v>
      </c>
      <c r="F33" s="46" t="s">
        <v>52</v>
      </c>
      <c r="G33" s="80">
        <v>100</v>
      </c>
      <c r="H33" s="80"/>
      <c r="I33" s="80">
        <f t="shared" si="0"/>
        <v>100</v>
      </c>
      <c r="J33" s="50">
        <f>G33/VLOOKUP(A33,RESUME!$G$3:$I$10,3,FALSE)</f>
        <v>1.1764705882352941E-2</v>
      </c>
      <c r="K33" s="50" t="str">
        <f t="shared" si="1"/>
        <v/>
      </c>
      <c r="L33" s="49" t="str">
        <f>_xlfn.IFNA(VLOOKUP(A33&amp;"-"&amp;B33&amp;"-"&amp;D33,Ref_Account!$A:$F,6,FALSE),"ACCOUNT TIDAK DITEMUKAN")</f>
        <v>1201.710200</v>
      </c>
      <c r="M33" s="49"/>
      <c r="N33" s="46">
        <f t="shared" si="2"/>
        <v>6</v>
      </c>
      <c r="O33" s="46" t="str">
        <f t="shared" si="3"/>
        <v>OK</v>
      </c>
    </row>
    <row r="34" spans="1:15">
      <c r="A34" s="74" t="s">
        <v>44</v>
      </c>
      <c r="B34" s="82" t="s">
        <v>58</v>
      </c>
      <c r="C34" s="74" t="s">
        <v>59</v>
      </c>
      <c r="D34" s="45" t="s">
        <v>13</v>
      </c>
      <c r="E34" s="45" t="s">
        <v>53</v>
      </c>
      <c r="F34" s="45" t="s">
        <v>54</v>
      </c>
      <c r="G34" s="79">
        <v>100</v>
      </c>
      <c r="H34" s="79"/>
      <c r="I34" s="79">
        <f t="shared" si="0"/>
        <v>100</v>
      </c>
      <c r="J34" s="48">
        <f>G34/VLOOKUP(A34,RESUME!$G$3:$I$10,3,FALSE)</f>
        <v>1.1764705882352941E-2</v>
      </c>
      <c r="K34" s="48" t="str">
        <f t="shared" si="1"/>
        <v/>
      </c>
      <c r="L34" s="47" t="str">
        <f>_xlfn.IFNA(VLOOKUP(A34&amp;"-"&amp;B34&amp;"-"&amp;D34,Ref_Account!$A:$F,6,FALSE),"ACCOUNT TIDAK DITEMUKAN")</f>
        <v>1201.710200</v>
      </c>
      <c r="M34" s="47"/>
      <c r="N34" s="45">
        <f t="shared" si="2"/>
        <v>6</v>
      </c>
      <c r="O34" s="45" t="str">
        <f t="shared" si="3"/>
        <v>OK</v>
      </c>
    </row>
    <row r="35" spans="1:15">
      <c r="A35" s="75" t="s">
        <v>313</v>
      </c>
      <c r="B35" s="83" t="s">
        <v>45</v>
      </c>
      <c r="C35" s="75" t="s">
        <v>46</v>
      </c>
      <c r="D35" s="46" t="s">
        <v>13</v>
      </c>
      <c r="E35" s="46" t="s">
        <v>60</v>
      </c>
      <c r="F35" s="46" t="s">
        <v>61</v>
      </c>
      <c r="G35" s="80">
        <v>200</v>
      </c>
      <c r="H35" s="80"/>
      <c r="I35" s="80">
        <f t="shared" si="0"/>
        <v>200</v>
      </c>
      <c r="J35" s="50">
        <f>G35/VLOOKUP(A35,RESUME!$G$3:$I$10,3,FALSE)</f>
        <v>0.2</v>
      </c>
      <c r="K35" s="50" t="str">
        <f t="shared" si="1"/>
        <v/>
      </c>
      <c r="L35" s="49" t="str">
        <f>_xlfn.IFNA(VLOOKUP(A35&amp;"-"&amp;B35&amp;"-"&amp;D35,Ref_Account!$A:$F,6,FALSE),"ACCOUNT TIDAK DITEMUKAN")</f>
        <v>1201.730300</v>
      </c>
      <c r="M35" s="49"/>
      <c r="N35" s="46">
        <f t="shared" si="2"/>
        <v>5</v>
      </c>
      <c r="O35" s="46" t="str">
        <f t="shared" si="3"/>
        <v>OK</v>
      </c>
    </row>
    <row r="36" spans="1:15">
      <c r="A36" s="74" t="s">
        <v>313</v>
      </c>
      <c r="B36" s="82" t="s">
        <v>55</v>
      </c>
      <c r="C36" s="74" t="s">
        <v>56</v>
      </c>
      <c r="D36" s="45" t="s">
        <v>13</v>
      </c>
      <c r="E36" s="45" t="s">
        <v>62</v>
      </c>
      <c r="F36" s="45" t="s">
        <v>63</v>
      </c>
      <c r="G36" s="79">
        <v>700</v>
      </c>
      <c r="H36" s="79"/>
      <c r="I36" s="79">
        <f t="shared" si="0"/>
        <v>700</v>
      </c>
      <c r="J36" s="48">
        <f>G36/VLOOKUP(A36,RESUME!$G$3:$I$10,3,FALSE)</f>
        <v>0.7</v>
      </c>
      <c r="K36" s="48" t="str">
        <f t="shared" si="1"/>
        <v/>
      </c>
      <c r="L36" s="47" t="str">
        <f>_xlfn.IFNA(VLOOKUP(A36&amp;"-"&amp;B36&amp;"-"&amp;D36,Ref_Account!$A:$F,6,FALSE),"ACCOUNT TIDAK DITEMUKAN")</f>
        <v>1201.730200</v>
      </c>
      <c r="M36" s="47"/>
      <c r="N36" s="45">
        <f t="shared" si="2"/>
        <v>2</v>
      </c>
      <c r="O36" s="45" t="str">
        <f t="shared" si="3"/>
        <v>OK</v>
      </c>
    </row>
    <row r="37" spans="1:15">
      <c r="A37" s="75" t="s">
        <v>313</v>
      </c>
      <c r="B37" s="83" t="s">
        <v>58</v>
      </c>
      <c r="C37" s="75" t="s">
        <v>59</v>
      </c>
      <c r="D37" s="46" t="s">
        <v>13</v>
      </c>
      <c r="E37" s="46" t="s">
        <v>62</v>
      </c>
      <c r="F37" s="46" t="s">
        <v>61</v>
      </c>
      <c r="G37" s="80">
        <v>50</v>
      </c>
      <c r="H37" s="80"/>
      <c r="I37" s="80">
        <f t="shared" si="0"/>
        <v>50</v>
      </c>
      <c r="J37" s="50">
        <f>G37/VLOOKUP(A37,RESUME!$G$3:$I$10,3,FALSE)</f>
        <v>0.05</v>
      </c>
      <c r="K37" s="50" t="str">
        <f t="shared" si="1"/>
        <v/>
      </c>
      <c r="L37" s="49" t="str">
        <f>_xlfn.IFNA(VLOOKUP(A37&amp;"-"&amp;B37&amp;"-"&amp;D37,Ref_Account!$A:$F,6,FALSE),"ACCOUNT TIDAK DITEMUKAN")</f>
        <v>1201.710200</v>
      </c>
      <c r="M37" s="49"/>
      <c r="N37" s="46">
        <f t="shared" si="2"/>
        <v>6</v>
      </c>
      <c r="O37" s="46" t="str">
        <f t="shared" si="3"/>
        <v>OK</v>
      </c>
    </row>
    <row r="38" spans="1:15">
      <c r="A38" s="74" t="s">
        <v>313</v>
      </c>
      <c r="B38" s="82" t="s">
        <v>58</v>
      </c>
      <c r="C38" s="74" t="s">
        <v>59</v>
      </c>
      <c r="D38" s="45" t="s">
        <v>13</v>
      </c>
      <c r="E38" s="45" t="s">
        <v>64</v>
      </c>
      <c r="F38" s="45" t="s">
        <v>65</v>
      </c>
      <c r="G38" s="79">
        <v>50</v>
      </c>
      <c r="H38" s="79"/>
      <c r="I38" s="79">
        <f t="shared" ref="I38:I69" si="4">G38-H38</f>
        <v>50</v>
      </c>
      <c r="J38" s="48">
        <f>G38/VLOOKUP(A38,RESUME!$G$3:$I$10,3,FALSE)</f>
        <v>0.05</v>
      </c>
      <c r="K38" s="48" t="str">
        <f t="shared" ref="K38:K69" si="5">IFERROR((G38/H38)*J38,"")</f>
        <v/>
      </c>
      <c r="L38" s="47" t="str">
        <f>_xlfn.IFNA(VLOOKUP(A38&amp;"-"&amp;B38&amp;"-"&amp;D38,Ref_Account!$A:$F,6,FALSE),"ACCOUNT TIDAK DITEMUKAN")</f>
        <v>1201.710200</v>
      </c>
      <c r="M38" s="47"/>
      <c r="N38" s="45">
        <f t="shared" ref="N38:N69" si="6">IF(L38="ACCOUNT TIDAK DITEMUKAN","9999",COUNTIF($L$6:$L$164,L38))</f>
        <v>6</v>
      </c>
      <c r="O38" s="45" t="str">
        <f t="shared" ref="O38:O69" si="7">IF(I38&gt;0,"OK","OVER")</f>
        <v>OK</v>
      </c>
    </row>
    <row r="39" spans="1:15">
      <c r="A39" s="75" t="s">
        <v>66</v>
      </c>
      <c r="B39" s="83" t="s">
        <v>67</v>
      </c>
      <c r="C39" s="75" t="s">
        <v>68</v>
      </c>
      <c r="D39" s="46" t="s">
        <v>13</v>
      </c>
      <c r="E39" s="46" t="s">
        <v>19</v>
      </c>
      <c r="F39" s="46"/>
      <c r="G39" s="80"/>
      <c r="H39" s="80"/>
      <c r="I39" s="80">
        <f t="shared" si="4"/>
        <v>0</v>
      </c>
      <c r="J39" s="50">
        <f>G39/VLOOKUP(A39,RESUME!$G$3:$I$10,3,FALSE)</f>
        <v>0</v>
      </c>
      <c r="K39" s="50" t="str">
        <f t="shared" si="5"/>
        <v/>
      </c>
      <c r="L39" s="49" t="str">
        <f>_xlfn.IFNA(VLOOKUP(A39&amp;"-"&amp;B39&amp;"-"&amp;D39,Ref_Account!$A:$F,6,FALSE),"ACCOUNT TIDAK DITEMUKAN")</f>
        <v>1201.720500</v>
      </c>
      <c r="M39" s="49"/>
      <c r="N39" s="46">
        <f t="shared" si="6"/>
        <v>1</v>
      </c>
      <c r="O39" s="46" t="str">
        <f t="shared" si="7"/>
        <v>OVER</v>
      </c>
    </row>
    <row r="40" spans="1:15">
      <c r="A40" s="74" t="s">
        <v>66</v>
      </c>
      <c r="B40" s="82" t="s">
        <v>69</v>
      </c>
      <c r="C40" s="74" t="s">
        <v>70</v>
      </c>
      <c r="D40" s="45" t="s">
        <v>13</v>
      </c>
      <c r="E40" s="45" t="s">
        <v>71</v>
      </c>
      <c r="F40" s="45"/>
      <c r="G40" s="79">
        <v>4917.96</v>
      </c>
      <c r="H40" s="79">
        <v>2288.77</v>
      </c>
      <c r="I40" s="79">
        <f t="shared" si="4"/>
        <v>2629.19</v>
      </c>
      <c r="J40" s="48">
        <f>G40/VLOOKUP(A40,RESUME!$G$3:$I$10,3,FALSE)</f>
        <v>5.6433869134324049E-2</v>
      </c>
      <c r="K40" s="48">
        <f t="shared" si="5"/>
        <v>0.12126142471626257</v>
      </c>
      <c r="L40" s="47" t="str">
        <f>_xlfn.IFNA(VLOOKUP(A40&amp;"-"&amp;B40&amp;"-"&amp;D40,Ref_Account!$A:$F,6,FALSE),"ACCOUNT TIDAK DITEMUKAN")</f>
        <v>1201.812100</v>
      </c>
      <c r="M40" s="47"/>
      <c r="N40" s="45">
        <f t="shared" si="6"/>
        <v>1</v>
      </c>
      <c r="O40" s="45" t="str">
        <f t="shared" si="7"/>
        <v>OK</v>
      </c>
    </row>
    <row r="41" spans="1:15">
      <c r="A41" s="75" t="s">
        <v>66</v>
      </c>
      <c r="B41" s="83" t="s">
        <v>72</v>
      </c>
      <c r="C41" s="75" t="s">
        <v>73</v>
      </c>
      <c r="D41" s="46" t="s">
        <v>13</v>
      </c>
      <c r="E41" s="46" t="s">
        <v>74</v>
      </c>
      <c r="F41" s="46"/>
      <c r="G41" s="80">
        <v>281</v>
      </c>
      <c r="H41" s="80"/>
      <c r="I41" s="80">
        <f t="shared" si="4"/>
        <v>281</v>
      </c>
      <c r="J41" s="50">
        <f>G41/VLOOKUP(A41,RESUME!$G$3:$I$10,3,FALSE)</f>
        <v>3.2244908919033619E-3</v>
      </c>
      <c r="K41" s="50" t="str">
        <f t="shared" si="5"/>
        <v/>
      </c>
      <c r="L41" s="49" t="str">
        <f>_xlfn.IFNA(VLOOKUP(A41&amp;"-"&amp;B41&amp;"-"&amp;D41,Ref_Account!$A:$F,6,FALSE),"ACCOUNT TIDAK DITEMUKAN")</f>
        <v>1201.807100</v>
      </c>
      <c r="M41" s="49"/>
      <c r="N41" s="46">
        <f t="shared" si="6"/>
        <v>1</v>
      </c>
      <c r="O41" s="46" t="str">
        <f t="shared" si="7"/>
        <v>OK</v>
      </c>
    </row>
    <row r="42" spans="1:15">
      <c r="A42" s="74" t="s">
        <v>66</v>
      </c>
      <c r="B42" s="82" t="s">
        <v>72</v>
      </c>
      <c r="C42" s="74" t="s">
        <v>73</v>
      </c>
      <c r="D42" s="45" t="s">
        <v>15</v>
      </c>
      <c r="E42" s="45" t="s">
        <v>74</v>
      </c>
      <c r="F42" s="45"/>
      <c r="G42" s="79">
        <v>64.58</v>
      </c>
      <c r="H42" s="79"/>
      <c r="I42" s="79">
        <f t="shared" si="4"/>
        <v>64.58</v>
      </c>
      <c r="J42" s="48">
        <f>G42/VLOOKUP(A42,RESUME!$G$3:$I$10,3,FALSE)</f>
        <v>7.4105915231003239E-4</v>
      </c>
      <c r="K42" s="48" t="str">
        <f t="shared" si="5"/>
        <v/>
      </c>
      <c r="L42" s="47" t="str">
        <f>_xlfn.IFNA(VLOOKUP(A42&amp;"-"&amp;B42&amp;"-"&amp;D42,Ref_Account!$A:$F,6,FALSE),"ACCOUNT TIDAK DITEMUKAN")</f>
        <v>1204.807100</v>
      </c>
      <c r="M42" s="47"/>
      <c r="N42" s="45">
        <f t="shared" si="6"/>
        <v>1</v>
      </c>
      <c r="O42" s="45" t="str">
        <f t="shared" si="7"/>
        <v>OK</v>
      </c>
    </row>
    <row r="43" spans="1:15">
      <c r="A43" s="75" t="s">
        <v>66</v>
      </c>
      <c r="B43" s="83" t="s">
        <v>75</v>
      </c>
      <c r="C43" s="75" t="s">
        <v>76</v>
      </c>
      <c r="D43" s="46" t="s">
        <v>13</v>
      </c>
      <c r="E43" s="46" t="s">
        <v>74</v>
      </c>
      <c r="F43" s="46"/>
      <c r="G43" s="80">
        <v>2027.63</v>
      </c>
      <c r="H43" s="80">
        <v>1863.9</v>
      </c>
      <c r="I43" s="80">
        <f t="shared" si="4"/>
        <v>163.73000000000002</v>
      </c>
      <c r="J43" s="50">
        <f>G43/VLOOKUP(A43,RESUME!$G$3:$I$10,3,FALSE)</f>
        <v>2.3267168922242044E-2</v>
      </c>
      <c r="K43" s="50">
        <f t="shared" si="5"/>
        <v>2.5311019755247403E-2</v>
      </c>
      <c r="L43" s="49" t="str">
        <f>_xlfn.IFNA(VLOOKUP(A43&amp;"-"&amp;B43&amp;"-"&amp;D43,Ref_Account!$A:$F,6,FALSE),"ACCOUNT TIDAK DITEMUKAN")</f>
        <v>1201.630400</v>
      </c>
      <c r="M43" s="49"/>
      <c r="N43" s="46">
        <f t="shared" si="6"/>
        <v>1</v>
      </c>
      <c r="O43" s="46" t="str">
        <f t="shared" si="7"/>
        <v>OK</v>
      </c>
    </row>
    <row r="44" spans="1:15">
      <c r="A44" s="74" t="s">
        <v>66</v>
      </c>
      <c r="B44" s="82" t="s">
        <v>77</v>
      </c>
      <c r="C44" s="74" t="s">
        <v>78</v>
      </c>
      <c r="D44" s="45" t="s">
        <v>13</v>
      </c>
      <c r="E44" s="45" t="s">
        <v>74</v>
      </c>
      <c r="F44" s="45"/>
      <c r="G44" s="79">
        <v>1453.67</v>
      </c>
      <c r="H44" s="79">
        <v>313.61</v>
      </c>
      <c r="I44" s="79">
        <f t="shared" si="4"/>
        <v>1140.06</v>
      </c>
      <c r="J44" s="48">
        <f>G44/VLOOKUP(A44,RESUME!$G$3:$I$10,3,FALSE)</f>
        <v>1.6680945462039718E-2</v>
      </c>
      <c r="K44" s="48">
        <f t="shared" si="5"/>
        <v>7.7320844328316304E-2</v>
      </c>
      <c r="L44" s="47" t="str">
        <f>_xlfn.IFNA(VLOOKUP(A44&amp;"-"&amp;B44&amp;"-"&amp;D44,Ref_Account!$A:$F,6,FALSE),"ACCOUNT TIDAK DITEMUKAN")</f>
        <v>1201.813100</v>
      </c>
      <c r="M44" s="47"/>
      <c r="N44" s="45">
        <f t="shared" si="6"/>
        <v>1</v>
      </c>
      <c r="O44" s="45" t="str">
        <f t="shared" si="7"/>
        <v>OK</v>
      </c>
    </row>
    <row r="45" spans="1:15">
      <c r="A45" s="75" t="s">
        <v>66</v>
      </c>
      <c r="B45" s="83" t="s">
        <v>79</v>
      </c>
      <c r="C45" s="75" t="s">
        <v>80</v>
      </c>
      <c r="D45" s="46" t="s">
        <v>13</v>
      </c>
      <c r="E45" s="46" t="s">
        <v>81</v>
      </c>
      <c r="F45" s="46"/>
      <c r="G45" s="80">
        <v>531</v>
      </c>
      <c r="H45" s="80">
        <v>76.62</v>
      </c>
      <c r="I45" s="80">
        <f t="shared" si="4"/>
        <v>454.38</v>
      </c>
      <c r="J45" s="50">
        <f>G45/VLOOKUP(A45,RESUME!$G$3:$I$10,3,FALSE)</f>
        <v>6.0932550306074208E-3</v>
      </c>
      <c r="K45" s="50">
        <f t="shared" si="5"/>
        <v>4.2228118262236235E-2</v>
      </c>
      <c r="L45" s="49" t="str">
        <f>_xlfn.IFNA(VLOOKUP(A45&amp;"-"&amp;B45&amp;"-"&amp;D45,Ref_Account!$A:$F,6,FALSE),"ACCOUNT TIDAK DITEMUKAN")</f>
        <v>1201.630300</v>
      </c>
      <c r="M45" s="49"/>
      <c r="N45" s="46">
        <f t="shared" si="6"/>
        <v>1</v>
      </c>
      <c r="O45" s="46" t="str">
        <f t="shared" si="7"/>
        <v>OK</v>
      </c>
    </row>
    <row r="46" spans="1:15">
      <c r="A46" s="74" t="s">
        <v>66</v>
      </c>
      <c r="B46" s="82" t="s">
        <v>153</v>
      </c>
      <c r="C46" s="74" t="s">
        <v>82</v>
      </c>
      <c r="D46" s="45" t="s">
        <v>13</v>
      </c>
      <c r="E46" s="45" t="s">
        <v>74</v>
      </c>
      <c r="F46" s="45"/>
      <c r="G46" s="79">
        <v>2429</v>
      </c>
      <c r="H46" s="79">
        <v>126.88</v>
      </c>
      <c r="I46" s="79">
        <f t="shared" si="4"/>
        <v>2302.12</v>
      </c>
      <c r="J46" s="48">
        <f>G46/VLOOKUP(A46,RESUME!$G$3:$I$10,3,FALSE)</f>
        <v>2.7872912371648635E-2</v>
      </c>
      <c r="K46" s="48">
        <f t="shared" si="5"/>
        <v>0.53360107306694937</v>
      </c>
      <c r="L46" s="47" t="str">
        <f>_xlfn.IFNA(VLOOKUP(A46&amp;"-"&amp;B46&amp;"-"&amp;D46,Ref_Account!$A:$F,6,FALSE),"ACCOUNT TIDAK DITEMUKAN")</f>
        <v>1201.630200</v>
      </c>
      <c r="M46" s="47"/>
      <c r="N46" s="45">
        <f t="shared" si="6"/>
        <v>2</v>
      </c>
      <c r="O46" s="45" t="str">
        <f t="shared" si="7"/>
        <v>OK</v>
      </c>
    </row>
    <row r="47" spans="1:15">
      <c r="A47" s="75" t="s">
        <v>66</v>
      </c>
      <c r="B47" s="83" t="s">
        <v>153</v>
      </c>
      <c r="C47" s="75" t="s">
        <v>83</v>
      </c>
      <c r="D47" s="46" t="s">
        <v>13</v>
      </c>
      <c r="E47" s="46" t="s">
        <v>74</v>
      </c>
      <c r="F47" s="46"/>
      <c r="G47" s="80">
        <v>200</v>
      </c>
      <c r="H47" s="80"/>
      <c r="I47" s="80">
        <f t="shared" si="4"/>
        <v>200</v>
      </c>
      <c r="J47" s="50">
        <f>G47/VLOOKUP(A47,RESUME!$G$3:$I$10,3,FALSE)</f>
        <v>2.2950113109632469E-3</v>
      </c>
      <c r="K47" s="50" t="str">
        <f t="shared" si="5"/>
        <v/>
      </c>
      <c r="L47" s="49" t="str">
        <f>_xlfn.IFNA(VLOOKUP(A47&amp;"-"&amp;B47&amp;"-"&amp;D47,Ref_Account!$A:$F,6,FALSE),"ACCOUNT TIDAK DITEMUKAN")</f>
        <v>1201.630200</v>
      </c>
      <c r="M47" s="49"/>
      <c r="N47" s="46">
        <f t="shared" si="6"/>
        <v>2</v>
      </c>
      <c r="O47" s="46" t="str">
        <f t="shared" si="7"/>
        <v>OK</v>
      </c>
    </row>
    <row r="48" spans="1:15">
      <c r="A48" s="74" t="s">
        <v>66</v>
      </c>
      <c r="B48" s="82" t="s">
        <v>84</v>
      </c>
      <c r="C48" s="74" t="s">
        <v>85</v>
      </c>
      <c r="D48" s="45" t="s">
        <v>13</v>
      </c>
      <c r="E48" s="45" t="s">
        <v>74</v>
      </c>
      <c r="F48" s="45"/>
      <c r="G48" s="79">
        <v>3004.76</v>
      </c>
      <c r="H48" s="79">
        <v>783.82</v>
      </c>
      <c r="I48" s="79">
        <f t="shared" si="4"/>
        <v>2220.94</v>
      </c>
      <c r="J48" s="48">
        <f>G48/VLOOKUP(A48,RESUME!$G$3:$I$10,3,FALSE)</f>
        <v>3.4479790933649633E-2</v>
      </c>
      <c r="K48" s="48">
        <f t="shared" si="5"/>
        <v>0.13217766401188163</v>
      </c>
      <c r="L48" s="47" t="str">
        <f>_xlfn.IFNA(VLOOKUP(A48&amp;"-"&amp;B48&amp;"-"&amp;D48,Ref_Account!$A:$F,6,FALSE),"ACCOUNT TIDAK DITEMUKAN")</f>
        <v>1201.630530</v>
      </c>
      <c r="M48" s="47"/>
      <c r="N48" s="45">
        <f t="shared" si="6"/>
        <v>1</v>
      </c>
      <c r="O48" s="45" t="str">
        <f t="shared" si="7"/>
        <v>OK</v>
      </c>
    </row>
    <row r="49" spans="1:15">
      <c r="A49" s="75" t="s">
        <v>66</v>
      </c>
      <c r="B49" s="83" t="s">
        <v>84</v>
      </c>
      <c r="C49" s="75" t="s">
        <v>85</v>
      </c>
      <c r="D49" s="46" t="s">
        <v>15</v>
      </c>
      <c r="E49" s="46" t="s">
        <v>74</v>
      </c>
      <c r="F49" s="46"/>
      <c r="G49" s="80">
        <v>1543.55</v>
      </c>
      <c r="H49" s="80"/>
      <c r="I49" s="80">
        <f t="shared" si="4"/>
        <v>1543.55</v>
      </c>
      <c r="J49" s="50">
        <f>G49/VLOOKUP(A49,RESUME!$G$3:$I$10,3,FALSE)</f>
        <v>1.7712323545186599E-2</v>
      </c>
      <c r="K49" s="50" t="str">
        <f t="shared" si="5"/>
        <v/>
      </c>
      <c r="L49" s="49" t="str">
        <f>_xlfn.IFNA(VLOOKUP(A49&amp;"-"&amp;B49&amp;"-"&amp;D49,Ref_Account!$A:$F,6,FALSE),"ACCOUNT TIDAK DITEMUKAN")</f>
        <v>1204.630530</v>
      </c>
      <c r="M49" s="49"/>
      <c r="N49" s="46">
        <f t="shared" si="6"/>
        <v>1</v>
      </c>
      <c r="O49" s="46" t="str">
        <f t="shared" si="7"/>
        <v>OK</v>
      </c>
    </row>
    <row r="50" spans="1:15">
      <c r="A50" s="74" t="s">
        <v>66</v>
      </c>
      <c r="B50" s="82" t="s">
        <v>86</v>
      </c>
      <c r="C50" s="74" t="s">
        <v>87</v>
      </c>
      <c r="D50" s="45" t="s">
        <v>13</v>
      </c>
      <c r="E50" s="45" t="s">
        <v>74</v>
      </c>
      <c r="F50" s="45"/>
      <c r="G50" s="79">
        <v>938.47</v>
      </c>
      <c r="H50" s="79">
        <v>527.75</v>
      </c>
      <c r="I50" s="79">
        <f t="shared" si="4"/>
        <v>410.72</v>
      </c>
      <c r="J50" s="48">
        <f>G50/VLOOKUP(A50,RESUME!$G$3:$I$10,3,FALSE)</f>
        <v>1.0768996324998392E-2</v>
      </c>
      <c r="K50" s="48">
        <f t="shared" si="5"/>
        <v>1.9149938382039301E-2</v>
      </c>
      <c r="L50" s="47" t="str">
        <f>_xlfn.IFNA(VLOOKUP(A50&amp;"-"&amp;B50&amp;"-"&amp;D50,Ref_Account!$A:$F,6,FALSE),"ACCOUNT TIDAK DITEMUKAN")</f>
        <v>1201.808100</v>
      </c>
      <c r="M50" s="47"/>
      <c r="N50" s="45">
        <f t="shared" si="6"/>
        <v>1</v>
      </c>
      <c r="O50" s="45" t="str">
        <f t="shared" si="7"/>
        <v>OK</v>
      </c>
    </row>
    <row r="51" spans="1:15">
      <c r="A51" s="75" t="s">
        <v>66</v>
      </c>
      <c r="B51" s="83" t="s">
        <v>86</v>
      </c>
      <c r="C51" s="75" t="s">
        <v>87</v>
      </c>
      <c r="D51" s="46" t="s">
        <v>24</v>
      </c>
      <c r="E51" s="46" t="s">
        <v>74</v>
      </c>
      <c r="F51" s="46"/>
      <c r="G51" s="80">
        <v>175.55</v>
      </c>
      <c r="H51" s="80"/>
      <c r="I51" s="80">
        <f t="shared" si="4"/>
        <v>175.55</v>
      </c>
      <c r="J51" s="50">
        <f>G51/VLOOKUP(A51,RESUME!$G$3:$I$10,3,FALSE)</f>
        <v>2.0144461781979902E-3</v>
      </c>
      <c r="K51" s="50" t="str">
        <f t="shared" si="5"/>
        <v/>
      </c>
      <c r="L51" s="49" t="str">
        <f>_xlfn.IFNA(VLOOKUP(A51&amp;"-"&amp;B51&amp;"-"&amp;D51,Ref_Account!$A:$F,6,FALSE),"ACCOUNT TIDAK DITEMUKAN")</f>
        <v>1205.808100</v>
      </c>
      <c r="M51" s="49"/>
      <c r="N51" s="46">
        <f t="shared" si="6"/>
        <v>1</v>
      </c>
      <c r="O51" s="46" t="str">
        <f t="shared" si="7"/>
        <v>OK</v>
      </c>
    </row>
    <row r="52" spans="1:15">
      <c r="A52" s="74" t="s">
        <v>66</v>
      </c>
      <c r="B52" s="82" t="s">
        <v>86</v>
      </c>
      <c r="C52" s="74" t="s">
        <v>87</v>
      </c>
      <c r="D52" s="45" t="s">
        <v>15</v>
      </c>
      <c r="E52" s="45" t="s">
        <v>74</v>
      </c>
      <c r="F52" s="45"/>
      <c r="G52" s="79">
        <v>2294.39</v>
      </c>
      <c r="H52" s="79">
        <v>1074.9100000000001</v>
      </c>
      <c r="I52" s="79">
        <f t="shared" si="4"/>
        <v>1219.4799999999998</v>
      </c>
      <c r="J52" s="48">
        <f>G52/VLOOKUP(A52,RESUME!$G$3:$I$10,3,FALSE)</f>
        <v>2.632825500880482E-2</v>
      </c>
      <c r="K52" s="48">
        <f t="shared" si="5"/>
        <v>5.6197528174127771E-2</v>
      </c>
      <c r="L52" s="47" t="str">
        <f>_xlfn.IFNA(VLOOKUP(A52&amp;"-"&amp;B52&amp;"-"&amp;D52,Ref_Account!$A:$F,6,FALSE),"ACCOUNT TIDAK DITEMUKAN")</f>
        <v>1204.808100</v>
      </c>
      <c r="M52" s="47"/>
      <c r="N52" s="45">
        <f t="shared" si="6"/>
        <v>1</v>
      </c>
      <c r="O52" s="45" t="str">
        <f t="shared" si="7"/>
        <v>OK</v>
      </c>
    </row>
    <row r="53" spans="1:15">
      <c r="A53" s="75" t="s">
        <v>66</v>
      </c>
      <c r="B53" s="83" t="s">
        <v>88</v>
      </c>
      <c r="C53" s="75" t="s">
        <v>89</v>
      </c>
      <c r="D53" s="46" t="s">
        <v>13</v>
      </c>
      <c r="E53" s="46" t="s">
        <v>74</v>
      </c>
      <c r="F53" s="46"/>
      <c r="G53" s="80">
        <v>1987.05</v>
      </c>
      <c r="H53" s="80"/>
      <c r="I53" s="80">
        <f t="shared" si="4"/>
        <v>1987.05</v>
      </c>
      <c r="J53" s="50">
        <f>G53/VLOOKUP(A53,RESUME!$G$3:$I$10,3,FALSE)</f>
        <v>2.2801511127247598E-2</v>
      </c>
      <c r="K53" s="50" t="str">
        <f t="shared" si="5"/>
        <v/>
      </c>
      <c r="L53" s="49" t="str">
        <f>_xlfn.IFNA(VLOOKUP(A53&amp;"-"&amp;B53&amp;"-"&amp;D53,Ref_Account!$A:$F,6,FALSE),"ACCOUNT TIDAK DITEMUKAN")</f>
        <v>1201.630900</v>
      </c>
      <c r="M53" s="49"/>
      <c r="N53" s="46">
        <f t="shared" si="6"/>
        <v>1</v>
      </c>
      <c r="O53" s="46" t="str">
        <f t="shared" si="7"/>
        <v>OK</v>
      </c>
    </row>
    <row r="54" spans="1:15">
      <c r="A54" s="74" t="s">
        <v>66</v>
      </c>
      <c r="B54" s="82" t="s">
        <v>88</v>
      </c>
      <c r="C54" s="74" t="s">
        <v>89</v>
      </c>
      <c r="D54" s="45" t="s">
        <v>15</v>
      </c>
      <c r="E54" s="45" t="s">
        <v>74</v>
      </c>
      <c r="F54" s="45"/>
      <c r="G54" s="79">
        <v>1692.67</v>
      </c>
      <c r="H54" s="79"/>
      <c r="I54" s="79">
        <f t="shared" si="4"/>
        <v>1692.67</v>
      </c>
      <c r="J54" s="48">
        <f>G54/VLOOKUP(A54,RESUME!$G$3:$I$10,3,FALSE)</f>
        <v>1.9423483978640799E-2</v>
      </c>
      <c r="K54" s="48" t="str">
        <f t="shared" si="5"/>
        <v/>
      </c>
      <c r="L54" s="47" t="str">
        <f>_xlfn.IFNA(VLOOKUP(A54&amp;"-"&amp;B54&amp;"-"&amp;D54,Ref_Account!$A:$F,6,FALSE),"ACCOUNT TIDAK DITEMUKAN")</f>
        <v>1204.630900</v>
      </c>
      <c r="M54" s="47"/>
      <c r="N54" s="45">
        <f t="shared" si="6"/>
        <v>1</v>
      </c>
      <c r="O54" s="45" t="str">
        <f t="shared" si="7"/>
        <v>OK</v>
      </c>
    </row>
    <row r="55" spans="1:15">
      <c r="A55" s="75" t="s">
        <v>66</v>
      </c>
      <c r="B55" s="83" t="s">
        <v>90</v>
      </c>
      <c r="C55" s="75" t="s">
        <v>91</v>
      </c>
      <c r="D55" s="46" t="s">
        <v>13</v>
      </c>
      <c r="E55" s="46" t="s">
        <v>74</v>
      </c>
      <c r="F55" s="46"/>
      <c r="G55" s="80">
        <v>569</v>
      </c>
      <c r="H55" s="80">
        <v>460.21</v>
      </c>
      <c r="I55" s="80">
        <f t="shared" si="4"/>
        <v>108.79000000000002</v>
      </c>
      <c r="J55" s="50">
        <f>G55/VLOOKUP(A55,RESUME!$G$3:$I$10,3,FALSE)</f>
        <v>6.5293071796904377E-3</v>
      </c>
      <c r="K55" s="50">
        <f t="shared" si="5"/>
        <v>8.0727836971031912E-3</v>
      </c>
      <c r="L55" s="49" t="str">
        <f>_xlfn.IFNA(VLOOKUP(A55&amp;"-"&amp;B55&amp;"-"&amp;D55,Ref_Account!$A:$F,6,FALSE),"ACCOUNT TIDAK DITEMUKAN")</f>
        <v>1201.802140</v>
      </c>
      <c r="M55" s="49"/>
      <c r="N55" s="46">
        <f t="shared" si="6"/>
        <v>1</v>
      </c>
      <c r="O55" s="46" t="str">
        <f t="shared" si="7"/>
        <v>OK</v>
      </c>
    </row>
    <row r="56" spans="1:15">
      <c r="A56" s="74" t="s">
        <v>66</v>
      </c>
      <c r="B56" s="82" t="s">
        <v>90</v>
      </c>
      <c r="C56" s="74" t="s">
        <v>91</v>
      </c>
      <c r="D56" s="45" t="s">
        <v>15</v>
      </c>
      <c r="E56" s="45" t="s">
        <v>74</v>
      </c>
      <c r="F56" s="45"/>
      <c r="G56" s="79">
        <v>300</v>
      </c>
      <c r="H56" s="79"/>
      <c r="I56" s="79">
        <f t="shared" si="4"/>
        <v>300</v>
      </c>
      <c r="J56" s="48">
        <f>G56/VLOOKUP(A56,RESUME!$G$3:$I$10,3,FALSE)</f>
        <v>3.4425169664448704E-3</v>
      </c>
      <c r="K56" s="48" t="str">
        <f t="shared" si="5"/>
        <v/>
      </c>
      <c r="L56" s="47" t="str">
        <f>_xlfn.IFNA(VLOOKUP(A56&amp;"-"&amp;B56&amp;"-"&amp;D56,Ref_Account!$A:$F,6,FALSE),"ACCOUNT TIDAK DITEMUKAN")</f>
        <v>1204.802140</v>
      </c>
      <c r="M56" s="47"/>
      <c r="N56" s="45">
        <f t="shared" si="6"/>
        <v>1</v>
      </c>
      <c r="O56" s="45" t="str">
        <f t="shared" si="7"/>
        <v>OK</v>
      </c>
    </row>
    <row r="57" spans="1:15">
      <c r="A57" s="75" t="s">
        <v>66</v>
      </c>
      <c r="B57" s="83" t="s">
        <v>92</v>
      </c>
      <c r="C57" s="75" t="s">
        <v>93</v>
      </c>
      <c r="D57" s="46" t="s">
        <v>13</v>
      </c>
      <c r="E57" s="46" t="s">
        <v>94</v>
      </c>
      <c r="F57" s="46"/>
      <c r="G57" s="80">
        <v>2288.86</v>
      </c>
      <c r="H57" s="80"/>
      <c r="I57" s="80">
        <f t="shared" si="4"/>
        <v>2288.86</v>
      </c>
      <c r="J57" s="50">
        <f>G57/VLOOKUP(A57,RESUME!$G$3:$I$10,3,FALSE)</f>
        <v>2.6264797946056691E-2</v>
      </c>
      <c r="K57" s="50" t="str">
        <f t="shared" si="5"/>
        <v/>
      </c>
      <c r="L57" s="49" t="str">
        <f>_xlfn.IFNA(VLOOKUP(A57&amp;"-"&amp;B57&amp;"-"&amp;D57,Ref_Account!$A:$F,6,FALSE),"ACCOUNT TIDAK DITEMUKAN")</f>
        <v>1201.801160</v>
      </c>
      <c r="M57" s="49"/>
      <c r="N57" s="46">
        <f t="shared" si="6"/>
        <v>1</v>
      </c>
      <c r="O57" s="46" t="str">
        <f t="shared" si="7"/>
        <v>OK</v>
      </c>
    </row>
    <row r="58" spans="1:15">
      <c r="A58" s="74" t="s">
        <v>66</v>
      </c>
      <c r="B58" s="82" t="s">
        <v>95</v>
      </c>
      <c r="C58" s="74" t="s">
        <v>96</v>
      </c>
      <c r="D58" s="45" t="s">
        <v>13</v>
      </c>
      <c r="E58" s="45" t="s">
        <v>97</v>
      </c>
      <c r="F58" s="45"/>
      <c r="G58" s="79">
        <v>36500.160000000003</v>
      </c>
      <c r="H58" s="79">
        <v>122.79</v>
      </c>
      <c r="I58" s="79">
        <f t="shared" si="4"/>
        <v>36377.370000000003</v>
      </c>
      <c r="J58" s="48">
        <f>G58/VLOOKUP(A58,RESUME!$G$3:$I$10,3,FALSE)</f>
        <v>0.4188414002598414</v>
      </c>
      <c r="K58" s="48">
        <f t="shared" si="5"/>
        <v>124.5034459166728</v>
      </c>
      <c r="L58" s="47" t="str">
        <f>_xlfn.IFNA(VLOOKUP(A58&amp;"-"&amp;B58&amp;"-"&amp;D58,Ref_Account!$A:$F,6,FALSE),"ACCOUNT TIDAK DITEMUKAN")</f>
        <v>1201.630110</v>
      </c>
      <c r="M58" s="47"/>
      <c r="N58" s="45">
        <f t="shared" si="6"/>
        <v>1</v>
      </c>
      <c r="O58" s="45" t="str">
        <f t="shared" si="7"/>
        <v>OK</v>
      </c>
    </row>
    <row r="59" spans="1:15">
      <c r="A59" s="75" t="s">
        <v>66</v>
      </c>
      <c r="B59" s="83" t="s">
        <v>98</v>
      </c>
      <c r="C59" s="75" t="s">
        <v>99</v>
      </c>
      <c r="D59" s="46" t="s">
        <v>13</v>
      </c>
      <c r="E59" s="46" t="s">
        <v>74</v>
      </c>
      <c r="F59" s="46"/>
      <c r="G59" s="80">
        <v>1440.17</v>
      </c>
      <c r="H59" s="80">
        <v>0.63</v>
      </c>
      <c r="I59" s="80">
        <f t="shared" si="4"/>
        <v>1439.54</v>
      </c>
      <c r="J59" s="50">
        <f>G59/VLOOKUP(A59,RESUME!$G$3:$I$10,3,FALSE)</f>
        <v>1.6526032198549697E-2</v>
      </c>
      <c r="K59" s="50">
        <f t="shared" si="5"/>
        <v>37.778247287913203</v>
      </c>
      <c r="L59" s="49" t="str">
        <f>_xlfn.IFNA(VLOOKUP(A59&amp;"-"&amp;B59&amp;"-"&amp;D59,Ref_Account!$A:$F,6,FALSE),"ACCOUNT TIDAK DITEMUKAN")</f>
        <v>1201.809100</v>
      </c>
      <c r="M59" s="49"/>
      <c r="N59" s="46">
        <f t="shared" si="6"/>
        <v>1</v>
      </c>
      <c r="O59" s="46" t="str">
        <f t="shared" si="7"/>
        <v>OK</v>
      </c>
    </row>
    <row r="60" spans="1:15">
      <c r="A60" s="74" t="s">
        <v>66</v>
      </c>
      <c r="B60" s="82" t="s">
        <v>98</v>
      </c>
      <c r="C60" s="74" t="s">
        <v>99</v>
      </c>
      <c r="D60" s="45" t="s">
        <v>100</v>
      </c>
      <c r="E60" s="45" t="s">
        <v>74</v>
      </c>
      <c r="F60" s="45"/>
      <c r="G60" s="79">
        <v>14.27</v>
      </c>
      <c r="H60" s="79"/>
      <c r="I60" s="79">
        <f t="shared" si="4"/>
        <v>14.27</v>
      </c>
      <c r="J60" s="48">
        <f>G60/VLOOKUP(A60,RESUME!$G$3:$I$10,3,FALSE)</f>
        <v>1.6374905703722768E-4</v>
      </c>
      <c r="K60" s="48" t="str">
        <f t="shared" si="5"/>
        <v/>
      </c>
      <c r="L60" s="47" t="str">
        <f>_xlfn.IFNA(VLOOKUP(A60&amp;"-"&amp;B60&amp;"-"&amp;D60,Ref_Account!$A:$F,6,FALSE),"ACCOUNT TIDAK DITEMUKAN")</f>
        <v>1206.809100</v>
      </c>
      <c r="M60" s="47"/>
      <c r="N60" s="45">
        <f t="shared" si="6"/>
        <v>1</v>
      </c>
      <c r="O60" s="45" t="str">
        <f t="shared" si="7"/>
        <v>OK</v>
      </c>
    </row>
    <row r="61" spans="1:15">
      <c r="A61" s="75" t="s">
        <v>66</v>
      </c>
      <c r="B61" s="83" t="s">
        <v>98</v>
      </c>
      <c r="C61" s="75" t="s">
        <v>99</v>
      </c>
      <c r="D61" s="46" t="s">
        <v>24</v>
      </c>
      <c r="E61" s="46" t="s">
        <v>74</v>
      </c>
      <c r="F61" s="46"/>
      <c r="G61" s="80">
        <v>35.56</v>
      </c>
      <c r="H61" s="80"/>
      <c r="I61" s="80">
        <f t="shared" si="4"/>
        <v>35.56</v>
      </c>
      <c r="J61" s="50">
        <f>G61/VLOOKUP(A61,RESUME!$G$3:$I$10,3,FALSE)</f>
        <v>4.0805301108926532E-4</v>
      </c>
      <c r="K61" s="50" t="str">
        <f t="shared" si="5"/>
        <v/>
      </c>
      <c r="L61" s="49" t="str">
        <f>_xlfn.IFNA(VLOOKUP(A61&amp;"-"&amp;B61&amp;"-"&amp;D61,Ref_Account!$A:$F,6,FALSE),"ACCOUNT TIDAK DITEMUKAN")</f>
        <v>1205.809100</v>
      </c>
      <c r="M61" s="49"/>
      <c r="N61" s="46">
        <f t="shared" si="6"/>
        <v>1</v>
      </c>
      <c r="O61" s="46" t="str">
        <f t="shared" si="7"/>
        <v>OK</v>
      </c>
    </row>
    <row r="62" spans="1:15">
      <c r="A62" s="74" t="s">
        <v>66</v>
      </c>
      <c r="B62" s="82" t="s">
        <v>98</v>
      </c>
      <c r="C62" s="74" t="s">
        <v>99</v>
      </c>
      <c r="D62" s="45" t="s">
        <v>15</v>
      </c>
      <c r="E62" s="45" t="s">
        <v>74</v>
      </c>
      <c r="F62" s="45"/>
      <c r="G62" s="79">
        <v>9.69</v>
      </c>
      <c r="H62" s="79">
        <v>20.88</v>
      </c>
      <c r="I62" s="79">
        <f t="shared" si="4"/>
        <v>-11.19</v>
      </c>
      <c r="J62" s="48">
        <f>G62/VLOOKUP(A62,RESUME!$G$3:$I$10,3,FALSE)</f>
        <v>1.1119329801616931E-4</v>
      </c>
      <c r="K62" s="48">
        <f t="shared" si="5"/>
        <v>5.1602636866699261E-5</v>
      </c>
      <c r="L62" s="47" t="str">
        <f>_xlfn.IFNA(VLOOKUP(A62&amp;"-"&amp;B62&amp;"-"&amp;D62,Ref_Account!$A:$F,6,FALSE),"ACCOUNT TIDAK DITEMUKAN")</f>
        <v>1204.809100</v>
      </c>
      <c r="M62" s="47"/>
      <c r="N62" s="45">
        <f t="shared" si="6"/>
        <v>1</v>
      </c>
      <c r="O62" s="45" t="str">
        <f t="shared" si="7"/>
        <v>OVER</v>
      </c>
    </row>
    <row r="63" spans="1:15">
      <c r="A63" s="75" t="s">
        <v>66</v>
      </c>
      <c r="B63" s="83" t="s">
        <v>101</v>
      </c>
      <c r="C63" s="75" t="s">
        <v>102</v>
      </c>
      <c r="D63" s="46" t="s">
        <v>13</v>
      </c>
      <c r="E63" s="46" t="s">
        <v>74</v>
      </c>
      <c r="F63" s="46"/>
      <c r="G63" s="80">
        <v>400</v>
      </c>
      <c r="H63" s="80">
        <v>1156.6500000000001</v>
      </c>
      <c r="I63" s="80">
        <f t="shared" si="4"/>
        <v>-756.65000000000009</v>
      </c>
      <c r="J63" s="50">
        <f>G63/VLOOKUP(A63,RESUME!$G$3:$I$10,3,FALSE)</f>
        <v>4.5900226219264938E-3</v>
      </c>
      <c r="K63" s="50">
        <f t="shared" si="5"/>
        <v>1.5873505803575823E-3</v>
      </c>
      <c r="L63" s="49" t="str">
        <f>_xlfn.IFNA(VLOOKUP(A63&amp;"-"&amp;B63&amp;"-"&amp;D63,Ref_Account!$A:$F,6,FALSE),"ACCOUNT TIDAK DITEMUKAN")</f>
        <v>1201.630710</v>
      </c>
      <c r="M63" s="49"/>
      <c r="N63" s="46">
        <f t="shared" si="6"/>
        <v>1</v>
      </c>
      <c r="O63" s="46" t="str">
        <f t="shared" si="7"/>
        <v>OVER</v>
      </c>
    </row>
    <row r="64" spans="1:15">
      <c r="A64" s="74" t="s">
        <v>66</v>
      </c>
      <c r="B64" s="82" t="s">
        <v>103</v>
      </c>
      <c r="C64" s="74" t="s">
        <v>104</v>
      </c>
      <c r="D64" s="45" t="s">
        <v>13</v>
      </c>
      <c r="E64" s="45" t="s">
        <v>81</v>
      </c>
      <c r="F64" s="45"/>
      <c r="G64" s="79">
        <v>100</v>
      </c>
      <c r="H64" s="79"/>
      <c r="I64" s="79">
        <f t="shared" si="4"/>
        <v>100</v>
      </c>
      <c r="J64" s="48">
        <f>G64/VLOOKUP(A64,RESUME!$G$3:$I$10,3,FALSE)</f>
        <v>1.1475056554816235E-3</v>
      </c>
      <c r="K64" s="48" t="str">
        <f t="shared" si="5"/>
        <v/>
      </c>
      <c r="L64" s="47" t="str">
        <f>_xlfn.IFNA(VLOOKUP(A64&amp;"-"&amp;B64&amp;"-"&amp;D64,Ref_Account!$A:$F,6,FALSE),"ACCOUNT TIDAK DITEMUKAN")</f>
        <v>1201.630770</v>
      </c>
      <c r="M64" s="47"/>
      <c r="N64" s="45">
        <f t="shared" si="6"/>
        <v>1</v>
      </c>
      <c r="O64" s="45" t="str">
        <f t="shared" si="7"/>
        <v>OK</v>
      </c>
    </row>
    <row r="65" spans="1:15">
      <c r="A65" s="75" t="s">
        <v>66</v>
      </c>
      <c r="B65" s="83" t="s">
        <v>105</v>
      </c>
      <c r="C65" s="75" t="s">
        <v>106</v>
      </c>
      <c r="D65" s="46" t="s">
        <v>13</v>
      </c>
      <c r="E65" s="46" t="s">
        <v>81</v>
      </c>
      <c r="F65" s="46"/>
      <c r="G65" s="80">
        <v>100</v>
      </c>
      <c r="H65" s="80"/>
      <c r="I65" s="80">
        <f t="shared" si="4"/>
        <v>100</v>
      </c>
      <c r="J65" s="50">
        <f>G65/VLOOKUP(A65,RESUME!$G$3:$I$10,3,FALSE)</f>
        <v>1.1475056554816235E-3</v>
      </c>
      <c r="K65" s="50" t="str">
        <f t="shared" si="5"/>
        <v/>
      </c>
      <c r="L65" s="49" t="str">
        <f>_xlfn.IFNA(VLOOKUP(A65&amp;"-"&amp;B65&amp;"-"&amp;D65,Ref_Account!$A:$F,6,FALSE),"ACCOUNT TIDAK DITEMUKAN")</f>
        <v>1201.630750</v>
      </c>
      <c r="M65" s="49"/>
      <c r="N65" s="46">
        <f t="shared" si="6"/>
        <v>1</v>
      </c>
      <c r="O65" s="46" t="str">
        <f t="shared" si="7"/>
        <v>OK</v>
      </c>
    </row>
    <row r="66" spans="1:15">
      <c r="A66" s="74" t="s">
        <v>66</v>
      </c>
      <c r="B66" s="82" t="s">
        <v>107</v>
      </c>
      <c r="C66" s="74" t="s">
        <v>108</v>
      </c>
      <c r="D66" s="45" t="s">
        <v>13</v>
      </c>
      <c r="E66" s="45" t="s">
        <v>81</v>
      </c>
      <c r="F66" s="45"/>
      <c r="G66" s="79">
        <v>100</v>
      </c>
      <c r="H66" s="79">
        <v>510.61</v>
      </c>
      <c r="I66" s="79">
        <f t="shared" si="4"/>
        <v>-410.61</v>
      </c>
      <c r="J66" s="48">
        <f>G66/VLOOKUP(A66,RESUME!$G$3:$I$10,3,FALSE)</f>
        <v>1.1475056554816235E-3</v>
      </c>
      <c r="K66" s="48">
        <f t="shared" si="5"/>
        <v>2.2473231144741064E-4</v>
      </c>
      <c r="L66" s="47" t="str">
        <f>_xlfn.IFNA(VLOOKUP(A66&amp;"-"&amp;B66&amp;"-"&amp;D66,Ref_Account!$A:$F,6,FALSE),"ACCOUNT TIDAK DITEMUKAN")</f>
        <v>1201.630720</v>
      </c>
      <c r="M66" s="47"/>
      <c r="N66" s="45">
        <f t="shared" si="6"/>
        <v>1</v>
      </c>
      <c r="O66" s="45" t="str">
        <f t="shared" si="7"/>
        <v>OVER</v>
      </c>
    </row>
    <row r="67" spans="1:15">
      <c r="A67" s="75" t="s">
        <v>66</v>
      </c>
      <c r="B67" s="83" t="s">
        <v>109</v>
      </c>
      <c r="C67" s="75" t="s">
        <v>110</v>
      </c>
      <c r="D67" s="46" t="s">
        <v>13</v>
      </c>
      <c r="E67" s="46" t="s">
        <v>81</v>
      </c>
      <c r="F67" s="46"/>
      <c r="G67" s="80">
        <v>100</v>
      </c>
      <c r="H67" s="80"/>
      <c r="I67" s="80">
        <f t="shared" si="4"/>
        <v>100</v>
      </c>
      <c r="J67" s="50">
        <f>G67/VLOOKUP(A67,RESUME!$G$3:$I$10,3,FALSE)</f>
        <v>1.1475056554816235E-3</v>
      </c>
      <c r="K67" s="50" t="str">
        <f t="shared" si="5"/>
        <v/>
      </c>
      <c r="L67" s="49" t="str">
        <f>_xlfn.IFNA(VLOOKUP(A67&amp;"-"&amp;B67&amp;"-"&amp;D67,Ref_Account!$A:$F,6,FALSE),"ACCOUNT TIDAK DITEMUKAN")</f>
        <v>1201.630760</v>
      </c>
      <c r="M67" s="49"/>
      <c r="N67" s="46">
        <f t="shared" si="6"/>
        <v>1</v>
      </c>
      <c r="O67" s="46" t="str">
        <f t="shared" si="7"/>
        <v>OK</v>
      </c>
    </row>
    <row r="68" spans="1:15">
      <c r="A68" s="74" t="s">
        <v>66</v>
      </c>
      <c r="B68" s="82" t="s">
        <v>109</v>
      </c>
      <c r="C68" s="74" t="s">
        <v>110</v>
      </c>
      <c r="D68" s="45" t="s">
        <v>24</v>
      </c>
      <c r="E68" s="45" t="s">
        <v>74</v>
      </c>
      <c r="F68" s="45"/>
      <c r="G68" s="79">
        <v>250</v>
      </c>
      <c r="H68" s="79"/>
      <c r="I68" s="79">
        <f t="shared" si="4"/>
        <v>250</v>
      </c>
      <c r="J68" s="48">
        <f>G68/VLOOKUP(A68,RESUME!$G$3:$I$10,3,FALSE)</f>
        <v>2.8687641387040589E-3</v>
      </c>
      <c r="K68" s="48" t="str">
        <f t="shared" si="5"/>
        <v/>
      </c>
      <c r="L68" s="47" t="str">
        <f>_xlfn.IFNA(VLOOKUP(A68&amp;"-"&amp;B68&amp;"-"&amp;D68,Ref_Account!$A:$F,6,FALSE),"ACCOUNT TIDAK DITEMUKAN")</f>
        <v>1205.630760</v>
      </c>
      <c r="M68" s="47"/>
      <c r="N68" s="45">
        <f t="shared" si="6"/>
        <v>1</v>
      </c>
      <c r="O68" s="45" t="str">
        <f t="shared" si="7"/>
        <v>OK</v>
      </c>
    </row>
    <row r="69" spans="1:15">
      <c r="A69" s="75" t="s">
        <v>66</v>
      </c>
      <c r="B69" s="83" t="s">
        <v>109</v>
      </c>
      <c r="C69" s="75" t="s">
        <v>110</v>
      </c>
      <c r="D69" s="46" t="s">
        <v>15</v>
      </c>
      <c r="E69" s="46" t="s">
        <v>74</v>
      </c>
      <c r="F69" s="46"/>
      <c r="G69" s="80">
        <v>300</v>
      </c>
      <c r="H69" s="80"/>
      <c r="I69" s="80">
        <f t="shared" si="4"/>
        <v>300</v>
      </c>
      <c r="J69" s="50">
        <f>G69/VLOOKUP(A69,RESUME!$G$3:$I$10,3,FALSE)</f>
        <v>3.4425169664448704E-3</v>
      </c>
      <c r="K69" s="50" t="str">
        <f t="shared" si="5"/>
        <v/>
      </c>
      <c r="L69" s="49" t="str">
        <f>_xlfn.IFNA(VLOOKUP(A69&amp;"-"&amp;B69&amp;"-"&amp;D69,Ref_Account!$A:$F,6,FALSE),"ACCOUNT TIDAK DITEMUKAN")</f>
        <v>1204.630760</v>
      </c>
      <c r="M69" s="49"/>
      <c r="N69" s="46">
        <f t="shared" si="6"/>
        <v>1</v>
      </c>
      <c r="O69" s="46" t="str">
        <f t="shared" si="7"/>
        <v>OK</v>
      </c>
    </row>
    <row r="70" spans="1:15">
      <c r="A70" s="74" t="s">
        <v>66</v>
      </c>
      <c r="B70" s="82" t="s">
        <v>111</v>
      </c>
      <c r="C70" s="74" t="s">
        <v>112</v>
      </c>
      <c r="D70" s="45" t="s">
        <v>13</v>
      </c>
      <c r="E70" s="45" t="s">
        <v>81</v>
      </c>
      <c r="F70" s="45"/>
      <c r="G70" s="79">
        <v>100</v>
      </c>
      <c r="H70" s="79"/>
      <c r="I70" s="79">
        <f t="shared" ref="I70:I101" si="8">G70-H70</f>
        <v>100</v>
      </c>
      <c r="J70" s="48">
        <f>G70/VLOOKUP(A70,RESUME!$G$3:$I$10,3,FALSE)</f>
        <v>1.1475056554816235E-3</v>
      </c>
      <c r="K70" s="48" t="str">
        <f t="shared" ref="K70:K101" si="9">IFERROR((G70/H70)*J70,"")</f>
        <v/>
      </c>
      <c r="L70" s="47" t="str">
        <f>_xlfn.IFNA(VLOOKUP(A70&amp;"-"&amp;B70&amp;"-"&amp;D70,Ref_Account!$A:$F,6,FALSE),"ACCOUNT TIDAK DITEMUKAN")</f>
        <v>1201.630730</v>
      </c>
      <c r="M70" s="47"/>
      <c r="N70" s="45">
        <f t="shared" ref="N70:N101" si="10">IF(L70="ACCOUNT TIDAK DITEMUKAN","9999",COUNTIF($L$6:$L$164,L70))</f>
        <v>1</v>
      </c>
      <c r="O70" s="45" t="str">
        <f t="shared" ref="O70:O101" si="11">IF(I70&gt;0,"OK","OVER")</f>
        <v>OK</v>
      </c>
    </row>
    <row r="71" spans="1:15">
      <c r="A71" s="75" t="s">
        <v>66</v>
      </c>
      <c r="B71" s="83" t="s">
        <v>113</v>
      </c>
      <c r="C71" s="75" t="s">
        <v>114</v>
      </c>
      <c r="D71" s="46" t="s">
        <v>13</v>
      </c>
      <c r="E71" s="46" t="s">
        <v>81</v>
      </c>
      <c r="F71" s="46"/>
      <c r="G71" s="80">
        <v>100</v>
      </c>
      <c r="H71" s="80"/>
      <c r="I71" s="80">
        <f t="shared" si="8"/>
        <v>100</v>
      </c>
      <c r="J71" s="50">
        <f>G71/VLOOKUP(A71,RESUME!$G$3:$I$10,3,FALSE)</f>
        <v>1.1475056554816235E-3</v>
      </c>
      <c r="K71" s="50" t="str">
        <f t="shared" si="9"/>
        <v/>
      </c>
      <c r="L71" s="49" t="str">
        <f>_xlfn.IFNA(VLOOKUP(A71&amp;"-"&amp;B71&amp;"-"&amp;D71,Ref_Account!$A:$F,6,FALSE),"ACCOUNT TIDAK DITEMUKAN")</f>
        <v>1201.630740</v>
      </c>
      <c r="M71" s="49"/>
      <c r="N71" s="46">
        <f t="shared" si="10"/>
        <v>1</v>
      </c>
      <c r="O71" s="46" t="str">
        <f t="shared" si="11"/>
        <v>OK</v>
      </c>
    </row>
    <row r="72" spans="1:15">
      <c r="A72" s="74" t="s">
        <v>66</v>
      </c>
      <c r="B72" s="82" t="s">
        <v>115</v>
      </c>
      <c r="C72" s="74" t="s">
        <v>116</v>
      </c>
      <c r="D72" s="45" t="s">
        <v>13</v>
      </c>
      <c r="E72" s="45" t="s">
        <v>74</v>
      </c>
      <c r="F72" s="45"/>
      <c r="G72" s="79">
        <v>328.75</v>
      </c>
      <c r="H72" s="79">
        <v>854.27</v>
      </c>
      <c r="I72" s="79">
        <f t="shared" si="8"/>
        <v>-525.52</v>
      </c>
      <c r="J72" s="48">
        <f>G72/VLOOKUP(A72,RESUME!$G$3:$I$10,3,FALSE)</f>
        <v>3.7724248423958375E-3</v>
      </c>
      <c r="K72" s="48">
        <f t="shared" si="9"/>
        <v>1.4517478864265764E-3</v>
      </c>
      <c r="L72" s="47" t="str">
        <f>_xlfn.IFNA(VLOOKUP(A72&amp;"-"&amp;B72&amp;"-"&amp;D72,Ref_Account!$A:$F,6,FALSE),"ACCOUNT TIDAK DITEMUKAN")</f>
        <v>1201.810110</v>
      </c>
      <c r="M72" s="47"/>
      <c r="N72" s="45">
        <f t="shared" si="10"/>
        <v>1</v>
      </c>
      <c r="O72" s="45" t="str">
        <f t="shared" si="11"/>
        <v>OVER</v>
      </c>
    </row>
    <row r="73" spans="1:15">
      <c r="A73" s="75" t="s">
        <v>66</v>
      </c>
      <c r="B73" s="83" t="s">
        <v>115</v>
      </c>
      <c r="C73" s="75" t="s">
        <v>116</v>
      </c>
      <c r="D73" s="46" t="s">
        <v>100</v>
      </c>
      <c r="E73" s="46" t="s">
        <v>74</v>
      </c>
      <c r="F73" s="46"/>
      <c r="G73" s="80">
        <v>109.79</v>
      </c>
      <c r="H73" s="80"/>
      <c r="I73" s="80">
        <f t="shared" si="8"/>
        <v>109.79</v>
      </c>
      <c r="J73" s="50">
        <f>G73/VLOOKUP(A73,RESUME!$G$3:$I$10,3,FALSE)</f>
        <v>1.2598464591532744E-3</v>
      </c>
      <c r="K73" s="50" t="str">
        <f t="shared" si="9"/>
        <v/>
      </c>
      <c r="L73" s="49" t="str">
        <f>_xlfn.IFNA(VLOOKUP(A73&amp;"-"&amp;B73&amp;"-"&amp;D73,Ref_Account!$A:$F,6,FALSE),"ACCOUNT TIDAK DITEMUKAN")</f>
        <v>1206.810110</v>
      </c>
      <c r="M73" s="49"/>
      <c r="N73" s="46">
        <f t="shared" si="10"/>
        <v>1</v>
      </c>
      <c r="O73" s="46" t="str">
        <f t="shared" si="11"/>
        <v>OK</v>
      </c>
    </row>
    <row r="74" spans="1:15">
      <c r="A74" s="74" t="s">
        <v>66</v>
      </c>
      <c r="B74" s="82" t="s">
        <v>115</v>
      </c>
      <c r="C74" s="74" t="s">
        <v>116</v>
      </c>
      <c r="D74" s="45" t="s">
        <v>24</v>
      </c>
      <c r="E74" s="45" t="s">
        <v>74</v>
      </c>
      <c r="F74" s="45"/>
      <c r="G74" s="79">
        <v>169.38</v>
      </c>
      <c r="H74" s="79">
        <v>50.62</v>
      </c>
      <c r="I74" s="79">
        <f t="shared" si="8"/>
        <v>118.75999999999999</v>
      </c>
      <c r="J74" s="48">
        <f>G74/VLOOKUP(A74,RESUME!$G$3:$I$10,3,FALSE)</f>
        <v>1.9436450792547739E-3</v>
      </c>
      <c r="K74" s="48">
        <f t="shared" si="9"/>
        <v>6.503646849549064E-3</v>
      </c>
      <c r="L74" s="47" t="str">
        <f>_xlfn.IFNA(VLOOKUP(A74&amp;"-"&amp;B74&amp;"-"&amp;D74,Ref_Account!$A:$F,6,FALSE),"ACCOUNT TIDAK DITEMUKAN")</f>
        <v>1205.810110</v>
      </c>
      <c r="M74" s="47"/>
      <c r="N74" s="45">
        <f t="shared" si="10"/>
        <v>1</v>
      </c>
      <c r="O74" s="45" t="str">
        <f t="shared" si="11"/>
        <v>OK</v>
      </c>
    </row>
    <row r="75" spans="1:15">
      <c r="A75" s="75" t="s">
        <v>66</v>
      </c>
      <c r="B75" s="83" t="s">
        <v>115</v>
      </c>
      <c r="C75" s="75" t="s">
        <v>116</v>
      </c>
      <c r="D75" s="46" t="s">
        <v>15</v>
      </c>
      <c r="E75" s="46" t="s">
        <v>74</v>
      </c>
      <c r="F75" s="46"/>
      <c r="G75" s="80">
        <v>142.08000000000001</v>
      </c>
      <c r="H75" s="80">
        <v>60.12</v>
      </c>
      <c r="I75" s="80">
        <f t="shared" si="8"/>
        <v>81.960000000000008</v>
      </c>
      <c r="J75" s="50">
        <f>G75/VLOOKUP(A75,RESUME!$G$3:$I$10,3,FALSE)</f>
        <v>1.6303760353082908E-3</v>
      </c>
      <c r="K75" s="50">
        <f t="shared" si="9"/>
        <v>3.8530244028044244E-3</v>
      </c>
      <c r="L75" s="49" t="str">
        <f>_xlfn.IFNA(VLOOKUP(A75&amp;"-"&amp;B75&amp;"-"&amp;D75,Ref_Account!$A:$F,6,FALSE),"ACCOUNT TIDAK DITEMUKAN")</f>
        <v>1204.810110</v>
      </c>
      <c r="M75" s="49"/>
      <c r="N75" s="46">
        <f t="shared" si="10"/>
        <v>1</v>
      </c>
      <c r="O75" s="46" t="str">
        <f t="shared" si="11"/>
        <v>OK</v>
      </c>
    </row>
    <row r="76" spans="1:15">
      <c r="A76" s="74" t="s">
        <v>66</v>
      </c>
      <c r="B76" s="82" t="s">
        <v>117</v>
      </c>
      <c r="C76" s="74" t="s">
        <v>118</v>
      </c>
      <c r="D76" s="45" t="s">
        <v>13</v>
      </c>
      <c r="E76" s="45" t="s">
        <v>74</v>
      </c>
      <c r="F76" s="45"/>
      <c r="G76" s="79">
        <v>4300</v>
      </c>
      <c r="H76" s="79">
        <v>2655.51</v>
      </c>
      <c r="I76" s="79">
        <f t="shared" si="8"/>
        <v>1644.4899999999998</v>
      </c>
      <c r="J76" s="48">
        <f>G76/VLOOKUP(A76,RESUME!$G$3:$I$10,3,FALSE)</f>
        <v>4.934274318570981E-2</v>
      </c>
      <c r="K76" s="48">
        <f t="shared" si="9"/>
        <v>7.9899452722283923E-2</v>
      </c>
      <c r="L76" s="47" t="str">
        <f>_xlfn.IFNA(VLOOKUP(A76&amp;"-"&amp;B76&amp;"-"&amp;D76,Ref_Account!$A:$F,6,FALSE),"ACCOUNT TIDAK DITEMUKAN")</f>
        <v>1201.630130</v>
      </c>
      <c r="M76" s="47"/>
      <c r="N76" s="45">
        <f t="shared" si="10"/>
        <v>1</v>
      </c>
      <c r="O76" s="45" t="str">
        <f t="shared" si="11"/>
        <v>OK</v>
      </c>
    </row>
    <row r="77" spans="1:15">
      <c r="A77" s="75" t="s">
        <v>66</v>
      </c>
      <c r="B77" s="83" t="s">
        <v>119</v>
      </c>
      <c r="C77" s="75" t="s">
        <v>120</v>
      </c>
      <c r="D77" s="46" t="s">
        <v>13</v>
      </c>
      <c r="E77" s="46" t="s">
        <v>121</v>
      </c>
      <c r="F77" s="46"/>
      <c r="G77" s="80">
        <v>1495.98</v>
      </c>
      <c r="H77" s="80">
        <v>367.61</v>
      </c>
      <c r="I77" s="80">
        <f t="shared" si="8"/>
        <v>1128.3699999999999</v>
      </c>
      <c r="J77" s="50">
        <f>G77/VLOOKUP(A77,RESUME!$G$3:$I$10,3,FALSE)</f>
        <v>1.7166455104873992E-2</v>
      </c>
      <c r="K77" s="50">
        <f t="shared" si="9"/>
        <v>6.9858473675333627E-2</v>
      </c>
      <c r="L77" s="49" t="str">
        <f>_xlfn.IFNA(VLOOKUP(A77&amp;"-"&amp;B77&amp;"-"&amp;D77,Ref_Account!$A:$F,6,FALSE),"ACCOUNT TIDAK DITEMUKAN")</f>
        <v>1201.816130</v>
      </c>
      <c r="M77" s="49"/>
      <c r="N77" s="46">
        <f t="shared" si="10"/>
        <v>1</v>
      </c>
      <c r="O77" s="46" t="str">
        <f t="shared" si="11"/>
        <v>OK</v>
      </c>
    </row>
    <row r="78" spans="1:15">
      <c r="A78" s="74" t="s">
        <v>66</v>
      </c>
      <c r="B78" s="82" t="s">
        <v>119</v>
      </c>
      <c r="C78" s="74" t="s">
        <v>120</v>
      </c>
      <c r="D78" s="45" t="s">
        <v>100</v>
      </c>
      <c r="E78" s="45" t="s">
        <v>121</v>
      </c>
      <c r="F78" s="45"/>
      <c r="G78" s="79">
        <v>516.97</v>
      </c>
      <c r="H78" s="79">
        <v>562.23</v>
      </c>
      <c r="I78" s="79">
        <f t="shared" si="8"/>
        <v>-45.259999999999991</v>
      </c>
      <c r="J78" s="48">
        <f>G78/VLOOKUP(A78,RESUME!$G$3:$I$10,3,FALSE)</f>
        <v>5.9322599871433493E-3</v>
      </c>
      <c r="K78" s="48">
        <f t="shared" si="9"/>
        <v>5.4547079407955773E-3</v>
      </c>
      <c r="L78" s="47" t="str">
        <f>_xlfn.IFNA(VLOOKUP(A78&amp;"-"&amp;B78&amp;"-"&amp;D78,Ref_Account!$A:$F,6,FALSE),"ACCOUNT TIDAK DITEMUKAN")</f>
        <v>1206.816130</v>
      </c>
      <c r="M78" s="47"/>
      <c r="N78" s="45">
        <f t="shared" si="10"/>
        <v>1</v>
      </c>
      <c r="O78" s="45" t="str">
        <f t="shared" si="11"/>
        <v>OVER</v>
      </c>
    </row>
    <row r="79" spans="1:15">
      <c r="A79" s="75" t="s">
        <v>66</v>
      </c>
      <c r="B79" s="83" t="s">
        <v>119</v>
      </c>
      <c r="C79" s="75" t="s">
        <v>120</v>
      </c>
      <c r="D79" s="46" t="s">
        <v>24</v>
      </c>
      <c r="E79" s="46" t="s">
        <v>121</v>
      </c>
      <c r="F79" s="46"/>
      <c r="G79" s="80">
        <v>1463.62</v>
      </c>
      <c r="H79" s="80">
        <v>404.5</v>
      </c>
      <c r="I79" s="80">
        <f t="shared" si="8"/>
        <v>1059.1199999999999</v>
      </c>
      <c r="J79" s="50">
        <f>G79/VLOOKUP(A79,RESUME!$G$3:$I$10,3,FALSE)</f>
        <v>1.6795122274760137E-2</v>
      </c>
      <c r="K79" s="50">
        <f t="shared" si="9"/>
        <v>6.0770523767081412E-2</v>
      </c>
      <c r="L79" s="49" t="str">
        <f>_xlfn.IFNA(VLOOKUP(A79&amp;"-"&amp;B79&amp;"-"&amp;D79,Ref_Account!$A:$F,6,FALSE),"ACCOUNT TIDAK DITEMUKAN")</f>
        <v>1205.816130</v>
      </c>
      <c r="M79" s="49"/>
      <c r="N79" s="46">
        <f t="shared" si="10"/>
        <v>1</v>
      </c>
      <c r="O79" s="46" t="str">
        <f t="shared" si="11"/>
        <v>OK</v>
      </c>
    </row>
    <row r="80" spans="1:15">
      <c r="A80" s="74" t="s">
        <v>66</v>
      </c>
      <c r="B80" s="82" t="s">
        <v>119</v>
      </c>
      <c r="C80" s="74" t="s">
        <v>120</v>
      </c>
      <c r="D80" s="45" t="s">
        <v>15</v>
      </c>
      <c r="E80" s="45" t="s">
        <v>121</v>
      </c>
      <c r="F80" s="45"/>
      <c r="G80" s="79">
        <v>1779.8599999999997</v>
      </c>
      <c r="H80" s="79">
        <v>353.89</v>
      </c>
      <c r="I80" s="79">
        <f t="shared" si="8"/>
        <v>1425.9699999999998</v>
      </c>
      <c r="J80" s="48">
        <f>G80/VLOOKUP(A80,RESUME!$G$3:$I$10,3,FALSE)</f>
        <v>2.042399415965522E-2</v>
      </c>
      <c r="K80" s="48">
        <f t="shared" si="9"/>
        <v>0.10272076138066613</v>
      </c>
      <c r="L80" s="47" t="str">
        <f>_xlfn.IFNA(VLOOKUP(A80&amp;"-"&amp;B80&amp;"-"&amp;D80,Ref_Account!$A:$F,6,FALSE),"ACCOUNT TIDAK DITEMUKAN")</f>
        <v>1204.816130</v>
      </c>
      <c r="M80" s="47"/>
      <c r="N80" s="45">
        <f t="shared" si="10"/>
        <v>1</v>
      </c>
      <c r="O80" s="45" t="str">
        <f t="shared" si="11"/>
        <v>OK</v>
      </c>
    </row>
    <row r="81" spans="1:15">
      <c r="A81" s="75" t="s">
        <v>66</v>
      </c>
      <c r="B81" s="83" t="s">
        <v>21</v>
      </c>
      <c r="C81" s="75" t="s">
        <v>122</v>
      </c>
      <c r="D81" s="46" t="s">
        <v>100</v>
      </c>
      <c r="E81" s="46" t="s">
        <v>74</v>
      </c>
      <c r="F81" s="46"/>
      <c r="G81" s="80">
        <v>1115.46</v>
      </c>
      <c r="H81" s="80"/>
      <c r="I81" s="80">
        <f t="shared" si="8"/>
        <v>1115.46</v>
      </c>
      <c r="J81" s="50">
        <f>G81/VLOOKUP(A81,RESUME!$G$3:$I$10,3,FALSE)</f>
        <v>1.2799966584635319E-2</v>
      </c>
      <c r="K81" s="50" t="str">
        <f t="shared" si="9"/>
        <v/>
      </c>
      <c r="L81" s="49" t="str">
        <f>_xlfn.IFNA(VLOOKUP(A81&amp;"-"&amp;B81&amp;"-"&amp;D81,Ref_Account!$A:$F,6,FALSE),"ACCOUNT TIDAK DITEMUKAN")</f>
        <v>1206.631100</v>
      </c>
      <c r="M81" s="49"/>
      <c r="N81" s="46">
        <f t="shared" si="10"/>
        <v>1</v>
      </c>
      <c r="O81" s="46" t="str">
        <f t="shared" si="11"/>
        <v>OK</v>
      </c>
    </row>
    <row r="82" spans="1:15">
      <c r="A82" s="74" t="s">
        <v>66</v>
      </c>
      <c r="B82" s="82" t="s">
        <v>123</v>
      </c>
      <c r="C82" s="74" t="s">
        <v>124</v>
      </c>
      <c r="D82" s="45" t="s">
        <v>13</v>
      </c>
      <c r="E82" s="45" t="s">
        <v>81</v>
      </c>
      <c r="F82" s="45"/>
      <c r="G82" s="79">
        <v>651</v>
      </c>
      <c r="H82" s="79">
        <v>119.16</v>
      </c>
      <c r="I82" s="79">
        <f t="shared" si="8"/>
        <v>531.84</v>
      </c>
      <c r="J82" s="48">
        <f>G82/VLOOKUP(A82,RESUME!$G$3:$I$10,3,FALSE)</f>
        <v>7.4702618171853695E-3</v>
      </c>
      <c r="K82" s="48">
        <f t="shared" si="9"/>
        <v>4.081185333155149E-2</v>
      </c>
      <c r="L82" s="47" t="str">
        <f>_xlfn.IFNA(VLOOKUP(A82&amp;"-"&amp;B82&amp;"-"&amp;D82,Ref_Account!$A:$F,6,FALSE),"ACCOUNT TIDAK DITEMUKAN")</f>
        <v>1201.631110</v>
      </c>
      <c r="M82" s="47"/>
      <c r="N82" s="45">
        <f t="shared" si="10"/>
        <v>1</v>
      </c>
      <c r="O82" s="45" t="str">
        <f t="shared" si="11"/>
        <v>OK</v>
      </c>
    </row>
    <row r="83" spans="1:15">
      <c r="A83" s="75" t="s">
        <v>66</v>
      </c>
      <c r="B83" s="83" t="s">
        <v>125</v>
      </c>
      <c r="C83" s="75" t="s">
        <v>126</v>
      </c>
      <c r="D83" s="46" t="s">
        <v>13</v>
      </c>
      <c r="E83" s="46" t="s">
        <v>81</v>
      </c>
      <c r="F83" s="46"/>
      <c r="G83" s="80">
        <v>466</v>
      </c>
      <c r="H83" s="80"/>
      <c r="I83" s="80">
        <f t="shared" si="8"/>
        <v>466</v>
      </c>
      <c r="J83" s="50">
        <f>G83/VLOOKUP(A83,RESUME!$G$3:$I$10,3,FALSE)</f>
        <v>5.3473763545443653E-3</v>
      </c>
      <c r="K83" s="50" t="str">
        <f t="shared" si="9"/>
        <v/>
      </c>
      <c r="L83" s="49" t="str">
        <f>_xlfn.IFNA(VLOOKUP(A83&amp;"-"&amp;B83&amp;"-"&amp;D83,Ref_Account!$A:$F,6,FALSE),"ACCOUNT TIDAK DITEMUKAN")</f>
        <v>1201.631140</v>
      </c>
      <c r="M83" s="49"/>
      <c r="N83" s="46">
        <f t="shared" si="10"/>
        <v>1</v>
      </c>
      <c r="O83" s="46" t="str">
        <f t="shared" si="11"/>
        <v>OK</v>
      </c>
    </row>
    <row r="84" spans="1:15">
      <c r="A84" s="74" t="s">
        <v>66</v>
      </c>
      <c r="B84" s="82" t="s">
        <v>127</v>
      </c>
      <c r="C84" s="74" t="s">
        <v>128</v>
      </c>
      <c r="D84" s="45" t="s">
        <v>13</v>
      </c>
      <c r="E84" s="45" t="s">
        <v>74</v>
      </c>
      <c r="F84" s="45"/>
      <c r="G84" s="79">
        <v>1388.61</v>
      </c>
      <c r="H84" s="79"/>
      <c r="I84" s="79">
        <f t="shared" si="8"/>
        <v>1388.61</v>
      </c>
      <c r="J84" s="48">
        <f>G84/VLOOKUP(A84,RESUME!$G$3:$I$10,3,FALSE)</f>
        <v>1.5934378282583372E-2</v>
      </c>
      <c r="K84" s="48" t="str">
        <f t="shared" si="9"/>
        <v/>
      </c>
      <c r="L84" s="47" t="str">
        <f>_xlfn.IFNA(VLOOKUP(A84&amp;"-"&amp;B84&amp;"-"&amp;D84,Ref_Account!$A:$F,6,FALSE),"ACCOUNT TIDAK DITEMUKAN")</f>
        <v>1201.631000</v>
      </c>
      <c r="M84" s="47"/>
      <c r="N84" s="45">
        <f t="shared" si="10"/>
        <v>1</v>
      </c>
      <c r="O84" s="45" t="str">
        <f t="shared" si="11"/>
        <v>OK</v>
      </c>
    </row>
    <row r="85" spans="1:15">
      <c r="A85" s="75" t="s">
        <v>66</v>
      </c>
      <c r="B85" s="83" t="s">
        <v>129</v>
      </c>
      <c r="C85" s="75" t="s">
        <v>130</v>
      </c>
      <c r="D85" s="46" t="s">
        <v>13</v>
      </c>
      <c r="E85" s="46" t="s">
        <v>74</v>
      </c>
      <c r="F85" s="46"/>
      <c r="G85" s="80">
        <v>221.29</v>
      </c>
      <c r="H85" s="80"/>
      <c r="I85" s="80">
        <f t="shared" si="8"/>
        <v>221.29</v>
      </c>
      <c r="J85" s="50">
        <f>G85/VLOOKUP(A85,RESUME!$G$3:$I$10,3,FALSE)</f>
        <v>2.5393152650152848E-3</v>
      </c>
      <c r="K85" s="50" t="str">
        <f t="shared" si="9"/>
        <v/>
      </c>
      <c r="L85" s="49" t="str">
        <f>_xlfn.IFNA(VLOOKUP(A85&amp;"-"&amp;B85&amp;"-"&amp;D85,Ref_Account!$A:$F,6,FALSE),"ACCOUNT TIDAK DITEMUKAN")</f>
        <v>1201.815110</v>
      </c>
      <c r="M85" s="49"/>
      <c r="N85" s="46">
        <f t="shared" si="10"/>
        <v>1</v>
      </c>
      <c r="O85" s="46" t="str">
        <f t="shared" si="11"/>
        <v>OK</v>
      </c>
    </row>
    <row r="86" spans="1:15">
      <c r="A86" s="74" t="s">
        <v>66</v>
      </c>
      <c r="B86" s="82" t="s">
        <v>131</v>
      </c>
      <c r="C86" s="74" t="s">
        <v>132</v>
      </c>
      <c r="D86" s="45" t="s">
        <v>13</v>
      </c>
      <c r="E86" s="45" t="s">
        <v>74</v>
      </c>
      <c r="F86" s="45"/>
      <c r="G86" s="79">
        <v>764.4</v>
      </c>
      <c r="H86" s="79"/>
      <c r="I86" s="79">
        <f t="shared" si="8"/>
        <v>764.4</v>
      </c>
      <c r="J86" s="48">
        <f>G86/VLOOKUP(A86,RESUME!$G$3:$I$10,3,FALSE)</f>
        <v>8.7715332305015291E-3</v>
      </c>
      <c r="K86" s="48" t="str">
        <f t="shared" si="9"/>
        <v/>
      </c>
      <c r="L86" s="47" t="str">
        <f>_xlfn.IFNA(VLOOKUP(A86&amp;"-"&amp;B86&amp;"-"&amp;D86,Ref_Account!$A:$F,6,FALSE),"ACCOUNT TIDAK DITEMUKAN")</f>
        <v>1201.815120</v>
      </c>
      <c r="M86" s="47"/>
      <c r="N86" s="45">
        <f t="shared" si="10"/>
        <v>1</v>
      </c>
      <c r="O86" s="45" t="str">
        <f t="shared" si="11"/>
        <v>OK</v>
      </c>
    </row>
    <row r="87" spans="1:15">
      <c r="A87" s="75" t="s">
        <v>66</v>
      </c>
      <c r="B87" s="83" t="s">
        <v>133</v>
      </c>
      <c r="C87" s="75" t="s">
        <v>134</v>
      </c>
      <c r="D87" s="46" t="s">
        <v>13</v>
      </c>
      <c r="E87" s="46" t="s">
        <v>74</v>
      </c>
      <c r="F87" s="46"/>
      <c r="G87" s="80">
        <v>255</v>
      </c>
      <c r="H87" s="80">
        <v>139.61000000000001</v>
      </c>
      <c r="I87" s="80">
        <f t="shared" si="8"/>
        <v>115.38999999999999</v>
      </c>
      <c r="J87" s="50">
        <f>G87/VLOOKUP(A87,RESUME!$G$3:$I$10,3,FALSE)</f>
        <v>2.9261394214781401E-3</v>
      </c>
      <c r="K87" s="50">
        <f t="shared" si="9"/>
        <v>5.3446425934884721E-3</v>
      </c>
      <c r="L87" s="49" t="str">
        <f>_xlfn.IFNA(VLOOKUP(A87&amp;"-"&amp;B87&amp;"-"&amp;D87,Ref_Account!$A:$F,6,FALSE),"ACCOUNT TIDAK DITEMUKAN")</f>
        <v>1201.802120</v>
      </c>
      <c r="M87" s="49"/>
      <c r="N87" s="46">
        <f t="shared" si="10"/>
        <v>1</v>
      </c>
      <c r="O87" s="46" t="str">
        <f t="shared" si="11"/>
        <v>OK</v>
      </c>
    </row>
    <row r="88" spans="1:15">
      <c r="A88" s="74" t="s">
        <v>66</v>
      </c>
      <c r="B88" s="82" t="s">
        <v>135</v>
      </c>
      <c r="C88" s="74" t="s">
        <v>136</v>
      </c>
      <c r="D88" s="45" t="s">
        <v>13</v>
      </c>
      <c r="E88" s="45" t="s">
        <v>74</v>
      </c>
      <c r="F88" s="45"/>
      <c r="G88" s="79">
        <v>200</v>
      </c>
      <c r="H88" s="79"/>
      <c r="I88" s="79">
        <f t="shared" si="8"/>
        <v>200</v>
      </c>
      <c r="J88" s="48">
        <f>G88/VLOOKUP(A88,RESUME!$G$3:$I$10,3,FALSE)</f>
        <v>2.2950113109632469E-3</v>
      </c>
      <c r="K88" s="48" t="str">
        <f t="shared" si="9"/>
        <v/>
      </c>
      <c r="L88" s="47" t="str">
        <f>_xlfn.IFNA(VLOOKUP(A88&amp;"-"&amp;B88&amp;"-"&amp;D88,Ref_Account!$A:$F,6,FALSE),"ACCOUNT TIDAK DITEMUKAN")</f>
        <v>1201.814110</v>
      </c>
      <c r="M88" s="47"/>
      <c r="N88" s="45">
        <f t="shared" si="10"/>
        <v>1</v>
      </c>
      <c r="O88" s="45" t="str">
        <f t="shared" si="11"/>
        <v>OK</v>
      </c>
    </row>
    <row r="89" spans="1:15">
      <c r="A89" s="75" t="s">
        <v>66</v>
      </c>
      <c r="B89" s="83" t="s">
        <v>137</v>
      </c>
      <c r="C89" s="75" t="s">
        <v>138</v>
      </c>
      <c r="D89" s="46" t="s">
        <v>13</v>
      </c>
      <c r="E89" s="46" t="s">
        <v>74</v>
      </c>
      <c r="F89" s="46"/>
      <c r="G89" s="80">
        <v>464.37</v>
      </c>
      <c r="H89" s="80">
        <v>73.55</v>
      </c>
      <c r="I89" s="80">
        <f t="shared" si="8"/>
        <v>390.82</v>
      </c>
      <c r="J89" s="50">
        <f>G89/VLOOKUP(A89,RESUME!$G$3:$I$10,3,FALSE)</f>
        <v>5.3286720123600154E-3</v>
      </c>
      <c r="K89" s="50">
        <f t="shared" si="9"/>
        <v>3.3643445579600549E-2</v>
      </c>
      <c r="L89" s="49" t="str">
        <f>_xlfn.IFNA(VLOOKUP(A89&amp;"-"&amp;B89&amp;"-"&amp;D89,Ref_Account!$A:$F,6,FALSE),"ACCOUNT TIDAK DITEMUKAN")</f>
        <v>1201.630450</v>
      </c>
      <c r="M89" s="49"/>
      <c r="N89" s="46">
        <f t="shared" si="10"/>
        <v>1</v>
      </c>
      <c r="O89" s="46" t="str">
        <f t="shared" si="11"/>
        <v>OK</v>
      </c>
    </row>
    <row r="90" spans="1:15">
      <c r="A90" s="74" t="s">
        <v>66</v>
      </c>
      <c r="B90" s="82" t="s">
        <v>21</v>
      </c>
      <c r="C90" s="74" t="s">
        <v>139</v>
      </c>
      <c r="D90" s="45" t="s">
        <v>13</v>
      </c>
      <c r="E90" s="45" t="s">
        <v>74</v>
      </c>
      <c r="F90" s="45"/>
      <c r="G90" s="79">
        <v>515.79999999999995</v>
      </c>
      <c r="H90" s="79">
        <v>442.95</v>
      </c>
      <c r="I90" s="79">
        <f t="shared" si="8"/>
        <v>72.849999999999966</v>
      </c>
      <c r="J90" s="48">
        <f>G90/VLOOKUP(A90,RESUME!$G$3:$I$10,3,FALSE)</f>
        <v>5.9188341709742135E-3</v>
      </c>
      <c r="K90" s="48">
        <f t="shared" si="9"/>
        <v>6.8922782828502067E-3</v>
      </c>
      <c r="L90" s="47" t="str">
        <f>_xlfn.IFNA(VLOOKUP(A90&amp;"-"&amp;B90&amp;"-"&amp;D90,Ref_Account!$A:$F,6,FALSE),"ACCOUNT TIDAK DITEMUKAN")</f>
        <v>1201.631100</v>
      </c>
      <c r="M90" s="47"/>
      <c r="N90" s="45">
        <f t="shared" si="10"/>
        <v>3</v>
      </c>
      <c r="O90" s="45" t="str">
        <f t="shared" si="11"/>
        <v>OK</v>
      </c>
    </row>
    <row r="91" spans="1:15">
      <c r="A91" s="75" t="s">
        <v>66</v>
      </c>
      <c r="B91" s="83" t="s">
        <v>21</v>
      </c>
      <c r="C91" s="75" t="s">
        <v>122</v>
      </c>
      <c r="D91" s="46" t="s">
        <v>13</v>
      </c>
      <c r="E91" s="46" t="s">
        <v>74</v>
      </c>
      <c r="F91" s="46"/>
      <c r="G91" s="80">
        <v>1891.43</v>
      </c>
      <c r="H91" s="80"/>
      <c r="I91" s="80">
        <f t="shared" si="8"/>
        <v>1891.43</v>
      </c>
      <c r="J91" s="50">
        <f>G91/VLOOKUP(A91,RESUME!$G$3:$I$10,3,FALSE)</f>
        <v>2.1704266219476073E-2</v>
      </c>
      <c r="K91" s="50" t="str">
        <f t="shared" si="9"/>
        <v/>
      </c>
      <c r="L91" s="49" t="str">
        <f>_xlfn.IFNA(VLOOKUP(A91&amp;"-"&amp;B91&amp;"-"&amp;D91,Ref_Account!$A:$F,6,FALSE),"ACCOUNT TIDAK DITEMUKAN")</f>
        <v>1201.631100</v>
      </c>
      <c r="M91" s="49"/>
      <c r="N91" s="46">
        <f t="shared" si="10"/>
        <v>3</v>
      </c>
      <c r="O91" s="46" t="str">
        <f t="shared" si="11"/>
        <v>OK</v>
      </c>
    </row>
    <row r="92" spans="1:15" ht="16.5" customHeight="1">
      <c r="A92" s="74" t="s">
        <v>66</v>
      </c>
      <c r="B92" s="82" t="s">
        <v>21</v>
      </c>
      <c r="C92" s="74" t="s">
        <v>122</v>
      </c>
      <c r="D92" s="45" t="s">
        <v>24</v>
      </c>
      <c r="E92" s="45" t="s">
        <v>74</v>
      </c>
      <c r="F92" s="45"/>
      <c r="G92" s="79">
        <v>1328.48</v>
      </c>
      <c r="H92" s="79"/>
      <c r="I92" s="79">
        <f t="shared" si="8"/>
        <v>1328.48</v>
      </c>
      <c r="J92" s="48">
        <f>G92/VLOOKUP(A92,RESUME!$G$3:$I$10,3,FALSE)</f>
        <v>1.5244383131942272E-2</v>
      </c>
      <c r="K92" s="48" t="str">
        <f t="shared" si="9"/>
        <v/>
      </c>
      <c r="L92" s="47" t="str">
        <f>_xlfn.IFNA(VLOOKUP(A92&amp;"-"&amp;B92&amp;"-"&amp;D92,Ref_Account!$A:$F,6,FALSE),"ACCOUNT TIDAK DITEMUKAN")</f>
        <v>1205.631100</v>
      </c>
      <c r="M92" s="47"/>
      <c r="N92" s="45">
        <f t="shared" si="10"/>
        <v>3</v>
      </c>
      <c r="O92" s="45" t="str">
        <f t="shared" si="11"/>
        <v>OK</v>
      </c>
    </row>
    <row r="93" spans="1:15">
      <c r="A93" s="75" t="s">
        <v>66</v>
      </c>
      <c r="B93" s="83" t="s">
        <v>21</v>
      </c>
      <c r="C93" s="75" t="s">
        <v>122</v>
      </c>
      <c r="D93" s="46" t="s">
        <v>15</v>
      </c>
      <c r="E93" s="46" t="s">
        <v>74</v>
      </c>
      <c r="F93" s="46"/>
      <c r="G93" s="80">
        <v>1328.28</v>
      </c>
      <c r="H93" s="80"/>
      <c r="I93" s="80">
        <f t="shared" si="8"/>
        <v>1328.28</v>
      </c>
      <c r="J93" s="50">
        <f>G93/VLOOKUP(A93,RESUME!$G$3:$I$10,3,FALSE)</f>
        <v>1.5242088120631308E-2</v>
      </c>
      <c r="K93" s="50" t="str">
        <f t="shared" si="9"/>
        <v/>
      </c>
      <c r="L93" s="49" t="str">
        <f>_xlfn.IFNA(VLOOKUP(A93&amp;"-"&amp;B93&amp;"-"&amp;D93,Ref_Account!$A:$F,6,FALSE),"ACCOUNT TIDAK DITEMUKAN")</f>
        <v>1204.631100</v>
      </c>
      <c r="M93" s="49"/>
      <c r="N93" s="46">
        <f t="shared" si="10"/>
        <v>3</v>
      </c>
      <c r="O93" s="46" t="str">
        <f t="shared" si="11"/>
        <v>OK</v>
      </c>
    </row>
    <row r="94" spans="1:15">
      <c r="A94" s="74" t="s">
        <v>140</v>
      </c>
      <c r="B94" s="82" t="s">
        <v>92</v>
      </c>
      <c r="C94" s="74" t="s">
        <v>93</v>
      </c>
      <c r="D94" s="45" t="s">
        <v>100</v>
      </c>
      <c r="E94" s="45" t="s">
        <v>94</v>
      </c>
      <c r="F94" s="45"/>
      <c r="G94" s="79">
        <v>2736.7799999999997</v>
      </c>
      <c r="H94" s="79"/>
      <c r="I94" s="79">
        <f t="shared" si="8"/>
        <v>2736.7799999999997</v>
      </c>
      <c r="J94" s="48">
        <f>G94/VLOOKUP(A94,RESUME!$G$3:$I$10,3,FALSE)</f>
        <v>2.7232510432328692E-2</v>
      </c>
      <c r="K94" s="48" t="str">
        <f t="shared" si="9"/>
        <v/>
      </c>
      <c r="L94" s="47" t="str">
        <f>_xlfn.IFNA(VLOOKUP(A94&amp;"-"&amp;B94&amp;"-"&amp;D94,Ref_Account!$A:$F,6,FALSE),"ACCOUNT TIDAK DITEMUKAN")</f>
        <v>1206.801160</v>
      </c>
      <c r="M94" s="47"/>
      <c r="N94" s="45">
        <f t="shared" si="10"/>
        <v>1</v>
      </c>
      <c r="O94" s="45" t="str">
        <f t="shared" si="11"/>
        <v>OK</v>
      </c>
    </row>
    <row r="95" spans="1:15">
      <c r="A95" s="75" t="s">
        <v>140</v>
      </c>
      <c r="B95" s="83" t="s">
        <v>101</v>
      </c>
      <c r="C95" s="75" t="s">
        <v>102</v>
      </c>
      <c r="D95" s="46" t="s">
        <v>100</v>
      </c>
      <c r="E95" s="46" t="s">
        <v>74</v>
      </c>
      <c r="F95" s="46"/>
      <c r="G95" s="80">
        <v>200</v>
      </c>
      <c r="H95" s="80"/>
      <c r="I95" s="80">
        <f t="shared" si="8"/>
        <v>200</v>
      </c>
      <c r="J95" s="50">
        <f>G95/VLOOKUP(A95,RESUME!$G$3:$I$10,3,FALSE)</f>
        <v>1.990113230316554E-3</v>
      </c>
      <c r="K95" s="50" t="str">
        <f t="shared" si="9"/>
        <v/>
      </c>
      <c r="L95" s="49" t="str">
        <f>_xlfn.IFNA(VLOOKUP(A95&amp;"-"&amp;B95&amp;"-"&amp;D95,Ref_Account!$A:$F,6,FALSE),"ACCOUNT TIDAK DITEMUKAN")</f>
        <v>1206.630710</v>
      </c>
      <c r="M95" s="49"/>
      <c r="N95" s="46">
        <f t="shared" si="10"/>
        <v>1</v>
      </c>
      <c r="O95" s="46" t="str">
        <f t="shared" si="11"/>
        <v>OK</v>
      </c>
    </row>
    <row r="96" spans="1:15">
      <c r="A96" s="74" t="s">
        <v>140</v>
      </c>
      <c r="B96" s="82" t="s">
        <v>117</v>
      </c>
      <c r="C96" s="74" t="s">
        <v>118</v>
      </c>
      <c r="D96" s="45" t="s">
        <v>100</v>
      </c>
      <c r="E96" s="45" t="s">
        <v>94</v>
      </c>
      <c r="F96" s="45"/>
      <c r="G96" s="79">
        <v>1460</v>
      </c>
      <c r="H96" s="79">
        <v>2181.4299999999998</v>
      </c>
      <c r="I96" s="79">
        <f t="shared" si="8"/>
        <v>-721.42999999999984</v>
      </c>
      <c r="J96" s="48">
        <f>G96/VLOOKUP(A96,RESUME!$G$3:$I$10,3,FALSE)</f>
        <v>1.4527826581310844E-2</v>
      </c>
      <c r="K96" s="48">
        <f t="shared" si="9"/>
        <v>9.7232672186198209E-3</v>
      </c>
      <c r="L96" s="47" t="str">
        <f>_xlfn.IFNA(VLOOKUP(A96&amp;"-"&amp;B96&amp;"-"&amp;D96,Ref_Account!$A:$F,6,FALSE),"ACCOUNT TIDAK DITEMUKAN")</f>
        <v>1206.630130</v>
      </c>
      <c r="M96" s="47"/>
      <c r="N96" s="45">
        <f t="shared" si="10"/>
        <v>1</v>
      </c>
      <c r="O96" s="45" t="str">
        <f t="shared" si="11"/>
        <v>OVER</v>
      </c>
    </row>
    <row r="97" spans="1:15">
      <c r="A97" s="75" t="s">
        <v>140</v>
      </c>
      <c r="B97" s="83" t="s">
        <v>127</v>
      </c>
      <c r="C97" s="75" t="s">
        <v>128</v>
      </c>
      <c r="D97" s="46" t="s">
        <v>100</v>
      </c>
      <c r="E97" s="46" t="s">
        <v>74</v>
      </c>
      <c r="F97" s="46"/>
      <c r="G97" s="80">
        <v>4235.2299999999996</v>
      </c>
      <c r="H97" s="80"/>
      <c r="I97" s="80">
        <f t="shared" si="8"/>
        <v>4235.2299999999996</v>
      </c>
      <c r="J97" s="50">
        <f>G97/VLOOKUP(A97,RESUME!$G$3:$I$10,3,FALSE)</f>
        <v>4.2142936282167892E-2</v>
      </c>
      <c r="K97" s="50" t="str">
        <f t="shared" si="9"/>
        <v/>
      </c>
      <c r="L97" s="49" t="str">
        <f>_xlfn.IFNA(VLOOKUP(A97&amp;"-"&amp;B97&amp;"-"&amp;D97,Ref_Account!$A:$F,6,FALSE),"ACCOUNT TIDAK DITEMUKAN")</f>
        <v>1206.631000</v>
      </c>
      <c r="M97" s="49"/>
      <c r="N97" s="46">
        <f t="shared" si="10"/>
        <v>1</v>
      </c>
      <c r="O97" s="46" t="str">
        <f t="shared" si="11"/>
        <v>OK</v>
      </c>
    </row>
    <row r="98" spans="1:15">
      <c r="A98" s="74" t="s">
        <v>140</v>
      </c>
      <c r="B98" s="82" t="s">
        <v>129</v>
      </c>
      <c r="C98" s="74" t="s">
        <v>141</v>
      </c>
      <c r="D98" s="45" t="s">
        <v>100</v>
      </c>
      <c r="E98" s="45" t="s">
        <v>74</v>
      </c>
      <c r="F98" s="45"/>
      <c r="G98" s="79">
        <v>821.62</v>
      </c>
      <c r="H98" s="79"/>
      <c r="I98" s="79">
        <f t="shared" si="8"/>
        <v>821.62</v>
      </c>
      <c r="J98" s="48">
        <f>G98/VLOOKUP(A98,RESUME!$G$3:$I$10,3,FALSE)</f>
        <v>8.175584161463436E-3</v>
      </c>
      <c r="K98" s="48" t="str">
        <f t="shared" si="9"/>
        <v/>
      </c>
      <c r="L98" s="47" t="str">
        <f>_xlfn.IFNA(VLOOKUP(A98&amp;"-"&amp;B98&amp;"-"&amp;D98,Ref_Account!$A:$F,6,FALSE),"ACCOUNT TIDAK DITEMUKAN")</f>
        <v>1206.815110</v>
      </c>
      <c r="M98" s="47"/>
      <c r="N98" s="45">
        <f t="shared" si="10"/>
        <v>1</v>
      </c>
      <c r="O98" s="45" t="str">
        <f t="shared" si="11"/>
        <v>OK</v>
      </c>
    </row>
    <row r="99" spans="1:15">
      <c r="A99" s="75" t="s">
        <v>140</v>
      </c>
      <c r="B99" s="83" t="s">
        <v>133</v>
      </c>
      <c r="C99" s="75" t="s">
        <v>134</v>
      </c>
      <c r="D99" s="46" t="s">
        <v>100</v>
      </c>
      <c r="E99" s="46" t="s">
        <v>74</v>
      </c>
      <c r="F99" s="46"/>
      <c r="G99" s="80">
        <v>55</v>
      </c>
      <c r="H99" s="80"/>
      <c r="I99" s="80">
        <f t="shared" si="8"/>
        <v>55</v>
      </c>
      <c r="J99" s="50">
        <f>G99/VLOOKUP(A99,RESUME!$G$3:$I$10,3,FALSE)</f>
        <v>5.4728113833705236E-4</v>
      </c>
      <c r="K99" s="50" t="str">
        <f t="shared" si="9"/>
        <v/>
      </c>
      <c r="L99" s="49" t="str">
        <f>_xlfn.IFNA(VLOOKUP(A99&amp;"-"&amp;B99&amp;"-"&amp;D99,Ref_Account!$A:$F,6,FALSE),"ACCOUNT TIDAK DITEMUKAN")</f>
        <v>1206.802120</v>
      </c>
      <c r="M99" s="49"/>
      <c r="N99" s="46">
        <f t="shared" si="10"/>
        <v>1</v>
      </c>
      <c r="O99" s="46" t="str">
        <f t="shared" si="11"/>
        <v>OK</v>
      </c>
    </row>
    <row r="100" spans="1:15">
      <c r="A100" s="74" t="s">
        <v>140</v>
      </c>
      <c r="B100" s="82" t="s">
        <v>137</v>
      </c>
      <c r="C100" s="74" t="s">
        <v>138</v>
      </c>
      <c r="D100" s="45" t="s">
        <v>100</v>
      </c>
      <c r="E100" s="45" t="s">
        <v>74</v>
      </c>
      <c r="F100" s="45"/>
      <c r="G100" s="79">
        <v>20.09</v>
      </c>
      <c r="H100" s="79"/>
      <c r="I100" s="79">
        <f t="shared" si="8"/>
        <v>20.09</v>
      </c>
      <c r="J100" s="48">
        <f>G100/VLOOKUP(A100,RESUME!$G$3:$I$10,3,FALSE)</f>
        <v>1.9990687398529784E-4</v>
      </c>
      <c r="K100" s="48" t="str">
        <f t="shared" si="9"/>
        <v/>
      </c>
      <c r="L100" s="47" t="str">
        <f>_xlfn.IFNA(VLOOKUP(A100&amp;"-"&amp;B100&amp;"-"&amp;D100,Ref_Account!$A:$F,6,FALSE),"ACCOUNT TIDAK DITEMUKAN")</f>
        <v>1206.630450</v>
      </c>
      <c r="M100" s="47"/>
      <c r="N100" s="45">
        <f t="shared" si="10"/>
        <v>1</v>
      </c>
      <c r="O100" s="45" t="str">
        <f t="shared" si="11"/>
        <v>OK</v>
      </c>
    </row>
    <row r="101" spans="1:15">
      <c r="A101" s="75" t="s">
        <v>140</v>
      </c>
      <c r="B101" s="83" t="s">
        <v>79</v>
      </c>
      <c r="C101" s="75" t="s">
        <v>80</v>
      </c>
      <c r="D101" s="46" t="s">
        <v>100</v>
      </c>
      <c r="E101" s="46" t="s">
        <v>142</v>
      </c>
      <c r="F101" s="46"/>
      <c r="G101" s="80">
        <v>563</v>
      </c>
      <c r="H101" s="80">
        <v>84.77</v>
      </c>
      <c r="I101" s="80">
        <f t="shared" si="8"/>
        <v>478.23</v>
      </c>
      <c r="J101" s="50">
        <f>G101/VLOOKUP(A101,RESUME!$G$3:$I$10,3,FALSE)</f>
        <v>5.6021687433410999E-3</v>
      </c>
      <c r="K101" s="50">
        <f t="shared" si="9"/>
        <v>3.7206806682800984E-2</v>
      </c>
      <c r="L101" s="49" t="str">
        <f>_xlfn.IFNA(VLOOKUP(A101&amp;"-"&amp;B101&amp;"-"&amp;D101,Ref_Account!$A:$F,6,FALSE),"ACCOUNT TIDAK DITEMUKAN")</f>
        <v>1206.630300</v>
      </c>
      <c r="M101" s="49"/>
      <c r="N101" s="46">
        <f t="shared" si="10"/>
        <v>1</v>
      </c>
      <c r="O101" s="46" t="str">
        <f t="shared" si="11"/>
        <v>OK</v>
      </c>
    </row>
    <row r="102" spans="1:15">
      <c r="A102" s="74" t="s">
        <v>140</v>
      </c>
      <c r="B102" s="82" t="s">
        <v>103</v>
      </c>
      <c r="C102" s="74" t="s">
        <v>104</v>
      </c>
      <c r="D102" s="45" t="s">
        <v>100</v>
      </c>
      <c r="E102" s="45" t="s">
        <v>142</v>
      </c>
      <c r="F102" s="45"/>
      <c r="G102" s="79">
        <v>50</v>
      </c>
      <c r="H102" s="79"/>
      <c r="I102" s="79">
        <f t="shared" ref="I102:I133" si="12">G102-H102</f>
        <v>50</v>
      </c>
      <c r="J102" s="48">
        <f>G102/VLOOKUP(A102,RESUME!$G$3:$I$10,3,FALSE)</f>
        <v>4.9752830757913849E-4</v>
      </c>
      <c r="K102" s="48" t="str">
        <f t="shared" ref="K102:K133" si="13">IFERROR((G102/H102)*J102,"")</f>
        <v/>
      </c>
      <c r="L102" s="47" t="str">
        <f>_xlfn.IFNA(VLOOKUP(A102&amp;"-"&amp;B102&amp;"-"&amp;D102,Ref_Account!$A:$F,6,FALSE),"ACCOUNT TIDAK DITEMUKAN")</f>
        <v>1206.630770</v>
      </c>
      <c r="M102" s="47"/>
      <c r="N102" s="45">
        <f t="shared" ref="N102:N133" si="14">IF(L102="ACCOUNT TIDAK DITEMUKAN","9999",COUNTIF($L$6:$L$164,L102))</f>
        <v>1</v>
      </c>
      <c r="O102" s="45" t="str">
        <f t="shared" ref="O102:O133" si="15">IF(I102&gt;0,"OK","OVER")</f>
        <v>OK</v>
      </c>
    </row>
    <row r="103" spans="1:15">
      <c r="A103" s="75" t="s">
        <v>140</v>
      </c>
      <c r="B103" s="83" t="s">
        <v>105</v>
      </c>
      <c r="C103" s="75" t="s">
        <v>106</v>
      </c>
      <c r="D103" s="46" t="s">
        <v>100</v>
      </c>
      <c r="E103" s="46" t="s">
        <v>142</v>
      </c>
      <c r="F103" s="46"/>
      <c r="G103" s="80">
        <v>50</v>
      </c>
      <c r="H103" s="80"/>
      <c r="I103" s="80">
        <f t="shared" si="12"/>
        <v>50</v>
      </c>
      <c r="J103" s="50">
        <f>G103/VLOOKUP(A103,RESUME!$G$3:$I$10,3,FALSE)</f>
        <v>4.9752830757913849E-4</v>
      </c>
      <c r="K103" s="50" t="str">
        <f t="shared" si="13"/>
        <v/>
      </c>
      <c r="L103" s="49" t="str">
        <f>_xlfn.IFNA(VLOOKUP(A103&amp;"-"&amp;B103&amp;"-"&amp;D103,Ref_Account!$A:$F,6,FALSE),"ACCOUNT TIDAK DITEMUKAN")</f>
        <v>1206.630750</v>
      </c>
      <c r="M103" s="49"/>
      <c r="N103" s="46">
        <f t="shared" si="14"/>
        <v>1</v>
      </c>
      <c r="O103" s="46" t="str">
        <f t="shared" si="15"/>
        <v>OK</v>
      </c>
    </row>
    <row r="104" spans="1:15">
      <c r="A104" s="74" t="s">
        <v>140</v>
      </c>
      <c r="B104" s="82" t="s">
        <v>107</v>
      </c>
      <c r="C104" s="74" t="s">
        <v>108</v>
      </c>
      <c r="D104" s="45" t="s">
        <v>100</v>
      </c>
      <c r="E104" s="45" t="s">
        <v>142</v>
      </c>
      <c r="F104" s="45"/>
      <c r="G104" s="79">
        <v>50</v>
      </c>
      <c r="H104" s="79"/>
      <c r="I104" s="79">
        <f t="shared" si="12"/>
        <v>50</v>
      </c>
      <c r="J104" s="48">
        <f>G104/VLOOKUP(A104,RESUME!$G$3:$I$10,3,FALSE)</f>
        <v>4.9752830757913849E-4</v>
      </c>
      <c r="K104" s="48" t="str">
        <f t="shared" si="13"/>
        <v/>
      </c>
      <c r="L104" s="47" t="str">
        <f>_xlfn.IFNA(VLOOKUP(A104&amp;"-"&amp;B104&amp;"-"&amp;D104,Ref_Account!$A:$F,6,FALSE),"ACCOUNT TIDAK DITEMUKAN")</f>
        <v>1206.630720</v>
      </c>
      <c r="M104" s="47"/>
      <c r="N104" s="45">
        <f t="shared" si="14"/>
        <v>1</v>
      </c>
      <c r="O104" s="45" t="str">
        <f t="shared" si="15"/>
        <v>OK</v>
      </c>
    </row>
    <row r="105" spans="1:15">
      <c r="A105" s="75" t="s">
        <v>140</v>
      </c>
      <c r="B105" s="83" t="s">
        <v>109</v>
      </c>
      <c r="C105" s="75" t="s">
        <v>110</v>
      </c>
      <c r="D105" s="46" t="s">
        <v>100</v>
      </c>
      <c r="E105" s="46" t="s">
        <v>142</v>
      </c>
      <c r="F105" s="46"/>
      <c r="G105" s="80">
        <v>50</v>
      </c>
      <c r="H105" s="80"/>
      <c r="I105" s="80">
        <f t="shared" si="12"/>
        <v>50</v>
      </c>
      <c r="J105" s="50">
        <f>G105/VLOOKUP(A105,RESUME!$G$3:$I$10,3,FALSE)</f>
        <v>4.9752830757913849E-4</v>
      </c>
      <c r="K105" s="50" t="str">
        <f t="shared" si="13"/>
        <v/>
      </c>
      <c r="L105" s="49" t="str">
        <f>_xlfn.IFNA(VLOOKUP(A105&amp;"-"&amp;B105&amp;"-"&amp;D105,Ref_Account!$A:$F,6,FALSE),"ACCOUNT TIDAK DITEMUKAN")</f>
        <v>1206.630760</v>
      </c>
      <c r="M105" s="49"/>
      <c r="N105" s="46">
        <f t="shared" si="14"/>
        <v>1</v>
      </c>
      <c r="O105" s="46" t="str">
        <f t="shared" si="15"/>
        <v>OK</v>
      </c>
    </row>
    <row r="106" spans="1:15">
      <c r="A106" s="74" t="s">
        <v>140</v>
      </c>
      <c r="B106" s="82" t="s">
        <v>111</v>
      </c>
      <c r="C106" s="74" t="s">
        <v>112</v>
      </c>
      <c r="D106" s="45" t="s">
        <v>100</v>
      </c>
      <c r="E106" s="45" t="s">
        <v>142</v>
      </c>
      <c r="F106" s="45"/>
      <c r="G106" s="79">
        <v>50</v>
      </c>
      <c r="H106" s="79"/>
      <c r="I106" s="79">
        <f t="shared" si="12"/>
        <v>50</v>
      </c>
      <c r="J106" s="48">
        <f>G106/VLOOKUP(A106,RESUME!$G$3:$I$10,3,FALSE)</f>
        <v>4.9752830757913849E-4</v>
      </c>
      <c r="K106" s="48" t="str">
        <f t="shared" si="13"/>
        <v/>
      </c>
      <c r="L106" s="47" t="str">
        <f>_xlfn.IFNA(VLOOKUP(A106&amp;"-"&amp;B106&amp;"-"&amp;D106,Ref_Account!$A:$F,6,FALSE),"ACCOUNT TIDAK DITEMUKAN")</f>
        <v>1206.630730</v>
      </c>
      <c r="M106" s="47"/>
      <c r="N106" s="45">
        <f t="shared" si="14"/>
        <v>1</v>
      </c>
      <c r="O106" s="45" t="str">
        <f t="shared" si="15"/>
        <v>OK</v>
      </c>
    </row>
    <row r="107" spans="1:15">
      <c r="A107" s="75" t="s">
        <v>140</v>
      </c>
      <c r="B107" s="83" t="s">
        <v>113</v>
      </c>
      <c r="C107" s="75" t="s">
        <v>114</v>
      </c>
      <c r="D107" s="46" t="s">
        <v>100</v>
      </c>
      <c r="E107" s="46" t="s">
        <v>142</v>
      </c>
      <c r="F107" s="46"/>
      <c r="G107" s="80">
        <v>50</v>
      </c>
      <c r="H107" s="80"/>
      <c r="I107" s="80">
        <f t="shared" si="12"/>
        <v>50</v>
      </c>
      <c r="J107" s="50">
        <f>G107/VLOOKUP(A107,RESUME!$G$3:$I$10,3,FALSE)</f>
        <v>4.9752830757913849E-4</v>
      </c>
      <c r="K107" s="50" t="str">
        <f t="shared" si="13"/>
        <v/>
      </c>
      <c r="L107" s="49" t="str">
        <f>_xlfn.IFNA(VLOOKUP(A107&amp;"-"&amp;B107&amp;"-"&amp;D107,Ref_Account!$A:$F,6,FALSE),"ACCOUNT TIDAK DITEMUKAN")</f>
        <v>1206.630740</v>
      </c>
      <c r="M107" s="49"/>
      <c r="N107" s="46">
        <f t="shared" si="14"/>
        <v>1</v>
      </c>
      <c r="O107" s="46" t="str">
        <f t="shared" si="15"/>
        <v>OK</v>
      </c>
    </row>
    <row r="108" spans="1:15">
      <c r="A108" s="74" t="s">
        <v>140</v>
      </c>
      <c r="B108" s="82" t="s">
        <v>123</v>
      </c>
      <c r="C108" s="74" t="s">
        <v>124</v>
      </c>
      <c r="D108" s="45" t="s">
        <v>100</v>
      </c>
      <c r="E108" s="45" t="s">
        <v>142</v>
      </c>
      <c r="F108" s="45"/>
      <c r="G108" s="79">
        <v>3978</v>
      </c>
      <c r="H108" s="79">
        <v>2813.51</v>
      </c>
      <c r="I108" s="79">
        <f t="shared" si="12"/>
        <v>1164.4899999999998</v>
      </c>
      <c r="J108" s="48">
        <f>G108/VLOOKUP(A108,RESUME!$G$3:$I$10,3,FALSE)</f>
        <v>3.9583352150996259E-2</v>
      </c>
      <c r="K108" s="48">
        <f t="shared" si="13"/>
        <v>5.5966595056233359E-2</v>
      </c>
      <c r="L108" s="47" t="str">
        <f>_xlfn.IFNA(VLOOKUP(A108&amp;"-"&amp;B108&amp;"-"&amp;D108,Ref_Account!$A:$F,6,FALSE),"ACCOUNT TIDAK DITEMUKAN")</f>
        <v>1206.631110</v>
      </c>
      <c r="M108" s="47"/>
      <c r="N108" s="45">
        <f t="shared" si="14"/>
        <v>1</v>
      </c>
      <c r="O108" s="45" t="str">
        <f t="shared" si="15"/>
        <v>OK</v>
      </c>
    </row>
    <row r="109" spans="1:15">
      <c r="A109" s="75" t="s">
        <v>140</v>
      </c>
      <c r="B109" s="83" t="s">
        <v>69</v>
      </c>
      <c r="C109" s="75" t="s">
        <v>70</v>
      </c>
      <c r="D109" s="46" t="s">
        <v>100</v>
      </c>
      <c r="E109" s="46" t="s">
        <v>143</v>
      </c>
      <c r="F109" s="46"/>
      <c r="G109" s="80">
        <v>5000</v>
      </c>
      <c r="H109" s="80">
        <v>3055.97</v>
      </c>
      <c r="I109" s="80">
        <f t="shared" si="12"/>
        <v>1944.0300000000002</v>
      </c>
      <c r="J109" s="50">
        <f>G109/VLOOKUP(A109,RESUME!$G$3:$I$10,3,FALSE)</f>
        <v>4.9752830757913848E-2</v>
      </c>
      <c r="K109" s="50">
        <f t="shared" si="13"/>
        <v>8.1402681894642046E-2</v>
      </c>
      <c r="L109" s="49" t="str">
        <f>_xlfn.IFNA(VLOOKUP(A109&amp;"-"&amp;B109&amp;"-"&amp;D109,Ref_Account!$A:$F,6,FALSE),"ACCOUNT TIDAK DITEMUKAN")</f>
        <v>1206.812100</v>
      </c>
      <c r="M109" s="49"/>
      <c r="N109" s="46">
        <f t="shared" si="14"/>
        <v>1</v>
      </c>
      <c r="O109" s="46" t="str">
        <f t="shared" si="15"/>
        <v>OK</v>
      </c>
    </row>
    <row r="110" spans="1:15">
      <c r="A110" s="74" t="s">
        <v>140</v>
      </c>
      <c r="B110" s="82" t="s">
        <v>75</v>
      </c>
      <c r="C110" s="74" t="s">
        <v>76</v>
      </c>
      <c r="D110" s="45" t="s">
        <v>100</v>
      </c>
      <c r="E110" s="45" t="s">
        <v>74</v>
      </c>
      <c r="F110" s="45"/>
      <c r="G110" s="79">
        <v>3463.43</v>
      </c>
      <c r="H110" s="79">
        <v>3779.14</v>
      </c>
      <c r="I110" s="79">
        <f t="shared" si="12"/>
        <v>-315.71000000000004</v>
      </c>
      <c r="J110" s="48">
        <f>G110/VLOOKUP(A110,RESUME!$G$3:$I$10,3,FALSE)</f>
        <v>3.446308932637631E-2</v>
      </c>
      <c r="K110" s="48">
        <f t="shared" si="13"/>
        <v>3.1584036967577681E-2</v>
      </c>
      <c r="L110" s="47" t="str">
        <f>_xlfn.IFNA(VLOOKUP(A110&amp;"-"&amp;B110&amp;"-"&amp;D110,Ref_Account!$A:$F,6,FALSE),"ACCOUNT TIDAK DITEMUKAN")</f>
        <v>1206.630400</v>
      </c>
      <c r="M110" s="47"/>
      <c r="N110" s="45">
        <f t="shared" si="14"/>
        <v>1</v>
      </c>
      <c r="O110" s="45" t="str">
        <f t="shared" si="15"/>
        <v>OVER</v>
      </c>
    </row>
    <row r="111" spans="1:15">
      <c r="A111" s="75" t="s">
        <v>140</v>
      </c>
      <c r="B111" s="83" t="s">
        <v>86</v>
      </c>
      <c r="C111" s="75" t="s">
        <v>87</v>
      </c>
      <c r="D111" s="46" t="s">
        <v>100</v>
      </c>
      <c r="E111" s="46" t="s">
        <v>74</v>
      </c>
      <c r="F111" s="46"/>
      <c r="G111" s="80">
        <v>23.95</v>
      </c>
      <c r="H111" s="80"/>
      <c r="I111" s="80">
        <f t="shared" si="12"/>
        <v>23.95</v>
      </c>
      <c r="J111" s="50">
        <f>G111/VLOOKUP(A111,RESUME!$G$3:$I$10,3,FALSE)</f>
        <v>2.3831605933040734E-4</v>
      </c>
      <c r="K111" s="50" t="str">
        <f t="shared" si="13"/>
        <v/>
      </c>
      <c r="L111" s="49" t="str">
        <f>_xlfn.IFNA(VLOOKUP(A111&amp;"-"&amp;B111&amp;"-"&amp;D111,Ref_Account!$A:$F,6,FALSE),"ACCOUNT TIDAK DITEMUKAN")</f>
        <v>1206.808100</v>
      </c>
      <c r="M111" s="49"/>
      <c r="N111" s="46">
        <f t="shared" si="14"/>
        <v>1</v>
      </c>
      <c r="O111" s="46" t="str">
        <f t="shared" si="15"/>
        <v>OK</v>
      </c>
    </row>
    <row r="112" spans="1:15">
      <c r="A112" s="74" t="s">
        <v>140</v>
      </c>
      <c r="B112" s="82" t="s">
        <v>95</v>
      </c>
      <c r="C112" s="74" t="s">
        <v>96</v>
      </c>
      <c r="D112" s="45" t="s">
        <v>100</v>
      </c>
      <c r="E112" s="45" t="s">
        <v>144</v>
      </c>
      <c r="F112" s="45"/>
      <c r="G112" s="79">
        <v>47747.46</v>
      </c>
      <c r="H112" s="79"/>
      <c r="I112" s="79">
        <f t="shared" si="12"/>
        <v>47747.46</v>
      </c>
      <c r="J112" s="48">
        <f>G112/VLOOKUP(A112,RESUME!$G$3:$I$10,3,FALSE)</f>
        <v>0.47511425930005224</v>
      </c>
      <c r="K112" s="48" t="str">
        <f t="shared" si="13"/>
        <v/>
      </c>
      <c r="L112" s="47" t="str">
        <f>_xlfn.IFNA(VLOOKUP(A112&amp;"-"&amp;B112&amp;"-"&amp;D112,Ref_Account!$A:$F,6,FALSE),"ACCOUNT TIDAK DITEMUKAN")</f>
        <v>1206.630110</v>
      </c>
      <c r="M112" s="47"/>
      <c r="N112" s="45">
        <f t="shared" si="14"/>
        <v>1</v>
      </c>
      <c r="O112" s="45" t="str">
        <f t="shared" si="15"/>
        <v>OK</v>
      </c>
    </row>
    <row r="113" spans="1:15">
      <c r="A113" s="75" t="s">
        <v>140</v>
      </c>
      <c r="B113" s="83" t="s">
        <v>145</v>
      </c>
      <c r="C113" s="75" t="s">
        <v>146</v>
      </c>
      <c r="D113" s="46" t="s">
        <v>100</v>
      </c>
      <c r="E113" s="46" t="s">
        <v>147</v>
      </c>
      <c r="F113" s="46"/>
      <c r="G113" s="80">
        <v>2800</v>
      </c>
      <c r="H113" s="80"/>
      <c r="I113" s="80">
        <f t="shared" si="12"/>
        <v>2800</v>
      </c>
      <c r="J113" s="50">
        <f>G113/VLOOKUP(A113,RESUME!$G$3:$I$10,3,FALSE)</f>
        <v>2.7861585224431756E-2</v>
      </c>
      <c r="K113" s="50" t="str">
        <f t="shared" si="13"/>
        <v/>
      </c>
      <c r="L113" s="49" t="str">
        <f>_xlfn.IFNA(VLOOKUP(A113&amp;"-"&amp;B113&amp;"-"&amp;D113,Ref_Account!$A:$F,6,FALSE),"ACCOUNT TIDAK DITEMUKAN")</f>
        <v>1206.801110</v>
      </c>
      <c r="M113" s="49"/>
      <c r="N113" s="46">
        <f t="shared" si="14"/>
        <v>1</v>
      </c>
      <c r="O113" s="46" t="str">
        <f t="shared" si="15"/>
        <v>OK</v>
      </c>
    </row>
    <row r="114" spans="1:15">
      <c r="A114" s="74" t="s">
        <v>140</v>
      </c>
      <c r="B114" s="82" t="s">
        <v>26</v>
      </c>
      <c r="C114" s="74" t="s">
        <v>27</v>
      </c>
      <c r="D114" s="45" t="s">
        <v>100</v>
      </c>
      <c r="E114" s="45" t="s">
        <v>148</v>
      </c>
      <c r="F114" s="45"/>
      <c r="G114" s="79">
        <v>812</v>
      </c>
      <c r="H114" s="79">
        <v>343.88</v>
      </c>
      <c r="I114" s="79">
        <f t="shared" si="12"/>
        <v>468.12</v>
      </c>
      <c r="J114" s="48">
        <f>G114/VLOOKUP(A114,RESUME!$G$3:$I$10,3,FALSE)</f>
        <v>8.0798597150852098E-3</v>
      </c>
      <c r="K114" s="48">
        <f t="shared" si="13"/>
        <v>1.907888242598927E-2</v>
      </c>
      <c r="L114" s="47" t="str">
        <f>_xlfn.IFNA(VLOOKUP(A114&amp;"-"&amp;B114&amp;"-"&amp;D114,Ref_Account!$A:$F,6,FALSE),"ACCOUNT TIDAK DITEMUKAN")</f>
        <v>1206.631180</v>
      </c>
      <c r="M114" s="47"/>
      <c r="N114" s="45">
        <f t="shared" si="14"/>
        <v>1</v>
      </c>
      <c r="O114" s="45" t="str">
        <f t="shared" si="15"/>
        <v>OK</v>
      </c>
    </row>
    <row r="115" spans="1:15">
      <c r="A115" s="75" t="s">
        <v>140</v>
      </c>
      <c r="B115" s="83" t="s">
        <v>37</v>
      </c>
      <c r="C115" s="75" t="s">
        <v>38</v>
      </c>
      <c r="D115" s="46" t="s">
        <v>149</v>
      </c>
      <c r="E115" s="46" t="s">
        <v>150</v>
      </c>
      <c r="F115" s="46"/>
      <c r="G115" s="80">
        <v>26280.234329731342</v>
      </c>
      <c r="H115" s="80"/>
      <c r="I115" s="80">
        <f t="shared" si="12"/>
        <v>26280.234329731342</v>
      </c>
      <c r="J115" s="50">
        <f>G115/VLOOKUP(A115,RESUME!$G$3:$I$10,3,FALSE)</f>
        <v>0.26150321017708822</v>
      </c>
      <c r="K115" s="50" t="str">
        <f t="shared" si="13"/>
        <v/>
      </c>
      <c r="L115" s="49" t="str">
        <f>_xlfn.IFNA(VLOOKUP(A115&amp;"-"&amp;B115&amp;"-"&amp;D115,Ref_Account!$A:$F,6,FALSE),"ACCOUNT TIDAK DITEMUKAN")</f>
        <v>1206.630600</v>
      </c>
      <c r="M115" s="49"/>
      <c r="N115" s="46">
        <f t="shared" si="14"/>
        <v>1</v>
      </c>
      <c r="O115" s="46" t="str">
        <f t="shared" si="15"/>
        <v>OK</v>
      </c>
    </row>
    <row r="116" spans="1:15">
      <c r="A116" s="74" t="s">
        <v>325</v>
      </c>
      <c r="B116" s="82" t="s">
        <v>77</v>
      </c>
      <c r="C116" s="74" t="s">
        <v>78</v>
      </c>
      <c r="D116" s="45" t="s">
        <v>24</v>
      </c>
      <c r="E116" s="45" t="s">
        <v>71</v>
      </c>
      <c r="F116" s="45"/>
      <c r="G116" s="79">
        <v>137.53</v>
      </c>
      <c r="H116" s="79"/>
      <c r="I116" s="79">
        <f t="shared" si="12"/>
        <v>137.53</v>
      </c>
      <c r="J116" s="48">
        <f>G116/VLOOKUP(A116,RESUME!$G$3:$I$10,3,FALSE)</f>
        <v>5.5495675892985874E-4</v>
      </c>
      <c r="K116" s="48" t="str">
        <f t="shared" si="13"/>
        <v/>
      </c>
      <c r="L116" s="47" t="str">
        <f>_xlfn.IFNA(VLOOKUP(A116&amp;"-"&amp;B116&amp;"-"&amp;D116,Ref_Account!$A:$F,6,FALSE),"ACCOUNT TIDAK DITEMUKAN")</f>
        <v>1205.813100</v>
      </c>
      <c r="M116" s="47"/>
      <c r="N116" s="45">
        <f t="shared" si="14"/>
        <v>1</v>
      </c>
      <c r="O116" s="45" t="str">
        <f t="shared" si="15"/>
        <v>OK</v>
      </c>
    </row>
    <row r="117" spans="1:15">
      <c r="A117" s="75" t="s">
        <v>325</v>
      </c>
      <c r="B117" s="83" t="s">
        <v>92</v>
      </c>
      <c r="C117" s="75" t="s">
        <v>93</v>
      </c>
      <c r="D117" s="46" t="s">
        <v>24</v>
      </c>
      <c r="E117" s="46" t="s">
        <v>94</v>
      </c>
      <c r="F117" s="46"/>
      <c r="G117" s="80">
        <v>5157.3999999999996</v>
      </c>
      <c r="H117" s="80"/>
      <c r="I117" s="80">
        <f t="shared" si="12"/>
        <v>5157.3999999999996</v>
      </c>
      <c r="J117" s="50">
        <f>G117/VLOOKUP(A117,RESUME!$G$3:$I$10,3,FALSE)</f>
        <v>2.0810979339088584E-2</v>
      </c>
      <c r="K117" s="50" t="str">
        <f t="shared" si="13"/>
        <v/>
      </c>
      <c r="L117" s="49" t="str">
        <f>_xlfn.IFNA(VLOOKUP(A117&amp;"-"&amp;B117&amp;"-"&amp;D117,Ref_Account!$A:$F,6,FALSE),"ACCOUNT TIDAK DITEMUKAN")</f>
        <v>1205.801160</v>
      </c>
      <c r="M117" s="49"/>
      <c r="N117" s="46">
        <f t="shared" si="14"/>
        <v>1</v>
      </c>
      <c r="O117" s="46" t="str">
        <f t="shared" si="15"/>
        <v>OK</v>
      </c>
    </row>
    <row r="118" spans="1:15">
      <c r="A118" s="74" t="s">
        <v>325</v>
      </c>
      <c r="B118" s="82" t="s">
        <v>101</v>
      </c>
      <c r="C118" s="74" t="s">
        <v>102</v>
      </c>
      <c r="D118" s="45" t="s">
        <v>24</v>
      </c>
      <c r="E118" s="45" t="s">
        <v>74</v>
      </c>
      <c r="F118" s="45"/>
      <c r="G118" s="79">
        <v>500</v>
      </c>
      <c r="H118" s="79"/>
      <c r="I118" s="79">
        <f t="shared" si="12"/>
        <v>500</v>
      </c>
      <c r="J118" s="48">
        <f>G118/VLOOKUP(A118,RESUME!$G$3:$I$10,3,FALSE)</f>
        <v>2.0175843776988971E-3</v>
      </c>
      <c r="K118" s="48" t="str">
        <f t="shared" si="13"/>
        <v/>
      </c>
      <c r="L118" s="47" t="str">
        <f>_xlfn.IFNA(VLOOKUP(A118&amp;"-"&amp;B118&amp;"-"&amp;D118,Ref_Account!$A:$F,6,FALSE),"ACCOUNT TIDAK DITEMUKAN")</f>
        <v>1205.630710</v>
      </c>
      <c r="M118" s="47"/>
      <c r="N118" s="45">
        <f t="shared" si="14"/>
        <v>1</v>
      </c>
      <c r="O118" s="45" t="str">
        <f t="shared" si="15"/>
        <v>OK</v>
      </c>
    </row>
    <row r="119" spans="1:15">
      <c r="A119" s="75" t="s">
        <v>325</v>
      </c>
      <c r="B119" s="83" t="s">
        <v>113</v>
      </c>
      <c r="C119" s="75" t="s">
        <v>114</v>
      </c>
      <c r="D119" s="46" t="s">
        <v>24</v>
      </c>
      <c r="E119" s="46" t="s">
        <v>74</v>
      </c>
      <c r="F119" s="46"/>
      <c r="G119" s="80">
        <v>250</v>
      </c>
      <c r="H119" s="80"/>
      <c r="I119" s="80">
        <f t="shared" si="12"/>
        <v>250</v>
      </c>
      <c r="J119" s="50">
        <f>G119/VLOOKUP(A119,RESUME!$G$3:$I$10,3,FALSE)</f>
        <v>1.0087921888494486E-3</v>
      </c>
      <c r="K119" s="50" t="str">
        <f t="shared" si="13"/>
        <v/>
      </c>
      <c r="L119" s="49" t="str">
        <f>_xlfn.IFNA(VLOOKUP(A119&amp;"-"&amp;B119&amp;"-"&amp;D119,Ref_Account!$A:$F,6,FALSE),"ACCOUNT TIDAK DITEMUKAN")</f>
        <v>1205.630740</v>
      </c>
      <c r="M119" s="49"/>
      <c r="N119" s="46">
        <f t="shared" si="14"/>
        <v>1</v>
      </c>
      <c r="O119" s="46" t="str">
        <f t="shared" si="15"/>
        <v>OK</v>
      </c>
    </row>
    <row r="120" spans="1:15">
      <c r="A120" s="74" t="s">
        <v>325</v>
      </c>
      <c r="B120" s="82" t="s">
        <v>117</v>
      </c>
      <c r="C120" s="74" t="s">
        <v>118</v>
      </c>
      <c r="D120" s="45" t="s">
        <v>24</v>
      </c>
      <c r="E120" s="45" t="s">
        <v>94</v>
      </c>
      <c r="F120" s="45"/>
      <c r="G120" s="79">
        <v>3183.98</v>
      </c>
      <c r="H120" s="79">
        <v>3929.89</v>
      </c>
      <c r="I120" s="79">
        <f t="shared" si="12"/>
        <v>-745.90999999999985</v>
      </c>
      <c r="J120" s="48">
        <f>G120/VLOOKUP(A120,RESUME!$G$3:$I$10,3,FALSE)</f>
        <v>1.284789661381147E-2</v>
      </c>
      <c r="K120" s="48">
        <f t="shared" si="13"/>
        <v>1.040931065766305E-2</v>
      </c>
      <c r="L120" s="47" t="str">
        <f>_xlfn.IFNA(VLOOKUP(A120&amp;"-"&amp;B120&amp;"-"&amp;D120,Ref_Account!$A:$F,6,FALSE),"ACCOUNT TIDAK DITEMUKAN")</f>
        <v>1205.630130</v>
      </c>
      <c r="M120" s="47"/>
      <c r="N120" s="45">
        <f t="shared" si="14"/>
        <v>1</v>
      </c>
      <c r="O120" s="45" t="str">
        <f t="shared" si="15"/>
        <v>OVER</v>
      </c>
    </row>
    <row r="121" spans="1:15">
      <c r="A121" s="75" t="s">
        <v>325</v>
      </c>
      <c r="B121" s="83" t="s">
        <v>129</v>
      </c>
      <c r="C121" s="75" t="s">
        <v>141</v>
      </c>
      <c r="D121" s="46" t="s">
        <v>24</v>
      </c>
      <c r="E121" s="46" t="s">
        <v>74</v>
      </c>
      <c r="F121" s="46"/>
      <c r="G121" s="80">
        <v>126.99</v>
      </c>
      <c r="H121" s="80"/>
      <c r="I121" s="80">
        <f t="shared" si="12"/>
        <v>126.99</v>
      </c>
      <c r="J121" s="50">
        <f>G121/VLOOKUP(A121,RESUME!$G$3:$I$10,3,FALSE)</f>
        <v>5.124260802479659E-4</v>
      </c>
      <c r="K121" s="50" t="str">
        <f t="shared" si="13"/>
        <v/>
      </c>
      <c r="L121" s="49" t="str">
        <f>_xlfn.IFNA(VLOOKUP(A121&amp;"-"&amp;B121&amp;"-"&amp;D121,Ref_Account!$A:$F,6,FALSE),"ACCOUNT TIDAK DITEMUKAN")</f>
        <v>1205.815110</v>
      </c>
      <c r="M121" s="49"/>
      <c r="N121" s="46">
        <f t="shared" si="14"/>
        <v>1</v>
      </c>
      <c r="O121" s="46" t="str">
        <f t="shared" si="15"/>
        <v>OK</v>
      </c>
    </row>
    <row r="122" spans="1:15">
      <c r="A122" s="74" t="s">
        <v>325</v>
      </c>
      <c r="B122" s="82" t="s">
        <v>21</v>
      </c>
      <c r="C122" s="74" t="s">
        <v>151</v>
      </c>
      <c r="D122" s="45" t="s">
        <v>24</v>
      </c>
      <c r="E122" s="45" t="s">
        <v>74</v>
      </c>
      <c r="F122" s="45"/>
      <c r="G122" s="79">
        <v>754.58</v>
      </c>
      <c r="H122" s="79"/>
      <c r="I122" s="79">
        <f t="shared" si="12"/>
        <v>754.58</v>
      </c>
      <c r="J122" s="48">
        <f>G122/VLOOKUP(A122,RESUME!$G$3:$I$10,3,FALSE)</f>
        <v>3.0448576394480681E-3</v>
      </c>
      <c r="K122" s="48" t="str">
        <f t="shared" si="13"/>
        <v/>
      </c>
      <c r="L122" s="47" t="str">
        <f>_xlfn.IFNA(VLOOKUP(A122&amp;"-"&amp;B122&amp;"-"&amp;D122,Ref_Account!$A:$F,6,FALSE),"ACCOUNT TIDAK DITEMUKAN")</f>
        <v>1205.631100</v>
      </c>
      <c r="M122" s="47"/>
      <c r="N122" s="45">
        <f t="shared" si="14"/>
        <v>3</v>
      </c>
      <c r="O122" s="45" t="str">
        <f t="shared" si="15"/>
        <v>OK</v>
      </c>
    </row>
    <row r="123" spans="1:15">
      <c r="A123" s="75" t="s">
        <v>325</v>
      </c>
      <c r="B123" s="83" t="s">
        <v>69</v>
      </c>
      <c r="C123" s="75" t="s">
        <v>70</v>
      </c>
      <c r="D123" s="46" t="s">
        <v>24</v>
      </c>
      <c r="E123" s="46" t="s">
        <v>71</v>
      </c>
      <c r="F123" s="46"/>
      <c r="G123" s="80">
        <v>6722.26</v>
      </c>
      <c r="H123" s="80">
        <v>3755.27</v>
      </c>
      <c r="I123" s="80">
        <f t="shared" si="12"/>
        <v>2966.9900000000002</v>
      </c>
      <c r="J123" s="50">
        <f>G123/VLOOKUP(A123,RESUME!$G$3:$I$10,3,FALSE)</f>
        <v>2.7125453517660381E-2</v>
      </c>
      <c r="K123" s="50">
        <f t="shared" si="13"/>
        <v>4.8556921649742277E-2</v>
      </c>
      <c r="L123" s="49" t="str">
        <f>_xlfn.IFNA(VLOOKUP(A123&amp;"-"&amp;B123&amp;"-"&amp;D123,Ref_Account!$A:$F,6,FALSE),"ACCOUNT TIDAK DITEMUKAN")</f>
        <v>1205.812100</v>
      </c>
      <c r="M123" s="49"/>
      <c r="N123" s="46">
        <f t="shared" si="14"/>
        <v>1</v>
      </c>
      <c r="O123" s="46" t="str">
        <f t="shared" si="15"/>
        <v>OK</v>
      </c>
    </row>
    <row r="124" spans="1:15">
      <c r="A124" s="74" t="s">
        <v>325</v>
      </c>
      <c r="B124" s="82" t="s">
        <v>75</v>
      </c>
      <c r="C124" s="74" t="s">
        <v>76</v>
      </c>
      <c r="D124" s="45" t="s">
        <v>24</v>
      </c>
      <c r="E124" s="45" t="s">
        <v>74</v>
      </c>
      <c r="F124" s="45"/>
      <c r="G124" s="79">
        <v>5152.29</v>
      </c>
      <c r="H124" s="79">
        <v>4098.6000000000004</v>
      </c>
      <c r="I124" s="79">
        <f t="shared" si="12"/>
        <v>1053.6899999999996</v>
      </c>
      <c r="J124" s="48">
        <f>G124/VLOOKUP(A124,RESUME!$G$3:$I$10,3,FALSE)</f>
        <v>2.0790359626748502E-2</v>
      </c>
      <c r="K124" s="48">
        <f t="shared" si="13"/>
        <v>2.6135256429341735E-2</v>
      </c>
      <c r="L124" s="47" t="str">
        <f>_xlfn.IFNA(VLOOKUP(A124&amp;"-"&amp;B124&amp;"-"&amp;D124,Ref_Account!$A:$F,6,FALSE),"ACCOUNT TIDAK DITEMUKAN")</f>
        <v>1205.630400</v>
      </c>
      <c r="M124" s="47"/>
      <c r="N124" s="45">
        <f t="shared" si="14"/>
        <v>1</v>
      </c>
      <c r="O124" s="45" t="str">
        <f t="shared" si="15"/>
        <v>OK</v>
      </c>
    </row>
    <row r="125" spans="1:15">
      <c r="A125" s="75" t="s">
        <v>325</v>
      </c>
      <c r="B125" s="83" t="s">
        <v>79</v>
      </c>
      <c r="C125" s="75" t="s">
        <v>80</v>
      </c>
      <c r="D125" s="46" t="s">
        <v>24</v>
      </c>
      <c r="E125" s="46" t="s">
        <v>152</v>
      </c>
      <c r="F125" s="46"/>
      <c r="G125" s="80">
        <v>3188</v>
      </c>
      <c r="H125" s="80">
        <v>779.6</v>
      </c>
      <c r="I125" s="80">
        <f t="shared" si="12"/>
        <v>2408.4</v>
      </c>
      <c r="J125" s="50">
        <f>G125/VLOOKUP(A125,RESUME!$G$3:$I$10,3,FALSE)</f>
        <v>1.2864117992208169E-2</v>
      </c>
      <c r="K125" s="50">
        <f t="shared" si="13"/>
        <v>5.2604936068701438E-2</v>
      </c>
      <c r="L125" s="49" t="str">
        <f>_xlfn.IFNA(VLOOKUP(A125&amp;"-"&amp;B125&amp;"-"&amp;D125,Ref_Account!$A:$F,6,FALSE),"ACCOUNT TIDAK DITEMUKAN")</f>
        <v>1205.630300</v>
      </c>
      <c r="M125" s="49"/>
      <c r="N125" s="46">
        <f t="shared" si="14"/>
        <v>1</v>
      </c>
      <c r="O125" s="46" t="str">
        <f t="shared" si="15"/>
        <v>OK</v>
      </c>
    </row>
    <row r="126" spans="1:15">
      <c r="A126" s="74" t="s">
        <v>325</v>
      </c>
      <c r="B126" s="82" t="s">
        <v>153</v>
      </c>
      <c r="C126" s="74" t="s">
        <v>83</v>
      </c>
      <c r="D126" s="45" t="s">
        <v>24</v>
      </c>
      <c r="E126" s="45" t="s">
        <v>74</v>
      </c>
      <c r="F126" s="45"/>
      <c r="G126" s="79">
        <v>2043.4899999999998</v>
      </c>
      <c r="H126" s="79"/>
      <c r="I126" s="79">
        <f t="shared" si="12"/>
        <v>2043.4899999999998</v>
      </c>
      <c r="J126" s="48">
        <f>G126/VLOOKUP(A126,RESUME!$G$3:$I$10,3,FALSE)</f>
        <v>8.2458269999678389E-3</v>
      </c>
      <c r="K126" s="48" t="str">
        <f t="shared" si="13"/>
        <v/>
      </c>
      <c r="L126" s="47" t="str">
        <f>_xlfn.IFNA(VLOOKUP(A126&amp;"-"&amp;B126&amp;"-"&amp;D126,Ref_Account!$A:$F,6,FALSE),"ACCOUNT TIDAK DITEMUKAN")</f>
        <v>1205.630200</v>
      </c>
      <c r="M126" s="47"/>
      <c r="N126" s="45">
        <f t="shared" si="14"/>
        <v>1</v>
      </c>
      <c r="O126" s="45" t="str">
        <f t="shared" si="15"/>
        <v>OK</v>
      </c>
    </row>
    <row r="127" spans="1:15">
      <c r="A127" s="75" t="s">
        <v>325</v>
      </c>
      <c r="B127" s="83" t="s">
        <v>95</v>
      </c>
      <c r="C127" s="75" t="s">
        <v>96</v>
      </c>
      <c r="D127" s="46" t="s">
        <v>24</v>
      </c>
      <c r="E127" s="46" t="s">
        <v>154</v>
      </c>
      <c r="F127" s="46"/>
      <c r="G127" s="80">
        <v>78109.679999999993</v>
      </c>
      <c r="H127" s="80">
        <v>901.67</v>
      </c>
      <c r="I127" s="80">
        <f t="shared" si="12"/>
        <v>77208.009999999995</v>
      </c>
      <c r="J127" s="50">
        <f>G127/VLOOKUP(A127,RESUME!$G$3:$I$10,3,FALSE)</f>
        <v>0.31518574023011997</v>
      </c>
      <c r="K127" s="50">
        <f t="shared" si="13"/>
        <v>27.303844322133148</v>
      </c>
      <c r="L127" s="49" t="str">
        <f>_xlfn.IFNA(VLOOKUP(A127&amp;"-"&amp;B127&amp;"-"&amp;D127,Ref_Account!$A:$F,6,FALSE),"ACCOUNT TIDAK DITEMUKAN")</f>
        <v>1205.630110</v>
      </c>
      <c r="M127" s="49"/>
      <c r="N127" s="46">
        <f t="shared" si="14"/>
        <v>1</v>
      </c>
      <c r="O127" s="46" t="str">
        <f t="shared" si="15"/>
        <v>OK</v>
      </c>
    </row>
    <row r="128" spans="1:15">
      <c r="A128" s="74" t="s">
        <v>325</v>
      </c>
      <c r="B128" s="82" t="s">
        <v>103</v>
      </c>
      <c r="C128" s="74" t="s">
        <v>104</v>
      </c>
      <c r="D128" s="45" t="s">
        <v>24</v>
      </c>
      <c r="E128" s="45" t="s">
        <v>152</v>
      </c>
      <c r="F128" s="45"/>
      <c r="G128" s="79">
        <v>250</v>
      </c>
      <c r="H128" s="79"/>
      <c r="I128" s="79">
        <f t="shared" si="12"/>
        <v>250</v>
      </c>
      <c r="J128" s="48">
        <f>G128/VLOOKUP(A128,RESUME!$G$3:$I$10,3,FALSE)</f>
        <v>1.0087921888494486E-3</v>
      </c>
      <c r="K128" s="48" t="str">
        <f t="shared" si="13"/>
        <v/>
      </c>
      <c r="L128" s="47" t="str">
        <f>_xlfn.IFNA(VLOOKUP(A128&amp;"-"&amp;B128&amp;"-"&amp;D128,Ref_Account!$A:$F,6,FALSE),"ACCOUNT TIDAK DITEMUKAN")</f>
        <v>1205.630770</v>
      </c>
      <c r="M128" s="47"/>
      <c r="N128" s="45">
        <f t="shared" si="14"/>
        <v>1</v>
      </c>
      <c r="O128" s="45" t="str">
        <f t="shared" si="15"/>
        <v>OK</v>
      </c>
    </row>
    <row r="129" spans="1:15">
      <c r="A129" s="75" t="s">
        <v>325</v>
      </c>
      <c r="B129" s="83" t="s">
        <v>105</v>
      </c>
      <c r="C129" s="75" t="s">
        <v>106</v>
      </c>
      <c r="D129" s="46" t="s">
        <v>24</v>
      </c>
      <c r="E129" s="46" t="s">
        <v>152</v>
      </c>
      <c r="F129" s="46"/>
      <c r="G129" s="80">
        <v>250</v>
      </c>
      <c r="H129" s="80"/>
      <c r="I129" s="80">
        <f t="shared" si="12"/>
        <v>250</v>
      </c>
      <c r="J129" s="50">
        <f>G129/VLOOKUP(A129,RESUME!$G$3:$I$10,3,FALSE)</f>
        <v>1.0087921888494486E-3</v>
      </c>
      <c r="K129" s="50" t="str">
        <f t="shared" si="13"/>
        <v/>
      </c>
      <c r="L129" s="49" t="str">
        <f>_xlfn.IFNA(VLOOKUP(A129&amp;"-"&amp;B129&amp;"-"&amp;D129,Ref_Account!$A:$F,6,FALSE),"ACCOUNT TIDAK DITEMUKAN")</f>
        <v>1205.630750</v>
      </c>
      <c r="M129" s="49"/>
      <c r="N129" s="46">
        <f t="shared" si="14"/>
        <v>1</v>
      </c>
      <c r="O129" s="46" t="str">
        <f t="shared" si="15"/>
        <v>OK</v>
      </c>
    </row>
    <row r="130" spans="1:15">
      <c r="A130" s="74" t="s">
        <v>325</v>
      </c>
      <c r="B130" s="82" t="s">
        <v>107</v>
      </c>
      <c r="C130" s="74" t="s">
        <v>108</v>
      </c>
      <c r="D130" s="45" t="s">
        <v>24</v>
      </c>
      <c r="E130" s="45" t="s">
        <v>152</v>
      </c>
      <c r="F130" s="45"/>
      <c r="G130" s="79">
        <v>250</v>
      </c>
      <c r="H130" s="79"/>
      <c r="I130" s="79">
        <f t="shared" si="12"/>
        <v>250</v>
      </c>
      <c r="J130" s="48">
        <f>G130/VLOOKUP(A130,RESUME!$G$3:$I$10,3,FALSE)</f>
        <v>1.0087921888494486E-3</v>
      </c>
      <c r="K130" s="48" t="str">
        <f t="shared" si="13"/>
        <v/>
      </c>
      <c r="L130" s="47" t="str">
        <f>_xlfn.IFNA(VLOOKUP(A130&amp;"-"&amp;B130&amp;"-"&amp;D130,Ref_Account!$A:$F,6,FALSE),"ACCOUNT TIDAK DITEMUKAN")</f>
        <v>1205.630720</v>
      </c>
      <c r="M130" s="47"/>
      <c r="N130" s="45">
        <f t="shared" si="14"/>
        <v>1</v>
      </c>
      <c r="O130" s="45" t="str">
        <f t="shared" si="15"/>
        <v>OK</v>
      </c>
    </row>
    <row r="131" spans="1:15">
      <c r="A131" s="75" t="s">
        <v>325</v>
      </c>
      <c r="B131" s="83" t="s">
        <v>111</v>
      </c>
      <c r="C131" s="75" t="s">
        <v>112</v>
      </c>
      <c r="D131" s="46" t="s">
        <v>24</v>
      </c>
      <c r="E131" s="46" t="s">
        <v>152</v>
      </c>
      <c r="F131" s="46"/>
      <c r="G131" s="80">
        <v>250</v>
      </c>
      <c r="H131" s="80"/>
      <c r="I131" s="80">
        <f t="shared" si="12"/>
        <v>250</v>
      </c>
      <c r="J131" s="50">
        <f>G131/VLOOKUP(A131,RESUME!$G$3:$I$10,3,FALSE)</f>
        <v>1.0087921888494486E-3</v>
      </c>
      <c r="K131" s="50" t="str">
        <f t="shared" si="13"/>
        <v/>
      </c>
      <c r="L131" s="49" t="str">
        <f>_xlfn.IFNA(VLOOKUP(A131&amp;"-"&amp;B131&amp;"-"&amp;D131,Ref_Account!$A:$F,6,FALSE),"ACCOUNT TIDAK DITEMUKAN")</f>
        <v>1205.630730</v>
      </c>
      <c r="M131" s="49"/>
      <c r="N131" s="46">
        <f t="shared" si="14"/>
        <v>1</v>
      </c>
      <c r="O131" s="46" t="str">
        <f t="shared" si="15"/>
        <v>OK</v>
      </c>
    </row>
    <row r="132" spans="1:15">
      <c r="A132" s="74" t="s">
        <v>325</v>
      </c>
      <c r="B132" s="82" t="s">
        <v>145</v>
      </c>
      <c r="C132" s="74" t="s">
        <v>146</v>
      </c>
      <c r="D132" s="45" t="s">
        <v>24</v>
      </c>
      <c r="E132" s="45" t="s">
        <v>147</v>
      </c>
      <c r="F132" s="45"/>
      <c r="G132" s="79">
        <v>10800</v>
      </c>
      <c r="H132" s="79"/>
      <c r="I132" s="79">
        <f t="shared" si="12"/>
        <v>10800</v>
      </c>
      <c r="J132" s="48">
        <f>G132/VLOOKUP(A132,RESUME!$G$3:$I$10,3,FALSE)</f>
        <v>4.3579822558296184E-2</v>
      </c>
      <c r="K132" s="48" t="str">
        <f t="shared" si="13"/>
        <v/>
      </c>
      <c r="L132" s="47" t="str">
        <f>_xlfn.IFNA(VLOOKUP(A132&amp;"-"&amp;B132&amp;"-"&amp;D132,Ref_Account!$A:$F,6,FALSE),"ACCOUNT TIDAK DITEMUKAN")</f>
        <v>1205.801110</v>
      </c>
      <c r="M132" s="47"/>
      <c r="N132" s="45">
        <f t="shared" si="14"/>
        <v>1</v>
      </c>
      <c r="O132" s="45" t="str">
        <f t="shared" si="15"/>
        <v>OK</v>
      </c>
    </row>
    <row r="133" spans="1:15">
      <c r="A133" s="75" t="s">
        <v>325</v>
      </c>
      <c r="B133" s="83" t="s">
        <v>123</v>
      </c>
      <c r="C133" s="75" t="s">
        <v>124</v>
      </c>
      <c r="D133" s="46" t="s">
        <v>24</v>
      </c>
      <c r="E133" s="46" t="s">
        <v>152</v>
      </c>
      <c r="F133" s="46"/>
      <c r="G133" s="80">
        <v>1500</v>
      </c>
      <c r="H133" s="80">
        <v>2530.19</v>
      </c>
      <c r="I133" s="80">
        <f t="shared" si="12"/>
        <v>-1030.19</v>
      </c>
      <c r="J133" s="50">
        <f>G133/VLOOKUP(A133,RESUME!$G$3:$I$10,3,FALSE)</f>
        <v>6.0527531330966918E-3</v>
      </c>
      <c r="K133" s="50">
        <f t="shared" si="13"/>
        <v>3.5883193355617706E-3</v>
      </c>
      <c r="L133" s="49" t="str">
        <f>_xlfn.IFNA(VLOOKUP(A133&amp;"-"&amp;B133&amp;"-"&amp;D133,Ref_Account!$A:$F,6,FALSE),"ACCOUNT TIDAK DITEMUKAN")</f>
        <v>1205.631110</v>
      </c>
      <c r="M133" s="49"/>
      <c r="N133" s="46">
        <f t="shared" si="14"/>
        <v>1</v>
      </c>
      <c r="O133" s="46" t="str">
        <f t="shared" si="15"/>
        <v>OVER</v>
      </c>
    </row>
    <row r="134" spans="1:15">
      <c r="A134" s="74" t="s">
        <v>325</v>
      </c>
      <c r="B134" s="82" t="s">
        <v>77</v>
      </c>
      <c r="C134" s="74" t="s">
        <v>78</v>
      </c>
      <c r="D134" s="45" t="s">
        <v>15</v>
      </c>
      <c r="E134" s="45" t="s">
        <v>71</v>
      </c>
      <c r="F134" s="45"/>
      <c r="G134" s="79">
        <v>504.76</v>
      </c>
      <c r="H134" s="79"/>
      <c r="I134" s="79">
        <f t="shared" ref="I134:I162" si="16">G134-H134</f>
        <v>504.76</v>
      </c>
      <c r="J134" s="48">
        <f>G134/VLOOKUP(A134,RESUME!$G$3:$I$10,3,FALSE)</f>
        <v>2.0367917809745906E-3</v>
      </c>
      <c r="K134" s="48" t="str">
        <f t="shared" ref="K134:K162" si="17">IFERROR((G134/H134)*J134,"")</f>
        <v/>
      </c>
      <c r="L134" s="47" t="str">
        <f>_xlfn.IFNA(VLOOKUP(A134&amp;"-"&amp;B134&amp;"-"&amp;D134,Ref_Account!$A:$F,6,FALSE),"ACCOUNT TIDAK DITEMUKAN")</f>
        <v>1204.813100</v>
      </c>
      <c r="M134" s="47"/>
      <c r="N134" s="45">
        <f t="shared" ref="N134:N162" si="18">IF(L134="ACCOUNT TIDAK DITEMUKAN","9999",COUNTIF($L$6:$L$164,L134))</f>
        <v>1</v>
      </c>
      <c r="O134" s="45" t="str">
        <f t="shared" ref="O134:O162" si="19">IF(I134&gt;0,"OK","OVER")</f>
        <v>OK</v>
      </c>
    </row>
    <row r="135" spans="1:15">
      <c r="A135" s="75" t="s">
        <v>325</v>
      </c>
      <c r="B135" s="83" t="s">
        <v>92</v>
      </c>
      <c r="C135" s="75" t="s">
        <v>93</v>
      </c>
      <c r="D135" s="46" t="s">
        <v>15</v>
      </c>
      <c r="E135" s="46" t="s">
        <v>94</v>
      </c>
      <c r="F135" s="46"/>
      <c r="G135" s="80">
        <v>5702.68</v>
      </c>
      <c r="H135" s="80"/>
      <c r="I135" s="80">
        <f t="shared" si="16"/>
        <v>5702.68</v>
      </c>
      <c r="J135" s="50">
        <f>G135/VLOOKUP(A135,RESUME!$G$3:$I$10,3,FALSE)</f>
        <v>2.3011276158031897E-2</v>
      </c>
      <c r="K135" s="50" t="str">
        <f t="shared" si="17"/>
        <v/>
      </c>
      <c r="L135" s="49" t="str">
        <f>_xlfn.IFNA(VLOOKUP(A135&amp;"-"&amp;B135&amp;"-"&amp;D135,Ref_Account!$A:$F,6,FALSE),"ACCOUNT TIDAK DITEMUKAN")</f>
        <v>1204.801160</v>
      </c>
      <c r="M135" s="49"/>
      <c r="N135" s="46">
        <f t="shared" si="18"/>
        <v>1</v>
      </c>
      <c r="O135" s="46" t="str">
        <f t="shared" si="19"/>
        <v>OK</v>
      </c>
    </row>
    <row r="136" spans="1:15">
      <c r="A136" s="74" t="s">
        <v>325</v>
      </c>
      <c r="B136" s="82" t="s">
        <v>101</v>
      </c>
      <c r="C136" s="74" t="s">
        <v>102</v>
      </c>
      <c r="D136" s="45" t="s">
        <v>15</v>
      </c>
      <c r="E136" s="45" t="s">
        <v>74</v>
      </c>
      <c r="F136" s="45"/>
      <c r="G136" s="79">
        <v>700</v>
      </c>
      <c r="H136" s="79"/>
      <c r="I136" s="79">
        <f t="shared" si="16"/>
        <v>700</v>
      </c>
      <c r="J136" s="48">
        <f>G136/VLOOKUP(A136,RESUME!$G$3:$I$10,3,FALSE)</f>
        <v>2.8246181287784563E-3</v>
      </c>
      <c r="K136" s="48" t="str">
        <f t="shared" si="17"/>
        <v/>
      </c>
      <c r="L136" s="47" t="str">
        <f>_xlfn.IFNA(VLOOKUP(A136&amp;"-"&amp;B136&amp;"-"&amp;D136,Ref_Account!$A:$F,6,FALSE),"ACCOUNT TIDAK DITEMUKAN")</f>
        <v>1204.630710</v>
      </c>
      <c r="M136" s="47"/>
      <c r="N136" s="45">
        <f t="shared" si="18"/>
        <v>1</v>
      </c>
      <c r="O136" s="45" t="str">
        <f t="shared" si="19"/>
        <v>OK</v>
      </c>
    </row>
    <row r="137" spans="1:15">
      <c r="A137" s="75" t="s">
        <v>325</v>
      </c>
      <c r="B137" s="83" t="s">
        <v>113</v>
      </c>
      <c r="C137" s="75" t="s">
        <v>114</v>
      </c>
      <c r="D137" s="46" t="s">
        <v>15</v>
      </c>
      <c r="E137" s="46" t="s">
        <v>74</v>
      </c>
      <c r="F137" s="46"/>
      <c r="G137" s="80">
        <v>300</v>
      </c>
      <c r="H137" s="80"/>
      <c r="I137" s="80">
        <f t="shared" si="16"/>
        <v>300</v>
      </c>
      <c r="J137" s="50">
        <f>G137/VLOOKUP(A137,RESUME!$G$3:$I$10,3,FALSE)</f>
        <v>1.2105506266193384E-3</v>
      </c>
      <c r="K137" s="50" t="str">
        <f t="shared" si="17"/>
        <v/>
      </c>
      <c r="L137" s="49" t="str">
        <f>_xlfn.IFNA(VLOOKUP(A137&amp;"-"&amp;B137&amp;"-"&amp;D137,Ref_Account!$A:$F,6,FALSE),"ACCOUNT TIDAK DITEMUKAN")</f>
        <v>1204.630740</v>
      </c>
      <c r="M137" s="49"/>
      <c r="N137" s="46">
        <f t="shared" si="18"/>
        <v>1</v>
      </c>
      <c r="O137" s="46" t="str">
        <f t="shared" si="19"/>
        <v>OK</v>
      </c>
    </row>
    <row r="138" spans="1:15">
      <c r="A138" s="74" t="s">
        <v>325</v>
      </c>
      <c r="B138" s="82" t="s">
        <v>117</v>
      </c>
      <c r="C138" s="74" t="s">
        <v>118</v>
      </c>
      <c r="D138" s="45" t="s">
        <v>15</v>
      </c>
      <c r="E138" s="45" t="s">
        <v>94</v>
      </c>
      <c r="F138" s="45"/>
      <c r="G138" s="79">
        <v>3500</v>
      </c>
      <c r="H138" s="79">
        <v>4436.3599999999997</v>
      </c>
      <c r="I138" s="79">
        <f t="shared" si="16"/>
        <v>-936.35999999999967</v>
      </c>
      <c r="J138" s="48">
        <f>G138/VLOOKUP(A138,RESUME!$G$3:$I$10,3,FALSE)</f>
        <v>1.4123090643892281E-2</v>
      </c>
      <c r="K138" s="48">
        <f t="shared" si="17"/>
        <v>1.114220154667858E-2</v>
      </c>
      <c r="L138" s="47" t="str">
        <f>_xlfn.IFNA(VLOOKUP(A138&amp;"-"&amp;B138&amp;"-"&amp;D138,Ref_Account!$A:$F,6,FALSE),"ACCOUNT TIDAK DITEMUKAN")</f>
        <v>1204.630130</v>
      </c>
      <c r="M138" s="47"/>
      <c r="N138" s="45">
        <f t="shared" si="18"/>
        <v>1</v>
      </c>
      <c r="O138" s="45" t="str">
        <f t="shared" si="19"/>
        <v>OVER</v>
      </c>
    </row>
    <row r="139" spans="1:15">
      <c r="A139" s="75" t="s">
        <v>325</v>
      </c>
      <c r="B139" s="83" t="s">
        <v>129</v>
      </c>
      <c r="C139" s="75" t="s">
        <v>155</v>
      </c>
      <c r="D139" s="46" t="s">
        <v>15</v>
      </c>
      <c r="E139" s="46" t="s">
        <v>74</v>
      </c>
      <c r="F139" s="46"/>
      <c r="G139" s="80">
        <v>512.71</v>
      </c>
      <c r="H139" s="80"/>
      <c r="I139" s="80">
        <f t="shared" si="16"/>
        <v>512.71</v>
      </c>
      <c r="J139" s="50">
        <f>G139/VLOOKUP(A139,RESUME!$G$3:$I$10,3,FALSE)</f>
        <v>2.0688713725800032E-3</v>
      </c>
      <c r="K139" s="50" t="str">
        <f t="shared" si="17"/>
        <v/>
      </c>
      <c r="L139" s="49" t="str">
        <f>_xlfn.IFNA(VLOOKUP(A139&amp;"-"&amp;B139&amp;"-"&amp;D139,Ref_Account!$A:$F,6,FALSE),"ACCOUNT TIDAK DITEMUKAN")</f>
        <v>1204.815110</v>
      </c>
      <c r="M139" s="49"/>
      <c r="N139" s="46">
        <f t="shared" si="18"/>
        <v>1</v>
      </c>
      <c r="O139" s="46" t="str">
        <f t="shared" si="19"/>
        <v>OK</v>
      </c>
    </row>
    <row r="140" spans="1:15">
      <c r="A140" s="74" t="s">
        <v>325</v>
      </c>
      <c r="B140" s="82" t="s">
        <v>21</v>
      </c>
      <c r="C140" s="74" t="s">
        <v>151</v>
      </c>
      <c r="D140" s="45" t="s">
        <v>15</v>
      </c>
      <c r="E140" s="45" t="s">
        <v>74</v>
      </c>
      <c r="F140" s="45"/>
      <c r="G140" s="79">
        <v>754.58</v>
      </c>
      <c r="H140" s="79"/>
      <c r="I140" s="79">
        <f t="shared" si="16"/>
        <v>754.58</v>
      </c>
      <c r="J140" s="48">
        <f>G140/VLOOKUP(A140,RESUME!$G$3:$I$10,3,FALSE)</f>
        <v>3.0448576394480681E-3</v>
      </c>
      <c r="K140" s="48" t="str">
        <f t="shared" si="17"/>
        <v/>
      </c>
      <c r="L140" s="47" t="str">
        <f>_xlfn.IFNA(VLOOKUP(A140&amp;"-"&amp;B140&amp;"-"&amp;D140,Ref_Account!$A:$F,6,FALSE),"ACCOUNT TIDAK DITEMUKAN")</f>
        <v>1204.631100</v>
      </c>
      <c r="M140" s="47"/>
      <c r="N140" s="45">
        <f t="shared" si="18"/>
        <v>3</v>
      </c>
      <c r="O140" s="45" t="str">
        <f t="shared" si="19"/>
        <v>OK</v>
      </c>
    </row>
    <row r="141" spans="1:15">
      <c r="A141" s="75" t="s">
        <v>325</v>
      </c>
      <c r="B141" s="83" t="s">
        <v>67</v>
      </c>
      <c r="C141" s="75" t="s">
        <v>68</v>
      </c>
      <c r="D141" s="46" t="s">
        <v>15</v>
      </c>
      <c r="E141" s="46" t="s">
        <v>156</v>
      </c>
      <c r="F141" s="46"/>
      <c r="G141" s="80"/>
      <c r="H141" s="80"/>
      <c r="I141" s="80">
        <f t="shared" si="16"/>
        <v>0</v>
      </c>
      <c r="J141" s="50">
        <f>G141/VLOOKUP(A141,RESUME!$G$3:$I$10,3,FALSE)</f>
        <v>0</v>
      </c>
      <c r="K141" s="50" t="str">
        <f t="shared" si="17"/>
        <v/>
      </c>
      <c r="L141" s="49" t="str">
        <f>_xlfn.IFNA(VLOOKUP(A141&amp;"-"&amp;B141&amp;"-"&amp;D141,Ref_Account!$A:$F,6,FALSE),"ACCOUNT TIDAK DITEMUKAN")</f>
        <v>1204.720500</v>
      </c>
      <c r="M141" s="49"/>
      <c r="N141" s="46">
        <f t="shared" si="18"/>
        <v>1</v>
      </c>
      <c r="O141" s="46" t="str">
        <f t="shared" si="19"/>
        <v>OVER</v>
      </c>
    </row>
    <row r="142" spans="1:15">
      <c r="A142" s="74" t="s">
        <v>325</v>
      </c>
      <c r="B142" s="82" t="s">
        <v>69</v>
      </c>
      <c r="C142" s="74" t="s">
        <v>70</v>
      </c>
      <c r="D142" s="45" t="s">
        <v>15</v>
      </c>
      <c r="E142" s="45" t="s">
        <v>71</v>
      </c>
      <c r="F142" s="45"/>
      <c r="G142" s="79">
        <v>5672.9500000000007</v>
      </c>
      <c r="H142" s="79">
        <v>2802.67</v>
      </c>
      <c r="I142" s="79">
        <f t="shared" si="16"/>
        <v>2870.2800000000007</v>
      </c>
      <c r="J142" s="48">
        <f>G142/VLOOKUP(A142,RESUME!$G$3:$I$10,3,FALSE)</f>
        <v>2.2891310590933921E-2</v>
      </c>
      <c r="K142" s="48">
        <f t="shared" si="17"/>
        <v>4.6334837999778278E-2</v>
      </c>
      <c r="L142" s="47" t="str">
        <f>_xlfn.IFNA(VLOOKUP(A142&amp;"-"&amp;B142&amp;"-"&amp;D142,Ref_Account!$A:$F,6,FALSE),"ACCOUNT TIDAK DITEMUKAN")</f>
        <v>1204.812100</v>
      </c>
      <c r="M142" s="47"/>
      <c r="N142" s="45">
        <f t="shared" si="18"/>
        <v>1</v>
      </c>
      <c r="O142" s="45" t="str">
        <f t="shared" si="19"/>
        <v>OK</v>
      </c>
    </row>
    <row r="143" spans="1:15">
      <c r="A143" s="75" t="s">
        <v>325</v>
      </c>
      <c r="B143" s="83" t="s">
        <v>75</v>
      </c>
      <c r="C143" s="75" t="s">
        <v>76</v>
      </c>
      <c r="D143" s="46" t="s">
        <v>15</v>
      </c>
      <c r="E143" s="46" t="s">
        <v>74</v>
      </c>
      <c r="F143" s="46"/>
      <c r="G143" s="80">
        <v>4918.54</v>
      </c>
      <c r="H143" s="80">
        <v>5107.6000000000004</v>
      </c>
      <c r="I143" s="80">
        <f t="shared" si="16"/>
        <v>-189.0600000000004</v>
      </c>
      <c r="J143" s="50">
        <f>G143/VLOOKUP(A143,RESUME!$G$3:$I$10,3,FALSE)</f>
        <v>1.9847138930174268E-2</v>
      </c>
      <c r="K143" s="50">
        <f t="shared" si="17"/>
        <v>1.9112488588303576E-2</v>
      </c>
      <c r="L143" s="49" t="str">
        <f>_xlfn.IFNA(VLOOKUP(A143&amp;"-"&amp;B143&amp;"-"&amp;D143,Ref_Account!$A:$F,6,FALSE),"ACCOUNT TIDAK DITEMUKAN")</f>
        <v>1204.630400</v>
      </c>
      <c r="M143" s="49"/>
      <c r="N143" s="46">
        <f t="shared" si="18"/>
        <v>1</v>
      </c>
      <c r="O143" s="46" t="str">
        <f t="shared" si="19"/>
        <v>OVER</v>
      </c>
    </row>
    <row r="144" spans="1:15">
      <c r="A144" s="74" t="s">
        <v>325</v>
      </c>
      <c r="B144" s="82" t="s">
        <v>79</v>
      </c>
      <c r="C144" s="74" t="s">
        <v>80</v>
      </c>
      <c r="D144" s="45" t="s">
        <v>15</v>
      </c>
      <c r="E144" s="45" t="s">
        <v>157</v>
      </c>
      <c r="F144" s="45"/>
      <c r="G144" s="79">
        <v>1600</v>
      </c>
      <c r="H144" s="79">
        <v>254.14</v>
      </c>
      <c r="I144" s="79">
        <f t="shared" si="16"/>
        <v>1345.8600000000001</v>
      </c>
      <c r="J144" s="48">
        <f>G144/VLOOKUP(A144,RESUME!$G$3:$I$10,3,FALSE)</f>
        <v>6.4562700086364709E-3</v>
      </c>
      <c r="K144" s="48">
        <f t="shared" si="17"/>
        <v>4.0647013511522605E-2</v>
      </c>
      <c r="L144" s="47" t="str">
        <f>_xlfn.IFNA(VLOOKUP(A144&amp;"-"&amp;B144&amp;"-"&amp;D144,Ref_Account!$A:$F,6,FALSE),"ACCOUNT TIDAK DITEMUKAN")</f>
        <v>1204.630300</v>
      </c>
      <c r="M144" s="47"/>
      <c r="N144" s="45">
        <f t="shared" si="18"/>
        <v>1</v>
      </c>
      <c r="O144" s="45" t="str">
        <f t="shared" si="19"/>
        <v>OK</v>
      </c>
    </row>
    <row r="145" spans="1:15">
      <c r="A145" s="75" t="s">
        <v>325</v>
      </c>
      <c r="B145" s="83" t="s">
        <v>153</v>
      </c>
      <c r="C145" s="75" t="s">
        <v>83</v>
      </c>
      <c r="D145" s="46" t="s">
        <v>15</v>
      </c>
      <c r="E145" s="46" t="s">
        <v>74</v>
      </c>
      <c r="F145" s="46"/>
      <c r="G145" s="80">
        <v>3106.38</v>
      </c>
      <c r="H145" s="80">
        <v>126.43</v>
      </c>
      <c r="I145" s="80">
        <f t="shared" si="16"/>
        <v>2979.9500000000003</v>
      </c>
      <c r="J145" s="50">
        <f>G145/VLOOKUP(A145,RESUME!$G$3:$I$10,3,FALSE)</f>
        <v>1.2534767518392602E-2</v>
      </c>
      <c r="K145" s="50">
        <f t="shared" si="17"/>
        <v>0.30797873229284511</v>
      </c>
      <c r="L145" s="49" t="str">
        <f>_xlfn.IFNA(VLOOKUP(A145&amp;"-"&amp;B145&amp;"-"&amp;D145,Ref_Account!$A:$F,6,FALSE),"ACCOUNT TIDAK DITEMUKAN")</f>
        <v>1204.630200</v>
      </c>
      <c r="M145" s="49"/>
      <c r="N145" s="46">
        <f t="shared" si="18"/>
        <v>1</v>
      </c>
      <c r="O145" s="46" t="str">
        <f t="shared" si="19"/>
        <v>OK</v>
      </c>
    </row>
    <row r="146" spans="1:15">
      <c r="A146" s="74" t="s">
        <v>325</v>
      </c>
      <c r="B146" s="82" t="s">
        <v>95</v>
      </c>
      <c r="C146" s="74" t="s">
        <v>96</v>
      </c>
      <c r="D146" s="45" t="s">
        <v>15</v>
      </c>
      <c r="E146" s="45" t="s">
        <v>156</v>
      </c>
      <c r="F146" s="45"/>
      <c r="G146" s="79">
        <v>97892.700000000012</v>
      </c>
      <c r="H146" s="79">
        <v>901.66</v>
      </c>
      <c r="I146" s="79">
        <f t="shared" si="16"/>
        <v>96991.040000000008</v>
      </c>
      <c r="J146" s="48">
        <f>G146/VLOOKUP(A146,RESUME!$G$3:$I$10,3,FALSE)</f>
        <v>0.39501356442152974</v>
      </c>
      <c r="K146" s="48">
        <f t="shared" si="17"/>
        <v>42.886392163174023</v>
      </c>
      <c r="L146" s="47" t="str">
        <f>_xlfn.IFNA(VLOOKUP(A146&amp;"-"&amp;B146&amp;"-"&amp;D146,Ref_Account!$A:$F,6,FALSE),"ACCOUNT TIDAK DITEMUKAN")</f>
        <v>1204.630110</v>
      </c>
      <c r="M146" s="47"/>
      <c r="N146" s="45">
        <f t="shared" si="18"/>
        <v>1</v>
      </c>
      <c r="O146" s="45" t="str">
        <f t="shared" si="19"/>
        <v>OK</v>
      </c>
    </row>
    <row r="147" spans="1:15">
      <c r="A147" s="75" t="s">
        <v>325</v>
      </c>
      <c r="B147" s="83" t="s">
        <v>103</v>
      </c>
      <c r="C147" s="75" t="s">
        <v>104</v>
      </c>
      <c r="D147" s="46" t="s">
        <v>15</v>
      </c>
      <c r="E147" s="46" t="s">
        <v>157</v>
      </c>
      <c r="F147" s="46"/>
      <c r="G147" s="80">
        <v>300</v>
      </c>
      <c r="H147" s="80"/>
      <c r="I147" s="80">
        <f t="shared" si="16"/>
        <v>300</v>
      </c>
      <c r="J147" s="50">
        <f>G147/VLOOKUP(A147,RESUME!$G$3:$I$10,3,FALSE)</f>
        <v>1.2105506266193384E-3</v>
      </c>
      <c r="K147" s="50" t="str">
        <f t="shared" si="17"/>
        <v/>
      </c>
      <c r="L147" s="49" t="str">
        <f>_xlfn.IFNA(VLOOKUP(A147&amp;"-"&amp;B147&amp;"-"&amp;D147,Ref_Account!$A:$F,6,FALSE),"ACCOUNT TIDAK DITEMUKAN")</f>
        <v>1204.630770</v>
      </c>
      <c r="M147" s="49"/>
      <c r="N147" s="46">
        <f t="shared" si="18"/>
        <v>1</v>
      </c>
      <c r="O147" s="46" t="str">
        <f t="shared" si="19"/>
        <v>OK</v>
      </c>
    </row>
    <row r="148" spans="1:15">
      <c r="A148" s="74" t="s">
        <v>325</v>
      </c>
      <c r="B148" s="82" t="s">
        <v>105</v>
      </c>
      <c r="C148" s="74" t="s">
        <v>106</v>
      </c>
      <c r="D148" s="45" t="s">
        <v>15</v>
      </c>
      <c r="E148" s="45" t="s">
        <v>157</v>
      </c>
      <c r="F148" s="45"/>
      <c r="G148" s="79">
        <v>300</v>
      </c>
      <c r="H148" s="79"/>
      <c r="I148" s="79">
        <f t="shared" si="16"/>
        <v>300</v>
      </c>
      <c r="J148" s="48">
        <f>G148/VLOOKUP(A148,RESUME!$G$3:$I$10,3,FALSE)</f>
        <v>1.2105506266193384E-3</v>
      </c>
      <c r="K148" s="48" t="str">
        <f t="shared" si="17"/>
        <v/>
      </c>
      <c r="L148" s="47" t="str">
        <f>_xlfn.IFNA(VLOOKUP(A148&amp;"-"&amp;B148&amp;"-"&amp;D148,Ref_Account!$A:$F,6,FALSE),"ACCOUNT TIDAK DITEMUKAN")</f>
        <v>1204.630750</v>
      </c>
      <c r="M148" s="47"/>
      <c r="N148" s="45">
        <f t="shared" si="18"/>
        <v>1</v>
      </c>
      <c r="O148" s="45" t="str">
        <f t="shared" si="19"/>
        <v>OK</v>
      </c>
    </row>
    <row r="149" spans="1:15">
      <c r="A149" s="75" t="s">
        <v>325</v>
      </c>
      <c r="B149" s="83" t="s">
        <v>107</v>
      </c>
      <c r="C149" s="75" t="s">
        <v>108</v>
      </c>
      <c r="D149" s="46" t="s">
        <v>15</v>
      </c>
      <c r="E149" s="46" t="s">
        <v>157</v>
      </c>
      <c r="F149" s="46"/>
      <c r="G149" s="80">
        <v>300</v>
      </c>
      <c r="H149" s="80">
        <v>110.74</v>
      </c>
      <c r="I149" s="80">
        <f t="shared" si="16"/>
        <v>189.26</v>
      </c>
      <c r="J149" s="50">
        <f>G149/VLOOKUP(A149,RESUME!$G$3:$I$10,3,FALSE)</f>
        <v>1.2105506266193384E-3</v>
      </c>
      <c r="K149" s="50">
        <f t="shared" si="17"/>
        <v>3.2794400215441712E-3</v>
      </c>
      <c r="L149" s="49" t="str">
        <f>_xlfn.IFNA(VLOOKUP(A149&amp;"-"&amp;B149&amp;"-"&amp;D149,Ref_Account!$A:$F,6,FALSE),"ACCOUNT TIDAK DITEMUKAN")</f>
        <v>1204.630720</v>
      </c>
      <c r="M149" s="49"/>
      <c r="N149" s="46">
        <f t="shared" si="18"/>
        <v>1</v>
      </c>
      <c r="O149" s="46" t="str">
        <f t="shared" si="19"/>
        <v>OK</v>
      </c>
    </row>
    <row r="150" spans="1:15">
      <c r="A150" s="74" t="s">
        <v>325</v>
      </c>
      <c r="B150" s="82" t="s">
        <v>111</v>
      </c>
      <c r="C150" s="74" t="s">
        <v>112</v>
      </c>
      <c r="D150" s="45" t="s">
        <v>15</v>
      </c>
      <c r="E150" s="45" t="s">
        <v>157</v>
      </c>
      <c r="F150" s="45"/>
      <c r="G150" s="79">
        <v>300</v>
      </c>
      <c r="H150" s="79">
        <v>120.24</v>
      </c>
      <c r="I150" s="79">
        <f t="shared" si="16"/>
        <v>179.76</v>
      </c>
      <c r="J150" s="48">
        <f>G150/VLOOKUP(A150,RESUME!$G$3:$I$10,3,FALSE)</f>
        <v>1.2105506266193384E-3</v>
      </c>
      <c r="K150" s="48">
        <f t="shared" si="17"/>
        <v>3.0203358947588285E-3</v>
      </c>
      <c r="L150" s="47" t="str">
        <f>_xlfn.IFNA(VLOOKUP(A150&amp;"-"&amp;B150&amp;"-"&amp;D150,Ref_Account!$A:$F,6,FALSE),"ACCOUNT TIDAK DITEMUKAN")</f>
        <v>1204.630730</v>
      </c>
      <c r="M150" s="47"/>
      <c r="N150" s="45">
        <f t="shared" si="18"/>
        <v>1</v>
      </c>
      <c r="O150" s="45" t="str">
        <f t="shared" si="19"/>
        <v>OK</v>
      </c>
    </row>
    <row r="151" spans="1:15">
      <c r="A151" s="75" t="s">
        <v>325</v>
      </c>
      <c r="B151" s="83" t="s">
        <v>123</v>
      </c>
      <c r="C151" s="75" t="s">
        <v>124</v>
      </c>
      <c r="D151" s="46" t="s">
        <v>15</v>
      </c>
      <c r="E151" s="46" t="s">
        <v>157</v>
      </c>
      <c r="F151" s="46"/>
      <c r="G151" s="80">
        <v>2346.61</v>
      </c>
      <c r="H151" s="80">
        <v>2238.1</v>
      </c>
      <c r="I151" s="80">
        <f t="shared" si="16"/>
        <v>108.51000000000022</v>
      </c>
      <c r="J151" s="50">
        <f>G151/VLOOKUP(A151,RESUME!$G$3:$I$10,3,FALSE)</f>
        <v>9.46896735310402E-3</v>
      </c>
      <c r="K151" s="50">
        <f t="shared" si="17"/>
        <v>9.9280521337149485E-3</v>
      </c>
      <c r="L151" s="49" t="str">
        <f>_xlfn.IFNA(VLOOKUP(A151&amp;"-"&amp;B151&amp;"-"&amp;D151,Ref_Account!$A:$F,6,FALSE),"ACCOUNT TIDAK DITEMUKAN")</f>
        <v>1204.631110</v>
      </c>
      <c r="M151" s="49"/>
      <c r="N151" s="46">
        <f t="shared" si="18"/>
        <v>1</v>
      </c>
      <c r="O151" s="46" t="str">
        <f t="shared" si="19"/>
        <v>OK</v>
      </c>
    </row>
    <row r="152" spans="1:15">
      <c r="A152" s="74" t="s">
        <v>325</v>
      </c>
      <c r="B152" s="82" t="s">
        <v>125</v>
      </c>
      <c r="C152" s="74" t="s">
        <v>126</v>
      </c>
      <c r="D152" s="45" t="s">
        <v>15</v>
      </c>
      <c r="E152" s="45" t="s">
        <v>157</v>
      </c>
      <c r="F152" s="45"/>
      <c r="G152" s="79">
        <v>483</v>
      </c>
      <c r="H152" s="79"/>
      <c r="I152" s="79">
        <f t="shared" si="16"/>
        <v>483</v>
      </c>
      <c r="J152" s="48">
        <f>G152/VLOOKUP(A152,RESUME!$G$3:$I$10,3,FALSE)</f>
        <v>1.9489865088571348E-3</v>
      </c>
      <c r="K152" s="48" t="str">
        <f t="shared" si="17"/>
        <v/>
      </c>
      <c r="L152" s="47" t="str">
        <f>_xlfn.IFNA(VLOOKUP(A152&amp;"-"&amp;B152&amp;"-"&amp;D152,Ref_Account!$A:$F,6,FALSE),"ACCOUNT TIDAK DITEMUKAN")</f>
        <v>1204.631140</v>
      </c>
      <c r="M152" s="47"/>
      <c r="N152" s="45">
        <f t="shared" si="18"/>
        <v>1</v>
      </c>
      <c r="O152" s="45" t="str">
        <f t="shared" si="19"/>
        <v>OK</v>
      </c>
    </row>
    <row r="153" spans="1:15">
      <c r="A153" s="75" t="s">
        <v>158</v>
      </c>
      <c r="B153" s="83" t="s">
        <v>159</v>
      </c>
      <c r="C153" s="75" t="s">
        <v>160</v>
      </c>
      <c r="D153" s="46" t="s">
        <v>13</v>
      </c>
      <c r="E153" s="46" t="s">
        <v>74</v>
      </c>
      <c r="F153" s="46"/>
      <c r="G153" s="80">
        <v>943.01</v>
      </c>
      <c r="H153" s="80">
        <v>474.59</v>
      </c>
      <c r="I153" s="80">
        <f t="shared" si="16"/>
        <v>468.42</v>
      </c>
      <c r="J153" s="50">
        <f>G153/VLOOKUP(A153,RESUME!$G$3:$I$10,3,FALSE)</f>
        <v>1.0674639092355137E-2</v>
      </c>
      <c r="K153" s="50">
        <f t="shared" si="17"/>
        <v>2.1210500454037839E-2</v>
      </c>
      <c r="L153" s="49" t="str">
        <f>_xlfn.IFNA(VLOOKUP(A153&amp;"-"&amp;B153&amp;"-"&amp;D153,Ref_Account!$A:$F,6,FALSE),"ACCOUNT TIDAK DITEMUKAN")</f>
        <v>1201.816120</v>
      </c>
      <c r="M153" s="49"/>
      <c r="N153" s="46">
        <f t="shared" si="18"/>
        <v>1</v>
      </c>
      <c r="O153" s="46" t="str">
        <f t="shared" si="19"/>
        <v>OK</v>
      </c>
    </row>
    <row r="154" spans="1:15">
      <c r="A154" s="74" t="s">
        <v>158</v>
      </c>
      <c r="B154" s="82" t="s">
        <v>161</v>
      </c>
      <c r="C154" s="74" t="s">
        <v>162</v>
      </c>
      <c r="D154" s="45" t="s">
        <v>13</v>
      </c>
      <c r="E154" s="45" t="s">
        <v>71</v>
      </c>
      <c r="F154" s="45"/>
      <c r="G154" s="79">
        <v>3000</v>
      </c>
      <c r="H154" s="79">
        <v>452.47</v>
      </c>
      <c r="I154" s="79">
        <f t="shared" si="16"/>
        <v>2547.5299999999997</v>
      </c>
      <c r="J154" s="48">
        <f>G154/VLOOKUP(A154,RESUME!$G$3:$I$10,3,FALSE)</f>
        <v>3.3959255232781635E-2</v>
      </c>
      <c r="K154" s="48">
        <f t="shared" si="17"/>
        <v>0.22515916126670252</v>
      </c>
      <c r="L154" s="47" t="str">
        <f>_xlfn.IFNA(VLOOKUP(A154&amp;"-"&amp;B154&amp;"-"&amp;D154,Ref_Account!$A:$F,6,FALSE),"ACCOUNT TIDAK DITEMUKAN")</f>
        <v>1201.920410</v>
      </c>
      <c r="M154" s="47"/>
      <c r="N154" s="45">
        <f t="shared" si="18"/>
        <v>1</v>
      </c>
      <c r="O154" s="45" t="str">
        <f t="shared" si="19"/>
        <v>OK</v>
      </c>
    </row>
    <row r="155" spans="1:15">
      <c r="A155" s="75" t="s">
        <v>158</v>
      </c>
      <c r="B155" s="83" t="s">
        <v>163</v>
      </c>
      <c r="C155" s="75" t="s">
        <v>164</v>
      </c>
      <c r="D155" s="46" t="s">
        <v>13</v>
      </c>
      <c r="E155" s="46" t="s">
        <v>165</v>
      </c>
      <c r="F155" s="46"/>
      <c r="G155" s="80">
        <v>27000</v>
      </c>
      <c r="H155" s="80">
        <v>4859.3</v>
      </c>
      <c r="I155" s="80">
        <f t="shared" si="16"/>
        <v>22140.7</v>
      </c>
      <c r="J155" s="50">
        <f>G155/VLOOKUP(A155,RESUME!$G$3:$I$10,3,FALSE)</f>
        <v>0.30563329709503473</v>
      </c>
      <c r="K155" s="50">
        <f t="shared" si="17"/>
        <v>1.6982073594068976</v>
      </c>
      <c r="L155" s="49" t="str">
        <f>_xlfn.IFNA(VLOOKUP(A155&amp;"-"&amp;B155&amp;"-"&amp;D155,Ref_Account!$A:$F,6,FALSE),"ACCOUNT TIDAK DITEMUKAN")</f>
        <v>1201.920120</v>
      </c>
      <c r="M155" s="49"/>
      <c r="N155" s="46">
        <f t="shared" si="18"/>
        <v>1</v>
      </c>
      <c r="O155" s="46" t="str">
        <f t="shared" si="19"/>
        <v>OK</v>
      </c>
    </row>
    <row r="156" spans="1:15">
      <c r="A156" s="74" t="s">
        <v>158</v>
      </c>
      <c r="B156" s="82" t="s">
        <v>166</v>
      </c>
      <c r="C156" s="74" t="s">
        <v>167</v>
      </c>
      <c r="D156" s="45" t="s">
        <v>13</v>
      </c>
      <c r="E156" s="45" t="s">
        <v>71</v>
      </c>
      <c r="F156" s="45"/>
      <c r="G156" s="79">
        <v>743.73</v>
      </c>
      <c r="H156" s="79"/>
      <c r="I156" s="79">
        <f t="shared" si="16"/>
        <v>743.73</v>
      </c>
      <c r="J156" s="48">
        <f>G156/VLOOKUP(A156,RESUME!$G$3:$I$10,3,FALSE)</f>
        <v>8.4188389647588957E-3</v>
      </c>
      <c r="K156" s="48" t="str">
        <f t="shared" si="17"/>
        <v/>
      </c>
      <c r="L156" s="47" t="str">
        <f>_xlfn.IFNA(VLOOKUP(A156&amp;"-"&amp;B156&amp;"-"&amp;D156,Ref_Account!$A:$F,6,FALSE),"ACCOUNT TIDAK DITEMUKAN")</f>
        <v>1201.805120</v>
      </c>
      <c r="M156" s="47"/>
      <c r="N156" s="45">
        <f t="shared" si="18"/>
        <v>1</v>
      </c>
      <c r="O156" s="45" t="str">
        <f t="shared" si="19"/>
        <v>OK</v>
      </c>
    </row>
    <row r="157" spans="1:15">
      <c r="A157" s="75" t="s">
        <v>158</v>
      </c>
      <c r="B157" s="83" t="s">
        <v>168</v>
      </c>
      <c r="C157" s="75" t="s">
        <v>169</v>
      </c>
      <c r="D157" s="46" t="s">
        <v>13</v>
      </c>
      <c r="E157" s="46" t="s">
        <v>170</v>
      </c>
      <c r="F157" s="46"/>
      <c r="G157" s="80">
        <v>2000</v>
      </c>
      <c r="H157" s="80">
        <v>71.38</v>
      </c>
      <c r="I157" s="80">
        <f t="shared" si="16"/>
        <v>1928.62</v>
      </c>
      <c r="J157" s="50">
        <f>G157/VLOOKUP(A157,RESUME!$G$3:$I$10,3,FALSE)</f>
        <v>2.263950348852109E-2</v>
      </c>
      <c r="K157" s="50">
        <f t="shared" si="17"/>
        <v>0.63433744714264761</v>
      </c>
      <c r="L157" s="49" t="str">
        <f>_xlfn.IFNA(VLOOKUP(A157&amp;"-"&amp;B157&amp;"-"&amp;D157,Ref_Account!$A:$F,6,FALSE),"ACCOUNT TIDAK DITEMUKAN")</f>
        <v>1201.920700</v>
      </c>
      <c r="M157" s="49"/>
      <c r="N157" s="46">
        <f t="shared" si="18"/>
        <v>1</v>
      </c>
      <c r="O157" s="46" t="str">
        <f t="shared" si="19"/>
        <v>OK</v>
      </c>
    </row>
    <row r="158" spans="1:15">
      <c r="A158" s="74" t="s">
        <v>158</v>
      </c>
      <c r="B158" s="82" t="s">
        <v>168</v>
      </c>
      <c r="C158" s="74" t="s">
        <v>169</v>
      </c>
      <c r="D158" s="45" t="s">
        <v>100</v>
      </c>
      <c r="E158" s="45" t="s">
        <v>170</v>
      </c>
      <c r="F158" s="45"/>
      <c r="G158" s="79">
        <v>1000</v>
      </c>
      <c r="H158" s="79"/>
      <c r="I158" s="79">
        <f t="shared" si="16"/>
        <v>1000</v>
      </c>
      <c r="J158" s="48">
        <f>G158/VLOOKUP(A158,RESUME!$G$3:$I$10,3,FALSE)</f>
        <v>1.1319751744260545E-2</v>
      </c>
      <c r="K158" s="48" t="str">
        <f t="shared" si="17"/>
        <v/>
      </c>
      <c r="L158" s="47" t="str">
        <f>_xlfn.IFNA(VLOOKUP(A158&amp;"-"&amp;B158&amp;"-"&amp;D158,Ref_Account!$A:$F,6,FALSE),"ACCOUNT TIDAK DITEMUKAN")</f>
        <v>1206.920700</v>
      </c>
      <c r="M158" s="47"/>
      <c r="N158" s="45">
        <f t="shared" si="18"/>
        <v>1</v>
      </c>
      <c r="O158" s="45" t="str">
        <f t="shared" si="19"/>
        <v>OK</v>
      </c>
    </row>
    <row r="159" spans="1:15">
      <c r="A159" s="75" t="s">
        <v>158</v>
      </c>
      <c r="B159" s="83" t="s">
        <v>168</v>
      </c>
      <c r="C159" s="75" t="s">
        <v>169</v>
      </c>
      <c r="D159" s="46" t="s">
        <v>24</v>
      </c>
      <c r="E159" s="46" t="s">
        <v>170</v>
      </c>
      <c r="F159" s="46"/>
      <c r="G159" s="80">
        <v>1000</v>
      </c>
      <c r="H159" s="80">
        <v>197.81</v>
      </c>
      <c r="I159" s="80">
        <f t="shared" si="16"/>
        <v>802.19</v>
      </c>
      <c r="J159" s="50">
        <f>G159/VLOOKUP(A159,RESUME!$G$3:$I$10,3,FALSE)</f>
        <v>1.1319751744260545E-2</v>
      </c>
      <c r="K159" s="50">
        <f t="shared" si="17"/>
        <v>5.7225376595018175E-2</v>
      </c>
      <c r="L159" s="49" t="str">
        <f>_xlfn.IFNA(VLOOKUP(A159&amp;"-"&amp;B159&amp;"-"&amp;D159,Ref_Account!$A:$F,6,FALSE),"ACCOUNT TIDAK DITEMUKAN")</f>
        <v>1205.920700</v>
      </c>
      <c r="M159" s="49"/>
      <c r="N159" s="46">
        <f t="shared" si="18"/>
        <v>1</v>
      </c>
      <c r="O159" s="46" t="str">
        <f t="shared" si="19"/>
        <v>OK</v>
      </c>
    </row>
    <row r="160" spans="1:15">
      <c r="A160" s="74" t="s">
        <v>158</v>
      </c>
      <c r="B160" s="82" t="s">
        <v>168</v>
      </c>
      <c r="C160" s="74" t="s">
        <v>169</v>
      </c>
      <c r="D160" s="45" t="s">
        <v>15</v>
      </c>
      <c r="E160" s="45" t="s">
        <v>170</v>
      </c>
      <c r="F160" s="45"/>
      <c r="G160" s="79">
        <v>1000</v>
      </c>
      <c r="H160" s="79">
        <v>68.48</v>
      </c>
      <c r="I160" s="79">
        <f t="shared" si="16"/>
        <v>931.52</v>
      </c>
      <c r="J160" s="48">
        <f>G160/VLOOKUP(A160,RESUME!$G$3:$I$10,3,FALSE)</f>
        <v>1.1319751744260545E-2</v>
      </c>
      <c r="K160" s="48">
        <f t="shared" si="17"/>
        <v>0.16530011308791684</v>
      </c>
      <c r="L160" s="47" t="str">
        <f>_xlfn.IFNA(VLOOKUP(A160&amp;"-"&amp;B160&amp;"-"&amp;D160,Ref_Account!$A:$F,6,FALSE),"ACCOUNT TIDAK DITEMUKAN")</f>
        <v>1204.920700</v>
      </c>
      <c r="M160" s="47"/>
      <c r="N160" s="45">
        <f t="shared" si="18"/>
        <v>1</v>
      </c>
      <c r="O160" s="45" t="str">
        <f t="shared" si="19"/>
        <v>OK</v>
      </c>
    </row>
    <row r="161" spans="1:15">
      <c r="A161" s="75" t="s">
        <v>158</v>
      </c>
      <c r="B161" s="83" t="s">
        <v>145</v>
      </c>
      <c r="C161" s="75" t="s">
        <v>146</v>
      </c>
      <c r="D161" s="46" t="s">
        <v>13</v>
      </c>
      <c r="E161" s="46" t="s">
        <v>147</v>
      </c>
      <c r="F161" s="46"/>
      <c r="G161" s="80">
        <v>45654.420000000006</v>
      </c>
      <c r="H161" s="80"/>
      <c r="I161" s="80">
        <f t="shared" si="16"/>
        <v>45654.420000000006</v>
      </c>
      <c r="J161" s="50">
        <f>G161/VLOOKUP(A161,RESUME!$G$3:$I$10,3,FALSE)</f>
        <v>0.51679670042820358</v>
      </c>
      <c r="K161" s="50" t="str">
        <f t="shared" si="17"/>
        <v/>
      </c>
      <c r="L161" s="49" t="str">
        <f>_xlfn.IFNA(VLOOKUP(A161&amp;"-"&amp;B161&amp;"-"&amp;D161,Ref_Account!$A:$F,6,FALSE),"ACCOUNT TIDAK DITEMUKAN")</f>
        <v>1201.801110</v>
      </c>
      <c r="M161" s="49"/>
      <c r="N161" s="46">
        <f t="shared" si="18"/>
        <v>1</v>
      </c>
      <c r="O161" s="46" t="str">
        <f t="shared" si="19"/>
        <v>OK</v>
      </c>
    </row>
    <row r="162" spans="1:15">
      <c r="A162" s="74" t="s">
        <v>158</v>
      </c>
      <c r="B162" s="82" t="s">
        <v>145</v>
      </c>
      <c r="C162" s="74" t="s">
        <v>146</v>
      </c>
      <c r="D162" s="45" t="s">
        <v>15</v>
      </c>
      <c r="E162" s="45" t="s">
        <v>147</v>
      </c>
      <c r="F162" s="45"/>
      <c r="G162" s="79">
        <v>6000</v>
      </c>
      <c r="H162" s="79"/>
      <c r="I162" s="79">
        <f t="shared" si="16"/>
        <v>6000</v>
      </c>
      <c r="J162" s="48">
        <f>G162/VLOOKUP(A162,RESUME!$G$3:$I$10,3,FALSE)</f>
        <v>6.791851046556327E-2</v>
      </c>
      <c r="K162" s="48" t="str">
        <f t="shared" si="17"/>
        <v/>
      </c>
      <c r="L162" s="47" t="str">
        <f>_xlfn.IFNA(VLOOKUP(A162&amp;"-"&amp;B162&amp;"-"&amp;D162,Ref_Account!$A:$F,6,FALSE),"ACCOUNT TIDAK DITEMUKAN")</f>
        <v>1204.801110</v>
      </c>
      <c r="M162" s="47"/>
      <c r="N162" s="45">
        <f t="shared" si="18"/>
        <v>1</v>
      </c>
      <c r="O162" s="45" t="str">
        <f t="shared" si="19"/>
        <v>OK</v>
      </c>
    </row>
  </sheetData>
  <mergeCells count="1">
    <mergeCell ref="A1:O2"/>
  </mergeCells>
  <conditionalFormatting sqref="O6:O1048576">
    <cfRule type="containsText" dxfId="2" priority="2" operator="containsText" text="OVER">
      <formula>NOT(ISERROR(SEARCH("OVER",O6)))</formula>
    </cfRule>
  </conditionalFormatting>
  <conditionalFormatting sqref="I3:I1048576">
    <cfRule type="cellIs" dxfId="1" priority="1" operator="lessThanOrEqual">
      <formula>0</formula>
    </cfRule>
  </conditionalFormatting>
  <hyperlinks>
    <hyperlink ref="B6" r:id="rId1" xr:uid="{FF17DCA2-9F20-4C37-B6E1-380DA37280E9}"/>
    <hyperlink ref="B7" r:id="rId2" xr:uid="{72315DB0-7302-4F42-8543-260A49A6AD6C}"/>
    <hyperlink ref="B8" r:id="rId3" xr:uid="{A37B929F-1EB8-47E4-A7C6-2513133E1651}"/>
    <hyperlink ref="B9" r:id="rId4" xr:uid="{DC039A5F-49FC-49A1-AD58-4E17536F852F}"/>
    <hyperlink ref="B10" r:id="rId5" xr:uid="{38806437-9594-454F-8E64-457193355271}"/>
    <hyperlink ref="B11" r:id="rId6" xr:uid="{A4FDCF4C-CC6C-4C96-8A38-D307F5154068}"/>
    <hyperlink ref="B12" r:id="rId7" xr:uid="{97924C7E-796B-4791-A4CF-2D8341C8BA1C}"/>
    <hyperlink ref="B13" r:id="rId8" xr:uid="{322CCD21-9D59-49F7-9F54-120985075408}"/>
    <hyperlink ref="B14" r:id="rId9" xr:uid="{1503DF92-0943-44CA-BEEB-98A220238639}"/>
    <hyperlink ref="B15" r:id="rId10" xr:uid="{3113347F-2FD3-4D3E-8C1E-534BEE1ECD97}"/>
    <hyperlink ref="B16" r:id="rId11" xr:uid="{83DB7AE4-7985-4B14-A8AC-3711169CE8C0}"/>
    <hyperlink ref="B17" r:id="rId12" xr:uid="{9BFB64E3-CBE7-4465-AC15-A3781D56CFE7}"/>
    <hyperlink ref="B18" r:id="rId13" xr:uid="{14A0B2F1-05FE-412B-B3E8-79FB8159332F}"/>
    <hyperlink ref="B19" r:id="rId14" xr:uid="{30C433C3-E133-4240-81B4-9F72FE413715}"/>
    <hyperlink ref="B20" r:id="rId15" xr:uid="{AEDAC095-B4F4-478E-89A6-8D130DD22CF8}"/>
    <hyperlink ref="B21" r:id="rId16" xr:uid="{08C663E7-E581-48DC-BEEC-E55083646EA9}"/>
    <hyperlink ref="B22" r:id="rId17" xr:uid="{EBB7BE98-E737-44F2-A587-BCD75B885458}"/>
    <hyperlink ref="B23" r:id="rId18" xr:uid="{85DE46E7-484E-4A71-BBDA-BB408F6EDCC6}"/>
    <hyperlink ref="B24" r:id="rId19" xr:uid="{BE80518A-E35D-4173-9094-934F137A8C31}"/>
    <hyperlink ref="B25" r:id="rId20" xr:uid="{9E1500B9-0800-4A23-820C-A2CA70932C2F}"/>
    <hyperlink ref="B26" r:id="rId21" xr:uid="{CA9B72E8-F5F9-4FAD-95B7-575AB719FF9C}"/>
    <hyperlink ref="B27" r:id="rId22" xr:uid="{92992200-FC2C-42C6-84A1-83005EDD2B3C}"/>
    <hyperlink ref="B28" r:id="rId23" xr:uid="{F2743D6F-68D7-425C-A794-B069C788CF80}"/>
    <hyperlink ref="B29" r:id="rId24" xr:uid="{7D968EFC-3D43-4BE5-9793-490A8D0704B9}"/>
    <hyperlink ref="B30" r:id="rId25" xr:uid="{CA61E2F2-99EB-4EDC-A944-B79E4FF897AE}"/>
    <hyperlink ref="B31" r:id="rId26" xr:uid="{FD96DEDB-75D1-43F2-99DB-EEFDA01FB21C}"/>
    <hyperlink ref="B32" r:id="rId27" xr:uid="{7F6FD5AC-27B2-4CFA-BA01-7914CB4B6C0C}"/>
    <hyperlink ref="B33" r:id="rId28" xr:uid="{24EE512F-D46F-4BD7-A8E9-A38CE6428687}"/>
    <hyperlink ref="B34" r:id="rId29" xr:uid="{18A69FF2-C8A0-4E6B-8315-9ACFC45DBC3A}"/>
    <hyperlink ref="B35" r:id="rId30" xr:uid="{498F8623-D46F-42FE-B2AC-6FAFD5DFA599}"/>
    <hyperlink ref="B36" r:id="rId31" xr:uid="{6649364C-91D4-424A-871D-3A39C9D6A360}"/>
    <hyperlink ref="B37" r:id="rId32" xr:uid="{7E83B3DF-5794-4D90-8F87-AA3C65164367}"/>
    <hyperlink ref="B38" r:id="rId33" xr:uid="{04054118-896B-4192-AF9F-29F3848D828F}"/>
    <hyperlink ref="B39" r:id="rId34" xr:uid="{0541D0F9-399A-4062-8479-254C1FC2ABAD}"/>
    <hyperlink ref="B40" r:id="rId35" xr:uid="{241EF8C5-B007-4A60-89D8-3E2ADE1EC669}"/>
    <hyperlink ref="B41" r:id="rId36" xr:uid="{37301C2E-1CAA-4271-B1F5-806995460926}"/>
    <hyperlink ref="B42" r:id="rId37" xr:uid="{6837CE58-BA28-45A2-B71C-A8752EF53A2D}"/>
    <hyperlink ref="B43" r:id="rId38" xr:uid="{B392E688-7F8D-4233-8A48-11F3F33AAB8E}"/>
    <hyperlink ref="B44" r:id="rId39" xr:uid="{36A04CDE-7F79-48AF-A2FE-A388F1D54BFB}"/>
    <hyperlink ref="B45" r:id="rId40" xr:uid="{EE052360-268C-41DA-B974-AF61A41438B6}"/>
    <hyperlink ref="B46" r:id="rId41" xr:uid="{D3DFAE38-AC5C-464B-BD81-14B598D72581}"/>
    <hyperlink ref="B47" r:id="rId42" xr:uid="{56B4534E-DB67-4642-BF51-D773C8352B50}"/>
    <hyperlink ref="B48" r:id="rId43" xr:uid="{76369512-5A05-4471-9818-D2B2E6356118}"/>
    <hyperlink ref="B49" r:id="rId44" xr:uid="{29FE3ECC-8522-4F71-B2E6-84D15E711EB9}"/>
    <hyperlink ref="B50" r:id="rId45" xr:uid="{4BFF3291-875B-45C3-9363-F65E0FF4D0FC}"/>
    <hyperlink ref="B51" r:id="rId46" xr:uid="{3C1D11DF-B858-4E21-832A-DD384F23B9FF}"/>
    <hyperlink ref="B52" r:id="rId47" xr:uid="{FBE34EBC-EDBF-489D-AFD5-0B933C8CF409}"/>
    <hyperlink ref="B53" r:id="rId48" xr:uid="{E9FDA13B-9E6E-4B7A-9B4E-E501316AA3FA}"/>
    <hyperlink ref="B54" r:id="rId49" xr:uid="{2AF9AFD8-F9A6-4008-8C3C-C456D15A13D4}"/>
    <hyperlink ref="B55" r:id="rId50" xr:uid="{B62B59F9-0A80-416E-8199-E2EED67A52AD}"/>
    <hyperlink ref="B56" r:id="rId51" xr:uid="{D09385F4-E1AB-4B4B-9B68-027CD3FA384C}"/>
    <hyperlink ref="B57" r:id="rId52" xr:uid="{C96F11E3-4D3D-48F8-9209-F98D3A5BA6A6}"/>
    <hyperlink ref="B58" r:id="rId53" xr:uid="{58917650-DCC1-43B4-8DF6-1A2805A7571C}"/>
    <hyperlink ref="B59" r:id="rId54" xr:uid="{87769938-1BEF-42C3-9C22-5D4C98DFCAA4}"/>
    <hyperlink ref="B60" r:id="rId55" xr:uid="{37B8EBD5-6690-4B8C-8BD0-7A446F3AC16E}"/>
    <hyperlink ref="B61" r:id="rId56" xr:uid="{21939FA5-9599-4295-8F84-3AA44657BC6B}"/>
    <hyperlink ref="B62" r:id="rId57" xr:uid="{E8B61A8C-7B93-42AE-866E-AF6406B1A62C}"/>
    <hyperlink ref="B63" r:id="rId58" xr:uid="{13568177-27D1-4FB2-9B05-05868BCBB6C3}"/>
    <hyperlink ref="B64" r:id="rId59" xr:uid="{65D65C58-A2DC-438E-BFAF-AC7F5E733B9A}"/>
    <hyperlink ref="B65" r:id="rId60" xr:uid="{59B3C907-E471-4FC7-86E0-6D61580AE3A2}"/>
    <hyperlink ref="B66" r:id="rId61" xr:uid="{1C7518D3-7B0C-4D5C-AF35-93B4C8E4814A}"/>
    <hyperlink ref="B67" r:id="rId62" xr:uid="{47D5B6E1-BD48-49A4-A9BD-F8B95386165D}"/>
    <hyperlink ref="B68" r:id="rId63" xr:uid="{FE2E0D89-25CA-4771-9481-73941B3285BC}"/>
    <hyperlink ref="B69" r:id="rId64" xr:uid="{0694C1C2-B08B-406D-ABA2-8518E18CA59F}"/>
    <hyperlink ref="B70" r:id="rId65" xr:uid="{E2C48D5D-3B6B-4016-A88D-4FA191D6AE58}"/>
    <hyperlink ref="B71" r:id="rId66" xr:uid="{81AD301A-175F-4665-A8BD-AAD33C9BCC6D}"/>
    <hyperlink ref="B72" r:id="rId67" xr:uid="{C5F3FF36-5DB0-4D4C-A92D-053F925F2A2A}"/>
    <hyperlink ref="B73" r:id="rId68" xr:uid="{3F19A17D-AA9F-45BC-97A0-1B03BC5682B7}"/>
    <hyperlink ref="B74" r:id="rId69" xr:uid="{2E499B4A-DF94-40A6-AE48-72F1D53A5DBA}"/>
    <hyperlink ref="B75" r:id="rId70" xr:uid="{78BFC942-D3E3-464B-B8F3-A6D3CC52165E}"/>
    <hyperlink ref="B76" r:id="rId71" xr:uid="{17734F63-4969-4E64-9E52-D47FE5D6B4C4}"/>
    <hyperlink ref="B77" r:id="rId72" xr:uid="{E35477BE-D889-4E47-9B92-B0E6021555FD}"/>
    <hyperlink ref="B78" r:id="rId73" xr:uid="{5358D91C-7911-4754-8EAD-0E3CD318299D}"/>
    <hyperlink ref="B79" r:id="rId74" xr:uid="{4A9AB47E-DCB0-4533-9EDD-2C34FE79C72F}"/>
    <hyperlink ref="B80" r:id="rId75" xr:uid="{714744F1-B3AE-417C-9EC3-BB1B3759655A}"/>
    <hyperlink ref="B81" r:id="rId76" xr:uid="{E1F957DC-B1EE-44BC-B0E7-9F786C6E1C66}"/>
    <hyperlink ref="B82" r:id="rId77" xr:uid="{56F90801-71DA-4CB8-90AA-3412CA09F91E}"/>
    <hyperlink ref="B83" r:id="rId78" xr:uid="{C924854B-C635-496E-9630-C022EBD047CF}"/>
    <hyperlink ref="B84" r:id="rId79" xr:uid="{9336A315-44CB-40B3-8AC2-50B2EC2DAD3B}"/>
    <hyperlink ref="B85" r:id="rId80" xr:uid="{14B73BDC-DEF1-4F85-9D4D-C5FBFD5CF355}"/>
    <hyperlink ref="B86" r:id="rId81" xr:uid="{53AC671D-CDE0-4084-8B52-226F3D7F7DC7}"/>
    <hyperlink ref="B87" r:id="rId82" xr:uid="{51D47160-1221-47FC-A3A0-4D1B727432D0}"/>
    <hyperlink ref="B88" r:id="rId83" xr:uid="{FC5DB7D5-4AFC-4CE7-BEA5-B52A59644768}"/>
    <hyperlink ref="B89" r:id="rId84" xr:uid="{6057312E-749D-47E3-A399-E3A1569369D3}"/>
    <hyperlink ref="B90" r:id="rId85" xr:uid="{3610C7B5-E44D-4958-9102-1A4AB009DA93}"/>
    <hyperlink ref="B91" r:id="rId86" xr:uid="{F06F4A4A-B0C7-449B-81A9-A6B97FF91E96}"/>
    <hyperlink ref="B92" r:id="rId87" xr:uid="{D04C9793-0124-478B-9BB1-D0A7CA22B16B}"/>
    <hyperlink ref="B93" r:id="rId88" xr:uid="{D7A8CC2A-A3B1-4B05-94A7-F0EE6039EC54}"/>
    <hyperlink ref="B94" r:id="rId89" xr:uid="{4D0EDF5D-8821-4481-B312-5BF164D55BDA}"/>
    <hyperlink ref="B95" r:id="rId90" xr:uid="{8FD15FDA-B6E7-45FE-B360-8F7E5D38A1C1}"/>
    <hyperlink ref="B96" r:id="rId91" xr:uid="{9DA8881D-4080-4EFE-BB9B-1EBE764EE1E4}"/>
    <hyperlink ref="B97" r:id="rId92" xr:uid="{7826C7A6-0943-4948-ADEF-E5317D51096C}"/>
    <hyperlink ref="B98" r:id="rId93" xr:uid="{AF504D3B-1746-4350-9366-E1D3AF04CF44}"/>
    <hyperlink ref="B99" r:id="rId94" xr:uid="{46D9F977-678C-4ED0-BC1F-9EDC023483C5}"/>
    <hyperlink ref="B100" r:id="rId95" xr:uid="{0CA44417-EF02-4223-B9B2-E64C208C3234}"/>
    <hyperlink ref="B101" r:id="rId96" xr:uid="{8134EE9C-1294-40B1-87E8-A4F0720A2F44}"/>
    <hyperlink ref="B102" r:id="rId97" xr:uid="{F0B85BB7-DD6B-47E5-9675-3FCE573C6D99}"/>
    <hyperlink ref="B103" r:id="rId98" xr:uid="{16F3F3F6-6F76-46FE-92DE-B9C0703B9E6E}"/>
    <hyperlink ref="B104" r:id="rId99" xr:uid="{D5313B69-D0EB-4736-AC2D-3EC838153442}"/>
    <hyperlink ref="B105" r:id="rId100" xr:uid="{4CADFC9A-C6F1-4271-A956-5D50401D6944}"/>
    <hyperlink ref="B106" r:id="rId101" xr:uid="{BDEDB06B-F5A2-4136-948B-87FD317DCC8E}"/>
    <hyperlink ref="B107" r:id="rId102" xr:uid="{1AE9F657-49E1-41E3-BB65-28791A06F67E}"/>
    <hyperlink ref="B108" r:id="rId103" xr:uid="{F9CD20E5-44A0-4E53-9FB2-5442E24F422E}"/>
    <hyperlink ref="B109" r:id="rId104" xr:uid="{153BF8CD-B7A4-4AA8-98C8-CC5E8D625B28}"/>
    <hyperlink ref="B110" r:id="rId105" xr:uid="{82397DCC-302D-4B4A-AA12-23944A8E8964}"/>
    <hyperlink ref="B111" r:id="rId106" xr:uid="{D67452BB-46A4-4A88-B816-2C91F693E167}"/>
    <hyperlink ref="B112" r:id="rId107" xr:uid="{F985A0B8-1F65-4ABC-AF10-814A9835B7C9}"/>
    <hyperlink ref="B113" r:id="rId108" xr:uid="{7FCE284C-B1F6-4575-99F5-052C5B868CF3}"/>
    <hyperlink ref="B114" r:id="rId109" xr:uid="{3F9717CB-0DF4-43FE-B90A-E326C79797B9}"/>
    <hyperlink ref="B115" r:id="rId110" xr:uid="{24957EDF-4756-4673-9405-0916DB95C30A}"/>
    <hyperlink ref="B116" r:id="rId111" xr:uid="{194C5110-BE08-4625-B5B1-1931D95513B9}"/>
    <hyperlink ref="B117" r:id="rId112" xr:uid="{D2936C75-EF7A-4899-BF50-CDCE39C81447}"/>
    <hyperlink ref="B118" r:id="rId113" xr:uid="{622C9177-206A-449D-A1F4-0ECB023AE5D4}"/>
    <hyperlink ref="B119" r:id="rId114" xr:uid="{B20E5014-240F-49A3-A74A-5959E1CA59A8}"/>
    <hyperlink ref="B120" r:id="rId115" xr:uid="{01E37BFE-E5C9-4FF4-AED6-B8F0A79F41ED}"/>
    <hyperlink ref="B121" r:id="rId116" xr:uid="{1329904D-CC7C-45F6-953A-35AB570903C8}"/>
    <hyperlink ref="B122" r:id="rId117" xr:uid="{5F4C9D30-FA0A-49F3-8538-E506484FEA41}"/>
    <hyperlink ref="B123" r:id="rId118" xr:uid="{13D233E4-5C71-4F8D-B16A-934692BFCD64}"/>
    <hyperlink ref="B124" r:id="rId119" xr:uid="{14CAD6D4-3599-4381-AA05-2417FFAF503A}"/>
    <hyperlink ref="B125" r:id="rId120" xr:uid="{8ED2C21B-CD71-4234-9242-5BC09E4B5AEC}"/>
    <hyperlink ref="B126" r:id="rId121" xr:uid="{3538ADFE-8DDD-47D4-93C1-116AA81FB4EC}"/>
    <hyperlink ref="B127" r:id="rId122" xr:uid="{E27ED9BB-AB46-4F16-AFD4-C5C701FF6992}"/>
    <hyperlink ref="B128" r:id="rId123" xr:uid="{F7690506-4CAB-491E-8888-FD098B95361C}"/>
    <hyperlink ref="B129" r:id="rId124" xr:uid="{65DA7F96-F633-4187-809A-A3F81FABDF7C}"/>
    <hyperlink ref="B130" r:id="rId125" xr:uid="{5F1E104C-1709-4981-983F-CD11294B6ACE}"/>
    <hyperlink ref="B131" r:id="rId126" xr:uid="{6B87E5CE-2B08-4BB0-819F-5CBB118F62B0}"/>
    <hyperlink ref="B132" r:id="rId127" xr:uid="{77508D3F-8F41-4AC9-A95B-02D8A0892DC9}"/>
    <hyperlink ref="B133" r:id="rId128" xr:uid="{58EF5780-5452-4739-B114-878D08F6CB9D}"/>
    <hyperlink ref="B134" r:id="rId129" xr:uid="{9721798F-3E74-4C60-A306-2ADBF5FB9B1A}"/>
    <hyperlink ref="B135" r:id="rId130" xr:uid="{25B7C21F-674D-4A30-92EB-2E2D8C846F52}"/>
    <hyperlink ref="B136" r:id="rId131" xr:uid="{A1FD97D6-63CF-4753-BBFD-17FE2FEA6506}"/>
    <hyperlink ref="B137" r:id="rId132" xr:uid="{5FF64764-C28F-4076-B843-32A819FCBE77}"/>
    <hyperlink ref="B138" r:id="rId133" xr:uid="{46F20B4B-F458-4158-ADE2-0DCA6CBCF0A9}"/>
    <hyperlink ref="B139" r:id="rId134" xr:uid="{7C577C4F-7DCE-40D8-AB5C-A8F76D2824DB}"/>
    <hyperlink ref="B140" r:id="rId135" xr:uid="{0D0024D4-099E-454D-A5C9-10F5773C61C8}"/>
    <hyperlink ref="B141" r:id="rId136" xr:uid="{222D3EC5-8A03-4548-895B-96D6F1D582EB}"/>
    <hyperlink ref="B142" r:id="rId137" xr:uid="{FF1D6796-5EC6-425D-8113-90ED6F9E8736}"/>
    <hyperlink ref="B143" r:id="rId138" xr:uid="{8E659D11-438C-41EF-A036-7DA2695C0017}"/>
    <hyperlink ref="B144" r:id="rId139" xr:uid="{6EC1C459-4EAF-4DA4-B2D3-DD9FFB820ABD}"/>
    <hyperlink ref="B145" r:id="rId140" xr:uid="{756A8134-5D24-4585-B046-3D3C4D726E57}"/>
    <hyperlink ref="B146" r:id="rId141" xr:uid="{86D92E11-69DB-4F04-B9A8-361E4FA924E7}"/>
    <hyperlink ref="B147" r:id="rId142" xr:uid="{FBFD1479-7F0F-4EDD-919C-E846DD2B71A2}"/>
    <hyperlink ref="B148" r:id="rId143" xr:uid="{6269419A-F93C-417D-92C4-9EE13A1DD0B4}"/>
    <hyperlink ref="B149" r:id="rId144" xr:uid="{2E661F35-2A0A-43EB-9152-5E15386243E8}"/>
    <hyperlink ref="B150" r:id="rId145" xr:uid="{566A3548-840F-4C87-AE8D-4A191451AF18}"/>
    <hyperlink ref="B151" r:id="rId146" xr:uid="{81B2A8A1-83C6-408F-8565-6B2C135D5EED}"/>
    <hyperlink ref="B152" r:id="rId147" xr:uid="{369F7839-7AE1-499E-9779-FCF7D4EB3EF7}"/>
    <hyperlink ref="B153" r:id="rId148" xr:uid="{61408C5F-94BB-4A00-8D22-D8145126211E}"/>
    <hyperlink ref="B154" r:id="rId149" xr:uid="{C1BB7A46-5F51-41F0-9DEC-3990292124C9}"/>
    <hyperlink ref="B155" r:id="rId150" xr:uid="{078CE6FB-912E-497C-83C5-03667CDF2523}"/>
    <hyperlink ref="B156" r:id="rId151" xr:uid="{815C80AA-4A25-4D5E-A683-08EC2A8814ED}"/>
    <hyperlink ref="B157" r:id="rId152" xr:uid="{C695F533-4F77-4AF0-93C4-19A1D54753CD}"/>
    <hyperlink ref="B158" r:id="rId153" xr:uid="{55170AD5-0D4D-4B1A-B928-D3E7C407000B}"/>
    <hyperlink ref="B159" r:id="rId154" xr:uid="{7CAED61D-48BD-46B5-A195-1A5F0B04E86E}"/>
    <hyperlink ref="B160" r:id="rId155" xr:uid="{E2C904E6-D5B0-49A9-811C-DCD53C6F4A48}"/>
    <hyperlink ref="B161" r:id="rId156" xr:uid="{2A7FFD05-C0E9-4C90-9DA8-849E3EFD3713}"/>
    <hyperlink ref="B162" r:id="rId157" xr:uid="{00C2C3C6-28A3-45C6-AA66-3DF3EF562D9F}"/>
  </hyperlinks>
  <pageMargins left="0.7" right="0.7" top="0.75" bottom="0.75" header="0.3" footer="0.3"/>
  <pageSetup paperSize="9" orientation="portrait" r:id="rId15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8" sqref="C8"/>
    </sheetView>
  </sheetViews>
  <sheetFormatPr defaultRowHeight="15"/>
  <cols>
    <col min="1" max="1" width="20.140625" bestFit="1" customWidth="1"/>
    <col min="2" max="2" width="10.5703125" style="17" bestFit="1" customWidth="1"/>
    <col min="3" max="3" width="18.7109375" style="18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0.7109375" style="17" bestFit="1" customWidth="1"/>
    <col min="9" max="9" width="19" style="18" bestFit="1" customWidth="1"/>
    <col min="10" max="10" width="20.28515625" style="18" bestFit="1" customWidth="1"/>
    <col min="11" max="11" width="19.5703125" style="18" bestFit="1" customWidth="1"/>
    <col min="12" max="12" width="9.5703125" bestFit="1" customWidth="1"/>
  </cols>
  <sheetData>
    <row r="1" spans="1:12" ht="21" customHeight="1">
      <c r="A1" s="124" t="s">
        <v>326</v>
      </c>
      <c r="B1" s="125"/>
      <c r="C1" s="126"/>
      <c r="D1" s="115"/>
      <c r="E1" s="115"/>
      <c r="F1" s="115"/>
      <c r="G1" s="127" t="s">
        <v>350</v>
      </c>
      <c r="H1" s="128"/>
      <c r="I1" s="128"/>
      <c r="J1" s="128"/>
      <c r="K1" s="128"/>
    </row>
    <row r="2" spans="1:12" s="132" customFormat="1" ht="21" customHeight="1">
      <c r="A2" s="129" t="s">
        <v>0</v>
      </c>
      <c r="B2" s="130" t="s">
        <v>324</v>
      </c>
      <c r="C2" s="131" t="s">
        <v>171</v>
      </c>
      <c r="D2" s="137"/>
      <c r="E2" s="137"/>
      <c r="F2" s="137"/>
      <c r="G2" s="129" t="s">
        <v>323</v>
      </c>
      <c r="H2" s="130" t="s">
        <v>324</v>
      </c>
      <c r="I2" s="131" t="s">
        <v>171</v>
      </c>
      <c r="J2" s="131" t="s">
        <v>332</v>
      </c>
      <c r="K2" s="131" t="s">
        <v>192</v>
      </c>
    </row>
    <row r="3" spans="1:12">
      <c r="A3" s="133" t="s">
        <v>10</v>
      </c>
      <c r="B3" s="134">
        <v>8.1590977598792011E-2</v>
      </c>
      <c r="C3" s="135">
        <f>SUMIF('All Costing'!$A$6:$A$1048576,RESUME!A3,'All Costing'!$G$6:$H$1048576)</f>
        <v>67897.759999999995</v>
      </c>
      <c r="D3" s="114"/>
      <c r="E3" s="114"/>
      <c r="F3" s="114"/>
      <c r="G3" s="133" t="s">
        <v>10</v>
      </c>
      <c r="H3" s="136">
        <f t="shared" ref="H3:H10" si="0">I3/$I$11</f>
        <v>8.1590977598792011E-2</v>
      </c>
      <c r="I3" s="135">
        <f>SUMIF('All Costing'!$A$6:$A$1048576,RESUME!G3,'All Costing'!$G$6:$H$1048576)</f>
        <v>67897.759999999995</v>
      </c>
      <c r="J3" s="135">
        <f>SUMIF('All Costing'!$A$6:$A$1048576,RESUME!G3,'All Costing'!$H$6:$H$1048576)</f>
        <v>1416834.28</v>
      </c>
      <c r="K3" s="135">
        <f t="shared" ref="K3:K10" si="1">I3-J3</f>
        <v>-1348936.52</v>
      </c>
    </row>
    <row r="4" spans="1:12">
      <c r="A4" s="133" t="s">
        <v>36</v>
      </c>
      <c r="B4" s="134">
        <v>0.27755070800026532</v>
      </c>
      <c r="C4" s="135">
        <f>SUMIF('All Costing'!$A$6:$A$1048576,RESUME!A4,'All Costing'!$G$6:$H$1048576)</f>
        <v>230970.03999999998</v>
      </c>
      <c r="D4" s="114"/>
      <c r="E4" s="114"/>
      <c r="F4" s="114"/>
      <c r="G4" s="133" t="s">
        <v>36</v>
      </c>
      <c r="H4" s="136">
        <f t="shared" si="0"/>
        <v>0.27755070800026532</v>
      </c>
      <c r="I4" s="135">
        <f>SUMIF('All Costing'!$A$6:$A$1048576,RESUME!G4,'All Costing'!$G$6:$H$1048576)</f>
        <v>230970.03999999998</v>
      </c>
      <c r="J4" s="135">
        <f>SUMIF('All Costing'!$A$6:$A$1048576,RESUME!G4,'All Costing'!$H$6:$H$1048576)</f>
        <v>669.93</v>
      </c>
      <c r="K4" s="135">
        <f t="shared" si="1"/>
        <v>230300.11</v>
      </c>
    </row>
    <row r="5" spans="1:12">
      <c r="A5" s="133" t="s">
        <v>44</v>
      </c>
      <c r="B5" s="134">
        <v>1.0214229594462793E-2</v>
      </c>
      <c r="C5" s="135">
        <f>SUMIF('All Costing'!$A$6:$A$1048576,RESUME!A5,'All Costing'!$G$6:$H$1048576)</f>
        <v>8500</v>
      </c>
      <c r="D5" s="114"/>
      <c r="E5" s="114"/>
      <c r="F5" s="114"/>
      <c r="G5" s="133" t="s">
        <v>44</v>
      </c>
      <c r="H5" s="136">
        <f t="shared" si="0"/>
        <v>1.0214229594462793E-2</v>
      </c>
      <c r="I5" s="135">
        <f>SUMIF('All Costing'!$A$6:$A$1048576,RESUME!G5,'All Costing'!$G$6:$H$1048576)</f>
        <v>8500</v>
      </c>
      <c r="J5" s="135">
        <f>SUMIF('All Costing'!$A$6:$A$1048576,RESUME!G5,'All Costing'!$H$6:$H$1048576)</f>
        <v>0</v>
      </c>
      <c r="K5" s="135">
        <f t="shared" si="1"/>
        <v>8500</v>
      </c>
    </row>
    <row r="6" spans="1:12">
      <c r="A6" s="133" t="s">
        <v>313</v>
      </c>
      <c r="B6" s="134">
        <v>1.2016740699367992E-3</v>
      </c>
      <c r="C6" s="135">
        <f>SUMIF('All Costing'!$A$6:$A$1048576,RESUME!A6,'All Costing'!$G$6:$H$1048576)</f>
        <v>1000</v>
      </c>
      <c r="D6" s="114"/>
      <c r="E6" s="114"/>
      <c r="F6" s="114"/>
      <c r="G6" s="133" t="s">
        <v>313</v>
      </c>
      <c r="H6" s="136">
        <f t="shared" si="0"/>
        <v>1.2016740699367992E-3</v>
      </c>
      <c r="I6" s="135">
        <f>SUMIF('All Costing'!$A$6:$A$1048576,RESUME!G6,'All Costing'!$G$6:$H$1048576)</f>
        <v>1000</v>
      </c>
      <c r="J6" s="135">
        <f>SUMIF('All Costing'!$A$6:$A$1048576,RESUME!G6,'All Costing'!$H$6:$H$1048576)</f>
        <v>0</v>
      </c>
      <c r="K6" s="135">
        <f t="shared" si="1"/>
        <v>1000</v>
      </c>
    </row>
    <row r="7" spans="1:12">
      <c r="A7" s="133" t="s">
        <v>66</v>
      </c>
      <c r="B7" s="134">
        <v>0.1047205357286401</v>
      </c>
      <c r="C7" s="135">
        <f>SUMIF('All Costing'!$A$6:$A$1048576,RESUME!A7,'All Costing'!$G$6:$H$1048576)</f>
        <v>87145.539999999964</v>
      </c>
      <c r="D7" s="114"/>
      <c r="E7" s="114"/>
      <c r="F7" s="114"/>
      <c r="G7" s="133" t="s">
        <v>66</v>
      </c>
      <c r="H7" s="136">
        <f t="shared" si="0"/>
        <v>0.1047205357286401</v>
      </c>
      <c r="I7" s="135">
        <f>SUMIF('All Costing'!$A$6:$A$1048576,RESUME!G7,'All Costing'!$G$6:$H$1048576)</f>
        <v>87145.539999999964</v>
      </c>
      <c r="J7" s="135">
        <f>SUMIF('All Costing'!$A$6:$A$1048576,RESUME!G7,'All Costing'!$H$6:$H$1048576)</f>
        <v>15412.050000000003</v>
      </c>
      <c r="K7" s="135">
        <f t="shared" si="1"/>
        <v>71733.489999999962</v>
      </c>
    </row>
    <row r="8" spans="1:12">
      <c r="A8" s="133" t="s">
        <v>140</v>
      </c>
      <c r="B8" s="134">
        <v>0.12076439185780972</v>
      </c>
      <c r="C8" s="135">
        <f>SUMIF('All Costing'!$A$6:$A$1048576,RESUME!A8,'All Costing'!$G$6:$H$1048576)</f>
        <v>100496.79432973135</v>
      </c>
      <c r="D8" s="114"/>
      <c r="E8" s="114"/>
      <c r="F8" s="114"/>
      <c r="G8" s="133" t="s">
        <v>140</v>
      </c>
      <c r="H8" s="136">
        <f t="shared" si="0"/>
        <v>0.12076439185780972</v>
      </c>
      <c r="I8" s="135">
        <f>SUMIF('All Costing'!$A$6:$A$1048576,RESUME!G8,'All Costing'!$G$6:$H$1048576)</f>
        <v>100496.79432973135</v>
      </c>
      <c r="J8" s="135">
        <f>SUMIF('All Costing'!$A$6:$A$1048576,RESUME!G8,'All Costing'!$H$6:$H$1048576)</f>
        <v>12258.699999999999</v>
      </c>
      <c r="K8" s="135">
        <f t="shared" si="1"/>
        <v>88238.09432973135</v>
      </c>
    </row>
    <row r="9" spans="1:12">
      <c r="A9" s="133" t="s">
        <v>172</v>
      </c>
      <c r="B9" s="134">
        <v>0.14255002855513671</v>
      </c>
      <c r="C9" s="135">
        <f>SUMIFS('All Costing'!$G$6:$G$1048576,'All Costing'!$D$6:$D$1048576,"MAJA-1",'All Costing'!$A$6:$A$1048576,"Tony Teja")</f>
        <v>118626.19999999998</v>
      </c>
      <c r="D9" s="114"/>
      <c r="E9" s="114"/>
      <c r="F9" s="114"/>
      <c r="G9" s="133" t="s">
        <v>325</v>
      </c>
      <c r="H9" s="136">
        <f t="shared" si="0"/>
        <v>0.29780020186995526</v>
      </c>
      <c r="I9" s="135">
        <f>SUMIF('All Costing'!$A$6:$A$1048576,RESUME!G9,'All Costing'!$G$6:$H$1048576)</f>
        <v>247821.11000000002</v>
      </c>
      <c r="J9" s="135">
        <f>SUMIF('All Costing'!$A$6:$A$1048576,RESUME!G9,'All Costing'!$H$6:$H$1048576)</f>
        <v>32093.16</v>
      </c>
      <c r="K9" s="135">
        <f t="shared" si="1"/>
        <v>215727.95</v>
      </c>
      <c r="L9" s="21"/>
    </row>
    <row r="10" spans="1:12">
      <c r="A10" s="133" t="s">
        <v>156</v>
      </c>
      <c r="B10" s="134">
        <v>0.1552501733148185</v>
      </c>
      <c r="C10" s="135">
        <f>SUMIFS('All Costing'!$G$6:$G$1048576,'All Costing'!$D$6:$D$1048576,"MAJA-2",'All Costing'!$A$6:$A$1048576,"Tony Teja")</f>
        <v>129194.91000000002</v>
      </c>
      <c r="D10" s="114"/>
      <c r="E10" s="114"/>
      <c r="F10" s="114"/>
      <c r="G10" s="133" t="s">
        <v>158</v>
      </c>
      <c r="H10" s="136">
        <f t="shared" si="0"/>
        <v>0.10615728128013797</v>
      </c>
      <c r="I10" s="135">
        <f>SUMIF('All Costing'!$A$6:$A$1048576,RESUME!G10,'All Costing'!$G$6:$H$1048576)</f>
        <v>88341.16</v>
      </c>
      <c r="J10" s="135">
        <f>SUMIF('All Costing'!$A$6:$A$1048576,RESUME!G10,'All Costing'!$H$6:$H$1048576)</f>
        <v>6124.0300000000007</v>
      </c>
      <c r="K10" s="135">
        <f t="shared" si="1"/>
        <v>82217.13</v>
      </c>
    </row>
    <row r="11" spans="1:12">
      <c r="A11" s="133" t="s">
        <v>325</v>
      </c>
      <c r="B11" s="134">
        <v>0.29780020186995526</v>
      </c>
      <c r="C11" s="135">
        <f>SUMIF('All Costing'!$A$6:$A$1048576,RESUME!A11,'All Costing'!$G$6:$H$1048576)</f>
        <v>247821.11000000002</v>
      </c>
      <c r="D11" s="114"/>
      <c r="E11" s="114"/>
      <c r="F11" s="114"/>
      <c r="G11" s="138" t="s">
        <v>35</v>
      </c>
      <c r="H11" s="139"/>
      <c r="I11" s="140">
        <f>SUM(I3:I10)</f>
        <v>832172.40432973136</v>
      </c>
      <c r="J11" s="140">
        <f>SUM(J3:J10)</f>
        <v>1483392.15</v>
      </c>
      <c r="K11" s="140"/>
    </row>
    <row r="12" spans="1:12">
      <c r="A12" s="133" t="s">
        <v>158</v>
      </c>
      <c r="B12" s="134">
        <v>0.10615728128013797</v>
      </c>
      <c r="C12" s="135">
        <f>SUMIF('All Costing'!$A$6:$A$1048576,RESUME!A12,'All Costing'!$G$6:$H$1048576)</f>
        <v>88341.16</v>
      </c>
      <c r="D12" s="114"/>
      <c r="E12" s="114"/>
      <c r="F12" s="114"/>
      <c r="H12" s="24"/>
      <c r="I12"/>
      <c r="J12"/>
      <c r="K12"/>
    </row>
    <row r="13" spans="1:12">
      <c r="A13" s="138" t="s">
        <v>35</v>
      </c>
      <c r="B13" s="139"/>
      <c r="C13" s="141"/>
      <c r="D13" s="114"/>
      <c r="E13" s="114"/>
      <c r="F13" s="114"/>
      <c r="H13" s="24"/>
      <c r="I13"/>
      <c r="J13"/>
      <c r="K13"/>
    </row>
    <row r="14" spans="1:12">
      <c r="D14" s="114"/>
      <c r="E14" s="114"/>
      <c r="F14" s="114"/>
      <c r="H14" s="24"/>
      <c r="I14"/>
      <c r="J14"/>
      <c r="K14"/>
    </row>
    <row r="15" spans="1:12">
      <c r="D15" s="114"/>
      <c r="E15" s="114"/>
      <c r="F15" s="114"/>
      <c r="H15" s="24"/>
      <c r="I15"/>
      <c r="J15"/>
      <c r="K15"/>
    </row>
    <row r="16" spans="1:12">
      <c r="D16" s="114"/>
      <c r="E16" s="114"/>
      <c r="F16" s="114"/>
      <c r="H16" s="24"/>
      <c r="I16"/>
      <c r="J16"/>
      <c r="K16"/>
    </row>
    <row r="17" spans="4:9">
      <c r="D17" s="114"/>
      <c r="E17" s="114"/>
      <c r="F17" s="114"/>
      <c r="H17" s="24"/>
      <c r="I17"/>
    </row>
    <row r="18" spans="4:9">
      <c r="D18" s="114"/>
      <c r="E18" s="114"/>
      <c r="F18" s="114"/>
    </row>
    <row r="19" spans="4:9">
      <c r="D19" s="114"/>
      <c r="E19" s="114"/>
      <c r="F19" s="114"/>
    </row>
    <row r="20" spans="4:9">
      <c r="D20" s="114"/>
      <c r="E20" s="114"/>
      <c r="F20" s="114"/>
    </row>
    <row r="21" spans="4:9">
      <c r="D21" s="114"/>
      <c r="E21" s="114"/>
      <c r="F21" s="114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327</v>
      </c>
      <c r="B1" s="9" t="s">
        <v>173</v>
      </c>
      <c r="C1" s="9" t="s">
        <v>1</v>
      </c>
      <c r="D1" s="9" t="s">
        <v>3</v>
      </c>
      <c r="E1" s="9" t="s">
        <v>193</v>
      </c>
      <c r="F1" s="9" t="s">
        <v>175</v>
      </c>
      <c r="L1" t="s">
        <v>3</v>
      </c>
      <c r="M1" t="s">
        <v>193</v>
      </c>
    </row>
    <row r="2" spans="1:13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322</v>
      </c>
      <c r="L2" t="s">
        <v>13</v>
      </c>
      <c r="M2">
        <v>1201</v>
      </c>
    </row>
    <row r="3" spans="1:13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210</v>
      </c>
      <c r="L3" t="s">
        <v>15</v>
      </c>
      <c r="M3">
        <v>1204</v>
      </c>
    </row>
    <row r="4" spans="1:13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213</v>
      </c>
      <c r="L4" t="s">
        <v>24</v>
      </c>
      <c r="M4">
        <v>1205</v>
      </c>
    </row>
    <row r="5" spans="1:13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194</v>
      </c>
      <c r="L5" t="s">
        <v>100</v>
      </c>
      <c r="M5">
        <v>1206</v>
      </c>
    </row>
    <row r="6" spans="1:13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184</v>
      </c>
      <c r="L6" t="s">
        <v>149</v>
      </c>
      <c r="M6">
        <v>1206</v>
      </c>
    </row>
    <row r="7" spans="1:13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186</v>
      </c>
    </row>
    <row r="8" spans="1:13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185</v>
      </c>
    </row>
    <row r="9" spans="1:13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176</v>
      </c>
    </row>
    <row r="10" spans="1:13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177</v>
      </c>
    </row>
    <row r="11" spans="1:13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178</v>
      </c>
    </row>
    <row r="12" spans="1:13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191</v>
      </c>
    </row>
    <row r="13" spans="1:13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214</v>
      </c>
    </row>
    <row r="14" spans="1:13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314</v>
      </c>
    </row>
    <row r="15" spans="1:13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215</v>
      </c>
    </row>
    <row r="16" spans="1:13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216</v>
      </c>
    </row>
    <row r="17" spans="1:6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217</v>
      </c>
    </row>
    <row r="18" spans="1:6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218</v>
      </c>
    </row>
    <row r="19" spans="1:6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216</v>
      </c>
    </row>
    <row r="20" spans="1:6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217</v>
      </c>
    </row>
    <row r="21" spans="1:6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218</v>
      </c>
    </row>
    <row r="22" spans="1:6">
      <c r="A22" t="str">
        <f t="shared" si="0"/>
        <v>Firawaty-FABRIC TESTED CHARGES-CLN</v>
      </c>
      <c r="B22" t="s">
        <v>44</v>
      </c>
      <c r="C22" t="s">
        <v>45</v>
      </c>
      <c r="D22" t="s">
        <v>13</v>
      </c>
      <c r="E22">
        <f t="shared" si="1"/>
        <v>1201</v>
      </c>
      <c r="F22" t="s">
        <v>219</v>
      </c>
    </row>
    <row r="23" spans="1:6">
      <c r="A23" t="str">
        <f t="shared" si="0"/>
        <v>Firawaty-FABRIC TESTED CHARGES-CLN</v>
      </c>
      <c r="B23" t="s">
        <v>44</v>
      </c>
      <c r="C23" t="s">
        <v>45</v>
      </c>
      <c r="D23" t="s">
        <v>13</v>
      </c>
      <c r="E23">
        <f t="shared" si="1"/>
        <v>1201</v>
      </c>
      <c r="F23" t="s">
        <v>219</v>
      </c>
    </row>
    <row r="24" spans="1:6">
      <c r="A24" t="str">
        <f t="shared" si="0"/>
        <v>Firawaty-FABRIC TESTED CHARGES-CLN</v>
      </c>
      <c r="B24" t="s">
        <v>44</v>
      </c>
      <c r="C24" t="s">
        <v>45</v>
      </c>
      <c r="D24" t="s">
        <v>13</v>
      </c>
      <c r="E24">
        <f t="shared" si="1"/>
        <v>1201</v>
      </c>
      <c r="F24" t="s">
        <v>219</v>
      </c>
    </row>
    <row r="25" spans="1:6">
      <c r="A25" t="str">
        <f t="shared" si="0"/>
        <v>Firawaty-FABRIC TESTED CHARGES-CLN</v>
      </c>
      <c r="B25" t="s">
        <v>44</v>
      </c>
      <c r="C25" t="s">
        <v>45</v>
      </c>
      <c r="D25" t="s">
        <v>13</v>
      </c>
      <c r="E25">
        <f t="shared" si="1"/>
        <v>1201</v>
      </c>
      <c r="F25" t="s">
        <v>219</v>
      </c>
    </row>
    <row r="26" spans="1:6">
      <c r="A26" t="str">
        <f t="shared" si="0"/>
        <v>Firawaty-SALES COMMISSION-CLN</v>
      </c>
      <c r="B26" t="s">
        <v>44</v>
      </c>
      <c r="C26" t="s">
        <v>55</v>
      </c>
      <c r="D26" t="s">
        <v>13</v>
      </c>
      <c r="E26">
        <f t="shared" si="1"/>
        <v>1201</v>
      </c>
      <c r="F26" t="s">
        <v>212</v>
      </c>
    </row>
    <row r="27" spans="1:6">
      <c r="A27" t="str">
        <f t="shared" si="0"/>
        <v>Firawaty-SAMPLE EXPENSES-CLN</v>
      </c>
      <c r="B27" t="s">
        <v>44</v>
      </c>
      <c r="C27" t="s">
        <v>58</v>
      </c>
      <c r="D27" t="s">
        <v>13</v>
      </c>
      <c r="E27">
        <f t="shared" si="1"/>
        <v>1201</v>
      </c>
      <c r="F27" t="s">
        <v>220</v>
      </c>
    </row>
    <row r="28" spans="1:6">
      <c r="A28" t="str">
        <f t="shared" si="0"/>
        <v>Firawaty-SAMPLE EXPENSES-CLN</v>
      </c>
      <c r="B28" t="s">
        <v>44</v>
      </c>
      <c r="C28" t="s">
        <v>58</v>
      </c>
      <c r="D28" t="s">
        <v>13</v>
      </c>
      <c r="E28">
        <f t="shared" si="1"/>
        <v>1201</v>
      </c>
      <c r="F28" t="s">
        <v>220</v>
      </c>
    </row>
    <row r="29" spans="1:6">
      <c r="A29" t="str">
        <f t="shared" si="0"/>
        <v>Firawaty-SAMPLE EXPENSES-CLN</v>
      </c>
      <c r="B29" t="s">
        <v>44</v>
      </c>
      <c r="C29" t="s">
        <v>58</v>
      </c>
      <c r="D29" t="s">
        <v>13</v>
      </c>
      <c r="E29">
        <f t="shared" si="1"/>
        <v>1201</v>
      </c>
      <c r="F29" t="s">
        <v>220</v>
      </c>
    </row>
    <row r="30" spans="1:6">
      <c r="A30" t="str">
        <f t="shared" si="0"/>
        <v>Firawaty-SAMPLE EXPENSES-CLN</v>
      </c>
      <c r="B30" t="s">
        <v>44</v>
      </c>
      <c r="C30" t="s">
        <v>58</v>
      </c>
      <c r="D30" t="s">
        <v>13</v>
      </c>
      <c r="E30">
        <f t="shared" si="1"/>
        <v>1201</v>
      </c>
      <c r="F30" t="s">
        <v>220</v>
      </c>
    </row>
    <row r="31" spans="1:6">
      <c r="A31" t="str">
        <f t="shared" si="0"/>
        <v>Fungfung-FABRIC TESTED CHARGES-CLN</v>
      </c>
      <c r="B31" t="s">
        <v>313</v>
      </c>
      <c r="C31" t="s">
        <v>45</v>
      </c>
      <c r="D31" t="s">
        <v>13</v>
      </c>
      <c r="E31">
        <f t="shared" si="1"/>
        <v>1201</v>
      </c>
      <c r="F31" t="s">
        <v>219</v>
      </c>
    </row>
    <row r="32" spans="1:6">
      <c r="A32" t="str">
        <f t="shared" si="0"/>
        <v>Fungfung-SALES COMMISSION-CLN</v>
      </c>
      <c r="B32" t="s">
        <v>313</v>
      </c>
      <c r="C32" t="s">
        <v>55</v>
      </c>
      <c r="D32" t="s">
        <v>13</v>
      </c>
      <c r="E32">
        <f t="shared" si="1"/>
        <v>1201</v>
      </c>
      <c r="F32" t="s">
        <v>212</v>
      </c>
    </row>
    <row r="33" spans="1:6">
      <c r="A33" t="str">
        <f t="shared" si="0"/>
        <v>Fungfung-SAMPLE EXPENSES-CLN</v>
      </c>
      <c r="B33" t="s">
        <v>313</v>
      </c>
      <c r="C33" t="s">
        <v>58</v>
      </c>
      <c r="D33" t="s">
        <v>13</v>
      </c>
      <c r="E33">
        <f t="shared" si="1"/>
        <v>1201</v>
      </c>
      <c r="F33" t="s">
        <v>220</v>
      </c>
    </row>
    <row r="34" spans="1:6">
      <c r="A34" t="str">
        <f t="shared" ref="A34:A65" si="2">B34&amp;"-"&amp;C34&amp;"-"&amp;D34</f>
        <v>Fungfung-SAMPLE EXPENSES-CLN</v>
      </c>
      <c r="B34" t="s">
        <v>313</v>
      </c>
      <c r="C34" t="s">
        <v>58</v>
      </c>
      <c r="D34" t="s">
        <v>13</v>
      </c>
      <c r="E34">
        <f t="shared" si="1"/>
        <v>1201</v>
      </c>
      <c r="F34" t="s">
        <v>220</v>
      </c>
    </row>
    <row r="35" spans="1:6">
      <c r="A35" t="str">
        <f t="shared" si="2"/>
        <v>Owi Wijaya-AIR FREIGHT-CLN</v>
      </c>
      <c r="B35" t="s">
        <v>66</v>
      </c>
      <c r="C35" t="s">
        <v>67</v>
      </c>
      <c r="D35" t="s">
        <v>13</v>
      </c>
      <c r="E35">
        <f t="shared" si="1"/>
        <v>1201</v>
      </c>
      <c r="F35" t="s">
        <v>179</v>
      </c>
    </row>
    <row r="36" spans="1:6">
      <c r="A36" t="str">
        <f t="shared" si="2"/>
        <v>Owi Wijaya-BUSINESS TRIP EXPENSES-CLN</v>
      </c>
      <c r="B36" t="s">
        <v>66</v>
      </c>
      <c r="C36" t="s">
        <v>69</v>
      </c>
      <c r="D36" t="s">
        <v>13</v>
      </c>
      <c r="E36">
        <f t="shared" si="1"/>
        <v>1201</v>
      </c>
      <c r="F36" t="s">
        <v>221</v>
      </c>
    </row>
    <row r="37" spans="1:6">
      <c r="A37" t="str">
        <f t="shared" si="2"/>
        <v>Owi Wijaya-CONTRIBUTION COST-CLN</v>
      </c>
      <c r="B37" t="s">
        <v>66</v>
      </c>
      <c r="C37" t="s">
        <v>72</v>
      </c>
      <c r="D37" t="s">
        <v>13</v>
      </c>
      <c r="E37">
        <f t="shared" si="1"/>
        <v>1201</v>
      </c>
      <c r="F37" t="s">
        <v>222</v>
      </c>
    </row>
    <row r="38" spans="1:6">
      <c r="A38" t="str">
        <f t="shared" si="2"/>
        <v>Owi Wijaya-CONTRIBUTION COST-MAJA-2</v>
      </c>
      <c r="B38" t="s">
        <v>66</v>
      </c>
      <c r="C38" t="s">
        <v>72</v>
      </c>
      <c r="D38" t="s">
        <v>15</v>
      </c>
      <c r="E38">
        <f t="shared" si="1"/>
        <v>1204</v>
      </c>
      <c r="F38" t="s">
        <v>195</v>
      </c>
    </row>
    <row r="39" spans="1:6">
      <c r="A39" t="str">
        <f t="shared" si="2"/>
        <v>Owi Wijaya-ELECTRICITY-CLN</v>
      </c>
      <c r="B39" t="s">
        <v>66</v>
      </c>
      <c r="C39" t="s">
        <v>75</v>
      </c>
      <c r="D39" t="s">
        <v>13</v>
      </c>
      <c r="E39">
        <f t="shared" si="1"/>
        <v>1201</v>
      </c>
      <c r="F39" t="s">
        <v>223</v>
      </c>
    </row>
    <row r="40" spans="1:6">
      <c r="A40" t="str">
        <f t="shared" si="2"/>
        <v>Owi Wijaya-ENTERTAINMENT-CLN</v>
      </c>
      <c r="B40" t="s">
        <v>66</v>
      </c>
      <c r="C40" t="s">
        <v>77</v>
      </c>
      <c r="D40" t="s">
        <v>13</v>
      </c>
      <c r="E40">
        <f t="shared" si="1"/>
        <v>1201</v>
      </c>
      <c r="F40" t="s">
        <v>224</v>
      </c>
    </row>
    <row r="41" spans="1:6">
      <c r="A41" t="str">
        <f t="shared" si="2"/>
        <v>Owi Wijaya-FACTORY SUPPLIES EXPENSE-CLN</v>
      </c>
      <c r="B41" t="s">
        <v>66</v>
      </c>
      <c r="C41" t="s">
        <v>79</v>
      </c>
      <c r="D41" t="s">
        <v>13</v>
      </c>
      <c r="E41">
        <f t="shared" si="1"/>
        <v>1201</v>
      </c>
      <c r="F41" t="s">
        <v>225</v>
      </c>
    </row>
    <row r="42" spans="1:6">
      <c r="A42" t="str">
        <f t="shared" si="2"/>
        <v>Owi Wijaya-FARE ALLOWANCE-CLN</v>
      </c>
      <c r="B42" t="s">
        <v>66</v>
      </c>
      <c r="C42" t="s">
        <v>153</v>
      </c>
      <c r="D42" t="s">
        <v>13</v>
      </c>
      <c r="E42">
        <f t="shared" si="1"/>
        <v>1201</v>
      </c>
      <c r="F42" t="s">
        <v>226</v>
      </c>
    </row>
    <row r="43" spans="1:6">
      <c r="A43" t="str">
        <f t="shared" si="2"/>
        <v>Owi Wijaya-FARE ALLOWANCE-CLN</v>
      </c>
      <c r="B43" t="s">
        <v>66</v>
      </c>
      <c r="C43" t="s">
        <v>153</v>
      </c>
      <c r="D43" t="s">
        <v>13</v>
      </c>
      <c r="E43">
        <f t="shared" si="1"/>
        <v>1201</v>
      </c>
      <c r="F43" t="s">
        <v>226</v>
      </c>
    </row>
    <row r="44" spans="1:6">
      <c r="A44" t="str">
        <f t="shared" si="2"/>
        <v>Owi Wijaya-FREIGHT IN-CLN</v>
      </c>
      <c r="B44" t="s">
        <v>66</v>
      </c>
      <c r="C44" t="s">
        <v>84</v>
      </c>
      <c r="D44" t="s">
        <v>13</v>
      </c>
      <c r="E44">
        <f t="shared" si="1"/>
        <v>1201</v>
      </c>
      <c r="F44" t="s">
        <v>227</v>
      </c>
    </row>
    <row r="45" spans="1:6">
      <c r="A45" t="str">
        <f t="shared" si="2"/>
        <v>Owi Wijaya-FREIGHT IN-MAJA-2</v>
      </c>
      <c r="B45" t="s">
        <v>66</v>
      </c>
      <c r="C45" t="s">
        <v>84</v>
      </c>
      <c r="D45" t="s">
        <v>15</v>
      </c>
      <c r="E45">
        <f t="shared" si="1"/>
        <v>1204</v>
      </c>
      <c r="F45" t="s">
        <v>196</v>
      </c>
    </row>
    <row r="46" spans="1:6">
      <c r="A46" t="str">
        <f t="shared" si="2"/>
        <v>Owi Wijaya-FUEL FOR MOTOR VEHICLE-CLN</v>
      </c>
      <c r="B46" t="s">
        <v>66</v>
      </c>
      <c r="C46" t="s">
        <v>86</v>
      </c>
      <c r="D46" t="s">
        <v>13</v>
      </c>
      <c r="E46">
        <f t="shared" si="1"/>
        <v>1201</v>
      </c>
      <c r="F46" t="s">
        <v>228</v>
      </c>
    </row>
    <row r="47" spans="1:6">
      <c r="A47" t="str">
        <f t="shared" si="2"/>
        <v>Owi Wijaya-FUEL FOR MOTOR VEHICLE-MAJA-1</v>
      </c>
      <c r="B47" t="s">
        <v>66</v>
      </c>
      <c r="C47" t="s">
        <v>86</v>
      </c>
      <c r="D47" t="s">
        <v>24</v>
      </c>
      <c r="E47">
        <f t="shared" si="1"/>
        <v>1205</v>
      </c>
      <c r="F47" t="s">
        <v>197</v>
      </c>
    </row>
    <row r="48" spans="1:6">
      <c r="A48" t="str">
        <f t="shared" si="2"/>
        <v>Owi Wijaya-FUEL FOR MOTOR VEHICLE-MAJA-2</v>
      </c>
      <c r="B48" t="s">
        <v>66</v>
      </c>
      <c r="C48" t="s">
        <v>86</v>
      </c>
      <c r="D48" t="s">
        <v>15</v>
      </c>
      <c r="E48">
        <f t="shared" si="1"/>
        <v>1204</v>
      </c>
      <c r="F48" t="s">
        <v>198</v>
      </c>
    </row>
    <row r="49" spans="1:6">
      <c r="A49" t="str">
        <f t="shared" si="2"/>
        <v>Owi Wijaya-INSURANCEEXP.OFBUILD.&amp;-CLN</v>
      </c>
      <c r="B49" t="s">
        <v>66</v>
      </c>
      <c r="C49" t="s">
        <v>88</v>
      </c>
      <c r="D49" t="s">
        <v>13</v>
      </c>
      <c r="E49">
        <f t="shared" si="1"/>
        <v>1201</v>
      </c>
      <c r="F49" t="s">
        <v>181</v>
      </c>
    </row>
    <row r="50" spans="1:6">
      <c r="A50" t="str">
        <f t="shared" si="2"/>
        <v>Owi Wijaya-INSURANCEEXP.OFBUILD.&amp;-MAJA-2</v>
      </c>
      <c r="B50" t="s">
        <v>66</v>
      </c>
      <c r="C50" t="s">
        <v>88</v>
      </c>
      <c r="D50" t="s">
        <v>15</v>
      </c>
      <c r="E50">
        <f t="shared" si="1"/>
        <v>1204</v>
      </c>
      <c r="F50" t="s">
        <v>182</v>
      </c>
    </row>
    <row r="51" spans="1:6">
      <c r="A51" t="str">
        <f t="shared" si="2"/>
        <v>Owi Wijaya-INTERNET EXPENSES-CLN</v>
      </c>
      <c r="B51" t="s">
        <v>66</v>
      </c>
      <c r="C51" t="s">
        <v>90</v>
      </c>
      <c r="D51" t="s">
        <v>13</v>
      </c>
      <c r="E51">
        <f t="shared" si="1"/>
        <v>1201</v>
      </c>
      <c r="F51" t="s">
        <v>229</v>
      </c>
    </row>
    <row r="52" spans="1:6">
      <c r="A52" t="str">
        <f t="shared" si="2"/>
        <v>Owi Wijaya-INTERNET EXPENSES-MAJA-2</v>
      </c>
      <c r="B52" t="s">
        <v>66</v>
      </c>
      <c r="C52" t="s">
        <v>90</v>
      </c>
      <c r="D52" t="s">
        <v>15</v>
      </c>
      <c r="E52">
        <f t="shared" si="1"/>
        <v>1204</v>
      </c>
      <c r="F52" t="s">
        <v>199</v>
      </c>
    </row>
    <row r="53" spans="1:6">
      <c r="A53" t="str">
        <f t="shared" si="2"/>
        <v>Owi Wijaya-JAMSOSTEK-CLN</v>
      </c>
      <c r="B53" t="s">
        <v>66</v>
      </c>
      <c r="C53" t="s">
        <v>92</v>
      </c>
      <c r="D53" t="s">
        <v>13</v>
      </c>
      <c r="E53">
        <f t="shared" si="1"/>
        <v>1201</v>
      </c>
      <c r="F53" t="s">
        <v>230</v>
      </c>
    </row>
    <row r="54" spans="1:6">
      <c r="A54" t="str">
        <f t="shared" si="2"/>
        <v>Owi Wijaya-LABOR COST-CLN</v>
      </c>
      <c r="B54" t="s">
        <v>66</v>
      </c>
      <c r="C54" t="s">
        <v>95</v>
      </c>
      <c r="D54" t="s">
        <v>13</v>
      </c>
      <c r="E54">
        <f t="shared" si="1"/>
        <v>1201</v>
      </c>
      <c r="F54" t="s">
        <v>231</v>
      </c>
    </row>
    <row r="55" spans="1:6">
      <c r="A55" t="str">
        <f t="shared" si="2"/>
        <v>Owi Wijaya-LEGAL EXPENSES-CLN</v>
      </c>
      <c r="B55" t="s">
        <v>66</v>
      </c>
      <c r="C55" t="s">
        <v>98</v>
      </c>
      <c r="D55" t="s">
        <v>13</v>
      </c>
      <c r="E55">
        <f t="shared" si="1"/>
        <v>1201</v>
      </c>
      <c r="F55" t="s">
        <v>232</v>
      </c>
    </row>
    <row r="56" spans="1:6">
      <c r="A56" t="str">
        <f t="shared" si="2"/>
        <v>Owi Wijaya-LEGAL EXPENSES-KALIBENDA</v>
      </c>
      <c r="B56" t="s">
        <v>66</v>
      </c>
      <c r="C56" t="s">
        <v>98</v>
      </c>
      <c r="D56" t="s">
        <v>100</v>
      </c>
      <c r="E56">
        <f t="shared" si="1"/>
        <v>1206</v>
      </c>
      <c r="F56" t="s">
        <v>200</v>
      </c>
    </row>
    <row r="57" spans="1:6">
      <c r="A57" t="str">
        <f t="shared" si="2"/>
        <v>Owi Wijaya-LEGAL EXPENSES-MAJA-1</v>
      </c>
      <c r="B57" t="s">
        <v>66</v>
      </c>
      <c r="C57" t="s">
        <v>98</v>
      </c>
      <c r="D57" t="s">
        <v>24</v>
      </c>
      <c r="E57">
        <f t="shared" si="1"/>
        <v>1205</v>
      </c>
      <c r="F57" t="s">
        <v>201</v>
      </c>
    </row>
    <row r="58" spans="1:6">
      <c r="A58" t="str">
        <f t="shared" si="2"/>
        <v>Owi Wijaya-LEGAL EXPENSES-MAJA-2</v>
      </c>
      <c r="B58" t="s">
        <v>66</v>
      </c>
      <c r="C58" t="s">
        <v>98</v>
      </c>
      <c r="D58" t="s">
        <v>15</v>
      </c>
      <c r="E58">
        <f t="shared" si="1"/>
        <v>1204</v>
      </c>
      <c r="F58" t="s">
        <v>202</v>
      </c>
    </row>
    <row r="59" spans="1:6">
      <c r="A59" t="str">
        <f t="shared" si="2"/>
        <v>Owi Wijaya-MAINT.&amp;REP.BUILDING-CLN</v>
      </c>
      <c r="B59" t="s">
        <v>66</v>
      </c>
      <c r="C59" t="s">
        <v>101</v>
      </c>
      <c r="D59" t="s">
        <v>13</v>
      </c>
      <c r="E59">
        <f t="shared" si="1"/>
        <v>1201</v>
      </c>
      <c r="F59" t="s">
        <v>233</v>
      </c>
    </row>
    <row r="60" spans="1:6">
      <c r="A60" t="str">
        <f t="shared" si="2"/>
        <v>Owi Wijaya-MAINT.&amp;REP.ELECTRICITY-CLN</v>
      </c>
      <c r="B60" t="s">
        <v>66</v>
      </c>
      <c r="C60" t="s">
        <v>103</v>
      </c>
      <c r="D60" t="s">
        <v>13</v>
      </c>
      <c r="E60">
        <f t="shared" si="1"/>
        <v>1201</v>
      </c>
      <c r="F60" t="s">
        <v>234</v>
      </c>
    </row>
    <row r="61" spans="1:6">
      <c r="A61" t="str">
        <f t="shared" si="2"/>
        <v>Owi Wijaya-MAINT.&amp;REP.GEN&amp;BOILER-CLN</v>
      </c>
      <c r="B61" t="s">
        <v>66</v>
      </c>
      <c r="C61" t="s">
        <v>105</v>
      </c>
      <c r="D61" t="s">
        <v>13</v>
      </c>
      <c r="E61">
        <f t="shared" si="1"/>
        <v>1201</v>
      </c>
      <c r="F61" t="s">
        <v>235</v>
      </c>
    </row>
    <row r="62" spans="1:6">
      <c r="A62" t="str">
        <f t="shared" si="2"/>
        <v>Owi Wijaya-MAINT.&amp;REP.MACHINERIE-CLN</v>
      </c>
      <c r="B62" t="s">
        <v>66</v>
      </c>
      <c r="C62" t="s">
        <v>107</v>
      </c>
      <c r="D62" t="s">
        <v>13</v>
      </c>
      <c r="E62">
        <f t="shared" si="1"/>
        <v>1201</v>
      </c>
      <c r="F62" t="s">
        <v>236</v>
      </c>
    </row>
    <row r="63" spans="1:6">
      <c r="A63" t="str">
        <f t="shared" si="2"/>
        <v>Owi Wijaya-MAINT.&amp;REP.MOTORVEHICLE-CLN</v>
      </c>
      <c r="B63" t="s">
        <v>66</v>
      </c>
      <c r="C63" t="s">
        <v>109</v>
      </c>
      <c r="D63" t="s">
        <v>13</v>
      </c>
      <c r="E63">
        <f t="shared" si="1"/>
        <v>1201</v>
      </c>
      <c r="F63" t="s">
        <v>237</v>
      </c>
    </row>
    <row r="64" spans="1:6">
      <c r="A64" t="str">
        <f t="shared" si="2"/>
        <v>Owi Wijaya-MAINT.&amp;REP.MOTORVEHICLE-MAJA-1</v>
      </c>
      <c r="B64" t="s">
        <v>66</v>
      </c>
      <c r="C64" t="s">
        <v>109</v>
      </c>
      <c r="D64" t="s">
        <v>24</v>
      </c>
      <c r="E64">
        <f t="shared" si="1"/>
        <v>1205</v>
      </c>
      <c r="F64" t="s">
        <v>203</v>
      </c>
    </row>
    <row r="65" spans="1:6">
      <c r="A65" t="str">
        <f t="shared" si="2"/>
        <v>Owi Wijaya-MAINT.&amp;REP.MOTORVEHICLE-MAJA-2</v>
      </c>
      <c r="B65" t="s">
        <v>66</v>
      </c>
      <c r="C65" t="s">
        <v>109</v>
      </c>
      <c r="D65" t="s">
        <v>15</v>
      </c>
      <c r="E65">
        <f t="shared" si="1"/>
        <v>1204</v>
      </c>
      <c r="F65" t="s">
        <v>204</v>
      </c>
    </row>
    <row r="66" spans="1:6">
      <c r="A66" t="str">
        <f t="shared" ref="A66:A97" si="3">B66&amp;"-"&amp;C66&amp;"-"&amp;D66</f>
        <v>Owi Wijaya-MAINT.&amp;REP.PLANTEQUI-CLN</v>
      </c>
      <c r="B66" t="s">
        <v>66</v>
      </c>
      <c r="C66" t="s">
        <v>111</v>
      </c>
      <c r="D66" t="s">
        <v>13</v>
      </c>
      <c r="E66">
        <f t="shared" si="1"/>
        <v>1201</v>
      </c>
      <c r="F66" t="s">
        <v>238</v>
      </c>
    </row>
    <row r="67" spans="1:6">
      <c r="A67" t="str">
        <f t="shared" si="3"/>
        <v>Owi Wijaya-MAINT.&amp;REP.WATERINSTL.-CLN</v>
      </c>
      <c r="B67" t="s">
        <v>66</v>
      </c>
      <c r="C67" t="s">
        <v>113</v>
      </c>
      <c r="D67" t="s">
        <v>13</v>
      </c>
      <c r="E67">
        <f t="shared" ref="E67:E130" si="4">VLOOKUP(D67,$L$2:$M$6,2,FALSE)</f>
        <v>1201</v>
      </c>
      <c r="F67" t="s">
        <v>239</v>
      </c>
    </row>
    <row r="68" spans="1:6">
      <c r="A68" t="str">
        <f t="shared" si="3"/>
        <v>Owi Wijaya-MAINT.OFFICEEQUIP.-CLN</v>
      </c>
      <c r="B68" t="s">
        <v>66</v>
      </c>
      <c r="C68" t="s">
        <v>115</v>
      </c>
      <c r="D68" t="s">
        <v>13</v>
      </c>
      <c r="E68">
        <f t="shared" si="4"/>
        <v>1201</v>
      </c>
      <c r="F68" t="s">
        <v>240</v>
      </c>
    </row>
    <row r="69" spans="1:6">
      <c r="A69" t="str">
        <f t="shared" si="3"/>
        <v>Owi Wijaya-MAINT.OFFICEEQUIP.-KALIBENDA</v>
      </c>
      <c r="B69" t="s">
        <v>66</v>
      </c>
      <c r="C69" t="s">
        <v>115</v>
      </c>
      <c r="D69" t="s">
        <v>100</v>
      </c>
      <c r="E69">
        <f t="shared" si="4"/>
        <v>1206</v>
      </c>
      <c r="F69" t="s">
        <v>205</v>
      </c>
    </row>
    <row r="70" spans="1:6">
      <c r="A70" t="str">
        <f t="shared" si="3"/>
        <v>Owi Wijaya-MAINT.OFFICEEQUIP.-MAJA-1</v>
      </c>
      <c r="B70" t="s">
        <v>66</v>
      </c>
      <c r="C70" t="s">
        <v>115</v>
      </c>
      <c r="D70" t="s">
        <v>24</v>
      </c>
      <c r="E70">
        <f t="shared" si="4"/>
        <v>1205</v>
      </c>
      <c r="F70" t="s">
        <v>206</v>
      </c>
    </row>
    <row r="71" spans="1:6">
      <c r="A71" t="str">
        <f t="shared" si="3"/>
        <v>Owi Wijaya-MAINT.OFFICEEQUIP.-MAJA-2</v>
      </c>
      <c r="B71" t="s">
        <v>66</v>
      </c>
      <c r="C71" t="s">
        <v>115</v>
      </c>
      <c r="D71" t="s">
        <v>15</v>
      </c>
      <c r="E71">
        <f t="shared" si="4"/>
        <v>1204</v>
      </c>
      <c r="F71" t="s">
        <v>207</v>
      </c>
    </row>
    <row r="72" spans="1:6">
      <c r="A72" t="str">
        <f t="shared" si="3"/>
        <v>Owi Wijaya-MEDICAL ALLOWANCE-CLN</v>
      </c>
      <c r="B72" t="s">
        <v>66</v>
      </c>
      <c r="C72" t="s">
        <v>117</v>
      </c>
      <c r="D72" t="s">
        <v>13</v>
      </c>
      <c r="E72">
        <f t="shared" si="4"/>
        <v>1201</v>
      </c>
      <c r="F72" t="s">
        <v>241</v>
      </c>
    </row>
    <row r="73" spans="1:6">
      <c r="A73" t="str">
        <f t="shared" si="3"/>
        <v>Owi Wijaya-OFFICE SUPPLIES EXPENSES-CLN</v>
      </c>
      <c r="B73" t="s">
        <v>66</v>
      </c>
      <c r="C73" t="s">
        <v>119</v>
      </c>
      <c r="D73" t="s">
        <v>13</v>
      </c>
      <c r="E73">
        <f t="shared" si="4"/>
        <v>1201</v>
      </c>
      <c r="F73" t="s">
        <v>242</v>
      </c>
    </row>
    <row r="74" spans="1:6">
      <c r="A74" t="str">
        <f t="shared" si="3"/>
        <v>Owi Wijaya-OFFICE SUPPLIES EXPENSES-KALIBENDA</v>
      </c>
      <c r="B74" t="s">
        <v>66</v>
      </c>
      <c r="C74" t="s">
        <v>119</v>
      </c>
      <c r="D74" t="s">
        <v>100</v>
      </c>
      <c r="E74">
        <f t="shared" si="4"/>
        <v>1206</v>
      </c>
      <c r="F74" t="s">
        <v>208</v>
      </c>
    </row>
    <row r="75" spans="1:6">
      <c r="A75" t="str">
        <f t="shared" si="3"/>
        <v>Owi Wijaya-OFFICE SUPPLIES EXPENSES-MAJA-1</v>
      </c>
      <c r="B75" t="s">
        <v>66</v>
      </c>
      <c r="C75" t="s">
        <v>119</v>
      </c>
      <c r="D75" t="s">
        <v>24</v>
      </c>
      <c r="E75">
        <f t="shared" si="4"/>
        <v>1205</v>
      </c>
      <c r="F75" t="s">
        <v>315</v>
      </c>
    </row>
    <row r="76" spans="1:6">
      <c r="A76" t="str">
        <f t="shared" si="3"/>
        <v>Owi Wijaya-OFFICE SUPPLIES EXPENSES-MAJA-2</v>
      </c>
      <c r="B76" t="s">
        <v>66</v>
      </c>
      <c r="C76" t="s">
        <v>119</v>
      </c>
      <c r="D76" t="s">
        <v>15</v>
      </c>
      <c r="E76">
        <f t="shared" si="4"/>
        <v>1204</v>
      </c>
      <c r="F76" t="s">
        <v>209</v>
      </c>
    </row>
    <row r="77" spans="1:6">
      <c r="A77" t="str">
        <f t="shared" si="3"/>
        <v>Owi Wijaya-OTHER PRODUCTION COST-KALIBENDA</v>
      </c>
      <c r="B77" t="s">
        <v>66</v>
      </c>
      <c r="C77" t="s">
        <v>21</v>
      </c>
      <c r="D77" t="s">
        <v>100</v>
      </c>
      <c r="E77">
        <f t="shared" si="4"/>
        <v>1206</v>
      </c>
      <c r="F77" t="s">
        <v>183</v>
      </c>
    </row>
    <row r="78" spans="1:6">
      <c r="A78" t="str">
        <f t="shared" si="3"/>
        <v>Owi Wijaya-PEMAKAIAN SPARE PART-CLN</v>
      </c>
      <c r="B78" t="s">
        <v>66</v>
      </c>
      <c r="C78" t="s">
        <v>123</v>
      </c>
      <c r="D78" t="s">
        <v>13</v>
      </c>
      <c r="E78">
        <f t="shared" si="4"/>
        <v>1201</v>
      </c>
      <c r="F78" t="s">
        <v>243</v>
      </c>
    </row>
    <row r="79" spans="1:6">
      <c r="A79" t="str">
        <f t="shared" si="3"/>
        <v>Owi Wijaya-PMKN FUEL &amp; LUBRICANT-CLN</v>
      </c>
      <c r="B79" t="s">
        <v>66</v>
      </c>
      <c r="C79" t="s">
        <v>125</v>
      </c>
      <c r="D79" t="s">
        <v>13</v>
      </c>
      <c r="E79">
        <f t="shared" si="4"/>
        <v>1201</v>
      </c>
      <c r="F79" t="s">
        <v>244</v>
      </c>
    </row>
    <row r="80" spans="1:6">
      <c r="A80" t="str">
        <f t="shared" si="3"/>
        <v>Owi Wijaya-RENT EXPENSES-CLN</v>
      </c>
      <c r="B80" t="s">
        <v>66</v>
      </c>
      <c r="C80" t="s">
        <v>127</v>
      </c>
      <c r="D80" t="s">
        <v>13</v>
      </c>
      <c r="E80">
        <f t="shared" si="4"/>
        <v>1201</v>
      </c>
      <c r="F80" t="s">
        <v>245</v>
      </c>
    </row>
    <row r="81" spans="1:6">
      <c r="A81" t="str">
        <f t="shared" si="3"/>
        <v>Owi Wijaya-RENT EXPENSES BUILDING-CLN</v>
      </c>
      <c r="B81" t="s">
        <v>66</v>
      </c>
      <c r="C81" t="s">
        <v>129</v>
      </c>
      <c r="D81" t="s">
        <v>13</v>
      </c>
      <c r="E81">
        <f t="shared" si="4"/>
        <v>1201</v>
      </c>
      <c r="F81" t="s">
        <v>246</v>
      </c>
    </row>
    <row r="82" spans="1:6">
      <c r="A82" t="str">
        <f t="shared" si="3"/>
        <v>Owi Wijaya-RENT EXPENSES LAND-CLN</v>
      </c>
      <c r="B82" t="s">
        <v>66</v>
      </c>
      <c r="C82" t="s">
        <v>131</v>
      </c>
      <c r="D82" t="s">
        <v>13</v>
      </c>
      <c r="E82">
        <f t="shared" si="4"/>
        <v>1201</v>
      </c>
      <c r="F82" t="s">
        <v>247</v>
      </c>
    </row>
    <row r="83" spans="1:6">
      <c r="A83" t="str">
        <f t="shared" si="3"/>
        <v>Owi Wijaya-TELEPHONE EXPENSES-CLN</v>
      </c>
      <c r="B83" t="s">
        <v>66</v>
      </c>
      <c r="C83" t="s">
        <v>133</v>
      </c>
      <c r="D83" t="s">
        <v>13</v>
      </c>
      <c r="E83">
        <f t="shared" si="4"/>
        <v>1201</v>
      </c>
      <c r="F83" t="s">
        <v>248</v>
      </c>
    </row>
    <row r="84" spans="1:6">
      <c r="A84" t="str">
        <f t="shared" si="3"/>
        <v>Owi Wijaya-TRAINING BY EMPLOYEE-CLN</v>
      </c>
      <c r="B84" t="s">
        <v>66</v>
      </c>
      <c r="C84" t="s">
        <v>135</v>
      </c>
      <c r="D84" t="s">
        <v>13</v>
      </c>
      <c r="E84">
        <f t="shared" si="4"/>
        <v>1201</v>
      </c>
      <c r="F84" t="s">
        <v>249</v>
      </c>
    </row>
    <row r="85" spans="1:6">
      <c r="A85" t="str">
        <f t="shared" si="3"/>
        <v>Owi Wijaya-WATER-CLN</v>
      </c>
      <c r="B85" t="s">
        <v>66</v>
      </c>
      <c r="C85" t="s">
        <v>137</v>
      </c>
      <c r="D85" t="s">
        <v>13</v>
      </c>
      <c r="E85">
        <f t="shared" si="4"/>
        <v>1201</v>
      </c>
      <c r="F85" t="s">
        <v>250</v>
      </c>
    </row>
    <row r="86" spans="1:6">
      <c r="A86" t="str">
        <f t="shared" si="3"/>
        <v>Owi Wijaya-OTHER PRODUCTION COST-CLN</v>
      </c>
      <c r="B86" t="s">
        <v>66</v>
      </c>
      <c r="C86" t="s">
        <v>21</v>
      </c>
      <c r="D86" t="s">
        <v>13</v>
      </c>
      <c r="E86">
        <f t="shared" si="4"/>
        <v>1201</v>
      </c>
      <c r="F86" t="s">
        <v>184</v>
      </c>
    </row>
    <row r="87" spans="1:6">
      <c r="A87" t="str">
        <f t="shared" si="3"/>
        <v>Owi Wijaya-OTHER PRODUCTION COST-CLN</v>
      </c>
      <c r="B87" t="s">
        <v>66</v>
      </c>
      <c r="C87" t="s">
        <v>21</v>
      </c>
      <c r="D87" t="s">
        <v>13</v>
      </c>
      <c r="E87">
        <f t="shared" si="4"/>
        <v>1201</v>
      </c>
      <c r="F87" t="s">
        <v>184</v>
      </c>
    </row>
    <row r="88" spans="1:6">
      <c r="A88" t="str">
        <f t="shared" si="3"/>
        <v>Owi Wijaya-OTHER PRODUCTION COST-MAJA-1</v>
      </c>
      <c r="B88" t="s">
        <v>66</v>
      </c>
      <c r="C88" t="s">
        <v>21</v>
      </c>
      <c r="D88" t="s">
        <v>24</v>
      </c>
      <c r="E88">
        <f t="shared" si="4"/>
        <v>1205</v>
      </c>
      <c r="F88" t="s">
        <v>186</v>
      </c>
    </row>
    <row r="89" spans="1:6">
      <c r="A89" t="str">
        <f t="shared" si="3"/>
        <v>Owi Wijaya-OTHER PRODUCTION COST-MAJA-2</v>
      </c>
      <c r="B89" t="s">
        <v>66</v>
      </c>
      <c r="C89" t="s">
        <v>21</v>
      </c>
      <c r="D89" t="s">
        <v>15</v>
      </c>
      <c r="E89">
        <f t="shared" si="4"/>
        <v>1204</v>
      </c>
      <c r="F89" t="s">
        <v>185</v>
      </c>
    </row>
    <row r="90" spans="1:6">
      <c r="A90" t="str">
        <f t="shared" si="3"/>
        <v>Wawan Iskandar-JAMSOSTEK-KALIBENDA</v>
      </c>
      <c r="B90" t="s">
        <v>140</v>
      </c>
      <c r="C90" t="s">
        <v>92</v>
      </c>
      <c r="D90" t="s">
        <v>100</v>
      </c>
      <c r="E90">
        <f t="shared" si="4"/>
        <v>1206</v>
      </c>
      <c r="F90" t="s">
        <v>251</v>
      </c>
    </row>
    <row r="91" spans="1:6">
      <c r="A91" t="str">
        <f t="shared" si="3"/>
        <v>Wawan Iskandar-MAINT.&amp;REP.BUILDING-KALIBENDA</v>
      </c>
      <c r="B91" t="s">
        <v>140</v>
      </c>
      <c r="C91" t="s">
        <v>101</v>
      </c>
      <c r="D91" t="s">
        <v>100</v>
      </c>
      <c r="E91">
        <f t="shared" si="4"/>
        <v>1206</v>
      </c>
      <c r="F91" t="s">
        <v>252</v>
      </c>
    </row>
    <row r="92" spans="1:6">
      <c r="A92" t="str">
        <f t="shared" si="3"/>
        <v>Wawan Iskandar-MEDICAL ALLOWANCE-KALIBENDA</v>
      </c>
      <c r="B92" t="s">
        <v>140</v>
      </c>
      <c r="C92" t="s">
        <v>117</v>
      </c>
      <c r="D92" t="s">
        <v>100</v>
      </c>
      <c r="E92">
        <f t="shared" si="4"/>
        <v>1206</v>
      </c>
      <c r="F92" t="s">
        <v>253</v>
      </c>
    </row>
    <row r="93" spans="1:6">
      <c r="A93" t="str">
        <f t="shared" si="3"/>
        <v>Wawan Iskandar-RENT EXPENSES-KALIBENDA</v>
      </c>
      <c r="B93" t="s">
        <v>140</v>
      </c>
      <c r="C93" t="s">
        <v>127</v>
      </c>
      <c r="D93" t="s">
        <v>100</v>
      </c>
      <c r="E93">
        <f t="shared" si="4"/>
        <v>1206</v>
      </c>
      <c r="F93" t="s">
        <v>254</v>
      </c>
    </row>
    <row r="94" spans="1:6">
      <c r="A94" t="str">
        <f t="shared" si="3"/>
        <v>Wawan Iskandar-RENT EXPENSES BUILDING-KALIBENDA</v>
      </c>
      <c r="B94" t="s">
        <v>140</v>
      </c>
      <c r="C94" t="s">
        <v>129</v>
      </c>
      <c r="D94" t="s">
        <v>100</v>
      </c>
      <c r="E94">
        <f t="shared" si="4"/>
        <v>1206</v>
      </c>
      <c r="F94" t="s">
        <v>255</v>
      </c>
    </row>
    <row r="95" spans="1:6">
      <c r="A95" t="str">
        <f t="shared" si="3"/>
        <v>Wawan Iskandar-TELEPHONE EXPENSES-KALIBENDA</v>
      </c>
      <c r="B95" t="s">
        <v>140</v>
      </c>
      <c r="C95" t="s">
        <v>133</v>
      </c>
      <c r="D95" t="s">
        <v>100</v>
      </c>
      <c r="E95">
        <f t="shared" si="4"/>
        <v>1206</v>
      </c>
      <c r="F95" t="s">
        <v>256</v>
      </c>
    </row>
    <row r="96" spans="1:6">
      <c r="A96" t="str">
        <f t="shared" si="3"/>
        <v>Wawan Iskandar-WATER-KALIBENDA</v>
      </c>
      <c r="B96" t="s">
        <v>140</v>
      </c>
      <c r="C96" t="s">
        <v>137</v>
      </c>
      <c r="D96" t="s">
        <v>100</v>
      </c>
      <c r="E96">
        <f t="shared" si="4"/>
        <v>1206</v>
      </c>
      <c r="F96" t="s">
        <v>257</v>
      </c>
    </row>
    <row r="97" spans="1:6">
      <c r="A97" t="str">
        <f t="shared" si="3"/>
        <v>Wawan Iskandar-FACTORY SUPPLIES EXPENSE-KALIBENDA</v>
      </c>
      <c r="B97" t="s">
        <v>140</v>
      </c>
      <c r="C97" t="s">
        <v>79</v>
      </c>
      <c r="D97" t="s">
        <v>100</v>
      </c>
      <c r="E97">
        <f t="shared" si="4"/>
        <v>1206</v>
      </c>
      <c r="F97" t="s">
        <v>258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140</v>
      </c>
      <c r="C98" t="s">
        <v>103</v>
      </c>
      <c r="D98" t="s">
        <v>100</v>
      </c>
      <c r="E98">
        <f t="shared" si="4"/>
        <v>1206</v>
      </c>
      <c r="F98" t="s">
        <v>259</v>
      </c>
    </row>
    <row r="99" spans="1:6">
      <c r="A99" t="str">
        <f t="shared" si="5"/>
        <v>Wawan Iskandar-MAINT.&amp;REP.GEN&amp;BOILER-KALIBENDA</v>
      </c>
      <c r="B99" t="s">
        <v>140</v>
      </c>
      <c r="C99" t="s">
        <v>105</v>
      </c>
      <c r="D99" t="s">
        <v>100</v>
      </c>
      <c r="E99">
        <f t="shared" si="4"/>
        <v>1206</v>
      </c>
      <c r="F99" t="s">
        <v>260</v>
      </c>
    </row>
    <row r="100" spans="1:6">
      <c r="A100" t="str">
        <f t="shared" si="5"/>
        <v>Wawan Iskandar-MAINT.&amp;REP.MACHINERIE-KALIBENDA</v>
      </c>
      <c r="B100" t="s">
        <v>140</v>
      </c>
      <c r="C100" t="s">
        <v>107</v>
      </c>
      <c r="D100" t="s">
        <v>100</v>
      </c>
      <c r="E100">
        <f t="shared" si="4"/>
        <v>1206</v>
      </c>
      <c r="F100" t="s">
        <v>261</v>
      </c>
    </row>
    <row r="101" spans="1:6">
      <c r="A101" t="str">
        <f t="shared" si="5"/>
        <v>Wawan Iskandar-MAINT.&amp;REP.MOTORVEHICLE-KALIBENDA</v>
      </c>
      <c r="B101" t="s">
        <v>140</v>
      </c>
      <c r="C101" t="s">
        <v>109</v>
      </c>
      <c r="D101" t="s">
        <v>100</v>
      </c>
      <c r="E101">
        <f t="shared" si="4"/>
        <v>1206</v>
      </c>
      <c r="F101" t="s">
        <v>262</v>
      </c>
    </row>
    <row r="102" spans="1:6">
      <c r="A102" t="str">
        <f t="shared" si="5"/>
        <v>Wawan Iskandar-MAINT.&amp;REP.PLANTEQUI-KALIBENDA</v>
      </c>
      <c r="B102" t="s">
        <v>140</v>
      </c>
      <c r="C102" t="s">
        <v>111</v>
      </c>
      <c r="D102" t="s">
        <v>100</v>
      </c>
      <c r="E102">
        <f t="shared" si="4"/>
        <v>1206</v>
      </c>
      <c r="F102" t="s">
        <v>263</v>
      </c>
    </row>
    <row r="103" spans="1:6">
      <c r="A103" t="str">
        <f t="shared" si="5"/>
        <v>Wawan Iskandar-MAINT.&amp;REP.WATERINSTL.-KALIBENDA</v>
      </c>
      <c r="B103" t="s">
        <v>140</v>
      </c>
      <c r="C103" t="s">
        <v>113</v>
      </c>
      <c r="D103" t="s">
        <v>100</v>
      </c>
      <c r="E103">
        <f t="shared" si="4"/>
        <v>1206</v>
      </c>
      <c r="F103" t="s">
        <v>264</v>
      </c>
    </row>
    <row r="104" spans="1:6">
      <c r="A104" t="str">
        <f t="shared" si="5"/>
        <v>Wawan Iskandar-PEMAKAIAN SPARE PART-KALIBENDA</v>
      </c>
      <c r="B104" t="s">
        <v>140</v>
      </c>
      <c r="C104" t="s">
        <v>123</v>
      </c>
      <c r="D104" t="s">
        <v>100</v>
      </c>
      <c r="E104">
        <f t="shared" si="4"/>
        <v>1206</v>
      </c>
      <c r="F104" t="s">
        <v>265</v>
      </c>
    </row>
    <row r="105" spans="1:6">
      <c r="A105" t="str">
        <f t="shared" si="5"/>
        <v>Wawan Iskandar-BUSINESS TRIP EXPENSES-KALIBENDA</v>
      </c>
      <c r="B105" t="s">
        <v>140</v>
      </c>
      <c r="C105" t="s">
        <v>69</v>
      </c>
      <c r="D105" t="s">
        <v>100</v>
      </c>
      <c r="E105">
        <f t="shared" si="4"/>
        <v>1206</v>
      </c>
      <c r="F105" t="s">
        <v>266</v>
      </c>
    </row>
    <row r="106" spans="1:6">
      <c r="A106" t="str">
        <f t="shared" si="5"/>
        <v>Wawan Iskandar-ELECTRICITY-KALIBENDA</v>
      </c>
      <c r="B106" t="s">
        <v>140</v>
      </c>
      <c r="C106" t="s">
        <v>75</v>
      </c>
      <c r="D106" t="s">
        <v>100</v>
      </c>
      <c r="E106">
        <f t="shared" si="4"/>
        <v>1206</v>
      </c>
      <c r="F106" t="s">
        <v>267</v>
      </c>
    </row>
    <row r="107" spans="1:6">
      <c r="A107" t="str">
        <f t="shared" si="5"/>
        <v>Wawan Iskandar-FUEL FOR MOTOR VEHICLE-KALIBENDA</v>
      </c>
      <c r="B107" t="s">
        <v>140</v>
      </c>
      <c r="C107" t="s">
        <v>86</v>
      </c>
      <c r="D107" t="s">
        <v>100</v>
      </c>
      <c r="E107">
        <f t="shared" si="4"/>
        <v>1206</v>
      </c>
      <c r="F107" t="s">
        <v>268</v>
      </c>
    </row>
    <row r="108" spans="1:6">
      <c r="A108" t="str">
        <f t="shared" si="5"/>
        <v>Wawan Iskandar-LABOR COST-KALIBENDA</v>
      </c>
      <c r="B108" t="s">
        <v>140</v>
      </c>
      <c r="C108" t="s">
        <v>95</v>
      </c>
      <c r="D108" t="s">
        <v>100</v>
      </c>
      <c r="E108">
        <f t="shared" si="4"/>
        <v>1206</v>
      </c>
      <c r="F108" t="s">
        <v>269</v>
      </c>
    </row>
    <row r="109" spans="1:6">
      <c r="A109" t="str">
        <f t="shared" si="5"/>
        <v>Wawan Iskandar-OFFICER SALARIES-KALIBENDA</v>
      </c>
      <c r="B109" t="s">
        <v>140</v>
      </c>
      <c r="C109" t="s">
        <v>145</v>
      </c>
      <c r="D109" t="s">
        <v>100</v>
      </c>
      <c r="E109">
        <f t="shared" si="4"/>
        <v>1206</v>
      </c>
      <c r="F109" t="s">
        <v>270</v>
      </c>
    </row>
    <row r="110" spans="1:6">
      <c r="A110" t="str">
        <f t="shared" si="5"/>
        <v>Wawan Iskandar-PEMAKAIAN GENERAL MATERIAL-KALIBENDA</v>
      </c>
      <c r="B110" t="s">
        <v>140</v>
      </c>
      <c r="C110" t="s">
        <v>26</v>
      </c>
      <c r="D110" t="s">
        <v>100</v>
      </c>
      <c r="E110">
        <f t="shared" si="4"/>
        <v>1206</v>
      </c>
      <c r="F110" t="s">
        <v>271</v>
      </c>
    </row>
    <row r="111" spans="1:6">
      <c r="A111" t="str">
        <f t="shared" si="5"/>
        <v>Wawan Iskandar-VENDOR EXPENSES-CHW</v>
      </c>
      <c r="B111" t="s">
        <v>140</v>
      </c>
      <c r="C111" t="s">
        <v>37</v>
      </c>
      <c r="D111" t="s">
        <v>149</v>
      </c>
      <c r="E111">
        <f t="shared" si="4"/>
        <v>1206</v>
      </c>
      <c r="F111" t="s">
        <v>187</v>
      </c>
    </row>
    <row r="112" spans="1:6">
      <c r="A112" t="str">
        <f t="shared" si="5"/>
        <v>Tony Teja-ENTERTAINMENT-MAJA-1</v>
      </c>
      <c r="B112" t="s">
        <v>325</v>
      </c>
      <c r="C112" t="s">
        <v>77</v>
      </c>
      <c r="D112" t="s">
        <v>24</v>
      </c>
      <c r="E112">
        <f t="shared" si="4"/>
        <v>1205</v>
      </c>
      <c r="F112" t="s">
        <v>272</v>
      </c>
    </row>
    <row r="113" spans="1:6">
      <c r="A113" t="str">
        <f t="shared" si="5"/>
        <v>Tony Teja-JAMSOSTEK-MAJA-1</v>
      </c>
      <c r="B113" t="s">
        <v>325</v>
      </c>
      <c r="C113" t="s">
        <v>92</v>
      </c>
      <c r="D113" t="s">
        <v>24</v>
      </c>
      <c r="E113">
        <f t="shared" si="4"/>
        <v>1205</v>
      </c>
      <c r="F113" t="s">
        <v>273</v>
      </c>
    </row>
    <row r="114" spans="1:6">
      <c r="A114" t="str">
        <f t="shared" si="5"/>
        <v>Tony Teja-MAINT.&amp;REP.BUILDING-MAJA-1</v>
      </c>
      <c r="B114" t="s">
        <v>325</v>
      </c>
      <c r="C114" t="s">
        <v>101</v>
      </c>
      <c r="D114" t="s">
        <v>24</v>
      </c>
      <c r="E114">
        <f t="shared" si="4"/>
        <v>1205</v>
      </c>
      <c r="F114" t="s">
        <v>274</v>
      </c>
    </row>
    <row r="115" spans="1:6">
      <c r="A115" t="str">
        <f t="shared" si="5"/>
        <v>Tony Teja-MAINT.&amp;REP.WATERINSTL.-MAJA-1</v>
      </c>
      <c r="B115" t="s">
        <v>325</v>
      </c>
      <c r="C115" t="s">
        <v>113</v>
      </c>
      <c r="D115" t="s">
        <v>24</v>
      </c>
      <c r="E115">
        <f t="shared" si="4"/>
        <v>1205</v>
      </c>
      <c r="F115" t="s">
        <v>275</v>
      </c>
    </row>
    <row r="116" spans="1:6">
      <c r="A116" t="str">
        <f t="shared" si="5"/>
        <v>Tony Teja-MEDICAL ALLOWANCE-MAJA-1</v>
      </c>
      <c r="B116" t="s">
        <v>325</v>
      </c>
      <c r="C116" t="s">
        <v>117</v>
      </c>
      <c r="D116" t="s">
        <v>24</v>
      </c>
      <c r="E116">
        <f t="shared" si="4"/>
        <v>1205</v>
      </c>
      <c r="F116" t="s">
        <v>276</v>
      </c>
    </row>
    <row r="117" spans="1:6">
      <c r="A117" t="str">
        <f t="shared" si="5"/>
        <v>Tony Teja-RENT EXPENSES BUILDING-MAJA-1</v>
      </c>
      <c r="B117" t="s">
        <v>325</v>
      </c>
      <c r="C117" t="s">
        <v>129</v>
      </c>
      <c r="D117" t="s">
        <v>24</v>
      </c>
      <c r="E117">
        <f t="shared" si="4"/>
        <v>1205</v>
      </c>
      <c r="F117" t="s">
        <v>277</v>
      </c>
    </row>
    <row r="118" spans="1:6">
      <c r="A118" t="str">
        <f t="shared" si="5"/>
        <v>Tony Teja-OTHER PRODUCTION COST-MAJA-1</v>
      </c>
      <c r="B118" t="s">
        <v>325</v>
      </c>
      <c r="C118" t="s">
        <v>21</v>
      </c>
      <c r="D118" t="s">
        <v>24</v>
      </c>
      <c r="E118">
        <f t="shared" si="4"/>
        <v>1205</v>
      </c>
      <c r="F118" t="s">
        <v>186</v>
      </c>
    </row>
    <row r="119" spans="1:6">
      <c r="A119" t="str">
        <f t="shared" si="5"/>
        <v>Tony Teja-BUSINESS TRIP EXPENSES-MAJA-1</v>
      </c>
      <c r="B119" t="s">
        <v>325</v>
      </c>
      <c r="C119" t="s">
        <v>69</v>
      </c>
      <c r="D119" t="s">
        <v>24</v>
      </c>
      <c r="E119">
        <f t="shared" si="4"/>
        <v>1205</v>
      </c>
      <c r="F119" t="s">
        <v>278</v>
      </c>
    </row>
    <row r="120" spans="1:6">
      <c r="A120" t="str">
        <f t="shared" si="5"/>
        <v>Tony Teja-ELECTRICITY-MAJA-1</v>
      </c>
      <c r="B120" t="s">
        <v>325</v>
      </c>
      <c r="C120" t="s">
        <v>75</v>
      </c>
      <c r="D120" t="s">
        <v>24</v>
      </c>
      <c r="E120">
        <f t="shared" si="4"/>
        <v>1205</v>
      </c>
      <c r="F120" t="s">
        <v>279</v>
      </c>
    </row>
    <row r="121" spans="1:6">
      <c r="A121" t="str">
        <f t="shared" si="5"/>
        <v>Tony Teja-FACTORY SUPPLIES EXPENSE-MAJA-1</v>
      </c>
      <c r="B121" t="s">
        <v>325</v>
      </c>
      <c r="C121" t="s">
        <v>79</v>
      </c>
      <c r="D121" t="s">
        <v>24</v>
      </c>
      <c r="E121">
        <f t="shared" si="4"/>
        <v>1205</v>
      </c>
      <c r="F121" t="s">
        <v>280</v>
      </c>
    </row>
    <row r="122" spans="1:6">
      <c r="A122" t="str">
        <f t="shared" si="5"/>
        <v>Tony Teja-FARE ALLOWANCE-MAJA-1</v>
      </c>
      <c r="B122" t="s">
        <v>325</v>
      </c>
      <c r="C122" t="s">
        <v>153</v>
      </c>
      <c r="D122" t="s">
        <v>24</v>
      </c>
      <c r="E122">
        <f t="shared" si="4"/>
        <v>1205</v>
      </c>
      <c r="F122" t="s">
        <v>281</v>
      </c>
    </row>
    <row r="123" spans="1:6">
      <c r="A123" t="str">
        <f t="shared" si="5"/>
        <v>Tony Teja-LABOR COST-MAJA-1</v>
      </c>
      <c r="B123" t="s">
        <v>325</v>
      </c>
      <c r="C123" t="s">
        <v>95</v>
      </c>
      <c r="D123" t="s">
        <v>24</v>
      </c>
      <c r="E123">
        <f t="shared" si="4"/>
        <v>1205</v>
      </c>
      <c r="F123" t="s">
        <v>282</v>
      </c>
    </row>
    <row r="124" spans="1:6">
      <c r="A124" t="str">
        <f t="shared" si="5"/>
        <v>Tony Teja-MAINT.&amp;REP.ELECTRICITY-MAJA-1</v>
      </c>
      <c r="B124" t="s">
        <v>325</v>
      </c>
      <c r="C124" t="s">
        <v>103</v>
      </c>
      <c r="D124" t="s">
        <v>24</v>
      </c>
      <c r="E124">
        <f t="shared" si="4"/>
        <v>1205</v>
      </c>
      <c r="F124" t="s">
        <v>283</v>
      </c>
    </row>
    <row r="125" spans="1:6">
      <c r="A125" t="str">
        <f t="shared" si="5"/>
        <v>Tony Teja-MAINT.&amp;REP.GEN&amp;BOILER-MAJA-1</v>
      </c>
      <c r="B125" t="s">
        <v>325</v>
      </c>
      <c r="C125" t="s">
        <v>105</v>
      </c>
      <c r="D125" t="s">
        <v>24</v>
      </c>
      <c r="E125">
        <f t="shared" si="4"/>
        <v>1205</v>
      </c>
      <c r="F125" t="s">
        <v>284</v>
      </c>
    </row>
    <row r="126" spans="1:6">
      <c r="A126" t="str">
        <f t="shared" si="5"/>
        <v>Tony Teja-MAINT.&amp;REP.MACHINERIE-MAJA-1</v>
      </c>
      <c r="B126" t="s">
        <v>325</v>
      </c>
      <c r="C126" t="s">
        <v>107</v>
      </c>
      <c r="D126" t="s">
        <v>24</v>
      </c>
      <c r="E126">
        <f t="shared" si="4"/>
        <v>1205</v>
      </c>
      <c r="F126" t="s">
        <v>285</v>
      </c>
    </row>
    <row r="127" spans="1:6">
      <c r="A127" t="str">
        <f t="shared" si="5"/>
        <v>Tony Teja-MAINT.&amp;REP.PLANTEQUI-MAJA-1</v>
      </c>
      <c r="B127" t="s">
        <v>325</v>
      </c>
      <c r="C127" t="s">
        <v>111</v>
      </c>
      <c r="D127" t="s">
        <v>24</v>
      </c>
      <c r="E127">
        <f t="shared" si="4"/>
        <v>1205</v>
      </c>
      <c r="F127" t="s">
        <v>286</v>
      </c>
    </row>
    <row r="128" spans="1:6">
      <c r="A128" t="str">
        <f t="shared" si="5"/>
        <v>Tony Teja-OFFICER SALARIES-MAJA-1</v>
      </c>
      <c r="B128" t="s">
        <v>325</v>
      </c>
      <c r="C128" t="s">
        <v>145</v>
      </c>
      <c r="D128" t="s">
        <v>24</v>
      </c>
      <c r="E128">
        <f t="shared" si="4"/>
        <v>1205</v>
      </c>
      <c r="F128" t="s">
        <v>287</v>
      </c>
    </row>
    <row r="129" spans="1:6">
      <c r="A129" t="str">
        <f t="shared" si="5"/>
        <v>Tony Teja-PEMAKAIAN SPARE PART-MAJA-1</v>
      </c>
      <c r="B129" t="s">
        <v>325</v>
      </c>
      <c r="C129" t="s">
        <v>123</v>
      </c>
      <c r="D129" t="s">
        <v>24</v>
      </c>
      <c r="E129">
        <f t="shared" si="4"/>
        <v>1205</v>
      </c>
      <c r="F129" t="s">
        <v>288</v>
      </c>
    </row>
    <row r="130" spans="1:6">
      <c r="A130" t="str">
        <f t="shared" ref="A130:A158" si="6">B130&amp;"-"&amp;C130&amp;"-"&amp;D130</f>
        <v>Tony Teja-ENTERTAINMENT-MAJA-2</v>
      </c>
      <c r="B130" t="s">
        <v>325</v>
      </c>
      <c r="C130" t="s">
        <v>77</v>
      </c>
      <c r="D130" t="s">
        <v>15</v>
      </c>
      <c r="E130">
        <f t="shared" si="4"/>
        <v>1204</v>
      </c>
      <c r="F130" t="s">
        <v>289</v>
      </c>
    </row>
    <row r="131" spans="1:6">
      <c r="A131" t="str">
        <f t="shared" si="6"/>
        <v>Tony Teja-JAMSOSTEK-MAJA-2</v>
      </c>
      <c r="B131" t="s">
        <v>325</v>
      </c>
      <c r="C131" t="s">
        <v>92</v>
      </c>
      <c r="D131" t="s">
        <v>15</v>
      </c>
      <c r="E131">
        <f t="shared" ref="E131:E158" si="7">VLOOKUP(D131,$L$2:$M$6,2,FALSE)</f>
        <v>1204</v>
      </c>
      <c r="F131" t="s">
        <v>290</v>
      </c>
    </row>
    <row r="132" spans="1:6">
      <c r="A132" t="str">
        <f t="shared" si="6"/>
        <v>Tony Teja-MAINT.&amp;REP.BUILDING-MAJA-2</v>
      </c>
      <c r="B132" t="s">
        <v>325</v>
      </c>
      <c r="C132" t="s">
        <v>101</v>
      </c>
      <c r="D132" t="s">
        <v>15</v>
      </c>
      <c r="E132">
        <f t="shared" si="7"/>
        <v>1204</v>
      </c>
      <c r="F132" t="s">
        <v>291</v>
      </c>
    </row>
    <row r="133" spans="1:6">
      <c r="A133" t="str">
        <f t="shared" si="6"/>
        <v>Tony Teja-MAINT.&amp;REP.WATERINSTL.-MAJA-2</v>
      </c>
      <c r="B133" t="s">
        <v>325</v>
      </c>
      <c r="C133" t="s">
        <v>113</v>
      </c>
      <c r="D133" t="s">
        <v>15</v>
      </c>
      <c r="E133">
        <f t="shared" si="7"/>
        <v>1204</v>
      </c>
      <c r="F133" t="s">
        <v>292</v>
      </c>
    </row>
    <row r="134" spans="1:6">
      <c r="A134" t="str">
        <f t="shared" si="6"/>
        <v>Tony Teja-MEDICAL ALLOWANCE-MAJA-2</v>
      </c>
      <c r="B134" t="s">
        <v>325</v>
      </c>
      <c r="C134" t="s">
        <v>117</v>
      </c>
      <c r="D134" t="s">
        <v>15</v>
      </c>
      <c r="E134">
        <f t="shared" si="7"/>
        <v>1204</v>
      </c>
      <c r="F134" t="s">
        <v>293</v>
      </c>
    </row>
    <row r="135" spans="1:6">
      <c r="A135" t="str">
        <f t="shared" si="6"/>
        <v>Tony Teja-RENT EXPENSES BUILDING-MAJA-2</v>
      </c>
      <c r="B135" t="s">
        <v>325</v>
      </c>
      <c r="C135" t="s">
        <v>129</v>
      </c>
      <c r="D135" t="s">
        <v>15</v>
      </c>
      <c r="E135">
        <f t="shared" si="7"/>
        <v>1204</v>
      </c>
      <c r="F135" t="s">
        <v>294</v>
      </c>
    </row>
    <row r="136" spans="1:6">
      <c r="A136" t="str">
        <f t="shared" si="6"/>
        <v>Tony Teja-OTHER PRODUCTION COST-MAJA-2</v>
      </c>
      <c r="B136" t="s">
        <v>325</v>
      </c>
      <c r="C136" t="s">
        <v>21</v>
      </c>
      <c r="D136" t="s">
        <v>15</v>
      </c>
      <c r="E136">
        <f t="shared" si="7"/>
        <v>1204</v>
      </c>
      <c r="F136" t="s">
        <v>185</v>
      </c>
    </row>
    <row r="137" spans="1:6">
      <c r="A137" t="str">
        <f t="shared" si="6"/>
        <v>Tony Teja-AIR FREIGHT-MAJA-2</v>
      </c>
      <c r="B137" t="s">
        <v>325</v>
      </c>
      <c r="C137" t="s">
        <v>67</v>
      </c>
      <c r="D137" t="s">
        <v>15</v>
      </c>
      <c r="E137">
        <f t="shared" si="7"/>
        <v>1204</v>
      </c>
      <c r="F137" t="s">
        <v>180</v>
      </c>
    </row>
    <row r="138" spans="1:6">
      <c r="A138" t="str">
        <f t="shared" si="6"/>
        <v>Tony Teja-BUSINESS TRIP EXPENSES-MAJA-2</v>
      </c>
      <c r="B138" t="s">
        <v>325</v>
      </c>
      <c r="C138" t="s">
        <v>69</v>
      </c>
      <c r="D138" t="s">
        <v>15</v>
      </c>
      <c r="E138">
        <f t="shared" si="7"/>
        <v>1204</v>
      </c>
      <c r="F138" t="s">
        <v>295</v>
      </c>
    </row>
    <row r="139" spans="1:6">
      <c r="A139" t="str">
        <f t="shared" si="6"/>
        <v>Tony Teja-ELECTRICITY-MAJA-2</v>
      </c>
      <c r="B139" t="s">
        <v>325</v>
      </c>
      <c r="C139" t="s">
        <v>75</v>
      </c>
      <c r="D139" t="s">
        <v>15</v>
      </c>
      <c r="E139">
        <f t="shared" si="7"/>
        <v>1204</v>
      </c>
      <c r="F139" t="s">
        <v>296</v>
      </c>
    </row>
    <row r="140" spans="1:6">
      <c r="A140" t="str">
        <f t="shared" si="6"/>
        <v>Tony Teja-FACTORY SUPPLIES EXPENSE-MAJA-2</v>
      </c>
      <c r="B140" t="s">
        <v>325</v>
      </c>
      <c r="C140" t="s">
        <v>79</v>
      </c>
      <c r="D140" t="s">
        <v>15</v>
      </c>
      <c r="E140">
        <f t="shared" si="7"/>
        <v>1204</v>
      </c>
      <c r="F140" t="s">
        <v>297</v>
      </c>
    </row>
    <row r="141" spans="1:6">
      <c r="A141" t="str">
        <f t="shared" si="6"/>
        <v>Tony Teja-FARE ALLOWANCE-MAJA-2</v>
      </c>
      <c r="B141" t="s">
        <v>325</v>
      </c>
      <c r="C141" t="s">
        <v>153</v>
      </c>
      <c r="D141" t="s">
        <v>15</v>
      </c>
      <c r="E141">
        <f t="shared" si="7"/>
        <v>1204</v>
      </c>
      <c r="F141" t="s">
        <v>298</v>
      </c>
    </row>
    <row r="142" spans="1:6">
      <c r="A142" t="str">
        <f t="shared" si="6"/>
        <v>Tony Teja-LABOR COST-MAJA-2</v>
      </c>
      <c r="B142" t="s">
        <v>325</v>
      </c>
      <c r="C142" t="s">
        <v>95</v>
      </c>
      <c r="D142" t="s">
        <v>15</v>
      </c>
      <c r="E142">
        <f t="shared" si="7"/>
        <v>1204</v>
      </c>
      <c r="F142" t="s">
        <v>299</v>
      </c>
    </row>
    <row r="143" spans="1:6">
      <c r="A143" t="str">
        <f t="shared" si="6"/>
        <v>Tony Teja-MAINT.&amp;REP.ELECTRICITY-MAJA-2</v>
      </c>
      <c r="B143" t="s">
        <v>325</v>
      </c>
      <c r="C143" t="s">
        <v>103</v>
      </c>
      <c r="D143" t="s">
        <v>15</v>
      </c>
      <c r="E143">
        <f t="shared" si="7"/>
        <v>1204</v>
      </c>
      <c r="F143" t="s">
        <v>300</v>
      </c>
    </row>
    <row r="144" spans="1:6">
      <c r="A144" t="str">
        <f t="shared" si="6"/>
        <v>Tony Teja-MAINT.&amp;REP.GEN&amp;BOILER-MAJA-2</v>
      </c>
      <c r="B144" t="s">
        <v>325</v>
      </c>
      <c r="C144" t="s">
        <v>105</v>
      </c>
      <c r="D144" t="s">
        <v>15</v>
      </c>
      <c r="E144">
        <f t="shared" si="7"/>
        <v>1204</v>
      </c>
      <c r="F144" t="s">
        <v>301</v>
      </c>
    </row>
    <row r="145" spans="1:6">
      <c r="A145" t="str">
        <f t="shared" si="6"/>
        <v>Tony Teja-MAINT.&amp;REP.MACHINERIE-MAJA-2</v>
      </c>
      <c r="B145" t="s">
        <v>325</v>
      </c>
      <c r="C145" t="s">
        <v>107</v>
      </c>
      <c r="D145" t="s">
        <v>15</v>
      </c>
      <c r="E145">
        <f t="shared" si="7"/>
        <v>1204</v>
      </c>
      <c r="F145" t="s">
        <v>302</v>
      </c>
    </row>
    <row r="146" spans="1:6">
      <c r="A146" t="str">
        <f t="shared" si="6"/>
        <v>Tony Teja-MAINT.&amp;REP.PLANTEQUI-MAJA-2</v>
      </c>
      <c r="B146" t="s">
        <v>325</v>
      </c>
      <c r="C146" t="s">
        <v>111</v>
      </c>
      <c r="D146" t="s">
        <v>15</v>
      </c>
      <c r="E146">
        <f t="shared" si="7"/>
        <v>1204</v>
      </c>
      <c r="F146" t="s">
        <v>303</v>
      </c>
    </row>
    <row r="147" spans="1:6">
      <c r="A147" t="str">
        <f t="shared" si="6"/>
        <v>Tony Teja-PEMAKAIAN SPARE PART-MAJA-2</v>
      </c>
      <c r="B147" t="s">
        <v>325</v>
      </c>
      <c r="C147" t="s">
        <v>123</v>
      </c>
      <c r="D147" t="s">
        <v>15</v>
      </c>
      <c r="E147">
        <f t="shared" si="7"/>
        <v>1204</v>
      </c>
      <c r="F147" t="s">
        <v>304</v>
      </c>
    </row>
    <row r="148" spans="1:6">
      <c r="A148" t="str">
        <f t="shared" si="6"/>
        <v>Tony Teja-PMKN FUEL &amp; LUBRICANT-MAJA-2</v>
      </c>
      <c r="B148" t="s">
        <v>325</v>
      </c>
      <c r="C148" t="s">
        <v>125</v>
      </c>
      <c r="D148" t="s">
        <v>15</v>
      </c>
      <c r="E148">
        <f t="shared" si="7"/>
        <v>1204</v>
      </c>
      <c r="F148" t="s">
        <v>305</v>
      </c>
    </row>
    <row r="149" spans="1:6">
      <c r="A149" t="str">
        <f t="shared" si="6"/>
        <v>Santy Silalahi-ACCOUNTING&amp;TAX ADVISORY EXP.-CLN</v>
      </c>
      <c r="B149" t="s">
        <v>158</v>
      </c>
      <c r="C149" t="s">
        <v>159</v>
      </c>
      <c r="D149" t="s">
        <v>13</v>
      </c>
      <c r="E149">
        <f t="shared" si="7"/>
        <v>1201</v>
      </c>
      <c r="F149" t="s">
        <v>306</v>
      </c>
    </row>
    <row r="150" spans="1:6">
      <c r="A150" t="str">
        <f t="shared" si="6"/>
        <v>Santy Silalahi-BANK CHARGES-CLN</v>
      </c>
      <c r="B150" t="s">
        <v>158</v>
      </c>
      <c r="C150" t="s">
        <v>161</v>
      </c>
      <c r="D150" t="s">
        <v>13</v>
      </c>
      <c r="E150">
        <f t="shared" si="7"/>
        <v>1201</v>
      </c>
      <c r="F150" t="s">
        <v>307</v>
      </c>
    </row>
    <row r="151" spans="1:6">
      <c r="A151" t="str">
        <f t="shared" si="6"/>
        <v>Santy Silalahi-INTEREST EXP OF DOMESTIC-CLN</v>
      </c>
      <c r="B151" t="s">
        <v>158</v>
      </c>
      <c r="C151" t="s">
        <v>163</v>
      </c>
      <c r="D151" t="s">
        <v>13</v>
      </c>
      <c r="E151">
        <f t="shared" si="7"/>
        <v>1201</v>
      </c>
      <c r="F151" t="s">
        <v>308</v>
      </c>
    </row>
    <row r="152" spans="1:6">
      <c r="A152" t="str">
        <f t="shared" si="6"/>
        <v>Santy Silalahi-PREMIUM COST-CLN</v>
      </c>
      <c r="B152" t="s">
        <v>158</v>
      </c>
      <c r="C152" t="s">
        <v>166</v>
      </c>
      <c r="D152" t="s">
        <v>13</v>
      </c>
      <c r="E152">
        <f t="shared" si="7"/>
        <v>1201</v>
      </c>
      <c r="F152" t="s">
        <v>188</v>
      </c>
    </row>
    <row r="153" spans="1:6">
      <c r="A153" t="str">
        <f t="shared" si="6"/>
        <v>Santy Silalahi-TAXES-CLN</v>
      </c>
      <c r="B153" t="s">
        <v>158</v>
      </c>
      <c r="C153" t="s">
        <v>168</v>
      </c>
      <c r="D153" t="s">
        <v>13</v>
      </c>
      <c r="E153">
        <f t="shared" si="7"/>
        <v>1201</v>
      </c>
      <c r="F153" t="s">
        <v>309</v>
      </c>
    </row>
    <row r="154" spans="1:6">
      <c r="A154" t="str">
        <f t="shared" si="6"/>
        <v>Santy Silalahi-TAXES-KALIBENDA</v>
      </c>
      <c r="B154" t="s">
        <v>158</v>
      </c>
      <c r="C154" t="s">
        <v>168</v>
      </c>
      <c r="D154" t="s">
        <v>100</v>
      </c>
      <c r="E154">
        <f t="shared" si="7"/>
        <v>1206</v>
      </c>
      <c r="F154" t="s">
        <v>310</v>
      </c>
    </row>
    <row r="155" spans="1:6">
      <c r="A155" t="str">
        <f t="shared" si="6"/>
        <v>Santy Silalahi-TAXES-MAJA-1</v>
      </c>
      <c r="B155" t="s">
        <v>158</v>
      </c>
      <c r="C155" t="s">
        <v>168</v>
      </c>
      <c r="D155" t="s">
        <v>24</v>
      </c>
      <c r="E155">
        <f t="shared" si="7"/>
        <v>1205</v>
      </c>
      <c r="F155" t="s">
        <v>311</v>
      </c>
    </row>
    <row r="156" spans="1:6">
      <c r="A156" t="str">
        <f t="shared" si="6"/>
        <v>Santy Silalahi-TAXES-MAJA-2</v>
      </c>
      <c r="B156" t="s">
        <v>158</v>
      </c>
      <c r="C156" t="s">
        <v>168</v>
      </c>
      <c r="D156" t="s">
        <v>15</v>
      </c>
      <c r="E156">
        <f t="shared" si="7"/>
        <v>1204</v>
      </c>
      <c r="F156" t="s">
        <v>312</v>
      </c>
    </row>
    <row r="157" spans="1:6">
      <c r="A157" t="str">
        <f t="shared" si="6"/>
        <v>Santy Silalahi-OFFICER SALARIES-CLN</v>
      </c>
      <c r="B157" t="s">
        <v>158</v>
      </c>
      <c r="C157" t="s">
        <v>145</v>
      </c>
      <c r="D157" t="s">
        <v>13</v>
      </c>
      <c r="E157">
        <f t="shared" si="7"/>
        <v>1201</v>
      </c>
      <c r="F157" t="s">
        <v>189</v>
      </c>
    </row>
    <row r="158" spans="1:6">
      <c r="A158" t="str">
        <f t="shared" si="6"/>
        <v>Santy Silalahi-OFFICER SALARIES-MAJA-2</v>
      </c>
      <c r="B158" t="s">
        <v>158</v>
      </c>
      <c r="C158" t="s">
        <v>145</v>
      </c>
      <c r="D158" t="s">
        <v>15</v>
      </c>
      <c r="E158">
        <f t="shared" si="7"/>
        <v>1204</v>
      </c>
      <c r="F158" t="s">
        <v>190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L11"/>
  <sheetViews>
    <sheetView topLeftCell="A4" zoomScale="85" zoomScaleNormal="85" workbookViewId="0">
      <pane xSplit="1" ySplit="2" topLeftCell="D6" activePane="bottomRight" state="frozen"/>
      <selection activeCell="A4" sqref="A4"/>
      <selection pane="topRight" activeCell="B4" sqref="B4"/>
      <selection pane="bottomLeft" activeCell="A6" sqref="A6"/>
      <selection pane="bottomRight" activeCell="L9" sqref="L9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2" ht="23.25">
      <c r="A2" s="67" t="s">
        <v>174</v>
      </c>
      <c r="B2" s="67"/>
      <c r="C2" s="67"/>
      <c r="D2" s="67"/>
      <c r="E2" s="67"/>
      <c r="F2" s="67"/>
      <c r="G2" s="67"/>
      <c r="H2" s="67"/>
      <c r="I2" s="67"/>
      <c r="J2" s="67"/>
    </row>
    <row r="4" spans="1:12">
      <c r="G4" s="3"/>
      <c r="H4" s="3"/>
    </row>
    <row r="5" spans="1:12" s="5" customFormat="1" ht="18.75">
      <c r="A5" s="9" t="s">
        <v>173</v>
      </c>
      <c r="B5" s="9" t="s">
        <v>1</v>
      </c>
      <c r="C5" s="9" t="s">
        <v>2</v>
      </c>
      <c r="D5" s="9" t="s">
        <v>3</v>
      </c>
      <c r="E5" s="9" t="s">
        <v>4</v>
      </c>
      <c r="F5" s="9" t="s">
        <v>5</v>
      </c>
      <c r="G5" s="10" t="s">
        <v>6</v>
      </c>
      <c r="H5" s="9" t="s">
        <v>7</v>
      </c>
      <c r="I5" s="9" t="s">
        <v>192</v>
      </c>
      <c r="J5" s="11" t="s">
        <v>8</v>
      </c>
      <c r="K5" s="9" t="s">
        <v>9</v>
      </c>
      <c r="L5" s="11" t="s">
        <v>333</v>
      </c>
    </row>
    <row r="6" spans="1:12">
      <c r="A6" s="5"/>
      <c r="F6" s="5"/>
      <c r="H6" s="5"/>
    </row>
    <row r="7" spans="1:12">
      <c r="A7" s="5"/>
      <c r="F7" s="5"/>
      <c r="H7" s="5"/>
    </row>
    <row r="8" spans="1:12">
      <c r="A8" s="5"/>
      <c r="F8" s="5"/>
      <c r="H8" s="5"/>
    </row>
    <row r="9" spans="1:12">
      <c r="A9" s="5"/>
      <c r="F9" s="5"/>
      <c r="H9" s="5"/>
    </row>
    <row r="10" spans="1:12">
      <c r="A10" s="5"/>
      <c r="F10" s="5"/>
      <c r="H10" s="5"/>
    </row>
    <row r="11" spans="1:12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E19" activePane="bottomRight" state="frozen"/>
      <selection activeCell="C4" sqref="C4"/>
      <selection pane="topRight" activeCell="C4" sqref="C4"/>
      <selection pane="bottomLeft" activeCell="C4" sqref="C4"/>
      <selection pane="bottomRight" activeCell="F21" sqref="F21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4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114"/>
      <c r="B1" s="89" t="s">
        <v>488</v>
      </c>
      <c r="C1" s="89"/>
      <c r="D1" s="89"/>
      <c r="E1" s="86"/>
      <c r="F1" s="86"/>
      <c r="G1" s="86"/>
      <c r="H1" s="86"/>
      <c r="I1" s="86"/>
      <c r="J1" s="86"/>
      <c r="K1" s="86"/>
      <c r="L1" s="86"/>
      <c r="M1" s="86"/>
      <c r="N1" s="114"/>
    </row>
    <row r="2" spans="1:14">
      <c r="A2" s="114"/>
      <c r="B2" s="89"/>
      <c r="C2" s="89"/>
      <c r="D2" s="89"/>
      <c r="E2" s="86"/>
      <c r="F2" s="86"/>
      <c r="G2" s="86"/>
      <c r="H2" s="86"/>
      <c r="I2" s="86"/>
      <c r="J2" s="86"/>
      <c r="K2" s="86"/>
      <c r="L2" s="86"/>
      <c r="M2" s="86"/>
      <c r="N2" s="114"/>
    </row>
    <row r="3" spans="1:14">
      <c r="A3" s="114"/>
      <c r="B3" s="89"/>
      <c r="C3" s="89"/>
      <c r="D3" s="89"/>
      <c r="E3" s="87" t="s">
        <v>533</v>
      </c>
      <c r="F3" s="87"/>
      <c r="G3" s="87"/>
      <c r="H3" s="87"/>
      <c r="I3" s="88" t="s">
        <v>7</v>
      </c>
      <c r="J3" s="88"/>
      <c r="K3" s="88"/>
      <c r="L3" s="88"/>
      <c r="M3" s="88"/>
      <c r="N3" s="114"/>
    </row>
    <row r="4" spans="1:14" s="85" customFormat="1" ht="24" customHeight="1">
      <c r="A4" s="115"/>
      <c r="B4" s="73" t="s">
        <v>489</v>
      </c>
      <c r="C4" s="73" t="s">
        <v>490</v>
      </c>
      <c r="D4" s="38" t="s">
        <v>377</v>
      </c>
      <c r="E4" s="38" t="s">
        <v>382</v>
      </c>
      <c r="F4" s="38" t="s">
        <v>491</v>
      </c>
      <c r="G4" s="38" t="s">
        <v>492</v>
      </c>
      <c r="H4" s="38" t="s">
        <v>493</v>
      </c>
      <c r="I4" s="38" t="s">
        <v>382</v>
      </c>
      <c r="J4" s="38" t="s">
        <v>491</v>
      </c>
      <c r="K4" s="38" t="s">
        <v>492</v>
      </c>
      <c r="L4" s="38" t="s">
        <v>494</v>
      </c>
      <c r="M4" s="38" t="s">
        <v>493</v>
      </c>
      <c r="N4" s="115"/>
    </row>
    <row r="5" spans="1:14" hidden="1">
      <c r="A5" s="114"/>
      <c r="B5" s="29" t="s">
        <v>495</v>
      </c>
      <c r="C5" s="29" t="s">
        <v>496</v>
      </c>
      <c r="D5" s="116">
        <v>0.61</v>
      </c>
      <c r="E5" s="30"/>
      <c r="F5" s="31">
        <v>1658464.3600000006</v>
      </c>
      <c r="G5" s="30">
        <f>E5+F5</f>
        <v>1658464.3600000006</v>
      </c>
      <c r="H5" s="30">
        <f>D5*G5</f>
        <v>1011663.2596000003</v>
      </c>
      <c r="I5" s="30"/>
      <c r="J5" s="31"/>
      <c r="K5" s="30">
        <v>100</v>
      </c>
      <c r="L5" s="32">
        <f>M5/K5</f>
        <v>0.75</v>
      </c>
      <c r="M5" s="30">
        <v>75</v>
      </c>
      <c r="N5" s="114"/>
    </row>
    <row r="6" spans="1:14" hidden="1">
      <c r="A6" s="114"/>
      <c r="B6" s="29"/>
      <c r="C6" s="29" t="s">
        <v>497</v>
      </c>
      <c r="D6" s="116">
        <v>0.7</v>
      </c>
      <c r="E6" s="30"/>
      <c r="F6" s="31">
        <v>8900</v>
      </c>
      <c r="G6" s="30">
        <f t="shared" ref="G6:G57" si="0">E6+F6</f>
        <v>8900</v>
      </c>
      <c r="H6" s="30">
        <f t="shared" ref="H6:H17" si="1">D6*G6</f>
        <v>6230</v>
      </c>
      <c r="I6" s="30"/>
      <c r="J6" s="31"/>
      <c r="K6" s="30">
        <v>101</v>
      </c>
      <c r="L6" s="33">
        <f>M6/K6</f>
        <v>0.59405940594059403</v>
      </c>
      <c r="M6" s="30">
        <v>60</v>
      </c>
      <c r="N6" s="114"/>
    </row>
    <row r="7" spans="1:14" hidden="1">
      <c r="A7" s="114"/>
      <c r="B7" s="29"/>
      <c r="C7" s="29" t="s">
        <v>498</v>
      </c>
      <c r="D7" s="116">
        <v>0.63</v>
      </c>
      <c r="E7" s="30"/>
      <c r="F7" s="31">
        <v>13916</v>
      </c>
      <c r="G7" s="30">
        <f t="shared" si="0"/>
        <v>13916</v>
      </c>
      <c r="H7" s="30">
        <f t="shared" si="1"/>
        <v>8767.08</v>
      </c>
      <c r="I7" s="30"/>
      <c r="J7" s="31"/>
      <c r="K7" s="30"/>
      <c r="L7" s="30"/>
      <c r="M7" s="30"/>
      <c r="N7" s="114"/>
    </row>
    <row r="8" spans="1:14" hidden="1">
      <c r="A8" s="114"/>
      <c r="B8" s="29"/>
      <c r="C8" s="29" t="s">
        <v>499</v>
      </c>
      <c r="D8" s="34">
        <v>0.02</v>
      </c>
      <c r="E8" s="35">
        <v>59904.5</v>
      </c>
      <c r="F8" s="30"/>
      <c r="G8" s="30">
        <f t="shared" si="0"/>
        <v>59904.5</v>
      </c>
      <c r="H8" s="30">
        <f t="shared" si="1"/>
        <v>1198.0899999999999</v>
      </c>
      <c r="I8" s="35"/>
      <c r="J8" s="30"/>
      <c r="K8" s="30"/>
      <c r="L8" s="30"/>
      <c r="M8" s="30"/>
      <c r="N8" s="114"/>
    </row>
    <row r="9" spans="1:14" hidden="1">
      <c r="A9" s="114"/>
      <c r="B9" s="29"/>
      <c r="C9" s="29" t="s">
        <v>500</v>
      </c>
      <c r="D9" s="116">
        <v>0.45</v>
      </c>
      <c r="E9" s="30"/>
      <c r="F9" s="30"/>
      <c r="G9" s="30">
        <f t="shared" si="0"/>
        <v>0</v>
      </c>
      <c r="H9" s="30">
        <f t="shared" si="1"/>
        <v>0</v>
      </c>
      <c r="I9" s="30"/>
      <c r="J9" s="30"/>
      <c r="K9" s="30"/>
      <c r="L9" s="30"/>
      <c r="M9" s="30"/>
      <c r="N9" s="114"/>
    </row>
    <row r="10" spans="1:14" hidden="1">
      <c r="A10" s="114"/>
      <c r="B10" s="29"/>
      <c r="C10" s="29" t="s">
        <v>501</v>
      </c>
      <c r="D10" s="36">
        <v>5.5E-2</v>
      </c>
      <c r="E10" s="35">
        <v>26256.39</v>
      </c>
      <c r="F10" s="30"/>
      <c r="G10" s="30">
        <f t="shared" si="0"/>
        <v>26256.39</v>
      </c>
      <c r="H10" s="30">
        <f t="shared" si="1"/>
        <v>1444.1014499999999</v>
      </c>
      <c r="I10" s="35"/>
      <c r="J10" s="30"/>
      <c r="K10" s="30"/>
      <c r="L10" s="30"/>
      <c r="M10" s="30"/>
      <c r="N10" s="114"/>
    </row>
    <row r="11" spans="1:14" hidden="1">
      <c r="A11" s="114"/>
      <c r="B11" s="29"/>
      <c r="C11" s="29" t="s">
        <v>502</v>
      </c>
      <c r="D11" s="36">
        <v>5.5E-2</v>
      </c>
      <c r="E11" s="35">
        <v>50681.3</v>
      </c>
      <c r="F11" s="30"/>
      <c r="G11" s="30">
        <f t="shared" si="0"/>
        <v>50681.3</v>
      </c>
      <c r="H11" s="30">
        <f t="shared" si="1"/>
        <v>2787.4715000000001</v>
      </c>
      <c r="I11" s="35"/>
      <c r="J11" s="30"/>
      <c r="K11" s="30"/>
      <c r="L11" s="30"/>
      <c r="M11" s="30"/>
      <c r="N11" s="114"/>
    </row>
    <row r="12" spans="1:14" hidden="1">
      <c r="A12" s="114"/>
      <c r="B12" s="29"/>
      <c r="C12" s="29" t="s">
        <v>503</v>
      </c>
      <c r="D12" s="116">
        <v>0.63349999999999995</v>
      </c>
      <c r="E12" s="30"/>
      <c r="F12" s="31">
        <v>707533</v>
      </c>
      <c r="G12" s="30">
        <f t="shared" si="0"/>
        <v>707533</v>
      </c>
      <c r="H12" s="30">
        <f t="shared" si="1"/>
        <v>448222.15549999999</v>
      </c>
      <c r="I12" s="30"/>
      <c r="J12" s="31"/>
      <c r="K12" s="30"/>
      <c r="L12" s="30"/>
      <c r="M12" s="30"/>
      <c r="N12" s="114"/>
    </row>
    <row r="13" spans="1:14" hidden="1">
      <c r="A13" s="114"/>
      <c r="B13" s="29"/>
      <c r="C13" s="29" t="s">
        <v>504</v>
      </c>
      <c r="D13" s="116">
        <v>0.61</v>
      </c>
      <c r="E13" s="30"/>
      <c r="F13" s="30">
        <v>130000</v>
      </c>
      <c r="G13" s="30">
        <f t="shared" si="0"/>
        <v>130000</v>
      </c>
      <c r="H13" s="30">
        <f t="shared" si="1"/>
        <v>79300</v>
      </c>
      <c r="I13" s="30"/>
      <c r="J13" s="30"/>
      <c r="K13" s="30"/>
      <c r="L13" s="30"/>
      <c r="M13" s="30"/>
      <c r="N13" s="114"/>
    </row>
    <row r="14" spans="1:14" hidden="1">
      <c r="A14" s="114"/>
      <c r="B14" s="29"/>
      <c r="C14" s="29" t="s">
        <v>505</v>
      </c>
      <c r="D14" s="34">
        <v>0.6</v>
      </c>
      <c r="E14" s="30"/>
      <c r="F14" s="31">
        <v>5520</v>
      </c>
      <c r="G14" s="30">
        <f t="shared" si="0"/>
        <v>5520</v>
      </c>
      <c r="H14" s="30">
        <f t="shared" si="1"/>
        <v>3312</v>
      </c>
      <c r="I14" s="30"/>
      <c r="J14" s="31"/>
      <c r="K14" s="30"/>
      <c r="L14" s="30"/>
      <c r="M14" s="30"/>
      <c r="N14" s="114"/>
    </row>
    <row r="15" spans="1:14" hidden="1">
      <c r="A15" s="114"/>
      <c r="B15" s="29"/>
      <c r="C15" s="29" t="s">
        <v>506</v>
      </c>
      <c r="D15" s="37">
        <v>0.6</v>
      </c>
      <c r="E15" s="30"/>
      <c r="F15" s="31">
        <v>58155.97</v>
      </c>
      <c r="G15" s="30">
        <f t="shared" si="0"/>
        <v>58155.97</v>
      </c>
      <c r="H15" s="30">
        <f t="shared" si="1"/>
        <v>34893.582000000002</v>
      </c>
      <c r="I15" s="30"/>
      <c r="J15" s="31"/>
      <c r="K15" s="30"/>
      <c r="L15" s="30"/>
      <c r="M15" s="30"/>
      <c r="N15" s="114"/>
    </row>
    <row r="16" spans="1:14" hidden="1">
      <c r="A16" s="114"/>
      <c r="B16" s="29"/>
      <c r="C16" s="29" t="s">
        <v>507</v>
      </c>
      <c r="D16" s="36">
        <v>2.3E-2</v>
      </c>
      <c r="E16" s="35">
        <v>374.3</v>
      </c>
      <c r="F16" s="30"/>
      <c r="G16" s="30">
        <f>E16+F16</f>
        <v>374.3</v>
      </c>
      <c r="H16" s="30">
        <f t="shared" si="1"/>
        <v>8.6089000000000002</v>
      </c>
      <c r="I16" s="35"/>
      <c r="J16" s="30"/>
      <c r="K16" s="30"/>
      <c r="L16" s="30"/>
      <c r="M16" s="30"/>
      <c r="N16" s="114"/>
    </row>
    <row r="17" spans="1:14" hidden="1">
      <c r="A17" s="114"/>
      <c r="B17" s="29"/>
      <c r="C17" s="29" t="s">
        <v>508</v>
      </c>
      <c r="D17" s="34">
        <v>0.35</v>
      </c>
      <c r="E17" s="35">
        <v>41347.599999999999</v>
      </c>
      <c r="F17" s="30"/>
      <c r="G17" s="30">
        <f t="shared" si="0"/>
        <v>41347.599999999999</v>
      </c>
      <c r="H17" s="30">
        <f t="shared" si="1"/>
        <v>14471.659999999998</v>
      </c>
      <c r="I17" s="35"/>
      <c r="J17" s="30"/>
      <c r="K17" s="30"/>
      <c r="L17" s="30"/>
      <c r="M17" s="30"/>
      <c r="N17" s="114"/>
    </row>
    <row r="18" spans="1:14" hidden="1">
      <c r="A18" s="114"/>
      <c r="B18" s="90" t="s">
        <v>509</v>
      </c>
      <c r="C18" s="91"/>
      <c r="D18" s="117"/>
      <c r="E18" s="92">
        <f t="shared" ref="E18:K18" si="2">SUM(E5:E17)</f>
        <v>178564.09</v>
      </c>
      <c r="F18" s="92">
        <f t="shared" si="2"/>
        <v>2582489.3300000005</v>
      </c>
      <c r="G18" s="92">
        <f t="shared" si="2"/>
        <v>2761053.4200000009</v>
      </c>
      <c r="H18" s="92">
        <f t="shared" si="2"/>
        <v>1612298.0089500002</v>
      </c>
      <c r="I18" s="92">
        <f t="shared" si="2"/>
        <v>0</v>
      </c>
      <c r="J18" s="92">
        <f t="shared" si="2"/>
        <v>0</v>
      </c>
      <c r="K18" s="92">
        <f t="shared" si="2"/>
        <v>201</v>
      </c>
      <c r="L18" s="92"/>
      <c r="M18" s="92">
        <f>SUM(M5:M17)</f>
        <v>135</v>
      </c>
      <c r="N18" s="114"/>
    </row>
    <row r="19" spans="1:14">
      <c r="A19" s="114"/>
      <c r="B19" s="93" t="s">
        <v>510</v>
      </c>
      <c r="C19" s="93" t="s">
        <v>496</v>
      </c>
      <c r="D19" s="118">
        <v>0.61</v>
      </c>
      <c r="E19" s="94"/>
      <c r="F19" s="94">
        <v>1450597.52</v>
      </c>
      <c r="G19" s="94">
        <f t="shared" si="0"/>
        <v>1450597.52</v>
      </c>
      <c r="H19" s="94">
        <f t="shared" ref="H19:H57" si="3">D19*G19</f>
        <v>884864.48719999997</v>
      </c>
      <c r="I19" s="94"/>
      <c r="J19" s="94"/>
      <c r="K19" s="94"/>
      <c r="L19" s="94"/>
      <c r="M19" s="94"/>
      <c r="N19" s="114"/>
    </row>
    <row r="20" spans="1:14">
      <c r="A20" s="114"/>
      <c r="B20" s="105"/>
      <c r="C20" s="105" t="s">
        <v>511</v>
      </c>
      <c r="D20" s="119">
        <v>0.61</v>
      </c>
      <c r="E20" s="106"/>
      <c r="F20" s="106">
        <v>65338.92</v>
      </c>
      <c r="G20" s="106">
        <f t="shared" si="0"/>
        <v>65338.92</v>
      </c>
      <c r="H20" s="106">
        <f>D20*G20</f>
        <v>39856.741199999997</v>
      </c>
      <c r="I20" s="106"/>
      <c r="J20" s="106"/>
      <c r="K20" s="106"/>
      <c r="L20" s="106"/>
      <c r="M20" s="106"/>
      <c r="N20" s="114"/>
    </row>
    <row r="21" spans="1:14">
      <c r="A21" s="114"/>
      <c r="B21" s="93"/>
      <c r="C21" s="93" t="s">
        <v>512</v>
      </c>
      <c r="D21" s="118">
        <v>0.7</v>
      </c>
      <c r="E21" s="94"/>
      <c r="F21" s="94">
        <v>836.76</v>
      </c>
      <c r="G21" s="94">
        <f t="shared" si="0"/>
        <v>836.76</v>
      </c>
      <c r="H21" s="94">
        <f>D21*G21</f>
        <v>585.73199999999997</v>
      </c>
      <c r="I21" s="94"/>
      <c r="J21" s="94"/>
      <c r="K21" s="94"/>
      <c r="L21" s="94"/>
      <c r="M21" s="94"/>
      <c r="N21" s="114"/>
    </row>
    <row r="22" spans="1:14">
      <c r="A22" s="114"/>
      <c r="B22" s="105"/>
      <c r="C22" s="105" t="s">
        <v>513</v>
      </c>
      <c r="D22" s="119">
        <v>0.7</v>
      </c>
      <c r="E22" s="106"/>
      <c r="F22" s="106">
        <v>64138</v>
      </c>
      <c r="G22" s="106">
        <f t="shared" si="0"/>
        <v>64138</v>
      </c>
      <c r="H22" s="106">
        <f t="shared" si="3"/>
        <v>44896.6</v>
      </c>
      <c r="I22" s="106"/>
      <c r="J22" s="106"/>
      <c r="K22" s="106"/>
      <c r="L22" s="106"/>
      <c r="M22" s="106"/>
      <c r="N22" s="114"/>
    </row>
    <row r="23" spans="1:14">
      <c r="A23" s="114"/>
      <c r="B23" s="93"/>
      <c r="C23" s="93" t="s">
        <v>497</v>
      </c>
      <c r="D23" s="118">
        <v>0.7</v>
      </c>
      <c r="E23" s="94"/>
      <c r="F23" s="94">
        <v>70044</v>
      </c>
      <c r="G23" s="94">
        <f t="shared" si="0"/>
        <v>70044</v>
      </c>
      <c r="H23" s="94">
        <f t="shared" si="3"/>
        <v>49030.799999999996</v>
      </c>
      <c r="I23" s="94"/>
      <c r="J23" s="94"/>
      <c r="K23" s="94"/>
      <c r="L23" s="94"/>
      <c r="M23" s="94"/>
      <c r="N23" s="114"/>
    </row>
    <row r="24" spans="1:14">
      <c r="A24" s="114"/>
      <c r="B24" s="105"/>
      <c r="C24" s="105" t="s">
        <v>498</v>
      </c>
      <c r="D24" s="119">
        <v>0.63</v>
      </c>
      <c r="E24" s="106"/>
      <c r="F24" s="106">
        <v>17403.52</v>
      </c>
      <c r="G24" s="106">
        <f t="shared" si="0"/>
        <v>17403.52</v>
      </c>
      <c r="H24" s="106">
        <f t="shared" si="3"/>
        <v>10964.2176</v>
      </c>
      <c r="I24" s="106"/>
      <c r="J24" s="106"/>
      <c r="K24" s="106"/>
      <c r="L24" s="106"/>
      <c r="M24" s="106"/>
      <c r="N24" s="114"/>
    </row>
    <row r="25" spans="1:14">
      <c r="A25" s="114"/>
      <c r="B25" s="93"/>
      <c r="C25" s="93" t="s">
        <v>500</v>
      </c>
      <c r="D25" s="118">
        <v>0.45</v>
      </c>
      <c r="E25" s="94"/>
      <c r="F25" s="94">
        <v>95918.720000000001</v>
      </c>
      <c r="G25" s="94">
        <f t="shared" si="0"/>
        <v>95918.720000000001</v>
      </c>
      <c r="H25" s="94">
        <f t="shared" si="3"/>
        <v>43163.423999999999</v>
      </c>
      <c r="I25" s="94"/>
      <c r="J25" s="94"/>
      <c r="K25" s="94"/>
      <c r="L25" s="94"/>
      <c r="M25" s="94"/>
      <c r="N25" s="114"/>
    </row>
    <row r="26" spans="1:14">
      <c r="A26" s="114"/>
      <c r="B26" s="105"/>
      <c r="C26" s="105" t="s">
        <v>501</v>
      </c>
      <c r="D26" s="107">
        <v>5.5E-2</v>
      </c>
      <c r="E26" s="106">
        <v>30458.5</v>
      </c>
      <c r="F26" s="106"/>
      <c r="G26" s="106">
        <f t="shared" si="0"/>
        <v>30458.5</v>
      </c>
      <c r="H26" s="106">
        <f t="shared" si="3"/>
        <v>1675.2175</v>
      </c>
      <c r="I26" s="106"/>
      <c r="J26" s="106"/>
      <c r="K26" s="106"/>
      <c r="L26" s="106"/>
      <c r="M26" s="106"/>
      <c r="N26" s="114"/>
    </row>
    <row r="27" spans="1:14">
      <c r="A27" s="114"/>
      <c r="B27" s="93"/>
      <c r="C27" s="93" t="s">
        <v>514</v>
      </c>
      <c r="D27" s="98">
        <v>5.5E-2</v>
      </c>
      <c r="E27" s="94"/>
      <c r="F27" s="94"/>
      <c r="G27" s="94">
        <f t="shared" si="0"/>
        <v>0</v>
      </c>
      <c r="H27" s="94">
        <f t="shared" si="3"/>
        <v>0</v>
      </c>
      <c r="I27" s="94"/>
      <c r="J27" s="94"/>
      <c r="K27" s="94"/>
      <c r="L27" s="94"/>
      <c r="M27" s="94"/>
      <c r="N27" s="114"/>
    </row>
    <row r="28" spans="1:14">
      <c r="A28" s="114"/>
      <c r="B28" s="105"/>
      <c r="C28" s="105" t="s">
        <v>502</v>
      </c>
      <c r="D28" s="107">
        <v>5.5E-2</v>
      </c>
      <c r="E28" s="106">
        <v>7793.7</v>
      </c>
      <c r="F28" s="106"/>
      <c r="G28" s="106">
        <f t="shared" si="0"/>
        <v>7793.7</v>
      </c>
      <c r="H28" s="106">
        <f t="shared" si="3"/>
        <v>428.65350000000001</v>
      </c>
      <c r="I28" s="106"/>
      <c r="J28" s="106"/>
      <c r="K28" s="106"/>
      <c r="L28" s="106"/>
      <c r="M28" s="106"/>
      <c r="N28" s="114"/>
    </row>
    <row r="29" spans="1:14">
      <c r="A29" s="114"/>
      <c r="B29" s="93"/>
      <c r="C29" s="93" t="s">
        <v>515</v>
      </c>
      <c r="D29" s="118">
        <v>0.63349999999999995</v>
      </c>
      <c r="E29" s="94"/>
      <c r="F29" s="94">
        <v>262667.52000000002</v>
      </c>
      <c r="G29" s="94">
        <f t="shared" si="0"/>
        <v>262667.52000000002</v>
      </c>
      <c r="H29" s="94">
        <f t="shared" si="3"/>
        <v>166399.87392000001</v>
      </c>
      <c r="I29" s="94"/>
      <c r="J29" s="94"/>
      <c r="K29" s="94"/>
      <c r="L29" s="94"/>
      <c r="M29" s="94"/>
      <c r="N29" s="114"/>
    </row>
    <row r="30" spans="1:14">
      <c r="A30" s="114"/>
      <c r="B30" s="105"/>
      <c r="C30" s="105" t="s">
        <v>516</v>
      </c>
      <c r="D30" s="119"/>
      <c r="E30" s="106"/>
      <c r="F30" s="106"/>
      <c r="G30" s="106">
        <f t="shared" si="0"/>
        <v>0</v>
      </c>
      <c r="H30" s="106"/>
      <c r="I30" s="106"/>
      <c r="J30" s="106"/>
      <c r="K30" s="106"/>
      <c r="L30" s="106"/>
      <c r="M30" s="106"/>
      <c r="N30" s="114"/>
    </row>
    <row r="31" spans="1:14">
      <c r="A31" s="114"/>
      <c r="B31" s="105"/>
      <c r="C31" s="105" t="s">
        <v>517</v>
      </c>
      <c r="D31" s="119">
        <v>0.61</v>
      </c>
      <c r="E31" s="106"/>
      <c r="F31" s="106">
        <v>20103.18</v>
      </c>
      <c r="G31" s="106">
        <f t="shared" si="0"/>
        <v>20103.18</v>
      </c>
      <c r="H31" s="106">
        <f t="shared" si="3"/>
        <v>12262.9398</v>
      </c>
      <c r="I31" s="106"/>
      <c r="J31" s="106"/>
      <c r="K31" s="106"/>
      <c r="L31" s="106"/>
      <c r="M31" s="106"/>
      <c r="N31" s="114"/>
    </row>
    <row r="32" spans="1:14">
      <c r="A32" s="114"/>
      <c r="B32" s="105"/>
      <c r="C32" s="105" t="s">
        <v>518</v>
      </c>
      <c r="D32" s="107">
        <v>0.6</v>
      </c>
      <c r="E32" s="106"/>
      <c r="F32" s="106">
        <v>2760</v>
      </c>
      <c r="G32" s="106">
        <f t="shared" si="0"/>
        <v>2760</v>
      </c>
      <c r="H32" s="106">
        <f t="shared" si="3"/>
        <v>1656</v>
      </c>
      <c r="I32" s="106"/>
      <c r="J32" s="106"/>
      <c r="K32" s="106"/>
      <c r="L32" s="106"/>
      <c r="M32" s="106"/>
      <c r="N32" s="114"/>
    </row>
    <row r="33" spans="1:14">
      <c r="A33" s="114"/>
      <c r="B33" s="93"/>
      <c r="C33" s="93" t="s">
        <v>504</v>
      </c>
      <c r="D33" s="118">
        <v>0.61</v>
      </c>
      <c r="E33" s="94"/>
      <c r="F33" s="94">
        <v>10000</v>
      </c>
      <c r="G33" s="94">
        <f t="shared" si="0"/>
        <v>10000</v>
      </c>
      <c r="H33" s="94">
        <f t="shared" si="3"/>
        <v>6100</v>
      </c>
      <c r="I33" s="94"/>
      <c r="J33" s="94"/>
      <c r="K33" s="94"/>
      <c r="L33" s="94"/>
      <c r="M33" s="94"/>
      <c r="N33" s="114"/>
    </row>
    <row r="34" spans="1:14">
      <c r="A34" s="114"/>
      <c r="B34" s="105"/>
      <c r="C34" s="105" t="s">
        <v>519</v>
      </c>
      <c r="D34" s="108">
        <v>0.35</v>
      </c>
      <c r="E34" s="106"/>
      <c r="F34" s="106"/>
      <c r="G34" s="106">
        <f t="shared" si="0"/>
        <v>0</v>
      </c>
      <c r="H34" s="106">
        <f t="shared" si="3"/>
        <v>0</v>
      </c>
      <c r="I34" s="106"/>
      <c r="J34" s="106"/>
      <c r="K34" s="106"/>
      <c r="L34" s="106"/>
      <c r="M34" s="106"/>
      <c r="N34" s="114"/>
    </row>
    <row r="35" spans="1:14">
      <c r="A35" s="114"/>
      <c r="B35" s="93"/>
      <c r="C35" s="93" t="s">
        <v>507</v>
      </c>
      <c r="D35" s="98">
        <v>2.3E-2</v>
      </c>
      <c r="E35" s="94">
        <v>18573</v>
      </c>
      <c r="F35" s="94"/>
      <c r="G35" s="94">
        <f t="shared" si="0"/>
        <v>18573</v>
      </c>
      <c r="H35" s="94">
        <f t="shared" si="3"/>
        <v>427.17899999999997</v>
      </c>
      <c r="I35" s="94"/>
      <c r="J35" s="94"/>
      <c r="K35" s="94"/>
      <c r="L35" s="94"/>
      <c r="M35" s="94"/>
      <c r="N35" s="114"/>
    </row>
    <row r="36" spans="1:14">
      <c r="A36" s="114"/>
      <c r="B36" s="105"/>
      <c r="C36" s="105" t="s">
        <v>520</v>
      </c>
      <c r="D36" s="109">
        <v>0.7</v>
      </c>
      <c r="E36" s="106"/>
      <c r="F36" s="106"/>
      <c r="G36" s="106">
        <f t="shared" si="0"/>
        <v>0</v>
      </c>
      <c r="H36" s="106">
        <f t="shared" si="3"/>
        <v>0</v>
      </c>
      <c r="I36" s="106"/>
      <c r="J36" s="106"/>
      <c r="K36" s="106"/>
      <c r="L36" s="106"/>
      <c r="M36" s="106"/>
      <c r="N36" s="114"/>
    </row>
    <row r="37" spans="1:14">
      <c r="A37" s="114"/>
      <c r="B37" s="110" t="s">
        <v>521</v>
      </c>
      <c r="C37" s="110"/>
      <c r="D37" s="120"/>
      <c r="E37" s="111">
        <f t="shared" ref="E37:K37" si="4">SUM(E19:E36)</f>
        <v>56825.2</v>
      </c>
      <c r="F37" s="111">
        <f t="shared" si="4"/>
        <v>2059808.14</v>
      </c>
      <c r="G37" s="111">
        <f t="shared" si="4"/>
        <v>2116633.34</v>
      </c>
      <c r="H37" s="111">
        <f t="shared" si="4"/>
        <v>1262311.8657199999</v>
      </c>
      <c r="I37" s="111">
        <f t="shared" si="4"/>
        <v>0</v>
      </c>
      <c r="J37" s="111">
        <f t="shared" si="4"/>
        <v>0</v>
      </c>
      <c r="K37" s="111">
        <f t="shared" si="4"/>
        <v>0</v>
      </c>
      <c r="L37" s="111"/>
      <c r="M37" s="111">
        <f>SUM(M19:M36)</f>
        <v>0</v>
      </c>
      <c r="N37" s="114"/>
    </row>
    <row r="38" spans="1:14" hidden="1">
      <c r="A38" s="114"/>
      <c r="B38" s="95" t="s">
        <v>522</v>
      </c>
      <c r="C38" s="95" t="s">
        <v>496</v>
      </c>
      <c r="D38" s="121">
        <v>0.61</v>
      </c>
      <c r="E38" s="96"/>
      <c r="F38" s="96">
        <v>1457803.8</v>
      </c>
      <c r="G38" s="96">
        <f t="shared" si="0"/>
        <v>1457803.8</v>
      </c>
      <c r="H38" s="96">
        <f t="shared" si="3"/>
        <v>889260.31799999997</v>
      </c>
      <c r="I38" s="96"/>
      <c r="J38" s="96"/>
      <c r="K38" s="96"/>
      <c r="L38" s="96"/>
      <c r="M38" s="96"/>
      <c r="N38" s="114"/>
    </row>
    <row r="39" spans="1:14" hidden="1">
      <c r="A39" s="114"/>
      <c r="B39" s="95"/>
      <c r="C39" s="95" t="s">
        <v>511</v>
      </c>
      <c r="D39" s="121">
        <v>0.61</v>
      </c>
      <c r="E39" s="96"/>
      <c r="F39" s="96">
        <v>73096.56</v>
      </c>
      <c r="G39" s="96">
        <f t="shared" si="0"/>
        <v>73096.56</v>
      </c>
      <c r="H39" s="96">
        <f t="shared" si="3"/>
        <v>44588.901599999997</v>
      </c>
      <c r="I39" s="96"/>
      <c r="J39" s="96"/>
      <c r="K39" s="96"/>
      <c r="L39" s="96"/>
      <c r="M39" s="96"/>
      <c r="N39" s="114"/>
    </row>
    <row r="40" spans="1:14" hidden="1">
      <c r="A40" s="114"/>
      <c r="B40" s="95"/>
      <c r="C40" s="95" t="s">
        <v>513</v>
      </c>
      <c r="D40" s="121">
        <v>0.7</v>
      </c>
      <c r="E40" s="96"/>
      <c r="F40" s="96">
        <v>34122</v>
      </c>
      <c r="G40" s="96">
        <f t="shared" si="0"/>
        <v>34122</v>
      </c>
      <c r="H40" s="96">
        <f t="shared" si="3"/>
        <v>23885.399999999998</v>
      </c>
      <c r="I40" s="96"/>
      <c r="J40" s="96"/>
      <c r="K40" s="96"/>
      <c r="L40" s="96"/>
      <c r="M40" s="96"/>
      <c r="N40" s="114"/>
    </row>
    <row r="41" spans="1:14" hidden="1">
      <c r="A41" s="114"/>
      <c r="B41" s="95"/>
      <c r="C41" s="95" t="s">
        <v>512</v>
      </c>
      <c r="D41" s="101">
        <v>0.7</v>
      </c>
      <c r="E41" s="96"/>
      <c r="F41" s="96">
        <v>425.80645161290323</v>
      </c>
      <c r="G41" s="96">
        <f t="shared" si="0"/>
        <v>425.80645161290323</v>
      </c>
      <c r="H41" s="96">
        <f t="shared" si="3"/>
        <v>298.06451612903226</v>
      </c>
      <c r="I41" s="96"/>
      <c r="J41" s="96"/>
      <c r="K41" s="96"/>
      <c r="L41" s="96"/>
      <c r="M41" s="96"/>
      <c r="N41" s="114"/>
    </row>
    <row r="42" spans="1:14" hidden="1">
      <c r="A42" s="114"/>
      <c r="B42" s="95"/>
      <c r="C42" s="95" t="s">
        <v>523</v>
      </c>
      <c r="D42" s="121">
        <v>0.7</v>
      </c>
      <c r="E42" s="96"/>
      <c r="F42" s="96">
        <v>20873.5</v>
      </c>
      <c r="G42" s="96">
        <f t="shared" si="0"/>
        <v>20873.5</v>
      </c>
      <c r="H42" s="96">
        <f t="shared" si="3"/>
        <v>14611.449999999999</v>
      </c>
      <c r="I42" s="96"/>
      <c r="J42" s="96"/>
      <c r="K42" s="96"/>
      <c r="L42" s="96"/>
      <c r="M42" s="96"/>
      <c r="N42" s="114"/>
    </row>
    <row r="43" spans="1:14" hidden="1">
      <c r="A43" s="114"/>
      <c r="B43" s="95"/>
      <c r="C43" s="95" t="s">
        <v>497</v>
      </c>
      <c r="D43" s="121">
        <v>0.7</v>
      </c>
      <c r="E43" s="96"/>
      <c r="F43" s="96">
        <v>41792</v>
      </c>
      <c r="G43" s="96">
        <f t="shared" si="0"/>
        <v>41792</v>
      </c>
      <c r="H43" s="96">
        <f t="shared" si="3"/>
        <v>29254.399999999998</v>
      </c>
      <c r="I43" s="96"/>
      <c r="J43" s="96"/>
      <c r="K43" s="96"/>
      <c r="L43" s="96"/>
      <c r="M43" s="96"/>
      <c r="N43" s="114"/>
    </row>
    <row r="44" spans="1:14" hidden="1">
      <c r="A44" s="114"/>
      <c r="B44" s="95"/>
      <c r="C44" s="95" t="s">
        <v>524</v>
      </c>
      <c r="D44" s="104">
        <v>0.7</v>
      </c>
      <c r="E44" s="96"/>
      <c r="F44" s="96"/>
      <c r="G44" s="96">
        <f t="shared" si="0"/>
        <v>0</v>
      </c>
      <c r="H44" s="96">
        <f t="shared" si="3"/>
        <v>0</v>
      </c>
      <c r="I44" s="96"/>
      <c r="J44" s="96"/>
      <c r="K44" s="96"/>
      <c r="L44" s="96"/>
      <c r="M44" s="96"/>
      <c r="N44" s="114"/>
    </row>
    <row r="45" spans="1:14" hidden="1">
      <c r="A45" s="114"/>
      <c r="B45" s="95"/>
      <c r="C45" s="95" t="s">
        <v>498</v>
      </c>
      <c r="D45" s="121">
        <v>0.63</v>
      </c>
      <c r="E45" s="96"/>
      <c r="F45" s="96">
        <v>7651.35</v>
      </c>
      <c r="G45" s="96">
        <f t="shared" si="0"/>
        <v>7651.35</v>
      </c>
      <c r="H45" s="96">
        <f t="shared" si="3"/>
        <v>4820.3505000000005</v>
      </c>
      <c r="I45" s="96"/>
      <c r="J45" s="96"/>
      <c r="K45" s="96"/>
      <c r="L45" s="96"/>
      <c r="M45" s="96"/>
      <c r="N45" s="114"/>
    </row>
    <row r="46" spans="1:14" hidden="1">
      <c r="A46" s="114"/>
      <c r="B46" s="95"/>
      <c r="C46" s="95" t="s">
        <v>525</v>
      </c>
      <c r="D46" s="100">
        <v>0.02</v>
      </c>
      <c r="E46" s="99">
        <v>51610</v>
      </c>
      <c r="F46" s="96"/>
      <c r="G46" s="96">
        <f t="shared" si="0"/>
        <v>51610</v>
      </c>
      <c r="H46" s="96">
        <f t="shared" si="3"/>
        <v>1032.2</v>
      </c>
      <c r="I46" s="99"/>
      <c r="J46" s="96"/>
      <c r="K46" s="96"/>
      <c r="L46" s="96"/>
      <c r="M46" s="96"/>
      <c r="N46" s="114"/>
    </row>
    <row r="47" spans="1:14" hidden="1">
      <c r="A47" s="114"/>
      <c r="B47" s="95"/>
      <c r="C47" s="95" t="s">
        <v>515</v>
      </c>
      <c r="D47" s="121">
        <v>0.63349999999999995</v>
      </c>
      <c r="E47" s="99"/>
      <c r="F47" s="96">
        <v>132980</v>
      </c>
      <c r="G47" s="96">
        <f t="shared" si="0"/>
        <v>132980</v>
      </c>
      <c r="H47" s="96">
        <f t="shared" si="3"/>
        <v>84242.829999999987</v>
      </c>
      <c r="I47" s="99"/>
      <c r="J47" s="96"/>
      <c r="K47" s="96"/>
      <c r="L47" s="96"/>
      <c r="M47" s="96"/>
      <c r="N47" s="114"/>
    </row>
    <row r="48" spans="1:14" hidden="1">
      <c r="A48" s="114"/>
      <c r="B48" s="95"/>
      <c r="C48" s="95" t="s">
        <v>501</v>
      </c>
      <c r="D48" s="97">
        <v>5.5E-2</v>
      </c>
      <c r="E48" s="96">
        <v>48912.75</v>
      </c>
      <c r="F48" s="96"/>
      <c r="G48" s="96">
        <f t="shared" si="0"/>
        <v>48912.75</v>
      </c>
      <c r="H48" s="96">
        <f t="shared" si="3"/>
        <v>2690.2012500000001</v>
      </c>
      <c r="I48" s="96"/>
      <c r="J48" s="96"/>
      <c r="K48" s="96"/>
      <c r="L48" s="96"/>
      <c r="M48" s="96"/>
      <c r="N48" s="114"/>
    </row>
    <row r="49" spans="1:14" hidden="1">
      <c r="A49" s="114"/>
      <c r="B49" s="95"/>
      <c r="C49" s="95" t="s">
        <v>502</v>
      </c>
      <c r="D49" s="97">
        <v>5.5E-2</v>
      </c>
      <c r="E49" s="99">
        <v>41747.5</v>
      </c>
      <c r="F49" s="96"/>
      <c r="G49" s="96">
        <f t="shared" si="0"/>
        <v>41747.5</v>
      </c>
      <c r="H49" s="96">
        <f t="shared" si="3"/>
        <v>2296.1125000000002</v>
      </c>
      <c r="I49" s="99"/>
      <c r="J49" s="96"/>
      <c r="K49" s="96"/>
      <c r="L49" s="96"/>
      <c r="M49" s="96"/>
      <c r="N49" s="114"/>
    </row>
    <row r="50" spans="1:14" hidden="1">
      <c r="A50" s="114"/>
      <c r="B50" s="95"/>
      <c r="C50" s="95" t="s">
        <v>526</v>
      </c>
      <c r="D50" s="97">
        <v>5.5E-2</v>
      </c>
      <c r="E50" s="99">
        <v>28000</v>
      </c>
      <c r="F50" s="96"/>
      <c r="G50" s="96">
        <f t="shared" si="0"/>
        <v>28000</v>
      </c>
      <c r="H50" s="96">
        <f t="shared" si="3"/>
        <v>1540</v>
      </c>
      <c r="I50" s="99"/>
      <c r="J50" s="96"/>
      <c r="K50" s="96"/>
      <c r="L50" s="96"/>
      <c r="M50" s="96"/>
      <c r="N50" s="114"/>
    </row>
    <row r="51" spans="1:14" hidden="1">
      <c r="A51" s="114"/>
      <c r="B51" s="95"/>
      <c r="C51" s="95" t="s">
        <v>516</v>
      </c>
      <c r="D51" s="97">
        <v>0.64</v>
      </c>
      <c r="E51" s="96"/>
      <c r="F51" s="96">
        <v>88000</v>
      </c>
      <c r="G51" s="96">
        <f t="shared" si="0"/>
        <v>88000</v>
      </c>
      <c r="H51" s="96">
        <f t="shared" si="3"/>
        <v>56320</v>
      </c>
      <c r="I51" s="96"/>
      <c r="J51" s="96"/>
      <c r="K51" s="96"/>
      <c r="L51" s="96"/>
      <c r="M51" s="96"/>
      <c r="N51" s="114"/>
    </row>
    <row r="52" spans="1:14" hidden="1">
      <c r="A52" s="114"/>
      <c r="B52" s="95"/>
      <c r="C52" s="95" t="s">
        <v>518</v>
      </c>
      <c r="D52" s="101">
        <v>0.6</v>
      </c>
      <c r="E52" s="96"/>
      <c r="F52" s="96">
        <v>17636.55</v>
      </c>
      <c r="G52" s="96">
        <f t="shared" si="0"/>
        <v>17636.55</v>
      </c>
      <c r="H52" s="96">
        <f t="shared" si="3"/>
        <v>10581.929999999998</v>
      </c>
      <c r="I52" s="96"/>
      <c r="J52" s="96"/>
      <c r="K52" s="96"/>
      <c r="L52" s="96"/>
      <c r="M52" s="96"/>
      <c r="N52" s="114"/>
    </row>
    <row r="53" spans="1:14" hidden="1">
      <c r="A53" s="114"/>
      <c r="B53" s="95"/>
      <c r="C53" s="95" t="s">
        <v>517</v>
      </c>
      <c r="D53" s="101">
        <v>0.6</v>
      </c>
      <c r="E53" s="96"/>
      <c r="F53" s="96">
        <v>44129.03</v>
      </c>
      <c r="G53" s="96">
        <f t="shared" si="0"/>
        <v>44129.03</v>
      </c>
      <c r="H53" s="96">
        <f t="shared" si="3"/>
        <v>26477.417999999998</v>
      </c>
      <c r="I53" s="96"/>
      <c r="J53" s="96"/>
      <c r="K53" s="96"/>
      <c r="L53" s="96"/>
      <c r="M53" s="96"/>
      <c r="N53" s="114"/>
    </row>
    <row r="54" spans="1:14" hidden="1">
      <c r="A54" s="114"/>
      <c r="B54" s="95"/>
      <c r="C54" s="95" t="s">
        <v>519</v>
      </c>
      <c r="D54" s="100">
        <v>0.35</v>
      </c>
      <c r="E54" s="99">
        <v>80960</v>
      </c>
      <c r="F54" s="96"/>
      <c r="G54" s="96">
        <f t="shared" si="0"/>
        <v>80960</v>
      </c>
      <c r="H54" s="96">
        <f t="shared" si="3"/>
        <v>28336</v>
      </c>
      <c r="I54" s="99"/>
      <c r="J54" s="96"/>
      <c r="K54" s="96"/>
      <c r="L54" s="96"/>
      <c r="M54" s="96"/>
      <c r="N54" s="114"/>
    </row>
    <row r="55" spans="1:14" hidden="1">
      <c r="A55" s="114"/>
      <c r="B55" s="95"/>
      <c r="C55" s="95" t="s">
        <v>507</v>
      </c>
      <c r="D55" s="97">
        <v>2.3E-2</v>
      </c>
      <c r="E55" s="99">
        <v>9600</v>
      </c>
      <c r="F55" s="96"/>
      <c r="G55" s="96">
        <f t="shared" si="0"/>
        <v>9600</v>
      </c>
      <c r="H55" s="96">
        <f t="shared" si="3"/>
        <v>220.79999999999998</v>
      </c>
      <c r="I55" s="99"/>
      <c r="J55" s="96"/>
      <c r="K55" s="96"/>
      <c r="L55" s="96"/>
      <c r="M55" s="96"/>
      <c r="N55" s="114"/>
    </row>
    <row r="56" spans="1:14" hidden="1">
      <c r="A56" s="114"/>
      <c r="B56" s="95"/>
      <c r="C56" s="95" t="s">
        <v>527</v>
      </c>
      <c r="D56" s="100">
        <v>0.65</v>
      </c>
      <c r="E56" s="96"/>
      <c r="F56" s="96">
        <v>41012.5</v>
      </c>
      <c r="G56" s="96">
        <f t="shared" si="0"/>
        <v>41012.5</v>
      </c>
      <c r="H56" s="96">
        <f t="shared" si="3"/>
        <v>26658.125</v>
      </c>
      <c r="I56" s="96"/>
      <c r="J56" s="96"/>
      <c r="K56" s="96"/>
      <c r="L56" s="96"/>
      <c r="M56" s="96"/>
      <c r="N56" s="114"/>
    </row>
    <row r="57" spans="1:14" hidden="1">
      <c r="A57" s="114"/>
      <c r="B57" s="95"/>
      <c r="C57" s="95" t="s">
        <v>528</v>
      </c>
      <c r="D57" s="104">
        <v>0.05</v>
      </c>
      <c r="E57" s="99">
        <v>48000</v>
      </c>
      <c r="F57" s="96"/>
      <c r="G57" s="96">
        <f t="shared" si="0"/>
        <v>48000</v>
      </c>
      <c r="H57" s="96">
        <f t="shared" si="3"/>
        <v>2400</v>
      </c>
      <c r="I57" s="99"/>
      <c r="J57" s="96"/>
      <c r="K57" s="96"/>
      <c r="L57" s="96"/>
      <c r="M57" s="96"/>
      <c r="N57" s="114"/>
    </row>
    <row r="58" spans="1:14" hidden="1">
      <c r="A58" s="114"/>
      <c r="B58" s="102" t="s">
        <v>529</v>
      </c>
      <c r="C58" s="102"/>
      <c r="D58" s="122"/>
      <c r="E58" s="103">
        <f t="shared" ref="E58:K58" si="5">SUM(E38:E57)</f>
        <v>308830.25</v>
      </c>
      <c r="F58" s="103">
        <f t="shared" si="5"/>
        <v>1959523.0964516131</v>
      </c>
      <c r="G58" s="103">
        <f t="shared" si="5"/>
        <v>2268353.3464516131</v>
      </c>
      <c r="H58" s="103">
        <f t="shared" si="5"/>
        <v>1249514.5013661291</v>
      </c>
      <c r="I58" s="103">
        <f t="shared" si="5"/>
        <v>0</v>
      </c>
      <c r="J58" s="103">
        <f t="shared" si="5"/>
        <v>0</v>
      </c>
      <c r="K58" s="103">
        <f t="shared" si="5"/>
        <v>0</v>
      </c>
      <c r="L58" s="103"/>
      <c r="M58" s="103">
        <f>SUM(M38:M57)</f>
        <v>0</v>
      </c>
      <c r="N58" s="114"/>
    </row>
    <row r="59" spans="1:14">
      <c r="A59" s="114"/>
      <c r="B59" s="112" t="s">
        <v>492</v>
      </c>
      <c r="C59" s="112"/>
      <c r="D59" s="123"/>
      <c r="E59" s="113">
        <f t="shared" ref="E59:K59" si="6">E58+E37+E18</f>
        <v>544219.54</v>
      </c>
      <c r="F59" s="113">
        <f t="shared" si="6"/>
        <v>6601820.5664516129</v>
      </c>
      <c r="G59" s="113">
        <f t="shared" si="6"/>
        <v>7146040.1064516138</v>
      </c>
      <c r="H59" s="113">
        <f t="shared" si="6"/>
        <v>4124124.3760361294</v>
      </c>
      <c r="I59" s="113">
        <f t="shared" si="6"/>
        <v>0</v>
      </c>
      <c r="J59" s="113">
        <f t="shared" si="6"/>
        <v>0</v>
      </c>
      <c r="K59" s="113">
        <f t="shared" si="6"/>
        <v>201</v>
      </c>
      <c r="L59" s="113"/>
      <c r="M59" s="113">
        <f>M58+M37+M18</f>
        <v>135</v>
      </c>
      <c r="N59" s="114"/>
    </row>
    <row r="61" spans="1:14">
      <c r="F61">
        <v>1959523.1</v>
      </c>
      <c r="J61">
        <v>1959523.1</v>
      </c>
    </row>
    <row r="62" spans="1:14">
      <c r="F62" s="21">
        <f>F58-F61</f>
        <v>-3.5483869723975658E-3</v>
      </c>
      <c r="J62" s="21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>
    <tabColor theme="4" tint="0.39997558519241921"/>
  </sheetPr>
  <dimension ref="A1:I146"/>
  <sheetViews>
    <sheetView zoomScale="85" zoomScaleNormal="85" workbookViewId="0">
      <pane xSplit="1" ySplit="4" topLeftCell="B74" activePane="bottomRight" state="frozen"/>
      <selection activeCell="C4" sqref="C4"/>
      <selection pane="topRight" activeCell="C4" sqref="C4"/>
      <selection pane="bottomLeft" activeCell="C4" sqref="C4"/>
      <selection pane="bottomRight" activeCell="G78" sqref="G78"/>
    </sheetView>
  </sheetViews>
  <sheetFormatPr defaultColWidth="18.5703125" defaultRowHeight="15"/>
  <cols>
    <col min="1" max="1" width="65.85546875" bestFit="1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237" width="9.140625" customWidth="1"/>
    <col min="238" max="238" width="57.140625" customWidth="1"/>
    <col min="239" max="244" width="18.5703125" bestFit="1" customWidth="1"/>
    <col min="245" max="245" width="19.140625" bestFit="1" customWidth="1"/>
    <col min="246" max="247" width="18.5703125" bestFit="1" customWidth="1"/>
    <col min="257" max="257" width="57.140625" customWidth="1"/>
    <col min="258" max="258" width="18.28515625" bestFit="1" customWidth="1"/>
    <col min="259" max="259" width="18.28515625" customWidth="1"/>
    <col min="260" max="260" width="17.140625" customWidth="1"/>
    <col min="261" max="261" width="17.7109375" customWidth="1"/>
    <col min="262" max="262" width="15.5703125" customWidth="1"/>
    <col min="263" max="263" width="15" customWidth="1"/>
    <col min="264" max="264" width="19.7109375" customWidth="1"/>
    <col min="265" max="265" width="0" hidden="1" customWidth="1"/>
    <col min="266" max="493" width="9.140625" customWidth="1"/>
    <col min="494" max="494" width="57.140625" customWidth="1"/>
    <col min="501" max="501" width="19.140625" bestFit="1" customWidth="1"/>
    <col min="513" max="513" width="57.140625" customWidth="1"/>
    <col min="514" max="514" width="18.28515625" bestFit="1" customWidth="1"/>
    <col min="515" max="515" width="18.28515625" customWidth="1"/>
    <col min="516" max="516" width="17.140625" customWidth="1"/>
    <col min="517" max="517" width="17.7109375" customWidth="1"/>
    <col min="518" max="518" width="15.5703125" customWidth="1"/>
    <col min="519" max="519" width="15" customWidth="1"/>
    <col min="520" max="520" width="19.7109375" customWidth="1"/>
    <col min="521" max="521" width="0" hidden="1" customWidth="1"/>
    <col min="522" max="749" width="9.140625" customWidth="1"/>
    <col min="750" max="750" width="57.140625" customWidth="1"/>
    <col min="757" max="757" width="19.140625" bestFit="1" customWidth="1"/>
    <col min="769" max="769" width="57.140625" customWidth="1"/>
    <col min="770" max="770" width="18.28515625" bestFit="1" customWidth="1"/>
    <col min="771" max="771" width="18.28515625" customWidth="1"/>
    <col min="772" max="772" width="17.140625" customWidth="1"/>
    <col min="773" max="773" width="17.7109375" customWidth="1"/>
    <col min="774" max="774" width="15.5703125" customWidth="1"/>
    <col min="775" max="775" width="15" customWidth="1"/>
    <col min="776" max="776" width="19.7109375" customWidth="1"/>
    <col min="777" max="777" width="0" hidden="1" customWidth="1"/>
    <col min="778" max="1005" width="9.140625" customWidth="1"/>
    <col min="1006" max="1006" width="57.140625" customWidth="1"/>
    <col min="1013" max="1013" width="19.140625" bestFit="1" customWidth="1"/>
    <col min="1025" max="1025" width="57.140625" customWidth="1"/>
    <col min="1026" max="1026" width="18.28515625" bestFit="1" customWidth="1"/>
    <col min="1027" max="1027" width="18.28515625" customWidth="1"/>
    <col min="1028" max="1028" width="17.140625" customWidth="1"/>
    <col min="1029" max="1029" width="17.7109375" customWidth="1"/>
    <col min="1030" max="1030" width="15.5703125" customWidth="1"/>
    <col min="1031" max="1031" width="15" customWidth="1"/>
    <col min="1032" max="1032" width="19.7109375" customWidth="1"/>
    <col min="1033" max="1033" width="0" hidden="1" customWidth="1"/>
    <col min="1034" max="1261" width="9.140625" customWidth="1"/>
    <col min="1262" max="1262" width="57.140625" customWidth="1"/>
    <col min="1269" max="1269" width="19.140625" bestFit="1" customWidth="1"/>
    <col min="1281" max="1281" width="57.140625" customWidth="1"/>
    <col min="1282" max="1282" width="18.28515625" bestFit="1" customWidth="1"/>
    <col min="1283" max="1283" width="18.28515625" customWidth="1"/>
    <col min="1284" max="1284" width="17.140625" customWidth="1"/>
    <col min="1285" max="1285" width="17.7109375" customWidth="1"/>
    <col min="1286" max="1286" width="15.5703125" customWidth="1"/>
    <col min="1287" max="1287" width="15" customWidth="1"/>
    <col min="1288" max="1288" width="19.7109375" customWidth="1"/>
    <col min="1289" max="1289" width="0" hidden="1" customWidth="1"/>
    <col min="1290" max="1517" width="9.140625" customWidth="1"/>
    <col min="1518" max="1518" width="57.140625" customWidth="1"/>
    <col min="1525" max="1525" width="19.140625" bestFit="1" customWidth="1"/>
    <col min="1537" max="1537" width="57.140625" customWidth="1"/>
    <col min="1538" max="1538" width="18.28515625" bestFit="1" customWidth="1"/>
    <col min="1539" max="1539" width="18.28515625" customWidth="1"/>
    <col min="1540" max="1540" width="17.140625" customWidth="1"/>
    <col min="1541" max="1541" width="17.7109375" customWidth="1"/>
    <col min="1542" max="1542" width="15.5703125" customWidth="1"/>
    <col min="1543" max="1543" width="15" customWidth="1"/>
    <col min="1544" max="1544" width="19.7109375" customWidth="1"/>
    <col min="1545" max="1545" width="0" hidden="1" customWidth="1"/>
    <col min="1546" max="1773" width="9.140625" customWidth="1"/>
    <col min="1774" max="1774" width="57.140625" customWidth="1"/>
    <col min="1781" max="1781" width="19.140625" bestFit="1" customWidth="1"/>
    <col min="1793" max="1793" width="57.140625" customWidth="1"/>
    <col min="1794" max="1794" width="18.28515625" bestFit="1" customWidth="1"/>
    <col min="1795" max="1795" width="18.28515625" customWidth="1"/>
    <col min="1796" max="1796" width="17.140625" customWidth="1"/>
    <col min="1797" max="1797" width="17.7109375" customWidth="1"/>
    <col min="1798" max="1798" width="15.5703125" customWidth="1"/>
    <col min="1799" max="1799" width="15" customWidth="1"/>
    <col min="1800" max="1800" width="19.7109375" customWidth="1"/>
    <col min="1801" max="1801" width="0" hidden="1" customWidth="1"/>
    <col min="1802" max="2029" width="9.140625" customWidth="1"/>
    <col min="2030" max="2030" width="57.140625" customWidth="1"/>
    <col min="2037" max="2037" width="19.140625" bestFit="1" customWidth="1"/>
    <col min="2049" max="2049" width="57.140625" customWidth="1"/>
    <col min="2050" max="2050" width="18.28515625" bestFit="1" customWidth="1"/>
    <col min="2051" max="2051" width="18.28515625" customWidth="1"/>
    <col min="2052" max="2052" width="17.140625" customWidth="1"/>
    <col min="2053" max="2053" width="17.7109375" customWidth="1"/>
    <col min="2054" max="2054" width="15.5703125" customWidth="1"/>
    <col min="2055" max="2055" width="15" customWidth="1"/>
    <col min="2056" max="2056" width="19.7109375" customWidth="1"/>
    <col min="2057" max="2057" width="0" hidden="1" customWidth="1"/>
    <col min="2058" max="2285" width="9.140625" customWidth="1"/>
    <col min="2286" max="2286" width="57.140625" customWidth="1"/>
    <col min="2293" max="2293" width="19.140625" bestFit="1" customWidth="1"/>
    <col min="2305" max="2305" width="57.140625" customWidth="1"/>
    <col min="2306" max="2306" width="18.28515625" bestFit="1" customWidth="1"/>
    <col min="2307" max="2307" width="18.28515625" customWidth="1"/>
    <col min="2308" max="2308" width="17.140625" customWidth="1"/>
    <col min="2309" max="2309" width="17.7109375" customWidth="1"/>
    <col min="2310" max="2310" width="15.5703125" customWidth="1"/>
    <col min="2311" max="2311" width="15" customWidth="1"/>
    <col min="2312" max="2312" width="19.7109375" customWidth="1"/>
    <col min="2313" max="2313" width="0" hidden="1" customWidth="1"/>
    <col min="2314" max="2541" width="9.140625" customWidth="1"/>
    <col min="2542" max="2542" width="57.140625" customWidth="1"/>
    <col min="2549" max="2549" width="19.140625" bestFit="1" customWidth="1"/>
    <col min="2561" max="2561" width="57.140625" customWidth="1"/>
    <col min="2562" max="2562" width="18.28515625" bestFit="1" customWidth="1"/>
    <col min="2563" max="2563" width="18.28515625" customWidth="1"/>
    <col min="2564" max="2564" width="17.140625" customWidth="1"/>
    <col min="2565" max="2565" width="17.7109375" customWidth="1"/>
    <col min="2566" max="2566" width="15.5703125" customWidth="1"/>
    <col min="2567" max="2567" width="15" customWidth="1"/>
    <col min="2568" max="2568" width="19.7109375" customWidth="1"/>
    <col min="2569" max="2569" width="0" hidden="1" customWidth="1"/>
    <col min="2570" max="2797" width="9.140625" customWidth="1"/>
    <col min="2798" max="2798" width="57.140625" customWidth="1"/>
    <col min="2805" max="2805" width="19.140625" bestFit="1" customWidth="1"/>
    <col min="2817" max="2817" width="57.140625" customWidth="1"/>
    <col min="2818" max="2818" width="18.28515625" bestFit="1" customWidth="1"/>
    <col min="2819" max="2819" width="18.28515625" customWidth="1"/>
    <col min="2820" max="2820" width="17.140625" customWidth="1"/>
    <col min="2821" max="2821" width="17.7109375" customWidth="1"/>
    <col min="2822" max="2822" width="15.5703125" customWidth="1"/>
    <col min="2823" max="2823" width="15" customWidth="1"/>
    <col min="2824" max="2824" width="19.7109375" customWidth="1"/>
    <col min="2825" max="2825" width="0" hidden="1" customWidth="1"/>
    <col min="2826" max="3053" width="9.140625" customWidth="1"/>
    <col min="3054" max="3054" width="57.140625" customWidth="1"/>
    <col min="3061" max="3061" width="19.140625" bestFit="1" customWidth="1"/>
    <col min="3073" max="3073" width="57.140625" customWidth="1"/>
    <col min="3074" max="3074" width="18.28515625" bestFit="1" customWidth="1"/>
    <col min="3075" max="3075" width="18.28515625" customWidth="1"/>
    <col min="3076" max="3076" width="17.140625" customWidth="1"/>
    <col min="3077" max="3077" width="17.7109375" customWidth="1"/>
    <col min="3078" max="3078" width="15.5703125" customWidth="1"/>
    <col min="3079" max="3079" width="15" customWidth="1"/>
    <col min="3080" max="3080" width="19.7109375" customWidth="1"/>
    <col min="3081" max="3081" width="0" hidden="1" customWidth="1"/>
    <col min="3082" max="3309" width="9.140625" customWidth="1"/>
    <col min="3310" max="3310" width="57.140625" customWidth="1"/>
    <col min="3317" max="3317" width="19.140625" bestFit="1" customWidth="1"/>
    <col min="3329" max="3329" width="57.140625" customWidth="1"/>
    <col min="3330" max="3330" width="18.28515625" bestFit="1" customWidth="1"/>
    <col min="3331" max="3331" width="18.28515625" customWidth="1"/>
    <col min="3332" max="3332" width="17.140625" customWidth="1"/>
    <col min="3333" max="3333" width="17.7109375" customWidth="1"/>
    <col min="3334" max="3334" width="15.5703125" customWidth="1"/>
    <col min="3335" max="3335" width="15" customWidth="1"/>
    <col min="3336" max="3336" width="19.7109375" customWidth="1"/>
    <col min="3337" max="3337" width="0" hidden="1" customWidth="1"/>
    <col min="3338" max="3565" width="9.140625" customWidth="1"/>
    <col min="3566" max="3566" width="57.140625" customWidth="1"/>
    <col min="3573" max="3573" width="19.140625" bestFit="1" customWidth="1"/>
    <col min="3585" max="3585" width="57.140625" customWidth="1"/>
    <col min="3586" max="3586" width="18.28515625" bestFit="1" customWidth="1"/>
    <col min="3587" max="3587" width="18.28515625" customWidth="1"/>
    <col min="3588" max="3588" width="17.140625" customWidth="1"/>
    <col min="3589" max="3589" width="17.7109375" customWidth="1"/>
    <col min="3590" max="3590" width="15.5703125" customWidth="1"/>
    <col min="3591" max="3591" width="15" customWidth="1"/>
    <col min="3592" max="3592" width="19.7109375" customWidth="1"/>
    <col min="3593" max="3593" width="0" hidden="1" customWidth="1"/>
    <col min="3594" max="3821" width="9.140625" customWidth="1"/>
    <col min="3822" max="3822" width="57.140625" customWidth="1"/>
    <col min="3829" max="3829" width="19.140625" bestFit="1" customWidth="1"/>
    <col min="3841" max="3841" width="57.140625" customWidth="1"/>
    <col min="3842" max="3842" width="18.28515625" bestFit="1" customWidth="1"/>
    <col min="3843" max="3843" width="18.28515625" customWidth="1"/>
    <col min="3844" max="3844" width="17.140625" customWidth="1"/>
    <col min="3845" max="3845" width="17.7109375" customWidth="1"/>
    <col min="3846" max="3846" width="15.5703125" customWidth="1"/>
    <col min="3847" max="3847" width="15" customWidth="1"/>
    <col min="3848" max="3848" width="19.7109375" customWidth="1"/>
    <col min="3849" max="3849" width="0" hidden="1" customWidth="1"/>
    <col min="3850" max="4077" width="9.140625" customWidth="1"/>
    <col min="4078" max="4078" width="57.140625" customWidth="1"/>
    <col min="4085" max="4085" width="19.140625" bestFit="1" customWidth="1"/>
    <col min="4097" max="4097" width="57.140625" customWidth="1"/>
    <col min="4098" max="4098" width="18.28515625" bestFit="1" customWidth="1"/>
    <col min="4099" max="4099" width="18.28515625" customWidth="1"/>
    <col min="4100" max="4100" width="17.140625" customWidth="1"/>
    <col min="4101" max="4101" width="17.7109375" customWidth="1"/>
    <col min="4102" max="4102" width="15.5703125" customWidth="1"/>
    <col min="4103" max="4103" width="15" customWidth="1"/>
    <col min="4104" max="4104" width="19.7109375" customWidth="1"/>
    <col min="4105" max="4105" width="0" hidden="1" customWidth="1"/>
    <col min="4106" max="4333" width="9.140625" customWidth="1"/>
    <col min="4334" max="4334" width="57.140625" customWidth="1"/>
    <col min="4341" max="4341" width="19.140625" bestFit="1" customWidth="1"/>
    <col min="4353" max="4353" width="57.140625" customWidth="1"/>
    <col min="4354" max="4354" width="18.28515625" bestFit="1" customWidth="1"/>
    <col min="4355" max="4355" width="18.28515625" customWidth="1"/>
    <col min="4356" max="4356" width="17.140625" customWidth="1"/>
    <col min="4357" max="4357" width="17.7109375" customWidth="1"/>
    <col min="4358" max="4358" width="15.5703125" customWidth="1"/>
    <col min="4359" max="4359" width="15" customWidth="1"/>
    <col min="4360" max="4360" width="19.7109375" customWidth="1"/>
    <col min="4361" max="4361" width="0" hidden="1" customWidth="1"/>
    <col min="4362" max="4589" width="9.140625" customWidth="1"/>
    <col min="4590" max="4590" width="57.140625" customWidth="1"/>
    <col min="4597" max="4597" width="19.140625" bestFit="1" customWidth="1"/>
    <col min="4609" max="4609" width="57.140625" customWidth="1"/>
    <col min="4610" max="4610" width="18.28515625" bestFit="1" customWidth="1"/>
    <col min="4611" max="4611" width="18.28515625" customWidth="1"/>
    <col min="4612" max="4612" width="17.140625" customWidth="1"/>
    <col min="4613" max="4613" width="17.7109375" customWidth="1"/>
    <col min="4614" max="4614" width="15.5703125" customWidth="1"/>
    <col min="4615" max="4615" width="15" customWidth="1"/>
    <col min="4616" max="4616" width="19.7109375" customWidth="1"/>
    <col min="4617" max="4617" width="0" hidden="1" customWidth="1"/>
    <col min="4618" max="4845" width="9.140625" customWidth="1"/>
    <col min="4846" max="4846" width="57.140625" customWidth="1"/>
    <col min="4853" max="4853" width="19.140625" bestFit="1" customWidth="1"/>
    <col min="4865" max="4865" width="57.140625" customWidth="1"/>
    <col min="4866" max="4866" width="18.28515625" bestFit="1" customWidth="1"/>
    <col min="4867" max="4867" width="18.28515625" customWidth="1"/>
    <col min="4868" max="4868" width="17.140625" customWidth="1"/>
    <col min="4869" max="4869" width="17.7109375" customWidth="1"/>
    <col min="4870" max="4870" width="15.5703125" customWidth="1"/>
    <col min="4871" max="4871" width="15" customWidth="1"/>
    <col min="4872" max="4872" width="19.7109375" customWidth="1"/>
    <col min="4873" max="4873" width="0" hidden="1" customWidth="1"/>
    <col min="4874" max="5101" width="9.140625" customWidth="1"/>
    <col min="5102" max="5102" width="57.140625" customWidth="1"/>
    <col min="5109" max="5109" width="19.140625" bestFit="1" customWidth="1"/>
    <col min="5121" max="5121" width="57.140625" customWidth="1"/>
    <col min="5122" max="5122" width="18.28515625" bestFit="1" customWidth="1"/>
    <col min="5123" max="5123" width="18.28515625" customWidth="1"/>
    <col min="5124" max="5124" width="17.140625" customWidth="1"/>
    <col min="5125" max="5125" width="17.7109375" customWidth="1"/>
    <col min="5126" max="5126" width="15.5703125" customWidth="1"/>
    <col min="5127" max="5127" width="15" customWidth="1"/>
    <col min="5128" max="5128" width="19.7109375" customWidth="1"/>
    <col min="5129" max="5129" width="0" hidden="1" customWidth="1"/>
    <col min="5130" max="5357" width="9.140625" customWidth="1"/>
    <col min="5358" max="5358" width="57.140625" customWidth="1"/>
    <col min="5365" max="5365" width="19.140625" bestFit="1" customWidth="1"/>
    <col min="5377" max="5377" width="57.140625" customWidth="1"/>
    <col min="5378" max="5378" width="18.28515625" bestFit="1" customWidth="1"/>
    <col min="5379" max="5379" width="18.28515625" customWidth="1"/>
    <col min="5380" max="5380" width="17.140625" customWidth="1"/>
    <col min="5381" max="5381" width="17.7109375" customWidth="1"/>
    <col min="5382" max="5382" width="15.5703125" customWidth="1"/>
    <col min="5383" max="5383" width="15" customWidth="1"/>
    <col min="5384" max="5384" width="19.7109375" customWidth="1"/>
    <col min="5385" max="5385" width="0" hidden="1" customWidth="1"/>
    <col min="5386" max="5613" width="9.140625" customWidth="1"/>
    <col min="5614" max="5614" width="57.140625" customWidth="1"/>
    <col min="5621" max="5621" width="19.140625" bestFit="1" customWidth="1"/>
    <col min="5633" max="5633" width="57.140625" customWidth="1"/>
    <col min="5634" max="5634" width="18.28515625" bestFit="1" customWidth="1"/>
    <col min="5635" max="5635" width="18.28515625" customWidth="1"/>
    <col min="5636" max="5636" width="17.140625" customWidth="1"/>
    <col min="5637" max="5637" width="17.7109375" customWidth="1"/>
    <col min="5638" max="5638" width="15.5703125" customWidth="1"/>
    <col min="5639" max="5639" width="15" customWidth="1"/>
    <col min="5640" max="5640" width="19.7109375" customWidth="1"/>
    <col min="5641" max="5641" width="0" hidden="1" customWidth="1"/>
    <col min="5642" max="5869" width="9.140625" customWidth="1"/>
    <col min="5870" max="5870" width="57.140625" customWidth="1"/>
    <col min="5877" max="5877" width="19.140625" bestFit="1" customWidth="1"/>
    <col min="5889" max="5889" width="57.140625" customWidth="1"/>
    <col min="5890" max="5890" width="18.28515625" bestFit="1" customWidth="1"/>
    <col min="5891" max="5891" width="18.28515625" customWidth="1"/>
    <col min="5892" max="5892" width="17.140625" customWidth="1"/>
    <col min="5893" max="5893" width="17.7109375" customWidth="1"/>
    <col min="5894" max="5894" width="15.5703125" customWidth="1"/>
    <col min="5895" max="5895" width="15" customWidth="1"/>
    <col min="5896" max="5896" width="19.7109375" customWidth="1"/>
    <col min="5897" max="5897" width="0" hidden="1" customWidth="1"/>
    <col min="5898" max="6125" width="9.140625" customWidth="1"/>
    <col min="6126" max="6126" width="57.140625" customWidth="1"/>
    <col min="6133" max="6133" width="19.140625" bestFit="1" customWidth="1"/>
    <col min="6145" max="6145" width="57.140625" customWidth="1"/>
    <col min="6146" max="6146" width="18.28515625" bestFit="1" customWidth="1"/>
    <col min="6147" max="6147" width="18.28515625" customWidth="1"/>
    <col min="6148" max="6148" width="17.140625" customWidth="1"/>
    <col min="6149" max="6149" width="17.7109375" customWidth="1"/>
    <col min="6150" max="6150" width="15.5703125" customWidth="1"/>
    <col min="6151" max="6151" width="15" customWidth="1"/>
    <col min="6152" max="6152" width="19.7109375" customWidth="1"/>
    <col min="6153" max="6153" width="0" hidden="1" customWidth="1"/>
    <col min="6154" max="6381" width="9.140625" customWidth="1"/>
    <col min="6382" max="6382" width="57.140625" customWidth="1"/>
    <col min="6389" max="6389" width="19.140625" bestFit="1" customWidth="1"/>
    <col min="6401" max="6401" width="57.140625" customWidth="1"/>
    <col min="6402" max="6402" width="18.28515625" bestFit="1" customWidth="1"/>
    <col min="6403" max="6403" width="18.28515625" customWidth="1"/>
    <col min="6404" max="6404" width="17.140625" customWidth="1"/>
    <col min="6405" max="6405" width="17.7109375" customWidth="1"/>
    <col min="6406" max="6406" width="15.5703125" customWidth="1"/>
    <col min="6407" max="6407" width="15" customWidth="1"/>
    <col min="6408" max="6408" width="19.7109375" customWidth="1"/>
    <col min="6409" max="6409" width="0" hidden="1" customWidth="1"/>
    <col min="6410" max="6637" width="9.140625" customWidth="1"/>
    <col min="6638" max="6638" width="57.140625" customWidth="1"/>
    <col min="6645" max="6645" width="19.140625" bestFit="1" customWidth="1"/>
    <col min="6657" max="6657" width="57.140625" customWidth="1"/>
    <col min="6658" max="6658" width="18.28515625" bestFit="1" customWidth="1"/>
    <col min="6659" max="6659" width="18.28515625" customWidth="1"/>
    <col min="6660" max="6660" width="17.140625" customWidth="1"/>
    <col min="6661" max="6661" width="17.7109375" customWidth="1"/>
    <col min="6662" max="6662" width="15.5703125" customWidth="1"/>
    <col min="6663" max="6663" width="15" customWidth="1"/>
    <col min="6664" max="6664" width="19.7109375" customWidth="1"/>
    <col min="6665" max="6665" width="0" hidden="1" customWidth="1"/>
    <col min="6666" max="6893" width="9.140625" customWidth="1"/>
    <col min="6894" max="6894" width="57.140625" customWidth="1"/>
    <col min="6901" max="6901" width="19.140625" bestFit="1" customWidth="1"/>
    <col min="6913" max="6913" width="57.140625" customWidth="1"/>
    <col min="6914" max="6914" width="18.28515625" bestFit="1" customWidth="1"/>
    <col min="6915" max="6915" width="18.28515625" customWidth="1"/>
    <col min="6916" max="6916" width="17.140625" customWidth="1"/>
    <col min="6917" max="6917" width="17.7109375" customWidth="1"/>
    <col min="6918" max="6918" width="15.5703125" customWidth="1"/>
    <col min="6919" max="6919" width="15" customWidth="1"/>
    <col min="6920" max="6920" width="19.7109375" customWidth="1"/>
    <col min="6921" max="6921" width="0" hidden="1" customWidth="1"/>
    <col min="6922" max="7149" width="9.140625" customWidth="1"/>
    <col min="7150" max="7150" width="57.140625" customWidth="1"/>
    <col min="7157" max="7157" width="19.140625" bestFit="1" customWidth="1"/>
    <col min="7169" max="7169" width="57.140625" customWidth="1"/>
    <col min="7170" max="7170" width="18.28515625" bestFit="1" customWidth="1"/>
    <col min="7171" max="7171" width="18.28515625" customWidth="1"/>
    <col min="7172" max="7172" width="17.140625" customWidth="1"/>
    <col min="7173" max="7173" width="17.7109375" customWidth="1"/>
    <col min="7174" max="7174" width="15.5703125" customWidth="1"/>
    <col min="7175" max="7175" width="15" customWidth="1"/>
    <col min="7176" max="7176" width="19.7109375" customWidth="1"/>
    <col min="7177" max="7177" width="0" hidden="1" customWidth="1"/>
    <col min="7178" max="7405" width="9.140625" customWidth="1"/>
    <col min="7406" max="7406" width="57.140625" customWidth="1"/>
    <col min="7413" max="7413" width="19.140625" bestFit="1" customWidth="1"/>
    <col min="7425" max="7425" width="57.140625" customWidth="1"/>
    <col min="7426" max="7426" width="18.28515625" bestFit="1" customWidth="1"/>
    <col min="7427" max="7427" width="18.28515625" customWidth="1"/>
    <col min="7428" max="7428" width="17.140625" customWidth="1"/>
    <col min="7429" max="7429" width="17.7109375" customWidth="1"/>
    <col min="7430" max="7430" width="15.5703125" customWidth="1"/>
    <col min="7431" max="7431" width="15" customWidth="1"/>
    <col min="7432" max="7432" width="19.7109375" customWidth="1"/>
    <col min="7433" max="7433" width="0" hidden="1" customWidth="1"/>
    <col min="7434" max="7661" width="9.140625" customWidth="1"/>
    <col min="7662" max="7662" width="57.140625" customWidth="1"/>
    <col min="7669" max="7669" width="19.140625" bestFit="1" customWidth="1"/>
    <col min="7681" max="7681" width="57.140625" customWidth="1"/>
    <col min="7682" max="7682" width="18.28515625" bestFit="1" customWidth="1"/>
    <col min="7683" max="7683" width="18.28515625" customWidth="1"/>
    <col min="7684" max="7684" width="17.140625" customWidth="1"/>
    <col min="7685" max="7685" width="17.7109375" customWidth="1"/>
    <col min="7686" max="7686" width="15.5703125" customWidth="1"/>
    <col min="7687" max="7687" width="15" customWidth="1"/>
    <col min="7688" max="7688" width="19.7109375" customWidth="1"/>
    <col min="7689" max="7689" width="0" hidden="1" customWidth="1"/>
    <col min="7690" max="7917" width="9.140625" customWidth="1"/>
    <col min="7918" max="7918" width="57.140625" customWidth="1"/>
    <col min="7925" max="7925" width="19.140625" bestFit="1" customWidth="1"/>
    <col min="7937" max="7937" width="57.140625" customWidth="1"/>
    <col min="7938" max="7938" width="18.28515625" bestFit="1" customWidth="1"/>
    <col min="7939" max="7939" width="18.28515625" customWidth="1"/>
    <col min="7940" max="7940" width="17.140625" customWidth="1"/>
    <col min="7941" max="7941" width="17.7109375" customWidth="1"/>
    <col min="7942" max="7942" width="15.5703125" customWidth="1"/>
    <col min="7943" max="7943" width="15" customWidth="1"/>
    <col min="7944" max="7944" width="19.7109375" customWidth="1"/>
    <col min="7945" max="7945" width="0" hidden="1" customWidth="1"/>
    <col min="7946" max="8173" width="9.140625" customWidth="1"/>
    <col min="8174" max="8174" width="57.140625" customWidth="1"/>
    <col min="8181" max="8181" width="19.140625" bestFit="1" customWidth="1"/>
    <col min="8193" max="8193" width="57.140625" customWidth="1"/>
    <col min="8194" max="8194" width="18.28515625" bestFit="1" customWidth="1"/>
    <col min="8195" max="8195" width="18.28515625" customWidth="1"/>
    <col min="8196" max="8196" width="17.140625" customWidth="1"/>
    <col min="8197" max="8197" width="17.7109375" customWidth="1"/>
    <col min="8198" max="8198" width="15.5703125" customWidth="1"/>
    <col min="8199" max="8199" width="15" customWidth="1"/>
    <col min="8200" max="8200" width="19.7109375" customWidth="1"/>
    <col min="8201" max="8201" width="0" hidden="1" customWidth="1"/>
    <col min="8202" max="8429" width="9.140625" customWidth="1"/>
    <col min="8430" max="8430" width="57.140625" customWidth="1"/>
    <col min="8437" max="8437" width="19.140625" bestFit="1" customWidth="1"/>
    <col min="8449" max="8449" width="57.140625" customWidth="1"/>
    <col min="8450" max="8450" width="18.28515625" bestFit="1" customWidth="1"/>
    <col min="8451" max="8451" width="18.28515625" customWidth="1"/>
    <col min="8452" max="8452" width="17.140625" customWidth="1"/>
    <col min="8453" max="8453" width="17.7109375" customWidth="1"/>
    <col min="8454" max="8454" width="15.5703125" customWidth="1"/>
    <col min="8455" max="8455" width="15" customWidth="1"/>
    <col min="8456" max="8456" width="19.7109375" customWidth="1"/>
    <col min="8457" max="8457" width="0" hidden="1" customWidth="1"/>
    <col min="8458" max="8685" width="9.140625" customWidth="1"/>
    <col min="8686" max="8686" width="57.140625" customWidth="1"/>
    <col min="8693" max="8693" width="19.140625" bestFit="1" customWidth="1"/>
    <col min="8705" max="8705" width="57.140625" customWidth="1"/>
    <col min="8706" max="8706" width="18.28515625" bestFit="1" customWidth="1"/>
    <col min="8707" max="8707" width="18.28515625" customWidth="1"/>
    <col min="8708" max="8708" width="17.140625" customWidth="1"/>
    <col min="8709" max="8709" width="17.7109375" customWidth="1"/>
    <col min="8710" max="8710" width="15.5703125" customWidth="1"/>
    <col min="8711" max="8711" width="15" customWidth="1"/>
    <col min="8712" max="8712" width="19.7109375" customWidth="1"/>
    <col min="8713" max="8713" width="0" hidden="1" customWidth="1"/>
    <col min="8714" max="8941" width="9.140625" customWidth="1"/>
    <col min="8942" max="8942" width="57.140625" customWidth="1"/>
    <col min="8949" max="8949" width="19.140625" bestFit="1" customWidth="1"/>
    <col min="8961" max="8961" width="57.140625" customWidth="1"/>
    <col min="8962" max="8962" width="18.28515625" bestFit="1" customWidth="1"/>
    <col min="8963" max="8963" width="18.28515625" customWidth="1"/>
    <col min="8964" max="8964" width="17.140625" customWidth="1"/>
    <col min="8965" max="8965" width="17.7109375" customWidth="1"/>
    <col min="8966" max="8966" width="15.5703125" customWidth="1"/>
    <col min="8967" max="8967" width="15" customWidth="1"/>
    <col min="8968" max="8968" width="19.7109375" customWidth="1"/>
    <col min="8969" max="8969" width="0" hidden="1" customWidth="1"/>
    <col min="8970" max="9197" width="9.140625" customWidth="1"/>
    <col min="9198" max="9198" width="57.140625" customWidth="1"/>
    <col min="9205" max="9205" width="19.140625" bestFit="1" customWidth="1"/>
    <col min="9217" max="9217" width="57.140625" customWidth="1"/>
    <col min="9218" max="9218" width="18.28515625" bestFit="1" customWidth="1"/>
    <col min="9219" max="9219" width="18.28515625" customWidth="1"/>
    <col min="9220" max="9220" width="17.140625" customWidth="1"/>
    <col min="9221" max="9221" width="17.7109375" customWidth="1"/>
    <col min="9222" max="9222" width="15.5703125" customWidth="1"/>
    <col min="9223" max="9223" width="15" customWidth="1"/>
    <col min="9224" max="9224" width="19.7109375" customWidth="1"/>
    <col min="9225" max="9225" width="0" hidden="1" customWidth="1"/>
    <col min="9226" max="9453" width="9.140625" customWidth="1"/>
    <col min="9454" max="9454" width="57.140625" customWidth="1"/>
    <col min="9461" max="9461" width="19.140625" bestFit="1" customWidth="1"/>
    <col min="9473" max="9473" width="57.140625" customWidth="1"/>
    <col min="9474" max="9474" width="18.28515625" bestFit="1" customWidth="1"/>
    <col min="9475" max="9475" width="18.28515625" customWidth="1"/>
    <col min="9476" max="9476" width="17.140625" customWidth="1"/>
    <col min="9477" max="9477" width="17.7109375" customWidth="1"/>
    <col min="9478" max="9478" width="15.5703125" customWidth="1"/>
    <col min="9479" max="9479" width="15" customWidth="1"/>
    <col min="9480" max="9480" width="19.7109375" customWidth="1"/>
    <col min="9481" max="9481" width="0" hidden="1" customWidth="1"/>
    <col min="9482" max="9709" width="9.140625" customWidth="1"/>
    <col min="9710" max="9710" width="57.140625" customWidth="1"/>
    <col min="9717" max="9717" width="19.140625" bestFit="1" customWidth="1"/>
    <col min="9729" max="9729" width="57.140625" customWidth="1"/>
    <col min="9730" max="9730" width="18.28515625" bestFit="1" customWidth="1"/>
    <col min="9731" max="9731" width="18.28515625" customWidth="1"/>
    <col min="9732" max="9732" width="17.140625" customWidth="1"/>
    <col min="9733" max="9733" width="17.7109375" customWidth="1"/>
    <col min="9734" max="9734" width="15.5703125" customWidth="1"/>
    <col min="9735" max="9735" width="15" customWidth="1"/>
    <col min="9736" max="9736" width="19.7109375" customWidth="1"/>
    <col min="9737" max="9737" width="0" hidden="1" customWidth="1"/>
    <col min="9738" max="9965" width="9.140625" customWidth="1"/>
    <col min="9966" max="9966" width="57.140625" customWidth="1"/>
    <col min="9973" max="9973" width="19.140625" bestFit="1" customWidth="1"/>
    <col min="9985" max="9985" width="57.140625" customWidth="1"/>
    <col min="9986" max="9986" width="18.28515625" bestFit="1" customWidth="1"/>
    <col min="9987" max="9987" width="18.28515625" customWidth="1"/>
    <col min="9988" max="9988" width="17.140625" customWidth="1"/>
    <col min="9989" max="9989" width="17.7109375" customWidth="1"/>
    <col min="9990" max="9990" width="15.5703125" customWidth="1"/>
    <col min="9991" max="9991" width="15" customWidth="1"/>
    <col min="9992" max="9992" width="19.7109375" customWidth="1"/>
    <col min="9993" max="9993" width="0" hidden="1" customWidth="1"/>
    <col min="9994" max="10221" width="9.140625" customWidth="1"/>
    <col min="10222" max="10222" width="57.140625" customWidth="1"/>
    <col min="10229" max="10229" width="19.140625" bestFit="1" customWidth="1"/>
    <col min="10241" max="10241" width="57.140625" customWidth="1"/>
    <col min="10242" max="10242" width="18.28515625" bestFit="1" customWidth="1"/>
    <col min="10243" max="10243" width="18.28515625" customWidth="1"/>
    <col min="10244" max="10244" width="17.140625" customWidth="1"/>
    <col min="10245" max="10245" width="17.7109375" customWidth="1"/>
    <col min="10246" max="10246" width="15.5703125" customWidth="1"/>
    <col min="10247" max="10247" width="15" customWidth="1"/>
    <col min="10248" max="10248" width="19.7109375" customWidth="1"/>
    <col min="10249" max="10249" width="0" hidden="1" customWidth="1"/>
    <col min="10250" max="10477" width="9.140625" customWidth="1"/>
    <col min="10478" max="10478" width="57.140625" customWidth="1"/>
    <col min="10485" max="10485" width="19.140625" bestFit="1" customWidth="1"/>
    <col min="10497" max="10497" width="57.140625" customWidth="1"/>
    <col min="10498" max="10498" width="18.28515625" bestFit="1" customWidth="1"/>
    <col min="10499" max="10499" width="18.28515625" customWidth="1"/>
    <col min="10500" max="10500" width="17.140625" customWidth="1"/>
    <col min="10501" max="10501" width="17.7109375" customWidth="1"/>
    <col min="10502" max="10502" width="15.5703125" customWidth="1"/>
    <col min="10503" max="10503" width="15" customWidth="1"/>
    <col min="10504" max="10504" width="19.7109375" customWidth="1"/>
    <col min="10505" max="10505" width="0" hidden="1" customWidth="1"/>
    <col min="10506" max="10733" width="9.140625" customWidth="1"/>
    <col min="10734" max="10734" width="57.140625" customWidth="1"/>
    <col min="10741" max="10741" width="19.140625" bestFit="1" customWidth="1"/>
    <col min="10753" max="10753" width="57.140625" customWidth="1"/>
    <col min="10754" max="10754" width="18.28515625" bestFit="1" customWidth="1"/>
    <col min="10755" max="10755" width="18.28515625" customWidth="1"/>
    <col min="10756" max="10756" width="17.140625" customWidth="1"/>
    <col min="10757" max="10757" width="17.7109375" customWidth="1"/>
    <col min="10758" max="10758" width="15.5703125" customWidth="1"/>
    <col min="10759" max="10759" width="15" customWidth="1"/>
    <col min="10760" max="10760" width="19.7109375" customWidth="1"/>
    <col min="10761" max="10761" width="0" hidden="1" customWidth="1"/>
    <col min="10762" max="10989" width="9.140625" customWidth="1"/>
    <col min="10990" max="10990" width="57.140625" customWidth="1"/>
    <col min="10997" max="10997" width="19.140625" bestFit="1" customWidth="1"/>
    <col min="11009" max="11009" width="57.140625" customWidth="1"/>
    <col min="11010" max="11010" width="18.28515625" bestFit="1" customWidth="1"/>
    <col min="11011" max="11011" width="18.28515625" customWidth="1"/>
    <col min="11012" max="11012" width="17.140625" customWidth="1"/>
    <col min="11013" max="11013" width="17.7109375" customWidth="1"/>
    <col min="11014" max="11014" width="15.5703125" customWidth="1"/>
    <col min="11015" max="11015" width="15" customWidth="1"/>
    <col min="11016" max="11016" width="19.7109375" customWidth="1"/>
    <col min="11017" max="11017" width="0" hidden="1" customWidth="1"/>
    <col min="11018" max="11245" width="9.140625" customWidth="1"/>
    <col min="11246" max="11246" width="57.140625" customWidth="1"/>
    <col min="11253" max="11253" width="19.140625" bestFit="1" customWidth="1"/>
    <col min="11265" max="11265" width="57.140625" customWidth="1"/>
    <col min="11266" max="11266" width="18.28515625" bestFit="1" customWidth="1"/>
    <col min="11267" max="11267" width="18.28515625" customWidth="1"/>
    <col min="11268" max="11268" width="17.140625" customWidth="1"/>
    <col min="11269" max="11269" width="17.7109375" customWidth="1"/>
    <col min="11270" max="11270" width="15.5703125" customWidth="1"/>
    <col min="11271" max="11271" width="15" customWidth="1"/>
    <col min="11272" max="11272" width="19.7109375" customWidth="1"/>
    <col min="11273" max="11273" width="0" hidden="1" customWidth="1"/>
    <col min="11274" max="11501" width="9.140625" customWidth="1"/>
    <col min="11502" max="11502" width="57.140625" customWidth="1"/>
    <col min="11509" max="11509" width="19.140625" bestFit="1" customWidth="1"/>
    <col min="11521" max="11521" width="57.140625" customWidth="1"/>
    <col min="11522" max="11522" width="18.28515625" bestFit="1" customWidth="1"/>
    <col min="11523" max="11523" width="18.28515625" customWidth="1"/>
    <col min="11524" max="11524" width="17.140625" customWidth="1"/>
    <col min="11525" max="11525" width="17.7109375" customWidth="1"/>
    <col min="11526" max="11526" width="15.5703125" customWidth="1"/>
    <col min="11527" max="11527" width="15" customWidth="1"/>
    <col min="11528" max="11528" width="19.7109375" customWidth="1"/>
    <col min="11529" max="11529" width="0" hidden="1" customWidth="1"/>
    <col min="11530" max="11757" width="9.140625" customWidth="1"/>
    <col min="11758" max="11758" width="57.140625" customWidth="1"/>
    <col min="11765" max="11765" width="19.140625" bestFit="1" customWidth="1"/>
    <col min="11777" max="11777" width="57.140625" customWidth="1"/>
    <col min="11778" max="11778" width="18.28515625" bestFit="1" customWidth="1"/>
    <col min="11779" max="11779" width="18.28515625" customWidth="1"/>
    <col min="11780" max="11780" width="17.140625" customWidth="1"/>
    <col min="11781" max="11781" width="17.7109375" customWidth="1"/>
    <col min="11782" max="11782" width="15.5703125" customWidth="1"/>
    <col min="11783" max="11783" width="15" customWidth="1"/>
    <col min="11784" max="11784" width="19.7109375" customWidth="1"/>
    <col min="11785" max="11785" width="0" hidden="1" customWidth="1"/>
    <col min="11786" max="12013" width="9.140625" customWidth="1"/>
    <col min="12014" max="12014" width="57.140625" customWidth="1"/>
    <col min="12021" max="12021" width="19.140625" bestFit="1" customWidth="1"/>
    <col min="12033" max="12033" width="57.140625" customWidth="1"/>
    <col min="12034" max="12034" width="18.28515625" bestFit="1" customWidth="1"/>
    <col min="12035" max="12035" width="18.28515625" customWidth="1"/>
    <col min="12036" max="12036" width="17.140625" customWidth="1"/>
    <col min="12037" max="12037" width="17.7109375" customWidth="1"/>
    <col min="12038" max="12038" width="15.5703125" customWidth="1"/>
    <col min="12039" max="12039" width="15" customWidth="1"/>
    <col min="12040" max="12040" width="19.7109375" customWidth="1"/>
    <col min="12041" max="12041" width="0" hidden="1" customWidth="1"/>
    <col min="12042" max="12269" width="9.140625" customWidth="1"/>
    <col min="12270" max="12270" width="57.140625" customWidth="1"/>
    <col min="12277" max="12277" width="19.140625" bestFit="1" customWidth="1"/>
    <col min="12289" max="12289" width="57.140625" customWidth="1"/>
    <col min="12290" max="12290" width="18.28515625" bestFit="1" customWidth="1"/>
    <col min="12291" max="12291" width="18.28515625" customWidth="1"/>
    <col min="12292" max="12292" width="17.140625" customWidth="1"/>
    <col min="12293" max="12293" width="17.7109375" customWidth="1"/>
    <col min="12294" max="12294" width="15.5703125" customWidth="1"/>
    <col min="12295" max="12295" width="15" customWidth="1"/>
    <col min="12296" max="12296" width="19.7109375" customWidth="1"/>
    <col min="12297" max="12297" width="0" hidden="1" customWidth="1"/>
    <col min="12298" max="12525" width="9.140625" customWidth="1"/>
    <col min="12526" max="12526" width="57.140625" customWidth="1"/>
    <col min="12533" max="12533" width="19.140625" bestFit="1" customWidth="1"/>
    <col min="12545" max="12545" width="57.140625" customWidth="1"/>
    <col min="12546" max="12546" width="18.28515625" bestFit="1" customWidth="1"/>
    <col min="12547" max="12547" width="18.28515625" customWidth="1"/>
    <col min="12548" max="12548" width="17.140625" customWidth="1"/>
    <col min="12549" max="12549" width="17.7109375" customWidth="1"/>
    <col min="12550" max="12550" width="15.5703125" customWidth="1"/>
    <col min="12551" max="12551" width="15" customWidth="1"/>
    <col min="12552" max="12552" width="19.7109375" customWidth="1"/>
    <col min="12553" max="12553" width="0" hidden="1" customWidth="1"/>
    <col min="12554" max="12781" width="9.140625" customWidth="1"/>
    <col min="12782" max="12782" width="57.140625" customWidth="1"/>
    <col min="12789" max="12789" width="19.140625" bestFit="1" customWidth="1"/>
    <col min="12801" max="12801" width="57.140625" customWidth="1"/>
    <col min="12802" max="12802" width="18.28515625" bestFit="1" customWidth="1"/>
    <col min="12803" max="12803" width="18.28515625" customWidth="1"/>
    <col min="12804" max="12804" width="17.140625" customWidth="1"/>
    <col min="12805" max="12805" width="17.7109375" customWidth="1"/>
    <col min="12806" max="12806" width="15.5703125" customWidth="1"/>
    <col min="12807" max="12807" width="15" customWidth="1"/>
    <col min="12808" max="12808" width="19.7109375" customWidth="1"/>
    <col min="12809" max="12809" width="0" hidden="1" customWidth="1"/>
    <col min="12810" max="13037" width="9.140625" customWidth="1"/>
    <col min="13038" max="13038" width="57.140625" customWidth="1"/>
    <col min="13045" max="13045" width="19.140625" bestFit="1" customWidth="1"/>
    <col min="13057" max="13057" width="57.140625" customWidth="1"/>
    <col min="13058" max="13058" width="18.28515625" bestFit="1" customWidth="1"/>
    <col min="13059" max="13059" width="18.28515625" customWidth="1"/>
    <col min="13060" max="13060" width="17.140625" customWidth="1"/>
    <col min="13061" max="13061" width="17.7109375" customWidth="1"/>
    <col min="13062" max="13062" width="15.5703125" customWidth="1"/>
    <col min="13063" max="13063" width="15" customWidth="1"/>
    <col min="13064" max="13064" width="19.7109375" customWidth="1"/>
    <col min="13065" max="13065" width="0" hidden="1" customWidth="1"/>
    <col min="13066" max="13293" width="9.140625" customWidth="1"/>
    <col min="13294" max="13294" width="57.140625" customWidth="1"/>
    <col min="13301" max="13301" width="19.140625" bestFit="1" customWidth="1"/>
    <col min="13313" max="13313" width="57.140625" customWidth="1"/>
    <col min="13314" max="13314" width="18.28515625" bestFit="1" customWidth="1"/>
    <col min="13315" max="13315" width="18.28515625" customWidth="1"/>
    <col min="13316" max="13316" width="17.140625" customWidth="1"/>
    <col min="13317" max="13317" width="17.7109375" customWidth="1"/>
    <col min="13318" max="13318" width="15.5703125" customWidth="1"/>
    <col min="13319" max="13319" width="15" customWidth="1"/>
    <col min="13320" max="13320" width="19.7109375" customWidth="1"/>
    <col min="13321" max="13321" width="0" hidden="1" customWidth="1"/>
    <col min="13322" max="13549" width="9.140625" customWidth="1"/>
    <col min="13550" max="13550" width="57.140625" customWidth="1"/>
    <col min="13557" max="13557" width="19.140625" bestFit="1" customWidth="1"/>
    <col min="13569" max="13569" width="57.140625" customWidth="1"/>
    <col min="13570" max="13570" width="18.28515625" bestFit="1" customWidth="1"/>
    <col min="13571" max="13571" width="18.28515625" customWidth="1"/>
    <col min="13572" max="13572" width="17.140625" customWidth="1"/>
    <col min="13573" max="13573" width="17.7109375" customWidth="1"/>
    <col min="13574" max="13574" width="15.5703125" customWidth="1"/>
    <col min="13575" max="13575" width="15" customWidth="1"/>
    <col min="13576" max="13576" width="19.7109375" customWidth="1"/>
    <col min="13577" max="13577" width="0" hidden="1" customWidth="1"/>
    <col min="13578" max="13805" width="9.140625" customWidth="1"/>
    <col min="13806" max="13806" width="57.140625" customWidth="1"/>
    <col min="13813" max="13813" width="19.140625" bestFit="1" customWidth="1"/>
    <col min="13825" max="13825" width="57.140625" customWidth="1"/>
    <col min="13826" max="13826" width="18.28515625" bestFit="1" customWidth="1"/>
    <col min="13827" max="13827" width="18.28515625" customWidth="1"/>
    <col min="13828" max="13828" width="17.140625" customWidth="1"/>
    <col min="13829" max="13829" width="17.7109375" customWidth="1"/>
    <col min="13830" max="13830" width="15.5703125" customWidth="1"/>
    <col min="13831" max="13831" width="15" customWidth="1"/>
    <col min="13832" max="13832" width="19.7109375" customWidth="1"/>
    <col min="13833" max="13833" width="0" hidden="1" customWidth="1"/>
    <col min="13834" max="14061" width="9.140625" customWidth="1"/>
    <col min="14062" max="14062" width="57.140625" customWidth="1"/>
    <col min="14069" max="14069" width="19.140625" bestFit="1" customWidth="1"/>
    <col min="14081" max="14081" width="57.140625" customWidth="1"/>
    <col min="14082" max="14082" width="18.28515625" bestFit="1" customWidth="1"/>
    <col min="14083" max="14083" width="18.28515625" customWidth="1"/>
    <col min="14084" max="14084" width="17.140625" customWidth="1"/>
    <col min="14085" max="14085" width="17.7109375" customWidth="1"/>
    <col min="14086" max="14086" width="15.5703125" customWidth="1"/>
    <col min="14087" max="14087" width="15" customWidth="1"/>
    <col min="14088" max="14088" width="19.7109375" customWidth="1"/>
    <col min="14089" max="14089" width="0" hidden="1" customWidth="1"/>
    <col min="14090" max="14317" width="9.140625" customWidth="1"/>
    <col min="14318" max="14318" width="57.140625" customWidth="1"/>
    <col min="14325" max="14325" width="19.140625" bestFit="1" customWidth="1"/>
    <col min="14337" max="14337" width="57.140625" customWidth="1"/>
    <col min="14338" max="14338" width="18.28515625" bestFit="1" customWidth="1"/>
    <col min="14339" max="14339" width="18.28515625" customWidth="1"/>
    <col min="14340" max="14340" width="17.140625" customWidth="1"/>
    <col min="14341" max="14341" width="17.7109375" customWidth="1"/>
    <col min="14342" max="14342" width="15.5703125" customWidth="1"/>
    <col min="14343" max="14343" width="15" customWidth="1"/>
    <col min="14344" max="14344" width="19.7109375" customWidth="1"/>
    <col min="14345" max="14345" width="0" hidden="1" customWidth="1"/>
    <col min="14346" max="14573" width="9.140625" customWidth="1"/>
    <col min="14574" max="14574" width="57.140625" customWidth="1"/>
    <col min="14581" max="14581" width="19.140625" bestFit="1" customWidth="1"/>
    <col min="14593" max="14593" width="57.140625" customWidth="1"/>
    <col min="14594" max="14594" width="18.28515625" bestFit="1" customWidth="1"/>
    <col min="14595" max="14595" width="18.28515625" customWidth="1"/>
    <col min="14596" max="14596" width="17.140625" customWidth="1"/>
    <col min="14597" max="14597" width="17.7109375" customWidth="1"/>
    <col min="14598" max="14598" width="15.5703125" customWidth="1"/>
    <col min="14599" max="14599" width="15" customWidth="1"/>
    <col min="14600" max="14600" width="19.7109375" customWidth="1"/>
    <col min="14601" max="14601" width="0" hidden="1" customWidth="1"/>
    <col min="14602" max="14829" width="9.140625" customWidth="1"/>
    <col min="14830" max="14830" width="57.140625" customWidth="1"/>
    <col min="14837" max="14837" width="19.140625" bestFit="1" customWidth="1"/>
    <col min="14849" max="14849" width="57.140625" customWidth="1"/>
    <col min="14850" max="14850" width="18.28515625" bestFit="1" customWidth="1"/>
    <col min="14851" max="14851" width="18.28515625" customWidth="1"/>
    <col min="14852" max="14852" width="17.140625" customWidth="1"/>
    <col min="14853" max="14853" width="17.7109375" customWidth="1"/>
    <col min="14854" max="14854" width="15.5703125" customWidth="1"/>
    <col min="14855" max="14855" width="15" customWidth="1"/>
    <col min="14856" max="14856" width="19.7109375" customWidth="1"/>
    <col min="14857" max="14857" width="0" hidden="1" customWidth="1"/>
    <col min="14858" max="15085" width="9.140625" customWidth="1"/>
    <col min="15086" max="15086" width="57.140625" customWidth="1"/>
    <col min="15093" max="15093" width="19.140625" bestFit="1" customWidth="1"/>
    <col min="15105" max="15105" width="57.140625" customWidth="1"/>
    <col min="15106" max="15106" width="18.28515625" bestFit="1" customWidth="1"/>
    <col min="15107" max="15107" width="18.28515625" customWidth="1"/>
    <col min="15108" max="15108" width="17.140625" customWidth="1"/>
    <col min="15109" max="15109" width="17.7109375" customWidth="1"/>
    <col min="15110" max="15110" width="15.5703125" customWidth="1"/>
    <col min="15111" max="15111" width="15" customWidth="1"/>
    <col min="15112" max="15112" width="19.7109375" customWidth="1"/>
    <col min="15113" max="15113" width="0" hidden="1" customWidth="1"/>
    <col min="15114" max="15341" width="9.140625" customWidth="1"/>
    <col min="15342" max="15342" width="57.140625" customWidth="1"/>
    <col min="15349" max="15349" width="19.140625" bestFit="1" customWidth="1"/>
    <col min="15361" max="15361" width="57.140625" customWidth="1"/>
    <col min="15362" max="15362" width="18.28515625" bestFit="1" customWidth="1"/>
    <col min="15363" max="15363" width="18.28515625" customWidth="1"/>
    <col min="15364" max="15364" width="17.140625" customWidth="1"/>
    <col min="15365" max="15365" width="17.7109375" customWidth="1"/>
    <col min="15366" max="15366" width="15.5703125" customWidth="1"/>
    <col min="15367" max="15367" width="15" customWidth="1"/>
    <col min="15368" max="15368" width="19.7109375" customWidth="1"/>
    <col min="15369" max="15369" width="0" hidden="1" customWidth="1"/>
    <col min="15370" max="15597" width="9.140625" customWidth="1"/>
    <col min="15598" max="15598" width="57.140625" customWidth="1"/>
    <col min="15605" max="15605" width="19.140625" bestFit="1" customWidth="1"/>
    <col min="15617" max="15617" width="57.140625" customWidth="1"/>
    <col min="15618" max="15618" width="18.28515625" bestFit="1" customWidth="1"/>
    <col min="15619" max="15619" width="18.28515625" customWidth="1"/>
    <col min="15620" max="15620" width="17.140625" customWidth="1"/>
    <col min="15621" max="15621" width="17.7109375" customWidth="1"/>
    <col min="15622" max="15622" width="15.5703125" customWidth="1"/>
    <col min="15623" max="15623" width="15" customWidth="1"/>
    <col min="15624" max="15624" width="19.7109375" customWidth="1"/>
    <col min="15625" max="15625" width="0" hidden="1" customWidth="1"/>
    <col min="15626" max="15853" width="9.140625" customWidth="1"/>
    <col min="15854" max="15854" width="57.140625" customWidth="1"/>
    <col min="15861" max="15861" width="19.140625" bestFit="1" customWidth="1"/>
    <col min="15873" max="15873" width="57.140625" customWidth="1"/>
    <col min="15874" max="15874" width="18.28515625" bestFit="1" customWidth="1"/>
    <col min="15875" max="15875" width="18.28515625" customWidth="1"/>
    <col min="15876" max="15876" width="17.140625" customWidth="1"/>
    <col min="15877" max="15877" width="17.7109375" customWidth="1"/>
    <col min="15878" max="15878" width="15.5703125" customWidth="1"/>
    <col min="15879" max="15879" width="15" customWidth="1"/>
    <col min="15880" max="15880" width="19.7109375" customWidth="1"/>
    <col min="15881" max="15881" width="0" hidden="1" customWidth="1"/>
    <col min="15882" max="16109" width="9.140625" customWidth="1"/>
    <col min="16110" max="16110" width="57.140625" customWidth="1"/>
    <col min="16117" max="16117" width="19.140625" bestFit="1" customWidth="1"/>
    <col min="16129" max="16129" width="57.140625" customWidth="1"/>
    <col min="16130" max="16130" width="18.28515625" bestFit="1" customWidth="1"/>
    <col min="16131" max="16131" width="18.28515625" customWidth="1"/>
    <col min="16132" max="16132" width="17.140625" customWidth="1"/>
    <col min="16133" max="16133" width="17.7109375" customWidth="1"/>
    <col min="16134" max="16134" width="15.5703125" customWidth="1"/>
    <col min="16135" max="16135" width="15" customWidth="1"/>
    <col min="16136" max="16136" width="19.7109375" customWidth="1"/>
    <col min="16137" max="16137" width="0" hidden="1" customWidth="1"/>
    <col min="16138" max="16365" width="9.140625" customWidth="1"/>
    <col min="16366" max="16366" width="57.140625" customWidth="1"/>
    <col min="16373" max="16373" width="19.140625" bestFit="1" customWidth="1"/>
  </cols>
  <sheetData>
    <row r="1" spans="1:8" ht="18.75">
      <c r="A1" s="142" t="s">
        <v>368</v>
      </c>
      <c r="B1" s="142"/>
      <c r="C1" s="142"/>
      <c r="D1" s="142"/>
      <c r="E1" s="142"/>
      <c r="F1" s="142"/>
      <c r="G1" s="142"/>
      <c r="H1" s="142"/>
    </row>
    <row r="2" spans="1:8" ht="15.75">
      <c r="A2" s="143" t="s">
        <v>369</v>
      </c>
      <c r="B2" s="143"/>
      <c r="C2" s="143"/>
      <c r="D2" s="143"/>
      <c r="E2" s="143"/>
      <c r="F2" s="143"/>
      <c r="G2" s="143"/>
      <c r="H2" s="143"/>
    </row>
    <row r="3" spans="1:8">
      <c r="A3" s="144" t="s">
        <v>370</v>
      </c>
      <c r="B3" s="190">
        <f>B140</f>
        <v>-58146.039720000234</v>
      </c>
      <c r="C3" s="153"/>
      <c r="D3" s="154"/>
      <c r="E3" s="154"/>
      <c r="F3" s="154"/>
      <c r="G3" s="155"/>
      <c r="H3" s="190">
        <f>H140</f>
        <v>-33950.792000000016</v>
      </c>
    </row>
    <row r="4" spans="1:8" ht="24.75" customHeight="1">
      <c r="A4" s="145" t="s">
        <v>371</v>
      </c>
      <c r="B4" s="156" t="s">
        <v>372</v>
      </c>
      <c r="C4" s="145" t="s">
        <v>373</v>
      </c>
      <c r="D4" s="145" t="s">
        <v>374</v>
      </c>
      <c r="E4" s="145" t="s">
        <v>375</v>
      </c>
      <c r="F4" s="145" t="s">
        <v>376</v>
      </c>
      <c r="G4" s="146" t="s">
        <v>377</v>
      </c>
      <c r="H4" s="156" t="s">
        <v>378</v>
      </c>
    </row>
    <row r="5" spans="1:8" ht="15.75">
      <c r="A5" s="189" t="s">
        <v>379</v>
      </c>
      <c r="B5" s="161"/>
      <c r="C5" s="162"/>
      <c r="D5" s="162"/>
      <c r="E5" s="162"/>
      <c r="F5" s="158"/>
      <c r="G5" s="158"/>
      <c r="H5" s="162"/>
    </row>
    <row r="6" spans="1:8">
      <c r="A6" s="163" t="s">
        <v>380</v>
      </c>
      <c r="B6" s="161"/>
      <c r="C6" s="164"/>
      <c r="D6" s="164"/>
      <c r="E6" s="164"/>
      <c r="F6" s="162"/>
      <c r="G6" s="165"/>
      <c r="H6" s="164"/>
    </row>
    <row r="7" spans="1:8">
      <c r="A7" s="166" t="s">
        <v>381</v>
      </c>
      <c r="B7" s="167">
        <f>'[1]Material_Cost-Feb'!F37</f>
        <v>2059808.14</v>
      </c>
      <c r="C7" s="168">
        <v>386555.96</v>
      </c>
      <c r="D7" s="164"/>
      <c r="E7" s="164"/>
      <c r="F7" s="164"/>
      <c r="G7" s="169">
        <f>H7/$H$10</f>
        <v>0.87158302108948116</v>
      </c>
      <c r="H7" s="168">
        <f>C7</f>
        <v>386555.96</v>
      </c>
    </row>
    <row r="8" spans="1:8">
      <c r="A8" s="166" t="s">
        <v>382</v>
      </c>
      <c r="B8" s="167">
        <f>'[1]Material_Cost-Feb'!E37</f>
        <v>56825.2</v>
      </c>
      <c r="C8" s="170">
        <v>56954.239999999998</v>
      </c>
      <c r="D8" s="164"/>
      <c r="E8" s="164">
        <v>0</v>
      </c>
      <c r="F8" s="164"/>
      <c r="G8" s="169">
        <f t="shared" ref="G8:G71" si="0">H8/$H$10</f>
        <v>0.12841697891051884</v>
      </c>
      <c r="H8" s="168">
        <f>C8</f>
        <v>56954.239999999998</v>
      </c>
    </row>
    <row r="9" spans="1:8">
      <c r="A9" s="166" t="s">
        <v>383</v>
      </c>
      <c r="B9" s="171"/>
      <c r="C9" s="172"/>
      <c r="D9" s="164"/>
      <c r="E9" s="164"/>
      <c r="F9" s="164"/>
      <c r="G9" s="169">
        <f t="shared" si="0"/>
        <v>0</v>
      </c>
      <c r="H9" s="168">
        <f>C9</f>
        <v>0</v>
      </c>
    </row>
    <row r="10" spans="1:8" ht="15.75">
      <c r="A10" s="159" t="s">
        <v>384</v>
      </c>
      <c r="B10" s="174">
        <f t="shared" ref="B10:H10" si="1">B7+B8+B9</f>
        <v>2116633.34</v>
      </c>
      <c r="C10" s="174">
        <f t="shared" si="1"/>
        <v>443510.2</v>
      </c>
      <c r="D10" s="174">
        <f t="shared" si="1"/>
        <v>0</v>
      </c>
      <c r="E10" s="174">
        <f t="shared" si="1"/>
        <v>0</v>
      </c>
      <c r="F10" s="174">
        <f t="shared" si="1"/>
        <v>0</v>
      </c>
      <c r="G10" s="169">
        <f t="shared" si="0"/>
        <v>1</v>
      </c>
      <c r="H10" s="174">
        <f t="shared" si="1"/>
        <v>443510.2</v>
      </c>
    </row>
    <row r="11" spans="1:8">
      <c r="A11" s="173"/>
      <c r="B11" s="161"/>
      <c r="C11" s="164"/>
      <c r="D11" s="164"/>
      <c r="E11" s="164"/>
      <c r="F11" s="164"/>
      <c r="G11" s="169"/>
      <c r="H11" s="164"/>
    </row>
    <row r="12" spans="1:8">
      <c r="A12" s="163" t="s">
        <v>385</v>
      </c>
      <c r="B12" s="161"/>
      <c r="C12" s="164"/>
      <c r="D12" s="164"/>
      <c r="E12" s="164"/>
      <c r="F12" s="164"/>
      <c r="G12" s="169"/>
      <c r="H12" s="164"/>
    </row>
    <row r="13" spans="1:8">
      <c r="A13" s="166" t="s">
        <v>386</v>
      </c>
      <c r="B13" s="161">
        <f>'[1]Material_Cost-Feb'!H37</f>
        <v>1262311.8657199999</v>
      </c>
      <c r="C13" s="175">
        <f>C10*61%</f>
        <v>270541.22200000001</v>
      </c>
      <c r="D13" s="161">
        <f>(D7*61%)+(D8*6.5%)+(D9*61%)</f>
        <v>0</v>
      </c>
      <c r="E13" s="161">
        <f>(E7*61%)+(E8*6.5%)+(E9*61%)</f>
        <v>0</v>
      </c>
      <c r="F13" s="161">
        <f>(F7*61%)+(F8*6.5%)+(F9*61%)</f>
        <v>0</v>
      </c>
      <c r="G13" s="169">
        <f t="shared" si="0"/>
        <v>0.61</v>
      </c>
      <c r="H13" s="164">
        <f>SUM(C13:F13)</f>
        <v>270541.22200000001</v>
      </c>
    </row>
    <row r="14" spans="1:8">
      <c r="A14" s="173" t="s">
        <v>387</v>
      </c>
      <c r="B14" s="174">
        <f>B13</f>
        <v>1262311.8657199999</v>
      </c>
      <c r="C14" s="174">
        <f>C13</f>
        <v>270541.22200000001</v>
      </c>
      <c r="D14" s="174">
        <f>D13</f>
        <v>0</v>
      </c>
      <c r="E14" s="174">
        <f>E13</f>
        <v>0</v>
      </c>
      <c r="F14" s="174">
        <f>F13</f>
        <v>0</v>
      </c>
      <c r="G14" s="169">
        <f t="shared" si="0"/>
        <v>0.61</v>
      </c>
      <c r="H14" s="174">
        <f>H13</f>
        <v>270541.22200000001</v>
      </c>
    </row>
    <row r="15" spans="1:8">
      <c r="A15" s="176"/>
      <c r="B15" s="161"/>
      <c r="C15" s="164"/>
      <c r="D15" s="164"/>
      <c r="E15" s="164"/>
      <c r="F15" s="164"/>
      <c r="G15" s="169"/>
      <c r="H15" s="177"/>
    </row>
    <row r="16" spans="1:8">
      <c r="A16" s="163" t="s">
        <v>388</v>
      </c>
      <c r="B16" s="161"/>
      <c r="C16" s="164"/>
      <c r="D16" s="164"/>
      <c r="E16" s="164"/>
      <c r="F16" s="164"/>
      <c r="G16" s="169"/>
      <c r="H16" s="164">
        <f t="shared" ref="H16:H79" si="2">SUM(C16:F16)</f>
        <v>0</v>
      </c>
    </row>
    <row r="17" spans="1:9">
      <c r="A17" s="166" t="s">
        <v>389</v>
      </c>
      <c r="B17" s="178">
        <v>260250</v>
      </c>
      <c r="C17" s="164">
        <v>122.79</v>
      </c>
      <c r="D17" s="164">
        <v>901.66</v>
      </c>
      <c r="E17" s="164">
        <v>901.67</v>
      </c>
      <c r="F17" s="164">
        <v>0</v>
      </c>
      <c r="G17" s="169">
        <f t="shared" si="0"/>
        <v>4.3428989908236605E-3</v>
      </c>
      <c r="H17" s="164">
        <f t="shared" si="2"/>
        <v>1926.12</v>
      </c>
      <c r="I17" s="26">
        <f>H17-B17</f>
        <v>-258323.88</v>
      </c>
    </row>
    <row r="18" spans="1:9">
      <c r="A18" s="166" t="s">
        <v>390</v>
      </c>
      <c r="B18" s="178">
        <v>20600</v>
      </c>
      <c r="C18" s="164">
        <v>2700</v>
      </c>
      <c r="D18" s="164">
        <v>8000</v>
      </c>
      <c r="E18" s="164">
        <v>6300</v>
      </c>
      <c r="F18" s="164">
        <v>3600</v>
      </c>
      <c r="G18" s="169">
        <f t="shared" si="0"/>
        <v>4.6447635251680795E-2</v>
      </c>
      <c r="H18" s="164">
        <f t="shared" si="2"/>
        <v>20600</v>
      </c>
      <c r="I18" s="26">
        <f t="shared" ref="I18:I81" si="3">H18-B18</f>
        <v>0</v>
      </c>
    </row>
    <row r="19" spans="1:9">
      <c r="A19" s="166" t="s">
        <v>391</v>
      </c>
      <c r="B19" s="172">
        <v>0</v>
      </c>
      <c r="C19" s="164"/>
      <c r="D19" s="164"/>
      <c r="E19" s="164"/>
      <c r="F19" s="164"/>
      <c r="G19" s="169">
        <f t="shared" si="0"/>
        <v>0</v>
      </c>
      <c r="H19" s="164">
        <f t="shared" si="2"/>
        <v>0</v>
      </c>
      <c r="I19" s="26">
        <f t="shared" si="3"/>
        <v>0</v>
      </c>
    </row>
    <row r="20" spans="1:9">
      <c r="A20" s="166" t="s">
        <v>392</v>
      </c>
      <c r="B20" s="172">
        <v>0</v>
      </c>
      <c r="C20" s="164"/>
      <c r="D20" s="164"/>
      <c r="E20" s="164"/>
      <c r="F20" s="164"/>
      <c r="G20" s="169">
        <f t="shared" si="0"/>
        <v>0</v>
      </c>
      <c r="H20" s="164">
        <f t="shared" si="2"/>
        <v>0</v>
      </c>
      <c r="I20" s="26">
        <f t="shared" si="3"/>
        <v>0</v>
      </c>
    </row>
    <row r="21" spans="1:9">
      <c r="A21" s="166" t="s">
        <v>393</v>
      </c>
      <c r="B21" s="178">
        <v>10343.979499999999</v>
      </c>
      <c r="C21" s="164">
        <v>2655.51</v>
      </c>
      <c r="D21" s="164">
        <v>4436.3599999999997</v>
      </c>
      <c r="E21" s="164">
        <v>3929.89</v>
      </c>
      <c r="F21" s="164">
        <v>2181.4299999999998</v>
      </c>
      <c r="G21" s="169">
        <f t="shared" si="0"/>
        <v>2.9769755013526182E-2</v>
      </c>
      <c r="H21" s="164">
        <f t="shared" si="2"/>
        <v>13203.19</v>
      </c>
      <c r="I21" s="26">
        <f t="shared" si="3"/>
        <v>2859.210500000001</v>
      </c>
    </row>
    <row r="22" spans="1:9">
      <c r="A22" s="166" t="s">
        <v>394</v>
      </c>
      <c r="B22" s="172">
        <v>0</v>
      </c>
      <c r="C22" s="164"/>
      <c r="D22" s="164"/>
      <c r="E22" s="164"/>
      <c r="F22" s="164"/>
      <c r="G22" s="169">
        <f t="shared" si="0"/>
        <v>0</v>
      </c>
      <c r="H22" s="164">
        <f t="shared" si="2"/>
        <v>0</v>
      </c>
      <c r="I22" s="26">
        <f t="shared" si="3"/>
        <v>0</v>
      </c>
    </row>
    <row r="23" spans="1:9">
      <c r="A23" s="166" t="s">
        <v>395</v>
      </c>
      <c r="B23" s="172">
        <v>15885.723</v>
      </c>
      <c r="C23" s="164"/>
      <c r="D23" s="164"/>
      <c r="E23" s="164"/>
      <c r="F23" s="164"/>
      <c r="G23" s="169">
        <f t="shared" si="0"/>
        <v>0</v>
      </c>
      <c r="H23" s="164">
        <f t="shared" si="2"/>
        <v>0</v>
      </c>
      <c r="I23" s="26">
        <f t="shared" si="3"/>
        <v>-15885.723</v>
      </c>
    </row>
    <row r="24" spans="1:9">
      <c r="A24" s="179" t="s">
        <v>396</v>
      </c>
      <c r="B24" s="174">
        <f>SUM(B17:B23)</f>
        <v>307079.70250000001</v>
      </c>
      <c r="C24" s="174">
        <f>SUM(C17:C23)</f>
        <v>5478.3</v>
      </c>
      <c r="D24" s="174">
        <f>SUM(D17:D23)</f>
        <v>13338.02</v>
      </c>
      <c r="E24" s="174">
        <f>SUM(E17:E23)</f>
        <v>11131.56</v>
      </c>
      <c r="F24" s="174">
        <f>SUM(F17:F23)</f>
        <v>5781.43</v>
      </c>
      <c r="G24" s="169">
        <f t="shared" si="0"/>
        <v>8.0560289256030634E-2</v>
      </c>
      <c r="H24" s="162">
        <f t="shared" si="2"/>
        <v>35729.31</v>
      </c>
      <c r="I24" s="26">
        <f t="shared" si="3"/>
        <v>-271350.39250000002</v>
      </c>
    </row>
    <row r="25" spans="1:9">
      <c r="A25" s="179"/>
      <c r="B25" s="161"/>
      <c r="C25" s="164"/>
      <c r="D25" s="164"/>
      <c r="E25" s="164"/>
      <c r="F25" s="164"/>
      <c r="G25" s="169"/>
      <c r="H25" s="164"/>
      <c r="I25" s="26">
        <f t="shared" si="3"/>
        <v>0</v>
      </c>
    </row>
    <row r="26" spans="1:9">
      <c r="A26" s="163" t="s">
        <v>397</v>
      </c>
      <c r="B26" s="161"/>
      <c r="C26" s="164"/>
      <c r="D26" s="164"/>
      <c r="E26" s="164"/>
      <c r="F26" s="164"/>
      <c r="G26" s="169"/>
      <c r="H26" s="164"/>
      <c r="I26" s="26">
        <f t="shared" si="3"/>
        <v>0</v>
      </c>
    </row>
    <row r="27" spans="1:9">
      <c r="A27" s="166" t="s">
        <v>153</v>
      </c>
      <c r="B27" s="172">
        <v>5375.03</v>
      </c>
      <c r="C27" s="164">
        <v>126.88</v>
      </c>
      <c r="D27" s="164">
        <v>126.43</v>
      </c>
      <c r="E27" s="164">
        <v>0</v>
      </c>
      <c r="F27" s="164">
        <v>0</v>
      </c>
      <c r="G27" s="169">
        <f t="shared" si="0"/>
        <v>5.7114808182540111E-4</v>
      </c>
      <c r="H27" s="164">
        <f t="shared" si="2"/>
        <v>253.31</v>
      </c>
      <c r="I27" s="26">
        <f t="shared" si="3"/>
        <v>-5121.7199999999993</v>
      </c>
    </row>
    <row r="28" spans="1:9">
      <c r="A28" s="166" t="s">
        <v>84</v>
      </c>
      <c r="B28" s="172">
        <v>25000</v>
      </c>
      <c r="C28" s="164">
        <v>7633.95</v>
      </c>
      <c r="D28" s="164"/>
      <c r="E28" s="164"/>
      <c r="F28" s="164"/>
      <c r="G28" s="169">
        <f t="shared" si="0"/>
        <v>1.7212569181047018E-2</v>
      </c>
      <c r="H28" s="164">
        <f t="shared" si="2"/>
        <v>7633.95</v>
      </c>
      <c r="I28" s="26">
        <f t="shared" si="3"/>
        <v>-17366.05</v>
      </c>
    </row>
    <row r="29" spans="1:9">
      <c r="A29" s="166" t="s">
        <v>79</v>
      </c>
      <c r="B29" s="178">
        <v>21536.61</v>
      </c>
      <c r="C29" s="164">
        <f>76.62+119.16+4.83</f>
        <v>200.61</v>
      </c>
      <c r="D29" s="164">
        <f>254.14+2840.15+839.63</f>
        <v>3933.92</v>
      </c>
      <c r="E29" s="164">
        <f>779.6+2552.63+312.92</f>
        <v>3645.15</v>
      </c>
      <c r="F29" s="164">
        <f>84.77+2812.82+343.88</f>
        <v>3241.4700000000003</v>
      </c>
      <c r="G29" s="169">
        <f t="shared" si="0"/>
        <v>2.4849823070585527E-2</v>
      </c>
      <c r="H29" s="164">
        <f t="shared" si="2"/>
        <v>11021.150000000001</v>
      </c>
      <c r="I29" s="26">
        <f t="shared" si="3"/>
        <v>-10515.46</v>
      </c>
    </row>
    <row r="30" spans="1:9">
      <c r="A30" s="166" t="s">
        <v>398</v>
      </c>
      <c r="B30" s="172">
        <v>257250</v>
      </c>
      <c r="C30" s="164">
        <v>669.93</v>
      </c>
      <c r="D30" s="164">
        <v>67.2</v>
      </c>
      <c r="E30" s="164">
        <v>10696.05</v>
      </c>
      <c r="F30" s="164">
        <v>0</v>
      </c>
      <c r="G30" s="169">
        <f t="shared" si="0"/>
        <v>2.5778843417806396E-2</v>
      </c>
      <c r="H30" s="164">
        <f t="shared" si="2"/>
        <v>11433.179999999998</v>
      </c>
      <c r="I30" s="26">
        <f t="shared" si="3"/>
        <v>-245816.82</v>
      </c>
    </row>
    <row r="31" spans="1:9">
      <c r="A31" s="166" t="s">
        <v>75</v>
      </c>
      <c r="B31" s="172">
        <v>15561.89</v>
      </c>
      <c r="C31" s="164">
        <v>1863.9</v>
      </c>
      <c r="D31" s="164">
        <v>5107.6000000000004</v>
      </c>
      <c r="E31" s="164">
        <v>4098.6000000000004</v>
      </c>
      <c r="F31" s="164">
        <v>3779.14</v>
      </c>
      <c r="G31" s="169">
        <f t="shared" si="0"/>
        <v>3.3481169091488759E-2</v>
      </c>
      <c r="H31" s="164">
        <f t="shared" si="2"/>
        <v>14849.24</v>
      </c>
      <c r="I31" s="26">
        <f t="shared" si="3"/>
        <v>-712.64999999999964</v>
      </c>
    </row>
    <row r="32" spans="1:9">
      <c r="A32" s="166" t="s">
        <v>399</v>
      </c>
      <c r="B32" s="172">
        <v>6000</v>
      </c>
      <c r="C32" s="164">
        <v>1667.26</v>
      </c>
      <c r="D32" s="164">
        <v>230.98</v>
      </c>
      <c r="E32" s="164">
        <v>0</v>
      </c>
      <c r="F32" s="164">
        <v>0</v>
      </c>
      <c r="G32" s="169">
        <f t="shared" si="0"/>
        <v>4.2800368514636193E-3</v>
      </c>
      <c r="H32" s="164">
        <f t="shared" si="2"/>
        <v>1898.24</v>
      </c>
      <c r="I32" s="26">
        <f t="shared" si="3"/>
        <v>-4101.76</v>
      </c>
    </row>
    <row r="33" spans="1:9">
      <c r="A33" s="180" t="s">
        <v>400</v>
      </c>
      <c r="B33" s="172">
        <v>54459.64</v>
      </c>
      <c r="C33" s="164">
        <v>16128.62</v>
      </c>
      <c r="D33" s="164">
        <v>26307.19</v>
      </c>
      <c r="E33" s="164">
        <v>7692.81</v>
      </c>
      <c r="F33" s="164">
        <v>3001.08</v>
      </c>
      <c r="G33" s="169">
        <f t="shared" si="0"/>
        <v>0.11979363721510801</v>
      </c>
      <c r="H33" s="164">
        <f t="shared" si="2"/>
        <v>53129.7</v>
      </c>
      <c r="I33" s="26">
        <f t="shared" si="3"/>
        <v>-1329.9400000000023</v>
      </c>
    </row>
    <row r="34" spans="1:9">
      <c r="A34" s="166" t="s">
        <v>401</v>
      </c>
      <c r="B34" s="172">
        <v>3679.7200000000003</v>
      </c>
      <c r="C34" s="164">
        <v>999.88</v>
      </c>
      <c r="D34" s="164">
        <v>1456.81</v>
      </c>
      <c r="E34" s="164"/>
      <c r="F34" s="164"/>
      <c r="G34" s="169">
        <f t="shared" si="0"/>
        <v>5.5391961673034807E-3</v>
      </c>
      <c r="H34" s="164">
        <f t="shared" si="2"/>
        <v>2456.69</v>
      </c>
      <c r="I34" s="26">
        <f t="shared" si="3"/>
        <v>-1223.0300000000002</v>
      </c>
    </row>
    <row r="35" spans="1:9">
      <c r="A35" s="166" t="s">
        <v>402</v>
      </c>
      <c r="B35" s="172">
        <v>5623.8399999999992</v>
      </c>
      <c r="C35" s="164">
        <v>1388.61</v>
      </c>
      <c r="D35" s="164"/>
      <c r="E35" s="164"/>
      <c r="F35" s="164">
        <v>4235.2299999999996</v>
      </c>
      <c r="G35" s="169">
        <f t="shared" si="0"/>
        <v>1.2680294613291869E-2</v>
      </c>
      <c r="H35" s="164">
        <f t="shared" si="2"/>
        <v>5623.8399999999992</v>
      </c>
      <c r="I35" s="26">
        <f t="shared" si="3"/>
        <v>0</v>
      </c>
    </row>
    <row r="36" spans="1:9">
      <c r="A36" s="166" t="s">
        <v>137</v>
      </c>
      <c r="B36" s="172">
        <v>484.46</v>
      </c>
      <c r="C36" s="164">
        <v>73.55</v>
      </c>
      <c r="D36" s="164"/>
      <c r="E36" s="164"/>
      <c r="F36" s="164">
        <v>0</v>
      </c>
      <c r="G36" s="169">
        <f t="shared" si="0"/>
        <v>1.6583609576510303E-4</v>
      </c>
      <c r="H36" s="164">
        <f t="shared" si="2"/>
        <v>73.55</v>
      </c>
      <c r="I36" s="26">
        <f t="shared" si="3"/>
        <v>-410.90999999999997</v>
      </c>
    </row>
    <row r="37" spans="1:9">
      <c r="A37" s="166" t="s">
        <v>403</v>
      </c>
      <c r="B37" s="172">
        <f>37855.17-25000</f>
        <v>12855.169999999998</v>
      </c>
      <c r="C37" s="164">
        <v>6137.92</v>
      </c>
      <c r="D37" s="164">
        <v>4958.0200000000004</v>
      </c>
      <c r="E37" s="164">
        <v>475.78</v>
      </c>
      <c r="F37" s="164">
        <v>0</v>
      </c>
      <c r="G37" s="169">
        <f t="shared" si="0"/>
        <v>2.6091215038571831E-2</v>
      </c>
      <c r="H37" s="164">
        <f t="shared" si="2"/>
        <v>11571.720000000001</v>
      </c>
      <c r="I37" s="26">
        <f t="shared" si="3"/>
        <v>-1283.4499999999971</v>
      </c>
    </row>
    <row r="38" spans="1:9">
      <c r="A38" s="173" t="s">
        <v>404</v>
      </c>
      <c r="B38" s="174">
        <f>SUM(B27:B37)</f>
        <v>407826.36000000004</v>
      </c>
      <c r="C38" s="174">
        <f>SUM(C27:C37)</f>
        <v>36891.11</v>
      </c>
      <c r="D38" s="174">
        <f>SUM(D27:D37)</f>
        <v>42188.149999999994</v>
      </c>
      <c r="E38" s="174">
        <f>SUM(E27:E37)</f>
        <v>26608.39</v>
      </c>
      <c r="F38" s="174">
        <f>SUM(F27:F37)</f>
        <v>14256.92</v>
      </c>
      <c r="G38" s="169">
        <f t="shared" si="0"/>
        <v>0.27044376882425702</v>
      </c>
      <c r="H38" s="162">
        <f t="shared" si="2"/>
        <v>119944.56999999999</v>
      </c>
      <c r="I38" s="26">
        <f t="shared" si="3"/>
        <v>-287881.79000000004</v>
      </c>
    </row>
    <row r="39" spans="1:9">
      <c r="A39" s="179" t="s">
        <v>405</v>
      </c>
      <c r="B39" s="174">
        <f>B24+B38</f>
        <v>714906.0625</v>
      </c>
      <c r="C39" s="174">
        <f>C24+C38</f>
        <v>42369.41</v>
      </c>
      <c r="D39" s="174">
        <f>D24+D38</f>
        <v>55526.17</v>
      </c>
      <c r="E39" s="174">
        <f>E24+E38</f>
        <v>37739.949999999997</v>
      </c>
      <c r="F39" s="174">
        <f>F24+F38</f>
        <v>20038.349999999999</v>
      </c>
      <c r="G39" s="169">
        <f t="shared" si="0"/>
        <v>0.35100405808028767</v>
      </c>
      <c r="H39" s="162">
        <f t="shared" si="2"/>
        <v>155673.88</v>
      </c>
      <c r="I39" s="26">
        <f t="shared" si="3"/>
        <v>-559232.1825</v>
      </c>
    </row>
    <row r="40" spans="1:9">
      <c r="A40" s="179"/>
      <c r="B40" s="158"/>
      <c r="C40" s="158"/>
      <c r="D40" s="158"/>
      <c r="E40" s="158"/>
      <c r="F40" s="158"/>
      <c r="G40" s="169"/>
      <c r="H40" s="162"/>
      <c r="I40" s="26">
        <f t="shared" si="3"/>
        <v>0</v>
      </c>
    </row>
    <row r="41" spans="1:9">
      <c r="A41" s="160" t="s">
        <v>406</v>
      </c>
      <c r="B41" s="174">
        <f>B10-B14-B39</f>
        <v>139415.41177999997</v>
      </c>
      <c r="C41" s="174">
        <f>C10-C14-C39</f>
        <v>130599.568</v>
      </c>
      <c r="D41" s="174">
        <f>D10-D14-D39</f>
        <v>-55526.17</v>
      </c>
      <c r="E41" s="174">
        <f>E10-E14-E39</f>
        <v>-37739.949999999997</v>
      </c>
      <c r="F41" s="174">
        <f>F10-F14-F39</f>
        <v>-20038.349999999999</v>
      </c>
      <c r="G41" s="169">
        <f t="shared" si="0"/>
        <v>3.899594191971234E-2</v>
      </c>
      <c r="H41" s="162">
        <f t="shared" si="2"/>
        <v>17295.098000000005</v>
      </c>
      <c r="I41" s="26">
        <f t="shared" si="3"/>
        <v>-122120.31377999997</v>
      </c>
    </row>
    <row r="42" spans="1:9">
      <c r="A42" s="179"/>
      <c r="B42" s="161"/>
      <c r="C42" s="164"/>
      <c r="D42" s="164"/>
      <c r="E42" s="164"/>
      <c r="F42" s="164"/>
      <c r="G42" s="169"/>
      <c r="H42" s="164"/>
      <c r="I42" s="26">
        <f t="shared" si="3"/>
        <v>0</v>
      </c>
    </row>
    <row r="43" spans="1:9">
      <c r="A43" s="160" t="s">
        <v>407</v>
      </c>
      <c r="B43" s="161"/>
      <c r="C43" s="181"/>
      <c r="D43" s="164"/>
      <c r="E43" s="164"/>
      <c r="F43" s="164"/>
      <c r="G43" s="169"/>
      <c r="H43" s="164"/>
      <c r="I43" s="26">
        <f t="shared" si="3"/>
        <v>0</v>
      </c>
    </row>
    <row r="44" spans="1:9">
      <c r="A44" s="163" t="s">
        <v>408</v>
      </c>
      <c r="B44" s="161"/>
      <c r="C44" s="181"/>
      <c r="D44" s="164"/>
      <c r="E44" s="164"/>
      <c r="F44" s="164"/>
      <c r="G44" s="169"/>
      <c r="H44" s="164"/>
      <c r="I44" s="26">
        <f t="shared" si="3"/>
        <v>0</v>
      </c>
    </row>
    <row r="45" spans="1:9">
      <c r="A45" s="182" t="s">
        <v>409</v>
      </c>
      <c r="B45" s="161"/>
      <c r="C45" s="181"/>
      <c r="D45" s="164"/>
      <c r="E45" s="164"/>
      <c r="F45" s="164"/>
      <c r="G45" s="169"/>
      <c r="H45" s="164"/>
      <c r="I45" s="26">
        <f t="shared" si="3"/>
        <v>0</v>
      </c>
    </row>
    <row r="46" spans="1:9">
      <c r="A46" s="166" t="s">
        <v>410</v>
      </c>
      <c r="B46" s="172">
        <v>0</v>
      </c>
      <c r="C46" s="181">
        <v>0</v>
      </c>
      <c r="D46" s="164">
        <v>0</v>
      </c>
      <c r="E46" s="164"/>
      <c r="F46" s="164"/>
      <c r="G46" s="169">
        <f t="shared" si="0"/>
        <v>0</v>
      </c>
      <c r="H46" s="164">
        <f t="shared" si="2"/>
        <v>0</v>
      </c>
      <c r="I46" s="26">
        <f t="shared" si="3"/>
        <v>0</v>
      </c>
    </row>
    <row r="47" spans="1:9">
      <c r="A47" s="166" t="s">
        <v>411</v>
      </c>
      <c r="B47" s="172">
        <v>500</v>
      </c>
      <c r="C47" s="183">
        <v>386.13</v>
      </c>
      <c r="D47" s="183">
        <v>0</v>
      </c>
      <c r="E47" s="183">
        <v>708.39</v>
      </c>
      <c r="F47" s="183"/>
      <c r="G47" s="184">
        <f t="shared" si="0"/>
        <v>2.4678575599839641E-3</v>
      </c>
      <c r="H47" s="183">
        <f t="shared" si="2"/>
        <v>1094.52</v>
      </c>
      <c r="I47" s="26">
        <f t="shared" si="3"/>
        <v>594.52</v>
      </c>
    </row>
    <row r="48" spans="1:9">
      <c r="A48" s="182" t="s">
        <v>412</v>
      </c>
      <c r="B48" s="172">
        <v>0</v>
      </c>
      <c r="C48" s="164"/>
      <c r="D48" s="164"/>
      <c r="E48" s="164"/>
      <c r="F48" s="164"/>
      <c r="G48" s="169">
        <f t="shared" si="0"/>
        <v>0</v>
      </c>
      <c r="H48" s="164">
        <f t="shared" si="2"/>
        <v>0</v>
      </c>
      <c r="I48" s="26">
        <f t="shared" si="3"/>
        <v>0</v>
      </c>
    </row>
    <row r="49" spans="1:9">
      <c r="A49" s="166" t="s">
        <v>413</v>
      </c>
      <c r="B49" s="172">
        <v>10000</v>
      </c>
      <c r="C49" s="164">
        <v>669.9</v>
      </c>
      <c r="D49" s="164">
        <v>0</v>
      </c>
      <c r="E49" s="164">
        <v>2590.0100000000002</v>
      </c>
      <c r="F49" s="164"/>
      <c r="G49" s="169">
        <f t="shared" si="0"/>
        <v>7.3502480889954735E-3</v>
      </c>
      <c r="H49" s="164">
        <f t="shared" si="2"/>
        <v>3259.9100000000003</v>
      </c>
      <c r="I49" s="26">
        <f t="shared" si="3"/>
        <v>-6740.09</v>
      </c>
    </row>
    <row r="50" spans="1:9">
      <c r="A50" s="166" t="s">
        <v>414</v>
      </c>
      <c r="B50" s="172">
        <v>0</v>
      </c>
      <c r="C50" s="164"/>
      <c r="D50" s="164"/>
      <c r="E50" s="164"/>
      <c r="F50" s="164"/>
      <c r="G50" s="169">
        <f t="shared" si="0"/>
        <v>0</v>
      </c>
      <c r="H50" s="164">
        <f t="shared" si="2"/>
        <v>0</v>
      </c>
      <c r="I50" s="26">
        <f t="shared" si="3"/>
        <v>0</v>
      </c>
    </row>
    <row r="51" spans="1:9">
      <c r="A51" s="166" t="s">
        <v>415</v>
      </c>
      <c r="B51" s="172">
        <v>20000</v>
      </c>
      <c r="C51" s="164">
        <v>9944.2800000000007</v>
      </c>
      <c r="D51" s="164">
        <v>313.45999999999998</v>
      </c>
      <c r="E51" s="164">
        <v>0</v>
      </c>
      <c r="F51" s="164"/>
      <c r="G51" s="169">
        <f t="shared" si="0"/>
        <v>2.3128532331387192E-2</v>
      </c>
      <c r="H51" s="164">
        <f t="shared" si="2"/>
        <v>10257.74</v>
      </c>
      <c r="I51" s="26">
        <f t="shared" si="3"/>
        <v>-9742.26</v>
      </c>
    </row>
    <row r="52" spans="1:9">
      <c r="A52" s="166" t="s">
        <v>416</v>
      </c>
      <c r="B52" s="172">
        <v>0</v>
      </c>
      <c r="C52" s="164"/>
      <c r="D52" s="185"/>
      <c r="E52" s="164"/>
      <c r="F52" s="164"/>
      <c r="G52" s="169">
        <f t="shared" si="0"/>
        <v>0</v>
      </c>
      <c r="H52" s="164">
        <f t="shared" si="2"/>
        <v>0</v>
      </c>
      <c r="I52" s="26">
        <f t="shared" si="3"/>
        <v>0</v>
      </c>
    </row>
    <row r="53" spans="1:9">
      <c r="A53" s="166" t="s">
        <v>417</v>
      </c>
      <c r="B53" s="172">
        <v>0</v>
      </c>
      <c r="C53" s="164"/>
      <c r="D53" s="164"/>
      <c r="E53" s="164"/>
      <c r="F53" s="164"/>
      <c r="G53" s="169">
        <f t="shared" si="0"/>
        <v>0</v>
      </c>
      <c r="H53" s="164">
        <f t="shared" si="2"/>
        <v>0</v>
      </c>
      <c r="I53" s="26">
        <f t="shared" si="3"/>
        <v>0</v>
      </c>
    </row>
    <row r="54" spans="1:9">
      <c r="A54" s="182" t="s">
        <v>418</v>
      </c>
      <c r="B54" s="172">
        <v>0</v>
      </c>
      <c r="C54" s="164"/>
      <c r="D54" s="164"/>
      <c r="E54" s="164"/>
      <c r="F54" s="164"/>
      <c r="G54" s="169">
        <f t="shared" si="0"/>
        <v>0</v>
      </c>
      <c r="H54" s="164">
        <f t="shared" si="2"/>
        <v>0</v>
      </c>
      <c r="I54" s="26">
        <f t="shared" si="3"/>
        <v>0</v>
      </c>
    </row>
    <row r="55" spans="1:9">
      <c r="A55" s="166" t="s">
        <v>419</v>
      </c>
      <c r="B55" s="172">
        <v>0</v>
      </c>
      <c r="C55" s="164"/>
      <c r="D55" s="164"/>
      <c r="E55" s="164"/>
      <c r="F55" s="164"/>
      <c r="G55" s="169">
        <f t="shared" si="0"/>
        <v>0</v>
      </c>
      <c r="H55" s="164">
        <f t="shared" si="2"/>
        <v>0</v>
      </c>
      <c r="I55" s="26">
        <f t="shared" si="3"/>
        <v>0</v>
      </c>
    </row>
    <row r="56" spans="1:9">
      <c r="A56" s="166" t="s">
        <v>420</v>
      </c>
      <c r="B56" s="178">
        <v>7000</v>
      </c>
      <c r="C56" s="164">
        <v>2090.6999999999998</v>
      </c>
      <c r="D56" s="164"/>
      <c r="E56" s="164"/>
      <c r="F56" s="164"/>
      <c r="G56" s="169">
        <f t="shared" si="0"/>
        <v>4.7139840301305353E-3</v>
      </c>
      <c r="H56" s="164">
        <f t="shared" si="2"/>
        <v>2090.6999999999998</v>
      </c>
      <c r="I56" s="26">
        <f t="shared" si="3"/>
        <v>-4909.3</v>
      </c>
    </row>
    <row r="57" spans="1:9">
      <c r="A57" s="166" t="s">
        <v>421</v>
      </c>
      <c r="B57" s="172">
        <v>2000</v>
      </c>
      <c r="C57" s="164">
        <v>632.79</v>
      </c>
      <c r="D57" s="164"/>
      <c r="E57" s="164"/>
      <c r="F57" s="164"/>
      <c r="G57" s="169">
        <f t="shared" si="0"/>
        <v>1.4267766558694703E-3</v>
      </c>
      <c r="H57" s="164">
        <f t="shared" si="2"/>
        <v>632.79</v>
      </c>
      <c r="I57" s="26">
        <f t="shared" si="3"/>
        <v>-1367.21</v>
      </c>
    </row>
    <row r="58" spans="1:9">
      <c r="A58" s="166" t="s">
        <v>422</v>
      </c>
      <c r="B58" s="172">
        <v>0</v>
      </c>
      <c r="C58" s="164"/>
      <c r="D58" s="164"/>
      <c r="E58" s="164"/>
      <c r="F58" s="164"/>
      <c r="G58" s="169">
        <f t="shared" si="0"/>
        <v>0</v>
      </c>
      <c r="H58" s="164">
        <f t="shared" si="2"/>
        <v>0</v>
      </c>
      <c r="I58" s="26">
        <f t="shared" si="3"/>
        <v>0</v>
      </c>
    </row>
    <row r="59" spans="1:9">
      <c r="A59" s="173" t="s">
        <v>423</v>
      </c>
      <c r="B59" s="174">
        <f>SUM(B46:B58)</f>
        <v>39500</v>
      </c>
      <c r="C59" s="174">
        <f>SUM(C46:C58)</f>
        <v>13723.800000000003</v>
      </c>
      <c r="D59" s="174">
        <f>SUM(D46:D58)</f>
        <v>313.45999999999998</v>
      </c>
      <c r="E59" s="174">
        <f>SUM(E46:E58)</f>
        <v>3298.4</v>
      </c>
      <c r="F59" s="174">
        <f>SUM(F46:F58)</f>
        <v>0</v>
      </c>
      <c r="G59" s="169">
        <f t="shared" si="0"/>
        <v>3.9087398666366645E-2</v>
      </c>
      <c r="H59" s="162">
        <f t="shared" si="2"/>
        <v>17335.660000000003</v>
      </c>
      <c r="I59" s="26">
        <f t="shared" si="3"/>
        <v>-22164.339999999997</v>
      </c>
    </row>
    <row r="60" spans="1:9">
      <c r="A60" s="179"/>
      <c r="B60" s="161"/>
      <c r="C60" s="164"/>
      <c r="D60" s="164"/>
      <c r="E60" s="164"/>
      <c r="F60" s="164"/>
      <c r="G60" s="169"/>
      <c r="H60" s="164"/>
      <c r="I60" s="26">
        <f t="shared" si="3"/>
        <v>0</v>
      </c>
    </row>
    <row r="61" spans="1:9">
      <c r="A61" s="163" t="s">
        <v>424</v>
      </c>
      <c r="B61" s="161"/>
      <c r="C61" s="164"/>
      <c r="D61" s="164"/>
      <c r="E61" s="164"/>
      <c r="F61" s="164"/>
      <c r="G61" s="169"/>
      <c r="H61" s="164"/>
      <c r="I61" s="26">
        <f t="shared" si="3"/>
        <v>0</v>
      </c>
    </row>
    <row r="62" spans="1:9">
      <c r="A62" s="182" t="s">
        <v>425</v>
      </c>
      <c r="B62" s="161"/>
      <c r="C62" s="164"/>
      <c r="D62" s="164"/>
      <c r="E62" s="164"/>
      <c r="F62" s="164"/>
      <c r="G62" s="169"/>
      <c r="H62" s="164"/>
      <c r="I62" s="26">
        <f t="shared" si="3"/>
        <v>0</v>
      </c>
    </row>
    <row r="63" spans="1:9">
      <c r="A63" s="166" t="s">
        <v>426</v>
      </c>
      <c r="B63" s="178">
        <v>65254.421499999997</v>
      </c>
      <c r="C63" s="164"/>
      <c r="D63" s="164"/>
      <c r="E63" s="164"/>
      <c r="F63" s="164"/>
      <c r="G63" s="169">
        <f t="shared" si="0"/>
        <v>0</v>
      </c>
      <c r="H63" s="164">
        <f t="shared" si="2"/>
        <v>0</v>
      </c>
      <c r="I63" s="26">
        <f t="shared" si="3"/>
        <v>-65254.421499999997</v>
      </c>
    </row>
    <row r="64" spans="1:9">
      <c r="A64" s="166" t="s">
        <v>390</v>
      </c>
      <c r="B64" s="172">
        <v>3000</v>
      </c>
      <c r="C64" s="164">
        <v>2000</v>
      </c>
      <c r="D64" s="164">
        <v>200</v>
      </c>
      <c r="E64" s="164">
        <v>600</v>
      </c>
      <c r="F64" s="164">
        <v>200</v>
      </c>
      <c r="G64" s="169">
        <f t="shared" si="0"/>
        <v>6.7642187259729309E-3</v>
      </c>
      <c r="H64" s="164">
        <f t="shared" si="2"/>
        <v>3000</v>
      </c>
      <c r="I64" s="26">
        <f t="shared" si="3"/>
        <v>0</v>
      </c>
    </row>
    <row r="65" spans="1:9">
      <c r="A65" s="166" t="s">
        <v>391</v>
      </c>
      <c r="B65" s="172">
        <v>0</v>
      </c>
      <c r="C65" s="164"/>
      <c r="D65" s="164"/>
      <c r="E65" s="164"/>
      <c r="F65" s="164"/>
      <c r="G65" s="169">
        <f t="shared" si="0"/>
        <v>0</v>
      </c>
      <c r="H65" s="164">
        <f t="shared" si="2"/>
        <v>0</v>
      </c>
      <c r="I65" s="26">
        <f t="shared" si="3"/>
        <v>0</v>
      </c>
    </row>
    <row r="66" spans="1:9">
      <c r="A66" s="166" t="s">
        <v>392</v>
      </c>
      <c r="B66" s="172">
        <v>0</v>
      </c>
      <c r="C66" s="164"/>
      <c r="D66" s="164"/>
      <c r="E66" s="164"/>
      <c r="F66" s="164"/>
      <c r="G66" s="169">
        <f t="shared" si="0"/>
        <v>0</v>
      </c>
      <c r="H66" s="164">
        <f t="shared" si="2"/>
        <v>0</v>
      </c>
      <c r="I66" s="26">
        <f t="shared" si="3"/>
        <v>0</v>
      </c>
    </row>
    <row r="67" spans="1:9">
      <c r="A67" s="166" t="s">
        <v>393</v>
      </c>
      <c r="B67" s="172">
        <v>0</v>
      </c>
      <c r="C67" s="164">
        <v>2297.81</v>
      </c>
      <c r="D67" s="164"/>
      <c r="E67" s="164"/>
      <c r="F67" s="164"/>
      <c r="G67" s="169">
        <f t="shared" si="0"/>
        <v>5.1809631435759534E-3</v>
      </c>
      <c r="H67" s="164">
        <f t="shared" si="2"/>
        <v>2297.81</v>
      </c>
      <c r="I67" s="26">
        <f t="shared" si="3"/>
        <v>2297.81</v>
      </c>
    </row>
    <row r="68" spans="1:9">
      <c r="A68" s="166" t="s">
        <v>394</v>
      </c>
      <c r="B68" s="172">
        <v>0</v>
      </c>
      <c r="C68" s="158"/>
      <c r="D68" s="164"/>
      <c r="E68" s="164"/>
      <c r="F68" s="164"/>
      <c r="G68" s="169">
        <f t="shared" si="0"/>
        <v>0</v>
      </c>
      <c r="H68" s="164">
        <f t="shared" si="2"/>
        <v>0</v>
      </c>
      <c r="I68" s="26">
        <f t="shared" si="3"/>
        <v>0</v>
      </c>
    </row>
    <row r="69" spans="1:9">
      <c r="A69" s="166" t="s">
        <v>395</v>
      </c>
      <c r="B69" s="172">
        <v>733.20000000000016</v>
      </c>
      <c r="C69" s="158"/>
      <c r="D69" s="164"/>
      <c r="E69" s="164"/>
      <c r="F69" s="164"/>
      <c r="G69" s="169">
        <f t="shared" si="0"/>
        <v>0</v>
      </c>
      <c r="H69" s="164">
        <f t="shared" si="2"/>
        <v>0</v>
      </c>
      <c r="I69" s="26">
        <f t="shared" si="3"/>
        <v>-733.20000000000016</v>
      </c>
    </row>
    <row r="70" spans="1:9">
      <c r="A70" s="166" t="s">
        <v>153</v>
      </c>
      <c r="B70" s="172">
        <v>2403.8200000000002</v>
      </c>
      <c r="C70" s="164">
        <v>1683.72</v>
      </c>
      <c r="D70" s="164"/>
      <c r="E70" s="164"/>
      <c r="F70" s="164"/>
      <c r="G70" s="169">
        <f t="shared" si="0"/>
        <v>3.7963501177650481E-3</v>
      </c>
      <c r="H70" s="164">
        <f t="shared" si="2"/>
        <v>1683.72</v>
      </c>
      <c r="I70" s="26">
        <f t="shared" si="3"/>
        <v>-720.10000000000014</v>
      </c>
    </row>
    <row r="71" spans="1:9">
      <c r="A71" s="182" t="s">
        <v>427</v>
      </c>
      <c r="B71" s="172">
        <v>0</v>
      </c>
      <c r="C71" s="164"/>
      <c r="D71" s="164"/>
      <c r="E71" s="164"/>
      <c r="F71" s="164"/>
      <c r="G71" s="169">
        <f t="shared" si="0"/>
        <v>0</v>
      </c>
      <c r="H71" s="164">
        <f t="shared" si="2"/>
        <v>0</v>
      </c>
      <c r="I71" s="26">
        <f t="shared" si="3"/>
        <v>0</v>
      </c>
    </row>
    <row r="72" spans="1:9">
      <c r="A72" s="166" t="s">
        <v>428</v>
      </c>
      <c r="B72" s="172">
        <v>0</v>
      </c>
      <c r="C72" s="164"/>
      <c r="D72" s="164"/>
      <c r="E72" s="164"/>
      <c r="F72" s="164"/>
      <c r="G72" s="169">
        <f t="shared" ref="G72:G135" si="4">H72/$H$10</f>
        <v>0</v>
      </c>
      <c r="H72" s="164">
        <f t="shared" si="2"/>
        <v>0</v>
      </c>
      <c r="I72" s="26">
        <f t="shared" si="3"/>
        <v>0</v>
      </c>
    </row>
    <row r="73" spans="1:9">
      <c r="A73" s="166" t="s">
        <v>429</v>
      </c>
      <c r="B73" s="172">
        <v>309.85000000000002</v>
      </c>
      <c r="C73" s="164">
        <v>139.61000000000001</v>
      </c>
      <c r="D73" s="164"/>
      <c r="E73" s="164"/>
      <c r="F73" s="164"/>
      <c r="G73" s="169">
        <f t="shared" si="4"/>
        <v>3.1478419211102698E-4</v>
      </c>
      <c r="H73" s="164">
        <f t="shared" si="2"/>
        <v>139.61000000000001</v>
      </c>
      <c r="I73" s="26">
        <f t="shared" si="3"/>
        <v>-170.24</v>
      </c>
    </row>
    <row r="74" spans="1:9">
      <c r="A74" s="166" t="s">
        <v>430</v>
      </c>
      <c r="B74" s="172">
        <v>0</v>
      </c>
      <c r="C74" s="164"/>
      <c r="D74" s="164"/>
      <c r="E74" s="164"/>
      <c r="F74" s="164"/>
      <c r="G74" s="169">
        <f t="shared" si="4"/>
        <v>0</v>
      </c>
      <c r="H74" s="164">
        <f t="shared" si="2"/>
        <v>0</v>
      </c>
      <c r="I74" s="26">
        <f t="shared" si="3"/>
        <v>0</v>
      </c>
    </row>
    <row r="75" spans="1:9">
      <c r="A75" s="166" t="s">
        <v>431</v>
      </c>
      <c r="B75" s="172">
        <v>869.23</v>
      </c>
      <c r="C75" s="164">
        <v>460.21</v>
      </c>
      <c r="D75" s="164">
        <v>0</v>
      </c>
      <c r="E75" s="164"/>
      <c r="F75" s="164"/>
      <c r="G75" s="169">
        <f t="shared" si="4"/>
        <v>1.0376536999600009E-3</v>
      </c>
      <c r="H75" s="164">
        <f t="shared" si="2"/>
        <v>460.21</v>
      </c>
      <c r="I75" s="26">
        <f t="shared" si="3"/>
        <v>-409.02000000000004</v>
      </c>
    </row>
    <row r="76" spans="1:9">
      <c r="A76" s="166" t="s">
        <v>432</v>
      </c>
      <c r="B76" s="172">
        <v>0</v>
      </c>
      <c r="C76" s="164"/>
      <c r="D76" s="164"/>
      <c r="E76" s="164"/>
      <c r="F76" s="164"/>
      <c r="G76" s="169">
        <f t="shared" si="4"/>
        <v>0</v>
      </c>
      <c r="H76" s="164">
        <f t="shared" si="2"/>
        <v>0</v>
      </c>
      <c r="I76" s="26">
        <f t="shared" si="3"/>
        <v>0</v>
      </c>
    </row>
    <row r="77" spans="1:9">
      <c r="A77" s="166" t="s">
        <v>433</v>
      </c>
      <c r="B77" s="172">
        <v>4548.3100000000004</v>
      </c>
      <c r="C77" s="164">
        <v>2328.67</v>
      </c>
      <c r="D77" s="164">
        <v>423.97</v>
      </c>
      <c r="E77" s="164"/>
      <c r="F77" s="164"/>
      <c r="G77" s="169">
        <f t="shared" si="4"/>
        <v>6.2064863446207102E-3</v>
      </c>
      <c r="H77" s="164">
        <f t="shared" si="2"/>
        <v>2752.6400000000003</v>
      </c>
      <c r="I77" s="26">
        <f t="shared" si="3"/>
        <v>-1795.67</v>
      </c>
    </row>
    <row r="78" spans="1:9">
      <c r="A78" s="166" t="s">
        <v>434</v>
      </c>
      <c r="B78" s="172">
        <v>743.73</v>
      </c>
      <c r="C78" s="164"/>
      <c r="D78" s="164"/>
      <c r="E78" s="164"/>
      <c r="F78" s="164"/>
      <c r="G78" s="169">
        <f t="shared" si="4"/>
        <v>0</v>
      </c>
      <c r="H78" s="164">
        <f t="shared" si="2"/>
        <v>0</v>
      </c>
      <c r="I78" s="26">
        <f t="shared" si="3"/>
        <v>-743.73</v>
      </c>
    </row>
    <row r="79" spans="1:9">
      <c r="A79" s="186" t="s">
        <v>435</v>
      </c>
      <c r="B79" s="172">
        <v>0</v>
      </c>
      <c r="C79" s="164"/>
      <c r="D79" s="164"/>
      <c r="E79" s="164"/>
      <c r="F79" s="164"/>
      <c r="G79" s="169">
        <f t="shared" si="4"/>
        <v>0</v>
      </c>
      <c r="H79" s="164">
        <f t="shared" si="2"/>
        <v>0</v>
      </c>
      <c r="I79" s="26">
        <f t="shared" si="3"/>
        <v>0</v>
      </c>
    </row>
    <row r="80" spans="1:9">
      <c r="A80" s="186" t="s">
        <v>72</v>
      </c>
      <c r="B80" s="172">
        <v>345.96999999999997</v>
      </c>
      <c r="C80" s="164"/>
      <c r="D80" s="164"/>
      <c r="E80" s="164"/>
      <c r="F80" s="164"/>
      <c r="G80" s="169">
        <f t="shared" si="4"/>
        <v>0</v>
      </c>
      <c r="H80" s="164">
        <f t="shared" ref="H80:H137" si="5">SUM(C80:F80)</f>
        <v>0</v>
      </c>
      <c r="I80" s="26">
        <f t="shared" si="3"/>
        <v>-345.96999999999997</v>
      </c>
    </row>
    <row r="81" spans="1:9">
      <c r="A81" s="166" t="s">
        <v>86</v>
      </c>
      <c r="B81" s="172">
        <v>3432.3599999999997</v>
      </c>
      <c r="C81" s="164">
        <v>527.75</v>
      </c>
      <c r="D81" s="164">
        <v>1074.9100000000001</v>
      </c>
      <c r="E81" s="164"/>
      <c r="F81" s="164"/>
      <c r="G81" s="169">
        <f t="shared" si="4"/>
        <v>3.6135809277892594E-3</v>
      </c>
      <c r="H81" s="164">
        <f t="shared" si="5"/>
        <v>1602.66</v>
      </c>
      <c r="I81" s="26">
        <f t="shared" si="3"/>
        <v>-1829.6999999999996</v>
      </c>
    </row>
    <row r="82" spans="1:9">
      <c r="A82" s="166" t="s">
        <v>436</v>
      </c>
      <c r="B82" s="172">
        <v>1499.6899999999998</v>
      </c>
      <c r="C82" s="164">
        <v>0.63</v>
      </c>
      <c r="D82" s="164">
        <v>20.88</v>
      </c>
      <c r="E82" s="164">
        <v>29.15</v>
      </c>
      <c r="F82" s="164">
        <v>3.24</v>
      </c>
      <c r="G82" s="169">
        <f t="shared" si="4"/>
        <v>1.2153046310998033E-4</v>
      </c>
      <c r="H82" s="164">
        <f t="shared" si="5"/>
        <v>53.9</v>
      </c>
      <c r="I82" s="26">
        <f t="shared" ref="I82:I140" si="6">H82-B82</f>
        <v>-1445.7899999999997</v>
      </c>
    </row>
    <row r="83" spans="1:9">
      <c r="A83" s="166" t="s">
        <v>437</v>
      </c>
      <c r="B83" s="172">
        <v>0</v>
      </c>
      <c r="C83" s="164"/>
      <c r="D83" s="164"/>
      <c r="E83" s="164"/>
      <c r="F83" s="164"/>
      <c r="G83" s="169">
        <f t="shared" si="4"/>
        <v>0</v>
      </c>
      <c r="H83" s="164">
        <f t="shared" si="5"/>
        <v>0</v>
      </c>
      <c r="I83" s="26">
        <f t="shared" si="6"/>
        <v>0</v>
      </c>
    </row>
    <row r="84" spans="1:9">
      <c r="A84" s="166" t="s">
        <v>438</v>
      </c>
      <c r="B84" s="187">
        <v>750</v>
      </c>
      <c r="C84" s="183">
        <v>854.27</v>
      </c>
      <c r="D84" s="183">
        <v>60.12</v>
      </c>
      <c r="E84" s="183">
        <v>50.62</v>
      </c>
      <c r="F84" s="183"/>
      <c r="G84" s="184">
        <f t="shared" si="4"/>
        <v>2.1758462375837126E-3</v>
      </c>
      <c r="H84" s="183">
        <f t="shared" si="5"/>
        <v>965.01</v>
      </c>
      <c r="I84" s="26">
        <f t="shared" si="6"/>
        <v>215.01</v>
      </c>
    </row>
    <row r="85" spans="1:9">
      <c r="A85" s="180" t="s">
        <v>400</v>
      </c>
      <c r="B85" s="172">
        <v>2450.3500000000004</v>
      </c>
      <c r="C85" s="164">
        <v>1368.25</v>
      </c>
      <c r="D85" s="164">
        <v>412.47</v>
      </c>
      <c r="E85" s="164">
        <v>495.25</v>
      </c>
      <c r="F85" s="164">
        <v>422.57</v>
      </c>
      <c r="G85" s="169">
        <f t="shared" si="4"/>
        <v>6.0845049335956653E-3</v>
      </c>
      <c r="H85" s="164">
        <f t="shared" si="5"/>
        <v>2698.5400000000004</v>
      </c>
      <c r="I85" s="26">
        <f t="shared" si="6"/>
        <v>248.19000000000005</v>
      </c>
    </row>
    <row r="86" spans="1:9">
      <c r="A86" s="166" t="s">
        <v>439</v>
      </c>
      <c r="B86" s="172">
        <v>23465.289999999997</v>
      </c>
      <c r="C86" s="164">
        <v>2459.59</v>
      </c>
      <c r="D86" s="164">
        <v>2802.67</v>
      </c>
      <c r="E86" s="164">
        <v>3755.27</v>
      </c>
      <c r="F86" s="164">
        <v>3055.97</v>
      </c>
      <c r="G86" s="169">
        <f t="shared" si="4"/>
        <v>2.722259826267806E-2</v>
      </c>
      <c r="H86" s="164">
        <f t="shared" si="5"/>
        <v>12073.5</v>
      </c>
      <c r="I86" s="26">
        <f t="shared" si="6"/>
        <v>-11391.789999999997</v>
      </c>
    </row>
    <row r="87" spans="1:9">
      <c r="A87" s="186" t="s">
        <v>440</v>
      </c>
      <c r="B87" s="172">
        <v>2095.96</v>
      </c>
      <c r="C87" s="164">
        <v>313.61</v>
      </c>
      <c r="D87" s="164">
        <v>0</v>
      </c>
      <c r="E87" s="164">
        <v>0</v>
      </c>
      <c r="F87" s="164">
        <v>0</v>
      </c>
      <c r="G87" s="169">
        <f t="shared" si="4"/>
        <v>7.07108878217457E-4</v>
      </c>
      <c r="H87" s="164">
        <f t="shared" si="5"/>
        <v>313.61</v>
      </c>
      <c r="I87" s="26">
        <f t="shared" si="6"/>
        <v>-1782.35</v>
      </c>
    </row>
    <row r="88" spans="1:9">
      <c r="A88" s="186" t="s">
        <v>135</v>
      </c>
      <c r="B88" s="172">
        <v>200</v>
      </c>
      <c r="C88" s="164"/>
      <c r="D88" s="164"/>
      <c r="E88" s="164"/>
      <c r="F88" s="164"/>
      <c r="G88" s="169">
        <f t="shared" si="4"/>
        <v>0</v>
      </c>
      <c r="H88" s="164">
        <f t="shared" si="5"/>
        <v>0</v>
      </c>
      <c r="I88" s="26">
        <f t="shared" si="6"/>
        <v>-200</v>
      </c>
    </row>
    <row r="89" spans="1:9">
      <c r="A89" s="166" t="s">
        <v>441</v>
      </c>
      <c r="B89" s="172">
        <v>1682.6100000000001</v>
      </c>
      <c r="C89" s="164">
        <v>255.15</v>
      </c>
      <c r="D89" s="164">
        <v>473.01</v>
      </c>
      <c r="E89" s="164">
        <v>126.99</v>
      </c>
      <c r="F89" s="164">
        <v>832.63</v>
      </c>
      <c r="G89" s="169">
        <f t="shared" si="4"/>
        <v>3.8055043604408646E-3</v>
      </c>
      <c r="H89" s="164">
        <f t="shared" si="5"/>
        <v>1687.78</v>
      </c>
      <c r="I89" s="26">
        <f t="shared" si="6"/>
        <v>5.1699999999998454</v>
      </c>
    </row>
    <row r="90" spans="1:9">
      <c r="A90" s="166" t="s">
        <v>442</v>
      </c>
      <c r="B90" s="172">
        <v>764.4</v>
      </c>
      <c r="C90" s="164">
        <v>764.4</v>
      </c>
      <c r="D90" s="164"/>
      <c r="E90" s="164"/>
      <c r="F90" s="164"/>
      <c r="G90" s="169">
        <f t="shared" si="4"/>
        <v>1.7235229313779029E-3</v>
      </c>
      <c r="H90" s="164">
        <f t="shared" si="5"/>
        <v>764.4</v>
      </c>
      <c r="I90" s="26">
        <f t="shared" si="6"/>
        <v>0</v>
      </c>
    </row>
    <row r="91" spans="1:9">
      <c r="A91" s="166" t="s">
        <v>443</v>
      </c>
      <c r="B91" s="172">
        <v>2312.8199999999997</v>
      </c>
      <c r="C91" s="164"/>
      <c r="D91" s="164">
        <v>394.88</v>
      </c>
      <c r="E91" s="164"/>
      <c r="F91" s="164"/>
      <c r="G91" s="169">
        <f t="shared" si="4"/>
        <v>8.9035156350406367E-4</v>
      </c>
      <c r="H91" s="164">
        <f t="shared" si="5"/>
        <v>394.88</v>
      </c>
      <c r="I91" s="26">
        <f t="shared" si="6"/>
        <v>-1917.9399999999996</v>
      </c>
    </row>
    <row r="92" spans="1:9">
      <c r="A92" s="166" t="s">
        <v>444</v>
      </c>
      <c r="B92" s="172">
        <v>0</v>
      </c>
      <c r="C92" s="164"/>
      <c r="D92" s="164"/>
      <c r="E92" s="164"/>
      <c r="F92" s="164"/>
      <c r="G92" s="169">
        <f t="shared" si="4"/>
        <v>0</v>
      </c>
      <c r="H92" s="164">
        <f t="shared" si="5"/>
        <v>0</v>
      </c>
      <c r="I92" s="26">
        <f t="shared" si="6"/>
        <v>0</v>
      </c>
    </row>
    <row r="93" spans="1:9">
      <c r="A93" s="166" t="s">
        <v>445</v>
      </c>
      <c r="B93" s="172">
        <v>0</v>
      </c>
      <c r="C93" s="164"/>
      <c r="D93" s="164"/>
      <c r="E93" s="164"/>
      <c r="F93" s="164"/>
      <c r="G93" s="169">
        <f t="shared" si="4"/>
        <v>0</v>
      </c>
      <c r="H93" s="164">
        <f t="shared" si="5"/>
        <v>0</v>
      </c>
      <c r="I93" s="26">
        <f t="shared" si="6"/>
        <v>0</v>
      </c>
    </row>
    <row r="94" spans="1:9">
      <c r="A94" s="166" t="s">
        <v>446</v>
      </c>
      <c r="B94" s="172">
        <v>943.01</v>
      </c>
      <c r="C94" s="164">
        <v>474.59</v>
      </c>
      <c r="D94" s="164"/>
      <c r="E94" s="164"/>
      <c r="F94" s="164"/>
      <c r="G94" s="169">
        <f t="shared" si="4"/>
        <v>1.0700768550531644E-3</v>
      </c>
      <c r="H94" s="164">
        <f t="shared" si="5"/>
        <v>474.59</v>
      </c>
      <c r="I94" s="26">
        <f t="shared" si="6"/>
        <v>-468.42</v>
      </c>
    </row>
    <row r="95" spans="1:9">
      <c r="A95" s="166" t="s">
        <v>447</v>
      </c>
      <c r="B95" s="172">
        <v>5256.43</v>
      </c>
      <c r="C95" s="164">
        <v>367.61</v>
      </c>
      <c r="D95" s="164">
        <v>353.89</v>
      </c>
      <c r="E95" s="164">
        <v>404.5</v>
      </c>
      <c r="F95" s="164">
        <v>562.23</v>
      </c>
      <c r="G95" s="169">
        <f t="shared" si="4"/>
        <v>3.8065189932497607E-3</v>
      </c>
      <c r="H95" s="164">
        <f t="shared" si="5"/>
        <v>1688.23</v>
      </c>
      <c r="I95" s="26">
        <f t="shared" si="6"/>
        <v>-3568.2000000000003</v>
      </c>
    </row>
    <row r="96" spans="1:9">
      <c r="A96" s="186" t="s">
        <v>448</v>
      </c>
      <c r="B96" s="172">
        <v>0</v>
      </c>
      <c r="C96" s="164"/>
      <c r="D96" s="164"/>
      <c r="E96" s="164"/>
      <c r="F96" s="164"/>
      <c r="G96" s="169">
        <f t="shared" si="4"/>
        <v>0</v>
      </c>
      <c r="H96" s="164">
        <f t="shared" si="5"/>
        <v>0</v>
      </c>
      <c r="I96" s="26">
        <f t="shared" si="6"/>
        <v>0</v>
      </c>
    </row>
    <row r="97" spans="1:9">
      <c r="A97" s="186" t="s">
        <v>449</v>
      </c>
      <c r="B97" s="172">
        <v>0</v>
      </c>
      <c r="C97" s="164"/>
      <c r="D97" s="164"/>
      <c r="E97" s="164"/>
      <c r="F97" s="164"/>
      <c r="G97" s="169">
        <f t="shared" si="4"/>
        <v>0</v>
      </c>
      <c r="H97" s="164">
        <f t="shared" si="5"/>
        <v>0</v>
      </c>
      <c r="I97" s="26">
        <f t="shared" si="6"/>
        <v>0</v>
      </c>
    </row>
    <row r="98" spans="1:9">
      <c r="A98" s="173" t="s">
        <v>450</v>
      </c>
      <c r="B98" s="174">
        <f>SUM(B63:B97)</f>
        <v>123061.4515</v>
      </c>
      <c r="C98" s="174">
        <f>SUM(C63:C97)</f>
        <v>16295.87</v>
      </c>
      <c r="D98" s="174">
        <f>SUM(D63:D97)</f>
        <v>6216.8000000000011</v>
      </c>
      <c r="E98" s="174">
        <f>SUM(E63:E97)</f>
        <v>5461.78</v>
      </c>
      <c r="F98" s="174">
        <f>SUM(F63:F97)</f>
        <v>5076.6399999999994</v>
      </c>
      <c r="G98" s="169">
        <f t="shared" si="4"/>
        <v>7.4521600630605561E-2</v>
      </c>
      <c r="H98" s="162">
        <f>SUM(C98:F98)</f>
        <v>33051.089999999997</v>
      </c>
      <c r="I98" s="26">
        <f t="shared" si="6"/>
        <v>-90010.361499999999</v>
      </c>
    </row>
    <row r="99" spans="1:9">
      <c r="A99" s="179" t="s">
        <v>451</v>
      </c>
      <c r="B99" s="174">
        <f>B98+B59</f>
        <v>162561.4515</v>
      </c>
      <c r="C99" s="174">
        <f>C98+C59</f>
        <v>30019.670000000006</v>
      </c>
      <c r="D99" s="174">
        <f>D98+D59</f>
        <v>6530.2600000000011</v>
      </c>
      <c r="E99" s="174">
        <f>E98+E59</f>
        <v>8760.18</v>
      </c>
      <c r="F99" s="174">
        <f>F98+F59</f>
        <v>5076.6399999999994</v>
      </c>
      <c r="G99" s="169">
        <f t="shared" si="4"/>
        <v>0.11360899929697221</v>
      </c>
      <c r="H99" s="162">
        <f>SUM(C99:F99)</f>
        <v>50386.750000000007</v>
      </c>
      <c r="I99" s="26">
        <f t="shared" si="6"/>
        <v>-112174.7015</v>
      </c>
    </row>
    <row r="100" spans="1:9">
      <c r="A100" s="179"/>
      <c r="B100" s="172"/>
      <c r="C100" s="164"/>
      <c r="D100" s="164"/>
      <c r="E100" s="164"/>
      <c r="F100" s="164"/>
      <c r="G100" s="169"/>
      <c r="H100" s="164"/>
      <c r="I100" s="26">
        <f t="shared" si="6"/>
        <v>0</v>
      </c>
    </row>
    <row r="101" spans="1:9">
      <c r="A101" s="160" t="s">
        <v>452</v>
      </c>
      <c r="B101" s="172"/>
      <c r="C101" s="164"/>
      <c r="D101" s="164"/>
      <c r="E101" s="164"/>
      <c r="F101" s="164"/>
      <c r="G101" s="169"/>
      <c r="H101" s="164"/>
      <c r="I101" s="26">
        <f t="shared" si="6"/>
        <v>0</v>
      </c>
    </row>
    <row r="102" spans="1:9">
      <c r="A102" s="182" t="s">
        <v>453</v>
      </c>
      <c r="B102" s="172"/>
      <c r="C102" s="164"/>
      <c r="D102" s="164"/>
      <c r="E102" s="164"/>
      <c r="F102" s="164"/>
      <c r="G102" s="169"/>
      <c r="H102" s="164"/>
      <c r="I102" s="26">
        <f t="shared" si="6"/>
        <v>0</v>
      </c>
    </row>
    <row r="103" spans="1:9">
      <c r="A103" s="166" t="s">
        <v>454</v>
      </c>
      <c r="B103" s="172">
        <v>0</v>
      </c>
      <c r="C103" s="164"/>
      <c r="D103" s="164"/>
      <c r="E103" s="164"/>
      <c r="F103" s="164"/>
      <c r="G103" s="169">
        <f t="shared" si="4"/>
        <v>0</v>
      </c>
      <c r="H103" s="164">
        <f t="shared" si="5"/>
        <v>0</v>
      </c>
      <c r="I103" s="26">
        <f t="shared" si="6"/>
        <v>0</v>
      </c>
    </row>
    <row r="104" spans="1:9">
      <c r="A104" s="166" t="s">
        <v>455</v>
      </c>
      <c r="B104" s="172">
        <v>0</v>
      </c>
      <c r="C104" s="164"/>
      <c r="D104" s="164"/>
      <c r="E104" s="164"/>
      <c r="F104" s="164"/>
      <c r="G104" s="169">
        <f t="shared" si="4"/>
        <v>0</v>
      </c>
      <c r="H104" s="164">
        <f t="shared" si="5"/>
        <v>0</v>
      </c>
      <c r="I104" s="26">
        <f t="shared" si="6"/>
        <v>0</v>
      </c>
    </row>
    <row r="105" spans="1:9">
      <c r="A105" s="166" t="s">
        <v>456</v>
      </c>
      <c r="B105" s="172">
        <v>0</v>
      </c>
      <c r="C105" s="164"/>
      <c r="D105" s="164"/>
      <c r="E105" s="164"/>
      <c r="F105" s="164"/>
      <c r="G105" s="169">
        <f t="shared" si="4"/>
        <v>0</v>
      </c>
      <c r="H105" s="164">
        <f t="shared" si="5"/>
        <v>0</v>
      </c>
      <c r="I105" s="26">
        <f t="shared" si="6"/>
        <v>0</v>
      </c>
    </row>
    <row r="106" spans="1:9">
      <c r="A106" s="166" t="s">
        <v>457</v>
      </c>
      <c r="B106" s="172">
        <v>0</v>
      </c>
      <c r="C106" s="164"/>
      <c r="D106" s="164"/>
      <c r="E106" s="164"/>
      <c r="F106" s="164"/>
      <c r="G106" s="169">
        <f t="shared" si="4"/>
        <v>0</v>
      </c>
      <c r="H106" s="164">
        <f t="shared" si="5"/>
        <v>0</v>
      </c>
      <c r="I106" s="26">
        <f t="shared" si="6"/>
        <v>0</v>
      </c>
    </row>
    <row r="107" spans="1:9">
      <c r="A107" s="166" t="s">
        <v>458</v>
      </c>
      <c r="B107" s="172">
        <v>0</v>
      </c>
      <c r="C107" s="164"/>
      <c r="D107" s="164"/>
      <c r="E107" s="164"/>
      <c r="F107" s="164"/>
      <c r="G107" s="169">
        <f t="shared" si="4"/>
        <v>0</v>
      </c>
      <c r="H107" s="164">
        <f t="shared" si="5"/>
        <v>0</v>
      </c>
      <c r="I107" s="26">
        <f t="shared" si="6"/>
        <v>0</v>
      </c>
    </row>
    <row r="108" spans="1:9">
      <c r="A108" s="166" t="s">
        <v>459</v>
      </c>
      <c r="B108" s="172">
        <v>0</v>
      </c>
      <c r="C108" s="164"/>
      <c r="D108" s="164"/>
      <c r="E108" s="164"/>
      <c r="F108" s="164"/>
      <c r="G108" s="169">
        <f t="shared" si="4"/>
        <v>0</v>
      </c>
      <c r="H108" s="164">
        <f t="shared" si="5"/>
        <v>0</v>
      </c>
      <c r="I108" s="26">
        <f t="shared" si="6"/>
        <v>0</v>
      </c>
    </row>
    <row r="109" spans="1:9">
      <c r="A109" s="166" t="s">
        <v>460</v>
      </c>
      <c r="B109" s="172">
        <v>0</v>
      </c>
      <c r="C109" s="164"/>
      <c r="D109" s="164"/>
      <c r="E109" s="164"/>
      <c r="F109" s="164"/>
      <c r="G109" s="169">
        <f t="shared" si="4"/>
        <v>0</v>
      </c>
      <c r="H109" s="164">
        <f t="shared" si="5"/>
        <v>0</v>
      </c>
      <c r="I109" s="26">
        <f t="shared" si="6"/>
        <v>0</v>
      </c>
    </row>
    <row r="110" spans="1:9">
      <c r="A110" s="166" t="s">
        <v>461</v>
      </c>
      <c r="B110" s="172">
        <v>0</v>
      </c>
      <c r="C110" s="164"/>
      <c r="D110" s="164"/>
      <c r="E110" s="164"/>
      <c r="F110" s="164"/>
      <c r="G110" s="169">
        <f t="shared" si="4"/>
        <v>0</v>
      </c>
      <c r="H110" s="164">
        <f t="shared" si="5"/>
        <v>0</v>
      </c>
      <c r="I110" s="26">
        <f t="shared" si="6"/>
        <v>0</v>
      </c>
    </row>
    <row r="111" spans="1:9">
      <c r="A111" s="166" t="s">
        <v>462</v>
      </c>
      <c r="B111" s="172">
        <v>0</v>
      </c>
      <c r="C111" s="164"/>
      <c r="D111" s="164"/>
      <c r="E111" s="164"/>
      <c r="F111" s="164"/>
      <c r="G111" s="169">
        <f t="shared" si="4"/>
        <v>0</v>
      </c>
      <c r="H111" s="164">
        <f t="shared" si="5"/>
        <v>0</v>
      </c>
      <c r="I111" s="26">
        <f t="shared" si="6"/>
        <v>0</v>
      </c>
    </row>
    <row r="112" spans="1:9">
      <c r="A112" s="166" t="s">
        <v>463</v>
      </c>
      <c r="B112" s="172">
        <v>0</v>
      </c>
      <c r="C112" s="164"/>
      <c r="D112" s="164"/>
      <c r="E112" s="164"/>
      <c r="F112" s="164"/>
      <c r="G112" s="169">
        <f t="shared" si="4"/>
        <v>0</v>
      </c>
      <c r="H112" s="164">
        <f t="shared" si="5"/>
        <v>0</v>
      </c>
      <c r="I112" s="26">
        <f t="shared" si="6"/>
        <v>0</v>
      </c>
    </row>
    <row r="113" spans="1:9">
      <c r="A113" s="166" t="s">
        <v>464</v>
      </c>
      <c r="B113" s="172">
        <v>0</v>
      </c>
      <c r="C113" s="164"/>
      <c r="D113" s="164"/>
      <c r="E113" s="164"/>
      <c r="F113" s="164"/>
      <c r="G113" s="169">
        <f t="shared" si="4"/>
        <v>0</v>
      </c>
      <c r="H113" s="164">
        <f t="shared" si="5"/>
        <v>0</v>
      </c>
      <c r="I113" s="26">
        <f t="shared" si="6"/>
        <v>0</v>
      </c>
    </row>
    <row r="114" spans="1:9">
      <c r="A114" s="166" t="s">
        <v>465</v>
      </c>
      <c r="B114" s="172">
        <v>0</v>
      </c>
      <c r="C114" s="164"/>
      <c r="D114" s="164"/>
      <c r="E114" s="164"/>
      <c r="F114" s="164"/>
      <c r="G114" s="169">
        <f t="shared" si="4"/>
        <v>0</v>
      </c>
      <c r="H114" s="164">
        <f t="shared" si="5"/>
        <v>0</v>
      </c>
      <c r="I114" s="26">
        <f t="shared" si="6"/>
        <v>0</v>
      </c>
    </row>
    <row r="115" spans="1:9">
      <c r="A115" s="173" t="s">
        <v>466</v>
      </c>
      <c r="B115" s="174">
        <f>SUM(B103:B114)</f>
        <v>0</v>
      </c>
      <c r="C115" s="174">
        <f>SUM(C103:C114)</f>
        <v>0</v>
      </c>
      <c r="D115" s="174">
        <f>SUM(D103:D114)</f>
        <v>0</v>
      </c>
      <c r="E115" s="174">
        <f>SUM(E103:E114)</f>
        <v>0</v>
      </c>
      <c r="F115" s="174">
        <f>SUM(F103:F114)</f>
        <v>0</v>
      </c>
      <c r="G115" s="169">
        <f t="shared" si="4"/>
        <v>0</v>
      </c>
      <c r="H115" s="162">
        <f t="shared" si="5"/>
        <v>0</v>
      </c>
      <c r="I115" s="26">
        <f t="shared" si="6"/>
        <v>0</v>
      </c>
    </row>
    <row r="116" spans="1:9">
      <c r="A116" s="166"/>
      <c r="B116" s="172"/>
      <c r="C116" s="164"/>
      <c r="D116" s="164"/>
      <c r="E116" s="164"/>
      <c r="F116" s="164"/>
      <c r="G116" s="169"/>
      <c r="H116" s="164"/>
      <c r="I116" s="26">
        <f t="shared" si="6"/>
        <v>0</v>
      </c>
    </row>
    <row r="117" spans="1:9">
      <c r="A117" s="182" t="s">
        <v>467</v>
      </c>
      <c r="B117" s="172"/>
      <c r="C117" s="164"/>
      <c r="D117" s="164"/>
      <c r="E117" s="164"/>
      <c r="F117" s="164"/>
      <c r="G117" s="169"/>
      <c r="H117" s="164"/>
      <c r="I117" s="26">
        <f t="shared" si="6"/>
        <v>0</v>
      </c>
    </row>
    <row r="118" spans="1:9">
      <c r="A118" s="166" t="s">
        <v>468</v>
      </c>
      <c r="B118" s="172">
        <v>0</v>
      </c>
      <c r="C118" s="164"/>
      <c r="D118" s="164"/>
      <c r="E118" s="164"/>
      <c r="F118" s="164"/>
      <c r="G118" s="169">
        <f t="shared" si="4"/>
        <v>0</v>
      </c>
      <c r="H118" s="164">
        <f t="shared" si="5"/>
        <v>0</v>
      </c>
      <c r="I118" s="26">
        <f t="shared" si="6"/>
        <v>0</v>
      </c>
    </row>
    <row r="119" spans="1:9">
      <c r="A119" s="166" t="s">
        <v>448</v>
      </c>
      <c r="B119" s="172">
        <v>5000</v>
      </c>
      <c r="C119" s="164">
        <v>139.5</v>
      </c>
      <c r="D119" s="158">
        <v>68.48</v>
      </c>
      <c r="E119" s="158">
        <v>197.81</v>
      </c>
      <c r="F119" s="158"/>
      <c r="G119" s="169">
        <f t="shared" si="4"/>
        <v>9.1495077227085196E-4</v>
      </c>
      <c r="H119" s="164">
        <f t="shared" si="5"/>
        <v>405.79</v>
      </c>
      <c r="I119" s="26">
        <f t="shared" si="6"/>
        <v>-4594.21</v>
      </c>
    </row>
    <row r="120" spans="1:9">
      <c r="A120" s="166" t="s">
        <v>469</v>
      </c>
      <c r="B120" s="172">
        <v>0</v>
      </c>
      <c r="C120" s="164"/>
      <c r="D120" s="164"/>
      <c r="E120" s="164"/>
      <c r="F120" s="164"/>
      <c r="G120" s="169">
        <f t="shared" si="4"/>
        <v>0</v>
      </c>
      <c r="H120" s="164">
        <f t="shared" si="5"/>
        <v>0</v>
      </c>
      <c r="I120" s="26">
        <f t="shared" si="6"/>
        <v>0</v>
      </c>
    </row>
    <row r="121" spans="1:9">
      <c r="A121" s="166" t="s">
        <v>457</v>
      </c>
      <c r="B121" s="172">
        <v>0</v>
      </c>
      <c r="C121" s="164"/>
      <c r="D121" s="164"/>
      <c r="E121" s="164"/>
      <c r="F121" s="164"/>
      <c r="G121" s="169">
        <f t="shared" si="4"/>
        <v>0</v>
      </c>
      <c r="H121" s="164">
        <f t="shared" si="5"/>
        <v>0</v>
      </c>
      <c r="I121" s="26">
        <f t="shared" si="6"/>
        <v>0</v>
      </c>
    </row>
    <row r="122" spans="1:9">
      <c r="A122" s="166" t="s">
        <v>470</v>
      </c>
      <c r="B122" s="172">
        <v>0</v>
      </c>
      <c r="C122" s="164"/>
      <c r="D122" s="164"/>
      <c r="E122" s="164"/>
      <c r="F122" s="164"/>
      <c r="G122" s="169">
        <f t="shared" si="4"/>
        <v>0</v>
      </c>
      <c r="H122" s="164">
        <f t="shared" si="5"/>
        <v>0</v>
      </c>
      <c r="I122" s="26">
        <f t="shared" si="6"/>
        <v>0</v>
      </c>
    </row>
    <row r="123" spans="1:9">
      <c r="A123" s="166" t="s">
        <v>471</v>
      </c>
      <c r="B123" s="172">
        <v>0</v>
      </c>
      <c r="C123" s="164"/>
      <c r="D123" s="164"/>
      <c r="E123" s="164"/>
      <c r="F123" s="164"/>
      <c r="G123" s="169">
        <f t="shared" si="4"/>
        <v>0</v>
      </c>
      <c r="H123" s="164">
        <f t="shared" si="5"/>
        <v>0</v>
      </c>
      <c r="I123" s="26">
        <f t="shared" si="6"/>
        <v>0</v>
      </c>
    </row>
    <row r="124" spans="1:9">
      <c r="A124" s="180" t="s">
        <v>472</v>
      </c>
      <c r="B124" s="172">
        <v>0</v>
      </c>
      <c r="C124" s="164"/>
      <c r="D124" s="164"/>
      <c r="E124" s="164"/>
      <c r="F124" s="164"/>
      <c r="G124" s="169">
        <f t="shared" si="4"/>
        <v>0</v>
      </c>
      <c r="H124" s="164">
        <f t="shared" si="5"/>
        <v>0</v>
      </c>
      <c r="I124" s="26">
        <f t="shared" si="6"/>
        <v>0</v>
      </c>
    </row>
    <row r="125" spans="1:9">
      <c r="A125" s="180" t="s">
        <v>473</v>
      </c>
      <c r="B125" s="172">
        <v>27000</v>
      </c>
      <c r="C125" s="188"/>
      <c r="D125" s="188"/>
      <c r="E125" s="188"/>
      <c r="F125" s="188"/>
      <c r="G125" s="169">
        <f t="shared" si="4"/>
        <v>0</v>
      </c>
      <c r="H125" s="164">
        <f t="shared" si="5"/>
        <v>0</v>
      </c>
      <c r="I125" s="26">
        <f t="shared" si="6"/>
        <v>-27000</v>
      </c>
    </row>
    <row r="126" spans="1:9">
      <c r="A126" s="166" t="s">
        <v>474</v>
      </c>
      <c r="B126" s="172">
        <v>0</v>
      </c>
      <c r="C126" s="158"/>
      <c r="D126" s="158"/>
      <c r="E126" s="158"/>
      <c r="F126" s="158"/>
      <c r="G126" s="169">
        <f t="shared" si="4"/>
        <v>0</v>
      </c>
      <c r="H126" s="164">
        <f t="shared" si="5"/>
        <v>0</v>
      </c>
      <c r="I126" s="26">
        <f t="shared" si="6"/>
        <v>0</v>
      </c>
    </row>
    <row r="127" spans="1:9">
      <c r="A127" s="166" t="s">
        <v>475</v>
      </c>
      <c r="B127" s="172">
        <v>0</v>
      </c>
      <c r="C127" s="164"/>
      <c r="D127" s="164"/>
      <c r="E127" s="164"/>
      <c r="F127" s="164"/>
      <c r="G127" s="169">
        <f t="shared" si="4"/>
        <v>0</v>
      </c>
      <c r="H127" s="164">
        <f t="shared" si="5"/>
        <v>0</v>
      </c>
      <c r="I127" s="26">
        <f t="shared" si="6"/>
        <v>0</v>
      </c>
    </row>
    <row r="128" spans="1:9">
      <c r="A128" s="166" t="s">
        <v>476</v>
      </c>
      <c r="B128" s="172">
        <v>0</v>
      </c>
      <c r="C128" s="164"/>
      <c r="D128" s="164"/>
      <c r="E128" s="164"/>
      <c r="F128" s="164"/>
      <c r="G128" s="169">
        <f t="shared" si="4"/>
        <v>0</v>
      </c>
      <c r="H128" s="164">
        <f t="shared" si="5"/>
        <v>0</v>
      </c>
      <c r="I128" s="26">
        <f t="shared" si="6"/>
        <v>0</v>
      </c>
    </row>
    <row r="129" spans="1:9">
      <c r="A129" s="166" t="s">
        <v>477</v>
      </c>
      <c r="B129" s="172">
        <v>0</v>
      </c>
      <c r="C129" s="164"/>
      <c r="D129" s="164"/>
      <c r="E129" s="164"/>
      <c r="F129" s="164"/>
      <c r="G129" s="169">
        <f t="shared" si="4"/>
        <v>0</v>
      </c>
      <c r="H129" s="164">
        <f t="shared" si="5"/>
        <v>0</v>
      </c>
      <c r="I129" s="26">
        <f t="shared" si="6"/>
        <v>0</v>
      </c>
    </row>
    <row r="130" spans="1:9">
      <c r="A130" s="166" t="s">
        <v>478</v>
      </c>
      <c r="B130" s="172">
        <v>0</v>
      </c>
      <c r="C130" s="188"/>
      <c r="D130" s="188"/>
      <c r="E130" s="188"/>
      <c r="F130" s="188"/>
      <c r="G130" s="169">
        <f t="shared" si="4"/>
        <v>0</v>
      </c>
      <c r="H130" s="164">
        <f t="shared" si="5"/>
        <v>0</v>
      </c>
      <c r="I130" s="26">
        <f t="shared" si="6"/>
        <v>0</v>
      </c>
    </row>
    <row r="131" spans="1:9">
      <c r="A131" s="166" t="s">
        <v>479</v>
      </c>
      <c r="B131" s="172">
        <v>3000</v>
      </c>
      <c r="C131" s="164">
        <v>452.47</v>
      </c>
      <c r="D131" s="164">
        <v>0.22</v>
      </c>
      <c r="E131" s="164">
        <v>0.22</v>
      </c>
      <c r="F131" s="164">
        <v>0.44</v>
      </c>
      <c r="G131" s="169">
        <f t="shared" si="4"/>
        <v>1.0221861864732763E-3</v>
      </c>
      <c r="H131" s="164">
        <f t="shared" si="5"/>
        <v>453.35000000000008</v>
      </c>
      <c r="I131" s="26">
        <f t="shared" si="6"/>
        <v>-2546.65</v>
      </c>
    </row>
    <row r="132" spans="1:9">
      <c r="A132" s="166" t="s">
        <v>480</v>
      </c>
      <c r="B132" s="172">
        <v>0</v>
      </c>
      <c r="C132" s="164"/>
      <c r="D132" s="164"/>
      <c r="E132" s="164"/>
      <c r="F132" s="164"/>
      <c r="G132" s="169">
        <f t="shared" si="4"/>
        <v>0</v>
      </c>
      <c r="H132" s="164">
        <f t="shared" si="5"/>
        <v>0</v>
      </c>
      <c r="I132" s="26">
        <f t="shared" si="6"/>
        <v>0</v>
      </c>
    </row>
    <row r="133" spans="1:9">
      <c r="A133" s="166" t="s">
        <v>481</v>
      </c>
      <c r="B133" s="172">
        <v>0</v>
      </c>
      <c r="C133" s="164"/>
      <c r="D133" s="164"/>
      <c r="E133" s="164"/>
      <c r="F133" s="164"/>
      <c r="G133" s="169">
        <f t="shared" si="4"/>
        <v>0</v>
      </c>
      <c r="H133" s="164">
        <f t="shared" si="5"/>
        <v>0</v>
      </c>
      <c r="I133" s="26">
        <f t="shared" si="6"/>
        <v>0</v>
      </c>
    </row>
    <row r="134" spans="1:9">
      <c r="A134" s="166" t="s">
        <v>482</v>
      </c>
      <c r="B134" s="172">
        <v>0</v>
      </c>
      <c r="C134" s="164"/>
      <c r="D134" s="164"/>
      <c r="E134" s="164"/>
      <c r="F134" s="164"/>
      <c r="G134" s="169">
        <f t="shared" si="4"/>
        <v>0</v>
      </c>
      <c r="H134" s="164">
        <f t="shared" si="5"/>
        <v>0</v>
      </c>
      <c r="I134" s="26">
        <f t="shared" si="6"/>
        <v>0</v>
      </c>
    </row>
    <row r="135" spans="1:9">
      <c r="A135" s="166" t="s">
        <v>483</v>
      </c>
      <c r="B135" s="172">
        <v>0</v>
      </c>
      <c r="C135" s="164"/>
      <c r="D135" s="164"/>
      <c r="E135" s="164"/>
      <c r="F135" s="164"/>
      <c r="G135" s="169">
        <f t="shared" si="4"/>
        <v>0</v>
      </c>
      <c r="H135" s="164">
        <f t="shared" si="5"/>
        <v>0</v>
      </c>
      <c r="I135" s="26">
        <f t="shared" si="6"/>
        <v>0</v>
      </c>
    </row>
    <row r="136" spans="1:9">
      <c r="A136" s="173" t="s">
        <v>484</v>
      </c>
      <c r="B136" s="174">
        <f>SUM(B118:B135)</f>
        <v>35000</v>
      </c>
      <c r="C136" s="174">
        <f>SUM(C118:C135)</f>
        <v>591.97</v>
      </c>
      <c r="D136" s="174">
        <f>SUM(D118:D135)</f>
        <v>68.7</v>
      </c>
      <c r="E136" s="174">
        <f>SUM(E118:E135)</f>
        <v>198.03</v>
      </c>
      <c r="F136" s="174">
        <f>SUM(F118:F135)</f>
        <v>0.44</v>
      </c>
      <c r="G136" s="169">
        <f>H136/$H$10</f>
        <v>1.9371369587441283E-3</v>
      </c>
      <c r="H136" s="162">
        <f t="shared" si="5"/>
        <v>859.1400000000001</v>
      </c>
      <c r="I136" s="26">
        <f t="shared" si="6"/>
        <v>-34140.86</v>
      </c>
    </row>
    <row r="137" spans="1:9">
      <c r="A137" s="179" t="s">
        <v>485</v>
      </c>
      <c r="B137" s="174">
        <f>B115+B136</f>
        <v>35000</v>
      </c>
      <c r="C137" s="174">
        <f>C115+C136</f>
        <v>591.97</v>
      </c>
      <c r="D137" s="174">
        <f>D115+D136</f>
        <v>68.7</v>
      </c>
      <c r="E137" s="174">
        <f>E115+E136</f>
        <v>198.03</v>
      </c>
      <c r="F137" s="174">
        <f>F115+F136</f>
        <v>0.44</v>
      </c>
      <c r="G137" s="169">
        <f>H137/$H$10</f>
        <v>1.9371369587441283E-3</v>
      </c>
      <c r="H137" s="162">
        <f t="shared" si="5"/>
        <v>859.1400000000001</v>
      </c>
      <c r="I137" s="26">
        <f t="shared" si="6"/>
        <v>-34140.86</v>
      </c>
    </row>
    <row r="138" spans="1:9" ht="6" customHeight="1">
      <c r="A138" s="157"/>
      <c r="B138" s="157"/>
      <c r="C138" s="157"/>
      <c r="D138" s="157"/>
      <c r="E138" s="157"/>
      <c r="F138" s="157"/>
      <c r="G138" s="157"/>
      <c r="H138" s="157"/>
      <c r="I138" s="26">
        <f t="shared" si="6"/>
        <v>0</v>
      </c>
    </row>
    <row r="139" spans="1:9">
      <c r="A139" s="150" t="s">
        <v>486</v>
      </c>
      <c r="B139" s="151">
        <f>B14+B39+B99+B137</f>
        <v>2174779.3797200001</v>
      </c>
      <c r="C139" s="151">
        <f>C14+C39+C99+C137</f>
        <v>343522.27199999994</v>
      </c>
      <c r="D139" s="151">
        <f>D14+D39+D99+D137</f>
        <v>62125.13</v>
      </c>
      <c r="E139" s="151">
        <f>E14+E39+E99+E137</f>
        <v>46698.159999999996</v>
      </c>
      <c r="F139" s="151">
        <f>F14+F39+F99+F137</f>
        <v>25115.429999999997</v>
      </c>
      <c r="G139" s="152">
        <f>H139/$H$10</f>
        <v>1.0765501943360041</v>
      </c>
      <c r="H139" s="151">
        <f>H14+H39+H99+H137</f>
        <v>477460.99200000003</v>
      </c>
      <c r="I139" s="26">
        <f t="shared" si="6"/>
        <v>-1697318.38772</v>
      </c>
    </row>
    <row r="140" spans="1:9">
      <c r="A140" s="147" t="s">
        <v>487</v>
      </c>
      <c r="B140" s="148">
        <f>B10-B139</f>
        <v>-58146.039720000234</v>
      </c>
      <c r="C140" s="148">
        <f t="shared" ref="C140:H140" si="7">C10-C139</f>
        <v>99987.928000000073</v>
      </c>
      <c r="D140" s="148">
        <f t="shared" si="7"/>
        <v>-62125.13</v>
      </c>
      <c r="E140" s="148">
        <f t="shared" si="7"/>
        <v>-46698.159999999996</v>
      </c>
      <c r="F140" s="148">
        <f t="shared" si="7"/>
        <v>-25115.429999999997</v>
      </c>
      <c r="G140" s="149">
        <f>H140/$H$10</f>
        <v>-7.6550194336004032E-2</v>
      </c>
      <c r="H140" s="148">
        <f t="shared" si="7"/>
        <v>-33950.792000000016</v>
      </c>
      <c r="I140" s="26">
        <f t="shared" si="6"/>
        <v>24195.247720000218</v>
      </c>
    </row>
    <row r="141" spans="1:9" ht="15.75">
      <c r="A141" s="27"/>
    </row>
    <row r="142" spans="1:9" ht="15.75">
      <c r="A142" s="28"/>
    </row>
    <row r="143" spans="1:9" ht="15.75">
      <c r="A143" s="28"/>
    </row>
    <row r="144" spans="1:9" ht="15.75">
      <c r="A144" s="28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(HOME)</vt:lpstr>
      <vt:lpstr>Ref1</vt:lpstr>
      <vt:lpstr>All Costing</vt:lpstr>
      <vt:lpstr>RESUME</vt:lpstr>
      <vt:lpstr>Ref_Account</vt:lpstr>
      <vt:lpstr>temp_laporan1</vt:lpstr>
      <vt:lpstr>Material_Cost</vt:lpstr>
      <vt:lpstr>Production_Cost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2024-02-20T03:28:57Z</dcterms:modified>
</cp:coreProperties>
</file>