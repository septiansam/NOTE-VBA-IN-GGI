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6)\"/>
    </mc:Choice>
  </mc:AlternateContent>
  <xr:revisionPtr revIDLastSave="0" documentId="13_ncr:1_{3D121939-9D89-486C-8D97-E267A6C0BDF9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(HOME)" sheetId="11" r:id="rId1"/>
    <sheet name="All Costing" sheetId="1" r:id="rId2"/>
    <sheet name="RESUME" sheetId="16" r:id="rId3"/>
    <sheet name="Ref1" sheetId="10" r:id="rId4"/>
    <sheet name="Ref_Account" sheetId="22" state="hidden" r:id="rId5"/>
    <sheet name="temp_laporan1" sheetId="14" state="hidden" r:id="rId6"/>
    <sheet name="Asep Ridwan Subiana" sheetId="27" r:id="rId7"/>
    <sheet name="Choeruman" sheetId="28" r:id="rId8"/>
    <sheet name="Firawaty" sheetId="29" r:id="rId9"/>
    <sheet name="Fungfung" sheetId="30" r:id="rId10"/>
    <sheet name="Owi Wijaya" sheetId="31" r:id="rId11"/>
    <sheet name="Wawan Iskandar" sheetId="32" r:id="rId12"/>
    <sheet name="Tony Teja" sheetId="33" r:id="rId13"/>
    <sheet name="Santy Silalahi" sheetId="34" r:id="rId14"/>
  </sheets>
  <definedNames>
    <definedName name="_xlnm._FilterDatabase" localSheetId="1" hidden="1">'All Costing'!$A$5:$N$164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1" i="1" l="1"/>
  <c r="O17" i="1"/>
  <c r="O23" i="1"/>
  <c r="O29" i="1"/>
  <c r="O35" i="1"/>
  <c r="O41" i="1"/>
  <c r="O47" i="1"/>
  <c r="O53" i="1"/>
  <c r="O59" i="1"/>
  <c r="O65" i="1"/>
  <c r="O71" i="1"/>
  <c r="O77" i="1"/>
  <c r="O83" i="1"/>
  <c r="O89" i="1"/>
  <c r="O101" i="1"/>
  <c r="O107" i="1"/>
  <c r="O113" i="1"/>
  <c r="O119" i="1"/>
  <c r="O125" i="1"/>
  <c r="O131" i="1"/>
  <c r="O137" i="1"/>
  <c r="O143" i="1"/>
  <c r="O149" i="1"/>
  <c r="O155" i="1"/>
  <c r="O161" i="1"/>
  <c r="O6" i="1"/>
  <c r="I15" i="34"/>
  <c r="I14" i="34"/>
  <c r="I13" i="34"/>
  <c r="I12" i="34"/>
  <c r="I11" i="34"/>
  <c r="I10" i="34"/>
  <c r="I9" i="34"/>
  <c r="I8" i="34"/>
  <c r="I7" i="34"/>
  <c r="I6" i="34"/>
  <c r="I42" i="33"/>
  <c r="I41" i="33"/>
  <c r="I40" i="33"/>
  <c r="I39" i="33"/>
  <c r="I38" i="33"/>
  <c r="I37" i="33"/>
  <c r="I36" i="33"/>
  <c r="I35" i="33"/>
  <c r="I34" i="33"/>
  <c r="I33" i="33"/>
  <c r="I32" i="33"/>
  <c r="I31" i="33"/>
  <c r="I30" i="33"/>
  <c r="I29" i="33"/>
  <c r="I28" i="33"/>
  <c r="I27" i="33"/>
  <c r="I26" i="33"/>
  <c r="I25" i="33"/>
  <c r="I24" i="33"/>
  <c r="I23" i="33"/>
  <c r="I22" i="33"/>
  <c r="I21" i="33"/>
  <c r="I20" i="33"/>
  <c r="I19" i="33"/>
  <c r="I18" i="33"/>
  <c r="I17" i="33"/>
  <c r="I16" i="33"/>
  <c r="I15" i="33"/>
  <c r="I14" i="33"/>
  <c r="I13" i="33"/>
  <c r="I12" i="33"/>
  <c r="I11" i="33"/>
  <c r="I10" i="33"/>
  <c r="I9" i="33"/>
  <c r="I8" i="33"/>
  <c r="I7" i="33"/>
  <c r="I6" i="33"/>
  <c r="I27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I8" i="32"/>
  <c r="I7" i="32"/>
  <c r="I6" i="32"/>
  <c r="I60" i="31"/>
  <c r="I59" i="31"/>
  <c r="I58" i="31"/>
  <c r="I57" i="31"/>
  <c r="I56" i="31"/>
  <c r="I55" i="31"/>
  <c r="I54" i="31"/>
  <c r="I53" i="31"/>
  <c r="I52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10" i="30"/>
  <c r="I9" i="30"/>
  <c r="I8" i="30"/>
  <c r="I7" i="30"/>
  <c r="I6" i="30"/>
  <c r="I15" i="29"/>
  <c r="I14" i="29"/>
  <c r="I13" i="29"/>
  <c r="I12" i="29"/>
  <c r="I11" i="29"/>
  <c r="I10" i="29"/>
  <c r="I9" i="29"/>
  <c r="I8" i="29"/>
  <c r="I7" i="29"/>
  <c r="I6" i="29"/>
  <c r="I11" i="28"/>
  <c r="I10" i="28"/>
  <c r="I9" i="28"/>
  <c r="I8" i="28"/>
  <c r="I7" i="28"/>
  <c r="I6" i="28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6" i="1"/>
  <c r="I7" i="1"/>
  <c r="O7" i="1" s="1"/>
  <c r="I8" i="1"/>
  <c r="O8" i="1" s="1"/>
  <c r="I9" i="1"/>
  <c r="O9" i="1" s="1"/>
  <c r="I10" i="1"/>
  <c r="O10" i="1" s="1"/>
  <c r="I11" i="1"/>
  <c r="I12" i="1"/>
  <c r="O12" i="1" s="1"/>
  <c r="I13" i="1"/>
  <c r="O13" i="1" s="1"/>
  <c r="I14" i="1"/>
  <c r="O14" i="1" s="1"/>
  <c r="I15" i="1"/>
  <c r="O15" i="1" s="1"/>
  <c r="I16" i="1"/>
  <c r="O16" i="1" s="1"/>
  <c r="I17" i="1"/>
  <c r="I18" i="1"/>
  <c r="O18" i="1" s="1"/>
  <c r="I19" i="1"/>
  <c r="O19" i="1" s="1"/>
  <c r="I20" i="1"/>
  <c r="O20" i="1" s="1"/>
  <c r="I21" i="1"/>
  <c r="O21" i="1" s="1"/>
  <c r="I22" i="1"/>
  <c r="O22" i="1" s="1"/>
  <c r="I23" i="1"/>
  <c r="I24" i="1"/>
  <c r="O24" i="1" s="1"/>
  <c r="I25" i="1"/>
  <c r="O25" i="1" s="1"/>
  <c r="I26" i="1"/>
  <c r="O26" i="1" s="1"/>
  <c r="I27" i="1"/>
  <c r="O27" i="1" s="1"/>
  <c r="I28" i="1"/>
  <c r="O28" i="1" s="1"/>
  <c r="I29" i="1"/>
  <c r="I30" i="1"/>
  <c r="O30" i="1" s="1"/>
  <c r="I31" i="1"/>
  <c r="O31" i="1" s="1"/>
  <c r="I32" i="1"/>
  <c r="O32" i="1" s="1"/>
  <c r="I33" i="1"/>
  <c r="O33" i="1" s="1"/>
  <c r="I34" i="1"/>
  <c r="O34" i="1" s="1"/>
  <c r="I35" i="1"/>
  <c r="I36" i="1"/>
  <c r="O36" i="1" s="1"/>
  <c r="I37" i="1"/>
  <c r="O37" i="1" s="1"/>
  <c r="I38" i="1"/>
  <c r="O38" i="1" s="1"/>
  <c r="I39" i="1"/>
  <c r="O39" i="1" s="1"/>
  <c r="I40" i="1"/>
  <c r="O40" i="1" s="1"/>
  <c r="I41" i="1"/>
  <c r="I42" i="1"/>
  <c r="O42" i="1" s="1"/>
  <c r="I43" i="1"/>
  <c r="O43" i="1" s="1"/>
  <c r="I44" i="1"/>
  <c r="O44" i="1" s="1"/>
  <c r="I45" i="1"/>
  <c r="O45" i="1" s="1"/>
  <c r="I46" i="1"/>
  <c r="O46" i="1" s="1"/>
  <c r="I47" i="1"/>
  <c r="I48" i="1"/>
  <c r="O48" i="1" s="1"/>
  <c r="I49" i="1"/>
  <c r="O49" i="1" s="1"/>
  <c r="I50" i="1"/>
  <c r="O50" i="1" s="1"/>
  <c r="I51" i="1"/>
  <c r="O51" i="1" s="1"/>
  <c r="I52" i="1"/>
  <c r="O52" i="1" s="1"/>
  <c r="I53" i="1"/>
  <c r="I54" i="1"/>
  <c r="O54" i="1" s="1"/>
  <c r="I55" i="1"/>
  <c r="O55" i="1" s="1"/>
  <c r="I56" i="1"/>
  <c r="O56" i="1" s="1"/>
  <c r="I57" i="1"/>
  <c r="O57" i="1" s="1"/>
  <c r="I58" i="1"/>
  <c r="O58" i="1" s="1"/>
  <c r="I59" i="1"/>
  <c r="I60" i="1"/>
  <c r="O60" i="1" s="1"/>
  <c r="I61" i="1"/>
  <c r="O61" i="1" s="1"/>
  <c r="I62" i="1"/>
  <c r="O62" i="1" s="1"/>
  <c r="I63" i="1"/>
  <c r="O63" i="1" s="1"/>
  <c r="I64" i="1"/>
  <c r="O64" i="1" s="1"/>
  <c r="I65" i="1"/>
  <c r="I66" i="1"/>
  <c r="O66" i="1" s="1"/>
  <c r="I67" i="1"/>
  <c r="O67" i="1" s="1"/>
  <c r="I68" i="1"/>
  <c r="O68" i="1" s="1"/>
  <c r="I69" i="1"/>
  <c r="O69" i="1" s="1"/>
  <c r="I70" i="1"/>
  <c r="O70" i="1" s="1"/>
  <c r="I71" i="1"/>
  <c r="I72" i="1"/>
  <c r="O72" i="1" s="1"/>
  <c r="I73" i="1"/>
  <c r="O73" i="1" s="1"/>
  <c r="I74" i="1"/>
  <c r="O74" i="1" s="1"/>
  <c r="I75" i="1"/>
  <c r="O75" i="1" s="1"/>
  <c r="I76" i="1"/>
  <c r="O76" i="1" s="1"/>
  <c r="I77" i="1"/>
  <c r="I78" i="1"/>
  <c r="O78" i="1" s="1"/>
  <c r="I79" i="1"/>
  <c r="O79" i="1" s="1"/>
  <c r="I80" i="1"/>
  <c r="O80" i="1" s="1"/>
  <c r="I81" i="1"/>
  <c r="O81" i="1" s="1"/>
  <c r="I82" i="1"/>
  <c r="O82" i="1" s="1"/>
  <c r="I83" i="1"/>
  <c r="I84" i="1"/>
  <c r="O84" i="1" s="1"/>
  <c r="I85" i="1"/>
  <c r="O85" i="1" s="1"/>
  <c r="I86" i="1"/>
  <c r="O86" i="1" s="1"/>
  <c r="I87" i="1"/>
  <c r="O87" i="1" s="1"/>
  <c r="I88" i="1"/>
  <c r="O88" i="1" s="1"/>
  <c r="I89" i="1"/>
  <c r="I90" i="1"/>
  <c r="O90" i="1" s="1"/>
  <c r="I91" i="1"/>
  <c r="O91" i="1" s="1"/>
  <c r="I92" i="1"/>
  <c r="O92" i="1" s="1"/>
  <c r="I93" i="1"/>
  <c r="O93" i="1" s="1"/>
  <c r="I94" i="1"/>
  <c r="O94" i="1" s="1"/>
  <c r="I95" i="1"/>
  <c r="O95" i="1" s="1"/>
  <c r="I96" i="1"/>
  <c r="O96" i="1" s="1"/>
  <c r="I97" i="1"/>
  <c r="O97" i="1" s="1"/>
  <c r="I98" i="1"/>
  <c r="O98" i="1" s="1"/>
  <c r="I99" i="1"/>
  <c r="O99" i="1" s="1"/>
  <c r="I100" i="1"/>
  <c r="O100" i="1" s="1"/>
  <c r="I101" i="1"/>
  <c r="I102" i="1"/>
  <c r="O102" i="1" s="1"/>
  <c r="I103" i="1"/>
  <c r="O103" i="1" s="1"/>
  <c r="I104" i="1"/>
  <c r="O104" i="1" s="1"/>
  <c r="I105" i="1"/>
  <c r="O105" i="1" s="1"/>
  <c r="I106" i="1"/>
  <c r="O106" i="1" s="1"/>
  <c r="I107" i="1"/>
  <c r="I108" i="1"/>
  <c r="O108" i="1" s="1"/>
  <c r="I109" i="1"/>
  <c r="O109" i="1" s="1"/>
  <c r="I110" i="1"/>
  <c r="O110" i="1" s="1"/>
  <c r="I111" i="1"/>
  <c r="O111" i="1" s="1"/>
  <c r="I112" i="1"/>
  <c r="O112" i="1" s="1"/>
  <c r="I113" i="1"/>
  <c r="I114" i="1"/>
  <c r="O114" i="1" s="1"/>
  <c r="I115" i="1"/>
  <c r="O115" i="1" s="1"/>
  <c r="I116" i="1"/>
  <c r="O116" i="1" s="1"/>
  <c r="I117" i="1"/>
  <c r="O117" i="1" s="1"/>
  <c r="I118" i="1"/>
  <c r="O118" i="1" s="1"/>
  <c r="I119" i="1"/>
  <c r="I120" i="1"/>
  <c r="O120" i="1" s="1"/>
  <c r="I121" i="1"/>
  <c r="O121" i="1" s="1"/>
  <c r="I122" i="1"/>
  <c r="O122" i="1" s="1"/>
  <c r="I123" i="1"/>
  <c r="O123" i="1" s="1"/>
  <c r="I124" i="1"/>
  <c r="O124" i="1" s="1"/>
  <c r="I125" i="1"/>
  <c r="I126" i="1"/>
  <c r="O126" i="1" s="1"/>
  <c r="I127" i="1"/>
  <c r="O127" i="1" s="1"/>
  <c r="I128" i="1"/>
  <c r="O128" i="1" s="1"/>
  <c r="I129" i="1"/>
  <c r="O129" i="1" s="1"/>
  <c r="I130" i="1"/>
  <c r="O130" i="1" s="1"/>
  <c r="I131" i="1"/>
  <c r="I132" i="1"/>
  <c r="O132" i="1" s="1"/>
  <c r="I133" i="1"/>
  <c r="O133" i="1" s="1"/>
  <c r="I134" i="1"/>
  <c r="O134" i="1" s="1"/>
  <c r="I135" i="1"/>
  <c r="O135" i="1" s="1"/>
  <c r="I136" i="1"/>
  <c r="O136" i="1" s="1"/>
  <c r="I137" i="1"/>
  <c r="I138" i="1"/>
  <c r="O138" i="1" s="1"/>
  <c r="I139" i="1"/>
  <c r="O139" i="1" s="1"/>
  <c r="I140" i="1"/>
  <c r="O140" i="1" s="1"/>
  <c r="I141" i="1"/>
  <c r="O141" i="1" s="1"/>
  <c r="I142" i="1"/>
  <c r="O142" i="1" s="1"/>
  <c r="I143" i="1"/>
  <c r="I144" i="1"/>
  <c r="O144" i="1" s="1"/>
  <c r="I145" i="1"/>
  <c r="O145" i="1" s="1"/>
  <c r="I146" i="1"/>
  <c r="O146" i="1" s="1"/>
  <c r="I147" i="1"/>
  <c r="O147" i="1" s="1"/>
  <c r="I148" i="1"/>
  <c r="O148" i="1" s="1"/>
  <c r="I149" i="1"/>
  <c r="I150" i="1"/>
  <c r="O150" i="1" s="1"/>
  <c r="I151" i="1"/>
  <c r="O151" i="1" s="1"/>
  <c r="I152" i="1"/>
  <c r="O152" i="1" s="1"/>
  <c r="I153" i="1"/>
  <c r="O153" i="1" s="1"/>
  <c r="I154" i="1"/>
  <c r="O154" i="1" s="1"/>
  <c r="I155" i="1"/>
  <c r="I156" i="1"/>
  <c r="O156" i="1" s="1"/>
  <c r="I157" i="1"/>
  <c r="O157" i="1" s="1"/>
  <c r="I158" i="1"/>
  <c r="O158" i="1" s="1"/>
  <c r="I159" i="1"/>
  <c r="O159" i="1" s="1"/>
  <c r="I160" i="1"/>
  <c r="O160" i="1" s="1"/>
  <c r="I161" i="1"/>
  <c r="I162" i="1"/>
  <c r="O162" i="1" s="1"/>
  <c r="I163" i="1"/>
  <c r="O163" i="1" s="1"/>
  <c r="I164" i="1"/>
  <c r="O164" i="1" s="1"/>
  <c r="A2" i="22"/>
  <c r="A3" i="22"/>
  <c r="L10" i="1" s="1"/>
  <c r="A4" i="22"/>
  <c r="A5" i="22"/>
  <c r="A6" i="22"/>
  <c r="L11" i="1" s="1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L6" i="1"/>
  <c r="L7" i="1"/>
  <c r="L8" i="1"/>
  <c r="L9" i="1"/>
  <c r="L15" i="1"/>
  <c r="L21" i="1"/>
  <c r="L27" i="1"/>
  <c r="L33" i="1"/>
  <c r="L39" i="1"/>
  <c r="L45" i="1"/>
  <c r="L51" i="1"/>
  <c r="L57" i="1"/>
  <c r="L63" i="1"/>
  <c r="L69" i="1"/>
  <c r="L75" i="1"/>
  <c r="L81" i="1"/>
  <c r="L87" i="1"/>
  <c r="L93" i="1"/>
  <c r="L99" i="1"/>
  <c r="L105" i="1"/>
  <c r="L111" i="1"/>
  <c r="L117" i="1"/>
  <c r="L123" i="1"/>
  <c r="L129" i="1"/>
  <c r="L135" i="1"/>
  <c r="L141" i="1"/>
  <c r="L147" i="1"/>
  <c r="L153" i="1"/>
  <c r="L159" i="1"/>
  <c r="J3" i="16"/>
  <c r="J4" i="16"/>
  <c r="J5" i="16"/>
  <c r="J6" i="16"/>
  <c r="J7" i="16"/>
  <c r="J8" i="16"/>
  <c r="J9" i="16"/>
  <c r="J10" i="16"/>
  <c r="I3" i="16"/>
  <c r="J6" i="1" s="1"/>
  <c r="K6" i="1" s="1"/>
  <c r="I4" i="16"/>
  <c r="J24" i="1" s="1"/>
  <c r="K24" i="1" s="1"/>
  <c r="I5" i="16"/>
  <c r="J30" i="1" s="1"/>
  <c r="K30" i="1" s="1"/>
  <c r="I6" i="16"/>
  <c r="J36" i="1" s="1"/>
  <c r="K36" i="1" s="1"/>
  <c r="I7" i="16"/>
  <c r="J42" i="1" s="1"/>
  <c r="K42" i="1" s="1"/>
  <c r="I8" i="16"/>
  <c r="J96" i="1" s="1"/>
  <c r="K96" i="1" s="1"/>
  <c r="I9" i="16"/>
  <c r="J120" i="1" s="1"/>
  <c r="K120" i="1" s="1"/>
  <c r="I10" i="16"/>
  <c r="J156" i="1" s="1"/>
  <c r="K156" i="1" s="1"/>
  <c r="J7" i="34" l="1"/>
  <c r="K7" i="34" s="1"/>
  <c r="J13" i="34"/>
  <c r="K13" i="34" s="1"/>
  <c r="J10" i="34"/>
  <c r="K10" i="34" s="1"/>
  <c r="J8" i="34"/>
  <c r="K8" i="34" s="1"/>
  <c r="J11" i="34"/>
  <c r="K11" i="34" s="1"/>
  <c r="J14" i="34"/>
  <c r="K14" i="34" s="1"/>
  <c r="J6" i="34"/>
  <c r="K6" i="34" s="1"/>
  <c r="J9" i="34"/>
  <c r="K9" i="34" s="1"/>
  <c r="J12" i="34"/>
  <c r="K12" i="34" s="1"/>
  <c r="J15" i="34"/>
  <c r="K15" i="34" s="1"/>
  <c r="J7" i="33"/>
  <c r="K7" i="33" s="1"/>
  <c r="J16" i="33"/>
  <c r="K16" i="33" s="1"/>
  <c r="J25" i="33"/>
  <c r="K25" i="33" s="1"/>
  <c r="J13" i="33"/>
  <c r="K13" i="33" s="1"/>
  <c r="J22" i="33"/>
  <c r="K22" i="33" s="1"/>
  <c r="J31" i="33"/>
  <c r="K31" i="33" s="1"/>
  <c r="J40" i="33"/>
  <c r="K40" i="33" s="1"/>
  <c r="J34" i="33"/>
  <c r="K34" i="33" s="1"/>
  <c r="J10" i="33"/>
  <c r="K10" i="33" s="1"/>
  <c r="J19" i="33"/>
  <c r="K19" i="33" s="1"/>
  <c r="J28" i="33"/>
  <c r="K28" i="33" s="1"/>
  <c r="J37" i="33"/>
  <c r="K37" i="33" s="1"/>
  <c r="J8" i="33"/>
  <c r="K8" i="33" s="1"/>
  <c r="J11" i="33"/>
  <c r="K11" i="33" s="1"/>
  <c r="J14" i="33"/>
  <c r="K14" i="33" s="1"/>
  <c r="J17" i="33"/>
  <c r="K17" i="33" s="1"/>
  <c r="J20" i="33"/>
  <c r="K20" i="33" s="1"/>
  <c r="J23" i="33"/>
  <c r="K23" i="33" s="1"/>
  <c r="J26" i="33"/>
  <c r="K26" i="33" s="1"/>
  <c r="J29" i="33"/>
  <c r="K29" i="33" s="1"/>
  <c r="J32" i="33"/>
  <c r="K32" i="33" s="1"/>
  <c r="J35" i="33"/>
  <c r="K35" i="33" s="1"/>
  <c r="J38" i="33"/>
  <c r="K38" i="33" s="1"/>
  <c r="J41" i="33"/>
  <c r="K41" i="33" s="1"/>
  <c r="J6" i="33"/>
  <c r="K6" i="33" s="1"/>
  <c r="J9" i="33"/>
  <c r="K9" i="33" s="1"/>
  <c r="J12" i="33"/>
  <c r="K12" i="33" s="1"/>
  <c r="J15" i="33"/>
  <c r="K15" i="33" s="1"/>
  <c r="J18" i="33"/>
  <c r="K18" i="33" s="1"/>
  <c r="J21" i="33"/>
  <c r="K21" i="33" s="1"/>
  <c r="J24" i="33"/>
  <c r="K24" i="33" s="1"/>
  <c r="J27" i="33"/>
  <c r="K27" i="33" s="1"/>
  <c r="J30" i="33"/>
  <c r="K30" i="33" s="1"/>
  <c r="J33" i="33"/>
  <c r="K33" i="33" s="1"/>
  <c r="J36" i="33"/>
  <c r="K36" i="33" s="1"/>
  <c r="J39" i="33"/>
  <c r="K39" i="33" s="1"/>
  <c r="J42" i="33"/>
  <c r="K42" i="33" s="1"/>
  <c r="J6" i="32"/>
  <c r="K6" i="32" s="1"/>
  <c r="J11" i="32"/>
  <c r="K11" i="32" s="1"/>
  <c r="J18" i="32"/>
  <c r="K18" i="32" s="1"/>
  <c r="J23" i="32"/>
  <c r="K23" i="32" s="1"/>
  <c r="J9" i="32"/>
  <c r="K9" i="32" s="1"/>
  <c r="J16" i="32"/>
  <c r="K16" i="32" s="1"/>
  <c r="J21" i="32"/>
  <c r="K21" i="32" s="1"/>
  <c r="J7" i="32"/>
  <c r="K7" i="32" s="1"/>
  <c r="J14" i="32"/>
  <c r="K14" i="32" s="1"/>
  <c r="J19" i="32"/>
  <c r="K19" i="32" s="1"/>
  <c r="J26" i="32"/>
  <c r="K26" i="32" s="1"/>
  <c r="J12" i="32"/>
  <c r="K12" i="32" s="1"/>
  <c r="J17" i="32"/>
  <c r="K17" i="32" s="1"/>
  <c r="J24" i="32"/>
  <c r="K24" i="32" s="1"/>
  <c r="J10" i="32"/>
  <c r="K10" i="32" s="1"/>
  <c r="J15" i="32"/>
  <c r="K15" i="32" s="1"/>
  <c r="J22" i="32"/>
  <c r="K22" i="32" s="1"/>
  <c r="J27" i="32"/>
  <c r="K27" i="32" s="1"/>
  <c r="J8" i="32"/>
  <c r="K8" i="32" s="1"/>
  <c r="J13" i="32"/>
  <c r="K13" i="32" s="1"/>
  <c r="J20" i="32"/>
  <c r="K20" i="32" s="1"/>
  <c r="J25" i="32"/>
  <c r="K25" i="32" s="1"/>
  <c r="J7" i="31"/>
  <c r="K7" i="31" s="1"/>
  <c r="J10" i="31"/>
  <c r="K10" i="31" s="1"/>
  <c r="J13" i="31"/>
  <c r="K13" i="31" s="1"/>
  <c r="J16" i="31"/>
  <c r="K16" i="31" s="1"/>
  <c r="J19" i="31"/>
  <c r="K19" i="31" s="1"/>
  <c r="J22" i="31"/>
  <c r="K22" i="31" s="1"/>
  <c r="J25" i="31"/>
  <c r="K25" i="31" s="1"/>
  <c r="J28" i="31"/>
  <c r="K28" i="31" s="1"/>
  <c r="J31" i="31"/>
  <c r="K31" i="31" s="1"/>
  <c r="J34" i="31"/>
  <c r="K34" i="31" s="1"/>
  <c r="J37" i="31"/>
  <c r="K37" i="31" s="1"/>
  <c r="J40" i="31"/>
  <c r="K40" i="31" s="1"/>
  <c r="J43" i="31"/>
  <c r="K43" i="31" s="1"/>
  <c r="J46" i="31"/>
  <c r="K46" i="31" s="1"/>
  <c r="J49" i="31"/>
  <c r="K49" i="31" s="1"/>
  <c r="J52" i="31"/>
  <c r="K52" i="31" s="1"/>
  <c r="J55" i="31"/>
  <c r="K55" i="31" s="1"/>
  <c r="J58" i="31"/>
  <c r="K58" i="31" s="1"/>
  <c r="J8" i="31"/>
  <c r="K8" i="31" s="1"/>
  <c r="J11" i="31"/>
  <c r="K11" i="31" s="1"/>
  <c r="J14" i="31"/>
  <c r="K14" i="31" s="1"/>
  <c r="J17" i="31"/>
  <c r="K17" i="31" s="1"/>
  <c r="J20" i="31"/>
  <c r="K20" i="31" s="1"/>
  <c r="J23" i="31"/>
  <c r="K23" i="31" s="1"/>
  <c r="J26" i="31"/>
  <c r="K26" i="31" s="1"/>
  <c r="J29" i="31"/>
  <c r="K29" i="31" s="1"/>
  <c r="J32" i="31"/>
  <c r="K32" i="31" s="1"/>
  <c r="J35" i="31"/>
  <c r="K35" i="31" s="1"/>
  <c r="J38" i="31"/>
  <c r="K38" i="31" s="1"/>
  <c r="J41" i="31"/>
  <c r="K41" i="31" s="1"/>
  <c r="J44" i="31"/>
  <c r="K44" i="31" s="1"/>
  <c r="J47" i="31"/>
  <c r="K47" i="31" s="1"/>
  <c r="J50" i="31"/>
  <c r="K50" i="31" s="1"/>
  <c r="J53" i="31"/>
  <c r="K53" i="31" s="1"/>
  <c r="J56" i="31"/>
  <c r="K56" i="31" s="1"/>
  <c r="J59" i="31"/>
  <c r="K59" i="31" s="1"/>
  <c r="J6" i="31"/>
  <c r="K6" i="31" s="1"/>
  <c r="J9" i="31"/>
  <c r="K9" i="31" s="1"/>
  <c r="J12" i="31"/>
  <c r="K12" i="31" s="1"/>
  <c r="J15" i="31"/>
  <c r="K15" i="31" s="1"/>
  <c r="J18" i="31"/>
  <c r="K18" i="31" s="1"/>
  <c r="J21" i="31"/>
  <c r="K21" i="31" s="1"/>
  <c r="J24" i="31"/>
  <c r="K24" i="31" s="1"/>
  <c r="J27" i="31"/>
  <c r="K27" i="31" s="1"/>
  <c r="J30" i="31"/>
  <c r="K30" i="31" s="1"/>
  <c r="J33" i="31"/>
  <c r="K33" i="31" s="1"/>
  <c r="J36" i="31"/>
  <c r="K36" i="31" s="1"/>
  <c r="J39" i="31"/>
  <c r="K39" i="31" s="1"/>
  <c r="J42" i="31"/>
  <c r="K42" i="31" s="1"/>
  <c r="J45" i="31"/>
  <c r="K45" i="31" s="1"/>
  <c r="J48" i="31"/>
  <c r="K48" i="31" s="1"/>
  <c r="J51" i="31"/>
  <c r="K51" i="31" s="1"/>
  <c r="J54" i="31"/>
  <c r="K54" i="31" s="1"/>
  <c r="J57" i="31"/>
  <c r="K57" i="31" s="1"/>
  <c r="J60" i="31"/>
  <c r="K60" i="31" s="1"/>
  <c r="J8" i="30"/>
  <c r="K8" i="30" s="1"/>
  <c r="J6" i="30"/>
  <c r="K6" i="30" s="1"/>
  <c r="J9" i="30"/>
  <c r="K9" i="30" s="1"/>
  <c r="J7" i="30"/>
  <c r="K7" i="30" s="1"/>
  <c r="J10" i="30"/>
  <c r="K10" i="30" s="1"/>
  <c r="J7" i="29"/>
  <c r="K7" i="29" s="1"/>
  <c r="J13" i="29"/>
  <c r="K13" i="29" s="1"/>
  <c r="J10" i="29"/>
  <c r="K10" i="29" s="1"/>
  <c r="J8" i="29"/>
  <c r="K8" i="29" s="1"/>
  <c r="J11" i="29"/>
  <c r="K11" i="29" s="1"/>
  <c r="J14" i="29"/>
  <c r="K14" i="29" s="1"/>
  <c r="J6" i="29"/>
  <c r="K6" i="29" s="1"/>
  <c r="J9" i="29"/>
  <c r="K9" i="29" s="1"/>
  <c r="J12" i="29"/>
  <c r="K12" i="29" s="1"/>
  <c r="J15" i="29"/>
  <c r="K15" i="29" s="1"/>
  <c r="J7" i="28"/>
  <c r="K7" i="28" s="1"/>
  <c r="J10" i="28"/>
  <c r="K10" i="28" s="1"/>
  <c r="J8" i="28"/>
  <c r="K8" i="28" s="1"/>
  <c r="J6" i="28"/>
  <c r="K6" i="28" s="1"/>
  <c r="J11" i="28"/>
  <c r="K11" i="28" s="1"/>
  <c r="J9" i="28"/>
  <c r="K9" i="28" s="1"/>
  <c r="J10" i="27"/>
  <c r="K10" i="27" s="1"/>
  <c r="J15" i="27"/>
  <c r="K15" i="27" s="1"/>
  <c r="J6" i="27"/>
  <c r="K6" i="27" s="1"/>
  <c r="J11" i="27"/>
  <c r="K11" i="27" s="1"/>
  <c r="J18" i="27"/>
  <c r="K18" i="27" s="1"/>
  <c r="J9" i="27"/>
  <c r="K9" i="27" s="1"/>
  <c r="J16" i="27"/>
  <c r="K16" i="27" s="1"/>
  <c r="J8" i="27"/>
  <c r="K8" i="27" s="1"/>
  <c r="J13" i="27"/>
  <c r="K13" i="27" s="1"/>
  <c r="J7" i="27"/>
  <c r="K7" i="27" s="1"/>
  <c r="J14" i="27"/>
  <c r="K14" i="27" s="1"/>
  <c r="J19" i="27"/>
  <c r="K19" i="27" s="1"/>
  <c r="J12" i="27"/>
  <c r="K12" i="27" s="1"/>
  <c r="J17" i="27"/>
  <c r="K17" i="27" s="1"/>
  <c r="L152" i="1"/>
  <c r="L122" i="1"/>
  <c r="L145" i="1"/>
  <c r="L121" i="1"/>
  <c r="L91" i="1"/>
  <c r="L150" i="1"/>
  <c r="L132" i="1"/>
  <c r="L114" i="1"/>
  <c r="L96" i="1"/>
  <c r="L84" i="1"/>
  <c r="L66" i="1"/>
  <c r="L48" i="1"/>
  <c r="L161" i="1"/>
  <c r="L149" i="1"/>
  <c r="L143" i="1"/>
  <c r="L131" i="1"/>
  <c r="L119" i="1"/>
  <c r="L107" i="1"/>
  <c r="L95" i="1"/>
  <c r="L83" i="1"/>
  <c r="L71" i="1"/>
  <c r="L53" i="1"/>
  <c r="L41" i="1"/>
  <c r="L160" i="1"/>
  <c r="L154" i="1"/>
  <c r="L148" i="1"/>
  <c r="L142" i="1"/>
  <c r="L136" i="1"/>
  <c r="L130" i="1"/>
  <c r="L124" i="1"/>
  <c r="L118" i="1"/>
  <c r="L112" i="1"/>
  <c r="L106" i="1"/>
  <c r="L100" i="1"/>
  <c r="L94" i="1"/>
  <c r="L88" i="1"/>
  <c r="L82" i="1"/>
  <c r="L76" i="1"/>
  <c r="L70" i="1"/>
  <c r="L64" i="1"/>
  <c r="L58" i="1"/>
  <c r="L52" i="1"/>
  <c r="L46" i="1"/>
  <c r="L40" i="1"/>
  <c r="L34" i="1"/>
  <c r="L28" i="1"/>
  <c r="L22" i="1"/>
  <c r="L16" i="1"/>
  <c r="L164" i="1"/>
  <c r="L140" i="1"/>
  <c r="L116" i="1"/>
  <c r="L110" i="1"/>
  <c r="L104" i="1"/>
  <c r="L98" i="1"/>
  <c r="L92" i="1"/>
  <c r="L86" i="1"/>
  <c r="L80" i="1"/>
  <c r="L74" i="1"/>
  <c r="L68" i="1"/>
  <c r="L62" i="1"/>
  <c r="L56" i="1"/>
  <c r="L50" i="1"/>
  <c r="L44" i="1"/>
  <c r="L38" i="1"/>
  <c r="L32" i="1"/>
  <c r="L26" i="1"/>
  <c r="N26" i="1" s="1"/>
  <c r="L20" i="1"/>
  <c r="L14" i="1"/>
  <c r="L146" i="1"/>
  <c r="L163" i="1"/>
  <c r="L139" i="1"/>
  <c r="L115" i="1"/>
  <c r="L97" i="1"/>
  <c r="L85" i="1"/>
  <c r="L79" i="1"/>
  <c r="L73" i="1"/>
  <c r="L67" i="1"/>
  <c r="L61" i="1"/>
  <c r="L55" i="1"/>
  <c r="L49" i="1"/>
  <c r="L43" i="1"/>
  <c r="L37" i="1"/>
  <c r="L31" i="1"/>
  <c r="L25" i="1"/>
  <c r="L19" i="1"/>
  <c r="L13" i="1"/>
  <c r="L158" i="1"/>
  <c r="L134" i="1"/>
  <c r="L157" i="1"/>
  <c r="L133" i="1"/>
  <c r="L103" i="1"/>
  <c r="L156" i="1"/>
  <c r="L138" i="1"/>
  <c r="L120" i="1"/>
  <c r="L102" i="1"/>
  <c r="L78" i="1"/>
  <c r="L60" i="1"/>
  <c r="L42" i="1"/>
  <c r="L30" i="1"/>
  <c r="L24" i="1"/>
  <c r="L18" i="1"/>
  <c r="L12" i="1"/>
  <c r="L128" i="1"/>
  <c r="L151" i="1"/>
  <c r="L127" i="1"/>
  <c r="L109" i="1"/>
  <c r="L162" i="1"/>
  <c r="L144" i="1"/>
  <c r="L126" i="1"/>
  <c r="L108" i="1"/>
  <c r="L90" i="1"/>
  <c r="L72" i="1"/>
  <c r="L54" i="1"/>
  <c r="L36" i="1"/>
  <c r="N36" i="1" s="1"/>
  <c r="L155" i="1"/>
  <c r="L137" i="1"/>
  <c r="L125" i="1"/>
  <c r="L113" i="1"/>
  <c r="L101" i="1"/>
  <c r="L89" i="1"/>
  <c r="L77" i="1"/>
  <c r="L65" i="1"/>
  <c r="L59" i="1"/>
  <c r="L47" i="1"/>
  <c r="L35" i="1"/>
  <c r="L29" i="1"/>
  <c r="L23" i="1"/>
  <c r="L17" i="1"/>
  <c r="J11" i="16"/>
  <c r="K7" i="16"/>
  <c r="J161" i="1"/>
  <c r="K161" i="1" s="1"/>
  <c r="J155" i="1"/>
  <c r="K155" i="1" s="1"/>
  <c r="J149" i="1"/>
  <c r="K149" i="1" s="1"/>
  <c r="J143" i="1"/>
  <c r="K143" i="1" s="1"/>
  <c r="J137" i="1"/>
  <c r="K137" i="1" s="1"/>
  <c r="J131" i="1"/>
  <c r="K131" i="1" s="1"/>
  <c r="J125" i="1"/>
  <c r="K125" i="1" s="1"/>
  <c r="J119" i="1"/>
  <c r="K119" i="1" s="1"/>
  <c r="J113" i="1"/>
  <c r="K113" i="1" s="1"/>
  <c r="J107" i="1"/>
  <c r="K107" i="1" s="1"/>
  <c r="J101" i="1"/>
  <c r="K101" i="1" s="1"/>
  <c r="J95" i="1"/>
  <c r="K95" i="1" s="1"/>
  <c r="J89" i="1"/>
  <c r="K89" i="1" s="1"/>
  <c r="J83" i="1"/>
  <c r="K83" i="1" s="1"/>
  <c r="J77" i="1"/>
  <c r="K77" i="1" s="1"/>
  <c r="J71" i="1"/>
  <c r="K71" i="1" s="1"/>
  <c r="J65" i="1"/>
  <c r="K65" i="1" s="1"/>
  <c r="J59" i="1"/>
  <c r="K59" i="1" s="1"/>
  <c r="J53" i="1"/>
  <c r="K53" i="1" s="1"/>
  <c r="J47" i="1"/>
  <c r="K47" i="1" s="1"/>
  <c r="J41" i="1"/>
  <c r="K41" i="1" s="1"/>
  <c r="J35" i="1"/>
  <c r="K35" i="1" s="1"/>
  <c r="J29" i="1"/>
  <c r="K29" i="1" s="1"/>
  <c r="J23" i="1"/>
  <c r="K23" i="1" s="1"/>
  <c r="J17" i="1"/>
  <c r="K17" i="1" s="1"/>
  <c r="J11" i="1"/>
  <c r="K11" i="1" s="1"/>
  <c r="K6" i="16"/>
  <c r="J160" i="1"/>
  <c r="K160" i="1" s="1"/>
  <c r="J154" i="1"/>
  <c r="K154" i="1" s="1"/>
  <c r="J148" i="1"/>
  <c r="K148" i="1" s="1"/>
  <c r="J142" i="1"/>
  <c r="K142" i="1" s="1"/>
  <c r="J136" i="1"/>
  <c r="K136" i="1" s="1"/>
  <c r="J130" i="1"/>
  <c r="K130" i="1" s="1"/>
  <c r="J124" i="1"/>
  <c r="K124" i="1" s="1"/>
  <c r="J118" i="1"/>
  <c r="K118" i="1" s="1"/>
  <c r="J112" i="1"/>
  <c r="K112" i="1" s="1"/>
  <c r="J106" i="1"/>
  <c r="K106" i="1" s="1"/>
  <c r="J100" i="1"/>
  <c r="K100" i="1" s="1"/>
  <c r="J94" i="1"/>
  <c r="K94" i="1" s="1"/>
  <c r="J88" i="1"/>
  <c r="K88" i="1" s="1"/>
  <c r="J82" i="1"/>
  <c r="K82" i="1" s="1"/>
  <c r="J76" i="1"/>
  <c r="K76" i="1" s="1"/>
  <c r="J70" i="1"/>
  <c r="K70" i="1" s="1"/>
  <c r="J64" i="1"/>
  <c r="K64" i="1" s="1"/>
  <c r="J58" i="1"/>
  <c r="K58" i="1" s="1"/>
  <c r="J52" i="1"/>
  <c r="K52" i="1" s="1"/>
  <c r="J46" i="1"/>
  <c r="K46" i="1" s="1"/>
  <c r="J40" i="1"/>
  <c r="K40" i="1" s="1"/>
  <c r="J34" i="1"/>
  <c r="K34" i="1" s="1"/>
  <c r="J28" i="1"/>
  <c r="K28" i="1" s="1"/>
  <c r="J22" i="1"/>
  <c r="K22" i="1" s="1"/>
  <c r="J16" i="1"/>
  <c r="K16" i="1" s="1"/>
  <c r="J10" i="1"/>
  <c r="K10" i="1" s="1"/>
  <c r="J159" i="1"/>
  <c r="K159" i="1" s="1"/>
  <c r="J153" i="1"/>
  <c r="K153" i="1" s="1"/>
  <c r="J147" i="1"/>
  <c r="K147" i="1" s="1"/>
  <c r="J141" i="1"/>
  <c r="K141" i="1" s="1"/>
  <c r="J135" i="1"/>
  <c r="K135" i="1" s="1"/>
  <c r="J129" i="1"/>
  <c r="K129" i="1" s="1"/>
  <c r="J123" i="1"/>
  <c r="K123" i="1" s="1"/>
  <c r="J117" i="1"/>
  <c r="K117" i="1" s="1"/>
  <c r="J111" i="1"/>
  <c r="K111" i="1" s="1"/>
  <c r="J105" i="1"/>
  <c r="K105" i="1" s="1"/>
  <c r="J99" i="1"/>
  <c r="K99" i="1" s="1"/>
  <c r="J93" i="1"/>
  <c r="K93" i="1" s="1"/>
  <c r="J87" i="1"/>
  <c r="K87" i="1" s="1"/>
  <c r="J81" i="1"/>
  <c r="K81" i="1" s="1"/>
  <c r="J75" i="1"/>
  <c r="K75" i="1" s="1"/>
  <c r="J69" i="1"/>
  <c r="K69" i="1" s="1"/>
  <c r="J63" i="1"/>
  <c r="K63" i="1" s="1"/>
  <c r="J57" i="1"/>
  <c r="K57" i="1" s="1"/>
  <c r="J51" i="1"/>
  <c r="K51" i="1" s="1"/>
  <c r="J45" i="1"/>
  <c r="K45" i="1" s="1"/>
  <c r="J39" i="1"/>
  <c r="K39" i="1" s="1"/>
  <c r="J33" i="1"/>
  <c r="K33" i="1" s="1"/>
  <c r="J27" i="1"/>
  <c r="K27" i="1" s="1"/>
  <c r="J21" i="1"/>
  <c r="K21" i="1" s="1"/>
  <c r="J15" i="1"/>
  <c r="K15" i="1" s="1"/>
  <c r="J9" i="1"/>
  <c r="K9" i="1" s="1"/>
  <c r="K10" i="16"/>
  <c r="K4" i="16"/>
  <c r="J164" i="1"/>
  <c r="K164" i="1" s="1"/>
  <c r="J158" i="1"/>
  <c r="K158" i="1" s="1"/>
  <c r="J152" i="1"/>
  <c r="K152" i="1" s="1"/>
  <c r="J146" i="1"/>
  <c r="K146" i="1" s="1"/>
  <c r="J140" i="1"/>
  <c r="K140" i="1" s="1"/>
  <c r="J134" i="1"/>
  <c r="K134" i="1" s="1"/>
  <c r="J128" i="1"/>
  <c r="K128" i="1" s="1"/>
  <c r="J122" i="1"/>
  <c r="K122" i="1" s="1"/>
  <c r="J116" i="1"/>
  <c r="K116" i="1" s="1"/>
  <c r="J110" i="1"/>
  <c r="K110" i="1" s="1"/>
  <c r="J104" i="1"/>
  <c r="K104" i="1" s="1"/>
  <c r="J98" i="1"/>
  <c r="K98" i="1" s="1"/>
  <c r="J92" i="1"/>
  <c r="K92" i="1" s="1"/>
  <c r="J86" i="1"/>
  <c r="K86" i="1" s="1"/>
  <c r="J80" i="1"/>
  <c r="K80" i="1" s="1"/>
  <c r="J74" i="1"/>
  <c r="K74" i="1" s="1"/>
  <c r="J68" i="1"/>
  <c r="K68" i="1" s="1"/>
  <c r="J62" i="1"/>
  <c r="K62" i="1" s="1"/>
  <c r="J56" i="1"/>
  <c r="K56" i="1" s="1"/>
  <c r="J50" i="1"/>
  <c r="K50" i="1" s="1"/>
  <c r="J44" i="1"/>
  <c r="K44" i="1" s="1"/>
  <c r="J38" i="1"/>
  <c r="K38" i="1" s="1"/>
  <c r="J32" i="1"/>
  <c r="K32" i="1" s="1"/>
  <c r="J26" i="1"/>
  <c r="K26" i="1" s="1"/>
  <c r="J20" i="1"/>
  <c r="K20" i="1" s="1"/>
  <c r="J14" i="1"/>
  <c r="K14" i="1" s="1"/>
  <c r="J8" i="1"/>
  <c r="K8" i="1" s="1"/>
  <c r="I11" i="16"/>
  <c r="H10" i="16" s="1"/>
  <c r="K9" i="16"/>
  <c r="K3" i="16"/>
  <c r="J163" i="1"/>
  <c r="K163" i="1" s="1"/>
  <c r="J157" i="1"/>
  <c r="K157" i="1" s="1"/>
  <c r="J151" i="1"/>
  <c r="K151" i="1" s="1"/>
  <c r="J145" i="1"/>
  <c r="K145" i="1" s="1"/>
  <c r="J139" i="1"/>
  <c r="K139" i="1" s="1"/>
  <c r="J133" i="1"/>
  <c r="K133" i="1" s="1"/>
  <c r="J127" i="1"/>
  <c r="K127" i="1" s="1"/>
  <c r="J121" i="1"/>
  <c r="K121" i="1" s="1"/>
  <c r="J115" i="1"/>
  <c r="K115" i="1" s="1"/>
  <c r="J109" i="1"/>
  <c r="K109" i="1" s="1"/>
  <c r="J103" i="1"/>
  <c r="K103" i="1" s="1"/>
  <c r="J97" i="1"/>
  <c r="K97" i="1" s="1"/>
  <c r="J91" i="1"/>
  <c r="K91" i="1" s="1"/>
  <c r="J85" i="1"/>
  <c r="K85" i="1" s="1"/>
  <c r="J79" i="1"/>
  <c r="K79" i="1" s="1"/>
  <c r="J73" i="1"/>
  <c r="K73" i="1" s="1"/>
  <c r="J67" i="1"/>
  <c r="K67" i="1" s="1"/>
  <c r="J61" i="1"/>
  <c r="K61" i="1" s="1"/>
  <c r="J55" i="1"/>
  <c r="K55" i="1" s="1"/>
  <c r="J49" i="1"/>
  <c r="K49" i="1" s="1"/>
  <c r="J43" i="1"/>
  <c r="K43" i="1" s="1"/>
  <c r="J37" i="1"/>
  <c r="K37" i="1" s="1"/>
  <c r="J31" i="1"/>
  <c r="K31" i="1" s="1"/>
  <c r="J25" i="1"/>
  <c r="K25" i="1" s="1"/>
  <c r="J19" i="1"/>
  <c r="K19" i="1" s="1"/>
  <c r="J13" i="1"/>
  <c r="K13" i="1" s="1"/>
  <c r="J7" i="1"/>
  <c r="K7" i="1" s="1"/>
  <c r="K5" i="16"/>
  <c r="K8" i="16"/>
  <c r="J162" i="1"/>
  <c r="K162" i="1" s="1"/>
  <c r="J150" i="1"/>
  <c r="K150" i="1" s="1"/>
  <c r="J144" i="1"/>
  <c r="K144" i="1" s="1"/>
  <c r="J138" i="1"/>
  <c r="K138" i="1" s="1"/>
  <c r="J132" i="1"/>
  <c r="K132" i="1" s="1"/>
  <c r="J126" i="1"/>
  <c r="K126" i="1" s="1"/>
  <c r="J114" i="1"/>
  <c r="K114" i="1" s="1"/>
  <c r="J108" i="1"/>
  <c r="K108" i="1" s="1"/>
  <c r="J102" i="1"/>
  <c r="K102" i="1" s="1"/>
  <c r="J90" i="1"/>
  <c r="K90" i="1" s="1"/>
  <c r="J84" i="1"/>
  <c r="K84" i="1" s="1"/>
  <c r="J78" i="1"/>
  <c r="K78" i="1" s="1"/>
  <c r="J72" i="1"/>
  <c r="K72" i="1" s="1"/>
  <c r="J66" i="1"/>
  <c r="K66" i="1" s="1"/>
  <c r="J60" i="1"/>
  <c r="K60" i="1" s="1"/>
  <c r="J54" i="1"/>
  <c r="K54" i="1" s="1"/>
  <c r="J48" i="1"/>
  <c r="K48" i="1" s="1"/>
  <c r="J18" i="1"/>
  <c r="K18" i="1" s="1"/>
  <c r="J12" i="1"/>
  <c r="K12" i="1" s="1"/>
  <c r="A2" i="1"/>
  <c r="N10" i="1" l="1"/>
  <c r="N62" i="1"/>
  <c r="N98" i="1"/>
  <c r="N16" i="1"/>
  <c r="N52" i="1"/>
  <c r="N88" i="1"/>
  <c r="N124" i="1"/>
  <c r="N160" i="1"/>
  <c r="N107" i="1"/>
  <c r="N48" i="1"/>
  <c r="N150" i="1"/>
  <c r="N8" i="1"/>
  <c r="N11" i="1"/>
  <c r="N63" i="1"/>
  <c r="N129" i="1"/>
  <c r="N6" i="1"/>
  <c r="N12" i="1"/>
  <c r="N61" i="1"/>
  <c r="N101" i="1"/>
  <c r="N102" i="1"/>
  <c r="N139" i="1"/>
  <c r="N58" i="1"/>
  <c r="N119" i="1"/>
  <c r="N9" i="1"/>
  <c r="N135" i="1"/>
  <c r="N47" i="1"/>
  <c r="N113" i="1"/>
  <c r="N72" i="1"/>
  <c r="N109" i="1"/>
  <c r="N24" i="1"/>
  <c r="N120" i="1"/>
  <c r="N134" i="1"/>
  <c r="N37" i="1"/>
  <c r="N73" i="1"/>
  <c r="N163" i="1"/>
  <c r="N38" i="1"/>
  <c r="N74" i="1"/>
  <c r="N110" i="1"/>
  <c r="N28" i="1"/>
  <c r="N64" i="1"/>
  <c r="N100" i="1"/>
  <c r="N136" i="1"/>
  <c r="N53" i="1"/>
  <c r="N131" i="1"/>
  <c r="N84" i="1"/>
  <c r="N121" i="1"/>
  <c r="N75" i="1"/>
  <c r="N45" i="1"/>
  <c r="N51" i="1"/>
  <c r="N141" i="1"/>
  <c r="N7" i="1"/>
  <c r="N144" i="1"/>
  <c r="N115" i="1"/>
  <c r="N54" i="1"/>
  <c r="N157" i="1"/>
  <c r="N104" i="1"/>
  <c r="N130" i="1"/>
  <c r="N66" i="1"/>
  <c r="N15" i="1"/>
  <c r="N59" i="1"/>
  <c r="N125" i="1"/>
  <c r="N90" i="1"/>
  <c r="N127" i="1"/>
  <c r="N30" i="1"/>
  <c r="N138" i="1"/>
  <c r="N158" i="1"/>
  <c r="N43" i="1"/>
  <c r="N79" i="1"/>
  <c r="N146" i="1"/>
  <c r="N44" i="1"/>
  <c r="N80" i="1"/>
  <c r="N116" i="1"/>
  <c r="N34" i="1"/>
  <c r="N70" i="1"/>
  <c r="N106" i="1"/>
  <c r="N142" i="1"/>
  <c r="N71" i="1"/>
  <c r="N143" i="1"/>
  <c r="N96" i="1"/>
  <c r="N145" i="1"/>
  <c r="N111" i="1"/>
  <c r="N81" i="1"/>
  <c r="N87" i="1"/>
  <c r="N21" i="1"/>
  <c r="N33" i="1"/>
  <c r="N29" i="1"/>
  <c r="N78" i="1"/>
  <c r="N25" i="1"/>
  <c r="N35" i="1"/>
  <c r="N18" i="1"/>
  <c r="N31" i="1"/>
  <c r="N68" i="1"/>
  <c r="N94" i="1"/>
  <c r="N91" i="1"/>
  <c r="N27" i="1"/>
  <c r="N17" i="1"/>
  <c r="N65" i="1"/>
  <c r="N137" i="1"/>
  <c r="N108" i="1"/>
  <c r="N151" i="1"/>
  <c r="N42" i="1"/>
  <c r="N156" i="1"/>
  <c r="N13" i="1"/>
  <c r="N49" i="1"/>
  <c r="N85" i="1"/>
  <c r="N14" i="1"/>
  <c r="N50" i="1"/>
  <c r="N86" i="1"/>
  <c r="N140" i="1"/>
  <c r="N40" i="1"/>
  <c r="N76" i="1"/>
  <c r="N112" i="1"/>
  <c r="N148" i="1"/>
  <c r="N83" i="1"/>
  <c r="N149" i="1"/>
  <c r="N114" i="1"/>
  <c r="N122" i="1"/>
  <c r="N147" i="1"/>
  <c r="N117" i="1"/>
  <c r="N123" i="1"/>
  <c r="N57" i="1"/>
  <c r="N69" i="1"/>
  <c r="N89" i="1"/>
  <c r="N133" i="1"/>
  <c r="N162" i="1"/>
  <c r="N67" i="1"/>
  <c r="N32" i="1"/>
  <c r="N22" i="1"/>
  <c r="N41" i="1"/>
  <c r="N39" i="1"/>
  <c r="N23" i="1"/>
  <c r="N77" i="1"/>
  <c r="N155" i="1"/>
  <c r="N126" i="1"/>
  <c r="N128" i="1"/>
  <c r="N60" i="1"/>
  <c r="N103" i="1"/>
  <c r="N19" i="1"/>
  <c r="N55" i="1"/>
  <c r="N97" i="1"/>
  <c r="N20" i="1"/>
  <c r="N56" i="1"/>
  <c r="N92" i="1"/>
  <c r="N164" i="1"/>
  <c r="N46" i="1"/>
  <c r="N82" i="1"/>
  <c r="N118" i="1"/>
  <c r="N154" i="1"/>
  <c r="N95" i="1"/>
  <c r="N161" i="1"/>
  <c r="N132" i="1"/>
  <c r="N152" i="1"/>
  <c r="N99" i="1"/>
  <c r="N153" i="1"/>
  <c r="N159" i="1"/>
  <c r="N93" i="1"/>
  <c r="N105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C11" authorId="0" shapeId="0" xr:uid="{F38A127E-E86C-4490-AD61-1285433854EF}">
      <text>
        <r>
          <rPr>
            <b/>
            <sz val="9"/>
            <color indexed="81"/>
            <rFont val="Tahoma"/>
            <family val="2"/>
          </rPr>
          <t>Gabungan dari Kiki dan Rudi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<sst xmlns="http://schemas.openxmlformats.org/spreadsheetml/2006/main" count="2425" uniqueCount="346">
  <si>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</si>
  <si>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</si>
  <si>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</si>
  <si>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</si>
  <si>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</si>
  <si>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</si>
  <si>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</si>
  <si>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</si>
  <si>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</si>
  <si>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</si>
  <si>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</si>
  <si>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</si>
  <si>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</si>
  <si>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</si>
  <si>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</si>
  <si>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</si>
  <si>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</si>
  <si>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</si>
  <si>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</si>
  <si>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</si>
  <si>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</si>
  <si>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</si>
  <si>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</si>
  <si>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</si>
  <si>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</si>
  <si>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</si>
  <si>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</si>
  <si>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</si>
  <si>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</si>
  <si>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</si>
  <si>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</si>
  <si>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</si>
  <si>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</si>
  <si>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</si>
  <si>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</si>
  <si>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</si>
  <si>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</si>
  <si>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</si>
  <si>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</si>
  <si>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</si>
  <si>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</si>
  <si>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</si>
  <si>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</si>
  <si>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</si>
  <si>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</si>
  <si>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</si>
  <si>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</si>
  <si>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</si>
  <si>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</si>
  <si>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</si>
  <si>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</si>
  <si>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</si>
  <si>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</si>
  <si>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</si>
  <si>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</si>
  <si>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</si>
  <si>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</si>
  <si>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</si>
  <si>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</si>
  <si>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</si>
  <si>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</si>
  <si>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</si>
  <si>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</si>
  <si>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</si>
  <si>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</si>
  <si>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</si>
  <si>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</si>
  <si>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</si>
  <si>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</si>
  <si>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</si>
  <si>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</si>
  <si>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</si>
  <si>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</si>
  <si>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</si>
  <si>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</si>
  <si>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</si>
  <si>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</si>
  <si>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</si>
  <si>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</si>
  <si>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</si>
  <si>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</si>
  <si>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</si>
  <si>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</si>
  <si>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</si>
  <si>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</si>
  <si>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</si>
  <si>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</si>
  <si>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</si>
  <si>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</si>
  <si>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</si>
  <si>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</si>
  <si>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</si>
  <si>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</si>
  <si>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</si>
  <si>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</si>
  <si>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</si>
  <si>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</si>
  <si>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</si>
  <si>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</si>
  <si>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</si>
  <si>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</si>
  <si>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</si>
  <si>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</si>
  <si>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</si>
  <si>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</si>
  <si>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</si>
  <si>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</si>
  <si>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</si>
  <si>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</si>
  <si>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</si>
  <si>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</si>
  <si>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</si>
  <si>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</si>
  <si>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</si>
  <si>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</si>
  <si>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</si>
  <si>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</si>
  <si>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</si>
  <si>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</si>
  <si>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</si>
  <si>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</si>
  <si>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</si>
  <si>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</si>
  <si>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</si>
  <si>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</si>
  <si>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</si>
  <si>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</si>
  <si>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</si>
  <si>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</si>
  <si>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</si>
  <si>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</si>
  <si>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</si>
  <si>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</si>
  <si>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</si>
  <si>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</si>
  <si>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</si>
  <si>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</si>
  <si>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</si>
  <si>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</si>
  <si>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</si>
  <si>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</si>
  <si>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</si>
  <si>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</si>
  <si>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</si>
  <si>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</si>
  <si>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</si>
  <si>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</si>
  <si>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</si>
  <si>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</si>
  <si>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</si>
  <si>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</si>
  <si>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</si>
  <si>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</si>
  <si>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</si>
  <si>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</si>
  <si>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</si>
  <si>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</si>
  <si>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</si>
  <si>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</si>
  <si>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</si>
  <si>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</si>
  <si>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</si>
  <si>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</si>
  <si>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</si>
  <si>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</si>
  <si>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</si>
  <si>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</si>
  <si>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</si>
  <si>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</si>
  <si>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</si>
  <si>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</si>
  <si>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</si>
  <si>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</si>
  <si>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</si>
  <si>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</si>
  <si>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</si>
  <si>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</si>
  <si>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</si>
  <si>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</si>
  <si>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</si>
  <si>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</si>
  <si>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</si>
  <si>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</si>
  <si>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</si>
  <si>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</si>
  <si>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</si>
  <si>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</si>
  <si>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</si>
  <si>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</si>
  <si>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</si>
  <si>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</si>
  <si>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</si>
  <si>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</si>
  <si>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</si>
  <si>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</si>
  <si>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</si>
  <si>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</si>
  <si>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</si>
  <si>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</si>
  <si>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</si>
  <si>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</si>
  <si>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</si>
  <si>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</si>
  <si>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</si>
  <si>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</si>
  <si>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</si>
  <si>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</si>
  <si>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</si>
  <si>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</si>
  <si>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</si>
  <si>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</si>
  <si>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</si>
  <si>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</si>
  <si>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</si>
  <si>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</si>
  <si>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</si>
  <si>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</si>
  <si>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</si>
  <si>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</si>
  <si>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</si>
  <si>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</si>
  <si>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</si>
  <si>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</si>
  <si>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</si>
  <si>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</si>
  <si>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</si>
  <si>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</si>
  <si>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</si>
  <si>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</si>
  <si>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</si>
  <si>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</si>
  <si>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</si>
  <si>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</si>
  <si>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</si>
  <si>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</si>
  <si>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</si>
  <si>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</si>
  <si>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</si>
  <si>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</si>
  <si>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</si>
  <si>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</si>
  <si>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</si>
  <si>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</si>
  <si>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</si>
  <si>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</si>
  <si>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</si>
  <si>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</si>
  <si>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</si>
  <si>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</si>
  <si>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</si>
  <si>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</si>
  <si>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</si>
  <si>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</si>
  <si>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</si>
  <si>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</si>
  <si>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</si>
  <si>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</si>
  <si>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</si>
  <si>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</si>
  <si>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</si>
  <si>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</si>
  <si>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</si>
  <si>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</si>
  <si>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</si>
  <si>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</si>
  <si>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</si>
  <si>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</si>
  <si>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</si>
  <si>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</si>
  <si>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</si>
  <si>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</si>
  <si>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</si>
  <si>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</si>
  <si>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</si>
  <si>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</si>
  <si>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</si>
  <si>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</si>
  <si>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</si>
  <si>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</si>
  <si>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</si>
  <si>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</si>
  <si>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</si>
  <si>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</si>
  <si>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</si>
  <si>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</si>
  <si>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</si>
  <si>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</si>
  <si>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</si>
  <si>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</si>
  <si>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</si>
  <si>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</si>
  <si>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</si>
  <si>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</si>
  <si>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</si>
  <si>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</si>
  <si>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</si>
  <si>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</si>
  <si>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</si>
  <si>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</si>
  <si>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</si>
  <si>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</si>
  <si>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</si>
  <si>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</si>
  <si>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</si>
  <si>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</si>
  <si>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</si>
  <si>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</si>
  <si>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</si>
  <si>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</si>
  <si>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</si>
  <si>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</si>
  <si>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</si>
  <si>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</si>
  <si>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</si>
  <si>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</si>
  <si>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</si>
  <si>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</si>
  <si>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</si>
  <si>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</si>
  <si>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</si>
  <si>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</si>
  <si>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</si>
  <si>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</si>
  <si>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</si>
  <si>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</si>
  <si>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</si>
  <si>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</si>
  <si>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</si>
  <si>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</si>
  <si>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Firawaty/Fungfung</t>
  </si>
  <si>
    <t>Tony Teja</t>
  </si>
  <si>
    <t>RESUME 2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</si>
  <si>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</si>
  <si>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</si>
  <si>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</si>
  <si>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</si>
  <si>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</si>
  <si>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</si>
  <si>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</si>
  <si>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SISA BUDGET</t>
  </si>
  <si>
    <t>STATUS</t>
  </si>
  <si>
    <t>DR.BUDI S.GUNAWAN</t>
  </si>
  <si>
    <t>PT.NUSANTARA SATRIA AGUNG</t>
  </si>
  <si>
    <t>SELAIN diatas masuk ke Pa asep</t>
  </si>
  <si>
    <t>1204.631100.xlsx</t>
  </si>
  <si>
    <t>APOTEK &amp; KLINIK NUHATO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</si>
</sst>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2" fillId="0" borderId="0" xfId="0" applyFont="1"/>
    <xf numFmtId="0" fontId="8" fillId="0" borderId="0" xfId="0" applyFont="1"/>
    <xf numFmtId="0" fontId="13" fillId="2" borderId="1" xfId="0" applyFont="1" applyFill="1" applyBorder="1" applyAlignment="1">
      <alignment horizontal="center"/>
    </xf>
    <xf numFmtId="164" fontId="13" fillId="2" borderId="1" xfId="1" applyNumberFormat="1" applyFont="1" applyFill="1" applyBorder="1" applyAlignment="1">
      <alignment horizontal="center"/>
    </xf>
    <xf numFmtId="10" fontId="13" fillId="2" borderId="1" xfId="2" applyNumberFormat="1" applyFont="1" applyFill="1" applyBorder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center"/>
    </xf>
    <xf numFmtId="0" fontId="12" fillId="6" borderId="11" xfId="0" applyFont="1" applyFill="1" applyBorder="1" applyAlignment="1">
      <alignment horizontal="left" vertical="center"/>
    </xf>
    <xf numFmtId="0" fontId="10" fillId="0" borderId="0" xfId="3" applyFill="1"/>
    <xf numFmtId="0" fontId="12" fillId="6" borderId="11" xfId="0" applyFont="1" applyFill="1" applyBorder="1" applyAlignment="1">
      <alignment vertical="center"/>
    </xf>
    <xf numFmtId="0" fontId="12" fillId="6" borderId="12" xfId="0" applyFont="1" applyFill="1" applyBorder="1" applyAlignment="1">
      <alignment vertical="center"/>
    </xf>
    <xf numFmtId="0" fontId="20" fillId="0" borderId="0" xfId="0" applyFont="1"/>
    <xf numFmtId="9" fontId="0" fillId="0" borderId="0" xfId="2" applyFont="1" applyAlignment="1">
      <alignment horizontal="center" vertical="center"/>
    </xf>
    <xf numFmtId="9" fontId="6" fillId="6" borderId="10" xfId="2" applyFont="1" applyFill="1" applyBorder="1" applyAlignment="1">
      <alignment horizontal="center" vertical="center"/>
    </xf>
    <xf numFmtId="43" fontId="0" fillId="0" borderId="0" xfId="1" applyFont="1"/>
    <xf numFmtId="43" fontId="6" fillId="6" borderId="10" xfId="1" applyFont="1" applyFill="1" applyBorder="1" applyAlignment="1">
      <alignment horizontal="center"/>
    </xf>
    <xf numFmtId="9" fontId="0" fillId="0" borderId="0" xfId="2" applyFont="1" applyAlignment="1">
      <alignment vertical="center"/>
    </xf>
    <xf numFmtId="0" fontId="15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22" fillId="0" borderId="0" xfId="0" applyFont="1"/>
    <xf numFmtId="43" fontId="0" fillId="0" borderId="0" xfId="0" applyNumberFormat="1"/>
    <xf numFmtId="43" fontId="13" fillId="2" borderId="1" xfId="1" applyFont="1" applyFill="1" applyBorder="1" applyAlignment="1">
      <alignment horizontal="center"/>
    </xf>
    <xf numFmtId="43" fontId="2" fillId="0" borderId="0" xfId="1" applyFont="1"/>
    <xf numFmtId="43" fontId="22" fillId="0" borderId="0" xfId="1" applyFont="1"/>
    <xf numFmtId="43" fontId="3" fillId="0" borderId="0" xfId="1" applyFont="1"/>
    <xf numFmtId="43" fontId="4" fillId="0" borderId="0" xfId="1" applyFont="1"/>
    <xf numFmtId="10" fontId="2" fillId="0" borderId="0" xfId="2" applyNumberFormat="1" applyFont="1"/>
    <xf numFmtId="0" fontId="0" fillId="6" borderId="0" xfId="0" applyFill="1" applyAlignment="1">
      <alignment horizontal="center"/>
    </xf>
    <xf numFmtId="0" fontId="1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1" fillId="4" borderId="3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3"/>
    <xf numFmtId="0" fontId="3" fillId="0" borderId="0" xfId="0" applyFont="1" applyAlignment="1">
      <alignment horizontal="center"/>
    </xf>
    <xf numFmtId="0" fontId="23" fillId="7" borderId="0" xfId="0" applyFont="1" applyFill="1" applyAlignment="1">
      <alignment horizontal="center"/>
    </xf>
    <xf numFmtId="0" fontId="0" fillId="0" borderId="0" xfId="0" quotePrefix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6108" y="699932"/>
          <a:ext cx="1670698" cy="429245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9929" y="303557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4613416" y="323022"/>
          <a:ext cx="1581978" cy="379036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\..\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Tarikan%20JDE/1201.802140.xlsx" TargetMode="External"/><Relationship Id="rId117" Type="http://schemas.openxmlformats.org/officeDocument/2006/relationships/hyperlink" Target="../../Tarikan%20JDE/1204.631140.xlsx" TargetMode="External"/><Relationship Id="rId21" Type="http://schemas.openxmlformats.org/officeDocument/2006/relationships/hyperlink" Target="../../Tarikan%20JDE/1201.808100.xlsx" TargetMode="External"/><Relationship Id="rId42" Type="http://schemas.openxmlformats.org/officeDocument/2006/relationships/hyperlink" Target="../../Tarikan%20JDE/1201.630740.xlsx" TargetMode="External"/><Relationship Id="rId47" Type="http://schemas.openxmlformats.org/officeDocument/2006/relationships/hyperlink" Target="../../Tarikan%20JDE/1201.630130.xlsx" TargetMode="External"/><Relationship Id="rId63" Type="http://schemas.openxmlformats.org/officeDocument/2006/relationships/hyperlink" Target="../../Tarikan%20JDE/1206.630130.xlsx" TargetMode="External"/><Relationship Id="rId68" Type="http://schemas.openxmlformats.org/officeDocument/2006/relationships/hyperlink" Target="../../Tarikan%20JDE/1206.630300.xlsx" TargetMode="External"/><Relationship Id="rId84" Type="http://schemas.openxmlformats.org/officeDocument/2006/relationships/hyperlink" Target="../../Tarikan%20JDE/1205.801160.xlsx" TargetMode="External"/><Relationship Id="rId89" Type="http://schemas.openxmlformats.org/officeDocument/2006/relationships/hyperlink" Target="../../Tarikan%20JDE/1205.812100.xlsx" TargetMode="External"/><Relationship Id="rId112" Type="http://schemas.openxmlformats.org/officeDocument/2006/relationships/hyperlink" Target="../../Tarikan%20JDE/1204.630770.xlsx" TargetMode="External"/><Relationship Id="rId16" Type="http://schemas.openxmlformats.org/officeDocument/2006/relationships/hyperlink" Target="../../Tarikan%20JDE/1201.630400.xlsx" TargetMode="External"/><Relationship Id="rId107" Type="http://schemas.openxmlformats.org/officeDocument/2006/relationships/hyperlink" Target="../../Tarikan%20JDE/1204.812100.xlsx" TargetMode="External"/><Relationship Id="rId11" Type="http://schemas.openxmlformats.org/officeDocument/2006/relationships/hyperlink" Target="../../Tarikan%20JDE/1204.720100.xlsx" TargetMode="External"/><Relationship Id="rId32" Type="http://schemas.openxmlformats.org/officeDocument/2006/relationships/hyperlink" Target="../../Tarikan%20JDE/1205.809100.xlsx" TargetMode="External"/><Relationship Id="rId37" Type="http://schemas.openxmlformats.org/officeDocument/2006/relationships/hyperlink" Target="../../Tarikan%20JDE/1201.630720.xlsx" TargetMode="External"/><Relationship Id="rId53" Type="http://schemas.openxmlformats.org/officeDocument/2006/relationships/hyperlink" Target="../../Tarikan%20JDE/1201.631110.xlsx" TargetMode="External"/><Relationship Id="rId58" Type="http://schemas.openxmlformats.org/officeDocument/2006/relationships/hyperlink" Target="../../Tarikan%20JDE/1201.802120.xlsx" TargetMode="External"/><Relationship Id="rId74" Type="http://schemas.openxmlformats.org/officeDocument/2006/relationships/hyperlink" Target="../../Tarikan%20JDE/1206.630740.xlsx" TargetMode="External"/><Relationship Id="rId79" Type="http://schemas.openxmlformats.org/officeDocument/2006/relationships/hyperlink" Target="../../Tarikan%20JDE/1206.630110.xlsx" TargetMode="External"/><Relationship Id="rId102" Type="http://schemas.openxmlformats.org/officeDocument/2006/relationships/hyperlink" Target="../../Tarikan%20JDE/1204.630710.xlsx" TargetMode="External"/><Relationship Id="rId123" Type="http://schemas.openxmlformats.org/officeDocument/2006/relationships/hyperlink" Target="../../Tarikan%20JDE/1206.920700.xlsx" TargetMode="External"/><Relationship Id="rId128" Type="http://schemas.openxmlformats.org/officeDocument/2006/relationships/printerSettings" Target="../printerSettings/printerSettings1.bin"/><Relationship Id="rId5" Type="http://schemas.openxmlformats.org/officeDocument/2006/relationships/hyperlink" Target="../../Tarikan%20JDE/1201.631180.xlsx" TargetMode="External"/><Relationship Id="rId90" Type="http://schemas.openxmlformats.org/officeDocument/2006/relationships/hyperlink" Target="../../Tarikan%20JDE/1205.630400.xlsx" TargetMode="External"/><Relationship Id="rId95" Type="http://schemas.openxmlformats.org/officeDocument/2006/relationships/hyperlink" Target="../../Tarikan%20JDE/1205.630750.xlsx" TargetMode="External"/><Relationship Id="rId22" Type="http://schemas.openxmlformats.org/officeDocument/2006/relationships/hyperlink" Target="../../Tarikan%20JDE/1205.808100.xlsx" TargetMode="External"/><Relationship Id="rId27" Type="http://schemas.openxmlformats.org/officeDocument/2006/relationships/hyperlink" Target="../../Tarikan%20JDE/1204.802140.xlsx" TargetMode="External"/><Relationship Id="rId43" Type="http://schemas.openxmlformats.org/officeDocument/2006/relationships/hyperlink" Target="../../Tarikan%20JDE/1201.810110.xlsx" TargetMode="External"/><Relationship Id="rId48" Type="http://schemas.openxmlformats.org/officeDocument/2006/relationships/hyperlink" Target="../../Tarikan%20JDE/1201.816130.xlsx" TargetMode="External"/><Relationship Id="rId64" Type="http://schemas.openxmlformats.org/officeDocument/2006/relationships/hyperlink" Target="../../Tarikan%20JDE/1206.631000.xlsx" TargetMode="External"/><Relationship Id="rId69" Type="http://schemas.openxmlformats.org/officeDocument/2006/relationships/hyperlink" Target="../../Tarikan%20JDE/1206.630770.xlsx" TargetMode="External"/><Relationship Id="rId113" Type="http://schemas.openxmlformats.org/officeDocument/2006/relationships/hyperlink" Target="../../Tarikan%20JDE/1204.630750.xlsx" TargetMode="External"/><Relationship Id="rId118" Type="http://schemas.openxmlformats.org/officeDocument/2006/relationships/hyperlink" Target="../../Tarikan%20JDE/1201.816120.xlsx" TargetMode="External"/><Relationship Id="rId80" Type="http://schemas.openxmlformats.org/officeDocument/2006/relationships/hyperlink" Target="../../Tarikan%20JDE/1206.801110.xlsx" TargetMode="External"/><Relationship Id="rId85" Type="http://schemas.openxmlformats.org/officeDocument/2006/relationships/hyperlink" Target="../../Tarikan%20JDE/1205.630710.xlsx" TargetMode="External"/><Relationship Id="rId12" Type="http://schemas.openxmlformats.org/officeDocument/2006/relationships/hyperlink" Target="../../Tarikan%20JDE/1201.720500.xlsx" TargetMode="External"/><Relationship Id="rId17" Type="http://schemas.openxmlformats.org/officeDocument/2006/relationships/hyperlink" Target="../../Tarikan%20JDE/1201.813100.xlsx" TargetMode="External"/><Relationship Id="rId33" Type="http://schemas.openxmlformats.org/officeDocument/2006/relationships/hyperlink" Target="../../Tarikan%20JDE/1204.809100.xlsx" TargetMode="External"/><Relationship Id="rId38" Type="http://schemas.openxmlformats.org/officeDocument/2006/relationships/hyperlink" Target="../../Tarikan%20JDE/1201.630760.xlsx" TargetMode="External"/><Relationship Id="rId59" Type="http://schemas.openxmlformats.org/officeDocument/2006/relationships/hyperlink" Target="../../Tarikan%20JDE/1201.814110.xlsx" TargetMode="External"/><Relationship Id="rId103" Type="http://schemas.openxmlformats.org/officeDocument/2006/relationships/hyperlink" Target="../../Tarikan%20JDE/1204.630740.xlsx" TargetMode="External"/><Relationship Id="rId108" Type="http://schemas.openxmlformats.org/officeDocument/2006/relationships/hyperlink" Target="../../Tarikan%20JDE/1204.630400.xlsx" TargetMode="External"/><Relationship Id="rId124" Type="http://schemas.openxmlformats.org/officeDocument/2006/relationships/hyperlink" Target="../../Tarikan%20JDE/1205.920700.xlsx" TargetMode="External"/><Relationship Id="rId54" Type="http://schemas.openxmlformats.org/officeDocument/2006/relationships/hyperlink" Target="../../Tarikan%20JDE/1201.631140.xlsx" TargetMode="External"/><Relationship Id="rId70" Type="http://schemas.openxmlformats.org/officeDocument/2006/relationships/hyperlink" Target="../../Tarikan%20JDE/1206.630750.xlsx" TargetMode="External"/><Relationship Id="rId75" Type="http://schemas.openxmlformats.org/officeDocument/2006/relationships/hyperlink" Target="../../Tarikan%20JDE/1206.631110.xlsx" TargetMode="External"/><Relationship Id="rId91" Type="http://schemas.openxmlformats.org/officeDocument/2006/relationships/hyperlink" Target="../../Tarikan%20JDE/1205.630300.xlsx" TargetMode="External"/><Relationship Id="rId96" Type="http://schemas.openxmlformats.org/officeDocument/2006/relationships/hyperlink" Target="../../Tarikan%20JDE/1205.63072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4.631180.xlsx" TargetMode="External"/><Relationship Id="rId23" Type="http://schemas.openxmlformats.org/officeDocument/2006/relationships/hyperlink" Target="../../Tarikan%20JDE/1204.808100.xlsx" TargetMode="External"/><Relationship Id="rId28" Type="http://schemas.openxmlformats.org/officeDocument/2006/relationships/hyperlink" Target="../../Tarikan%20JDE/1201.801160.xlsx" TargetMode="External"/><Relationship Id="rId49" Type="http://schemas.openxmlformats.org/officeDocument/2006/relationships/hyperlink" Target="../../Tarikan%20JDE/1206.816130.xlsx" TargetMode="External"/><Relationship Id="rId114" Type="http://schemas.openxmlformats.org/officeDocument/2006/relationships/hyperlink" Target="../../Tarikan%20JDE/1204.630720.xlsx" TargetMode="External"/><Relationship Id="rId119" Type="http://schemas.openxmlformats.org/officeDocument/2006/relationships/hyperlink" Target="../../Tarikan%20JDE/1201.920410.xlsx" TargetMode="External"/><Relationship Id="rId44" Type="http://schemas.openxmlformats.org/officeDocument/2006/relationships/hyperlink" Target="../../Tarikan%20JDE/1206.810110.xlsx" TargetMode="External"/><Relationship Id="rId60" Type="http://schemas.openxmlformats.org/officeDocument/2006/relationships/hyperlink" Target="../../Tarikan%20JDE/1201.630450.xlsx" TargetMode="External"/><Relationship Id="rId65" Type="http://schemas.openxmlformats.org/officeDocument/2006/relationships/hyperlink" Target="../../Tarikan%20JDE/1206.815110.xlsx" TargetMode="External"/><Relationship Id="rId81" Type="http://schemas.openxmlformats.org/officeDocument/2006/relationships/hyperlink" Target="../../Tarikan%20JDE/1206.631180.xlsx" TargetMode="External"/><Relationship Id="rId86" Type="http://schemas.openxmlformats.org/officeDocument/2006/relationships/hyperlink" Target="../../Tarikan%20JDE/1205.630740.xlsx" TargetMode="External"/><Relationship Id="rId13" Type="http://schemas.openxmlformats.org/officeDocument/2006/relationships/hyperlink" Target="../../Tarikan%20JDE/1201.812100.xlsx" TargetMode="External"/><Relationship Id="rId18" Type="http://schemas.openxmlformats.org/officeDocument/2006/relationships/hyperlink" Target="../../Tarikan%20JDE/1201.630300.xlsx" TargetMode="External"/><Relationship Id="rId39" Type="http://schemas.openxmlformats.org/officeDocument/2006/relationships/hyperlink" Target="../../Tarikan%20JDE/1205.630760.xlsx" TargetMode="External"/><Relationship Id="rId109" Type="http://schemas.openxmlformats.org/officeDocument/2006/relationships/hyperlink" Target="../../Tarikan%20JDE/1204.630300.xlsx" TargetMode="External"/><Relationship Id="rId34" Type="http://schemas.openxmlformats.org/officeDocument/2006/relationships/hyperlink" Target="../../Tarikan%20JDE/1201.630710.xlsx" TargetMode="External"/><Relationship Id="rId50" Type="http://schemas.openxmlformats.org/officeDocument/2006/relationships/hyperlink" Target="../../Tarikan%20JDE/1205.816130.xlsx" TargetMode="External"/><Relationship Id="rId55" Type="http://schemas.openxmlformats.org/officeDocument/2006/relationships/hyperlink" Target="../../Tarikan%20JDE/1201.631000.xlsx" TargetMode="External"/><Relationship Id="rId76" Type="http://schemas.openxmlformats.org/officeDocument/2006/relationships/hyperlink" Target="../../Tarikan%20JDE/1206.812100.xlsx" TargetMode="External"/><Relationship Id="rId97" Type="http://schemas.openxmlformats.org/officeDocument/2006/relationships/hyperlink" Target="../../Tarikan%20JDE/1205.630730.xlsx" TargetMode="External"/><Relationship Id="rId104" Type="http://schemas.openxmlformats.org/officeDocument/2006/relationships/hyperlink" Target="../../Tarikan%20JDE/1204.630130.xlsx" TargetMode="External"/><Relationship Id="rId120" Type="http://schemas.openxmlformats.org/officeDocument/2006/relationships/hyperlink" Target="../../Tarikan%20JDE/1201.920120.xlsx" TargetMode="External"/><Relationship Id="rId125" Type="http://schemas.openxmlformats.org/officeDocument/2006/relationships/hyperlink" Target="../../Tarikan%20JDE/1204.920700.xlsx" TargetMode="External"/><Relationship Id="rId7" Type="http://schemas.openxmlformats.org/officeDocument/2006/relationships/hyperlink" Target="../../Tarikan%20JDE/1205.631180.xlsx" TargetMode="External"/><Relationship Id="rId71" Type="http://schemas.openxmlformats.org/officeDocument/2006/relationships/hyperlink" Target="../../Tarikan%20JDE/1206.630720.xlsx" TargetMode="External"/><Relationship Id="rId92" Type="http://schemas.openxmlformats.org/officeDocument/2006/relationships/hyperlink" Target="../../Tarikan%20JDE/1205.630200.xlsx" TargetMode="External"/><Relationship Id="rId2" Type="http://schemas.openxmlformats.org/officeDocument/2006/relationships/hyperlink" Target="../../Tarikan%20JDE/1204.720400.xlsx" TargetMode="External"/><Relationship Id="rId29" Type="http://schemas.openxmlformats.org/officeDocument/2006/relationships/hyperlink" Target="../../Tarikan%20JDE/1201.630110.xlsx" TargetMode="External"/><Relationship Id="rId24" Type="http://schemas.openxmlformats.org/officeDocument/2006/relationships/hyperlink" Target="../../Tarikan%20JDE/1201.630900.xlsx" TargetMode="External"/><Relationship Id="rId40" Type="http://schemas.openxmlformats.org/officeDocument/2006/relationships/hyperlink" Target="../../Tarikan%20JDE/1204.630760.xlsx" TargetMode="External"/><Relationship Id="rId45" Type="http://schemas.openxmlformats.org/officeDocument/2006/relationships/hyperlink" Target="../../Tarikan%20JDE/1205.810110.xlsx" TargetMode="External"/><Relationship Id="rId66" Type="http://schemas.openxmlformats.org/officeDocument/2006/relationships/hyperlink" Target="../../Tarikan%20JDE/1206.802120.xlsx" TargetMode="External"/><Relationship Id="rId87" Type="http://schemas.openxmlformats.org/officeDocument/2006/relationships/hyperlink" Target="../../Tarikan%20JDE/1205.630130.xlsx" TargetMode="External"/><Relationship Id="rId110" Type="http://schemas.openxmlformats.org/officeDocument/2006/relationships/hyperlink" Target="../../Tarikan%20JDE/1204.630200.xlsx" TargetMode="External"/><Relationship Id="rId115" Type="http://schemas.openxmlformats.org/officeDocument/2006/relationships/hyperlink" Target="../../Tarikan%20JDE/1204.630730.xlsx" TargetMode="External"/><Relationship Id="rId61" Type="http://schemas.openxmlformats.org/officeDocument/2006/relationships/hyperlink" Target="../../Tarikan%20JDE/1206.801160.xlsx" TargetMode="External"/><Relationship Id="rId82" Type="http://schemas.openxmlformats.org/officeDocument/2006/relationships/hyperlink" Target="../../Tarikan%20JDE/1206.630600.xlsx" TargetMode="External"/><Relationship Id="rId19" Type="http://schemas.openxmlformats.org/officeDocument/2006/relationships/hyperlink" Target="../../Tarikan%20JDE/1201.630530.xlsx" TargetMode="External"/><Relationship Id="rId14" Type="http://schemas.openxmlformats.org/officeDocument/2006/relationships/hyperlink" Target="../../Tarikan%20JDE/1201.807100.xlsx" TargetMode="External"/><Relationship Id="rId30" Type="http://schemas.openxmlformats.org/officeDocument/2006/relationships/hyperlink" Target="../../Tarikan%20JDE/1201.809100.xlsx" TargetMode="External"/><Relationship Id="rId35" Type="http://schemas.openxmlformats.org/officeDocument/2006/relationships/hyperlink" Target="../../Tarikan%20JDE/1201.630770.xlsx" TargetMode="External"/><Relationship Id="rId56" Type="http://schemas.openxmlformats.org/officeDocument/2006/relationships/hyperlink" Target="../../Tarikan%20JDE/1201.815110.xlsx" TargetMode="External"/><Relationship Id="rId77" Type="http://schemas.openxmlformats.org/officeDocument/2006/relationships/hyperlink" Target="../../Tarikan%20JDE/1206.630400.xlsx" TargetMode="External"/><Relationship Id="rId100" Type="http://schemas.openxmlformats.org/officeDocument/2006/relationships/hyperlink" Target="../../Tarikan%20JDE/1204.813100.xlsx" TargetMode="External"/><Relationship Id="rId105" Type="http://schemas.openxmlformats.org/officeDocument/2006/relationships/hyperlink" Target="../../Tarikan%20JDE/1204.815110.xlsx" TargetMode="External"/><Relationship Id="rId126" Type="http://schemas.openxmlformats.org/officeDocument/2006/relationships/hyperlink" Target="../../Tarikan%20JDE/1201.801110.xlsx" TargetMode="External"/><Relationship Id="rId8" Type="http://schemas.openxmlformats.org/officeDocument/2006/relationships/hyperlink" Target="../../Tarikan%20JDE/1201.631150.xlsx" TargetMode="External"/><Relationship Id="rId51" Type="http://schemas.openxmlformats.org/officeDocument/2006/relationships/hyperlink" Target="../../Tarikan%20JDE/1204.816130.xlsx" TargetMode="External"/><Relationship Id="rId72" Type="http://schemas.openxmlformats.org/officeDocument/2006/relationships/hyperlink" Target="../../Tarikan%20JDE/1206.630760.xlsx" TargetMode="External"/><Relationship Id="rId93" Type="http://schemas.openxmlformats.org/officeDocument/2006/relationships/hyperlink" Target="../../Tarikan%20JDE/1205.630110.xlsx" TargetMode="External"/><Relationship Id="rId98" Type="http://schemas.openxmlformats.org/officeDocument/2006/relationships/hyperlink" Target="../../Tarikan%20JDE/1205.801110.xlsx" TargetMode="External"/><Relationship Id="rId121" Type="http://schemas.openxmlformats.org/officeDocument/2006/relationships/hyperlink" Target="../../Tarikan%20JDE/1201.805120.xlsx" TargetMode="External"/><Relationship Id="rId3" Type="http://schemas.openxmlformats.org/officeDocument/2006/relationships/hyperlink" Target="../../Tarikan%20JDE/1201.816110.xlsx" TargetMode="External"/><Relationship Id="rId25" Type="http://schemas.openxmlformats.org/officeDocument/2006/relationships/hyperlink" Target="../../Tarikan%20JDE/1204.630900.xlsx" TargetMode="External"/><Relationship Id="rId46" Type="http://schemas.openxmlformats.org/officeDocument/2006/relationships/hyperlink" Target="../../Tarikan%20JDE/1204.810110.xlsx" TargetMode="External"/><Relationship Id="rId67" Type="http://schemas.openxmlformats.org/officeDocument/2006/relationships/hyperlink" Target="../../Tarikan%20JDE/1206.630450.xlsx" TargetMode="External"/><Relationship Id="rId116" Type="http://schemas.openxmlformats.org/officeDocument/2006/relationships/hyperlink" Target="../../Tarikan%20JDE/1204.631110.xlsx" TargetMode="External"/><Relationship Id="rId20" Type="http://schemas.openxmlformats.org/officeDocument/2006/relationships/hyperlink" Target="../../Tarikan%20JDE/1204.630530.xlsx" TargetMode="External"/><Relationship Id="rId41" Type="http://schemas.openxmlformats.org/officeDocument/2006/relationships/hyperlink" Target="../../Tarikan%20JDE/1201.630730.xlsx" TargetMode="External"/><Relationship Id="rId62" Type="http://schemas.openxmlformats.org/officeDocument/2006/relationships/hyperlink" Target="../../Tarikan%20JDE/1206.630710.xlsx" TargetMode="External"/><Relationship Id="rId83" Type="http://schemas.openxmlformats.org/officeDocument/2006/relationships/hyperlink" Target="../../Tarikan%20JDE/1205.813100.xlsx" TargetMode="External"/><Relationship Id="rId88" Type="http://schemas.openxmlformats.org/officeDocument/2006/relationships/hyperlink" Target="../../Tarikan%20JDE/1205.815110.xlsx" TargetMode="External"/><Relationship Id="rId111" Type="http://schemas.openxmlformats.org/officeDocument/2006/relationships/hyperlink" Target="../../Tarikan%20JDE/1204.630110.xlsx" TargetMode="External"/><Relationship Id="rId15" Type="http://schemas.openxmlformats.org/officeDocument/2006/relationships/hyperlink" Target="../../Tarikan%20JDE/1204.807100.xlsx" TargetMode="External"/><Relationship Id="rId36" Type="http://schemas.openxmlformats.org/officeDocument/2006/relationships/hyperlink" Target="../../Tarikan%20JDE/1201.630750.xlsx" TargetMode="External"/><Relationship Id="rId57" Type="http://schemas.openxmlformats.org/officeDocument/2006/relationships/hyperlink" Target="../../Tarikan%20JDE/1201.815120.xlsx" TargetMode="External"/><Relationship Id="rId106" Type="http://schemas.openxmlformats.org/officeDocument/2006/relationships/hyperlink" Target="../../Tarikan%20JDE/1204.720500.xlsx" TargetMode="External"/><Relationship Id="rId127" Type="http://schemas.openxmlformats.org/officeDocument/2006/relationships/hyperlink" Target="../../Tarikan%20JDE/1204.801110.xlsx" TargetMode="External"/><Relationship Id="rId10" Type="http://schemas.openxmlformats.org/officeDocument/2006/relationships/hyperlink" Target="../../Tarikan%20JDE/1205.720100.xlsx" TargetMode="External"/><Relationship Id="rId31" Type="http://schemas.openxmlformats.org/officeDocument/2006/relationships/hyperlink" Target="../../Tarikan%20JDE/1206.809100.xlsx" TargetMode="External"/><Relationship Id="rId52" Type="http://schemas.openxmlformats.org/officeDocument/2006/relationships/hyperlink" Target="../../Tarikan%20JDE/1206.631100.xlsx" TargetMode="External"/><Relationship Id="rId73" Type="http://schemas.openxmlformats.org/officeDocument/2006/relationships/hyperlink" Target="../../Tarikan%20JDE/1206.630730.xlsx" TargetMode="External"/><Relationship Id="rId78" Type="http://schemas.openxmlformats.org/officeDocument/2006/relationships/hyperlink" Target="../../Tarikan%20JDE/1206.808100.xlsx" TargetMode="External"/><Relationship Id="rId94" Type="http://schemas.openxmlformats.org/officeDocument/2006/relationships/hyperlink" Target="../../Tarikan%20JDE/1205.630770.xlsx" TargetMode="External"/><Relationship Id="rId99" Type="http://schemas.openxmlformats.org/officeDocument/2006/relationships/hyperlink" Target="../../Tarikan%20JDE/1205.631110.xlsx" TargetMode="External"/><Relationship Id="rId101" Type="http://schemas.openxmlformats.org/officeDocument/2006/relationships/hyperlink" Target="../../Tarikan%20JDE/1204.801160.xlsx" TargetMode="External"/><Relationship Id="rId122" Type="http://schemas.openxmlformats.org/officeDocument/2006/relationships/hyperlink" Target="../../Tarikan%20JDE/1201.920700.xlsx" TargetMode="External"/><Relationship Id="rId4" Type="http://schemas.openxmlformats.org/officeDocument/2006/relationships/hyperlink" Target="../../Tarikan%20JDE/1204.816110.xlsx" TargetMode="External"/><Relationship Id="rId9" Type="http://schemas.openxmlformats.org/officeDocument/2006/relationships/hyperlink" Target="../../Tarikan%20JDE/1201.720100.xls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1.631150.xlsx" TargetMode="External"/><Relationship Id="rId3" Type="http://schemas.openxmlformats.org/officeDocument/2006/relationships/hyperlink" Target="../../Tarikan%20JDE/1201.816110.xlsx" TargetMode="External"/><Relationship Id="rId7" Type="http://schemas.openxmlformats.org/officeDocument/2006/relationships/hyperlink" Target="../../Tarikan%20JDE/1205.631180.xlsx" TargetMode="External"/><Relationship Id="rId2" Type="http://schemas.openxmlformats.org/officeDocument/2006/relationships/hyperlink" Target="../../Tarikan%20JDE/1204.72040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4.631180.xlsx" TargetMode="External"/><Relationship Id="rId11" Type="http://schemas.openxmlformats.org/officeDocument/2006/relationships/hyperlink" Target="../../Tarikan%20JDE/1204.720100.xlsx" TargetMode="External"/><Relationship Id="rId5" Type="http://schemas.openxmlformats.org/officeDocument/2006/relationships/hyperlink" Target="../../Tarikan%20JDE/1201.631180.xlsx" TargetMode="External"/><Relationship Id="rId10" Type="http://schemas.openxmlformats.org/officeDocument/2006/relationships/hyperlink" Target="../../Tarikan%20JDE/1205.720100.xlsx" TargetMode="External"/><Relationship Id="rId4" Type="http://schemas.openxmlformats.org/officeDocument/2006/relationships/hyperlink" Target="../../Tarikan%20JDE/1204.816110.xlsx" TargetMode="External"/><Relationship Id="rId9" Type="http://schemas.openxmlformats.org/officeDocument/2006/relationships/hyperlink" Target="../../Tarikan%20JDE/1201.720100.xlsx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../../Tarikan%20JDE/1201.630900.xlsx" TargetMode="External"/><Relationship Id="rId18" Type="http://schemas.openxmlformats.org/officeDocument/2006/relationships/hyperlink" Target="../../Tarikan%20JDE/1201.630110.xlsx" TargetMode="External"/><Relationship Id="rId26" Type="http://schemas.openxmlformats.org/officeDocument/2006/relationships/hyperlink" Target="../../Tarikan%20JDE/1201.630720.xlsx" TargetMode="External"/><Relationship Id="rId39" Type="http://schemas.openxmlformats.org/officeDocument/2006/relationships/hyperlink" Target="../../Tarikan%20JDE/1205.816130.xlsx" TargetMode="External"/><Relationship Id="rId21" Type="http://schemas.openxmlformats.org/officeDocument/2006/relationships/hyperlink" Target="../../Tarikan%20JDE/1205.809100.xlsx" TargetMode="External"/><Relationship Id="rId34" Type="http://schemas.openxmlformats.org/officeDocument/2006/relationships/hyperlink" Target="../../Tarikan%20JDE/1205.810110.xlsx" TargetMode="External"/><Relationship Id="rId42" Type="http://schemas.openxmlformats.org/officeDocument/2006/relationships/hyperlink" Target="../../Tarikan%20JDE/1201.631110.xlsx" TargetMode="External"/><Relationship Id="rId47" Type="http://schemas.openxmlformats.org/officeDocument/2006/relationships/hyperlink" Target="../../Tarikan%20JDE/1201.802120.xlsx" TargetMode="External"/><Relationship Id="rId7" Type="http://schemas.openxmlformats.org/officeDocument/2006/relationships/hyperlink" Target="../../Tarikan%20JDE/1201.630300.xlsx" TargetMode="External"/><Relationship Id="rId2" Type="http://schemas.openxmlformats.org/officeDocument/2006/relationships/hyperlink" Target="../../Tarikan%20JDE/1201.812100.xlsx" TargetMode="External"/><Relationship Id="rId16" Type="http://schemas.openxmlformats.org/officeDocument/2006/relationships/hyperlink" Target="../../Tarikan%20JDE/1204.802140.xlsx" TargetMode="External"/><Relationship Id="rId29" Type="http://schemas.openxmlformats.org/officeDocument/2006/relationships/hyperlink" Target="../../Tarikan%20JDE/1204.630760.xlsx" TargetMode="External"/><Relationship Id="rId11" Type="http://schemas.openxmlformats.org/officeDocument/2006/relationships/hyperlink" Target="../../Tarikan%20JDE/1205.808100.xlsx" TargetMode="External"/><Relationship Id="rId24" Type="http://schemas.openxmlformats.org/officeDocument/2006/relationships/hyperlink" Target="../../Tarikan%20JDE/1201.630770.xlsx" TargetMode="External"/><Relationship Id="rId32" Type="http://schemas.openxmlformats.org/officeDocument/2006/relationships/hyperlink" Target="../../Tarikan%20JDE/1201.810110.xlsx" TargetMode="External"/><Relationship Id="rId37" Type="http://schemas.openxmlformats.org/officeDocument/2006/relationships/hyperlink" Target="../../Tarikan%20JDE/1201.816130.xlsx" TargetMode="External"/><Relationship Id="rId40" Type="http://schemas.openxmlformats.org/officeDocument/2006/relationships/hyperlink" Target="../../Tarikan%20JDE/1204.816130.xlsx" TargetMode="External"/><Relationship Id="rId45" Type="http://schemas.openxmlformats.org/officeDocument/2006/relationships/hyperlink" Target="../../Tarikan%20JDE/1201.815110.xlsx" TargetMode="External"/><Relationship Id="rId5" Type="http://schemas.openxmlformats.org/officeDocument/2006/relationships/hyperlink" Target="../../Tarikan%20JDE/1201.630400.xlsx" TargetMode="External"/><Relationship Id="rId15" Type="http://schemas.openxmlformats.org/officeDocument/2006/relationships/hyperlink" Target="../../Tarikan%20JDE/1201.802140.xlsx" TargetMode="External"/><Relationship Id="rId23" Type="http://schemas.openxmlformats.org/officeDocument/2006/relationships/hyperlink" Target="../../Tarikan%20JDE/1201.630710.xlsx" TargetMode="External"/><Relationship Id="rId28" Type="http://schemas.openxmlformats.org/officeDocument/2006/relationships/hyperlink" Target="../../Tarikan%20JDE/1205.630760.xlsx" TargetMode="External"/><Relationship Id="rId36" Type="http://schemas.openxmlformats.org/officeDocument/2006/relationships/hyperlink" Target="../../Tarikan%20JDE/1201.630130.xlsx" TargetMode="External"/><Relationship Id="rId49" Type="http://schemas.openxmlformats.org/officeDocument/2006/relationships/hyperlink" Target="../../Tarikan%20JDE/1201.630450.xlsx" TargetMode="External"/><Relationship Id="rId10" Type="http://schemas.openxmlformats.org/officeDocument/2006/relationships/hyperlink" Target="../../Tarikan%20JDE/1201.808100.xlsx" TargetMode="External"/><Relationship Id="rId19" Type="http://schemas.openxmlformats.org/officeDocument/2006/relationships/hyperlink" Target="../../Tarikan%20JDE/1201.809100.xlsx" TargetMode="External"/><Relationship Id="rId31" Type="http://schemas.openxmlformats.org/officeDocument/2006/relationships/hyperlink" Target="../../Tarikan%20JDE/1201.630740.xlsx" TargetMode="External"/><Relationship Id="rId44" Type="http://schemas.openxmlformats.org/officeDocument/2006/relationships/hyperlink" Target="../../Tarikan%20JDE/1201.631000.xlsx" TargetMode="External"/><Relationship Id="rId4" Type="http://schemas.openxmlformats.org/officeDocument/2006/relationships/hyperlink" Target="../../Tarikan%20JDE/1204.807100.xlsx" TargetMode="External"/><Relationship Id="rId9" Type="http://schemas.openxmlformats.org/officeDocument/2006/relationships/hyperlink" Target="../../Tarikan%20JDE/1204.630530.xlsx" TargetMode="External"/><Relationship Id="rId14" Type="http://schemas.openxmlformats.org/officeDocument/2006/relationships/hyperlink" Target="../../Tarikan%20JDE/1204.630900.xlsx" TargetMode="External"/><Relationship Id="rId22" Type="http://schemas.openxmlformats.org/officeDocument/2006/relationships/hyperlink" Target="../../Tarikan%20JDE/1204.809100.xlsx" TargetMode="External"/><Relationship Id="rId27" Type="http://schemas.openxmlformats.org/officeDocument/2006/relationships/hyperlink" Target="../../Tarikan%20JDE/1201.630760.xlsx" TargetMode="External"/><Relationship Id="rId30" Type="http://schemas.openxmlformats.org/officeDocument/2006/relationships/hyperlink" Target="../../Tarikan%20JDE/1201.630730.xlsx" TargetMode="External"/><Relationship Id="rId35" Type="http://schemas.openxmlformats.org/officeDocument/2006/relationships/hyperlink" Target="../../Tarikan%20JDE/1204.810110.xlsx" TargetMode="External"/><Relationship Id="rId43" Type="http://schemas.openxmlformats.org/officeDocument/2006/relationships/hyperlink" Target="../../Tarikan%20JDE/1201.631140.xlsx" TargetMode="External"/><Relationship Id="rId48" Type="http://schemas.openxmlformats.org/officeDocument/2006/relationships/hyperlink" Target="../../Tarikan%20JDE/1201.814110.xlsx" TargetMode="External"/><Relationship Id="rId8" Type="http://schemas.openxmlformats.org/officeDocument/2006/relationships/hyperlink" Target="../../Tarikan%20JDE/1201.630530.xlsx" TargetMode="External"/><Relationship Id="rId3" Type="http://schemas.openxmlformats.org/officeDocument/2006/relationships/hyperlink" Target="../../Tarikan%20JDE/1201.807100.xlsx" TargetMode="External"/><Relationship Id="rId12" Type="http://schemas.openxmlformats.org/officeDocument/2006/relationships/hyperlink" Target="../../Tarikan%20JDE/1204.808100.xlsx" TargetMode="External"/><Relationship Id="rId17" Type="http://schemas.openxmlformats.org/officeDocument/2006/relationships/hyperlink" Target="../../Tarikan%20JDE/1201.801160.xlsx" TargetMode="External"/><Relationship Id="rId25" Type="http://schemas.openxmlformats.org/officeDocument/2006/relationships/hyperlink" Target="../../Tarikan%20JDE/1201.630750.xlsx" TargetMode="External"/><Relationship Id="rId33" Type="http://schemas.openxmlformats.org/officeDocument/2006/relationships/hyperlink" Target="../../Tarikan%20JDE/1206.810110.xlsx" TargetMode="External"/><Relationship Id="rId38" Type="http://schemas.openxmlformats.org/officeDocument/2006/relationships/hyperlink" Target="../../Tarikan%20JDE/1206.816130.xlsx" TargetMode="External"/><Relationship Id="rId46" Type="http://schemas.openxmlformats.org/officeDocument/2006/relationships/hyperlink" Target="../../Tarikan%20JDE/1201.815120.xlsx" TargetMode="External"/><Relationship Id="rId20" Type="http://schemas.openxmlformats.org/officeDocument/2006/relationships/hyperlink" Target="../../Tarikan%20JDE/1206.809100.xlsx" TargetMode="External"/><Relationship Id="rId41" Type="http://schemas.openxmlformats.org/officeDocument/2006/relationships/hyperlink" Target="../../Tarikan%20JDE/1206.631100.xlsx" TargetMode="External"/><Relationship Id="rId1" Type="http://schemas.openxmlformats.org/officeDocument/2006/relationships/hyperlink" Target="../../Tarikan%20JDE/1201.720500.xlsx" TargetMode="External"/><Relationship Id="rId6" Type="http://schemas.openxmlformats.org/officeDocument/2006/relationships/hyperlink" Target="../../Tarikan%20JDE/1201.813100.xlsx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6.630300.xlsx" TargetMode="External"/><Relationship Id="rId13" Type="http://schemas.openxmlformats.org/officeDocument/2006/relationships/hyperlink" Target="../../Tarikan%20JDE/1206.630730.xlsx" TargetMode="External"/><Relationship Id="rId18" Type="http://schemas.openxmlformats.org/officeDocument/2006/relationships/hyperlink" Target="../../Tarikan%20JDE/1206.808100.xlsx" TargetMode="External"/><Relationship Id="rId3" Type="http://schemas.openxmlformats.org/officeDocument/2006/relationships/hyperlink" Target="../../Tarikan%20JDE/1206.630130.xlsx" TargetMode="External"/><Relationship Id="rId21" Type="http://schemas.openxmlformats.org/officeDocument/2006/relationships/hyperlink" Target="../../Tarikan%20JDE/1206.631180.xlsx" TargetMode="External"/><Relationship Id="rId7" Type="http://schemas.openxmlformats.org/officeDocument/2006/relationships/hyperlink" Target="../../Tarikan%20JDE/1206.630450.xlsx" TargetMode="External"/><Relationship Id="rId12" Type="http://schemas.openxmlformats.org/officeDocument/2006/relationships/hyperlink" Target="../../Tarikan%20JDE/1206.630760.xlsx" TargetMode="External"/><Relationship Id="rId17" Type="http://schemas.openxmlformats.org/officeDocument/2006/relationships/hyperlink" Target="../../Tarikan%20JDE/1206.630400.xlsx" TargetMode="External"/><Relationship Id="rId2" Type="http://schemas.openxmlformats.org/officeDocument/2006/relationships/hyperlink" Target="../../Tarikan%20JDE/1206.630710.xlsx" TargetMode="External"/><Relationship Id="rId16" Type="http://schemas.openxmlformats.org/officeDocument/2006/relationships/hyperlink" Target="../../Tarikan%20JDE/1206.812100.xlsx" TargetMode="External"/><Relationship Id="rId20" Type="http://schemas.openxmlformats.org/officeDocument/2006/relationships/hyperlink" Target="../../Tarikan%20JDE/1206.801110.xlsx" TargetMode="External"/><Relationship Id="rId1" Type="http://schemas.openxmlformats.org/officeDocument/2006/relationships/hyperlink" Target="../../Tarikan%20JDE/1206.801160.xlsx" TargetMode="External"/><Relationship Id="rId6" Type="http://schemas.openxmlformats.org/officeDocument/2006/relationships/hyperlink" Target="../../Tarikan%20JDE/1206.802120.xlsx" TargetMode="External"/><Relationship Id="rId11" Type="http://schemas.openxmlformats.org/officeDocument/2006/relationships/hyperlink" Target="../../Tarikan%20JDE/1206.630720.xlsx" TargetMode="External"/><Relationship Id="rId5" Type="http://schemas.openxmlformats.org/officeDocument/2006/relationships/hyperlink" Target="../../Tarikan%20JDE/1206.815110.xlsx" TargetMode="External"/><Relationship Id="rId15" Type="http://schemas.openxmlformats.org/officeDocument/2006/relationships/hyperlink" Target="../../Tarikan%20JDE/1206.631110.xlsx" TargetMode="External"/><Relationship Id="rId10" Type="http://schemas.openxmlformats.org/officeDocument/2006/relationships/hyperlink" Target="../../Tarikan%20JDE/1206.630750.xlsx" TargetMode="External"/><Relationship Id="rId19" Type="http://schemas.openxmlformats.org/officeDocument/2006/relationships/hyperlink" Target="../../Tarikan%20JDE/1206.630110.xlsx" TargetMode="External"/><Relationship Id="rId4" Type="http://schemas.openxmlformats.org/officeDocument/2006/relationships/hyperlink" Target="../../Tarikan%20JDE/1206.631000.xlsx" TargetMode="External"/><Relationship Id="rId9" Type="http://schemas.openxmlformats.org/officeDocument/2006/relationships/hyperlink" Target="../../Tarikan%20JDE/1206.630770.xlsx" TargetMode="External"/><Relationship Id="rId14" Type="http://schemas.openxmlformats.org/officeDocument/2006/relationships/hyperlink" Target="../../Tarikan%20JDE/1206.630740.xlsx" TargetMode="External"/><Relationship Id="rId22" Type="http://schemas.openxmlformats.org/officeDocument/2006/relationships/hyperlink" Target="../../Tarikan%20JDE/1206.630600.xlsx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../../Tarikan%20JDE/1205.630750.xlsx" TargetMode="External"/><Relationship Id="rId18" Type="http://schemas.openxmlformats.org/officeDocument/2006/relationships/hyperlink" Target="../../Tarikan%20JDE/1204.813100.xlsx" TargetMode="External"/><Relationship Id="rId26" Type="http://schemas.openxmlformats.org/officeDocument/2006/relationships/hyperlink" Target="../../Tarikan%20JDE/1204.630400.xlsx" TargetMode="External"/><Relationship Id="rId3" Type="http://schemas.openxmlformats.org/officeDocument/2006/relationships/hyperlink" Target="../../Tarikan%20JDE/1205.630710.xlsx" TargetMode="External"/><Relationship Id="rId21" Type="http://schemas.openxmlformats.org/officeDocument/2006/relationships/hyperlink" Target="../../Tarikan%20JDE/1204.630740.xlsx" TargetMode="External"/><Relationship Id="rId34" Type="http://schemas.openxmlformats.org/officeDocument/2006/relationships/hyperlink" Target="../../Tarikan%20JDE/1204.631110.xlsx" TargetMode="External"/><Relationship Id="rId7" Type="http://schemas.openxmlformats.org/officeDocument/2006/relationships/hyperlink" Target="../../Tarikan%20JDE/1205.812100.xlsx" TargetMode="External"/><Relationship Id="rId12" Type="http://schemas.openxmlformats.org/officeDocument/2006/relationships/hyperlink" Target="../../Tarikan%20JDE/1205.630770.xlsx" TargetMode="External"/><Relationship Id="rId17" Type="http://schemas.openxmlformats.org/officeDocument/2006/relationships/hyperlink" Target="../../Tarikan%20JDE/1205.631110.xlsx" TargetMode="External"/><Relationship Id="rId25" Type="http://schemas.openxmlformats.org/officeDocument/2006/relationships/hyperlink" Target="../../Tarikan%20JDE/1204.812100.xlsx" TargetMode="External"/><Relationship Id="rId33" Type="http://schemas.openxmlformats.org/officeDocument/2006/relationships/hyperlink" Target="../../Tarikan%20JDE/1204.630730.xlsx" TargetMode="External"/><Relationship Id="rId2" Type="http://schemas.openxmlformats.org/officeDocument/2006/relationships/hyperlink" Target="../../Tarikan%20JDE/1205.801160.xlsx" TargetMode="External"/><Relationship Id="rId16" Type="http://schemas.openxmlformats.org/officeDocument/2006/relationships/hyperlink" Target="../../Tarikan%20JDE/1205.801110.xlsx" TargetMode="External"/><Relationship Id="rId20" Type="http://schemas.openxmlformats.org/officeDocument/2006/relationships/hyperlink" Target="../../Tarikan%20JDE/1204.630710.xlsx" TargetMode="External"/><Relationship Id="rId29" Type="http://schemas.openxmlformats.org/officeDocument/2006/relationships/hyperlink" Target="../../Tarikan%20JDE/1204.630110.xlsx" TargetMode="External"/><Relationship Id="rId1" Type="http://schemas.openxmlformats.org/officeDocument/2006/relationships/hyperlink" Target="../../Tarikan%20JDE/1205.813100.xlsx" TargetMode="External"/><Relationship Id="rId6" Type="http://schemas.openxmlformats.org/officeDocument/2006/relationships/hyperlink" Target="../../Tarikan%20JDE/1205.815110.xlsx" TargetMode="External"/><Relationship Id="rId11" Type="http://schemas.openxmlformats.org/officeDocument/2006/relationships/hyperlink" Target="../../Tarikan%20JDE/1205.630110.xlsx" TargetMode="External"/><Relationship Id="rId24" Type="http://schemas.openxmlformats.org/officeDocument/2006/relationships/hyperlink" Target="../../Tarikan%20JDE/1204.720500.xlsx" TargetMode="External"/><Relationship Id="rId32" Type="http://schemas.openxmlformats.org/officeDocument/2006/relationships/hyperlink" Target="../../Tarikan%20JDE/1204.630720.xlsx" TargetMode="External"/><Relationship Id="rId5" Type="http://schemas.openxmlformats.org/officeDocument/2006/relationships/hyperlink" Target="../../Tarikan%20JDE/1205.630130.xlsx" TargetMode="External"/><Relationship Id="rId15" Type="http://schemas.openxmlformats.org/officeDocument/2006/relationships/hyperlink" Target="../../Tarikan%20JDE/1205.630730.xlsx" TargetMode="External"/><Relationship Id="rId23" Type="http://schemas.openxmlformats.org/officeDocument/2006/relationships/hyperlink" Target="../../Tarikan%20JDE/1204.815110.xlsx" TargetMode="External"/><Relationship Id="rId28" Type="http://schemas.openxmlformats.org/officeDocument/2006/relationships/hyperlink" Target="../../Tarikan%20JDE/1204.630200.xlsx" TargetMode="External"/><Relationship Id="rId10" Type="http://schemas.openxmlformats.org/officeDocument/2006/relationships/hyperlink" Target="../../Tarikan%20JDE/1205.630200.xlsx" TargetMode="External"/><Relationship Id="rId19" Type="http://schemas.openxmlformats.org/officeDocument/2006/relationships/hyperlink" Target="../../Tarikan%20JDE/1204.801160.xlsx" TargetMode="External"/><Relationship Id="rId31" Type="http://schemas.openxmlformats.org/officeDocument/2006/relationships/hyperlink" Target="../../Tarikan%20JDE/1204.630750.xlsx" TargetMode="External"/><Relationship Id="rId4" Type="http://schemas.openxmlformats.org/officeDocument/2006/relationships/hyperlink" Target="../../Tarikan%20JDE/1205.630740.xlsx" TargetMode="External"/><Relationship Id="rId9" Type="http://schemas.openxmlformats.org/officeDocument/2006/relationships/hyperlink" Target="../../Tarikan%20JDE/1205.630300.xlsx" TargetMode="External"/><Relationship Id="rId14" Type="http://schemas.openxmlformats.org/officeDocument/2006/relationships/hyperlink" Target="../../Tarikan%20JDE/1205.630720.xlsx" TargetMode="External"/><Relationship Id="rId22" Type="http://schemas.openxmlformats.org/officeDocument/2006/relationships/hyperlink" Target="../../Tarikan%20JDE/1204.630130.xlsx" TargetMode="External"/><Relationship Id="rId27" Type="http://schemas.openxmlformats.org/officeDocument/2006/relationships/hyperlink" Target="../../Tarikan%20JDE/1204.630300.xlsx" TargetMode="External"/><Relationship Id="rId30" Type="http://schemas.openxmlformats.org/officeDocument/2006/relationships/hyperlink" Target="../../Tarikan%20JDE/1204.630770.xlsx" TargetMode="External"/><Relationship Id="rId35" Type="http://schemas.openxmlformats.org/officeDocument/2006/relationships/hyperlink" Target="../../Tarikan%20JDE/1204.631140.xlsx" TargetMode="External"/><Relationship Id="rId8" Type="http://schemas.openxmlformats.org/officeDocument/2006/relationships/hyperlink" Target="../../Tarikan%20JDE/1205.630400.xlsx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4.920700.xlsx" TargetMode="External"/><Relationship Id="rId3" Type="http://schemas.openxmlformats.org/officeDocument/2006/relationships/hyperlink" Target="../../Tarikan%20JDE/1201.920120.xlsx" TargetMode="External"/><Relationship Id="rId7" Type="http://schemas.openxmlformats.org/officeDocument/2006/relationships/hyperlink" Target="../../Tarikan%20JDE/1205.920700.xlsx" TargetMode="External"/><Relationship Id="rId2" Type="http://schemas.openxmlformats.org/officeDocument/2006/relationships/hyperlink" Target="../../Tarikan%20JDE/1201.920410.xlsx" TargetMode="External"/><Relationship Id="rId1" Type="http://schemas.openxmlformats.org/officeDocument/2006/relationships/hyperlink" Target="../../Tarikan%20JDE/1201.816120.xlsx" TargetMode="External"/><Relationship Id="rId6" Type="http://schemas.openxmlformats.org/officeDocument/2006/relationships/hyperlink" Target="../../Tarikan%20JDE/1206.920700.xlsx" TargetMode="External"/><Relationship Id="rId5" Type="http://schemas.openxmlformats.org/officeDocument/2006/relationships/hyperlink" Target="../../Tarikan%20JDE/1201.920700.xlsx" TargetMode="External"/><Relationship Id="rId10" Type="http://schemas.openxmlformats.org/officeDocument/2006/relationships/hyperlink" Target="../../Tarikan%20JDE/1204.801110.xlsx" TargetMode="External"/><Relationship Id="rId4" Type="http://schemas.openxmlformats.org/officeDocument/2006/relationships/hyperlink" Target="../../Tarikan%20JDE/1201.805120.xlsx" TargetMode="External"/><Relationship Id="rId9" Type="http://schemas.openxmlformats.org/officeDocument/2006/relationships/hyperlink" Target="../../Tarikan%20JDE/1201.80111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29"/>
  <sheetViews>
    <sheetView showGridLines="0" zoomScale="115" zoomScaleNormal="115" workbookViewId="0">
      <selection activeCell="I6" sqref="I6"/>
    </sheetView>
  </sheetViews>
  <sheetFormatPr defaultRowHeight="15" x14ac:dyDescent="0.25"/>
  <cols>
    <col min="1" max="1" width="2.42578125" customWidth="1"/>
    <col min="2" max="2" width="3.5703125" customWidth="1"/>
    <col min="3" max="3" width="36.7109375" customWidth="1"/>
    <col min="4" max="4" width="1.7109375" customWidth="1"/>
    <col min="5" max="5" width="51.140625" customWidth="1"/>
    <col min="6" max="6" width="2.140625" customWidth="1"/>
    <col min="7" max="7" width="5.5703125" customWidth="1"/>
  </cols>
  <sheetData>
    <row r="1" spans="1:6" ht="12" customHeight="1" x14ac:dyDescent="0.25">
      <c r="A1" s="38"/>
      <c r="B1" s="38"/>
      <c r="C1" s="39" t="s">
        <v>322</v>
      </c>
      <c r="D1" s="39"/>
      <c r="E1" s="39"/>
      <c r="F1" s="9"/>
    </row>
    <row r="2" spans="1:6" ht="12" customHeight="1" x14ac:dyDescent="0.25">
      <c r="A2" s="38"/>
      <c r="B2" s="38"/>
      <c r="C2" s="40" t="s">
        <v>334</v>
      </c>
      <c r="D2" s="41"/>
      <c r="E2" s="42"/>
      <c r="F2" s="27" t="s">
        <v>214</v>
      </c>
    </row>
    <row r="3" spans="1:6" ht="12" customHeight="1" x14ac:dyDescent="0.25">
      <c r="A3" s="38"/>
      <c r="B3" s="38"/>
      <c r="C3" s="43"/>
      <c r="D3" s="44"/>
      <c r="E3" s="45"/>
      <c r="F3" s="27"/>
    </row>
    <row r="4" spans="1:6" ht="12" customHeight="1" x14ac:dyDescent="0.25">
      <c r="A4" s="38"/>
      <c r="B4" s="38"/>
      <c r="C4" s="43"/>
      <c r="D4" s="44"/>
      <c r="E4" s="45"/>
      <c r="F4" s="27"/>
    </row>
    <row r="5" spans="1:6" ht="12" customHeight="1" x14ac:dyDescent="0.25">
      <c r="A5" s="38"/>
      <c r="B5" s="38"/>
      <c r="C5" s="43"/>
      <c r="D5" s="44"/>
      <c r="E5" s="45"/>
      <c r="F5" s="27"/>
    </row>
    <row r="6" spans="1:6" ht="12" customHeight="1" x14ac:dyDescent="0.25">
      <c r="A6" s="38"/>
      <c r="B6" s="38"/>
      <c r="C6" s="43"/>
      <c r="D6" s="44"/>
      <c r="E6" s="45"/>
      <c r="F6" s="27"/>
    </row>
    <row r="7" spans="1:6" ht="12" customHeight="1" x14ac:dyDescent="0.25">
      <c r="A7" s="38"/>
      <c r="B7" s="38"/>
      <c r="C7" s="43"/>
      <c r="D7" s="44"/>
      <c r="E7" s="45"/>
      <c r="F7" s="27"/>
    </row>
    <row r="8" spans="1:6" ht="12" customHeight="1" x14ac:dyDescent="0.25">
      <c r="A8" s="38"/>
      <c r="B8" s="38"/>
      <c r="C8" s="43"/>
      <c r="D8" s="44"/>
      <c r="E8" s="45"/>
      <c r="F8" s="27"/>
    </row>
    <row r="9" spans="1:6" ht="6.75" customHeight="1" x14ac:dyDescent="0.25">
      <c r="A9" s="38"/>
      <c r="B9" s="38"/>
      <c r="C9" s="46"/>
      <c r="D9" s="47"/>
      <c r="E9" s="48"/>
      <c r="F9" s="27"/>
    </row>
    <row r="10" spans="1:6" ht="18" customHeight="1" x14ac:dyDescent="0.25">
      <c r="A10" s="38"/>
      <c r="B10" s="38"/>
      <c r="C10" s="49" t="s">
        <v>323</v>
      </c>
      <c r="D10" s="49"/>
      <c r="E10" s="49"/>
      <c r="F10" s="27"/>
    </row>
    <row r="11" spans="1:6" ht="15.75" x14ac:dyDescent="0.25">
      <c r="C11" s="17" t="s">
        <v>324</v>
      </c>
      <c r="D11" s="18"/>
      <c r="E11" s="15" t="s">
        <v>325</v>
      </c>
      <c r="F11" s="27"/>
    </row>
    <row r="12" spans="1:6" x14ac:dyDescent="0.25">
      <c r="C12" s="37" t="s">
        <v>335</v>
      </c>
      <c r="D12" s="37"/>
      <c r="E12" s="16" t="s">
        <v>321</v>
      </c>
      <c r="F12" s="27" t="s">
        <v>214</v>
      </c>
    </row>
    <row r="13" spans="1:6" x14ac:dyDescent="0.25">
      <c r="C13" s="25" t="s">
        <v>336</v>
      </c>
      <c r="D13" s="25"/>
      <c r="E13" s="16" t="s">
        <v>337</v>
      </c>
      <c r="F13" s="27" t="s">
        <v>214</v>
      </c>
    </row>
    <row r="14" spans="1:6" x14ac:dyDescent="0.25">
      <c r="C14" s="37"/>
      <c r="D14" s="37"/>
      <c r="E14" s="16"/>
      <c r="F14" s="27" t="s">
        <v>214</v>
      </c>
    </row>
    <row r="15" spans="1:6" ht="1.5" customHeight="1" x14ac:dyDescent="0.25">
      <c r="C15" s="36"/>
      <c r="D15" s="36"/>
      <c r="E15" s="36"/>
      <c r="F15" s="27"/>
    </row>
    <row r="16" spans="1:6" x14ac:dyDescent="0.25">
      <c r="F16" s="27"/>
    </row>
    <row r="17" spans="6:6" x14ac:dyDescent="0.25">
      <c r="F17" s="27"/>
    </row>
    <row r="18" spans="6:6" x14ac:dyDescent="0.25">
      <c r="F18" s="27"/>
    </row>
    <row r="19" spans="6:6" x14ac:dyDescent="0.25">
      <c r="F19" s="27"/>
    </row>
    <row r="20" spans="6:6" x14ac:dyDescent="0.25">
      <c r="F20" s="27"/>
    </row>
    <row r="21" spans="6:6" x14ac:dyDescent="0.25">
      <c r="F21" s="27"/>
    </row>
    <row r="22" spans="6:6" x14ac:dyDescent="0.25">
      <c r="F22" s="27"/>
    </row>
    <row r="23" spans="6:6" x14ac:dyDescent="0.25">
      <c r="F23" s="27"/>
    </row>
    <row r="24" spans="6:6" x14ac:dyDescent="0.25">
      <c r="F24" s="27"/>
    </row>
    <row r="25" spans="6:6" x14ac:dyDescent="0.25">
      <c r="F25" s="27"/>
    </row>
    <row r="26" spans="6:6" x14ac:dyDescent="0.25">
      <c r="F26" s="27"/>
    </row>
    <row r="27" spans="6:6" x14ac:dyDescent="0.25">
      <c r="F27" s="27"/>
    </row>
    <row r="28" spans="6:6" x14ac:dyDescent="0.25">
      <c r="F28" s="27"/>
    </row>
    <row r="29" spans="6:6" x14ac:dyDescent="0.25">
      <c r="F29" s="27"/>
    </row>
  </sheetData>
  <mergeCells count="8">
    <mergeCell ref="C15:E15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76200</xdr:rowOff>
              </from>
              <to>
                <xdr:col>4</xdr:col>
                <xdr:colOff>3067050</xdr:colOff>
                <xdr:row>4</xdr:row>
                <xdr:rowOff>28575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38100</xdr:rowOff>
              </from>
              <to>
                <xdr:col>2</xdr:col>
                <xdr:colOff>1857375</xdr:colOff>
                <xdr:row>6</xdr:row>
                <xdr:rowOff>142875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2:O164"/>
  <sheetViews>
    <sheetView zoomScale="85" zoomScaleNormal="85" workbookViewId="0">
      <pane xSplit="2" ySplit="5" topLeftCell="C83" activePane="bottomRight" state="frozen"/>
      <selection pane="topRight" activeCell="C1" sqref="C1"/>
      <selection pane="bottomLeft" activeCell="A6" sqref="A6"/>
      <selection pane="bottomRight" activeCell="D94" sqref="D94:D95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91.5703125" style="1" customWidth="1"/>
    <col min="4" max="4" width="30.7109375" style="2" bestFit="1" customWidth="1"/>
    <col min="5" max="5" width="12.28515625" style="2" bestFit="1" customWidth="1"/>
    <col min="6" max="6" width="16.85546875" style="1" customWidth="1"/>
    <col min="7" max="7" width="24.7109375" style="33" bestFit="1" customWidth="1"/>
    <col min="8" max="8" width="16" style="33" customWidth="1"/>
    <col min="9" max="9" width="17.140625" style="33" bestFit="1" customWidth="1"/>
    <col min="10" max="10" width="16.28515625" style="4" customWidth="1"/>
    <col min="11" max="11" width="24.28515625" style="4" customWidth="1"/>
    <col min="12" max="12" width="20.85546875" style="1" customWidth="1"/>
    <col min="13" max="13" width="13.7109375" style="1" customWidth="1"/>
    <col min="14" max="14" width="23.7109375" style="1" customWidth="1"/>
    <col min="15" max="15" width="19.28515625" style="57" bestFit="1" customWidth="1"/>
    <col min="16" max="16384" width="16.28515625" style="1"/>
  </cols>
  <sheetData>
    <row r="2" spans="1:15" ht="23.25" x14ac:dyDescent="0.35">
      <c r="A2" s="19" t="str">
        <f ca="1">"MONTHLY BUDGET TH "&amp;YEAR(TODAY())</f>
        <v>MONTHLY BUDGET TH 2024</v>
      </c>
      <c r="B2" s="8"/>
      <c r="C2" s="8"/>
      <c r="D2" s="8"/>
      <c r="E2" s="8"/>
      <c r="F2" s="28"/>
      <c r="G2" s="31"/>
      <c r="H2" s="32"/>
      <c r="I2" s="31"/>
      <c r="J2" s="35"/>
      <c r="K2" s="35"/>
      <c r="L2" s="8"/>
      <c r="M2" s="8"/>
      <c r="N2" s="8"/>
    </row>
    <row r="3" spans="1:15" ht="5.25" customHeight="1" x14ac:dyDescent="0.25"/>
    <row r="4" spans="1:15" ht="6.75" customHeight="1" x14ac:dyDescent="0.25">
      <c r="G4" s="34"/>
      <c r="H4" s="33" t="s">
        <v>214</v>
      </c>
      <c r="I4" s="34"/>
    </row>
    <row r="5" spans="1:15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30" t="s">
        <v>6</v>
      </c>
      <c r="H5" s="30" t="s">
        <v>7</v>
      </c>
      <c r="I5" s="30" t="s">
        <v>193</v>
      </c>
      <c r="J5" s="12" t="s">
        <v>8</v>
      </c>
      <c r="K5" s="12" t="s">
        <v>9</v>
      </c>
      <c r="L5" s="13" t="s">
        <v>176</v>
      </c>
      <c r="M5" s="13" t="s">
        <v>319</v>
      </c>
      <c r="N5" s="13" t="s">
        <v>320</v>
      </c>
      <c r="O5" s="12" t="s">
        <v>340</v>
      </c>
    </row>
    <row r="6" spans="1:15" x14ac:dyDescent="0.25">
      <c r="A6" s="1" t="s">
        <v>10</v>
      </c>
      <c r="B6" s="56" t="s">
        <v>11</v>
      </c>
      <c r="C6" s="1" t="s">
        <v>12</v>
      </c>
      <c r="D6" s="2" t="s">
        <v>13</v>
      </c>
      <c r="E6" s="2" t="s">
        <v>14</v>
      </c>
      <c r="G6" s="33">
        <v>10000</v>
      </c>
      <c r="H6" s="33">
        <v>6914.94</v>
      </c>
      <c r="I6" s="33">
        <f t="shared" ref="I6:I37" si="0">G6-H6</f>
        <v>3085.0600000000004</v>
      </c>
      <c r="J6" s="4">
        <f>G6/VLOOKUP(A6,RESUME!$G$3:$I$10,3,FALSE)</f>
        <v>0.14728026373771388</v>
      </c>
      <c r="K6" s="4">
        <f t="shared" ref="K6:K37" si="1">IFERROR((G6/H6)*J6,"")</f>
        <v>0.21298849120558372</v>
      </c>
      <c r="L6" s="1" t="str">
        <f>_xlfn.IFNA(VLOOKUP(A6&amp;"-"&amp;B6&amp;"-"&amp;D6,Ref_Account!$A:$F,6,FALSE),"ACCOUNT TIDAK DITEMUKAN")</f>
        <v>1201.720400</v>
      </c>
      <c r="N6" s="1">
        <f t="shared" ref="N6:N37" si="2">IF(L6="ACCOUNT TIDAK DITEMUKAN","9999",COUNTIF($L$6:$L$164,L6))</f>
        <v>1</v>
      </c>
      <c r="O6" s="57" t="str">
        <f>IF(I6&gt;0,"OK","OVER")</f>
        <v>OK</v>
      </c>
    </row>
    <row r="7" spans="1:15" x14ac:dyDescent="0.25">
      <c r="A7" s="1" t="s">
        <v>10</v>
      </c>
      <c r="B7" s="56" t="s">
        <v>11</v>
      </c>
      <c r="C7" s="1" t="s">
        <v>12</v>
      </c>
      <c r="D7" s="2" t="s">
        <v>15</v>
      </c>
      <c r="E7" s="2" t="s">
        <v>16</v>
      </c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  <c r="L7" s="1" t="str">
        <f>_xlfn.IFNA(VLOOKUP(A7&amp;"-"&amp;B7&amp;"-"&amp;D7,Ref_Account!$A:$F,6,FALSE),"ACCOUNT TIDAK DITEMUKAN")</f>
        <v>1204.720400</v>
      </c>
      <c r="N7" s="1">
        <f t="shared" si="2"/>
        <v>1</v>
      </c>
      <c r="O7" s="57" t="str">
        <f t="shared" ref="O7:O70" si="3">IF(I7&gt;0,"OK","OVER")</f>
        <v>OK</v>
      </c>
    </row>
    <row r="8" spans="1:15" x14ac:dyDescent="0.25">
      <c r="A8" s="1" t="s">
        <v>10</v>
      </c>
      <c r="B8" s="56" t="s">
        <v>17</v>
      </c>
      <c r="C8" s="1" t="s">
        <v>18</v>
      </c>
      <c r="D8" s="2" t="s">
        <v>13</v>
      </c>
      <c r="E8" s="2" t="s">
        <v>19</v>
      </c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  <c r="L8" s="1" t="str">
        <f>_xlfn.IFNA(VLOOKUP(A8&amp;"-"&amp;B8&amp;"-"&amp;D8,Ref_Account!$A:$F,6,FALSE),"ACCOUNT TIDAK DITEMUKAN")</f>
        <v>1201.816110</v>
      </c>
      <c r="N8" s="1">
        <f t="shared" si="2"/>
        <v>1</v>
      </c>
      <c r="O8" s="57" t="str">
        <f t="shared" si="3"/>
        <v>OK</v>
      </c>
    </row>
    <row r="9" spans="1:15" x14ac:dyDescent="0.25">
      <c r="A9" s="1" t="s">
        <v>10</v>
      </c>
      <c r="B9" s="56" t="s">
        <v>17</v>
      </c>
      <c r="C9" s="1" t="s">
        <v>18</v>
      </c>
      <c r="D9" s="2" t="s">
        <v>15</v>
      </c>
      <c r="E9" s="2" t="s">
        <v>20</v>
      </c>
      <c r="G9" s="33">
        <v>326</v>
      </c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  <c r="L9" s="1" t="str">
        <f>_xlfn.IFNA(VLOOKUP(A9&amp;"-"&amp;B9&amp;"-"&amp;D9,Ref_Account!$A:$F,6,FALSE),"ACCOUNT TIDAK DITEMUKAN")</f>
        <v>1204.816110</v>
      </c>
      <c r="N9" s="1">
        <f t="shared" si="2"/>
        <v>1</v>
      </c>
      <c r="O9" s="57" t="str">
        <f t="shared" si="3"/>
        <v>OK</v>
      </c>
    </row>
    <row r="10" spans="1:15" x14ac:dyDescent="0.25">
      <c r="A10" s="1" t="s">
        <v>10</v>
      </c>
      <c r="B10" s="1" t="s">
        <v>21</v>
      </c>
      <c r="C10" s="1" t="s">
        <v>22</v>
      </c>
      <c r="D10" s="2" t="s">
        <v>13</v>
      </c>
      <c r="E10" s="2" t="s">
        <v>23</v>
      </c>
      <c r="G10" s="33">
        <v>15015.099999999999</v>
      </c>
      <c r="I10" s="33">
        <f t="shared" si="0"/>
        <v>15015.099999999999</v>
      </c>
      <c r="J10" s="4">
        <f>G10/VLOOKUP(A10,RESUME!$G$3:$I$10,3,FALSE)</f>
        <v>0.22114278880481478</v>
      </c>
      <c r="K10" s="4" t="str">
        <f t="shared" si="1"/>
        <v/>
      </c>
      <c r="L10" s="1" t="str">
        <f>_xlfn.IFNA(VLOOKUP(A10&amp;"-"&amp;B10&amp;"-"&amp;D10,Ref_Account!$A:$F,6,FALSE),"ACCOUNT TIDAK DITEMUKAN")</f>
        <v>1201.631100</v>
      </c>
      <c r="N10" s="1">
        <f t="shared" si="2"/>
        <v>3</v>
      </c>
      <c r="O10" s="57" t="str">
        <f t="shared" si="3"/>
        <v>OK</v>
      </c>
    </row>
    <row r="11" spans="1:15" x14ac:dyDescent="0.25">
      <c r="A11" s="1" t="s">
        <v>10</v>
      </c>
      <c r="B11" s="1" t="s">
        <v>21</v>
      </c>
      <c r="C11" s="1" t="s">
        <v>22</v>
      </c>
      <c r="D11" s="2" t="s">
        <v>24</v>
      </c>
      <c r="E11" s="2" t="s">
        <v>25</v>
      </c>
      <c r="G11" s="33">
        <v>26.7199999999998</v>
      </c>
      <c r="I11" s="33">
        <f t="shared" si="0"/>
        <v>26.7199999999998</v>
      </c>
      <c r="J11" s="4">
        <f>G11/VLOOKUP(A11,RESUME!$G$3:$I$10,3,FALSE)</f>
        <v>3.9353286470716859E-4</v>
      </c>
      <c r="K11" s="4" t="str">
        <f t="shared" si="1"/>
        <v/>
      </c>
      <c r="L11" s="1" t="str">
        <f>_xlfn.IFNA(VLOOKUP(A11&amp;"-"&amp;B11&amp;"-"&amp;D11,Ref_Account!$A:$F,6,FALSE),"ACCOUNT TIDAK DITEMUKAN")</f>
        <v>1205.631100</v>
      </c>
      <c r="N11" s="1">
        <f t="shared" si="2"/>
        <v>3</v>
      </c>
      <c r="O11" s="57" t="str">
        <f t="shared" si="3"/>
        <v>OK</v>
      </c>
    </row>
    <row r="12" spans="1:15" x14ac:dyDescent="0.25">
      <c r="A12" s="1" t="s">
        <v>10</v>
      </c>
      <c r="B12" s="1" t="s">
        <v>21</v>
      </c>
      <c r="C12" s="1" t="s">
        <v>22</v>
      </c>
      <c r="D12" s="2" t="s">
        <v>15</v>
      </c>
      <c r="E12" s="2" t="s">
        <v>25</v>
      </c>
      <c r="G12" s="33">
        <v>15124.89</v>
      </c>
      <c r="I12" s="33">
        <f t="shared" si="0"/>
        <v>15124.89</v>
      </c>
      <c r="J12" s="4">
        <f>G12/VLOOKUP(A12,RESUME!$G$3:$I$10,3,FALSE)</f>
        <v>0.22275977882039114</v>
      </c>
      <c r="K12" s="4" t="str">
        <f t="shared" si="1"/>
        <v/>
      </c>
      <c r="L12" s="1" t="str">
        <f>_xlfn.IFNA(VLOOKUP(A12&amp;"-"&amp;B12&amp;"-"&amp;D12,Ref_Account!$A:$F,6,FALSE),"ACCOUNT TIDAK DITEMUKAN")</f>
        <v>1204.631100</v>
      </c>
      <c r="N12" s="1">
        <f t="shared" si="2"/>
        <v>3</v>
      </c>
      <c r="O12" s="57" t="str">
        <f t="shared" si="3"/>
        <v>OK</v>
      </c>
    </row>
    <row r="13" spans="1:15" x14ac:dyDescent="0.25">
      <c r="A13" s="1" t="s">
        <v>10</v>
      </c>
      <c r="B13" s="56" t="s">
        <v>26</v>
      </c>
      <c r="C13" s="1" t="s">
        <v>27</v>
      </c>
      <c r="D13" s="2" t="s">
        <v>13</v>
      </c>
      <c r="E13" s="2" t="s">
        <v>28</v>
      </c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  <c r="L13" s="1" t="str">
        <f>_xlfn.IFNA(VLOOKUP(A13&amp;"-"&amp;B13&amp;"-"&amp;D13,Ref_Account!$A:$F,6,FALSE),"ACCOUNT TIDAK DITEMUKAN")</f>
        <v>1201.631180</v>
      </c>
      <c r="N13" s="1">
        <f t="shared" si="2"/>
        <v>1</v>
      </c>
      <c r="O13" s="57" t="str">
        <f t="shared" si="3"/>
        <v>OVER</v>
      </c>
    </row>
    <row r="14" spans="1:15" x14ac:dyDescent="0.25">
      <c r="A14" s="1" t="s">
        <v>10</v>
      </c>
      <c r="B14" s="56" t="s">
        <v>26</v>
      </c>
      <c r="C14" s="1" t="s">
        <v>27</v>
      </c>
      <c r="D14" s="2" t="s">
        <v>24</v>
      </c>
      <c r="E14" s="2" t="s">
        <v>29</v>
      </c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  <c r="L14" s="1" t="str">
        <f>_xlfn.IFNA(VLOOKUP(A14&amp;"-"&amp;B14&amp;"-"&amp;D14,Ref_Account!$A:$F,6,FALSE),"ACCOUNT TIDAK DITEMUKAN")</f>
        <v>1204.631180</v>
      </c>
      <c r="N14" s="1">
        <f t="shared" si="2"/>
        <v>1</v>
      </c>
      <c r="O14" s="58" t="str">
        <f t="shared" si="3"/>
        <v>OVER</v>
      </c>
    </row>
    <row r="15" spans="1:15" x14ac:dyDescent="0.25">
      <c r="A15" s="1" t="s">
        <v>10</v>
      </c>
      <c r="B15" s="56" t="s">
        <v>26</v>
      </c>
      <c r="C15" s="1" t="s">
        <v>27</v>
      </c>
      <c r="D15" s="2" t="s">
        <v>15</v>
      </c>
      <c r="E15" s="2" t="s">
        <v>29</v>
      </c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  <c r="L15" s="1" t="str">
        <f>_xlfn.IFNA(VLOOKUP(A15&amp;"-"&amp;B15&amp;"-"&amp;D15,Ref_Account!$A:$F,6,FALSE),"ACCOUNT TIDAK DITEMUKAN")</f>
        <v>1205.631180</v>
      </c>
      <c r="N15" s="1">
        <f t="shared" si="2"/>
        <v>1</v>
      </c>
      <c r="O15" s="57" t="str">
        <f t="shared" si="3"/>
        <v>OK</v>
      </c>
    </row>
    <row r="16" spans="1:15" x14ac:dyDescent="0.25">
      <c r="A16" s="1" t="s">
        <v>10</v>
      </c>
      <c r="B16" s="56" t="s">
        <v>30</v>
      </c>
      <c r="C16" s="1" t="s">
        <v>31</v>
      </c>
      <c r="D16" s="2" t="s">
        <v>13</v>
      </c>
      <c r="E16" s="2" t="s">
        <v>28</v>
      </c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  <c r="L16" s="1" t="str">
        <f>_xlfn.IFNA(VLOOKUP(A16&amp;"-"&amp;B16&amp;"-"&amp;D16,Ref_Account!$A:$F,6,FALSE),"ACCOUNT TIDAK DITEMUKAN")</f>
        <v>1201.631150</v>
      </c>
      <c r="N16" s="1">
        <f t="shared" si="2"/>
        <v>1</v>
      </c>
      <c r="O16" s="57" t="str">
        <f t="shared" si="3"/>
        <v>OVER</v>
      </c>
    </row>
    <row r="17" spans="1:15" x14ac:dyDescent="0.25">
      <c r="A17" s="1" t="s">
        <v>10</v>
      </c>
      <c r="B17" s="56" t="s">
        <v>32</v>
      </c>
      <c r="C17" s="1" t="s">
        <v>33</v>
      </c>
      <c r="D17" s="2" t="s">
        <v>13</v>
      </c>
      <c r="E17" s="2" t="s">
        <v>34</v>
      </c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  <c r="L17" s="1" t="str">
        <f>_xlfn.IFNA(VLOOKUP(A17&amp;"-"&amp;B17&amp;"-"&amp;D17,Ref_Account!$A:$F,6,FALSE),"ACCOUNT TIDAK DITEMUKAN")</f>
        <v>1201.720100</v>
      </c>
      <c r="N17" s="1">
        <f t="shared" si="2"/>
        <v>1</v>
      </c>
      <c r="O17" s="57" t="str">
        <f t="shared" si="3"/>
        <v>OK</v>
      </c>
    </row>
    <row r="18" spans="1:15" x14ac:dyDescent="0.25">
      <c r="A18" s="1" t="s">
        <v>10</v>
      </c>
      <c r="B18" s="56" t="s">
        <v>32</v>
      </c>
      <c r="C18" s="1" t="s">
        <v>33</v>
      </c>
      <c r="D18" s="2" t="s">
        <v>24</v>
      </c>
      <c r="E18" s="2" t="s">
        <v>34</v>
      </c>
      <c r="G18" s="33">
        <v>1000</v>
      </c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  <c r="L18" s="1" t="str">
        <f>_xlfn.IFNA(VLOOKUP(A18&amp;"-"&amp;B18&amp;"-"&amp;D18,Ref_Account!$A:$F,6,FALSE),"ACCOUNT TIDAK DITEMUKAN")</f>
        <v>1205.720100</v>
      </c>
      <c r="N18" s="1">
        <f t="shared" si="2"/>
        <v>1</v>
      </c>
      <c r="O18" s="57" t="str">
        <f t="shared" si="3"/>
        <v>OK</v>
      </c>
    </row>
    <row r="19" spans="1:15" x14ac:dyDescent="0.25">
      <c r="A19" s="1" t="s">
        <v>10</v>
      </c>
      <c r="B19" s="56" t="s">
        <v>32</v>
      </c>
      <c r="C19" s="1" t="s">
        <v>33</v>
      </c>
      <c r="D19" s="2" t="s">
        <v>15</v>
      </c>
      <c r="E19" s="2" t="s">
        <v>34</v>
      </c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  <c r="L19" s="1" t="str">
        <f>_xlfn.IFNA(VLOOKUP(A19&amp;"-"&amp;B19&amp;"-"&amp;D19,Ref_Account!$A:$F,6,FALSE),"ACCOUNT TIDAK DITEMUKAN")</f>
        <v>1204.720100</v>
      </c>
      <c r="N19" s="1">
        <f t="shared" si="2"/>
        <v>1</v>
      </c>
      <c r="O19" s="57" t="str">
        <f t="shared" si="3"/>
        <v>OVER</v>
      </c>
    </row>
    <row r="20" spans="1:15" hidden="1" x14ac:dyDescent="0.25">
      <c r="A20" s="1" t="s">
        <v>36</v>
      </c>
      <c r="B20" s="1" t="s">
        <v>37</v>
      </c>
      <c r="C20" s="1" t="s">
        <v>38</v>
      </c>
      <c r="D20" s="2" t="s">
        <v>13</v>
      </c>
      <c r="E20" s="2" t="s">
        <v>39</v>
      </c>
      <c r="G20" s="33">
        <v>151561</v>
      </c>
      <c r="I20" s="33">
        <f t="shared" si="0"/>
        <v>151561</v>
      </c>
      <c r="J20" s="4">
        <f>G20/VLOOKUP(A20,RESUME!$G$3:$I$10,3,FALSE)</f>
        <v>0.65619333139484248</v>
      </c>
      <c r="K20" s="4" t="str">
        <f t="shared" si="1"/>
        <v/>
      </c>
      <c r="L20" s="1" t="str">
        <f>_xlfn.IFNA(VLOOKUP(A20&amp;"-"&amp;B20&amp;"-"&amp;D20,Ref_Account!$A:$F,6,FALSE),"ACCOUNT TIDAK DITEMUKAN")</f>
        <v>1201.630600</v>
      </c>
      <c r="N20" s="1">
        <f t="shared" si="2"/>
        <v>2</v>
      </c>
      <c r="O20" s="57" t="str">
        <f t="shared" si="3"/>
        <v>OK</v>
      </c>
    </row>
    <row r="21" spans="1:15" hidden="1" x14ac:dyDescent="0.25">
      <c r="A21" s="1" t="s">
        <v>36</v>
      </c>
      <c r="B21" s="1" t="s">
        <v>37</v>
      </c>
      <c r="C21" s="1" t="s">
        <v>38</v>
      </c>
      <c r="D21" s="2" t="s">
        <v>24</v>
      </c>
      <c r="E21" s="2" t="s">
        <v>39</v>
      </c>
      <c r="G21" s="33">
        <v>26883.15</v>
      </c>
      <c r="I21" s="33">
        <f t="shared" si="0"/>
        <v>26883.15</v>
      </c>
      <c r="J21" s="4">
        <f>G21/VLOOKUP(A21,RESUME!$G$3:$I$10,3,FALSE)</f>
        <v>0.11639236846475848</v>
      </c>
      <c r="K21" s="4" t="str">
        <f t="shared" si="1"/>
        <v/>
      </c>
      <c r="L21" s="1" t="str">
        <f>_xlfn.IFNA(VLOOKUP(A21&amp;"-"&amp;B21&amp;"-"&amp;D21,Ref_Account!$A:$F,6,FALSE),"ACCOUNT TIDAK DITEMUKAN")</f>
        <v>1205.630600</v>
      </c>
      <c r="N21" s="1">
        <f t="shared" si="2"/>
        <v>2</v>
      </c>
      <c r="O21" s="57" t="str">
        <f t="shared" si="3"/>
        <v>OK</v>
      </c>
    </row>
    <row r="22" spans="1:15" hidden="1" x14ac:dyDescent="0.25">
      <c r="A22" s="1" t="s">
        <v>36</v>
      </c>
      <c r="B22" s="1" t="s">
        <v>37</v>
      </c>
      <c r="C22" s="1" t="s">
        <v>38</v>
      </c>
      <c r="D22" s="2" t="s">
        <v>15</v>
      </c>
      <c r="E22" s="2" t="s">
        <v>40</v>
      </c>
      <c r="G22" s="33">
        <v>32525.89</v>
      </c>
      <c r="I22" s="33">
        <f t="shared" si="0"/>
        <v>32525.89</v>
      </c>
      <c r="J22" s="4">
        <f>G22/VLOOKUP(A22,RESUME!$G$3:$I$10,3,FALSE)</f>
        <v>0.14082298292886819</v>
      </c>
      <c r="K22" s="4" t="str">
        <f t="shared" si="1"/>
        <v/>
      </c>
      <c r="L22" s="1" t="str">
        <f>_xlfn.IFNA(VLOOKUP(A22&amp;"-"&amp;B22&amp;"-"&amp;D22,Ref_Account!$A:$F,6,FALSE),"ACCOUNT TIDAK DITEMUKAN")</f>
        <v>1204.630600</v>
      </c>
      <c r="N22" s="1">
        <f t="shared" si="2"/>
        <v>2</v>
      </c>
      <c r="O22" s="57" t="str">
        <f t="shared" si="3"/>
        <v>OK</v>
      </c>
    </row>
    <row r="23" spans="1:15" hidden="1" x14ac:dyDescent="0.25">
      <c r="A23" s="1" t="s">
        <v>36</v>
      </c>
      <c r="B23" s="1" t="s">
        <v>37</v>
      </c>
      <c r="C23" s="1" t="s">
        <v>41</v>
      </c>
      <c r="D23" s="2" t="s">
        <v>13</v>
      </c>
      <c r="E23" s="2" t="s">
        <v>42</v>
      </c>
      <c r="G23" s="33">
        <v>5000</v>
      </c>
      <c r="I23" s="33">
        <f t="shared" si="0"/>
        <v>5000</v>
      </c>
      <c r="J23" s="4">
        <f>G23/VLOOKUP(A23,RESUME!$G$3:$I$10,3,FALSE)</f>
        <v>2.1647829302882747E-2</v>
      </c>
      <c r="K23" s="4" t="str">
        <f t="shared" si="1"/>
        <v/>
      </c>
      <c r="L23" s="1" t="str">
        <f>_xlfn.IFNA(VLOOKUP(A23&amp;"-"&amp;B23&amp;"-"&amp;D23,Ref_Account!$A:$F,6,FALSE),"ACCOUNT TIDAK DITEMUKAN")</f>
        <v>1201.630600</v>
      </c>
      <c r="N23" s="1">
        <f t="shared" si="2"/>
        <v>2</v>
      </c>
      <c r="O23" s="57" t="str">
        <f t="shared" si="3"/>
        <v>OK</v>
      </c>
    </row>
    <row r="24" spans="1:15" hidden="1" x14ac:dyDescent="0.25">
      <c r="A24" s="1" t="s">
        <v>36</v>
      </c>
      <c r="B24" s="1" t="s">
        <v>37</v>
      </c>
      <c r="C24" s="1" t="s">
        <v>38</v>
      </c>
      <c r="D24" s="2" t="s">
        <v>24</v>
      </c>
      <c r="E24" s="2" t="s">
        <v>43</v>
      </c>
      <c r="G24" s="33">
        <v>7500</v>
      </c>
      <c r="I24" s="33">
        <f t="shared" si="0"/>
        <v>7500</v>
      </c>
      <c r="J24" s="4">
        <f>G24/VLOOKUP(A24,RESUME!$G$3:$I$10,3,FALSE)</f>
        <v>3.2471743954324124E-2</v>
      </c>
      <c r="K24" s="4" t="str">
        <f t="shared" si="1"/>
        <v/>
      </c>
      <c r="L24" s="1" t="str">
        <f>_xlfn.IFNA(VLOOKUP(A24&amp;"-"&amp;B24&amp;"-"&amp;D24,Ref_Account!$A:$F,6,FALSE),"ACCOUNT TIDAK DITEMUKAN")</f>
        <v>1205.630600</v>
      </c>
      <c r="N24" s="1">
        <f t="shared" si="2"/>
        <v>2</v>
      </c>
      <c r="O24" s="57" t="str">
        <f t="shared" si="3"/>
        <v>OK</v>
      </c>
    </row>
    <row r="25" spans="1:15" hidden="1" x14ac:dyDescent="0.25">
      <c r="A25" s="1" t="s">
        <v>36</v>
      </c>
      <c r="B25" s="1" t="s">
        <v>37</v>
      </c>
      <c r="C25" s="1" t="s">
        <v>38</v>
      </c>
      <c r="D25" s="2" t="s">
        <v>15</v>
      </c>
      <c r="E25" s="2" t="s">
        <v>42</v>
      </c>
      <c r="G25" s="33">
        <v>7500</v>
      </c>
      <c r="I25" s="33">
        <f t="shared" si="0"/>
        <v>7500</v>
      </c>
      <c r="J25" s="4">
        <f>G25/VLOOKUP(A25,RESUME!$G$3:$I$10,3,FALSE)</f>
        <v>3.2471743954324124E-2</v>
      </c>
      <c r="K25" s="4" t="str">
        <f t="shared" si="1"/>
        <v/>
      </c>
      <c r="L25" s="1" t="str">
        <f>_xlfn.IFNA(VLOOKUP(A25&amp;"-"&amp;B25&amp;"-"&amp;D25,Ref_Account!$A:$F,6,FALSE),"ACCOUNT TIDAK DITEMUKAN")</f>
        <v>1204.630600</v>
      </c>
      <c r="N25" s="1">
        <f t="shared" si="2"/>
        <v>2</v>
      </c>
      <c r="O25" s="57" t="str">
        <f t="shared" si="3"/>
        <v>OK</v>
      </c>
    </row>
    <row r="26" spans="1:15" hidden="1" x14ac:dyDescent="0.25">
      <c r="A26" s="1" t="s">
        <v>44</v>
      </c>
      <c r="B26" s="1" t="s">
        <v>45</v>
      </c>
      <c r="I26" s="33">
        <f t="shared" si="0"/>
        <v>0</v>
      </c>
      <c r="J26" s="4">
        <f>G26/VLOOKUP(A26,RESUME!$G$3:$I$10,3,FALSE)</f>
        <v>0</v>
      </c>
      <c r="K26" s="4" t="str">
        <f t="shared" si="1"/>
        <v/>
      </c>
      <c r="L26" s="1" t="str">
        <f>_xlfn.IFNA(VLOOKUP(A26&amp;"-"&amp;B26&amp;"-"&amp;D26,Ref_Account!$A:$F,6,FALSE),"ACCOUNT TIDAK DITEMUKAN")</f>
        <v>ACCOUNT TIDAK DITEMUKAN</v>
      </c>
      <c r="N26" s="1" t="str">
        <f t="shared" si="2"/>
        <v>9999</v>
      </c>
      <c r="O26" s="57" t="str">
        <f t="shared" si="3"/>
        <v>OVER</v>
      </c>
    </row>
    <row r="27" spans="1:15" hidden="1" x14ac:dyDescent="0.25">
      <c r="A27" s="1" t="s">
        <v>44</v>
      </c>
      <c r="B27" s="1" t="s">
        <v>46</v>
      </c>
      <c r="C27" s="1" t="s">
        <v>47</v>
      </c>
      <c r="D27" s="2" t="s">
        <v>13</v>
      </c>
      <c r="E27" s="2" t="s">
        <v>48</v>
      </c>
      <c r="F27" s="1" t="s">
        <v>49</v>
      </c>
      <c r="G27" s="33">
        <v>450</v>
      </c>
      <c r="I27" s="33">
        <f t="shared" si="0"/>
        <v>450</v>
      </c>
      <c r="J27" s="4">
        <f>G27/VLOOKUP(A27,RESUME!$G$3:$I$10,3,FALSE)</f>
        <v>5.2941176470588235E-2</v>
      </c>
      <c r="K27" s="4" t="str">
        <f t="shared" si="1"/>
        <v/>
      </c>
      <c r="L27" s="1" t="str">
        <f>_xlfn.IFNA(VLOOKUP(A27&amp;"-"&amp;B27&amp;"-"&amp;D27,Ref_Account!$A:$F,6,FALSE),"ACCOUNT TIDAK DITEMUKAN")</f>
        <v>1201.730300</v>
      </c>
      <c r="N27" s="1">
        <f t="shared" si="2"/>
        <v>5</v>
      </c>
      <c r="O27" s="57" t="str">
        <f t="shared" si="3"/>
        <v>OK</v>
      </c>
    </row>
    <row r="28" spans="1:15" hidden="1" x14ac:dyDescent="0.25">
      <c r="A28" s="1" t="s">
        <v>44</v>
      </c>
      <c r="B28" s="1" t="s">
        <v>46</v>
      </c>
      <c r="C28" s="1" t="s">
        <v>47</v>
      </c>
      <c r="D28" s="2" t="s">
        <v>13</v>
      </c>
      <c r="E28" s="2" t="s">
        <v>50</v>
      </c>
      <c r="F28" s="1" t="s">
        <v>51</v>
      </c>
      <c r="G28" s="33">
        <v>450</v>
      </c>
      <c r="I28" s="33">
        <f t="shared" si="0"/>
        <v>450</v>
      </c>
      <c r="J28" s="4">
        <f>G28/VLOOKUP(A28,RESUME!$G$3:$I$10,3,FALSE)</f>
        <v>5.2941176470588235E-2</v>
      </c>
      <c r="K28" s="4" t="str">
        <f t="shared" si="1"/>
        <v/>
      </c>
      <c r="L28" s="1" t="str">
        <f>_xlfn.IFNA(VLOOKUP(A28&amp;"-"&amp;B28&amp;"-"&amp;D28,Ref_Account!$A:$F,6,FALSE),"ACCOUNT TIDAK DITEMUKAN")</f>
        <v>1201.730300</v>
      </c>
      <c r="N28" s="1">
        <f t="shared" si="2"/>
        <v>5</v>
      </c>
      <c r="O28" s="57" t="str">
        <f t="shared" si="3"/>
        <v>OK</v>
      </c>
    </row>
    <row r="29" spans="1:15" hidden="1" x14ac:dyDescent="0.25">
      <c r="A29" s="1" t="s">
        <v>44</v>
      </c>
      <c r="B29" s="1" t="s">
        <v>46</v>
      </c>
      <c r="C29" s="1" t="s">
        <v>47</v>
      </c>
      <c r="D29" s="2" t="s">
        <v>13</v>
      </c>
      <c r="E29" s="2" t="s">
        <v>52</v>
      </c>
      <c r="F29" s="1" t="s">
        <v>53</v>
      </c>
      <c r="G29" s="33">
        <v>450</v>
      </c>
      <c r="I29" s="33">
        <f t="shared" si="0"/>
        <v>450</v>
      </c>
      <c r="J29" s="4">
        <f>G29/VLOOKUP(A29,RESUME!$G$3:$I$10,3,FALSE)</f>
        <v>5.2941176470588235E-2</v>
      </c>
      <c r="K29" s="4" t="str">
        <f t="shared" si="1"/>
        <v/>
      </c>
      <c r="L29" s="1" t="str">
        <f>_xlfn.IFNA(VLOOKUP(A29&amp;"-"&amp;B29&amp;"-"&amp;D29,Ref_Account!$A:$F,6,FALSE),"ACCOUNT TIDAK DITEMUKAN")</f>
        <v>1201.730300</v>
      </c>
      <c r="N29" s="1">
        <f t="shared" si="2"/>
        <v>5</v>
      </c>
      <c r="O29" s="57" t="str">
        <f t="shared" si="3"/>
        <v>OK</v>
      </c>
    </row>
    <row r="30" spans="1:15" hidden="1" x14ac:dyDescent="0.25">
      <c r="A30" s="1" t="s">
        <v>44</v>
      </c>
      <c r="B30" s="1" t="s">
        <v>46</v>
      </c>
      <c r="C30" s="1" t="s">
        <v>47</v>
      </c>
      <c r="D30" s="2" t="s">
        <v>13</v>
      </c>
      <c r="E30" s="2" t="s">
        <v>54</v>
      </c>
      <c r="F30" s="1" t="s">
        <v>55</v>
      </c>
      <c r="G30" s="33">
        <v>450</v>
      </c>
      <c r="I30" s="33">
        <f t="shared" si="0"/>
        <v>450</v>
      </c>
      <c r="J30" s="4">
        <f>G30/VLOOKUP(A30,RESUME!$G$3:$I$10,3,FALSE)</f>
        <v>5.2941176470588235E-2</v>
      </c>
      <c r="K30" s="4" t="str">
        <f t="shared" si="1"/>
        <v/>
      </c>
      <c r="L30" s="1" t="str">
        <f>_xlfn.IFNA(VLOOKUP(A30&amp;"-"&amp;B30&amp;"-"&amp;D30,Ref_Account!$A:$F,6,FALSE),"ACCOUNT TIDAK DITEMUKAN")</f>
        <v>1201.730300</v>
      </c>
      <c r="N30" s="1">
        <f t="shared" si="2"/>
        <v>5</v>
      </c>
      <c r="O30" s="57" t="str">
        <f t="shared" si="3"/>
        <v>OK</v>
      </c>
    </row>
    <row r="31" spans="1:15" hidden="1" x14ac:dyDescent="0.25">
      <c r="A31" s="1" t="s">
        <v>44</v>
      </c>
      <c r="B31" s="1" t="s">
        <v>56</v>
      </c>
      <c r="C31" s="1" t="s">
        <v>57</v>
      </c>
      <c r="D31" s="2" t="s">
        <v>13</v>
      </c>
      <c r="E31" s="2" t="s">
        <v>54</v>
      </c>
      <c r="F31" s="1" t="s">
        <v>58</v>
      </c>
      <c r="G31" s="33">
        <v>6300</v>
      </c>
      <c r="I31" s="33">
        <f t="shared" si="0"/>
        <v>6300</v>
      </c>
      <c r="J31" s="4">
        <f>G31/VLOOKUP(A31,RESUME!$G$3:$I$10,3,FALSE)</f>
        <v>0.74117647058823533</v>
      </c>
      <c r="K31" s="4" t="str">
        <f t="shared" si="1"/>
        <v/>
      </c>
      <c r="L31" s="1" t="str">
        <f>_xlfn.IFNA(VLOOKUP(A31&amp;"-"&amp;B31&amp;"-"&amp;D31,Ref_Account!$A:$F,6,FALSE),"ACCOUNT TIDAK DITEMUKAN")</f>
        <v>1201.730200</v>
      </c>
      <c r="N31" s="1">
        <f t="shared" si="2"/>
        <v>2</v>
      </c>
      <c r="O31" s="57" t="str">
        <f t="shared" si="3"/>
        <v>OK</v>
      </c>
    </row>
    <row r="32" spans="1:15" hidden="1" x14ac:dyDescent="0.25">
      <c r="A32" s="1" t="s">
        <v>44</v>
      </c>
      <c r="B32" s="1" t="s">
        <v>59</v>
      </c>
      <c r="C32" s="1" t="s">
        <v>60</v>
      </c>
      <c r="D32" s="2" t="s">
        <v>13</v>
      </c>
      <c r="E32" s="2" t="s">
        <v>48</v>
      </c>
      <c r="F32" s="1" t="s">
        <v>49</v>
      </c>
      <c r="G32" s="33">
        <v>100</v>
      </c>
      <c r="I32" s="33">
        <f t="shared" si="0"/>
        <v>100</v>
      </c>
      <c r="J32" s="4">
        <f>G32/VLOOKUP(A32,RESUME!$G$3:$I$10,3,FALSE)</f>
        <v>1.1764705882352941E-2</v>
      </c>
      <c r="K32" s="4" t="str">
        <f t="shared" si="1"/>
        <v/>
      </c>
      <c r="L32" s="1" t="str">
        <f>_xlfn.IFNA(VLOOKUP(A32&amp;"-"&amp;B32&amp;"-"&amp;D32,Ref_Account!$A:$F,6,FALSE),"ACCOUNT TIDAK DITEMUKAN")</f>
        <v>1201.710200</v>
      </c>
      <c r="N32" s="1">
        <f t="shared" si="2"/>
        <v>6</v>
      </c>
      <c r="O32" s="57" t="str">
        <f t="shared" si="3"/>
        <v>OK</v>
      </c>
    </row>
    <row r="33" spans="1:15" hidden="1" x14ac:dyDescent="0.25">
      <c r="A33" s="1" t="s">
        <v>44</v>
      </c>
      <c r="B33" s="1" t="s">
        <v>59</v>
      </c>
      <c r="C33" s="1" t="s">
        <v>60</v>
      </c>
      <c r="D33" s="2" t="s">
        <v>13</v>
      </c>
      <c r="E33" s="2" t="s">
        <v>50</v>
      </c>
      <c r="F33" s="1" t="s">
        <v>51</v>
      </c>
      <c r="G33" s="33">
        <v>100</v>
      </c>
      <c r="I33" s="33">
        <f t="shared" si="0"/>
        <v>100</v>
      </c>
      <c r="J33" s="4">
        <f>G33/VLOOKUP(A33,RESUME!$G$3:$I$10,3,FALSE)</f>
        <v>1.1764705882352941E-2</v>
      </c>
      <c r="K33" s="4" t="str">
        <f t="shared" si="1"/>
        <v/>
      </c>
      <c r="L33" s="1" t="str">
        <f>_xlfn.IFNA(VLOOKUP(A33&amp;"-"&amp;B33&amp;"-"&amp;D33,Ref_Account!$A:$F,6,FALSE),"ACCOUNT TIDAK DITEMUKAN")</f>
        <v>1201.710200</v>
      </c>
      <c r="N33" s="1">
        <f t="shared" si="2"/>
        <v>6</v>
      </c>
      <c r="O33" s="57" t="str">
        <f t="shared" si="3"/>
        <v>OK</v>
      </c>
    </row>
    <row r="34" spans="1:15" hidden="1" x14ac:dyDescent="0.25">
      <c r="A34" s="1" t="s">
        <v>44</v>
      </c>
      <c r="B34" s="1" t="s">
        <v>59</v>
      </c>
      <c r="C34" s="1" t="s">
        <v>60</v>
      </c>
      <c r="D34" s="2" t="s">
        <v>13</v>
      </c>
      <c r="E34" s="2" t="s">
        <v>52</v>
      </c>
      <c r="F34" s="1" t="s">
        <v>53</v>
      </c>
      <c r="G34" s="33">
        <v>100</v>
      </c>
      <c r="I34" s="33">
        <f t="shared" si="0"/>
        <v>100</v>
      </c>
      <c r="J34" s="4">
        <f>G34/VLOOKUP(A34,RESUME!$G$3:$I$10,3,FALSE)</f>
        <v>1.1764705882352941E-2</v>
      </c>
      <c r="K34" s="4" t="str">
        <f t="shared" si="1"/>
        <v/>
      </c>
      <c r="L34" s="1" t="str">
        <f>_xlfn.IFNA(VLOOKUP(A34&amp;"-"&amp;B34&amp;"-"&amp;D34,Ref_Account!$A:$F,6,FALSE),"ACCOUNT TIDAK DITEMUKAN")</f>
        <v>1201.710200</v>
      </c>
      <c r="N34" s="1">
        <f t="shared" si="2"/>
        <v>6</v>
      </c>
      <c r="O34" s="57" t="str">
        <f t="shared" si="3"/>
        <v>OK</v>
      </c>
    </row>
    <row r="35" spans="1:15" hidden="1" x14ac:dyDescent="0.25">
      <c r="A35" s="1" t="s">
        <v>44</v>
      </c>
      <c r="B35" s="1" t="s">
        <v>59</v>
      </c>
      <c r="C35" s="1" t="s">
        <v>60</v>
      </c>
      <c r="D35" s="2" t="s">
        <v>13</v>
      </c>
      <c r="E35" s="2" t="s">
        <v>54</v>
      </c>
      <c r="F35" s="1" t="s">
        <v>55</v>
      </c>
      <c r="G35" s="33">
        <v>100</v>
      </c>
      <c r="I35" s="33">
        <f t="shared" si="0"/>
        <v>100</v>
      </c>
      <c r="J35" s="4">
        <f>G35/VLOOKUP(A35,RESUME!$G$3:$I$10,3,FALSE)</f>
        <v>1.1764705882352941E-2</v>
      </c>
      <c r="K35" s="4" t="str">
        <f t="shared" si="1"/>
        <v/>
      </c>
      <c r="L35" s="1" t="str">
        <f>_xlfn.IFNA(VLOOKUP(A35&amp;"-"&amp;B35&amp;"-"&amp;D35,Ref_Account!$A:$F,6,FALSE),"ACCOUNT TIDAK DITEMUKAN")</f>
        <v>1201.710200</v>
      </c>
      <c r="N35" s="1">
        <f t="shared" si="2"/>
        <v>6</v>
      </c>
      <c r="O35" s="57" t="str">
        <f t="shared" si="3"/>
        <v>OK</v>
      </c>
    </row>
    <row r="36" spans="1:15" hidden="1" x14ac:dyDescent="0.25">
      <c r="A36" s="1" t="s">
        <v>316</v>
      </c>
      <c r="B36" s="1" t="s">
        <v>45</v>
      </c>
      <c r="I36" s="33">
        <f t="shared" si="0"/>
        <v>0</v>
      </c>
      <c r="J36" s="4">
        <f>G36/VLOOKUP(A36,RESUME!$G$3:$I$10,3,FALSE)</f>
        <v>0</v>
      </c>
      <c r="K36" s="4" t="str">
        <f t="shared" si="1"/>
        <v/>
      </c>
      <c r="L36" s="1" t="str">
        <f>_xlfn.IFNA(VLOOKUP(A36&amp;"-"&amp;B36&amp;"-"&amp;D36,Ref_Account!$A:$F,6,FALSE),"ACCOUNT TIDAK DITEMUKAN")</f>
        <v>ACCOUNT TIDAK DITEMUKAN</v>
      </c>
      <c r="N36" s="1" t="str">
        <f t="shared" si="2"/>
        <v>9999</v>
      </c>
      <c r="O36" s="57" t="str">
        <f t="shared" si="3"/>
        <v>OVER</v>
      </c>
    </row>
    <row r="37" spans="1:15" hidden="1" x14ac:dyDescent="0.25">
      <c r="A37" s="1" t="s">
        <v>316</v>
      </c>
      <c r="B37" s="1" t="s">
        <v>46</v>
      </c>
      <c r="C37" s="1" t="s">
        <v>47</v>
      </c>
      <c r="D37" s="2" t="s">
        <v>13</v>
      </c>
      <c r="E37" s="2" t="s">
        <v>61</v>
      </c>
      <c r="F37" s="1" t="s">
        <v>62</v>
      </c>
      <c r="G37" s="33">
        <v>200</v>
      </c>
      <c r="I37" s="33">
        <f t="shared" si="0"/>
        <v>200</v>
      </c>
      <c r="J37" s="4">
        <f>G37/VLOOKUP(A37,RESUME!$G$3:$I$10,3,FALSE)</f>
        <v>0.2</v>
      </c>
      <c r="K37" s="4" t="str">
        <f t="shared" si="1"/>
        <v/>
      </c>
      <c r="L37" s="1" t="str">
        <f>_xlfn.IFNA(VLOOKUP(A37&amp;"-"&amp;B37&amp;"-"&amp;D37,Ref_Account!$A:$F,6,FALSE),"ACCOUNT TIDAK DITEMUKAN")</f>
        <v>1201.730300</v>
      </c>
      <c r="N37" s="1">
        <f t="shared" si="2"/>
        <v>5</v>
      </c>
      <c r="O37" s="57" t="str">
        <f t="shared" si="3"/>
        <v>OK</v>
      </c>
    </row>
    <row r="38" spans="1:15" hidden="1" x14ac:dyDescent="0.25">
      <c r="A38" s="1" t="s">
        <v>316</v>
      </c>
      <c r="B38" s="1" t="s">
        <v>56</v>
      </c>
      <c r="C38" s="1" t="s">
        <v>57</v>
      </c>
      <c r="D38" s="2" t="s">
        <v>13</v>
      </c>
      <c r="E38" s="2" t="s">
        <v>63</v>
      </c>
      <c r="F38" s="1" t="s">
        <v>64</v>
      </c>
      <c r="G38" s="33">
        <v>700</v>
      </c>
      <c r="I38" s="33">
        <f t="shared" ref="I38:I69" si="4">G38-H38</f>
        <v>700</v>
      </c>
      <c r="J38" s="4">
        <f>G38/VLOOKUP(A38,RESUME!$G$3:$I$10,3,FALSE)</f>
        <v>0.7</v>
      </c>
      <c r="K38" s="4" t="str">
        <f t="shared" ref="K38:K69" si="5">IFERROR((G38/H38)*J38,"")</f>
        <v/>
      </c>
      <c r="L38" s="1" t="str">
        <f>_xlfn.IFNA(VLOOKUP(A38&amp;"-"&amp;B38&amp;"-"&amp;D38,Ref_Account!$A:$F,6,FALSE),"ACCOUNT TIDAK DITEMUKAN")</f>
        <v>1201.730200</v>
      </c>
      <c r="N38" s="1">
        <f t="shared" ref="N38:N69" si="6">IF(L38="ACCOUNT TIDAK DITEMUKAN","9999",COUNTIF($L$6:$L$164,L38))</f>
        <v>2</v>
      </c>
      <c r="O38" s="57" t="str">
        <f t="shared" si="3"/>
        <v>OK</v>
      </c>
    </row>
    <row r="39" spans="1:15" hidden="1" x14ac:dyDescent="0.25">
      <c r="A39" s="1" t="s">
        <v>316</v>
      </c>
      <c r="B39" s="1" t="s">
        <v>59</v>
      </c>
      <c r="C39" s="1" t="s">
        <v>60</v>
      </c>
      <c r="D39" s="2" t="s">
        <v>13</v>
      </c>
      <c r="E39" s="2" t="s">
        <v>63</v>
      </c>
      <c r="F39" s="1" t="s">
        <v>62</v>
      </c>
      <c r="G39" s="33">
        <v>50</v>
      </c>
      <c r="I39" s="33">
        <f t="shared" si="4"/>
        <v>50</v>
      </c>
      <c r="J39" s="4">
        <f>G39/VLOOKUP(A39,RESUME!$G$3:$I$10,3,FALSE)</f>
        <v>0.05</v>
      </c>
      <c r="K39" s="4" t="str">
        <f t="shared" si="5"/>
        <v/>
      </c>
      <c r="L39" s="1" t="str">
        <f>_xlfn.IFNA(VLOOKUP(A39&amp;"-"&amp;B39&amp;"-"&amp;D39,Ref_Account!$A:$F,6,FALSE),"ACCOUNT TIDAK DITEMUKAN")</f>
        <v>1201.710200</v>
      </c>
      <c r="N39" s="1">
        <f t="shared" si="6"/>
        <v>6</v>
      </c>
      <c r="O39" s="57" t="str">
        <f t="shared" si="3"/>
        <v>OK</v>
      </c>
    </row>
    <row r="40" spans="1:15" hidden="1" x14ac:dyDescent="0.25">
      <c r="A40" s="1" t="s">
        <v>316</v>
      </c>
      <c r="B40" s="1" t="s">
        <v>59</v>
      </c>
      <c r="C40" s="1" t="s">
        <v>60</v>
      </c>
      <c r="D40" s="2" t="s">
        <v>13</v>
      </c>
      <c r="E40" s="2" t="s">
        <v>65</v>
      </c>
      <c r="F40" s="1" t="s">
        <v>66</v>
      </c>
      <c r="G40" s="33">
        <v>50</v>
      </c>
      <c r="I40" s="33">
        <f t="shared" si="4"/>
        <v>50</v>
      </c>
      <c r="J40" s="4">
        <f>G40/VLOOKUP(A40,RESUME!$G$3:$I$10,3,FALSE)</f>
        <v>0.05</v>
      </c>
      <c r="K40" s="4" t="str">
        <f t="shared" si="5"/>
        <v/>
      </c>
      <c r="L40" s="1" t="str">
        <f>_xlfn.IFNA(VLOOKUP(A40&amp;"-"&amp;B40&amp;"-"&amp;D40,Ref_Account!$A:$F,6,FALSE),"ACCOUNT TIDAK DITEMUKAN")</f>
        <v>1201.710200</v>
      </c>
      <c r="N40" s="1">
        <f t="shared" si="6"/>
        <v>6</v>
      </c>
      <c r="O40" s="57" t="str">
        <f t="shared" si="3"/>
        <v>OK</v>
      </c>
    </row>
    <row r="41" spans="1:15" x14ac:dyDescent="0.25">
      <c r="A41" s="1" t="s">
        <v>67</v>
      </c>
      <c r="B41" s="56" t="s">
        <v>68</v>
      </c>
      <c r="C41" s="1" t="s">
        <v>69</v>
      </c>
      <c r="D41" s="2" t="s">
        <v>13</v>
      </c>
      <c r="E41" s="2" t="s">
        <v>19</v>
      </c>
      <c r="H41" s="33">
        <v>37.9</v>
      </c>
      <c r="I41" s="33">
        <f t="shared" si="4"/>
        <v>-37.9</v>
      </c>
      <c r="J41" s="4">
        <f>G41/VLOOKUP(A41,RESUME!$G$3:$I$10,3,FALSE)</f>
        <v>0</v>
      </c>
      <c r="K41" s="4">
        <f t="shared" si="5"/>
        <v>0</v>
      </c>
      <c r="L41" s="1" t="str">
        <f>_xlfn.IFNA(VLOOKUP(A41&amp;"-"&amp;B41&amp;"-"&amp;D41,Ref_Account!$A:$F,6,FALSE),"ACCOUNT TIDAK DITEMUKAN")</f>
        <v>1201.720500</v>
      </c>
      <c r="N41" s="1">
        <f t="shared" si="6"/>
        <v>1</v>
      </c>
      <c r="O41" s="57" t="str">
        <f t="shared" si="3"/>
        <v>OVER</v>
      </c>
    </row>
    <row r="42" spans="1:15" x14ac:dyDescent="0.25">
      <c r="A42" s="1" t="s">
        <v>67</v>
      </c>
      <c r="B42" s="56" t="s">
        <v>70</v>
      </c>
      <c r="C42" s="1" t="s">
        <v>71</v>
      </c>
      <c r="D42" s="2" t="s">
        <v>13</v>
      </c>
      <c r="E42" s="2" t="s">
        <v>72</v>
      </c>
      <c r="G42" s="33">
        <v>4917.96</v>
      </c>
      <c r="H42" s="33">
        <v>4917.96</v>
      </c>
      <c r="I42" s="33">
        <f t="shared" si="4"/>
        <v>0</v>
      </c>
      <c r="J42" s="4">
        <f>G42/VLOOKUP(A42,RESUME!$G$3:$I$10,3,FALSE)</f>
        <v>5.6433869134324049E-2</v>
      </c>
      <c r="K42" s="4">
        <f t="shared" si="5"/>
        <v>5.6433869134324049E-2</v>
      </c>
      <c r="L42" s="1" t="str">
        <f>_xlfn.IFNA(VLOOKUP(A42&amp;"-"&amp;B42&amp;"-"&amp;D42,Ref_Account!$A:$F,6,FALSE),"ACCOUNT TIDAK DITEMUKAN")</f>
        <v>1201.812100</v>
      </c>
      <c r="N42" s="1">
        <f t="shared" si="6"/>
        <v>1</v>
      </c>
      <c r="O42" s="57" t="str">
        <f t="shared" si="3"/>
        <v>OVER</v>
      </c>
    </row>
    <row r="43" spans="1:15" x14ac:dyDescent="0.25">
      <c r="A43" s="1" t="s">
        <v>67</v>
      </c>
      <c r="B43" s="56" t="s">
        <v>73</v>
      </c>
      <c r="C43" s="1" t="s">
        <v>74</v>
      </c>
      <c r="D43" s="2" t="s">
        <v>13</v>
      </c>
      <c r="E43" s="2" t="s">
        <v>75</v>
      </c>
      <c r="G43" s="33">
        <v>281</v>
      </c>
      <c r="H43" s="33">
        <v>290.63</v>
      </c>
      <c r="I43" s="33">
        <f t="shared" si="4"/>
        <v>-9.6299999999999955</v>
      </c>
      <c r="J43" s="4">
        <f>G43/VLOOKUP(A43,RESUME!$G$3:$I$10,3,FALSE)</f>
        <v>3.2244908919033619E-3</v>
      </c>
      <c r="K43" s="4">
        <f t="shared" si="5"/>
        <v>3.1176476641256745E-3</v>
      </c>
      <c r="L43" s="1" t="str">
        <f>_xlfn.IFNA(VLOOKUP(A43&amp;"-"&amp;B43&amp;"-"&amp;D43,Ref_Account!$A:$F,6,FALSE),"ACCOUNT TIDAK DITEMUKAN")</f>
        <v>1201.807100</v>
      </c>
      <c r="N43" s="1">
        <f t="shared" si="6"/>
        <v>1</v>
      </c>
      <c r="O43" s="57" t="str">
        <f t="shared" si="3"/>
        <v>OVER</v>
      </c>
    </row>
    <row r="44" spans="1:15" x14ac:dyDescent="0.25">
      <c r="A44" s="1" t="s">
        <v>67</v>
      </c>
      <c r="B44" s="56" t="s">
        <v>73</v>
      </c>
      <c r="C44" s="1" t="s">
        <v>74</v>
      </c>
      <c r="D44" s="2" t="s">
        <v>15</v>
      </c>
      <c r="E44" s="2" t="s">
        <v>75</v>
      </c>
      <c r="G44" s="33">
        <v>64.58</v>
      </c>
      <c r="H44" s="33">
        <v>64.58</v>
      </c>
      <c r="I44" s="33">
        <f t="shared" si="4"/>
        <v>0</v>
      </c>
      <c r="J44" s="4">
        <f>G44/VLOOKUP(A44,RESUME!$G$3:$I$10,3,FALSE)</f>
        <v>7.4105915231003239E-4</v>
      </c>
      <c r="K44" s="4">
        <f t="shared" si="5"/>
        <v>7.4105915231003239E-4</v>
      </c>
      <c r="L44" s="1" t="str">
        <f>_xlfn.IFNA(VLOOKUP(A44&amp;"-"&amp;B44&amp;"-"&amp;D44,Ref_Account!$A:$F,6,FALSE),"ACCOUNT TIDAK DITEMUKAN")</f>
        <v>1204.807100</v>
      </c>
      <c r="N44" s="1">
        <f t="shared" si="6"/>
        <v>1</v>
      </c>
      <c r="O44" s="57" t="str">
        <f t="shared" si="3"/>
        <v>OVER</v>
      </c>
    </row>
    <row r="45" spans="1:15" x14ac:dyDescent="0.25">
      <c r="A45" s="1" t="s">
        <v>67</v>
      </c>
      <c r="B45" s="56" t="s">
        <v>76</v>
      </c>
      <c r="C45" s="1" t="s">
        <v>77</v>
      </c>
      <c r="D45" s="2" t="s">
        <v>13</v>
      </c>
      <c r="E45" s="2" t="s">
        <v>75</v>
      </c>
      <c r="G45" s="33">
        <v>2027.63</v>
      </c>
      <c r="H45" s="33">
        <v>3926.72</v>
      </c>
      <c r="I45" s="33">
        <f t="shared" si="4"/>
        <v>-1899.0899999999997</v>
      </c>
      <c r="J45" s="4">
        <f>G45/VLOOKUP(A45,RESUME!$G$3:$I$10,3,FALSE)</f>
        <v>2.3267168922242044E-2</v>
      </c>
      <c r="K45" s="4">
        <f t="shared" si="5"/>
        <v>1.2014406354872676E-2</v>
      </c>
      <c r="L45" s="1" t="str">
        <f>_xlfn.IFNA(VLOOKUP(A45&amp;"-"&amp;B45&amp;"-"&amp;D45,Ref_Account!$A:$F,6,FALSE),"ACCOUNT TIDAK DITEMUKAN")</f>
        <v>1201.630400</v>
      </c>
      <c r="N45" s="1">
        <f t="shared" si="6"/>
        <v>1</v>
      </c>
      <c r="O45" s="57" t="str">
        <f t="shared" si="3"/>
        <v>OVER</v>
      </c>
    </row>
    <row r="46" spans="1:15" x14ac:dyDescent="0.25">
      <c r="A46" s="1" t="s">
        <v>67</v>
      </c>
      <c r="B46" s="56" t="s">
        <v>78</v>
      </c>
      <c r="C46" s="1" t="s">
        <v>79</v>
      </c>
      <c r="D46" s="2" t="s">
        <v>13</v>
      </c>
      <c r="E46" s="2" t="s">
        <v>75</v>
      </c>
      <c r="G46" s="33">
        <v>1453.67</v>
      </c>
      <c r="H46" s="33">
        <v>3736.9</v>
      </c>
      <c r="I46" s="33">
        <f t="shared" si="4"/>
        <v>-2283.23</v>
      </c>
      <c r="J46" s="4">
        <f>G46/VLOOKUP(A46,RESUME!$G$3:$I$10,3,FALSE)</f>
        <v>1.6680945462039718E-2</v>
      </c>
      <c r="K46" s="4">
        <f t="shared" si="5"/>
        <v>6.4889587598820613E-3</v>
      </c>
      <c r="L46" s="1" t="str">
        <f>_xlfn.IFNA(VLOOKUP(A46&amp;"-"&amp;B46&amp;"-"&amp;D46,Ref_Account!$A:$F,6,FALSE),"ACCOUNT TIDAK DITEMUKAN")</f>
        <v>1201.813100</v>
      </c>
      <c r="N46" s="1">
        <f t="shared" si="6"/>
        <v>1</v>
      </c>
      <c r="O46" s="57" t="str">
        <f t="shared" si="3"/>
        <v>OVER</v>
      </c>
    </row>
    <row r="47" spans="1:15" x14ac:dyDescent="0.25">
      <c r="A47" s="1" t="s">
        <v>67</v>
      </c>
      <c r="B47" s="56" t="s">
        <v>80</v>
      </c>
      <c r="C47" s="1" t="s">
        <v>81</v>
      </c>
      <c r="D47" s="2" t="s">
        <v>13</v>
      </c>
      <c r="E47" s="2" t="s">
        <v>82</v>
      </c>
      <c r="G47" s="33">
        <v>531</v>
      </c>
      <c r="H47" s="33">
        <v>531.61</v>
      </c>
      <c r="I47" s="33">
        <f t="shared" si="4"/>
        <v>-0.61000000000001364</v>
      </c>
      <c r="J47" s="4">
        <f>G47/VLOOKUP(A47,RESUME!$G$3:$I$10,3,FALSE)</f>
        <v>6.0932550306074208E-3</v>
      </c>
      <c r="K47" s="4">
        <f t="shared" si="5"/>
        <v>6.0862632780657629E-3</v>
      </c>
      <c r="L47" s="1" t="str">
        <f>_xlfn.IFNA(VLOOKUP(A47&amp;"-"&amp;B47&amp;"-"&amp;D47,Ref_Account!$A:$F,6,FALSE),"ACCOUNT TIDAK DITEMUKAN")</f>
        <v>1201.630300</v>
      </c>
      <c r="N47" s="1">
        <f t="shared" si="6"/>
        <v>1</v>
      </c>
      <c r="O47" s="57" t="str">
        <f t="shared" si="3"/>
        <v>OVER</v>
      </c>
    </row>
    <row r="48" spans="1:15" x14ac:dyDescent="0.25">
      <c r="A48" s="1" t="s">
        <v>67</v>
      </c>
      <c r="B48" s="1" t="s">
        <v>154</v>
      </c>
      <c r="C48" s="1" t="s">
        <v>83</v>
      </c>
      <c r="D48" s="2" t="s">
        <v>13</v>
      </c>
      <c r="E48" s="2" t="s">
        <v>75</v>
      </c>
      <c r="G48" s="33">
        <v>2429</v>
      </c>
      <c r="I48" s="33">
        <f t="shared" si="4"/>
        <v>2429</v>
      </c>
      <c r="J48" s="4">
        <f>G48/VLOOKUP(A48,RESUME!$G$3:$I$10,3,FALSE)</f>
        <v>2.7872912371648635E-2</v>
      </c>
      <c r="K48" s="4" t="str">
        <f t="shared" si="5"/>
        <v/>
      </c>
      <c r="L48" s="1" t="str">
        <f>_xlfn.IFNA(VLOOKUP(A48&amp;"-"&amp;B48&amp;"-"&amp;D48,Ref_Account!$A:$F,6,FALSE),"ACCOUNT TIDAK DITEMUKAN")</f>
        <v>1201.630200</v>
      </c>
      <c r="N48" s="1">
        <f t="shared" si="6"/>
        <v>2</v>
      </c>
      <c r="O48" s="57" t="str">
        <f t="shared" si="3"/>
        <v>OK</v>
      </c>
    </row>
    <row r="49" spans="1:15" x14ac:dyDescent="0.25">
      <c r="A49" s="1" t="s">
        <v>67</v>
      </c>
      <c r="B49" s="1" t="s">
        <v>154</v>
      </c>
      <c r="C49" s="1" t="s">
        <v>84</v>
      </c>
      <c r="D49" s="2" t="s">
        <v>13</v>
      </c>
      <c r="E49" s="2" t="s">
        <v>75</v>
      </c>
      <c r="G49" s="33">
        <v>200</v>
      </c>
      <c r="I49" s="33">
        <f t="shared" si="4"/>
        <v>200</v>
      </c>
      <c r="J49" s="4">
        <f>G49/VLOOKUP(A49,RESUME!$G$3:$I$10,3,FALSE)</f>
        <v>2.2950113109632469E-3</v>
      </c>
      <c r="K49" s="4" t="str">
        <f t="shared" si="5"/>
        <v/>
      </c>
      <c r="L49" s="1" t="str">
        <f>_xlfn.IFNA(VLOOKUP(A49&amp;"-"&amp;B49&amp;"-"&amp;D49,Ref_Account!$A:$F,6,FALSE),"ACCOUNT TIDAK DITEMUKAN")</f>
        <v>1201.630200</v>
      </c>
      <c r="N49" s="1">
        <f t="shared" si="6"/>
        <v>2</v>
      </c>
      <c r="O49" s="57" t="str">
        <f t="shared" si="3"/>
        <v>OK</v>
      </c>
    </row>
    <row r="50" spans="1:15" x14ac:dyDescent="0.25">
      <c r="A50" s="1" t="s">
        <v>67</v>
      </c>
      <c r="B50" s="56" t="s">
        <v>85</v>
      </c>
      <c r="C50" s="1" t="s">
        <v>86</v>
      </c>
      <c r="D50" s="2" t="s">
        <v>13</v>
      </c>
      <c r="E50" s="2" t="s">
        <v>75</v>
      </c>
      <c r="G50" s="33">
        <v>3004.76</v>
      </c>
      <c r="H50" s="33">
        <v>2634.57</v>
      </c>
      <c r="I50" s="33">
        <f t="shared" si="4"/>
        <v>370.19000000000005</v>
      </c>
      <c r="J50" s="4">
        <f>G50/VLOOKUP(A50,RESUME!$G$3:$I$10,3,FALSE)</f>
        <v>3.4479790933649633E-2</v>
      </c>
      <c r="K50" s="4">
        <f t="shared" si="5"/>
        <v>3.9324632333091573E-2</v>
      </c>
      <c r="L50" s="1" t="str">
        <f>_xlfn.IFNA(VLOOKUP(A50&amp;"-"&amp;B50&amp;"-"&amp;D50,Ref_Account!$A:$F,6,FALSE),"ACCOUNT TIDAK DITEMUKAN")</f>
        <v>1201.630530</v>
      </c>
      <c r="N50" s="1">
        <f t="shared" si="6"/>
        <v>1</v>
      </c>
      <c r="O50" s="57" t="str">
        <f t="shared" si="3"/>
        <v>OK</v>
      </c>
    </row>
    <row r="51" spans="1:15" x14ac:dyDescent="0.25">
      <c r="A51" s="1" t="s">
        <v>67</v>
      </c>
      <c r="B51" s="56" t="s">
        <v>85</v>
      </c>
      <c r="C51" s="1" t="s">
        <v>86</v>
      </c>
      <c r="D51" s="2" t="s">
        <v>15</v>
      </c>
      <c r="E51" s="2" t="s">
        <v>75</v>
      </c>
      <c r="G51" s="33">
        <v>1543.55</v>
      </c>
      <c r="H51" s="33">
        <v>1343.55</v>
      </c>
      <c r="I51" s="33">
        <f t="shared" si="4"/>
        <v>200</v>
      </c>
      <c r="J51" s="4">
        <f>G51/VLOOKUP(A51,RESUME!$G$3:$I$10,3,FALSE)</f>
        <v>1.7712323545186599E-2</v>
      </c>
      <c r="K51" s="4">
        <f t="shared" si="5"/>
        <v>2.0348968782831139E-2</v>
      </c>
      <c r="L51" s="1" t="str">
        <f>_xlfn.IFNA(VLOOKUP(A51&amp;"-"&amp;B51&amp;"-"&amp;D51,Ref_Account!$A:$F,6,FALSE),"ACCOUNT TIDAK DITEMUKAN")</f>
        <v>1204.630530</v>
      </c>
      <c r="N51" s="1">
        <f t="shared" si="6"/>
        <v>1</v>
      </c>
      <c r="O51" s="57" t="str">
        <f t="shared" si="3"/>
        <v>OK</v>
      </c>
    </row>
    <row r="52" spans="1:15" x14ac:dyDescent="0.25">
      <c r="A52" s="1" t="s">
        <v>67</v>
      </c>
      <c r="B52" s="56" t="s">
        <v>87</v>
      </c>
      <c r="C52" s="1" t="s">
        <v>88</v>
      </c>
      <c r="D52" s="2" t="s">
        <v>13</v>
      </c>
      <c r="E52" s="2" t="s">
        <v>75</v>
      </c>
      <c r="G52" s="33">
        <v>938.47</v>
      </c>
      <c r="H52" s="33">
        <v>888.47</v>
      </c>
      <c r="I52" s="33">
        <f t="shared" si="4"/>
        <v>50</v>
      </c>
      <c r="J52" s="4">
        <f>G52/VLOOKUP(A52,RESUME!$G$3:$I$10,3,FALSE)</f>
        <v>1.0768996324998392E-2</v>
      </c>
      <c r="K52" s="4">
        <f t="shared" si="5"/>
        <v>1.1375037965402592E-2</v>
      </c>
      <c r="L52" s="1" t="str">
        <f>_xlfn.IFNA(VLOOKUP(A52&amp;"-"&amp;B52&amp;"-"&amp;D52,Ref_Account!$A:$F,6,FALSE),"ACCOUNT TIDAK DITEMUKAN")</f>
        <v>1201.808100</v>
      </c>
      <c r="N52" s="1">
        <f t="shared" si="6"/>
        <v>1</v>
      </c>
      <c r="O52" s="57" t="str">
        <f t="shared" si="3"/>
        <v>OK</v>
      </c>
    </row>
    <row r="53" spans="1:15" x14ac:dyDescent="0.25">
      <c r="A53" s="1" t="s">
        <v>67</v>
      </c>
      <c r="B53" s="56" t="s">
        <v>87</v>
      </c>
      <c r="C53" s="1" t="s">
        <v>88</v>
      </c>
      <c r="D53" s="2" t="s">
        <v>24</v>
      </c>
      <c r="E53" s="2" t="s">
        <v>75</v>
      </c>
      <c r="G53" s="33">
        <v>175.55</v>
      </c>
      <c r="H53" s="33">
        <v>165.55</v>
      </c>
      <c r="I53" s="33">
        <f t="shared" si="4"/>
        <v>10</v>
      </c>
      <c r="J53" s="4">
        <f>G53/VLOOKUP(A53,RESUME!$G$3:$I$10,3,FALSE)</f>
        <v>2.0144461781979902E-3</v>
      </c>
      <c r="K53" s="4">
        <f t="shared" si="5"/>
        <v>2.1361282185602968E-3</v>
      </c>
      <c r="L53" s="1" t="str">
        <f>_xlfn.IFNA(VLOOKUP(A53&amp;"-"&amp;B53&amp;"-"&amp;D53,Ref_Account!$A:$F,6,FALSE),"ACCOUNT TIDAK DITEMUKAN")</f>
        <v>1205.808100</v>
      </c>
      <c r="N53" s="1">
        <f t="shared" si="6"/>
        <v>1</v>
      </c>
      <c r="O53" s="57" t="str">
        <f t="shared" si="3"/>
        <v>OK</v>
      </c>
    </row>
    <row r="54" spans="1:15" x14ac:dyDescent="0.25">
      <c r="A54" s="1" t="s">
        <v>67</v>
      </c>
      <c r="B54" s="56" t="s">
        <v>87</v>
      </c>
      <c r="C54" s="1" t="s">
        <v>88</v>
      </c>
      <c r="D54" s="2" t="s">
        <v>15</v>
      </c>
      <c r="E54" s="2" t="s">
        <v>75</v>
      </c>
      <c r="G54" s="33">
        <v>2294.39</v>
      </c>
      <c r="H54" s="33">
        <v>2225.52</v>
      </c>
      <c r="I54" s="33">
        <f t="shared" si="4"/>
        <v>68.869999999999891</v>
      </c>
      <c r="J54" s="4">
        <f>G54/VLOOKUP(A54,RESUME!$G$3:$I$10,3,FALSE)</f>
        <v>2.632825500880482E-2</v>
      </c>
      <c r="K54" s="4">
        <f t="shared" si="5"/>
        <v>2.7142998045244116E-2</v>
      </c>
      <c r="L54" s="1" t="str">
        <f>_xlfn.IFNA(VLOOKUP(A54&amp;"-"&amp;B54&amp;"-"&amp;D54,Ref_Account!$A:$F,6,FALSE),"ACCOUNT TIDAK DITEMUKAN")</f>
        <v>1204.808100</v>
      </c>
      <c r="N54" s="1">
        <f t="shared" si="6"/>
        <v>1</v>
      </c>
      <c r="O54" s="57" t="str">
        <f t="shared" si="3"/>
        <v>OK</v>
      </c>
    </row>
    <row r="55" spans="1:15" x14ac:dyDescent="0.25">
      <c r="A55" s="1" t="s">
        <v>67</v>
      </c>
      <c r="B55" s="56" t="s">
        <v>89</v>
      </c>
      <c r="C55" s="1" t="s">
        <v>90</v>
      </c>
      <c r="D55" s="2" t="s">
        <v>13</v>
      </c>
      <c r="E55" s="2" t="s">
        <v>75</v>
      </c>
      <c r="G55" s="33">
        <v>1987.05</v>
      </c>
      <c r="H55" s="33">
        <v>1987.06</v>
      </c>
      <c r="I55" s="33">
        <f t="shared" si="4"/>
        <v>-9.9999999999909051E-3</v>
      </c>
      <c r="J55" s="4">
        <f>G55/VLOOKUP(A55,RESUME!$G$3:$I$10,3,FALSE)</f>
        <v>2.2801511127247598E-2</v>
      </c>
      <c r="K55" s="4">
        <f t="shared" si="5"/>
        <v>2.2801396377259538E-2</v>
      </c>
      <c r="L55" s="1" t="str">
        <f>_xlfn.IFNA(VLOOKUP(A55&amp;"-"&amp;B55&amp;"-"&amp;D55,Ref_Account!$A:$F,6,FALSE),"ACCOUNT TIDAK DITEMUKAN")</f>
        <v>1201.630900</v>
      </c>
      <c r="N55" s="1">
        <f t="shared" si="6"/>
        <v>1</v>
      </c>
      <c r="O55" s="57" t="str">
        <f t="shared" si="3"/>
        <v>OVER</v>
      </c>
    </row>
    <row r="56" spans="1:15" x14ac:dyDescent="0.25">
      <c r="A56" s="1" t="s">
        <v>67</v>
      </c>
      <c r="B56" s="56" t="s">
        <v>89</v>
      </c>
      <c r="C56" s="1" t="s">
        <v>90</v>
      </c>
      <c r="D56" s="2" t="s">
        <v>15</v>
      </c>
      <c r="E56" s="2" t="s">
        <v>75</v>
      </c>
      <c r="G56" s="33">
        <v>1692.67</v>
      </c>
      <c r="H56" s="33">
        <v>1692.7</v>
      </c>
      <c r="I56" s="33">
        <f t="shared" si="4"/>
        <v>-2.9999999999972715E-2</v>
      </c>
      <c r="J56" s="4">
        <f>G56/VLOOKUP(A56,RESUME!$G$3:$I$10,3,FALSE)</f>
        <v>1.9423483978640799E-2</v>
      </c>
      <c r="K56" s="4">
        <f t="shared" si="5"/>
        <v>1.9423139733045384E-2</v>
      </c>
      <c r="L56" s="1" t="str">
        <f>_xlfn.IFNA(VLOOKUP(A56&amp;"-"&amp;B56&amp;"-"&amp;D56,Ref_Account!$A:$F,6,FALSE),"ACCOUNT TIDAK DITEMUKAN")</f>
        <v>1204.630900</v>
      </c>
      <c r="N56" s="1">
        <f t="shared" si="6"/>
        <v>1</v>
      </c>
      <c r="O56" s="57" t="str">
        <f t="shared" si="3"/>
        <v>OVER</v>
      </c>
    </row>
    <row r="57" spans="1:15" x14ac:dyDescent="0.25">
      <c r="A57" s="1" t="s">
        <v>67</v>
      </c>
      <c r="B57" s="56" t="s">
        <v>91</v>
      </c>
      <c r="C57" s="1" t="s">
        <v>92</v>
      </c>
      <c r="D57" s="2" t="s">
        <v>13</v>
      </c>
      <c r="E57" s="2" t="s">
        <v>75</v>
      </c>
      <c r="G57" s="33">
        <v>569</v>
      </c>
      <c r="H57" s="33">
        <v>469.69</v>
      </c>
      <c r="I57" s="33">
        <f t="shared" si="4"/>
        <v>99.31</v>
      </c>
      <c r="J57" s="4">
        <f>G57/VLOOKUP(A57,RESUME!$G$3:$I$10,3,FALSE)</f>
        <v>6.5293071796904377E-3</v>
      </c>
      <c r="K57" s="4">
        <f t="shared" si="5"/>
        <v>7.9098464630796041E-3</v>
      </c>
      <c r="L57" s="1" t="str">
        <f>_xlfn.IFNA(VLOOKUP(A57&amp;"-"&amp;B57&amp;"-"&amp;D57,Ref_Account!$A:$F,6,FALSE),"ACCOUNT TIDAK DITEMUKAN")</f>
        <v>1201.802140</v>
      </c>
      <c r="N57" s="1">
        <f t="shared" si="6"/>
        <v>1</v>
      </c>
      <c r="O57" s="57" t="str">
        <f t="shared" si="3"/>
        <v>OK</v>
      </c>
    </row>
    <row r="58" spans="1:15" x14ac:dyDescent="0.25">
      <c r="A58" s="1" t="s">
        <v>67</v>
      </c>
      <c r="B58" s="56" t="s">
        <v>91</v>
      </c>
      <c r="C58" s="1" t="s">
        <v>92</v>
      </c>
      <c r="D58" s="2" t="s">
        <v>15</v>
      </c>
      <c r="E58" s="2" t="s">
        <v>75</v>
      </c>
      <c r="G58" s="33">
        <v>300</v>
      </c>
      <c r="H58" s="33">
        <v>290.62</v>
      </c>
      <c r="I58" s="33">
        <f t="shared" si="4"/>
        <v>9.3799999999999955</v>
      </c>
      <c r="J58" s="4">
        <f>G58/VLOOKUP(A58,RESUME!$G$3:$I$10,3,FALSE)</f>
        <v>3.4425169664448704E-3</v>
      </c>
      <c r="K58" s="4">
        <f t="shared" si="5"/>
        <v>3.5536270385157975E-3</v>
      </c>
      <c r="L58" s="1" t="str">
        <f>_xlfn.IFNA(VLOOKUP(A58&amp;"-"&amp;B58&amp;"-"&amp;D58,Ref_Account!$A:$F,6,FALSE),"ACCOUNT TIDAK DITEMUKAN")</f>
        <v>1204.802140</v>
      </c>
      <c r="N58" s="1">
        <f t="shared" si="6"/>
        <v>1</v>
      </c>
      <c r="O58" s="57" t="str">
        <f t="shared" si="3"/>
        <v>OK</v>
      </c>
    </row>
    <row r="59" spans="1:15" x14ac:dyDescent="0.25">
      <c r="A59" s="1" t="s">
        <v>67</v>
      </c>
      <c r="B59" s="56" t="s">
        <v>93</v>
      </c>
      <c r="C59" s="1" t="s">
        <v>94</v>
      </c>
      <c r="D59" s="2" t="s">
        <v>13</v>
      </c>
      <c r="E59" s="2" t="s">
        <v>95</v>
      </c>
      <c r="G59" s="33">
        <v>2288.86</v>
      </c>
      <c r="H59" s="33">
        <v>1193.82</v>
      </c>
      <c r="I59" s="33">
        <f t="shared" si="4"/>
        <v>1095.0400000000002</v>
      </c>
      <c r="J59" s="4">
        <f>G59/VLOOKUP(A59,RESUME!$G$3:$I$10,3,FALSE)</f>
        <v>2.6264797946056691E-2</v>
      </c>
      <c r="K59" s="4">
        <f t="shared" si="5"/>
        <v>5.0356373177540437E-2</v>
      </c>
      <c r="L59" s="1" t="str">
        <f>_xlfn.IFNA(VLOOKUP(A59&amp;"-"&amp;B59&amp;"-"&amp;D59,Ref_Account!$A:$F,6,FALSE),"ACCOUNT TIDAK DITEMUKAN")</f>
        <v>1201.801160</v>
      </c>
      <c r="N59" s="1">
        <f t="shared" si="6"/>
        <v>1</v>
      </c>
      <c r="O59" s="57" t="str">
        <f t="shared" si="3"/>
        <v>OK</v>
      </c>
    </row>
    <row r="60" spans="1:15" x14ac:dyDescent="0.25">
      <c r="A60" s="1" t="s">
        <v>67</v>
      </c>
      <c r="B60" s="56" t="s">
        <v>96</v>
      </c>
      <c r="C60" s="1" t="s">
        <v>97</v>
      </c>
      <c r="D60" s="2" t="s">
        <v>13</v>
      </c>
      <c r="E60" s="2" t="s">
        <v>98</v>
      </c>
      <c r="G60" s="33">
        <v>36500.160000000003</v>
      </c>
      <c r="H60" s="33">
        <v>36746.160000000003</v>
      </c>
      <c r="I60" s="33">
        <f t="shared" si="4"/>
        <v>-246</v>
      </c>
      <c r="J60" s="4">
        <f>G60/VLOOKUP(A60,RESUME!$G$3:$I$10,3,FALSE)</f>
        <v>0.4188414002598414</v>
      </c>
      <c r="K60" s="4">
        <f t="shared" si="5"/>
        <v>0.41603743422736555</v>
      </c>
      <c r="L60" s="1" t="str">
        <f>_xlfn.IFNA(VLOOKUP(A60&amp;"-"&amp;B60&amp;"-"&amp;D60,Ref_Account!$A:$F,6,FALSE),"ACCOUNT TIDAK DITEMUKAN")</f>
        <v>1201.630110</v>
      </c>
      <c r="N60" s="1">
        <f t="shared" si="6"/>
        <v>1</v>
      </c>
      <c r="O60" s="57" t="str">
        <f t="shared" si="3"/>
        <v>OVER</v>
      </c>
    </row>
    <row r="61" spans="1:15" x14ac:dyDescent="0.25">
      <c r="A61" s="1" t="s">
        <v>67</v>
      </c>
      <c r="B61" s="56" t="s">
        <v>99</v>
      </c>
      <c r="C61" s="1" t="s">
        <v>100</v>
      </c>
      <c r="D61" s="2" t="s">
        <v>13</v>
      </c>
      <c r="E61" s="2" t="s">
        <v>75</v>
      </c>
      <c r="G61" s="33">
        <v>1440.17</v>
      </c>
      <c r="H61" s="33">
        <v>1719.73</v>
      </c>
      <c r="I61" s="33">
        <f t="shared" si="4"/>
        <v>-279.55999999999995</v>
      </c>
      <c r="J61" s="4">
        <f>G61/VLOOKUP(A61,RESUME!$G$3:$I$10,3,FALSE)</f>
        <v>1.6526032198549697E-2</v>
      </c>
      <c r="K61" s="4">
        <f t="shared" si="5"/>
        <v>1.3839553762151803E-2</v>
      </c>
      <c r="L61" s="1" t="str">
        <f>_xlfn.IFNA(VLOOKUP(A61&amp;"-"&amp;B61&amp;"-"&amp;D61,Ref_Account!$A:$F,6,FALSE),"ACCOUNT TIDAK DITEMUKAN")</f>
        <v>1201.809100</v>
      </c>
      <c r="N61" s="1">
        <f t="shared" si="6"/>
        <v>1</v>
      </c>
      <c r="O61" s="57" t="str">
        <f t="shared" si="3"/>
        <v>OVER</v>
      </c>
    </row>
    <row r="62" spans="1:15" x14ac:dyDescent="0.25">
      <c r="A62" s="1" t="s">
        <v>67</v>
      </c>
      <c r="B62" s="56" t="s">
        <v>99</v>
      </c>
      <c r="C62" s="1" t="s">
        <v>100</v>
      </c>
      <c r="D62" s="2" t="s">
        <v>101</v>
      </c>
      <c r="E62" s="2" t="s">
        <v>75</v>
      </c>
      <c r="G62" s="33">
        <v>14.27</v>
      </c>
      <c r="H62" s="33">
        <v>14.27</v>
      </c>
      <c r="I62" s="33">
        <f t="shared" si="4"/>
        <v>0</v>
      </c>
      <c r="J62" s="4">
        <f>G62/VLOOKUP(A62,RESUME!$G$3:$I$10,3,FALSE)</f>
        <v>1.6374905703722768E-4</v>
      </c>
      <c r="K62" s="4">
        <f t="shared" si="5"/>
        <v>1.6374905703722768E-4</v>
      </c>
      <c r="L62" s="1" t="str">
        <f>_xlfn.IFNA(VLOOKUP(A62&amp;"-"&amp;B62&amp;"-"&amp;D62,Ref_Account!$A:$F,6,FALSE),"ACCOUNT TIDAK DITEMUKAN")</f>
        <v>1206.809100</v>
      </c>
      <c r="N62" s="1">
        <f t="shared" si="6"/>
        <v>1</v>
      </c>
      <c r="O62" s="57" t="str">
        <f t="shared" si="3"/>
        <v>OVER</v>
      </c>
    </row>
    <row r="63" spans="1:15" x14ac:dyDescent="0.25">
      <c r="A63" s="1" t="s">
        <v>67</v>
      </c>
      <c r="B63" s="56" t="s">
        <v>99</v>
      </c>
      <c r="C63" s="1" t="s">
        <v>100</v>
      </c>
      <c r="D63" s="2" t="s">
        <v>24</v>
      </c>
      <c r="E63" s="2" t="s">
        <v>75</v>
      </c>
      <c r="G63" s="33">
        <v>35.56</v>
      </c>
      <c r="H63" s="33">
        <v>35.56</v>
      </c>
      <c r="I63" s="33">
        <f t="shared" si="4"/>
        <v>0</v>
      </c>
      <c r="J63" s="4">
        <f>G63/VLOOKUP(A63,RESUME!$G$3:$I$10,3,FALSE)</f>
        <v>4.0805301108926532E-4</v>
      </c>
      <c r="K63" s="4">
        <f t="shared" si="5"/>
        <v>4.0805301108926532E-4</v>
      </c>
      <c r="L63" s="1" t="str">
        <f>_xlfn.IFNA(VLOOKUP(A63&amp;"-"&amp;B63&amp;"-"&amp;D63,Ref_Account!$A:$F,6,FALSE),"ACCOUNT TIDAK DITEMUKAN")</f>
        <v>1205.809100</v>
      </c>
      <c r="N63" s="1">
        <f t="shared" si="6"/>
        <v>1</v>
      </c>
      <c r="O63" s="57" t="str">
        <f t="shared" si="3"/>
        <v>OVER</v>
      </c>
    </row>
    <row r="64" spans="1:15" x14ac:dyDescent="0.25">
      <c r="A64" s="1" t="s">
        <v>67</v>
      </c>
      <c r="B64" s="56" t="s">
        <v>99</v>
      </c>
      <c r="C64" s="1" t="s">
        <v>100</v>
      </c>
      <c r="D64" s="2" t="s">
        <v>15</v>
      </c>
      <c r="E64" s="2" t="s">
        <v>75</v>
      </c>
      <c r="G64" s="33">
        <v>9.69</v>
      </c>
      <c r="H64" s="33">
        <v>9.69</v>
      </c>
      <c r="I64" s="33">
        <f t="shared" si="4"/>
        <v>0</v>
      </c>
      <c r="J64" s="4">
        <f>G64/VLOOKUP(A64,RESUME!$G$3:$I$10,3,FALSE)</f>
        <v>1.1119329801616931E-4</v>
      </c>
      <c r="K64" s="4">
        <f t="shared" si="5"/>
        <v>1.1119329801616931E-4</v>
      </c>
      <c r="L64" s="1" t="str">
        <f>_xlfn.IFNA(VLOOKUP(A64&amp;"-"&amp;B64&amp;"-"&amp;D64,Ref_Account!$A:$F,6,FALSE),"ACCOUNT TIDAK DITEMUKAN")</f>
        <v>1204.809100</v>
      </c>
      <c r="N64" s="1">
        <f t="shared" si="6"/>
        <v>1</v>
      </c>
      <c r="O64" s="57" t="str">
        <f t="shared" si="3"/>
        <v>OVER</v>
      </c>
    </row>
    <row r="65" spans="1:15" x14ac:dyDescent="0.25">
      <c r="A65" s="1" t="s">
        <v>67</v>
      </c>
      <c r="B65" s="56" t="s">
        <v>102</v>
      </c>
      <c r="C65" s="1" t="s">
        <v>103</v>
      </c>
      <c r="D65" s="2" t="s">
        <v>13</v>
      </c>
      <c r="E65" s="2" t="s">
        <v>75</v>
      </c>
      <c r="G65" s="33">
        <v>400</v>
      </c>
      <c r="H65" s="33">
        <v>1808.8</v>
      </c>
      <c r="I65" s="33">
        <f t="shared" si="4"/>
        <v>-1408.8</v>
      </c>
      <c r="J65" s="4">
        <f>G65/VLOOKUP(A65,RESUME!$G$3:$I$10,3,FALSE)</f>
        <v>4.5900226219264938E-3</v>
      </c>
      <c r="K65" s="4">
        <f t="shared" si="5"/>
        <v>1.0150425966224002E-3</v>
      </c>
      <c r="L65" s="1" t="str">
        <f>_xlfn.IFNA(VLOOKUP(A65&amp;"-"&amp;B65&amp;"-"&amp;D65,Ref_Account!$A:$F,6,FALSE),"ACCOUNT TIDAK DITEMUKAN")</f>
        <v>1201.630710</v>
      </c>
      <c r="N65" s="1">
        <f t="shared" si="6"/>
        <v>1</v>
      </c>
      <c r="O65" s="57" t="str">
        <f t="shared" si="3"/>
        <v>OVER</v>
      </c>
    </row>
    <row r="66" spans="1:15" x14ac:dyDescent="0.25">
      <c r="A66" s="1" t="s">
        <v>67</v>
      </c>
      <c r="B66" s="56" t="s">
        <v>104</v>
      </c>
      <c r="C66" s="1" t="s">
        <v>105</v>
      </c>
      <c r="D66" s="2" t="s">
        <v>13</v>
      </c>
      <c r="E66" s="2" t="s">
        <v>82</v>
      </c>
      <c r="G66" s="33">
        <v>100</v>
      </c>
      <c r="I66" s="33">
        <f t="shared" si="4"/>
        <v>100</v>
      </c>
      <c r="J66" s="4">
        <f>G66/VLOOKUP(A66,RESUME!$G$3:$I$10,3,FALSE)</f>
        <v>1.1475056554816235E-3</v>
      </c>
      <c r="K66" s="4" t="str">
        <f t="shared" si="5"/>
        <v/>
      </c>
      <c r="L66" s="1" t="str">
        <f>_xlfn.IFNA(VLOOKUP(A66&amp;"-"&amp;B66&amp;"-"&amp;D66,Ref_Account!$A:$F,6,FALSE),"ACCOUNT TIDAK DITEMUKAN")</f>
        <v>1201.630770</v>
      </c>
      <c r="N66" s="1">
        <f t="shared" si="6"/>
        <v>1</v>
      </c>
      <c r="O66" s="57" t="str">
        <f t="shared" si="3"/>
        <v>OK</v>
      </c>
    </row>
    <row r="67" spans="1:15" x14ac:dyDescent="0.25">
      <c r="A67" s="1" t="s">
        <v>67</v>
      </c>
      <c r="B67" s="56" t="s">
        <v>106</v>
      </c>
      <c r="C67" s="1" t="s">
        <v>107</v>
      </c>
      <c r="D67" s="2" t="s">
        <v>13</v>
      </c>
      <c r="E67" s="2" t="s">
        <v>82</v>
      </c>
      <c r="G67" s="33">
        <v>100</v>
      </c>
      <c r="I67" s="33">
        <f t="shared" si="4"/>
        <v>100</v>
      </c>
      <c r="J67" s="4">
        <f>G67/VLOOKUP(A67,RESUME!$G$3:$I$10,3,FALSE)</f>
        <v>1.1475056554816235E-3</v>
      </c>
      <c r="K67" s="4" t="str">
        <f t="shared" si="5"/>
        <v/>
      </c>
      <c r="L67" s="1" t="str">
        <f>_xlfn.IFNA(VLOOKUP(A67&amp;"-"&amp;B67&amp;"-"&amp;D67,Ref_Account!$A:$F,6,FALSE),"ACCOUNT TIDAK DITEMUKAN")</f>
        <v>1201.630750</v>
      </c>
      <c r="N67" s="1">
        <f t="shared" si="6"/>
        <v>1</v>
      </c>
      <c r="O67" s="57" t="str">
        <f t="shared" si="3"/>
        <v>OK</v>
      </c>
    </row>
    <row r="68" spans="1:15" x14ac:dyDescent="0.25">
      <c r="A68" s="1" t="s">
        <v>67</v>
      </c>
      <c r="B68" s="56" t="s">
        <v>108</v>
      </c>
      <c r="C68" s="1" t="s">
        <v>109</v>
      </c>
      <c r="D68" s="2" t="s">
        <v>13</v>
      </c>
      <c r="E68" s="2" t="s">
        <v>82</v>
      </c>
      <c r="G68" s="33">
        <v>100</v>
      </c>
      <c r="H68" s="33">
        <v>507.01</v>
      </c>
      <c r="I68" s="33">
        <f t="shared" si="4"/>
        <v>-407.01</v>
      </c>
      <c r="J68" s="4">
        <f>G68/VLOOKUP(A68,RESUME!$G$3:$I$10,3,FALSE)</f>
        <v>1.1475056554816235E-3</v>
      </c>
      <c r="K68" s="4">
        <f t="shared" si="5"/>
        <v>2.2632801236299548E-4</v>
      </c>
      <c r="L68" s="1" t="str">
        <f>_xlfn.IFNA(VLOOKUP(A68&amp;"-"&amp;B68&amp;"-"&amp;D68,Ref_Account!$A:$F,6,FALSE),"ACCOUNT TIDAK DITEMUKAN")</f>
        <v>1201.630720</v>
      </c>
      <c r="N68" s="1">
        <f t="shared" si="6"/>
        <v>1</v>
      </c>
      <c r="O68" s="57" t="str">
        <f t="shared" si="3"/>
        <v>OVER</v>
      </c>
    </row>
    <row r="69" spans="1:15" x14ac:dyDescent="0.25">
      <c r="A69" s="1" t="s">
        <v>67</v>
      </c>
      <c r="B69" s="56" t="s">
        <v>110</v>
      </c>
      <c r="C69" s="1" t="s">
        <v>111</v>
      </c>
      <c r="D69" s="2" t="s">
        <v>13</v>
      </c>
      <c r="E69" s="2" t="s">
        <v>82</v>
      </c>
      <c r="G69" s="33">
        <v>100</v>
      </c>
      <c r="I69" s="33">
        <f t="shared" si="4"/>
        <v>100</v>
      </c>
      <c r="J69" s="4">
        <f>G69/VLOOKUP(A69,RESUME!$G$3:$I$10,3,FALSE)</f>
        <v>1.1475056554816235E-3</v>
      </c>
      <c r="K69" s="4" t="str">
        <f t="shared" si="5"/>
        <v/>
      </c>
      <c r="L69" s="1" t="str">
        <f>_xlfn.IFNA(VLOOKUP(A69&amp;"-"&amp;B69&amp;"-"&amp;D69,Ref_Account!$A:$F,6,FALSE),"ACCOUNT TIDAK DITEMUKAN")</f>
        <v>1201.630760</v>
      </c>
      <c r="N69" s="1">
        <f t="shared" si="6"/>
        <v>1</v>
      </c>
      <c r="O69" s="57" t="str">
        <f t="shared" si="3"/>
        <v>OK</v>
      </c>
    </row>
    <row r="70" spans="1:15" x14ac:dyDescent="0.25">
      <c r="A70" s="1" t="s">
        <v>67</v>
      </c>
      <c r="B70" s="56" t="s">
        <v>110</v>
      </c>
      <c r="C70" s="1" t="s">
        <v>111</v>
      </c>
      <c r="D70" s="2" t="s">
        <v>24</v>
      </c>
      <c r="E70" s="2" t="s">
        <v>75</v>
      </c>
      <c r="G70" s="33">
        <v>250</v>
      </c>
      <c r="I70" s="33">
        <f t="shared" ref="I70:I101" si="7">G70-H70</f>
        <v>250</v>
      </c>
      <c r="J70" s="4">
        <f>G70/VLOOKUP(A70,RESUME!$G$3:$I$10,3,FALSE)</f>
        <v>2.8687641387040589E-3</v>
      </c>
      <c r="K70" s="4" t="str">
        <f t="shared" ref="K70:K101" si="8">IFERROR((G70/H70)*J70,"")</f>
        <v/>
      </c>
      <c r="L70" s="1" t="str">
        <f>_xlfn.IFNA(VLOOKUP(A70&amp;"-"&amp;B70&amp;"-"&amp;D70,Ref_Account!$A:$F,6,FALSE),"ACCOUNT TIDAK DITEMUKAN")</f>
        <v>1205.630760</v>
      </c>
      <c r="N70" s="1">
        <f t="shared" ref="N70:N101" si="9">IF(L70="ACCOUNT TIDAK DITEMUKAN","9999",COUNTIF($L$6:$L$164,L70))</f>
        <v>1</v>
      </c>
      <c r="O70" s="57" t="str">
        <f t="shared" si="3"/>
        <v>OK</v>
      </c>
    </row>
    <row r="71" spans="1:15" x14ac:dyDescent="0.25">
      <c r="A71" s="1" t="s">
        <v>67</v>
      </c>
      <c r="B71" s="56" t="s">
        <v>110</v>
      </c>
      <c r="C71" s="1" t="s">
        <v>111</v>
      </c>
      <c r="D71" s="2" t="s">
        <v>15</v>
      </c>
      <c r="E71" s="2" t="s">
        <v>75</v>
      </c>
      <c r="G71" s="33">
        <v>300</v>
      </c>
      <c r="I71" s="33">
        <f t="shared" si="7"/>
        <v>300</v>
      </c>
      <c r="J71" s="4">
        <f>G71/VLOOKUP(A71,RESUME!$G$3:$I$10,3,FALSE)</f>
        <v>3.4425169664448704E-3</v>
      </c>
      <c r="K71" s="4" t="str">
        <f t="shared" si="8"/>
        <v/>
      </c>
      <c r="L71" s="1" t="str">
        <f>_xlfn.IFNA(VLOOKUP(A71&amp;"-"&amp;B71&amp;"-"&amp;D71,Ref_Account!$A:$F,6,FALSE),"ACCOUNT TIDAK DITEMUKAN")</f>
        <v>1204.630760</v>
      </c>
      <c r="N71" s="1">
        <f t="shared" si="9"/>
        <v>1</v>
      </c>
      <c r="O71" s="57" t="str">
        <f t="shared" ref="O71:O134" si="10">IF(I71&gt;0,"OK","OVER")</f>
        <v>OK</v>
      </c>
    </row>
    <row r="72" spans="1:15" x14ac:dyDescent="0.25">
      <c r="A72" s="1" t="s">
        <v>67</v>
      </c>
      <c r="B72" s="56" t="s">
        <v>112</v>
      </c>
      <c r="C72" s="1" t="s">
        <v>113</v>
      </c>
      <c r="D72" s="2" t="s">
        <v>13</v>
      </c>
      <c r="E72" s="2" t="s">
        <v>82</v>
      </c>
      <c r="G72" s="33">
        <v>100</v>
      </c>
      <c r="I72" s="33">
        <f t="shared" si="7"/>
        <v>100</v>
      </c>
      <c r="J72" s="4">
        <f>G72/VLOOKUP(A72,RESUME!$G$3:$I$10,3,FALSE)</f>
        <v>1.1475056554816235E-3</v>
      </c>
      <c r="K72" s="4" t="str">
        <f t="shared" si="8"/>
        <v/>
      </c>
      <c r="L72" s="1" t="str">
        <f>_xlfn.IFNA(VLOOKUP(A72&amp;"-"&amp;B72&amp;"-"&amp;D72,Ref_Account!$A:$F,6,FALSE),"ACCOUNT TIDAK DITEMUKAN")</f>
        <v>1201.630730</v>
      </c>
      <c r="N72" s="1">
        <f t="shared" si="9"/>
        <v>1</v>
      </c>
      <c r="O72" s="57" t="str">
        <f t="shared" si="10"/>
        <v>OK</v>
      </c>
    </row>
    <row r="73" spans="1:15" x14ac:dyDescent="0.25">
      <c r="A73" s="1" t="s">
        <v>67</v>
      </c>
      <c r="B73" s="56" t="s">
        <v>114</v>
      </c>
      <c r="C73" s="1" t="s">
        <v>115</v>
      </c>
      <c r="D73" s="2" t="s">
        <v>13</v>
      </c>
      <c r="E73" s="2" t="s">
        <v>82</v>
      </c>
      <c r="G73" s="33">
        <v>100</v>
      </c>
      <c r="I73" s="33">
        <f t="shared" si="7"/>
        <v>100</v>
      </c>
      <c r="J73" s="4">
        <f>G73/VLOOKUP(A73,RESUME!$G$3:$I$10,3,FALSE)</f>
        <v>1.1475056554816235E-3</v>
      </c>
      <c r="K73" s="4" t="str">
        <f t="shared" si="8"/>
        <v/>
      </c>
      <c r="L73" s="1" t="str">
        <f>_xlfn.IFNA(VLOOKUP(A73&amp;"-"&amp;B73&amp;"-"&amp;D73,Ref_Account!$A:$F,6,FALSE),"ACCOUNT TIDAK DITEMUKAN")</f>
        <v>1201.630740</v>
      </c>
      <c r="N73" s="1">
        <f t="shared" si="9"/>
        <v>1</v>
      </c>
      <c r="O73" s="57" t="str">
        <f t="shared" si="10"/>
        <v>OK</v>
      </c>
    </row>
    <row r="74" spans="1:15" x14ac:dyDescent="0.25">
      <c r="A74" s="1" t="s">
        <v>67</v>
      </c>
      <c r="B74" s="56" t="s">
        <v>116</v>
      </c>
      <c r="C74" s="1" t="s">
        <v>117</v>
      </c>
      <c r="D74" s="2" t="s">
        <v>13</v>
      </c>
      <c r="E74" s="2" t="s">
        <v>75</v>
      </c>
      <c r="G74" s="33">
        <v>328.75</v>
      </c>
      <c r="H74" s="33">
        <v>313.62</v>
      </c>
      <c r="I74" s="33">
        <f t="shared" si="7"/>
        <v>15.129999999999995</v>
      </c>
      <c r="J74" s="4">
        <f>G74/VLOOKUP(A74,RESUME!$G$3:$I$10,3,FALSE)</f>
        <v>3.7724248423958375E-3</v>
      </c>
      <c r="K74" s="4">
        <f t="shared" si="8"/>
        <v>3.9544182990167449E-3</v>
      </c>
      <c r="L74" s="1" t="str">
        <f>_xlfn.IFNA(VLOOKUP(A74&amp;"-"&amp;B74&amp;"-"&amp;D74,Ref_Account!$A:$F,6,FALSE),"ACCOUNT TIDAK DITEMUKAN")</f>
        <v>1201.810110</v>
      </c>
      <c r="N74" s="1">
        <f t="shared" si="9"/>
        <v>1</v>
      </c>
      <c r="O74" s="57" t="str">
        <f t="shared" si="10"/>
        <v>OK</v>
      </c>
    </row>
    <row r="75" spans="1:15" x14ac:dyDescent="0.25">
      <c r="A75" s="1" t="s">
        <v>67</v>
      </c>
      <c r="B75" s="56" t="s">
        <v>116</v>
      </c>
      <c r="C75" s="1" t="s">
        <v>117</v>
      </c>
      <c r="D75" s="2" t="s">
        <v>101</v>
      </c>
      <c r="E75" s="2" t="s">
        <v>75</v>
      </c>
      <c r="G75" s="33">
        <v>109.79</v>
      </c>
      <c r="H75" s="33">
        <v>109.79</v>
      </c>
      <c r="I75" s="33">
        <f t="shared" si="7"/>
        <v>0</v>
      </c>
      <c r="J75" s="4">
        <f>G75/VLOOKUP(A75,RESUME!$G$3:$I$10,3,FALSE)</f>
        <v>1.2598464591532744E-3</v>
      </c>
      <c r="K75" s="4">
        <f t="shared" si="8"/>
        <v>1.2598464591532744E-3</v>
      </c>
      <c r="L75" s="1" t="str">
        <f>_xlfn.IFNA(VLOOKUP(A75&amp;"-"&amp;B75&amp;"-"&amp;D75,Ref_Account!$A:$F,6,FALSE),"ACCOUNT TIDAK DITEMUKAN")</f>
        <v>1206.810110</v>
      </c>
      <c r="N75" s="1">
        <f t="shared" si="9"/>
        <v>1</v>
      </c>
      <c r="O75" s="57" t="str">
        <f t="shared" si="10"/>
        <v>OVER</v>
      </c>
    </row>
    <row r="76" spans="1:15" x14ac:dyDescent="0.25">
      <c r="A76" s="1" t="s">
        <v>67</v>
      </c>
      <c r="B76" s="56" t="s">
        <v>116</v>
      </c>
      <c r="C76" s="1" t="s">
        <v>117</v>
      </c>
      <c r="D76" s="2" t="s">
        <v>24</v>
      </c>
      <c r="E76" s="2" t="s">
        <v>75</v>
      </c>
      <c r="G76" s="33">
        <v>169.38</v>
      </c>
      <c r="H76" s="33">
        <v>169.38</v>
      </c>
      <c r="I76" s="33">
        <f t="shared" si="7"/>
        <v>0</v>
      </c>
      <c r="J76" s="4">
        <f>G76/VLOOKUP(A76,RESUME!$G$3:$I$10,3,FALSE)</f>
        <v>1.9436450792547739E-3</v>
      </c>
      <c r="K76" s="4">
        <f t="shared" si="8"/>
        <v>1.9436450792547739E-3</v>
      </c>
      <c r="L76" s="1" t="str">
        <f>_xlfn.IFNA(VLOOKUP(A76&amp;"-"&amp;B76&amp;"-"&amp;D76,Ref_Account!$A:$F,6,FALSE),"ACCOUNT TIDAK DITEMUKAN")</f>
        <v>1205.810110</v>
      </c>
      <c r="N76" s="1">
        <f t="shared" si="9"/>
        <v>1</v>
      </c>
      <c r="O76" s="57" t="str">
        <f t="shared" si="10"/>
        <v>OVER</v>
      </c>
    </row>
    <row r="77" spans="1:15" x14ac:dyDescent="0.25">
      <c r="A77" s="1" t="s">
        <v>67</v>
      </c>
      <c r="B77" s="56" t="s">
        <v>116</v>
      </c>
      <c r="C77" s="1" t="s">
        <v>117</v>
      </c>
      <c r="D77" s="2" t="s">
        <v>15</v>
      </c>
      <c r="E77" s="2" t="s">
        <v>75</v>
      </c>
      <c r="G77" s="33">
        <v>142.08000000000001</v>
      </c>
      <c r="H77" s="33">
        <v>142.08000000000001</v>
      </c>
      <c r="I77" s="33">
        <f t="shared" si="7"/>
        <v>0</v>
      </c>
      <c r="J77" s="4">
        <f>G77/VLOOKUP(A77,RESUME!$G$3:$I$10,3,FALSE)</f>
        <v>1.6303760353082908E-3</v>
      </c>
      <c r="K77" s="4">
        <f t="shared" si="8"/>
        <v>1.6303760353082908E-3</v>
      </c>
      <c r="L77" s="1" t="str">
        <f>_xlfn.IFNA(VLOOKUP(A77&amp;"-"&amp;B77&amp;"-"&amp;D77,Ref_Account!$A:$F,6,FALSE),"ACCOUNT TIDAK DITEMUKAN")</f>
        <v>1204.810110</v>
      </c>
      <c r="N77" s="1">
        <f t="shared" si="9"/>
        <v>1</v>
      </c>
      <c r="O77" s="57" t="str">
        <f t="shared" si="10"/>
        <v>OVER</v>
      </c>
    </row>
    <row r="78" spans="1:15" x14ac:dyDescent="0.25">
      <c r="A78" s="1" t="s">
        <v>67</v>
      </c>
      <c r="B78" s="56" t="s">
        <v>118</v>
      </c>
      <c r="C78" s="1" t="s">
        <v>119</v>
      </c>
      <c r="D78" s="2" t="s">
        <v>13</v>
      </c>
      <c r="E78" s="2" t="s">
        <v>75</v>
      </c>
      <c r="G78" s="33">
        <v>4300</v>
      </c>
      <c r="H78" s="33">
        <v>2435.48</v>
      </c>
      <c r="I78" s="33">
        <f t="shared" si="7"/>
        <v>1864.52</v>
      </c>
      <c r="J78" s="4">
        <f>G78/VLOOKUP(A78,RESUME!$G$3:$I$10,3,FALSE)</f>
        <v>4.934274318570981E-2</v>
      </c>
      <c r="K78" s="4">
        <f t="shared" si="8"/>
        <v>8.7117855904606967E-2</v>
      </c>
      <c r="L78" s="1" t="str">
        <f>_xlfn.IFNA(VLOOKUP(A78&amp;"-"&amp;B78&amp;"-"&amp;D78,Ref_Account!$A:$F,6,FALSE),"ACCOUNT TIDAK DITEMUKAN")</f>
        <v>1201.630130</v>
      </c>
      <c r="N78" s="1">
        <f t="shared" si="9"/>
        <v>1</v>
      </c>
      <c r="O78" s="57" t="str">
        <f t="shared" si="10"/>
        <v>OK</v>
      </c>
    </row>
    <row r="79" spans="1:15" x14ac:dyDescent="0.25">
      <c r="A79" s="1" t="s">
        <v>67</v>
      </c>
      <c r="B79" s="56" t="s">
        <v>120</v>
      </c>
      <c r="C79" s="1" t="s">
        <v>121</v>
      </c>
      <c r="D79" s="2" t="s">
        <v>13</v>
      </c>
      <c r="E79" s="2" t="s">
        <v>122</v>
      </c>
      <c r="G79" s="33">
        <v>1495.98</v>
      </c>
      <c r="H79" s="33">
        <v>1495.98</v>
      </c>
      <c r="I79" s="33">
        <f t="shared" si="7"/>
        <v>0</v>
      </c>
      <c r="J79" s="4">
        <f>G79/VLOOKUP(A79,RESUME!$G$3:$I$10,3,FALSE)</f>
        <v>1.7166455104873992E-2</v>
      </c>
      <c r="K79" s="4">
        <f t="shared" si="8"/>
        <v>1.7166455104873992E-2</v>
      </c>
      <c r="L79" s="1" t="str">
        <f>_xlfn.IFNA(VLOOKUP(A79&amp;"-"&amp;B79&amp;"-"&amp;D79,Ref_Account!$A:$F,6,FALSE),"ACCOUNT TIDAK DITEMUKAN")</f>
        <v>1201.816130</v>
      </c>
      <c r="N79" s="1">
        <f t="shared" si="9"/>
        <v>1</v>
      </c>
      <c r="O79" s="57" t="str">
        <f t="shared" si="10"/>
        <v>OVER</v>
      </c>
    </row>
    <row r="80" spans="1:15" x14ac:dyDescent="0.25">
      <c r="A80" s="1" t="s">
        <v>67</v>
      </c>
      <c r="B80" s="56" t="s">
        <v>120</v>
      </c>
      <c r="C80" s="1" t="s">
        <v>121</v>
      </c>
      <c r="D80" s="2" t="s">
        <v>101</v>
      </c>
      <c r="E80" s="2" t="s">
        <v>122</v>
      </c>
      <c r="G80" s="33">
        <v>516.97</v>
      </c>
      <c r="H80" s="33">
        <v>516.97</v>
      </c>
      <c r="I80" s="33">
        <f t="shared" si="7"/>
        <v>0</v>
      </c>
      <c r="J80" s="4">
        <f>G80/VLOOKUP(A80,RESUME!$G$3:$I$10,3,FALSE)</f>
        <v>5.9322599871433493E-3</v>
      </c>
      <c r="K80" s="4">
        <f t="shared" si="8"/>
        <v>5.9322599871433493E-3</v>
      </c>
      <c r="L80" s="1" t="str">
        <f>_xlfn.IFNA(VLOOKUP(A80&amp;"-"&amp;B80&amp;"-"&amp;D80,Ref_Account!$A:$F,6,FALSE),"ACCOUNT TIDAK DITEMUKAN")</f>
        <v>1206.816130</v>
      </c>
      <c r="N80" s="1">
        <f t="shared" si="9"/>
        <v>1</v>
      </c>
      <c r="O80" s="57" t="str">
        <f t="shared" si="10"/>
        <v>OVER</v>
      </c>
    </row>
    <row r="81" spans="1:15" x14ac:dyDescent="0.25">
      <c r="A81" s="1" t="s">
        <v>67</v>
      </c>
      <c r="B81" s="56" t="s">
        <v>120</v>
      </c>
      <c r="C81" s="1" t="s">
        <v>121</v>
      </c>
      <c r="D81" s="2" t="s">
        <v>24</v>
      </c>
      <c r="E81" s="2" t="s">
        <v>122</v>
      </c>
      <c r="G81" s="33">
        <v>1463.62</v>
      </c>
      <c r="H81" s="33">
        <v>1463.62</v>
      </c>
      <c r="I81" s="33">
        <f t="shared" si="7"/>
        <v>0</v>
      </c>
      <c r="J81" s="4">
        <f>G81/VLOOKUP(A81,RESUME!$G$3:$I$10,3,FALSE)</f>
        <v>1.6795122274760137E-2</v>
      </c>
      <c r="K81" s="4">
        <f t="shared" si="8"/>
        <v>1.6795122274760137E-2</v>
      </c>
      <c r="L81" s="1" t="str">
        <f>_xlfn.IFNA(VLOOKUP(A81&amp;"-"&amp;B81&amp;"-"&amp;D81,Ref_Account!$A:$F,6,FALSE),"ACCOUNT TIDAK DITEMUKAN")</f>
        <v>1205.816130</v>
      </c>
      <c r="N81" s="1">
        <f t="shared" si="9"/>
        <v>1</v>
      </c>
      <c r="O81" s="57" t="str">
        <f t="shared" si="10"/>
        <v>OVER</v>
      </c>
    </row>
    <row r="82" spans="1:15" x14ac:dyDescent="0.25">
      <c r="A82" s="1" t="s">
        <v>67</v>
      </c>
      <c r="B82" s="56" t="s">
        <v>120</v>
      </c>
      <c r="C82" s="1" t="s">
        <v>121</v>
      </c>
      <c r="D82" s="2" t="s">
        <v>15</v>
      </c>
      <c r="E82" s="2" t="s">
        <v>122</v>
      </c>
      <c r="G82" s="33">
        <v>1779.8599999999997</v>
      </c>
      <c r="H82" s="33">
        <v>2245.4699999999998</v>
      </c>
      <c r="I82" s="33">
        <f t="shared" si="7"/>
        <v>-465.61000000000013</v>
      </c>
      <c r="J82" s="4">
        <f>G82/VLOOKUP(A82,RESUME!$G$3:$I$10,3,FALSE)</f>
        <v>2.042399415965522E-2</v>
      </c>
      <c r="K82" s="4">
        <f t="shared" si="8"/>
        <v>1.6188971682990171E-2</v>
      </c>
      <c r="L82" s="1" t="str">
        <f>_xlfn.IFNA(VLOOKUP(A82&amp;"-"&amp;B82&amp;"-"&amp;D82,Ref_Account!$A:$F,6,FALSE),"ACCOUNT TIDAK DITEMUKAN")</f>
        <v>1204.816130</v>
      </c>
      <c r="N82" s="1">
        <f t="shared" si="9"/>
        <v>1</v>
      </c>
      <c r="O82" s="57" t="str">
        <f t="shared" si="10"/>
        <v>OVER</v>
      </c>
    </row>
    <row r="83" spans="1:15" x14ac:dyDescent="0.25">
      <c r="A83" s="1" t="s">
        <v>67</v>
      </c>
      <c r="B83" s="56" t="s">
        <v>21</v>
      </c>
      <c r="C83" s="1" t="s">
        <v>123</v>
      </c>
      <c r="D83" s="2" t="s">
        <v>101</v>
      </c>
      <c r="E83" s="2" t="s">
        <v>75</v>
      </c>
      <c r="G83" s="33">
        <v>1115.46</v>
      </c>
      <c r="H83" s="33">
        <v>1115.46</v>
      </c>
      <c r="I83" s="33">
        <f t="shared" si="7"/>
        <v>0</v>
      </c>
      <c r="J83" s="4">
        <f>G83/VLOOKUP(A83,RESUME!$G$3:$I$10,3,FALSE)</f>
        <v>1.2799966584635319E-2</v>
      </c>
      <c r="K83" s="4">
        <f t="shared" si="8"/>
        <v>1.2799966584635319E-2</v>
      </c>
      <c r="L83" s="1" t="str">
        <f>_xlfn.IFNA(VLOOKUP(A83&amp;"-"&amp;B83&amp;"-"&amp;D83,Ref_Account!$A:$F,6,FALSE),"ACCOUNT TIDAK DITEMUKAN")</f>
        <v>1206.631100</v>
      </c>
      <c r="N83" s="1">
        <f t="shared" si="9"/>
        <v>1</v>
      </c>
      <c r="O83" s="57" t="str">
        <f t="shared" si="10"/>
        <v>OVER</v>
      </c>
    </row>
    <row r="84" spans="1:15" x14ac:dyDescent="0.25">
      <c r="A84" s="1" t="s">
        <v>67</v>
      </c>
      <c r="B84" s="56" t="s">
        <v>124</v>
      </c>
      <c r="C84" s="1" t="s">
        <v>125</v>
      </c>
      <c r="D84" s="2" t="s">
        <v>13</v>
      </c>
      <c r="E84" s="2" t="s">
        <v>82</v>
      </c>
      <c r="G84" s="33">
        <v>651</v>
      </c>
      <c r="H84" s="33">
        <v>654.78</v>
      </c>
      <c r="I84" s="33">
        <f t="shared" si="7"/>
        <v>-3.7799999999999727</v>
      </c>
      <c r="J84" s="4">
        <f>G84/VLOOKUP(A84,RESUME!$G$3:$I$10,3,FALSE)</f>
        <v>7.4702618171853695E-3</v>
      </c>
      <c r="K84" s="4">
        <f t="shared" si="8"/>
        <v>7.4271365084267633E-3</v>
      </c>
      <c r="L84" s="1" t="str">
        <f>_xlfn.IFNA(VLOOKUP(A84&amp;"-"&amp;B84&amp;"-"&amp;D84,Ref_Account!$A:$F,6,FALSE),"ACCOUNT TIDAK DITEMUKAN")</f>
        <v>1201.631110</v>
      </c>
      <c r="N84" s="1">
        <f t="shared" si="9"/>
        <v>1</v>
      </c>
      <c r="O84" s="57" t="str">
        <f t="shared" si="10"/>
        <v>OVER</v>
      </c>
    </row>
    <row r="85" spans="1:15" x14ac:dyDescent="0.25">
      <c r="A85" s="1" t="s">
        <v>67</v>
      </c>
      <c r="B85" s="56" t="s">
        <v>126</v>
      </c>
      <c r="C85" s="1" t="s">
        <v>127</v>
      </c>
      <c r="D85" s="2" t="s">
        <v>13</v>
      </c>
      <c r="E85" s="2" t="s">
        <v>82</v>
      </c>
      <c r="G85" s="33">
        <v>466</v>
      </c>
      <c r="H85" s="33">
        <v>466.1</v>
      </c>
      <c r="I85" s="33">
        <f t="shared" si="7"/>
        <v>-0.10000000000002274</v>
      </c>
      <c r="J85" s="4">
        <f>G85/VLOOKUP(A85,RESUME!$G$3:$I$10,3,FALSE)</f>
        <v>5.3473763545443653E-3</v>
      </c>
      <c r="K85" s="4">
        <f t="shared" si="8"/>
        <v>5.3462290950819008E-3</v>
      </c>
      <c r="L85" s="1" t="str">
        <f>_xlfn.IFNA(VLOOKUP(A85&amp;"-"&amp;B85&amp;"-"&amp;D85,Ref_Account!$A:$F,6,FALSE),"ACCOUNT TIDAK DITEMUKAN")</f>
        <v>1201.631140</v>
      </c>
      <c r="N85" s="1">
        <f t="shared" si="9"/>
        <v>1</v>
      </c>
      <c r="O85" s="57" t="str">
        <f t="shared" si="10"/>
        <v>OVER</v>
      </c>
    </row>
    <row r="86" spans="1:15" x14ac:dyDescent="0.25">
      <c r="A86" s="1" t="s">
        <v>67</v>
      </c>
      <c r="B86" s="56" t="s">
        <v>128</v>
      </c>
      <c r="C86" s="1" t="s">
        <v>129</v>
      </c>
      <c r="D86" s="2" t="s">
        <v>13</v>
      </c>
      <c r="E86" s="2" t="s">
        <v>75</v>
      </c>
      <c r="G86" s="33">
        <v>1388.61</v>
      </c>
      <c r="I86" s="33">
        <f t="shared" si="7"/>
        <v>1388.61</v>
      </c>
      <c r="J86" s="4">
        <f>G86/VLOOKUP(A86,RESUME!$G$3:$I$10,3,FALSE)</f>
        <v>1.5934378282583372E-2</v>
      </c>
      <c r="K86" s="4" t="str">
        <f t="shared" si="8"/>
        <v/>
      </c>
      <c r="L86" s="1" t="str">
        <f>_xlfn.IFNA(VLOOKUP(A86&amp;"-"&amp;B86&amp;"-"&amp;D86,Ref_Account!$A:$F,6,FALSE),"ACCOUNT TIDAK DITEMUKAN")</f>
        <v>1201.631000</v>
      </c>
      <c r="N86" s="1">
        <f t="shared" si="9"/>
        <v>1</v>
      </c>
      <c r="O86" s="57" t="str">
        <f t="shared" si="10"/>
        <v>OK</v>
      </c>
    </row>
    <row r="87" spans="1:15" x14ac:dyDescent="0.25">
      <c r="A87" s="1" t="s">
        <v>67</v>
      </c>
      <c r="B87" s="56" t="s">
        <v>130</v>
      </c>
      <c r="C87" s="1" t="s">
        <v>131</v>
      </c>
      <c r="D87" s="2" t="s">
        <v>13</v>
      </c>
      <c r="E87" s="2" t="s">
        <v>75</v>
      </c>
      <c r="G87" s="33">
        <v>221.29</v>
      </c>
      <c r="H87" s="33">
        <v>221.14</v>
      </c>
      <c r="I87" s="33">
        <f t="shared" si="7"/>
        <v>0.15000000000000568</v>
      </c>
      <c r="J87" s="4">
        <f>G87/VLOOKUP(A87,RESUME!$G$3:$I$10,3,FALSE)</f>
        <v>2.5393152650152848E-3</v>
      </c>
      <c r="K87" s="4">
        <f t="shared" si="8"/>
        <v>2.5410376910338806E-3</v>
      </c>
      <c r="L87" s="1" t="str">
        <f>_xlfn.IFNA(VLOOKUP(A87&amp;"-"&amp;B87&amp;"-"&amp;D87,Ref_Account!$A:$F,6,FALSE),"ACCOUNT TIDAK DITEMUKAN")</f>
        <v>1201.815110</v>
      </c>
      <c r="N87" s="1">
        <f t="shared" si="9"/>
        <v>1</v>
      </c>
      <c r="O87" s="57" t="str">
        <f t="shared" si="10"/>
        <v>OK</v>
      </c>
    </row>
    <row r="88" spans="1:15" x14ac:dyDescent="0.25">
      <c r="A88" s="1" t="s">
        <v>67</v>
      </c>
      <c r="B88" s="56" t="s">
        <v>132</v>
      </c>
      <c r="C88" s="1" t="s">
        <v>133</v>
      </c>
      <c r="D88" s="2" t="s">
        <v>13</v>
      </c>
      <c r="E88" s="2" t="s">
        <v>75</v>
      </c>
      <c r="G88" s="33">
        <v>764.4</v>
      </c>
      <c r="H88" s="33">
        <v>764.4</v>
      </c>
      <c r="I88" s="33">
        <f t="shared" si="7"/>
        <v>0</v>
      </c>
      <c r="J88" s="4">
        <f>G88/VLOOKUP(A88,RESUME!$G$3:$I$10,3,FALSE)</f>
        <v>8.7715332305015291E-3</v>
      </c>
      <c r="K88" s="4">
        <f t="shared" si="8"/>
        <v>8.7715332305015291E-3</v>
      </c>
      <c r="L88" s="1" t="str">
        <f>_xlfn.IFNA(VLOOKUP(A88&amp;"-"&amp;B88&amp;"-"&amp;D88,Ref_Account!$A:$F,6,FALSE),"ACCOUNT TIDAK DITEMUKAN")</f>
        <v>1201.815120</v>
      </c>
      <c r="N88" s="1">
        <f t="shared" si="9"/>
        <v>1</v>
      </c>
      <c r="O88" s="57" t="str">
        <f t="shared" si="10"/>
        <v>OVER</v>
      </c>
    </row>
    <row r="89" spans="1:15" x14ac:dyDescent="0.25">
      <c r="A89" s="1" t="s">
        <v>67</v>
      </c>
      <c r="B89" s="56" t="s">
        <v>134</v>
      </c>
      <c r="C89" s="1" t="s">
        <v>135</v>
      </c>
      <c r="D89" s="2" t="s">
        <v>13</v>
      </c>
      <c r="E89" s="2" t="s">
        <v>75</v>
      </c>
      <c r="G89" s="33">
        <v>255</v>
      </c>
      <c r="H89" s="33">
        <v>507.83</v>
      </c>
      <c r="I89" s="33">
        <f t="shared" si="7"/>
        <v>-252.82999999999998</v>
      </c>
      <c r="J89" s="4">
        <f>G89/VLOOKUP(A89,RESUME!$G$3:$I$10,3,FALSE)</f>
        <v>2.9261394214781401E-3</v>
      </c>
      <c r="K89" s="4">
        <f t="shared" si="8"/>
        <v>1.4693215297972267E-3</v>
      </c>
      <c r="L89" s="1" t="str">
        <f>_xlfn.IFNA(VLOOKUP(A89&amp;"-"&amp;B89&amp;"-"&amp;D89,Ref_Account!$A:$F,6,FALSE),"ACCOUNT TIDAK DITEMUKAN")</f>
        <v>1201.802120</v>
      </c>
      <c r="N89" s="1">
        <f t="shared" si="9"/>
        <v>1</v>
      </c>
      <c r="O89" s="57" t="str">
        <f t="shared" si="10"/>
        <v>OVER</v>
      </c>
    </row>
    <row r="90" spans="1:15" x14ac:dyDescent="0.25">
      <c r="A90" s="1" t="s">
        <v>67</v>
      </c>
      <c r="B90" s="56" t="s">
        <v>136</v>
      </c>
      <c r="C90" s="1" t="s">
        <v>137</v>
      </c>
      <c r="D90" s="2" t="s">
        <v>13</v>
      </c>
      <c r="E90" s="2" t="s">
        <v>75</v>
      </c>
      <c r="G90" s="33">
        <v>200</v>
      </c>
      <c r="I90" s="33">
        <f t="shared" si="7"/>
        <v>200</v>
      </c>
      <c r="J90" s="4">
        <f>G90/VLOOKUP(A90,RESUME!$G$3:$I$10,3,FALSE)</f>
        <v>2.2950113109632469E-3</v>
      </c>
      <c r="K90" s="4" t="str">
        <f t="shared" si="8"/>
        <v/>
      </c>
      <c r="L90" s="1" t="str">
        <f>_xlfn.IFNA(VLOOKUP(A90&amp;"-"&amp;B90&amp;"-"&amp;D90,Ref_Account!$A:$F,6,FALSE),"ACCOUNT TIDAK DITEMUKAN")</f>
        <v>1201.814110</v>
      </c>
      <c r="N90" s="1">
        <f t="shared" si="9"/>
        <v>1</v>
      </c>
      <c r="O90" s="57" t="str">
        <f t="shared" si="10"/>
        <v>OK</v>
      </c>
    </row>
    <row r="91" spans="1:15" x14ac:dyDescent="0.25">
      <c r="A91" s="1" t="s">
        <v>67</v>
      </c>
      <c r="B91" s="56" t="s">
        <v>138</v>
      </c>
      <c r="C91" s="1" t="s">
        <v>139</v>
      </c>
      <c r="D91" s="2" t="s">
        <v>13</v>
      </c>
      <c r="E91" s="2" t="s">
        <v>75</v>
      </c>
      <c r="G91" s="33">
        <v>464.37</v>
      </c>
      <c r="H91" s="33">
        <v>256.64999999999998</v>
      </c>
      <c r="I91" s="33">
        <f t="shared" si="7"/>
        <v>207.72000000000003</v>
      </c>
      <c r="J91" s="4">
        <f>G91/VLOOKUP(A91,RESUME!$G$3:$I$10,3,FALSE)</f>
        <v>5.3286720123600154E-3</v>
      </c>
      <c r="K91" s="4">
        <f t="shared" si="8"/>
        <v>9.6414394014401727E-3</v>
      </c>
      <c r="L91" s="1" t="str">
        <f>_xlfn.IFNA(VLOOKUP(A91&amp;"-"&amp;B91&amp;"-"&amp;D91,Ref_Account!$A:$F,6,FALSE),"ACCOUNT TIDAK DITEMUKAN")</f>
        <v>1201.630450</v>
      </c>
      <c r="N91" s="1">
        <f t="shared" si="9"/>
        <v>1</v>
      </c>
      <c r="O91" s="57" t="str">
        <f t="shared" si="10"/>
        <v>OK</v>
      </c>
    </row>
    <row r="92" spans="1:15" x14ac:dyDescent="0.25">
      <c r="A92" s="1" t="s">
        <v>67</v>
      </c>
      <c r="B92" s="1" t="s">
        <v>21</v>
      </c>
      <c r="C92" s="1" t="s">
        <v>140</v>
      </c>
      <c r="D92" s="2" t="s">
        <v>13</v>
      </c>
      <c r="E92" s="2" t="s">
        <v>75</v>
      </c>
      <c r="G92" s="33">
        <v>515.79999999999995</v>
      </c>
      <c r="I92" s="33">
        <f t="shared" si="7"/>
        <v>515.79999999999995</v>
      </c>
      <c r="J92" s="4">
        <f>G92/VLOOKUP(A92,RESUME!$G$3:$I$10,3,FALSE)</f>
        <v>5.9188341709742135E-3</v>
      </c>
      <c r="K92" s="4" t="str">
        <f t="shared" si="8"/>
        <v/>
      </c>
      <c r="L92" s="1" t="str">
        <f>_xlfn.IFNA(VLOOKUP(A92&amp;"-"&amp;B92&amp;"-"&amp;D92,Ref_Account!$A:$F,6,FALSE),"ACCOUNT TIDAK DITEMUKAN")</f>
        <v>1201.631100</v>
      </c>
      <c r="N92" s="1">
        <f t="shared" si="9"/>
        <v>3</v>
      </c>
      <c r="O92" s="57" t="str">
        <f t="shared" si="10"/>
        <v>OK</v>
      </c>
    </row>
    <row r="93" spans="1:15" x14ac:dyDescent="0.25">
      <c r="A93" s="1" t="s">
        <v>67</v>
      </c>
      <c r="B93" s="1" t="s">
        <v>21</v>
      </c>
      <c r="C93" s="1" t="s">
        <v>123</v>
      </c>
      <c r="D93" s="2" t="s">
        <v>13</v>
      </c>
      <c r="E93" s="2" t="s">
        <v>75</v>
      </c>
      <c r="G93" s="33">
        <v>1891.43</v>
      </c>
      <c r="I93" s="33">
        <f t="shared" si="7"/>
        <v>1891.43</v>
      </c>
      <c r="J93" s="4">
        <f>G93/VLOOKUP(A93,RESUME!$G$3:$I$10,3,FALSE)</f>
        <v>2.1704266219476073E-2</v>
      </c>
      <c r="K93" s="4" t="str">
        <f t="shared" si="8"/>
        <v/>
      </c>
      <c r="L93" s="1" t="str">
        <f>_xlfn.IFNA(VLOOKUP(A93&amp;"-"&amp;B93&amp;"-"&amp;D93,Ref_Account!$A:$F,6,FALSE),"ACCOUNT TIDAK DITEMUKAN")</f>
        <v>1201.631100</v>
      </c>
      <c r="N93" s="1">
        <f t="shared" si="9"/>
        <v>3</v>
      </c>
      <c r="O93" s="57" t="str">
        <f t="shared" si="10"/>
        <v>OK</v>
      </c>
    </row>
    <row r="94" spans="1:15" ht="16.5" customHeight="1" x14ac:dyDescent="0.25">
      <c r="A94" s="1" t="s">
        <v>67</v>
      </c>
      <c r="B94" s="1" t="s">
        <v>21</v>
      </c>
      <c r="C94" s="1" t="s">
        <v>123</v>
      </c>
      <c r="D94" s="2" t="s">
        <v>24</v>
      </c>
      <c r="E94" s="2" t="s">
        <v>75</v>
      </c>
      <c r="G94" s="33">
        <v>1328.48</v>
      </c>
      <c r="I94" s="33">
        <f t="shared" si="7"/>
        <v>1328.48</v>
      </c>
      <c r="J94" s="4">
        <f>G94/VLOOKUP(A94,RESUME!$G$3:$I$10,3,FALSE)</f>
        <v>1.5244383131942272E-2</v>
      </c>
      <c r="K94" s="4" t="str">
        <f t="shared" si="8"/>
        <v/>
      </c>
      <c r="L94" s="1" t="str">
        <f>_xlfn.IFNA(VLOOKUP(A94&amp;"-"&amp;B94&amp;"-"&amp;D94,Ref_Account!$A:$F,6,FALSE),"ACCOUNT TIDAK DITEMUKAN")</f>
        <v>1205.631100</v>
      </c>
      <c r="N94" s="1">
        <f t="shared" si="9"/>
        <v>3</v>
      </c>
      <c r="O94" s="57" t="str">
        <f t="shared" si="10"/>
        <v>OK</v>
      </c>
    </row>
    <row r="95" spans="1:15" x14ac:dyDescent="0.25">
      <c r="A95" s="1" t="s">
        <v>67</v>
      </c>
      <c r="B95" s="1" t="s">
        <v>21</v>
      </c>
      <c r="C95" s="1" t="s">
        <v>123</v>
      </c>
      <c r="D95" s="2" t="s">
        <v>15</v>
      </c>
      <c r="E95" s="2" t="s">
        <v>75</v>
      </c>
      <c r="G95" s="33">
        <v>1328.28</v>
      </c>
      <c r="H95" s="33">
        <v>1324.6200000000001</v>
      </c>
      <c r="I95" s="33">
        <f t="shared" si="7"/>
        <v>3.6599999999998545</v>
      </c>
      <c r="J95" s="4">
        <f>G95/VLOOKUP(A95,RESUME!$G$3:$I$10,3,FALSE)</f>
        <v>1.5242088120631308E-2</v>
      </c>
      <c r="K95" s="4">
        <f t="shared" si="8"/>
        <v>1.5284202872425413E-2</v>
      </c>
      <c r="L95" s="1" t="str">
        <f>_xlfn.IFNA(VLOOKUP(A95&amp;"-"&amp;B95&amp;"-"&amp;D95,Ref_Account!$A:$F,6,FALSE),"ACCOUNT TIDAK DITEMUKAN")</f>
        <v>1204.631100</v>
      </c>
      <c r="N95" s="1">
        <f t="shared" si="9"/>
        <v>3</v>
      </c>
      <c r="O95" s="57" t="str">
        <f t="shared" si="10"/>
        <v>OK</v>
      </c>
    </row>
    <row r="96" spans="1:15" hidden="1" x14ac:dyDescent="0.25">
      <c r="A96" s="1" t="s">
        <v>141</v>
      </c>
      <c r="B96" s="56" t="s">
        <v>93</v>
      </c>
      <c r="C96" s="1" t="s">
        <v>94</v>
      </c>
      <c r="D96" s="2" t="s">
        <v>101</v>
      </c>
      <c r="E96" s="2" t="s">
        <v>95</v>
      </c>
      <c r="G96" s="33">
        <v>2736.7799999999997</v>
      </c>
      <c r="H96" s="33">
        <v>-53.45</v>
      </c>
      <c r="I96" s="33">
        <f t="shared" si="7"/>
        <v>2790.2299999999996</v>
      </c>
      <c r="J96" s="4">
        <f>G96/VLOOKUP(A96,RESUME!$G$3:$I$10,3,FALSE)</f>
        <v>2.7232510432328692E-2</v>
      </c>
      <c r="K96" s="4">
        <f t="shared" si="8"/>
        <v>-1.3943758634422545</v>
      </c>
      <c r="L96" s="1" t="str">
        <f>_xlfn.IFNA(VLOOKUP(A96&amp;"-"&amp;B96&amp;"-"&amp;D96,Ref_Account!$A:$F,6,FALSE),"ACCOUNT TIDAK DITEMUKAN")</f>
        <v>1206.801160</v>
      </c>
      <c r="N96" s="1">
        <f t="shared" si="9"/>
        <v>1</v>
      </c>
      <c r="O96" s="57" t="str">
        <f t="shared" si="10"/>
        <v>OK</v>
      </c>
    </row>
    <row r="97" spans="1:15" hidden="1" x14ac:dyDescent="0.25">
      <c r="A97" s="1" t="s">
        <v>141</v>
      </c>
      <c r="B97" s="56" t="s">
        <v>102</v>
      </c>
      <c r="C97" s="1" t="s">
        <v>103</v>
      </c>
      <c r="D97" s="2" t="s">
        <v>101</v>
      </c>
      <c r="E97" s="2" t="s">
        <v>75</v>
      </c>
      <c r="G97" s="33">
        <v>200</v>
      </c>
      <c r="H97" s="33">
        <v>40.869999999999997</v>
      </c>
      <c r="I97" s="33">
        <f t="shared" si="7"/>
        <v>159.13</v>
      </c>
      <c r="J97" s="4">
        <f>G97/VLOOKUP(A97,RESUME!$G$3:$I$10,3,FALSE)</f>
        <v>1.990113230316554E-3</v>
      </c>
      <c r="K97" s="4">
        <f t="shared" si="8"/>
        <v>9.7387483744387285E-3</v>
      </c>
      <c r="L97" s="1" t="str">
        <f>_xlfn.IFNA(VLOOKUP(A97&amp;"-"&amp;B97&amp;"-"&amp;D97,Ref_Account!$A:$F,6,FALSE),"ACCOUNT TIDAK DITEMUKAN")</f>
        <v>1206.630710</v>
      </c>
      <c r="N97" s="1">
        <f t="shared" si="9"/>
        <v>1</v>
      </c>
      <c r="O97" s="57" t="str">
        <f t="shared" si="10"/>
        <v>OK</v>
      </c>
    </row>
    <row r="98" spans="1:15" hidden="1" x14ac:dyDescent="0.25">
      <c r="A98" s="1" t="s">
        <v>141</v>
      </c>
      <c r="B98" s="56" t="s">
        <v>118</v>
      </c>
      <c r="C98" s="1" t="s">
        <v>119</v>
      </c>
      <c r="D98" s="2" t="s">
        <v>101</v>
      </c>
      <c r="E98" s="2" t="s">
        <v>95</v>
      </c>
      <c r="G98" s="33">
        <v>1460</v>
      </c>
      <c r="H98" s="33">
        <v>1659.81</v>
      </c>
      <c r="I98" s="33">
        <f t="shared" si="7"/>
        <v>-199.80999999999995</v>
      </c>
      <c r="J98" s="4">
        <f>G98/VLOOKUP(A98,RESUME!$G$3:$I$10,3,FALSE)</f>
        <v>1.4527826581310844E-2</v>
      </c>
      <c r="K98" s="4">
        <f t="shared" si="8"/>
        <v>1.2778948680098223E-2</v>
      </c>
      <c r="L98" s="1" t="str">
        <f>_xlfn.IFNA(VLOOKUP(A98&amp;"-"&amp;B98&amp;"-"&amp;D98,Ref_Account!$A:$F,6,FALSE),"ACCOUNT TIDAK DITEMUKAN")</f>
        <v>1206.630130</v>
      </c>
      <c r="N98" s="1">
        <f t="shared" si="9"/>
        <v>1</v>
      </c>
      <c r="O98" s="57" t="str">
        <f t="shared" si="10"/>
        <v>OVER</v>
      </c>
    </row>
    <row r="99" spans="1:15" hidden="1" x14ac:dyDescent="0.25">
      <c r="A99" s="1" t="s">
        <v>141</v>
      </c>
      <c r="B99" s="56" t="s">
        <v>128</v>
      </c>
      <c r="C99" s="1" t="s">
        <v>129</v>
      </c>
      <c r="D99" s="2" t="s">
        <v>101</v>
      </c>
      <c r="E99" s="2" t="s">
        <v>75</v>
      </c>
      <c r="G99" s="33">
        <v>4235.2299999999996</v>
      </c>
      <c r="I99" s="33">
        <f t="shared" si="7"/>
        <v>4235.2299999999996</v>
      </c>
      <c r="J99" s="4">
        <f>G99/VLOOKUP(A99,RESUME!$G$3:$I$10,3,FALSE)</f>
        <v>4.2142936282167892E-2</v>
      </c>
      <c r="K99" s="4" t="str">
        <f t="shared" si="8"/>
        <v/>
      </c>
      <c r="L99" s="1" t="str">
        <f>_xlfn.IFNA(VLOOKUP(A99&amp;"-"&amp;B99&amp;"-"&amp;D99,Ref_Account!$A:$F,6,FALSE),"ACCOUNT TIDAK DITEMUKAN")</f>
        <v>1206.631000</v>
      </c>
      <c r="N99" s="1">
        <f t="shared" si="9"/>
        <v>1</v>
      </c>
      <c r="O99" s="57" t="str">
        <f t="shared" si="10"/>
        <v>OK</v>
      </c>
    </row>
    <row r="100" spans="1:15" hidden="1" x14ac:dyDescent="0.25">
      <c r="A100" s="1" t="s">
        <v>141</v>
      </c>
      <c r="B100" s="56" t="s">
        <v>130</v>
      </c>
      <c r="C100" s="1" t="s">
        <v>142</v>
      </c>
      <c r="D100" s="2" t="s">
        <v>101</v>
      </c>
      <c r="E100" s="2" t="s">
        <v>75</v>
      </c>
      <c r="G100" s="33">
        <v>821.62</v>
      </c>
      <c r="H100" s="33">
        <v>821.62</v>
      </c>
      <c r="I100" s="33">
        <f t="shared" si="7"/>
        <v>0</v>
      </c>
      <c r="J100" s="4">
        <f>G100/VLOOKUP(A100,RESUME!$G$3:$I$10,3,FALSE)</f>
        <v>8.175584161463436E-3</v>
      </c>
      <c r="K100" s="4">
        <f t="shared" si="8"/>
        <v>8.175584161463436E-3</v>
      </c>
      <c r="L100" s="1" t="str">
        <f>_xlfn.IFNA(VLOOKUP(A100&amp;"-"&amp;B100&amp;"-"&amp;D100,Ref_Account!$A:$F,6,FALSE),"ACCOUNT TIDAK DITEMUKAN")</f>
        <v>1206.815110</v>
      </c>
      <c r="N100" s="1">
        <f t="shared" si="9"/>
        <v>1</v>
      </c>
      <c r="O100" s="57" t="str">
        <f t="shared" si="10"/>
        <v>OVER</v>
      </c>
    </row>
    <row r="101" spans="1:15" hidden="1" x14ac:dyDescent="0.25">
      <c r="A101" s="1" t="s">
        <v>141</v>
      </c>
      <c r="B101" s="56" t="s">
        <v>134</v>
      </c>
      <c r="C101" s="1" t="s">
        <v>135</v>
      </c>
      <c r="D101" s="2" t="s">
        <v>101</v>
      </c>
      <c r="E101" s="2" t="s">
        <v>75</v>
      </c>
      <c r="G101" s="33">
        <v>55</v>
      </c>
      <c r="I101" s="33">
        <f t="shared" si="7"/>
        <v>55</v>
      </c>
      <c r="J101" s="4">
        <f>G101/VLOOKUP(A101,RESUME!$G$3:$I$10,3,FALSE)</f>
        <v>5.4728113833705236E-4</v>
      </c>
      <c r="K101" s="4" t="str">
        <f t="shared" si="8"/>
        <v/>
      </c>
      <c r="L101" s="1" t="str">
        <f>_xlfn.IFNA(VLOOKUP(A101&amp;"-"&amp;B101&amp;"-"&amp;D101,Ref_Account!$A:$F,6,FALSE),"ACCOUNT TIDAK DITEMUKAN")</f>
        <v>1206.802120</v>
      </c>
      <c r="N101" s="1">
        <f t="shared" si="9"/>
        <v>1</v>
      </c>
      <c r="O101" s="57" t="str">
        <f t="shared" si="10"/>
        <v>OK</v>
      </c>
    </row>
    <row r="102" spans="1:15" hidden="1" x14ac:dyDescent="0.25">
      <c r="A102" s="1" t="s">
        <v>141</v>
      </c>
      <c r="B102" s="56" t="s">
        <v>138</v>
      </c>
      <c r="C102" s="1" t="s">
        <v>139</v>
      </c>
      <c r="D102" s="2" t="s">
        <v>101</v>
      </c>
      <c r="E102" s="2" t="s">
        <v>75</v>
      </c>
      <c r="G102" s="33">
        <v>20.09</v>
      </c>
      <c r="H102" s="33">
        <v>15.99</v>
      </c>
      <c r="I102" s="33">
        <f t="shared" ref="I102:I133" si="11">G102-H102</f>
        <v>4.0999999999999996</v>
      </c>
      <c r="J102" s="4">
        <f>G102/VLOOKUP(A102,RESUME!$G$3:$I$10,3,FALSE)</f>
        <v>1.9990687398529784E-4</v>
      </c>
      <c r="K102" s="4">
        <f t="shared" ref="K102:K133" si="12">IFERROR((G102/H102)*J102,"")</f>
        <v>2.5116504680204089E-4</v>
      </c>
      <c r="L102" s="1" t="str">
        <f>_xlfn.IFNA(VLOOKUP(A102&amp;"-"&amp;B102&amp;"-"&amp;D102,Ref_Account!$A:$F,6,FALSE),"ACCOUNT TIDAK DITEMUKAN")</f>
        <v>1206.630450</v>
      </c>
      <c r="N102" s="1">
        <f t="shared" ref="N102:N133" si="13">IF(L102="ACCOUNT TIDAK DITEMUKAN","9999",COUNTIF($L$6:$L$164,L102))</f>
        <v>1</v>
      </c>
      <c r="O102" s="57" t="str">
        <f t="shared" si="10"/>
        <v>OK</v>
      </c>
    </row>
    <row r="103" spans="1:15" hidden="1" x14ac:dyDescent="0.25">
      <c r="A103" s="1" t="s">
        <v>141</v>
      </c>
      <c r="B103" s="56" t="s">
        <v>80</v>
      </c>
      <c r="C103" s="1" t="s">
        <v>81</v>
      </c>
      <c r="D103" s="2" t="s">
        <v>101</v>
      </c>
      <c r="E103" s="2" t="s">
        <v>143</v>
      </c>
      <c r="G103" s="33">
        <v>563</v>
      </c>
      <c r="H103" s="33">
        <v>563.95000000000005</v>
      </c>
      <c r="I103" s="33">
        <f t="shared" si="11"/>
        <v>-0.95000000000004547</v>
      </c>
      <c r="J103" s="4">
        <f>G103/VLOOKUP(A103,RESUME!$G$3:$I$10,3,FALSE)</f>
        <v>5.6021687433410999E-3</v>
      </c>
      <c r="K103" s="4">
        <f t="shared" si="12"/>
        <v>5.5927316295789325E-3</v>
      </c>
      <c r="L103" s="1" t="str">
        <f>_xlfn.IFNA(VLOOKUP(A103&amp;"-"&amp;B103&amp;"-"&amp;D103,Ref_Account!$A:$F,6,FALSE),"ACCOUNT TIDAK DITEMUKAN")</f>
        <v>1206.630300</v>
      </c>
      <c r="N103" s="1">
        <f t="shared" si="13"/>
        <v>1</v>
      </c>
      <c r="O103" s="57" t="str">
        <f t="shared" si="10"/>
        <v>OVER</v>
      </c>
    </row>
    <row r="104" spans="1:15" hidden="1" x14ac:dyDescent="0.25">
      <c r="A104" s="1" t="s">
        <v>141</v>
      </c>
      <c r="B104" s="56" t="s">
        <v>104</v>
      </c>
      <c r="C104" s="1" t="s">
        <v>105</v>
      </c>
      <c r="D104" s="2" t="s">
        <v>101</v>
      </c>
      <c r="E104" s="2" t="s">
        <v>143</v>
      </c>
      <c r="G104" s="33">
        <v>50</v>
      </c>
      <c r="I104" s="33">
        <f t="shared" si="11"/>
        <v>50</v>
      </c>
      <c r="J104" s="4">
        <f>G104/VLOOKUP(A104,RESUME!$G$3:$I$10,3,FALSE)</f>
        <v>4.9752830757913849E-4</v>
      </c>
      <c r="K104" s="4" t="str">
        <f t="shared" si="12"/>
        <v/>
      </c>
      <c r="L104" s="1" t="str">
        <f>_xlfn.IFNA(VLOOKUP(A104&amp;"-"&amp;B104&amp;"-"&amp;D104,Ref_Account!$A:$F,6,FALSE),"ACCOUNT TIDAK DITEMUKAN")</f>
        <v>1206.630770</v>
      </c>
      <c r="N104" s="1">
        <f t="shared" si="13"/>
        <v>1</v>
      </c>
      <c r="O104" s="57" t="str">
        <f t="shared" si="10"/>
        <v>OK</v>
      </c>
    </row>
    <row r="105" spans="1:15" hidden="1" x14ac:dyDescent="0.25">
      <c r="A105" s="1" t="s">
        <v>141</v>
      </c>
      <c r="B105" s="56" t="s">
        <v>106</v>
      </c>
      <c r="C105" s="1" t="s">
        <v>107</v>
      </c>
      <c r="D105" s="2" t="s">
        <v>101</v>
      </c>
      <c r="E105" s="2" t="s">
        <v>143</v>
      </c>
      <c r="G105" s="33">
        <v>50</v>
      </c>
      <c r="I105" s="33">
        <f t="shared" si="11"/>
        <v>50</v>
      </c>
      <c r="J105" s="4">
        <f>G105/VLOOKUP(A105,RESUME!$G$3:$I$10,3,FALSE)</f>
        <v>4.9752830757913849E-4</v>
      </c>
      <c r="K105" s="4" t="str">
        <f t="shared" si="12"/>
        <v/>
      </c>
      <c r="L105" s="1" t="str">
        <f>_xlfn.IFNA(VLOOKUP(A105&amp;"-"&amp;B105&amp;"-"&amp;D105,Ref_Account!$A:$F,6,FALSE),"ACCOUNT TIDAK DITEMUKAN")</f>
        <v>1206.630750</v>
      </c>
      <c r="N105" s="1">
        <f t="shared" si="13"/>
        <v>1</v>
      </c>
      <c r="O105" s="57" t="str">
        <f t="shared" si="10"/>
        <v>OK</v>
      </c>
    </row>
    <row r="106" spans="1:15" hidden="1" x14ac:dyDescent="0.25">
      <c r="A106" s="1" t="s">
        <v>141</v>
      </c>
      <c r="B106" s="56" t="s">
        <v>108</v>
      </c>
      <c r="C106" s="1" t="s">
        <v>109</v>
      </c>
      <c r="D106" s="2" t="s">
        <v>101</v>
      </c>
      <c r="E106" s="2" t="s">
        <v>143</v>
      </c>
      <c r="G106" s="33">
        <v>50</v>
      </c>
      <c r="I106" s="33">
        <f t="shared" si="11"/>
        <v>50</v>
      </c>
      <c r="J106" s="4">
        <f>G106/VLOOKUP(A106,RESUME!$G$3:$I$10,3,FALSE)</f>
        <v>4.9752830757913849E-4</v>
      </c>
      <c r="K106" s="4" t="str">
        <f t="shared" si="12"/>
        <v/>
      </c>
      <c r="L106" s="1" t="str">
        <f>_xlfn.IFNA(VLOOKUP(A106&amp;"-"&amp;B106&amp;"-"&amp;D106,Ref_Account!$A:$F,6,FALSE),"ACCOUNT TIDAK DITEMUKAN")</f>
        <v>1206.630720</v>
      </c>
      <c r="N106" s="1">
        <f t="shared" si="13"/>
        <v>1</v>
      </c>
      <c r="O106" s="57" t="str">
        <f t="shared" si="10"/>
        <v>OK</v>
      </c>
    </row>
    <row r="107" spans="1:15" hidden="1" x14ac:dyDescent="0.25">
      <c r="A107" s="1" t="s">
        <v>141</v>
      </c>
      <c r="B107" s="56" t="s">
        <v>110</v>
      </c>
      <c r="C107" s="1" t="s">
        <v>111</v>
      </c>
      <c r="D107" s="2" t="s">
        <v>101</v>
      </c>
      <c r="E107" s="2" t="s">
        <v>143</v>
      </c>
      <c r="G107" s="33">
        <v>50</v>
      </c>
      <c r="I107" s="33">
        <f t="shared" si="11"/>
        <v>50</v>
      </c>
      <c r="J107" s="4">
        <f>G107/VLOOKUP(A107,RESUME!$G$3:$I$10,3,FALSE)</f>
        <v>4.9752830757913849E-4</v>
      </c>
      <c r="K107" s="4" t="str">
        <f t="shared" si="12"/>
        <v/>
      </c>
      <c r="L107" s="1" t="str">
        <f>_xlfn.IFNA(VLOOKUP(A107&amp;"-"&amp;B107&amp;"-"&amp;D107,Ref_Account!$A:$F,6,FALSE),"ACCOUNT TIDAK DITEMUKAN")</f>
        <v>1206.630760</v>
      </c>
      <c r="N107" s="1">
        <f t="shared" si="13"/>
        <v>1</v>
      </c>
      <c r="O107" s="57" t="str">
        <f t="shared" si="10"/>
        <v>OK</v>
      </c>
    </row>
    <row r="108" spans="1:15" hidden="1" x14ac:dyDescent="0.25">
      <c r="A108" s="1" t="s">
        <v>141</v>
      </c>
      <c r="B108" s="56" t="s">
        <v>112</v>
      </c>
      <c r="C108" s="1" t="s">
        <v>113</v>
      </c>
      <c r="D108" s="2" t="s">
        <v>101</v>
      </c>
      <c r="E108" s="2" t="s">
        <v>143</v>
      </c>
      <c r="G108" s="33">
        <v>50</v>
      </c>
      <c r="I108" s="33">
        <f t="shared" si="11"/>
        <v>50</v>
      </c>
      <c r="J108" s="4">
        <f>G108/VLOOKUP(A108,RESUME!$G$3:$I$10,3,FALSE)</f>
        <v>4.9752830757913849E-4</v>
      </c>
      <c r="K108" s="4" t="str">
        <f t="shared" si="12"/>
        <v/>
      </c>
      <c r="L108" s="1" t="str">
        <f>_xlfn.IFNA(VLOOKUP(A108&amp;"-"&amp;B108&amp;"-"&amp;D108,Ref_Account!$A:$F,6,FALSE),"ACCOUNT TIDAK DITEMUKAN")</f>
        <v>1206.630730</v>
      </c>
      <c r="N108" s="1">
        <f t="shared" si="13"/>
        <v>1</v>
      </c>
      <c r="O108" s="57" t="str">
        <f t="shared" si="10"/>
        <v>OK</v>
      </c>
    </row>
    <row r="109" spans="1:15" hidden="1" x14ac:dyDescent="0.25">
      <c r="A109" s="1" t="s">
        <v>141</v>
      </c>
      <c r="B109" s="56" t="s">
        <v>114</v>
      </c>
      <c r="C109" s="1" t="s">
        <v>115</v>
      </c>
      <c r="D109" s="2" t="s">
        <v>101</v>
      </c>
      <c r="E109" s="2" t="s">
        <v>143</v>
      </c>
      <c r="G109" s="33">
        <v>50</v>
      </c>
      <c r="I109" s="33">
        <f t="shared" si="11"/>
        <v>50</v>
      </c>
      <c r="J109" s="4">
        <f>G109/VLOOKUP(A109,RESUME!$G$3:$I$10,3,FALSE)</f>
        <v>4.9752830757913849E-4</v>
      </c>
      <c r="K109" s="4" t="str">
        <f t="shared" si="12"/>
        <v/>
      </c>
      <c r="L109" s="1" t="str">
        <f>_xlfn.IFNA(VLOOKUP(A109&amp;"-"&amp;B109&amp;"-"&amp;D109,Ref_Account!$A:$F,6,FALSE),"ACCOUNT TIDAK DITEMUKAN")</f>
        <v>1206.630740</v>
      </c>
      <c r="N109" s="1">
        <f t="shared" si="13"/>
        <v>1</v>
      </c>
      <c r="O109" s="57" t="str">
        <f t="shared" si="10"/>
        <v>OK</v>
      </c>
    </row>
    <row r="110" spans="1:15" hidden="1" x14ac:dyDescent="0.25">
      <c r="A110" s="1" t="s">
        <v>141</v>
      </c>
      <c r="B110" s="56" t="s">
        <v>124</v>
      </c>
      <c r="C110" s="1" t="s">
        <v>125</v>
      </c>
      <c r="D110" s="2" t="s">
        <v>101</v>
      </c>
      <c r="E110" s="2" t="s">
        <v>143</v>
      </c>
      <c r="G110" s="33">
        <v>3978</v>
      </c>
      <c r="H110" s="33">
        <v>3978.53</v>
      </c>
      <c r="I110" s="33">
        <f t="shared" si="11"/>
        <v>-0.53000000000020009</v>
      </c>
      <c r="J110" s="4">
        <f>G110/VLOOKUP(A110,RESUME!$G$3:$I$10,3,FALSE)</f>
        <v>3.9583352150996259E-2</v>
      </c>
      <c r="K110" s="4">
        <f t="shared" si="12"/>
        <v>3.9578079053485357E-2</v>
      </c>
      <c r="L110" s="1" t="str">
        <f>_xlfn.IFNA(VLOOKUP(A110&amp;"-"&amp;B110&amp;"-"&amp;D110,Ref_Account!$A:$F,6,FALSE),"ACCOUNT TIDAK DITEMUKAN")</f>
        <v>1206.631110</v>
      </c>
      <c r="N110" s="1">
        <f t="shared" si="13"/>
        <v>1</v>
      </c>
      <c r="O110" s="57" t="str">
        <f t="shared" si="10"/>
        <v>OVER</v>
      </c>
    </row>
    <row r="111" spans="1:15" hidden="1" x14ac:dyDescent="0.25">
      <c r="A111" s="1" t="s">
        <v>141</v>
      </c>
      <c r="B111" s="56" t="s">
        <v>70</v>
      </c>
      <c r="C111" s="1" t="s">
        <v>71</v>
      </c>
      <c r="D111" s="2" t="s">
        <v>101</v>
      </c>
      <c r="E111" s="2" t="s">
        <v>144</v>
      </c>
      <c r="G111" s="33">
        <v>5000</v>
      </c>
      <c r="H111" s="33">
        <v>6452.12</v>
      </c>
      <c r="I111" s="33">
        <f t="shared" si="11"/>
        <v>-1452.12</v>
      </c>
      <c r="J111" s="4">
        <f>G111/VLOOKUP(A111,RESUME!$G$3:$I$10,3,FALSE)</f>
        <v>4.9752830757913848E-2</v>
      </c>
      <c r="K111" s="4">
        <f t="shared" si="12"/>
        <v>3.8555413381891411E-2</v>
      </c>
      <c r="L111" s="1" t="str">
        <f>_xlfn.IFNA(VLOOKUP(A111&amp;"-"&amp;B111&amp;"-"&amp;D111,Ref_Account!$A:$F,6,FALSE),"ACCOUNT TIDAK DITEMUKAN")</f>
        <v>1206.812100</v>
      </c>
      <c r="N111" s="1">
        <f t="shared" si="13"/>
        <v>1</v>
      </c>
      <c r="O111" s="57" t="str">
        <f t="shared" si="10"/>
        <v>OVER</v>
      </c>
    </row>
    <row r="112" spans="1:15" hidden="1" x14ac:dyDescent="0.25">
      <c r="A112" s="1" t="s">
        <v>141</v>
      </c>
      <c r="B112" s="56" t="s">
        <v>76</v>
      </c>
      <c r="C112" s="1" t="s">
        <v>77</v>
      </c>
      <c r="D112" s="2" t="s">
        <v>101</v>
      </c>
      <c r="E112" s="2" t="s">
        <v>75</v>
      </c>
      <c r="G112" s="33">
        <v>3463.43</v>
      </c>
      <c r="H112" s="33">
        <v>6823.39</v>
      </c>
      <c r="I112" s="33">
        <f t="shared" si="11"/>
        <v>-3359.9600000000005</v>
      </c>
      <c r="J112" s="4">
        <f>G112/VLOOKUP(A112,RESUME!$G$3:$I$10,3,FALSE)</f>
        <v>3.446308932637631E-2</v>
      </c>
      <c r="K112" s="4">
        <f t="shared" si="12"/>
        <v>1.7492844094453269E-2</v>
      </c>
      <c r="L112" s="1" t="str">
        <f>_xlfn.IFNA(VLOOKUP(A112&amp;"-"&amp;B112&amp;"-"&amp;D112,Ref_Account!$A:$F,6,FALSE),"ACCOUNT TIDAK DITEMUKAN")</f>
        <v>1206.630400</v>
      </c>
      <c r="N112" s="1">
        <f t="shared" si="13"/>
        <v>1</v>
      </c>
      <c r="O112" s="57" t="str">
        <f t="shared" si="10"/>
        <v>OVER</v>
      </c>
    </row>
    <row r="113" spans="1:15" hidden="1" x14ac:dyDescent="0.25">
      <c r="A113" s="1" t="s">
        <v>141</v>
      </c>
      <c r="B113" s="56" t="s">
        <v>87</v>
      </c>
      <c r="C113" s="1" t="s">
        <v>88</v>
      </c>
      <c r="D113" s="2" t="s">
        <v>101</v>
      </c>
      <c r="E113" s="2" t="s">
        <v>75</v>
      </c>
      <c r="G113" s="33">
        <v>23.95</v>
      </c>
      <c r="H113" s="33">
        <v>13.95</v>
      </c>
      <c r="I113" s="33">
        <f t="shared" si="11"/>
        <v>10</v>
      </c>
      <c r="J113" s="4">
        <f>G113/VLOOKUP(A113,RESUME!$G$3:$I$10,3,FALSE)</f>
        <v>2.3831605933040734E-4</v>
      </c>
      <c r="K113" s="4">
        <f t="shared" si="12"/>
        <v>4.0915194415507212E-4</v>
      </c>
      <c r="L113" s="1" t="str">
        <f>_xlfn.IFNA(VLOOKUP(A113&amp;"-"&amp;B113&amp;"-"&amp;D113,Ref_Account!$A:$F,6,FALSE),"ACCOUNT TIDAK DITEMUKAN")</f>
        <v>1206.808100</v>
      </c>
      <c r="N113" s="1">
        <f t="shared" si="13"/>
        <v>1</v>
      </c>
      <c r="O113" s="57" t="str">
        <f t="shared" si="10"/>
        <v>OK</v>
      </c>
    </row>
    <row r="114" spans="1:15" hidden="1" x14ac:dyDescent="0.25">
      <c r="A114" s="1" t="s">
        <v>141</v>
      </c>
      <c r="B114" s="56" t="s">
        <v>96</v>
      </c>
      <c r="C114" s="1" t="s">
        <v>97</v>
      </c>
      <c r="D114" s="2" t="s">
        <v>101</v>
      </c>
      <c r="E114" s="2" t="s">
        <v>145</v>
      </c>
      <c r="G114" s="33">
        <v>47747.46</v>
      </c>
      <c r="H114" s="33">
        <v>44085.69</v>
      </c>
      <c r="I114" s="33">
        <f t="shared" si="11"/>
        <v>3661.7699999999968</v>
      </c>
      <c r="J114" s="4">
        <f>G114/VLOOKUP(A114,RESUME!$G$3:$I$10,3,FALSE)</f>
        <v>0.47511425930005224</v>
      </c>
      <c r="K114" s="4">
        <f t="shared" si="12"/>
        <v>0.51457738534565001</v>
      </c>
      <c r="L114" s="1" t="str">
        <f>_xlfn.IFNA(VLOOKUP(A114&amp;"-"&amp;B114&amp;"-"&amp;D114,Ref_Account!$A:$F,6,FALSE),"ACCOUNT TIDAK DITEMUKAN")</f>
        <v>1206.630110</v>
      </c>
      <c r="N114" s="1">
        <f t="shared" si="13"/>
        <v>1</v>
      </c>
      <c r="O114" s="57" t="str">
        <f t="shared" si="10"/>
        <v>OK</v>
      </c>
    </row>
    <row r="115" spans="1:15" hidden="1" x14ac:dyDescent="0.25">
      <c r="A115" s="1" t="s">
        <v>141</v>
      </c>
      <c r="B115" s="56" t="s">
        <v>146</v>
      </c>
      <c r="C115" s="1" t="s">
        <v>147</v>
      </c>
      <c r="D115" s="2" t="s">
        <v>101</v>
      </c>
      <c r="E115" s="2" t="s">
        <v>148</v>
      </c>
      <c r="G115" s="33">
        <v>2800</v>
      </c>
      <c r="H115" s="33">
        <v>2755.75</v>
      </c>
      <c r="I115" s="33">
        <f t="shared" si="11"/>
        <v>44.25</v>
      </c>
      <c r="J115" s="4">
        <f>G115/VLOOKUP(A115,RESUME!$G$3:$I$10,3,FALSE)</f>
        <v>2.7861585224431756E-2</v>
      </c>
      <c r="K115" s="4">
        <f t="shared" si="12"/>
        <v>2.8308968022646798E-2</v>
      </c>
      <c r="L115" s="1" t="str">
        <f>_xlfn.IFNA(VLOOKUP(A115&amp;"-"&amp;B115&amp;"-"&amp;D115,Ref_Account!$A:$F,6,FALSE),"ACCOUNT TIDAK DITEMUKAN")</f>
        <v>1206.801110</v>
      </c>
      <c r="N115" s="1">
        <f t="shared" si="13"/>
        <v>1</v>
      </c>
      <c r="O115" s="57" t="str">
        <f t="shared" si="10"/>
        <v>OK</v>
      </c>
    </row>
    <row r="116" spans="1:15" hidden="1" x14ac:dyDescent="0.25">
      <c r="A116" s="1" t="s">
        <v>141</v>
      </c>
      <c r="B116" s="56" t="s">
        <v>26</v>
      </c>
      <c r="C116" s="1" t="s">
        <v>27</v>
      </c>
      <c r="D116" s="2" t="s">
        <v>101</v>
      </c>
      <c r="E116" s="2" t="s">
        <v>149</v>
      </c>
      <c r="G116" s="33">
        <v>812</v>
      </c>
      <c r="H116" s="33">
        <v>812.12</v>
      </c>
      <c r="I116" s="33">
        <f t="shared" si="11"/>
        <v>-0.12000000000000455</v>
      </c>
      <c r="J116" s="4">
        <f>G116/VLOOKUP(A116,RESUME!$G$3:$I$10,3,FALSE)</f>
        <v>8.0798597150852098E-3</v>
      </c>
      <c r="K116" s="4">
        <f t="shared" si="12"/>
        <v>8.0786658235841875E-3</v>
      </c>
      <c r="L116" s="1" t="str">
        <f>_xlfn.IFNA(VLOOKUP(A116&amp;"-"&amp;B116&amp;"-"&amp;D116,Ref_Account!$A:$F,6,FALSE),"ACCOUNT TIDAK DITEMUKAN")</f>
        <v>1206.631180</v>
      </c>
      <c r="N116" s="1">
        <f t="shared" si="13"/>
        <v>1</v>
      </c>
      <c r="O116" s="57" t="str">
        <f t="shared" si="10"/>
        <v>OVER</v>
      </c>
    </row>
    <row r="117" spans="1:15" hidden="1" x14ac:dyDescent="0.25">
      <c r="A117" s="1" t="s">
        <v>141</v>
      </c>
      <c r="B117" s="56" t="s">
        <v>37</v>
      </c>
      <c r="C117" s="1" t="s">
        <v>38</v>
      </c>
      <c r="D117" s="2" t="s">
        <v>150</v>
      </c>
      <c r="E117" s="2" t="s">
        <v>151</v>
      </c>
      <c r="G117" s="33">
        <v>26280.234329731342</v>
      </c>
      <c r="I117" s="33">
        <f t="shared" si="11"/>
        <v>26280.234329731342</v>
      </c>
      <c r="J117" s="4">
        <f>G117/VLOOKUP(A117,RESUME!$G$3:$I$10,3,FALSE)</f>
        <v>0.26150321017708822</v>
      </c>
      <c r="K117" s="4" t="str">
        <f t="shared" si="12"/>
        <v/>
      </c>
      <c r="L117" s="1" t="str">
        <f>_xlfn.IFNA(VLOOKUP(A117&amp;"-"&amp;B117&amp;"-"&amp;D117,Ref_Account!$A:$F,6,FALSE),"ACCOUNT TIDAK DITEMUKAN")</f>
        <v>1206.630600</v>
      </c>
      <c r="N117" s="1">
        <f t="shared" si="13"/>
        <v>1</v>
      </c>
      <c r="O117" s="57" t="str">
        <f t="shared" si="10"/>
        <v>OK</v>
      </c>
    </row>
    <row r="118" spans="1:15" hidden="1" x14ac:dyDescent="0.25">
      <c r="A118" s="1" t="s">
        <v>330</v>
      </c>
      <c r="B118" s="56" t="s">
        <v>78</v>
      </c>
      <c r="C118" s="1" t="s">
        <v>79</v>
      </c>
      <c r="D118" s="2" t="s">
        <v>24</v>
      </c>
      <c r="E118" s="2" t="s">
        <v>72</v>
      </c>
      <c r="G118" s="33">
        <v>137.53</v>
      </c>
      <c r="H118" s="33">
        <v>137.53</v>
      </c>
      <c r="I118" s="33">
        <f t="shared" si="11"/>
        <v>0</v>
      </c>
      <c r="J118" s="4">
        <f>G118/VLOOKUP(A118,RESUME!$G$3:$I$10,3,FALSE)</f>
        <v>5.5495675892985874E-4</v>
      </c>
      <c r="K118" s="4">
        <f t="shared" si="12"/>
        <v>5.5495675892985874E-4</v>
      </c>
      <c r="L118" s="1" t="str">
        <f>_xlfn.IFNA(VLOOKUP(A118&amp;"-"&amp;B118&amp;"-"&amp;D118,Ref_Account!$A:$F,6,FALSE),"ACCOUNT TIDAK DITEMUKAN")</f>
        <v>1205.813100</v>
      </c>
      <c r="N118" s="1">
        <f t="shared" si="13"/>
        <v>1</v>
      </c>
      <c r="O118" s="57" t="str">
        <f t="shared" si="10"/>
        <v>OVER</v>
      </c>
    </row>
    <row r="119" spans="1:15" hidden="1" x14ac:dyDescent="0.25">
      <c r="A119" s="1" t="s">
        <v>330</v>
      </c>
      <c r="B119" s="56" t="s">
        <v>93</v>
      </c>
      <c r="C119" s="1" t="s">
        <v>94</v>
      </c>
      <c r="D119" s="2" t="s">
        <v>24</v>
      </c>
      <c r="E119" s="2" t="s">
        <v>95</v>
      </c>
      <c r="G119" s="33">
        <v>5157.3999999999996</v>
      </c>
      <c r="H119" s="33">
        <v>-210.65</v>
      </c>
      <c r="I119" s="33">
        <f t="shared" si="11"/>
        <v>5368.0499999999993</v>
      </c>
      <c r="J119" s="4">
        <f>G119/VLOOKUP(A119,RESUME!$G$3:$I$10,3,FALSE)</f>
        <v>2.0810979339088584E-2</v>
      </c>
      <c r="K119" s="4">
        <f t="shared" si="12"/>
        <v>-0.50952074456878926</v>
      </c>
      <c r="L119" s="1" t="str">
        <f>_xlfn.IFNA(VLOOKUP(A119&amp;"-"&amp;B119&amp;"-"&amp;D119,Ref_Account!$A:$F,6,FALSE),"ACCOUNT TIDAK DITEMUKAN")</f>
        <v>1205.801160</v>
      </c>
      <c r="N119" s="1">
        <f t="shared" si="13"/>
        <v>1</v>
      </c>
      <c r="O119" s="57" t="str">
        <f t="shared" si="10"/>
        <v>OK</v>
      </c>
    </row>
    <row r="120" spans="1:15" hidden="1" x14ac:dyDescent="0.25">
      <c r="A120" s="1" t="s">
        <v>330</v>
      </c>
      <c r="B120" s="56" t="s">
        <v>102</v>
      </c>
      <c r="C120" s="1" t="s">
        <v>103</v>
      </c>
      <c r="D120" s="2" t="s">
        <v>24</v>
      </c>
      <c r="E120" s="2" t="s">
        <v>75</v>
      </c>
      <c r="G120" s="33">
        <v>500</v>
      </c>
      <c r="H120" s="33">
        <v>1925.13</v>
      </c>
      <c r="I120" s="33">
        <f t="shared" si="11"/>
        <v>-1425.13</v>
      </c>
      <c r="J120" s="4">
        <f>G120/VLOOKUP(A120,RESUME!$G$3:$I$10,3,FALSE)</f>
        <v>2.0175843776988971E-3</v>
      </c>
      <c r="K120" s="4">
        <f t="shared" si="12"/>
        <v>5.2401250245409322E-4</v>
      </c>
      <c r="L120" s="1" t="str">
        <f>_xlfn.IFNA(VLOOKUP(A120&amp;"-"&amp;B120&amp;"-"&amp;D120,Ref_Account!$A:$F,6,FALSE),"ACCOUNT TIDAK DITEMUKAN")</f>
        <v>1205.630710</v>
      </c>
      <c r="N120" s="1">
        <f t="shared" si="13"/>
        <v>1</v>
      </c>
      <c r="O120" s="57" t="str">
        <f t="shared" si="10"/>
        <v>OVER</v>
      </c>
    </row>
    <row r="121" spans="1:15" hidden="1" x14ac:dyDescent="0.25">
      <c r="A121" s="1" t="s">
        <v>330</v>
      </c>
      <c r="B121" s="56" t="s">
        <v>114</v>
      </c>
      <c r="C121" s="1" t="s">
        <v>115</v>
      </c>
      <c r="D121" s="2" t="s">
        <v>24</v>
      </c>
      <c r="E121" s="2" t="s">
        <v>75</v>
      </c>
      <c r="G121" s="33">
        <v>250</v>
      </c>
      <c r="I121" s="33">
        <f t="shared" si="11"/>
        <v>250</v>
      </c>
      <c r="J121" s="4">
        <f>G121/VLOOKUP(A121,RESUME!$G$3:$I$10,3,FALSE)</f>
        <v>1.0087921888494486E-3</v>
      </c>
      <c r="K121" s="4" t="str">
        <f t="shared" si="12"/>
        <v/>
      </c>
      <c r="L121" s="1" t="str">
        <f>_xlfn.IFNA(VLOOKUP(A121&amp;"-"&amp;B121&amp;"-"&amp;D121,Ref_Account!$A:$F,6,FALSE),"ACCOUNT TIDAK DITEMUKAN")</f>
        <v>1205.630740</v>
      </c>
      <c r="N121" s="1">
        <f t="shared" si="13"/>
        <v>1</v>
      </c>
      <c r="O121" s="57" t="str">
        <f t="shared" si="10"/>
        <v>OK</v>
      </c>
    </row>
    <row r="122" spans="1:15" hidden="1" x14ac:dyDescent="0.25">
      <c r="A122" s="1" t="s">
        <v>330</v>
      </c>
      <c r="B122" s="56" t="s">
        <v>118</v>
      </c>
      <c r="C122" s="1" t="s">
        <v>119</v>
      </c>
      <c r="D122" s="2" t="s">
        <v>24</v>
      </c>
      <c r="E122" s="2" t="s">
        <v>95</v>
      </c>
      <c r="G122" s="33">
        <v>3183.98</v>
      </c>
      <c r="H122" s="33">
        <v>3321.95</v>
      </c>
      <c r="I122" s="33">
        <f t="shared" si="11"/>
        <v>-137.9699999999998</v>
      </c>
      <c r="J122" s="4">
        <f>G122/VLOOKUP(A122,RESUME!$G$3:$I$10,3,FALSE)</f>
        <v>1.284789661381147E-2</v>
      </c>
      <c r="K122" s="4">
        <f t="shared" si="12"/>
        <v>1.2314287048403332E-2</v>
      </c>
      <c r="L122" s="1" t="str">
        <f>_xlfn.IFNA(VLOOKUP(A122&amp;"-"&amp;B122&amp;"-"&amp;D122,Ref_Account!$A:$F,6,FALSE),"ACCOUNT TIDAK DITEMUKAN")</f>
        <v>1205.630130</v>
      </c>
      <c r="N122" s="1">
        <f t="shared" si="13"/>
        <v>1</v>
      </c>
      <c r="O122" s="57" t="str">
        <f t="shared" si="10"/>
        <v>OVER</v>
      </c>
    </row>
    <row r="123" spans="1:15" hidden="1" x14ac:dyDescent="0.25">
      <c r="A123" s="1" t="s">
        <v>330</v>
      </c>
      <c r="B123" s="56" t="s">
        <v>130</v>
      </c>
      <c r="C123" s="1" t="s">
        <v>142</v>
      </c>
      <c r="D123" s="2" t="s">
        <v>24</v>
      </c>
      <c r="E123" s="2" t="s">
        <v>75</v>
      </c>
      <c r="G123" s="33">
        <v>126.99</v>
      </c>
      <c r="H123" s="33">
        <v>126.99</v>
      </c>
      <c r="I123" s="33">
        <f t="shared" si="11"/>
        <v>0</v>
      </c>
      <c r="J123" s="4">
        <f>G123/VLOOKUP(A123,RESUME!$G$3:$I$10,3,FALSE)</f>
        <v>5.124260802479659E-4</v>
      </c>
      <c r="K123" s="4">
        <f t="shared" si="12"/>
        <v>5.124260802479659E-4</v>
      </c>
      <c r="L123" s="1" t="str">
        <f>_xlfn.IFNA(VLOOKUP(A123&amp;"-"&amp;B123&amp;"-"&amp;D123,Ref_Account!$A:$F,6,FALSE),"ACCOUNT TIDAK DITEMUKAN")</f>
        <v>1205.815110</v>
      </c>
      <c r="N123" s="1">
        <f t="shared" si="13"/>
        <v>1</v>
      </c>
      <c r="O123" s="57" t="str">
        <f t="shared" si="10"/>
        <v>OVER</v>
      </c>
    </row>
    <row r="124" spans="1:15" hidden="1" x14ac:dyDescent="0.25">
      <c r="A124" s="1" t="s">
        <v>330</v>
      </c>
      <c r="B124" s="1" t="s">
        <v>21</v>
      </c>
      <c r="C124" s="1" t="s">
        <v>152</v>
      </c>
      <c r="D124" s="2" t="s">
        <v>24</v>
      </c>
      <c r="E124" s="2" t="s">
        <v>75</v>
      </c>
      <c r="G124" s="33">
        <v>754.58</v>
      </c>
      <c r="I124" s="33">
        <f t="shared" si="11"/>
        <v>754.58</v>
      </c>
      <c r="J124" s="4">
        <f>G124/VLOOKUP(A124,RESUME!$G$3:$I$10,3,FALSE)</f>
        <v>3.0448576394480681E-3</v>
      </c>
      <c r="K124" s="4" t="str">
        <f t="shared" si="12"/>
        <v/>
      </c>
      <c r="L124" s="1" t="str">
        <f>_xlfn.IFNA(VLOOKUP(A124&amp;"-"&amp;B124&amp;"-"&amp;D124,Ref_Account!$A:$F,6,FALSE),"ACCOUNT TIDAK DITEMUKAN")</f>
        <v>1205.631100</v>
      </c>
      <c r="N124" s="1">
        <f t="shared" si="13"/>
        <v>3</v>
      </c>
      <c r="O124" s="57" t="str">
        <f t="shared" si="10"/>
        <v>OK</v>
      </c>
    </row>
    <row r="125" spans="1:15" hidden="1" x14ac:dyDescent="0.25">
      <c r="A125" s="1" t="s">
        <v>330</v>
      </c>
      <c r="B125" s="56" t="s">
        <v>70</v>
      </c>
      <c r="C125" s="1" t="s">
        <v>71</v>
      </c>
      <c r="D125" s="2" t="s">
        <v>24</v>
      </c>
      <c r="E125" s="2" t="s">
        <v>72</v>
      </c>
      <c r="G125" s="33">
        <v>6722.26</v>
      </c>
      <c r="H125" s="33">
        <v>7122.26</v>
      </c>
      <c r="I125" s="33">
        <f t="shared" si="11"/>
        <v>-400</v>
      </c>
      <c r="J125" s="4">
        <f>G125/VLOOKUP(A125,RESUME!$G$3:$I$10,3,FALSE)</f>
        <v>2.7125453517660381E-2</v>
      </c>
      <c r="K125" s="4">
        <f t="shared" si="12"/>
        <v>2.5602035191586332E-2</v>
      </c>
      <c r="L125" s="1" t="str">
        <f>_xlfn.IFNA(VLOOKUP(A125&amp;"-"&amp;B125&amp;"-"&amp;D125,Ref_Account!$A:$F,6,FALSE),"ACCOUNT TIDAK DITEMUKAN")</f>
        <v>1205.812100</v>
      </c>
      <c r="N125" s="1">
        <f t="shared" si="13"/>
        <v>1</v>
      </c>
      <c r="O125" s="57" t="str">
        <f t="shared" si="10"/>
        <v>OVER</v>
      </c>
    </row>
    <row r="126" spans="1:15" hidden="1" x14ac:dyDescent="0.25">
      <c r="A126" s="1" t="s">
        <v>330</v>
      </c>
      <c r="B126" s="56" t="s">
        <v>76</v>
      </c>
      <c r="C126" s="1" t="s">
        <v>77</v>
      </c>
      <c r="D126" s="2" t="s">
        <v>24</v>
      </c>
      <c r="E126" s="2" t="s">
        <v>75</v>
      </c>
      <c r="G126" s="33">
        <v>5152.29</v>
      </c>
      <c r="H126" s="33">
        <v>8746.93</v>
      </c>
      <c r="I126" s="33">
        <f t="shared" si="11"/>
        <v>-3594.6400000000003</v>
      </c>
      <c r="J126" s="4">
        <f>G126/VLOOKUP(A126,RESUME!$G$3:$I$10,3,FALSE)</f>
        <v>2.0790359626748502E-2</v>
      </c>
      <c r="K126" s="4">
        <f t="shared" si="12"/>
        <v>1.2246349519351364E-2</v>
      </c>
      <c r="L126" s="1" t="str">
        <f>_xlfn.IFNA(VLOOKUP(A126&amp;"-"&amp;B126&amp;"-"&amp;D126,Ref_Account!$A:$F,6,FALSE),"ACCOUNT TIDAK DITEMUKAN")</f>
        <v>1205.630400</v>
      </c>
      <c r="N126" s="1">
        <f t="shared" si="13"/>
        <v>1</v>
      </c>
      <c r="O126" s="57" t="str">
        <f t="shared" si="10"/>
        <v>OVER</v>
      </c>
    </row>
    <row r="127" spans="1:15" hidden="1" x14ac:dyDescent="0.25">
      <c r="A127" s="1" t="s">
        <v>330</v>
      </c>
      <c r="B127" s="56" t="s">
        <v>80</v>
      </c>
      <c r="C127" s="1" t="s">
        <v>81</v>
      </c>
      <c r="D127" s="2" t="s">
        <v>24</v>
      </c>
      <c r="E127" s="2" t="s">
        <v>153</v>
      </c>
      <c r="G127" s="33">
        <v>3188</v>
      </c>
      <c r="H127" s="33">
        <v>3188.73</v>
      </c>
      <c r="I127" s="33">
        <f t="shared" si="11"/>
        <v>-0.73000000000001819</v>
      </c>
      <c r="J127" s="4">
        <f>G127/VLOOKUP(A127,RESUME!$G$3:$I$10,3,FALSE)</f>
        <v>1.2864117992208169E-2</v>
      </c>
      <c r="K127" s="4">
        <f t="shared" si="12"/>
        <v>1.2861172993373426E-2</v>
      </c>
      <c r="L127" s="1" t="str">
        <f>_xlfn.IFNA(VLOOKUP(A127&amp;"-"&amp;B127&amp;"-"&amp;D127,Ref_Account!$A:$F,6,FALSE),"ACCOUNT TIDAK DITEMUKAN")</f>
        <v>1205.630300</v>
      </c>
      <c r="N127" s="1">
        <f t="shared" si="13"/>
        <v>1</v>
      </c>
      <c r="O127" s="57" t="str">
        <f t="shared" si="10"/>
        <v>OVER</v>
      </c>
    </row>
    <row r="128" spans="1:15" hidden="1" x14ac:dyDescent="0.25">
      <c r="A128" s="1" t="s">
        <v>330</v>
      </c>
      <c r="B128" s="56" t="s">
        <v>154</v>
      </c>
      <c r="C128" s="1" t="s">
        <v>84</v>
      </c>
      <c r="D128" s="2" t="s">
        <v>24</v>
      </c>
      <c r="E128" s="2" t="s">
        <v>75</v>
      </c>
      <c r="G128" s="33">
        <v>2043.4899999999998</v>
      </c>
      <c r="H128" s="33">
        <v>2193.4899999999998</v>
      </c>
      <c r="I128" s="33">
        <f t="shared" si="11"/>
        <v>-150</v>
      </c>
      <c r="J128" s="4">
        <f>G128/VLOOKUP(A128,RESUME!$G$3:$I$10,3,FALSE)</f>
        <v>8.2458269999678389E-3</v>
      </c>
      <c r="K128" s="4">
        <f t="shared" si="12"/>
        <v>7.6819429384972259E-3</v>
      </c>
      <c r="L128" s="1" t="str">
        <f>_xlfn.IFNA(VLOOKUP(A128&amp;"-"&amp;B128&amp;"-"&amp;D128,Ref_Account!$A:$F,6,FALSE),"ACCOUNT TIDAK DITEMUKAN")</f>
        <v>1205.630200</v>
      </c>
      <c r="N128" s="1">
        <f t="shared" si="13"/>
        <v>1</v>
      </c>
      <c r="O128" s="57" t="str">
        <f t="shared" si="10"/>
        <v>OVER</v>
      </c>
    </row>
    <row r="129" spans="1:15" hidden="1" x14ac:dyDescent="0.25">
      <c r="A129" s="1" t="s">
        <v>330</v>
      </c>
      <c r="B129" s="56" t="s">
        <v>96</v>
      </c>
      <c r="C129" s="1" t="s">
        <v>97</v>
      </c>
      <c r="D129" s="2" t="s">
        <v>24</v>
      </c>
      <c r="E129" s="2" t="s">
        <v>155</v>
      </c>
      <c r="G129" s="33">
        <v>78109.679999999993</v>
      </c>
      <c r="H129" s="33">
        <v>79525.45</v>
      </c>
      <c r="I129" s="33">
        <f t="shared" si="11"/>
        <v>-1415.7700000000041</v>
      </c>
      <c r="J129" s="4">
        <f>G129/VLOOKUP(A129,RESUME!$G$3:$I$10,3,FALSE)</f>
        <v>0.31518574023011997</v>
      </c>
      <c r="K129" s="4">
        <f t="shared" si="12"/>
        <v>0.30957457405066929</v>
      </c>
      <c r="L129" s="1" t="str">
        <f>_xlfn.IFNA(VLOOKUP(A129&amp;"-"&amp;B129&amp;"-"&amp;D129,Ref_Account!$A:$F,6,FALSE),"ACCOUNT TIDAK DITEMUKAN")</f>
        <v>1205.630110</v>
      </c>
      <c r="N129" s="1">
        <f t="shared" si="13"/>
        <v>1</v>
      </c>
      <c r="O129" s="57" t="str">
        <f t="shared" si="10"/>
        <v>OVER</v>
      </c>
    </row>
    <row r="130" spans="1:15" hidden="1" x14ac:dyDescent="0.25">
      <c r="A130" s="1" t="s">
        <v>330</v>
      </c>
      <c r="B130" s="56" t="s">
        <v>104</v>
      </c>
      <c r="C130" s="1" t="s">
        <v>105</v>
      </c>
      <c r="D130" s="2" t="s">
        <v>24</v>
      </c>
      <c r="E130" s="2" t="s">
        <v>153</v>
      </c>
      <c r="G130" s="33">
        <v>250</v>
      </c>
      <c r="I130" s="33">
        <f t="shared" si="11"/>
        <v>250</v>
      </c>
      <c r="J130" s="4">
        <f>G130/VLOOKUP(A130,RESUME!$G$3:$I$10,3,FALSE)</f>
        <v>1.0087921888494486E-3</v>
      </c>
      <c r="K130" s="4" t="str">
        <f t="shared" si="12"/>
        <v/>
      </c>
      <c r="L130" s="1" t="str">
        <f>_xlfn.IFNA(VLOOKUP(A130&amp;"-"&amp;B130&amp;"-"&amp;D130,Ref_Account!$A:$F,6,FALSE),"ACCOUNT TIDAK DITEMUKAN")</f>
        <v>1205.630770</v>
      </c>
      <c r="N130" s="1">
        <f t="shared" si="13"/>
        <v>1</v>
      </c>
      <c r="O130" s="57" t="str">
        <f t="shared" si="10"/>
        <v>OK</v>
      </c>
    </row>
    <row r="131" spans="1:15" hidden="1" x14ac:dyDescent="0.25">
      <c r="A131" s="1" t="s">
        <v>330</v>
      </c>
      <c r="B131" s="56" t="s">
        <v>106</v>
      </c>
      <c r="C131" s="1" t="s">
        <v>107</v>
      </c>
      <c r="D131" s="2" t="s">
        <v>24</v>
      </c>
      <c r="E131" s="2" t="s">
        <v>153</v>
      </c>
      <c r="G131" s="33">
        <v>250</v>
      </c>
      <c r="I131" s="33">
        <f t="shared" si="11"/>
        <v>250</v>
      </c>
      <c r="J131" s="4">
        <f>G131/VLOOKUP(A131,RESUME!$G$3:$I$10,3,FALSE)</f>
        <v>1.0087921888494486E-3</v>
      </c>
      <c r="K131" s="4" t="str">
        <f t="shared" si="12"/>
        <v/>
      </c>
      <c r="L131" s="1" t="str">
        <f>_xlfn.IFNA(VLOOKUP(A131&amp;"-"&amp;B131&amp;"-"&amp;D131,Ref_Account!$A:$F,6,FALSE),"ACCOUNT TIDAK DITEMUKAN")</f>
        <v>1205.630750</v>
      </c>
      <c r="N131" s="1">
        <f t="shared" si="13"/>
        <v>1</v>
      </c>
      <c r="O131" s="57" t="str">
        <f t="shared" si="10"/>
        <v>OK</v>
      </c>
    </row>
    <row r="132" spans="1:15" hidden="1" x14ac:dyDescent="0.25">
      <c r="A132" s="1" t="s">
        <v>330</v>
      </c>
      <c r="B132" s="56" t="s">
        <v>108</v>
      </c>
      <c r="C132" s="1" t="s">
        <v>109</v>
      </c>
      <c r="D132" s="2" t="s">
        <v>24</v>
      </c>
      <c r="E132" s="2" t="s">
        <v>153</v>
      </c>
      <c r="G132" s="33">
        <v>250</v>
      </c>
      <c r="I132" s="33">
        <f t="shared" si="11"/>
        <v>250</v>
      </c>
      <c r="J132" s="4">
        <f>G132/VLOOKUP(A132,RESUME!$G$3:$I$10,3,FALSE)</f>
        <v>1.0087921888494486E-3</v>
      </c>
      <c r="K132" s="4" t="str">
        <f t="shared" si="12"/>
        <v/>
      </c>
      <c r="L132" s="1" t="str">
        <f>_xlfn.IFNA(VLOOKUP(A132&amp;"-"&amp;B132&amp;"-"&amp;D132,Ref_Account!$A:$F,6,FALSE),"ACCOUNT TIDAK DITEMUKAN")</f>
        <v>1205.630720</v>
      </c>
      <c r="N132" s="1">
        <f t="shared" si="13"/>
        <v>1</v>
      </c>
      <c r="O132" s="57" t="str">
        <f t="shared" si="10"/>
        <v>OK</v>
      </c>
    </row>
    <row r="133" spans="1:15" hidden="1" x14ac:dyDescent="0.25">
      <c r="A133" s="1" t="s">
        <v>330</v>
      </c>
      <c r="B133" s="56" t="s">
        <v>112</v>
      </c>
      <c r="C133" s="1" t="s">
        <v>113</v>
      </c>
      <c r="D133" s="2" t="s">
        <v>24</v>
      </c>
      <c r="E133" s="2" t="s">
        <v>153</v>
      </c>
      <c r="G133" s="33">
        <v>250</v>
      </c>
      <c r="I133" s="33">
        <f t="shared" si="11"/>
        <v>250</v>
      </c>
      <c r="J133" s="4">
        <f>G133/VLOOKUP(A133,RESUME!$G$3:$I$10,3,FALSE)</f>
        <v>1.0087921888494486E-3</v>
      </c>
      <c r="K133" s="4" t="str">
        <f t="shared" si="12"/>
        <v/>
      </c>
      <c r="L133" s="1" t="str">
        <f>_xlfn.IFNA(VLOOKUP(A133&amp;"-"&amp;B133&amp;"-"&amp;D133,Ref_Account!$A:$F,6,FALSE),"ACCOUNT TIDAK DITEMUKAN")</f>
        <v>1205.630730</v>
      </c>
      <c r="N133" s="1">
        <f t="shared" si="13"/>
        <v>1</v>
      </c>
      <c r="O133" s="57" t="str">
        <f t="shared" si="10"/>
        <v>OK</v>
      </c>
    </row>
    <row r="134" spans="1:15" hidden="1" x14ac:dyDescent="0.25">
      <c r="A134" s="1" t="s">
        <v>330</v>
      </c>
      <c r="B134" s="56" t="s">
        <v>146</v>
      </c>
      <c r="C134" s="1" t="s">
        <v>147</v>
      </c>
      <c r="D134" s="2" t="s">
        <v>24</v>
      </c>
      <c r="E134" s="2" t="s">
        <v>148</v>
      </c>
      <c r="G134" s="33">
        <v>10800</v>
      </c>
      <c r="H134" s="33">
        <v>10316.4</v>
      </c>
      <c r="I134" s="33">
        <f t="shared" ref="I134:I165" si="14">G134-H134</f>
        <v>483.60000000000036</v>
      </c>
      <c r="J134" s="4">
        <f>G134/VLOOKUP(A134,RESUME!$G$3:$I$10,3,FALSE)</f>
        <v>4.3579822558296184E-2</v>
      </c>
      <c r="K134" s="4">
        <f t="shared" ref="K134:K165" si="15">IFERROR((G134/H134)*J134,"")</f>
        <v>4.5622705946803038E-2</v>
      </c>
      <c r="L134" s="1" t="str">
        <f>_xlfn.IFNA(VLOOKUP(A134&amp;"-"&amp;B134&amp;"-"&amp;D134,Ref_Account!$A:$F,6,FALSE),"ACCOUNT TIDAK DITEMUKAN")</f>
        <v>1205.801110</v>
      </c>
      <c r="N134" s="1">
        <f t="shared" ref="N134:N164" si="16">IF(L134="ACCOUNT TIDAK DITEMUKAN","9999",COUNTIF($L$6:$L$164,L134))</f>
        <v>1</v>
      </c>
      <c r="O134" s="57" t="str">
        <f t="shared" si="10"/>
        <v>OK</v>
      </c>
    </row>
    <row r="135" spans="1:15" hidden="1" x14ac:dyDescent="0.25">
      <c r="A135" s="1" t="s">
        <v>330</v>
      </c>
      <c r="B135" s="56" t="s">
        <v>124</v>
      </c>
      <c r="C135" s="1" t="s">
        <v>125</v>
      </c>
      <c r="D135" s="2" t="s">
        <v>24</v>
      </c>
      <c r="E135" s="2" t="s">
        <v>153</v>
      </c>
      <c r="G135" s="33">
        <v>1500</v>
      </c>
      <c r="H135" s="33">
        <v>2923.11</v>
      </c>
      <c r="I135" s="33">
        <f t="shared" si="14"/>
        <v>-1423.1100000000001</v>
      </c>
      <c r="J135" s="4">
        <f>G135/VLOOKUP(A135,RESUME!$G$3:$I$10,3,FALSE)</f>
        <v>6.0527531330966918E-3</v>
      </c>
      <c r="K135" s="4">
        <f t="shared" si="15"/>
        <v>3.1059829084930219E-3</v>
      </c>
      <c r="L135" s="1" t="str">
        <f>_xlfn.IFNA(VLOOKUP(A135&amp;"-"&amp;B135&amp;"-"&amp;D135,Ref_Account!$A:$F,6,FALSE),"ACCOUNT TIDAK DITEMUKAN")</f>
        <v>1205.631110</v>
      </c>
      <c r="N135" s="1">
        <f t="shared" si="16"/>
        <v>1</v>
      </c>
      <c r="O135" s="57" t="str">
        <f t="shared" ref="O135:O164" si="17">IF(I135&gt;0,"OK","OVER")</f>
        <v>OVER</v>
      </c>
    </row>
    <row r="136" spans="1:15" hidden="1" x14ac:dyDescent="0.25">
      <c r="A136" s="1" t="s">
        <v>330</v>
      </c>
      <c r="B136" s="56" t="s">
        <v>78</v>
      </c>
      <c r="C136" s="1" t="s">
        <v>79</v>
      </c>
      <c r="D136" s="2" t="s">
        <v>15</v>
      </c>
      <c r="E136" s="2" t="s">
        <v>72</v>
      </c>
      <c r="G136" s="33">
        <v>504.76</v>
      </c>
      <c r="H136" s="33">
        <v>504.76</v>
      </c>
      <c r="I136" s="33">
        <f t="shared" si="14"/>
        <v>0</v>
      </c>
      <c r="J136" s="4">
        <f>G136/VLOOKUP(A136,RESUME!$G$3:$I$10,3,FALSE)</f>
        <v>2.0367917809745906E-3</v>
      </c>
      <c r="K136" s="4">
        <f t="shared" si="15"/>
        <v>2.0367917809745906E-3</v>
      </c>
      <c r="L136" s="1" t="str">
        <f>_xlfn.IFNA(VLOOKUP(A136&amp;"-"&amp;B136&amp;"-"&amp;D136,Ref_Account!$A:$F,6,FALSE),"ACCOUNT TIDAK DITEMUKAN")</f>
        <v>1204.813100</v>
      </c>
      <c r="N136" s="1">
        <f t="shared" si="16"/>
        <v>1</v>
      </c>
      <c r="O136" s="57" t="str">
        <f t="shared" si="17"/>
        <v>OVER</v>
      </c>
    </row>
    <row r="137" spans="1:15" hidden="1" x14ac:dyDescent="0.25">
      <c r="A137" s="1" t="s">
        <v>330</v>
      </c>
      <c r="B137" s="56" t="s">
        <v>93</v>
      </c>
      <c r="C137" s="1" t="s">
        <v>94</v>
      </c>
      <c r="D137" s="2" t="s">
        <v>15</v>
      </c>
      <c r="E137" s="2" t="s">
        <v>95</v>
      </c>
      <c r="G137" s="33">
        <v>5702.68</v>
      </c>
      <c r="H137" s="33">
        <v>-125.09</v>
      </c>
      <c r="I137" s="33">
        <f t="shared" si="14"/>
        <v>5827.77</v>
      </c>
      <c r="J137" s="4">
        <f>G137/VLOOKUP(A137,RESUME!$G$3:$I$10,3,FALSE)</f>
        <v>2.3011276158031897E-2</v>
      </c>
      <c r="K137" s="4">
        <f t="shared" si="15"/>
        <v>-1.0490522369564741</v>
      </c>
      <c r="L137" s="1" t="str">
        <f>_xlfn.IFNA(VLOOKUP(A137&amp;"-"&amp;B137&amp;"-"&amp;D137,Ref_Account!$A:$F,6,FALSE),"ACCOUNT TIDAK DITEMUKAN")</f>
        <v>1204.801160</v>
      </c>
      <c r="N137" s="1">
        <f t="shared" si="16"/>
        <v>1</v>
      </c>
      <c r="O137" s="57" t="str">
        <f t="shared" si="17"/>
        <v>OK</v>
      </c>
    </row>
    <row r="138" spans="1:15" hidden="1" x14ac:dyDescent="0.25">
      <c r="A138" s="1" t="s">
        <v>330</v>
      </c>
      <c r="B138" s="56" t="s">
        <v>102</v>
      </c>
      <c r="C138" s="1" t="s">
        <v>103</v>
      </c>
      <c r="D138" s="2" t="s">
        <v>15</v>
      </c>
      <c r="E138" s="2" t="s">
        <v>75</v>
      </c>
      <c r="G138" s="33">
        <v>700</v>
      </c>
      <c r="H138" s="33">
        <v>768.14</v>
      </c>
      <c r="I138" s="33">
        <f t="shared" si="14"/>
        <v>-68.139999999999986</v>
      </c>
      <c r="J138" s="4">
        <f>G138/VLOOKUP(A138,RESUME!$G$3:$I$10,3,FALSE)</f>
        <v>2.8246181287784563E-3</v>
      </c>
      <c r="K138" s="4">
        <f t="shared" si="15"/>
        <v>2.5740525036385548E-3</v>
      </c>
      <c r="L138" s="1" t="str">
        <f>_xlfn.IFNA(VLOOKUP(A138&amp;"-"&amp;B138&amp;"-"&amp;D138,Ref_Account!$A:$F,6,FALSE),"ACCOUNT TIDAK DITEMUKAN")</f>
        <v>1204.630710</v>
      </c>
      <c r="N138" s="1">
        <f t="shared" si="16"/>
        <v>1</v>
      </c>
      <c r="O138" s="57" t="str">
        <f t="shared" si="17"/>
        <v>OVER</v>
      </c>
    </row>
    <row r="139" spans="1:15" hidden="1" x14ac:dyDescent="0.25">
      <c r="A139" s="1" t="s">
        <v>330</v>
      </c>
      <c r="B139" s="56" t="s">
        <v>114</v>
      </c>
      <c r="C139" s="1" t="s">
        <v>115</v>
      </c>
      <c r="D139" s="2" t="s">
        <v>15</v>
      </c>
      <c r="E139" s="2" t="s">
        <v>75</v>
      </c>
      <c r="G139" s="33">
        <v>300</v>
      </c>
      <c r="I139" s="33">
        <f t="shared" si="14"/>
        <v>300</v>
      </c>
      <c r="J139" s="4">
        <f>G139/VLOOKUP(A139,RESUME!$G$3:$I$10,3,FALSE)</f>
        <v>1.2105506266193384E-3</v>
      </c>
      <c r="K139" s="4" t="str">
        <f t="shared" si="15"/>
        <v/>
      </c>
      <c r="L139" s="1" t="str">
        <f>_xlfn.IFNA(VLOOKUP(A139&amp;"-"&amp;B139&amp;"-"&amp;D139,Ref_Account!$A:$F,6,FALSE),"ACCOUNT TIDAK DITEMUKAN")</f>
        <v>1204.630740</v>
      </c>
      <c r="N139" s="1">
        <f t="shared" si="16"/>
        <v>1</v>
      </c>
      <c r="O139" s="57" t="str">
        <f t="shared" si="17"/>
        <v>OK</v>
      </c>
    </row>
    <row r="140" spans="1:15" hidden="1" x14ac:dyDescent="0.25">
      <c r="A140" s="1" t="s">
        <v>330</v>
      </c>
      <c r="B140" s="56" t="s">
        <v>118</v>
      </c>
      <c r="C140" s="1" t="s">
        <v>119</v>
      </c>
      <c r="D140" s="2" t="s">
        <v>15</v>
      </c>
      <c r="E140" s="2" t="s">
        <v>95</v>
      </c>
      <c r="G140" s="33">
        <v>3500</v>
      </c>
      <c r="H140" s="33">
        <v>3699.04</v>
      </c>
      <c r="I140" s="33">
        <f t="shared" si="14"/>
        <v>-199.03999999999996</v>
      </c>
      <c r="J140" s="4">
        <f>G140/VLOOKUP(A140,RESUME!$G$3:$I$10,3,FALSE)</f>
        <v>1.4123090643892281E-2</v>
      </c>
      <c r="K140" s="4">
        <f t="shared" si="15"/>
        <v>1.3363147533852832E-2</v>
      </c>
      <c r="L140" s="1" t="str">
        <f>_xlfn.IFNA(VLOOKUP(A140&amp;"-"&amp;B140&amp;"-"&amp;D140,Ref_Account!$A:$F,6,FALSE),"ACCOUNT TIDAK DITEMUKAN")</f>
        <v>1204.630130</v>
      </c>
      <c r="N140" s="1">
        <f t="shared" si="16"/>
        <v>1</v>
      </c>
      <c r="O140" s="57" t="str">
        <f t="shared" si="17"/>
        <v>OVER</v>
      </c>
    </row>
    <row r="141" spans="1:15" hidden="1" x14ac:dyDescent="0.25">
      <c r="A141" s="1" t="s">
        <v>330</v>
      </c>
      <c r="B141" s="56" t="s">
        <v>130</v>
      </c>
      <c r="C141" s="1" t="s">
        <v>156</v>
      </c>
      <c r="D141" s="2" t="s">
        <v>15</v>
      </c>
      <c r="E141" s="2" t="s">
        <v>75</v>
      </c>
      <c r="G141" s="33">
        <v>512.71</v>
      </c>
      <c r="H141" s="33">
        <v>512.71</v>
      </c>
      <c r="I141" s="33">
        <f t="shared" si="14"/>
        <v>0</v>
      </c>
      <c r="J141" s="4">
        <f>G141/VLOOKUP(A141,RESUME!$G$3:$I$10,3,FALSE)</f>
        <v>2.0688713725800032E-3</v>
      </c>
      <c r="K141" s="4">
        <f t="shared" si="15"/>
        <v>2.0688713725800032E-3</v>
      </c>
      <c r="L141" s="1" t="str">
        <f>_xlfn.IFNA(VLOOKUP(A141&amp;"-"&amp;B141&amp;"-"&amp;D141,Ref_Account!$A:$F,6,FALSE),"ACCOUNT TIDAK DITEMUKAN")</f>
        <v>1204.815110</v>
      </c>
      <c r="N141" s="1">
        <f t="shared" si="16"/>
        <v>1</v>
      </c>
      <c r="O141" s="57" t="str">
        <f t="shared" si="17"/>
        <v>OVER</v>
      </c>
    </row>
    <row r="142" spans="1:15" hidden="1" x14ac:dyDescent="0.25">
      <c r="A142" s="1" t="s">
        <v>330</v>
      </c>
      <c r="B142" s="1" t="s">
        <v>21</v>
      </c>
      <c r="C142" s="1" t="s">
        <v>152</v>
      </c>
      <c r="D142" s="2" t="s">
        <v>15</v>
      </c>
      <c r="E142" s="2" t="s">
        <v>75</v>
      </c>
      <c r="G142" s="33">
        <v>754.58</v>
      </c>
      <c r="I142" s="33">
        <f t="shared" si="14"/>
        <v>754.58</v>
      </c>
      <c r="J142" s="4">
        <f>G142/VLOOKUP(A142,RESUME!$G$3:$I$10,3,FALSE)</f>
        <v>3.0448576394480681E-3</v>
      </c>
      <c r="K142" s="4" t="str">
        <f t="shared" si="15"/>
        <v/>
      </c>
      <c r="L142" s="1" t="str">
        <f>_xlfn.IFNA(VLOOKUP(A142&amp;"-"&amp;B142&amp;"-"&amp;D142,Ref_Account!$A:$F,6,FALSE),"ACCOUNT TIDAK DITEMUKAN")</f>
        <v>1204.631100</v>
      </c>
      <c r="N142" s="1">
        <f t="shared" si="16"/>
        <v>3</v>
      </c>
      <c r="O142" s="57" t="str">
        <f t="shared" si="17"/>
        <v>OK</v>
      </c>
    </row>
    <row r="143" spans="1:15" hidden="1" x14ac:dyDescent="0.25">
      <c r="A143" s="1" t="s">
        <v>330</v>
      </c>
      <c r="B143" s="56" t="s">
        <v>68</v>
      </c>
      <c r="C143" s="1" t="s">
        <v>69</v>
      </c>
      <c r="D143" s="2" t="s">
        <v>15</v>
      </c>
      <c r="E143" s="2" t="s">
        <v>157</v>
      </c>
      <c r="I143" s="33">
        <f t="shared" si="14"/>
        <v>0</v>
      </c>
      <c r="J143" s="4">
        <f>G143/VLOOKUP(A143,RESUME!$G$3:$I$10,3,FALSE)</f>
        <v>0</v>
      </c>
      <c r="K143" s="4" t="str">
        <f t="shared" si="15"/>
        <v/>
      </c>
      <c r="L143" s="1" t="str">
        <f>_xlfn.IFNA(VLOOKUP(A143&amp;"-"&amp;B143&amp;"-"&amp;D143,Ref_Account!$A:$F,6,FALSE),"ACCOUNT TIDAK DITEMUKAN")</f>
        <v>1204.720500</v>
      </c>
      <c r="N143" s="1">
        <f t="shared" si="16"/>
        <v>1</v>
      </c>
      <c r="O143" s="57" t="str">
        <f t="shared" si="17"/>
        <v>OVER</v>
      </c>
    </row>
    <row r="144" spans="1:15" hidden="1" x14ac:dyDescent="0.25">
      <c r="A144" s="1" t="s">
        <v>330</v>
      </c>
      <c r="B144" s="56" t="s">
        <v>70</v>
      </c>
      <c r="C144" s="1" t="s">
        <v>71</v>
      </c>
      <c r="D144" s="2" t="s">
        <v>15</v>
      </c>
      <c r="E144" s="2" t="s">
        <v>72</v>
      </c>
      <c r="G144" s="33">
        <v>5672.9500000000007</v>
      </c>
      <c r="H144" s="33">
        <v>6068.77</v>
      </c>
      <c r="I144" s="33">
        <f t="shared" si="14"/>
        <v>-395.81999999999971</v>
      </c>
      <c r="J144" s="4">
        <f>G144/VLOOKUP(A144,RESUME!$G$3:$I$10,3,FALSE)</f>
        <v>2.2891310590933921E-2</v>
      </c>
      <c r="K144" s="4">
        <f t="shared" si="15"/>
        <v>2.1398283411109432E-2</v>
      </c>
      <c r="L144" s="1" t="str">
        <f>_xlfn.IFNA(VLOOKUP(A144&amp;"-"&amp;B144&amp;"-"&amp;D144,Ref_Account!$A:$F,6,FALSE),"ACCOUNT TIDAK DITEMUKAN")</f>
        <v>1204.812100</v>
      </c>
      <c r="N144" s="1">
        <f t="shared" si="16"/>
        <v>1</v>
      </c>
      <c r="O144" s="57" t="str">
        <f t="shared" si="17"/>
        <v>OVER</v>
      </c>
    </row>
    <row r="145" spans="1:15" hidden="1" x14ac:dyDescent="0.25">
      <c r="A145" s="1" t="s">
        <v>330</v>
      </c>
      <c r="B145" s="56" t="s">
        <v>76</v>
      </c>
      <c r="C145" s="1" t="s">
        <v>77</v>
      </c>
      <c r="D145" s="2" t="s">
        <v>15</v>
      </c>
      <c r="E145" s="2" t="s">
        <v>75</v>
      </c>
      <c r="G145" s="33">
        <v>4918.54</v>
      </c>
      <c r="H145" s="33">
        <v>10036.620000000001</v>
      </c>
      <c r="I145" s="33">
        <f t="shared" si="14"/>
        <v>-5118.0800000000008</v>
      </c>
      <c r="J145" s="4">
        <f>G145/VLOOKUP(A145,RESUME!$G$3:$I$10,3,FALSE)</f>
        <v>1.9847138930174268E-2</v>
      </c>
      <c r="K145" s="4">
        <f t="shared" si="15"/>
        <v>9.726277044823789E-3</v>
      </c>
      <c r="L145" s="1" t="str">
        <f>_xlfn.IFNA(VLOOKUP(A145&amp;"-"&amp;B145&amp;"-"&amp;D145,Ref_Account!$A:$F,6,FALSE),"ACCOUNT TIDAK DITEMUKAN")</f>
        <v>1204.630400</v>
      </c>
      <c r="N145" s="1">
        <f t="shared" si="16"/>
        <v>1</v>
      </c>
      <c r="O145" s="57" t="str">
        <f t="shared" si="17"/>
        <v>OVER</v>
      </c>
    </row>
    <row r="146" spans="1:15" hidden="1" x14ac:dyDescent="0.25">
      <c r="A146" s="1" t="s">
        <v>330</v>
      </c>
      <c r="B146" s="56" t="s">
        <v>80</v>
      </c>
      <c r="C146" s="1" t="s">
        <v>81</v>
      </c>
      <c r="D146" s="2" t="s">
        <v>15</v>
      </c>
      <c r="E146" s="2" t="s">
        <v>158</v>
      </c>
      <c r="G146" s="33">
        <v>1600</v>
      </c>
      <c r="H146" s="33">
        <v>1611.02</v>
      </c>
      <c r="I146" s="33">
        <f t="shared" si="14"/>
        <v>-11.019999999999982</v>
      </c>
      <c r="J146" s="4">
        <f>G146/VLOOKUP(A146,RESUME!$G$3:$I$10,3,FALSE)</f>
        <v>6.4562700086364709E-3</v>
      </c>
      <c r="K146" s="4">
        <f t="shared" si="15"/>
        <v>6.4121066242618669E-3</v>
      </c>
      <c r="L146" s="1" t="str">
        <f>_xlfn.IFNA(VLOOKUP(A146&amp;"-"&amp;B146&amp;"-"&amp;D146,Ref_Account!$A:$F,6,FALSE),"ACCOUNT TIDAK DITEMUKAN")</f>
        <v>1204.630300</v>
      </c>
      <c r="N146" s="1">
        <f t="shared" si="16"/>
        <v>1</v>
      </c>
      <c r="O146" s="57" t="str">
        <f t="shared" si="17"/>
        <v>OVER</v>
      </c>
    </row>
    <row r="147" spans="1:15" hidden="1" x14ac:dyDescent="0.25">
      <c r="A147" s="1" t="s">
        <v>330</v>
      </c>
      <c r="B147" s="56" t="s">
        <v>154</v>
      </c>
      <c r="C147" s="1" t="s">
        <v>84</v>
      </c>
      <c r="D147" s="2" t="s">
        <v>15</v>
      </c>
      <c r="E147" s="2" t="s">
        <v>75</v>
      </c>
      <c r="G147" s="33">
        <v>3106.38</v>
      </c>
      <c r="H147" s="33">
        <v>3273.37</v>
      </c>
      <c r="I147" s="33">
        <f t="shared" si="14"/>
        <v>-166.98999999999978</v>
      </c>
      <c r="J147" s="4">
        <f>G147/VLOOKUP(A147,RESUME!$G$3:$I$10,3,FALSE)</f>
        <v>1.2534767518392602E-2</v>
      </c>
      <c r="K147" s="4">
        <f t="shared" si="15"/>
        <v>1.1895310069984271E-2</v>
      </c>
      <c r="L147" s="1" t="str">
        <f>_xlfn.IFNA(VLOOKUP(A147&amp;"-"&amp;B147&amp;"-"&amp;D147,Ref_Account!$A:$F,6,FALSE),"ACCOUNT TIDAK DITEMUKAN")</f>
        <v>1204.630200</v>
      </c>
      <c r="N147" s="1">
        <f t="shared" si="16"/>
        <v>1</v>
      </c>
      <c r="O147" s="57" t="str">
        <f t="shared" si="17"/>
        <v>OVER</v>
      </c>
    </row>
    <row r="148" spans="1:15" hidden="1" x14ac:dyDescent="0.25">
      <c r="A148" s="1" t="s">
        <v>330</v>
      </c>
      <c r="B148" s="56" t="s">
        <v>96</v>
      </c>
      <c r="C148" s="1" t="s">
        <v>97</v>
      </c>
      <c r="D148" s="2" t="s">
        <v>15</v>
      </c>
      <c r="E148" s="2" t="s">
        <v>157</v>
      </c>
      <c r="G148" s="33">
        <v>97892.700000000012</v>
      </c>
      <c r="H148" s="33">
        <v>96162.38</v>
      </c>
      <c r="I148" s="33">
        <f t="shared" si="14"/>
        <v>1730.320000000007</v>
      </c>
      <c r="J148" s="4">
        <f>G148/VLOOKUP(A148,RESUME!$G$3:$I$10,3,FALSE)</f>
        <v>0.39501356442152974</v>
      </c>
      <c r="K148" s="4">
        <f t="shared" si="15"/>
        <v>0.4021213322491341</v>
      </c>
      <c r="L148" s="1" t="str">
        <f>_xlfn.IFNA(VLOOKUP(A148&amp;"-"&amp;B148&amp;"-"&amp;D148,Ref_Account!$A:$F,6,FALSE),"ACCOUNT TIDAK DITEMUKAN")</f>
        <v>1204.630110</v>
      </c>
      <c r="N148" s="1">
        <f t="shared" si="16"/>
        <v>1</v>
      </c>
      <c r="O148" s="57" t="str">
        <f t="shared" si="17"/>
        <v>OK</v>
      </c>
    </row>
    <row r="149" spans="1:15" hidden="1" x14ac:dyDescent="0.25">
      <c r="A149" s="1" t="s">
        <v>330</v>
      </c>
      <c r="B149" s="56" t="s">
        <v>104</v>
      </c>
      <c r="C149" s="1" t="s">
        <v>105</v>
      </c>
      <c r="D149" s="2" t="s">
        <v>15</v>
      </c>
      <c r="E149" s="2" t="s">
        <v>158</v>
      </c>
      <c r="G149" s="33">
        <v>300</v>
      </c>
      <c r="I149" s="33">
        <f t="shared" si="14"/>
        <v>300</v>
      </c>
      <c r="J149" s="4">
        <f>G149/VLOOKUP(A149,RESUME!$G$3:$I$10,3,FALSE)</f>
        <v>1.2105506266193384E-3</v>
      </c>
      <c r="K149" s="4" t="str">
        <f t="shared" si="15"/>
        <v/>
      </c>
      <c r="L149" s="1" t="str">
        <f>_xlfn.IFNA(VLOOKUP(A149&amp;"-"&amp;B149&amp;"-"&amp;D149,Ref_Account!$A:$F,6,FALSE),"ACCOUNT TIDAK DITEMUKAN")</f>
        <v>1204.630770</v>
      </c>
      <c r="N149" s="1">
        <f t="shared" si="16"/>
        <v>1</v>
      </c>
      <c r="O149" s="57" t="str">
        <f t="shared" si="17"/>
        <v>OK</v>
      </c>
    </row>
    <row r="150" spans="1:15" hidden="1" x14ac:dyDescent="0.25">
      <c r="A150" s="1" t="s">
        <v>330</v>
      </c>
      <c r="B150" s="56" t="s">
        <v>106</v>
      </c>
      <c r="C150" s="1" t="s">
        <v>107</v>
      </c>
      <c r="D150" s="2" t="s">
        <v>15</v>
      </c>
      <c r="E150" s="2" t="s">
        <v>158</v>
      </c>
      <c r="G150" s="33">
        <v>300</v>
      </c>
      <c r="I150" s="33">
        <f t="shared" si="14"/>
        <v>300</v>
      </c>
      <c r="J150" s="4">
        <f>G150/VLOOKUP(A150,RESUME!$G$3:$I$10,3,FALSE)</f>
        <v>1.2105506266193384E-3</v>
      </c>
      <c r="K150" s="4" t="str">
        <f t="shared" si="15"/>
        <v/>
      </c>
      <c r="L150" s="1" t="str">
        <f>_xlfn.IFNA(VLOOKUP(A150&amp;"-"&amp;B150&amp;"-"&amp;D150,Ref_Account!$A:$F,6,FALSE),"ACCOUNT TIDAK DITEMUKAN")</f>
        <v>1204.630750</v>
      </c>
      <c r="N150" s="1">
        <f t="shared" si="16"/>
        <v>1</v>
      </c>
      <c r="O150" s="57" t="str">
        <f t="shared" si="17"/>
        <v>OK</v>
      </c>
    </row>
    <row r="151" spans="1:15" hidden="1" x14ac:dyDescent="0.25">
      <c r="A151" s="1" t="s">
        <v>330</v>
      </c>
      <c r="B151" s="56" t="s">
        <v>108</v>
      </c>
      <c r="C151" s="1" t="s">
        <v>109</v>
      </c>
      <c r="D151" s="2" t="s">
        <v>15</v>
      </c>
      <c r="E151" s="2" t="s">
        <v>158</v>
      </c>
      <c r="G151" s="33">
        <v>300</v>
      </c>
      <c r="H151" s="33">
        <v>5264.88</v>
      </c>
      <c r="I151" s="33">
        <f t="shared" si="14"/>
        <v>-4964.88</v>
      </c>
      <c r="J151" s="4">
        <f>G151/VLOOKUP(A151,RESUME!$G$3:$I$10,3,FALSE)</f>
        <v>1.2105506266193384E-3</v>
      </c>
      <c r="K151" s="4">
        <f t="shared" si="15"/>
        <v>6.897881584875657E-5</v>
      </c>
      <c r="L151" s="1" t="str">
        <f>_xlfn.IFNA(VLOOKUP(A151&amp;"-"&amp;B151&amp;"-"&amp;D151,Ref_Account!$A:$F,6,FALSE),"ACCOUNT TIDAK DITEMUKAN")</f>
        <v>1204.630720</v>
      </c>
      <c r="N151" s="1">
        <f t="shared" si="16"/>
        <v>1</v>
      </c>
      <c r="O151" s="57" t="str">
        <f t="shared" si="17"/>
        <v>OVER</v>
      </c>
    </row>
    <row r="152" spans="1:15" hidden="1" x14ac:dyDescent="0.25">
      <c r="A152" s="1" t="s">
        <v>330</v>
      </c>
      <c r="B152" s="56" t="s">
        <v>112</v>
      </c>
      <c r="C152" s="1" t="s">
        <v>113</v>
      </c>
      <c r="D152" s="2" t="s">
        <v>15</v>
      </c>
      <c r="E152" s="2" t="s">
        <v>158</v>
      </c>
      <c r="G152" s="33">
        <v>300</v>
      </c>
      <c r="I152" s="33">
        <f t="shared" si="14"/>
        <v>300</v>
      </c>
      <c r="J152" s="4">
        <f>G152/VLOOKUP(A152,RESUME!$G$3:$I$10,3,FALSE)</f>
        <v>1.2105506266193384E-3</v>
      </c>
      <c r="K152" s="4" t="str">
        <f t="shared" si="15"/>
        <v/>
      </c>
      <c r="L152" s="1" t="str">
        <f>_xlfn.IFNA(VLOOKUP(A152&amp;"-"&amp;B152&amp;"-"&amp;D152,Ref_Account!$A:$F,6,FALSE),"ACCOUNT TIDAK DITEMUKAN")</f>
        <v>1204.630730</v>
      </c>
      <c r="N152" s="1">
        <f t="shared" si="16"/>
        <v>1</v>
      </c>
      <c r="O152" s="57" t="str">
        <f t="shared" si="17"/>
        <v>OK</v>
      </c>
    </row>
    <row r="153" spans="1:15" hidden="1" x14ac:dyDescent="0.25">
      <c r="A153" s="1" t="s">
        <v>330</v>
      </c>
      <c r="B153" s="56" t="s">
        <v>124</v>
      </c>
      <c r="C153" s="1" t="s">
        <v>125</v>
      </c>
      <c r="D153" s="2" t="s">
        <v>15</v>
      </c>
      <c r="E153" s="2" t="s">
        <v>158</v>
      </c>
      <c r="G153" s="33">
        <v>2346.61</v>
      </c>
      <c r="H153" s="33">
        <v>7431.88</v>
      </c>
      <c r="I153" s="33">
        <f t="shared" si="14"/>
        <v>-5085.2700000000004</v>
      </c>
      <c r="J153" s="4">
        <f>G153/VLOOKUP(A153,RESUME!$G$3:$I$10,3,FALSE)</f>
        <v>9.46896735310402E-3</v>
      </c>
      <c r="K153" s="4">
        <f t="shared" si="15"/>
        <v>2.9898186569841585E-3</v>
      </c>
      <c r="L153" s="1" t="str">
        <f>_xlfn.IFNA(VLOOKUP(A153&amp;"-"&amp;B153&amp;"-"&amp;D153,Ref_Account!$A:$F,6,FALSE),"ACCOUNT TIDAK DITEMUKAN")</f>
        <v>1204.631110</v>
      </c>
      <c r="N153" s="1">
        <f t="shared" si="16"/>
        <v>1</v>
      </c>
      <c r="O153" s="57" t="str">
        <f t="shared" si="17"/>
        <v>OVER</v>
      </c>
    </row>
    <row r="154" spans="1:15" hidden="1" x14ac:dyDescent="0.25">
      <c r="A154" s="1" t="s">
        <v>330</v>
      </c>
      <c r="B154" s="56" t="s">
        <v>126</v>
      </c>
      <c r="C154" s="1" t="s">
        <v>127</v>
      </c>
      <c r="D154" s="2" t="s">
        <v>15</v>
      </c>
      <c r="E154" s="2" t="s">
        <v>158</v>
      </c>
      <c r="G154" s="33">
        <v>483</v>
      </c>
      <c r="I154" s="33">
        <f t="shared" si="14"/>
        <v>483</v>
      </c>
      <c r="J154" s="4">
        <f>G154/VLOOKUP(A154,RESUME!$G$3:$I$10,3,FALSE)</f>
        <v>1.9489865088571348E-3</v>
      </c>
      <c r="K154" s="4" t="str">
        <f t="shared" si="15"/>
        <v/>
      </c>
      <c r="L154" s="1" t="str">
        <f>_xlfn.IFNA(VLOOKUP(A154&amp;"-"&amp;B154&amp;"-"&amp;D154,Ref_Account!$A:$F,6,FALSE),"ACCOUNT TIDAK DITEMUKAN")</f>
        <v>1204.631140</v>
      </c>
      <c r="N154" s="1">
        <f t="shared" si="16"/>
        <v>1</v>
      </c>
      <c r="O154" s="57" t="str">
        <f t="shared" si="17"/>
        <v>OK</v>
      </c>
    </row>
    <row r="155" spans="1:15" hidden="1" x14ac:dyDescent="0.25">
      <c r="A155" s="1" t="s">
        <v>159</v>
      </c>
      <c r="B155" s="56" t="s">
        <v>160</v>
      </c>
      <c r="C155" s="1" t="s">
        <v>161</v>
      </c>
      <c r="D155" s="2" t="s">
        <v>13</v>
      </c>
      <c r="E155" s="2" t="s">
        <v>75</v>
      </c>
      <c r="G155" s="33">
        <v>943.01</v>
      </c>
      <c r="H155" s="33">
        <v>6118.58</v>
      </c>
      <c r="I155" s="33">
        <f t="shared" si="14"/>
        <v>-5175.57</v>
      </c>
      <c r="J155" s="4">
        <f>G155/VLOOKUP(A155,RESUME!$G$3:$I$10,3,FALSE)</f>
        <v>1.0674639092355137E-2</v>
      </c>
      <c r="K155" s="4">
        <f t="shared" si="15"/>
        <v>1.6452005874699387E-3</v>
      </c>
      <c r="L155" s="1" t="str">
        <f>_xlfn.IFNA(VLOOKUP(A155&amp;"-"&amp;B155&amp;"-"&amp;D155,Ref_Account!$A:$F,6,FALSE),"ACCOUNT TIDAK DITEMUKAN")</f>
        <v>1201.816120</v>
      </c>
      <c r="N155" s="1">
        <f t="shared" si="16"/>
        <v>1</v>
      </c>
      <c r="O155" s="57" t="str">
        <f t="shared" si="17"/>
        <v>OVER</v>
      </c>
    </row>
    <row r="156" spans="1:15" hidden="1" x14ac:dyDescent="0.25">
      <c r="A156" s="1" t="s">
        <v>159</v>
      </c>
      <c r="B156" s="56" t="s">
        <v>162</v>
      </c>
      <c r="C156" s="1" t="s">
        <v>163</v>
      </c>
      <c r="D156" s="2" t="s">
        <v>13</v>
      </c>
      <c r="E156" s="2" t="s">
        <v>72</v>
      </c>
      <c r="G156" s="33">
        <v>3000</v>
      </c>
      <c r="H156" s="33">
        <v>1795.09</v>
      </c>
      <c r="I156" s="33">
        <f t="shared" si="14"/>
        <v>1204.9100000000001</v>
      </c>
      <c r="J156" s="4">
        <f>G156/VLOOKUP(A156,RESUME!$G$3:$I$10,3,FALSE)</f>
        <v>3.3959255232781635E-2</v>
      </c>
      <c r="K156" s="4">
        <f t="shared" si="15"/>
        <v>5.6753569847943504E-2</v>
      </c>
      <c r="L156" s="1" t="str">
        <f>_xlfn.IFNA(VLOOKUP(A156&amp;"-"&amp;B156&amp;"-"&amp;D156,Ref_Account!$A:$F,6,FALSE),"ACCOUNT TIDAK DITEMUKAN")</f>
        <v>1201.920410</v>
      </c>
      <c r="N156" s="1">
        <f t="shared" si="16"/>
        <v>1</v>
      </c>
      <c r="O156" s="57" t="str">
        <f t="shared" si="17"/>
        <v>OK</v>
      </c>
    </row>
    <row r="157" spans="1:15" hidden="1" x14ac:dyDescent="0.25">
      <c r="A157" s="1" t="s">
        <v>159</v>
      </c>
      <c r="B157" s="56" t="s">
        <v>164</v>
      </c>
      <c r="C157" s="1" t="s">
        <v>165</v>
      </c>
      <c r="D157" s="2" t="s">
        <v>13</v>
      </c>
      <c r="E157" s="2" t="s">
        <v>166</v>
      </c>
      <c r="G157" s="33">
        <v>27000</v>
      </c>
      <c r="H157" s="33">
        <v>23517.599999999999</v>
      </c>
      <c r="I157" s="33">
        <f t="shared" si="14"/>
        <v>3482.4000000000015</v>
      </c>
      <c r="J157" s="4">
        <f>G157/VLOOKUP(A157,RESUME!$G$3:$I$10,3,FALSE)</f>
        <v>0.30563329709503473</v>
      </c>
      <c r="K157" s="4">
        <f t="shared" si="15"/>
        <v>0.35089035537495056</v>
      </c>
      <c r="L157" s="1" t="str">
        <f>_xlfn.IFNA(VLOOKUP(A157&amp;"-"&amp;B157&amp;"-"&amp;D157,Ref_Account!$A:$F,6,FALSE),"ACCOUNT TIDAK DITEMUKAN")</f>
        <v>1201.920120</v>
      </c>
      <c r="N157" s="1">
        <f t="shared" si="16"/>
        <v>1</v>
      </c>
      <c r="O157" s="57" t="str">
        <f t="shared" si="17"/>
        <v>OK</v>
      </c>
    </row>
    <row r="158" spans="1:15" hidden="1" x14ac:dyDescent="0.25">
      <c r="A158" s="1" t="s">
        <v>159</v>
      </c>
      <c r="B158" s="56" t="s">
        <v>167</v>
      </c>
      <c r="C158" s="1" t="s">
        <v>168</v>
      </c>
      <c r="D158" s="2" t="s">
        <v>13</v>
      </c>
      <c r="E158" s="2" t="s">
        <v>72</v>
      </c>
      <c r="G158" s="33">
        <v>743.73</v>
      </c>
      <c r="H158" s="33">
        <v>743.73</v>
      </c>
      <c r="I158" s="33">
        <f t="shared" si="14"/>
        <v>0</v>
      </c>
      <c r="J158" s="4">
        <f>G158/VLOOKUP(A158,RESUME!$G$3:$I$10,3,FALSE)</f>
        <v>8.4188389647588957E-3</v>
      </c>
      <c r="K158" s="4">
        <f t="shared" si="15"/>
        <v>8.4188389647588957E-3</v>
      </c>
      <c r="L158" s="1" t="str">
        <f>_xlfn.IFNA(VLOOKUP(A158&amp;"-"&amp;B158&amp;"-"&amp;D158,Ref_Account!$A:$F,6,FALSE),"ACCOUNT TIDAK DITEMUKAN")</f>
        <v>1201.805120</v>
      </c>
      <c r="N158" s="1">
        <f t="shared" si="16"/>
        <v>1</v>
      </c>
      <c r="O158" s="57" t="str">
        <f t="shared" si="17"/>
        <v>OVER</v>
      </c>
    </row>
    <row r="159" spans="1:15" hidden="1" x14ac:dyDescent="0.25">
      <c r="A159" s="1" t="s">
        <v>159</v>
      </c>
      <c r="B159" s="56" t="s">
        <v>169</v>
      </c>
      <c r="C159" s="1" t="s">
        <v>170</v>
      </c>
      <c r="D159" s="2" t="s">
        <v>13</v>
      </c>
      <c r="E159" s="2" t="s">
        <v>171</v>
      </c>
      <c r="G159" s="33">
        <v>2000</v>
      </c>
      <c r="H159" s="33">
        <v>883.08</v>
      </c>
      <c r="I159" s="33">
        <f t="shared" si="14"/>
        <v>1116.92</v>
      </c>
      <c r="J159" s="4">
        <f>G159/VLOOKUP(A159,RESUME!$G$3:$I$10,3,FALSE)</f>
        <v>2.263950348852109E-2</v>
      </c>
      <c r="K159" s="4">
        <f t="shared" si="15"/>
        <v>5.1273958165785859E-2</v>
      </c>
      <c r="L159" s="1" t="str">
        <f>_xlfn.IFNA(VLOOKUP(A159&amp;"-"&amp;B159&amp;"-"&amp;D159,Ref_Account!$A:$F,6,FALSE),"ACCOUNT TIDAK DITEMUKAN")</f>
        <v>1201.920700</v>
      </c>
      <c r="N159" s="1">
        <f t="shared" si="16"/>
        <v>1</v>
      </c>
      <c r="O159" s="57" t="str">
        <f t="shared" si="17"/>
        <v>OK</v>
      </c>
    </row>
    <row r="160" spans="1:15" hidden="1" x14ac:dyDescent="0.25">
      <c r="A160" s="1" t="s">
        <v>159</v>
      </c>
      <c r="B160" s="56" t="s">
        <v>169</v>
      </c>
      <c r="C160" s="1" t="s">
        <v>170</v>
      </c>
      <c r="D160" s="2" t="s">
        <v>101</v>
      </c>
      <c r="E160" s="2" t="s">
        <v>171</v>
      </c>
      <c r="G160" s="33">
        <v>1000</v>
      </c>
      <c r="H160" s="33">
        <v>91.75</v>
      </c>
      <c r="I160" s="33">
        <f t="shared" si="14"/>
        <v>908.25</v>
      </c>
      <c r="J160" s="4">
        <f>G160/VLOOKUP(A160,RESUME!$G$3:$I$10,3,FALSE)</f>
        <v>1.1319751744260545E-2</v>
      </c>
      <c r="K160" s="4">
        <f t="shared" si="15"/>
        <v>0.12337604080937922</v>
      </c>
      <c r="L160" s="1" t="str">
        <f>_xlfn.IFNA(VLOOKUP(A160&amp;"-"&amp;B160&amp;"-"&amp;D160,Ref_Account!$A:$F,6,FALSE),"ACCOUNT TIDAK DITEMUKAN")</f>
        <v>1206.920700</v>
      </c>
      <c r="N160" s="1">
        <f t="shared" si="16"/>
        <v>1</v>
      </c>
      <c r="O160" s="57" t="str">
        <f t="shared" si="17"/>
        <v>OK</v>
      </c>
    </row>
    <row r="161" spans="1:15" hidden="1" x14ac:dyDescent="0.25">
      <c r="A161" s="1" t="s">
        <v>159</v>
      </c>
      <c r="B161" s="56" t="s">
        <v>169</v>
      </c>
      <c r="C161" s="1" t="s">
        <v>170</v>
      </c>
      <c r="D161" s="2" t="s">
        <v>24</v>
      </c>
      <c r="E161" s="2" t="s">
        <v>171</v>
      </c>
      <c r="G161" s="33">
        <v>1000</v>
      </c>
      <c r="H161" s="33">
        <v>33.56</v>
      </c>
      <c r="I161" s="33">
        <f t="shared" si="14"/>
        <v>966.44</v>
      </c>
      <c r="J161" s="4">
        <f>G161/VLOOKUP(A161,RESUME!$G$3:$I$10,3,FALSE)</f>
        <v>1.1319751744260545E-2</v>
      </c>
      <c r="K161" s="4">
        <f t="shared" si="15"/>
        <v>0.33729891967403292</v>
      </c>
      <c r="L161" s="1" t="str">
        <f>_xlfn.IFNA(VLOOKUP(A161&amp;"-"&amp;B161&amp;"-"&amp;D161,Ref_Account!$A:$F,6,FALSE),"ACCOUNT TIDAK DITEMUKAN")</f>
        <v>1205.920700</v>
      </c>
      <c r="N161" s="1">
        <f t="shared" si="16"/>
        <v>1</v>
      </c>
      <c r="O161" s="57" t="str">
        <f t="shared" si="17"/>
        <v>OK</v>
      </c>
    </row>
    <row r="162" spans="1:15" hidden="1" x14ac:dyDescent="0.25">
      <c r="A162" s="1" t="s">
        <v>159</v>
      </c>
      <c r="B162" s="56" t="s">
        <v>169</v>
      </c>
      <c r="C162" s="1" t="s">
        <v>170</v>
      </c>
      <c r="D162" s="2" t="s">
        <v>15</v>
      </c>
      <c r="E162" s="2" t="s">
        <v>171</v>
      </c>
      <c r="G162" s="33">
        <v>1000</v>
      </c>
      <c r="H162" s="33">
        <v>527.22</v>
      </c>
      <c r="I162" s="33">
        <f t="shared" si="14"/>
        <v>472.78</v>
      </c>
      <c r="J162" s="4">
        <f>G162/VLOOKUP(A162,RESUME!$G$3:$I$10,3,FALSE)</f>
        <v>1.1319751744260545E-2</v>
      </c>
      <c r="K162" s="4">
        <f t="shared" si="15"/>
        <v>2.1470641751565846E-2</v>
      </c>
      <c r="L162" s="1" t="str">
        <f>_xlfn.IFNA(VLOOKUP(A162&amp;"-"&amp;B162&amp;"-"&amp;D162,Ref_Account!$A:$F,6,FALSE),"ACCOUNT TIDAK DITEMUKAN")</f>
        <v>1204.920700</v>
      </c>
      <c r="N162" s="1">
        <f t="shared" si="16"/>
        <v>1</v>
      </c>
      <c r="O162" s="57" t="str">
        <f t="shared" si="17"/>
        <v>OK</v>
      </c>
    </row>
    <row r="163" spans="1:15" hidden="1" x14ac:dyDescent="0.25">
      <c r="A163" s="1" t="s">
        <v>159</v>
      </c>
      <c r="B163" s="56" t="s">
        <v>146</v>
      </c>
      <c r="C163" s="1" t="s">
        <v>147</v>
      </c>
      <c r="D163" s="2" t="s">
        <v>13</v>
      </c>
      <c r="E163" s="2" t="s">
        <v>148</v>
      </c>
      <c r="G163" s="33">
        <v>45654.420000000006</v>
      </c>
      <c r="H163" s="33">
        <v>45027.69</v>
      </c>
      <c r="I163" s="33">
        <f t="shared" si="14"/>
        <v>626.7300000000032</v>
      </c>
      <c r="J163" s="4">
        <f>G163/VLOOKUP(A163,RESUME!$G$3:$I$10,3,FALSE)</f>
        <v>0.51679670042820358</v>
      </c>
      <c r="K163" s="4">
        <f t="shared" si="15"/>
        <v>0.52398987414107601</v>
      </c>
      <c r="L163" s="1" t="str">
        <f>_xlfn.IFNA(VLOOKUP(A163&amp;"-"&amp;B163&amp;"-"&amp;D163,Ref_Account!$A:$F,6,FALSE),"ACCOUNT TIDAK DITEMUKAN")</f>
        <v>1201.801110</v>
      </c>
      <c r="N163" s="1">
        <f t="shared" si="16"/>
        <v>1</v>
      </c>
      <c r="O163" s="57" t="str">
        <f t="shared" si="17"/>
        <v>OK</v>
      </c>
    </row>
    <row r="164" spans="1:15" hidden="1" x14ac:dyDescent="0.25">
      <c r="A164" s="1" t="s">
        <v>159</v>
      </c>
      <c r="B164" s="56" t="s">
        <v>146</v>
      </c>
      <c r="C164" s="1" t="s">
        <v>147</v>
      </c>
      <c r="D164" s="2" t="s">
        <v>15</v>
      </c>
      <c r="E164" s="2" t="s">
        <v>148</v>
      </c>
      <c r="G164" s="33">
        <v>6000</v>
      </c>
      <c r="H164" s="33">
        <v>5877.26</v>
      </c>
      <c r="I164" s="33">
        <f t="shared" si="14"/>
        <v>122.73999999999978</v>
      </c>
      <c r="J164" s="4">
        <f>G164/VLOOKUP(A164,RESUME!$G$3:$I$10,3,FALSE)</f>
        <v>6.791851046556327E-2</v>
      </c>
      <c r="K164" s="4">
        <f t="shared" si="15"/>
        <v>6.9336912573780912E-2</v>
      </c>
      <c r="L164" s="1" t="str">
        <f>_xlfn.IFNA(VLOOKUP(A164&amp;"-"&amp;B164&amp;"-"&amp;D164,Ref_Account!$A:$F,6,FALSE),"ACCOUNT TIDAK DITEMUKAN")</f>
        <v>1204.801110</v>
      </c>
      <c r="N164" s="1">
        <f t="shared" si="16"/>
        <v>1</v>
      </c>
      <c r="O164" s="57" t="str">
        <f t="shared" si="17"/>
        <v>OK</v>
      </c>
    </row>
  </sheetData>
  <autoFilter ref="A5:N164" xr:uid="{00000000-0001-0000-0000-000000000000}">
    <filterColumn colId="0">
      <filters>
        <filter val="Asep Ridwan Subiana"/>
        <filter val="Owi Wijaya"/>
      </filters>
    </filterColumn>
  </autoFilter>
  <hyperlinks>
    <hyperlink ref="B6" r:id="rId1" xr:uid="{EA0FA8A8-D002-4E8C-AF56-4B4C8ED8DBD3}"/>
    <hyperlink ref="B7" r:id="rId2" xr:uid="{79A0FAD9-50B0-43C3-A975-9E4C919AA73F}"/>
    <hyperlink ref="B8" r:id="rId3" xr:uid="{2467C5DC-DAC4-4A30-9456-B6CAD193698C}"/>
    <hyperlink ref="B9" r:id="rId4" xr:uid="{55859898-9560-4598-BC29-360038AA6627}"/>
    <hyperlink ref="B13" r:id="rId5" xr:uid="{0E2F9318-74BB-4000-A31D-C4B107ED6C26}"/>
    <hyperlink ref="B14" r:id="rId6" xr:uid="{97A936FB-97F3-482D-B8CA-66FB6B4D0A2A}"/>
    <hyperlink ref="B15" r:id="rId7" xr:uid="{BB11CE38-DE5B-4E0A-83E1-4138593F5E3D}"/>
    <hyperlink ref="B16" r:id="rId8" xr:uid="{34C54BD5-36A8-4B7F-A1B4-6092515A52C9}"/>
    <hyperlink ref="B17" r:id="rId9" xr:uid="{C493E335-533B-4565-B7D7-091A6531528A}"/>
    <hyperlink ref="B18" r:id="rId10" xr:uid="{965C9BE1-ECE9-4A8A-BD08-18A0E0E236DE}"/>
    <hyperlink ref="B19" r:id="rId11" xr:uid="{C423BE80-1CC2-4380-8368-B98555AC9E37}"/>
    <hyperlink ref="B41" r:id="rId12" xr:uid="{0B9F9024-C545-45A8-9D55-66D6F0D0C3B7}"/>
    <hyperlink ref="B42" r:id="rId13" xr:uid="{FB95D4D9-250B-4926-8187-1FD988B73650}"/>
    <hyperlink ref="B43" r:id="rId14" xr:uid="{4621E552-D055-44C8-8499-2C3A85259E71}"/>
    <hyperlink ref="B44" r:id="rId15" xr:uid="{4018EA43-2E84-4CFC-A233-07EC204DCE18}"/>
    <hyperlink ref="B45" r:id="rId16" xr:uid="{D2BF7A15-8218-4B98-9869-38A492287EA1}"/>
    <hyperlink ref="B46" r:id="rId17" xr:uid="{FD8143C5-B85A-4AE5-A68D-D8A5BAE3ABD6}"/>
    <hyperlink ref="B47" r:id="rId18" xr:uid="{3B48F412-4831-40B3-ADE9-E61E6D1A82E5}"/>
    <hyperlink ref="B50" r:id="rId19" xr:uid="{2F004CBB-E3CB-4696-A822-C95A0DD768D5}"/>
    <hyperlink ref="B51" r:id="rId20" xr:uid="{E466D24D-D5F7-48FE-994A-6C3B55D695C1}"/>
    <hyperlink ref="B52" r:id="rId21" xr:uid="{38F4CA03-E31B-411B-8E0E-32D8F6703420}"/>
    <hyperlink ref="B53" r:id="rId22" xr:uid="{AD7E5C43-6EC5-4D9A-AF32-D80303E663AA}"/>
    <hyperlink ref="B54" r:id="rId23" xr:uid="{0CEFC165-B449-437E-B113-1B8C39C7C04B}"/>
    <hyperlink ref="B55" r:id="rId24" xr:uid="{8C423ED7-992E-4B2E-A129-7449646C5DC3}"/>
    <hyperlink ref="B56" r:id="rId25" xr:uid="{D2677937-A943-49CC-BCA2-95699CFEA66A}"/>
    <hyperlink ref="B57" r:id="rId26" xr:uid="{2C6AD592-109A-4690-ABBC-C707813B46DB}"/>
    <hyperlink ref="B58" r:id="rId27" xr:uid="{8EBBF073-463B-40B1-A30D-C712964CB7EA}"/>
    <hyperlink ref="B59" r:id="rId28" xr:uid="{7C1FC831-6D7E-463D-988F-8EC11220274A}"/>
    <hyperlink ref="B60" r:id="rId29" xr:uid="{075EB24C-A8F4-4D63-9C2E-485EFE9033A3}"/>
    <hyperlink ref="B61" r:id="rId30" xr:uid="{AC151439-6366-4CA2-B34C-BB7E9FE1C24A}"/>
    <hyperlink ref="B62" r:id="rId31" xr:uid="{BCFDF7EF-E6A3-4747-A26A-1B7C8388D539}"/>
    <hyperlink ref="B63" r:id="rId32" xr:uid="{712BB4BD-258B-4822-A9C5-C506680274BB}"/>
    <hyperlink ref="B64" r:id="rId33" xr:uid="{01A882A4-44FF-4101-B1F0-E252836FE8E2}"/>
    <hyperlink ref="B65" r:id="rId34" xr:uid="{E20CA9C6-A289-4405-BE16-2B97B33C2248}"/>
    <hyperlink ref="B66" r:id="rId35" xr:uid="{5501EDD9-43E4-4947-88CF-A0E1684ADC62}"/>
    <hyperlink ref="B67" r:id="rId36" xr:uid="{0C5D95EC-9D69-40B3-B34A-E412FC78CA8E}"/>
    <hyperlink ref="B68" r:id="rId37" xr:uid="{A3E596C9-BDF1-402D-8786-37D40E1F3B25}"/>
    <hyperlink ref="B69" r:id="rId38" xr:uid="{B5803CED-DD2A-478C-B23A-F6162A84FE35}"/>
    <hyperlink ref="B70" r:id="rId39" xr:uid="{2F78C882-8171-493E-9A75-D4C0476018BE}"/>
    <hyperlink ref="B71" r:id="rId40" xr:uid="{E8277142-5684-4BC2-816F-AB7BB0662830}"/>
    <hyperlink ref="B72" r:id="rId41" xr:uid="{41CC3D55-7906-412E-8E11-74A163D1013A}"/>
    <hyperlink ref="B73" r:id="rId42" xr:uid="{984595B2-144E-4F9F-B5DF-2DE82FBF750D}"/>
    <hyperlink ref="B74" r:id="rId43" xr:uid="{2A647F4E-BFD2-4DF8-81C8-4FE0B609E21C}"/>
    <hyperlink ref="B75" r:id="rId44" xr:uid="{22DA9CE8-A0FB-4A12-8222-638EFCCDCE30}"/>
    <hyperlink ref="B76" r:id="rId45" xr:uid="{367A3EA1-7743-4277-9FAA-F57AE4741FD6}"/>
    <hyperlink ref="B77" r:id="rId46" xr:uid="{446B7F36-98E5-4D10-84BD-901A0AACF6A7}"/>
    <hyperlink ref="B78" r:id="rId47" xr:uid="{5C6E28F1-1ACB-4688-B6A4-38F6DA047E2E}"/>
    <hyperlink ref="B79" r:id="rId48" xr:uid="{8C58903A-D776-4F2A-9312-6FF80A969218}"/>
    <hyperlink ref="B80" r:id="rId49" xr:uid="{38EC6AE3-9BDD-432E-B633-4BD291AF31D7}"/>
    <hyperlink ref="B81" r:id="rId50" xr:uid="{8AB127B1-011D-4A9C-8D39-2C946D4DAE03}"/>
    <hyperlink ref="B82" r:id="rId51" xr:uid="{B8FF8C74-4E3B-49D3-8A11-85B86347A888}"/>
    <hyperlink ref="B83" r:id="rId52" xr:uid="{15DD3994-1779-4B79-98A4-BF51020C7AE7}"/>
    <hyperlink ref="B84" r:id="rId53" xr:uid="{3DE10691-C00B-4481-84B0-2FF00F902FFF}"/>
    <hyperlink ref="B85" r:id="rId54" xr:uid="{B4FB2A95-C1FA-49C5-A59C-41EDCE1ECC15}"/>
    <hyperlink ref="B86" r:id="rId55" xr:uid="{789A709C-E36B-48E4-8EAE-3A4261B08BF6}"/>
    <hyperlink ref="B87" r:id="rId56" xr:uid="{DB773239-A707-4722-BB73-25642CB240FF}"/>
    <hyperlink ref="B88" r:id="rId57" xr:uid="{44C3CEC4-D913-4501-8D9A-A13A9C756B30}"/>
    <hyperlink ref="B89" r:id="rId58" xr:uid="{9D7F6CFE-8FE2-4545-9C2B-02311A1BE39C}"/>
    <hyperlink ref="B90" r:id="rId59" xr:uid="{2C50A37F-A9C7-4997-9DB6-669A902AB614}"/>
    <hyperlink ref="B91" r:id="rId60" xr:uid="{CE0885CF-6122-4CBB-A425-7B40DB159CA4}"/>
    <hyperlink ref="B96" r:id="rId61" xr:uid="{2C5F3BBF-10DA-43EB-9658-C910BFF50E8D}"/>
    <hyperlink ref="B97" r:id="rId62" xr:uid="{60F5A6A6-BAB3-434B-A331-6C6775F189B1}"/>
    <hyperlink ref="B98" r:id="rId63" xr:uid="{0C0B448E-043F-4694-8F9C-8D525122ADE9}"/>
    <hyperlink ref="B99" r:id="rId64" xr:uid="{8A53896B-243D-41A4-B0F1-115C2DEF04AD}"/>
    <hyperlink ref="B100" r:id="rId65" xr:uid="{4DC812BD-F1C8-4162-8332-F10BB84BDA95}"/>
    <hyperlink ref="B101" r:id="rId66" xr:uid="{D39F480A-251A-4BCD-954C-3B6A86E1AB7F}"/>
    <hyperlink ref="B102" r:id="rId67" xr:uid="{049D347C-3AAB-4087-B8BF-CAFC21CBDEB5}"/>
    <hyperlink ref="B103" r:id="rId68" xr:uid="{E9B11607-4455-4DA7-A625-4271FC8B980D}"/>
    <hyperlink ref="B104" r:id="rId69" xr:uid="{26AC9773-6F9F-4B93-98A7-9852447826DA}"/>
    <hyperlink ref="B105" r:id="rId70" xr:uid="{51A096F2-0338-41DC-AAE6-538D04CDCF3F}"/>
    <hyperlink ref="B106" r:id="rId71" xr:uid="{A0961D8B-2A33-49ED-B4FA-702025CBCB5B}"/>
    <hyperlink ref="B107" r:id="rId72" xr:uid="{D346C26B-5343-455F-B5E7-C362A092EB70}"/>
    <hyperlink ref="B108" r:id="rId73" xr:uid="{7433B892-2E12-4CF9-9C63-8B65C99338D8}"/>
    <hyperlink ref="B109" r:id="rId74" xr:uid="{8C054F41-BDB6-4535-97C5-AD879527A55D}"/>
    <hyperlink ref="B110" r:id="rId75" xr:uid="{76ADDDD3-F9E5-4F4F-8B3B-3D72DC83CB4A}"/>
    <hyperlink ref="B111" r:id="rId76" xr:uid="{835680F3-03AA-4126-A49B-3B1F93B9111D}"/>
    <hyperlink ref="B112" r:id="rId77" xr:uid="{B2FE0907-5CC8-419B-8C83-5072196F9454}"/>
    <hyperlink ref="B113" r:id="rId78" xr:uid="{6F493E09-AA36-4C94-BF44-4EE5B01E3677}"/>
    <hyperlink ref="B114" r:id="rId79" xr:uid="{10FD5193-C46F-409E-8376-DC2CB9699186}"/>
    <hyperlink ref="B115" r:id="rId80" xr:uid="{FD4BB6DC-F3B5-4C46-BF55-573588AC5356}"/>
    <hyperlink ref="B116" r:id="rId81" xr:uid="{551D8215-C619-4AA1-BE1A-F41C650DAA5F}"/>
    <hyperlink ref="B117" r:id="rId82" xr:uid="{8EE429BD-C04F-4039-9763-266B8D36ACF5}"/>
    <hyperlink ref="B118" r:id="rId83" xr:uid="{F1369C1F-0D94-411D-AC06-98229E7FDF45}"/>
    <hyperlink ref="B119" r:id="rId84" xr:uid="{1FBB4331-8092-4B53-9304-F4BE0882C7C5}"/>
    <hyperlink ref="B120" r:id="rId85" xr:uid="{159232B7-3902-4F14-B9F3-ACA5B7CDAB6D}"/>
    <hyperlink ref="B121" r:id="rId86" xr:uid="{3C82385B-1FD4-483B-8F87-140F576156F5}"/>
    <hyperlink ref="B122" r:id="rId87" xr:uid="{1E510A8E-A587-4C9D-BD66-ABB3EE7A50B9}"/>
    <hyperlink ref="B123" r:id="rId88" xr:uid="{9240DE27-9638-4CFE-8579-878DFB5DF4B9}"/>
    <hyperlink ref="B125" r:id="rId89" xr:uid="{597708C6-0789-4A1D-8457-17769DA7185C}"/>
    <hyperlink ref="B126" r:id="rId90" xr:uid="{A45F65A0-A5B4-4968-8461-C18E61A2B9A4}"/>
    <hyperlink ref="B127" r:id="rId91" xr:uid="{D860B3AD-8691-424D-ABE2-5F5EB91987C0}"/>
    <hyperlink ref="B128" r:id="rId92" xr:uid="{8ABD8683-600C-433A-934E-9B77340D3252}"/>
    <hyperlink ref="B129" r:id="rId93" xr:uid="{03D36680-937A-4A62-8E18-3B5BF21E0380}"/>
    <hyperlink ref="B130" r:id="rId94" xr:uid="{30B4DA26-2489-4CD8-BAF3-12DFCB01160C}"/>
    <hyperlink ref="B131" r:id="rId95" xr:uid="{5DF12053-08E2-485C-A9E9-1C387208F84F}"/>
    <hyperlink ref="B132" r:id="rId96" xr:uid="{1FA4A58D-27DF-4188-B3B2-A845995A178B}"/>
    <hyperlink ref="B133" r:id="rId97" xr:uid="{1D8072F5-D633-43A2-91D3-9D5A6B0EB7A8}"/>
    <hyperlink ref="B134" r:id="rId98" xr:uid="{02E41B65-66F9-4CDD-827D-BD23372554B9}"/>
    <hyperlink ref="B135" r:id="rId99" xr:uid="{D5680E13-365F-444F-B7D1-359ECD98EDA9}"/>
    <hyperlink ref="B136" r:id="rId100" xr:uid="{89036911-4633-4E2F-8FE5-6D8D408F8086}"/>
    <hyperlink ref="B137" r:id="rId101" xr:uid="{2CCA2D16-D225-4F1A-A8C9-86F4C9E63499}"/>
    <hyperlink ref="B138" r:id="rId102" xr:uid="{C8651A61-AD1C-4400-AD85-6CC6F33D4E10}"/>
    <hyperlink ref="B139" r:id="rId103" xr:uid="{31AA70E5-69F7-45EF-86BE-8B179D8D0024}"/>
    <hyperlink ref="B140" r:id="rId104" xr:uid="{9D755762-6DE1-444D-9E7B-A8B4E7624893}"/>
    <hyperlink ref="B141" r:id="rId105" xr:uid="{48A955BD-D2B5-4AE3-9C7C-5F503FBBD62E}"/>
    <hyperlink ref="B143" r:id="rId106" xr:uid="{B6B512F9-5E21-41EF-8EF0-D689F57D838F}"/>
    <hyperlink ref="B144" r:id="rId107" xr:uid="{319DB9E2-205F-4FDD-AA76-0AC1F877AD77}"/>
    <hyperlink ref="B145" r:id="rId108" xr:uid="{31442084-7274-4F52-9AB0-98ECEEA5398D}"/>
    <hyperlink ref="B146" r:id="rId109" xr:uid="{554F63DE-9851-41C4-BD57-CCEF42BDFEAA}"/>
    <hyperlink ref="B147" r:id="rId110" xr:uid="{9DE15782-3770-45D7-B884-BFD0A68981FA}"/>
    <hyperlink ref="B148" r:id="rId111" xr:uid="{6F9CEE6F-D548-4AAE-A613-6BF027F8FFED}"/>
    <hyperlink ref="B149" r:id="rId112" xr:uid="{047EBF9E-6E16-4BC2-A599-43562BA7B27A}"/>
    <hyperlink ref="B150" r:id="rId113" xr:uid="{7A34EC6C-5503-421D-965E-FEEF48F6029C}"/>
    <hyperlink ref="B151" r:id="rId114" xr:uid="{D92513FE-522E-4491-9C4C-EE42B2693BC5}"/>
    <hyperlink ref="B152" r:id="rId115" xr:uid="{FE4B80EF-0878-4547-9DA1-1625C788F86A}"/>
    <hyperlink ref="B153" r:id="rId116" xr:uid="{53A4B87C-D7FD-4261-9CA9-10A430B60DC7}"/>
    <hyperlink ref="B154" r:id="rId117" xr:uid="{FB42141F-3A8B-4D53-994A-750B18105EC2}"/>
    <hyperlink ref="B155" r:id="rId118" xr:uid="{4E52D40C-1DDC-4EDD-96C1-EC2357657D03}"/>
    <hyperlink ref="B156" r:id="rId119" xr:uid="{4737B94C-3371-4CA5-86BC-58D134DE00BF}"/>
    <hyperlink ref="B157" r:id="rId120" xr:uid="{10C0A769-B262-4924-A459-FDC2D6297E0B}"/>
    <hyperlink ref="B158" r:id="rId121" xr:uid="{B2D1BC4F-500D-4692-A5AB-F59C45038B51}"/>
    <hyperlink ref="B159" r:id="rId122" xr:uid="{4CB5AAF9-B4B8-4199-9E1F-F10E454DE994}"/>
    <hyperlink ref="B160" r:id="rId123" xr:uid="{63829565-D706-44B8-8EE0-0C75603BC45F}"/>
    <hyperlink ref="B161" r:id="rId124" xr:uid="{FF20993C-B86D-4BE6-923C-39A85D2018D5}"/>
    <hyperlink ref="B162" r:id="rId125" xr:uid="{CDCFD4AF-B19C-48BA-BB8A-CE007DA39F6D}"/>
    <hyperlink ref="B163" r:id="rId126" xr:uid="{6C69C24A-5C46-41D4-BFA7-80BC6108365E}"/>
    <hyperlink ref="B164" r:id="rId127" xr:uid="{43A2FF3F-D458-4C9B-9165-AA59C432DDF7}"/>
  </hyperlinks>
  <pageMargins left="0.7" right="0.7" top="0.75" bottom="0.75" header="0.3" footer="0.3"/>
  <pageSetup paperSize="9" orientation="portrait" r:id="rId12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K4" sqref="K4"/>
    </sheetView>
  </sheetViews>
  <sheetFormatPr defaultRowHeight="15" x14ac:dyDescent="0.25"/>
  <cols>
    <col min="1" max="1" width="20.140625" bestFit="1" customWidth="1"/>
    <col min="2" max="2" width="8.28515625" style="20" bestFit="1" customWidth="1"/>
    <col min="3" max="3" width="15.85546875" style="22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24" bestFit="1" customWidth="1"/>
    <col min="9" max="9" width="15.85546875" style="22" bestFit="1" customWidth="1"/>
    <col min="10" max="10" width="15.5703125" style="22" bestFit="1" customWidth="1"/>
    <col min="11" max="11" width="14.140625" style="22" bestFit="1" customWidth="1"/>
    <col min="12" max="12" width="9.5703125" bestFit="1" customWidth="1"/>
  </cols>
  <sheetData>
    <row r="1" spans="1:12" x14ac:dyDescent="0.25">
      <c r="A1" s="50" t="s">
        <v>332</v>
      </c>
      <c r="B1" s="52"/>
      <c r="C1" s="51"/>
      <c r="G1" s="53" t="s">
        <v>331</v>
      </c>
      <c r="H1" s="54"/>
      <c r="I1" s="54"/>
      <c r="J1" s="54"/>
      <c r="K1" s="54"/>
    </row>
    <row r="2" spans="1:12" x14ac:dyDescent="0.25">
      <c r="A2" s="14" t="s">
        <v>0</v>
      </c>
      <c r="B2" s="21" t="s">
        <v>328</v>
      </c>
      <c r="C2" s="23" t="s">
        <v>172</v>
      </c>
      <c r="G2" s="14" t="s">
        <v>327</v>
      </c>
      <c r="H2" s="21" t="s">
        <v>328</v>
      </c>
      <c r="I2" s="23" t="s">
        <v>172</v>
      </c>
      <c r="J2" s="23" t="s">
        <v>338</v>
      </c>
      <c r="K2" s="23" t="s">
        <v>339</v>
      </c>
    </row>
    <row r="3" spans="1:12" x14ac:dyDescent="0.25">
      <c r="A3" t="s">
        <v>10</v>
      </c>
      <c r="B3" s="20">
        <v>8.1590977598792011E-2</v>
      </c>
      <c r="C3" s="22">
        <v>67897.759999999995</v>
      </c>
      <c r="G3" t="s">
        <v>10</v>
      </c>
      <c r="H3" s="26">
        <f t="shared" ref="H3:H10" si="0">I3/$I$11</f>
        <v>8.1590977598792011E-2</v>
      </c>
      <c r="I3" s="22">
        <f>SUMIF('All Costing'!$A$6:$A$1048576,RESUME!G3,'All Costing'!$G$6:$H$1048576)</f>
        <v>67897.759999999995</v>
      </c>
      <c r="J3" s="22">
        <f>SUMIF('All Costing'!$A$6:$A$1048576,RESUME!G3,'All Costing'!$H$6:$H$1048576)</f>
        <v>32044.469999999998</v>
      </c>
      <c r="K3" s="22">
        <f t="shared" ref="K3:K10" si="1">I3-J3</f>
        <v>35853.289999999994</v>
      </c>
    </row>
    <row r="4" spans="1:12" x14ac:dyDescent="0.25">
      <c r="A4" t="s">
        <v>36</v>
      </c>
      <c r="B4" s="20">
        <v>0.27755070800026532</v>
      </c>
      <c r="C4" s="22">
        <v>230970.03999999998</v>
      </c>
      <c r="G4" t="s">
        <v>36</v>
      </c>
      <c r="H4" s="26">
        <f t="shared" si="0"/>
        <v>0.27755070800026532</v>
      </c>
      <c r="I4" s="22">
        <f>SUMIF('All Costing'!$A$6:$A$1048576,RESUME!G4,'All Costing'!$G$6:$H$1048576)</f>
        <v>230970.03999999998</v>
      </c>
      <c r="J4" s="22">
        <f>SUMIF('All Costing'!$A$6:$A$1048576,RESUME!G4,'All Costing'!$H$6:$H$1048576)</f>
        <v>0</v>
      </c>
      <c r="K4" s="22">
        <f t="shared" si="1"/>
        <v>230970.03999999998</v>
      </c>
    </row>
    <row r="5" spans="1:12" x14ac:dyDescent="0.25">
      <c r="A5" t="s">
        <v>329</v>
      </c>
      <c r="B5" s="20">
        <v>1.0214229594462793E-2</v>
      </c>
      <c r="C5" s="22">
        <v>8500</v>
      </c>
      <c r="G5" t="s">
        <v>44</v>
      </c>
      <c r="H5" s="26">
        <f t="shared" si="0"/>
        <v>1.0214229594462793E-2</v>
      </c>
      <c r="I5" s="22">
        <f>SUMIF('All Costing'!$A$6:$A$1048576,RESUME!G5,'All Costing'!$G$6:$H$1048576)</f>
        <v>8500</v>
      </c>
      <c r="J5" s="22">
        <f>SUMIF('All Costing'!$A$6:$A$1048576,RESUME!G5,'All Costing'!$H$6:$H$1048576)</f>
        <v>0</v>
      </c>
      <c r="K5" s="22">
        <f t="shared" si="1"/>
        <v>8500</v>
      </c>
    </row>
    <row r="6" spans="1:12" x14ac:dyDescent="0.25">
      <c r="A6" t="s">
        <v>329</v>
      </c>
      <c r="B6" s="20">
        <v>1.2016740699367992E-3</v>
      </c>
      <c r="C6" s="22">
        <v>1000</v>
      </c>
      <c r="G6" t="s">
        <v>316</v>
      </c>
      <c r="H6" s="26">
        <f t="shared" si="0"/>
        <v>1.2016740699367992E-3</v>
      </c>
      <c r="I6" s="22">
        <f>SUMIF('All Costing'!$A$6:$A$1048576,RESUME!G6,'All Costing'!$G$6:$H$1048576)</f>
        <v>1000</v>
      </c>
      <c r="J6" s="22">
        <f>SUMIF('All Costing'!$A$6:$A$1048576,RESUME!G6,'All Costing'!$H$6:$H$1048576)</f>
        <v>0</v>
      </c>
      <c r="K6" s="22">
        <f t="shared" si="1"/>
        <v>1000</v>
      </c>
    </row>
    <row r="7" spans="1:12" x14ac:dyDescent="0.25">
      <c r="A7" t="s">
        <v>67</v>
      </c>
      <c r="B7" s="20">
        <v>0.1047205357286401</v>
      </c>
      <c r="C7" s="22">
        <v>87145.539999999964</v>
      </c>
      <c r="G7" t="s">
        <v>67</v>
      </c>
      <c r="H7" s="26">
        <f t="shared" si="0"/>
        <v>0.1047205357286401</v>
      </c>
      <c r="I7" s="22">
        <f>SUMIF('All Costing'!$A$6:$A$1048576,RESUME!G7,'All Costing'!$G$6:$H$1048576)</f>
        <v>87145.539999999964</v>
      </c>
      <c r="J7" s="22">
        <f>SUMIF('All Costing'!$A$6:$A$1048576,RESUME!G7,'All Costing'!$H$6:$H$1048576)</f>
        <v>81442.439999999973</v>
      </c>
      <c r="K7" s="22">
        <f t="shared" si="1"/>
        <v>5703.0999999999913</v>
      </c>
    </row>
    <row r="8" spans="1:12" x14ac:dyDescent="0.25">
      <c r="A8" t="s">
        <v>141</v>
      </c>
      <c r="B8" s="20">
        <v>0.12076439185780972</v>
      </c>
      <c r="C8" s="22">
        <v>100496.79432973135</v>
      </c>
      <c r="G8" t="s">
        <v>141</v>
      </c>
      <c r="H8" s="26">
        <f t="shared" si="0"/>
        <v>0.12076439185780972</v>
      </c>
      <c r="I8" s="22">
        <f>SUMIF('All Costing'!$A$6:$A$1048576,RESUME!G8,'All Costing'!$G$6:$H$1048576)</f>
        <v>100496.79432973135</v>
      </c>
      <c r="J8" s="22">
        <f>SUMIF('All Costing'!$A$6:$A$1048576,RESUME!G8,'All Costing'!$H$6:$H$1048576)</f>
        <v>67970.34</v>
      </c>
      <c r="K8" s="22">
        <f t="shared" si="1"/>
        <v>32526.45432973135</v>
      </c>
    </row>
    <row r="9" spans="1:12" x14ac:dyDescent="0.25">
      <c r="A9" t="s">
        <v>173</v>
      </c>
      <c r="B9" s="20">
        <v>0.14255002855513671</v>
      </c>
      <c r="C9" s="22">
        <v>118626.19999999998</v>
      </c>
      <c r="G9" t="s">
        <v>330</v>
      </c>
      <c r="H9" s="26">
        <f t="shared" si="0"/>
        <v>0.29780020186995526</v>
      </c>
      <c r="I9" s="22">
        <f>SUMIF('All Costing'!$A$6:$A$1048576,RESUME!G9,'All Costing'!$G$6:$H$1048576)</f>
        <v>247821.11000000002</v>
      </c>
      <c r="J9" s="22">
        <f>SUMIF('All Costing'!$A$6:$A$1048576,RESUME!G9,'All Costing'!$H$6:$H$1048576)</f>
        <v>254525.8</v>
      </c>
      <c r="K9" s="22">
        <f t="shared" si="1"/>
        <v>-6704.6899999999732</v>
      </c>
      <c r="L9" s="29"/>
    </row>
    <row r="10" spans="1:12" x14ac:dyDescent="0.25">
      <c r="A10" t="s">
        <v>157</v>
      </c>
      <c r="B10" s="20">
        <v>0.1552501733148185</v>
      </c>
      <c r="C10" s="22">
        <v>129194.91000000002</v>
      </c>
      <c r="G10" t="s">
        <v>159</v>
      </c>
      <c r="H10" s="26">
        <f t="shared" si="0"/>
        <v>0.10615728128013797</v>
      </c>
      <c r="I10" s="22">
        <f>SUMIF('All Costing'!$A$6:$A$1048576,RESUME!G10,'All Costing'!$G$6:$H$1048576)</f>
        <v>88341.16</v>
      </c>
      <c r="J10" s="22">
        <f>SUMIF('All Costing'!$A$6:$A$1048576,RESUME!G10,'All Costing'!$H$6:$H$1048576)</f>
        <v>84615.559999999983</v>
      </c>
      <c r="K10" s="22">
        <f t="shared" si="1"/>
        <v>3725.6000000000204</v>
      </c>
    </row>
    <row r="11" spans="1:12" x14ac:dyDescent="0.25">
      <c r="A11" t="s">
        <v>330</v>
      </c>
      <c r="B11" s="20">
        <v>0.29780020186995526</v>
      </c>
      <c r="C11" s="22">
        <v>247821.11000000002</v>
      </c>
      <c r="G11" s="50" t="s">
        <v>35</v>
      </c>
      <c r="H11" s="51"/>
      <c r="I11" s="23">
        <f>SUM(I3:I10)</f>
        <v>832172.40432973136</v>
      </c>
      <c r="J11" s="23">
        <f>SUM(J3:J10)</f>
        <v>520598.60999999993</v>
      </c>
      <c r="K11" s="23"/>
    </row>
    <row r="12" spans="1:12" x14ac:dyDescent="0.25">
      <c r="A12" t="s">
        <v>159</v>
      </c>
      <c r="B12" s="20">
        <v>0.10615728128013797</v>
      </c>
      <c r="C12" s="22">
        <v>88341.16</v>
      </c>
      <c r="H12"/>
      <c r="I12"/>
      <c r="J12"/>
      <c r="K12"/>
    </row>
    <row r="13" spans="1:12" x14ac:dyDescent="0.25">
      <c r="A13" s="50" t="s">
        <v>35</v>
      </c>
      <c r="B13" s="51"/>
      <c r="C13" s="23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J15"/>
  <sheetViews>
    <sheetView tabSelected="1" workbookViewId="0">
      <selection activeCell="G12" sqref="G12"/>
    </sheetView>
  </sheetViews>
  <sheetFormatPr defaultRowHeight="15" x14ac:dyDescent="0.25"/>
  <cols>
    <col min="2" max="2" width="30.85546875" bestFit="1" customWidth="1"/>
    <col min="3" max="3" width="24.5703125" bestFit="1" customWidth="1"/>
  </cols>
  <sheetData>
    <row r="2" spans="2:10" x14ac:dyDescent="0.25">
      <c r="B2" t="s">
        <v>212</v>
      </c>
      <c r="C2" t="s">
        <v>48</v>
      </c>
    </row>
    <row r="3" spans="2:10" x14ac:dyDescent="0.25">
      <c r="B3" t="s">
        <v>211</v>
      </c>
      <c r="C3" t="s">
        <v>50</v>
      </c>
    </row>
    <row r="7" spans="2:10" x14ac:dyDescent="0.25">
      <c r="B7" t="s">
        <v>344</v>
      </c>
    </row>
    <row r="8" spans="2:10" x14ac:dyDescent="0.25">
      <c r="B8" s="59" t="s">
        <v>185</v>
      </c>
    </row>
    <row r="9" spans="2:10" x14ac:dyDescent="0.25">
      <c r="B9" t="s">
        <v>67</v>
      </c>
      <c r="C9" t="s">
        <v>21</v>
      </c>
      <c r="D9" t="s">
        <v>140</v>
      </c>
      <c r="E9" t="s">
        <v>13</v>
      </c>
      <c r="J9" t="s">
        <v>341</v>
      </c>
    </row>
    <row r="10" spans="2:10" x14ac:dyDescent="0.25">
      <c r="B10" t="s">
        <v>67</v>
      </c>
      <c r="C10" t="s">
        <v>21</v>
      </c>
      <c r="D10" t="s">
        <v>123</v>
      </c>
      <c r="E10" t="s">
        <v>13</v>
      </c>
      <c r="J10" t="s">
        <v>342</v>
      </c>
    </row>
    <row r="11" spans="2:10" x14ac:dyDescent="0.25">
      <c r="B11" t="s">
        <v>24</v>
      </c>
      <c r="J11" t="s">
        <v>345</v>
      </c>
    </row>
    <row r="12" spans="2:10" x14ac:dyDescent="0.25">
      <c r="B12" t="s">
        <v>15</v>
      </c>
      <c r="J12" t="s">
        <v>345</v>
      </c>
    </row>
    <row r="15" spans="2:10" x14ac:dyDescent="0.25">
      <c r="B15" t="s">
        <v>343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zoomScale="85" zoomScaleNormal="85" workbookViewId="0">
      <selection activeCell="B141" sqref="B141"/>
    </sheetView>
  </sheetViews>
  <sheetFormatPr defaultRowHeight="15" x14ac:dyDescent="0.2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10" t="s">
        <v>333</v>
      </c>
      <c r="B1" s="10" t="s">
        <v>174</v>
      </c>
      <c r="C1" s="10" t="s">
        <v>1</v>
      </c>
      <c r="D1" s="10" t="s">
        <v>3</v>
      </c>
      <c r="E1" s="10" t="s">
        <v>194</v>
      </c>
      <c r="F1" s="1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326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213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216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217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317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218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219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220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221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219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220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221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222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222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222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222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215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223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223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223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223</v>
      </c>
    </row>
    <row r="31" spans="1:6" x14ac:dyDescent="0.25">
      <c r="A31" t="str">
        <f t="shared" si="0"/>
        <v>Fungfung-FABRIC TESTED CHARGES-CLN</v>
      </c>
      <c r="B31" t="s">
        <v>316</v>
      </c>
      <c r="C31" t="s">
        <v>46</v>
      </c>
      <c r="D31" t="s">
        <v>13</v>
      </c>
      <c r="E31">
        <f t="shared" si="1"/>
        <v>1201</v>
      </c>
      <c r="F31" t="s">
        <v>222</v>
      </c>
    </row>
    <row r="32" spans="1:6" x14ac:dyDescent="0.25">
      <c r="A32" t="str">
        <f t="shared" si="0"/>
        <v>Fungfung-SALES COMMISSION-CLN</v>
      </c>
      <c r="B32" t="s">
        <v>316</v>
      </c>
      <c r="C32" t="s">
        <v>56</v>
      </c>
      <c r="D32" t="s">
        <v>13</v>
      </c>
      <c r="E32">
        <f t="shared" si="1"/>
        <v>1201</v>
      </c>
      <c r="F32" t="s">
        <v>215</v>
      </c>
    </row>
    <row r="33" spans="1:6" x14ac:dyDescent="0.25">
      <c r="A33" t="str">
        <f t="shared" si="0"/>
        <v>Fungfung-SAMPLE EXPENSES-CLN</v>
      </c>
      <c r="B33" t="s">
        <v>316</v>
      </c>
      <c r="C33" t="s">
        <v>59</v>
      </c>
      <c r="D33" t="s">
        <v>13</v>
      </c>
      <c r="E33">
        <f t="shared" si="1"/>
        <v>1201</v>
      </c>
      <c r="F33" t="s">
        <v>223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316</v>
      </c>
      <c r="C34" t="s">
        <v>59</v>
      </c>
      <c r="D34" t="s">
        <v>13</v>
      </c>
      <c r="E34">
        <f t="shared" si="1"/>
        <v>1201</v>
      </c>
      <c r="F34" t="s">
        <v>223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224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225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226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227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228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229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229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230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231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232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233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234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235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236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237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238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239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240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241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242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243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244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245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318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246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247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248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249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250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251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252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253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254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255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256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257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258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259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260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261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262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263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264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265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266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267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268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269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270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271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272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273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274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330</v>
      </c>
      <c r="C112" t="s">
        <v>78</v>
      </c>
      <c r="D112" t="s">
        <v>24</v>
      </c>
      <c r="E112">
        <f t="shared" si="4"/>
        <v>1205</v>
      </c>
      <c r="F112" t="s">
        <v>275</v>
      </c>
    </row>
    <row r="113" spans="1:6" x14ac:dyDescent="0.25">
      <c r="A113" t="str">
        <f t="shared" si="5"/>
        <v>Tony Teja-JAMSOSTEK-MAJA-1</v>
      </c>
      <c r="B113" t="s">
        <v>330</v>
      </c>
      <c r="C113" t="s">
        <v>93</v>
      </c>
      <c r="D113" t="s">
        <v>24</v>
      </c>
      <c r="E113">
        <f t="shared" si="4"/>
        <v>1205</v>
      </c>
      <c r="F113" t="s">
        <v>276</v>
      </c>
    </row>
    <row r="114" spans="1:6" x14ac:dyDescent="0.25">
      <c r="A114" t="str">
        <f t="shared" si="5"/>
        <v>Tony Teja-MAINT.&amp;REP.BUILDING-MAJA-1</v>
      </c>
      <c r="B114" t="s">
        <v>330</v>
      </c>
      <c r="C114" t="s">
        <v>102</v>
      </c>
      <c r="D114" t="s">
        <v>24</v>
      </c>
      <c r="E114">
        <f t="shared" si="4"/>
        <v>1205</v>
      </c>
      <c r="F114" t="s">
        <v>277</v>
      </c>
    </row>
    <row r="115" spans="1:6" x14ac:dyDescent="0.25">
      <c r="A115" t="str">
        <f t="shared" si="5"/>
        <v>Tony Teja-MAINT.&amp;REP.WATERINSTL.-MAJA-1</v>
      </c>
      <c r="B115" t="s">
        <v>330</v>
      </c>
      <c r="C115" t="s">
        <v>114</v>
      </c>
      <c r="D115" t="s">
        <v>24</v>
      </c>
      <c r="E115">
        <f t="shared" si="4"/>
        <v>1205</v>
      </c>
      <c r="F115" t="s">
        <v>278</v>
      </c>
    </row>
    <row r="116" spans="1:6" x14ac:dyDescent="0.25">
      <c r="A116" t="str">
        <f t="shared" si="5"/>
        <v>Tony Teja-MEDICAL ALLOWANCE-MAJA-1</v>
      </c>
      <c r="B116" t="s">
        <v>330</v>
      </c>
      <c r="C116" t="s">
        <v>118</v>
      </c>
      <c r="D116" t="s">
        <v>24</v>
      </c>
      <c r="E116">
        <f t="shared" si="4"/>
        <v>1205</v>
      </c>
      <c r="F116" t="s">
        <v>279</v>
      </c>
    </row>
    <row r="117" spans="1:6" x14ac:dyDescent="0.25">
      <c r="A117" t="str">
        <f t="shared" si="5"/>
        <v>Tony Teja-RENT EXPENSES BUILDING-MAJA-1</v>
      </c>
      <c r="B117" t="s">
        <v>330</v>
      </c>
      <c r="C117" t="s">
        <v>130</v>
      </c>
      <c r="D117" t="s">
        <v>24</v>
      </c>
      <c r="E117">
        <f t="shared" si="4"/>
        <v>1205</v>
      </c>
      <c r="F117" t="s">
        <v>280</v>
      </c>
    </row>
    <row r="118" spans="1:6" x14ac:dyDescent="0.25">
      <c r="A118" t="str">
        <f t="shared" si="5"/>
        <v>Tony Teja-OTHER PRODUCTION COST-MAJA-1</v>
      </c>
      <c r="B118" t="s">
        <v>330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330</v>
      </c>
      <c r="C119" t="s">
        <v>70</v>
      </c>
      <c r="D119" t="s">
        <v>24</v>
      </c>
      <c r="E119">
        <f t="shared" si="4"/>
        <v>1205</v>
      </c>
      <c r="F119" t="s">
        <v>281</v>
      </c>
    </row>
    <row r="120" spans="1:6" x14ac:dyDescent="0.25">
      <c r="A120" t="str">
        <f t="shared" si="5"/>
        <v>Tony Teja-ELECTRICITY-MAJA-1</v>
      </c>
      <c r="B120" t="s">
        <v>330</v>
      </c>
      <c r="C120" t="s">
        <v>76</v>
      </c>
      <c r="D120" t="s">
        <v>24</v>
      </c>
      <c r="E120">
        <f t="shared" si="4"/>
        <v>1205</v>
      </c>
      <c r="F120" t="s">
        <v>282</v>
      </c>
    </row>
    <row r="121" spans="1:6" x14ac:dyDescent="0.25">
      <c r="A121" t="str">
        <f t="shared" si="5"/>
        <v>Tony Teja-FACTORY SUPPLIES EXPENSE-MAJA-1</v>
      </c>
      <c r="B121" t="s">
        <v>330</v>
      </c>
      <c r="C121" t="s">
        <v>80</v>
      </c>
      <c r="D121" t="s">
        <v>24</v>
      </c>
      <c r="E121">
        <f t="shared" si="4"/>
        <v>1205</v>
      </c>
      <c r="F121" t="s">
        <v>283</v>
      </c>
    </row>
    <row r="122" spans="1:6" x14ac:dyDescent="0.25">
      <c r="A122" t="str">
        <f t="shared" si="5"/>
        <v>Tony Teja-FARE ALLOWANCE-MAJA-1</v>
      </c>
      <c r="B122" t="s">
        <v>330</v>
      </c>
      <c r="C122" t="s">
        <v>154</v>
      </c>
      <c r="D122" t="s">
        <v>24</v>
      </c>
      <c r="E122">
        <f t="shared" si="4"/>
        <v>1205</v>
      </c>
      <c r="F122" t="s">
        <v>284</v>
      </c>
    </row>
    <row r="123" spans="1:6" x14ac:dyDescent="0.25">
      <c r="A123" t="str">
        <f t="shared" si="5"/>
        <v>Tony Teja-LABOR COST-MAJA-1</v>
      </c>
      <c r="B123" t="s">
        <v>330</v>
      </c>
      <c r="C123" t="s">
        <v>96</v>
      </c>
      <c r="D123" t="s">
        <v>24</v>
      </c>
      <c r="E123">
        <f t="shared" si="4"/>
        <v>1205</v>
      </c>
      <c r="F123" t="s">
        <v>285</v>
      </c>
    </row>
    <row r="124" spans="1:6" x14ac:dyDescent="0.25">
      <c r="A124" t="str">
        <f t="shared" si="5"/>
        <v>Tony Teja-MAINT.&amp;REP.ELECTRICITY-MAJA-1</v>
      </c>
      <c r="B124" t="s">
        <v>330</v>
      </c>
      <c r="C124" t="s">
        <v>104</v>
      </c>
      <c r="D124" t="s">
        <v>24</v>
      </c>
      <c r="E124">
        <f t="shared" si="4"/>
        <v>1205</v>
      </c>
      <c r="F124" t="s">
        <v>286</v>
      </c>
    </row>
    <row r="125" spans="1:6" x14ac:dyDescent="0.25">
      <c r="A125" t="str">
        <f t="shared" si="5"/>
        <v>Tony Teja-MAINT.&amp;REP.GEN&amp;BOILER-MAJA-1</v>
      </c>
      <c r="B125" t="s">
        <v>330</v>
      </c>
      <c r="C125" t="s">
        <v>106</v>
      </c>
      <c r="D125" t="s">
        <v>24</v>
      </c>
      <c r="E125">
        <f t="shared" si="4"/>
        <v>1205</v>
      </c>
      <c r="F125" t="s">
        <v>287</v>
      </c>
    </row>
    <row r="126" spans="1:6" x14ac:dyDescent="0.25">
      <c r="A126" t="str">
        <f t="shared" si="5"/>
        <v>Tony Teja-MAINT.&amp;REP.MACHINERIE-MAJA-1</v>
      </c>
      <c r="B126" t="s">
        <v>330</v>
      </c>
      <c r="C126" t="s">
        <v>108</v>
      </c>
      <c r="D126" t="s">
        <v>24</v>
      </c>
      <c r="E126">
        <f t="shared" si="4"/>
        <v>1205</v>
      </c>
      <c r="F126" t="s">
        <v>288</v>
      </c>
    </row>
    <row r="127" spans="1:6" x14ac:dyDescent="0.25">
      <c r="A127" t="str">
        <f t="shared" si="5"/>
        <v>Tony Teja-MAINT.&amp;REP.PLANTEQUI-MAJA-1</v>
      </c>
      <c r="B127" t="s">
        <v>330</v>
      </c>
      <c r="C127" t="s">
        <v>112</v>
      </c>
      <c r="D127" t="s">
        <v>24</v>
      </c>
      <c r="E127">
        <f t="shared" si="4"/>
        <v>1205</v>
      </c>
      <c r="F127" t="s">
        <v>289</v>
      </c>
    </row>
    <row r="128" spans="1:6" x14ac:dyDescent="0.25">
      <c r="A128" t="str">
        <f t="shared" si="5"/>
        <v>Tony Teja-OFFICER SALARIES-MAJA-1</v>
      </c>
      <c r="B128" t="s">
        <v>330</v>
      </c>
      <c r="C128" t="s">
        <v>146</v>
      </c>
      <c r="D128" t="s">
        <v>24</v>
      </c>
      <c r="E128">
        <f t="shared" si="4"/>
        <v>1205</v>
      </c>
      <c r="F128" t="s">
        <v>290</v>
      </c>
    </row>
    <row r="129" spans="1:6" x14ac:dyDescent="0.25">
      <c r="A129" t="str">
        <f t="shared" si="5"/>
        <v>Tony Teja-PEMAKAIAN SPARE PART-MAJA-1</v>
      </c>
      <c r="B129" t="s">
        <v>330</v>
      </c>
      <c r="C129" t="s">
        <v>124</v>
      </c>
      <c r="D129" t="s">
        <v>24</v>
      </c>
      <c r="E129">
        <f t="shared" si="4"/>
        <v>1205</v>
      </c>
      <c r="F129" t="s">
        <v>291</v>
      </c>
    </row>
    <row r="130" spans="1:6" x14ac:dyDescent="0.25">
      <c r="A130" t="str">
        <f t="shared" ref="A130:A161" si="6">B130&amp;"-"&amp;C130&amp;"-"&amp;D130</f>
        <v>Tony Teja-ENTERTAINMENT-MAJA-2</v>
      </c>
      <c r="B130" t="s">
        <v>330</v>
      </c>
      <c r="C130" t="s">
        <v>78</v>
      </c>
      <c r="D130" t="s">
        <v>15</v>
      </c>
      <c r="E130">
        <f t="shared" si="4"/>
        <v>1204</v>
      </c>
      <c r="F130" t="s">
        <v>292</v>
      </c>
    </row>
    <row r="131" spans="1:6" x14ac:dyDescent="0.25">
      <c r="A131" t="str">
        <f t="shared" si="6"/>
        <v>Tony Teja-JAMSOSTEK-MAJA-2</v>
      </c>
      <c r="B131" t="s">
        <v>330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293</v>
      </c>
    </row>
    <row r="132" spans="1:6" x14ac:dyDescent="0.25">
      <c r="A132" t="str">
        <f t="shared" si="6"/>
        <v>Tony Teja-MAINT.&amp;REP.BUILDING-MAJA-2</v>
      </c>
      <c r="B132" t="s">
        <v>330</v>
      </c>
      <c r="C132" t="s">
        <v>102</v>
      </c>
      <c r="D132" t="s">
        <v>15</v>
      </c>
      <c r="E132">
        <f t="shared" si="7"/>
        <v>1204</v>
      </c>
      <c r="F132" t="s">
        <v>294</v>
      </c>
    </row>
    <row r="133" spans="1:6" x14ac:dyDescent="0.25">
      <c r="A133" t="str">
        <f t="shared" si="6"/>
        <v>Tony Teja-MAINT.&amp;REP.WATERINSTL.-MAJA-2</v>
      </c>
      <c r="B133" t="s">
        <v>330</v>
      </c>
      <c r="C133" t="s">
        <v>114</v>
      </c>
      <c r="D133" t="s">
        <v>15</v>
      </c>
      <c r="E133">
        <f t="shared" si="7"/>
        <v>1204</v>
      </c>
      <c r="F133" t="s">
        <v>295</v>
      </c>
    </row>
    <row r="134" spans="1:6" x14ac:dyDescent="0.25">
      <c r="A134" t="str">
        <f t="shared" si="6"/>
        <v>Tony Teja-MEDICAL ALLOWANCE-MAJA-2</v>
      </c>
      <c r="B134" t="s">
        <v>330</v>
      </c>
      <c r="C134" t="s">
        <v>118</v>
      </c>
      <c r="D134" t="s">
        <v>15</v>
      </c>
      <c r="E134">
        <f t="shared" si="7"/>
        <v>1204</v>
      </c>
      <c r="F134" t="s">
        <v>296</v>
      </c>
    </row>
    <row r="135" spans="1:6" x14ac:dyDescent="0.25">
      <c r="A135" t="str">
        <f t="shared" si="6"/>
        <v>Tony Teja-RENT EXPENSES BUILDING-MAJA-2</v>
      </c>
      <c r="B135" t="s">
        <v>330</v>
      </c>
      <c r="C135" t="s">
        <v>130</v>
      </c>
      <c r="D135" t="s">
        <v>15</v>
      </c>
      <c r="E135">
        <f t="shared" si="7"/>
        <v>1204</v>
      </c>
      <c r="F135" t="s">
        <v>297</v>
      </c>
    </row>
    <row r="136" spans="1:6" x14ac:dyDescent="0.25">
      <c r="A136" t="str">
        <f t="shared" si="6"/>
        <v>Tony Teja-OTHER PRODUCTION COST-MAJA-2</v>
      </c>
      <c r="B136" t="s">
        <v>330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330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330</v>
      </c>
      <c r="C138" t="s">
        <v>70</v>
      </c>
      <c r="D138" t="s">
        <v>15</v>
      </c>
      <c r="E138">
        <f t="shared" si="7"/>
        <v>1204</v>
      </c>
      <c r="F138" t="s">
        <v>298</v>
      </c>
    </row>
    <row r="139" spans="1:6" x14ac:dyDescent="0.25">
      <c r="A139" t="str">
        <f t="shared" si="6"/>
        <v>Tony Teja-ELECTRICITY-MAJA-2</v>
      </c>
      <c r="B139" t="s">
        <v>330</v>
      </c>
      <c r="C139" t="s">
        <v>76</v>
      </c>
      <c r="D139" t="s">
        <v>15</v>
      </c>
      <c r="E139">
        <f t="shared" si="7"/>
        <v>1204</v>
      </c>
      <c r="F139" t="s">
        <v>299</v>
      </c>
    </row>
    <row r="140" spans="1:6" x14ac:dyDescent="0.25">
      <c r="A140" t="str">
        <f t="shared" si="6"/>
        <v>Tony Teja-FACTORY SUPPLIES EXPENSE-MAJA-2</v>
      </c>
      <c r="B140" t="s">
        <v>330</v>
      </c>
      <c r="C140" t="s">
        <v>80</v>
      </c>
      <c r="D140" t="s">
        <v>15</v>
      </c>
      <c r="E140">
        <f t="shared" si="7"/>
        <v>1204</v>
      </c>
      <c r="F140" t="s">
        <v>300</v>
      </c>
    </row>
    <row r="141" spans="1:6" x14ac:dyDescent="0.25">
      <c r="A141" t="str">
        <f t="shared" si="6"/>
        <v>Tony Teja-FARE ALLOWANCE-MAJA-2</v>
      </c>
      <c r="B141" t="s">
        <v>330</v>
      </c>
      <c r="C141" t="s">
        <v>154</v>
      </c>
      <c r="D141" t="s">
        <v>15</v>
      </c>
      <c r="E141">
        <f t="shared" si="7"/>
        <v>1204</v>
      </c>
      <c r="F141" t="s">
        <v>301</v>
      </c>
    </row>
    <row r="142" spans="1:6" x14ac:dyDescent="0.25">
      <c r="A142" t="str">
        <f t="shared" si="6"/>
        <v>Tony Teja-LABOR COST-MAJA-2</v>
      </c>
      <c r="B142" t="s">
        <v>330</v>
      </c>
      <c r="C142" t="s">
        <v>96</v>
      </c>
      <c r="D142" t="s">
        <v>15</v>
      </c>
      <c r="E142">
        <f t="shared" si="7"/>
        <v>1204</v>
      </c>
      <c r="F142" t="s">
        <v>302</v>
      </c>
    </row>
    <row r="143" spans="1:6" x14ac:dyDescent="0.25">
      <c r="A143" t="str">
        <f t="shared" si="6"/>
        <v>Tony Teja-MAINT.&amp;REP.ELECTRICITY-MAJA-2</v>
      </c>
      <c r="B143" t="s">
        <v>330</v>
      </c>
      <c r="C143" t="s">
        <v>104</v>
      </c>
      <c r="D143" t="s">
        <v>15</v>
      </c>
      <c r="E143">
        <f t="shared" si="7"/>
        <v>1204</v>
      </c>
      <c r="F143" t="s">
        <v>303</v>
      </c>
    </row>
    <row r="144" spans="1:6" x14ac:dyDescent="0.25">
      <c r="A144" t="str">
        <f t="shared" si="6"/>
        <v>Tony Teja-MAINT.&amp;REP.GEN&amp;BOILER-MAJA-2</v>
      </c>
      <c r="B144" t="s">
        <v>330</v>
      </c>
      <c r="C144" t="s">
        <v>106</v>
      </c>
      <c r="D144" t="s">
        <v>15</v>
      </c>
      <c r="E144">
        <f t="shared" si="7"/>
        <v>1204</v>
      </c>
      <c r="F144" t="s">
        <v>304</v>
      </c>
    </row>
    <row r="145" spans="1:6" x14ac:dyDescent="0.25">
      <c r="A145" t="str">
        <f t="shared" si="6"/>
        <v>Tony Teja-MAINT.&amp;REP.MACHINERIE-MAJA-2</v>
      </c>
      <c r="B145" t="s">
        <v>330</v>
      </c>
      <c r="C145" t="s">
        <v>108</v>
      </c>
      <c r="D145" t="s">
        <v>15</v>
      </c>
      <c r="E145">
        <f t="shared" si="7"/>
        <v>1204</v>
      </c>
      <c r="F145" t="s">
        <v>305</v>
      </c>
    </row>
    <row r="146" spans="1:6" x14ac:dyDescent="0.25">
      <c r="A146" t="str">
        <f t="shared" si="6"/>
        <v>Tony Teja-MAINT.&amp;REP.PLANTEQUI-MAJA-2</v>
      </c>
      <c r="B146" t="s">
        <v>330</v>
      </c>
      <c r="C146" t="s">
        <v>112</v>
      </c>
      <c r="D146" t="s">
        <v>15</v>
      </c>
      <c r="E146">
        <f t="shared" si="7"/>
        <v>1204</v>
      </c>
      <c r="F146" t="s">
        <v>306</v>
      </c>
    </row>
    <row r="147" spans="1:6" x14ac:dyDescent="0.25">
      <c r="A147" t="str">
        <f t="shared" si="6"/>
        <v>Tony Teja-PEMAKAIAN SPARE PART-MAJA-2</v>
      </c>
      <c r="B147" t="s">
        <v>330</v>
      </c>
      <c r="C147" t="s">
        <v>124</v>
      </c>
      <c r="D147" t="s">
        <v>15</v>
      </c>
      <c r="E147">
        <f t="shared" si="7"/>
        <v>1204</v>
      </c>
      <c r="F147" t="s">
        <v>307</v>
      </c>
    </row>
    <row r="148" spans="1:6" x14ac:dyDescent="0.25">
      <c r="A148" t="str">
        <f t="shared" si="6"/>
        <v>Tony Teja-PMKN FUEL &amp; LUBRICANT-MAJA-2</v>
      </c>
      <c r="B148" t="s">
        <v>330</v>
      </c>
      <c r="C148" t="s">
        <v>126</v>
      </c>
      <c r="D148" t="s">
        <v>15</v>
      </c>
      <c r="E148">
        <f t="shared" si="7"/>
        <v>1204</v>
      </c>
      <c r="F148" t="s">
        <v>308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309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310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311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312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313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314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315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K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3" activeCellId="1" sqref="K7 C23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1" ht="23.25" x14ac:dyDescent="0.35">
      <c r="A2" s="55" t="s">
        <v>175</v>
      </c>
      <c r="B2" s="55"/>
      <c r="C2" s="55"/>
      <c r="D2" s="55"/>
      <c r="E2" s="55"/>
      <c r="F2" s="55"/>
      <c r="G2" s="55"/>
      <c r="H2" s="55"/>
      <c r="I2" s="55"/>
      <c r="J2" s="55"/>
    </row>
    <row r="4" spans="1:11" x14ac:dyDescent="0.25">
      <c r="G4" s="3"/>
      <c r="H4" s="3"/>
    </row>
    <row r="5" spans="1:11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x14ac:dyDescent="0.25">
      <c r="A6" s="5"/>
      <c r="F6" s="5"/>
      <c r="H6" s="5"/>
    </row>
    <row r="7" spans="1:11" x14ac:dyDescent="0.25">
      <c r="A7" s="5"/>
      <c r="F7" s="5"/>
      <c r="H7" s="5"/>
    </row>
    <row r="8" spans="1:11" x14ac:dyDescent="0.25">
      <c r="A8" s="5"/>
      <c r="F8" s="5"/>
      <c r="H8" s="5"/>
    </row>
    <row r="9" spans="1:11" x14ac:dyDescent="0.25">
      <c r="A9" s="5"/>
      <c r="F9" s="5"/>
      <c r="H9" s="5"/>
    </row>
    <row r="10" spans="1:11" x14ac:dyDescent="0.25">
      <c r="A10" s="5"/>
      <c r="F10" s="5"/>
      <c r="H10" s="5"/>
    </row>
    <row r="11" spans="1:11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2E7A5-0E51-4E19-A9F1-66F88489D807}">
  <dimension ref="A5:K19"/>
  <sheetViews>
    <sheetView zoomScale="85" zoomScaleNormal="85" workbookViewId="0">
      <selection activeCell="A5" sqref="A5"/>
    </sheetView>
  </sheetViews>
  <sheetFormatPr defaultRowHeight="15" x14ac:dyDescent="0.25"/>
  <cols>
    <col min="1" max="1" width="21.42578125" bestFit="1" customWidth="1"/>
    <col min="2" max="2" width="30.28515625" bestFit="1" customWidth="1"/>
    <col min="3" max="3" width="96.42578125" bestFit="1" customWidth="1"/>
    <col min="4" max="4" width="11.8554687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0.85546875" bestFit="1" customWidth="1"/>
    <col min="9" max="9" width="12.140625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10</v>
      </c>
      <c r="B6" s="56" t="s">
        <v>11</v>
      </c>
      <c r="C6" s="1" t="s">
        <v>12</v>
      </c>
      <c r="D6" s="2" t="s">
        <v>13</v>
      </c>
      <c r="E6" s="2" t="s">
        <v>14</v>
      </c>
      <c r="F6" s="1"/>
      <c r="G6" s="33">
        <v>10000</v>
      </c>
      <c r="H6" s="33">
        <v>6914.94</v>
      </c>
      <c r="I6" s="33">
        <f t="shared" ref="I6:I19" si="0">G6-H6</f>
        <v>3085.0600000000004</v>
      </c>
      <c r="J6" s="4">
        <f>G6/VLOOKUP(A6,RESUME!$G$3:$I$10,3,FALSE)</f>
        <v>0.14728026373771388</v>
      </c>
      <c r="K6" s="4">
        <f t="shared" ref="K6:K19" si="1">IFERROR((G6/H6)*J6,"")</f>
        <v>0.21298849120558372</v>
      </c>
    </row>
    <row r="7" spans="1:11" ht="15.75" x14ac:dyDescent="0.25">
      <c r="A7" s="1" t="s">
        <v>10</v>
      </c>
      <c r="B7" s="56" t="s">
        <v>11</v>
      </c>
      <c r="C7" s="1" t="s">
        <v>12</v>
      </c>
      <c r="D7" s="2" t="s">
        <v>15</v>
      </c>
      <c r="E7" s="2" t="s">
        <v>16</v>
      </c>
      <c r="F7" s="1"/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</row>
    <row r="8" spans="1:11" ht="15.75" x14ac:dyDescent="0.25">
      <c r="A8" s="1" t="s">
        <v>10</v>
      </c>
      <c r="B8" s="56" t="s">
        <v>17</v>
      </c>
      <c r="C8" s="1" t="s">
        <v>18</v>
      </c>
      <c r="D8" s="2" t="s">
        <v>13</v>
      </c>
      <c r="E8" s="2" t="s">
        <v>19</v>
      </c>
      <c r="F8" s="1"/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</row>
    <row r="9" spans="1:11" ht="15.75" x14ac:dyDescent="0.25">
      <c r="A9" s="1" t="s">
        <v>10</v>
      </c>
      <c r="B9" s="56" t="s">
        <v>17</v>
      </c>
      <c r="C9" s="1" t="s">
        <v>18</v>
      </c>
      <c r="D9" s="2" t="s">
        <v>15</v>
      </c>
      <c r="E9" s="2" t="s">
        <v>20</v>
      </c>
      <c r="F9" s="1"/>
      <c r="G9" s="33">
        <v>326</v>
      </c>
      <c r="H9" s="33"/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</row>
    <row r="10" spans="1:11" ht="15.75" x14ac:dyDescent="0.25">
      <c r="A10" s="1" t="s">
        <v>10</v>
      </c>
      <c r="B10" s="1" t="s">
        <v>21</v>
      </c>
      <c r="C10" s="1" t="s">
        <v>22</v>
      </c>
      <c r="D10" s="2" t="s">
        <v>13</v>
      </c>
      <c r="E10" s="2" t="s">
        <v>23</v>
      </c>
      <c r="F10" s="1"/>
      <c r="G10" s="33">
        <v>15015.099999999999</v>
      </c>
      <c r="H10" s="33"/>
      <c r="I10" s="33">
        <f t="shared" si="0"/>
        <v>15015.099999999999</v>
      </c>
      <c r="J10" s="4">
        <f>G10/VLOOKUP(A10,RESUME!$G$3:$I$10,3,FALSE)</f>
        <v>0.22114278880481478</v>
      </c>
      <c r="K10" s="4" t="str">
        <f t="shared" si="1"/>
        <v/>
      </c>
    </row>
    <row r="11" spans="1:11" ht="15.75" x14ac:dyDescent="0.25">
      <c r="A11" s="1" t="s">
        <v>10</v>
      </c>
      <c r="B11" s="1" t="s">
        <v>21</v>
      </c>
      <c r="C11" s="1" t="s">
        <v>22</v>
      </c>
      <c r="D11" s="2" t="s">
        <v>24</v>
      </c>
      <c r="E11" s="2" t="s">
        <v>25</v>
      </c>
      <c r="F11" s="1"/>
      <c r="G11" s="33">
        <v>26.7199999999998</v>
      </c>
      <c r="H11" s="33"/>
      <c r="I11" s="33">
        <f t="shared" si="0"/>
        <v>26.7199999999998</v>
      </c>
      <c r="J11" s="4">
        <f>G11/VLOOKUP(A11,RESUME!$G$3:$I$10,3,FALSE)</f>
        <v>3.9353286470716859E-4</v>
      </c>
      <c r="K11" s="4" t="str">
        <f t="shared" si="1"/>
        <v/>
      </c>
    </row>
    <row r="12" spans="1:11" ht="15.75" x14ac:dyDescent="0.25">
      <c r="A12" s="1" t="s">
        <v>10</v>
      </c>
      <c r="B12" s="1" t="s">
        <v>21</v>
      </c>
      <c r="C12" s="1" t="s">
        <v>22</v>
      </c>
      <c r="D12" s="2" t="s">
        <v>15</v>
      </c>
      <c r="E12" s="2" t="s">
        <v>25</v>
      </c>
      <c r="F12" s="1"/>
      <c r="G12" s="33">
        <v>15124.89</v>
      </c>
      <c r="H12" s="33"/>
      <c r="I12" s="33">
        <f t="shared" si="0"/>
        <v>15124.89</v>
      </c>
      <c r="J12" s="4">
        <f>G12/VLOOKUP(A12,RESUME!$G$3:$I$10,3,FALSE)</f>
        <v>0.22275977882039114</v>
      </c>
      <c r="K12" s="4" t="str">
        <f t="shared" si="1"/>
        <v/>
      </c>
    </row>
    <row r="13" spans="1:11" ht="15.75" x14ac:dyDescent="0.25">
      <c r="A13" s="1" t="s">
        <v>10</v>
      </c>
      <c r="B13" s="56" t="s">
        <v>26</v>
      </c>
      <c r="C13" s="1" t="s">
        <v>27</v>
      </c>
      <c r="D13" s="2" t="s">
        <v>13</v>
      </c>
      <c r="E13" s="2" t="s">
        <v>28</v>
      </c>
      <c r="F13" s="1"/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</row>
    <row r="14" spans="1:11" ht="15.75" x14ac:dyDescent="0.25">
      <c r="A14" s="1" t="s">
        <v>10</v>
      </c>
      <c r="B14" s="56" t="s">
        <v>26</v>
      </c>
      <c r="C14" s="1" t="s">
        <v>27</v>
      </c>
      <c r="D14" s="2" t="s">
        <v>24</v>
      </c>
      <c r="E14" s="2" t="s">
        <v>29</v>
      </c>
      <c r="F14" s="1"/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</row>
    <row r="15" spans="1:11" ht="15.75" x14ac:dyDescent="0.25">
      <c r="A15" s="1" t="s">
        <v>10</v>
      </c>
      <c r="B15" s="56" t="s">
        <v>26</v>
      </c>
      <c r="C15" s="1" t="s">
        <v>27</v>
      </c>
      <c r="D15" s="2" t="s">
        <v>15</v>
      </c>
      <c r="E15" s="2" t="s">
        <v>29</v>
      </c>
      <c r="F15" s="1"/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</row>
    <row r="16" spans="1:11" ht="15.75" x14ac:dyDescent="0.25">
      <c r="A16" s="1" t="s">
        <v>10</v>
      </c>
      <c r="B16" s="56" t="s">
        <v>30</v>
      </c>
      <c r="C16" s="1" t="s">
        <v>31</v>
      </c>
      <c r="D16" s="2" t="s">
        <v>13</v>
      </c>
      <c r="E16" s="2" t="s">
        <v>28</v>
      </c>
      <c r="F16" s="1"/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</row>
    <row r="17" spans="1:11" ht="15.75" x14ac:dyDescent="0.25">
      <c r="A17" s="1" t="s">
        <v>10</v>
      </c>
      <c r="B17" s="56" t="s">
        <v>32</v>
      </c>
      <c r="C17" s="1" t="s">
        <v>33</v>
      </c>
      <c r="D17" s="2" t="s">
        <v>13</v>
      </c>
      <c r="E17" s="2" t="s">
        <v>34</v>
      </c>
      <c r="F17" s="1"/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</row>
    <row r="18" spans="1:11" ht="15.75" x14ac:dyDescent="0.25">
      <c r="A18" s="1" t="s">
        <v>10</v>
      </c>
      <c r="B18" s="56" t="s">
        <v>32</v>
      </c>
      <c r="C18" s="1" t="s">
        <v>33</v>
      </c>
      <c r="D18" s="2" t="s">
        <v>24</v>
      </c>
      <c r="E18" s="2" t="s">
        <v>34</v>
      </c>
      <c r="F18" s="1"/>
      <c r="G18" s="33">
        <v>1000</v>
      </c>
      <c r="H18" s="33"/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</row>
    <row r="19" spans="1:11" ht="15.75" x14ac:dyDescent="0.25">
      <c r="A19" s="1" t="s">
        <v>10</v>
      </c>
      <c r="B19" s="56" t="s">
        <v>32</v>
      </c>
      <c r="C19" s="1" t="s">
        <v>33</v>
      </c>
      <c r="D19" s="2" t="s">
        <v>15</v>
      </c>
      <c r="E19" s="2" t="s">
        <v>34</v>
      </c>
      <c r="F19" s="1"/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</row>
  </sheetData>
  <hyperlinks>
    <hyperlink ref="B6" r:id="rId1" xr:uid="{D62A9C33-0CB6-4707-BA47-3E2207429330}"/>
    <hyperlink ref="B7" r:id="rId2" xr:uid="{C45A5E24-C465-4485-A226-70D02FA5CCD9}"/>
    <hyperlink ref="B8" r:id="rId3" xr:uid="{01597C34-BAC4-4315-AAC6-C00A1F4797B7}"/>
    <hyperlink ref="B9" r:id="rId4" xr:uid="{2AC66BA5-4CFE-49FC-BC1D-9F7F77AB0E66}"/>
    <hyperlink ref="B13" r:id="rId5" xr:uid="{CFF3B356-B279-4F64-AC4C-9B5B261EC020}"/>
    <hyperlink ref="B14" r:id="rId6" xr:uid="{128F2FFA-0779-4AC9-A69F-8ADFD63EF5F8}"/>
    <hyperlink ref="B15" r:id="rId7" xr:uid="{10019190-4C2B-49AB-8B4D-8F63B75AC9D5}"/>
    <hyperlink ref="B16" r:id="rId8" xr:uid="{D2DC36BF-550C-4D7A-B323-F19CF96A8360}"/>
    <hyperlink ref="B17" r:id="rId9" xr:uid="{6A980197-F0B4-4C2F-9251-E8C500CD4530}"/>
    <hyperlink ref="B18" r:id="rId10" xr:uid="{A44E610D-102F-4A87-A2A8-A95FC95E9F08}"/>
    <hyperlink ref="B19" r:id="rId11" xr:uid="{2F336F3F-38B8-4F83-9167-E4FBDF16CE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856-4CD6-442D-BDFF-96F5FACF8BF3}">
  <dimension ref="A5:K11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19.85546875" bestFit="1" customWidth="1"/>
    <col min="3" max="3" width="15.7109375" bestFit="1" customWidth="1"/>
    <col min="4" max="4" width="11.8554687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0.28515625" bestFit="1" customWidth="1"/>
    <col min="9" max="9" width="13.42578125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36</v>
      </c>
      <c r="B6" s="1" t="s">
        <v>37</v>
      </c>
      <c r="C6" s="1" t="s">
        <v>38</v>
      </c>
      <c r="D6" s="2" t="s">
        <v>13</v>
      </c>
      <c r="E6" s="2" t="s">
        <v>39</v>
      </c>
      <c r="F6" s="1"/>
      <c r="G6" s="33">
        <v>151561</v>
      </c>
      <c r="H6" s="33"/>
      <c r="I6" s="33">
        <f t="shared" ref="I6:I11" si="0">G6-H6</f>
        <v>151561</v>
      </c>
      <c r="J6" s="4">
        <f>G6/VLOOKUP(A6,RESUME!$G$3:$I$10,3,FALSE)</f>
        <v>0.65619333139484248</v>
      </c>
      <c r="K6" s="4" t="str">
        <f t="shared" ref="K6:K11" si="1">IFERROR((G6/H6)*J6,"")</f>
        <v/>
      </c>
    </row>
    <row r="7" spans="1:11" ht="15.75" x14ac:dyDescent="0.25">
      <c r="A7" s="1" t="s">
        <v>36</v>
      </c>
      <c r="B7" s="1" t="s">
        <v>37</v>
      </c>
      <c r="C7" s="1" t="s">
        <v>38</v>
      </c>
      <c r="D7" s="2" t="s">
        <v>24</v>
      </c>
      <c r="E7" s="2" t="s">
        <v>39</v>
      </c>
      <c r="F7" s="1"/>
      <c r="G7" s="33">
        <v>26883.15</v>
      </c>
      <c r="H7" s="33"/>
      <c r="I7" s="33">
        <f t="shared" si="0"/>
        <v>26883.15</v>
      </c>
      <c r="J7" s="4">
        <f>G7/VLOOKUP(A7,RESUME!$G$3:$I$10,3,FALSE)</f>
        <v>0.11639236846475848</v>
      </c>
      <c r="K7" s="4" t="str">
        <f t="shared" si="1"/>
        <v/>
      </c>
    </row>
    <row r="8" spans="1:11" ht="15.75" x14ac:dyDescent="0.25">
      <c r="A8" s="1" t="s">
        <v>36</v>
      </c>
      <c r="B8" s="1" t="s">
        <v>37</v>
      </c>
      <c r="C8" s="1" t="s">
        <v>38</v>
      </c>
      <c r="D8" s="2" t="s">
        <v>15</v>
      </c>
      <c r="E8" s="2" t="s">
        <v>40</v>
      </c>
      <c r="F8" s="1"/>
      <c r="G8" s="33">
        <v>32525.89</v>
      </c>
      <c r="H8" s="33"/>
      <c r="I8" s="33">
        <f t="shared" si="0"/>
        <v>32525.89</v>
      </c>
      <c r="J8" s="4">
        <f>G8/VLOOKUP(A8,RESUME!$G$3:$I$10,3,FALSE)</f>
        <v>0.14082298292886819</v>
      </c>
      <c r="K8" s="4" t="str">
        <f t="shared" si="1"/>
        <v/>
      </c>
    </row>
    <row r="9" spans="1:11" ht="15.75" x14ac:dyDescent="0.25">
      <c r="A9" s="1" t="s">
        <v>36</v>
      </c>
      <c r="B9" s="1" t="s">
        <v>37</v>
      </c>
      <c r="C9" s="1" t="s">
        <v>41</v>
      </c>
      <c r="D9" s="2" t="s">
        <v>13</v>
      </c>
      <c r="E9" s="2" t="s">
        <v>42</v>
      </c>
      <c r="F9" s="1"/>
      <c r="G9" s="33">
        <v>5000</v>
      </c>
      <c r="H9" s="33"/>
      <c r="I9" s="33">
        <f t="shared" si="0"/>
        <v>5000</v>
      </c>
      <c r="J9" s="4">
        <f>G9/VLOOKUP(A9,RESUME!$G$3:$I$10,3,FALSE)</f>
        <v>2.1647829302882747E-2</v>
      </c>
      <c r="K9" s="4" t="str">
        <f t="shared" si="1"/>
        <v/>
      </c>
    </row>
    <row r="10" spans="1:11" ht="15.75" x14ac:dyDescent="0.25">
      <c r="A10" s="1" t="s">
        <v>36</v>
      </c>
      <c r="B10" s="1" t="s">
        <v>37</v>
      </c>
      <c r="C10" s="1" t="s">
        <v>38</v>
      </c>
      <c r="D10" s="2" t="s">
        <v>24</v>
      </c>
      <c r="E10" s="2" t="s">
        <v>43</v>
      </c>
      <c r="F10" s="1"/>
      <c r="G10" s="33">
        <v>7500</v>
      </c>
      <c r="H10" s="33"/>
      <c r="I10" s="33">
        <f t="shared" si="0"/>
        <v>7500</v>
      </c>
      <c r="J10" s="4">
        <f>G10/VLOOKUP(A10,RESUME!$G$3:$I$10,3,FALSE)</f>
        <v>3.2471743954324124E-2</v>
      </c>
      <c r="K10" s="4" t="str">
        <f t="shared" si="1"/>
        <v/>
      </c>
    </row>
    <row r="11" spans="1:11" ht="15.75" x14ac:dyDescent="0.25">
      <c r="A11" s="1" t="s">
        <v>36</v>
      </c>
      <c r="B11" s="1" t="s">
        <v>37</v>
      </c>
      <c r="C11" s="1" t="s">
        <v>38</v>
      </c>
      <c r="D11" s="2" t="s">
        <v>15</v>
      </c>
      <c r="E11" s="2" t="s">
        <v>42</v>
      </c>
      <c r="F11" s="1"/>
      <c r="G11" s="33">
        <v>7500</v>
      </c>
      <c r="H11" s="33"/>
      <c r="I11" s="33">
        <f t="shared" si="0"/>
        <v>7500</v>
      </c>
      <c r="J11" s="4">
        <f>G11/VLOOKUP(A11,RESUME!$G$3:$I$10,3,FALSE)</f>
        <v>3.2471743954324124E-2</v>
      </c>
      <c r="K11" s="4" t="str">
        <f t="shared" si="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F12FE-7372-4AF6-8EF2-AADB2152D896}">
  <dimension ref="A5:K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6" bestFit="1" customWidth="1"/>
    <col min="3" max="3" width="29.85546875" bestFit="1" customWidth="1"/>
    <col min="4" max="4" width="11.85546875" bestFit="1" customWidth="1"/>
    <col min="5" max="5" width="10" bestFit="1" customWidth="1"/>
    <col min="6" max="6" width="35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44</v>
      </c>
      <c r="B6" s="1" t="s">
        <v>45</v>
      </c>
      <c r="C6" s="1"/>
      <c r="D6" s="2"/>
      <c r="E6" s="2"/>
      <c r="F6" s="1"/>
      <c r="G6" s="33"/>
      <c r="H6" s="33"/>
      <c r="I6" s="33">
        <f t="shared" ref="I6:I15" si="0">G6-H6</f>
        <v>0</v>
      </c>
      <c r="J6" s="4">
        <f>G6/VLOOKUP(A6,RESUME!$G$3:$I$10,3,FALSE)</f>
        <v>0</v>
      </c>
      <c r="K6" s="4" t="str">
        <f t="shared" ref="K6:K15" si="1">IFERROR((G6/H6)*J6,"")</f>
        <v/>
      </c>
    </row>
    <row r="7" spans="1:11" ht="15.75" x14ac:dyDescent="0.25">
      <c r="A7" s="1" t="s">
        <v>44</v>
      </c>
      <c r="B7" s="1" t="s">
        <v>46</v>
      </c>
      <c r="C7" s="1" t="s">
        <v>47</v>
      </c>
      <c r="D7" s="2" t="s">
        <v>13</v>
      </c>
      <c r="E7" s="2" t="s">
        <v>48</v>
      </c>
      <c r="F7" s="1" t="s">
        <v>49</v>
      </c>
      <c r="G7" s="33">
        <v>450</v>
      </c>
      <c r="H7" s="33"/>
      <c r="I7" s="33">
        <f t="shared" si="0"/>
        <v>450</v>
      </c>
      <c r="J7" s="4">
        <f>G7/VLOOKUP(A7,RESUME!$G$3:$I$10,3,FALSE)</f>
        <v>5.2941176470588235E-2</v>
      </c>
      <c r="K7" s="4" t="str">
        <f t="shared" si="1"/>
        <v/>
      </c>
    </row>
    <row r="8" spans="1:11" ht="15.75" x14ac:dyDescent="0.25">
      <c r="A8" s="1" t="s">
        <v>44</v>
      </c>
      <c r="B8" s="1" t="s">
        <v>46</v>
      </c>
      <c r="C8" s="1" t="s">
        <v>47</v>
      </c>
      <c r="D8" s="2" t="s">
        <v>13</v>
      </c>
      <c r="E8" s="2" t="s">
        <v>50</v>
      </c>
      <c r="F8" s="1" t="s">
        <v>51</v>
      </c>
      <c r="G8" s="33">
        <v>450</v>
      </c>
      <c r="H8" s="33"/>
      <c r="I8" s="33">
        <f t="shared" si="0"/>
        <v>450</v>
      </c>
      <c r="J8" s="4">
        <f>G8/VLOOKUP(A8,RESUME!$G$3:$I$10,3,FALSE)</f>
        <v>5.2941176470588235E-2</v>
      </c>
      <c r="K8" s="4" t="str">
        <f t="shared" si="1"/>
        <v/>
      </c>
    </row>
    <row r="9" spans="1:11" ht="15.75" x14ac:dyDescent="0.25">
      <c r="A9" s="1" t="s">
        <v>44</v>
      </c>
      <c r="B9" s="1" t="s">
        <v>46</v>
      </c>
      <c r="C9" s="1" t="s">
        <v>47</v>
      </c>
      <c r="D9" s="2" t="s">
        <v>13</v>
      </c>
      <c r="E9" s="2" t="s">
        <v>52</v>
      </c>
      <c r="F9" s="1" t="s">
        <v>53</v>
      </c>
      <c r="G9" s="33">
        <v>450</v>
      </c>
      <c r="H9" s="33"/>
      <c r="I9" s="33">
        <f t="shared" si="0"/>
        <v>450</v>
      </c>
      <c r="J9" s="4">
        <f>G9/VLOOKUP(A9,RESUME!$G$3:$I$10,3,FALSE)</f>
        <v>5.2941176470588235E-2</v>
      </c>
      <c r="K9" s="4" t="str">
        <f t="shared" si="1"/>
        <v/>
      </c>
    </row>
    <row r="10" spans="1:11" ht="15.75" x14ac:dyDescent="0.25">
      <c r="A10" s="1" t="s">
        <v>44</v>
      </c>
      <c r="B10" s="1" t="s">
        <v>46</v>
      </c>
      <c r="C10" s="1" t="s">
        <v>47</v>
      </c>
      <c r="D10" s="2" t="s">
        <v>13</v>
      </c>
      <c r="E10" s="2" t="s">
        <v>54</v>
      </c>
      <c r="F10" s="1" t="s">
        <v>55</v>
      </c>
      <c r="G10" s="33">
        <v>450</v>
      </c>
      <c r="H10" s="33"/>
      <c r="I10" s="33">
        <f t="shared" si="0"/>
        <v>450</v>
      </c>
      <c r="J10" s="4">
        <f>G10/VLOOKUP(A10,RESUME!$G$3:$I$10,3,FALSE)</f>
        <v>5.2941176470588235E-2</v>
      </c>
      <c r="K10" s="4" t="str">
        <f t="shared" si="1"/>
        <v/>
      </c>
    </row>
    <row r="11" spans="1:11" ht="15.75" x14ac:dyDescent="0.25">
      <c r="A11" s="1" t="s">
        <v>44</v>
      </c>
      <c r="B11" s="1" t="s">
        <v>56</v>
      </c>
      <c r="C11" s="1" t="s">
        <v>57</v>
      </c>
      <c r="D11" s="2" t="s">
        <v>13</v>
      </c>
      <c r="E11" s="2" t="s">
        <v>54</v>
      </c>
      <c r="F11" s="1" t="s">
        <v>58</v>
      </c>
      <c r="G11" s="33">
        <v>6300</v>
      </c>
      <c r="H11" s="33"/>
      <c r="I11" s="33">
        <f t="shared" si="0"/>
        <v>6300</v>
      </c>
      <c r="J11" s="4">
        <f>G11/VLOOKUP(A11,RESUME!$G$3:$I$10,3,FALSE)</f>
        <v>0.74117647058823533</v>
      </c>
      <c r="K11" s="4" t="str">
        <f t="shared" si="1"/>
        <v/>
      </c>
    </row>
    <row r="12" spans="1:11" ht="15.75" x14ac:dyDescent="0.25">
      <c r="A12" s="1" t="s">
        <v>44</v>
      </c>
      <c r="B12" s="1" t="s">
        <v>59</v>
      </c>
      <c r="C12" s="1" t="s">
        <v>60</v>
      </c>
      <c r="D12" s="2" t="s">
        <v>13</v>
      </c>
      <c r="E12" s="2" t="s">
        <v>48</v>
      </c>
      <c r="F12" s="1" t="s">
        <v>49</v>
      </c>
      <c r="G12" s="33">
        <v>100</v>
      </c>
      <c r="H12" s="33"/>
      <c r="I12" s="33">
        <f t="shared" si="0"/>
        <v>100</v>
      </c>
      <c r="J12" s="4">
        <f>G12/VLOOKUP(A12,RESUME!$G$3:$I$10,3,FALSE)</f>
        <v>1.1764705882352941E-2</v>
      </c>
      <c r="K12" s="4" t="str">
        <f t="shared" si="1"/>
        <v/>
      </c>
    </row>
    <row r="13" spans="1:11" ht="15.75" x14ac:dyDescent="0.25">
      <c r="A13" s="1" t="s">
        <v>44</v>
      </c>
      <c r="B13" s="1" t="s">
        <v>59</v>
      </c>
      <c r="C13" s="1" t="s">
        <v>60</v>
      </c>
      <c r="D13" s="2" t="s">
        <v>13</v>
      </c>
      <c r="E13" s="2" t="s">
        <v>50</v>
      </c>
      <c r="F13" s="1" t="s">
        <v>51</v>
      </c>
      <c r="G13" s="33">
        <v>100</v>
      </c>
      <c r="H13" s="33"/>
      <c r="I13" s="33">
        <f t="shared" si="0"/>
        <v>100</v>
      </c>
      <c r="J13" s="4">
        <f>G13/VLOOKUP(A13,RESUME!$G$3:$I$10,3,FALSE)</f>
        <v>1.1764705882352941E-2</v>
      </c>
      <c r="K13" s="4" t="str">
        <f t="shared" si="1"/>
        <v/>
      </c>
    </row>
    <row r="14" spans="1:11" ht="15.75" x14ac:dyDescent="0.25">
      <c r="A14" s="1" t="s">
        <v>44</v>
      </c>
      <c r="B14" s="1" t="s">
        <v>59</v>
      </c>
      <c r="C14" s="1" t="s">
        <v>60</v>
      </c>
      <c r="D14" s="2" t="s">
        <v>13</v>
      </c>
      <c r="E14" s="2" t="s">
        <v>52</v>
      </c>
      <c r="F14" s="1" t="s">
        <v>53</v>
      </c>
      <c r="G14" s="33">
        <v>100</v>
      </c>
      <c r="H14" s="33"/>
      <c r="I14" s="33">
        <f t="shared" si="0"/>
        <v>100</v>
      </c>
      <c r="J14" s="4">
        <f>G14/VLOOKUP(A14,RESUME!$G$3:$I$10,3,FALSE)</f>
        <v>1.1764705882352941E-2</v>
      </c>
      <c r="K14" s="4" t="str">
        <f t="shared" si="1"/>
        <v/>
      </c>
    </row>
    <row r="15" spans="1:11" ht="15.75" x14ac:dyDescent="0.25">
      <c r="A15" s="1" t="s">
        <v>44</v>
      </c>
      <c r="B15" s="1" t="s">
        <v>59</v>
      </c>
      <c r="C15" s="1" t="s">
        <v>60</v>
      </c>
      <c r="D15" s="2" t="s">
        <v>13</v>
      </c>
      <c r="E15" s="2" t="s">
        <v>54</v>
      </c>
      <c r="F15" s="1" t="s">
        <v>55</v>
      </c>
      <c r="G15" s="33">
        <v>100</v>
      </c>
      <c r="H15" s="33"/>
      <c r="I15" s="33">
        <f t="shared" si="0"/>
        <v>100</v>
      </c>
      <c r="J15" s="4">
        <f>G15/VLOOKUP(A15,RESUME!$G$3:$I$10,3,FALSE)</f>
        <v>1.1764705882352941E-2</v>
      </c>
      <c r="K15" s="4" t="str">
        <f t="shared" si="1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948-1746-407C-B10D-6F8C9942730C}">
  <dimension ref="A5:K1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6" bestFit="1" customWidth="1"/>
    <col min="3" max="3" width="29.85546875" bestFit="1" customWidth="1"/>
    <col min="4" max="4" width="11.85546875" bestFit="1" customWidth="1"/>
    <col min="5" max="5" width="7.140625" bestFit="1" customWidth="1"/>
    <col min="6" max="6" width="32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316</v>
      </c>
      <c r="B6" s="1" t="s">
        <v>45</v>
      </c>
      <c r="C6" s="1"/>
      <c r="D6" s="2"/>
      <c r="E6" s="2"/>
      <c r="F6" s="1"/>
      <c r="G6" s="33"/>
      <c r="H6" s="33"/>
      <c r="I6" s="33">
        <f t="shared" ref="I6:I10" si="0">G6-H6</f>
        <v>0</v>
      </c>
      <c r="J6" s="4">
        <f>G6/VLOOKUP(A6,RESUME!$G$3:$I$10,3,FALSE)</f>
        <v>0</v>
      </c>
      <c r="K6" s="4" t="str">
        <f t="shared" ref="K6:K10" si="1">IFERROR((G6/H6)*J6,"")</f>
        <v/>
      </c>
    </row>
    <row r="7" spans="1:11" ht="15.75" x14ac:dyDescent="0.25">
      <c r="A7" s="1" t="s">
        <v>316</v>
      </c>
      <c r="B7" s="1" t="s">
        <v>46</v>
      </c>
      <c r="C7" s="1" t="s">
        <v>47</v>
      </c>
      <c r="D7" s="2" t="s">
        <v>13</v>
      </c>
      <c r="E7" s="2" t="s">
        <v>61</v>
      </c>
      <c r="F7" s="1" t="s">
        <v>62</v>
      </c>
      <c r="G7" s="33">
        <v>200</v>
      </c>
      <c r="H7" s="33"/>
      <c r="I7" s="33">
        <f t="shared" si="0"/>
        <v>200</v>
      </c>
      <c r="J7" s="4">
        <f>G7/VLOOKUP(A7,RESUME!$G$3:$I$10,3,FALSE)</f>
        <v>0.2</v>
      </c>
      <c r="K7" s="4" t="str">
        <f t="shared" si="1"/>
        <v/>
      </c>
    </row>
    <row r="8" spans="1:11" ht="15.75" x14ac:dyDescent="0.25">
      <c r="A8" s="1" t="s">
        <v>316</v>
      </c>
      <c r="B8" s="1" t="s">
        <v>56</v>
      </c>
      <c r="C8" s="1" t="s">
        <v>57</v>
      </c>
      <c r="D8" s="2" t="s">
        <v>13</v>
      </c>
      <c r="E8" s="2" t="s">
        <v>63</v>
      </c>
      <c r="F8" s="1" t="s">
        <v>64</v>
      </c>
      <c r="G8" s="33">
        <v>700</v>
      </c>
      <c r="H8" s="33"/>
      <c r="I8" s="33">
        <f t="shared" si="0"/>
        <v>700</v>
      </c>
      <c r="J8" s="4">
        <f>G8/VLOOKUP(A8,RESUME!$G$3:$I$10,3,FALSE)</f>
        <v>0.7</v>
      </c>
      <c r="K8" s="4" t="str">
        <f t="shared" si="1"/>
        <v/>
      </c>
    </row>
    <row r="9" spans="1:11" ht="15.75" x14ac:dyDescent="0.25">
      <c r="A9" s="1" t="s">
        <v>316</v>
      </c>
      <c r="B9" s="1" t="s">
        <v>59</v>
      </c>
      <c r="C9" s="1" t="s">
        <v>60</v>
      </c>
      <c r="D9" s="2" t="s">
        <v>13</v>
      </c>
      <c r="E9" s="2" t="s">
        <v>63</v>
      </c>
      <c r="F9" s="1" t="s">
        <v>62</v>
      </c>
      <c r="G9" s="33">
        <v>50</v>
      </c>
      <c r="H9" s="33"/>
      <c r="I9" s="33">
        <f t="shared" si="0"/>
        <v>50</v>
      </c>
      <c r="J9" s="4">
        <f>G9/VLOOKUP(A9,RESUME!$G$3:$I$10,3,FALSE)</f>
        <v>0.05</v>
      </c>
      <c r="K9" s="4" t="str">
        <f t="shared" si="1"/>
        <v/>
      </c>
    </row>
    <row r="10" spans="1:11" ht="15.75" x14ac:dyDescent="0.25">
      <c r="A10" s="1" t="s">
        <v>316</v>
      </c>
      <c r="B10" s="1" t="s">
        <v>59</v>
      </c>
      <c r="C10" s="1" t="s">
        <v>60</v>
      </c>
      <c r="D10" s="2" t="s">
        <v>13</v>
      </c>
      <c r="E10" s="2" t="s">
        <v>65</v>
      </c>
      <c r="F10" s="1" t="s">
        <v>66</v>
      </c>
      <c r="G10" s="33">
        <v>50</v>
      </c>
      <c r="H10" s="33"/>
      <c r="I10" s="33">
        <f t="shared" si="0"/>
        <v>50</v>
      </c>
      <c r="J10" s="4">
        <f>G10/VLOOKUP(A10,RESUME!$G$3:$I$10,3,FALSE)</f>
        <v>0.05</v>
      </c>
      <c r="K10" s="4" t="str">
        <f t="shared" si="1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D267-DC40-4AD2-84A4-D461CD69068E}">
  <dimension ref="A5:K6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7.5703125" bestFit="1" customWidth="1"/>
    <col min="3" max="3" width="88.5703125" bestFit="1" customWidth="1"/>
    <col min="4" max="4" width="12.2851562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67</v>
      </c>
      <c r="B6" s="56" t="s">
        <v>68</v>
      </c>
      <c r="C6" s="1" t="s">
        <v>69</v>
      </c>
      <c r="D6" s="2" t="s">
        <v>13</v>
      </c>
      <c r="E6" s="2" t="s">
        <v>19</v>
      </c>
      <c r="F6" s="1"/>
      <c r="G6" s="33"/>
      <c r="H6" s="33">
        <v>37.9</v>
      </c>
      <c r="I6" s="33">
        <f t="shared" ref="I6:I60" si="0">G6-H6</f>
        <v>-37.9</v>
      </c>
      <c r="J6" s="4">
        <f>G6/VLOOKUP(A6,RESUME!$G$3:$I$10,3,FALSE)</f>
        <v>0</v>
      </c>
      <c r="K6" s="4">
        <f t="shared" ref="K6:K60" si="1">IFERROR((G6/H6)*J6,"")</f>
        <v>0</v>
      </c>
    </row>
    <row r="7" spans="1:11" ht="15.75" x14ac:dyDescent="0.25">
      <c r="A7" s="1" t="s">
        <v>67</v>
      </c>
      <c r="B7" s="56" t="s">
        <v>70</v>
      </c>
      <c r="C7" s="1" t="s">
        <v>71</v>
      </c>
      <c r="D7" s="2" t="s">
        <v>13</v>
      </c>
      <c r="E7" s="2" t="s">
        <v>72</v>
      </c>
      <c r="F7" s="1"/>
      <c r="G7" s="33">
        <v>4917.96</v>
      </c>
      <c r="H7" s="33">
        <v>4917.96</v>
      </c>
      <c r="I7" s="33">
        <f t="shared" si="0"/>
        <v>0</v>
      </c>
      <c r="J7" s="4">
        <f>G7/VLOOKUP(A7,RESUME!$G$3:$I$10,3,FALSE)</f>
        <v>5.6433869134324049E-2</v>
      </c>
      <c r="K7" s="4">
        <f t="shared" si="1"/>
        <v>5.6433869134324049E-2</v>
      </c>
    </row>
    <row r="8" spans="1:11" ht="15.75" x14ac:dyDescent="0.25">
      <c r="A8" s="1" t="s">
        <v>67</v>
      </c>
      <c r="B8" s="56" t="s">
        <v>73</v>
      </c>
      <c r="C8" s="1" t="s">
        <v>74</v>
      </c>
      <c r="D8" s="2" t="s">
        <v>13</v>
      </c>
      <c r="E8" s="2" t="s">
        <v>75</v>
      </c>
      <c r="F8" s="1"/>
      <c r="G8" s="33">
        <v>281</v>
      </c>
      <c r="H8" s="33">
        <v>290.63</v>
      </c>
      <c r="I8" s="33">
        <f t="shared" si="0"/>
        <v>-9.6299999999999955</v>
      </c>
      <c r="J8" s="4">
        <f>G8/VLOOKUP(A8,RESUME!$G$3:$I$10,3,FALSE)</f>
        <v>3.2244908919033619E-3</v>
      </c>
      <c r="K8" s="4">
        <f t="shared" si="1"/>
        <v>3.1176476641256745E-3</v>
      </c>
    </row>
    <row r="9" spans="1:11" ht="15.75" x14ac:dyDescent="0.25">
      <c r="A9" s="1" t="s">
        <v>67</v>
      </c>
      <c r="B9" s="56" t="s">
        <v>73</v>
      </c>
      <c r="C9" s="1" t="s">
        <v>74</v>
      </c>
      <c r="D9" s="2" t="s">
        <v>15</v>
      </c>
      <c r="E9" s="2" t="s">
        <v>75</v>
      </c>
      <c r="F9" s="1"/>
      <c r="G9" s="33">
        <v>64.58</v>
      </c>
      <c r="H9" s="33">
        <v>64.58</v>
      </c>
      <c r="I9" s="33">
        <f t="shared" si="0"/>
        <v>0</v>
      </c>
      <c r="J9" s="4">
        <f>G9/VLOOKUP(A9,RESUME!$G$3:$I$10,3,FALSE)</f>
        <v>7.4105915231003239E-4</v>
      </c>
      <c r="K9" s="4">
        <f t="shared" si="1"/>
        <v>7.4105915231003239E-4</v>
      </c>
    </row>
    <row r="10" spans="1:11" ht="15.75" x14ac:dyDescent="0.25">
      <c r="A10" s="1" t="s">
        <v>67</v>
      </c>
      <c r="B10" s="56" t="s">
        <v>76</v>
      </c>
      <c r="C10" s="1" t="s">
        <v>77</v>
      </c>
      <c r="D10" s="2" t="s">
        <v>13</v>
      </c>
      <c r="E10" s="2" t="s">
        <v>75</v>
      </c>
      <c r="F10" s="1"/>
      <c r="G10" s="33">
        <v>2027.63</v>
      </c>
      <c r="H10" s="33">
        <v>3926.72</v>
      </c>
      <c r="I10" s="33">
        <f t="shared" si="0"/>
        <v>-1899.0899999999997</v>
      </c>
      <c r="J10" s="4">
        <f>G10/VLOOKUP(A10,RESUME!$G$3:$I$10,3,FALSE)</f>
        <v>2.3267168922242044E-2</v>
      </c>
      <c r="K10" s="4">
        <f t="shared" si="1"/>
        <v>1.2014406354872676E-2</v>
      </c>
    </row>
    <row r="11" spans="1:11" ht="15.75" x14ac:dyDescent="0.25">
      <c r="A11" s="1" t="s">
        <v>67</v>
      </c>
      <c r="B11" s="56" t="s">
        <v>78</v>
      </c>
      <c r="C11" s="1" t="s">
        <v>79</v>
      </c>
      <c r="D11" s="2" t="s">
        <v>13</v>
      </c>
      <c r="E11" s="2" t="s">
        <v>75</v>
      </c>
      <c r="F11" s="1"/>
      <c r="G11" s="33">
        <v>1453.67</v>
      </c>
      <c r="H11" s="33">
        <v>3736.9</v>
      </c>
      <c r="I11" s="33">
        <f t="shared" si="0"/>
        <v>-2283.23</v>
      </c>
      <c r="J11" s="4">
        <f>G11/VLOOKUP(A11,RESUME!$G$3:$I$10,3,FALSE)</f>
        <v>1.6680945462039718E-2</v>
      </c>
      <c r="K11" s="4">
        <f t="shared" si="1"/>
        <v>6.4889587598820613E-3</v>
      </c>
    </row>
    <row r="12" spans="1:11" ht="15.75" x14ac:dyDescent="0.25">
      <c r="A12" s="1" t="s">
        <v>67</v>
      </c>
      <c r="B12" s="56" t="s">
        <v>80</v>
      </c>
      <c r="C12" s="1" t="s">
        <v>81</v>
      </c>
      <c r="D12" s="2" t="s">
        <v>13</v>
      </c>
      <c r="E12" s="2" t="s">
        <v>82</v>
      </c>
      <c r="F12" s="1"/>
      <c r="G12" s="33">
        <v>531</v>
      </c>
      <c r="H12" s="33">
        <v>531.61</v>
      </c>
      <c r="I12" s="33">
        <f t="shared" si="0"/>
        <v>-0.61000000000001364</v>
      </c>
      <c r="J12" s="4">
        <f>G12/VLOOKUP(A12,RESUME!$G$3:$I$10,3,FALSE)</f>
        <v>6.0932550306074208E-3</v>
      </c>
      <c r="K12" s="4">
        <f t="shared" si="1"/>
        <v>6.0862632780657629E-3</v>
      </c>
    </row>
    <row r="13" spans="1:11" ht="15.75" x14ac:dyDescent="0.25">
      <c r="A13" s="1" t="s">
        <v>67</v>
      </c>
      <c r="B13" s="1" t="s">
        <v>154</v>
      </c>
      <c r="C13" s="1" t="s">
        <v>83</v>
      </c>
      <c r="D13" s="2" t="s">
        <v>13</v>
      </c>
      <c r="E13" s="2" t="s">
        <v>75</v>
      </c>
      <c r="F13" s="1"/>
      <c r="G13" s="33">
        <v>2429</v>
      </c>
      <c r="H13" s="33"/>
      <c r="I13" s="33">
        <f t="shared" si="0"/>
        <v>2429</v>
      </c>
      <c r="J13" s="4">
        <f>G13/VLOOKUP(A13,RESUME!$G$3:$I$10,3,FALSE)</f>
        <v>2.7872912371648635E-2</v>
      </c>
      <c r="K13" s="4" t="str">
        <f t="shared" si="1"/>
        <v/>
      </c>
    </row>
    <row r="14" spans="1:11" ht="15.75" x14ac:dyDescent="0.25">
      <c r="A14" s="1" t="s">
        <v>67</v>
      </c>
      <c r="B14" s="1" t="s">
        <v>154</v>
      </c>
      <c r="C14" s="1" t="s">
        <v>84</v>
      </c>
      <c r="D14" s="2" t="s">
        <v>13</v>
      </c>
      <c r="E14" s="2" t="s">
        <v>75</v>
      </c>
      <c r="F14" s="1"/>
      <c r="G14" s="33">
        <v>200</v>
      </c>
      <c r="H14" s="33"/>
      <c r="I14" s="33">
        <f t="shared" si="0"/>
        <v>200</v>
      </c>
      <c r="J14" s="4">
        <f>G14/VLOOKUP(A14,RESUME!$G$3:$I$10,3,FALSE)</f>
        <v>2.2950113109632469E-3</v>
      </c>
      <c r="K14" s="4" t="str">
        <f t="shared" si="1"/>
        <v/>
      </c>
    </row>
    <row r="15" spans="1:11" ht="15.75" x14ac:dyDescent="0.25">
      <c r="A15" s="1" t="s">
        <v>67</v>
      </c>
      <c r="B15" s="56" t="s">
        <v>85</v>
      </c>
      <c r="C15" s="1" t="s">
        <v>86</v>
      </c>
      <c r="D15" s="2" t="s">
        <v>13</v>
      </c>
      <c r="E15" s="2" t="s">
        <v>75</v>
      </c>
      <c r="F15" s="1"/>
      <c r="G15" s="33">
        <v>3004.76</v>
      </c>
      <c r="H15" s="33">
        <v>2634.57</v>
      </c>
      <c r="I15" s="33">
        <f t="shared" si="0"/>
        <v>370.19000000000005</v>
      </c>
      <c r="J15" s="4">
        <f>G15/VLOOKUP(A15,RESUME!$G$3:$I$10,3,FALSE)</f>
        <v>3.4479790933649633E-2</v>
      </c>
      <c r="K15" s="4">
        <f t="shared" si="1"/>
        <v>3.9324632333091573E-2</v>
      </c>
    </row>
    <row r="16" spans="1:11" ht="15.75" x14ac:dyDescent="0.25">
      <c r="A16" s="1" t="s">
        <v>67</v>
      </c>
      <c r="B16" s="56" t="s">
        <v>85</v>
      </c>
      <c r="C16" s="1" t="s">
        <v>86</v>
      </c>
      <c r="D16" s="2" t="s">
        <v>15</v>
      </c>
      <c r="E16" s="2" t="s">
        <v>75</v>
      </c>
      <c r="F16" s="1"/>
      <c r="G16" s="33">
        <v>1543.55</v>
      </c>
      <c r="H16" s="33">
        <v>1343.55</v>
      </c>
      <c r="I16" s="33">
        <f t="shared" si="0"/>
        <v>200</v>
      </c>
      <c r="J16" s="4">
        <f>G16/VLOOKUP(A16,RESUME!$G$3:$I$10,3,FALSE)</f>
        <v>1.7712323545186599E-2</v>
      </c>
      <c r="K16" s="4">
        <f t="shared" si="1"/>
        <v>2.0348968782831139E-2</v>
      </c>
    </row>
    <row r="17" spans="1:11" ht="15.75" x14ac:dyDescent="0.25">
      <c r="A17" s="1" t="s">
        <v>67</v>
      </c>
      <c r="B17" s="56" t="s">
        <v>87</v>
      </c>
      <c r="C17" s="1" t="s">
        <v>88</v>
      </c>
      <c r="D17" s="2" t="s">
        <v>13</v>
      </c>
      <c r="E17" s="2" t="s">
        <v>75</v>
      </c>
      <c r="F17" s="1"/>
      <c r="G17" s="33">
        <v>938.47</v>
      </c>
      <c r="H17" s="33">
        <v>888.47</v>
      </c>
      <c r="I17" s="33">
        <f t="shared" si="0"/>
        <v>50</v>
      </c>
      <c r="J17" s="4">
        <f>G17/VLOOKUP(A17,RESUME!$G$3:$I$10,3,FALSE)</f>
        <v>1.0768996324998392E-2</v>
      </c>
      <c r="K17" s="4">
        <f t="shared" si="1"/>
        <v>1.1375037965402592E-2</v>
      </c>
    </row>
    <row r="18" spans="1:11" ht="15.75" x14ac:dyDescent="0.25">
      <c r="A18" s="1" t="s">
        <v>67</v>
      </c>
      <c r="B18" s="56" t="s">
        <v>87</v>
      </c>
      <c r="C18" s="1" t="s">
        <v>88</v>
      </c>
      <c r="D18" s="2" t="s">
        <v>24</v>
      </c>
      <c r="E18" s="2" t="s">
        <v>75</v>
      </c>
      <c r="F18" s="1"/>
      <c r="G18" s="33">
        <v>175.55</v>
      </c>
      <c r="H18" s="33">
        <v>165.55</v>
      </c>
      <c r="I18" s="33">
        <f t="shared" si="0"/>
        <v>10</v>
      </c>
      <c r="J18" s="4">
        <f>G18/VLOOKUP(A18,RESUME!$G$3:$I$10,3,FALSE)</f>
        <v>2.0144461781979902E-3</v>
      </c>
      <c r="K18" s="4">
        <f t="shared" si="1"/>
        <v>2.1361282185602968E-3</v>
      </c>
    </row>
    <row r="19" spans="1:11" ht="15.75" x14ac:dyDescent="0.25">
      <c r="A19" s="1" t="s">
        <v>67</v>
      </c>
      <c r="B19" s="56" t="s">
        <v>87</v>
      </c>
      <c r="C19" s="1" t="s">
        <v>88</v>
      </c>
      <c r="D19" s="2" t="s">
        <v>15</v>
      </c>
      <c r="E19" s="2" t="s">
        <v>75</v>
      </c>
      <c r="F19" s="1"/>
      <c r="G19" s="33">
        <v>2294.39</v>
      </c>
      <c r="H19" s="33">
        <v>2225.52</v>
      </c>
      <c r="I19" s="33">
        <f t="shared" si="0"/>
        <v>68.869999999999891</v>
      </c>
      <c r="J19" s="4">
        <f>G19/VLOOKUP(A19,RESUME!$G$3:$I$10,3,FALSE)</f>
        <v>2.632825500880482E-2</v>
      </c>
      <c r="K19" s="4">
        <f t="shared" si="1"/>
        <v>2.7142998045244116E-2</v>
      </c>
    </row>
    <row r="20" spans="1:11" ht="15.75" x14ac:dyDescent="0.25">
      <c r="A20" s="1" t="s">
        <v>67</v>
      </c>
      <c r="B20" s="56" t="s">
        <v>89</v>
      </c>
      <c r="C20" s="1" t="s">
        <v>90</v>
      </c>
      <c r="D20" s="2" t="s">
        <v>13</v>
      </c>
      <c r="E20" s="2" t="s">
        <v>75</v>
      </c>
      <c r="F20" s="1"/>
      <c r="G20" s="33">
        <v>1987.05</v>
      </c>
      <c r="H20" s="33">
        <v>1987.06</v>
      </c>
      <c r="I20" s="33">
        <f t="shared" si="0"/>
        <v>-9.9999999999909051E-3</v>
      </c>
      <c r="J20" s="4">
        <f>G20/VLOOKUP(A20,RESUME!$G$3:$I$10,3,FALSE)</f>
        <v>2.2801511127247598E-2</v>
      </c>
      <c r="K20" s="4">
        <f t="shared" si="1"/>
        <v>2.2801396377259538E-2</v>
      </c>
    </row>
    <row r="21" spans="1:11" ht="15.75" x14ac:dyDescent="0.25">
      <c r="A21" s="1" t="s">
        <v>67</v>
      </c>
      <c r="B21" s="56" t="s">
        <v>89</v>
      </c>
      <c r="C21" s="1" t="s">
        <v>90</v>
      </c>
      <c r="D21" s="2" t="s">
        <v>15</v>
      </c>
      <c r="E21" s="2" t="s">
        <v>75</v>
      </c>
      <c r="F21" s="1"/>
      <c r="G21" s="33">
        <v>1692.67</v>
      </c>
      <c r="H21" s="33">
        <v>1692.7</v>
      </c>
      <c r="I21" s="33">
        <f t="shared" si="0"/>
        <v>-2.9999999999972715E-2</v>
      </c>
      <c r="J21" s="4">
        <f>G21/VLOOKUP(A21,RESUME!$G$3:$I$10,3,FALSE)</f>
        <v>1.9423483978640799E-2</v>
      </c>
      <c r="K21" s="4">
        <f t="shared" si="1"/>
        <v>1.9423139733045384E-2</v>
      </c>
    </row>
    <row r="22" spans="1:11" ht="15.75" x14ac:dyDescent="0.25">
      <c r="A22" s="1" t="s">
        <v>67</v>
      </c>
      <c r="B22" s="56" t="s">
        <v>91</v>
      </c>
      <c r="C22" s="1" t="s">
        <v>92</v>
      </c>
      <c r="D22" s="2" t="s">
        <v>13</v>
      </c>
      <c r="E22" s="2" t="s">
        <v>75</v>
      </c>
      <c r="F22" s="1"/>
      <c r="G22" s="33">
        <v>569</v>
      </c>
      <c r="H22" s="33">
        <v>469.69</v>
      </c>
      <c r="I22" s="33">
        <f t="shared" si="0"/>
        <v>99.31</v>
      </c>
      <c r="J22" s="4">
        <f>G22/VLOOKUP(A22,RESUME!$G$3:$I$10,3,FALSE)</f>
        <v>6.5293071796904377E-3</v>
      </c>
      <c r="K22" s="4">
        <f t="shared" si="1"/>
        <v>7.9098464630796041E-3</v>
      </c>
    </row>
    <row r="23" spans="1:11" ht="15.75" x14ac:dyDescent="0.25">
      <c r="A23" s="1" t="s">
        <v>67</v>
      </c>
      <c r="B23" s="56" t="s">
        <v>91</v>
      </c>
      <c r="C23" s="1" t="s">
        <v>92</v>
      </c>
      <c r="D23" s="2" t="s">
        <v>15</v>
      </c>
      <c r="E23" s="2" t="s">
        <v>75</v>
      </c>
      <c r="F23" s="1"/>
      <c r="G23" s="33">
        <v>300</v>
      </c>
      <c r="H23" s="33">
        <v>290.62</v>
      </c>
      <c r="I23" s="33">
        <f t="shared" si="0"/>
        <v>9.3799999999999955</v>
      </c>
      <c r="J23" s="4">
        <f>G23/VLOOKUP(A23,RESUME!$G$3:$I$10,3,FALSE)</f>
        <v>3.4425169664448704E-3</v>
      </c>
      <c r="K23" s="4">
        <f t="shared" si="1"/>
        <v>3.5536270385157975E-3</v>
      </c>
    </row>
    <row r="24" spans="1:11" ht="15.75" x14ac:dyDescent="0.25">
      <c r="A24" s="1" t="s">
        <v>67</v>
      </c>
      <c r="B24" s="56" t="s">
        <v>93</v>
      </c>
      <c r="C24" s="1" t="s">
        <v>94</v>
      </c>
      <c r="D24" s="2" t="s">
        <v>13</v>
      </c>
      <c r="E24" s="2" t="s">
        <v>95</v>
      </c>
      <c r="F24" s="1"/>
      <c r="G24" s="33">
        <v>2288.86</v>
      </c>
      <c r="H24" s="33">
        <v>1193.82</v>
      </c>
      <c r="I24" s="33">
        <f t="shared" si="0"/>
        <v>1095.0400000000002</v>
      </c>
      <c r="J24" s="4">
        <f>G24/VLOOKUP(A24,RESUME!$G$3:$I$10,3,FALSE)</f>
        <v>2.6264797946056691E-2</v>
      </c>
      <c r="K24" s="4">
        <f t="shared" si="1"/>
        <v>5.0356373177540437E-2</v>
      </c>
    </row>
    <row r="25" spans="1:11" ht="15.75" x14ac:dyDescent="0.25">
      <c r="A25" s="1" t="s">
        <v>67</v>
      </c>
      <c r="B25" s="56" t="s">
        <v>96</v>
      </c>
      <c r="C25" s="1" t="s">
        <v>97</v>
      </c>
      <c r="D25" s="2" t="s">
        <v>13</v>
      </c>
      <c r="E25" s="2" t="s">
        <v>98</v>
      </c>
      <c r="F25" s="1"/>
      <c r="G25" s="33">
        <v>36500.160000000003</v>
      </c>
      <c r="H25" s="33">
        <v>36746.160000000003</v>
      </c>
      <c r="I25" s="33">
        <f t="shared" si="0"/>
        <v>-246</v>
      </c>
      <c r="J25" s="4">
        <f>G25/VLOOKUP(A25,RESUME!$G$3:$I$10,3,FALSE)</f>
        <v>0.4188414002598414</v>
      </c>
      <c r="K25" s="4">
        <f t="shared" si="1"/>
        <v>0.41603743422736555</v>
      </c>
    </row>
    <row r="26" spans="1:11" ht="15.75" x14ac:dyDescent="0.25">
      <c r="A26" s="1" t="s">
        <v>67</v>
      </c>
      <c r="B26" s="56" t="s">
        <v>99</v>
      </c>
      <c r="C26" s="1" t="s">
        <v>100</v>
      </c>
      <c r="D26" s="2" t="s">
        <v>13</v>
      </c>
      <c r="E26" s="2" t="s">
        <v>75</v>
      </c>
      <c r="F26" s="1"/>
      <c r="G26" s="33">
        <v>1440.17</v>
      </c>
      <c r="H26" s="33">
        <v>1719.73</v>
      </c>
      <c r="I26" s="33">
        <f t="shared" si="0"/>
        <v>-279.55999999999995</v>
      </c>
      <c r="J26" s="4">
        <f>G26/VLOOKUP(A26,RESUME!$G$3:$I$10,3,FALSE)</f>
        <v>1.6526032198549697E-2</v>
      </c>
      <c r="K26" s="4">
        <f t="shared" si="1"/>
        <v>1.3839553762151803E-2</v>
      </c>
    </row>
    <row r="27" spans="1:11" ht="15.75" x14ac:dyDescent="0.25">
      <c r="A27" s="1" t="s">
        <v>67</v>
      </c>
      <c r="B27" s="56" t="s">
        <v>99</v>
      </c>
      <c r="C27" s="1" t="s">
        <v>100</v>
      </c>
      <c r="D27" s="2" t="s">
        <v>101</v>
      </c>
      <c r="E27" s="2" t="s">
        <v>75</v>
      </c>
      <c r="F27" s="1"/>
      <c r="G27" s="33">
        <v>14.27</v>
      </c>
      <c r="H27" s="33">
        <v>14.27</v>
      </c>
      <c r="I27" s="33">
        <f t="shared" si="0"/>
        <v>0</v>
      </c>
      <c r="J27" s="4">
        <f>G27/VLOOKUP(A27,RESUME!$G$3:$I$10,3,FALSE)</f>
        <v>1.6374905703722768E-4</v>
      </c>
      <c r="K27" s="4">
        <f t="shared" si="1"/>
        <v>1.6374905703722768E-4</v>
      </c>
    </row>
    <row r="28" spans="1:11" ht="15.75" x14ac:dyDescent="0.25">
      <c r="A28" s="1" t="s">
        <v>67</v>
      </c>
      <c r="B28" s="56" t="s">
        <v>99</v>
      </c>
      <c r="C28" s="1" t="s">
        <v>100</v>
      </c>
      <c r="D28" s="2" t="s">
        <v>24</v>
      </c>
      <c r="E28" s="2" t="s">
        <v>75</v>
      </c>
      <c r="F28" s="1"/>
      <c r="G28" s="33">
        <v>35.56</v>
      </c>
      <c r="H28" s="33">
        <v>35.56</v>
      </c>
      <c r="I28" s="33">
        <f t="shared" si="0"/>
        <v>0</v>
      </c>
      <c r="J28" s="4">
        <f>G28/VLOOKUP(A28,RESUME!$G$3:$I$10,3,FALSE)</f>
        <v>4.0805301108926532E-4</v>
      </c>
      <c r="K28" s="4">
        <f t="shared" si="1"/>
        <v>4.0805301108926532E-4</v>
      </c>
    </row>
    <row r="29" spans="1:11" ht="15.75" x14ac:dyDescent="0.25">
      <c r="A29" s="1" t="s">
        <v>67</v>
      </c>
      <c r="B29" s="56" t="s">
        <v>99</v>
      </c>
      <c r="C29" s="1" t="s">
        <v>100</v>
      </c>
      <c r="D29" s="2" t="s">
        <v>15</v>
      </c>
      <c r="E29" s="2" t="s">
        <v>75</v>
      </c>
      <c r="F29" s="1"/>
      <c r="G29" s="33">
        <v>9.69</v>
      </c>
      <c r="H29" s="33">
        <v>9.69</v>
      </c>
      <c r="I29" s="33">
        <f t="shared" si="0"/>
        <v>0</v>
      </c>
      <c r="J29" s="4">
        <f>G29/VLOOKUP(A29,RESUME!$G$3:$I$10,3,FALSE)</f>
        <v>1.1119329801616931E-4</v>
      </c>
      <c r="K29" s="4">
        <f t="shared" si="1"/>
        <v>1.1119329801616931E-4</v>
      </c>
    </row>
    <row r="30" spans="1:11" ht="15.75" x14ac:dyDescent="0.25">
      <c r="A30" s="1" t="s">
        <v>67</v>
      </c>
      <c r="B30" s="56" t="s">
        <v>102</v>
      </c>
      <c r="C30" s="1" t="s">
        <v>103</v>
      </c>
      <c r="D30" s="2" t="s">
        <v>13</v>
      </c>
      <c r="E30" s="2" t="s">
        <v>75</v>
      </c>
      <c r="F30" s="1"/>
      <c r="G30" s="33">
        <v>400</v>
      </c>
      <c r="H30" s="33">
        <v>1808.8</v>
      </c>
      <c r="I30" s="33">
        <f t="shared" si="0"/>
        <v>-1408.8</v>
      </c>
      <c r="J30" s="4">
        <f>G30/VLOOKUP(A30,RESUME!$G$3:$I$10,3,FALSE)</f>
        <v>4.5900226219264938E-3</v>
      </c>
      <c r="K30" s="4">
        <f t="shared" si="1"/>
        <v>1.0150425966224002E-3</v>
      </c>
    </row>
    <row r="31" spans="1:11" ht="15.75" x14ac:dyDescent="0.25">
      <c r="A31" s="1" t="s">
        <v>67</v>
      </c>
      <c r="B31" s="56" t="s">
        <v>104</v>
      </c>
      <c r="C31" s="1" t="s">
        <v>105</v>
      </c>
      <c r="D31" s="2" t="s">
        <v>13</v>
      </c>
      <c r="E31" s="2" t="s">
        <v>82</v>
      </c>
      <c r="F31" s="1"/>
      <c r="G31" s="33">
        <v>100</v>
      </c>
      <c r="H31" s="33"/>
      <c r="I31" s="33">
        <f t="shared" si="0"/>
        <v>100</v>
      </c>
      <c r="J31" s="4">
        <f>G31/VLOOKUP(A31,RESUME!$G$3:$I$10,3,FALSE)</f>
        <v>1.1475056554816235E-3</v>
      </c>
      <c r="K31" s="4" t="str">
        <f t="shared" si="1"/>
        <v/>
      </c>
    </row>
    <row r="32" spans="1:11" ht="15.75" x14ac:dyDescent="0.25">
      <c r="A32" s="1" t="s">
        <v>67</v>
      </c>
      <c r="B32" s="56" t="s">
        <v>106</v>
      </c>
      <c r="C32" s="1" t="s">
        <v>107</v>
      </c>
      <c r="D32" s="2" t="s">
        <v>13</v>
      </c>
      <c r="E32" s="2" t="s">
        <v>82</v>
      </c>
      <c r="F32" s="1"/>
      <c r="G32" s="33">
        <v>100</v>
      </c>
      <c r="H32" s="33"/>
      <c r="I32" s="33">
        <f t="shared" si="0"/>
        <v>100</v>
      </c>
      <c r="J32" s="4">
        <f>G32/VLOOKUP(A32,RESUME!$G$3:$I$10,3,FALSE)</f>
        <v>1.1475056554816235E-3</v>
      </c>
      <c r="K32" s="4" t="str">
        <f t="shared" si="1"/>
        <v/>
      </c>
    </row>
    <row r="33" spans="1:11" ht="15.75" x14ac:dyDescent="0.25">
      <c r="A33" s="1" t="s">
        <v>67</v>
      </c>
      <c r="B33" s="56" t="s">
        <v>108</v>
      </c>
      <c r="C33" s="1" t="s">
        <v>109</v>
      </c>
      <c r="D33" s="2" t="s">
        <v>13</v>
      </c>
      <c r="E33" s="2" t="s">
        <v>82</v>
      </c>
      <c r="F33" s="1"/>
      <c r="G33" s="33">
        <v>100</v>
      </c>
      <c r="H33" s="33">
        <v>507.01</v>
      </c>
      <c r="I33" s="33">
        <f t="shared" si="0"/>
        <v>-407.01</v>
      </c>
      <c r="J33" s="4">
        <f>G33/VLOOKUP(A33,RESUME!$G$3:$I$10,3,FALSE)</f>
        <v>1.1475056554816235E-3</v>
      </c>
      <c r="K33" s="4">
        <f t="shared" si="1"/>
        <v>2.2632801236299548E-4</v>
      </c>
    </row>
    <row r="34" spans="1:11" ht="15.75" x14ac:dyDescent="0.25">
      <c r="A34" s="1" t="s">
        <v>67</v>
      </c>
      <c r="B34" s="56" t="s">
        <v>110</v>
      </c>
      <c r="C34" s="1" t="s">
        <v>111</v>
      </c>
      <c r="D34" s="2" t="s">
        <v>13</v>
      </c>
      <c r="E34" s="2" t="s">
        <v>82</v>
      </c>
      <c r="F34" s="1"/>
      <c r="G34" s="33">
        <v>100</v>
      </c>
      <c r="H34" s="33"/>
      <c r="I34" s="33">
        <f t="shared" si="0"/>
        <v>100</v>
      </c>
      <c r="J34" s="4">
        <f>G34/VLOOKUP(A34,RESUME!$G$3:$I$10,3,FALSE)</f>
        <v>1.1475056554816235E-3</v>
      </c>
      <c r="K34" s="4" t="str">
        <f t="shared" si="1"/>
        <v/>
      </c>
    </row>
    <row r="35" spans="1:11" ht="15.75" x14ac:dyDescent="0.25">
      <c r="A35" s="1" t="s">
        <v>67</v>
      </c>
      <c r="B35" s="56" t="s">
        <v>110</v>
      </c>
      <c r="C35" s="1" t="s">
        <v>111</v>
      </c>
      <c r="D35" s="2" t="s">
        <v>24</v>
      </c>
      <c r="E35" s="2" t="s">
        <v>75</v>
      </c>
      <c r="F35" s="1"/>
      <c r="G35" s="33">
        <v>250</v>
      </c>
      <c r="H35" s="33"/>
      <c r="I35" s="33">
        <f t="shared" si="0"/>
        <v>250</v>
      </c>
      <c r="J35" s="4">
        <f>G35/VLOOKUP(A35,RESUME!$G$3:$I$10,3,FALSE)</f>
        <v>2.8687641387040589E-3</v>
      </c>
      <c r="K35" s="4" t="str">
        <f t="shared" si="1"/>
        <v/>
      </c>
    </row>
    <row r="36" spans="1:11" ht="15.75" x14ac:dyDescent="0.25">
      <c r="A36" s="1" t="s">
        <v>67</v>
      </c>
      <c r="B36" s="56" t="s">
        <v>110</v>
      </c>
      <c r="C36" s="1" t="s">
        <v>111</v>
      </c>
      <c r="D36" s="2" t="s">
        <v>15</v>
      </c>
      <c r="E36" s="2" t="s">
        <v>75</v>
      </c>
      <c r="F36" s="1"/>
      <c r="G36" s="33">
        <v>300</v>
      </c>
      <c r="H36" s="33"/>
      <c r="I36" s="33">
        <f t="shared" si="0"/>
        <v>300</v>
      </c>
      <c r="J36" s="4">
        <f>G36/VLOOKUP(A36,RESUME!$G$3:$I$10,3,FALSE)</f>
        <v>3.4425169664448704E-3</v>
      </c>
      <c r="K36" s="4" t="str">
        <f t="shared" si="1"/>
        <v/>
      </c>
    </row>
    <row r="37" spans="1:11" ht="15.75" x14ac:dyDescent="0.25">
      <c r="A37" s="1" t="s">
        <v>67</v>
      </c>
      <c r="B37" s="56" t="s">
        <v>112</v>
      </c>
      <c r="C37" s="1" t="s">
        <v>113</v>
      </c>
      <c r="D37" s="2" t="s">
        <v>13</v>
      </c>
      <c r="E37" s="2" t="s">
        <v>82</v>
      </c>
      <c r="F37" s="1"/>
      <c r="G37" s="33">
        <v>100</v>
      </c>
      <c r="H37" s="33"/>
      <c r="I37" s="33">
        <f t="shared" si="0"/>
        <v>100</v>
      </c>
      <c r="J37" s="4">
        <f>G37/VLOOKUP(A37,RESUME!$G$3:$I$10,3,FALSE)</f>
        <v>1.1475056554816235E-3</v>
      </c>
      <c r="K37" s="4" t="str">
        <f t="shared" si="1"/>
        <v/>
      </c>
    </row>
    <row r="38" spans="1:11" ht="15.75" x14ac:dyDescent="0.25">
      <c r="A38" s="1" t="s">
        <v>67</v>
      </c>
      <c r="B38" s="56" t="s">
        <v>114</v>
      </c>
      <c r="C38" s="1" t="s">
        <v>115</v>
      </c>
      <c r="D38" s="2" t="s">
        <v>13</v>
      </c>
      <c r="E38" s="2" t="s">
        <v>82</v>
      </c>
      <c r="F38" s="1"/>
      <c r="G38" s="33">
        <v>100</v>
      </c>
      <c r="H38" s="33"/>
      <c r="I38" s="33">
        <f t="shared" si="0"/>
        <v>100</v>
      </c>
      <c r="J38" s="4">
        <f>G38/VLOOKUP(A38,RESUME!$G$3:$I$10,3,FALSE)</f>
        <v>1.1475056554816235E-3</v>
      </c>
      <c r="K38" s="4" t="str">
        <f t="shared" si="1"/>
        <v/>
      </c>
    </row>
    <row r="39" spans="1:11" ht="15.75" x14ac:dyDescent="0.25">
      <c r="A39" s="1" t="s">
        <v>67</v>
      </c>
      <c r="B39" s="56" t="s">
        <v>116</v>
      </c>
      <c r="C39" s="1" t="s">
        <v>117</v>
      </c>
      <c r="D39" s="2" t="s">
        <v>13</v>
      </c>
      <c r="E39" s="2" t="s">
        <v>75</v>
      </c>
      <c r="F39" s="1"/>
      <c r="G39" s="33">
        <v>328.75</v>
      </c>
      <c r="H39" s="33">
        <v>313.62</v>
      </c>
      <c r="I39" s="33">
        <f t="shared" si="0"/>
        <v>15.129999999999995</v>
      </c>
      <c r="J39" s="4">
        <f>G39/VLOOKUP(A39,RESUME!$G$3:$I$10,3,FALSE)</f>
        <v>3.7724248423958375E-3</v>
      </c>
      <c r="K39" s="4">
        <f t="shared" si="1"/>
        <v>3.9544182990167449E-3</v>
      </c>
    </row>
    <row r="40" spans="1:11" ht="15.75" x14ac:dyDescent="0.25">
      <c r="A40" s="1" t="s">
        <v>67</v>
      </c>
      <c r="B40" s="56" t="s">
        <v>116</v>
      </c>
      <c r="C40" s="1" t="s">
        <v>117</v>
      </c>
      <c r="D40" s="2" t="s">
        <v>101</v>
      </c>
      <c r="E40" s="2" t="s">
        <v>75</v>
      </c>
      <c r="F40" s="1"/>
      <c r="G40" s="33">
        <v>109.79</v>
      </c>
      <c r="H40" s="33">
        <v>109.79</v>
      </c>
      <c r="I40" s="33">
        <f t="shared" si="0"/>
        <v>0</v>
      </c>
      <c r="J40" s="4">
        <f>G40/VLOOKUP(A40,RESUME!$G$3:$I$10,3,FALSE)</f>
        <v>1.2598464591532744E-3</v>
      </c>
      <c r="K40" s="4">
        <f t="shared" si="1"/>
        <v>1.2598464591532744E-3</v>
      </c>
    </row>
    <row r="41" spans="1:11" ht="15.75" x14ac:dyDescent="0.25">
      <c r="A41" s="1" t="s">
        <v>67</v>
      </c>
      <c r="B41" s="56" t="s">
        <v>116</v>
      </c>
      <c r="C41" s="1" t="s">
        <v>117</v>
      </c>
      <c r="D41" s="2" t="s">
        <v>24</v>
      </c>
      <c r="E41" s="2" t="s">
        <v>75</v>
      </c>
      <c r="F41" s="1"/>
      <c r="G41" s="33">
        <v>169.38</v>
      </c>
      <c r="H41" s="33">
        <v>169.38</v>
      </c>
      <c r="I41" s="33">
        <f t="shared" si="0"/>
        <v>0</v>
      </c>
      <c r="J41" s="4">
        <f>G41/VLOOKUP(A41,RESUME!$G$3:$I$10,3,FALSE)</f>
        <v>1.9436450792547739E-3</v>
      </c>
      <c r="K41" s="4">
        <f t="shared" si="1"/>
        <v>1.9436450792547739E-3</v>
      </c>
    </row>
    <row r="42" spans="1:11" ht="15.75" x14ac:dyDescent="0.25">
      <c r="A42" s="1" t="s">
        <v>67</v>
      </c>
      <c r="B42" s="56" t="s">
        <v>116</v>
      </c>
      <c r="C42" s="1" t="s">
        <v>117</v>
      </c>
      <c r="D42" s="2" t="s">
        <v>15</v>
      </c>
      <c r="E42" s="2" t="s">
        <v>75</v>
      </c>
      <c r="F42" s="1"/>
      <c r="G42" s="33">
        <v>142.08000000000001</v>
      </c>
      <c r="H42" s="33">
        <v>142.08000000000001</v>
      </c>
      <c r="I42" s="33">
        <f t="shared" si="0"/>
        <v>0</v>
      </c>
      <c r="J42" s="4">
        <f>G42/VLOOKUP(A42,RESUME!$G$3:$I$10,3,FALSE)</f>
        <v>1.6303760353082908E-3</v>
      </c>
      <c r="K42" s="4">
        <f t="shared" si="1"/>
        <v>1.6303760353082908E-3</v>
      </c>
    </row>
    <row r="43" spans="1:11" ht="15.75" x14ac:dyDescent="0.25">
      <c r="A43" s="1" t="s">
        <v>67</v>
      </c>
      <c r="B43" s="56" t="s">
        <v>118</v>
      </c>
      <c r="C43" s="1" t="s">
        <v>119</v>
      </c>
      <c r="D43" s="2" t="s">
        <v>13</v>
      </c>
      <c r="E43" s="2" t="s">
        <v>75</v>
      </c>
      <c r="F43" s="1"/>
      <c r="G43" s="33">
        <v>4300</v>
      </c>
      <c r="H43" s="33">
        <v>2435.48</v>
      </c>
      <c r="I43" s="33">
        <f t="shared" si="0"/>
        <v>1864.52</v>
      </c>
      <c r="J43" s="4">
        <f>G43/VLOOKUP(A43,RESUME!$G$3:$I$10,3,FALSE)</f>
        <v>4.934274318570981E-2</v>
      </c>
      <c r="K43" s="4">
        <f t="shared" si="1"/>
        <v>8.7117855904606967E-2</v>
      </c>
    </row>
    <row r="44" spans="1:11" ht="15.75" x14ac:dyDescent="0.25">
      <c r="A44" s="1" t="s">
        <v>67</v>
      </c>
      <c r="B44" s="56" t="s">
        <v>120</v>
      </c>
      <c r="C44" s="1" t="s">
        <v>121</v>
      </c>
      <c r="D44" s="2" t="s">
        <v>13</v>
      </c>
      <c r="E44" s="2" t="s">
        <v>122</v>
      </c>
      <c r="F44" s="1"/>
      <c r="G44" s="33">
        <v>1495.98</v>
      </c>
      <c r="H44" s="33">
        <v>1495.98</v>
      </c>
      <c r="I44" s="33">
        <f t="shared" si="0"/>
        <v>0</v>
      </c>
      <c r="J44" s="4">
        <f>G44/VLOOKUP(A44,RESUME!$G$3:$I$10,3,FALSE)</f>
        <v>1.7166455104873992E-2</v>
      </c>
      <c r="K44" s="4">
        <f t="shared" si="1"/>
        <v>1.7166455104873992E-2</v>
      </c>
    </row>
    <row r="45" spans="1:11" ht="15.75" x14ac:dyDescent="0.25">
      <c r="A45" s="1" t="s">
        <v>67</v>
      </c>
      <c r="B45" s="56" t="s">
        <v>120</v>
      </c>
      <c r="C45" s="1" t="s">
        <v>121</v>
      </c>
      <c r="D45" s="2" t="s">
        <v>101</v>
      </c>
      <c r="E45" s="2" t="s">
        <v>122</v>
      </c>
      <c r="F45" s="1"/>
      <c r="G45" s="33">
        <v>516.97</v>
      </c>
      <c r="H45" s="33">
        <v>516.97</v>
      </c>
      <c r="I45" s="33">
        <f t="shared" si="0"/>
        <v>0</v>
      </c>
      <c r="J45" s="4">
        <f>G45/VLOOKUP(A45,RESUME!$G$3:$I$10,3,FALSE)</f>
        <v>5.9322599871433493E-3</v>
      </c>
      <c r="K45" s="4">
        <f t="shared" si="1"/>
        <v>5.9322599871433493E-3</v>
      </c>
    </row>
    <row r="46" spans="1:11" ht="15.75" x14ac:dyDescent="0.25">
      <c r="A46" s="1" t="s">
        <v>67</v>
      </c>
      <c r="B46" s="56" t="s">
        <v>120</v>
      </c>
      <c r="C46" s="1" t="s">
        <v>121</v>
      </c>
      <c r="D46" s="2" t="s">
        <v>24</v>
      </c>
      <c r="E46" s="2" t="s">
        <v>122</v>
      </c>
      <c r="F46" s="1"/>
      <c r="G46" s="33">
        <v>1463.62</v>
      </c>
      <c r="H46" s="33">
        <v>1463.62</v>
      </c>
      <c r="I46" s="33">
        <f t="shared" si="0"/>
        <v>0</v>
      </c>
      <c r="J46" s="4">
        <f>G46/VLOOKUP(A46,RESUME!$G$3:$I$10,3,FALSE)</f>
        <v>1.6795122274760137E-2</v>
      </c>
      <c r="K46" s="4">
        <f t="shared" si="1"/>
        <v>1.6795122274760137E-2</v>
      </c>
    </row>
    <row r="47" spans="1:11" ht="15.75" x14ac:dyDescent="0.25">
      <c r="A47" s="1" t="s">
        <v>67</v>
      </c>
      <c r="B47" s="56" t="s">
        <v>120</v>
      </c>
      <c r="C47" s="1" t="s">
        <v>121</v>
      </c>
      <c r="D47" s="2" t="s">
        <v>15</v>
      </c>
      <c r="E47" s="2" t="s">
        <v>122</v>
      </c>
      <c r="F47" s="1"/>
      <c r="G47" s="33">
        <v>1779.8599999999997</v>
      </c>
      <c r="H47" s="33">
        <v>2245.4699999999998</v>
      </c>
      <c r="I47" s="33">
        <f t="shared" si="0"/>
        <v>-465.61000000000013</v>
      </c>
      <c r="J47" s="4">
        <f>G47/VLOOKUP(A47,RESUME!$G$3:$I$10,3,FALSE)</f>
        <v>2.042399415965522E-2</v>
      </c>
      <c r="K47" s="4">
        <f t="shared" si="1"/>
        <v>1.6188971682990171E-2</v>
      </c>
    </row>
    <row r="48" spans="1:11" ht="15.75" x14ac:dyDescent="0.25">
      <c r="A48" s="1" t="s">
        <v>67</v>
      </c>
      <c r="B48" s="56" t="s">
        <v>21</v>
      </c>
      <c r="C48" s="1" t="s">
        <v>123</v>
      </c>
      <c r="D48" s="2" t="s">
        <v>101</v>
      </c>
      <c r="E48" s="2" t="s">
        <v>75</v>
      </c>
      <c r="F48" s="1"/>
      <c r="G48" s="33">
        <v>1115.46</v>
      </c>
      <c r="H48" s="33">
        <v>1115.46</v>
      </c>
      <c r="I48" s="33">
        <f t="shared" si="0"/>
        <v>0</v>
      </c>
      <c r="J48" s="4">
        <f>G48/VLOOKUP(A48,RESUME!$G$3:$I$10,3,FALSE)</f>
        <v>1.2799966584635319E-2</v>
      </c>
      <c r="K48" s="4">
        <f t="shared" si="1"/>
        <v>1.2799966584635319E-2</v>
      </c>
    </row>
    <row r="49" spans="1:11" ht="15.75" x14ac:dyDescent="0.25">
      <c r="A49" s="1" t="s">
        <v>67</v>
      </c>
      <c r="B49" s="56" t="s">
        <v>124</v>
      </c>
      <c r="C49" s="1" t="s">
        <v>125</v>
      </c>
      <c r="D49" s="2" t="s">
        <v>13</v>
      </c>
      <c r="E49" s="2" t="s">
        <v>82</v>
      </c>
      <c r="F49" s="1"/>
      <c r="G49" s="33">
        <v>651</v>
      </c>
      <c r="H49" s="33">
        <v>654.78</v>
      </c>
      <c r="I49" s="33">
        <f t="shared" si="0"/>
        <v>-3.7799999999999727</v>
      </c>
      <c r="J49" s="4">
        <f>G49/VLOOKUP(A49,RESUME!$G$3:$I$10,3,FALSE)</f>
        <v>7.4702618171853695E-3</v>
      </c>
      <c r="K49" s="4">
        <f t="shared" si="1"/>
        <v>7.4271365084267633E-3</v>
      </c>
    </row>
    <row r="50" spans="1:11" ht="15.75" x14ac:dyDescent="0.25">
      <c r="A50" s="1" t="s">
        <v>67</v>
      </c>
      <c r="B50" s="56" t="s">
        <v>126</v>
      </c>
      <c r="C50" s="1" t="s">
        <v>127</v>
      </c>
      <c r="D50" s="2" t="s">
        <v>13</v>
      </c>
      <c r="E50" s="2" t="s">
        <v>82</v>
      </c>
      <c r="F50" s="1"/>
      <c r="G50" s="33">
        <v>466</v>
      </c>
      <c r="H50" s="33">
        <v>466.1</v>
      </c>
      <c r="I50" s="33">
        <f t="shared" si="0"/>
        <v>-0.10000000000002274</v>
      </c>
      <c r="J50" s="4">
        <f>G50/VLOOKUP(A50,RESUME!$G$3:$I$10,3,FALSE)</f>
        <v>5.3473763545443653E-3</v>
      </c>
      <c r="K50" s="4">
        <f t="shared" si="1"/>
        <v>5.3462290950819008E-3</v>
      </c>
    </row>
    <row r="51" spans="1:11" ht="15.75" x14ac:dyDescent="0.25">
      <c r="A51" s="1" t="s">
        <v>67</v>
      </c>
      <c r="B51" s="56" t="s">
        <v>128</v>
      </c>
      <c r="C51" s="1" t="s">
        <v>129</v>
      </c>
      <c r="D51" s="2" t="s">
        <v>13</v>
      </c>
      <c r="E51" s="2" t="s">
        <v>75</v>
      </c>
      <c r="F51" s="1"/>
      <c r="G51" s="33">
        <v>1388.61</v>
      </c>
      <c r="H51" s="33"/>
      <c r="I51" s="33">
        <f t="shared" si="0"/>
        <v>1388.61</v>
      </c>
      <c r="J51" s="4">
        <f>G51/VLOOKUP(A51,RESUME!$G$3:$I$10,3,FALSE)</f>
        <v>1.5934378282583372E-2</v>
      </c>
      <c r="K51" s="4" t="str">
        <f t="shared" si="1"/>
        <v/>
      </c>
    </row>
    <row r="52" spans="1:11" ht="15.75" x14ac:dyDescent="0.25">
      <c r="A52" s="1" t="s">
        <v>67</v>
      </c>
      <c r="B52" s="56" t="s">
        <v>130</v>
      </c>
      <c r="C52" s="1" t="s">
        <v>131</v>
      </c>
      <c r="D52" s="2" t="s">
        <v>13</v>
      </c>
      <c r="E52" s="2" t="s">
        <v>75</v>
      </c>
      <c r="F52" s="1"/>
      <c r="G52" s="33">
        <v>221.29</v>
      </c>
      <c r="H52" s="33">
        <v>221.14</v>
      </c>
      <c r="I52" s="33">
        <f t="shared" si="0"/>
        <v>0.15000000000000568</v>
      </c>
      <c r="J52" s="4">
        <f>G52/VLOOKUP(A52,RESUME!$G$3:$I$10,3,FALSE)</f>
        <v>2.5393152650152848E-3</v>
      </c>
      <c r="K52" s="4">
        <f t="shared" si="1"/>
        <v>2.5410376910338806E-3</v>
      </c>
    </row>
    <row r="53" spans="1:11" ht="15.75" x14ac:dyDescent="0.25">
      <c r="A53" s="1" t="s">
        <v>67</v>
      </c>
      <c r="B53" s="56" t="s">
        <v>132</v>
      </c>
      <c r="C53" s="1" t="s">
        <v>133</v>
      </c>
      <c r="D53" s="2" t="s">
        <v>13</v>
      </c>
      <c r="E53" s="2" t="s">
        <v>75</v>
      </c>
      <c r="F53" s="1"/>
      <c r="G53" s="33">
        <v>764.4</v>
      </c>
      <c r="H53" s="33">
        <v>764.4</v>
      </c>
      <c r="I53" s="33">
        <f t="shared" si="0"/>
        <v>0</v>
      </c>
      <c r="J53" s="4">
        <f>G53/VLOOKUP(A53,RESUME!$G$3:$I$10,3,FALSE)</f>
        <v>8.7715332305015291E-3</v>
      </c>
      <c r="K53" s="4">
        <f t="shared" si="1"/>
        <v>8.7715332305015291E-3</v>
      </c>
    </row>
    <row r="54" spans="1:11" ht="15.75" x14ac:dyDescent="0.25">
      <c r="A54" s="1" t="s">
        <v>67</v>
      </c>
      <c r="B54" s="56" t="s">
        <v>134</v>
      </c>
      <c r="C54" s="1" t="s">
        <v>135</v>
      </c>
      <c r="D54" s="2" t="s">
        <v>13</v>
      </c>
      <c r="E54" s="2" t="s">
        <v>75</v>
      </c>
      <c r="F54" s="1"/>
      <c r="G54" s="33">
        <v>255</v>
      </c>
      <c r="H54" s="33">
        <v>507.83</v>
      </c>
      <c r="I54" s="33">
        <f t="shared" si="0"/>
        <v>-252.82999999999998</v>
      </c>
      <c r="J54" s="4">
        <f>G54/VLOOKUP(A54,RESUME!$G$3:$I$10,3,FALSE)</f>
        <v>2.9261394214781401E-3</v>
      </c>
      <c r="K54" s="4">
        <f t="shared" si="1"/>
        <v>1.4693215297972267E-3</v>
      </c>
    </row>
    <row r="55" spans="1:11" ht="15.75" x14ac:dyDescent="0.25">
      <c r="A55" s="1" t="s">
        <v>67</v>
      </c>
      <c r="B55" s="56" t="s">
        <v>136</v>
      </c>
      <c r="C55" s="1" t="s">
        <v>137</v>
      </c>
      <c r="D55" s="2" t="s">
        <v>13</v>
      </c>
      <c r="E55" s="2" t="s">
        <v>75</v>
      </c>
      <c r="F55" s="1"/>
      <c r="G55" s="33">
        <v>200</v>
      </c>
      <c r="H55" s="33"/>
      <c r="I55" s="33">
        <f t="shared" si="0"/>
        <v>200</v>
      </c>
      <c r="J55" s="4">
        <f>G55/VLOOKUP(A55,RESUME!$G$3:$I$10,3,FALSE)</f>
        <v>2.2950113109632469E-3</v>
      </c>
      <c r="K55" s="4" t="str">
        <f t="shared" si="1"/>
        <v/>
      </c>
    </row>
    <row r="56" spans="1:11" ht="15.75" x14ac:dyDescent="0.25">
      <c r="A56" s="1" t="s">
        <v>67</v>
      </c>
      <c r="B56" s="56" t="s">
        <v>138</v>
      </c>
      <c r="C56" s="1" t="s">
        <v>139</v>
      </c>
      <c r="D56" s="2" t="s">
        <v>13</v>
      </c>
      <c r="E56" s="2" t="s">
        <v>75</v>
      </c>
      <c r="F56" s="1"/>
      <c r="G56" s="33">
        <v>464.37</v>
      </c>
      <c r="H56" s="33">
        <v>256.64999999999998</v>
      </c>
      <c r="I56" s="33">
        <f t="shared" si="0"/>
        <v>207.72000000000003</v>
      </c>
      <c r="J56" s="4">
        <f>G56/VLOOKUP(A56,RESUME!$G$3:$I$10,3,FALSE)</f>
        <v>5.3286720123600154E-3</v>
      </c>
      <c r="K56" s="4">
        <f t="shared" si="1"/>
        <v>9.6414394014401727E-3</v>
      </c>
    </row>
    <row r="57" spans="1:11" ht="15.75" x14ac:dyDescent="0.25">
      <c r="A57" s="1" t="s">
        <v>67</v>
      </c>
      <c r="B57" s="1" t="s">
        <v>21</v>
      </c>
      <c r="C57" s="1" t="s">
        <v>140</v>
      </c>
      <c r="D57" s="2" t="s">
        <v>13</v>
      </c>
      <c r="E57" s="2" t="s">
        <v>75</v>
      </c>
      <c r="F57" s="1"/>
      <c r="G57" s="33">
        <v>515.79999999999995</v>
      </c>
      <c r="H57" s="33"/>
      <c r="I57" s="33">
        <f t="shared" si="0"/>
        <v>515.79999999999995</v>
      </c>
      <c r="J57" s="4">
        <f>G57/VLOOKUP(A57,RESUME!$G$3:$I$10,3,FALSE)</f>
        <v>5.9188341709742135E-3</v>
      </c>
      <c r="K57" s="4" t="str">
        <f t="shared" si="1"/>
        <v/>
      </c>
    </row>
    <row r="58" spans="1:11" ht="15.75" x14ac:dyDescent="0.25">
      <c r="A58" s="1" t="s">
        <v>67</v>
      </c>
      <c r="B58" s="1" t="s">
        <v>21</v>
      </c>
      <c r="C58" s="1" t="s">
        <v>123</v>
      </c>
      <c r="D58" s="2" t="s">
        <v>13</v>
      </c>
      <c r="E58" s="2" t="s">
        <v>75</v>
      </c>
      <c r="F58" s="1"/>
      <c r="G58" s="33">
        <v>1891.43</v>
      </c>
      <c r="H58" s="33"/>
      <c r="I58" s="33">
        <f t="shared" si="0"/>
        <v>1891.43</v>
      </c>
      <c r="J58" s="4">
        <f>G58/VLOOKUP(A58,RESUME!$G$3:$I$10,3,FALSE)</f>
        <v>2.1704266219476073E-2</v>
      </c>
      <c r="K58" s="4" t="str">
        <f t="shared" si="1"/>
        <v/>
      </c>
    </row>
    <row r="59" spans="1:11" ht="15.75" x14ac:dyDescent="0.25">
      <c r="A59" s="1" t="s">
        <v>67</v>
      </c>
      <c r="B59" s="1" t="s">
        <v>21</v>
      </c>
      <c r="C59" s="1" t="s">
        <v>123</v>
      </c>
      <c r="D59" s="2" t="s">
        <v>24</v>
      </c>
      <c r="E59" s="2" t="s">
        <v>75</v>
      </c>
      <c r="F59" s="1"/>
      <c r="G59" s="33">
        <v>1328.48</v>
      </c>
      <c r="H59" s="33"/>
      <c r="I59" s="33">
        <f t="shared" si="0"/>
        <v>1328.48</v>
      </c>
      <c r="J59" s="4">
        <f>G59/VLOOKUP(A59,RESUME!$G$3:$I$10,3,FALSE)</f>
        <v>1.5244383131942272E-2</v>
      </c>
      <c r="K59" s="4" t="str">
        <f t="shared" si="1"/>
        <v/>
      </c>
    </row>
    <row r="60" spans="1:11" ht="15.75" x14ac:dyDescent="0.25">
      <c r="A60" s="1" t="s">
        <v>67</v>
      </c>
      <c r="B60" s="1" t="s">
        <v>21</v>
      </c>
      <c r="C60" s="1" t="s">
        <v>123</v>
      </c>
      <c r="D60" s="2" t="s">
        <v>15</v>
      </c>
      <c r="E60" s="2" t="s">
        <v>75</v>
      </c>
      <c r="F60" s="1"/>
      <c r="G60" s="33">
        <v>1328.28</v>
      </c>
      <c r="H60" s="33"/>
      <c r="I60" s="33">
        <f t="shared" si="0"/>
        <v>1328.28</v>
      </c>
      <c r="J60" s="4">
        <f>G60/VLOOKUP(A60,RESUME!$G$3:$I$10,3,FALSE)</f>
        <v>1.5242088120631308E-2</v>
      </c>
      <c r="K60" s="4" t="str">
        <f t="shared" si="1"/>
        <v/>
      </c>
    </row>
  </sheetData>
  <hyperlinks>
    <hyperlink ref="B6" r:id="rId1" xr:uid="{A5692989-DBC5-470C-B1FC-2BFCF6FCC937}"/>
    <hyperlink ref="B7" r:id="rId2" xr:uid="{86BF5ECA-6334-4674-A9E4-664268BA65F9}"/>
    <hyperlink ref="B8" r:id="rId3" xr:uid="{C2B20A4C-F3B0-43A9-8A6E-416769B472A0}"/>
    <hyperlink ref="B9" r:id="rId4" xr:uid="{EE171293-1F36-4A7B-B4D3-06F5EA927741}"/>
    <hyperlink ref="B10" r:id="rId5" xr:uid="{8ED03971-13CB-4857-AA05-680D2CBBC869}"/>
    <hyperlink ref="B11" r:id="rId6" xr:uid="{DAF5CEF4-1CD8-4078-B8E2-7C6DFD84180D}"/>
    <hyperlink ref="B12" r:id="rId7" xr:uid="{D35EA2B7-F337-4338-A515-43FD863E1F12}"/>
    <hyperlink ref="B15" r:id="rId8" xr:uid="{51C3C178-0B96-4C95-8190-087CF4158799}"/>
    <hyperlink ref="B16" r:id="rId9" xr:uid="{8090E59E-8488-4470-A121-96E4904F0972}"/>
    <hyperlink ref="B17" r:id="rId10" xr:uid="{C9C8406E-D6C1-4672-8E5C-0BAE91A7C171}"/>
    <hyperlink ref="B18" r:id="rId11" xr:uid="{CDD7660B-0D6D-43B4-867B-6580D27DEAE8}"/>
    <hyperlink ref="B19" r:id="rId12" xr:uid="{7C2D6BDB-3D27-4166-845F-398399AB1A1E}"/>
    <hyperlink ref="B20" r:id="rId13" xr:uid="{390D2D4B-5DEC-4F70-BC7E-84E33D1A0B87}"/>
    <hyperlink ref="B21" r:id="rId14" xr:uid="{0E3A575F-18AD-4D56-A356-65B2516AC43E}"/>
    <hyperlink ref="B22" r:id="rId15" xr:uid="{57576D75-7FDF-4686-941E-1BA8078E0218}"/>
    <hyperlink ref="B23" r:id="rId16" xr:uid="{8DF5E187-8C03-499D-AABD-6526E06941DD}"/>
    <hyperlink ref="B24" r:id="rId17" xr:uid="{87D0FF8A-68AB-42D6-A4F3-2C9B8BF23A8E}"/>
    <hyperlink ref="B25" r:id="rId18" xr:uid="{98665337-FECB-4E94-954F-975696377C9F}"/>
    <hyperlink ref="B26" r:id="rId19" xr:uid="{5AB25A0A-7687-4697-B61A-02004AA5425D}"/>
    <hyperlink ref="B27" r:id="rId20" xr:uid="{04E9822D-E6C2-479C-9C11-3A1010E4FDA6}"/>
    <hyperlink ref="B28" r:id="rId21" xr:uid="{FF2A5BDB-6994-45D6-BA09-DA03BC366855}"/>
    <hyperlink ref="B29" r:id="rId22" xr:uid="{3846C925-201F-4451-9467-EA762D83D2D8}"/>
    <hyperlink ref="B30" r:id="rId23" xr:uid="{E53085B0-49B2-4DFE-993F-20BC2ABC5E8F}"/>
    <hyperlink ref="B31" r:id="rId24" xr:uid="{912F5336-5FB3-4532-95A9-B88E78C3B058}"/>
    <hyperlink ref="B32" r:id="rId25" xr:uid="{FC5226A2-DFC2-4AD5-8EC4-EDD4E334564C}"/>
    <hyperlink ref="B33" r:id="rId26" xr:uid="{750D1FEB-0742-45E8-9519-48E4EA97C55F}"/>
    <hyperlink ref="B34" r:id="rId27" xr:uid="{C90F3591-9CE3-4F22-8E17-FAFEB074DCC5}"/>
    <hyperlink ref="B35" r:id="rId28" xr:uid="{116B5837-318C-49F1-9104-11E04A190983}"/>
    <hyperlink ref="B36" r:id="rId29" xr:uid="{7A85C5C2-E719-413C-BA30-5F2D500C2423}"/>
    <hyperlink ref="B37" r:id="rId30" xr:uid="{2EF2C0CC-3152-4FB3-AED1-8D4D83681D80}"/>
    <hyperlink ref="B38" r:id="rId31" xr:uid="{9F662814-92B0-46F2-BA54-9E7DB9F1BFF4}"/>
    <hyperlink ref="B39" r:id="rId32" xr:uid="{7896D0E7-C36F-4212-8AFD-5DD478E9F891}"/>
    <hyperlink ref="B40" r:id="rId33" xr:uid="{F9F84D2A-0D12-403E-9925-1AE7E083B317}"/>
    <hyperlink ref="B41" r:id="rId34" xr:uid="{C469547C-584C-4EE6-8DC4-852E2E4CE012}"/>
    <hyperlink ref="B42" r:id="rId35" xr:uid="{BCD7A716-4537-45B6-8EF8-143D80A2BE39}"/>
    <hyperlink ref="B43" r:id="rId36" xr:uid="{522661E3-0E68-425B-9B70-C2E0FAEC81F8}"/>
    <hyperlink ref="B44" r:id="rId37" xr:uid="{E393DA00-B370-4E82-80E8-A1EB6DD9D42F}"/>
    <hyperlink ref="B45" r:id="rId38" xr:uid="{33C4881C-BFD2-4103-9D94-3824B693A780}"/>
    <hyperlink ref="B46" r:id="rId39" xr:uid="{7F5E45BA-8361-43B0-91BD-4F8AB6E05EC9}"/>
    <hyperlink ref="B47" r:id="rId40" xr:uid="{6CF3C0F0-74CC-4B61-9FB1-5C35B9A80522}"/>
    <hyperlink ref="B48" r:id="rId41" xr:uid="{5BE5B3B2-F528-439B-B27D-2C3FE9C4372F}"/>
    <hyperlink ref="B49" r:id="rId42" xr:uid="{75D90DFF-6D6F-43AB-B788-31517C01DD92}"/>
    <hyperlink ref="B50" r:id="rId43" xr:uid="{BFDE030A-FFD6-4CCE-A889-89D374BD0486}"/>
    <hyperlink ref="B51" r:id="rId44" xr:uid="{EBAB9D22-2F14-4D40-BBE0-0AE39A2ACBA7}"/>
    <hyperlink ref="B52" r:id="rId45" xr:uid="{2B822095-56C2-455C-AE4E-6F60CBDF4015}"/>
    <hyperlink ref="B53" r:id="rId46" xr:uid="{4CD6FDF9-247D-4708-88F4-B8691AE4BF5E}"/>
    <hyperlink ref="B54" r:id="rId47" xr:uid="{13F08480-87B3-4E5B-8E3B-411EF3080BF1}"/>
    <hyperlink ref="B55" r:id="rId48" xr:uid="{3AAC84AF-82FC-4183-850F-3E4429501E14}"/>
    <hyperlink ref="B56" r:id="rId49" xr:uid="{359EEC01-7A16-4DD0-BA75-E1A553E6D3E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EC7C-22F6-45C8-B8F5-DEABA4AE64DB}">
  <dimension ref="A5:K27"/>
  <sheetViews>
    <sheetView topLeftCell="A3"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0.28515625" bestFit="1" customWidth="1"/>
    <col min="3" max="3" width="96.42578125" bestFit="1" customWidth="1"/>
    <col min="4" max="4" width="12.28515625" bestFit="1" customWidth="1"/>
    <col min="5" max="5" width="8.42578125" bestFit="1" customWidth="1"/>
    <col min="6" max="6" width="8.85546875" bestFit="1" customWidth="1"/>
    <col min="7" max="7" width="19.28515625" bestFit="1" customWidth="1"/>
    <col min="8" max="9" width="12.140625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141</v>
      </c>
      <c r="B6" s="56" t="s">
        <v>93</v>
      </c>
      <c r="C6" s="1" t="s">
        <v>94</v>
      </c>
      <c r="D6" s="2" t="s">
        <v>101</v>
      </c>
      <c r="E6" s="2" t="s">
        <v>95</v>
      </c>
      <c r="F6" s="1"/>
      <c r="G6" s="33">
        <v>2736.7799999999997</v>
      </c>
      <c r="H6" s="33">
        <v>-53.45</v>
      </c>
      <c r="I6" s="33">
        <f t="shared" ref="I6:I27" si="0">G6-H6</f>
        <v>2790.2299999999996</v>
      </c>
      <c r="J6" s="4">
        <f>G6/VLOOKUP(A6,RESUME!$G$3:$I$10,3,FALSE)</f>
        <v>2.7232510432328692E-2</v>
      </c>
      <c r="K6" s="4">
        <f t="shared" ref="K6:K27" si="1">IFERROR((G6/H6)*J6,"")</f>
        <v>-1.3943758634422545</v>
      </c>
    </row>
    <row r="7" spans="1:11" ht="15.75" x14ac:dyDescent="0.25">
      <c r="A7" s="1" t="s">
        <v>141</v>
      </c>
      <c r="B7" s="56" t="s">
        <v>102</v>
      </c>
      <c r="C7" s="1" t="s">
        <v>103</v>
      </c>
      <c r="D7" s="2" t="s">
        <v>101</v>
      </c>
      <c r="E7" s="2" t="s">
        <v>75</v>
      </c>
      <c r="F7" s="1"/>
      <c r="G7" s="33">
        <v>200</v>
      </c>
      <c r="H7" s="33">
        <v>40.869999999999997</v>
      </c>
      <c r="I7" s="33">
        <f t="shared" si="0"/>
        <v>159.13</v>
      </c>
      <c r="J7" s="4">
        <f>G7/VLOOKUP(A7,RESUME!$G$3:$I$10,3,FALSE)</f>
        <v>1.990113230316554E-3</v>
      </c>
      <c r="K7" s="4">
        <f t="shared" si="1"/>
        <v>9.7387483744387285E-3</v>
      </c>
    </row>
    <row r="8" spans="1:11" ht="15.75" x14ac:dyDescent="0.25">
      <c r="A8" s="1" t="s">
        <v>141</v>
      </c>
      <c r="B8" s="56" t="s">
        <v>118</v>
      </c>
      <c r="C8" s="1" t="s">
        <v>119</v>
      </c>
      <c r="D8" s="2" t="s">
        <v>101</v>
      </c>
      <c r="E8" s="2" t="s">
        <v>95</v>
      </c>
      <c r="F8" s="1"/>
      <c r="G8" s="33">
        <v>1460</v>
      </c>
      <c r="H8" s="33">
        <v>1659.81</v>
      </c>
      <c r="I8" s="33">
        <f t="shared" si="0"/>
        <v>-199.80999999999995</v>
      </c>
      <c r="J8" s="4">
        <f>G8/VLOOKUP(A8,RESUME!$G$3:$I$10,3,FALSE)</f>
        <v>1.4527826581310844E-2</v>
      </c>
      <c r="K8" s="4">
        <f t="shared" si="1"/>
        <v>1.2778948680098223E-2</v>
      </c>
    </row>
    <row r="9" spans="1:11" ht="15.75" x14ac:dyDescent="0.25">
      <c r="A9" s="1" t="s">
        <v>141</v>
      </c>
      <c r="B9" s="56" t="s">
        <v>128</v>
      </c>
      <c r="C9" s="1" t="s">
        <v>129</v>
      </c>
      <c r="D9" s="2" t="s">
        <v>101</v>
      </c>
      <c r="E9" s="2" t="s">
        <v>75</v>
      </c>
      <c r="F9" s="1"/>
      <c r="G9" s="33">
        <v>4235.2299999999996</v>
      </c>
      <c r="H9" s="33"/>
      <c r="I9" s="33">
        <f t="shared" si="0"/>
        <v>4235.2299999999996</v>
      </c>
      <c r="J9" s="4">
        <f>G9/VLOOKUP(A9,RESUME!$G$3:$I$10,3,FALSE)</f>
        <v>4.2142936282167892E-2</v>
      </c>
      <c r="K9" s="4" t="str">
        <f t="shared" si="1"/>
        <v/>
      </c>
    </row>
    <row r="10" spans="1:11" ht="15.75" x14ac:dyDescent="0.25">
      <c r="A10" s="1" t="s">
        <v>141</v>
      </c>
      <c r="B10" s="56" t="s">
        <v>130</v>
      </c>
      <c r="C10" s="1" t="s">
        <v>142</v>
      </c>
      <c r="D10" s="2" t="s">
        <v>101</v>
      </c>
      <c r="E10" s="2" t="s">
        <v>75</v>
      </c>
      <c r="F10" s="1"/>
      <c r="G10" s="33">
        <v>821.62</v>
      </c>
      <c r="H10" s="33">
        <v>821.62</v>
      </c>
      <c r="I10" s="33">
        <f t="shared" si="0"/>
        <v>0</v>
      </c>
      <c r="J10" s="4">
        <f>G10/VLOOKUP(A10,RESUME!$G$3:$I$10,3,FALSE)</f>
        <v>8.175584161463436E-3</v>
      </c>
      <c r="K10" s="4">
        <f t="shared" si="1"/>
        <v>8.175584161463436E-3</v>
      </c>
    </row>
    <row r="11" spans="1:11" ht="15.75" x14ac:dyDescent="0.25">
      <c r="A11" s="1" t="s">
        <v>141</v>
      </c>
      <c r="B11" s="56" t="s">
        <v>134</v>
      </c>
      <c r="C11" s="1" t="s">
        <v>135</v>
      </c>
      <c r="D11" s="2" t="s">
        <v>101</v>
      </c>
      <c r="E11" s="2" t="s">
        <v>75</v>
      </c>
      <c r="F11" s="1"/>
      <c r="G11" s="33">
        <v>55</v>
      </c>
      <c r="H11" s="33"/>
      <c r="I11" s="33">
        <f t="shared" si="0"/>
        <v>55</v>
      </c>
      <c r="J11" s="4">
        <f>G11/VLOOKUP(A11,RESUME!$G$3:$I$10,3,FALSE)</f>
        <v>5.4728113833705236E-4</v>
      </c>
      <c r="K11" s="4" t="str">
        <f t="shared" si="1"/>
        <v/>
      </c>
    </row>
    <row r="12" spans="1:11" ht="15.75" x14ac:dyDescent="0.25">
      <c r="A12" s="1" t="s">
        <v>141</v>
      </c>
      <c r="B12" s="56" t="s">
        <v>138</v>
      </c>
      <c r="C12" s="1" t="s">
        <v>139</v>
      </c>
      <c r="D12" s="2" t="s">
        <v>101</v>
      </c>
      <c r="E12" s="2" t="s">
        <v>75</v>
      </c>
      <c r="F12" s="1"/>
      <c r="G12" s="33">
        <v>20.09</v>
      </c>
      <c r="H12" s="33">
        <v>15.99</v>
      </c>
      <c r="I12" s="33">
        <f t="shared" si="0"/>
        <v>4.0999999999999996</v>
      </c>
      <c r="J12" s="4">
        <f>G12/VLOOKUP(A12,RESUME!$G$3:$I$10,3,FALSE)</f>
        <v>1.9990687398529784E-4</v>
      </c>
      <c r="K12" s="4">
        <f t="shared" si="1"/>
        <v>2.5116504680204089E-4</v>
      </c>
    </row>
    <row r="13" spans="1:11" ht="15.75" x14ac:dyDescent="0.25">
      <c r="A13" s="1" t="s">
        <v>141</v>
      </c>
      <c r="B13" s="56" t="s">
        <v>80</v>
      </c>
      <c r="C13" s="1" t="s">
        <v>81</v>
      </c>
      <c r="D13" s="2" t="s">
        <v>101</v>
      </c>
      <c r="E13" s="2" t="s">
        <v>143</v>
      </c>
      <c r="F13" s="1"/>
      <c r="G13" s="33">
        <v>563</v>
      </c>
      <c r="H13" s="33">
        <v>563.95000000000005</v>
      </c>
      <c r="I13" s="33">
        <f t="shared" si="0"/>
        <v>-0.95000000000004547</v>
      </c>
      <c r="J13" s="4">
        <f>G13/VLOOKUP(A13,RESUME!$G$3:$I$10,3,FALSE)</f>
        <v>5.6021687433410999E-3</v>
      </c>
      <c r="K13" s="4">
        <f t="shared" si="1"/>
        <v>5.5927316295789325E-3</v>
      </c>
    </row>
    <row r="14" spans="1:11" ht="15.75" x14ac:dyDescent="0.25">
      <c r="A14" s="1" t="s">
        <v>141</v>
      </c>
      <c r="B14" s="56" t="s">
        <v>104</v>
      </c>
      <c r="C14" s="1" t="s">
        <v>105</v>
      </c>
      <c r="D14" s="2" t="s">
        <v>101</v>
      </c>
      <c r="E14" s="2" t="s">
        <v>143</v>
      </c>
      <c r="F14" s="1"/>
      <c r="G14" s="33">
        <v>50</v>
      </c>
      <c r="H14" s="33"/>
      <c r="I14" s="33">
        <f t="shared" si="0"/>
        <v>50</v>
      </c>
      <c r="J14" s="4">
        <f>G14/VLOOKUP(A14,RESUME!$G$3:$I$10,3,FALSE)</f>
        <v>4.9752830757913849E-4</v>
      </c>
      <c r="K14" s="4" t="str">
        <f t="shared" si="1"/>
        <v/>
      </c>
    </row>
    <row r="15" spans="1:11" ht="15.75" x14ac:dyDescent="0.25">
      <c r="A15" s="1" t="s">
        <v>141</v>
      </c>
      <c r="B15" s="56" t="s">
        <v>106</v>
      </c>
      <c r="C15" s="1" t="s">
        <v>107</v>
      </c>
      <c r="D15" s="2" t="s">
        <v>101</v>
      </c>
      <c r="E15" s="2" t="s">
        <v>143</v>
      </c>
      <c r="F15" s="1"/>
      <c r="G15" s="33">
        <v>50</v>
      </c>
      <c r="H15" s="33"/>
      <c r="I15" s="33">
        <f t="shared" si="0"/>
        <v>50</v>
      </c>
      <c r="J15" s="4">
        <f>G15/VLOOKUP(A15,RESUME!$G$3:$I$10,3,FALSE)</f>
        <v>4.9752830757913849E-4</v>
      </c>
      <c r="K15" s="4" t="str">
        <f t="shared" si="1"/>
        <v/>
      </c>
    </row>
    <row r="16" spans="1:11" ht="15.75" x14ac:dyDescent="0.25">
      <c r="A16" s="1" t="s">
        <v>141</v>
      </c>
      <c r="B16" s="56" t="s">
        <v>108</v>
      </c>
      <c r="C16" s="1" t="s">
        <v>109</v>
      </c>
      <c r="D16" s="2" t="s">
        <v>101</v>
      </c>
      <c r="E16" s="2" t="s">
        <v>143</v>
      </c>
      <c r="F16" s="1"/>
      <c r="G16" s="33">
        <v>50</v>
      </c>
      <c r="H16" s="33"/>
      <c r="I16" s="33">
        <f t="shared" si="0"/>
        <v>50</v>
      </c>
      <c r="J16" s="4">
        <f>G16/VLOOKUP(A16,RESUME!$G$3:$I$10,3,FALSE)</f>
        <v>4.9752830757913849E-4</v>
      </c>
      <c r="K16" s="4" t="str">
        <f t="shared" si="1"/>
        <v/>
      </c>
    </row>
    <row r="17" spans="1:11" ht="15.75" x14ac:dyDescent="0.25">
      <c r="A17" s="1" t="s">
        <v>141</v>
      </c>
      <c r="B17" s="56" t="s">
        <v>110</v>
      </c>
      <c r="C17" s="1" t="s">
        <v>111</v>
      </c>
      <c r="D17" s="2" t="s">
        <v>101</v>
      </c>
      <c r="E17" s="2" t="s">
        <v>143</v>
      </c>
      <c r="F17" s="1"/>
      <c r="G17" s="33">
        <v>50</v>
      </c>
      <c r="H17" s="33"/>
      <c r="I17" s="33">
        <f t="shared" si="0"/>
        <v>50</v>
      </c>
      <c r="J17" s="4">
        <f>G17/VLOOKUP(A17,RESUME!$G$3:$I$10,3,FALSE)</f>
        <v>4.9752830757913849E-4</v>
      </c>
      <c r="K17" s="4" t="str">
        <f t="shared" si="1"/>
        <v/>
      </c>
    </row>
    <row r="18" spans="1:11" ht="15.75" x14ac:dyDescent="0.25">
      <c r="A18" s="1" t="s">
        <v>141</v>
      </c>
      <c r="B18" s="56" t="s">
        <v>112</v>
      </c>
      <c r="C18" s="1" t="s">
        <v>113</v>
      </c>
      <c r="D18" s="2" t="s">
        <v>101</v>
      </c>
      <c r="E18" s="2" t="s">
        <v>143</v>
      </c>
      <c r="F18" s="1"/>
      <c r="G18" s="33">
        <v>50</v>
      </c>
      <c r="H18" s="33"/>
      <c r="I18" s="33">
        <f t="shared" si="0"/>
        <v>50</v>
      </c>
      <c r="J18" s="4">
        <f>G18/VLOOKUP(A18,RESUME!$G$3:$I$10,3,FALSE)</f>
        <v>4.9752830757913849E-4</v>
      </c>
      <c r="K18" s="4" t="str">
        <f t="shared" si="1"/>
        <v/>
      </c>
    </row>
    <row r="19" spans="1:11" ht="15.75" x14ac:dyDescent="0.25">
      <c r="A19" s="1" t="s">
        <v>141</v>
      </c>
      <c r="B19" s="56" t="s">
        <v>114</v>
      </c>
      <c r="C19" s="1" t="s">
        <v>115</v>
      </c>
      <c r="D19" s="2" t="s">
        <v>101</v>
      </c>
      <c r="E19" s="2" t="s">
        <v>143</v>
      </c>
      <c r="F19" s="1"/>
      <c r="G19" s="33">
        <v>50</v>
      </c>
      <c r="H19" s="33"/>
      <c r="I19" s="33">
        <f t="shared" si="0"/>
        <v>50</v>
      </c>
      <c r="J19" s="4">
        <f>G19/VLOOKUP(A19,RESUME!$G$3:$I$10,3,FALSE)</f>
        <v>4.9752830757913849E-4</v>
      </c>
      <c r="K19" s="4" t="str">
        <f t="shared" si="1"/>
        <v/>
      </c>
    </row>
    <row r="20" spans="1:11" ht="15.75" x14ac:dyDescent="0.25">
      <c r="A20" s="1" t="s">
        <v>141</v>
      </c>
      <c r="B20" s="56" t="s">
        <v>124</v>
      </c>
      <c r="C20" s="1" t="s">
        <v>125</v>
      </c>
      <c r="D20" s="2" t="s">
        <v>101</v>
      </c>
      <c r="E20" s="2" t="s">
        <v>143</v>
      </c>
      <c r="F20" s="1"/>
      <c r="G20" s="33">
        <v>3978</v>
      </c>
      <c r="H20" s="33">
        <v>3978.53</v>
      </c>
      <c r="I20" s="33">
        <f t="shared" si="0"/>
        <v>-0.53000000000020009</v>
      </c>
      <c r="J20" s="4">
        <f>G20/VLOOKUP(A20,RESUME!$G$3:$I$10,3,FALSE)</f>
        <v>3.9583352150996259E-2</v>
      </c>
      <c r="K20" s="4">
        <f t="shared" si="1"/>
        <v>3.9578079053485357E-2</v>
      </c>
    </row>
    <row r="21" spans="1:11" ht="15.75" x14ac:dyDescent="0.25">
      <c r="A21" s="1" t="s">
        <v>141</v>
      </c>
      <c r="B21" s="56" t="s">
        <v>70</v>
      </c>
      <c r="C21" s="1" t="s">
        <v>71</v>
      </c>
      <c r="D21" s="2" t="s">
        <v>101</v>
      </c>
      <c r="E21" s="2" t="s">
        <v>144</v>
      </c>
      <c r="F21" s="1"/>
      <c r="G21" s="33">
        <v>5000</v>
      </c>
      <c r="H21" s="33">
        <v>6452.12</v>
      </c>
      <c r="I21" s="33">
        <f t="shared" si="0"/>
        <v>-1452.12</v>
      </c>
      <c r="J21" s="4">
        <f>G21/VLOOKUP(A21,RESUME!$G$3:$I$10,3,FALSE)</f>
        <v>4.9752830757913848E-2</v>
      </c>
      <c r="K21" s="4">
        <f t="shared" si="1"/>
        <v>3.8555413381891411E-2</v>
      </c>
    </row>
    <row r="22" spans="1:11" ht="15.75" x14ac:dyDescent="0.25">
      <c r="A22" s="1" t="s">
        <v>141</v>
      </c>
      <c r="B22" s="56" t="s">
        <v>76</v>
      </c>
      <c r="C22" s="1" t="s">
        <v>77</v>
      </c>
      <c r="D22" s="2" t="s">
        <v>101</v>
      </c>
      <c r="E22" s="2" t="s">
        <v>75</v>
      </c>
      <c r="F22" s="1"/>
      <c r="G22" s="33">
        <v>3463.43</v>
      </c>
      <c r="H22" s="33">
        <v>6823.39</v>
      </c>
      <c r="I22" s="33">
        <f t="shared" si="0"/>
        <v>-3359.9600000000005</v>
      </c>
      <c r="J22" s="4">
        <f>G22/VLOOKUP(A22,RESUME!$G$3:$I$10,3,FALSE)</f>
        <v>3.446308932637631E-2</v>
      </c>
      <c r="K22" s="4">
        <f t="shared" si="1"/>
        <v>1.7492844094453269E-2</v>
      </c>
    </row>
    <row r="23" spans="1:11" ht="15.75" x14ac:dyDescent="0.25">
      <c r="A23" s="1" t="s">
        <v>141</v>
      </c>
      <c r="B23" s="56" t="s">
        <v>87</v>
      </c>
      <c r="C23" s="1" t="s">
        <v>88</v>
      </c>
      <c r="D23" s="2" t="s">
        <v>101</v>
      </c>
      <c r="E23" s="2" t="s">
        <v>75</v>
      </c>
      <c r="F23" s="1"/>
      <c r="G23" s="33">
        <v>23.95</v>
      </c>
      <c r="H23" s="33">
        <v>13.95</v>
      </c>
      <c r="I23" s="33">
        <f t="shared" si="0"/>
        <v>10</v>
      </c>
      <c r="J23" s="4">
        <f>G23/VLOOKUP(A23,RESUME!$G$3:$I$10,3,FALSE)</f>
        <v>2.3831605933040734E-4</v>
      </c>
      <c r="K23" s="4">
        <f t="shared" si="1"/>
        <v>4.0915194415507212E-4</v>
      </c>
    </row>
    <row r="24" spans="1:11" ht="15.75" x14ac:dyDescent="0.25">
      <c r="A24" s="1" t="s">
        <v>141</v>
      </c>
      <c r="B24" s="56" t="s">
        <v>96</v>
      </c>
      <c r="C24" s="1" t="s">
        <v>97</v>
      </c>
      <c r="D24" s="2" t="s">
        <v>101</v>
      </c>
      <c r="E24" s="2" t="s">
        <v>145</v>
      </c>
      <c r="F24" s="1"/>
      <c r="G24" s="33">
        <v>47747.46</v>
      </c>
      <c r="H24" s="33">
        <v>44085.69</v>
      </c>
      <c r="I24" s="33">
        <f t="shared" si="0"/>
        <v>3661.7699999999968</v>
      </c>
      <c r="J24" s="4">
        <f>G24/VLOOKUP(A24,RESUME!$G$3:$I$10,3,FALSE)</f>
        <v>0.47511425930005224</v>
      </c>
      <c r="K24" s="4">
        <f t="shared" si="1"/>
        <v>0.51457738534565001</v>
      </c>
    </row>
    <row r="25" spans="1:11" ht="15.75" x14ac:dyDescent="0.25">
      <c r="A25" s="1" t="s">
        <v>141</v>
      </c>
      <c r="B25" s="56" t="s">
        <v>146</v>
      </c>
      <c r="C25" s="1" t="s">
        <v>147</v>
      </c>
      <c r="D25" s="2" t="s">
        <v>101</v>
      </c>
      <c r="E25" s="2" t="s">
        <v>148</v>
      </c>
      <c r="F25" s="1"/>
      <c r="G25" s="33">
        <v>2800</v>
      </c>
      <c r="H25" s="33">
        <v>2755.75</v>
      </c>
      <c r="I25" s="33">
        <f t="shared" si="0"/>
        <v>44.25</v>
      </c>
      <c r="J25" s="4">
        <f>G25/VLOOKUP(A25,RESUME!$G$3:$I$10,3,FALSE)</f>
        <v>2.7861585224431756E-2</v>
      </c>
      <c r="K25" s="4">
        <f t="shared" si="1"/>
        <v>2.8308968022646798E-2</v>
      </c>
    </row>
    <row r="26" spans="1:11" ht="15.75" x14ac:dyDescent="0.25">
      <c r="A26" s="1" t="s">
        <v>141</v>
      </c>
      <c r="B26" s="56" t="s">
        <v>26</v>
      </c>
      <c r="C26" s="1" t="s">
        <v>27</v>
      </c>
      <c r="D26" s="2" t="s">
        <v>101</v>
      </c>
      <c r="E26" s="2" t="s">
        <v>149</v>
      </c>
      <c r="F26" s="1"/>
      <c r="G26" s="33">
        <v>812</v>
      </c>
      <c r="H26" s="33">
        <v>812.12</v>
      </c>
      <c r="I26" s="33">
        <f t="shared" si="0"/>
        <v>-0.12000000000000455</v>
      </c>
      <c r="J26" s="4">
        <f>G26/VLOOKUP(A26,RESUME!$G$3:$I$10,3,FALSE)</f>
        <v>8.0798597150852098E-3</v>
      </c>
      <c r="K26" s="4">
        <f t="shared" si="1"/>
        <v>8.0786658235841875E-3</v>
      </c>
    </row>
    <row r="27" spans="1:11" ht="15.75" x14ac:dyDescent="0.25">
      <c r="A27" s="1" t="s">
        <v>141</v>
      </c>
      <c r="B27" s="56" t="s">
        <v>37</v>
      </c>
      <c r="C27" s="1" t="s">
        <v>38</v>
      </c>
      <c r="D27" s="2" t="s">
        <v>150</v>
      </c>
      <c r="E27" s="2" t="s">
        <v>151</v>
      </c>
      <c r="F27" s="1"/>
      <c r="G27" s="33">
        <v>26280.234329731342</v>
      </c>
      <c r="H27" s="33"/>
      <c r="I27" s="33">
        <f t="shared" si="0"/>
        <v>26280.234329731342</v>
      </c>
      <c r="J27" s="4">
        <f>G27/VLOOKUP(A27,RESUME!$G$3:$I$10,3,FALSE)</f>
        <v>0.26150321017708822</v>
      </c>
      <c r="K27" s="4" t="str">
        <f t="shared" si="1"/>
        <v/>
      </c>
    </row>
  </sheetData>
  <hyperlinks>
    <hyperlink ref="B6" r:id="rId1" xr:uid="{16B16643-75E4-43DA-A1CB-AE2E864710AC}"/>
    <hyperlink ref="B7" r:id="rId2" xr:uid="{CF7AF3AB-1337-4F2A-B092-29881DA0A315}"/>
    <hyperlink ref="B8" r:id="rId3" xr:uid="{75F9ACF7-DCAC-4C18-8475-18AC652E3B53}"/>
    <hyperlink ref="B9" r:id="rId4" xr:uid="{B363FE56-0F3B-42EF-9810-AFF9A94DF4C7}"/>
    <hyperlink ref="B10" r:id="rId5" xr:uid="{719CD1F0-5421-40A9-92DF-E79EC9FBA83C}"/>
    <hyperlink ref="B11" r:id="rId6" xr:uid="{B28F5039-BB0E-428B-9D14-0144F615DD94}"/>
    <hyperlink ref="B12" r:id="rId7" xr:uid="{71B0E4FA-A925-4E8A-A186-C47510D4CDC0}"/>
    <hyperlink ref="B13" r:id="rId8" xr:uid="{F38F2429-E15F-4A33-AAEA-3F91A80581AB}"/>
    <hyperlink ref="B14" r:id="rId9" xr:uid="{F8FEF414-4031-4EC4-9AD1-55BED02D0DA9}"/>
    <hyperlink ref="B15" r:id="rId10" xr:uid="{C034CF7E-29BF-4BC1-B199-8E9424E8F265}"/>
    <hyperlink ref="B16" r:id="rId11" xr:uid="{CCA564C4-9EEB-4A91-BBD6-75F57E90B282}"/>
    <hyperlink ref="B17" r:id="rId12" xr:uid="{65643DB0-A30A-4C21-8898-2F62C3B4B146}"/>
    <hyperlink ref="B18" r:id="rId13" xr:uid="{D3325C78-2401-40D4-9659-AC96C9607022}"/>
    <hyperlink ref="B19" r:id="rId14" xr:uid="{493D76EF-D679-4BE9-B996-E1E1462B7238}"/>
    <hyperlink ref="B20" r:id="rId15" xr:uid="{26D54A4F-9C61-4B71-B588-3D7464E5D7A1}"/>
    <hyperlink ref="B21" r:id="rId16" xr:uid="{132CABF3-B18B-45BD-88FE-F410FB071A1F}"/>
    <hyperlink ref="B22" r:id="rId17" xr:uid="{59A72B48-F26F-4984-A04A-4F0426090D83}"/>
    <hyperlink ref="B23" r:id="rId18" xr:uid="{AEF2138D-539C-45A4-A583-E6CD8D8AF302}"/>
    <hyperlink ref="B24" r:id="rId19" xr:uid="{52975646-86B0-4423-AC81-C46D714E1FAB}"/>
    <hyperlink ref="B25" r:id="rId20" xr:uid="{5FC0A5A9-5022-420D-A6A6-1F8F26BEA888}"/>
    <hyperlink ref="B26" r:id="rId21" xr:uid="{A51D5259-E7D8-4E82-ABCB-9BCCC9990998}"/>
    <hyperlink ref="B27" r:id="rId22" xr:uid="{11F94406-534D-4640-8434-343637E1C1E3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2179D-5CBA-445B-9CE4-2FA964566CFA}">
  <dimension ref="A5:K42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7.5703125" bestFit="1" customWidth="1"/>
    <col min="3" max="3" width="86.85546875" bestFit="1" customWidth="1"/>
    <col min="4" max="4" width="11.85546875" bestFit="1" customWidth="1"/>
    <col min="5" max="5" width="10.710937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330</v>
      </c>
      <c r="B6" s="56" t="s">
        <v>78</v>
      </c>
      <c r="C6" s="1" t="s">
        <v>79</v>
      </c>
      <c r="D6" s="2" t="s">
        <v>24</v>
      </c>
      <c r="E6" s="2" t="s">
        <v>72</v>
      </c>
      <c r="F6" s="1"/>
      <c r="G6" s="33">
        <v>137.53</v>
      </c>
      <c r="H6" s="33">
        <v>137.53</v>
      </c>
      <c r="I6" s="33">
        <f t="shared" ref="I6:I42" si="0">G6-H6</f>
        <v>0</v>
      </c>
      <c r="J6" s="4">
        <f>G6/VLOOKUP(A6,RESUME!$G$3:$I$10,3,FALSE)</f>
        <v>5.5495675892985874E-4</v>
      </c>
      <c r="K6" s="4">
        <f t="shared" ref="K6:K42" si="1">IFERROR((G6/H6)*J6,"")</f>
        <v>5.5495675892985874E-4</v>
      </c>
    </row>
    <row r="7" spans="1:11" ht="15.75" x14ac:dyDescent="0.25">
      <c r="A7" s="1" t="s">
        <v>330</v>
      </c>
      <c r="B7" s="56" t="s">
        <v>93</v>
      </c>
      <c r="C7" s="1" t="s">
        <v>94</v>
      </c>
      <c r="D7" s="2" t="s">
        <v>24</v>
      </c>
      <c r="E7" s="2" t="s">
        <v>95</v>
      </c>
      <c r="F7" s="1"/>
      <c r="G7" s="33">
        <v>5157.3999999999996</v>
      </c>
      <c r="H7" s="33">
        <v>-210.65</v>
      </c>
      <c r="I7" s="33">
        <f t="shared" si="0"/>
        <v>5368.0499999999993</v>
      </c>
      <c r="J7" s="4">
        <f>G7/VLOOKUP(A7,RESUME!$G$3:$I$10,3,FALSE)</f>
        <v>2.0810979339088584E-2</v>
      </c>
      <c r="K7" s="4">
        <f t="shared" si="1"/>
        <v>-0.50952074456878926</v>
      </c>
    </row>
    <row r="8" spans="1:11" ht="15.75" x14ac:dyDescent="0.25">
      <c r="A8" s="1" t="s">
        <v>330</v>
      </c>
      <c r="B8" s="56" t="s">
        <v>102</v>
      </c>
      <c r="C8" s="1" t="s">
        <v>103</v>
      </c>
      <c r="D8" s="2" t="s">
        <v>24</v>
      </c>
      <c r="E8" s="2" t="s">
        <v>75</v>
      </c>
      <c r="F8" s="1"/>
      <c r="G8" s="33">
        <v>500</v>
      </c>
      <c r="H8" s="33">
        <v>1925.13</v>
      </c>
      <c r="I8" s="33">
        <f t="shared" si="0"/>
        <v>-1425.13</v>
      </c>
      <c r="J8" s="4">
        <f>G8/VLOOKUP(A8,RESUME!$G$3:$I$10,3,FALSE)</f>
        <v>2.0175843776988971E-3</v>
      </c>
      <c r="K8" s="4">
        <f t="shared" si="1"/>
        <v>5.2401250245409322E-4</v>
      </c>
    </row>
    <row r="9" spans="1:11" ht="15.75" x14ac:dyDescent="0.25">
      <c r="A9" s="1" t="s">
        <v>330</v>
      </c>
      <c r="B9" s="56" t="s">
        <v>114</v>
      </c>
      <c r="C9" s="1" t="s">
        <v>115</v>
      </c>
      <c r="D9" s="2" t="s">
        <v>24</v>
      </c>
      <c r="E9" s="2" t="s">
        <v>75</v>
      </c>
      <c r="F9" s="1"/>
      <c r="G9" s="33">
        <v>250</v>
      </c>
      <c r="H9" s="33"/>
      <c r="I9" s="33">
        <f t="shared" si="0"/>
        <v>250</v>
      </c>
      <c r="J9" s="4">
        <f>G9/VLOOKUP(A9,RESUME!$G$3:$I$10,3,FALSE)</f>
        <v>1.0087921888494486E-3</v>
      </c>
      <c r="K9" s="4" t="str">
        <f t="shared" si="1"/>
        <v/>
      </c>
    </row>
    <row r="10" spans="1:11" ht="15.75" x14ac:dyDescent="0.25">
      <c r="A10" s="1" t="s">
        <v>330</v>
      </c>
      <c r="B10" s="56" t="s">
        <v>118</v>
      </c>
      <c r="C10" s="1" t="s">
        <v>119</v>
      </c>
      <c r="D10" s="2" t="s">
        <v>24</v>
      </c>
      <c r="E10" s="2" t="s">
        <v>95</v>
      </c>
      <c r="F10" s="1"/>
      <c r="G10" s="33">
        <v>3183.98</v>
      </c>
      <c r="H10" s="33">
        <v>3321.95</v>
      </c>
      <c r="I10" s="33">
        <f t="shared" si="0"/>
        <v>-137.9699999999998</v>
      </c>
      <c r="J10" s="4">
        <f>G10/VLOOKUP(A10,RESUME!$G$3:$I$10,3,FALSE)</f>
        <v>1.284789661381147E-2</v>
      </c>
      <c r="K10" s="4">
        <f t="shared" si="1"/>
        <v>1.2314287048403332E-2</v>
      </c>
    </row>
    <row r="11" spans="1:11" ht="15.75" x14ac:dyDescent="0.25">
      <c r="A11" s="1" t="s">
        <v>330</v>
      </c>
      <c r="B11" s="56" t="s">
        <v>130</v>
      </c>
      <c r="C11" s="1" t="s">
        <v>142</v>
      </c>
      <c r="D11" s="2" t="s">
        <v>24</v>
      </c>
      <c r="E11" s="2" t="s">
        <v>75</v>
      </c>
      <c r="F11" s="1"/>
      <c r="G11" s="33">
        <v>126.99</v>
      </c>
      <c r="H11" s="33">
        <v>126.99</v>
      </c>
      <c r="I11" s="33">
        <f t="shared" si="0"/>
        <v>0</v>
      </c>
      <c r="J11" s="4">
        <f>G11/VLOOKUP(A11,RESUME!$G$3:$I$10,3,FALSE)</f>
        <v>5.124260802479659E-4</v>
      </c>
      <c r="K11" s="4">
        <f t="shared" si="1"/>
        <v>5.124260802479659E-4</v>
      </c>
    </row>
    <row r="12" spans="1:11" ht="15.75" x14ac:dyDescent="0.25">
      <c r="A12" s="1" t="s">
        <v>330</v>
      </c>
      <c r="B12" s="1" t="s">
        <v>21</v>
      </c>
      <c r="C12" s="1" t="s">
        <v>152</v>
      </c>
      <c r="D12" s="2" t="s">
        <v>24</v>
      </c>
      <c r="E12" s="2" t="s">
        <v>75</v>
      </c>
      <c r="F12" s="1"/>
      <c r="G12" s="33">
        <v>754.58</v>
      </c>
      <c r="H12" s="33"/>
      <c r="I12" s="33">
        <f t="shared" si="0"/>
        <v>754.58</v>
      </c>
      <c r="J12" s="4">
        <f>G12/VLOOKUP(A12,RESUME!$G$3:$I$10,3,FALSE)</f>
        <v>3.0448576394480681E-3</v>
      </c>
      <c r="K12" s="4" t="str">
        <f t="shared" si="1"/>
        <v/>
      </c>
    </row>
    <row r="13" spans="1:11" ht="15.75" x14ac:dyDescent="0.25">
      <c r="A13" s="1" t="s">
        <v>330</v>
      </c>
      <c r="B13" s="56" t="s">
        <v>70</v>
      </c>
      <c r="C13" s="1" t="s">
        <v>71</v>
      </c>
      <c r="D13" s="2" t="s">
        <v>24</v>
      </c>
      <c r="E13" s="2" t="s">
        <v>72</v>
      </c>
      <c r="F13" s="1"/>
      <c r="G13" s="33">
        <v>6722.26</v>
      </c>
      <c r="H13" s="33">
        <v>7122.26</v>
      </c>
      <c r="I13" s="33">
        <f t="shared" si="0"/>
        <v>-400</v>
      </c>
      <c r="J13" s="4">
        <f>G13/VLOOKUP(A13,RESUME!$G$3:$I$10,3,FALSE)</f>
        <v>2.7125453517660381E-2</v>
      </c>
      <c r="K13" s="4">
        <f t="shared" si="1"/>
        <v>2.5602035191586332E-2</v>
      </c>
    </row>
    <row r="14" spans="1:11" ht="15.75" x14ac:dyDescent="0.25">
      <c r="A14" s="1" t="s">
        <v>330</v>
      </c>
      <c r="B14" s="56" t="s">
        <v>76</v>
      </c>
      <c r="C14" s="1" t="s">
        <v>77</v>
      </c>
      <c r="D14" s="2" t="s">
        <v>24</v>
      </c>
      <c r="E14" s="2" t="s">
        <v>75</v>
      </c>
      <c r="F14" s="1"/>
      <c r="G14" s="33">
        <v>5152.29</v>
      </c>
      <c r="H14" s="33">
        <v>8746.93</v>
      </c>
      <c r="I14" s="33">
        <f t="shared" si="0"/>
        <v>-3594.6400000000003</v>
      </c>
      <c r="J14" s="4">
        <f>G14/VLOOKUP(A14,RESUME!$G$3:$I$10,3,FALSE)</f>
        <v>2.0790359626748502E-2</v>
      </c>
      <c r="K14" s="4">
        <f t="shared" si="1"/>
        <v>1.2246349519351364E-2</v>
      </c>
    </row>
    <row r="15" spans="1:11" ht="15.75" x14ac:dyDescent="0.25">
      <c r="A15" s="1" t="s">
        <v>330</v>
      </c>
      <c r="B15" s="56" t="s">
        <v>80</v>
      </c>
      <c r="C15" s="1" t="s">
        <v>81</v>
      </c>
      <c r="D15" s="2" t="s">
        <v>24</v>
      </c>
      <c r="E15" s="2" t="s">
        <v>153</v>
      </c>
      <c r="F15" s="1"/>
      <c r="G15" s="33">
        <v>3188</v>
      </c>
      <c r="H15" s="33">
        <v>3188.73</v>
      </c>
      <c r="I15" s="33">
        <f t="shared" si="0"/>
        <v>-0.73000000000001819</v>
      </c>
      <c r="J15" s="4">
        <f>G15/VLOOKUP(A15,RESUME!$G$3:$I$10,3,FALSE)</f>
        <v>1.2864117992208169E-2</v>
      </c>
      <c r="K15" s="4">
        <f t="shared" si="1"/>
        <v>1.2861172993373426E-2</v>
      </c>
    </row>
    <row r="16" spans="1:11" ht="15.75" x14ac:dyDescent="0.25">
      <c r="A16" s="1" t="s">
        <v>330</v>
      </c>
      <c r="B16" s="56" t="s">
        <v>154</v>
      </c>
      <c r="C16" s="1" t="s">
        <v>84</v>
      </c>
      <c r="D16" s="2" t="s">
        <v>24</v>
      </c>
      <c r="E16" s="2" t="s">
        <v>75</v>
      </c>
      <c r="F16" s="1"/>
      <c r="G16" s="33">
        <v>2043.4899999999998</v>
      </c>
      <c r="H16" s="33">
        <v>2193.4899999999998</v>
      </c>
      <c r="I16" s="33">
        <f t="shared" si="0"/>
        <v>-150</v>
      </c>
      <c r="J16" s="4">
        <f>G16/VLOOKUP(A16,RESUME!$G$3:$I$10,3,FALSE)</f>
        <v>8.2458269999678389E-3</v>
      </c>
      <c r="K16" s="4">
        <f t="shared" si="1"/>
        <v>7.6819429384972259E-3</v>
      </c>
    </row>
    <row r="17" spans="1:11" ht="15.75" x14ac:dyDescent="0.25">
      <c r="A17" s="1" t="s">
        <v>330</v>
      </c>
      <c r="B17" s="56" t="s">
        <v>96</v>
      </c>
      <c r="C17" s="1" t="s">
        <v>97</v>
      </c>
      <c r="D17" s="2" t="s">
        <v>24</v>
      </c>
      <c r="E17" s="2" t="s">
        <v>155</v>
      </c>
      <c r="F17" s="1"/>
      <c r="G17" s="33">
        <v>78109.679999999993</v>
      </c>
      <c r="H17" s="33">
        <v>79525.45</v>
      </c>
      <c r="I17" s="33">
        <f t="shared" si="0"/>
        <v>-1415.7700000000041</v>
      </c>
      <c r="J17" s="4">
        <f>G17/VLOOKUP(A17,RESUME!$G$3:$I$10,3,FALSE)</f>
        <v>0.31518574023011997</v>
      </c>
      <c r="K17" s="4">
        <f t="shared" si="1"/>
        <v>0.30957457405066929</v>
      </c>
    </row>
    <row r="18" spans="1:11" ht="15.75" x14ac:dyDescent="0.25">
      <c r="A18" s="1" t="s">
        <v>330</v>
      </c>
      <c r="B18" s="56" t="s">
        <v>104</v>
      </c>
      <c r="C18" s="1" t="s">
        <v>105</v>
      </c>
      <c r="D18" s="2" t="s">
        <v>24</v>
      </c>
      <c r="E18" s="2" t="s">
        <v>153</v>
      </c>
      <c r="F18" s="1"/>
      <c r="G18" s="33">
        <v>250</v>
      </c>
      <c r="H18" s="33"/>
      <c r="I18" s="33">
        <f t="shared" si="0"/>
        <v>250</v>
      </c>
      <c r="J18" s="4">
        <f>G18/VLOOKUP(A18,RESUME!$G$3:$I$10,3,FALSE)</f>
        <v>1.0087921888494486E-3</v>
      </c>
      <c r="K18" s="4" t="str">
        <f t="shared" si="1"/>
        <v/>
      </c>
    </row>
    <row r="19" spans="1:11" ht="15.75" x14ac:dyDescent="0.25">
      <c r="A19" s="1" t="s">
        <v>330</v>
      </c>
      <c r="B19" s="56" t="s">
        <v>106</v>
      </c>
      <c r="C19" s="1" t="s">
        <v>107</v>
      </c>
      <c r="D19" s="2" t="s">
        <v>24</v>
      </c>
      <c r="E19" s="2" t="s">
        <v>153</v>
      </c>
      <c r="F19" s="1"/>
      <c r="G19" s="33">
        <v>250</v>
      </c>
      <c r="H19" s="33"/>
      <c r="I19" s="33">
        <f t="shared" si="0"/>
        <v>250</v>
      </c>
      <c r="J19" s="4">
        <f>G19/VLOOKUP(A19,RESUME!$G$3:$I$10,3,FALSE)</f>
        <v>1.0087921888494486E-3</v>
      </c>
      <c r="K19" s="4" t="str">
        <f t="shared" si="1"/>
        <v/>
      </c>
    </row>
    <row r="20" spans="1:11" ht="15.75" x14ac:dyDescent="0.25">
      <c r="A20" s="1" t="s">
        <v>330</v>
      </c>
      <c r="B20" s="56" t="s">
        <v>108</v>
      </c>
      <c r="C20" s="1" t="s">
        <v>109</v>
      </c>
      <c r="D20" s="2" t="s">
        <v>24</v>
      </c>
      <c r="E20" s="2" t="s">
        <v>153</v>
      </c>
      <c r="F20" s="1"/>
      <c r="G20" s="33">
        <v>250</v>
      </c>
      <c r="H20" s="33"/>
      <c r="I20" s="33">
        <f t="shared" si="0"/>
        <v>250</v>
      </c>
      <c r="J20" s="4">
        <f>G20/VLOOKUP(A20,RESUME!$G$3:$I$10,3,FALSE)</f>
        <v>1.0087921888494486E-3</v>
      </c>
      <c r="K20" s="4" t="str">
        <f t="shared" si="1"/>
        <v/>
      </c>
    </row>
    <row r="21" spans="1:11" ht="15.75" x14ac:dyDescent="0.25">
      <c r="A21" s="1" t="s">
        <v>330</v>
      </c>
      <c r="B21" s="56" t="s">
        <v>112</v>
      </c>
      <c r="C21" s="1" t="s">
        <v>113</v>
      </c>
      <c r="D21" s="2" t="s">
        <v>24</v>
      </c>
      <c r="E21" s="2" t="s">
        <v>153</v>
      </c>
      <c r="F21" s="1"/>
      <c r="G21" s="33">
        <v>250</v>
      </c>
      <c r="H21" s="33"/>
      <c r="I21" s="33">
        <f t="shared" si="0"/>
        <v>250</v>
      </c>
      <c r="J21" s="4">
        <f>G21/VLOOKUP(A21,RESUME!$G$3:$I$10,3,FALSE)</f>
        <v>1.0087921888494486E-3</v>
      </c>
      <c r="K21" s="4" t="str">
        <f t="shared" si="1"/>
        <v/>
      </c>
    </row>
    <row r="22" spans="1:11" ht="15.75" x14ac:dyDescent="0.25">
      <c r="A22" s="1" t="s">
        <v>330</v>
      </c>
      <c r="B22" s="56" t="s">
        <v>146</v>
      </c>
      <c r="C22" s="1" t="s">
        <v>147</v>
      </c>
      <c r="D22" s="2" t="s">
        <v>24</v>
      </c>
      <c r="E22" s="2" t="s">
        <v>148</v>
      </c>
      <c r="F22" s="1"/>
      <c r="G22" s="33">
        <v>10800</v>
      </c>
      <c r="H22" s="33">
        <v>10316.4</v>
      </c>
      <c r="I22" s="33">
        <f t="shared" si="0"/>
        <v>483.60000000000036</v>
      </c>
      <c r="J22" s="4">
        <f>G22/VLOOKUP(A22,RESUME!$G$3:$I$10,3,FALSE)</f>
        <v>4.3579822558296184E-2</v>
      </c>
      <c r="K22" s="4">
        <f t="shared" si="1"/>
        <v>4.5622705946803038E-2</v>
      </c>
    </row>
    <row r="23" spans="1:11" ht="15.75" x14ac:dyDescent="0.25">
      <c r="A23" s="1" t="s">
        <v>330</v>
      </c>
      <c r="B23" s="56" t="s">
        <v>124</v>
      </c>
      <c r="C23" s="1" t="s">
        <v>125</v>
      </c>
      <c r="D23" s="2" t="s">
        <v>24</v>
      </c>
      <c r="E23" s="2" t="s">
        <v>153</v>
      </c>
      <c r="F23" s="1"/>
      <c r="G23" s="33">
        <v>1500</v>
      </c>
      <c r="H23" s="33">
        <v>2923.11</v>
      </c>
      <c r="I23" s="33">
        <f t="shared" si="0"/>
        <v>-1423.1100000000001</v>
      </c>
      <c r="J23" s="4">
        <f>G23/VLOOKUP(A23,RESUME!$G$3:$I$10,3,FALSE)</f>
        <v>6.0527531330966918E-3</v>
      </c>
      <c r="K23" s="4">
        <f t="shared" si="1"/>
        <v>3.1059829084930219E-3</v>
      </c>
    </row>
    <row r="24" spans="1:11" ht="15.75" x14ac:dyDescent="0.25">
      <c r="A24" s="1" t="s">
        <v>330</v>
      </c>
      <c r="B24" s="56" t="s">
        <v>78</v>
      </c>
      <c r="C24" s="1" t="s">
        <v>79</v>
      </c>
      <c r="D24" s="2" t="s">
        <v>15</v>
      </c>
      <c r="E24" s="2" t="s">
        <v>72</v>
      </c>
      <c r="F24" s="1"/>
      <c r="G24" s="33">
        <v>504.76</v>
      </c>
      <c r="H24" s="33">
        <v>504.76</v>
      </c>
      <c r="I24" s="33">
        <f t="shared" si="0"/>
        <v>0</v>
      </c>
      <c r="J24" s="4">
        <f>G24/VLOOKUP(A24,RESUME!$G$3:$I$10,3,FALSE)</f>
        <v>2.0367917809745906E-3</v>
      </c>
      <c r="K24" s="4">
        <f t="shared" si="1"/>
        <v>2.0367917809745906E-3</v>
      </c>
    </row>
    <row r="25" spans="1:11" ht="15.75" x14ac:dyDescent="0.25">
      <c r="A25" s="1" t="s">
        <v>330</v>
      </c>
      <c r="B25" s="56" t="s">
        <v>93</v>
      </c>
      <c r="C25" s="1" t="s">
        <v>94</v>
      </c>
      <c r="D25" s="2" t="s">
        <v>15</v>
      </c>
      <c r="E25" s="2" t="s">
        <v>95</v>
      </c>
      <c r="F25" s="1"/>
      <c r="G25" s="33">
        <v>5702.68</v>
      </c>
      <c r="H25" s="33">
        <v>-125.09</v>
      </c>
      <c r="I25" s="33">
        <f t="shared" si="0"/>
        <v>5827.77</v>
      </c>
      <c r="J25" s="4">
        <f>G25/VLOOKUP(A25,RESUME!$G$3:$I$10,3,FALSE)</f>
        <v>2.3011276158031897E-2</v>
      </c>
      <c r="K25" s="4">
        <f t="shared" si="1"/>
        <v>-1.0490522369564741</v>
      </c>
    </row>
    <row r="26" spans="1:11" ht="15.75" x14ac:dyDescent="0.25">
      <c r="A26" s="1" t="s">
        <v>330</v>
      </c>
      <c r="B26" s="56" t="s">
        <v>102</v>
      </c>
      <c r="C26" s="1" t="s">
        <v>103</v>
      </c>
      <c r="D26" s="2" t="s">
        <v>15</v>
      </c>
      <c r="E26" s="2" t="s">
        <v>75</v>
      </c>
      <c r="F26" s="1"/>
      <c r="G26" s="33">
        <v>700</v>
      </c>
      <c r="H26" s="33">
        <v>768.14</v>
      </c>
      <c r="I26" s="33">
        <f t="shared" si="0"/>
        <v>-68.139999999999986</v>
      </c>
      <c r="J26" s="4">
        <f>G26/VLOOKUP(A26,RESUME!$G$3:$I$10,3,FALSE)</f>
        <v>2.8246181287784563E-3</v>
      </c>
      <c r="K26" s="4">
        <f t="shared" si="1"/>
        <v>2.5740525036385548E-3</v>
      </c>
    </row>
    <row r="27" spans="1:11" ht="15.75" x14ac:dyDescent="0.25">
      <c r="A27" s="1" t="s">
        <v>330</v>
      </c>
      <c r="B27" s="56" t="s">
        <v>114</v>
      </c>
      <c r="C27" s="1" t="s">
        <v>115</v>
      </c>
      <c r="D27" s="2" t="s">
        <v>15</v>
      </c>
      <c r="E27" s="2" t="s">
        <v>75</v>
      </c>
      <c r="F27" s="1"/>
      <c r="G27" s="33">
        <v>300</v>
      </c>
      <c r="H27" s="33"/>
      <c r="I27" s="33">
        <f t="shared" si="0"/>
        <v>300</v>
      </c>
      <c r="J27" s="4">
        <f>G27/VLOOKUP(A27,RESUME!$G$3:$I$10,3,FALSE)</f>
        <v>1.2105506266193384E-3</v>
      </c>
      <c r="K27" s="4" t="str">
        <f t="shared" si="1"/>
        <v/>
      </c>
    </row>
    <row r="28" spans="1:11" ht="15.75" x14ac:dyDescent="0.25">
      <c r="A28" s="1" t="s">
        <v>330</v>
      </c>
      <c r="B28" s="56" t="s">
        <v>118</v>
      </c>
      <c r="C28" s="1" t="s">
        <v>119</v>
      </c>
      <c r="D28" s="2" t="s">
        <v>15</v>
      </c>
      <c r="E28" s="2" t="s">
        <v>95</v>
      </c>
      <c r="F28" s="1"/>
      <c r="G28" s="33">
        <v>3500</v>
      </c>
      <c r="H28" s="33">
        <v>3699.04</v>
      </c>
      <c r="I28" s="33">
        <f t="shared" si="0"/>
        <v>-199.03999999999996</v>
      </c>
      <c r="J28" s="4">
        <f>G28/VLOOKUP(A28,RESUME!$G$3:$I$10,3,FALSE)</f>
        <v>1.4123090643892281E-2</v>
      </c>
      <c r="K28" s="4">
        <f t="shared" si="1"/>
        <v>1.3363147533852832E-2</v>
      </c>
    </row>
    <row r="29" spans="1:11" ht="15.75" x14ac:dyDescent="0.25">
      <c r="A29" s="1" t="s">
        <v>330</v>
      </c>
      <c r="B29" s="56" t="s">
        <v>130</v>
      </c>
      <c r="C29" s="1" t="s">
        <v>156</v>
      </c>
      <c r="D29" s="2" t="s">
        <v>15</v>
      </c>
      <c r="E29" s="2" t="s">
        <v>75</v>
      </c>
      <c r="F29" s="1"/>
      <c r="G29" s="33">
        <v>512.71</v>
      </c>
      <c r="H29" s="33">
        <v>512.71</v>
      </c>
      <c r="I29" s="33">
        <f t="shared" si="0"/>
        <v>0</v>
      </c>
      <c r="J29" s="4">
        <f>G29/VLOOKUP(A29,RESUME!$G$3:$I$10,3,FALSE)</f>
        <v>2.0688713725800032E-3</v>
      </c>
      <c r="K29" s="4">
        <f t="shared" si="1"/>
        <v>2.0688713725800032E-3</v>
      </c>
    </row>
    <row r="30" spans="1:11" ht="15.75" x14ac:dyDescent="0.25">
      <c r="A30" s="1" t="s">
        <v>330</v>
      </c>
      <c r="B30" s="1" t="s">
        <v>21</v>
      </c>
      <c r="C30" s="1" t="s">
        <v>152</v>
      </c>
      <c r="D30" s="2" t="s">
        <v>15</v>
      </c>
      <c r="E30" s="2" t="s">
        <v>75</v>
      </c>
      <c r="F30" s="1"/>
      <c r="G30" s="33">
        <v>754.58</v>
      </c>
      <c r="H30" s="33"/>
      <c r="I30" s="33">
        <f t="shared" si="0"/>
        <v>754.58</v>
      </c>
      <c r="J30" s="4">
        <f>G30/VLOOKUP(A30,RESUME!$G$3:$I$10,3,FALSE)</f>
        <v>3.0448576394480681E-3</v>
      </c>
      <c r="K30" s="4" t="str">
        <f t="shared" si="1"/>
        <v/>
      </c>
    </row>
    <row r="31" spans="1:11" ht="15.75" x14ac:dyDescent="0.25">
      <c r="A31" s="1" t="s">
        <v>330</v>
      </c>
      <c r="B31" s="56" t="s">
        <v>68</v>
      </c>
      <c r="C31" s="1" t="s">
        <v>69</v>
      </c>
      <c r="D31" s="2" t="s">
        <v>15</v>
      </c>
      <c r="E31" s="2" t="s">
        <v>157</v>
      </c>
      <c r="F31" s="1"/>
      <c r="G31" s="33"/>
      <c r="H31" s="33"/>
      <c r="I31" s="33">
        <f t="shared" si="0"/>
        <v>0</v>
      </c>
      <c r="J31" s="4">
        <f>G31/VLOOKUP(A31,RESUME!$G$3:$I$10,3,FALSE)</f>
        <v>0</v>
      </c>
      <c r="K31" s="4" t="str">
        <f t="shared" si="1"/>
        <v/>
      </c>
    </row>
    <row r="32" spans="1:11" ht="15.75" x14ac:dyDescent="0.25">
      <c r="A32" s="1" t="s">
        <v>330</v>
      </c>
      <c r="B32" s="56" t="s">
        <v>70</v>
      </c>
      <c r="C32" s="1" t="s">
        <v>71</v>
      </c>
      <c r="D32" s="2" t="s">
        <v>15</v>
      </c>
      <c r="E32" s="2" t="s">
        <v>72</v>
      </c>
      <c r="F32" s="1"/>
      <c r="G32" s="33">
        <v>5672.9500000000007</v>
      </c>
      <c r="H32" s="33">
        <v>6068.77</v>
      </c>
      <c r="I32" s="33">
        <f t="shared" si="0"/>
        <v>-395.81999999999971</v>
      </c>
      <c r="J32" s="4">
        <f>G32/VLOOKUP(A32,RESUME!$G$3:$I$10,3,FALSE)</f>
        <v>2.2891310590933921E-2</v>
      </c>
      <c r="K32" s="4">
        <f t="shared" si="1"/>
        <v>2.1398283411109432E-2</v>
      </c>
    </row>
    <row r="33" spans="1:11" ht="15.75" x14ac:dyDescent="0.25">
      <c r="A33" s="1" t="s">
        <v>330</v>
      </c>
      <c r="B33" s="56" t="s">
        <v>76</v>
      </c>
      <c r="C33" s="1" t="s">
        <v>77</v>
      </c>
      <c r="D33" s="2" t="s">
        <v>15</v>
      </c>
      <c r="E33" s="2" t="s">
        <v>75</v>
      </c>
      <c r="F33" s="1"/>
      <c r="G33" s="33">
        <v>4918.54</v>
      </c>
      <c r="H33" s="33">
        <v>10036.620000000001</v>
      </c>
      <c r="I33" s="33">
        <f t="shared" si="0"/>
        <v>-5118.0800000000008</v>
      </c>
      <c r="J33" s="4">
        <f>G33/VLOOKUP(A33,RESUME!$G$3:$I$10,3,FALSE)</f>
        <v>1.9847138930174268E-2</v>
      </c>
      <c r="K33" s="4">
        <f t="shared" si="1"/>
        <v>9.726277044823789E-3</v>
      </c>
    </row>
    <row r="34" spans="1:11" ht="15.75" x14ac:dyDescent="0.25">
      <c r="A34" s="1" t="s">
        <v>330</v>
      </c>
      <c r="B34" s="56" t="s">
        <v>80</v>
      </c>
      <c r="C34" s="1" t="s">
        <v>81</v>
      </c>
      <c r="D34" s="2" t="s">
        <v>15</v>
      </c>
      <c r="E34" s="2" t="s">
        <v>158</v>
      </c>
      <c r="F34" s="1"/>
      <c r="G34" s="33">
        <v>1600</v>
      </c>
      <c r="H34" s="33">
        <v>1611.02</v>
      </c>
      <c r="I34" s="33">
        <f t="shared" si="0"/>
        <v>-11.019999999999982</v>
      </c>
      <c r="J34" s="4">
        <f>G34/VLOOKUP(A34,RESUME!$G$3:$I$10,3,FALSE)</f>
        <v>6.4562700086364709E-3</v>
      </c>
      <c r="K34" s="4">
        <f t="shared" si="1"/>
        <v>6.4121066242618669E-3</v>
      </c>
    </row>
    <row r="35" spans="1:11" ht="15.75" x14ac:dyDescent="0.25">
      <c r="A35" s="1" t="s">
        <v>330</v>
      </c>
      <c r="B35" s="56" t="s">
        <v>154</v>
      </c>
      <c r="C35" s="1" t="s">
        <v>84</v>
      </c>
      <c r="D35" s="2" t="s">
        <v>15</v>
      </c>
      <c r="E35" s="2" t="s">
        <v>75</v>
      </c>
      <c r="F35" s="1"/>
      <c r="G35" s="33">
        <v>3106.38</v>
      </c>
      <c r="H35" s="33">
        <v>3273.37</v>
      </c>
      <c r="I35" s="33">
        <f t="shared" si="0"/>
        <v>-166.98999999999978</v>
      </c>
      <c r="J35" s="4">
        <f>G35/VLOOKUP(A35,RESUME!$G$3:$I$10,3,FALSE)</f>
        <v>1.2534767518392602E-2</v>
      </c>
      <c r="K35" s="4">
        <f t="shared" si="1"/>
        <v>1.1895310069984271E-2</v>
      </c>
    </row>
    <row r="36" spans="1:11" ht="15.75" x14ac:dyDescent="0.25">
      <c r="A36" s="1" t="s">
        <v>330</v>
      </c>
      <c r="B36" s="56" t="s">
        <v>96</v>
      </c>
      <c r="C36" s="1" t="s">
        <v>97</v>
      </c>
      <c r="D36" s="2" t="s">
        <v>15</v>
      </c>
      <c r="E36" s="2" t="s">
        <v>157</v>
      </c>
      <c r="F36" s="1"/>
      <c r="G36" s="33">
        <v>97892.700000000012</v>
      </c>
      <c r="H36" s="33">
        <v>96162.38</v>
      </c>
      <c r="I36" s="33">
        <f t="shared" si="0"/>
        <v>1730.320000000007</v>
      </c>
      <c r="J36" s="4">
        <f>G36/VLOOKUP(A36,RESUME!$G$3:$I$10,3,FALSE)</f>
        <v>0.39501356442152974</v>
      </c>
      <c r="K36" s="4">
        <f t="shared" si="1"/>
        <v>0.4021213322491341</v>
      </c>
    </row>
    <row r="37" spans="1:11" ht="15.75" x14ac:dyDescent="0.25">
      <c r="A37" s="1" t="s">
        <v>330</v>
      </c>
      <c r="B37" s="56" t="s">
        <v>104</v>
      </c>
      <c r="C37" s="1" t="s">
        <v>105</v>
      </c>
      <c r="D37" s="2" t="s">
        <v>15</v>
      </c>
      <c r="E37" s="2" t="s">
        <v>158</v>
      </c>
      <c r="F37" s="1"/>
      <c r="G37" s="33">
        <v>300</v>
      </c>
      <c r="H37" s="33"/>
      <c r="I37" s="33">
        <f t="shared" si="0"/>
        <v>300</v>
      </c>
      <c r="J37" s="4">
        <f>G37/VLOOKUP(A37,RESUME!$G$3:$I$10,3,FALSE)</f>
        <v>1.2105506266193384E-3</v>
      </c>
      <c r="K37" s="4" t="str">
        <f t="shared" si="1"/>
        <v/>
      </c>
    </row>
    <row r="38" spans="1:11" ht="15.75" x14ac:dyDescent="0.25">
      <c r="A38" s="1" t="s">
        <v>330</v>
      </c>
      <c r="B38" s="56" t="s">
        <v>106</v>
      </c>
      <c r="C38" s="1" t="s">
        <v>107</v>
      </c>
      <c r="D38" s="2" t="s">
        <v>15</v>
      </c>
      <c r="E38" s="2" t="s">
        <v>158</v>
      </c>
      <c r="F38" s="1"/>
      <c r="G38" s="33">
        <v>300</v>
      </c>
      <c r="H38" s="33"/>
      <c r="I38" s="33">
        <f t="shared" si="0"/>
        <v>300</v>
      </c>
      <c r="J38" s="4">
        <f>G38/VLOOKUP(A38,RESUME!$G$3:$I$10,3,FALSE)</f>
        <v>1.2105506266193384E-3</v>
      </c>
      <c r="K38" s="4" t="str">
        <f t="shared" si="1"/>
        <v/>
      </c>
    </row>
    <row r="39" spans="1:11" ht="15.75" x14ac:dyDescent="0.25">
      <c r="A39" s="1" t="s">
        <v>330</v>
      </c>
      <c r="B39" s="56" t="s">
        <v>108</v>
      </c>
      <c r="C39" s="1" t="s">
        <v>109</v>
      </c>
      <c r="D39" s="2" t="s">
        <v>15</v>
      </c>
      <c r="E39" s="2" t="s">
        <v>158</v>
      </c>
      <c r="F39" s="1"/>
      <c r="G39" s="33">
        <v>300</v>
      </c>
      <c r="H39" s="33">
        <v>5264.88</v>
      </c>
      <c r="I39" s="33">
        <f t="shared" si="0"/>
        <v>-4964.88</v>
      </c>
      <c r="J39" s="4">
        <f>G39/VLOOKUP(A39,RESUME!$G$3:$I$10,3,FALSE)</f>
        <v>1.2105506266193384E-3</v>
      </c>
      <c r="K39" s="4">
        <f t="shared" si="1"/>
        <v>6.897881584875657E-5</v>
      </c>
    </row>
    <row r="40" spans="1:11" ht="15.75" x14ac:dyDescent="0.25">
      <c r="A40" s="1" t="s">
        <v>330</v>
      </c>
      <c r="B40" s="56" t="s">
        <v>112</v>
      </c>
      <c r="C40" s="1" t="s">
        <v>113</v>
      </c>
      <c r="D40" s="2" t="s">
        <v>15</v>
      </c>
      <c r="E40" s="2" t="s">
        <v>158</v>
      </c>
      <c r="F40" s="1"/>
      <c r="G40" s="33">
        <v>300</v>
      </c>
      <c r="H40" s="33"/>
      <c r="I40" s="33">
        <f t="shared" si="0"/>
        <v>300</v>
      </c>
      <c r="J40" s="4">
        <f>G40/VLOOKUP(A40,RESUME!$G$3:$I$10,3,FALSE)</f>
        <v>1.2105506266193384E-3</v>
      </c>
      <c r="K40" s="4" t="str">
        <f t="shared" si="1"/>
        <v/>
      </c>
    </row>
    <row r="41" spans="1:11" ht="15.75" x14ac:dyDescent="0.25">
      <c r="A41" s="1" t="s">
        <v>330</v>
      </c>
      <c r="B41" s="56" t="s">
        <v>124</v>
      </c>
      <c r="C41" s="1" t="s">
        <v>125</v>
      </c>
      <c r="D41" s="2" t="s">
        <v>15</v>
      </c>
      <c r="E41" s="2" t="s">
        <v>158</v>
      </c>
      <c r="F41" s="1"/>
      <c r="G41" s="33">
        <v>2346.61</v>
      </c>
      <c r="H41" s="33">
        <v>7431.88</v>
      </c>
      <c r="I41" s="33">
        <f t="shared" si="0"/>
        <v>-5085.2700000000004</v>
      </c>
      <c r="J41" s="4">
        <f>G41/VLOOKUP(A41,RESUME!$G$3:$I$10,3,FALSE)</f>
        <v>9.46896735310402E-3</v>
      </c>
      <c r="K41" s="4">
        <f t="shared" si="1"/>
        <v>2.9898186569841585E-3</v>
      </c>
    </row>
    <row r="42" spans="1:11" ht="15.75" x14ac:dyDescent="0.25">
      <c r="A42" s="1" t="s">
        <v>330</v>
      </c>
      <c r="B42" s="56" t="s">
        <v>126</v>
      </c>
      <c r="C42" s="1" t="s">
        <v>127</v>
      </c>
      <c r="D42" s="2" t="s">
        <v>15</v>
      </c>
      <c r="E42" s="2" t="s">
        <v>158</v>
      </c>
      <c r="F42" s="1"/>
      <c r="G42" s="33">
        <v>483</v>
      </c>
      <c r="H42" s="33"/>
      <c r="I42" s="33">
        <f t="shared" si="0"/>
        <v>483</v>
      </c>
      <c r="J42" s="4">
        <f>G42/VLOOKUP(A42,RESUME!$G$3:$I$10,3,FALSE)</f>
        <v>1.9489865088571348E-3</v>
      </c>
      <c r="K42" s="4" t="str">
        <f t="shared" si="1"/>
        <v/>
      </c>
    </row>
  </sheetData>
  <hyperlinks>
    <hyperlink ref="B6" r:id="rId1" xr:uid="{0EDEE5C9-1361-48AF-8755-FCAA201E9C9B}"/>
    <hyperlink ref="B7" r:id="rId2" xr:uid="{6096D2B1-169B-4E37-A78A-050B898DE560}"/>
    <hyperlink ref="B8" r:id="rId3" xr:uid="{A0E4CC5B-7F49-453A-BC31-B749DB3BB690}"/>
    <hyperlink ref="B9" r:id="rId4" xr:uid="{4331EDFF-CBD6-48EF-A1A0-22B1015DF480}"/>
    <hyperlink ref="B10" r:id="rId5" xr:uid="{7C85D0FE-A684-4C58-AE4B-FFD03C0CFC48}"/>
    <hyperlink ref="B11" r:id="rId6" xr:uid="{0CF45E7C-82A9-4AE9-808B-9D69094AE4FC}"/>
    <hyperlink ref="B13" r:id="rId7" xr:uid="{98258F26-421B-44DE-95D0-CFE144532222}"/>
    <hyperlink ref="B14" r:id="rId8" xr:uid="{5B4B354C-984B-484A-BD3E-F489BA505C40}"/>
    <hyperlink ref="B15" r:id="rId9" xr:uid="{BC7D9DDD-D1D6-47B3-9033-9E4599C2B5DC}"/>
    <hyperlink ref="B16" r:id="rId10" xr:uid="{46B123B6-CD7C-46AA-9B41-6F4ABAA10BE6}"/>
    <hyperlink ref="B17" r:id="rId11" xr:uid="{147AB797-D3F2-4164-95C8-DD0607E63B23}"/>
    <hyperlink ref="B18" r:id="rId12" xr:uid="{8C83EF55-20C9-448B-95AD-F224DA74F17D}"/>
    <hyperlink ref="B19" r:id="rId13" xr:uid="{5F16A4C8-89A3-47A0-879B-1FC5F1519F4E}"/>
    <hyperlink ref="B20" r:id="rId14" xr:uid="{DEF56F46-0D5E-411A-B392-84244FE95690}"/>
    <hyperlink ref="B21" r:id="rId15" xr:uid="{D546F13F-C540-4AF0-B026-FE3FA17E2267}"/>
    <hyperlink ref="B22" r:id="rId16" xr:uid="{710A0F9F-2A15-4D4A-8777-45CCA2606274}"/>
    <hyperlink ref="B23" r:id="rId17" xr:uid="{86E1B029-9115-44C8-A182-DF6E3954CF3D}"/>
    <hyperlink ref="B24" r:id="rId18" xr:uid="{D8071D39-CB47-4F12-849E-64EA860824C9}"/>
    <hyperlink ref="B25" r:id="rId19" xr:uid="{D495E7C1-89DE-455E-AABA-E0B217311FAC}"/>
    <hyperlink ref="B26" r:id="rId20" xr:uid="{FEE3C13B-3EA5-47D1-9B65-03167CDBF00F}"/>
    <hyperlink ref="B27" r:id="rId21" xr:uid="{98AD5537-4DDC-4C26-AAAC-55C1EA63C435}"/>
    <hyperlink ref="B28" r:id="rId22" xr:uid="{5A591388-41D8-4634-86EE-23BE45FE52A4}"/>
    <hyperlink ref="B29" r:id="rId23" xr:uid="{25E8406D-0037-4193-AF8D-1C39F07E9407}"/>
    <hyperlink ref="B31" r:id="rId24" xr:uid="{6295ADFC-EB80-47D7-AF62-401E5B295CD8}"/>
    <hyperlink ref="B32" r:id="rId25" xr:uid="{35AE955F-300C-4C43-B1AB-5B0DC47938E0}"/>
    <hyperlink ref="B33" r:id="rId26" xr:uid="{23B944A8-5E11-4B36-BFB8-AA6D60BB8486}"/>
    <hyperlink ref="B34" r:id="rId27" xr:uid="{30192F36-6B9C-489A-8762-FE0467FA585C}"/>
    <hyperlink ref="B35" r:id="rId28" xr:uid="{195FCFB3-ADEC-48DB-BD9B-D5F027FD0E98}"/>
    <hyperlink ref="B36" r:id="rId29" xr:uid="{8FE31058-BCC9-4F26-803D-5F7309246668}"/>
    <hyperlink ref="B37" r:id="rId30" xr:uid="{97B0636D-1067-4F9B-B97B-6D2A1CBB55B1}"/>
    <hyperlink ref="B38" r:id="rId31" xr:uid="{AF73BD78-8DEF-4E2B-B130-FAA850AFF4DD}"/>
    <hyperlink ref="B39" r:id="rId32" xr:uid="{638D635A-FBF6-4D91-927A-8058E18B7AC7}"/>
    <hyperlink ref="B40" r:id="rId33" xr:uid="{C234D0D4-50B3-4ADB-85F2-8C9DAB77785C}"/>
    <hyperlink ref="B41" r:id="rId34" xr:uid="{6863C99E-C0E6-4502-8BF9-627AD0388548}"/>
    <hyperlink ref="B42" r:id="rId35" xr:uid="{1C58E25B-62DF-4EAF-9313-4DEB38F42FCE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CCC01-6CD8-49DA-A3CC-47613A902C77}">
  <dimension ref="A5:K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2.28515625" bestFit="1" customWidth="1"/>
    <col min="3" max="3" width="119.28515625" bestFit="1" customWidth="1"/>
    <col min="4" max="4" width="12.2851562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" bestFit="1" customWidth="1"/>
    <col min="10" max="10" width="9.42578125" bestFit="1" customWidth="1"/>
    <col min="11" max="11" width="19.28515625" bestFit="1" customWidth="1"/>
  </cols>
  <sheetData>
    <row r="5" spans="1:1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</row>
    <row r="6" spans="1:11" ht="15.75" x14ac:dyDescent="0.25">
      <c r="A6" s="1" t="s">
        <v>159</v>
      </c>
      <c r="B6" s="56" t="s">
        <v>160</v>
      </c>
      <c r="C6" s="1" t="s">
        <v>161</v>
      </c>
      <c r="D6" s="2" t="s">
        <v>13</v>
      </c>
      <c r="E6" s="2" t="s">
        <v>75</v>
      </c>
      <c r="F6" s="1"/>
      <c r="G6" s="33">
        <v>943.01</v>
      </c>
      <c r="H6" s="33">
        <v>6118.58</v>
      </c>
      <c r="I6" s="33">
        <f t="shared" ref="I6:I15" si="0">G6-H6</f>
        <v>-5175.57</v>
      </c>
      <c r="J6" s="4">
        <f>G6/VLOOKUP(A6,RESUME!$G$3:$I$10,3,FALSE)</f>
        <v>1.0674639092355137E-2</v>
      </c>
      <c r="K6" s="4">
        <f t="shared" ref="K6:K15" si="1">IFERROR((G6/H6)*J6,"")</f>
        <v>1.6452005874699387E-3</v>
      </c>
    </row>
    <row r="7" spans="1:11" ht="15.75" x14ac:dyDescent="0.25">
      <c r="A7" s="1" t="s">
        <v>159</v>
      </c>
      <c r="B7" s="56" t="s">
        <v>162</v>
      </c>
      <c r="C7" s="1" t="s">
        <v>163</v>
      </c>
      <c r="D7" s="2" t="s">
        <v>13</v>
      </c>
      <c r="E7" s="2" t="s">
        <v>72</v>
      </c>
      <c r="F7" s="1"/>
      <c r="G7" s="33">
        <v>3000</v>
      </c>
      <c r="H7" s="33">
        <v>1795.09</v>
      </c>
      <c r="I7" s="33">
        <f t="shared" si="0"/>
        <v>1204.9100000000001</v>
      </c>
      <c r="J7" s="4">
        <f>G7/VLOOKUP(A7,RESUME!$G$3:$I$10,3,FALSE)</f>
        <v>3.3959255232781635E-2</v>
      </c>
      <c r="K7" s="4">
        <f t="shared" si="1"/>
        <v>5.6753569847943504E-2</v>
      </c>
    </row>
    <row r="8" spans="1:11" ht="15.75" x14ac:dyDescent="0.25">
      <c r="A8" s="1" t="s">
        <v>159</v>
      </c>
      <c r="B8" s="56" t="s">
        <v>164</v>
      </c>
      <c r="C8" s="1" t="s">
        <v>165</v>
      </c>
      <c r="D8" s="2" t="s">
        <v>13</v>
      </c>
      <c r="E8" s="2" t="s">
        <v>166</v>
      </c>
      <c r="F8" s="1"/>
      <c r="G8" s="33">
        <v>27000</v>
      </c>
      <c r="H8" s="33">
        <v>23517.599999999999</v>
      </c>
      <c r="I8" s="33">
        <f t="shared" si="0"/>
        <v>3482.4000000000015</v>
      </c>
      <c r="J8" s="4">
        <f>G8/VLOOKUP(A8,RESUME!$G$3:$I$10,3,FALSE)</f>
        <v>0.30563329709503473</v>
      </c>
      <c r="K8" s="4">
        <f t="shared" si="1"/>
        <v>0.35089035537495056</v>
      </c>
    </row>
    <row r="9" spans="1:11" ht="15.75" x14ac:dyDescent="0.25">
      <c r="A9" s="1" t="s">
        <v>159</v>
      </c>
      <c r="B9" s="56" t="s">
        <v>167</v>
      </c>
      <c r="C9" s="1" t="s">
        <v>168</v>
      </c>
      <c r="D9" s="2" t="s">
        <v>13</v>
      </c>
      <c r="E9" s="2" t="s">
        <v>72</v>
      </c>
      <c r="F9" s="1"/>
      <c r="G9" s="33">
        <v>743.73</v>
      </c>
      <c r="H9" s="33">
        <v>743.73</v>
      </c>
      <c r="I9" s="33">
        <f t="shared" si="0"/>
        <v>0</v>
      </c>
      <c r="J9" s="4">
        <f>G9/VLOOKUP(A9,RESUME!$G$3:$I$10,3,FALSE)</f>
        <v>8.4188389647588957E-3</v>
      </c>
      <c r="K9" s="4">
        <f t="shared" si="1"/>
        <v>8.4188389647588957E-3</v>
      </c>
    </row>
    <row r="10" spans="1:11" ht="15.75" x14ac:dyDescent="0.25">
      <c r="A10" s="1" t="s">
        <v>159</v>
      </c>
      <c r="B10" s="56" t="s">
        <v>169</v>
      </c>
      <c r="C10" s="1" t="s">
        <v>170</v>
      </c>
      <c r="D10" s="2" t="s">
        <v>13</v>
      </c>
      <c r="E10" s="2" t="s">
        <v>171</v>
      </c>
      <c r="F10" s="1"/>
      <c r="G10" s="33">
        <v>2000</v>
      </c>
      <c r="H10" s="33">
        <v>883.08</v>
      </c>
      <c r="I10" s="33">
        <f t="shared" si="0"/>
        <v>1116.92</v>
      </c>
      <c r="J10" s="4">
        <f>G10/VLOOKUP(A10,RESUME!$G$3:$I$10,3,FALSE)</f>
        <v>2.263950348852109E-2</v>
      </c>
      <c r="K10" s="4">
        <f t="shared" si="1"/>
        <v>5.1273958165785859E-2</v>
      </c>
    </row>
    <row r="11" spans="1:11" ht="15.75" x14ac:dyDescent="0.25">
      <c r="A11" s="1" t="s">
        <v>159</v>
      </c>
      <c r="B11" s="56" t="s">
        <v>169</v>
      </c>
      <c r="C11" s="1" t="s">
        <v>170</v>
      </c>
      <c r="D11" s="2" t="s">
        <v>101</v>
      </c>
      <c r="E11" s="2" t="s">
        <v>171</v>
      </c>
      <c r="F11" s="1"/>
      <c r="G11" s="33">
        <v>1000</v>
      </c>
      <c r="H11" s="33">
        <v>91.75</v>
      </c>
      <c r="I11" s="33">
        <f t="shared" si="0"/>
        <v>908.25</v>
      </c>
      <c r="J11" s="4">
        <f>G11/VLOOKUP(A11,RESUME!$G$3:$I$10,3,FALSE)</f>
        <v>1.1319751744260545E-2</v>
      </c>
      <c r="K11" s="4">
        <f t="shared" si="1"/>
        <v>0.12337604080937922</v>
      </c>
    </row>
    <row r="12" spans="1:11" ht="15.75" x14ac:dyDescent="0.25">
      <c r="A12" s="1" t="s">
        <v>159</v>
      </c>
      <c r="B12" s="56" t="s">
        <v>169</v>
      </c>
      <c r="C12" s="1" t="s">
        <v>170</v>
      </c>
      <c r="D12" s="2" t="s">
        <v>24</v>
      </c>
      <c r="E12" s="2" t="s">
        <v>171</v>
      </c>
      <c r="F12" s="1"/>
      <c r="G12" s="33">
        <v>1000</v>
      </c>
      <c r="H12" s="33">
        <v>33.56</v>
      </c>
      <c r="I12" s="33">
        <f t="shared" si="0"/>
        <v>966.44</v>
      </c>
      <c r="J12" s="4">
        <f>G12/VLOOKUP(A12,RESUME!$G$3:$I$10,3,FALSE)</f>
        <v>1.1319751744260545E-2</v>
      </c>
      <c r="K12" s="4">
        <f t="shared" si="1"/>
        <v>0.33729891967403292</v>
      </c>
    </row>
    <row r="13" spans="1:11" ht="15.75" x14ac:dyDescent="0.25">
      <c r="A13" s="1" t="s">
        <v>159</v>
      </c>
      <c r="B13" s="56" t="s">
        <v>169</v>
      </c>
      <c r="C13" s="1" t="s">
        <v>170</v>
      </c>
      <c r="D13" s="2" t="s">
        <v>15</v>
      </c>
      <c r="E13" s="2" t="s">
        <v>171</v>
      </c>
      <c r="F13" s="1"/>
      <c r="G13" s="33">
        <v>1000</v>
      </c>
      <c r="H13" s="33">
        <v>527.22</v>
      </c>
      <c r="I13" s="33">
        <f t="shared" si="0"/>
        <v>472.78</v>
      </c>
      <c r="J13" s="4">
        <f>G13/VLOOKUP(A13,RESUME!$G$3:$I$10,3,FALSE)</f>
        <v>1.1319751744260545E-2</v>
      </c>
      <c r="K13" s="4">
        <f t="shared" si="1"/>
        <v>2.1470641751565846E-2</v>
      </c>
    </row>
    <row r="14" spans="1:11" ht="15.75" x14ac:dyDescent="0.25">
      <c r="A14" s="1" t="s">
        <v>159</v>
      </c>
      <c r="B14" s="56" t="s">
        <v>146</v>
      </c>
      <c r="C14" s="1" t="s">
        <v>147</v>
      </c>
      <c r="D14" s="2" t="s">
        <v>13</v>
      </c>
      <c r="E14" s="2" t="s">
        <v>148</v>
      </c>
      <c r="F14" s="1"/>
      <c r="G14" s="33">
        <v>45654.420000000006</v>
      </c>
      <c r="H14" s="33">
        <v>45027.69</v>
      </c>
      <c r="I14" s="33">
        <f t="shared" si="0"/>
        <v>626.7300000000032</v>
      </c>
      <c r="J14" s="4">
        <f>G14/VLOOKUP(A14,RESUME!$G$3:$I$10,3,FALSE)</f>
        <v>0.51679670042820358</v>
      </c>
      <c r="K14" s="4">
        <f t="shared" si="1"/>
        <v>0.52398987414107601</v>
      </c>
    </row>
    <row r="15" spans="1:11" ht="15.75" x14ac:dyDescent="0.25">
      <c r="A15" s="1" t="s">
        <v>159</v>
      </c>
      <c r="B15" s="56" t="s">
        <v>146</v>
      </c>
      <c r="C15" s="1" t="s">
        <v>147</v>
      </c>
      <c r="D15" s="2" t="s">
        <v>15</v>
      </c>
      <c r="E15" s="2" t="s">
        <v>148</v>
      </c>
      <c r="F15" s="1"/>
      <c r="G15" s="33">
        <v>6000</v>
      </c>
      <c r="H15" s="33">
        <v>5877.26</v>
      </c>
      <c r="I15" s="33">
        <f t="shared" si="0"/>
        <v>122.73999999999978</v>
      </c>
      <c r="J15" s="4">
        <f>G15/VLOOKUP(A15,RESUME!$G$3:$I$10,3,FALSE)</f>
        <v>6.791851046556327E-2</v>
      </c>
      <c r="K15" s="4">
        <f t="shared" si="1"/>
        <v>6.9336912573780912E-2</v>
      </c>
    </row>
  </sheetData>
  <hyperlinks>
    <hyperlink ref="B6" r:id="rId1" xr:uid="{EE472C17-9D2F-4E31-80BF-E320344508ED}"/>
    <hyperlink ref="B7" r:id="rId2" xr:uid="{5AC6A075-6D59-4249-A3DD-D37C9B159EF8}"/>
    <hyperlink ref="B8" r:id="rId3" xr:uid="{2DCFABD2-0C09-480E-BAEA-A58ED5A2534D}"/>
    <hyperlink ref="B9" r:id="rId4" xr:uid="{D326F940-504F-447E-A2E8-87DE3B7731E2}"/>
    <hyperlink ref="B10" r:id="rId5" xr:uid="{99C3083C-5E10-4432-817C-48BFA7AA9438}"/>
    <hyperlink ref="B11" r:id="rId6" xr:uid="{5C5F1C3E-5CF5-4250-AE55-28FD9B670377}"/>
    <hyperlink ref="B12" r:id="rId7" xr:uid="{FAFBBEF8-C683-4FBC-BC59-9DF8507DD11B}"/>
    <hyperlink ref="B13" r:id="rId8" xr:uid="{F312397E-4F8A-407B-8A94-3FE5FC6F8EE5}"/>
    <hyperlink ref="B14" r:id="rId9" xr:uid="{540EB190-FA90-41DF-87AC-174B4A6D9E4A}"/>
    <hyperlink ref="B15" r:id="rId10" xr:uid="{054C9A7A-CD40-4FB4-86A9-3316999A99D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(HOME)</vt:lpstr>
      <vt:lpstr>All Costing</vt:lpstr>
      <vt:lpstr>RESUME</vt:lpstr>
      <vt:lpstr>Ref1</vt:lpstr>
      <vt:lpstr>Ref_Account</vt:lpstr>
      <vt:lpstr>temp_laporan1</vt:lpstr>
      <vt:lpstr>Asep Ridwan Subiana</vt:lpstr>
      <vt:lpstr>Choeruman</vt:lpstr>
      <vt:lpstr>Firawaty</vt:lpstr>
      <vt:lpstr>Fungfung</vt:lpstr>
      <vt:lpstr>Owi Wijaya</vt:lpstr>
      <vt:lpstr>Wawan Iskandar</vt:lpstr>
      <vt:lpstr>Tony Teja</vt:lpstr>
      <vt:lpstr>Santy Silalahi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2024-02-15T09:29:40Z</dcterms:modified>
</cp:coreProperties>
</file>