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7)\"/>
    </mc:Choice>
  </mc:AlternateContent>
  <xr:revisionPtr revIDLastSave="0" documentId="13_ncr:1_{9CAAD0A1-168F-4F46-8723-A0A91F0F0D11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state="hidden" r:id="rId2"/>
    <sheet name="All Costing" sheetId="1" r:id="rId3"/>
    <sheet name="RESUME" sheetId="16" r:id="rId4"/>
    <sheet name="Ref_Account" sheetId="22" state="hidden" r:id="rId5"/>
    <sheet name="temp_laporan1" sheetId="14" state="hidden" r:id="rId6"/>
    <sheet name="Asep Ridwan Subiana" sheetId="48" r:id="rId7"/>
    <sheet name="Choeruman" sheetId="49" r:id="rId8"/>
    <sheet name="Firawaty" sheetId="50" r:id="rId9"/>
    <sheet name="Fungfung" sheetId="51" r:id="rId10"/>
    <sheet name="Owi Wijaya" sheetId="52" r:id="rId11"/>
    <sheet name="Wawan Iskandar" sheetId="53" r:id="rId12"/>
    <sheet name="Tony Teja" sheetId="54" r:id="rId13"/>
    <sheet name="Santy Silalahi" sheetId="55" r:id="rId14"/>
  </sheets>
  <functionGroups builtInGroupCount="19"/>
  <definedNames>
    <definedName name="_xlnm._FilterDatabase" localSheetId="2" hidden="1">'All Costing'!$A$5:$O$164</definedName>
    <definedName name="_xlnm._FilterDatabase" localSheetId="1" hidden="1">'Ref1'!$A$1:$V$27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55" l="1"/>
  <c r="I14" i="55"/>
  <c r="I13" i="55"/>
  <c r="I12" i="55"/>
  <c r="I11" i="55"/>
  <c r="I10" i="55"/>
  <c r="I9" i="55"/>
  <c r="I8" i="55"/>
  <c r="I7" i="55"/>
  <c r="I6" i="55"/>
  <c r="I42" i="54"/>
  <c r="I41" i="54"/>
  <c r="I40" i="54"/>
  <c r="I39" i="54"/>
  <c r="I38" i="54"/>
  <c r="I37" i="54"/>
  <c r="I36" i="54"/>
  <c r="I35" i="54"/>
  <c r="I34" i="54"/>
  <c r="I33" i="54"/>
  <c r="I32" i="54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3" i="54"/>
  <c r="I12" i="54"/>
  <c r="I11" i="54"/>
  <c r="I10" i="54"/>
  <c r="I9" i="54"/>
  <c r="I8" i="54"/>
  <c r="I7" i="54"/>
  <c r="I6" i="54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3" i="53"/>
  <c r="I12" i="53"/>
  <c r="I11" i="53"/>
  <c r="I10" i="53"/>
  <c r="I9" i="53"/>
  <c r="I8" i="53"/>
  <c r="I7" i="53"/>
  <c r="I6" i="53"/>
  <c r="I60" i="52"/>
  <c r="I59" i="52"/>
  <c r="I58" i="52"/>
  <c r="I57" i="52"/>
  <c r="I56" i="52"/>
  <c r="I55" i="52"/>
  <c r="I54" i="52"/>
  <c r="I53" i="52"/>
  <c r="I52" i="52"/>
  <c r="I51" i="52"/>
  <c r="I50" i="52"/>
  <c r="I49" i="52"/>
  <c r="I48" i="52"/>
  <c r="I47" i="52"/>
  <c r="I46" i="52"/>
  <c r="I45" i="52"/>
  <c r="I44" i="52"/>
  <c r="I43" i="52"/>
  <c r="I42" i="52"/>
  <c r="I41" i="52"/>
  <c r="I40" i="52"/>
  <c r="I39" i="52"/>
  <c r="I38" i="52"/>
  <c r="I37" i="52"/>
  <c r="I36" i="52"/>
  <c r="I35" i="52"/>
  <c r="I34" i="52"/>
  <c r="I33" i="52"/>
  <c r="I32" i="52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3" i="52"/>
  <c r="I12" i="52"/>
  <c r="I11" i="52"/>
  <c r="I10" i="52"/>
  <c r="I9" i="52"/>
  <c r="I8" i="52"/>
  <c r="I7" i="52"/>
  <c r="I6" i="52"/>
  <c r="I10" i="51"/>
  <c r="I9" i="51"/>
  <c r="I8" i="51"/>
  <c r="I7" i="51"/>
  <c r="I6" i="51"/>
  <c r="I15" i="50"/>
  <c r="I14" i="50"/>
  <c r="I13" i="50"/>
  <c r="I12" i="50"/>
  <c r="I11" i="50"/>
  <c r="I10" i="50"/>
  <c r="I9" i="50"/>
  <c r="I8" i="50"/>
  <c r="I7" i="50"/>
  <c r="I6" i="50"/>
  <c r="I11" i="49"/>
  <c r="I10" i="49"/>
  <c r="I9" i="49"/>
  <c r="I8" i="49"/>
  <c r="I7" i="49"/>
  <c r="I6" i="49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6" i="1"/>
  <c r="O6" i="1" s="1"/>
  <c r="I7" i="1"/>
  <c r="O7" i="1" s="1"/>
  <c r="I8" i="1"/>
  <c r="O8" i="1" s="1"/>
  <c r="I9" i="1"/>
  <c r="O9" i="1" s="1"/>
  <c r="I10" i="1"/>
  <c r="O10" i="1" s="1"/>
  <c r="I11" i="1"/>
  <c r="O11" i="1" s="1"/>
  <c r="I12" i="1"/>
  <c r="O12" i="1" s="1"/>
  <c r="I13" i="1"/>
  <c r="O13" i="1" s="1"/>
  <c r="I14" i="1"/>
  <c r="O14" i="1" s="1"/>
  <c r="I15" i="1"/>
  <c r="O15" i="1" s="1"/>
  <c r="I16" i="1"/>
  <c r="O16" i="1" s="1"/>
  <c r="I17" i="1"/>
  <c r="O17" i="1" s="1"/>
  <c r="I18" i="1"/>
  <c r="O18" i="1" s="1"/>
  <c r="I19" i="1"/>
  <c r="O19" i="1" s="1"/>
  <c r="I20" i="1"/>
  <c r="O20" i="1" s="1"/>
  <c r="I21" i="1"/>
  <c r="O21" i="1" s="1"/>
  <c r="I22" i="1"/>
  <c r="O22" i="1" s="1"/>
  <c r="I23" i="1"/>
  <c r="O23" i="1" s="1"/>
  <c r="I24" i="1"/>
  <c r="O24" i="1" s="1"/>
  <c r="I25" i="1"/>
  <c r="O25" i="1" s="1"/>
  <c r="I26" i="1"/>
  <c r="O26" i="1" s="1"/>
  <c r="I27" i="1"/>
  <c r="O27" i="1" s="1"/>
  <c r="I28" i="1"/>
  <c r="O28" i="1" s="1"/>
  <c r="I29" i="1"/>
  <c r="O29" i="1" s="1"/>
  <c r="I30" i="1"/>
  <c r="O30" i="1" s="1"/>
  <c r="I31" i="1"/>
  <c r="O31" i="1" s="1"/>
  <c r="I32" i="1"/>
  <c r="O32" i="1" s="1"/>
  <c r="I33" i="1"/>
  <c r="O33" i="1" s="1"/>
  <c r="I34" i="1"/>
  <c r="O34" i="1" s="1"/>
  <c r="I35" i="1"/>
  <c r="O35" i="1" s="1"/>
  <c r="I36" i="1"/>
  <c r="O36" i="1" s="1"/>
  <c r="I37" i="1"/>
  <c r="O37" i="1" s="1"/>
  <c r="I38" i="1"/>
  <c r="O38" i="1" s="1"/>
  <c r="I39" i="1"/>
  <c r="O39" i="1" s="1"/>
  <c r="I40" i="1"/>
  <c r="O40" i="1" s="1"/>
  <c r="I41" i="1"/>
  <c r="O41" i="1" s="1"/>
  <c r="I42" i="1"/>
  <c r="O42" i="1" s="1"/>
  <c r="I43" i="1"/>
  <c r="O43" i="1" s="1"/>
  <c r="I44" i="1"/>
  <c r="O44" i="1" s="1"/>
  <c r="I45" i="1"/>
  <c r="O45" i="1" s="1"/>
  <c r="I46" i="1"/>
  <c r="O46" i="1" s="1"/>
  <c r="I47" i="1"/>
  <c r="O47" i="1" s="1"/>
  <c r="I48" i="1"/>
  <c r="O48" i="1" s="1"/>
  <c r="I49" i="1"/>
  <c r="O49" i="1" s="1"/>
  <c r="I50" i="1"/>
  <c r="O50" i="1" s="1"/>
  <c r="I51" i="1"/>
  <c r="O51" i="1" s="1"/>
  <c r="I52" i="1"/>
  <c r="O52" i="1" s="1"/>
  <c r="I53" i="1"/>
  <c r="O53" i="1" s="1"/>
  <c r="I54" i="1"/>
  <c r="O54" i="1" s="1"/>
  <c r="I55" i="1"/>
  <c r="O55" i="1" s="1"/>
  <c r="I56" i="1"/>
  <c r="O56" i="1" s="1"/>
  <c r="I57" i="1"/>
  <c r="O57" i="1" s="1"/>
  <c r="I58" i="1"/>
  <c r="O58" i="1" s="1"/>
  <c r="I59" i="1"/>
  <c r="O59" i="1" s="1"/>
  <c r="I60" i="1"/>
  <c r="O60" i="1" s="1"/>
  <c r="I61" i="1"/>
  <c r="O61" i="1" s="1"/>
  <c r="I62" i="1"/>
  <c r="O62" i="1" s="1"/>
  <c r="I63" i="1"/>
  <c r="O63" i="1" s="1"/>
  <c r="I64" i="1"/>
  <c r="O64" i="1" s="1"/>
  <c r="I65" i="1"/>
  <c r="O65" i="1" s="1"/>
  <c r="I66" i="1"/>
  <c r="O66" i="1" s="1"/>
  <c r="I67" i="1"/>
  <c r="O67" i="1" s="1"/>
  <c r="I68" i="1"/>
  <c r="O68" i="1" s="1"/>
  <c r="I69" i="1"/>
  <c r="O69" i="1" s="1"/>
  <c r="I70" i="1"/>
  <c r="O70" i="1" s="1"/>
  <c r="I71" i="1"/>
  <c r="O71" i="1" s="1"/>
  <c r="I72" i="1"/>
  <c r="O72" i="1" s="1"/>
  <c r="I73" i="1"/>
  <c r="O73" i="1" s="1"/>
  <c r="I74" i="1"/>
  <c r="O74" i="1" s="1"/>
  <c r="I75" i="1"/>
  <c r="O75" i="1" s="1"/>
  <c r="I76" i="1"/>
  <c r="O76" i="1" s="1"/>
  <c r="I77" i="1"/>
  <c r="O77" i="1" s="1"/>
  <c r="I78" i="1"/>
  <c r="O78" i="1" s="1"/>
  <c r="I79" i="1"/>
  <c r="O79" i="1" s="1"/>
  <c r="I80" i="1"/>
  <c r="O80" i="1" s="1"/>
  <c r="I81" i="1"/>
  <c r="O81" i="1" s="1"/>
  <c r="I82" i="1"/>
  <c r="O82" i="1" s="1"/>
  <c r="I83" i="1"/>
  <c r="O83" i="1" s="1"/>
  <c r="I84" i="1"/>
  <c r="O84" i="1" s="1"/>
  <c r="I85" i="1"/>
  <c r="O85" i="1" s="1"/>
  <c r="I86" i="1"/>
  <c r="O86" i="1" s="1"/>
  <c r="I87" i="1"/>
  <c r="O87" i="1" s="1"/>
  <c r="I88" i="1"/>
  <c r="O88" i="1" s="1"/>
  <c r="I89" i="1"/>
  <c r="O89" i="1" s="1"/>
  <c r="I90" i="1"/>
  <c r="O90" i="1" s="1"/>
  <c r="I91" i="1"/>
  <c r="O91" i="1" s="1"/>
  <c r="I92" i="1"/>
  <c r="O92" i="1" s="1"/>
  <c r="I93" i="1"/>
  <c r="O93" i="1" s="1"/>
  <c r="I94" i="1"/>
  <c r="O94" i="1" s="1"/>
  <c r="I95" i="1"/>
  <c r="O95" i="1" s="1"/>
  <c r="I96" i="1"/>
  <c r="O96" i="1" s="1"/>
  <c r="I97" i="1"/>
  <c r="O97" i="1" s="1"/>
  <c r="I98" i="1"/>
  <c r="O98" i="1" s="1"/>
  <c r="I99" i="1"/>
  <c r="O99" i="1" s="1"/>
  <c r="I100" i="1"/>
  <c r="O100" i="1" s="1"/>
  <c r="I101" i="1"/>
  <c r="O101" i="1" s="1"/>
  <c r="I102" i="1"/>
  <c r="O102" i="1" s="1"/>
  <c r="I103" i="1"/>
  <c r="O103" i="1" s="1"/>
  <c r="I104" i="1"/>
  <c r="O104" i="1" s="1"/>
  <c r="I105" i="1"/>
  <c r="O105" i="1" s="1"/>
  <c r="I106" i="1"/>
  <c r="O106" i="1" s="1"/>
  <c r="I107" i="1"/>
  <c r="O107" i="1" s="1"/>
  <c r="I108" i="1"/>
  <c r="O108" i="1" s="1"/>
  <c r="I109" i="1"/>
  <c r="O109" i="1" s="1"/>
  <c r="I110" i="1"/>
  <c r="O110" i="1" s="1"/>
  <c r="I111" i="1"/>
  <c r="O111" i="1" s="1"/>
  <c r="I112" i="1"/>
  <c r="O112" i="1" s="1"/>
  <c r="I113" i="1"/>
  <c r="O113" i="1" s="1"/>
  <c r="I114" i="1"/>
  <c r="O114" i="1" s="1"/>
  <c r="I115" i="1"/>
  <c r="O115" i="1" s="1"/>
  <c r="I116" i="1"/>
  <c r="O116" i="1" s="1"/>
  <c r="I117" i="1"/>
  <c r="O117" i="1" s="1"/>
  <c r="I118" i="1"/>
  <c r="O118" i="1" s="1"/>
  <c r="I119" i="1"/>
  <c r="O119" i="1" s="1"/>
  <c r="I120" i="1"/>
  <c r="O120" i="1" s="1"/>
  <c r="I121" i="1"/>
  <c r="O121" i="1" s="1"/>
  <c r="I122" i="1"/>
  <c r="O122" i="1" s="1"/>
  <c r="I123" i="1"/>
  <c r="O123" i="1" s="1"/>
  <c r="I124" i="1"/>
  <c r="O124" i="1" s="1"/>
  <c r="I125" i="1"/>
  <c r="O125" i="1" s="1"/>
  <c r="I126" i="1"/>
  <c r="O126" i="1" s="1"/>
  <c r="I127" i="1"/>
  <c r="O127" i="1" s="1"/>
  <c r="I128" i="1"/>
  <c r="O128" i="1" s="1"/>
  <c r="I129" i="1"/>
  <c r="O129" i="1" s="1"/>
  <c r="I130" i="1"/>
  <c r="O130" i="1" s="1"/>
  <c r="I131" i="1"/>
  <c r="O131" i="1" s="1"/>
  <c r="I132" i="1"/>
  <c r="O132" i="1" s="1"/>
  <c r="I133" i="1"/>
  <c r="O133" i="1" s="1"/>
  <c r="I134" i="1"/>
  <c r="O134" i="1" s="1"/>
  <c r="I135" i="1"/>
  <c r="O135" i="1" s="1"/>
  <c r="I136" i="1"/>
  <c r="O136" i="1" s="1"/>
  <c r="I137" i="1"/>
  <c r="O137" i="1" s="1"/>
  <c r="I138" i="1"/>
  <c r="O138" i="1" s="1"/>
  <c r="I139" i="1"/>
  <c r="O139" i="1" s="1"/>
  <c r="I140" i="1"/>
  <c r="O140" i="1" s="1"/>
  <c r="I141" i="1"/>
  <c r="O141" i="1" s="1"/>
  <c r="I142" i="1"/>
  <c r="O142" i="1" s="1"/>
  <c r="I143" i="1"/>
  <c r="O143" i="1" s="1"/>
  <c r="I144" i="1"/>
  <c r="O144" i="1" s="1"/>
  <c r="I145" i="1"/>
  <c r="O145" i="1" s="1"/>
  <c r="I146" i="1"/>
  <c r="O146" i="1" s="1"/>
  <c r="I147" i="1"/>
  <c r="O147" i="1" s="1"/>
  <c r="I148" i="1"/>
  <c r="O148" i="1" s="1"/>
  <c r="I149" i="1"/>
  <c r="O149" i="1" s="1"/>
  <c r="I150" i="1"/>
  <c r="O150" i="1" s="1"/>
  <c r="I151" i="1"/>
  <c r="O151" i="1" s="1"/>
  <c r="I152" i="1"/>
  <c r="O152" i="1" s="1"/>
  <c r="I153" i="1"/>
  <c r="O153" i="1" s="1"/>
  <c r="I154" i="1"/>
  <c r="O154" i="1" s="1"/>
  <c r="I155" i="1"/>
  <c r="O155" i="1" s="1"/>
  <c r="I156" i="1"/>
  <c r="O156" i="1" s="1"/>
  <c r="I157" i="1"/>
  <c r="O157" i="1" s="1"/>
  <c r="I158" i="1"/>
  <c r="O158" i="1" s="1"/>
  <c r="I159" i="1"/>
  <c r="O159" i="1" s="1"/>
  <c r="I160" i="1"/>
  <c r="O160" i="1" s="1"/>
  <c r="I161" i="1"/>
  <c r="O161" i="1" s="1"/>
  <c r="I162" i="1"/>
  <c r="O162" i="1" s="1"/>
  <c r="I163" i="1"/>
  <c r="O163" i="1" s="1"/>
  <c r="I164" i="1"/>
  <c r="O164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C10" i="16"/>
  <c r="C9" i="16"/>
  <c r="C12" i="16"/>
  <c r="C11" i="16"/>
  <c r="C8" i="16"/>
  <c r="C7" i="16"/>
  <c r="C6" i="16"/>
  <c r="C5" i="16"/>
  <c r="C4" i="16"/>
  <c r="C3" i="16"/>
  <c r="L11" i="1" l="1"/>
  <c r="L10" i="1"/>
  <c r="L6" i="1"/>
  <c r="L7" i="1"/>
  <c r="L8" i="1"/>
  <c r="L9" i="1"/>
  <c r="L87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56" i="1" l="1"/>
  <c r="K156" i="1" s="1"/>
  <c r="J15" i="55"/>
  <c r="K15" i="55" s="1"/>
  <c r="J12" i="55"/>
  <c r="K12" i="55" s="1"/>
  <c r="J9" i="55"/>
  <c r="K9" i="55" s="1"/>
  <c r="J14" i="55"/>
  <c r="K14" i="55" s="1"/>
  <c r="J11" i="55"/>
  <c r="K11" i="55" s="1"/>
  <c r="J8" i="55"/>
  <c r="K8" i="55" s="1"/>
  <c r="J7" i="55"/>
  <c r="K7" i="55" s="1"/>
  <c r="J13" i="55"/>
  <c r="K13" i="55" s="1"/>
  <c r="J10" i="55"/>
  <c r="K10" i="55" s="1"/>
  <c r="J6" i="55"/>
  <c r="K6" i="55" s="1"/>
  <c r="J120" i="1"/>
  <c r="K120" i="1" s="1"/>
  <c r="J42" i="54"/>
  <c r="K42" i="54" s="1"/>
  <c r="J36" i="54"/>
  <c r="K36" i="54" s="1"/>
  <c r="J32" i="54"/>
  <c r="K32" i="54" s="1"/>
  <c r="J29" i="54"/>
  <c r="K29" i="54" s="1"/>
  <c r="J22" i="54"/>
  <c r="K22" i="54" s="1"/>
  <c r="J19" i="54"/>
  <c r="K19" i="54" s="1"/>
  <c r="J15" i="54"/>
  <c r="K15" i="54" s="1"/>
  <c r="J25" i="54"/>
  <c r="K25" i="54" s="1"/>
  <c r="J12" i="54"/>
  <c r="K12" i="54" s="1"/>
  <c r="J8" i="54"/>
  <c r="K8" i="54" s="1"/>
  <c r="J41" i="54"/>
  <c r="K41" i="54" s="1"/>
  <c r="J38" i="54"/>
  <c r="K38" i="54" s="1"/>
  <c r="J35" i="54"/>
  <c r="K35" i="54" s="1"/>
  <c r="J31" i="54"/>
  <c r="K31" i="54" s="1"/>
  <c r="J18" i="54"/>
  <c r="K18" i="54" s="1"/>
  <c r="J28" i="54"/>
  <c r="K28" i="54" s="1"/>
  <c r="J24" i="54"/>
  <c r="K24" i="54" s="1"/>
  <c r="J21" i="54"/>
  <c r="K21" i="54" s="1"/>
  <c r="J14" i="54"/>
  <c r="K14" i="54" s="1"/>
  <c r="J11" i="54"/>
  <c r="K11" i="54" s="1"/>
  <c r="J7" i="54"/>
  <c r="K7" i="54" s="1"/>
  <c r="J40" i="54"/>
  <c r="K40" i="54" s="1"/>
  <c r="J34" i="54"/>
  <c r="K34" i="54" s="1"/>
  <c r="J17" i="54"/>
  <c r="K17" i="54" s="1"/>
  <c r="J37" i="54"/>
  <c r="K37" i="54" s="1"/>
  <c r="J30" i="54"/>
  <c r="K30" i="54" s="1"/>
  <c r="J27" i="54"/>
  <c r="K27" i="54" s="1"/>
  <c r="J23" i="54"/>
  <c r="K23" i="54" s="1"/>
  <c r="J10" i="54"/>
  <c r="K10" i="54" s="1"/>
  <c r="J33" i="54"/>
  <c r="K33" i="54" s="1"/>
  <c r="J20" i="54"/>
  <c r="K20" i="54" s="1"/>
  <c r="J16" i="54"/>
  <c r="K16" i="54" s="1"/>
  <c r="J13" i="54"/>
  <c r="K13" i="54" s="1"/>
  <c r="J6" i="54"/>
  <c r="K6" i="54" s="1"/>
  <c r="J39" i="54"/>
  <c r="K39" i="54" s="1"/>
  <c r="J26" i="54"/>
  <c r="K26" i="54" s="1"/>
  <c r="J9" i="54"/>
  <c r="K9" i="54" s="1"/>
  <c r="J96" i="1"/>
  <c r="K96" i="1" s="1"/>
  <c r="J27" i="53"/>
  <c r="K27" i="53" s="1"/>
  <c r="J21" i="53"/>
  <c r="K21" i="53" s="1"/>
  <c r="J8" i="53"/>
  <c r="K8" i="53" s="1"/>
  <c r="J17" i="53"/>
  <c r="K17" i="53" s="1"/>
  <c r="J14" i="53"/>
  <c r="K14" i="53" s="1"/>
  <c r="J11" i="53"/>
  <c r="K11" i="53" s="1"/>
  <c r="J26" i="53"/>
  <c r="K26" i="53" s="1"/>
  <c r="J23" i="53"/>
  <c r="K23" i="53" s="1"/>
  <c r="J7" i="53"/>
  <c r="K7" i="53" s="1"/>
  <c r="J20" i="53"/>
  <c r="K20" i="53" s="1"/>
  <c r="J10" i="53"/>
  <c r="K10" i="53" s="1"/>
  <c r="J15" i="53"/>
  <c r="K15" i="53" s="1"/>
  <c r="J25" i="53"/>
  <c r="K25" i="53" s="1"/>
  <c r="J16" i="53"/>
  <c r="K16" i="53" s="1"/>
  <c r="J13" i="53"/>
  <c r="K13" i="53" s="1"/>
  <c r="J22" i="53"/>
  <c r="K22" i="53" s="1"/>
  <c r="J19" i="53"/>
  <c r="K19" i="53" s="1"/>
  <c r="J9" i="53"/>
  <c r="K9" i="53" s="1"/>
  <c r="J6" i="53"/>
  <c r="K6" i="53" s="1"/>
  <c r="J24" i="53"/>
  <c r="K24" i="53" s="1"/>
  <c r="J18" i="53"/>
  <c r="K18" i="53" s="1"/>
  <c r="J12" i="53"/>
  <c r="K12" i="53" s="1"/>
  <c r="J42" i="1"/>
  <c r="K42" i="1" s="1"/>
  <c r="J60" i="52"/>
  <c r="K60" i="52" s="1"/>
  <c r="J54" i="52"/>
  <c r="K54" i="52" s="1"/>
  <c r="J50" i="52"/>
  <c r="K50" i="52" s="1"/>
  <c r="J47" i="52"/>
  <c r="K47" i="52" s="1"/>
  <c r="J40" i="52"/>
  <c r="K40" i="52" s="1"/>
  <c r="J37" i="52"/>
  <c r="K37" i="52" s="1"/>
  <c r="J33" i="52"/>
  <c r="K33" i="52" s="1"/>
  <c r="J30" i="52"/>
  <c r="K30" i="52" s="1"/>
  <c r="J26" i="52"/>
  <c r="K26" i="52" s="1"/>
  <c r="J19" i="52"/>
  <c r="K19" i="52" s="1"/>
  <c r="J12" i="52"/>
  <c r="K12" i="52" s="1"/>
  <c r="J8" i="52"/>
  <c r="K8" i="52" s="1"/>
  <c r="J43" i="52"/>
  <c r="K43" i="52" s="1"/>
  <c r="J15" i="52"/>
  <c r="K15" i="52" s="1"/>
  <c r="J59" i="52"/>
  <c r="K59" i="52" s="1"/>
  <c r="J56" i="52"/>
  <c r="K56" i="52" s="1"/>
  <c r="J53" i="52"/>
  <c r="K53" i="52" s="1"/>
  <c r="J36" i="52"/>
  <c r="K36" i="52" s="1"/>
  <c r="J32" i="52"/>
  <c r="K32" i="52" s="1"/>
  <c r="J29" i="52"/>
  <c r="K29" i="52" s="1"/>
  <c r="J25" i="52"/>
  <c r="K25" i="52" s="1"/>
  <c r="J22" i="52"/>
  <c r="K22" i="52" s="1"/>
  <c r="J18" i="52"/>
  <c r="K18" i="52" s="1"/>
  <c r="J11" i="52"/>
  <c r="K11" i="52" s="1"/>
  <c r="J49" i="52"/>
  <c r="K49" i="52" s="1"/>
  <c r="J46" i="52"/>
  <c r="K46" i="52" s="1"/>
  <c r="J42" i="52"/>
  <c r="K42" i="52" s="1"/>
  <c r="J39" i="52"/>
  <c r="K39" i="52" s="1"/>
  <c r="J7" i="52"/>
  <c r="K7" i="52" s="1"/>
  <c r="J58" i="52"/>
  <c r="K58" i="52" s="1"/>
  <c r="J52" i="52"/>
  <c r="K52" i="52" s="1"/>
  <c r="J35" i="52"/>
  <c r="K35" i="52" s="1"/>
  <c r="J28" i="52"/>
  <c r="K28" i="52" s="1"/>
  <c r="J24" i="52"/>
  <c r="K24" i="52" s="1"/>
  <c r="J21" i="52"/>
  <c r="K21" i="52" s="1"/>
  <c r="J17" i="52"/>
  <c r="K17" i="52" s="1"/>
  <c r="J14" i="52"/>
  <c r="K14" i="52" s="1"/>
  <c r="J10" i="52"/>
  <c r="K10" i="52" s="1"/>
  <c r="J55" i="52"/>
  <c r="K55" i="52" s="1"/>
  <c r="J48" i="52"/>
  <c r="K48" i="52" s="1"/>
  <c r="J45" i="52"/>
  <c r="K45" i="52" s="1"/>
  <c r="J31" i="52"/>
  <c r="K31" i="52" s="1"/>
  <c r="J51" i="52"/>
  <c r="K51" i="52" s="1"/>
  <c r="J41" i="52"/>
  <c r="K41" i="52" s="1"/>
  <c r="J38" i="52"/>
  <c r="K38" i="52" s="1"/>
  <c r="J34" i="52"/>
  <c r="K34" i="52" s="1"/>
  <c r="J27" i="52"/>
  <c r="K27" i="52" s="1"/>
  <c r="J20" i="52"/>
  <c r="K20" i="52" s="1"/>
  <c r="J16" i="52"/>
  <c r="K16" i="52" s="1"/>
  <c r="J13" i="52"/>
  <c r="K13" i="52" s="1"/>
  <c r="J9" i="52"/>
  <c r="K9" i="52" s="1"/>
  <c r="J6" i="52"/>
  <c r="K6" i="52" s="1"/>
  <c r="J57" i="52"/>
  <c r="K57" i="52" s="1"/>
  <c r="J44" i="52"/>
  <c r="K44" i="52" s="1"/>
  <c r="J23" i="52"/>
  <c r="K23" i="52" s="1"/>
  <c r="J36" i="1"/>
  <c r="K36" i="1" s="1"/>
  <c r="J10" i="51"/>
  <c r="K10" i="51" s="1"/>
  <c r="J7" i="51"/>
  <c r="K7" i="51" s="1"/>
  <c r="J9" i="51"/>
  <c r="K9" i="51" s="1"/>
  <c r="J6" i="51"/>
  <c r="K6" i="51" s="1"/>
  <c r="J8" i="51"/>
  <c r="K8" i="51" s="1"/>
  <c r="J30" i="1"/>
  <c r="K30" i="1" s="1"/>
  <c r="J15" i="50"/>
  <c r="K15" i="50" s="1"/>
  <c r="J9" i="50"/>
  <c r="K9" i="50" s="1"/>
  <c r="J14" i="50"/>
  <c r="K14" i="50" s="1"/>
  <c r="J11" i="50"/>
  <c r="K11" i="50" s="1"/>
  <c r="J8" i="50"/>
  <c r="K8" i="50" s="1"/>
  <c r="J13" i="50"/>
  <c r="K13" i="50" s="1"/>
  <c r="J10" i="50"/>
  <c r="K10" i="50" s="1"/>
  <c r="J7" i="50"/>
  <c r="K7" i="50" s="1"/>
  <c r="J12" i="50"/>
  <c r="K12" i="50" s="1"/>
  <c r="J6" i="50"/>
  <c r="K6" i="50" s="1"/>
  <c r="J24" i="1"/>
  <c r="K24" i="1" s="1"/>
  <c r="J11" i="49"/>
  <c r="K11" i="49" s="1"/>
  <c r="J8" i="49"/>
  <c r="K8" i="49" s="1"/>
  <c r="J10" i="49"/>
  <c r="K10" i="49" s="1"/>
  <c r="J7" i="49"/>
  <c r="K7" i="49" s="1"/>
  <c r="J9" i="49"/>
  <c r="K9" i="49" s="1"/>
  <c r="J6" i="49"/>
  <c r="K6" i="49" s="1"/>
  <c r="J6" i="1"/>
  <c r="K6" i="1" s="1"/>
  <c r="J19" i="48"/>
  <c r="K19" i="48" s="1"/>
  <c r="J16" i="48"/>
  <c r="K16" i="48" s="1"/>
  <c r="J13" i="48"/>
  <c r="K13" i="48" s="1"/>
  <c r="J18" i="48"/>
  <c r="K18" i="48" s="1"/>
  <c r="J9" i="48"/>
  <c r="K9" i="48" s="1"/>
  <c r="J6" i="48"/>
  <c r="K6" i="48" s="1"/>
  <c r="J15" i="48"/>
  <c r="K15" i="48" s="1"/>
  <c r="J12" i="48"/>
  <c r="K12" i="48" s="1"/>
  <c r="J8" i="48"/>
  <c r="K8" i="48" s="1"/>
  <c r="J14" i="48"/>
  <c r="K14" i="48" s="1"/>
  <c r="J17" i="48"/>
  <c r="K17" i="48" s="1"/>
  <c r="J11" i="48"/>
  <c r="K11" i="48" s="1"/>
  <c r="J10" i="48"/>
  <c r="K10" i="48" s="1"/>
  <c r="J7" i="48"/>
  <c r="K7" i="48" s="1"/>
  <c r="L93" i="1"/>
  <c r="L81" i="1"/>
  <c r="L147" i="1"/>
  <c r="L33" i="1"/>
  <c r="L141" i="1"/>
  <c r="L45" i="1"/>
  <c r="L129" i="1"/>
  <c r="L135" i="1"/>
  <c r="L99" i="1"/>
  <c r="L39" i="1"/>
  <c r="L27" i="1"/>
  <c r="L21" i="1"/>
  <c r="L75" i="1"/>
  <c r="L69" i="1"/>
  <c r="L159" i="1"/>
  <c r="L111" i="1"/>
  <c r="L63" i="1"/>
  <c r="L15" i="1"/>
  <c r="L123" i="1"/>
  <c r="L117" i="1"/>
  <c r="L153" i="1"/>
  <c r="L105" i="1"/>
  <c r="L57" i="1"/>
  <c r="L51" i="1"/>
  <c r="L152" i="1"/>
  <c r="L122" i="1"/>
  <c r="L145" i="1"/>
  <c r="L121" i="1"/>
  <c r="L91" i="1"/>
  <c r="L150" i="1"/>
  <c r="L132" i="1"/>
  <c r="L114" i="1"/>
  <c r="L96" i="1"/>
  <c r="L84" i="1"/>
  <c r="L66" i="1"/>
  <c r="L48" i="1"/>
  <c r="L161" i="1"/>
  <c r="L149" i="1"/>
  <c r="L143" i="1"/>
  <c r="L131" i="1"/>
  <c r="L119" i="1"/>
  <c r="L107" i="1"/>
  <c r="L95" i="1"/>
  <c r="L83" i="1"/>
  <c r="L71" i="1"/>
  <c r="L53" i="1"/>
  <c r="L41" i="1"/>
  <c r="L160" i="1"/>
  <c r="L154" i="1"/>
  <c r="L148" i="1"/>
  <c r="L142" i="1"/>
  <c r="L136" i="1"/>
  <c r="L130" i="1"/>
  <c r="L124" i="1"/>
  <c r="L118" i="1"/>
  <c r="L112" i="1"/>
  <c r="L106" i="1"/>
  <c r="L100" i="1"/>
  <c r="L94" i="1"/>
  <c r="L88" i="1"/>
  <c r="L82" i="1"/>
  <c r="L76" i="1"/>
  <c r="L70" i="1"/>
  <c r="L64" i="1"/>
  <c r="L58" i="1"/>
  <c r="L52" i="1"/>
  <c r="L46" i="1"/>
  <c r="L40" i="1"/>
  <c r="L34" i="1"/>
  <c r="L28" i="1"/>
  <c r="L22" i="1"/>
  <c r="L16" i="1"/>
  <c r="L164" i="1"/>
  <c r="L140" i="1"/>
  <c r="L116" i="1"/>
  <c r="L110" i="1"/>
  <c r="L104" i="1"/>
  <c r="L98" i="1"/>
  <c r="L92" i="1"/>
  <c r="L86" i="1"/>
  <c r="L80" i="1"/>
  <c r="L74" i="1"/>
  <c r="L68" i="1"/>
  <c r="L62" i="1"/>
  <c r="L56" i="1"/>
  <c r="L50" i="1"/>
  <c r="L44" i="1"/>
  <c r="L38" i="1"/>
  <c r="L32" i="1"/>
  <c r="L26" i="1"/>
  <c r="N26" i="1" s="1"/>
  <c r="L20" i="1"/>
  <c r="L14" i="1"/>
  <c r="L146" i="1"/>
  <c r="L163" i="1"/>
  <c r="L139" i="1"/>
  <c r="L115" i="1"/>
  <c r="L97" i="1"/>
  <c r="L85" i="1"/>
  <c r="L79" i="1"/>
  <c r="L73" i="1"/>
  <c r="L67" i="1"/>
  <c r="L61" i="1"/>
  <c r="L55" i="1"/>
  <c r="L49" i="1"/>
  <c r="L43" i="1"/>
  <c r="L37" i="1"/>
  <c r="L31" i="1"/>
  <c r="L25" i="1"/>
  <c r="L19" i="1"/>
  <c r="L13" i="1"/>
  <c r="L158" i="1"/>
  <c r="L134" i="1"/>
  <c r="L157" i="1"/>
  <c r="L133" i="1"/>
  <c r="L103" i="1"/>
  <c r="L156" i="1"/>
  <c r="L138" i="1"/>
  <c r="L120" i="1"/>
  <c r="L102" i="1"/>
  <c r="L78" i="1"/>
  <c r="L60" i="1"/>
  <c r="L42" i="1"/>
  <c r="L30" i="1"/>
  <c r="L24" i="1"/>
  <c r="L18" i="1"/>
  <c r="L12" i="1"/>
  <c r="L128" i="1"/>
  <c r="L151" i="1"/>
  <c r="L127" i="1"/>
  <c r="L109" i="1"/>
  <c r="L162" i="1"/>
  <c r="L144" i="1"/>
  <c r="L126" i="1"/>
  <c r="L108" i="1"/>
  <c r="L90" i="1"/>
  <c r="L72" i="1"/>
  <c r="L54" i="1"/>
  <c r="L36" i="1"/>
  <c r="N36" i="1" s="1"/>
  <c r="L155" i="1"/>
  <c r="L137" i="1"/>
  <c r="L125" i="1"/>
  <c r="L113" i="1"/>
  <c r="L101" i="1"/>
  <c r="L89" i="1"/>
  <c r="L77" i="1"/>
  <c r="L65" i="1"/>
  <c r="L59" i="1"/>
  <c r="L47" i="1"/>
  <c r="L35" i="1"/>
  <c r="L29" i="1"/>
  <c r="L23" i="1"/>
  <c r="L17" i="1"/>
  <c r="J11" i="16"/>
  <c r="K7" i="16"/>
  <c r="J161" i="1"/>
  <c r="K161" i="1" s="1"/>
  <c r="J155" i="1"/>
  <c r="K155" i="1" s="1"/>
  <c r="J149" i="1"/>
  <c r="K149" i="1" s="1"/>
  <c r="J143" i="1"/>
  <c r="K143" i="1" s="1"/>
  <c r="J137" i="1"/>
  <c r="K137" i="1" s="1"/>
  <c r="J131" i="1"/>
  <c r="K131" i="1" s="1"/>
  <c r="J125" i="1"/>
  <c r="K125" i="1" s="1"/>
  <c r="J119" i="1"/>
  <c r="K119" i="1" s="1"/>
  <c r="J113" i="1"/>
  <c r="K113" i="1" s="1"/>
  <c r="J107" i="1"/>
  <c r="K107" i="1" s="1"/>
  <c r="J101" i="1"/>
  <c r="K101" i="1" s="1"/>
  <c r="J95" i="1"/>
  <c r="K95" i="1" s="1"/>
  <c r="J89" i="1"/>
  <c r="K89" i="1" s="1"/>
  <c r="J83" i="1"/>
  <c r="K83" i="1" s="1"/>
  <c r="J77" i="1"/>
  <c r="K77" i="1" s="1"/>
  <c r="J71" i="1"/>
  <c r="K71" i="1" s="1"/>
  <c r="J65" i="1"/>
  <c r="K65" i="1" s="1"/>
  <c r="J59" i="1"/>
  <c r="K59" i="1" s="1"/>
  <c r="J53" i="1"/>
  <c r="K53" i="1" s="1"/>
  <c r="J47" i="1"/>
  <c r="K47" i="1" s="1"/>
  <c r="J41" i="1"/>
  <c r="K41" i="1" s="1"/>
  <c r="J35" i="1"/>
  <c r="K35" i="1" s="1"/>
  <c r="J29" i="1"/>
  <c r="K29" i="1" s="1"/>
  <c r="J23" i="1"/>
  <c r="K23" i="1" s="1"/>
  <c r="J17" i="1"/>
  <c r="K17" i="1" s="1"/>
  <c r="J11" i="1"/>
  <c r="K11" i="1" s="1"/>
  <c r="K6" i="16"/>
  <c r="J160" i="1"/>
  <c r="K160" i="1" s="1"/>
  <c r="J154" i="1"/>
  <c r="K154" i="1" s="1"/>
  <c r="J148" i="1"/>
  <c r="K148" i="1" s="1"/>
  <c r="J142" i="1"/>
  <c r="K142" i="1" s="1"/>
  <c r="J136" i="1"/>
  <c r="K136" i="1" s="1"/>
  <c r="J130" i="1"/>
  <c r="K130" i="1" s="1"/>
  <c r="J124" i="1"/>
  <c r="K124" i="1" s="1"/>
  <c r="J118" i="1"/>
  <c r="K118" i="1" s="1"/>
  <c r="J112" i="1"/>
  <c r="K112" i="1" s="1"/>
  <c r="J106" i="1"/>
  <c r="K106" i="1" s="1"/>
  <c r="J100" i="1"/>
  <c r="K100" i="1" s="1"/>
  <c r="J94" i="1"/>
  <c r="K94" i="1" s="1"/>
  <c r="J88" i="1"/>
  <c r="K88" i="1" s="1"/>
  <c r="J82" i="1"/>
  <c r="K82" i="1" s="1"/>
  <c r="J76" i="1"/>
  <c r="K76" i="1" s="1"/>
  <c r="J70" i="1"/>
  <c r="K70" i="1" s="1"/>
  <c r="J64" i="1"/>
  <c r="K64" i="1" s="1"/>
  <c r="J58" i="1"/>
  <c r="K58" i="1" s="1"/>
  <c r="J52" i="1"/>
  <c r="K52" i="1" s="1"/>
  <c r="J46" i="1"/>
  <c r="K46" i="1" s="1"/>
  <c r="J40" i="1"/>
  <c r="K40" i="1" s="1"/>
  <c r="J34" i="1"/>
  <c r="K34" i="1" s="1"/>
  <c r="J28" i="1"/>
  <c r="K28" i="1" s="1"/>
  <c r="J22" i="1"/>
  <c r="K22" i="1" s="1"/>
  <c r="J16" i="1"/>
  <c r="K16" i="1" s="1"/>
  <c r="J10" i="1"/>
  <c r="K10" i="1" s="1"/>
  <c r="J159" i="1"/>
  <c r="K159" i="1" s="1"/>
  <c r="J153" i="1"/>
  <c r="K153" i="1" s="1"/>
  <c r="J147" i="1"/>
  <c r="K147" i="1" s="1"/>
  <c r="J141" i="1"/>
  <c r="K141" i="1" s="1"/>
  <c r="J135" i="1"/>
  <c r="K135" i="1" s="1"/>
  <c r="J129" i="1"/>
  <c r="K129" i="1" s="1"/>
  <c r="J123" i="1"/>
  <c r="K123" i="1" s="1"/>
  <c r="J117" i="1"/>
  <c r="K117" i="1" s="1"/>
  <c r="J111" i="1"/>
  <c r="K111" i="1" s="1"/>
  <c r="J105" i="1"/>
  <c r="K105" i="1" s="1"/>
  <c r="J99" i="1"/>
  <c r="K99" i="1" s="1"/>
  <c r="J93" i="1"/>
  <c r="K93" i="1" s="1"/>
  <c r="J87" i="1"/>
  <c r="K87" i="1" s="1"/>
  <c r="J81" i="1"/>
  <c r="K81" i="1" s="1"/>
  <c r="J75" i="1"/>
  <c r="K75" i="1" s="1"/>
  <c r="J69" i="1"/>
  <c r="K69" i="1" s="1"/>
  <c r="J63" i="1"/>
  <c r="K63" i="1" s="1"/>
  <c r="J57" i="1"/>
  <c r="K57" i="1" s="1"/>
  <c r="J51" i="1"/>
  <c r="K51" i="1" s="1"/>
  <c r="J45" i="1"/>
  <c r="K45" i="1" s="1"/>
  <c r="J39" i="1"/>
  <c r="K39" i="1" s="1"/>
  <c r="J33" i="1"/>
  <c r="K33" i="1" s="1"/>
  <c r="J27" i="1"/>
  <c r="K27" i="1" s="1"/>
  <c r="J21" i="1"/>
  <c r="K21" i="1" s="1"/>
  <c r="J15" i="1"/>
  <c r="K15" i="1" s="1"/>
  <c r="J9" i="1"/>
  <c r="K9" i="1" s="1"/>
  <c r="K10" i="16"/>
  <c r="K4" i="16"/>
  <c r="J164" i="1"/>
  <c r="K164" i="1" s="1"/>
  <c r="J158" i="1"/>
  <c r="K158" i="1" s="1"/>
  <c r="J152" i="1"/>
  <c r="K152" i="1" s="1"/>
  <c r="J146" i="1"/>
  <c r="K146" i="1" s="1"/>
  <c r="J140" i="1"/>
  <c r="K140" i="1" s="1"/>
  <c r="J134" i="1"/>
  <c r="K134" i="1" s="1"/>
  <c r="J128" i="1"/>
  <c r="K128" i="1" s="1"/>
  <c r="J122" i="1"/>
  <c r="K122" i="1" s="1"/>
  <c r="J116" i="1"/>
  <c r="K116" i="1" s="1"/>
  <c r="J110" i="1"/>
  <c r="K110" i="1" s="1"/>
  <c r="J104" i="1"/>
  <c r="K104" i="1" s="1"/>
  <c r="J98" i="1"/>
  <c r="K98" i="1" s="1"/>
  <c r="J92" i="1"/>
  <c r="K92" i="1" s="1"/>
  <c r="J86" i="1"/>
  <c r="K86" i="1" s="1"/>
  <c r="J80" i="1"/>
  <c r="K80" i="1" s="1"/>
  <c r="J74" i="1"/>
  <c r="K74" i="1" s="1"/>
  <c r="J68" i="1"/>
  <c r="K68" i="1" s="1"/>
  <c r="J62" i="1"/>
  <c r="K62" i="1" s="1"/>
  <c r="J56" i="1"/>
  <c r="K56" i="1" s="1"/>
  <c r="J50" i="1"/>
  <c r="K50" i="1" s="1"/>
  <c r="J44" i="1"/>
  <c r="K44" i="1" s="1"/>
  <c r="J38" i="1"/>
  <c r="K38" i="1" s="1"/>
  <c r="J32" i="1"/>
  <c r="K32" i="1" s="1"/>
  <c r="J26" i="1"/>
  <c r="K26" i="1" s="1"/>
  <c r="J20" i="1"/>
  <c r="K20" i="1" s="1"/>
  <c r="J14" i="1"/>
  <c r="K14" i="1" s="1"/>
  <c r="J8" i="1"/>
  <c r="K8" i="1" s="1"/>
  <c r="I11" i="16"/>
  <c r="H10" i="16" s="1"/>
  <c r="K9" i="16"/>
  <c r="K3" i="16"/>
  <c r="J163" i="1"/>
  <c r="K163" i="1" s="1"/>
  <c r="J157" i="1"/>
  <c r="K157" i="1" s="1"/>
  <c r="J151" i="1"/>
  <c r="K151" i="1" s="1"/>
  <c r="J145" i="1"/>
  <c r="K145" i="1" s="1"/>
  <c r="J139" i="1"/>
  <c r="K139" i="1" s="1"/>
  <c r="J133" i="1"/>
  <c r="K133" i="1" s="1"/>
  <c r="J127" i="1"/>
  <c r="K127" i="1" s="1"/>
  <c r="J121" i="1"/>
  <c r="K121" i="1" s="1"/>
  <c r="J115" i="1"/>
  <c r="K115" i="1" s="1"/>
  <c r="J109" i="1"/>
  <c r="K109" i="1" s="1"/>
  <c r="J103" i="1"/>
  <c r="K103" i="1" s="1"/>
  <c r="J97" i="1"/>
  <c r="K97" i="1" s="1"/>
  <c r="J91" i="1"/>
  <c r="K91" i="1" s="1"/>
  <c r="J85" i="1"/>
  <c r="K85" i="1" s="1"/>
  <c r="J79" i="1"/>
  <c r="K79" i="1" s="1"/>
  <c r="J73" i="1"/>
  <c r="K73" i="1" s="1"/>
  <c r="J67" i="1"/>
  <c r="K67" i="1" s="1"/>
  <c r="J61" i="1"/>
  <c r="K61" i="1" s="1"/>
  <c r="J55" i="1"/>
  <c r="K55" i="1" s="1"/>
  <c r="J49" i="1"/>
  <c r="K49" i="1" s="1"/>
  <c r="J43" i="1"/>
  <c r="K43" i="1" s="1"/>
  <c r="J37" i="1"/>
  <c r="K37" i="1" s="1"/>
  <c r="J31" i="1"/>
  <c r="K31" i="1" s="1"/>
  <c r="J25" i="1"/>
  <c r="K25" i="1" s="1"/>
  <c r="J19" i="1"/>
  <c r="K19" i="1" s="1"/>
  <c r="J13" i="1"/>
  <c r="K13" i="1" s="1"/>
  <c r="J7" i="1"/>
  <c r="K7" i="1" s="1"/>
  <c r="K5" i="16"/>
  <c r="K8" i="16"/>
  <c r="J162" i="1"/>
  <c r="K162" i="1" s="1"/>
  <c r="J150" i="1"/>
  <c r="K150" i="1" s="1"/>
  <c r="J144" i="1"/>
  <c r="K144" i="1" s="1"/>
  <c r="J138" i="1"/>
  <c r="K138" i="1" s="1"/>
  <c r="J132" i="1"/>
  <c r="K132" i="1" s="1"/>
  <c r="J126" i="1"/>
  <c r="K126" i="1" s="1"/>
  <c r="J114" i="1"/>
  <c r="K114" i="1" s="1"/>
  <c r="J108" i="1"/>
  <c r="K108" i="1" s="1"/>
  <c r="J102" i="1"/>
  <c r="K102" i="1" s="1"/>
  <c r="J90" i="1"/>
  <c r="K90" i="1" s="1"/>
  <c r="J84" i="1"/>
  <c r="K84" i="1" s="1"/>
  <c r="J78" i="1"/>
  <c r="K78" i="1" s="1"/>
  <c r="J72" i="1"/>
  <c r="K72" i="1" s="1"/>
  <c r="J66" i="1"/>
  <c r="K66" i="1" s="1"/>
  <c r="J60" i="1"/>
  <c r="K60" i="1" s="1"/>
  <c r="J54" i="1"/>
  <c r="K54" i="1" s="1"/>
  <c r="J48" i="1"/>
  <c r="K48" i="1" s="1"/>
  <c r="J18" i="1"/>
  <c r="K18" i="1" s="1"/>
  <c r="J12" i="1"/>
  <c r="K12" i="1" s="1"/>
  <c r="A2" i="1"/>
  <c r="N10" i="1" l="1"/>
  <c r="N65" i="1"/>
  <c r="N60" i="1"/>
  <c r="N32" i="1"/>
  <c r="N119" i="1"/>
  <c r="N17" i="1"/>
  <c r="N89" i="1"/>
  <c r="N72" i="1"/>
  <c r="N151" i="1"/>
  <c r="N78" i="1"/>
  <c r="N134" i="1"/>
  <c r="N49" i="1"/>
  <c r="N115" i="1"/>
  <c r="N38" i="1"/>
  <c r="N86" i="1"/>
  <c r="N16" i="1"/>
  <c r="N64" i="1"/>
  <c r="N112" i="1"/>
  <c r="N160" i="1"/>
  <c r="N131" i="1"/>
  <c r="N114" i="1"/>
  <c r="N51" i="1"/>
  <c r="N111" i="1"/>
  <c r="N135" i="1"/>
  <c r="N11" i="1"/>
  <c r="N42" i="1"/>
  <c r="N43" i="1"/>
  <c r="N58" i="1"/>
  <c r="N93" i="1"/>
  <c r="N101" i="1"/>
  <c r="N90" i="1"/>
  <c r="N128" i="1"/>
  <c r="N102" i="1"/>
  <c r="N158" i="1"/>
  <c r="N55" i="1"/>
  <c r="N139" i="1"/>
  <c r="N44" i="1"/>
  <c r="N92" i="1"/>
  <c r="N22" i="1"/>
  <c r="N70" i="1"/>
  <c r="N118" i="1"/>
  <c r="N41" i="1"/>
  <c r="N143" i="1"/>
  <c r="N132" i="1"/>
  <c r="N57" i="1"/>
  <c r="N159" i="1"/>
  <c r="N129" i="1"/>
  <c r="N77" i="1"/>
  <c r="N97" i="1"/>
  <c r="N154" i="1"/>
  <c r="N96" i="1"/>
  <c r="N23" i="1"/>
  <c r="N29" i="1"/>
  <c r="N113" i="1"/>
  <c r="N108" i="1"/>
  <c r="N12" i="1"/>
  <c r="N120" i="1"/>
  <c r="N13" i="1"/>
  <c r="N61" i="1"/>
  <c r="N163" i="1"/>
  <c r="N50" i="1"/>
  <c r="N98" i="1"/>
  <c r="N28" i="1"/>
  <c r="N76" i="1"/>
  <c r="N124" i="1"/>
  <c r="N53" i="1"/>
  <c r="N149" i="1"/>
  <c r="N150" i="1"/>
  <c r="N105" i="1"/>
  <c r="N69" i="1"/>
  <c r="N45" i="1"/>
  <c r="N6" i="1"/>
  <c r="N109" i="1"/>
  <c r="N157" i="1"/>
  <c r="N106" i="1"/>
  <c r="N63" i="1"/>
  <c r="N35" i="1"/>
  <c r="N125" i="1"/>
  <c r="N126" i="1"/>
  <c r="N18" i="1"/>
  <c r="N138" i="1"/>
  <c r="N19" i="1"/>
  <c r="N67" i="1"/>
  <c r="N146" i="1"/>
  <c r="N56" i="1"/>
  <c r="N104" i="1"/>
  <c r="N34" i="1"/>
  <c r="N82" i="1"/>
  <c r="N130" i="1"/>
  <c r="N71" i="1"/>
  <c r="N161" i="1"/>
  <c r="N91" i="1"/>
  <c r="N153" i="1"/>
  <c r="N75" i="1"/>
  <c r="N141" i="1"/>
  <c r="N7" i="1"/>
  <c r="N54" i="1"/>
  <c r="N164" i="1"/>
  <c r="N99" i="1"/>
  <c r="N47" i="1"/>
  <c r="N137" i="1"/>
  <c r="N144" i="1"/>
  <c r="N24" i="1"/>
  <c r="N156" i="1"/>
  <c r="N25" i="1"/>
  <c r="N73" i="1"/>
  <c r="N14" i="1"/>
  <c r="N62" i="1"/>
  <c r="N110" i="1"/>
  <c r="N40" i="1"/>
  <c r="N88" i="1"/>
  <c r="N136" i="1"/>
  <c r="N83" i="1"/>
  <c r="N48" i="1"/>
  <c r="N121" i="1"/>
  <c r="N117" i="1"/>
  <c r="N21" i="1"/>
  <c r="N33" i="1"/>
  <c r="N8" i="1"/>
  <c r="N127" i="1"/>
  <c r="N80" i="1"/>
  <c r="N152" i="1"/>
  <c r="N59" i="1"/>
  <c r="N155" i="1"/>
  <c r="N162" i="1"/>
  <c r="N30" i="1"/>
  <c r="N103" i="1"/>
  <c r="N31" i="1"/>
  <c r="N79" i="1"/>
  <c r="N20" i="1"/>
  <c r="N68" i="1"/>
  <c r="N116" i="1"/>
  <c r="N46" i="1"/>
  <c r="N94" i="1"/>
  <c r="N142" i="1"/>
  <c r="N95" i="1"/>
  <c r="N66" i="1"/>
  <c r="N145" i="1"/>
  <c r="N123" i="1"/>
  <c r="N27" i="1"/>
  <c r="N147" i="1"/>
  <c r="N9" i="1"/>
  <c r="N133" i="1"/>
  <c r="N37" i="1"/>
  <c r="N85" i="1"/>
  <c r="N74" i="1"/>
  <c r="N140" i="1"/>
  <c r="N52" i="1"/>
  <c r="N100" i="1"/>
  <c r="N148" i="1"/>
  <c r="N107" i="1"/>
  <c r="N84" i="1"/>
  <c r="N122" i="1"/>
  <c r="N15" i="1"/>
  <c r="N39" i="1"/>
  <c r="N81" i="1"/>
  <c r="N87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<sst xmlns="http://schemas.openxmlformats.org/spreadsheetml/2006/main" count="2673" uniqueCount="360">
  <si>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</si>
  <si>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</si>
  <si>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</si>
  <si>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</si>
  <si>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</si>
  <si>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</si>
  <si>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</si>
  <si>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</si>
  <si>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</si>
  <si>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</si>
  <si>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</si>
  <si>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</si>
  <si>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</si>
  <si>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</si>
  <si>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</si>
  <si>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</si>
  <si>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</si>
  <si>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</si>
  <si>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</si>
  <si>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</si>
  <si>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</si>
  <si>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</si>
  <si>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</si>
  <si>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</si>
  <si>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</si>
  <si>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</si>
  <si>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</si>
  <si>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</si>
  <si>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</si>
  <si>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</si>
  <si>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</si>
  <si>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</si>
  <si>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</si>
  <si>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</si>
  <si>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</si>
  <si>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</si>
  <si>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</si>
  <si>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</si>
  <si>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</si>
  <si>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</si>
  <si>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</si>
  <si>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</si>
  <si>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</si>
  <si>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</si>
  <si>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</si>
  <si>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</si>
  <si>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</si>
  <si>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</si>
  <si>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</si>
  <si>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</si>
  <si>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</si>
  <si>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</si>
  <si>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</si>
  <si>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</si>
  <si>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</si>
  <si>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</si>
  <si>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</si>
  <si>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</si>
  <si>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</si>
  <si>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</si>
  <si>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</si>
  <si>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</si>
  <si>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</si>
  <si>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</si>
  <si>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</si>
  <si>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</si>
  <si>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</si>
  <si>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</si>
  <si>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</si>
  <si>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</si>
  <si>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</si>
  <si>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</si>
  <si>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</si>
  <si>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</si>
  <si>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</si>
  <si>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</si>
  <si>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</si>
  <si>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</si>
  <si>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</si>
  <si>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</si>
  <si>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</si>
  <si>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</si>
  <si>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</si>
  <si>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</si>
  <si>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</si>
  <si>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</si>
  <si>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</si>
  <si>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</si>
  <si>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</si>
  <si>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</si>
  <si>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</si>
  <si>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</si>
  <si>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</si>
  <si>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</si>
  <si>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</si>
  <si>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</si>
  <si>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</si>
  <si>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</si>
  <si>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</si>
  <si>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</si>
  <si>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</si>
  <si>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</si>
  <si>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</si>
  <si>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</si>
  <si>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</si>
  <si>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</si>
  <si>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</si>
  <si>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</si>
  <si>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</si>
  <si>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</si>
  <si>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</si>
  <si>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</si>
  <si>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</si>
  <si>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</si>
  <si>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</si>
  <si>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</si>
  <si>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</si>
  <si>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</si>
  <si>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</si>
  <si>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</si>
  <si>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</si>
  <si>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</si>
  <si>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</si>
  <si>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</si>
  <si>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</si>
  <si>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</si>
  <si>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</si>
  <si>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</si>
  <si>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</si>
  <si>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</si>
  <si>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</si>
  <si>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</si>
  <si>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</si>
  <si>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</si>
  <si>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</si>
  <si>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</si>
  <si>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</si>
  <si>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</si>
  <si>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</si>
  <si>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</si>
  <si>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</si>
  <si>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</si>
  <si>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</si>
  <si>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</si>
  <si>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</si>
  <si>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</si>
  <si>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</si>
  <si>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</si>
  <si>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</si>
  <si>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</si>
  <si>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</si>
  <si>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</si>
  <si>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</si>
  <si>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</si>
  <si>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</si>
  <si>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</si>
  <si>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</si>
  <si>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</si>
  <si>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</si>
  <si>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</si>
  <si>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</si>
  <si>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</si>
  <si>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</si>
  <si>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</si>
  <si>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</si>
  <si>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</si>
  <si>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</si>
  <si>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</si>
  <si>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</si>
  <si>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</si>
  <si>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</si>
  <si>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</si>
  <si>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</si>
  <si>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</si>
  <si>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</si>
  <si>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</si>
  <si>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</si>
  <si>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</si>
  <si>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</si>
  <si>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</si>
  <si>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</si>
  <si>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</si>
  <si>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</si>
  <si>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</si>
  <si>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</si>
  <si>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</si>
  <si>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</si>
  <si>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</si>
  <si>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</si>
  <si>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</si>
  <si>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</si>
  <si>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</si>
  <si>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</si>
  <si>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</si>
  <si>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</si>
  <si>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</si>
  <si>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</si>
  <si>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</si>
  <si>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</si>
  <si>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</si>
  <si>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</si>
  <si>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</si>
  <si>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</si>
  <si>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</si>
  <si>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</si>
  <si>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</si>
  <si>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</si>
  <si>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</si>
  <si>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</si>
  <si>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</si>
  <si>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</si>
  <si>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MOTHER</t>
  </si>
  <si>
    <t>ADIDAS COCSO PENGGANTI RIJEK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</si>
  <si>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</si>
  <si>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</si>
  <si>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</si>
  <si>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</si>
  <si>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</si>
  <si>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</si>
  <si>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</si>
  <si>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</si>
  <si>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</si>
  <si>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</si>
  <si>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</si>
  <si>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</si>
  <si>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</si>
  <si>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</si>
  <si>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</si>
  <si>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</si>
  <si>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</si>
  <si>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</si>
  <si>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</si>
  <si>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</si>
  <si>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</si>
  <si>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</si>
  <si>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</si>
  <si>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</si>
  <si>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</si>
  <si>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</si>
  <si>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</si>
  <si>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</si>
  <si>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</si>
  <si>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</si>
  <si>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</si>
  <si>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</si>
  <si>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</si>
  <si>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</si>
  <si>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</si>
  <si>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</si>
  <si>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</si>
  <si>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</si>
  <si>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</si>
  <si>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</si>
  <si>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</si>
  <si>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</si>
  <si>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</si>
  <si>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</si>
  <si>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</si>
  <si>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</si>
  <si>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</si>
  <si>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</si>
  <si>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</si>
  <si>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</si>
  <si>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</si>
  <si>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</si>
  <si>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</si>
  <si>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</si>
  <si>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</si>
  <si>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</si>
  <si>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</si>
  <si>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</si>
  <si>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</si>
  <si>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</si>
  <si>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</si>
  <si>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</si>
  <si>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</si>
  <si>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</si>
  <si>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</si>
  <si>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</si>
  <si>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</si>
  <si>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</si>
  <si>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</si>
  <si>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</si>
  <si>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</si>
  <si>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</si>
  <si>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</si>
  <si>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</si>
  <si>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</si>
  <si>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</si>
  <si>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</si>
  <si>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</si>
  <si>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</si>
  <si>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</si>
  <si>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</si>
  <si>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</si>
  <si>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</si>
  <si>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</si>
  <si>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</si>
  <si>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</si>
  <si>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</si>
  <si>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</si>
  <si>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</si>
  <si>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</si>
  <si>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</si>
  <si>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</si>
  <si>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</si>
  <si>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</si>
  <si>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</si>
  <si>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</si>
  <si>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</si>
  <si>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</si>
  <si>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</si>
  <si>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</si>
  <si>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</si>
  <si>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</si>
  <si>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</si>
  <si>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</si>
  <si>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</si>
  <si>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</si>
  <si>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</si>
  <si>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</si>
  <si>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t>\\10.8.0.35\rpa$\RPA Excel Template\Accounting Finance\Santy\Profit Loss\07-02-2024\Tarikan JDE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</si>
  <si>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</si>
  <si>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</si>
  <si>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</si>
  <si>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</si>
  <si>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</si>
  <si>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</si>
  <si>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</si>
  <si>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</si>
  <si>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</si>
  <si>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</si>
  <si>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</si>
  <si>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</si>
  <si>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</si>
  <si>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</si>
  <si>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</si>
  <si>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</si>
  <si>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</si>
  <si>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</si>
  <si>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SELAIN diatas masuk ke Pa asep</t>
  </si>
  <si>
    <t>1204.631100.xlsx</t>
  </si>
  <si>
    <t>APOTEK &amp; KLINIK NUHATO</t>
  </si>
  <si>
    <t>PERIODE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</si>
  <si>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</si>
  <si>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</si>
  <si>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</si>
  <si>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</si>
  <si>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</si>
  <si>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</si>
  <si>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</si>
  <si>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</si>
  <si>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</si>
  <si>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</si>
  <si>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</si>
  <si>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</si>
  <si>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</si>
  <si>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</si>
  <si>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OK</t>
  </si>
  <si>
    <t>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</si>
</sst>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2" fillId="0" borderId="0" xfId="0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164" fontId="12" fillId="2" borderId="1" xfId="1" applyNumberFormat="1" applyFont="1" applyFill="1" applyBorder="1" applyAlignment="1">
      <alignment horizontal="center"/>
    </xf>
    <xf numFmtId="10" fontId="12" fillId="2" borderId="1" xfId="2" applyNumberFormat="1" applyFont="1" applyFill="1" applyBorder="1" applyAlignment="1">
      <alignment horizontal="center"/>
    </xf>
    <xf numFmtId="0" fontId="13" fillId="5" borderId="1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center"/>
    </xf>
    <xf numFmtId="0" fontId="11" fillId="6" borderId="11" xfId="0" applyFont="1" applyFill="1" applyBorder="1" applyAlignment="1">
      <alignment horizontal="left" vertical="center"/>
    </xf>
    <xf numFmtId="0" fontId="10" fillId="0" borderId="0" xfId="3" applyFill="1"/>
    <xf numFmtId="0" fontId="11" fillId="6" borderId="11" xfId="0" applyFont="1" applyFill="1" applyBorder="1" applyAlignment="1">
      <alignment vertical="center"/>
    </xf>
    <xf numFmtId="0" fontId="11" fillId="6" borderId="12" xfId="0" applyFont="1" applyFill="1" applyBorder="1" applyAlignment="1">
      <alignment vertical="center"/>
    </xf>
    <xf numFmtId="0" fontId="19" fillId="0" borderId="0" xfId="0" applyFont="1"/>
    <xf numFmtId="9" fontId="0" fillId="0" borderId="0" xfId="2" applyFont="1" applyAlignment="1">
      <alignment horizontal="center" vertical="center"/>
    </xf>
    <xf numFmtId="9" fontId="6" fillId="6" borderId="10" xfId="2" applyFont="1" applyFill="1" applyBorder="1" applyAlignment="1">
      <alignment horizontal="center" vertical="center"/>
    </xf>
    <xf numFmtId="43" fontId="0" fillId="0" borderId="0" xfId="1" applyFont="1"/>
    <xf numFmtId="43" fontId="6" fillId="6" borderId="10" xfId="1" applyFont="1" applyFill="1" applyBorder="1" applyAlignment="1">
      <alignment horizontal="center"/>
    </xf>
    <xf numFmtId="9" fontId="0" fillId="0" borderId="0" xfId="2" applyFont="1" applyAlignment="1">
      <alignment vertical="center"/>
    </xf>
    <xf numFmtId="0" fontId="14" fillId="0" borderId="0" xfId="0" applyFont="1" applyAlignment="1">
      <alignment horizontal="left"/>
    </xf>
    <xf numFmtId="9" fontId="0" fillId="0" borderId="0" xfId="2" applyFont="1"/>
    <xf numFmtId="0" fontId="7" fillId="0" borderId="0" xfId="0" applyFont="1"/>
    <xf numFmtId="0" fontId="21" fillId="0" borderId="0" xfId="0" applyFont="1"/>
    <xf numFmtId="43" fontId="0" fillId="0" borderId="0" xfId="0" applyNumberFormat="1"/>
    <xf numFmtId="43" fontId="12" fillId="2" borderId="1" xfId="1" applyFont="1" applyFill="1" applyBorder="1" applyAlignment="1">
      <alignment horizontal="center"/>
    </xf>
    <xf numFmtId="43" fontId="2" fillId="0" borderId="0" xfId="1" applyFont="1"/>
    <xf numFmtId="43" fontId="21" fillId="0" borderId="0" xfId="1" applyFont="1"/>
    <xf numFmtId="43" fontId="3" fillId="0" borderId="0" xfId="1" applyFont="1"/>
    <xf numFmtId="43" fontId="4" fillId="0" borderId="0" xfId="1" applyFont="1"/>
    <xf numFmtId="10" fontId="2" fillId="0" borderId="0" xfId="2" applyNumberFormat="1" applyFont="1"/>
    <xf numFmtId="0" fontId="10" fillId="0" borderId="0" xfId="3"/>
    <xf numFmtId="0" fontId="3" fillId="0" borderId="0" xfId="0" applyFont="1" applyAlignment="1">
      <alignment horizontal="center"/>
    </xf>
    <xf numFmtId="0" fontId="0" fillId="0" borderId="0" xfId="0" quotePrefix="1"/>
    <xf numFmtId="0" fontId="0" fillId="6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0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FFBFF"/>
      <color rgb="FFD5F4FF"/>
      <color rgb="FF2FC9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6108" y="699932"/>
          <a:ext cx="1670698" cy="429245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9929" y="303557"/>
          <a:ext cx="1676815" cy="429245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4613416" y="323022"/>
          <a:ext cx="1581978" cy="379036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NEW%20of%20Data%20PIC%20Budget%20Th%202024-3.xlsx" TargetMode="External"/><Relationship Id="rId1" Type="http://schemas.openxmlformats.org/officeDocument/2006/relationships/hyperlink" Target="..\..\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Tarikan%20JDE/1205.630130.xlsx" TargetMode="External"/><Relationship Id="rId21" Type="http://schemas.openxmlformats.org/officeDocument/2006/relationships/hyperlink" Target="../../Tarikan%20JDE/ACCOUNT%20TIDAK%20DITEMUKAN.xlsx" TargetMode="External"/><Relationship Id="rId42" Type="http://schemas.openxmlformats.org/officeDocument/2006/relationships/hyperlink" Target="../../Tarikan%20JDE/1201.630300.xlsx" TargetMode="External"/><Relationship Id="rId63" Type="http://schemas.openxmlformats.org/officeDocument/2006/relationships/hyperlink" Target="../../Tarikan%20JDE/1201.630720.xlsx" TargetMode="External"/><Relationship Id="rId84" Type="http://schemas.openxmlformats.org/officeDocument/2006/relationships/hyperlink" Target="../../Tarikan%20JDE/1201.802120.xlsx" TargetMode="External"/><Relationship Id="rId138" Type="http://schemas.openxmlformats.org/officeDocument/2006/relationships/hyperlink" Target="../../Tarikan%20JDE/1204.720500.xlsx" TargetMode="External"/><Relationship Id="rId159" Type="http://schemas.openxmlformats.org/officeDocument/2006/relationships/hyperlink" Target="../../Tarikan%20JDE/1204.801110.xlsx" TargetMode="External"/><Relationship Id="rId107" Type="http://schemas.openxmlformats.org/officeDocument/2006/relationships/hyperlink" Target="../../Tarikan%20JDE/1206.630400.xlsx" TargetMode="External"/><Relationship Id="rId11" Type="http://schemas.openxmlformats.org/officeDocument/2006/relationships/hyperlink" Target="../../Tarikan%20JDE/1201.631150.xlsx" TargetMode="External"/><Relationship Id="rId32" Type="http://schemas.openxmlformats.org/officeDocument/2006/relationships/hyperlink" Target="../../Tarikan%20JDE/1201.730300.xlsx" TargetMode="External"/><Relationship Id="rId53" Type="http://schemas.openxmlformats.org/officeDocument/2006/relationships/hyperlink" Target="../../Tarikan%20JDE/1204.802140.xlsx" TargetMode="External"/><Relationship Id="rId74" Type="http://schemas.openxmlformats.org/officeDocument/2006/relationships/hyperlink" Target="../../Tarikan%20JDE/1201.816130.xlsx" TargetMode="External"/><Relationship Id="rId128" Type="http://schemas.openxmlformats.org/officeDocument/2006/relationships/hyperlink" Target="../../Tarikan%20JDE/1205.630730.xlsx" TargetMode="External"/><Relationship Id="rId149" Type="http://schemas.openxmlformats.org/officeDocument/2006/relationships/hyperlink" Target="../../Tarikan%20JDE/1204.631140.xlsx" TargetMode="External"/><Relationship Id="rId5" Type="http://schemas.openxmlformats.org/officeDocument/2006/relationships/hyperlink" Target="../../Tarikan%20JDE/1201.631100.xlsx" TargetMode="External"/><Relationship Id="rId95" Type="http://schemas.openxmlformats.org/officeDocument/2006/relationships/hyperlink" Target="../../Tarikan%20JDE/1206.815110.xlsx" TargetMode="External"/><Relationship Id="rId160" Type="http://schemas.openxmlformats.org/officeDocument/2006/relationships/printerSettings" Target="../printerSettings/printerSettings1.bin"/><Relationship Id="rId22" Type="http://schemas.openxmlformats.org/officeDocument/2006/relationships/hyperlink" Target="../../Tarikan%20JDE/1201.730300.xlsx" TargetMode="External"/><Relationship Id="rId43" Type="http://schemas.openxmlformats.org/officeDocument/2006/relationships/hyperlink" Target="../../Tarikan%20JDE/1201.630200.xlsx" TargetMode="External"/><Relationship Id="rId64" Type="http://schemas.openxmlformats.org/officeDocument/2006/relationships/hyperlink" Target="../../Tarikan%20JDE/1201.630760.xlsx" TargetMode="External"/><Relationship Id="rId118" Type="http://schemas.openxmlformats.org/officeDocument/2006/relationships/hyperlink" Target="../../Tarikan%20JDE/1205.815110.xlsx" TargetMode="External"/><Relationship Id="rId139" Type="http://schemas.openxmlformats.org/officeDocument/2006/relationships/hyperlink" Target="../../Tarikan%20JDE/1204.812100.xlsx" TargetMode="External"/><Relationship Id="rId80" Type="http://schemas.openxmlformats.org/officeDocument/2006/relationships/hyperlink" Target="../../Tarikan%20JDE/1201.631140.xlsx" TargetMode="External"/><Relationship Id="rId85" Type="http://schemas.openxmlformats.org/officeDocument/2006/relationships/hyperlink" Target="../../Tarikan%20JDE/1201.814110.xlsx" TargetMode="External"/><Relationship Id="rId150" Type="http://schemas.openxmlformats.org/officeDocument/2006/relationships/hyperlink" Target="../../Tarikan%20JDE/1201.816120.xlsx" TargetMode="External"/><Relationship Id="rId155" Type="http://schemas.openxmlformats.org/officeDocument/2006/relationships/hyperlink" Target="../../Tarikan%20JDE/1206.920700.xlsx" TargetMode="External"/><Relationship Id="rId12" Type="http://schemas.openxmlformats.org/officeDocument/2006/relationships/hyperlink" Target="../../Tarikan%20JDE/1201.720100.xlsx" TargetMode="External"/><Relationship Id="rId17" Type="http://schemas.openxmlformats.org/officeDocument/2006/relationships/hyperlink" Target="../../Tarikan%20JDE/1204.630600.xlsx" TargetMode="External"/><Relationship Id="rId33" Type="http://schemas.openxmlformats.org/officeDocument/2006/relationships/hyperlink" Target="../../Tarikan%20JDE/1201.730200.xlsx" TargetMode="External"/><Relationship Id="rId38" Type="http://schemas.openxmlformats.org/officeDocument/2006/relationships/hyperlink" Target="../../Tarikan%20JDE/1201.807100.xlsx" TargetMode="External"/><Relationship Id="rId59" Type="http://schemas.openxmlformats.org/officeDocument/2006/relationships/hyperlink" Target="../../Tarikan%20JDE/1204.809100.xlsx" TargetMode="External"/><Relationship Id="rId103" Type="http://schemas.openxmlformats.org/officeDocument/2006/relationships/hyperlink" Target="../../Tarikan%20JDE/1206.630730.xlsx" TargetMode="External"/><Relationship Id="rId108" Type="http://schemas.openxmlformats.org/officeDocument/2006/relationships/hyperlink" Target="../../Tarikan%20JDE/1206.808100.xlsx" TargetMode="External"/><Relationship Id="rId124" Type="http://schemas.openxmlformats.org/officeDocument/2006/relationships/hyperlink" Target="../../Tarikan%20JDE/1205.630110.xlsx" TargetMode="External"/><Relationship Id="rId129" Type="http://schemas.openxmlformats.org/officeDocument/2006/relationships/hyperlink" Target="../../Tarikan%20JDE/1205.801110.xlsx" TargetMode="External"/><Relationship Id="rId54" Type="http://schemas.openxmlformats.org/officeDocument/2006/relationships/hyperlink" Target="../../Tarikan%20JDE/1201.801160.xlsx" TargetMode="External"/><Relationship Id="rId70" Type="http://schemas.openxmlformats.org/officeDocument/2006/relationships/hyperlink" Target="../../Tarikan%20JDE/1206.810110.xlsx" TargetMode="External"/><Relationship Id="rId75" Type="http://schemas.openxmlformats.org/officeDocument/2006/relationships/hyperlink" Target="../../Tarikan%20JDE/1206.816130.xlsx" TargetMode="External"/><Relationship Id="rId91" Type="http://schemas.openxmlformats.org/officeDocument/2006/relationships/hyperlink" Target="../../Tarikan%20JDE/1206.801160.xlsx" TargetMode="External"/><Relationship Id="rId96" Type="http://schemas.openxmlformats.org/officeDocument/2006/relationships/hyperlink" Target="../../Tarikan%20JDE/1206.802120.xlsx" TargetMode="External"/><Relationship Id="rId140" Type="http://schemas.openxmlformats.org/officeDocument/2006/relationships/hyperlink" Target="../../Tarikan%20JDE/1204.630400.xlsx" TargetMode="External"/><Relationship Id="rId145" Type="http://schemas.openxmlformats.org/officeDocument/2006/relationships/hyperlink" Target="../../Tarikan%20JDE/1204.630750.xlsx" TargetMode="External"/><Relationship Id="rId1" Type="http://schemas.openxmlformats.org/officeDocument/2006/relationships/hyperlink" Target="../../Tarikan%20JDE/1201.720400.xlsx" TargetMode="External"/><Relationship Id="rId6" Type="http://schemas.openxmlformats.org/officeDocument/2006/relationships/hyperlink" Target="../../Tarikan%20JDE/1205.631100.xlsx" TargetMode="External"/><Relationship Id="rId23" Type="http://schemas.openxmlformats.org/officeDocument/2006/relationships/hyperlink" Target="../../Tarikan%20JDE/1201.730300.xlsx" TargetMode="External"/><Relationship Id="rId28" Type="http://schemas.openxmlformats.org/officeDocument/2006/relationships/hyperlink" Target="../../Tarikan%20JDE/1201.710200.xlsx" TargetMode="External"/><Relationship Id="rId49" Type="http://schemas.openxmlformats.org/officeDocument/2006/relationships/hyperlink" Target="../../Tarikan%20JDE/1204.808100.xlsx" TargetMode="External"/><Relationship Id="rId114" Type="http://schemas.openxmlformats.org/officeDocument/2006/relationships/hyperlink" Target="../../Tarikan%20JDE/1205.801160.xlsx" TargetMode="External"/><Relationship Id="rId119" Type="http://schemas.openxmlformats.org/officeDocument/2006/relationships/hyperlink" Target="../../Tarikan%20JDE/1205.631100.xlsx" TargetMode="External"/><Relationship Id="rId44" Type="http://schemas.openxmlformats.org/officeDocument/2006/relationships/hyperlink" Target="../../Tarikan%20JDE/1201.630200.xlsx" TargetMode="External"/><Relationship Id="rId60" Type="http://schemas.openxmlformats.org/officeDocument/2006/relationships/hyperlink" Target="../../Tarikan%20JDE/1201.630710.xlsx" TargetMode="External"/><Relationship Id="rId65" Type="http://schemas.openxmlformats.org/officeDocument/2006/relationships/hyperlink" Target="../../Tarikan%20JDE/1205.630760.xlsx" TargetMode="External"/><Relationship Id="rId81" Type="http://schemas.openxmlformats.org/officeDocument/2006/relationships/hyperlink" Target="../../Tarikan%20JDE/1201.631000.xlsx" TargetMode="External"/><Relationship Id="rId86" Type="http://schemas.openxmlformats.org/officeDocument/2006/relationships/hyperlink" Target="../../Tarikan%20JDE/1201.630450.xlsx" TargetMode="External"/><Relationship Id="rId130" Type="http://schemas.openxmlformats.org/officeDocument/2006/relationships/hyperlink" Target="../../Tarikan%20JDE/1205.631110.xlsx" TargetMode="External"/><Relationship Id="rId135" Type="http://schemas.openxmlformats.org/officeDocument/2006/relationships/hyperlink" Target="../../Tarikan%20JDE/1204.630130.xlsx" TargetMode="External"/><Relationship Id="rId151" Type="http://schemas.openxmlformats.org/officeDocument/2006/relationships/hyperlink" Target="../../Tarikan%20JDE/1201.920410.xlsx" TargetMode="External"/><Relationship Id="rId156" Type="http://schemas.openxmlformats.org/officeDocument/2006/relationships/hyperlink" Target="../../Tarikan%20JDE/1205.920700.xlsx" TargetMode="External"/><Relationship Id="rId13" Type="http://schemas.openxmlformats.org/officeDocument/2006/relationships/hyperlink" Target="../../Tarikan%20JDE/1205.720100.xlsx" TargetMode="External"/><Relationship Id="rId18" Type="http://schemas.openxmlformats.org/officeDocument/2006/relationships/hyperlink" Target="../../Tarikan%20JDE/1201.630600.xlsx" TargetMode="External"/><Relationship Id="rId39" Type="http://schemas.openxmlformats.org/officeDocument/2006/relationships/hyperlink" Target="../../Tarikan%20JDE/1204.807100.xlsx" TargetMode="External"/><Relationship Id="rId109" Type="http://schemas.openxmlformats.org/officeDocument/2006/relationships/hyperlink" Target="../../Tarikan%20JDE/1206.630110.xlsx" TargetMode="External"/><Relationship Id="rId34" Type="http://schemas.openxmlformats.org/officeDocument/2006/relationships/hyperlink" Target="../../Tarikan%20JDE/1201.710200.xlsx" TargetMode="External"/><Relationship Id="rId50" Type="http://schemas.openxmlformats.org/officeDocument/2006/relationships/hyperlink" Target="../../Tarikan%20JDE/1201.630900.xlsx" TargetMode="External"/><Relationship Id="rId55" Type="http://schemas.openxmlformats.org/officeDocument/2006/relationships/hyperlink" Target="../../Tarikan%20JDE/1201.630110.xlsx" TargetMode="External"/><Relationship Id="rId76" Type="http://schemas.openxmlformats.org/officeDocument/2006/relationships/hyperlink" Target="../../Tarikan%20JDE/1205.816130.xlsx" TargetMode="External"/><Relationship Id="rId97" Type="http://schemas.openxmlformats.org/officeDocument/2006/relationships/hyperlink" Target="../../Tarikan%20JDE/1206.630450.xlsx" TargetMode="External"/><Relationship Id="rId104" Type="http://schemas.openxmlformats.org/officeDocument/2006/relationships/hyperlink" Target="../../Tarikan%20JDE/1206.630740.xlsx" TargetMode="External"/><Relationship Id="rId120" Type="http://schemas.openxmlformats.org/officeDocument/2006/relationships/hyperlink" Target="../../Tarikan%20JDE/1205.812100.xlsx" TargetMode="External"/><Relationship Id="rId125" Type="http://schemas.openxmlformats.org/officeDocument/2006/relationships/hyperlink" Target="../../Tarikan%20JDE/1205.630770.xlsx" TargetMode="External"/><Relationship Id="rId141" Type="http://schemas.openxmlformats.org/officeDocument/2006/relationships/hyperlink" Target="../../Tarikan%20JDE/1204.630300.xlsx" TargetMode="External"/><Relationship Id="rId146" Type="http://schemas.openxmlformats.org/officeDocument/2006/relationships/hyperlink" Target="../../Tarikan%20JDE/1204.630720.xlsx" TargetMode="External"/><Relationship Id="rId7" Type="http://schemas.openxmlformats.org/officeDocument/2006/relationships/hyperlink" Target="../../Tarikan%20JDE/1204.631100.xlsx" TargetMode="External"/><Relationship Id="rId71" Type="http://schemas.openxmlformats.org/officeDocument/2006/relationships/hyperlink" Target="../../Tarikan%20JDE/1205.810110.xlsx" TargetMode="External"/><Relationship Id="rId92" Type="http://schemas.openxmlformats.org/officeDocument/2006/relationships/hyperlink" Target="../../Tarikan%20JDE/1206.630710.xlsx" TargetMode="External"/><Relationship Id="rId2" Type="http://schemas.openxmlformats.org/officeDocument/2006/relationships/hyperlink" Target="../../Tarikan%20JDE/1204.720400.xlsx" TargetMode="External"/><Relationship Id="rId29" Type="http://schemas.openxmlformats.org/officeDocument/2006/relationships/hyperlink" Target="../../Tarikan%20JDE/1201.710200.xlsx" TargetMode="External"/><Relationship Id="rId24" Type="http://schemas.openxmlformats.org/officeDocument/2006/relationships/hyperlink" Target="../../Tarikan%20JDE/1201.730300.xlsx" TargetMode="External"/><Relationship Id="rId40" Type="http://schemas.openxmlformats.org/officeDocument/2006/relationships/hyperlink" Target="../../Tarikan%20JDE/1201.630400.xlsx" TargetMode="External"/><Relationship Id="rId45" Type="http://schemas.openxmlformats.org/officeDocument/2006/relationships/hyperlink" Target="../../Tarikan%20JDE/1201.630530.xlsx" TargetMode="External"/><Relationship Id="rId66" Type="http://schemas.openxmlformats.org/officeDocument/2006/relationships/hyperlink" Target="../../Tarikan%20JDE/1204.630760.xlsx" TargetMode="External"/><Relationship Id="rId87" Type="http://schemas.openxmlformats.org/officeDocument/2006/relationships/hyperlink" Target="../../Tarikan%20JDE/1201.631100.xlsx" TargetMode="External"/><Relationship Id="rId110" Type="http://schemas.openxmlformats.org/officeDocument/2006/relationships/hyperlink" Target="../../Tarikan%20JDE/1206.801110.xlsx" TargetMode="External"/><Relationship Id="rId115" Type="http://schemas.openxmlformats.org/officeDocument/2006/relationships/hyperlink" Target="../../Tarikan%20JDE/1205.630710.xlsx" TargetMode="External"/><Relationship Id="rId131" Type="http://schemas.openxmlformats.org/officeDocument/2006/relationships/hyperlink" Target="../../Tarikan%20JDE/1204.813100.xlsx" TargetMode="External"/><Relationship Id="rId136" Type="http://schemas.openxmlformats.org/officeDocument/2006/relationships/hyperlink" Target="../../Tarikan%20JDE/1204.815110.xlsx" TargetMode="External"/><Relationship Id="rId157" Type="http://schemas.openxmlformats.org/officeDocument/2006/relationships/hyperlink" Target="../../Tarikan%20JDE/1204.920700.xlsx" TargetMode="External"/><Relationship Id="rId61" Type="http://schemas.openxmlformats.org/officeDocument/2006/relationships/hyperlink" Target="../../Tarikan%20JDE/1201.630770.xlsx" TargetMode="External"/><Relationship Id="rId82" Type="http://schemas.openxmlformats.org/officeDocument/2006/relationships/hyperlink" Target="../../Tarikan%20JDE/1201.815110.xlsx" TargetMode="External"/><Relationship Id="rId152" Type="http://schemas.openxmlformats.org/officeDocument/2006/relationships/hyperlink" Target="../../Tarikan%20JDE/1201.920120.xlsx" TargetMode="External"/><Relationship Id="rId19" Type="http://schemas.openxmlformats.org/officeDocument/2006/relationships/hyperlink" Target="../../Tarikan%20JDE/1205.630600.xlsx" TargetMode="External"/><Relationship Id="rId14" Type="http://schemas.openxmlformats.org/officeDocument/2006/relationships/hyperlink" Target="../../Tarikan%20JDE/1204.720100.xlsx" TargetMode="External"/><Relationship Id="rId30" Type="http://schemas.openxmlformats.org/officeDocument/2006/relationships/hyperlink" Target="../../Tarikan%20JDE/1201.710200.xlsx" TargetMode="External"/><Relationship Id="rId35" Type="http://schemas.openxmlformats.org/officeDocument/2006/relationships/hyperlink" Target="../../Tarikan%20JDE/1201.710200.xlsx" TargetMode="External"/><Relationship Id="rId56" Type="http://schemas.openxmlformats.org/officeDocument/2006/relationships/hyperlink" Target="../../Tarikan%20JDE/1201.809100.xlsx" TargetMode="External"/><Relationship Id="rId77" Type="http://schemas.openxmlformats.org/officeDocument/2006/relationships/hyperlink" Target="../../Tarikan%20JDE/1204.816130.xlsx" TargetMode="External"/><Relationship Id="rId100" Type="http://schemas.openxmlformats.org/officeDocument/2006/relationships/hyperlink" Target="../../Tarikan%20JDE/1206.630750.xlsx" TargetMode="External"/><Relationship Id="rId105" Type="http://schemas.openxmlformats.org/officeDocument/2006/relationships/hyperlink" Target="../../Tarikan%20JDE/1206.631110.xlsx" TargetMode="External"/><Relationship Id="rId126" Type="http://schemas.openxmlformats.org/officeDocument/2006/relationships/hyperlink" Target="../../Tarikan%20JDE/1205.630750.xlsx" TargetMode="External"/><Relationship Id="rId147" Type="http://schemas.openxmlformats.org/officeDocument/2006/relationships/hyperlink" Target="../../Tarikan%20JDE/1204.630730.xlsx" TargetMode="External"/><Relationship Id="rId8" Type="http://schemas.openxmlformats.org/officeDocument/2006/relationships/hyperlink" Target="../../Tarikan%20JDE/1201.631180.xlsx" TargetMode="External"/><Relationship Id="rId51" Type="http://schemas.openxmlformats.org/officeDocument/2006/relationships/hyperlink" Target="../../Tarikan%20JDE/1204.630900.xlsx" TargetMode="External"/><Relationship Id="rId72" Type="http://schemas.openxmlformats.org/officeDocument/2006/relationships/hyperlink" Target="../../Tarikan%20JDE/1204.810110.xlsx" TargetMode="External"/><Relationship Id="rId93" Type="http://schemas.openxmlformats.org/officeDocument/2006/relationships/hyperlink" Target="../../Tarikan%20JDE/1206.630130.xlsx" TargetMode="External"/><Relationship Id="rId98" Type="http://schemas.openxmlformats.org/officeDocument/2006/relationships/hyperlink" Target="../../Tarikan%20JDE/1206.630300.xlsx" TargetMode="External"/><Relationship Id="rId121" Type="http://schemas.openxmlformats.org/officeDocument/2006/relationships/hyperlink" Target="../../Tarikan%20JDE/1205.630400.xlsx" TargetMode="External"/><Relationship Id="rId142" Type="http://schemas.openxmlformats.org/officeDocument/2006/relationships/hyperlink" Target="../../Tarikan%20JDE/1204.630200.xlsx" TargetMode="External"/><Relationship Id="rId3" Type="http://schemas.openxmlformats.org/officeDocument/2006/relationships/hyperlink" Target="../../Tarikan%20JDE/1201.816110.xlsx" TargetMode="External"/><Relationship Id="rId25" Type="http://schemas.openxmlformats.org/officeDocument/2006/relationships/hyperlink" Target="../../Tarikan%20JDE/1201.730300.xlsx" TargetMode="External"/><Relationship Id="rId46" Type="http://schemas.openxmlformats.org/officeDocument/2006/relationships/hyperlink" Target="../../Tarikan%20JDE/1204.630530.xlsx" TargetMode="External"/><Relationship Id="rId67" Type="http://schemas.openxmlformats.org/officeDocument/2006/relationships/hyperlink" Target="../../Tarikan%20JDE/1201.630730.xlsx" TargetMode="External"/><Relationship Id="rId116" Type="http://schemas.openxmlformats.org/officeDocument/2006/relationships/hyperlink" Target="../../Tarikan%20JDE/1205.630740.xlsx" TargetMode="External"/><Relationship Id="rId137" Type="http://schemas.openxmlformats.org/officeDocument/2006/relationships/hyperlink" Target="../../Tarikan%20JDE/1204.631100.xlsx" TargetMode="External"/><Relationship Id="rId158" Type="http://schemas.openxmlformats.org/officeDocument/2006/relationships/hyperlink" Target="../../Tarikan%20JDE/1201.801110.xlsx" TargetMode="External"/><Relationship Id="rId20" Type="http://schemas.openxmlformats.org/officeDocument/2006/relationships/hyperlink" Target="../../Tarikan%20JDE/1204.630600.xlsx" TargetMode="External"/><Relationship Id="rId41" Type="http://schemas.openxmlformats.org/officeDocument/2006/relationships/hyperlink" Target="../../Tarikan%20JDE/1201.813100.xlsx" TargetMode="External"/><Relationship Id="rId62" Type="http://schemas.openxmlformats.org/officeDocument/2006/relationships/hyperlink" Target="../../Tarikan%20JDE/1201.630750.xlsx" TargetMode="External"/><Relationship Id="rId83" Type="http://schemas.openxmlformats.org/officeDocument/2006/relationships/hyperlink" Target="../../Tarikan%20JDE/1201.815120.xlsx" TargetMode="External"/><Relationship Id="rId88" Type="http://schemas.openxmlformats.org/officeDocument/2006/relationships/hyperlink" Target="../../Tarikan%20JDE/1201.631100.xlsx" TargetMode="External"/><Relationship Id="rId111" Type="http://schemas.openxmlformats.org/officeDocument/2006/relationships/hyperlink" Target="../../Tarikan%20JDE/1206.631180.xlsx" TargetMode="External"/><Relationship Id="rId132" Type="http://schemas.openxmlformats.org/officeDocument/2006/relationships/hyperlink" Target="../../Tarikan%20JDE/1204.801160.xlsx" TargetMode="External"/><Relationship Id="rId153" Type="http://schemas.openxmlformats.org/officeDocument/2006/relationships/hyperlink" Target="../../Tarikan%20JDE/1201.805120.xlsx" TargetMode="External"/><Relationship Id="rId15" Type="http://schemas.openxmlformats.org/officeDocument/2006/relationships/hyperlink" Target="../../Tarikan%20JDE/1201.630600.xlsx" TargetMode="External"/><Relationship Id="rId36" Type="http://schemas.openxmlformats.org/officeDocument/2006/relationships/hyperlink" Target="../../Tarikan%20JDE/1201.720500.xlsx" TargetMode="External"/><Relationship Id="rId57" Type="http://schemas.openxmlformats.org/officeDocument/2006/relationships/hyperlink" Target="../../Tarikan%20JDE/1206.809100.xlsx" TargetMode="External"/><Relationship Id="rId106" Type="http://schemas.openxmlformats.org/officeDocument/2006/relationships/hyperlink" Target="../../Tarikan%20JDE/1206.812100.xlsx" TargetMode="External"/><Relationship Id="rId127" Type="http://schemas.openxmlformats.org/officeDocument/2006/relationships/hyperlink" Target="../../Tarikan%20JDE/1205.630720.xlsx" TargetMode="External"/><Relationship Id="rId10" Type="http://schemas.openxmlformats.org/officeDocument/2006/relationships/hyperlink" Target="../../Tarikan%20JDE/1205.631180.xlsx" TargetMode="External"/><Relationship Id="rId31" Type="http://schemas.openxmlformats.org/officeDocument/2006/relationships/hyperlink" Target="../../Tarikan%20JDE/ACCOUNT%20TIDAK%20DITEMUKAN.xlsx" TargetMode="External"/><Relationship Id="rId52" Type="http://schemas.openxmlformats.org/officeDocument/2006/relationships/hyperlink" Target="../../Tarikan%20JDE/1201.802140.xlsx" TargetMode="External"/><Relationship Id="rId73" Type="http://schemas.openxmlformats.org/officeDocument/2006/relationships/hyperlink" Target="../../Tarikan%20JDE/1201.630130.xlsx" TargetMode="External"/><Relationship Id="rId78" Type="http://schemas.openxmlformats.org/officeDocument/2006/relationships/hyperlink" Target="../../Tarikan%20JDE/1206.631100.xlsx" TargetMode="External"/><Relationship Id="rId94" Type="http://schemas.openxmlformats.org/officeDocument/2006/relationships/hyperlink" Target="../../Tarikan%20JDE/1206.631000.xlsx" TargetMode="External"/><Relationship Id="rId99" Type="http://schemas.openxmlformats.org/officeDocument/2006/relationships/hyperlink" Target="../../Tarikan%20JDE/1206.630770.xlsx" TargetMode="External"/><Relationship Id="rId101" Type="http://schemas.openxmlformats.org/officeDocument/2006/relationships/hyperlink" Target="../../Tarikan%20JDE/1206.630720.xlsx" TargetMode="External"/><Relationship Id="rId122" Type="http://schemas.openxmlformats.org/officeDocument/2006/relationships/hyperlink" Target="../../Tarikan%20JDE/1205.630300.xlsx" TargetMode="External"/><Relationship Id="rId143" Type="http://schemas.openxmlformats.org/officeDocument/2006/relationships/hyperlink" Target="../../Tarikan%20JDE/1204.630110.xlsx" TargetMode="External"/><Relationship Id="rId148" Type="http://schemas.openxmlformats.org/officeDocument/2006/relationships/hyperlink" Target="../../Tarikan%20JDE/1204.631110.xlsx" TargetMode="External"/><Relationship Id="rId4" Type="http://schemas.openxmlformats.org/officeDocument/2006/relationships/hyperlink" Target="../../Tarikan%20JDE/1204.816110.xlsx" TargetMode="External"/><Relationship Id="rId9" Type="http://schemas.openxmlformats.org/officeDocument/2006/relationships/hyperlink" Target="../../Tarikan%20JDE/1204.631180.xlsx" TargetMode="External"/><Relationship Id="rId26" Type="http://schemas.openxmlformats.org/officeDocument/2006/relationships/hyperlink" Target="../../Tarikan%20JDE/1201.730200.xlsx" TargetMode="External"/><Relationship Id="rId47" Type="http://schemas.openxmlformats.org/officeDocument/2006/relationships/hyperlink" Target="../../Tarikan%20JDE/1201.808100.xlsx" TargetMode="External"/><Relationship Id="rId68" Type="http://schemas.openxmlformats.org/officeDocument/2006/relationships/hyperlink" Target="../../Tarikan%20JDE/1201.630740.xlsx" TargetMode="External"/><Relationship Id="rId89" Type="http://schemas.openxmlformats.org/officeDocument/2006/relationships/hyperlink" Target="../../Tarikan%20JDE/1205.631100.xlsx" TargetMode="External"/><Relationship Id="rId112" Type="http://schemas.openxmlformats.org/officeDocument/2006/relationships/hyperlink" Target="../../Tarikan%20JDE/1206.630600.xlsx" TargetMode="External"/><Relationship Id="rId133" Type="http://schemas.openxmlformats.org/officeDocument/2006/relationships/hyperlink" Target="../../Tarikan%20JDE/1204.630710.xlsx" TargetMode="External"/><Relationship Id="rId154" Type="http://schemas.openxmlformats.org/officeDocument/2006/relationships/hyperlink" Target="../../Tarikan%20JDE/1201.920700.xlsx" TargetMode="External"/><Relationship Id="rId16" Type="http://schemas.openxmlformats.org/officeDocument/2006/relationships/hyperlink" Target="../../Tarikan%20JDE/1205.630600.xlsx" TargetMode="External"/><Relationship Id="rId37" Type="http://schemas.openxmlformats.org/officeDocument/2006/relationships/hyperlink" Target="../../Tarikan%20JDE/1201.812100.xlsx" TargetMode="External"/><Relationship Id="rId58" Type="http://schemas.openxmlformats.org/officeDocument/2006/relationships/hyperlink" Target="../../Tarikan%20JDE/1205.809100.xlsx" TargetMode="External"/><Relationship Id="rId79" Type="http://schemas.openxmlformats.org/officeDocument/2006/relationships/hyperlink" Target="../../Tarikan%20JDE/1201.631110.xlsx" TargetMode="External"/><Relationship Id="rId102" Type="http://schemas.openxmlformats.org/officeDocument/2006/relationships/hyperlink" Target="../../Tarikan%20JDE/1206.630760.xlsx" TargetMode="External"/><Relationship Id="rId123" Type="http://schemas.openxmlformats.org/officeDocument/2006/relationships/hyperlink" Target="../../Tarikan%20JDE/1205.630200.xlsx" TargetMode="External"/><Relationship Id="rId144" Type="http://schemas.openxmlformats.org/officeDocument/2006/relationships/hyperlink" Target="../../Tarikan%20JDE/1204.630770.xlsx" TargetMode="External"/><Relationship Id="rId90" Type="http://schemas.openxmlformats.org/officeDocument/2006/relationships/hyperlink" Target="../../Tarikan%20JDE/1204.631100.xlsx" TargetMode="External"/><Relationship Id="rId27" Type="http://schemas.openxmlformats.org/officeDocument/2006/relationships/hyperlink" Target="../../Tarikan%20JDE/1201.710200.xlsx" TargetMode="External"/><Relationship Id="rId48" Type="http://schemas.openxmlformats.org/officeDocument/2006/relationships/hyperlink" Target="../../Tarikan%20JDE/1205.808100.xlsx" TargetMode="External"/><Relationship Id="rId69" Type="http://schemas.openxmlformats.org/officeDocument/2006/relationships/hyperlink" Target="../../Tarikan%20JDE/1201.810110.xlsx" TargetMode="External"/><Relationship Id="rId113" Type="http://schemas.openxmlformats.org/officeDocument/2006/relationships/hyperlink" Target="../../Tarikan%20JDE/1205.813100.xlsx" TargetMode="External"/><Relationship Id="rId134" Type="http://schemas.openxmlformats.org/officeDocument/2006/relationships/hyperlink" Target="../../Tarikan%20JDE/1204.63074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1.631180.xlsx" TargetMode="External"/><Relationship Id="rId13" Type="http://schemas.openxmlformats.org/officeDocument/2006/relationships/hyperlink" Target="../../Tarikan%20JDE/1205.720100.xlsx" TargetMode="External"/><Relationship Id="rId3" Type="http://schemas.openxmlformats.org/officeDocument/2006/relationships/hyperlink" Target="../../Tarikan%20JDE/1201.816110.xlsx" TargetMode="External"/><Relationship Id="rId7" Type="http://schemas.openxmlformats.org/officeDocument/2006/relationships/hyperlink" Target="../../Tarikan%20JDE/1204.631100.xlsx" TargetMode="External"/><Relationship Id="rId12" Type="http://schemas.openxmlformats.org/officeDocument/2006/relationships/hyperlink" Target="../../Tarikan%20JDE/1201.720100.xlsx" TargetMode="External"/><Relationship Id="rId2" Type="http://schemas.openxmlformats.org/officeDocument/2006/relationships/hyperlink" Target="../../Tarikan%20JDE/1204.720400.xlsx" TargetMode="External"/><Relationship Id="rId1" Type="http://schemas.openxmlformats.org/officeDocument/2006/relationships/hyperlink" Target="../../Tarikan%20JDE/1201.720400.xlsx" TargetMode="External"/><Relationship Id="rId6" Type="http://schemas.openxmlformats.org/officeDocument/2006/relationships/hyperlink" Target="../../Tarikan%20JDE/1205.631100.xlsx" TargetMode="External"/><Relationship Id="rId11" Type="http://schemas.openxmlformats.org/officeDocument/2006/relationships/hyperlink" Target="../../Tarikan%20JDE/1201.631150.xlsx" TargetMode="External"/><Relationship Id="rId5" Type="http://schemas.openxmlformats.org/officeDocument/2006/relationships/hyperlink" Target="../../Tarikan%20JDE/1201.631100.xlsx" TargetMode="External"/><Relationship Id="rId10" Type="http://schemas.openxmlformats.org/officeDocument/2006/relationships/hyperlink" Target="../../Tarikan%20JDE/1205.631180.xlsx" TargetMode="External"/><Relationship Id="rId4" Type="http://schemas.openxmlformats.org/officeDocument/2006/relationships/hyperlink" Target="../../Tarikan%20JDE/1204.816110.xlsx" TargetMode="External"/><Relationship Id="rId9" Type="http://schemas.openxmlformats.org/officeDocument/2006/relationships/hyperlink" Target="../../Tarikan%20JDE/1204.631180.xlsx" TargetMode="External"/><Relationship Id="rId14" Type="http://schemas.openxmlformats.org/officeDocument/2006/relationships/hyperlink" Target="../../Tarikan%20JDE/1204.720100.xlsx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../../Tarikan%20JDE/1204.630600.xlsx" TargetMode="External"/><Relationship Id="rId2" Type="http://schemas.openxmlformats.org/officeDocument/2006/relationships/hyperlink" Target="../../Tarikan%20JDE/1205.630600.xlsx" TargetMode="External"/><Relationship Id="rId1" Type="http://schemas.openxmlformats.org/officeDocument/2006/relationships/hyperlink" Target="../../Tarikan%20JDE/1201.630600.xlsx" TargetMode="External"/><Relationship Id="rId6" Type="http://schemas.openxmlformats.org/officeDocument/2006/relationships/hyperlink" Target="../../Tarikan%20JDE/1204.630600.xlsx" TargetMode="External"/><Relationship Id="rId5" Type="http://schemas.openxmlformats.org/officeDocument/2006/relationships/hyperlink" Target="../../Tarikan%20JDE/1205.630600.xlsx" TargetMode="External"/><Relationship Id="rId4" Type="http://schemas.openxmlformats.org/officeDocument/2006/relationships/hyperlink" Target="../../Tarikan%20JDE/1201.630600.xlsx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1.710200.xlsx" TargetMode="External"/><Relationship Id="rId3" Type="http://schemas.openxmlformats.org/officeDocument/2006/relationships/hyperlink" Target="../../Tarikan%20JDE/1201.730300.xlsx" TargetMode="External"/><Relationship Id="rId7" Type="http://schemas.openxmlformats.org/officeDocument/2006/relationships/hyperlink" Target="../../Tarikan%20JDE/1201.710200.xlsx" TargetMode="External"/><Relationship Id="rId2" Type="http://schemas.openxmlformats.org/officeDocument/2006/relationships/hyperlink" Target="../../Tarikan%20JDE/1201.730300.xlsx" TargetMode="External"/><Relationship Id="rId1" Type="http://schemas.openxmlformats.org/officeDocument/2006/relationships/hyperlink" Target="../../Tarikan%20JDE/ACCOUNT%20TIDAK%20DITEMUKAN.xlsx" TargetMode="External"/><Relationship Id="rId6" Type="http://schemas.openxmlformats.org/officeDocument/2006/relationships/hyperlink" Target="../../Tarikan%20JDE/1201.730200.xlsx" TargetMode="External"/><Relationship Id="rId5" Type="http://schemas.openxmlformats.org/officeDocument/2006/relationships/hyperlink" Target="../../Tarikan%20JDE/1201.730300.xlsx" TargetMode="External"/><Relationship Id="rId10" Type="http://schemas.openxmlformats.org/officeDocument/2006/relationships/hyperlink" Target="../../Tarikan%20JDE/1201.710200.xlsx" TargetMode="External"/><Relationship Id="rId4" Type="http://schemas.openxmlformats.org/officeDocument/2006/relationships/hyperlink" Target="../../Tarikan%20JDE/1201.730300.xlsx" TargetMode="External"/><Relationship Id="rId9" Type="http://schemas.openxmlformats.org/officeDocument/2006/relationships/hyperlink" Target="../../Tarikan%20JDE/1201.710200.xlsx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../../Tarikan%20JDE/1201.730200.xlsx" TargetMode="External"/><Relationship Id="rId2" Type="http://schemas.openxmlformats.org/officeDocument/2006/relationships/hyperlink" Target="../../Tarikan%20JDE/1201.730300.xlsx" TargetMode="External"/><Relationship Id="rId1" Type="http://schemas.openxmlformats.org/officeDocument/2006/relationships/hyperlink" Target="../../Tarikan%20JDE/ACCOUNT%20TIDAK%20DITEMUKAN.xlsx" TargetMode="External"/><Relationship Id="rId5" Type="http://schemas.openxmlformats.org/officeDocument/2006/relationships/hyperlink" Target="../../Tarikan%20JDE/1201.710200.xlsx" TargetMode="External"/><Relationship Id="rId4" Type="http://schemas.openxmlformats.org/officeDocument/2006/relationships/hyperlink" Target="../../Tarikan%20JDE/1201.710200.xlsx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../../Tarikan%20JDE/1205.808100.xlsx" TargetMode="External"/><Relationship Id="rId18" Type="http://schemas.openxmlformats.org/officeDocument/2006/relationships/hyperlink" Target="../../Tarikan%20JDE/1204.802140.xlsx" TargetMode="External"/><Relationship Id="rId26" Type="http://schemas.openxmlformats.org/officeDocument/2006/relationships/hyperlink" Target="../../Tarikan%20JDE/1201.630770.xlsx" TargetMode="External"/><Relationship Id="rId39" Type="http://schemas.openxmlformats.org/officeDocument/2006/relationships/hyperlink" Target="../../Tarikan%20JDE/1201.816130.xlsx" TargetMode="External"/><Relationship Id="rId21" Type="http://schemas.openxmlformats.org/officeDocument/2006/relationships/hyperlink" Target="../../Tarikan%20JDE/1201.809100.xlsx" TargetMode="External"/><Relationship Id="rId34" Type="http://schemas.openxmlformats.org/officeDocument/2006/relationships/hyperlink" Target="../../Tarikan%20JDE/1201.810110.xlsx" TargetMode="External"/><Relationship Id="rId42" Type="http://schemas.openxmlformats.org/officeDocument/2006/relationships/hyperlink" Target="../../Tarikan%20JDE/1204.816130.xlsx" TargetMode="External"/><Relationship Id="rId47" Type="http://schemas.openxmlformats.org/officeDocument/2006/relationships/hyperlink" Target="../../Tarikan%20JDE/1201.815110.xlsx" TargetMode="External"/><Relationship Id="rId50" Type="http://schemas.openxmlformats.org/officeDocument/2006/relationships/hyperlink" Target="../../Tarikan%20JDE/1201.814110.xlsx" TargetMode="External"/><Relationship Id="rId55" Type="http://schemas.openxmlformats.org/officeDocument/2006/relationships/hyperlink" Target="../../Tarikan%20JDE/1204.631100.xlsx" TargetMode="External"/><Relationship Id="rId7" Type="http://schemas.openxmlformats.org/officeDocument/2006/relationships/hyperlink" Target="../../Tarikan%20JDE/1201.630300.xlsx" TargetMode="External"/><Relationship Id="rId2" Type="http://schemas.openxmlformats.org/officeDocument/2006/relationships/hyperlink" Target="../../Tarikan%20JDE/1201.812100.xlsx" TargetMode="External"/><Relationship Id="rId16" Type="http://schemas.openxmlformats.org/officeDocument/2006/relationships/hyperlink" Target="../../Tarikan%20JDE/1204.630900.xlsx" TargetMode="External"/><Relationship Id="rId29" Type="http://schemas.openxmlformats.org/officeDocument/2006/relationships/hyperlink" Target="../../Tarikan%20JDE/1201.630760.xlsx" TargetMode="External"/><Relationship Id="rId11" Type="http://schemas.openxmlformats.org/officeDocument/2006/relationships/hyperlink" Target="../../Tarikan%20JDE/1204.630530.xlsx" TargetMode="External"/><Relationship Id="rId24" Type="http://schemas.openxmlformats.org/officeDocument/2006/relationships/hyperlink" Target="../../Tarikan%20JDE/1204.809100.xlsx" TargetMode="External"/><Relationship Id="rId32" Type="http://schemas.openxmlformats.org/officeDocument/2006/relationships/hyperlink" Target="../../Tarikan%20JDE/1201.630730.xlsx" TargetMode="External"/><Relationship Id="rId37" Type="http://schemas.openxmlformats.org/officeDocument/2006/relationships/hyperlink" Target="../../Tarikan%20JDE/1204.810110.xlsx" TargetMode="External"/><Relationship Id="rId40" Type="http://schemas.openxmlformats.org/officeDocument/2006/relationships/hyperlink" Target="../../Tarikan%20JDE/1206.816130.xlsx" TargetMode="External"/><Relationship Id="rId45" Type="http://schemas.openxmlformats.org/officeDocument/2006/relationships/hyperlink" Target="../../Tarikan%20JDE/1201.631140.xlsx" TargetMode="External"/><Relationship Id="rId53" Type="http://schemas.openxmlformats.org/officeDocument/2006/relationships/hyperlink" Target="../../Tarikan%20JDE/1201.631100.xlsx" TargetMode="External"/><Relationship Id="rId5" Type="http://schemas.openxmlformats.org/officeDocument/2006/relationships/hyperlink" Target="../../Tarikan%20JDE/1201.630400.xlsx" TargetMode="External"/><Relationship Id="rId10" Type="http://schemas.openxmlformats.org/officeDocument/2006/relationships/hyperlink" Target="../../Tarikan%20JDE/1201.630530.xlsx" TargetMode="External"/><Relationship Id="rId19" Type="http://schemas.openxmlformats.org/officeDocument/2006/relationships/hyperlink" Target="../../Tarikan%20JDE/1201.801160.xlsx" TargetMode="External"/><Relationship Id="rId31" Type="http://schemas.openxmlformats.org/officeDocument/2006/relationships/hyperlink" Target="../../Tarikan%20JDE/1204.630760.xlsx" TargetMode="External"/><Relationship Id="rId44" Type="http://schemas.openxmlformats.org/officeDocument/2006/relationships/hyperlink" Target="../../Tarikan%20JDE/1201.631110.xlsx" TargetMode="External"/><Relationship Id="rId52" Type="http://schemas.openxmlformats.org/officeDocument/2006/relationships/hyperlink" Target="../../Tarikan%20JDE/1201.631100.xlsx" TargetMode="External"/><Relationship Id="rId4" Type="http://schemas.openxmlformats.org/officeDocument/2006/relationships/hyperlink" Target="../../Tarikan%20JDE/1204.807100.xlsx" TargetMode="External"/><Relationship Id="rId9" Type="http://schemas.openxmlformats.org/officeDocument/2006/relationships/hyperlink" Target="../../Tarikan%20JDE/1201.630200.xlsx" TargetMode="External"/><Relationship Id="rId14" Type="http://schemas.openxmlformats.org/officeDocument/2006/relationships/hyperlink" Target="../../Tarikan%20JDE/1204.808100.xlsx" TargetMode="External"/><Relationship Id="rId22" Type="http://schemas.openxmlformats.org/officeDocument/2006/relationships/hyperlink" Target="../../Tarikan%20JDE/1206.809100.xlsx" TargetMode="External"/><Relationship Id="rId27" Type="http://schemas.openxmlformats.org/officeDocument/2006/relationships/hyperlink" Target="../../Tarikan%20JDE/1201.630750.xlsx" TargetMode="External"/><Relationship Id="rId30" Type="http://schemas.openxmlformats.org/officeDocument/2006/relationships/hyperlink" Target="../../Tarikan%20JDE/1205.630760.xlsx" TargetMode="External"/><Relationship Id="rId35" Type="http://schemas.openxmlformats.org/officeDocument/2006/relationships/hyperlink" Target="../../Tarikan%20JDE/1206.810110.xlsx" TargetMode="External"/><Relationship Id="rId43" Type="http://schemas.openxmlformats.org/officeDocument/2006/relationships/hyperlink" Target="../../Tarikan%20JDE/1206.631100.xlsx" TargetMode="External"/><Relationship Id="rId48" Type="http://schemas.openxmlformats.org/officeDocument/2006/relationships/hyperlink" Target="../../Tarikan%20JDE/1201.815120.xlsx" TargetMode="External"/><Relationship Id="rId8" Type="http://schemas.openxmlformats.org/officeDocument/2006/relationships/hyperlink" Target="../../Tarikan%20JDE/1201.630200.xlsx" TargetMode="External"/><Relationship Id="rId51" Type="http://schemas.openxmlformats.org/officeDocument/2006/relationships/hyperlink" Target="../../Tarikan%20JDE/1201.630450.xlsx" TargetMode="External"/><Relationship Id="rId3" Type="http://schemas.openxmlformats.org/officeDocument/2006/relationships/hyperlink" Target="../../Tarikan%20JDE/1201.807100.xlsx" TargetMode="External"/><Relationship Id="rId12" Type="http://schemas.openxmlformats.org/officeDocument/2006/relationships/hyperlink" Target="../../Tarikan%20JDE/1201.808100.xlsx" TargetMode="External"/><Relationship Id="rId17" Type="http://schemas.openxmlformats.org/officeDocument/2006/relationships/hyperlink" Target="../../Tarikan%20JDE/1201.802140.xlsx" TargetMode="External"/><Relationship Id="rId25" Type="http://schemas.openxmlformats.org/officeDocument/2006/relationships/hyperlink" Target="../../Tarikan%20JDE/1201.630710.xlsx" TargetMode="External"/><Relationship Id="rId33" Type="http://schemas.openxmlformats.org/officeDocument/2006/relationships/hyperlink" Target="../../Tarikan%20JDE/1201.630740.xlsx" TargetMode="External"/><Relationship Id="rId38" Type="http://schemas.openxmlformats.org/officeDocument/2006/relationships/hyperlink" Target="../../Tarikan%20JDE/1201.630130.xlsx" TargetMode="External"/><Relationship Id="rId46" Type="http://schemas.openxmlformats.org/officeDocument/2006/relationships/hyperlink" Target="../../Tarikan%20JDE/1201.631000.xlsx" TargetMode="External"/><Relationship Id="rId20" Type="http://schemas.openxmlformats.org/officeDocument/2006/relationships/hyperlink" Target="../../Tarikan%20JDE/1201.630110.xlsx" TargetMode="External"/><Relationship Id="rId41" Type="http://schemas.openxmlformats.org/officeDocument/2006/relationships/hyperlink" Target="../../Tarikan%20JDE/1205.816130.xlsx" TargetMode="External"/><Relationship Id="rId54" Type="http://schemas.openxmlformats.org/officeDocument/2006/relationships/hyperlink" Target="../../Tarikan%20JDE/1205.631100.xlsx" TargetMode="External"/><Relationship Id="rId1" Type="http://schemas.openxmlformats.org/officeDocument/2006/relationships/hyperlink" Target="../../Tarikan%20JDE/1201.720500.xlsx" TargetMode="External"/><Relationship Id="rId6" Type="http://schemas.openxmlformats.org/officeDocument/2006/relationships/hyperlink" Target="../../Tarikan%20JDE/1201.813100.xlsx" TargetMode="External"/><Relationship Id="rId15" Type="http://schemas.openxmlformats.org/officeDocument/2006/relationships/hyperlink" Target="../../Tarikan%20JDE/1201.630900.xlsx" TargetMode="External"/><Relationship Id="rId23" Type="http://schemas.openxmlformats.org/officeDocument/2006/relationships/hyperlink" Target="../../Tarikan%20JDE/1205.809100.xlsx" TargetMode="External"/><Relationship Id="rId28" Type="http://schemas.openxmlformats.org/officeDocument/2006/relationships/hyperlink" Target="../../Tarikan%20JDE/1201.630720.xlsx" TargetMode="External"/><Relationship Id="rId36" Type="http://schemas.openxmlformats.org/officeDocument/2006/relationships/hyperlink" Target="../../Tarikan%20JDE/1205.810110.xlsx" TargetMode="External"/><Relationship Id="rId49" Type="http://schemas.openxmlformats.org/officeDocument/2006/relationships/hyperlink" Target="../../Tarikan%20JDE/1201.802120.xlsx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6.630300.xlsx" TargetMode="External"/><Relationship Id="rId13" Type="http://schemas.openxmlformats.org/officeDocument/2006/relationships/hyperlink" Target="../../Tarikan%20JDE/1206.630730.xlsx" TargetMode="External"/><Relationship Id="rId18" Type="http://schemas.openxmlformats.org/officeDocument/2006/relationships/hyperlink" Target="../../Tarikan%20JDE/1206.808100.xlsx" TargetMode="External"/><Relationship Id="rId3" Type="http://schemas.openxmlformats.org/officeDocument/2006/relationships/hyperlink" Target="../../Tarikan%20JDE/1206.630130.xlsx" TargetMode="External"/><Relationship Id="rId21" Type="http://schemas.openxmlformats.org/officeDocument/2006/relationships/hyperlink" Target="../../Tarikan%20JDE/1206.631180.xlsx" TargetMode="External"/><Relationship Id="rId7" Type="http://schemas.openxmlformats.org/officeDocument/2006/relationships/hyperlink" Target="../../Tarikan%20JDE/1206.630450.xlsx" TargetMode="External"/><Relationship Id="rId12" Type="http://schemas.openxmlformats.org/officeDocument/2006/relationships/hyperlink" Target="../../Tarikan%20JDE/1206.630760.xlsx" TargetMode="External"/><Relationship Id="rId17" Type="http://schemas.openxmlformats.org/officeDocument/2006/relationships/hyperlink" Target="../../Tarikan%20JDE/1206.630400.xlsx" TargetMode="External"/><Relationship Id="rId2" Type="http://schemas.openxmlformats.org/officeDocument/2006/relationships/hyperlink" Target="../../Tarikan%20JDE/1206.630710.xlsx" TargetMode="External"/><Relationship Id="rId16" Type="http://schemas.openxmlformats.org/officeDocument/2006/relationships/hyperlink" Target="../../Tarikan%20JDE/1206.812100.xlsx" TargetMode="External"/><Relationship Id="rId20" Type="http://schemas.openxmlformats.org/officeDocument/2006/relationships/hyperlink" Target="../../Tarikan%20JDE/1206.801110.xlsx" TargetMode="External"/><Relationship Id="rId1" Type="http://schemas.openxmlformats.org/officeDocument/2006/relationships/hyperlink" Target="../../Tarikan%20JDE/1206.801160.xlsx" TargetMode="External"/><Relationship Id="rId6" Type="http://schemas.openxmlformats.org/officeDocument/2006/relationships/hyperlink" Target="../../Tarikan%20JDE/1206.802120.xlsx" TargetMode="External"/><Relationship Id="rId11" Type="http://schemas.openxmlformats.org/officeDocument/2006/relationships/hyperlink" Target="../../Tarikan%20JDE/1206.630720.xlsx" TargetMode="External"/><Relationship Id="rId5" Type="http://schemas.openxmlformats.org/officeDocument/2006/relationships/hyperlink" Target="../../Tarikan%20JDE/1206.815110.xlsx" TargetMode="External"/><Relationship Id="rId15" Type="http://schemas.openxmlformats.org/officeDocument/2006/relationships/hyperlink" Target="../../Tarikan%20JDE/1206.631110.xlsx" TargetMode="External"/><Relationship Id="rId10" Type="http://schemas.openxmlformats.org/officeDocument/2006/relationships/hyperlink" Target="../../Tarikan%20JDE/1206.630750.xlsx" TargetMode="External"/><Relationship Id="rId19" Type="http://schemas.openxmlformats.org/officeDocument/2006/relationships/hyperlink" Target="../../Tarikan%20JDE/1206.630110.xlsx" TargetMode="External"/><Relationship Id="rId4" Type="http://schemas.openxmlformats.org/officeDocument/2006/relationships/hyperlink" Target="../../Tarikan%20JDE/1206.631000.xlsx" TargetMode="External"/><Relationship Id="rId9" Type="http://schemas.openxmlformats.org/officeDocument/2006/relationships/hyperlink" Target="../../Tarikan%20JDE/1206.630770.xlsx" TargetMode="External"/><Relationship Id="rId14" Type="http://schemas.openxmlformats.org/officeDocument/2006/relationships/hyperlink" Target="../../Tarikan%20JDE/1206.630740.xlsx" TargetMode="External"/><Relationship Id="rId22" Type="http://schemas.openxmlformats.org/officeDocument/2006/relationships/hyperlink" Target="../../Tarikan%20JDE/1206.630600.xlsx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../../Tarikan%20JDE/1205.630770.xlsx" TargetMode="External"/><Relationship Id="rId18" Type="http://schemas.openxmlformats.org/officeDocument/2006/relationships/hyperlink" Target="../../Tarikan%20JDE/1205.631110.xlsx" TargetMode="External"/><Relationship Id="rId26" Type="http://schemas.openxmlformats.org/officeDocument/2006/relationships/hyperlink" Target="../../Tarikan%20JDE/1204.720500.xlsx" TargetMode="External"/><Relationship Id="rId21" Type="http://schemas.openxmlformats.org/officeDocument/2006/relationships/hyperlink" Target="../../Tarikan%20JDE/1204.630710.xlsx" TargetMode="External"/><Relationship Id="rId34" Type="http://schemas.openxmlformats.org/officeDocument/2006/relationships/hyperlink" Target="../../Tarikan%20JDE/1204.630720.xlsx" TargetMode="External"/><Relationship Id="rId7" Type="http://schemas.openxmlformats.org/officeDocument/2006/relationships/hyperlink" Target="../../Tarikan%20JDE/1205.631100.xlsx" TargetMode="External"/><Relationship Id="rId12" Type="http://schemas.openxmlformats.org/officeDocument/2006/relationships/hyperlink" Target="../../Tarikan%20JDE/1205.630110.xlsx" TargetMode="External"/><Relationship Id="rId17" Type="http://schemas.openxmlformats.org/officeDocument/2006/relationships/hyperlink" Target="../../Tarikan%20JDE/1205.801110.xlsx" TargetMode="External"/><Relationship Id="rId25" Type="http://schemas.openxmlformats.org/officeDocument/2006/relationships/hyperlink" Target="../../Tarikan%20JDE/1204.631100.xlsx" TargetMode="External"/><Relationship Id="rId33" Type="http://schemas.openxmlformats.org/officeDocument/2006/relationships/hyperlink" Target="../../Tarikan%20JDE/1204.630750.xlsx" TargetMode="External"/><Relationship Id="rId2" Type="http://schemas.openxmlformats.org/officeDocument/2006/relationships/hyperlink" Target="../../Tarikan%20JDE/1205.801160.xlsx" TargetMode="External"/><Relationship Id="rId16" Type="http://schemas.openxmlformats.org/officeDocument/2006/relationships/hyperlink" Target="../../Tarikan%20JDE/1205.630730.xlsx" TargetMode="External"/><Relationship Id="rId20" Type="http://schemas.openxmlformats.org/officeDocument/2006/relationships/hyperlink" Target="../../Tarikan%20JDE/1204.801160.xlsx" TargetMode="External"/><Relationship Id="rId29" Type="http://schemas.openxmlformats.org/officeDocument/2006/relationships/hyperlink" Target="../../Tarikan%20JDE/1204.630300.xlsx" TargetMode="External"/><Relationship Id="rId1" Type="http://schemas.openxmlformats.org/officeDocument/2006/relationships/hyperlink" Target="../../Tarikan%20JDE/1205.813100.xlsx" TargetMode="External"/><Relationship Id="rId6" Type="http://schemas.openxmlformats.org/officeDocument/2006/relationships/hyperlink" Target="../../Tarikan%20JDE/1205.815110.xlsx" TargetMode="External"/><Relationship Id="rId11" Type="http://schemas.openxmlformats.org/officeDocument/2006/relationships/hyperlink" Target="../../Tarikan%20JDE/1205.630200.xlsx" TargetMode="External"/><Relationship Id="rId24" Type="http://schemas.openxmlformats.org/officeDocument/2006/relationships/hyperlink" Target="../../Tarikan%20JDE/1204.815110.xlsx" TargetMode="External"/><Relationship Id="rId32" Type="http://schemas.openxmlformats.org/officeDocument/2006/relationships/hyperlink" Target="../../Tarikan%20JDE/1204.630770.xlsx" TargetMode="External"/><Relationship Id="rId37" Type="http://schemas.openxmlformats.org/officeDocument/2006/relationships/hyperlink" Target="../../Tarikan%20JDE/1204.631140.xlsx" TargetMode="External"/><Relationship Id="rId5" Type="http://schemas.openxmlformats.org/officeDocument/2006/relationships/hyperlink" Target="../../Tarikan%20JDE/1205.630130.xlsx" TargetMode="External"/><Relationship Id="rId15" Type="http://schemas.openxmlformats.org/officeDocument/2006/relationships/hyperlink" Target="../../Tarikan%20JDE/1205.630720.xlsx" TargetMode="External"/><Relationship Id="rId23" Type="http://schemas.openxmlformats.org/officeDocument/2006/relationships/hyperlink" Target="../../Tarikan%20JDE/1204.630130.xlsx" TargetMode="External"/><Relationship Id="rId28" Type="http://schemas.openxmlformats.org/officeDocument/2006/relationships/hyperlink" Target="../../Tarikan%20JDE/1204.630400.xlsx" TargetMode="External"/><Relationship Id="rId36" Type="http://schemas.openxmlformats.org/officeDocument/2006/relationships/hyperlink" Target="../../Tarikan%20JDE/1204.631110.xlsx" TargetMode="External"/><Relationship Id="rId10" Type="http://schemas.openxmlformats.org/officeDocument/2006/relationships/hyperlink" Target="../../Tarikan%20JDE/1205.630300.xlsx" TargetMode="External"/><Relationship Id="rId19" Type="http://schemas.openxmlformats.org/officeDocument/2006/relationships/hyperlink" Target="../../Tarikan%20JDE/1204.813100.xlsx" TargetMode="External"/><Relationship Id="rId31" Type="http://schemas.openxmlformats.org/officeDocument/2006/relationships/hyperlink" Target="../../Tarikan%20JDE/1204.630110.xlsx" TargetMode="External"/><Relationship Id="rId4" Type="http://schemas.openxmlformats.org/officeDocument/2006/relationships/hyperlink" Target="../../Tarikan%20JDE/1205.630740.xlsx" TargetMode="External"/><Relationship Id="rId9" Type="http://schemas.openxmlformats.org/officeDocument/2006/relationships/hyperlink" Target="../../Tarikan%20JDE/1205.630400.xlsx" TargetMode="External"/><Relationship Id="rId14" Type="http://schemas.openxmlformats.org/officeDocument/2006/relationships/hyperlink" Target="../../Tarikan%20JDE/1205.630750.xlsx" TargetMode="External"/><Relationship Id="rId22" Type="http://schemas.openxmlformats.org/officeDocument/2006/relationships/hyperlink" Target="../../Tarikan%20JDE/1204.630740.xlsx" TargetMode="External"/><Relationship Id="rId27" Type="http://schemas.openxmlformats.org/officeDocument/2006/relationships/hyperlink" Target="../../Tarikan%20JDE/1204.812100.xlsx" TargetMode="External"/><Relationship Id="rId30" Type="http://schemas.openxmlformats.org/officeDocument/2006/relationships/hyperlink" Target="../../Tarikan%20JDE/1204.630200.xlsx" TargetMode="External"/><Relationship Id="rId35" Type="http://schemas.openxmlformats.org/officeDocument/2006/relationships/hyperlink" Target="../../Tarikan%20JDE/1204.630730.xlsx" TargetMode="External"/><Relationship Id="rId8" Type="http://schemas.openxmlformats.org/officeDocument/2006/relationships/hyperlink" Target="../../Tarikan%20JDE/1205.812100.xlsx" TargetMode="External"/><Relationship Id="rId3" Type="http://schemas.openxmlformats.org/officeDocument/2006/relationships/hyperlink" Target="../../Tarikan%20JDE/1205.630710.xlsx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4.920700.xlsx" TargetMode="External"/><Relationship Id="rId3" Type="http://schemas.openxmlformats.org/officeDocument/2006/relationships/hyperlink" Target="../../Tarikan%20JDE/1201.920120.xlsx" TargetMode="External"/><Relationship Id="rId7" Type="http://schemas.openxmlformats.org/officeDocument/2006/relationships/hyperlink" Target="../../Tarikan%20JDE/1205.920700.xlsx" TargetMode="External"/><Relationship Id="rId2" Type="http://schemas.openxmlformats.org/officeDocument/2006/relationships/hyperlink" Target="../../Tarikan%20JDE/1201.920410.xlsx" TargetMode="External"/><Relationship Id="rId1" Type="http://schemas.openxmlformats.org/officeDocument/2006/relationships/hyperlink" Target="../../Tarikan%20JDE/1201.816120.xlsx" TargetMode="External"/><Relationship Id="rId6" Type="http://schemas.openxmlformats.org/officeDocument/2006/relationships/hyperlink" Target="../../Tarikan%20JDE/1206.920700.xlsx" TargetMode="External"/><Relationship Id="rId5" Type="http://schemas.openxmlformats.org/officeDocument/2006/relationships/hyperlink" Target="../../Tarikan%20JDE/1201.920700.xlsx" TargetMode="External"/><Relationship Id="rId10" Type="http://schemas.openxmlformats.org/officeDocument/2006/relationships/hyperlink" Target="../../Tarikan%20JDE/1204.801110.xlsx" TargetMode="External"/><Relationship Id="rId4" Type="http://schemas.openxmlformats.org/officeDocument/2006/relationships/hyperlink" Target="../../Tarikan%20JDE/1201.805120.xlsx" TargetMode="External"/><Relationship Id="rId9" Type="http://schemas.openxmlformats.org/officeDocument/2006/relationships/hyperlink" Target="../../Tarikan%20JDE/1201.801110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29"/>
  <sheetViews>
    <sheetView showGridLines="0" tabSelected="1" zoomScale="115" zoomScaleNormal="115" workbookViewId="0">
      <selection activeCell="C10" sqref="C10:E10"/>
    </sheetView>
  </sheetViews>
  <sheetFormatPr defaultRowHeight="15" x14ac:dyDescent="0.25"/>
  <cols>
    <col min="1" max="1" width="2.42578125" customWidth="1"/>
    <col min="2" max="2" width="3.5703125" customWidth="1"/>
    <col min="3" max="3" width="36.7109375" customWidth="1"/>
    <col min="4" max="4" width="1.7109375" customWidth="1"/>
    <col min="5" max="5" width="51.140625" customWidth="1"/>
    <col min="6" max="6" width="2.140625" customWidth="1"/>
    <col min="7" max="7" width="5.5703125" customWidth="1"/>
  </cols>
  <sheetData>
    <row r="1" spans="1:6" ht="12" customHeight="1" x14ac:dyDescent="0.25">
      <c r="A1" s="41"/>
      <c r="B1" s="41"/>
      <c r="C1" s="42" t="s">
        <v>322</v>
      </c>
      <c r="D1" s="42"/>
      <c r="E1" s="42"/>
      <c r="F1" s="9"/>
    </row>
    <row r="2" spans="1:6" ht="12" customHeight="1" x14ac:dyDescent="0.25">
      <c r="A2" s="41"/>
      <c r="B2" s="41"/>
      <c r="C2" s="43" t="s">
        <v>332</v>
      </c>
      <c r="D2" s="44"/>
      <c r="E2" s="45"/>
      <c r="F2" s="27" t="s">
        <v>214</v>
      </c>
    </row>
    <row r="3" spans="1:6" ht="12" customHeight="1" x14ac:dyDescent="0.25">
      <c r="A3" s="41"/>
      <c r="B3" s="41"/>
      <c r="C3" s="46"/>
      <c r="D3" s="47"/>
      <c r="E3" s="48"/>
      <c r="F3" s="27"/>
    </row>
    <row r="4" spans="1:6" ht="12" customHeight="1" x14ac:dyDescent="0.25">
      <c r="A4" s="41"/>
      <c r="B4" s="41"/>
      <c r="C4" s="46"/>
      <c r="D4" s="47"/>
      <c r="E4" s="48"/>
      <c r="F4" s="27"/>
    </row>
    <row r="5" spans="1:6" ht="12" customHeight="1" x14ac:dyDescent="0.25">
      <c r="A5" s="41"/>
      <c r="B5" s="41"/>
      <c r="C5" s="46"/>
      <c r="D5" s="47"/>
      <c r="E5" s="48"/>
      <c r="F5" s="27"/>
    </row>
    <row r="6" spans="1:6" ht="12" customHeight="1" x14ac:dyDescent="0.25">
      <c r="A6" s="41"/>
      <c r="B6" s="41"/>
      <c r="C6" s="46"/>
      <c r="D6" s="47"/>
      <c r="E6" s="48"/>
      <c r="F6" s="27"/>
    </row>
    <row r="7" spans="1:6" ht="12" customHeight="1" x14ac:dyDescent="0.25">
      <c r="A7" s="41"/>
      <c r="B7" s="41"/>
      <c r="C7" s="46"/>
      <c r="D7" s="47"/>
      <c r="E7" s="48"/>
      <c r="F7" s="27"/>
    </row>
    <row r="8" spans="1:6" ht="12" customHeight="1" x14ac:dyDescent="0.25">
      <c r="A8" s="41"/>
      <c r="B8" s="41"/>
      <c r="C8" s="46"/>
      <c r="D8" s="47"/>
      <c r="E8" s="48"/>
      <c r="F8" s="27"/>
    </row>
    <row r="9" spans="1:6" ht="6.75" customHeight="1" x14ac:dyDescent="0.25">
      <c r="A9" s="41"/>
      <c r="B9" s="41"/>
      <c r="C9" s="49"/>
      <c r="D9" s="50"/>
      <c r="E9" s="51"/>
      <c r="F9" s="27"/>
    </row>
    <row r="10" spans="1:6" ht="18" customHeight="1" x14ac:dyDescent="0.25">
      <c r="A10" s="41"/>
      <c r="B10" s="41"/>
      <c r="C10" s="52" t="s">
        <v>323</v>
      </c>
      <c r="D10" s="52"/>
      <c r="E10" s="52"/>
      <c r="F10" s="27"/>
    </row>
    <row r="11" spans="1:6" ht="15.75" x14ac:dyDescent="0.25">
      <c r="C11" s="17" t="s">
        <v>324</v>
      </c>
      <c r="D11" s="18"/>
      <c r="E11" s="15" t="s">
        <v>325</v>
      </c>
      <c r="F11" s="27"/>
    </row>
    <row r="12" spans="1:6" x14ac:dyDescent="0.25">
      <c r="C12" s="40" t="s">
        <v>333</v>
      </c>
      <c r="D12" s="40"/>
      <c r="E12" s="16" t="s">
        <v>321</v>
      </c>
      <c r="F12" s="27" t="s">
        <v>214</v>
      </c>
    </row>
    <row r="13" spans="1:6" x14ac:dyDescent="0.25">
      <c r="C13" s="25" t="s">
        <v>334</v>
      </c>
      <c r="D13" s="25"/>
      <c r="E13" s="16" t="s">
        <v>335</v>
      </c>
      <c r="F13" s="27" t="s">
        <v>214</v>
      </c>
    </row>
    <row r="14" spans="1:6" x14ac:dyDescent="0.25">
      <c r="C14" s="40" t="s">
        <v>343</v>
      </c>
      <c r="D14" s="40"/>
      <c r="E14" s="16"/>
      <c r="F14" s="27" t="s">
        <v>214</v>
      </c>
    </row>
    <row r="15" spans="1:6" ht="1.5" customHeight="1" x14ac:dyDescent="0.25">
      <c r="C15" s="39"/>
      <c r="D15" s="39"/>
      <c r="E15" s="39"/>
      <c r="F15" s="27"/>
    </row>
    <row r="16" spans="1:6" x14ac:dyDescent="0.25">
      <c r="F16" s="27"/>
    </row>
    <row r="17" spans="6:6" x14ac:dyDescent="0.25">
      <c r="F17" s="27"/>
    </row>
    <row r="18" spans="6:6" x14ac:dyDescent="0.25">
      <c r="F18" s="27"/>
    </row>
    <row r="19" spans="6:6" x14ac:dyDescent="0.25">
      <c r="F19" s="27"/>
    </row>
    <row r="20" spans="6:6" x14ac:dyDescent="0.25">
      <c r="F20" s="27"/>
    </row>
    <row r="21" spans="6:6" x14ac:dyDescent="0.25">
      <c r="F21" s="27"/>
    </row>
    <row r="22" spans="6:6" x14ac:dyDescent="0.25">
      <c r="F22" s="27"/>
    </row>
    <row r="23" spans="6:6" x14ac:dyDescent="0.25">
      <c r="F23" s="27"/>
    </row>
    <row r="24" spans="6:6" x14ac:dyDescent="0.25">
      <c r="F24" s="27"/>
    </row>
    <row r="25" spans="6:6" x14ac:dyDescent="0.25">
      <c r="F25" s="27"/>
    </row>
    <row r="26" spans="6:6" x14ac:dyDescent="0.25">
      <c r="F26" s="27"/>
    </row>
    <row r="27" spans="6:6" x14ac:dyDescent="0.25">
      <c r="F27" s="27"/>
    </row>
    <row r="28" spans="6:6" x14ac:dyDescent="0.25">
      <c r="F28" s="27"/>
    </row>
    <row r="29" spans="6:6" x14ac:dyDescent="0.25">
      <c r="F29" s="27"/>
    </row>
  </sheetData>
  <mergeCells count="8">
    <mergeCell ref="C15:E15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xr:uid="{0007FD13-BAF9-4905-87BE-19FBE5C13B56}"/>
    <hyperlink ref="E13" r:id="rId2" xr:uid="{24514AAD-1976-4895-9499-8629E57746EE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r:id="rId6">
            <anchor moveWithCells="1">
              <from>
                <xdr:col>4</xdr:col>
                <xdr:colOff>1790700</xdr:colOff>
                <xdr:row>2</xdr:row>
                <xdr:rowOff>76200</xdr:rowOff>
              </from>
              <to>
                <xdr:col>4</xdr:col>
                <xdr:colOff>3067050</xdr:colOff>
                <xdr:row>4</xdr:row>
                <xdr:rowOff>28575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38100</xdr:rowOff>
              </from>
              <to>
                <xdr:col>2</xdr:col>
                <xdr:colOff>1857375</xdr:colOff>
                <xdr:row>6</xdr:row>
                <xdr:rowOff>142875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V27"/>
  <sheetViews>
    <sheetView topLeftCell="F7" zoomScale="85" zoomScaleNormal="85" workbookViewId="0">
      <selection activeCell="A2" sqref="A2:A11"/>
    </sheetView>
  </sheetViews>
  <sheetFormatPr defaultRowHeight="15" x14ac:dyDescent="0.25"/>
  <cols>
    <col min="1" max="1" width="64.28515625" bestFit="1" customWidth="1"/>
    <col min="2" max="2" width="24.85546875" bestFit="1" customWidth="1"/>
    <col min="3" max="3" width="24.5703125" bestFit="1" customWidth="1"/>
    <col min="4" max="4" width="20.5703125" customWidth="1"/>
    <col min="5" max="5" width="16.7109375" bestFit="1" customWidth="1"/>
    <col min="6" max="6" width="12.28515625" bestFit="1" customWidth="1"/>
    <col min="7" max="7" width="22.140625" bestFit="1" customWidth="1"/>
    <col min="8" max="8" width="30.140625" customWidth="1"/>
    <col min="9" max="9" width="5" customWidth="1"/>
    <col min="10" max="10" width="3.7109375" customWidth="1"/>
    <col min="11" max="11" width="3.28515625" customWidth="1"/>
    <col min="12" max="13" width="3.5703125" customWidth="1"/>
    <col min="14" max="14" width="30.85546875" bestFit="1" customWidth="1"/>
    <col min="15" max="15" width="24.5703125" bestFit="1" customWidth="1"/>
    <col min="16" max="16" width="16.5703125" customWidth="1"/>
  </cols>
  <sheetData>
    <row r="1" spans="1:22" ht="18.75" x14ac:dyDescent="0.3">
      <c r="A1" s="13" t="s">
        <v>346</v>
      </c>
      <c r="B1" s="10" t="s">
        <v>174</v>
      </c>
      <c r="C1" s="10" t="s">
        <v>1</v>
      </c>
      <c r="D1" s="10" t="s">
        <v>2</v>
      </c>
      <c r="E1" s="10" t="s">
        <v>3</v>
      </c>
      <c r="F1" s="10" t="s">
        <v>4</v>
      </c>
      <c r="G1" s="13" t="s">
        <v>176</v>
      </c>
      <c r="H1" s="13" t="s">
        <v>344</v>
      </c>
      <c r="I1" s="13" t="s">
        <v>214</v>
      </c>
    </row>
    <row r="2" spans="1:22" x14ac:dyDescent="0.25">
      <c r="A2" t="s">
        <v>347</v>
      </c>
      <c r="B2" t="s">
        <v>10</v>
      </c>
      <c r="C2" t="s">
        <v>21</v>
      </c>
      <c r="D2" t="s">
        <v>22</v>
      </c>
      <c r="E2" t="s">
        <v>13</v>
      </c>
      <c r="G2" t="s">
        <v>185</v>
      </c>
      <c r="H2" t="s">
        <v>345</v>
      </c>
    </row>
    <row r="3" spans="1:22" x14ac:dyDescent="0.25">
      <c r="A3" t="s">
        <v>348</v>
      </c>
      <c r="B3" t="s">
        <v>67</v>
      </c>
      <c r="C3" t="s">
        <v>21</v>
      </c>
      <c r="D3" t="s">
        <v>140</v>
      </c>
      <c r="E3" t="s">
        <v>13</v>
      </c>
      <c r="G3" t="s">
        <v>185</v>
      </c>
      <c r="H3" t="s">
        <v>338</v>
      </c>
    </row>
    <row r="4" spans="1:22" x14ac:dyDescent="0.25">
      <c r="A4" t="s">
        <v>349</v>
      </c>
      <c r="B4" t="s">
        <v>67</v>
      </c>
      <c r="C4" t="s">
        <v>21</v>
      </c>
      <c r="D4" t="s">
        <v>123</v>
      </c>
      <c r="E4" t="s">
        <v>13</v>
      </c>
      <c r="G4" t="s">
        <v>185</v>
      </c>
      <c r="H4" t="s">
        <v>339</v>
      </c>
    </row>
    <row r="5" spans="1:22" x14ac:dyDescent="0.25">
      <c r="A5" t="s">
        <v>350</v>
      </c>
      <c r="B5" t="s">
        <v>329</v>
      </c>
      <c r="C5" t="s">
        <v>21</v>
      </c>
      <c r="D5" t="s">
        <v>152</v>
      </c>
      <c r="E5" t="s">
        <v>24</v>
      </c>
      <c r="G5" t="s">
        <v>187</v>
      </c>
      <c r="H5" t="s">
        <v>342</v>
      </c>
    </row>
    <row r="6" spans="1:22" x14ac:dyDescent="0.25">
      <c r="A6" t="s">
        <v>351</v>
      </c>
      <c r="B6" t="s">
        <v>329</v>
      </c>
      <c r="C6" t="s">
        <v>21</v>
      </c>
      <c r="D6" t="s">
        <v>152</v>
      </c>
      <c r="E6" t="s">
        <v>15</v>
      </c>
      <c r="G6" t="s">
        <v>186</v>
      </c>
      <c r="H6" t="s">
        <v>342</v>
      </c>
    </row>
    <row r="7" spans="1:22" x14ac:dyDescent="0.25">
      <c r="A7" t="s">
        <v>352</v>
      </c>
      <c r="B7" t="s">
        <v>67</v>
      </c>
      <c r="C7" t="s">
        <v>21</v>
      </c>
      <c r="D7" t="s">
        <v>123</v>
      </c>
      <c r="E7" t="s">
        <v>24</v>
      </c>
      <c r="G7" t="s">
        <v>187</v>
      </c>
      <c r="H7" t="s">
        <v>339</v>
      </c>
    </row>
    <row r="8" spans="1:22" x14ac:dyDescent="0.25">
      <c r="A8" t="s">
        <v>353</v>
      </c>
      <c r="B8" t="s">
        <v>67</v>
      </c>
      <c r="C8" t="s">
        <v>21</v>
      </c>
      <c r="D8" t="s">
        <v>123</v>
      </c>
      <c r="E8" t="s">
        <v>15</v>
      </c>
      <c r="G8" t="s">
        <v>186</v>
      </c>
      <c r="H8" t="s">
        <v>339</v>
      </c>
    </row>
    <row r="9" spans="1:22" x14ac:dyDescent="0.25">
      <c r="A9" t="s">
        <v>354</v>
      </c>
      <c r="B9" t="s">
        <v>67</v>
      </c>
      <c r="C9" t="s">
        <v>21</v>
      </c>
      <c r="D9" t="s">
        <v>123</v>
      </c>
      <c r="E9" t="s">
        <v>101</v>
      </c>
      <c r="G9" t="s">
        <v>184</v>
      </c>
      <c r="H9" t="s">
        <v>339</v>
      </c>
    </row>
    <row r="10" spans="1:22" x14ac:dyDescent="0.25">
      <c r="A10" t="s">
        <v>355</v>
      </c>
      <c r="B10" t="s">
        <v>10</v>
      </c>
      <c r="C10" t="s">
        <v>21</v>
      </c>
      <c r="D10" t="s">
        <v>22</v>
      </c>
      <c r="E10" t="s">
        <v>24</v>
      </c>
      <c r="G10" t="s">
        <v>187</v>
      </c>
      <c r="H10" t="s">
        <v>345</v>
      </c>
    </row>
    <row r="11" spans="1:22" x14ac:dyDescent="0.25">
      <c r="A11" t="s">
        <v>356</v>
      </c>
      <c r="B11" t="s">
        <v>10</v>
      </c>
      <c r="C11" t="s">
        <v>21</v>
      </c>
      <c r="D11" t="s">
        <v>22</v>
      </c>
      <c r="E11" t="s">
        <v>15</v>
      </c>
      <c r="G11" t="s">
        <v>186</v>
      </c>
      <c r="H11" t="s">
        <v>345</v>
      </c>
    </row>
    <row r="12" spans="1:22" x14ac:dyDescent="0.25">
      <c r="N12" t="s">
        <v>341</v>
      </c>
    </row>
    <row r="13" spans="1:22" x14ac:dyDescent="0.25">
      <c r="N13" s="38" t="s">
        <v>185</v>
      </c>
    </row>
    <row r="14" spans="1:22" x14ac:dyDescent="0.25">
      <c r="N14" t="s">
        <v>67</v>
      </c>
      <c r="O14" t="s">
        <v>21</v>
      </c>
      <c r="P14" t="s">
        <v>140</v>
      </c>
      <c r="Q14" t="s">
        <v>13</v>
      </c>
      <c r="V14" t="s">
        <v>338</v>
      </c>
    </row>
    <row r="15" spans="1:22" x14ac:dyDescent="0.25">
      <c r="N15" t="s">
        <v>67</v>
      </c>
      <c r="O15" t="s">
        <v>21</v>
      </c>
      <c r="P15" t="s">
        <v>123</v>
      </c>
      <c r="Q15" t="s">
        <v>13</v>
      </c>
      <c r="V15" t="s">
        <v>339</v>
      </c>
    </row>
    <row r="16" spans="1:22" x14ac:dyDescent="0.25">
      <c r="N16" t="s">
        <v>24</v>
      </c>
      <c r="V16" t="s">
        <v>342</v>
      </c>
    </row>
    <row r="17" spans="14:22" x14ac:dyDescent="0.25">
      <c r="N17" t="s">
        <v>15</v>
      </c>
      <c r="V17" t="s">
        <v>342</v>
      </c>
    </row>
    <row r="20" spans="14:22" x14ac:dyDescent="0.25">
      <c r="N20" t="s">
        <v>340</v>
      </c>
    </row>
    <row r="26" spans="14:22" x14ac:dyDescent="0.25">
      <c r="N26" t="s">
        <v>212</v>
      </c>
      <c r="O26" t="s">
        <v>48</v>
      </c>
    </row>
    <row r="27" spans="14:22" x14ac:dyDescent="0.25">
      <c r="N27" t="s">
        <v>211</v>
      </c>
      <c r="O27" t="s">
        <v>50</v>
      </c>
    </row>
  </sheetData>
  <autoFilter ref="A1:V27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164"/>
  <sheetViews>
    <sheetView zoomScale="85" zoomScaleNormal="85" workbookViewId="0">
      <pane xSplit="2" ySplit="5" topLeftCell="F149" activePane="bottomRight" state="frozen"/>
      <selection pane="topRight" activeCell="C1" sqref="C1"/>
      <selection pane="bottomLeft" activeCell="A6" sqref="A6"/>
      <selection pane="bottomRight" activeCell="O149" sqref="O149"/>
    </sheetView>
  </sheetViews>
  <sheetFormatPr defaultColWidth="16.28515625" defaultRowHeight="15.75" x14ac:dyDescent="0.25"/>
  <cols>
    <col min="1" max="1" width="26.42578125" style="1" customWidth="1"/>
    <col min="2" max="2" width="32.85546875" style="1" customWidth="1"/>
    <col min="3" max="3" width="40" style="1" customWidth="1"/>
    <col min="4" max="4" width="28" style="2" customWidth="1"/>
    <col min="5" max="5" width="12.28515625" style="2" bestFit="1" customWidth="1"/>
    <col min="6" max="6" width="16.85546875" style="1" customWidth="1"/>
    <col min="7" max="7" width="24.7109375" style="33" bestFit="1" customWidth="1"/>
    <col min="8" max="8" width="16" style="33" customWidth="1"/>
    <col min="9" max="9" width="17.140625" style="33" bestFit="1" customWidth="1"/>
    <col min="10" max="10" width="16.28515625" style="4" customWidth="1"/>
    <col min="11" max="11" width="24.28515625" style="4" customWidth="1"/>
    <col min="12" max="12" width="20.85546875" style="1" customWidth="1"/>
    <col min="13" max="13" width="23.85546875" style="1" hidden="1" customWidth="1"/>
    <col min="14" max="14" width="23.7109375" style="1" hidden="1" customWidth="1"/>
    <col min="15" max="15" width="19.28515625" style="37" bestFit="1" customWidth="1"/>
    <col min="16" max="16384" width="16.28515625" style="1"/>
  </cols>
  <sheetData>
    <row r="2" spans="1:15" ht="23.25" x14ac:dyDescent="0.35">
      <c r="A2" s="19" t="str">
        <f ca="1">"MONTHLY BUDGET TH "&amp;YEAR(TODAY())</f>
        <v>MONTHLY BUDGET TH 2024</v>
      </c>
      <c r="B2" s="8"/>
      <c r="C2" s="8"/>
      <c r="D2" s="8"/>
      <c r="E2" s="8"/>
      <c r="F2" s="28"/>
      <c r="G2" s="31"/>
      <c r="H2" s="32"/>
      <c r="I2" s="31"/>
      <c r="J2" s="35"/>
      <c r="K2" s="35"/>
      <c r="L2" s="8"/>
      <c r="M2" s="8"/>
      <c r="N2" s="8"/>
    </row>
    <row r="3" spans="1:15" ht="5.25" customHeight="1" x14ac:dyDescent="0.25"/>
    <row r="4" spans="1:15" ht="6.75" customHeight="1" x14ac:dyDescent="0.25">
      <c r="G4" s="34"/>
      <c r="H4" s="33" t="s">
        <v>214</v>
      </c>
      <c r="I4" s="34"/>
    </row>
    <row r="5" spans="1:15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30" t="s">
        <v>6</v>
      </c>
      <c r="H5" s="30" t="s">
        <v>7</v>
      </c>
      <c r="I5" s="30" t="s">
        <v>193</v>
      </c>
      <c r="J5" s="12" t="s">
        <v>8</v>
      </c>
      <c r="K5" s="12" t="s">
        <v>9</v>
      </c>
      <c r="L5" s="13" t="s">
        <v>176</v>
      </c>
      <c r="M5" s="13" t="s">
        <v>319</v>
      </c>
      <c r="N5" s="13" t="s">
        <v>320</v>
      </c>
      <c r="O5" s="12" t="s">
        <v>337</v>
      </c>
    </row>
    <row r="6" spans="1:15" x14ac:dyDescent="0.25">
      <c r="A6" s="1" t="s">
        <v>10</v>
      </c>
      <c r="B6" s="36" t="s">
        <v>11</v>
      </c>
      <c r="C6" s="1" t="s">
        <v>12</v>
      </c>
      <c r="D6" s="2" t="s">
        <v>13</v>
      </c>
      <c r="E6" s="2" t="s">
        <v>14</v>
      </c>
      <c r="G6" s="33">
        <v>10000</v>
      </c>
      <c r="H6" s="33">
        <v>6914.94</v>
      </c>
      <c r="I6" s="33">
        <f t="shared" ref="I6:I37" si="0">G6-H6</f>
        <v>3085.0600000000004</v>
      </c>
      <c r="J6" s="4">
        <f>G6/VLOOKUP(A6,RESUME!$G$3:$I$10,3,FALSE)</f>
        <v>0.14728026373771388</v>
      </c>
      <c r="K6" s="4">
        <f t="shared" ref="K6:K37" si="1">IFERROR((G6/H6)*J6,"")</f>
        <v>0.21298849120558372</v>
      </c>
      <c r="L6" s="1" t="str">
        <f>_xlfn.IFNA(VLOOKUP(A6&amp;"-"&amp;B6&amp;"-"&amp;D6,Ref_Account!$A:$F,6,FALSE),"ACCOUNT TIDAK DITEMUKAN")</f>
        <v>1201.720400</v>
      </c>
      <c r="N6" s="1">
        <f t="shared" ref="N6:N37" si="2">IF(L6="ACCOUNT TIDAK DITEMUKAN","9999",COUNTIF($L$6:$L$164,L6))</f>
        <v>1</v>
      </c>
      <c r="O6" s="59" t="str">
        <f t="shared" ref="O6:O37" si="3">IF(I6&gt;0,"OK","OVER")</f>
        <v>OK</v>
      </c>
    </row>
    <row r="7" spans="1:15" x14ac:dyDescent="0.25">
      <c r="A7" s="1" t="s">
        <v>10</v>
      </c>
      <c r="B7" s="36" t="s">
        <v>11</v>
      </c>
      <c r="C7" s="1" t="s">
        <v>12</v>
      </c>
      <c r="D7" s="2" t="s">
        <v>15</v>
      </c>
      <c r="E7" s="2" t="s">
        <v>16</v>
      </c>
      <c r="G7" s="33">
        <v>10000</v>
      </c>
      <c r="H7" s="33">
        <v>8466.66</v>
      </c>
      <c r="I7" s="33">
        <f t="shared" si="0"/>
        <v>1533.3400000000001</v>
      </c>
      <c r="J7" s="4">
        <f>G7/VLOOKUP(A7,RESUME!$G$3:$I$10,3,FALSE)</f>
        <v>0.14728026373771388</v>
      </c>
      <c r="K7" s="4">
        <f t="shared" si="1"/>
        <v>0.17395320437777576</v>
      </c>
      <c r="L7" s="1" t="str">
        <f>_xlfn.IFNA(VLOOKUP(A7&amp;"-"&amp;B7&amp;"-"&amp;D7,Ref_Account!$A:$F,6,FALSE),"ACCOUNT TIDAK DITEMUKAN")</f>
        <v>1204.720400</v>
      </c>
      <c r="N7" s="1">
        <f t="shared" si="2"/>
        <v>1</v>
      </c>
      <c r="O7" s="59" t="str">
        <f t="shared" si="3"/>
        <v>OK</v>
      </c>
    </row>
    <row r="8" spans="1:15" x14ac:dyDescent="0.25">
      <c r="A8" s="1" t="s">
        <v>10</v>
      </c>
      <c r="B8" s="36" t="s">
        <v>17</v>
      </c>
      <c r="C8" s="1" t="s">
        <v>18</v>
      </c>
      <c r="D8" s="2" t="s">
        <v>13</v>
      </c>
      <c r="E8" s="2" t="s">
        <v>19</v>
      </c>
      <c r="G8" s="33">
        <v>1987.05</v>
      </c>
      <c r="H8" s="33">
        <v>1391.65</v>
      </c>
      <c r="I8" s="33">
        <f t="shared" si="0"/>
        <v>595.39999999999986</v>
      </c>
      <c r="J8" s="4">
        <f>G8/VLOOKUP(A8,RESUME!$G$3:$I$10,3,FALSE)</f>
        <v>2.9265324806002437E-2</v>
      </c>
      <c r="K8" s="4">
        <f t="shared" si="1"/>
        <v>4.1786127011653178E-2</v>
      </c>
      <c r="L8" s="1" t="str">
        <f>_xlfn.IFNA(VLOOKUP(A8&amp;"-"&amp;B8&amp;"-"&amp;D8,Ref_Account!$A:$F,6,FALSE),"ACCOUNT TIDAK DITEMUKAN")</f>
        <v>1201.816110</v>
      </c>
      <c r="N8" s="1">
        <f t="shared" si="2"/>
        <v>1</v>
      </c>
      <c r="O8" s="59" t="str">
        <f t="shared" si="3"/>
        <v>OK</v>
      </c>
    </row>
    <row r="9" spans="1:15" x14ac:dyDescent="0.25">
      <c r="A9" s="1" t="s">
        <v>10</v>
      </c>
      <c r="B9" s="36" t="s">
        <v>17</v>
      </c>
      <c r="C9" s="1" t="s">
        <v>18</v>
      </c>
      <c r="D9" s="2" t="s">
        <v>15</v>
      </c>
      <c r="E9" s="2" t="s">
        <v>20</v>
      </c>
      <c r="G9" s="33">
        <v>326</v>
      </c>
      <c r="I9" s="33">
        <f t="shared" si="0"/>
        <v>326</v>
      </c>
      <c r="J9" s="4">
        <f>G9/VLOOKUP(A9,RESUME!$G$3:$I$10,3,FALSE)</f>
        <v>4.8013365978494729E-3</v>
      </c>
      <c r="K9" s="4" t="str">
        <f t="shared" si="1"/>
        <v/>
      </c>
      <c r="L9" s="1" t="str">
        <f>_xlfn.IFNA(VLOOKUP(A9&amp;"-"&amp;B9&amp;"-"&amp;D9,Ref_Account!$A:$F,6,FALSE),"ACCOUNT TIDAK DITEMUKAN")</f>
        <v>1204.816110</v>
      </c>
      <c r="N9" s="1">
        <f t="shared" si="2"/>
        <v>1</v>
      </c>
      <c r="O9" s="59" t="str">
        <f t="shared" si="3"/>
        <v>OK</v>
      </c>
    </row>
    <row r="10" spans="1:15" x14ac:dyDescent="0.25">
      <c r="A10" s="1" t="s">
        <v>10</v>
      </c>
      <c r="B10" s="36" t="s">
        <v>21</v>
      </c>
      <c r="C10" s="1" t="s">
        <v>22</v>
      </c>
      <c r="D10" s="2" t="s">
        <v>13</v>
      </c>
      <c r="E10" s="2" t="s">
        <v>23</v>
      </c>
      <c r="G10" s="33">
        <v>15015.099999999999</v>
      </c>
      <c r="H10" s="33">
        <v>31691.109999999997</v>
      </c>
      <c r="I10" s="33">
        <f t="shared" si="0"/>
        <v>-16676.009999999998</v>
      </c>
      <c r="J10" s="4">
        <f>G10/VLOOKUP(A10,RESUME!$G$3:$I$10,3,FALSE)</f>
        <v>0.22114278880481478</v>
      </c>
      <c r="K10" s="4">
        <f t="shared" si="1"/>
        <v>0.10477642115354036</v>
      </c>
      <c r="L10" s="1" t="str">
        <f>_xlfn.IFNA(VLOOKUP(A10&amp;"-"&amp;B10&amp;"-"&amp;D10,Ref_Account!$A:$F,6,FALSE),"ACCOUNT TIDAK DITEMUKAN")</f>
        <v>1201.631100</v>
      </c>
      <c r="N10" s="1">
        <f t="shared" si="2"/>
        <v>3</v>
      </c>
      <c r="O10" s="59" t="str">
        <f t="shared" si="3"/>
        <v>OVER</v>
      </c>
    </row>
    <row r="11" spans="1:15" x14ac:dyDescent="0.25">
      <c r="A11" s="1" t="s">
        <v>10</v>
      </c>
      <c r="B11" s="36" t="s">
        <v>21</v>
      </c>
      <c r="C11" s="1" t="s">
        <v>22</v>
      </c>
      <c r="D11" s="2" t="s">
        <v>24</v>
      </c>
      <c r="E11" s="2" t="s">
        <v>25</v>
      </c>
      <c r="G11" s="33">
        <v>26.7199999999998</v>
      </c>
      <c r="H11" s="33">
        <v>537.17000000000007</v>
      </c>
      <c r="I11" s="33">
        <f t="shared" si="0"/>
        <v>-510.45000000000027</v>
      </c>
      <c r="J11" s="4">
        <f>G11/VLOOKUP(A11,RESUME!$G$3:$I$10,3,FALSE)</f>
        <v>3.9353286470716859E-4</v>
      </c>
      <c r="K11" s="4">
        <f t="shared" si="1"/>
        <v>1.9575177588054927E-5</v>
      </c>
      <c r="L11" s="1" t="str">
        <f>_xlfn.IFNA(VLOOKUP(A11&amp;"-"&amp;B11&amp;"-"&amp;D11,Ref_Account!$A:$F,6,FALSE),"ACCOUNT TIDAK DITEMUKAN")</f>
        <v>1205.631100</v>
      </c>
      <c r="N11" s="1">
        <f t="shared" si="2"/>
        <v>3</v>
      </c>
      <c r="O11" s="59" t="str">
        <f t="shared" si="3"/>
        <v>OVER</v>
      </c>
    </row>
    <row r="12" spans="1:15" x14ac:dyDescent="0.25">
      <c r="A12" s="1" t="s">
        <v>10</v>
      </c>
      <c r="B12" s="36" t="s">
        <v>21</v>
      </c>
      <c r="C12" s="1" t="s">
        <v>22</v>
      </c>
      <c r="D12" s="2" t="s">
        <v>15</v>
      </c>
      <c r="E12" s="2" t="s">
        <v>25</v>
      </c>
      <c r="G12" s="33">
        <v>15124.89</v>
      </c>
      <c r="H12" s="33">
        <v>15148.25</v>
      </c>
      <c r="I12" s="33">
        <f t="shared" si="0"/>
        <v>-23.360000000000582</v>
      </c>
      <c r="J12" s="4">
        <f>G12/VLOOKUP(A12,RESUME!$G$3:$I$10,3,FALSE)</f>
        <v>0.22275977882039114</v>
      </c>
      <c r="K12" s="4">
        <f t="shared" si="1"/>
        <v>0.2224162626760679</v>
      </c>
      <c r="L12" s="1" t="str">
        <f>_xlfn.IFNA(VLOOKUP(A12&amp;"-"&amp;B12&amp;"-"&amp;D12,Ref_Account!$A:$F,6,FALSE),"ACCOUNT TIDAK DITEMUKAN")</f>
        <v>1204.631100</v>
      </c>
      <c r="N12" s="1">
        <f t="shared" si="2"/>
        <v>3</v>
      </c>
      <c r="O12" s="59" t="str">
        <f t="shared" si="3"/>
        <v>OVER</v>
      </c>
    </row>
    <row r="13" spans="1:15" x14ac:dyDescent="0.25">
      <c r="A13" s="1" t="s">
        <v>10</v>
      </c>
      <c r="B13" s="36" t="s">
        <v>26</v>
      </c>
      <c r="C13" s="1" t="s">
        <v>27</v>
      </c>
      <c r="D13" s="2" t="s">
        <v>13</v>
      </c>
      <c r="E13" s="2" t="s">
        <v>28</v>
      </c>
      <c r="G13" s="33">
        <v>639</v>
      </c>
      <c r="H13" s="33">
        <v>639.39</v>
      </c>
      <c r="I13" s="33">
        <f t="shared" si="0"/>
        <v>-0.38999999999998636</v>
      </c>
      <c r="J13" s="4">
        <f>G13/VLOOKUP(A13,RESUME!$G$3:$I$10,3,FALSE)</f>
        <v>9.4112088528399175E-3</v>
      </c>
      <c r="K13" s="4">
        <f t="shared" si="1"/>
        <v>9.4054684261009828E-3</v>
      </c>
      <c r="L13" s="1" t="str">
        <f>_xlfn.IFNA(VLOOKUP(A13&amp;"-"&amp;B13&amp;"-"&amp;D13,Ref_Account!$A:$F,6,FALSE),"ACCOUNT TIDAK DITEMUKAN")</f>
        <v>1201.631180</v>
      </c>
      <c r="N13" s="1">
        <f t="shared" si="2"/>
        <v>1</v>
      </c>
      <c r="O13" s="59" t="str">
        <f t="shared" si="3"/>
        <v>OVER</v>
      </c>
    </row>
    <row r="14" spans="1:15" x14ac:dyDescent="0.25">
      <c r="A14" s="1" t="s">
        <v>10</v>
      </c>
      <c r="B14" s="36" t="s">
        <v>26</v>
      </c>
      <c r="C14" s="1" t="s">
        <v>27</v>
      </c>
      <c r="D14" s="2" t="s">
        <v>24</v>
      </c>
      <c r="E14" s="2" t="s">
        <v>29</v>
      </c>
      <c r="G14" s="33">
        <v>1265</v>
      </c>
      <c r="H14" s="33">
        <v>2489.87</v>
      </c>
      <c r="I14" s="33">
        <f t="shared" si="0"/>
        <v>-1224.8699999999999</v>
      </c>
      <c r="J14" s="4">
        <f>G14/VLOOKUP(A14,RESUME!$G$3:$I$10,3,FALSE)</f>
        <v>1.8630953362820807E-2</v>
      </c>
      <c r="K14" s="4">
        <f t="shared" si="1"/>
        <v>9.4656170820036079E-3</v>
      </c>
      <c r="L14" s="1" t="str">
        <f>_xlfn.IFNA(VLOOKUP(A14&amp;"-"&amp;B14&amp;"-"&amp;D14,Ref_Account!$A:$F,6,FALSE),"ACCOUNT TIDAK DITEMUKAN")</f>
        <v>1204.631180</v>
      </c>
      <c r="N14" s="1">
        <f t="shared" si="2"/>
        <v>1</v>
      </c>
      <c r="O14" s="60" t="str">
        <f t="shared" si="3"/>
        <v>OVER</v>
      </c>
    </row>
    <row r="15" spans="1:15" x14ac:dyDescent="0.25">
      <c r="A15" s="1" t="s">
        <v>10</v>
      </c>
      <c r="B15" s="36" t="s">
        <v>26</v>
      </c>
      <c r="C15" s="1" t="s">
        <v>27</v>
      </c>
      <c r="D15" s="2" t="s">
        <v>15</v>
      </c>
      <c r="E15" s="2" t="s">
        <v>29</v>
      </c>
      <c r="G15" s="33">
        <v>2489</v>
      </c>
      <c r="H15" s="33">
        <v>1265.19</v>
      </c>
      <c r="I15" s="33">
        <f t="shared" si="0"/>
        <v>1223.81</v>
      </c>
      <c r="J15" s="4">
        <f>G15/VLOOKUP(A15,RESUME!$G$3:$I$10,3,FALSE)</f>
        <v>3.6658057644316989E-2</v>
      </c>
      <c r="K15" s="4">
        <f t="shared" si="1"/>
        <v>7.211715669322788E-2</v>
      </c>
      <c r="L15" s="1" t="str">
        <f>_xlfn.IFNA(VLOOKUP(A15&amp;"-"&amp;B15&amp;"-"&amp;D15,Ref_Account!$A:$F,6,FALSE),"ACCOUNT TIDAK DITEMUKAN")</f>
        <v>1205.631180</v>
      </c>
      <c r="N15" s="1">
        <f t="shared" si="2"/>
        <v>1</v>
      </c>
      <c r="O15" s="59" t="str">
        <f t="shared" si="3"/>
        <v>OK</v>
      </c>
    </row>
    <row r="16" spans="1:15" x14ac:dyDescent="0.25">
      <c r="A16" s="1" t="s">
        <v>10</v>
      </c>
      <c r="B16" s="36" t="s">
        <v>30</v>
      </c>
      <c r="C16" s="1" t="s">
        <v>31</v>
      </c>
      <c r="D16" s="2" t="s">
        <v>13</v>
      </c>
      <c r="E16" s="2" t="s">
        <v>28</v>
      </c>
      <c r="G16" s="33">
        <v>1025</v>
      </c>
      <c r="H16" s="33">
        <v>1025.6400000000001</v>
      </c>
      <c r="I16" s="33">
        <f t="shared" si="0"/>
        <v>-0.64000000000010004</v>
      </c>
      <c r="J16" s="4">
        <f>G16/VLOOKUP(A16,RESUME!$G$3:$I$10,3,FALSE)</f>
        <v>1.5096227033115674E-2</v>
      </c>
      <c r="K16" s="4">
        <f t="shared" si="1"/>
        <v>1.5086806978026954E-2</v>
      </c>
      <c r="L16" s="1" t="str">
        <f>_xlfn.IFNA(VLOOKUP(A16&amp;"-"&amp;B16&amp;"-"&amp;D16,Ref_Account!$A:$F,6,FALSE),"ACCOUNT TIDAK DITEMUKAN")</f>
        <v>1201.631150</v>
      </c>
      <c r="N16" s="1">
        <f t="shared" si="2"/>
        <v>1</v>
      </c>
      <c r="O16" s="59" t="str">
        <f t="shared" si="3"/>
        <v>OVER</v>
      </c>
    </row>
    <row r="17" spans="1:15" x14ac:dyDescent="0.25">
      <c r="A17" s="1" t="s">
        <v>10</v>
      </c>
      <c r="B17" s="36" t="s">
        <v>32</v>
      </c>
      <c r="C17" s="1" t="s">
        <v>33</v>
      </c>
      <c r="D17" s="2" t="s">
        <v>13</v>
      </c>
      <c r="E17" s="2" t="s">
        <v>34</v>
      </c>
      <c r="G17" s="33">
        <v>8000</v>
      </c>
      <c r="H17" s="33">
        <v>7852.32</v>
      </c>
      <c r="I17" s="33">
        <f t="shared" si="0"/>
        <v>147.68000000000029</v>
      </c>
      <c r="J17" s="4">
        <f>G17/VLOOKUP(A17,RESUME!$G$3:$I$10,3,FALSE)</f>
        <v>0.11782421099017111</v>
      </c>
      <c r="K17" s="4">
        <f t="shared" si="1"/>
        <v>0.12004015219977904</v>
      </c>
      <c r="L17" s="1" t="str">
        <f>_xlfn.IFNA(VLOOKUP(A17&amp;"-"&amp;B17&amp;"-"&amp;D17,Ref_Account!$A:$F,6,FALSE),"ACCOUNT TIDAK DITEMUKAN")</f>
        <v>1201.720100</v>
      </c>
      <c r="N17" s="1">
        <f t="shared" si="2"/>
        <v>1</v>
      </c>
      <c r="O17" s="59" t="str">
        <f t="shared" si="3"/>
        <v>OK</v>
      </c>
    </row>
    <row r="18" spans="1:15" x14ac:dyDescent="0.25">
      <c r="A18" s="1" t="s">
        <v>10</v>
      </c>
      <c r="B18" s="36" t="s">
        <v>32</v>
      </c>
      <c r="C18" s="1" t="s">
        <v>33</v>
      </c>
      <c r="D18" s="2" t="s">
        <v>24</v>
      </c>
      <c r="E18" s="2" t="s">
        <v>34</v>
      </c>
      <c r="G18" s="33">
        <v>1000</v>
      </c>
      <c r="I18" s="33">
        <f t="shared" si="0"/>
        <v>1000</v>
      </c>
      <c r="J18" s="4">
        <f>G18/VLOOKUP(A18,RESUME!$G$3:$I$10,3,FALSE)</f>
        <v>1.4728026373771389E-2</v>
      </c>
      <c r="K18" s="4" t="str">
        <f t="shared" si="1"/>
        <v/>
      </c>
      <c r="L18" s="1" t="str">
        <f>_xlfn.IFNA(VLOOKUP(A18&amp;"-"&amp;B18&amp;"-"&amp;D18,Ref_Account!$A:$F,6,FALSE),"ACCOUNT TIDAK DITEMUKAN")</f>
        <v>1205.720100</v>
      </c>
      <c r="N18" s="1">
        <f t="shared" si="2"/>
        <v>1</v>
      </c>
      <c r="O18" s="59" t="str">
        <f t="shared" si="3"/>
        <v>OK</v>
      </c>
    </row>
    <row r="19" spans="1:15" x14ac:dyDescent="0.25">
      <c r="A19" s="1" t="s">
        <v>10</v>
      </c>
      <c r="B19" s="36" t="s">
        <v>32</v>
      </c>
      <c r="C19" s="1" t="s">
        <v>33</v>
      </c>
      <c r="D19" s="2" t="s">
        <v>15</v>
      </c>
      <c r="E19" s="2" t="s">
        <v>34</v>
      </c>
      <c r="G19" s="33">
        <v>1000</v>
      </c>
      <c r="H19" s="33">
        <v>1998.81</v>
      </c>
      <c r="I19" s="33">
        <f t="shared" si="0"/>
        <v>-998.81</v>
      </c>
      <c r="J19" s="4">
        <f>G19/VLOOKUP(A19,RESUME!$G$3:$I$10,3,FALSE)</f>
        <v>1.4728026373771389E-2</v>
      </c>
      <c r="K19" s="4">
        <f t="shared" si="1"/>
        <v>7.3683973833287755E-3</v>
      </c>
      <c r="L19" s="1" t="str">
        <f>_xlfn.IFNA(VLOOKUP(A19&amp;"-"&amp;B19&amp;"-"&amp;D19,Ref_Account!$A:$F,6,FALSE),"ACCOUNT TIDAK DITEMUKAN")</f>
        <v>1204.720100</v>
      </c>
      <c r="N19" s="1">
        <f t="shared" si="2"/>
        <v>1</v>
      </c>
      <c r="O19" s="59" t="str">
        <f t="shared" si="3"/>
        <v>OVER</v>
      </c>
    </row>
    <row r="20" spans="1:15" x14ac:dyDescent="0.25">
      <c r="A20" s="1" t="s">
        <v>36</v>
      </c>
      <c r="B20" s="36" t="s">
        <v>37</v>
      </c>
      <c r="C20" s="1" t="s">
        <v>38</v>
      </c>
      <c r="D20" s="2" t="s">
        <v>13</v>
      </c>
      <c r="E20" s="2" t="s">
        <v>39</v>
      </c>
      <c r="G20" s="33">
        <v>151561</v>
      </c>
      <c r="I20" s="33">
        <f t="shared" si="0"/>
        <v>151561</v>
      </c>
      <c r="J20" s="4">
        <f>G20/VLOOKUP(A20,RESUME!$G$3:$I$10,3,FALSE)</f>
        <v>0.65619333139484248</v>
      </c>
      <c r="K20" s="4" t="str">
        <f t="shared" si="1"/>
        <v/>
      </c>
      <c r="L20" s="1" t="str">
        <f>_xlfn.IFNA(VLOOKUP(A20&amp;"-"&amp;B20&amp;"-"&amp;D20,Ref_Account!$A:$F,6,FALSE),"ACCOUNT TIDAK DITEMUKAN")</f>
        <v>1201.630600</v>
      </c>
      <c r="N20" s="1">
        <f t="shared" si="2"/>
        <v>2</v>
      </c>
      <c r="O20" s="59" t="str">
        <f t="shared" si="3"/>
        <v>OK</v>
      </c>
    </row>
    <row r="21" spans="1:15" x14ac:dyDescent="0.25">
      <c r="A21" s="1" t="s">
        <v>36</v>
      </c>
      <c r="B21" s="36" t="s">
        <v>37</v>
      </c>
      <c r="C21" s="1" t="s">
        <v>38</v>
      </c>
      <c r="D21" s="2" t="s">
        <v>24</v>
      </c>
      <c r="E21" s="2" t="s">
        <v>39</v>
      </c>
      <c r="G21" s="33">
        <v>26883.15</v>
      </c>
      <c r="I21" s="33">
        <f t="shared" si="0"/>
        <v>26883.15</v>
      </c>
      <c r="J21" s="4">
        <f>G21/VLOOKUP(A21,RESUME!$G$3:$I$10,3,FALSE)</f>
        <v>0.11639236846475848</v>
      </c>
      <c r="K21" s="4" t="str">
        <f t="shared" si="1"/>
        <v/>
      </c>
      <c r="L21" s="1" t="str">
        <f>_xlfn.IFNA(VLOOKUP(A21&amp;"-"&amp;B21&amp;"-"&amp;D21,Ref_Account!$A:$F,6,FALSE),"ACCOUNT TIDAK DITEMUKAN")</f>
        <v>1205.630600</v>
      </c>
      <c r="N21" s="1">
        <f t="shared" si="2"/>
        <v>2</v>
      </c>
      <c r="O21" s="59" t="str">
        <f t="shared" si="3"/>
        <v>OK</v>
      </c>
    </row>
    <row r="22" spans="1:15" x14ac:dyDescent="0.25">
      <c r="A22" s="1" t="s">
        <v>36</v>
      </c>
      <c r="B22" s="36" t="s">
        <v>37</v>
      </c>
      <c r="C22" s="1" t="s">
        <v>38</v>
      </c>
      <c r="D22" s="2" t="s">
        <v>15</v>
      </c>
      <c r="E22" s="2" t="s">
        <v>40</v>
      </c>
      <c r="G22" s="33">
        <v>32525.89</v>
      </c>
      <c r="I22" s="33">
        <f t="shared" si="0"/>
        <v>32525.89</v>
      </c>
      <c r="J22" s="4">
        <f>G22/VLOOKUP(A22,RESUME!$G$3:$I$10,3,FALSE)</f>
        <v>0.14082298292886819</v>
      </c>
      <c r="K22" s="4" t="str">
        <f t="shared" si="1"/>
        <v/>
      </c>
      <c r="L22" s="1" t="str">
        <f>_xlfn.IFNA(VLOOKUP(A22&amp;"-"&amp;B22&amp;"-"&amp;D22,Ref_Account!$A:$F,6,FALSE),"ACCOUNT TIDAK DITEMUKAN")</f>
        <v>1204.630600</v>
      </c>
      <c r="N22" s="1">
        <f t="shared" si="2"/>
        <v>2</v>
      </c>
      <c r="O22" s="59" t="str">
        <f t="shared" si="3"/>
        <v>OK</v>
      </c>
    </row>
    <row r="23" spans="1:15" x14ac:dyDescent="0.25">
      <c r="A23" s="1" t="s">
        <v>36</v>
      </c>
      <c r="B23" s="36" t="s">
        <v>37</v>
      </c>
      <c r="C23" s="1" t="s">
        <v>41</v>
      </c>
      <c r="D23" s="2" t="s">
        <v>13</v>
      </c>
      <c r="E23" s="2" t="s">
        <v>42</v>
      </c>
      <c r="G23" s="33">
        <v>5000</v>
      </c>
      <c r="I23" s="33">
        <f t="shared" si="0"/>
        <v>5000</v>
      </c>
      <c r="J23" s="4">
        <f>G23/VLOOKUP(A23,RESUME!$G$3:$I$10,3,FALSE)</f>
        <v>2.1647829302882747E-2</v>
      </c>
      <c r="K23" s="4" t="str">
        <f t="shared" si="1"/>
        <v/>
      </c>
      <c r="L23" s="1" t="str">
        <f>_xlfn.IFNA(VLOOKUP(A23&amp;"-"&amp;B23&amp;"-"&amp;D23,Ref_Account!$A:$F,6,FALSE),"ACCOUNT TIDAK DITEMUKAN")</f>
        <v>1201.630600</v>
      </c>
      <c r="N23" s="1">
        <f t="shared" si="2"/>
        <v>2</v>
      </c>
      <c r="O23" s="59" t="str">
        <f t="shared" si="3"/>
        <v>OK</v>
      </c>
    </row>
    <row r="24" spans="1:15" x14ac:dyDescent="0.25">
      <c r="A24" s="1" t="s">
        <v>36</v>
      </c>
      <c r="B24" s="36" t="s">
        <v>37</v>
      </c>
      <c r="C24" s="1" t="s">
        <v>38</v>
      </c>
      <c r="D24" s="2" t="s">
        <v>24</v>
      </c>
      <c r="E24" s="2" t="s">
        <v>43</v>
      </c>
      <c r="G24" s="33">
        <v>7500</v>
      </c>
      <c r="I24" s="33">
        <f t="shared" si="0"/>
        <v>7500</v>
      </c>
      <c r="J24" s="4">
        <f>G24/VLOOKUP(A24,RESUME!$G$3:$I$10,3,FALSE)</f>
        <v>3.2471743954324124E-2</v>
      </c>
      <c r="K24" s="4" t="str">
        <f t="shared" si="1"/>
        <v/>
      </c>
      <c r="L24" s="1" t="str">
        <f>_xlfn.IFNA(VLOOKUP(A24&amp;"-"&amp;B24&amp;"-"&amp;D24,Ref_Account!$A:$F,6,FALSE),"ACCOUNT TIDAK DITEMUKAN")</f>
        <v>1205.630600</v>
      </c>
      <c r="N24" s="1">
        <f t="shared" si="2"/>
        <v>2</v>
      </c>
      <c r="O24" s="59" t="str">
        <f t="shared" si="3"/>
        <v>OK</v>
      </c>
    </row>
    <row r="25" spans="1:15" x14ac:dyDescent="0.25">
      <c r="A25" s="1" t="s">
        <v>36</v>
      </c>
      <c r="B25" s="36" t="s">
        <v>37</v>
      </c>
      <c r="C25" s="1" t="s">
        <v>38</v>
      </c>
      <c r="D25" s="2" t="s">
        <v>15</v>
      </c>
      <c r="E25" s="2" t="s">
        <v>42</v>
      </c>
      <c r="G25" s="33">
        <v>7500</v>
      </c>
      <c r="I25" s="33">
        <f t="shared" si="0"/>
        <v>7500</v>
      </c>
      <c r="J25" s="4">
        <f>G25/VLOOKUP(A25,RESUME!$G$3:$I$10,3,FALSE)</f>
        <v>3.2471743954324124E-2</v>
      </c>
      <c r="K25" s="4" t="str">
        <f t="shared" si="1"/>
        <v/>
      </c>
      <c r="L25" s="1" t="str">
        <f>_xlfn.IFNA(VLOOKUP(A25&amp;"-"&amp;B25&amp;"-"&amp;D25,Ref_Account!$A:$F,6,FALSE),"ACCOUNT TIDAK DITEMUKAN")</f>
        <v>1204.630600</v>
      </c>
      <c r="N25" s="1">
        <f t="shared" si="2"/>
        <v>2</v>
      </c>
      <c r="O25" s="59" t="str">
        <f t="shared" si="3"/>
        <v>OK</v>
      </c>
    </row>
    <row r="26" spans="1:15" x14ac:dyDescent="0.25">
      <c r="A26" s="1" t="s">
        <v>44</v>
      </c>
      <c r="B26" s="36" t="s">
        <v>45</v>
      </c>
      <c r="I26" s="33">
        <f t="shared" si="0"/>
        <v>0</v>
      </c>
      <c r="J26" s="4">
        <f>G26/VLOOKUP(A26,RESUME!$G$3:$I$10,3,FALSE)</f>
        <v>0</v>
      </c>
      <c r="K26" s="4" t="str">
        <f t="shared" si="1"/>
        <v/>
      </c>
      <c r="L26" s="1" t="str">
        <f>_xlfn.IFNA(VLOOKUP(A26&amp;"-"&amp;B26&amp;"-"&amp;D26,Ref_Account!$A:$F,6,FALSE),"ACCOUNT TIDAK DITEMUKAN")</f>
        <v>ACCOUNT TIDAK DITEMUKAN</v>
      </c>
      <c r="N26" s="1" t="str">
        <f t="shared" si="2"/>
        <v>9999</v>
      </c>
      <c r="O26" s="59" t="str">
        <f t="shared" si="3"/>
        <v>OVER</v>
      </c>
    </row>
    <row r="27" spans="1:15" x14ac:dyDescent="0.25">
      <c r="A27" s="1" t="s">
        <v>44</v>
      </c>
      <c r="B27" s="36" t="s">
        <v>46</v>
      </c>
      <c r="C27" s="1" t="s">
        <v>47</v>
      </c>
      <c r="D27" s="2" t="s">
        <v>13</v>
      </c>
      <c r="E27" s="2" t="s">
        <v>48</v>
      </c>
      <c r="F27" s="1" t="s">
        <v>49</v>
      </c>
      <c r="G27" s="33">
        <v>450</v>
      </c>
      <c r="I27" s="33">
        <f t="shared" si="0"/>
        <v>450</v>
      </c>
      <c r="J27" s="4">
        <f>G27/VLOOKUP(A27,RESUME!$G$3:$I$10,3,FALSE)</f>
        <v>5.2941176470588235E-2</v>
      </c>
      <c r="K27" s="4" t="str">
        <f t="shared" si="1"/>
        <v/>
      </c>
      <c r="L27" s="1" t="str">
        <f>_xlfn.IFNA(VLOOKUP(A27&amp;"-"&amp;B27&amp;"-"&amp;D27,Ref_Account!$A:$F,6,FALSE),"ACCOUNT TIDAK DITEMUKAN")</f>
        <v>1201.730300</v>
      </c>
      <c r="N27" s="1">
        <f t="shared" si="2"/>
        <v>5</v>
      </c>
      <c r="O27" s="59" t="str">
        <f t="shared" si="3"/>
        <v>OK</v>
      </c>
    </row>
    <row r="28" spans="1:15" x14ac:dyDescent="0.25">
      <c r="A28" s="1" t="s">
        <v>44</v>
      </c>
      <c r="B28" s="36" t="s">
        <v>46</v>
      </c>
      <c r="C28" s="1" t="s">
        <v>47</v>
      </c>
      <c r="D28" s="2" t="s">
        <v>13</v>
      </c>
      <c r="E28" s="2" t="s">
        <v>50</v>
      </c>
      <c r="F28" s="1" t="s">
        <v>51</v>
      </c>
      <c r="G28" s="33">
        <v>450</v>
      </c>
      <c r="I28" s="33">
        <f t="shared" si="0"/>
        <v>450</v>
      </c>
      <c r="J28" s="4">
        <f>G28/VLOOKUP(A28,RESUME!$G$3:$I$10,3,FALSE)</f>
        <v>5.2941176470588235E-2</v>
      </c>
      <c r="K28" s="4" t="str">
        <f t="shared" si="1"/>
        <v/>
      </c>
      <c r="L28" s="1" t="str">
        <f>_xlfn.IFNA(VLOOKUP(A28&amp;"-"&amp;B28&amp;"-"&amp;D28,Ref_Account!$A:$F,6,FALSE),"ACCOUNT TIDAK DITEMUKAN")</f>
        <v>1201.730300</v>
      </c>
      <c r="N28" s="1">
        <f t="shared" si="2"/>
        <v>5</v>
      </c>
      <c r="O28" s="59" t="str">
        <f t="shared" si="3"/>
        <v>OK</v>
      </c>
    </row>
    <row r="29" spans="1:15" x14ac:dyDescent="0.25">
      <c r="A29" s="1" t="s">
        <v>44</v>
      </c>
      <c r="B29" s="36" t="s">
        <v>46</v>
      </c>
      <c r="C29" s="1" t="s">
        <v>47</v>
      </c>
      <c r="D29" s="2" t="s">
        <v>13</v>
      </c>
      <c r="E29" s="2" t="s">
        <v>52</v>
      </c>
      <c r="F29" s="1" t="s">
        <v>53</v>
      </c>
      <c r="G29" s="33">
        <v>450</v>
      </c>
      <c r="I29" s="33">
        <f t="shared" si="0"/>
        <v>450</v>
      </c>
      <c r="J29" s="4">
        <f>G29/VLOOKUP(A29,RESUME!$G$3:$I$10,3,FALSE)</f>
        <v>5.2941176470588235E-2</v>
      </c>
      <c r="K29" s="4" t="str">
        <f t="shared" si="1"/>
        <v/>
      </c>
      <c r="L29" s="1" t="str">
        <f>_xlfn.IFNA(VLOOKUP(A29&amp;"-"&amp;B29&amp;"-"&amp;D29,Ref_Account!$A:$F,6,FALSE),"ACCOUNT TIDAK DITEMUKAN")</f>
        <v>1201.730300</v>
      </c>
      <c r="N29" s="1">
        <f t="shared" si="2"/>
        <v>5</v>
      </c>
      <c r="O29" s="59" t="str">
        <f t="shared" si="3"/>
        <v>OK</v>
      </c>
    </row>
    <row r="30" spans="1:15" x14ac:dyDescent="0.25">
      <c r="A30" s="1" t="s">
        <v>44</v>
      </c>
      <c r="B30" s="36" t="s">
        <v>46</v>
      </c>
      <c r="C30" s="1" t="s">
        <v>47</v>
      </c>
      <c r="D30" s="2" t="s">
        <v>13</v>
      </c>
      <c r="E30" s="2" t="s">
        <v>54</v>
      </c>
      <c r="F30" s="1" t="s">
        <v>55</v>
      </c>
      <c r="G30" s="33">
        <v>450</v>
      </c>
      <c r="I30" s="33">
        <f t="shared" si="0"/>
        <v>450</v>
      </c>
      <c r="J30" s="4">
        <f>G30/VLOOKUP(A30,RESUME!$G$3:$I$10,3,FALSE)</f>
        <v>5.2941176470588235E-2</v>
      </c>
      <c r="K30" s="4" t="str">
        <f t="shared" si="1"/>
        <v/>
      </c>
      <c r="L30" s="1" t="str">
        <f>_xlfn.IFNA(VLOOKUP(A30&amp;"-"&amp;B30&amp;"-"&amp;D30,Ref_Account!$A:$F,6,FALSE),"ACCOUNT TIDAK DITEMUKAN")</f>
        <v>1201.730300</v>
      </c>
      <c r="N30" s="1">
        <f t="shared" si="2"/>
        <v>5</v>
      </c>
      <c r="O30" s="59" t="str">
        <f t="shared" si="3"/>
        <v>OK</v>
      </c>
    </row>
    <row r="31" spans="1:15" x14ac:dyDescent="0.25">
      <c r="A31" s="1" t="s">
        <v>44</v>
      </c>
      <c r="B31" s="36" t="s">
        <v>56</v>
      </c>
      <c r="C31" s="1" t="s">
        <v>57</v>
      </c>
      <c r="D31" s="2" t="s">
        <v>13</v>
      </c>
      <c r="E31" s="2" t="s">
        <v>54</v>
      </c>
      <c r="F31" s="1" t="s">
        <v>58</v>
      </c>
      <c r="G31" s="33">
        <v>6300</v>
      </c>
      <c r="I31" s="33">
        <f t="shared" si="0"/>
        <v>6300</v>
      </c>
      <c r="J31" s="4">
        <f>G31/VLOOKUP(A31,RESUME!$G$3:$I$10,3,FALSE)</f>
        <v>0.74117647058823533</v>
      </c>
      <c r="K31" s="4" t="str">
        <f t="shared" si="1"/>
        <v/>
      </c>
      <c r="L31" s="1" t="str">
        <f>_xlfn.IFNA(VLOOKUP(A31&amp;"-"&amp;B31&amp;"-"&amp;D31,Ref_Account!$A:$F,6,FALSE),"ACCOUNT TIDAK DITEMUKAN")</f>
        <v>1201.730200</v>
      </c>
      <c r="N31" s="1">
        <f t="shared" si="2"/>
        <v>2</v>
      </c>
      <c r="O31" s="59" t="str">
        <f t="shared" si="3"/>
        <v>OK</v>
      </c>
    </row>
    <row r="32" spans="1:15" x14ac:dyDescent="0.25">
      <c r="A32" s="1" t="s">
        <v>44</v>
      </c>
      <c r="B32" s="36" t="s">
        <v>59</v>
      </c>
      <c r="C32" s="1" t="s">
        <v>60</v>
      </c>
      <c r="D32" s="2" t="s">
        <v>13</v>
      </c>
      <c r="E32" s="2" t="s">
        <v>48</v>
      </c>
      <c r="F32" s="1" t="s">
        <v>49</v>
      </c>
      <c r="G32" s="33">
        <v>100</v>
      </c>
      <c r="I32" s="33">
        <f t="shared" si="0"/>
        <v>100</v>
      </c>
      <c r="J32" s="4">
        <f>G32/VLOOKUP(A32,RESUME!$G$3:$I$10,3,FALSE)</f>
        <v>1.1764705882352941E-2</v>
      </c>
      <c r="K32" s="4" t="str">
        <f t="shared" si="1"/>
        <v/>
      </c>
      <c r="L32" s="1" t="str">
        <f>_xlfn.IFNA(VLOOKUP(A32&amp;"-"&amp;B32&amp;"-"&amp;D32,Ref_Account!$A:$F,6,FALSE),"ACCOUNT TIDAK DITEMUKAN")</f>
        <v>1201.710200</v>
      </c>
      <c r="N32" s="1">
        <f t="shared" si="2"/>
        <v>6</v>
      </c>
      <c r="O32" s="59" t="str">
        <f t="shared" si="3"/>
        <v>OK</v>
      </c>
    </row>
    <row r="33" spans="1:15" x14ac:dyDescent="0.25">
      <c r="A33" s="1" t="s">
        <v>44</v>
      </c>
      <c r="B33" s="36" t="s">
        <v>59</v>
      </c>
      <c r="C33" s="1" t="s">
        <v>60</v>
      </c>
      <c r="D33" s="2" t="s">
        <v>13</v>
      </c>
      <c r="E33" s="2" t="s">
        <v>50</v>
      </c>
      <c r="F33" s="1" t="s">
        <v>51</v>
      </c>
      <c r="G33" s="33">
        <v>100</v>
      </c>
      <c r="I33" s="33">
        <f t="shared" si="0"/>
        <v>100</v>
      </c>
      <c r="J33" s="4">
        <f>G33/VLOOKUP(A33,RESUME!$G$3:$I$10,3,FALSE)</f>
        <v>1.1764705882352941E-2</v>
      </c>
      <c r="K33" s="4" t="str">
        <f t="shared" si="1"/>
        <v/>
      </c>
      <c r="L33" s="1" t="str">
        <f>_xlfn.IFNA(VLOOKUP(A33&amp;"-"&amp;B33&amp;"-"&amp;D33,Ref_Account!$A:$F,6,FALSE),"ACCOUNT TIDAK DITEMUKAN")</f>
        <v>1201.710200</v>
      </c>
      <c r="N33" s="1">
        <f t="shared" si="2"/>
        <v>6</v>
      </c>
      <c r="O33" s="59" t="str">
        <f t="shared" si="3"/>
        <v>OK</v>
      </c>
    </row>
    <row r="34" spans="1:15" x14ac:dyDescent="0.25">
      <c r="A34" s="1" t="s">
        <v>44</v>
      </c>
      <c r="B34" s="36" t="s">
        <v>59</v>
      </c>
      <c r="C34" s="1" t="s">
        <v>60</v>
      </c>
      <c r="D34" s="2" t="s">
        <v>13</v>
      </c>
      <c r="E34" s="2" t="s">
        <v>52</v>
      </c>
      <c r="F34" s="1" t="s">
        <v>53</v>
      </c>
      <c r="G34" s="33">
        <v>100</v>
      </c>
      <c r="I34" s="33">
        <f t="shared" si="0"/>
        <v>100</v>
      </c>
      <c r="J34" s="4">
        <f>G34/VLOOKUP(A34,RESUME!$G$3:$I$10,3,FALSE)</f>
        <v>1.1764705882352941E-2</v>
      </c>
      <c r="K34" s="4" t="str">
        <f t="shared" si="1"/>
        <v/>
      </c>
      <c r="L34" s="1" t="str">
        <f>_xlfn.IFNA(VLOOKUP(A34&amp;"-"&amp;B34&amp;"-"&amp;D34,Ref_Account!$A:$F,6,FALSE),"ACCOUNT TIDAK DITEMUKAN")</f>
        <v>1201.710200</v>
      </c>
      <c r="N34" s="1">
        <f t="shared" si="2"/>
        <v>6</v>
      </c>
      <c r="O34" s="59" t="str">
        <f t="shared" si="3"/>
        <v>OK</v>
      </c>
    </row>
    <row r="35" spans="1:15" x14ac:dyDescent="0.25">
      <c r="A35" s="1" t="s">
        <v>44</v>
      </c>
      <c r="B35" s="36" t="s">
        <v>59</v>
      </c>
      <c r="C35" s="1" t="s">
        <v>60</v>
      </c>
      <c r="D35" s="2" t="s">
        <v>13</v>
      </c>
      <c r="E35" s="2" t="s">
        <v>54</v>
      </c>
      <c r="F35" s="1" t="s">
        <v>55</v>
      </c>
      <c r="G35" s="33">
        <v>100</v>
      </c>
      <c r="I35" s="33">
        <f t="shared" si="0"/>
        <v>100</v>
      </c>
      <c r="J35" s="4">
        <f>G35/VLOOKUP(A35,RESUME!$G$3:$I$10,3,FALSE)</f>
        <v>1.1764705882352941E-2</v>
      </c>
      <c r="K35" s="4" t="str">
        <f t="shared" si="1"/>
        <v/>
      </c>
      <c r="L35" s="1" t="str">
        <f>_xlfn.IFNA(VLOOKUP(A35&amp;"-"&amp;B35&amp;"-"&amp;D35,Ref_Account!$A:$F,6,FALSE),"ACCOUNT TIDAK DITEMUKAN")</f>
        <v>1201.710200</v>
      </c>
      <c r="N35" s="1">
        <f t="shared" si="2"/>
        <v>6</v>
      </c>
      <c r="O35" s="59" t="str">
        <f t="shared" si="3"/>
        <v>OK</v>
      </c>
    </row>
    <row r="36" spans="1:15" x14ac:dyDescent="0.25">
      <c r="A36" s="1" t="s">
        <v>316</v>
      </c>
      <c r="B36" s="36" t="s">
        <v>45</v>
      </c>
      <c r="I36" s="33">
        <f t="shared" si="0"/>
        <v>0</v>
      </c>
      <c r="J36" s="4">
        <f>G36/VLOOKUP(A36,RESUME!$G$3:$I$10,3,FALSE)</f>
        <v>0</v>
      </c>
      <c r="K36" s="4" t="str">
        <f t="shared" si="1"/>
        <v/>
      </c>
      <c r="L36" s="1" t="str">
        <f>_xlfn.IFNA(VLOOKUP(A36&amp;"-"&amp;B36&amp;"-"&amp;D36,Ref_Account!$A:$F,6,FALSE),"ACCOUNT TIDAK DITEMUKAN")</f>
        <v>ACCOUNT TIDAK DITEMUKAN</v>
      </c>
      <c r="N36" s="1" t="str">
        <f t="shared" si="2"/>
        <v>9999</v>
      </c>
      <c r="O36" s="59" t="str">
        <f t="shared" si="3"/>
        <v>OVER</v>
      </c>
    </row>
    <row r="37" spans="1:15" x14ac:dyDescent="0.25">
      <c r="A37" s="1" t="s">
        <v>316</v>
      </c>
      <c r="B37" s="36" t="s">
        <v>46</v>
      </c>
      <c r="C37" s="1" t="s">
        <v>47</v>
      </c>
      <c r="D37" s="2" t="s">
        <v>13</v>
      </c>
      <c r="E37" s="2" t="s">
        <v>61</v>
      </c>
      <c r="F37" s="1" t="s">
        <v>62</v>
      </c>
      <c r="G37" s="33">
        <v>200</v>
      </c>
      <c r="I37" s="33">
        <f t="shared" si="0"/>
        <v>200</v>
      </c>
      <c r="J37" s="4">
        <f>G37/VLOOKUP(A37,RESUME!$G$3:$I$10,3,FALSE)</f>
        <v>0.2</v>
      </c>
      <c r="K37" s="4" t="str">
        <f t="shared" si="1"/>
        <v/>
      </c>
      <c r="L37" s="1" t="str">
        <f>_xlfn.IFNA(VLOOKUP(A37&amp;"-"&amp;B37&amp;"-"&amp;D37,Ref_Account!$A:$F,6,FALSE),"ACCOUNT TIDAK DITEMUKAN")</f>
        <v>1201.730300</v>
      </c>
      <c r="N37" s="1">
        <f t="shared" si="2"/>
        <v>5</v>
      </c>
      <c r="O37" s="59" t="str">
        <f t="shared" si="3"/>
        <v>OK</v>
      </c>
    </row>
    <row r="38" spans="1:15" x14ac:dyDescent="0.25">
      <c r="A38" s="1" t="s">
        <v>316</v>
      </c>
      <c r="B38" s="36" t="s">
        <v>56</v>
      </c>
      <c r="C38" s="1" t="s">
        <v>57</v>
      </c>
      <c r="D38" s="2" t="s">
        <v>13</v>
      </c>
      <c r="E38" s="2" t="s">
        <v>63</v>
      </c>
      <c r="F38" s="1" t="s">
        <v>64</v>
      </c>
      <c r="G38" s="33">
        <v>700</v>
      </c>
      <c r="I38" s="33">
        <f t="shared" ref="I38:I69" si="4">G38-H38</f>
        <v>700</v>
      </c>
      <c r="J38" s="4">
        <f>G38/VLOOKUP(A38,RESUME!$G$3:$I$10,3,FALSE)</f>
        <v>0.7</v>
      </c>
      <c r="K38" s="4" t="str">
        <f t="shared" ref="K38:K69" si="5">IFERROR((G38/H38)*J38,"")</f>
        <v/>
      </c>
      <c r="L38" s="1" t="str">
        <f>_xlfn.IFNA(VLOOKUP(A38&amp;"-"&amp;B38&amp;"-"&amp;D38,Ref_Account!$A:$F,6,FALSE),"ACCOUNT TIDAK DITEMUKAN")</f>
        <v>1201.730200</v>
      </c>
      <c r="N38" s="1">
        <f t="shared" ref="N38:N69" si="6">IF(L38="ACCOUNT TIDAK DITEMUKAN","9999",COUNTIF($L$6:$L$164,L38))</f>
        <v>2</v>
      </c>
      <c r="O38" s="59" t="str">
        <f t="shared" ref="O38:O69" si="7">IF(I38&gt;0,"OK","OVER")</f>
        <v>OK</v>
      </c>
    </row>
    <row r="39" spans="1:15" x14ac:dyDescent="0.25">
      <c r="A39" s="1" t="s">
        <v>316</v>
      </c>
      <c r="B39" s="36" t="s">
        <v>59</v>
      </c>
      <c r="C39" s="1" t="s">
        <v>60</v>
      </c>
      <c r="D39" s="2" t="s">
        <v>13</v>
      </c>
      <c r="E39" s="2" t="s">
        <v>63</v>
      </c>
      <c r="F39" s="1" t="s">
        <v>62</v>
      </c>
      <c r="G39" s="33">
        <v>50</v>
      </c>
      <c r="I39" s="33">
        <f t="shared" si="4"/>
        <v>50</v>
      </c>
      <c r="J39" s="4">
        <f>G39/VLOOKUP(A39,RESUME!$G$3:$I$10,3,FALSE)</f>
        <v>0.05</v>
      </c>
      <c r="K39" s="4" t="str">
        <f t="shared" si="5"/>
        <v/>
      </c>
      <c r="L39" s="1" t="str">
        <f>_xlfn.IFNA(VLOOKUP(A39&amp;"-"&amp;B39&amp;"-"&amp;D39,Ref_Account!$A:$F,6,FALSE),"ACCOUNT TIDAK DITEMUKAN")</f>
        <v>1201.710200</v>
      </c>
      <c r="N39" s="1">
        <f t="shared" si="6"/>
        <v>6</v>
      </c>
      <c r="O39" s="59" t="str">
        <f t="shared" si="7"/>
        <v>OK</v>
      </c>
    </row>
    <row r="40" spans="1:15" x14ac:dyDescent="0.25">
      <c r="A40" s="1" t="s">
        <v>316</v>
      </c>
      <c r="B40" s="36" t="s">
        <v>59</v>
      </c>
      <c r="C40" s="1" t="s">
        <v>60</v>
      </c>
      <c r="D40" s="2" t="s">
        <v>13</v>
      </c>
      <c r="E40" s="2" t="s">
        <v>65</v>
      </c>
      <c r="F40" s="1" t="s">
        <v>66</v>
      </c>
      <c r="G40" s="33">
        <v>50</v>
      </c>
      <c r="I40" s="33">
        <f t="shared" si="4"/>
        <v>50</v>
      </c>
      <c r="J40" s="4">
        <f>G40/VLOOKUP(A40,RESUME!$G$3:$I$10,3,FALSE)</f>
        <v>0.05</v>
      </c>
      <c r="K40" s="4" t="str">
        <f t="shared" si="5"/>
        <v/>
      </c>
      <c r="L40" s="1" t="str">
        <f>_xlfn.IFNA(VLOOKUP(A40&amp;"-"&amp;B40&amp;"-"&amp;D40,Ref_Account!$A:$F,6,FALSE),"ACCOUNT TIDAK DITEMUKAN")</f>
        <v>1201.710200</v>
      </c>
      <c r="N40" s="1">
        <f t="shared" si="6"/>
        <v>6</v>
      </c>
      <c r="O40" s="59" t="str">
        <f t="shared" si="7"/>
        <v>OK</v>
      </c>
    </row>
    <row r="41" spans="1:15" x14ac:dyDescent="0.25">
      <c r="A41" s="1" t="s">
        <v>67</v>
      </c>
      <c r="B41" s="36" t="s">
        <v>68</v>
      </c>
      <c r="C41" s="1" t="s">
        <v>69</v>
      </c>
      <c r="D41" s="2" t="s">
        <v>13</v>
      </c>
      <c r="E41" s="2" t="s">
        <v>19</v>
      </c>
      <c r="H41" s="33">
        <v>37.9</v>
      </c>
      <c r="I41" s="33">
        <f t="shared" si="4"/>
        <v>-37.9</v>
      </c>
      <c r="J41" s="4">
        <f>G41/VLOOKUP(A41,RESUME!$G$3:$I$10,3,FALSE)</f>
        <v>0</v>
      </c>
      <c r="K41" s="4">
        <f t="shared" si="5"/>
        <v>0</v>
      </c>
      <c r="L41" s="1" t="str">
        <f>_xlfn.IFNA(VLOOKUP(A41&amp;"-"&amp;B41&amp;"-"&amp;D41,Ref_Account!$A:$F,6,FALSE),"ACCOUNT TIDAK DITEMUKAN")</f>
        <v>1201.720500</v>
      </c>
      <c r="N41" s="1">
        <f t="shared" si="6"/>
        <v>1</v>
      </c>
      <c r="O41" s="59" t="str">
        <f t="shared" si="7"/>
        <v>OVER</v>
      </c>
    </row>
    <row r="42" spans="1:15" x14ac:dyDescent="0.25">
      <c r="A42" s="1" t="s">
        <v>67</v>
      </c>
      <c r="B42" s="36" t="s">
        <v>70</v>
      </c>
      <c r="C42" s="1" t="s">
        <v>71</v>
      </c>
      <c r="D42" s="2" t="s">
        <v>13</v>
      </c>
      <c r="E42" s="2" t="s">
        <v>72</v>
      </c>
      <c r="G42" s="33">
        <v>4917.96</v>
      </c>
      <c r="H42" s="33">
        <v>4917.96</v>
      </c>
      <c r="I42" s="33">
        <f t="shared" si="4"/>
        <v>0</v>
      </c>
      <c r="J42" s="4">
        <f>G42/VLOOKUP(A42,RESUME!$G$3:$I$10,3,FALSE)</f>
        <v>5.6433869134324049E-2</v>
      </c>
      <c r="K42" s="4">
        <f t="shared" si="5"/>
        <v>5.6433869134324049E-2</v>
      </c>
      <c r="L42" s="1" t="str">
        <f>_xlfn.IFNA(VLOOKUP(A42&amp;"-"&amp;B42&amp;"-"&amp;D42,Ref_Account!$A:$F,6,FALSE),"ACCOUNT TIDAK DITEMUKAN")</f>
        <v>1201.812100</v>
      </c>
      <c r="N42" s="1">
        <f t="shared" si="6"/>
        <v>1</v>
      </c>
      <c r="O42" s="59" t="str">
        <f t="shared" si="7"/>
        <v>OVER</v>
      </c>
    </row>
    <row r="43" spans="1:15" x14ac:dyDescent="0.25">
      <c r="A43" s="1" t="s">
        <v>67</v>
      </c>
      <c r="B43" s="36" t="s">
        <v>73</v>
      </c>
      <c r="C43" s="1" t="s">
        <v>74</v>
      </c>
      <c r="D43" s="2" t="s">
        <v>13</v>
      </c>
      <c r="E43" s="2" t="s">
        <v>75</v>
      </c>
      <c r="G43" s="33">
        <v>281</v>
      </c>
      <c r="H43" s="33">
        <v>290.63</v>
      </c>
      <c r="I43" s="33">
        <f t="shared" si="4"/>
        <v>-9.6299999999999955</v>
      </c>
      <c r="J43" s="4">
        <f>G43/VLOOKUP(A43,RESUME!$G$3:$I$10,3,FALSE)</f>
        <v>3.2244908919033619E-3</v>
      </c>
      <c r="K43" s="4">
        <f t="shared" si="5"/>
        <v>3.1176476641256745E-3</v>
      </c>
      <c r="L43" s="1" t="str">
        <f>_xlfn.IFNA(VLOOKUP(A43&amp;"-"&amp;B43&amp;"-"&amp;D43,Ref_Account!$A:$F,6,FALSE),"ACCOUNT TIDAK DITEMUKAN")</f>
        <v>1201.807100</v>
      </c>
      <c r="N43" s="1">
        <f t="shared" si="6"/>
        <v>1</v>
      </c>
      <c r="O43" s="59" t="str">
        <f t="shared" si="7"/>
        <v>OVER</v>
      </c>
    </row>
    <row r="44" spans="1:15" x14ac:dyDescent="0.25">
      <c r="A44" s="1" t="s">
        <v>67</v>
      </c>
      <c r="B44" s="36" t="s">
        <v>73</v>
      </c>
      <c r="C44" s="1" t="s">
        <v>74</v>
      </c>
      <c r="D44" s="2" t="s">
        <v>15</v>
      </c>
      <c r="E44" s="2" t="s">
        <v>75</v>
      </c>
      <c r="G44" s="33">
        <v>64.58</v>
      </c>
      <c r="H44" s="33">
        <v>64.58</v>
      </c>
      <c r="I44" s="33">
        <f t="shared" si="4"/>
        <v>0</v>
      </c>
      <c r="J44" s="4">
        <f>G44/VLOOKUP(A44,RESUME!$G$3:$I$10,3,FALSE)</f>
        <v>7.4105915231003239E-4</v>
      </c>
      <c r="K44" s="4">
        <f t="shared" si="5"/>
        <v>7.4105915231003239E-4</v>
      </c>
      <c r="L44" s="1" t="str">
        <f>_xlfn.IFNA(VLOOKUP(A44&amp;"-"&amp;B44&amp;"-"&amp;D44,Ref_Account!$A:$F,6,FALSE),"ACCOUNT TIDAK DITEMUKAN")</f>
        <v>1204.807100</v>
      </c>
      <c r="N44" s="1">
        <f t="shared" si="6"/>
        <v>1</v>
      </c>
      <c r="O44" s="59" t="str">
        <f t="shared" si="7"/>
        <v>OVER</v>
      </c>
    </row>
    <row r="45" spans="1:15" x14ac:dyDescent="0.25">
      <c r="A45" s="1" t="s">
        <v>67</v>
      </c>
      <c r="B45" s="36" t="s">
        <v>76</v>
      </c>
      <c r="C45" s="1" t="s">
        <v>77</v>
      </c>
      <c r="D45" s="2" t="s">
        <v>13</v>
      </c>
      <c r="E45" s="2" t="s">
        <v>75</v>
      </c>
      <c r="G45" s="33">
        <v>2027.63</v>
      </c>
      <c r="H45" s="33">
        <v>3926.72</v>
      </c>
      <c r="I45" s="33">
        <f t="shared" si="4"/>
        <v>-1899.0899999999997</v>
      </c>
      <c r="J45" s="4">
        <f>G45/VLOOKUP(A45,RESUME!$G$3:$I$10,3,FALSE)</f>
        <v>2.3267168922242044E-2</v>
      </c>
      <c r="K45" s="4">
        <f t="shared" si="5"/>
        <v>1.2014406354872676E-2</v>
      </c>
      <c r="L45" s="1" t="str">
        <f>_xlfn.IFNA(VLOOKUP(A45&amp;"-"&amp;B45&amp;"-"&amp;D45,Ref_Account!$A:$F,6,FALSE),"ACCOUNT TIDAK DITEMUKAN")</f>
        <v>1201.630400</v>
      </c>
      <c r="N45" s="1">
        <f t="shared" si="6"/>
        <v>1</v>
      </c>
      <c r="O45" s="59" t="str">
        <f t="shared" si="7"/>
        <v>OVER</v>
      </c>
    </row>
    <row r="46" spans="1:15" x14ac:dyDescent="0.25">
      <c r="A46" s="1" t="s">
        <v>67</v>
      </c>
      <c r="B46" s="36" t="s">
        <v>78</v>
      </c>
      <c r="C46" s="1" t="s">
        <v>79</v>
      </c>
      <c r="D46" s="2" t="s">
        <v>13</v>
      </c>
      <c r="E46" s="2" t="s">
        <v>75</v>
      </c>
      <c r="G46" s="33">
        <v>1453.67</v>
      </c>
      <c r="H46" s="33">
        <v>3736.9</v>
      </c>
      <c r="I46" s="33">
        <f t="shared" si="4"/>
        <v>-2283.23</v>
      </c>
      <c r="J46" s="4">
        <f>G46/VLOOKUP(A46,RESUME!$G$3:$I$10,3,FALSE)</f>
        <v>1.6680945462039718E-2</v>
      </c>
      <c r="K46" s="4">
        <f t="shared" si="5"/>
        <v>6.4889587598820613E-3</v>
      </c>
      <c r="L46" s="1" t="str">
        <f>_xlfn.IFNA(VLOOKUP(A46&amp;"-"&amp;B46&amp;"-"&amp;D46,Ref_Account!$A:$F,6,FALSE),"ACCOUNT TIDAK DITEMUKAN")</f>
        <v>1201.813100</v>
      </c>
      <c r="N46" s="1">
        <f t="shared" si="6"/>
        <v>1</v>
      </c>
      <c r="O46" s="59" t="str">
        <f t="shared" si="7"/>
        <v>OVER</v>
      </c>
    </row>
    <row r="47" spans="1:15" x14ac:dyDescent="0.25">
      <c r="A47" s="1" t="s">
        <v>67</v>
      </c>
      <c r="B47" s="36" t="s">
        <v>80</v>
      </c>
      <c r="C47" s="1" t="s">
        <v>81</v>
      </c>
      <c r="D47" s="2" t="s">
        <v>13</v>
      </c>
      <c r="E47" s="2" t="s">
        <v>82</v>
      </c>
      <c r="G47" s="33">
        <v>531</v>
      </c>
      <c r="H47" s="33">
        <v>531.61</v>
      </c>
      <c r="I47" s="33">
        <f t="shared" si="4"/>
        <v>-0.61000000000001364</v>
      </c>
      <c r="J47" s="4">
        <f>G47/VLOOKUP(A47,RESUME!$G$3:$I$10,3,FALSE)</f>
        <v>6.0932550306074208E-3</v>
      </c>
      <c r="K47" s="4">
        <f t="shared" si="5"/>
        <v>6.0862632780657629E-3</v>
      </c>
      <c r="L47" s="1" t="str">
        <f>_xlfn.IFNA(VLOOKUP(A47&amp;"-"&amp;B47&amp;"-"&amp;D47,Ref_Account!$A:$F,6,FALSE),"ACCOUNT TIDAK DITEMUKAN")</f>
        <v>1201.630300</v>
      </c>
      <c r="N47" s="1">
        <f t="shared" si="6"/>
        <v>1</v>
      </c>
      <c r="O47" s="59" t="str">
        <f t="shared" si="7"/>
        <v>OVER</v>
      </c>
    </row>
    <row r="48" spans="1:15" x14ac:dyDescent="0.25">
      <c r="A48" s="1" t="s">
        <v>67</v>
      </c>
      <c r="B48" s="36" t="s">
        <v>154</v>
      </c>
      <c r="C48" s="1" t="s">
        <v>83</v>
      </c>
      <c r="D48" s="2" t="s">
        <v>13</v>
      </c>
      <c r="E48" s="2" t="s">
        <v>75</v>
      </c>
      <c r="G48" s="33">
        <v>2429</v>
      </c>
      <c r="I48" s="33">
        <f t="shared" si="4"/>
        <v>2429</v>
      </c>
      <c r="J48" s="4">
        <f>G48/VLOOKUP(A48,RESUME!$G$3:$I$10,3,FALSE)</f>
        <v>2.7872912371648635E-2</v>
      </c>
      <c r="K48" s="4" t="str">
        <f t="shared" si="5"/>
        <v/>
      </c>
      <c r="L48" s="1" t="str">
        <f>_xlfn.IFNA(VLOOKUP(A48&amp;"-"&amp;B48&amp;"-"&amp;D48,Ref_Account!$A:$F,6,FALSE),"ACCOUNT TIDAK DITEMUKAN")</f>
        <v>1201.630200</v>
      </c>
      <c r="N48" s="1">
        <f t="shared" si="6"/>
        <v>2</v>
      </c>
      <c r="O48" s="59" t="str">
        <f t="shared" si="7"/>
        <v>OK</v>
      </c>
    </row>
    <row r="49" spans="1:15" x14ac:dyDescent="0.25">
      <c r="A49" s="1" t="s">
        <v>67</v>
      </c>
      <c r="B49" s="36" t="s">
        <v>154</v>
      </c>
      <c r="C49" s="1" t="s">
        <v>84</v>
      </c>
      <c r="D49" s="2" t="s">
        <v>13</v>
      </c>
      <c r="E49" s="2" t="s">
        <v>75</v>
      </c>
      <c r="G49" s="33">
        <v>200</v>
      </c>
      <c r="I49" s="33">
        <f t="shared" si="4"/>
        <v>200</v>
      </c>
      <c r="J49" s="4">
        <f>G49/VLOOKUP(A49,RESUME!$G$3:$I$10,3,FALSE)</f>
        <v>2.2950113109632469E-3</v>
      </c>
      <c r="K49" s="4" t="str">
        <f t="shared" si="5"/>
        <v/>
      </c>
      <c r="L49" s="1" t="str">
        <f>_xlfn.IFNA(VLOOKUP(A49&amp;"-"&amp;B49&amp;"-"&amp;D49,Ref_Account!$A:$F,6,FALSE),"ACCOUNT TIDAK DITEMUKAN")</f>
        <v>1201.630200</v>
      </c>
      <c r="N49" s="1">
        <f t="shared" si="6"/>
        <v>2</v>
      </c>
      <c r="O49" s="59" t="str">
        <f t="shared" si="7"/>
        <v>OK</v>
      </c>
    </row>
    <row r="50" spans="1:15" x14ac:dyDescent="0.25">
      <c r="A50" s="1" t="s">
        <v>67</v>
      </c>
      <c r="B50" s="36" t="s">
        <v>85</v>
      </c>
      <c r="C50" s="1" t="s">
        <v>86</v>
      </c>
      <c r="D50" s="2" t="s">
        <v>13</v>
      </c>
      <c r="E50" s="2" t="s">
        <v>75</v>
      </c>
      <c r="G50" s="33">
        <v>3004.76</v>
      </c>
      <c r="H50" s="33">
        <v>2634.57</v>
      </c>
      <c r="I50" s="33">
        <f t="shared" si="4"/>
        <v>370.19000000000005</v>
      </c>
      <c r="J50" s="4">
        <f>G50/VLOOKUP(A50,RESUME!$G$3:$I$10,3,FALSE)</f>
        <v>3.4479790933649633E-2</v>
      </c>
      <c r="K50" s="4">
        <f t="shared" si="5"/>
        <v>3.9324632333091573E-2</v>
      </c>
      <c r="L50" s="1" t="str">
        <f>_xlfn.IFNA(VLOOKUP(A50&amp;"-"&amp;B50&amp;"-"&amp;D50,Ref_Account!$A:$F,6,FALSE),"ACCOUNT TIDAK DITEMUKAN")</f>
        <v>1201.630530</v>
      </c>
      <c r="N50" s="1">
        <f t="shared" si="6"/>
        <v>1</v>
      </c>
      <c r="O50" s="59" t="str">
        <f t="shared" si="7"/>
        <v>OK</v>
      </c>
    </row>
    <row r="51" spans="1:15" x14ac:dyDescent="0.25">
      <c r="A51" s="1" t="s">
        <v>67</v>
      </c>
      <c r="B51" s="36" t="s">
        <v>85</v>
      </c>
      <c r="C51" s="1" t="s">
        <v>86</v>
      </c>
      <c r="D51" s="2" t="s">
        <v>15</v>
      </c>
      <c r="E51" s="2" t="s">
        <v>75</v>
      </c>
      <c r="G51" s="33">
        <v>1543.55</v>
      </c>
      <c r="H51" s="33">
        <v>1343.55</v>
      </c>
      <c r="I51" s="33">
        <f t="shared" si="4"/>
        <v>200</v>
      </c>
      <c r="J51" s="4">
        <f>G51/VLOOKUP(A51,RESUME!$G$3:$I$10,3,FALSE)</f>
        <v>1.7712323545186599E-2</v>
      </c>
      <c r="K51" s="4">
        <f t="shared" si="5"/>
        <v>2.0348968782831139E-2</v>
      </c>
      <c r="L51" s="1" t="str">
        <f>_xlfn.IFNA(VLOOKUP(A51&amp;"-"&amp;B51&amp;"-"&amp;D51,Ref_Account!$A:$F,6,FALSE),"ACCOUNT TIDAK DITEMUKAN")</f>
        <v>1204.630530</v>
      </c>
      <c r="N51" s="1">
        <f t="shared" si="6"/>
        <v>1</v>
      </c>
      <c r="O51" s="59" t="str">
        <f t="shared" si="7"/>
        <v>OK</v>
      </c>
    </row>
    <row r="52" spans="1:15" x14ac:dyDescent="0.25">
      <c r="A52" s="1" t="s">
        <v>67</v>
      </c>
      <c r="B52" s="36" t="s">
        <v>87</v>
      </c>
      <c r="C52" s="1" t="s">
        <v>88</v>
      </c>
      <c r="D52" s="2" t="s">
        <v>13</v>
      </c>
      <c r="E52" s="2" t="s">
        <v>75</v>
      </c>
      <c r="G52" s="33">
        <v>938.47</v>
      </c>
      <c r="H52" s="33">
        <v>888.47</v>
      </c>
      <c r="I52" s="33">
        <f t="shared" si="4"/>
        <v>50</v>
      </c>
      <c r="J52" s="4">
        <f>G52/VLOOKUP(A52,RESUME!$G$3:$I$10,3,FALSE)</f>
        <v>1.0768996324998392E-2</v>
      </c>
      <c r="K52" s="4">
        <f t="shared" si="5"/>
        <v>1.1375037965402592E-2</v>
      </c>
      <c r="L52" s="1" t="str">
        <f>_xlfn.IFNA(VLOOKUP(A52&amp;"-"&amp;B52&amp;"-"&amp;D52,Ref_Account!$A:$F,6,FALSE),"ACCOUNT TIDAK DITEMUKAN")</f>
        <v>1201.808100</v>
      </c>
      <c r="N52" s="1">
        <f t="shared" si="6"/>
        <v>1</v>
      </c>
      <c r="O52" s="59" t="str">
        <f t="shared" si="7"/>
        <v>OK</v>
      </c>
    </row>
    <row r="53" spans="1:15" x14ac:dyDescent="0.25">
      <c r="A53" s="1" t="s">
        <v>67</v>
      </c>
      <c r="B53" s="36" t="s">
        <v>87</v>
      </c>
      <c r="C53" s="1" t="s">
        <v>88</v>
      </c>
      <c r="D53" s="2" t="s">
        <v>24</v>
      </c>
      <c r="E53" s="2" t="s">
        <v>75</v>
      </c>
      <c r="G53" s="33">
        <v>175.55</v>
      </c>
      <c r="H53" s="33">
        <v>165.55</v>
      </c>
      <c r="I53" s="33">
        <f t="shared" si="4"/>
        <v>10</v>
      </c>
      <c r="J53" s="4">
        <f>G53/VLOOKUP(A53,RESUME!$G$3:$I$10,3,FALSE)</f>
        <v>2.0144461781979902E-3</v>
      </c>
      <c r="K53" s="4">
        <f t="shared" si="5"/>
        <v>2.1361282185602968E-3</v>
      </c>
      <c r="L53" s="1" t="str">
        <f>_xlfn.IFNA(VLOOKUP(A53&amp;"-"&amp;B53&amp;"-"&amp;D53,Ref_Account!$A:$F,6,FALSE),"ACCOUNT TIDAK DITEMUKAN")</f>
        <v>1205.808100</v>
      </c>
      <c r="N53" s="1">
        <f t="shared" si="6"/>
        <v>1</v>
      </c>
      <c r="O53" s="59" t="str">
        <f t="shared" si="7"/>
        <v>OK</v>
      </c>
    </row>
    <row r="54" spans="1:15" x14ac:dyDescent="0.25">
      <c r="A54" s="1" t="s">
        <v>67</v>
      </c>
      <c r="B54" s="36" t="s">
        <v>87</v>
      </c>
      <c r="C54" s="1" t="s">
        <v>88</v>
      </c>
      <c r="D54" s="2" t="s">
        <v>15</v>
      </c>
      <c r="E54" s="2" t="s">
        <v>75</v>
      </c>
      <c r="G54" s="33">
        <v>2294.39</v>
      </c>
      <c r="H54" s="33">
        <v>2225.52</v>
      </c>
      <c r="I54" s="33">
        <f t="shared" si="4"/>
        <v>68.869999999999891</v>
      </c>
      <c r="J54" s="4">
        <f>G54/VLOOKUP(A54,RESUME!$G$3:$I$10,3,FALSE)</f>
        <v>2.632825500880482E-2</v>
      </c>
      <c r="K54" s="4">
        <f t="shared" si="5"/>
        <v>2.7142998045244116E-2</v>
      </c>
      <c r="L54" s="1" t="str">
        <f>_xlfn.IFNA(VLOOKUP(A54&amp;"-"&amp;B54&amp;"-"&amp;D54,Ref_Account!$A:$F,6,FALSE),"ACCOUNT TIDAK DITEMUKAN")</f>
        <v>1204.808100</v>
      </c>
      <c r="N54" s="1">
        <f t="shared" si="6"/>
        <v>1</v>
      </c>
      <c r="O54" s="59" t="str">
        <f t="shared" si="7"/>
        <v>OK</v>
      </c>
    </row>
    <row r="55" spans="1:15" x14ac:dyDescent="0.25">
      <c r="A55" s="1" t="s">
        <v>67</v>
      </c>
      <c r="B55" s="36" t="s">
        <v>89</v>
      </c>
      <c r="C55" s="1" t="s">
        <v>90</v>
      </c>
      <c r="D55" s="2" t="s">
        <v>13</v>
      </c>
      <c r="E55" s="2" t="s">
        <v>75</v>
      </c>
      <c r="G55" s="33">
        <v>1987.05</v>
      </c>
      <c r="H55" s="33">
        <v>1987.06</v>
      </c>
      <c r="I55" s="33">
        <f t="shared" si="4"/>
        <v>-9.9999999999909051E-3</v>
      </c>
      <c r="J55" s="4">
        <f>G55/VLOOKUP(A55,RESUME!$G$3:$I$10,3,FALSE)</f>
        <v>2.2801511127247598E-2</v>
      </c>
      <c r="K55" s="4">
        <f t="shared" si="5"/>
        <v>2.2801396377259538E-2</v>
      </c>
      <c r="L55" s="1" t="str">
        <f>_xlfn.IFNA(VLOOKUP(A55&amp;"-"&amp;B55&amp;"-"&amp;D55,Ref_Account!$A:$F,6,FALSE),"ACCOUNT TIDAK DITEMUKAN")</f>
        <v>1201.630900</v>
      </c>
      <c r="N55" s="1">
        <f t="shared" si="6"/>
        <v>1</v>
      </c>
      <c r="O55" s="59" t="str">
        <f t="shared" si="7"/>
        <v>OVER</v>
      </c>
    </row>
    <row r="56" spans="1:15" x14ac:dyDescent="0.25">
      <c r="A56" s="1" t="s">
        <v>67</v>
      </c>
      <c r="B56" s="36" t="s">
        <v>89</v>
      </c>
      <c r="C56" s="1" t="s">
        <v>90</v>
      </c>
      <c r="D56" s="2" t="s">
        <v>15</v>
      </c>
      <c r="E56" s="2" t="s">
        <v>75</v>
      </c>
      <c r="G56" s="33">
        <v>1692.67</v>
      </c>
      <c r="H56" s="33">
        <v>1692.7</v>
      </c>
      <c r="I56" s="33">
        <f t="shared" si="4"/>
        <v>-2.9999999999972715E-2</v>
      </c>
      <c r="J56" s="4">
        <f>G56/VLOOKUP(A56,RESUME!$G$3:$I$10,3,FALSE)</f>
        <v>1.9423483978640799E-2</v>
      </c>
      <c r="K56" s="4">
        <f t="shared" si="5"/>
        <v>1.9423139733045384E-2</v>
      </c>
      <c r="L56" s="1" t="str">
        <f>_xlfn.IFNA(VLOOKUP(A56&amp;"-"&amp;B56&amp;"-"&amp;D56,Ref_Account!$A:$F,6,FALSE),"ACCOUNT TIDAK DITEMUKAN")</f>
        <v>1204.630900</v>
      </c>
      <c r="N56" s="1">
        <f t="shared" si="6"/>
        <v>1</v>
      </c>
      <c r="O56" s="59" t="str">
        <f t="shared" si="7"/>
        <v>OVER</v>
      </c>
    </row>
    <row r="57" spans="1:15" x14ac:dyDescent="0.25">
      <c r="A57" s="1" t="s">
        <v>67</v>
      </c>
      <c r="B57" s="36" t="s">
        <v>91</v>
      </c>
      <c r="C57" s="1" t="s">
        <v>92</v>
      </c>
      <c r="D57" s="2" t="s">
        <v>13</v>
      </c>
      <c r="E57" s="2" t="s">
        <v>75</v>
      </c>
      <c r="G57" s="33">
        <v>569</v>
      </c>
      <c r="H57" s="33">
        <v>469.69</v>
      </c>
      <c r="I57" s="33">
        <f t="shared" si="4"/>
        <v>99.31</v>
      </c>
      <c r="J57" s="4">
        <f>G57/VLOOKUP(A57,RESUME!$G$3:$I$10,3,FALSE)</f>
        <v>6.5293071796904377E-3</v>
      </c>
      <c r="K57" s="4">
        <f t="shared" si="5"/>
        <v>7.9098464630796041E-3</v>
      </c>
      <c r="L57" s="1" t="str">
        <f>_xlfn.IFNA(VLOOKUP(A57&amp;"-"&amp;B57&amp;"-"&amp;D57,Ref_Account!$A:$F,6,FALSE),"ACCOUNT TIDAK DITEMUKAN")</f>
        <v>1201.802140</v>
      </c>
      <c r="N57" s="1">
        <f t="shared" si="6"/>
        <v>1</v>
      </c>
      <c r="O57" s="59" t="str">
        <f t="shared" si="7"/>
        <v>OK</v>
      </c>
    </row>
    <row r="58" spans="1:15" x14ac:dyDescent="0.25">
      <c r="A58" s="1" t="s">
        <v>67</v>
      </c>
      <c r="B58" s="36" t="s">
        <v>91</v>
      </c>
      <c r="C58" s="1" t="s">
        <v>92</v>
      </c>
      <c r="D58" s="2" t="s">
        <v>15</v>
      </c>
      <c r="E58" s="2" t="s">
        <v>75</v>
      </c>
      <c r="G58" s="33">
        <v>300</v>
      </c>
      <c r="H58" s="33">
        <v>290.62</v>
      </c>
      <c r="I58" s="33">
        <f t="shared" si="4"/>
        <v>9.3799999999999955</v>
      </c>
      <c r="J58" s="4">
        <f>G58/VLOOKUP(A58,RESUME!$G$3:$I$10,3,FALSE)</f>
        <v>3.4425169664448704E-3</v>
      </c>
      <c r="K58" s="4">
        <f t="shared" si="5"/>
        <v>3.5536270385157975E-3</v>
      </c>
      <c r="L58" s="1" t="str">
        <f>_xlfn.IFNA(VLOOKUP(A58&amp;"-"&amp;B58&amp;"-"&amp;D58,Ref_Account!$A:$F,6,FALSE),"ACCOUNT TIDAK DITEMUKAN")</f>
        <v>1204.802140</v>
      </c>
      <c r="N58" s="1">
        <f t="shared" si="6"/>
        <v>1</v>
      </c>
      <c r="O58" s="59" t="str">
        <f t="shared" si="7"/>
        <v>OK</v>
      </c>
    </row>
    <row r="59" spans="1:15" x14ac:dyDescent="0.25">
      <c r="A59" s="1" t="s">
        <v>67</v>
      </c>
      <c r="B59" s="36" t="s">
        <v>93</v>
      </c>
      <c r="C59" s="1" t="s">
        <v>94</v>
      </c>
      <c r="D59" s="2" t="s">
        <v>13</v>
      </c>
      <c r="E59" s="2" t="s">
        <v>95</v>
      </c>
      <c r="G59" s="33">
        <v>2288.86</v>
      </c>
      <c r="H59" s="33">
        <v>1193.82</v>
      </c>
      <c r="I59" s="33">
        <f t="shared" si="4"/>
        <v>1095.0400000000002</v>
      </c>
      <c r="J59" s="4">
        <f>G59/VLOOKUP(A59,RESUME!$G$3:$I$10,3,FALSE)</f>
        <v>2.6264797946056691E-2</v>
      </c>
      <c r="K59" s="4">
        <f t="shared" si="5"/>
        <v>5.0356373177540437E-2</v>
      </c>
      <c r="L59" s="1" t="str">
        <f>_xlfn.IFNA(VLOOKUP(A59&amp;"-"&amp;B59&amp;"-"&amp;D59,Ref_Account!$A:$F,6,FALSE),"ACCOUNT TIDAK DITEMUKAN")</f>
        <v>1201.801160</v>
      </c>
      <c r="N59" s="1">
        <f t="shared" si="6"/>
        <v>1</v>
      </c>
      <c r="O59" s="59" t="str">
        <f t="shared" si="7"/>
        <v>OK</v>
      </c>
    </row>
    <row r="60" spans="1:15" x14ac:dyDescent="0.25">
      <c r="A60" s="1" t="s">
        <v>67</v>
      </c>
      <c r="B60" s="36" t="s">
        <v>96</v>
      </c>
      <c r="C60" s="1" t="s">
        <v>97</v>
      </c>
      <c r="D60" s="2" t="s">
        <v>13</v>
      </c>
      <c r="E60" s="2" t="s">
        <v>98</v>
      </c>
      <c r="G60" s="33">
        <v>36500.160000000003</v>
      </c>
      <c r="H60" s="33">
        <v>36746.160000000003</v>
      </c>
      <c r="I60" s="33">
        <f t="shared" si="4"/>
        <v>-246</v>
      </c>
      <c r="J60" s="4">
        <f>G60/VLOOKUP(A60,RESUME!$G$3:$I$10,3,FALSE)</f>
        <v>0.4188414002598414</v>
      </c>
      <c r="K60" s="4">
        <f t="shared" si="5"/>
        <v>0.41603743422736555</v>
      </c>
      <c r="L60" s="1" t="str">
        <f>_xlfn.IFNA(VLOOKUP(A60&amp;"-"&amp;B60&amp;"-"&amp;D60,Ref_Account!$A:$F,6,FALSE),"ACCOUNT TIDAK DITEMUKAN")</f>
        <v>1201.630110</v>
      </c>
      <c r="N60" s="1">
        <f t="shared" si="6"/>
        <v>1</v>
      </c>
      <c r="O60" s="59" t="str">
        <f t="shared" si="7"/>
        <v>OVER</v>
      </c>
    </row>
    <row r="61" spans="1:15" x14ac:dyDescent="0.25">
      <c r="A61" s="1" t="s">
        <v>67</v>
      </c>
      <c r="B61" s="36" t="s">
        <v>99</v>
      </c>
      <c r="C61" s="1" t="s">
        <v>100</v>
      </c>
      <c r="D61" s="2" t="s">
        <v>13</v>
      </c>
      <c r="E61" s="2" t="s">
        <v>75</v>
      </c>
      <c r="G61" s="33">
        <v>1440.17</v>
      </c>
      <c r="H61" s="33">
        <v>1719.73</v>
      </c>
      <c r="I61" s="33">
        <f t="shared" si="4"/>
        <v>-279.55999999999995</v>
      </c>
      <c r="J61" s="4">
        <f>G61/VLOOKUP(A61,RESUME!$G$3:$I$10,3,FALSE)</f>
        <v>1.6526032198549697E-2</v>
      </c>
      <c r="K61" s="4">
        <f t="shared" si="5"/>
        <v>1.3839553762151803E-2</v>
      </c>
      <c r="L61" s="1" t="str">
        <f>_xlfn.IFNA(VLOOKUP(A61&amp;"-"&amp;B61&amp;"-"&amp;D61,Ref_Account!$A:$F,6,FALSE),"ACCOUNT TIDAK DITEMUKAN")</f>
        <v>1201.809100</v>
      </c>
      <c r="N61" s="1">
        <f t="shared" si="6"/>
        <v>1</v>
      </c>
      <c r="O61" s="59" t="str">
        <f t="shared" si="7"/>
        <v>OVER</v>
      </c>
    </row>
    <row r="62" spans="1:15" x14ac:dyDescent="0.25">
      <c r="A62" s="1" t="s">
        <v>67</v>
      </c>
      <c r="B62" s="36" t="s">
        <v>99</v>
      </c>
      <c r="C62" s="1" t="s">
        <v>100</v>
      </c>
      <c r="D62" s="2" t="s">
        <v>101</v>
      </c>
      <c r="E62" s="2" t="s">
        <v>75</v>
      </c>
      <c r="G62" s="33">
        <v>14.27</v>
      </c>
      <c r="H62" s="33">
        <v>14.27</v>
      </c>
      <c r="I62" s="33">
        <f t="shared" si="4"/>
        <v>0</v>
      </c>
      <c r="J62" s="4">
        <f>G62/VLOOKUP(A62,RESUME!$G$3:$I$10,3,FALSE)</f>
        <v>1.6374905703722768E-4</v>
      </c>
      <c r="K62" s="4">
        <f t="shared" si="5"/>
        <v>1.6374905703722768E-4</v>
      </c>
      <c r="L62" s="1" t="str">
        <f>_xlfn.IFNA(VLOOKUP(A62&amp;"-"&amp;B62&amp;"-"&amp;D62,Ref_Account!$A:$F,6,FALSE),"ACCOUNT TIDAK DITEMUKAN")</f>
        <v>1206.809100</v>
      </c>
      <c r="N62" s="1">
        <f t="shared" si="6"/>
        <v>1</v>
      </c>
      <c r="O62" s="59" t="str">
        <f t="shared" si="7"/>
        <v>OVER</v>
      </c>
    </row>
    <row r="63" spans="1:15" x14ac:dyDescent="0.25">
      <c r="A63" s="1" t="s">
        <v>67</v>
      </c>
      <c r="B63" s="36" t="s">
        <v>99</v>
      </c>
      <c r="C63" s="1" t="s">
        <v>100</v>
      </c>
      <c r="D63" s="2" t="s">
        <v>24</v>
      </c>
      <c r="E63" s="2" t="s">
        <v>75</v>
      </c>
      <c r="G63" s="33">
        <v>35.56</v>
      </c>
      <c r="H63" s="33">
        <v>35.56</v>
      </c>
      <c r="I63" s="33">
        <f t="shared" si="4"/>
        <v>0</v>
      </c>
      <c r="J63" s="4">
        <f>G63/VLOOKUP(A63,RESUME!$G$3:$I$10,3,FALSE)</f>
        <v>4.0805301108926532E-4</v>
      </c>
      <c r="K63" s="4">
        <f t="shared" si="5"/>
        <v>4.0805301108926532E-4</v>
      </c>
      <c r="L63" s="1" t="str">
        <f>_xlfn.IFNA(VLOOKUP(A63&amp;"-"&amp;B63&amp;"-"&amp;D63,Ref_Account!$A:$F,6,FALSE),"ACCOUNT TIDAK DITEMUKAN")</f>
        <v>1205.809100</v>
      </c>
      <c r="N63" s="1">
        <f t="shared" si="6"/>
        <v>1</v>
      </c>
      <c r="O63" s="59" t="str">
        <f t="shared" si="7"/>
        <v>OVER</v>
      </c>
    </row>
    <row r="64" spans="1:15" x14ac:dyDescent="0.25">
      <c r="A64" s="1" t="s">
        <v>67</v>
      </c>
      <c r="B64" s="36" t="s">
        <v>99</v>
      </c>
      <c r="C64" s="1" t="s">
        <v>100</v>
      </c>
      <c r="D64" s="2" t="s">
        <v>15</v>
      </c>
      <c r="E64" s="2" t="s">
        <v>75</v>
      </c>
      <c r="G64" s="33">
        <v>9.69</v>
      </c>
      <c r="H64" s="33">
        <v>9.69</v>
      </c>
      <c r="I64" s="33">
        <f t="shared" si="4"/>
        <v>0</v>
      </c>
      <c r="J64" s="4">
        <f>G64/VLOOKUP(A64,RESUME!$G$3:$I$10,3,FALSE)</f>
        <v>1.1119329801616931E-4</v>
      </c>
      <c r="K64" s="4">
        <f t="shared" si="5"/>
        <v>1.1119329801616931E-4</v>
      </c>
      <c r="L64" s="1" t="str">
        <f>_xlfn.IFNA(VLOOKUP(A64&amp;"-"&amp;B64&amp;"-"&amp;D64,Ref_Account!$A:$F,6,FALSE),"ACCOUNT TIDAK DITEMUKAN")</f>
        <v>1204.809100</v>
      </c>
      <c r="N64" s="1">
        <f t="shared" si="6"/>
        <v>1</v>
      </c>
      <c r="O64" s="59" t="str">
        <f t="shared" si="7"/>
        <v>OVER</v>
      </c>
    </row>
    <row r="65" spans="1:15" x14ac:dyDescent="0.25">
      <c r="A65" s="1" t="s">
        <v>67</v>
      </c>
      <c r="B65" s="36" t="s">
        <v>102</v>
      </c>
      <c r="C65" s="1" t="s">
        <v>103</v>
      </c>
      <c r="D65" s="2" t="s">
        <v>13</v>
      </c>
      <c r="E65" s="2" t="s">
        <v>75</v>
      </c>
      <c r="G65" s="33">
        <v>400</v>
      </c>
      <c r="H65" s="33">
        <v>1808.8</v>
      </c>
      <c r="I65" s="33">
        <f t="shared" si="4"/>
        <v>-1408.8</v>
      </c>
      <c r="J65" s="4">
        <f>G65/VLOOKUP(A65,RESUME!$G$3:$I$10,3,FALSE)</f>
        <v>4.5900226219264938E-3</v>
      </c>
      <c r="K65" s="4">
        <f t="shared" si="5"/>
        <v>1.0150425966224002E-3</v>
      </c>
      <c r="L65" s="1" t="str">
        <f>_xlfn.IFNA(VLOOKUP(A65&amp;"-"&amp;B65&amp;"-"&amp;D65,Ref_Account!$A:$F,6,FALSE),"ACCOUNT TIDAK DITEMUKAN")</f>
        <v>1201.630710</v>
      </c>
      <c r="N65" s="1">
        <f t="shared" si="6"/>
        <v>1</v>
      </c>
      <c r="O65" s="59" t="str">
        <f t="shared" si="7"/>
        <v>OVER</v>
      </c>
    </row>
    <row r="66" spans="1:15" x14ac:dyDescent="0.25">
      <c r="A66" s="1" t="s">
        <v>67</v>
      </c>
      <c r="B66" s="36" t="s">
        <v>104</v>
      </c>
      <c r="C66" s="1" t="s">
        <v>105</v>
      </c>
      <c r="D66" s="2" t="s">
        <v>13</v>
      </c>
      <c r="E66" s="2" t="s">
        <v>82</v>
      </c>
      <c r="G66" s="33">
        <v>100</v>
      </c>
      <c r="I66" s="33">
        <f t="shared" si="4"/>
        <v>100</v>
      </c>
      <c r="J66" s="4">
        <f>G66/VLOOKUP(A66,RESUME!$G$3:$I$10,3,FALSE)</f>
        <v>1.1475056554816235E-3</v>
      </c>
      <c r="K66" s="4" t="str">
        <f t="shared" si="5"/>
        <v/>
      </c>
      <c r="L66" s="1" t="str">
        <f>_xlfn.IFNA(VLOOKUP(A66&amp;"-"&amp;B66&amp;"-"&amp;D66,Ref_Account!$A:$F,6,FALSE),"ACCOUNT TIDAK DITEMUKAN")</f>
        <v>1201.630770</v>
      </c>
      <c r="N66" s="1">
        <f t="shared" si="6"/>
        <v>1</v>
      </c>
      <c r="O66" s="59" t="str">
        <f t="shared" si="7"/>
        <v>OK</v>
      </c>
    </row>
    <row r="67" spans="1:15" x14ac:dyDescent="0.25">
      <c r="A67" s="1" t="s">
        <v>67</v>
      </c>
      <c r="B67" s="36" t="s">
        <v>106</v>
      </c>
      <c r="C67" s="1" t="s">
        <v>107</v>
      </c>
      <c r="D67" s="2" t="s">
        <v>13</v>
      </c>
      <c r="E67" s="2" t="s">
        <v>82</v>
      </c>
      <c r="G67" s="33">
        <v>100</v>
      </c>
      <c r="I67" s="33">
        <f t="shared" si="4"/>
        <v>100</v>
      </c>
      <c r="J67" s="4">
        <f>G67/VLOOKUP(A67,RESUME!$G$3:$I$10,3,FALSE)</f>
        <v>1.1475056554816235E-3</v>
      </c>
      <c r="K67" s="4" t="str">
        <f t="shared" si="5"/>
        <v/>
      </c>
      <c r="L67" s="1" t="str">
        <f>_xlfn.IFNA(VLOOKUP(A67&amp;"-"&amp;B67&amp;"-"&amp;D67,Ref_Account!$A:$F,6,FALSE),"ACCOUNT TIDAK DITEMUKAN")</f>
        <v>1201.630750</v>
      </c>
      <c r="N67" s="1">
        <f t="shared" si="6"/>
        <v>1</v>
      </c>
      <c r="O67" s="59" t="str">
        <f t="shared" si="7"/>
        <v>OK</v>
      </c>
    </row>
    <row r="68" spans="1:15" x14ac:dyDescent="0.25">
      <c r="A68" s="1" t="s">
        <v>67</v>
      </c>
      <c r="B68" s="36" t="s">
        <v>108</v>
      </c>
      <c r="C68" s="1" t="s">
        <v>109</v>
      </c>
      <c r="D68" s="2" t="s">
        <v>13</v>
      </c>
      <c r="E68" s="2" t="s">
        <v>82</v>
      </c>
      <c r="G68" s="33">
        <v>100</v>
      </c>
      <c r="H68" s="33">
        <v>507.01</v>
      </c>
      <c r="I68" s="33">
        <f t="shared" si="4"/>
        <v>-407.01</v>
      </c>
      <c r="J68" s="4">
        <f>G68/VLOOKUP(A68,RESUME!$G$3:$I$10,3,FALSE)</f>
        <v>1.1475056554816235E-3</v>
      </c>
      <c r="K68" s="4">
        <f t="shared" si="5"/>
        <v>2.2632801236299548E-4</v>
      </c>
      <c r="L68" s="1" t="str">
        <f>_xlfn.IFNA(VLOOKUP(A68&amp;"-"&amp;B68&amp;"-"&amp;D68,Ref_Account!$A:$F,6,FALSE),"ACCOUNT TIDAK DITEMUKAN")</f>
        <v>1201.630720</v>
      </c>
      <c r="N68" s="1">
        <f t="shared" si="6"/>
        <v>1</v>
      </c>
      <c r="O68" s="59" t="str">
        <f t="shared" si="7"/>
        <v>OVER</v>
      </c>
    </row>
    <row r="69" spans="1:15" x14ac:dyDescent="0.25">
      <c r="A69" s="1" t="s">
        <v>67</v>
      </c>
      <c r="B69" s="36" t="s">
        <v>110</v>
      </c>
      <c r="C69" s="1" t="s">
        <v>111</v>
      </c>
      <c r="D69" s="2" t="s">
        <v>13</v>
      </c>
      <c r="E69" s="2" t="s">
        <v>82</v>
      </c>
      <c r="G69" s="33">
        <v>100</v>
      </c>
      <c r="I69" s="33">
        <f t="shared" si="4"/>
        <v>100</v>
      </c>
      <c r="J69" s="4">
        <f>G69/VLOOKUP(A69,RESUME!$G$3:$I$10,3,FALSE)</f>
        <v>1.1475056554816235E-3</v>
      </c>
      <c r="K69" s="4" t="str">
        <f t="shared" si="5"/>
        <v/>
      </c>
      <c r="L69" s="1" t="str">
        <f>_xlfn.IFNA(VLOOKUP(A69&amp;"-"&amp;B69&amp;"-"&amp;D69,Ref_Account!$A:$F,6,FALSE),"ACCOUNT TIDAK DITEMUKAN")</f>
        <v>1201.630760</v>
      </c>
      <c r="N69" s="1">
        <f t="shared" si="6"/>
        <v>1</v>
      </c>
      <c r="O69" s="59" t="str">
        <f t="shared" si="7"/>
        <v>OK</v>
      </c>
    </row>
    <row r="70" spans="1:15" x14ac:dyDescent="0.25">
      <c r="A70" s="1" t="s">
        <v>67</v>
      </c>
      <c r="B70" s="36" t="s">
        <v>110</v>
      </c>
      <c r="C70" s="1" t="s">
        <v>111</v>
      </c>
      <c r="D70" s="2" t="s">
        <v>24</v>
      </c>
      <c r="E70" s="2" t="s">
        <v>75</v>
      </c>
      <c r="G70" s="33">
        <v>250</v>
      </c>
      <c r="I70" s="33">
        <f t="shared" ref="I70:I101" si="8">G70-H70</f>
        <v>250</v>
      </c>
      <c r="J70" s="4">
        <f>G70/VLOOKUP(A70,RESUME!$G$3:$I$10,3,FALSE)</f>
        <v>2.8687641387040589E-3</v>
      </c>
      <c r="K70" s="4" t="str">
        <f t="shared" ref="K70:K101" si="9">IFERROR((G70/H70)*J70,"")</f>
        <v/>
      </c>
      <c r="L70" s="1" t="str">
        <f>_xlfn.IFNA(VLOOKUP(A70&amp;"-"&amp;B70&amp;"-"&amp;D70,Ref_Account!$A:$F,6,FALSE),"ACCOUNT TIDAK DITEMUKAN")</f>
        <v>1205.630760</v>
      </c>
      <c r="N70" s="1">
        <f t="shared" ref="N70:N101" si="10">IF(L70="ACCOUNT TIDAK DITEMUKAN","9999",COUNTIF($L$6:$L$164,L70))</f>
        <v>1</v>
      </c>
      <c r="O70" s="59" t="str">
        <f t="shared" ref="O70:O101" si="11">IF(I70&gt;0,"OK","OVER")</f>
        <v>OK</v>
      </c>
    </row>
    <row r="71" spans="1:15" x14ac:dyDescent="0.25">
      <c r="A71" s="1" t="s">
        <v>67</v>
      </c>
      <c r="B71" s="36" t="s">
        <v>110</v>
      </c>
      <c r="C71" s="1" t="s">
        <v>111</v>
      </c>
      <c r="D71" s="2" t="s">
        <v>15</v>
      </c>
      <c r="E71" s="2" t="s">
        <v>75</v>
      </c>
      <c r="G71" s="33">
        <v>300</v>
      </c>
      <c r="I71" s="33">
        <f t="shared" si="8"/>
        <v>300</v>
      </c>
      <c r="J71" s="4">
        <f>G71/VLOOKUP(A71,RESUME!$G$3:$I$10,3,FALSE)</f>
        <v>3.4425169664448704E-3</v>
      </c>
      <c r="K71" s="4" t="str">
        <f t="shared" si="9"/>
        <v/>
      </c>
      <c r="L71" s="1" t="str">
        <f>_xlfn.IFNA(VLOOKUP(A71&amp;"-"&amp;B71&amp;"-"&amp;D71,Ref_Account!$A:$F,6,FALSE),"ACCOUNT TIDAK DITEMUKAN")</f>
        <v>1204.630760</v>
      </c>
      <c r="N71" s="1">
        <f t="shared" si="10"/>
        <v>1</v>
      </c>
      <c r="O71" s="59" t="str">
        <f t="shared" si="11"/>
        <v>OK</v>
      </c>
    </row>
    <row r="72" spans="1:15" x14ac:dyDescent="0.25">
      <c r="A72" s="1" t="s">
        <v>67</v>
      </c>
      <c r="B72" s="36" t="s">
        <v>112</v>
      </c>
      <c r="C72" s="1" t="s">
        <v>113</v>
      </c>
      <c r="D72" s="2" t="s">
        <v>13</v>
      </c>
      <c r="E72" s="2" t="s">
        <v>82</v>
      </c>
      <c r="G72" s="33">
        <v>100</v>
      </c>
      <c r="I72" s="33">
        <f t="shared" si="8"/>
        <v>100</v>
      </c>
      <c r="J72" s="4">
        <f>G72/VLOOKUP(A72,RESUME!$G$3:$I$10,3,FALSE)</f>
        <v>1.1475056554816235E-3</v>
      </c>
      <c r="K72" s="4" t="str">
        <f t="shared" si="9"/>
        <v/>
      </c>
      <c r="L72" s="1" t="str">
        <f>_xlfn.IFNA(VLOOKUP(A72&amp;"-"&amp;B72&amp;"-"&amp;D72,Ref_Account!$A:$F,6,FALSE),"ACCOUNT TIDAK DITEMUKAN")</f>
        <v>1201.630730</v>
      </c>
      <c r="N72" s="1">
        <f t="shared" si="10"/>
        <v>1</v>
      </c>
      <c r="O72" s="59" t="str">
        <f t="shared" si="11"/>
        <v>OK</v>
      </c>
    </row>
    <row r="73" spans="1:15" x14ac:dyDescent="0.25">
      <c r="A73" s="1" t="s">
        <v>67</v>
      </c>
      <c r="B73" s="36" t="s">
        <v>114</v>
      </c>
      <c r="C73" s="1" t="s">
        <v>115</v>
      </c>
      <c r="D73" s="2" t="s">
        <v>13</v>
      </c>
      <c r="E73" s="2" t="s">
        <v>82</v>
      </c>
      <c r="G73" s="33">
        <v>100</v>
      </c>
      <c r="I73" s="33">
        <f t="shared" si="8"/>
        <v>100</v>
      </c>
      <c r="J73" s="4">
        <f>G73/VLOOKUP(A73,RESUME!$G$3:$I$10,3,FALSE)</f>
        <v>1.1475056554816235E-3</v>
      </c>
      <c r="K73" s="4" t="str">
        <f t="shared" si="9"/>
        <v/>
      </c>
      <c r="L73" s="1" t="str">
        <f>_xlfn.IFNA(VLOOKUP(A73&amp;"-"&amp;B73&amp;"-"&amp;D73,Ref_Account!$A:$F,6,FALSE),"ACCOUNT TIDAK DITEMUKAN")</f>
        <v>1201.630740</v>
      </c>
      <c r="N73" s="1">
        <f t="shared" si="10"/>
        <v>1</v>
      </c>
      <c r="O73" s="59" t="str">
        <f t="shared" si="11"/>
        <v>OK</v>
      </c>
    </row>
    <row r="74" spans="1:15" x14ac:dyDescent="0.25">
      <c r="A74" s="1" t="s">
        <v>67</v>
      </c>
      <c r="B74" s="36" t="s">
        <v>116</v>
      </c>
      <c r="C74" s="1" t="s">
        <v>117</v>
      </c>
      <c r="D74" s="2" t="s">
        <v>13</v>
      </c>
      <c r="E74" s="2" t="s">
        <v>75</v>
      </c>
      <c r="G74" s="33">
        <v>328.75</v>
      </c>
      <c r="H74" s="33">
        <v>313.62</v>
      </c>
      <c r="I74" s="33">
        <f t="shared" si="8"/>
        <v>15.129999999999995</v>
      </c>
      <c r="J74" s="4">
        <f>G74/VLOOKUP(A74,RESUME!$G$3:$I$10,3,FALSE)</f>
        <v>3.7724248423958375E-3</v>
      </c>
      <c r="K74" s="4">
        <f t="shared" si="9"/>
        <v>3.9544182990167449E-3</v>
      </c>
      <c r="L74" s="1" t="str">
        <f>_xlfn.IFNA(VLOOKUP(A74&amp;"-"&amp;B74&amp;"-"&amp;D74,Ref_Account!$A:$F,6,FALSE),"ACCOUNT TIDAK DITEMUKAN")</f>
        <v>1201.810110</v>
      </c>
      <c r="N74" s="1">
        <f t="shared" si="10"/>
        <v>1</v>
      </c>
      <c r="O74" s="59" t="str">
        <f t="shared" si="11"/>
        <v>OK</v>
      </c>
    </row>
    <row r="75" spans="1:15" x14ac:dyDescent="0.25">
      <c r="A75" s="1" t="s">
        <v>67</v>
      </c>
      <c r="B75" s="36" t="s">
        <v>116</v>
      </c>
      <c r="C75" s="1" t="s">
        <v>117</v>
      </c>
      <c r="D75" s="2" t="s">
        <v>101</v>
      </c>
      <c r="E75" s="2" t="s">
        <v>75</v>
      </c>
      <c r="G75" s="33">
        <v>109.79</v>
      </c>
      <c r="H75" s="33">
        <v>109.79</v>
      </c>
      <c r="I75" s="33">
        <f t="shared" si="8"/>
        <v>0</v>
      </c>
      <c r="J75" s="4">
        <f>G75/VLOOKUP(A75,RESUME!$G$3:$I$10,3,FALSE)</f>
        <v>1.2598464591532744E-3</v>
      </c>
      <c r="K75" s="4">
        <f t="shared" si="9"/>
        <v>1.2598464591532744E-3</v>
      </c>
      <c r="L75" s="1" t="str">
        <f>_xlfn.IFNA(VLOOKUP(A75&amp;"-"&amp;B75&amp;"-"&amp;D75,Ref_Account!$A:$F,6,FALSE),"ACCOUNT TIDAK DITEMUKAN")</f>
        <v>1206.810110</v>
      </c>
      <c r="N75" s="1">
        <f t="shared" si="10"/>
        <v>1</v>
      </c>
      <c r="O75" s="59" t="str">
        <f t="shared" si="11"/>
        <v>OVER</v>
      </c>
    </row>
    <row r="76" spans="1:15" x14ac:dyDescent="0.25">
      <c r="A76" s="1" t="s">
        <v>67</v>
      </c>
      <c r="B76" s="36" t="s">
        <v>116</v>
      </c>
      <c r="C76" s="1" t="s">
        <v>117</v>
      </c>
      <c r="D76" s="2" t="s">
        <v>24</v>
      </c>
      <c r="E76" s="2" t="s">
        <v>75</v>
      </c>
      <c r="G76" s="33">
        <v>169.38</v>
      </c>
      <c r="H76" s="33">
        <v>169.38</v>
      </c>
      <c r="I76" s="33">
        <f t="shared" si="8"/>
        <v>0</v>
      </c>
      <c r="J76" s="4">
        <f>G76/VLOOKUP(A76,RESUME!$G$3:$I$10,3,FALSE)</f>
        <v>1.9436450792547739E-3</v>
      </c>
      <c r="K76" s="4">
        <f t="shared" si="9"/>
        <v>1.9436450792547739E-3</v>
      </c>
      <c r="L76" s="1" t="str">
        <f>_xlfn.IFNA(VLOOKUP(A76&amp;"-"&amp;B76&amp;"-"&amp;D76,Ref_Account!$A:$F,6,FALSE),"ACCOUNT TIDAK DITEMUKAN")</f>
        <v>1205.810110</v>
      </c>
      <c r="N76" s="1">
        <f t="shared" si="10"/>
        <v>1</v>
      </c>
      <c r="O76" s="59" t="str">
        <f t="shared" si="11"/>
        <v>OVER</v>
      </c>
    </row>
    <row r="77" spans="1:15" x14ac:dyDescent="0.25">
      <c r="A77" s="1" t="s">
        <v>67</v>
      </c>
      <c r="B77" s="36" t="s">
        <v>116</v>
      </c>
      <c r="C77" s="1" t="s">
        <v>117</v>
      </c>
      <c r="D77" s="2" t="s">
        <v>15</v>
      </c>
      <c r="E77" s="2" t="s">
        <v>75</v>
      </c>
      <c r="G77" s="33">
        <v>142.08000000000001</v>
      </c>
      <c r="H77" s="33">
        <v>142.08000000000001</v>
      </c>
      <c r="I77" s="33">
        <f t="shared" si="8"/>
        <v>0</v>
      </c>
      <c r="J77" s="4">
        <f>G77/VLOOKUP(A77,RESUME!$G$3:$I$10,3,FALSE)</f>
        <v>1.6303760353082908E-3</v>
      </c>
      <c r="K77" s="4">
        <f t="shared" si="9"/>
        <v>1.6303760353082908E-3</v>
      </c>
      <c r="L77" s="1" t="str">
        <f>_xlfn.IFNA(VLOOKUP(A77&amp;"-"&amp;B77&amp;"-"&amp;D77,Ref_Account!$A:$F,6,FALSE),"ACCOUNT TIDAK DITEMUKAN")</f>
        <v>1204.810110</v>
      </c>
      <c r="N77" s="1">
        <f t="shared" si="10"/>
        <v>1</v>
      </c>
      <c r="O77" s="59" t="str">
        <f t="shared" si="11"/>
        <v>OVER</v>
      </c>
    </row>
    <row r="78" spans="1:15" x14ac:dyDescent="0.25">
      <c r="A78" s="1" t="s">
        <v>67</v>
      </c>
      <c r="B78" s="36" t="s">
        <v>118</v>
      </c>
      <c r="C78" s="1" t="s">
        <v>119</v>
      </c>
      <c r="D78" s="2" t="s">
        <v>13</v>
      </c>
      <c r="E78" s="2" t="s">
        <v>75</v>
      </c>
      <c r="G78" s="33">
        <v>4300</v>
      </c>
      <c r="H78" s="33">
        <v>2435.48</v>
      </c>
      <c r="I78" s="33">
        <f t="shared" si="8"/>
        <v>1864.52</v>
      </c>
      <c r="J78" s="4">
        <f>G78/VLOOKUP(A78,RESUME!$G$3:$I$10,3,FALSE)</f>
        <v>4.934274318570981E-2</v>
      </c>
      <c r="K78" s="4">
        <f t="shared" si="9"/>
        <v>8.7117855904606967E-2</v>
      </c>
      <c r="L78" s="1" t="str">
        <f>_xlfn.IFNA(VLOOKUP(A78&amp;"-"&amp;B78&amp;"-"&amp;D78,Ref_Account!$A:$F,6,FALSE),"ACCOUNT TIDAK DITEMUKAN")</f>
        <v>1201.630130</v>
      </c>
      <c r="N78" s="1">
        <f t="shared" si="10"/>
        <v>1</v>
      </c>
      <c r="O78" s="59" t="str">
        <f t="shared" si="11"/>
        <v>OK</v>
      </c>
    </row>
    <row r="79" spans="1:15" x14ac:dyDescent="0.25">
      <c r="A79" s="1" t="s">
        <v>67</v>
      </c>
      <c r="B79" s="36" t="s">
        <v>120</v>
      </c>
      <c r="C79" s="1" t="s">
        <v>121</v>
      </c>
      <c r="D79" s="2" t="s">
        <v>13</v>
      </c>
      <c r="E79" s="2" t="s">
        <v>122</v>
      </c>
      <c r="G79" s="33">
        <v>1495.98</v>
      </c>
      <c r="H79" s="33">
        <v>1495.98</v>
      </c>
      <c r="I79" s="33">
        <f t="shared" si="8"/>
        <v>0</v>
      </c>
      <c r="J79" s="4">
        <f>G79/VLOOKUP(A79,RESUME!$G$3:$I$10,3,FALSE)</f>
        <v>1.7166455104873992E-2</v>
      </c>
      <c r="K79" s="4">
        <f t="shared" si="9"/>
        <v>1.7166455104873992E-2</v>
      </c>
      <c r="L79" s="1" t="str">
        <f>_xlfn.IFNA(VLOOKUP(A79&amp;"-"&amp;B79&amp;"-"&amp;D79,Ref_Account!$A:$F,6,FALSE),"ACCOUNT TIDAK DITEMUKAN")</f>
        <v>1201.816130</v>
      </c>
      <c r="N79" s="1">
        <f t="shared" si="10"/>
        <v>1</v>
      </c>
      <c r="O79" s="59" t="str">
        <f t="shared" si="11"/>
        <v>OVER</v>
      </c>
    </row>
    <row r="80" spans="1:15" x14ac:dyDescent="0.25">
      <c r="A80" s="1" t="s">
        <v>67</v>
      </c>
      <c r="B80" s="36" t="s">
        <v>120</v>
      </c>
      <c r="C80" s="1" t="s">
        <v>121</v>
      </c>
      <c r="D80" s="2" t="s">
        <v>101</v>
      </c>
      <c r="E80" s="2" t="s">
        <v>122</v>
      </c>
      <c r="G80" s="33">
        <v>516.97</v>
      </c>
      <c r="H80" s="33">
        <v>516.97</v>
      </c>
      <c r="I80" s="33">
        <f t="shared" si="8"/>
        <v>0</v>
      </c>
      <c r="J80" s="4">
        <f>G80/VLOOKUP(A80,RESUME!$G$3:$I$10,3,FALSE)</f>
        <v>5.9322599871433493E-3</v>
      </c>
      <c r="K80" s="4">
        <f t="shared" si="9"/>
        <v>5.9322599871433493E-3</v>
      </c>
      <c r="L80" s="1" t="str">
        <f>_xlfn.IFNA(VLOOKUP(A80&amp;"-"&amp;B80&amp;"-"&amp;D80,Ref_Account!$A:$F,6,FALSE),"ACCOUNT TIDAK DITEMUKAN")</f>
        <v>1206.816130</v>
      </c>
      <c r="N80" s="1">
        <f t="shared" si="10"/>
        <v>1</v>
      </c>
      <c r="O80" s="59" t="str">
        <f t="shared" si="11"/>
        <v>OVER</v>
      </c>
    </row>
    <row r="81" spans="1:15" x14ac:dyDescent="0.25">
      <c r="A81" s="1" t="s">
        <v>67</v>
      </c>
      <c r="B81" s="36" t="s">
        <v>120</v>
      </c>
      <c r="C81" s="1" t="s">
        <v>121</v>
      </c>
      <c r="D81" s="2" t="s">
        <v>24</v>
      </c>
      <c r="E81" s="2" t="s">
        <v>122</v>
      </c>
      <c r="G81" s="33">
        <v>1463.62</v>
      </c>
      <c r="H81" s="33">
        <v>1463.62</v>
      </c>
      <c r="I81" s="33">
        <f t="shared" si="8"/>
        <v>0</v>
      </c>
      <c r="J81" s="4">
        <f>G81/VLOOKUP(A81,RESUME!$G$3:$I$10,3,FALSE)</f>
        <v>1.6795122274760137E-2</v>
      </c>
      <c r="K81" s="4">
        <f t="shared" si="9"/>
        <v>1.6795122274760137E-2</v>
      </c>
      <c r="L81" s="1" t="str">
        <f>_xlfn.IFNA(VLOOKUP(A81&amp;"-"&amp;B81&amp;"-"&amp;D81,Ref_Account!$A:$F,6,FALSE),"ACCOUNT TIDAK DITEMUKAN")</f>
        <v>1205.816130</v>
      </c>
      <c r="N81" s="1">
        <f t="shared" si="10"/>
        <v>1</v>
      </c>
      <c r="O81" s="59" t="str">
        <f t="shared" si="11"/>
        <v>OVER</v>
      </c>
    </row>
    <row r="82" spans="1:15" x14ac:dyDescent="0.25">
      <c r="A82" s="1" t="s">
        <v>67</v>
      </c>
      <c r="B82" s="36" t="s">
        <v>120</v>
      </c>
      <c r="C82" s="1" t="s">
        <v>121</v>
      </c>
      <c r="D82" s="2" t="s">
        <v>15</v>
      </c>
      <c r="E82" s="2" t="s">
        <v>122</v>
      </c>
      <c r="G82" s="33">
        <v>1779.8599999999997</v>
      </c>
      <c r="H82" s="33">
        <v>2245.4699999999998</v>
      </c>
      <c r="I82" s="33">
        <f t="shared" si="8"/>
        <v>-465.61000000000013</v>
      </c>
      <c r="J82" s="4">
        <f>G82/VLOOKUP(A82,RESUME!$G$3:$I$10,3,FALSE)</f>
        <v>2.042399415965522E-2</v>
      </c>
      <c r="K82" s="4">
        <f t="shared" si="9"/>
        <v>1.6188971682990171E-2</v>
      </c>
      <c r="L82" s="1" t="str">
        <f>_xlfn.IFNA(VLOOKUP(A82&amp;"-"&amp;B82&amp;"-"&amp;D82,Ref_Account!$A:$F,6,FALSE),"ACCOUNT TIDAK DITEMUKAN")</f>
        <v>1204.816130</v>
      </c>
      <c r="N82" s="1">
        <f t="shared" si="10"/>
        <v>1</v>
      </c>
      <c r="O82" s="59" t="str">
        <f t="shared" si="11"/>
        <v>OVER</v>
      </c>
    </row>
    <row r="83" spans="1:15" x14ac:dyDescent="0.25">
      <c r="A83" s="1" t="s">
        <v>67</v>
      </c>
      <c r="B83" s="36" t="s">
        <v>21</v>
      </c>
      <c r="C83" s="1" t="s">
        <v>123</v>
      </c>
      <c r="D83" s="2" t="s">
        <v>101</v>
      </c>
      <c r="E83" s="2" t="s">
        <v>75</v>
      </c>
      <c r="G83" s="33">
        <v>1115.46</v>
      </c>
      <c r="H83" s="33">
        <v>1115.46</v>
      </c>
      <c r="I83" s="33">
        <f t="shared" si="8"/>
        <v>0</v>
      </c>
      <c r="J83" s="4">
        <f>G83/VLOOKUP(A83,RESUME!$G$3:$I$10,3,FALSE)</f>
        <v>1.2799966584635319E-2</v>
      </c>
      <c r="K83" s="4">
        <f t="shared" si="9"/>
        <v>1.2799966584635319E-2</v>
      </c>
      <c r="L83" s="1" t="str">
        <f>_xlfn.IFNA(VLOOKUP(A83&amp;"-"&amp;B83&amp;"-"&amp;D83,Ref_Account!$A:$F,6,FALSE),"ACCOUNT TIDAK DITEMUKAN")</f>
        <v>1206.631100</v>
      </c>
      <c r="N83" s="1">
        <f t="shared" si="10"/>
        <v>1</v>
      </c>
      <c r="O83" s="59" t="str">
        <f t="shared" si="11"/>
        <v>OVER</v>
      </c>
    </row>
    <row r="84" spans="1:15" x14ac:dyDescent="0.25">
      <c r="A84" s="1" t="s">
        <v>67</v>
      </c>
      <c r="B84" s="36" t="s">
        <v>124</v>
      </c>
      <c r="C84" s="1" t="s">
        <v>125</v>
      </c>
      <c r="D84" s="2" t="s">
        <v>13</v>
      </c>
      <c r="E84" s="2" t="s">
        <v>82</v>
      </c>
      <c r="G84" s="33">
        <v>651</v>
      </c>
      <c r="H84" s="33">
        <v>654.78</v>
      </c>
      <c r="I84" s="33">
        <f t="shared" si="8"/>
        <v>-3.7799999999999727</v>
      </c>
      <c r="J84" s="4">
        <f>G84/VLOOKUP(A84,RESUME!$G$3:$I$10,3,FALSE)</f>
        <v>7.4702618171853695E-3</v>
      </c>
      <c r="K84" s="4">
        <f t="shared" si="9"/>
        <v>7.4271365084267633E-3</v>
      </c>
      <c r="L84" s="1" t="str">
        <f>_xlfn.IFNA(VLOOKUP(A84&amp;"-"&amp;B84&amp;"-"&amp;D84,Ref_Account!$A:$F,6,FALSE),"ACCOUNT TIDAK DITEMUKAN")</f>
        <v>1201.631110</v>
      </c>
      <c r="N84" s="1">
        <f t="shared" si="10"/>
        <v>1</v>
      </c>
      <c r="O84" s="59" t="str">
        <f t="shared" si="11"/>
        <v>OVER</v>
      </c>
    </row>
    <row r="85" spans="1:15" x14ac:dyDescent="0.25">
      <c r="A85" s="1" t="s">
        <v>67</v>
      </c>
      <c r="B85" s="36" t="s">
        <v>126</v>
      </c>
      <c r="C85" s="1" t="s">
        <v>127</v>
      </c>
      <c r="D85" s="2" t="s">
        <v>13</v>
      </c>
      <c r="E85" s="2" t="s">
        <v>82</v>
      </c>
      <c r="G85" s="33">
        <v>466</v>
      </c>
      <c r="H85" s="33">
        <v>466.1</v>
      </c>
      <c r="I85" s="33">
        <f t="shared" si="8"/>
        <v>-0.10000000000002274</v>
      </c>
      <c r="J85" s="4">
        <f>G85/VLOOKUP(A85,RESUME!$G$3:$I$10,3,FALSE)</f>
        <v>5.3473763545443653E-3</v>
      </c>
      <c r="K85" s="4">
        <f t="shared" si="9"/>
        <v>5.3462290950819008E-3</v>
      </c>
      <c r="L85" s="1" t="str">
        <f>_xlfn.IFNA(VLOOKUP(A85&amp;"-"&amp;B85&amp;"-"&amp;D85,Ref_Account!$A:$F,6,FALSE),"ACCOUNT TIDAK DITEMUKAN")</f>
        <v>1201.631140</v>
      </c>
      <c r="N85" s="1">
        <f t="shared" si="10"/>
        <v>1</v>
      </c>
      <c r="O85" s="59" t="str">
        <f t="shared" si="11"/>
        <v>OVER</v>
      </c>
    </row>
    <row r="86" spans="1:15" x14ac:dyDescent="0.25">
      <c r="A86" s="1" t="s">
        <v>67</v>
      </c>
      <c r="B86" s="36" t="s">
        <v>128</v>
      </c>
      <c r="C86" s="1" t="s">
        <v>129</v>
      </c>
      <c r="D86" s="2" t="s">
        <v>13</v>
      </c>
      <c r="E86" s="2" t="s">
        <v>75</v>
      </c>
      <c r="G86" s="33">
        <v>1388.61</v>
      </c>
      <c r="I86" s="33">
        <f t="shared" si="8"/>
        <v>1388.61</v>
      </c>
      <c r="J86" s="4">
        <f>G86/VLOOKUP(A86,RESUME!$G$3:$I$10,3,FALSE)</f>
        <v>1.5934378282583372E-2</v>
      </c>
      <c r="K86" s="4" t="str">
        <f t="shared" si="9"/>
        <v/>
      </c>
      <c r="L86" s="1" t="str">
        <f>_xlfn.IFNA(VLOOKUP(A86&amp;"-"&amp;B86&amp;"-"&amp;D86,Ref_Account!$A:$F,6,FALSE),"ACCOUNT TIDAK DITEMUKAN")</f>
        <v>1201.631000</v>
      </c>
      <c r="N86" s="1">
        <f t="shared" si="10"/>
        <v>1</v>
      </c>
      <c r="O86" s="59" t="str">
        <f t="shared" si="11"/>
        <v>OK</v>
      </c>
    </row>
    <row r="87" spans="1:15" x14ac:dyDescent="0.25">
      <c r="A87" s="1" t="s">
        <v>67</v>
      </c>
      <c r="B87" s="36" t="s">
        <v>130</v>
      </c>
      <c r="C87" s="1" t="s">
        <v>131</v>
      </c>
      <c r="D87" s="2" t="s">
        <v>13</v>
      </c>
      <c r="E87" s="2" t="s">
        <v>75</v>
      </c>
      <c r="G87" s="33">
        <v>221.29</v>
      </c>
      <c r="H87" s="33">
        <v>221.14</v>
      </c>
      <c r="I87" s="33">
        <f t="shared" si="8"/>
        <v>0.15000000000000568</v>
      </c>
      <c r="J87" s="4">
        <f>G87/VLOOKUP(A87,RESUME!$G$3:$I$10,3,FALSE)</f>
        <v>2.5393152650152848E-3</v>
      </c>
      <c r="K87" s="4">
        <f t="shared" si="9"/>
        <v>2.5410376910338806E-3</v>
      </c>
      <c r="L87" s="1" t="str">
        <f>_xlfn.IFNA(VLOOKUP(A87&amp;"-"&amp;B87&amp;"-"&amp;D87,Ref_Account!$A:$F,6,FALSE),"ACCOUNT TIDAK DITEMUKAN")</f>
        <v>1201.815110</v>
      </c>
      <c r="N87" s="1">
        <f t="shared" si="10"/>
        <v>1</v>
      </c>
      <c r="O87" s="59" t="str">
        <f t="shared" si="11"/>
        <v>OK</v>
      </c>
    </row>
    <row r="88" spans="1:15" x14ac:dyDescent="0.25">
      <c r="A88" s="1" t="s">
        <v>67</v>
      </c>
      <c r="B88" s="36" t="s">
        <v>132</v>
      </c>
      <c r="C88" s="1" t="s">
        <v>133</v>
      </c>
      <c r="D88" s="2" t="s">
        <v>13</v>
      </c>
      <c r="E88" s="2" t="s">
        <v>75</v>
      </c>
      <c r="G88" s="33">
        <v>764.4</v>
      </c>
      <c r="H88" s="33">
        <v>764.4</v>
      </c>
      <c r="I88" s="33">
        <f t="shared" si="8"/>
        <v>0</v>
      </c>
      <c r="J88" s="4">
        <f>G88/VLOOKUP(A88,RESUME!$G$3:$I$10,3,FALSE)</f>
        <v>8.7715332305015291E-3</v>
      </c>
      <c r="K88" s="4">
        <f t="shared" si="9"/>
        <v>8.7715332305015291E-3</v>
      </c>
      <c r="L88" s="1" t="str">
        <f>_xlfn.IFNA(VLOOKUP(A88&amp;"-"&amp;B88&amp;"-"&amp;D88,Ref_Account!$A:$F,6,FALSE),"ACCOUNT TIDAK DITEMUKAN")</f>
        <v>1201.815120</v>
      </c>
      <c r="N88" s="1">
        <f t="shared" si="10"/>
        <v>1</v>
      </c>
      <c r="O88" s="59" t="str">
        <f t="shared" si="11"/>
        <v>OVER</v>
      </c>
    </row>
    <row r="89" spans="1:15" x14ac:dyDescent="0.25">
      <c r="A89" s="1" t="s">
        <v>67</v>
      </c>
      <c r="B89" s="36" t="s">
        <v>134</v>
      </c>
      <c r="C89" s="1" t="s">
        <v>135</v>
      </c>
      <c r="D89" s="2" t="s">
        <v>13</v>
      </c>
      <c r="E89" s="2" t="s">
        <v>75</v>
      </c>
      <c r="G89" s="33">
        <v>255</v>
      </c>
      <c r="H89" s="33">
        <v>507.83</v>
      </c>
      <c r="I89" s="33">
        <f t="shared" si="8"/>
        <v>-252.82999999999998</v>
      </c>
      <c r="J89" s="4">
        <f>G89/VLOOKUP(A89,RESUME!$G$3:$I$10,3,FALSE)</f>
        <v>2.9261394214781401E-3</v>
      </c>
      <c r="K89" s="4">
        <f t="shared" si="9"/>
        <v>1.4693215297972267E-3</v>
      </c>
      <c r="L89" s="1" t="str">
        <f>_xlfn.IFNA(VLOOKUP(A89&amp;"-"&amp;B89&amp;"-"&amp;D89,Ref_Account!$A:$F,6,FALSE),"ACCOUNT TIDAK DITEMUKAN")</f>
        <v>1201.802120</v>
      </c>
      <c r="N89" s="1">
        <f t="shared" si="10"/>
        <v>1</v>
      </c>
      <c r="O89" s="59" t="str">
        <f t="shared" si="11"/>
        <v>OVER</v>
      </c>
    </row>
    <row r="90" spans="1:15" x14ac:dyDescent="0.25">
      <c r="A90" s="1" t="s">
        <v>67</v>
      </c>
      <c r="B90" s="36" t="s">
        <v>136</v>
      </c>
      <c r="C90" s="1" t="s">
        <v>137</v>
      </c>
      <c r="D90" s="2" t="s">
        <v>13</v>
      </c>
      <c r="E90" s="2" t="s">
        <v>75</v>
      </c>
      <c r="G90" s="33">
        <v>200</v>
      </c>
      <c r="I90" s="33">
        <f t="shared" si="8"/>
        <v>200</v>
      </c>
      <c r="J90" s="4">
        <f>G90/VLOOKUP(A90,RESUME!$G$3:$I$10,3,FALSE)</f>
        <v>2.2950113109632469E-3</v>
      </c>
      <c r="K90" s="4" t="str">
        <f t="shared" si="9"/>
        <v/>
      </c>
      <c r="L90" s="1" t="str">
        <f>_xlfn.IFNA(VLOOKUP(A90&amp;"-"&amp;B90&amp;"-"&amp;D90,Ref_Account!$A:$F,6,FALSE),"ACCOUNT TIDAK DITEMUKAN")</f>
        <v>1201.814110</v>
      </c>
      <c r="N90" s="1">
        <f t="shared" si="10"/>
        <v>1</v>
      </c>
      <c r="O90" s="59" t="str">
        <f t="shared" si="11"/>
        <v>OK</v>
      </c>
    </row>
    <row r="91" spans="1:15" x14ac:dyDescent="0.25">
      <c r="A91" s="1" t="s">
        <v>67</v>
      </c>
      <c r="B91" s="36" t="s">
        <v>138</v>
      </c>
      <c r="C91" s="1" t="s">
        <v>139</v>
      </c>
      <c r="D91" s="2" t="s">
        <v>13</v>
      </c>
      <c r="E91" s="2" t="s">
        <v>75</v>
      </c>
      <c r="G91" s="33">
        <v>464.37</v>
      </c>
      <c r="H91" s="33">
        <v>256.64999999999998</v>
      </c>
      <c r="I91" s="33">
        <f t="shared" si="8"/>
        <v>207.72000000000003</v>
      </c>
      <c r="J91" s="4">
        <f>G91/VLOOKUP(A91,RESUME!$G$3:$I$10,3,FALSE)</f>
        <v>5.3286720123600154E-3</v>
      </c>
      <c r="K91" s="4">
        <f t="shared" si="9"/>
        <v>9.6414394014401727E-3</v>
      </c>
      <c r="L91" s="1" t="str">
        <f>_xlfn.IFNA(VLOOKUP(A91&amp;"-"&amp;B91&amp;"-"&amp;D91,Ref_Account!$A:$F,6,FALSE),"ACCOUNT TIDAK DITEMUKAN")</f>
        <v>1201.630450</v>
      </c>
      <c r="N91" s="1">
        <f t="shared" si="10"/>
        <v>1</v>
      </c>
      <c r="O91" s="59" t="str">
        <f t="shared" si="11"/>
        <v>OK</v>
      </c>
    </row>
    <row r="92" spans="1:15" x14ac:dyDescent="0.25">
      <c r="A92" s="1" t="s">
        <v>67</v>
      </c>
      <c r="B92" s="36" t="s">
        <v>21</v>
      </c>
      <c r="C92" s="1" t="s">
        <v>140</v>
      </c>
      <c r="D92" s="2" t="s">
        <v>13</v>
      </c>
      <c r="E92" s="2" t="s">
        <v>75</v>
      </c>
      <c r="G92" s="33">
        <v>515.79999999999995</v>
      </c>
      <c r="H92" s="33">
        <v>455.02</v>
      </c>
      <c r="I92" s="33">
        <f t="shared" si="8"/>
        <v>60.779999999999973</v>
      </c>
      <c r="J92" s="4">
        <f>G92/VLOOKUP(A92,RESUME!$G$3:$I$10,3,FALSE)</f>
        <v>5.9188341709742135E-3</v>
      </c>
      <c r="K92" s="4">
        <f t="shared" si="9"/>
        <v>6.7094515963880682E-3</v>
      </c>
      <c r="L92" s="1" t="str">
        <f>_xlfn.IFNA(VLOOKUP(A92&amp;"-"&amp;B92&amp;"-"&amp;D92,Ref_Account!$A:$F,6,FALSE),"ACCOUNT TIDAK DITEMUKAN")</f>
        <v>1201.631100</v>
      </c>
      <c r="N92" s="1">
        <f t="shared" si="10"/>
        <v>3</v>
      </c>
      <c r="O92" s="59" t="str">
        <f t="shared" si="11"/>
        <v>OK</v>
      </c>
    </row>
    <row r="93" spans="1:15" x14ac:dyDescent="0.25">
      <c r="A93" s="1" t="s">
        <v>67</v>
      </c>
      <c r="B93" s="36" t="s">
        <v>21</v>
      </c>
      <c r="C93" s="1" t="s">
        <v>123</v>
      </c>
      <c r="D93" s="2" t="s">
        <v>13</v>
      </c>
      <c r="E93" s="2" t="s">
        <v>75</v>
      </c>
      <c r="G93" s="33">
        <v>1891.43</v>
      </c>
      <c r="H93" s="33">
        <v>1885.93</v>
      </c>
      <c r="I93" s="33">
        <f t="shared" si="8"/>
        <v>5.5</v>
      </c>
      <c r="J93" s="4">
        <f>G93/VLOOKUP(A93,RESUME!$G$3:$I$10,3,FALSE)</f>
        <v>2.1704266219476073E-2</v>
      </c>
      <c r="K93" s="4">
        <f t="shared" si="9"/>
        <v>2.1767563088504676E-2</v>
      </c>
      <c r="L93" s="1" t="str">
        <f>_xlfn.IFNA(VLOOKUP(A93&amp;"-"&amp;B93&amp;"-"&amp;D93,Ref_Account!$A:$F,6,FALSE),"ACCOUNT TIDAK DITEMUKAN")</f>
        <v>1201.631100</v>
      </c>
      <c r="N93" s="1">
        <f t="shared" si="10"/>
        <v>3</v>
      </c>
      <c r="O93" s="59" t="str">
        <f t="shared" si="11"/>
        <v>OK</v>
      </c>
    </row>
    <row r="94" spans="1:15" ht="16.5" customHeight="1" x14ac:dyDescent="0.25">
      <c r="A94" s="1" t="s">
        <v>67</v>
      </c>
      <c r="B94" s="36" t="s">
        <v>21</v>
      </c>
      <c r="C94" s="1" t="s">
        <v>123</v>
      </c>
      <c r="D94" s="2" t="s">
        <v>24</v>
      </c>
      <c r="E94" s="2" t="s">
        <v>75</v>
      </c>
      <c r="G94" s="33">
        <v>1328.48</v>
      </c>
      <c r="H94" s="33">
        <v>1385.0600000000002</v>
      </c>
      <c r="I94" s="33">
        <f t="shared" si="8"/>
        <v>-56.580000000000155</v>
      </c>
      <c r="J94" s="4">
        <f>G94/VLOOKUP(A94,RESUME!$G$3:$I$10,3,FALSE)</f>
        <v>1.5244383131942272E-2</v>
      </c>
      <c r="K94" s="4">
        <f t="shared" si="9"/>
        <v>1.4621646790119321E-2</v>
      </c>
      <c r="L94" s="1" t="str">
        <f>_xlfn.IFNA(VLOOKUP(A94&amp;"-"&amp;B94&amp;"-"&amp;D94,Ref_Account!$A:$F,6,FALSE),"ACCOUNT TIDAK DITEMUKAN")</f>
        <v>1205.631100</v>
      </c>
      <c r="N94" s="1">
        <f t="shared" si="10"/>
        <v>3</v>
      </c>
      <c r="O94" s="59" t="str">
        <f t="shared" si="11"/>
        <v>OVER</v>
      </c>
    </row>
    <row r="95" spans="1:15" x14ac:dyDescent="0.25">
      <c r="A95" s="1" t="s">
        <v>67</v>
      </c>
      <c r="B95" s="36" t="s">
        <v>21</v>
      </c>
      <c r="C95" s="1" t="s">
        <v>123</v>
      </c>
      <c r="D95" s="2" t="s">
        <v>15</v>
      </c>
      <c r="E95" s="2" t="s">
        <v>75</v>
      </c>
      <c r="G95" s="33">
        <v>1328.28</v>
      </c>
      <c r="H95" s="33">
        <v>1324.6200000000001</v>
      </c>
      <c r="I95" s="33">
        <f t="shared" si="8"/>
        <v>3.6599999999998545</v>
      </c>
      <c r="J95" s="4">
        <f>G95/VLOOKUP(A95,RESUME!$G$3:$I$10,3,FALSE)</f>
        <v>1.5242088120631308E-2</v>
      </c>
      <c r="K95" s="4">
        <f t="shared" si="9"/>
        <v>1.5284202872425413E-2</v>
      </c>
      <c r="L95" s="1" t="str">
        <f>_xlfn.IFNA(VLOOKUP(A95&amp;"-"&amp;B95&amp;"-"&amp;D95,Ref_Account!$A:$F,6,FALSE),"ACCOUNT TIDAK DITEMUKAN")</f>
        <v>1204.631100</v>
      </c>
      <c r="N95" s="1">
        <f t="shared" si="10"/>
        <v>3</v>
      </c>
      <c r="O95" s="59" t="str">
        <f t="shared" si="11"/>
        <v>OK</v>
      </c>
    </row>
    <row r="96" spans="1:15" x14ac:dyDescent="0.25">
      <c r="A96" s="1" t="s">
        <v>141</v>
      </c>
      <c r="B96" s="36" t="s">
        <v>93</v>
      </c>
      <c r="C96" s="1" t="s">
        <v>94</v>
      </c>
      <c r="D96" s="2" t="s">
        <v>101</v>
      </c>
      <c r="E96" s="2" t="s">
        <v>95</v>
      </c>
      <c r="G96" s="33">
        <v>2736.7799999999997</v>
      </c>
      <c r="H96" s="33">
        <v>-53.45</v>
      </c>
      <c r="I96" s="33">
        <f t="shared" si="8"/>
        <v>2790.2299999999996</v>
      </c>
      <c r="J96" s="4">
        <f>G96/VLOOKUP(A96,RESUME!$G$3:$I$10,3,FALSE)</f>
        <v>2.7232510432328692E-2</v>
      </c>
      <c r="K96" s="4">
        <f t="shared" si="9"/>
        <v>-1.3943758634422545</v>
      </c>
      <c r="L96" s="1" t="str">
        <f>_xlfn.IFNA(VLOOKUP(A96&amp;"-"&amp;B96&amp;"-"&amp;D96,Ref_Account!$A:$F,6,FALSE),"ACCOUNT TIDAK DITEMUKAN")</f>
        <v>1206.801160</v>
      </c>
      <c r="N96" s="1">
        <f t="shared" si="10"/>
        <v>1</v>
      </c>
      <c r="O96" s="59" t="str">
        <f t="shared" si="11"/>
        <v>OK</v>
      </c>
    </row>
    <row r="97" spans="1:15" x14ac:dyDescent="0.25">
      <c r="A97" s="1" t="s">
        <v>141</v>
      </c>
      <c r="B97" s="36" t="s">
        <v>102</v>
      </c>
      <c r="C97" s="1" t="s">
        <v>103</v>
      </c>
      <c r="D97" s="2" t="s">
        <v>101</v>
      </c>
      <c r="E97" s="2" t="s">
        <v>75</v>
      </c>
      <c r="G97" s="33">
        <v>200</v>
      </c>
      <c r="H97" s="33">
        <v>40.869999999999997</v>
      </c>
      <c r="I97" s="33">
        <f t="shared" si="8"/>
        <v>159.13</v>
      </c>
      <c r="J97" s="4">
        <f>G97/VLOOKUP(A97,RESUME!$G$3:$I$10,3,FALSE)</f>
        <v>1.990113230316554E-3</v>
      </c>
      <c r="K97" s="4">
        <f t="shared" si="9"/>
        <v>9.7387483744387285E-3</v>
      </c>
      <c r="L97" s="1" t="str">
        <f>_xlfn.IFNA(VLOOKUP(A97&amp;"-"&amp;B97&amp;"-"&amp;D97,Ref_Account!$A:$F,6,FALSE),"ACCOUNT TIDAK DITEMUKAN")</f>
        <v>1206.630710</v>
      </c>
      <c r="N97" s="1">
        <f t="shared" si="10"/>
        <v>1</v>
      </c>
      <c r="O97" s="59" t="str">
        <f t="shared" si="11"/>
        <v>OK</v>
      </c>
    </row>
    <row r="98" spans="1:15" x14ac:dyDescent="0.25">
      <c r="A98" s="1" t="s">
        <v>141</v>
      </c>
      <c r="B98" s="36" t="s">
        <v>118</v>
      </c>
      <c r="C98" s="1" t="s">
        <v>119</v>
      </c>
      <c r="D98" s="2" t="s">
        <v>101</v>
      </c>
      <c r="E98" s="2" t="s">
        <v>95</v>
      </c>
      <c r="G98" s="33">
        <v>1460</v>
      </c>
      <c r="H98" s="33">
        <v>1659.81</v>
      </c>
      <c r="I98" s="33">
        <f t="shared" si="8"/>
        <v>-199.80999999999995</v>
      </c>
      <c r="J98" s="4">
        <f>G98/VLOOKUP(A98,RESUME!$G$3:$I$10,3,FALSE)</f>
        <v>1.4527826581310844E-2</v>
      </c>
      <c r="K98" s="4">
        <f t="shared" si="9"/>
        <v>1.2778948680098223E-2</v>
      </c>
      <c r="L98" s="1" t="str">
        <f>_xlfn.IFNA(VLOOKUP(A98&amp;"-"&amp;B98&amp;"-"&amp;D98,Ref_Account!$A:$F,6,FALSE),"ACCOUNT TIDAK DITEMUKAN")</f>
        <v>1206.630130</v>
      </c>
      <c r="N98" s="1">
        <f t="shared" si="10"/>
        <v>1</v>
      </c>
      <c r="O98" s="59" t="str">
        <f t="shared" si="11"/>
        <v>OVER</v>
      </c>
    </row>
    <row r="99" spans="1:15" x14ac:dyDescent="0.25">
      <c r="A99" s="1" t="s">
        <v>141</v>
      </c>
      <c r="B99" s="36" t="s">
        <v>128</v>
      </c>
      <c r="C99" s="1" t="s">
        <v>129</v>
      </c>
      <c r="D99" s="2" t="s">
        <v>101</v>
      </c>
      <c r="E99" s="2" t="s">
        <v>75</v>
      </c>
      <c r="G99" s="33">
        <v>4235.2299999999996</v>
      </c>
      <c r="I99" s="33">
        <f t="shared" si="8"/>
        <v>4235.2299999999996</v>
      </c>
      <c r="J99" s="4">
        <f>G99/VLOOKUP(A99,RESUME!$G$3:$I$10,3,FALSE)</f>
        <v>4.2142936282167892E-2</v>
      </c>
      <c r="K99" s="4" t="str">
        <f t="shared" si="9"/>
        <v/>
      </c>
      <c r="L99" s="1" t="str">
        <f>_xlfn.IFNA(VLOOKUP(A99&amp;"-"&amp;B99&amp;"-"&amp;D99,Ref_Account!$A:$F,6,FALSE),"ACCOUNT TIDAK DITEMUKAN")</f>
        <v>1206.631000</v>
      </c>
      <c r="N99" s="1">
        <f t="shared" si="10"/>
        <v>1</v>
      </c>
      <c r="O99" s="59" t="str">
        <f t="shared" si="11"/>
        <v>OK</v>
      </c>
    </row>
    <row r="100" spans="1:15" x14ac:dyDescent="0.25">
      <c r="A100" s="1" t="s">
        <v>141</v>
      </c>
      <c r="B100" s="36" t="s">
        <v>130</v>
      </c>
      <c r="C100" s="1" t="s">
        <v>142</v>
      </c>
      <c r="D100" s="2" t="s">
        <v>101</v>
      </c>
      <c r="E100" s="2" t="s">
        <v>75</v>
      </c>
      <c r="G100" s="33">
        <v>821.62</v>
      </c>
      <c r="H100" s="33">
        <v>821.62</v>
      </c>
      <c r="I100" s="33">
        <f t="shared" si="8"/>
        <v>0</v>
      </c>
      <c r="J100" s="4">
        <f>G100/VLOOKUP(A100,RESUME!$G$3:$I$10,3,FALSE)</f>
        <v>8.175584161463436E-3</v>
      </c>
      <c r="K100" s="4">
        <f t="shared" si="9"/>
        <v>8.175584161463436E-3</v>
      </c>
      <c r="L100" s="1" t="str">
        <f>_xlfn.IFNA(VLOOKUP(A100&amp;"-"&amp;B100&amp;"-"&amp;D100,Ref_Account!$A:$F,6,FALSE),"ACCOUNT TIDAK DITEMUKAN")</f>
        <v>1206.815110</v>
      </c>
      <c r="N100" s="1">
        <f t="shared" si="10"/>
        <v>1</v>
      </c>
      <c r="O100" s="59" t="str">
        <f t="shared" si="11"/>
        <v>OVER</v>
      </c>
    </row>
    <row r="101" spans="1:15" x14ac:dyDescent="0.25">
      <c r="A101" s="1" t="s">
        <v>141</v>
      </c>
      <c r="B101" s="36" t="s">
        <v>134</v>
      </c>
      <c r="C101" s="1" t="s">
        <v>135</v>
      </c>
      <c r="D101" s="2" t="s">
        <v>101</v>
      </c>
      <c r="E101" s="2" t="s">
        <v>75</v>
      </c>
      <c r="G101" s="33">
        <v>55</v>
      </c>
      <c r="I101" s="33">
        <f t="shared" si="8"/>
        <v>55</v>
      </c>
      <c r="J101" s="4">
        <f>G101/VLOOKUP(A101,RESUME!$G$3:$I$10,3,FALSE)</f>
        <v>5.4728113833705236E-4</v>
      </c>
      <c r="K101" s="4" t="str">
        <f t="shared" si="9"/>
        <v/>
      </c>
      <c r="L101" s="1" t="str">
        <f>_xlfn.IFNA(VLOOKUP(A101&amp;"-"&amp;B101&amp;"-"&amp;D101,Ref_Account!$A:$F,6,FALSE),"ACCOUNT TIDAK DITEMUKAN")</f>
        <v>1206.802120</v>
      </c>
      <c r="N101" s="1">
        <f t="shared" si="10"/>
        <v>1</v>
      </c>
      <c r="O101" s="59" t="str">
        <f t="shared" si="11"/>
        <v>OK</v>
      </c>
    </row>
    <row r="102" spans="1:15" x14ac:dyDescent="0.25">
      <c r="A102" s="1" t="s">
        <v>141</v>
      </c>
      <c r="B102" s="36" t="s">
        <v>138</v>
      </c>
      <c r="C102" s="1" t="s">
        <v>139</v>
      </c>
      <c r="D102" s="2" t="s">
        <v>101</v>
      </c>
      <c r="E102" s="2" t="s">
        <v>75</v>
      </c>
      <c r="G102" s="33">
        <v>20.09</v>
      </c>
      <c r="H102" s="33">
        <v>15.99</v>
      </c>
      <c r="I102" s="33">
        <f t="shared" ref="I102:I133" si="12">G102-H102</f>
        <v>4.0999999999999996</v>
      </c>
      <c r="J102" s="4">
        <f>G102/VLOOKUP(A102,RESUME!$G$3:$I$10,3,FALSE)</f>
        <v>1.9990687398529784E-4</v>
      </c>
      <c r="K102" s="4">
        <f t="shared" ref="K102:K133" si="13">IFERROR((G102/H102)*J102,"")</f>
        <v>2.5116504680204089E-4</v>
      </c>
      <c r="L102" s="1" t="str">
        <f>_xlfn.IFNA(VLOOKUP(A102&amp;"-"&amp;B102&amp;"-"&amp;D102,Ref_Account!$A:$F,6,FALSE),"ACCOUNT TIDAK DITEMUKAN")</f>
        <v>1206.630450</v>
      </c>
      <c r="N102" s="1">
        <f t="shared" ref="N102:N133" si="14">IF(L102="ACCOUNT TIDAK DITEMUKAN","9999",COUNTIF($L$6:$L$164,L102))</f>
        <v>1</v>
      </c>
      <c r="O102" s="59" t="str">
        <f t="shared" ref="O102:O133" si="15">IF(I102&gt;0,"OK","OVER")</f>
        <v>OK</v>
      </c>
    </row>
    <row r="103" spans="1:15" x14ac:dyDescent="0.25">
      <c r="A103" s="1" t="s">
        <v>141</v>
      </c>
      <c r="B103" s="36" t="s">
        <v>80</v>
      </c>
      <c r="C103" s="1" t="s">
        <v>81</v>
      </c>
      <c r="D103" s="2" t="s">
        <v>101</v>
      </c>
      <c r="E103" s="2" t="s">
        <v>143</v>
      </c>
      <c r="G103" s="33">
        <v>563</v>
      </c>
      <c r="H103" s="33">
        <v>563.95000000000005</v>
      </c>
      <c r="I103" s="33">
        <f t="shared" si="12"/>
        <v>-0.95000000000004547</v>
      </c>
      <c r="J103" s="4">
        <f>G103/VLOOKUP(A103,RESUME!$G$3:$I$10,3,FALSE)</f>
        <v>5.6021687433410999E-3</v>
      </c>
      <c r="K103" s="4">
        <f t="shared" si="13"/>
        <v>5.5927316295789325E-3</v>
      </c>
      <c r="L103" s="1" t="str">
        <f>_xlfn.IFNA(VLOOKUP(A103&amp;"-"&amp;B103&amp;"-"&amp;D103,Ref_Account!$A:$F,6,FALSE),"ACCOUNT TIDAK DITEMUKAN")</f>
        <v>1206.630300</v>
      </c>
      <c r="N103" s="1">
        <f t="shared" si="14"/>
        <v>1</v>
      </c>
      <c r="O103" s="59" t="str">
        <f t="shared" si="15"/>
        <v>OVER</v>
      </c>
    </row>
    <row r="104" spans="1:15" x14ac:dyDescent="0.25">
      <c r="A104" s="1" t="s">
        <v>141</v>
      </c>
      <c r="B104" s="36" t="s">
        <v>104</v>
      </c>
      <c r="C104" s="1" t="s">
        <v>105</v>
      </c>
      <c r="D104" s="2" t="s">
        <v>101</v>
      </c>
      <c r="E104" s="2" t="s">
        <v>143</v>
      </c>
      <c r="G104" s="33">
        <v>50</v>
      </c>
      <c r="I104" s="33">
        <f t="shared" si="12"/>
        <v>50</v>
      </c>
      <c r="J104" s="4">
        <f>G104/VLOOKUP(A104,RESUME!$G$3:$I$10,3,FALSE)</f>
        <v>4.9752830757913849E-4</v>
      </c>
      <c r="K104" s="4" t="str">
        <f t="shared" si="13"/>
        <v/>
      </c>
      <c r="L104" s="1" t="str">
        <f>_xlfn.IFNA(VLOOKUP(A104&amp;"-"&amp;B104&amp;"-"&amp;D104,Ref_Account!$A:$F,6,FALSE),"ACCOUNT TIDAK DITEMUKAN")</f>
        <v>1206.630770</v>
      </c>
      <c r="N104" s="1">
        <f t="shared" si="14"/>
        <v>1</v>
      </c>
      <c r="O104" s="59" t="str">
        <f t="shared" si="15"/>
        <v>OK</v>
      </c>
    </row>
    <row r="105" spans="1:15" x14ac:dyDescent="0.25">
      <c r="A105" s="1" t="s">
        <v>141</v>
      </c>
      <c r="B105" s="36" t="s">
        <v>106</v>
      </c>
      <c r="C105" s="1" t="s">
        <v>107</v>
      </c>
      <c r="D105" s="2" t="s">
        <v>101</v>
      </c>
      <c r="E105" s="2" t="s">
        <v>143</v>
      </c>
      <c r="G105" s="33">
        <v>50</v>
      </c>
      <c r="I105" s="33">
        <f t="shared" si="12"/>
        <v>50</v>
      </c>
      <c r="J105" s="4">
        <f>G105/VLOOKUP(A105,RESUME!$G$3:$I$10,3,FALSE)</f>
        <v>4.9752830757913849E-4</v>
      </c>
      <c r="K105" s="4" t="str">
        <f t="shared" si="13"/>
        <v/>
      </c>
      <c r="L105" s="1" t="str">
        <f>_xlfn.IFNA(VLOOKUP(A105&amp;"-"&amp;B105&amp;"-"&amp;D105,Ref_Account!$A:$F,6,FALSE),"ACCOUNT TIDAK DITEMUKAN")</f>
        <v>1206.630750</v>
      </c>
      <c r="N105" s="1">
        <f t="shared" si="14"/>
        <v>1</v>
      </c>
      <c r="O105" s="59" t="str">
        <f t="shared" si="15"/>
        <v>OK</v>
      </c>
    </row>
    <row r="106" spans="1:15" x14ac:dyDescent="0.25">
      <c r="A106" s="1" t="s">
        <v>141</v>
      </c>
      <c r="B106" s="36" t="s">
        <v>108</v>
      </c>
      <c r="C106" s="1" t="s">
        <v>109</v>
      </c>
      <c r="D106" s="2" t="s">
        <v>101</v>
      </c>
      <c r="E106" s="2" t="s">
        <v>143</v>
      </c>
      <c r="G106" s="33">
        <v>50</v>
      </c>
      <c r="I106" s="33">
        <f t="shared" si="12"/>
        <v>50</v>
      </c>
      <c r="J106" s="4">
        <f>G106/VLOOKUP(A106,RESUME!$G$3:$I$10,3,FALSE)</f>
        <v>4.9752830757913849E-4</v>
      </c>
      <c r="K106" s="4" t="str">
        <f t="shared" si="13"/>
        <v/>
      </c>
      <c r="L106" s="1" t="str">
        <f>_xlfn.IFNA(VLOOKUP(A106&amp;"-"&amp;B106&amp;"-"&amp;D106,Ref_Account!$A:$F,6,FALSE),"ACCOUNT TIDAK DITEMUKAN")</f>
        <v>1206.630720</v>
      </c>
      <c r="N106" s="1">
        <f t="shared" si="14"/>
        <v>1</v>
      </c>
      <c r="O106" s="59" t="str">
        <f t="shared" si="15"/>
        <v>OK</v>
      </c>
    </row>
    <row r="107" spans="1:15" x14ac:dyDescent="0.25">
      <c r="A107" s="1" t="s">
        <v>141</v>
      </c>
      <c r="B107" s="36" t="s">
        <v>110</v>
      </c>
      <c r="C107" s="1" t="s">
        <v>111</v>
      </c>
      <c r="D107" s="2" t="s">
        <v>101</v>
      </c>
      <c r="E107" s="2" t="s">
        <v>143</v>
      </c>
      <c r="G107" s="33">
        <v>50</v>
      </c>
      <c r="I107" s="33">
        <f t="shared" si="12"/>
        <v>50</v>
      </c>
      <c r="J107" s="4">
        <f>G107/VLOOKUP(A107,RESUME!$G$3:$I$10,3,FALSE)</f>
        <v>4.9752830757913849E-4</v>
      </c>
      <c r="K107" s="4" t="str">
        <f t="shared" si="13"/>
        <v/>
      </c>
      <c r="L107" s="1" t="str">
        <f>_xlfn.IFNA(VLOOKUP(A107&amp;"-"&amp;B107&amp;"-"&amp;D107,Ref_Account!$A:$F,6,FALSE),"ACCOUNT TIDAK DITEMUKAN")</f>
        <v>1206.630760</v>
      </c>
      <c r="N107" s="1">
        <f t="shared" si="14"/>
        <v>1</v>
      </c>
      <c r="O107" s="59" t="str">
        <f t="shared" si="15"/>
        <v>OK</v>
      </c>
    </row>
    <row r="108" spans="1:15" x14ac:dyDescent="0.25">
      <c r="A108" s="1" t="s">
        <v>141</v>
      </c>
      <c r="B108" s="36" t="s">
        <v>112</v>
      </c>
      <c r="C108" s="1" t="s">
        <v>113</v>
      </c>
      <c r="D108" s="2" t="s">
        <v>101</v>
      </c>
      <c r="E108" s="2" t="s">
        <v>143</v>
      </c>
      <c r="G108" s="33">
        <v>50</v>
      </c>
      <c r="I108" s="33">
        <f t="shared" si="12"/>
        <v>50</v>
      </c>
      <c r="J108" s="4">
        <f>G108/VLOOKUP(A108,RESUME!$G$3:$I$10,3,FALSE)</f>
        <v>4.9752830757913849E-4</v>
      </c>
      <c r="K108" s="4" t="str">
        <f t="shared" si="13"/>
        <v/>
      </c>
      <c r="L108" s="1" t="str">
        <f>_xlfn.IFNA(VLOOKUP(A108&amp;"-"&amp;B108&amp;"-"&amp;D108,Ref_Account!$A:$F,6,FALSE),"ACCOUNT TIDAK DITEMUKAN")</f>
        <v>1206.630730</v>
      </c>
      <c r="N108" s="1">
        <f t="shared" si="14"/>
        <v>1</v>
      </c>
      <c r="O108" s="59" t="str">
        <f t="shared" si="15"/>
        <v>OK</v>
      </c>
    </row>
    <row r="109" spans="1:15" x14ac:dyDescent="0.25">
      <c r="A109" s="1" t="s">
        <v>141</v>
      </c>
      <c r="B109" s="36" t="s">
        <v>114</v>
      </c>
      <c r="C109" s="1" t="s">
        <v>115</v>
      </c>
      <c r="D109" s="2" t="s">
        <v>101</v>
      </c>
      <c r="E109" s="2" t="s">
        <v>143</v>
      </c>
      <c r="G109" s="33">
        <v>50</v>
      </c>
      <c r="I109" s="33">
        <f t="shared" si="12"/>
        <v>50</v>
      </c>
      <c r="J109" s="4">
        <f>G109/VLOOKUP(A109,RESUME!$G$3:$I$10,3,FALSE)</f>
        <v>4.9752830757913849E-4</v>
      </c>
      <c r="K109" s="4" t="str">
        <f t="shared" si="13"/>
        <v/>
      </c>
      <c r="L109" s="1" t="str">
        <f>_xlfn.IFNA(VLOOKUP(A109&amp;"-"&amp;B109&amp;"-"&amp;D109,Ref_Account!$A:$F,6,FALSE),"ACCOUNT TIDAK DITEMUKAN")</f>
        <v>1206.630740</v>
      </c>
      <c r="N109" s="1">
        <f t="shared" si="14"/>
        <v>1</v>
      </c>
      <c r="O109" s="59" t="str">
        <f t="shared" si="15"/>
        <v>OK</v>
      </c>
    </row>
    <row r="110" spans="1:15" x14ac:dyDescent="0.25">
      <c r="A110" s="1" t="s">
        <v>141</v>
      </c>
      <c r="B110" s="36" t="s">
        <v>124</v>
      </c>
      <c r="C110" s="1" t="s">
        <v>125</v>
      </c>
      <c r="D110" s="2" t="s">
        <v>101</v>
      </c>
      <c r="E110" s="2" t="s">
        <v>143</v>
      </c>
      <c r="G110" s="33">
        <v>3978</v>
      </c>
      <c r="H110" s="33">
        <v>3978.53</v>
      </c>
      <c r="I110" s="33">
        <f t="shared" si="12"/>
        <v>-0.53000000000020009</v>
      </c>
      <c r="J110" s="4">
        <f>G110/VLOOKUP(A110,RESUME!$G$3:$I$10,3,FALSE)</f>
        <v>3.9583352150996259E-2</v>
      </c>
      <c r="K110" s="4">
        <f t="shared" si="13"/>
        <v>3.9578079053485357E-2</v>
      </c>
      <c r="L110" s="1" t="str">
        <f>_xlfn.IFNA(VLOOKUP(A110&amp;"-"&amp;B110&amp;"-"&amp;D110,Ref_Account!$A:$F,6,FALSE),"ACCOUNT TIDAK DITEMUKAN")</f>
        <v>1206.631110</v>
      </c>
      <c r="N110" s="1">
        <f t="shared" si="14"/>
        <v>1</v>
      </c>
      <c r="O110" s="59" t="str">
        <f t="shared" si="15"/>
        <v>OVER</v>
      </c>
    </row>
    <row r="111" spans="1:15" x14ac:dyDescent="0.25">
      <c r="A111" s="1" t="s">
        <v>141</v>
      </c>
      <c r="B111" s="36" t="s">
        <v>70</v>
      </c>
      <c r="C111" s="1" t="s">
        <v>71</v>
      </c>
      <c r="D111" s="2" t="s">
        <v>101</v>
      </c>
      <c r="E111" s="2" t="s">
        <v>144</v>
      </c>
      <c r="G111" s="33">
        <v>5000</v>
      </c>
      <c r="H111" s="33">
        <v>6452.12</v>
      </c>
      <c r="I111" s="33">
        <f t="shared" si="12"/>
        <v>-1452.12</v>
      </c>
      <c r="J111" s="4">
        <f>G111/VLOOKUP(A111,RESUME!$G$3:$I$10,3,FALSE)</f>
        <v>4.9752830757913848E-2</v>
      </c>
      <c r="K111" s="4">
        <f t="shared" si="13"/>
        <v>3.8555413381891411E-2</v>
      </c>
      <c r="L111" s="1" t="str">
        <f>_xlfn.IFNA(VLOOKUP(A111&amp;"-"&amp;B111&amp;"-"&amp;D111,Ref_Account!$A:$F,6,FALSE),"ACCOUNT TIDAK DITEMUKAN")</f>
        <v>1206.812100</v>
      </c>
      <c r="N111" s="1">
        <f t="shared" si="14"/>
        <v>1</v>
      </c>
      <c r="O111" s="59" t="str">
        <f t="shared" si="15"/>
        <v>OVER</v>
      </c>
    </row>
    <row r="112" spans="1:15" x14ac:dyDescent="0.25">
      <c r="A112" s="1" t="s">
        <v>141</v>
      </c>
      <c r="B112" s="36" t="s">
        <v>76</v>
      </c>
      <c r="C112" s="1" t="s">
        <v>77</v>
      </c>
      <c r="D112" s="2" t="s">
        <v>101</v>
      </c>
      <c r="E112" s="2" t="s">
        <v>75</v>
      </c>
      <c r="G112" s="33">
        <v>3463.43</v>
      </c>
      <c r="H112" s="33">
        <v>6823.39</v>
      </c>
      <c r="I112" s="33">
        <f t="shared" si="12"/>
        <v>-3359.9600000000005</v>
      </c>
      <c r="J112" s="4">
        <f>G112/VLOOKUP(A112,RESUME!$G$3:$I$10,3,FALSE)</f>
        <v>3.446308932637631E-2</v>
      </c>
      <c r="K112" s="4">
        <f t="shared" si="13"/>
        <v>1.7492844094453269E-2</v>
      </c>
      <c r="L112" s="1" t="str">
        <f>_xlfn.IFNA(VLOOKUP(A112&amp;"-"&amp;B112&amp;"-"&amp;D112,Ref_Account!$A:$F,6,FALSE),"ACCOUNT TIDAK DITEMUKAN")</f>
        <v>1206.630400</v>
      </c>
      <c r="N112" s="1">
        <f t="shared" si="14"/>
        <v>1</v>
      </c>
      <c r="O112" s="59" t="str">
        <f t="shared" si="15"/>
        <v>OVER</v>
      </c>
    </row>
    <row r="113" spans="1:15" x14ac:dyDescent="0.25">
      <c r="A113" s="1" t="s">
        <v>141</v>
      </c>
      <c r="B113" s="36" t="s">
        <v>87</v>
      </c>
      <c r="C113" s="1" t="s">
        <v>88</v>
      </c>
      <c r="D113" s="2" t="s">
        <v>101</v>
      </c>
      <c r="E113" s="2" t="s">
        <v>75</v>
      </c>
      <c r="G113" s="33">
        <v>23.95</v>
      </c>
      <c r="H113" s="33">
        <v>13.95</v>
      </c>
      <c r="I113" s="33">
        <f t="shared" si="12"/>
        <v>10</v>
      </c>
      <c r="J113" s="4">
        <f>G113/VLOOKUP(A113,RESUME!$G$3:$I$10,3,FALSE)</f>
        <v>2.3831605933040734E-4</v>
      </c>
      <c r="K113" s="4">
        <f t="shared" si="13"/>
        <v>4.0915194415507212E-4</v>
      </c>
      <c r="L113" s="1" t="str">
        <f>_xlfn.IFNA(VLOOKUP(A113&amp;"-"&amp;B113&amp;"-"&amp;D113,Ref_Account!$A:$F,6,FALSE),"ACCOUNT TIDAK DITEMUKAN")</f>
        <v>1206.808100</v>
      </c>
      <c r="N113" s="1">
        <f t="shared" si="14"/>
        <v>1</v>
      </c>
      <c r="O113" s="59" t="str">
        <f t="shared" si="15"/>
        <v>OK</v>
      </c>
    </row>
    <row r="114" spans="1:15" x14ac:dyDescent="0.25">
      <c r="A114" s="1" t="s">
        <v>141</v>
      </c>
      <c r="B114" s="36" t="s">
        <v>96</v>
      </c>
      <c r="C114" s="1" t="s">
        <v>97</v>
      </c>
      <c r="D114" s="2" t="s">
        <v>101</v>
      </c>
      <c r="E114" s="2" t="s">
        <v>145</v>
      </c>
      <c r="G114" s="33">
        <v>47747.46</v>
      </c>
      <c r="H114" s="33">
        <v>44085.69</v>
      </c>
      <c r="I114" s="33">
        <f t="shared" si="12"/>
        <v>3661.7699999999968</v>
      </c>
      <c r="J114" s="4">
        <f>G114/VLOOKUP(A114,RESUME!$G$3:$I$10,3,FALSE)</f>
        <v>0.47511425930005224</v>
      </c>
      <c r="K114" s="4">
        <f t="shared" si="13"/>
        <v>0.51457738534565001</v>
      </c>
      <c r="L114" s="1" t="str">
        <f>_xlfn.IFNA(VLOOKUP(A114&amp;"-"&amp;B114&amp;"-"&amp;D114,Ref_Account!$A:$F,6,FALSE),"ACCOUNT TIDAK DITEMUKAN")</f>
        <v>1206.630110</v>
      </c>
      <c r="N114" s="1">
        <f t="shared" si="14"/>
        <v>1</v>
      </c>
      <c r="O114" s="59" t="str">
        <f t="shared" si="15"/>
        <v>OK</v>
      </c>
    </row>
    <row r="115" spans="1:15" x14ac:dyDescent="0.25">
      <c r="A115" s="1" t="s">
        <v>141</v>
      </c>
      <c r="B115" s="36" t="s">
        <v>146</v>
      </c>
      <c r="C115" s="1" t="s">
        <v>147</v>
      </c>
      <c r="D115" s="2" t="s">
        <v>101</v>
      </c>
      <c r="E115" s="2" t="s">
        <v>148</v>
      </c>
      <c r="G115" s="33">
        <v>2800</v>
      </c>
      <c r="H115" s="33">
        <v>2755.75</v>
      </c>
      <c r="I115" s="33">
        <f t="shared" si="12"/>
        <v>44.25</v>
      </c>
      <c r="J115" s="4">
        <f>G115/VLOOKUP(A115,RESUME!$G$3:$I$10,3,FALSE)</f>
        <v>2.7861585224431756E-2</v>
      </c>
      <c r="K115" s="4">
        <f t="shared" si="13"/>
        <v>2.8308968022646798E-2</v>
      </c>
      <c r="L115" s="1" t="str">
        <f>_xlfn.IFNA(VLOOKUP(A115&amp;"-"&amp;B115&amp;"-"&amp;D115,Ref_Account!$A:$F,6,FALSE),"ACCOUNT TIDAK DITEMUKAN")</f>
        <v>1206.801110</v>
      </c>
      <c r="N115" s="1">
        <f t="shared" si="14"/>
        <v>1</v>
      </c>
      <c r="O115" s="59" t="str">
        <f t="shared" si="15"/>
        <v>OK</v>
      </c>
    </row>
    <row r="116" spans="1:15" x14ac:dyDescent="0.25">
      <c r="A116" s="1" t="s">
        <v>141</v>
      </c>
      <c r="B116" s="36" t="s">
        <v>26</v>
      </c>
      <c r="C116" s="1" t="s">
        <v>27</v>
      </c>
      <c r="D116" s="2" t="s">
        <v>101</v>
      </c>
      <c r="E116" s="2" t="s">
        <v>149</v>
      </c>
      <c r="G116" s="33">
        <v>812</v>
      </c>
      <c r="H116" s="33">
        <v>812.12</v>
      </c>
      <c r="I116" s="33">
        <f t="shared" si="12"/>
        <v>-0.12000000000000455</v>
      </c>
      <c r="J116" s="4">
        <f>G116/VLOOKUP(A116,RESUME!$G$3:$I$10,3,FALSE)</f>
        <v>8.0798597150852098E-3</v>
      </c>
      <c r="K116" s="4">
        <f t="shared" si="13"/>
        <v>8.0786658235841875E-3</v>
      </c>
      <c r="L116" s="1" t="str">
        <f>_xlfn.IFNA(VLOOKUP(A116&amp;"-"&amp;B116&amp;"-"&amp;D116,Ref_Account!$A:$F,6,FALSE),"ACCOUNT TIDAK DITEMUKAN")</f>
        <v>1206.631180</v>
      </c>
      <c r="N116" s="1">
        <f t="shared" si="14"/>
        <v>1</v>
      </c>
      <c r="O116" s="59" t="str">
        <f t="shared" si="15"/>
        <v>OVER</v>
      </c>
    </row>
    <row r="117" spans="1:15" x14ac:dyDescent="0.25">
      <c r="A117" s="1" t="s">
        <v>141</v>
      </c>
      <c r="B117" s="36" t="s">
        <v>37</v>
      </c>
      <c r="C117" s="1" t="s">
        <v>38</v>
      </c>
      <c r="D117" s="2" t="s">
        <v>150</v>
      </c>
      <c r="E117" s="2" t="s">
        <v>151</v>
      </c>
      <c r="G117" s="33">
        <v>26280.234329731342</v>
      </c>
      <c r="I117" s="33">
        <f t="shared" si="12"/>
        <v>26280.234329731342</v>
      </c>
      <c r="J117" s="4">
        <f>G117/VLOOKUP(A117,RESUME!$G$3:$I$10,3,FALSE)</f>
        <v>0.26150321017708822</v>
      </c>
      <c r="K117" s="4" t="str">
        <f t="shared" si="13"/>
        <v/>
      </c>
      <c r="L117" s="1" t="str">
        <f>_xlfn.IFNA(VLOOKUP(A117&amp;"-"&amp;B117&amp;"-"&amp;D117,Ref_Account!$A:$F,6,FALSE),"ACCOUNT TIDAK DITEMUKAN")</f>
        <v>1206.630600</v>
      </c>
      <c r="N117" s="1">
        <f t="shared" si="14"/>
        <v>1</v>
      </c>
      <c r="O117" s="59" t="str">
        <f t="shared" si="15"/>
        <v>OK</v>
      </c>
    </row>
    <row r="118" spans="1:15" x14ac:dyDescent="0.25">
      <c r="A118" s="1" t="s">
        <v>329</v>
      </c>
      <c r="B118" s="36" t="s">
        <v>78</v>
      </c>
      <c r="C118" s="1" t="s">
        <v>79</v>
      </c>
      <c r="D118" s="2" t="s">
        <v>24</v>
      </c>
      <c r="E118" s="2" t="s">
        <v>72</v>
      </c>
      <c r="G118" s="33">
        <v>137.53</v>
      </c>
      <c r="H118" s="33">
        <v>137.53</v>
      </c>
      <c r="I118" s="33">
        <f t="shared" si="12"/>
        <v>0</v>
      </c>
      <c r="J118" s="4">
        <f>G118/VLOOKUP(A118,RESUME!$G$3:$I$10,3,FALSE)</f>
        <v>5.5495675892985874E-4</v>
      </c>
      <c r="K118" s="4">
        <f t="shared" si="13"/>
        <v>5.5495675892985874E-4</v>
      </c>
      <c r="L118" s="1" t="str">
        <f>_xlfn.IFNA(VLOOKUP(A118&amp;"-"&amp;B118&amp;"-"&amp;D118,Ref_Account!$A:$F,6,FALSE),"ACCOUNT TIDAK DITEMUKAN")</f>
        <v>1205.813100</v>
      </c>
      <c r="N118" s="1">
        <f t="shared" si="14"/>
        <v>1</v>
      </c>
      <c r="O118" s="59" t="str">
        <f t="shared" si="15"/>
        <v>OVER</v>
      </c>
    </row>
    <row r="119" spans="1:15" x14ac:dyDescent="0.25">
      <c r="A119" s="1" t="s">
        <v>329</v>
      </c>
      <c r="B119" s="36" t="s">
        <v>93</v>
      </c>
      <c r="C119" s="1" t="s">
        <v>94</v>
      </c>
      <c r="D119" s="2" t="s">
        <v>24</v>
      </c>
      <c r="E119" s="2" t="s">
        <v>95</v>
      </c>
      <c r="G119" s="33">
        <v>5157.3999999999996</v>
      </c>
      <c r="H119" s="33">
        <v>-210.65</v>
      </c>
      <c r="I119" s="33">
        <f t="shared" si="12"/>
        <v>5368.0499999999993</v>
      </c>
      <c r="J119" s="4">
        <f>G119/VLOOKUP(A119,RESUME!$G$3:$I$10,3,FALSE)</f>
        <v>2.0810979339088584E-2</v>
      </c>
      <c r="K119" s="4">
        <f t="shared" si="13"/>
        <v>-0.50952074456878926</v>
      </c>
      <c r="L119" s="1" t="str">
        <f>_xlfn.IFNA(VLOOKUP(A119&amp;"-"&amp;B119&amp;"-"&amp;D119,Ref_Account!$A:$F,6,FALSE),"ACCOUNT TIDAK DITEMUKAN")</f>
        <v>1205.801160</v>
      </c>
      <c r="N119" s="1">
        <f t="shared" si="14"/>
        <v>1</v>
      </c>
      <c r="O119" s="59" t="str">
        <f t="shared" si="15"/>
        <v>OK</v>
      </c>
    </row>
    <row r="120" spans="1:15" x14ac:dyDescent="0.25">
      <c r="A120" s="1" t="s">
        <v>329</v>
      </c>
      <c r="B120" s="36" t="s">
        <v>102</v>
      </c>
      <c r="C120" s="1" t="s">
        <v>103</v>
      </c>
      <c r="D120" s="2" t="s">
        <v>24</v>
      </c>
      <c r="E120" s="2" t="s">
        <v>75</v>
      </c>
      <c r="G120" s="33">
        <v>500</v>
      </c>
      <c r="H120" s="33">
        <v>1925.13</v>
      </c>
      <c r="I120" s="33">
        <f t="shared" si="12"/>
        <v>-1425.13</v>
      </c>
      <c r="J120" s="4">
        <f>G120/VLOOKUP(A120,RESUME!$G$3:$I$10,3,FALSE)</f>
        <v>2.0175843776988971E-3</v>
      </c>
      <c r="K120" s="4">
        <f t="shared" si="13"/>
        <v>5.2401250245409322E-4</v>
      </c>
      <c r="L120" s="1" t="str">
        <f>_xlfn.IFNA(VLOOKUP(A120&amp;"-"&amp;B120&amp;"-"&amp;D120,Ref_Account!$A:$F,6,FALSE),"ACCOUNT TIDAK DITEMUKAN")</f>
        <v>1205.630710</v>
      </c>
      <c r="N120" s="1">
        <f t="shared" si="14"/>
        <v>1</v>
      </c>
      <c r="O120" s="59" t="str">
        <f t="shared" si="15"/>
        <v>OVER</v>
      </c>
    </row>
    <row r="121" spans="1:15" x14ac:dyDescent="0.25">
      <c r="A121" s="1" t="s">
        <v>329</v>
      </c>
      <c r="B121" s="36" t="s">
        <v>114</v>
      </c>
      <c r="C121" s="1" t="s">
        <v>115</v>
      </c>
      <c r="D121" s="2" t="s">
        <v>24</v>
      </c>
      <c r="E121" s="2" t="s">
        <v>75</v>
      </c>
      <c r="G121" s="33">
        <v>250</v>
      </c>
      <c r="I121" s="33">
        <f t="shared" si="12"/>
        <v>250</v>
      </c>
      <c r="J121" s="4">
        <f>G121/VLOOKUP(A121,RESUME!$G$3:$I$10,3,FALSE)</f>
        <v>1.0087921888494486E-3</v>
      </c>
      <c r="K121" s="4" t="str">
        <f t="shared" si="13"/>
        <v/>
      </c>
      <c r="L121" s="1" t="str">
        <f>_xlfn.IFNA(VLOOKUP(A121&amp;"-"&amp;B121&amp;"-"&amp;D121,Ref_Account!$A:$F,6,FALSE),"ACCOUNT TIDAK DITEMUKAN")</f>
        <v>1205.630740</v>
      </c>
      <c r="N121" s="1">
        <f t="shared" si="14"/>
        <v>1</v>
      </c>
      <c r="O121" s="59" t="str">
        <f t="shared" si="15"/>
        <v>OK</v>
      </c>
    </row>
    <row r="122" spans="1:15" x14ac:dyDescent="0.25">
      <c r="A122" s="1" t="s">
        <v>329</v>
      </c>
      <c r="B122" s="36" t="s">
        <v>118</v>
      </c>
      <c r="C122" s="1" t="s">
        <v>119</v>
      </c>
      <c r="D122" s="2" t="s">
        <v>24</v>
      </c>
      <c r="E122" s="2" t="s">
        <v>95</v>
      </c>
      <c r="G122" s="33">
        <v>3183.98</v>
      </c>
      <c r="H122" s="33">
        <v>3321.95</v>
      </c>
      <c r="I122" s="33">
        <f t="shared" si="12"/>
        <v>-137.9699999999998</v>
      </c>
      <c r="J122" s="4">
        <f>G122/VLOOKUP(A122,RESUME!$G$3:$I$10,3,FALSE)</f>
        <v>1.284789661381147E-2</v>
      </c>
      <c r="K122" s="4">
        <f t="shared" si="13"/>
        <v>1.2314287048403332E-2</v>
      </c>
      <c r="L122" s="1" t="str">
        <f>_xlfn.IFNA(VLOOKUP(A122&amp;"-"&amp;B122&amp;"-"&amp;D122,Ref_Account!$A:$F,6,FALSE),"ACCOUNT TIDAK DITEMUKAN")</f>
        <v>1205.630130</v>
      </c>
      <c r="N122" s="1">
        <f t="shared" si="14"/>
        <v>1</v>
      </c>
      <c r="O122" s="59" t="str">
        <f t="shared" si="15"/>
        <v>OVER</v>
      </c>
    </row>
    <row r="123" spans="1:15" x14ac:dyDescent="0.25">
      <c r="A123" s="1" t="s">
        <v>329</v>
      </c>
      <c r="B123" s="36" t="s">
        <v>130</v>
      </c>
      <c r="C123" s="1" t="s">
        <v>142</v>
      </c>
      <c r="D123" s="2" t="s">
        <v>24</v>
      </c>
      <c r="E123" s="2" t="s">
        <v>75</v>
      </c>
      <c r="G123" s="33">
        <v>126.99</v>
      </c>
      <c r="H123" s="33">
        <v>126.99</v>
      </c>
      <c r="I123" s="33">
        <f t="shared" si="12"/>
        <v>0</v>
      </c>
      <c r="J123" s="4">
        <f>G123/VLOOKUP(A123,RESUME!$G$3:$I$10,3,FALSE)</f>
        <v>5.124260802479659E-4</v>
      </c>
      <c r="K123" s="4">
        <f t="shared" si="13"/>
        <v>5.124260802479659E-4</v>
      </c>
      <c r="L123" s="1" t="str">
        <f>_xlfn.IFNA(VLOOKUP(A123&amp;"-"&amp;B123&amp;"-"&amp;D123,Ref_Account!$A:$F,6,FALSE),"ACCOUNT TIDAK DITEMUKAN")</f>
        <v>1205.815110</v>
      </c>
      <c r="N123" s="1">
        <f t="shared" si="14"/>
        <v>1</v>
      </c>
      <c r="O123" s="59" t="str">
        <f t="shared" si="15"/>
        <v>OVER</v>
      </c>
    </row>
    <row r="124" spans="1:15" x14ac:dyDescent="0.25">
      <c r="A124" s="1" t="s">
        <v>329</v>
      </c>
      <c r="B124" s="36" t="s">
        <v>21</v>
      </c>
      <c r="C124" s="1" t="s">
        <v>152</v>
      </c>
      <c r="D124" s="2" t="s">
        <v>24</v>
      </c>
      <c r="E124" s="2" t="s">
        <v>75</v>
      </c>
      <c r="G124" s="33">
        <v>754.58</v>
      </c>
      <c r="H124" s="33">
        <v>187.49</v>
      </c>
      <c r="I124" s="33">
        <f t="shared" si="12"/>
        <v>567.09</v>
      </c>
      <c r="J124" s="4">
        <f>G124/VLOOKUP(A124,RESUME!$G$3:$I$10,3,FALSE)</f>
        <v>3.0448576394480681E-3</v>
      </c>
      <c r="K124" s="4">
        <f t="shared" si="13"/>
        <v>1.2254459851590608E-2</v>
      </c>
      <c r="L124" s="1" t="str">
        <f>_xlfn.IFNA(VLOOKUP(A124&amp;"-"&amp;B124&amp;"-"&amp;D124,Ref_Account!$A:$F,6,FALSE),"ACCOUNT TIDAK DITEMUKAN")</f>
        <v>1205.631100</v>
      </c>
      <c r="N124" s="1">
        <f t="shared" si="14"/>
        <v>3</v>
      </c>
      <c r="O124" s="59" t="str">
        <f t="shared" si="15"/>
        <v>OK</v>
      </c>
    </row>
    <row r="125" spans="1:15" x14ac:dyDescent="0.25">
      <c r="A125" s="1" t="s">
        <v>329</v>
      </c>
      <c r="B125" s="36" t="s">
        <v>70</v>
      </c>
      <c r="C125" s="1" t="s">
        <v>71</v>
      </c>
      <c r="D125" s="2" t="s">
        <v>24</v>
      </c>
      <c r="E125" s="2" t="s">
        <v>72</v>
      </c>
      <c r="G125" s="33">
        <v>6722.26</v>
      </c>
      <c r="H125" s="33">
        <v>7122.26</v>
      </c>
      <c r="I125" s="33">
        <f t="shared" si="12"/>
        <v>-400</v>
      </c>
      <c r="J125" s="4">
        <f>G125/VLOOKUP(A125,RESUME!$G$3:$I$10,3,FALSE)</f>
        <v>2.7125453517660381E-2</v>
      </c>
      <c r="K125" s="4">
        <f t="shared" si="13"/>
        <v>2.5602035191586332E-2</v>
      </c>
      <c r="L125" s="1" t="str">
        <f>_xlfn.IFNA(VLOOKUP(A125&amp;"-"&amp;B125&amp;"-"&amp;D125,Ref_Account!$A:$F,6,FALSE),"ACCOUNT TIDAK DITEMUKAN")</f>
        <v>1205.812100</v>
      </c>
      <c r="N125" s="1">
        <f t="shared" si="14"/>
        <v>1</v>
      </c>
      <c r="O125" s="59" t="str">
        <f t="shared" si="15"/>
        <v>OVER</v>
      </c>
    </row>
    <row r="126" spans="1:15" x14ac:dyDescent="0.25">
      <c r="A126" s="1" t="s">
        <v>329</v>
      </c>
      <c r="B126" s="36" t="s">
        <v>76</v>
      </c>
      <c r="C126" s="1" t="s">
        <v>77</v>
      </c>
      <c r="D126" s="2" t="s">
        <v>24</v>
      </c>
      <c r="E126" s="2" t="s">
        <v>75</v>
      </c>
      <c r="G126" s="33">
        <v>5152.29</v>
      </c>
      <c r="H126" s="33">
        <v>8746.93</v>
      </c>
      <c r="I126" s="33">
        <f t="shared" si="12"/>
        <v>-3594.6400000000003</v>
      </c>
      <c r="J126" s="4">
        <f>G126/VLOOKUP(A126,RESUME!$G$3:$I$10,3,FALSE)</f>
        <v>2.0790359626748502E-2</v>
      </c>
      <c r="K126" s="4">
        <f t="shared" si="13"/>
        <v>1.2246349519351364E-2</v>
      </c>
      <c r="L126" s="1" t="str">
        <f>_xlfn.IFNA(VLOOKUP(A126&amp;"-"&amp;B126&amp;"-"&amp;D126,Ref_Account!$A:$F,6,FALSE),"ACCOUNT TIDAK DITEMUKAN")</f>
        <v>1205.630400</v>
      </c>
      <c r="N126" s="1">
        <f t="shared" si="14"/>
        <v>1</v>
      </c>
      <c r="O126" s="59" t="str">
        <f t="shared" si="15"/>
        <v>OVER</v>
      </c>
    </row>
    <row r="127" spans="1:15" x14ac:dyDescent="0.25">
      <c r="A127" s="1" t="s">
        <v>329</v>
      </c>
      <c r="B127" s="36" t="s">
        <v>80</v>
      </c>
      <c r="C127" s="1" t="s">
        <v>81</v>
      </c>
      <c r="D127" s="2" t="s">
        <v>24</v>
      </c>
      <c r="E127" s="2" t="s">
        <v>153</v>
      </c>
      <c r="G127" s="33">
        <v>3188</v>
      </c>
      <c r="H127" s="33">
        <v>3188.73</v>
      </c>
      <c r="I127" s="33">
        <f t="shared" si="12"/>
        <v>-0.73000000000001819</v>
      </c>
      <c r="J127" s="4">
        <f>G127/VLOOKUP(A127,RESUME!$G$3:$I$10,3,FALSE)</f>
        <v>1.2864117992208169E-2</v>
      </c>
      <c r="K127" s="4">
        <f t="shared" si="13"/>
        <v>1.2861172993373426E-2</v>
      </c>
      <c r="L127" s="1" t="str">
        <f>_xlfn.IFNA(VLOOKUP(A127&amp;"-"&amp;B127&amp;"-"&amp;D127,Ref_Account!$A:$F,6,FALSE),"ACCOUNT TIDAK DITEMUKAN")</f>
        <v>1205.630300</v>
      </c>
      <c r="N127" s="1">
        <f t="shared" si="14"/>
        <v>1</v>
      </c>
      <c r="O127" s="59" t="str">
        <f t="shared" si="15"/>
        <v>OVER</v>
      </c>
    </row>
    <row r="128" spans="1:15" x14ac:dyDescent="0.25">
      <c r="A128" s="1" t="s">
        <v>329</v>
      </c>
      <c r="B128" s="36" t="s">
        <v>154</v>
      </c>
      <c r="C128" s="1" t="s">
        <v>84</v>
      </c>
      <c r="D128" s="2" t="s">
        <v>24</v>
      </c>
      <c r="E128" s="2" t="s">
        <v>75</v>
      </c>
      <c r="G128" s="33">
        <v>2043.4899999999998</v>
      </c>
      <c r="H128" s="33">
        <v>2193.4899999999998</v>
      </c>
      <c r="I128" s="33">
        <f t="shared" si="12"/>
        <v>-150</v>
      </c>
      <c r="J128" s="4">
        <f>G128/VLOOKUP(A128,RESUME!$G$3:$I$10,3,FALSE)</f>
        <v>8.2458269999678389E-3</v>
      </c>
      <c r="K128" s="4">
        <f t="shared" si="13"/>
        <v>7.6819429384972259E-3</v>
      </c>
      <c r="L128" s="1" t="str">
        <f>_xlfn.IFNA(VLOOKUP(A128&amp;"-"&amp;B128&amp;"-"&amp;D128,Ref_Account!$A:$F,6,FALSE),"ACCOUNT TIDAK DITEMUKAN")</f>
        <v>1205.630200</v>
      </c>
      <c r="N128" s="1">
        <f t="shared" si="14"/>
        <v>1</v>
      </c>
      <c r="O128" s="59" t="str">
        <f t="shared" si="15"/>
        <v>OVER</v>
      </c>
    </row>
    <row r="129" spans="1:15" x14ac:dyDescent="0.25">
      <c r="A129" s="1" t="s">
        <v>329</v>
      </c>
      <c r="B129" s="36" t="s">
        <v>96</v>
      </c>
      <c r="C129" s="1" t="s">
        <v>97</v>
      </c>
      <c r="D129" s="2" t="s">
        <v>24</v>
      </c>
      <c r="E129" s="2" t="s">
        <v>155</v>
      </c>
      <c r="G129" s="33">
        <v>78109.679999999993</v>
      </c>
      <c r="H129" s="33">
        <v>79525.45</v>
      </c>
      <c r="I129" s="33">
        <f t="shared" si="12"/>
        <v>-1415.7700000000041</v>
      </c>
      <c r="J129" s="4">
        <f>G129/VLOOKUP(A129,RESUME!$G$3:$I$10,3,FALSE)</f>
        <v>0.31518574023011997</v>
      </c>
      <c r="K129" s="4">
        <f t="shared" si="13"/>
        <v>0.30957457405066929</v>
      </c>
      <c r="L129" s="1" t="str">
        <f>_xlfn.IFNA(VLOOKUP(A129&amp;"-"&amp;B129&amp;"-"&amp;D129,Ref_Account!$A:$F,6,FALSE),"ACCOUNT TIDAK DITEMUKAN")</f>
        <v>1205.630110</v>
      </c>
      <c r="N129" s="1">
        <f t="shared" si="14"/>
        <v>1</v>
      </c>
      <c r="O129" s="59" t="str">
        <f t="shared" si="15"/>
        <v>OVER</v>
      </c>
    </row>
    <row r="130" spans="1:15" x14ac:dyDescent="0.25">
      <c r="A130" s="1" t="s">
        <v>329</v>
      </c>
      <c r="B130" s="36" t="s">
        <v>104</v>
      </c>
      <c r="C130" s="1" t="s">
        <v>105</v>
      </c>
      <c r="D130" s="2" t="s">
        <v>24</v>
      </c>
      <c r="E130" s="2" t="s">
        <v>153</v>
      </c>
      <c r="G130" s="33">
        <v>250</v>
      </c>
      <c r="I130" s="33">
        <f t="shared" si="12"/>
        <v>250</v>
      </c>
      <c r="J130" s="4">
        <f>G130/VLOOKUP(A130,RESUME!$G$3:$I$10,3,FALSE)</f>
        <v>1.0087921888494486E-3</v>
      </c>
      <c r="K130" s="4" t="str">
        <f t="shared" si="13"/>
        <v/>
      </c>
      <c r="L130" s="1" t="str">
        <f>_xlfn.IFNA(VLOOKUP(A130&amp;"-"&amp;B130&amp;"-"&amp;D130,Ref_Account!$A:$F,6,FALSE),"ACCOUNT TIDAK DITEMUKAN")</f>
        <v>1205.630770</v>
      </c>
      <c r="N130" s="1">
        <f t="shared" si="14"/>
        <v>1</v>
      </c>
      <c r="O130" s="59" t="str">
        <f t="shared" si="15"/>
        <v>OK</v>
      </c>
    </row>
    <row r="131" spans="1:15" x14ac:dyDescent="0.25">
      <c r="A131" s="1" t="s">
        <v>329</v>
      </c>
      <c r="B131" s="36" t="s">
        <v>106</v>
      </c>
      <c r="C131" s="1" t="s">
        <v>107</v>
      </c>
      <c r="D131" s="2" t="s">
        <v>24</v>
      </c>
      <c r="E131" s="2" t="s">
        <v>153</v>
      </c>
      <c r="G131" s="33">
        <v>250</v>
      </c>
      <c r="I131" s="33">
        <f t="shared" si="12"/>
        <v>250</v>
      </c>
      <c r="J131" s="4">
        <f>G131/VLOOKUP(A131,RESUME!$G$3:$I$10,3,FALSE)</f>
        <v>1.0087921888494486E-3</v>
      </c>
      <c r="K131" s="4" t="str">
        <f t="shared" si="13"/>
        <v/>
      </c>
      <c r="L131" s="1" t="str">
        <f>_xlfn.IFNA(VLOOKUP(A131&amp;"-"&amp;B131&amp;"-"&amp;D131,Ref_Account!$A:$F,6,FALSE),"ACCOUNT TIDAK DITEMUKAN")</f>
        <v>1205.630750</v>
      </c>
      <c r="N131" s="1">
        <f t="shared" si="14"/>
        <v>1</v>
      </c>
      <c r="O131" s="59" t="str">
        <f t="shared" si="15"/>
        <v>OK</v>
      </c>
    </row>
    <row r="132" spans="1:15" x14ac:dyDescent="0.25">
      <c r="A132" s="1" t="s">
        <v>329</v>
      </c>
      <c r="B132" s="36" t="s">
        <v>108</v>
      </c>
      <c r="C132" s="1" t="s">
        <v>109</v>
      </c>
      <c r="D132" s="2" t="s">
        <v>24</v>
      </c>
      <c r="E132" s="2" t="s">
        <v>153</v>
      </c>
      <c r="G132" s="33">
        <v>250</v>
      </c>
      <c r="I132" s="33">
        <f t="shared" si="12"/>
        <v>250</v>
      </c>
      <c r="J132" s="4">
        <f>G132/VLOOKUP(A132,RESUME!$G$3:$I$10,3,FALSE)</f>
        <v>1.0087921888494486E-3</v>
      </c>
      <c r="K132" s="4" t="str">
        <f t="shared" si="13"/>
        <v/>
      </c>
      <c r="L132" s="1" t="str">
        <f>_xlfn.IFNA(VLOOKUP(A132&amp;"-"&amp;B132&amp;"-"&amp;D132,Ref_Account!$A:$F,6,FALSE),"ACCOUNT TIDAK DITEMUKAN")</f>
        <v>1205.630720</v>
      </c>
      <c r="N132" s="1">
        <f t="shared" si="14"/>
        <v>1</v>
      </c>
      <c r="O132" s="59" t="str">
        <f t="shared" si="15"/>
        <v>OK</v>
      </c>
    </row>
    <row r="133" spans="1:15" x14ac:dyDescent="0.25">
      <c r="A133" s="1" t="s">
        <v>329</v>
      </c>
      <c r="B133" s="36" t="s">
        <v>112</v>
      </c>
      <c r="C133" s="1" t="s">
        <v>113</v>
      </c>
      <c r="D133" s="2" t="s">
        <v>24</v>
      </c>
      <c r="E133" s="2" t="s">
        <v>153</v>
      </c>
      <c r="G133" s="33">
        <v>250</v>
      </c>
      <c r="I133" s="33">
        <f t="shared" si="12"/>
        <v>250</v>
      </c>
      <c r="J133" s="4">
        <f>G133/VLOOKUP(A133,RESUME!$G$3:$I$10,3,FALSE)</f>
        <v>1.0087921888494486E-3</v>
      </c>
      <c r="K133" s="4" t="str">
        <f t="shared" si="13"/>
        <v/>
      </c>
      <c r="L133" s="1" t="str">
        <f>_xlfn.IFNA(VLOOKUP(A133&amp;"-"&amp;B133&amp;"-"&amp;D133,Ref_Account!$A:$F,6,FALSE),"ACCOUNT TIDAK DITEMUKAN")</f>
        <v>1205.630730</v>
      </c>
      <c r="N133" s="1">
        <f t="shared" si="14"/>
        <v>1</v>
      </c>
      <c r="O133" s="59" t="str">
        <f t="shared" si="15"/>
        <v>OK</v>
      </c>
    </row>
    <row r="134" spans="1:15" x14ac:dyDescent="0.25">
      <c r="A134" s="1" t="s">
        <v>329</v>
      </c>
      <c r="B134" s="36" t="s">
        <v>146</v>
      </c>
      <c r="C134" s="1" t="s">
        <v>147</v>
      </c>
      <c r="D134" s="2" t="s">
        <v>24</v>
      </c>
      <c r="E134" s="2" t="s">
        <v>148</v>
      </c>
      <c r="G134" s="33">
        <v>10800</v>
      </c>
      <c r="H134" s="33">
        <v>10316.4</v>
      </c>
      <c r="I134" s="33">
        <f t="shared" ref="I134:I165" si="16">G134-H134</f>
        <v>483.60000000000036</v>
      </c>
      <c r="J134" s="4">
        <f>G134/VLOOKUP(A134,RESUME!$G$3:$I$10,3,FALSE)</f>
        <v>4.3579822558296184E-2</v>
      </c>
      <c r="K134" s="4">
        <f t="shared" ref="K134:K165" si="17">IFERROR((G134/H134)*J134,"")</f>
        <v>4.5622705946803038E-2</v>
      </c>
      <c r="L134" s="1" t="str">
        <f>_xlfn.IFNA(VLOOKUP(A134&amp;"-"&amp;B134&amp;"-"&amp;D134,Ref_Account!$A:$F,6,FALSE),"ACCOUNT TIDAK DITEMUKAN")</f>
        <v>1205.801110</v>
      </c>
      <c r="N134" s="1">
        <f t="shared" ref="N134:N164" si="18">IF(L134="ACCOUNT TIDAK DITEMUKAN","9999",COUNTIF($L$6:$L$164,L134))</f>
        <v>1</v>
      </c>
      <c r="O134" s="59" t="str">
        <f t="shared" ref="O134:O164" si="19">IF(I134&gt;0,"OK","OVER")</f>
        <v>OK</v>
      </c>
    </row>
    <row r="135" spans="1:15" x14ac:dyDescent="0.25">
      <c r="A135" s="1" t="s">
        <v>329</v>
      </c>
      <c r="B135" s="36" t="s">
        <v>124</v>
      </c>
      <c r="C135" s="1" t="s">
        <v>125</v>
      </c>
      <c r="D135" s="2" t="s">
        <v>24</v>
      </c>
      <c r="E135" s="2" t="s">
        <v>153</v>
      </c>
      <c r="G135" s="33">
        <v>1500</v>
      </c>
      <c r="H135" s="33">
        <v>2923.11</v>
      </c>
      <c r="I135" s="33">
        <f t="shared" si="16"/>
        <v>-1423.1100000000001</v>
      </c>
      <c r="J135" s="4">
        <f>G135/VLOOKUP(A135,RESUME!$G$3:$I$10,3,FALSE)</f>
        <v>6.0527531330966918E-3</v>
      </c>
      <c r="K135" s="4">
        <f t="shared" si="17"/>
        <v>3.1059829084930219E-3</v>
      </c>
      <c r="L135" s="1" t="str">
        <f>_xlfn.IFNA(VLOOKUP(A135&amp;"-"&amp;B135&amp;"-"&amp;D135,Ref_Account!$A:$F,6,FALSE),"ACCOUNT TIDAK DITEMUKAN")</f>
        <v>1205.631110</v>
      </c>
      <c r="N135" s="1">
        <f t="shared" si="18"/>
        <v>1</v>
      </c>
      <c r="O135" s="59" t="str">
        <f t="shared" si="19"/>
        <v>OVER</v>
      </c>
    </row>
    <row r="136" spans="1:15" x14ac:dyDescent="0.25">
      <c r="A136" s="1" t="s">
        <v>329</v>
      </c>
      <c r="B136" s="36" t="s">
        <v>78</v>
      </c>
      <c r="C136" s="1" t="s">
        <v>79</v>
      </c>
      <c r="D136" s="2" t="s">
        <v>15</v>
      </c>
      <c r="E136" s="2" t="s">
        <v>72</v>
      </c>
      <c r="G136" s="33">
        <v>504.76</v>
      </c>
      <c r="H136" s="33">
        <v>504.76</v>
      </c>
      <c r="I136" s="33">
        <f t="shared" si="16"/>
        <v>0</v>
      </c>
      <c r="J136" s="4">
        <f>G136/VLOOKUP(A136,RESUME!$G$3:$I$10,3,FALSE)</f>
        <v>2.0367917809745906E-3</v>
      </c>
      <c r="K136" s="4">
        <f t="shared" si="17"/>
        <v>2.0367917809745906E-3</v>
      </c>
      <c r="L136" s="1" t="str">
        <f>_xlfn.IFNA(VLOOKUP(A136&amp;"-"&amp;B136&amp;"-"&amp;D136,Ref_Account!$A:$F,6,FALSE),"ACCOUNT TIDAK DITEMUKAN")</f>
        <v>1204.813100</v>
      </c>
      <c r="N136" s="1">
        <f t="shared" si="18"/>
        <v>1</v>
      </c>
      <c r="O136" s="59" t="str">
        <f t="shared" si="19"/>
        <v>OVER</v>
      </c>
    </row>
    <row r="137" spans="1:15" x14ac:dyDescent="0.25">
      <c r="A137" s="1" t="s">
        <v>329</v>
      </c>
      <c r="B137" s="36" t="s">
        <v>93</v>
      </c>
      <c r="C137" s="1" t="s">
        <v>94</v>
      </c>
      <c r="D137" s="2" t="s">
        <v>15</v>
      </c>
      <c r="E137" s="2" t="s">
        <v>95</v>
      </c>
      <c r="G137" s="33">
        <v>5702.68</v>
      </c>
      <c r="H137" s="33">
        <v>-125.09</v>
      </c>
      <c r="I137" s="33">
        <f t="shared" si="16"/>
        <v>5827.77</v>
      </c>
      <c r="J137" s="4">
        <f>G137/VLOOKUP(A137,RESUME!$G$3:$I$10,3,FALSE)</f>
        <v>2.3011276158031897E-2</v>
      </c>
      <c r="K137" s="4">
        <f t="shared" si="17"/>
        <v>-1.0490522369564741</v>
      </c>
      <c r="L137" s="1" t="str">
        <f>_xlfn.IFNA(VLOOKUP(A137&amp;"-"&amp;B137&amp;"-"&amp;D137,Ref_Account!$A:$F,6,FALSE),"ACCOUNT TIDAK DITEMUKAN")</f>
        <v>1204.801160</v>
      </c>
      <c r="N137" s="1">
        <f t="shared" si="18"/>
        <v>1</v>
      </c>
      <c r="O137" s="59" t="str">
        <f t="shared" si="19"/>
        <v>OK</v>
      </c>
    </row>
    <row r="138" spans="1:15" x14ac:dyDescent="0.25">
      <c r="A138" s="1" t="s">
        <v>329</v>
      </c>
      <c r="B138" s="36" t="s">
        <v>102</v>
      </c>
      <c r="C138" s="1" t="s">
        <v>103</v>
      </c>
      <c r="D138" s="2" t="s">
        <v>15</v>
      </c>
      <c r="E138" s="2" t="s">
        <v>75</v>
      </c>
      <c r="G138" s="33">
        <v>700</v>
      </c>
      <c r="H138" s="33">
        <v>768.14</v>
      </c>
      <c r="I138" s="33">
        <f t="shared" si="16"/>
        <v>-68.139999999999986</v>
      </c>
      <c r="J138" s="4">
        <f>G138/VLOOKUP(A138,RESUME!$G$3:$I$10,3,FALSE)</f>
        <v>2.8246181287784563E-3</v>
      </c>
      <c r="K138" s="4">
        <f t="shared" si="17"/>
        <v>2.5740525036385548E-3</v>
      </c>
      <c r="L138" s="1" t="str">
        <f>_xlfn.IFNA(VLOOKUP(A138&amp;"-"&amp;B138&amp;"-"&amp;D138,Ref_Account!$A:$F,6,FALSE),"ACCOUNT TIDAK DITEMUKAN")</f>
        <v>1204.630710</v>
      </c>
      <c r="N138" s="1">
        <f t="shared" si="18"/>
        <v>1</v>
      </c>
      <c r="O138" s="59" t="str">
        <f t="shared" si="19"/>
        <v>OVER</v>
      </c>
    </row>
    <row r="139" spans="1:15" x14ac:dyDescent="0.25">
      <c r="A139" s="1" t="s">
        <v>329</v>
      </c>
      <c r="B139" s="36" t="s">
        <v>114</v>
      </c>
      <c r="C139" s="1" t="s">
        <v>115</v>
      </c>
      <c r="D139" s="2" t="s">
        <v>15</v>
      </c>
      <c r="E139" s="2" t="s">
        <v>75</v>
      </c>
      <c r="G139" s="33">
        <v>300</v>
      </c>
      <c r="I139" s="33">
        <f t="shared" si="16"/>
        <v>300</v>
      </c>
      <c r="J139" s="4">
        <f>G139/VLOOKUP(A139,RESUME!$G$3:$I$10,3,FALSE)</f>
        <v>1.2105506266193384E-3</v>
      </c>
      <c r="K139" s="4" t="str">
        <f t="shared" si="17"/>
        <v/>
      </c>
      <c r="L139" s="1" t="str">
        <f>_xlfn.IFNA(VLOOKUP(A139&amp;"-"&amp;B139&amp;"-"&amp;D139,Ref_Account!$A:$F,6,FALSE),"ACCOUNT TIDAK DITEMUKAN")</f>
        <v>1204.630740</v>
      </c>
      <c r="N139" s="1">
        <f t="shared" si="18"/>
        <v>1</v>
      </c>
      <c r="O139" s="59" t="str">
        <f t="shared" si="19"/>
        <v>OK</v>
      </c>
    </row>
    <row r="140" spans="1:15" x14ac:dyDescent="0.25">
      <c r="A140" s="1" t="s">
        <v>329</v>
      </c>
      <c r="B140" s="36" t="s">
        <v>118</v>
      </c>
      <c r="C140" s="1" t="s">
        <v>119</v>
      </c>
      <c r="D140" s="2" t="s">
        <v>15</v>
      </c>
      <c r="E140" s="2" t="s">
        <v>95</v>
      </c>
      <c r="G140" s="33">
        <v>3500</v>
      </c>
      <c r="H140" s="33">
        <v>3699.04</v>
      </c>
      <c r="I140" s="33">
        <f t="shared" si="16"/>
        <v>-199.03999999999996</v>
      </c>
      <c r="J140" s="4">
        <f>G140/VLOOKUP(A140,RESUME!$G$3:$I$10,3,FALSE)</f>
        <v>1.4123090643892281E-2</v>
      </c>
      <c r="K140" s="4">
        <f t="shared" si="17"/>
        <v>1.3363147533852832E-2</v>
      </c>
      <c r="L140" s="1" t="str">
        <f>_xlfn.IFNA(VLOOKUP(A140&amp;"-"&amp;B140&amp;"-"&amp;D140,Ref_Account!$A:$F,6,FALSE),"ACCOUNT TIDAK DITEMUKAN")</f>
        <v>1204.630130</v>
      </c>
      <c r="N140" s="1">
        <f t="shared" si="18"/>
        <v>1</v>
      </c>
      <c r="O140" s="59" t="str">
        <f t="shared" si="19"/>
        <v>OVER</v>
      </c>
    </row>
    <row r="141" spans="1:15" x14ac:dyDescent="0.25">
      <c r="A141" s="1" t="s">
        <v>329</v>
      </c>
      <c r="B141" s="36" t="s">
        <v>130</v>
      </c>
      <c r="C141" s="1" t="s">
        <v>156</v>
      </c>
      <c r="D141" s="2" t="s">
        <v>15</v>
      </c>
      <c r="E141" s="2" t="s">
        <v>75</v>
      </c>
      <c r="G141" s="33">
        <v>512.71</v>
      </c>
      <c r="H141" s="33">
        <v>512.71</v>
      </c>
      <c r="I141" s="33">
        <f t="shared" si="16"/>
        <v>0</v>
      </c>
      <c r="J141" s="4">
        <f>G141/VLOOKUP(A141,RESUME!$G$3:$I$10,3,FALSE)</f>
        <v>2.0688713725800032E-3</v>
      </c>
      <c r="K141" s="4">
        <f t="shared" si="17"/>
        <v>2.0688713725800032E-3</v>
      </c>
      <c r="L141" s="1" t="str">
        <f>_xlfn.IFNA(VLOOKUP(A141&amp;"-"&amp;B141&amp;"-"&amp;D141,Ref_Account!$A:$F,6,FALSE),"ACCOUNT TIDAK DITEMUKAN")</f>
        <v>1204.815110</v>
      </c>
      <c r="N141" s="1">
        <f t="shared" si="18"/>
        <v>1</v>
      </c>
      <c r="O141" s="59" t="str">
        <f t="shared" si="19"/>
        <v>OVER</v>
      </c>
    </row>
    <row r="142" spans="1:15" x14ac:dyDescent="0.25">
      <c r="A142" s="1" t="s">
        <v>329</v>
      </c>
      <c r="B142" s="36" t="s">
        <v>21</v>
      </c>
      <c r="C142" s="1" t="s">
        <v>152</v>
      </c>
      <c r="D142" s="2" t="s">
        <v>15</v>
      </c>
      <c r="E142" s="2" t="s">
        <v>75</v>
      </c>
      <c r="G142" s="33">
        <v>754.58</v>
      </c>
      <c r="H142" s="33">
        <v>735.02</v>
      </c>
      <c r="I142" s="33">
        <f t="shared" si="16"/>
        <v>19.560000000000059</v>
      </c>
      <c r="J142" s="4">
        <f>G142/VLOOKUP(A142,RESUME!$G$3:$I$10,3,FALSE)</f>
        <v>3.0448576394480681E-3</v>
      </c>
      <c r="K142" s="4">
        <f t="shared" si="17"/>
        <v>3.1258859317769899E-3</v>
      </c>
      <c r="L142" s="1" t="str">
        <f>_xlfn.IFNA(VLOOKUP(A142&amp;"-"&amp;B142&amp;"-"&amp;D142,Ref_Account!$A:$F,6,FALSE),"ACCOUNT TIDAK DITEMUKAN")</f>
        <v>1204.631100</v>
      </c>
      <c r="N142" s="1">
        <f t="shared" si="18"/>
        <v>3</v>
      </c>
      <c r="O142" s="59" t="str">
        <f t="shared" si="19"/>
        <v>OK</v>
      </c>
    </row>
    <row r="143" spans="1:15" x14ac:dyDescent="0.25">
      <c r="A143" s="1" t="s">
        <v>329</v>
      </c>
      <c r="B143" s="36" t="s">
        <v>68</v>
      </c>
      <c r="C143" s="1" t="s">
        <v>69</v>
      </c>
      <c r="D143" s="2" t="s">
        <v>15</v>
      </c>
      <c r="E143" s="2" t="s">
        <v>157</v>
      </c>
      <c r="I143" s="33">
        <f t="shared" si="16"/>
        <v>0</v>
      </c>
      <c r="J143" s="4">
        <f>G143/VLOOKUP(A143,RESUME!$G$3:$I$10,3,FALSE)</f>
        <v>0</v>
      </c>
      <c r="K143" s="4" t="str">
        <f t="shared" si="17"/>
        <v/>
      </c>
      <c r="L143" s="1" t="str">
        <f>_xlfn.IFNA(VLOOKUP(A143&amp;"-"&amp;B143&amp;"-"&amp;D143,Ref_Account!$A:$F,6,FALSE),"ACCOUNT TIDAK DITEMUKAN")</f>
        <v>1204.720500</v>
      </c>
      <c r="N143" s="1">
        <f t="shared" si="18"/>
        <v>1</v>
      </c>
      <c r="O143" s="59" t="str">
        <f t="shared" si="19"/>
        <v>OVER</v>
      </c>
    </row>
    <row r="144" spans="1:15" x14ac:dyDescent="0.25">
      <c r="A144" s="1" t="s">
        <v>329</v>
      </c>
      <c r="B144" s="36" t="s">
        <v>70</v>
      </c>
      <c r="C144" s="1" t="s">
        <v>71</v>
      </c>
      <c r="D144" s="2" t="s">
        <v>15</v>
      </c>
      <c r="E144" s="2" t="s">
        <v>72</v>
      </c>
      <c r="G144" s="33">
        <v>5672.9500000000007</v>
      </c>
      <c r="H144" s="33">
        <v>6068.77</v>
      </c>
      <c r="I144" s="33">
        <f t="shared" si="16"/>
        <v>-395.81999999999971</v>
      </c>
      <c r="J144" s="4">
        <f>G144/VLOOKUP(A144,RESUME!$G$3:$I$10,3,FALSE)</f>
        <v>2.2891310590933921E-2</v>
      </c>
      <c r="K144" s="4">
        <f t="shared" si="17"/>
        <v>2.1398283411109432E-2</v>
      </c>
      <c r="L144" s="1" t="str">
        <f>_xlfn.IFNA(VLOOKUP(A144&amp;"-"&amp;B144&amp;"-"&amp;D144,Ref_Account!$A:$F,6,FALSE),"ACCOUNT TIDAK DITEMUKAN")</f>
        <v>1204.812100</v>
      </c>
      <c r="N144" s="1">
        <f t="shared" si="18"/>
        <v>1</v>
      </c>
      <c r="O144" s="59" t="str">
        <f t="shared" si="19"/>
        <v>OVER</v>
      </c>
    </row>
    <row r="145" spans="1:15" x14ac:dyDescent="0.25">
      <c r="A145" s="1" t="s">
        <v>329</v>
      </c>
      <c r="B145" s="36" t="s">
        <v>76</v>
      </c>
      <c r="C145" s="1" t="s">
        <v>77</v>
      </c>
      <c r="D145" s="2" t="s">
        <v>15</v>
      </c>
      <c r="E145" s="2" t="s">
        <v>75</v>
      </c>
      <c r="G145" s="33">
        <v>4918.54</v>
      </c>
      <c r="H145" s="33">
        <v>10036.620000000001</v>
      </c>
      <c r="I145" s="33">
        <f t="shared" si="16"/>
        <v>-5118.0800000000008</v>
      </c>
      <c r="J145" s="4">
        <f>G145/VLOOKUP(A145,RESUME!$G$3:$I$10,3,FALSE)</f>
        <v>1.9847138930174268E-2</v>
      </c>
      <c r="K145" s="4">
        <f t="shared" si="17"/>
        <v>9.726277044823789E-3</v>
      </c>
      <c r="L145" s="1" t="str">
        <f>_xlfn.IFNA(VLOOKUP(A145&amp;"-"&amp;B145&amp;"-"&amp;D145,Ref_Account!$A:$F,6,FALSE),"ACCOUNT TIDAK DITEMUKAN")</f>
        <v>1204.630400</v>
      </c>
      <c r="N145" s="1">
        <f t="shared" si="18"/>
        <v>1</v>
      </c>
      <c r="O145" s="59" t="str">
        <f t="shared" si="19"/>
        <v>OVER</v>
      </c>
    </row>
    <row r="146" spans="1:15" x14ac:dyDescent="0.25">
      <c r="A146" s="1" t="s">
        <v>329</v>
      </c>
      <c r="B146" s="36" t="s">
        <v>80</v>
      </c>
      <c r="C146" s="1" t="s">
        <v>81</v>
      </c>
      <c r="D146" s="2" t="s">
        <v>15</v>
      </c>
      <c r="E146" s="2" t="s">
        <v>158</v>
      </c>
      <c r="G146" s="33">
        <v>1600</v>
      </c>
      <c r="H146" s="33">
        <v>1611.02</v>
      </c>
      <c r="I146" s="33">
        <f t="shared" si="16"/>
        <v>-11.019999999999982</v>
      </c>
      <c r="J146" s="4">
        <f>G146/VLOOKUP(A146,RESUME!$G$3:$I$10,3,FALSE)</f>
        <v>6.4562700086364709E-3</v>
      </c>
      <c r="K146" s="4">
        <f t="shared" si="17"/>
        <v>6.4121066242618669E-3</v>
      </c>
      <c r="L146" s="1" t="str">
        <f>_xlfn.IFNA(VLOOKUP(A146&amp;"-"&amp;B146&amp;"-"&amp;D146,Ref_Account!$A:$F,6,FALSE),"ACCOUNT TIDAK DITEMUKAN")</f>
        <v>1204.630300</v>
      </c>
      <c r="N146" s="1">
        <f t="shared" si="18"/>
        <v>1</v>
      </c>
      <c r="O146" s="59" t="str">
        <f t="shared" si="19"/>
        <v>OVER</v>
      </c>
    </row>
    <row r="147" spans="1:15" x14ac:dyDescent="0.25">
      <c r="A147" s="1" t="s">
        <v>329</v>
      </c>
      <c r="B147" s="36" t="s">
        <v>154</v>
      </c>
      <c r="C147" s="1" t="s">
        <v>84</v>
      </c>
      <c r="D147" s="2" t="s">
        <v>15</v>
      </c>
      <c r="E147" s="2" t="s">
        <v>75</v>
      </c>
      <c r="G147" s="33">
        <v>3106.38</v>
      </c>
      <c r="H147" s="33">
        <v>3273.37</v>
      </c>
      <c r="I147" s="33">
        <f t="shared" si="16"/>
        <v>-166.98999999999978</v>
      </c>
      <c r="J147" s="4">
        <f>G147/VLOOKUP(A147,RESUME!$G$3:$I$10,3,FALSE)</f>
        <v>1.2534767518392602E-2</v>
      </c>
      <c r="K147" s="4">
        <f t="shared" si="17"/>
        <v>1.1895310069984271E-2</v>
      </c>
      <c r="L147" s="1" t="str">
        <f>_xlfn.IFNA(VLOOKUP(A147&amp;"-"&amp;B147&amp;"-"&amp;D147,Ref_Account!$A:$F,6,FALSE),"ACCOUNT TIDAK DITEMUKAN")</f>
        <v>1204.630200</v>
      </c>
      <c r="N147" s="1">
        <f t="shared" si="18"/>
        <v>1</v>
      </c>
      <c r="O147" s="59" t="str">
        <f t="shared" si="19"/>
        <v>OVER</v>
      </c>
    </row>
    <row r="148" spans="1:15" x14ac:dyDescent="0.25">
      <c r="A148" s="1" t="s">
        <v>329</v>
      </c>
      <c r="B148" s="36" t="s">
        <v>96</v>
      </c>
      <c r="C148" s="1" t="s">
        <v>97</v>
      </c>
      <c r="D148" s="2" t="s">
        <v>15</v>
      </c>
      <c r="E148" s="2" t="s">
        <v>157</v>
      </c>
      <c r="G148" s="33">
        <v>97892.700000000012</v>
      </c>
      <c r="H148" s="33">
        <v>96162.38</v>
      </c>
      <c r="I148" s="33">
        <f t="shared" si="16"/>
        <v>1730.320000000007</v>
      </c>
      <c r="J148" s="4">
        <f>G148/VLOOKUP(A148,RESUME!$G$3:$I$10,3,FALSE)</f>
        <v>0.39501356442152974</v>
      </c>
      <c r="K148" s="4">
        <f t="shared" si="17"/>
        <v>0.4021213322491341</v>
      </c>
      <c r="L148" s="1" t="str">
        <f>_xlfn.IFNA(VLOOKUP(A148&amp;"-"&amp;B148&amp;"-"&amp;D148,Ref_Account!$A:$F,6,FALSE),"ACCOUNT TIDAK DITEMUKAN")</f>
        <v>1204.630110</v>
      </c>
      <c r="N148" s="1">
        <f t="shared" si="18"/>
        <v>1</v>
      </c>
      <c r="O148" s="59" t="str">
        <f t="shared" si="19"/>
        <v>OK</v>
      </c>
    </row>
    <row r="149" spans="1:15" x14ac:dyDescent="0.25">
      <c r="A149" s="1" t="s">
        <v>329</v>
      </c>
      <c r="B149" s="36" t="s">
        <v>104</v>
      </c>
      <c r="C149" s="1" t="s">
        <v>105</v>
      </c>
      <c r="D149" s="2" t="s">
        <v>15</v>
      </c>
      <c r="E149" s="2" t="s">
        <v>158</v>
      </c>
      <c r="G149" s="33">
        <v>300</v>
      </c>
      <c r="I149" s="33">
        <f t="shared" si="16"/>
        <v>300</v>
      </c>
      <c r="J149" s="4">
        <f>G149/VLOOKUP(A149,RESUME!$G$3:$I$10,3,FALSE)</f>
        <v>1.2105506266193384E-3</v>
      </c>
      <c r="K149" s="4" t="str">
        <f t="shared" si="17"/>
        <v/>
      </c>
      <c r="L149" s="1" t="str">
        <f>_xlfn.IFNA(VLOOKUP(A149&amp;"-"&amp;B149&amp;"-"&amp;D149,Ref_Account!$A:$F,6,FALSE),"ACCOUNT TIDAK DITEMUKAN")</f>
        <v>1204.630770</v>
      </c>
      <c r="N149" s="1">
        <f t="shared" si="18"/>
        <v>1</v>
      </c>
      <c r="O149" s="59" t="str">
        <f t="shared" si="19"/>
        <v>OK</v>
      </c>
    </row>
    <row r="150" spans="1:15" x14ac:dyDescent="0.25">
      <c r="A150" s="1" t="s">
        <v>329</v>
      </c>
      <c r="B150" s="36" t="s">
        <v>106</v>
      </c>
      <c r="C150" s="1" t="s">
        <v>107</v>
      </c>
      <c r="D150" s="2" t="s">
        <v>15</v>
      </c>
      <c r="E150" s="2" t="s">
        <v>158</v>
      </c>
      <c r="G150" s="33">
        <v>300</v>
      </c>
      <c r="I150" s="33">
        <f t="shared" si="16"/>
        <v>300</v>
      </c>
      <c r="J150" s="4">
        <f>G150/VLOOKUP(A150,RESUME!$G$3:$I$10,3,FALSE)</f>
        <v>1.2105506266193384E-3</v>
      </c>
      <c r="K150" s="4" t="str">
        <f t="shared" si="17"/>
        <v/>
      </c>
      <c r="L150" s="1" t="str">
        <f>_xlfn.IFNA(VLOOKUP(A150&amp;"-"&amp;B150&amp;"-"&amp;D150,Ref_Account!$A:$F,6,FALSE),"ACCOUNT TIDAK DITEMUKAN")</f>
        <v>1204.630750</v>
      </c>
      <c r="N150" s="1">
        <f t="shared" si="18"/>
        <v>1</v>
      </c>
      <c r="O150" s="59" t="str">
        <f t="shared" si="19"/>
        <v>OK</v>
      </c>
    </row>
    <row r="151" spans="1:15" x14ac:dyDescent="0.25">
      <c r="A151" s="1" t="s">
        <v>329</v>
      </c>
      <c r="B151" s="36" t="s">
        <v>108</v>
      </c>
      <c r="C151" s="1" t="s">
        <v>109</v>
      </c>
      <c r="D151" s="2" t="s">
        <v>15</v>
      </c>
      <c r="E151" s="2" t="s">
        <v>158</v>
      </c>
      <c r="G151" s="33">
        <v>300</v>
      </c>
      <c r="H151" s="33">
        <v>5264.88</v>
      </c>
      <c r="I151" s="33">
        <f t="shared" si="16"/>
        <v>-4964.88</v>
      </c>
      <c r="J151" s="4">
        <f>G151/VLOOKUP(A151,RESUME!$G$3:$I$10,3,FALSE)</f>
        <v>1.2105506266193384E-3</v>
      </c>
      <c r="K151" s="4">
        <f t="shared" si="17"/>
        <v>6.897881584875657E-5</v>
      </c>
      <c r="L151" s="1" t="str">
        <f>_xlfn.IFNA(VLOOKUP(A151&amp;"-"&amp;B151&amp;"-"&amp;D151,Ref_Account!$A:$F,6,FALSE),"ACCOUNT TIDAK DITEMUKAN")</f>
        <v>1204.630720</v>
      </c>
      <c r="N151" s="1">
        <f t="shared" si="18"/>
        <v>1</v>
      </c>
      <c r="O151" s="59" t="str">
        <f t="shared" si="19"/>
        <v>OVER</v>
      </c>
    </row>
    <row r="152" spans="1:15" x14ac:dyDescent="0.25">
      <c r="A152" s="1" t="s">
        <v>329</v>
      </c>
      <c r="B152" s="36" t="s">
        <v>112</v>
      </c>
      <c r="C152" s="1" t="s">
        <v>113</v>
      </c>
      <c r="D152" s="2" t="s">
        <v>15</v>
      </c>
      <c r="E152" s="2" t="s">
        <v>158</v>
      </c>
      <c r="G152" s="33">
        <v>300</v>
      </c>
      <c r="I152" s="33">
        <f t="shared" si="16"/>
        <v>300</v>
      </c>
      <c r="J152" s="4">
        <f>G152/VLOOKUP(A152,RESUME!$G$3:$I$10,3,FALSE)</f>
        <v>1.2105506266193384E-3</v>
      </c>
      <c r="K152" s="4" t="str">
        <f t="shared" si="17"/>
        <v/>
      </c>
      <c r="L152" s="1" t="str">
        <f>_xlfn.IFNA(VLOOKUP(A152&amp;"-"&amp;B152&amp;"-"&amp;D152,Ref_Account!$A:$F,6,FALSE),"ACCOUNT TIDAK DITEMUKAN")</f>
        <v>1204.630730</v>
      </c>
      <c r="N152" s="1">
        <f t="shared" si="18"/>
        <v>1</v>
      </c>
      <c r="O152" s="59" t="str">
        <f t="shared" si="19"/>
        <v>OK</v>
      </c>
    </row>
    <row r="153" spans="1:15" x14ac:dyDescent="0.25">
      <c r="A153" s="1" t="s">
        <v>329</v>
      </c>
      <c r="B153" s="36" t="s">
        <v>124</v>
      </c>
      <c r="C153" s="1" t="s">
        <v>125</v>
      </c>
      <c r="D153" s="2" t="s">
        <v>15</v>
      </c>
      <c r="E153" s="2" t="s">
        <v>158</v>
      </c>
      <c r="G153" s="33">
        <v>2346.61</v>
      </c>
      <c r="H153" s="33">
        <v>7431.88</v>
      </c>
      <c r="I153" s="33">
        <f t="shared" si="16"/>
        <v>-5085.2700000000004</v>
      </c>
      <c r="J153" s="4">
        <f>G153/VLOOKUP(A153,RESUME!$G$3:$I$10,3,FALSE)</f>
        <v>9.46896735310402E-3</v>
      </c>
      <c r="K153" s="4">
        <f t="shared" si="17"/>
        <v>2.9898186569841585E-3</v>
      </c>
      <c r="L153" s="1" t="str">
        <f>_xlfn.IFNA(VLOOKUP(A153&amp;"-"&amp;B153&amp;"-"&amp;D153,Ref_Account!$A:$F,6,FALSE),"ACCOUNT TIDAK DITEMUKAN")</f>
        <v>1204.631110</v>
      </c>
      <c r="N153" s="1">
        <f t="shared" si="18"/>
        <v>1</v>
      </c>
      <c r="O153" s="59" t="str">
        <f t="shared" si="19"/>
        <v>OVER</v>
      </c>
    </row>
    <row r="154" spans="1:15" x14ac:dyDescent="0.25">
      <c r="A154" s="1" t="s">
        <v>329</v>
      </c>
      <c r="B154" s="36" t="s">
        <v>126</v>
      </c>
      <c r="C154" s="1" t="s">
        <v>127</v>
      </c>
      <c r="D154" s="2" t="s">
        <v>15</v>
      </c>
      <c r="E154" s="2" t="s">
        <v>158</v>
      </c>
      <c r="G154" s="33">
        <v>483</v>
      </c>
      <c r="I154" s="33">
        <f t="shared" si="16"/>
        <v>483</v>
      </c>
      <c r="J154" s="4">
        <f>G154/VLOOKUP(A154,RESUME!$G$3:$I$10,3,FALSE)</f>
        <v>1.9489865088571348E-3</v>
      </c>
      <c r="K154" s="4" t="str">
        <f t="shared" si="17"/>
        <v/>
      </c>
      <c r="L154" s="1" t="str">
        <f>_xlfn.IFNA(VLOOKUP(A154&amp;"-"&amp;B154&amp;"-"&amp;D154,Ref_Account!$A:$F,6,FALSE),"ACCOUNT TIDAK DITEMUKAN")</f>
        <v>1204.631140</v>
      </c>
      <c r="N154" s="1">
        <f t="shared" si="18"/>
        <v>1</v>
      </c>
      <c r="O154" s="59" t="str">
        <f t="shared" si="19"/>
        <v>OK</v>
      </c>
    </row>
    <row r="155" spans="1:15" x14ac:dyDescent="0.25">
      <c r="A155" s="1" t="s">
        <v>159</v>
      </c>
      <c r="B155" s="36" t="s">
        <v>160</v>
      </c>
      <c r="C155" s="1" t="s">
        <v>161</v>
      </c>
      <c r="D155" s="2" t="s">
        <v>13</v>
      </c>
      <c r="E155" s="2" t="s">
        <v>75</v>
      </c>
      <c r="G155" s="33">
        <v>943.01</v>
      </c>
      <c r="H155" s="33">
        <v>6118.58</v>
      </c>
      <c r="I155" s="33">
        <f t="shared" si="16"/>
        <v>-5175.57</v>
      </c>
      <c r="J155" s="4">
        <f>G155/VLOOKUP(A155,RESUME!$G$3:$I$10,3,FALSE)</f>
        <v>1.0674639092355137E-2</v>
      </c>
      <c r="K155" s="4">
        <f t="shared" si="17"/>
        <v>1.6452005874699387E-3</v>
      </c>
      <c r="L155" s="1" t="str">
        <f>_xlfn.IFNA(VLOOKUP(A155&amp;"-"&amp;B155&amp;"-"&amp;D155,Ref_Account!$A:$F,6,FALSE),"ACCOUNT TIDAK DITEMUKAN")</f>
        <v>1201.816120</v>
      </c>
      <c r="N155" s="1">
        <f t="shared" si="18"/>
        <v>1</v>
      </c>
      <c r="O155" s="59" t="str">
        <f t="shared" si="19"/>
        <v>OVER</v>
      </c>
    </row>
    <row r="156" spans="1:15" x14ac:dyDescent="0.25">
      <c r="A156" s="1" t="s">
        <v>159</v>
      </c>
      <c r="B156" s="36" t="s">
        <v>162</v>
      </c>
      <c r="C156" s="1" t="s">
        <v>163</v>
      </c>
      <c r="D156" s="2" t="s">
        <v>13</v>
      </c>
      <c r="E156" s="2" t="s">
        <v>72</v>
      </c>
      <c r="G156" s="33">
        <v>3000</v>
      </c>
      <c r="H156" s="33">
        <v>1795.09</v>
      </c>
      <c r="I156" s="33">
        <f t="shared" si="16"/>
        <v>1204.9100000000001</v>
      </c>
      <c r="J156" s="4">
        <f>G156/VLOOKUP(A156,RESUME!$G$3:$I$10,3,FALSE)</f>
        <v>3.3959255232781635E-2</v>
      </c>
      <c r="K156" s="4">
        <f t="shared" si="17"/>
        <v>5.6753569847943504E-2</v>
      </c>
      <c r="L156" s="1" t="str">
        <f>_xlfn.IFNA(VLOOKUP(A156&amp;"-"&amp;B156&amp;"-"&amp;D156,Ref_Account!$A:$F,6,FALSE),"ACCOUNT TIDAK DITEMUKAN")</f>
        <v>1201.920410</v>
      </c>
      <c r="N156" s="1">
        <f t="shared" si="18"/>
        <v>1</v>
      </c>
      <c r="O156" s="59" t="str">
        <f t="shared" si="19"/>
        <v>OK</v>
      </c>
    </row>
    <row r="157" spans="1:15" x14ac:dyDescent="0.25">
      <c r="A157" s="1" t="s">
        <v>159</v>
      </c>
      <c r="B157" s="36" t="s">
        <v>164</v>
      </c>
      <c r="C157" s="1" t="s">
        <v>165</v>
      </c>
      <c r="D157" s="2" t="s">
        <v>13</v>
      </c>
      <c r="E157" s="2" t="s">
        <v>166</v>
      </c>
      <c r="G157" s="33">
        <v>27000</v>
      </c>
      <c r="H157" s="33">
        <v>23517.599999999999</v>
      </c>
      <c r="I157" s="33">
        <f t="shared" si="16"/>
        <v>3482.4000000000015</v>
      </c>
      <c r="J157" s="4">
        <f>G157/VLOOKUP(A157,RESUME!$G$3:$I$10,3,FALSE)</f>
        <v>0.30563329709503473</v>
      </c>
      <c r="K157" s="4">
        <f t="shared" si="17"/>
        <v>0.35089035537495056</v>
      </c>
      <c r="L157" s="1" t="str">
        <f>_xlfn.IFNA(VLOOKUP(A157&amp;"-"&amp;B157&amp;"-"&amp;D157,Ref_Account!$A:$F,6,FALSE),"ACCOUNT TIDAK DITEMUKAN")</f>
        <v>1201.920120</v>
      </c>
      <c r="N157" s="1">
        <f t="shared" si="18"/>
        <v>1</v>
      </c>
      <c r="O157" s="59" t="str">
        <f t="shared" si="19"/>
        <v>OK</v>
      </c>
    </row>
    <row r="158" spans="1:15" x14ac:dyDescent="0.25">
      <c r="A158" s="1" t="s">
        <v>159</v>
      </c>
      <c r="B158" s="36" t="s">
        <v>167</v>
      </c>
      <c r="C158" s="1" t="s">
        <v>168</v>
      </c>
      <c r="D158" s="2" t="s">
        <v>13</v>
      </c>
      <c r="E158" s="2" t="s">
        <v>72</v>
      </c>
      <c r="G158" s="33">
        <v>743.73</v>
      </c>
      <c r="H158" s="33">
        <v>743.73</v>
      </c>
      <c r="I158" s="33">
        <f t="shared" si="16"/>
        <v>0</v>
      </c>
      <c r="J158" s="4">
        <f>G158/VLOOKUP(A158,RESUME!$G$3:$I$10,3,FALSE)</f>
        <v>8.4188389647588957E-3</v>
      </c>
      <c r="K158" s="4">
        <f t="shared" si="17"/>
        <v>8.4188389647588957E-3</v>
      </c>
      <c r="L158" s="1" t="str">
        <f>_xlfn.IFNA(VLOOKUP(A158&amp;"-"&amp;B158&amp;"-"&amp;D158,Ref_Account!$A:$F,6,FALSE),"ACCOUNT TIDAK DITEMUKAN")</f>
        <v>1201.805120</v>
      </c>
      <c r="N158" s="1">
        <f t="shared" si="18"/>
        <v>1</v>
      </c>
      <c r="O158" s="59" t="str">
        <f t="shared" si="19"/>
        <v>OVER</v>
      </c>
    </row>
    <row r="159" spans="1:15" x14ac:dyDescent="0.25">
      <c r="A159" s="1" t="s">
        <v>159</v>
      </c>
      <c r="B159" s="36" t="s">
        <v>169</v>
      </c>
      <c r="C159" s="1" t="s">
        <v>170</v>
      </c>
      <c r="D159" s="2" t="s">
        <v>13</v>
      </c>
      <c r="E159" s="2" t="s">
        <v>171</v>
      </c>
      <c r="G159" s="33">
        <v>2000</v>
      </c>
      <c r="H159" s="33">
        <v>883.08</v>
      </c>
      <c r="I159" s="33">
        <f t="shared" si="16"/>
        <v>1116.92</v>
      </c>
      <c r="J159" s="4">
        <f>G159/VLOOKUP(A159,RESUME!$G$3:$I$10,3,FALSE)</f>
        <v>2.263950348852109E-2</v>
      </c>
      <c r="K159" s="4">
        <f t="shared" si="17"/>
        <v>5.1273958165785859E-2</v>
      </c>
      <c r="L159" s="1" t="str">
        <f>_xlfn.IFNA(VLOOKUP(A159&amp;"-"&amp;B159&amp;"-"&amp;D159,Ref_Account!$A:$F,6,FALSE),"ACCOUNT TIDAK DITEMUKAN")</f>
        <v>1201.920700</v>
      </c>
      <c r="N159" s="1">
        <f t="shared" si="18"/>
        <v>1</v>
      </c>
      <c r="O159" s="59" t="str">
        <f t="shared" si="19"/>
        <v>OK</v>
      </c>
    </row>
    <row r="160" spans="1:15" x14ac:dyDescent="0.25">
      <c r="A160" s="1" t="s">
        <v>159</v>
      </c>
      <c r="B160" s="36" t="s">
        <v>169</v>
      </c>
      <c r="C160" s="1" t="s">
        <v>170</v>
      </c>
      <c r="D160" s="2" t="s">
        <v>101</v>
      </c>
      <c r="E160" s="2" t="s">
        <v>171</v>
      </c>
      <c r="G160" s="33">
        <v>1000</v>
      </c>
      <c r="H160" s="33">
        <v>91.75</v>
      </c>
      <c r="I160" s="33">
        <f t="shared" si="16"/>
        <v>908.25</v>
      </c>
      <c r="J160" s="4">
        <f>G160/VLOOKUP(A160,RESUME!$G$3:$I$10,3,FALSE)</f>
        <v>1.1319751744260545E-2</v>
      </c>
      <c r="K160" s="4">
        <f t="shared" si="17"/>
        <v>0.12337604080937922</v>
      </c>
      <c r="L160" s="1" t="str">
        <f>_xlfn.IFNA(VLOOKUP(A160&amp;"-"&amp;B160&amp;"-"&amp;D160,Ref_Account!$A:$F,6,FALSE),"ACCOUNT TIDAK DITEMUKAN")</f>
        <v>1206.920700</v>
      </c>
      <c r="N160" s="1">
        <f t="shared" si="18"/>
        <v>1</v>
      </c>
      <c r="O160" s="59" t="str">
        <f t="shared" si="19"/>
        <v>OK</v>
      </c>
    </row>
    <row r="161" spans="1:15" x14ac:dyDescent="0.25">
      <c r="A161" s="1" t="s">
        <v>159</v>
      </c>
      <c r="B161" s="36" t="s">
        <v>169</v>
      </c>
      <c r="C161" s="1" t="s">
        <v>170</v>
      </c>
      <c r="D161" s="2" t="s">
        <v>24</v>
      </c>
      <c r="E161" s="2" t="s">
        <v>171</v>
      </c>
      <c r="G161" s="33">
        <v>1000</v>
      </c>
      <c r="H161" s="33">
        <v>33.56</v>
      </c>
      <c r="I161" s="33">
        <f t="shared" si="16"/>
        <v>966.44</v>
      </c>
      <c r="J161" s="4">
        <f>G161/VLOOKUP(A161,RESUME!$G$3:$I$10,3,FALSE)</f>
        <v>1.1319751744260545E-2</v>
      </c>
      <c r="K161" s="4">
        <f t="shared" si="17"/>
        <v>0.33729891967403292</v>
      </c>
      <c r="L161" s="1" t="str">
        <f>_xlfn.IFNA(VLOOKUP(A161&amp;"-"&amp;B161&amp;"-"&amp;D161,Ref_Account!$A:$F,6,FALSE),"ACCOUNT TIDAK DITEMUKAN")</f>
        <v>1205.920700</v>
      </c>
      <c r="N161" s="1">
        <f t="shared" si="18"/>
        <v>1</v>
      </c>
      <c r="O161" s="59" t="str">
        <f t="shared" si="19"/>
        <v>OK</v>
      </c>
    </row>
    <row r="162" spans="1:15" x14ac:dyDescent="0.25">
      <c r="A162" s="1" t="s">
        <v>159</v>
      </c>
      <c r="B162" s="36" t="s">
        <v>169</v>
      </c>
      <c r="C162" s="1" t="s">
        <v>170</v>
      </c>
      <c r="D162" s="2" t="s">
        <v>15</v>
      </c>
      <c r="E162" s="2" t="s">
        <v>171</v>
      </c>
      <c r="G162" s="33">
        <v>1000</v>
      </c>
      <c r="H162" s="33">
        <v>527.22</v>
      </c>
      <c r="I162" s="33">
        <f t="shared" si="16"/>
        <v>472.78</v>
      </c>
      <c r="J162" s="4">
        <f>G162/VLOOKUP(A162,RESUME!$G$3:$I$10,3,FALSE)</f>
        <v>1.1319751744260545E-2</v>
      </c>
      <c r="K162" s="4">
        <f t="shared" si="17"/>
        <v>2.1470641751565846E-2</v>
      </c>
      <c r="L162" s="1" t="str">
        <f>_xlfn.IFNA(VLOOKUP(A162&amp;"-"&amp;B162&amp;"-"&amp;D162,Ref_Account!$A:$F,6,FALSE),"ACCOUNT TIDAK DITEMUKAN")</f>
        <v>1204.920700</v>
      </c>
      <c r="N162" s="1">
        <f t="shared" si="18"/>
        <v>1</v>
      </c>
      <c r="O162" s="59" t="str">
        <f t="shared" si="19"/>
        <v>OK</v>
      </c>
    </row>
    <row r="163" spans="1:15" x14ac:dyDescent="0.25">
      <c r="A163" s="1" t="s">
        <v>159</v>
      </c>
      <c r="B163" s="36" t="s">
        <v>146</v>
      </c>
      <c r="C163" s="1" t="s">
        <v>147</v>
      </c>
      <c r="D163" s="2" t="s">
        <v>13</v>
      </c>
      <c r="E163" s="2" t="s">
        <v>148</v>
      </c>
      <c r="G163" s="33">
        <v>45654.420000000006</v>
      </c>
      <c r="H163" s="33">
        <v>45027.69</v>
      </c>
      <c r="I163" s="33">
        <f t="shared" si="16"/>
        <v>626.7300000000032</v>
      </c>
      <c r="J163" s="4">
        <f>G163/VLOOKUP(A163,RESUME!$G$3:$I$10,3,FALSE)</f>
        <v>0.51679670042820358</v>
      </c>
      <c r="K163" s="4">
        <f t="shared" si="17"/>
        <v>0.52398987414107601</v>
      </c>
      <c r="L163" s="1" t="str">
        <f>_xlfn.IFNA(VLOOKUP(A163&amp;"-"&amp;B163&amp;"-"&amp;D163,Ref_Account!$A:$F,6,FALSE),"ACCOUNT TIDAK DITEMUKAN")</f>
        <v>1201.801110</v>
      </c>
      <c r="N163" s="1">
        <f t="shared" si="18"/>
        <v>1</v>
      </c>
      <c r="O163" s="59" t="str">
        <f t="shared" si="19"/>
        <v>OK</v>
      </c>
    </row>
    <row r="164" spans="1:15" x14ac:dyDescent="0.25">
      <c r="A164" s="1" t="s">
        <v>159</v>
      </c>
      <c r="B164" s="36" t="s">
        <v>146</v>
      </c>
      <c r="C164" s="1" t="s">
        <v>147</v>
      </c>
      <c r="D164" s="2" t="s">
        <v>15</v>
      </c>
      <c r="E164" s="2" t="s">
        <v>148</v>
      </c>
      <c r="G164" s="33">
        <v>6000</v>
      </c>
      <c r="H164" s="33">
        <v>5877.26</v>
      </c>
      <c r="I164" s="33">
        <f t="shared" si="16"/>
        <v>122.73999999999978</v>
      </c>
      <c r="J164" s="4">
        <f>G164/VLOOKUP(A164,RESUME!$G$3:$I$10,3,FALSE)</f>
        <v>6.791851046556327E-2</v>
      </c>
      <c r="K164" s="4">
        <f t="shared" si="17"/>
        <v>6.9336912573780912E-2</v>
      </c>
      <c r="L164" s="1" t="str">
        <f>_xlfn.IFNA(VLOOKUP(A164&amp;"-"&amp;B164&amp;"-"&amp;D164,Ref_Account!$A:$F,6,FALSE),"ACCOUNT TIDAK DITEMUKAN")</f>
        <v>1204.801110</v>
      </c>
      <c r="N164" s="1">
        <f t="shared" si="18"/>
        <v>1</v>
      </c>
      <c r="O164" s="59" t="str">
        <f t="shared" si="19"/>
        <v>OK</v>
      </c>
    </row>
  </sheetData>
  <autoFilter ref="A5:O164" xr:uid="{00000000-0001-0000-0000-000000000000}"/>
  <conditionalFormatting sqref="O6:O1048576">
    <cfRule type="containsText" dxfId="9" priority="1" operator="containsText" text="OVER">
      <formula>NOT(ISERROR(SEARCH("OVER",O6)))</formula>
    </cfRule>
  </conditionalFormatting>
  <hyperlinks>
    <hyperlink ref="B6" r:id="rId1" xr:uid="{3337258C-303F-4A9E-8433-48522B547183}"/>
    <hyperlink ref="B7" r:id="rId2" xr:uid="{10931B44-DDC3-4354-886E-9ECD68614C51}"/>
    <hyperlink ref="B8" r:id="rId3" xr:uid="{842B9A6F-1819-459F-A4DC-790CF67979D5}"/>
    <hyperlink ref="B9" r:id="rId4" xr:uid="{DBA491D7-4860-4715-B47C-E2ABCDBCAD57}"/>
    <hyperlink ref="B10" r:id="rId5" xr:uid="{8EDE0AA1-C93E-4B24-93C6-3BD5AB27A5EB}"/>
    <hyperlink ref="B11" r:id="rId6" xr:uid="{80D8843A-7827-455A-9EBE-A9AAEF0DD059}"/>
    <hyperlink ref="B12" r:id="rId7" xr:uid="{F2896D23-8E9D-4E5D-9024-D7A148C74772}"/>
    <hyperlink ref="B13" r:id="rId8" xr:uid="{E94D3606-9433-40D7-930E-F5EFEF0341FE}"/>
    <hyperlink ref="B14" r:id="rId9" xr:uid="{D9026EFF-C1D4-4266-874A-AC351117A600}"/>
    <hyperlink ref="B15" r:id="rId10" xr:uid="{4131990B-449E-48C2-840B-426DACD22660}"/>
    <hyperlink ref="B16" r:id="rId11" xr:uid="{3D784BE6-733C-4AF8-A882-3478467D7529}"/>
    <hyperlink ref="B17" r:id="rId12" xr:uid="{E8B2E9A9-FE3D-4082-A5D5-44970F6FBF79}"/>
    <hyperlink ref="B18" r:id="rId13" xr:uid="{78FF203F-5002-44EF-9477-0C0DC5A3D1B3}"/>
    <hyperlink ref="B19" r:id="rId14" xr:uid="{5E033992-B3A3-464A-AB3D-E99DE21832B5}"/>
    <hyperlink ref="B20" r:id="rId15" xr:uid="{9699F979-2241-45F5-ACA7-104B1AC96FF0}"/>
    <hyperlink ref="B21" r:id="rId16" xr:uid="{997E395E-855F-4A64-B5ED-75D1161F3DA4}"/>
    <hyperlink ref="B22" r:id="rId17" xr:uid="{608E3538-8455-4648-B4DC-1E5E6EF39106}"/>
    <hyperlink ref="B23" r:id="rId18" xr:uid="{5E822377-81C2-412C-BFF9-61C01B37B830}"/>
    <hyperlink ref="B24" r:id="rId19" xr:uid="{96D8D1FE-78AD-49FC-AAF7-33A422B1BD97}"/>
    <hyperlink ref="B25" r:id="rId20" xr:uid="{631A7E76-835B-4C60-9C0E-6766850C2156}"/>
    <hyperlink ref="B26" r:id="rId21" xr:uid="{81B70F40-255F-4AF2-8144-0A81899EF656}"/>
    <hyperlink ref="B27" r:id="rId22" xr:uid="{83524C6E-D013-4B2D-807A-AE274B9650AC}"/>
    <hyperlink ref="B28" r:id="rId23" xr:uid="{B58AF3D1-2204-4792-AAA9-3D5D51173B16}"/>
    <hyperlink ref="B29" r:id="rId24" xr:uid="{766DBBED-794C-407A-992A-7BEAFA57B6AB}"/>
    <hyperlink ref="B30" r:id="rId25" xr:uid="{069F64A4-9D62-4A9F-8D1F-F1FE6197239D}"/>
    <hyperlink ref="B31" r:id="rId26" xr:uid="{B2AC00C0-798E-4BBC-8DE3-D6E2DE0B94B4}"/>
    <hyperlink ref="B32" r:id="rId27" xr:uid="{664C5A6F-C18F-40CE-89AC-22578BEE7CEF}"/>
    <hyperlink ref="B33" r:id="rId28" xr:uid="{3B70548C-D973-4E1D-86FF-2339AF7FD80A}"/>
    <hyperlink ref="B34" r:id="rId29" xr:uid="{AFFE034D-66A0-4D09-84AC-7518F2AF4CBE}"/>
    <hyperlink ref="B35" r:id="rId30" xr:uid="{2073943F-0BDF-4CFC-B60D-DA14A102E2D2}"/>
    <hyperlink ref="B36" r:id="rId31" xr:uid="{989880AD-F72D-4986-ADBD-2EA725B43032}"/>
    <hyperlink ref="B37" r:id="rId32" xr:uid="{148E4209-0D5F-4223-94FA-02F597E15ABA}"/>
    <hyperlink ref="B38" r:id="rId33" xr:uid="{3A21878E-471A-484E-9B2E-10E1802D50C9}"/>
    <hyperlink ref="B39" r:id="rId34" xr:uid="{943C0412-F0CA-486C-A27C-CF3A2501E171}"/>
    <hyperlink ref="B40" r:id="rId35" xr:uid="{2D023D2D-286C-4980-AACF-48B0F42D51BB}"/>
    <hyperlink ref="B41" r:id="rId36" xr:uid="{7AC68004-BB7B-46E8-842F-46B85C67B8BA}"/>
    <hyperlink ref="B42" r:id="rId37" xr:uid="{11996F8F-2769-42BC-9A18-7943BAE4DB56}"/>
    <hyperlink ref="B43" r:id="rId38" xr:uid="{ED9A08D4-B8D5-468A-BF68-154DAABCF5A7}"/>
    <hyperlink ref="B44" r:id="rId39" xr:uid="{4F9F7A18-47C2-4828-862D-4F7CDE19F510}"/>
    <hyperlink ref="B45" r:id="rId40" xr:uid="{3DB1E2DD-99CC-470F-8E84-3EA237F3F504}"/>
    <hyperlink ref="B46" r:id="rId41" xr:uid="{630E9534-84B0-445E-9412-28635FDB26C2}"/>
    <hyperlink ref="B47" r:id="rId42" xr:uid="{85927774-2887-4BAB-B4FE-A4347724A03C}"/>
    <hyperlink ref="B48" r:id="rId43" xr:uid="{C4B62ADB-4BF4-4C09-97FB-80A90CE7AE52}"/>
    <hyperlink ref="B49" r:id="rId44" xr:uid="{B7AB98B6-8237-451F-ADB6-72ED88AAD79D}"/>
    <hyperlink ref="B50" r:id="rId45" xr:uid="{D697B43B-3352-464A-B40A-1F7A4F6150A8}"/>
    <hyperlink ref="B51" r:id="rId46" xr:uid="{D4D2CEE0-965D-4F4B-9BE6-80A601EC12D4}"/>
    <hyperlink ref="B52" r:id="rId47" xr:uid="{BFFFE0CA-F3D1-4456-987B-EB16B5FFE327}"/>
    <hyperlink ref="B53" r:id="rId48" xr:uid="{598D60BE-8597-41B8-A198-74CABD7EBEF2}"/>
    <hyperlink ref="B54" r:id="rId49" xr:uid="{81CF5DB6-49A6-472E-8F10-7977AF044C16}"/>
    <hyperlink ref="B55" r:id="rId50" xr:uid="{83E52B07-8DE7-4785-9FD9-AC94C6C94D6D}"/>
    <hyperlink ref="B56" r:id="rId51" xr:uid="{C6A30BC9-A338-4885-8311-1B038FC9FEF1}"/>
    <hyperlink ref="B57" r:id="rId52" xr:uid="{ADAF1F62-28E2-41EF-9357-A2B34548E407}"/>
    <hyperlink ref="B58" r:id="rId53" xr:uid="{2645885D-3B44-4E74-9A17-4B1B735A0944}"/>
    <hyperlink ref="B59" r:id="rId54" xr:uid="{74D210F1-7EE9-4F6D-87A2-EFEFA9A27336}"/>
    <hyperlink ref="B60" r:id="rId55" xr:uid="{0FC66986-1A93-4517-A43D-0196AC824611}"/>
    <hyperlink ref="B61" r:id="rId56" xr:uid="{32DC37AA-ACB6-4856-8B14-AC2153859130}"/>
    <hyperlink ref="B62" r:id="rId57" xr:uid="{A0480BCF-10CF-4736-BA46-25D9C5333B19}"/>
    <hyperlink ref="B63" r:id="rId58" xr:uid="{586A6D4C-AEEC-4765-BDBE-BF086B9F0FE5}"/>
    <hyperlink ref="B64" r:id="rId59" xr:uid="{08467E1B-4FAA-4345-AF2C-A3FF8E583717}"/>
    <hyperlink ref="B65" r:id="rId60" xr:uid="{2AC26998-1D5A-4E3F-802F-2E1D6FB0F778}"/>
    <hyperlink ref="B66" r:id="rId61" xr:uid="{3EA473F5-A500-4FEA-AD18-FDB3C274511D}"/>
    <hyperlink ref="B67" r:id="rId62" xr:uid="{26F2A844-5E6C-4C84-A483-274D8A09E4F1}"/>
    <hyperlink ref="B68" r:id="rId63" xr:uid="{C62D875B-7972-4E23-A17B-F26827786033}"/>
    <hyperlink ref="B69" r:id="rId64" xr:uid="{CC373E99-FB96-4D00-8096-AB4E47283328}"/>
    <hyperlink ref="B70" r:id="rId65" xr:uid="{4AA029C0-5613-477C-A294-4F2DEEF1AB2A}"/>
    <hyperlink ref="B71" r:id="rId66" xr:uid="{71C2899B-116C-4E8B-A708-2CD81E9D7007}"/>
    <hyperlink ref="B72" r:id="rId67" xr:uid="{20CEBE45-EC57-42E8-A16F-7BD200ED287C}"/>
    <hyperlink ref="B73" r:id="rId68" xr:uid="{D78207F3-189C-464B-B0AA-B48211C54531}"/>
    <hyperlink ref="B74" r:id="rId69" xr:uid="{EAD37605-9D5B-489B-AAF4-D96A59DE2DD4}"/>
    <hyperlink ref="B75" r:id="rId70" xr:uid="{46467CE2-BA25-495F-A429-B7F3CCBC1D12}"/>
    <hyperlink ref="B76" r:id="rId71" xr:uid="{20C46BB8-8404-4791-9D9F-56A89737E8DD}"/>
    <hyperlink ref="B77" r:id="rId72" xr:uid="{2F5C2A0B-EC4B-4B60-B89E-B4290960CEEF}"/>
    <hyperlink ref="B78" r:id="rId73" xr:uid="{BAFCDC3C-6727-4A9C-8395-4FD043DFDDC2}"/>
    <hyperlink ref="B79" r:id="rId74" xr:uid="{705318D6-4F45-4F02-BD60-17B6760522E3}"/>
    <hyperlink ref="B80" r:id="rId75" xr:uid="{10CBFFF9-A406-4D32-8723-59D581E6F8FC}"/>
    <hyperlink ref="B81" r:id="rId76" xr:uid="{BCEFCDFE-57B1-431B-8F30-97868D380779}"/>
    <hyperlink ref="B82" r:id="rId77" xr:uid="{580BC5D3-0379-41EF-8AD3-D959BEA81389}"/>
    <hyperlink ref="B83" r:id="rId78" xr:uid="{EBA0010D-084A-44FC-9E86-CCF5558F62EC}"/>
    <hyperlink ref="B84" r:id="rId79" xr:uid="{4A62BD6E-EE27-42B2-BA28-1D349D9D1827}"/>
    <hyperlink ref="B85" r:id="rId80" xr:uid="{8A27088D-31FB-4E80-94E9-2A2ECAB8C939}"/>
    <hyperlink ref="B86" r:id="rId81" xr:uid="{C06E7BA8-E38E-4E16-83D8-C077AB3F0696}"/>
    <hyperlink ref="B87" r:id="rId82" xr:uid="{92BC59FB-0411-424D-A4AA-6A704E47AD58}"/>
    <hyperlink ref="B88" r:id="rId83" xr:uid="{D087F971-9B24-4318-AF26-14232F2DB412}"/>
    <hyperlink ref="B89" r:id="rId84" xr:uid="{B996EB21-27FB-40FB-BE1E-9E8671D8DF89}"/>
    <hyperlink ref="B90" r:id="rId85" xr:uid="{525A7884-0595-48DE-9F3B-9EB015158EE1}"/>
    <hyperlink ref="B91" r:id="rId86" xr:uid="{BB24932D-E371-46CC-B32A-2405E4B17A86}"/>
    <hyperlink ref="B92" r:id="rId87" xr:uid="{8D3BCF63-9EC8-4B7B-B979-0DD7A676E36E}"/>
    <hyperlink ref="B93" r:id="rId88" xr:uid="{0A54F743-6181-424D-92D1-106EA1CB3A6E}"/>
    <hyperlink ref="B94" r:id="rId89" xr:uid="{7794E21D-149C-4762-A27A-2CC73544FFEE}"/>
    <hyperlink ref="B95" r:id="rId90" xr:uid="{500D1E0F-1250-4CC6-9701-D06C92D1E26E}"/>
    <hyperlink ref="B96" r:id="rId91" xr:uid="{39596916-5090-4F66-B444-BC666F6B42A8}"/>
    <hyperlink ref="B97" r:id="rId92" xr:uid="{8B94D02B-76DB-4C4D-9DF0-E7F56B41B457}"/>
    <hyperlink ref="B98" r:id="rId93" xr:uid="{3623242F-76EC-4CAF-9C58-99F28D05552A}"/>
    <hyperlink ref="B99" r:id="rId94" xr:uid="{0D864F3E-5981-4EF1-941A-5723BF3559CA}"/>
    <hyperlink ref="B100" r:id="rId95" xr:uid="{51540F8C-001D-406B-AA6C-D28F87585173}"/>
    <hyperlink ref="B101" r:id="rId96" xr:uid="{355C9362-97E4-435A-936F-840D43FCE7D3}"/>
    <hyperlink ref="B102" r:id="rId97" xr:uid="{018A0929-3779-4372-9064-AB5458F7FE99}"/>
    <hyperlink ref="B103" r:id="rId98" xr:uid="{42CAB217-A240-4816-A0C2-1643EEE336C1}"/>
    <hyperlink ref="B104" r:id="rId99" xr:uid="{B05C083A-A89E-4AB8-8D83-65DD523E52C2}"/>
    <hyperlink ref="B105" r:id="rId100" xr:uid="{B8FB4E0F-ACB5-4FBC-8AA9-2A61A547BD8E}"/>
    <hyperlink ref="B106" r:id="rId101" xr:uid="{B0671B16-9062-4637-876F-67CE29F4060F}"/>
    <hyperlink ref="B107" r:id="rId102" xr:uid="{03398DF4-64F9-44B4-AAD6-265D9DCEC678}"/>
    <hyperlink ref="B108" r:id="rId103" xr:uid="{0E1F4EE8-27F9-479A-BECA-C4740325E8E5}"/>
    <hyperlink ref="B109" r:id="rId104" xr:uid="{037EBFCF-9EA9-438D-8632-36B1A5FB1C12}"/>
    <hyperlink ref="B110" r:id="rId105" xr:uid="{3A533723-81A3-48FA-899E-ED517E6BCE54}"/>
    <hyperlink ref="B111" r:id="rId106" xr:uid="{6D5C8B71-3E97-4A36-8562-EB12D9CD16FD}"/>
    <hyperlink ref="B112" r:id="rId107" xr:uid="{7388EECF-2387-432B-9064-C6B572FCE552}"/>
    <hyperlink ref="B113" r:id="rId108" xr:uid="{C6927D10-D004-4198-A445-D26B6F869423}"/>
    <hyperlink ref="B114" r:id="rId109" xr:uid="{FBFE1C9A-646D-4AB4-954E-323F702AADD0}"/>
    <hyperlink ref="B115" r:id="rId110" xr:uid="{3F648EC8-2B8F-4138-AF12-1EEB6D872FB6}"/>
    <hyperlink ref="B116" r:id="rId111" xr:uid="{B5F7C0E1-D83F-44DA-BE76-A0DAB6DF8590}"/>
    <hyperlink ref="B117" r:id="rId112" xr:uid="{37DF5CBB-A0CC-4C2F-AA87-D7C633898412}"/>
    <hyperlink ref="B118" r:id="rId113" xr:uid="{61A4B937-4222-4671-B3D7-CE7A551775C4}"/>
    <hyperlink ref="B119" r:id="rId114" xr:uid="{B19AC76B-E475-440C-94AB-0EF876638319}"/>
    <hyperlink ref="B120" r:id="rId115" xr:uid="{C24A0B31-6589-4240-A9CB-8C5B1378470A}"/>
    <hyperlink ref="B121" r:id="rId116" xr:uid="{6E524D48-B527-42D1-BDEE-AB632E6FBAA0}"/>
    <hyperlink ref="B122" r:id="rId117" xr:uid="{148B2367-F1B2-4A7E-A1E8-227FD27344A1}"/>
    <hyperlink ref="B123" r:id="rId118" xr:uid="{2525AEB0-D805-4526-8432-A3CE0B31BD53}"/>
    <hyperlink ref="B124" r:id="rId119" xr:uid="{790A4FF1-3898-437C-B452-DD02D6CF2893}"/>
    <hyperlink ref="B125" r:id="rId120" xr:uid="{C7DC3772-A641-4591-A496-1741BC542239}"/>
    <hyperlink ref="B126" r:id="rId121" xr:uid="{C52CC591-9CB7-4B42-BAFA-F7572F08B944}"/>
    <hyperlink ref="B127" r:id="rId122" xr:uid="{FF826145-AAB4-4A91-A5E9-B047C2A52EBD}"/>
    <hyperlink ref="B128" r:id="rId123" xr:uid="{8606AC77-FFBD-4DC1-9044-5704E517ED03}"/>
    <hyperlink ref="B129" r:id="rId124" xr:uid="{3C21DD83-B4DF-47CA-9AF4-6227D74370B0}"/>
    <hyperlink ref="B130" r:id="rId125" xr:uid="{8904A09E-2540-4EC0-8435-B3DD7C35408B}"/>
    <hyperlink ref="B131" r:id="rId126" xr:uid="{AC1B2EE7-2114-4DCA-BD61-4AFCFA17E858}"/>
    <hyperlink ref="B132" r:id="rId127" xr:uid="{7F82A874-9045-45F7-A095-49DB30C3BCE8}"/>
    <hyperlink ref="B133" r:id="rId128" xr:uid="{5F6C806C-FE93-49AA-8E80-E03F809761A7}"/>
    <hyperlink ref="B134" r:id="rId129" xr:uid="{7A062048-57BC-48A1-9922-C731CC0366AF}"/>
    <hyperlink ref="B135" r:id="rId130" xr:uid="{D834C9E3-C3EA-4BC8-99BE-8D141CDADEC7}"/>
    <hyperlink ref="B136" r:id="rId131" xr:uid="{62A49CB4-79B5-4805-811B-F89A7E41A535}"/>
    <hyperlink ref="B137" r:id="rId132" xr:uid="{43D04282-D8A0-4641-AA2B-F209C2CB0F7E}"/>
    <hyperlink ref="B138" r:id="rId133" xr:uid="{69BD81A5-E84B-49F6-B61F-F3C56BE2E790}"/>
    <hyperlink ref="B139" r:id="rId134" xr:uid="{FAB795C5-5BC9-4527-B02F-A79784B56BDD}"/>
    <hyperlink ref="B140" r:id="rId135" xr:uid="{2072ECE7-FF5A-49EE-B4A2-BB3BC00027B3}"/>
    <hyperlink ref="B141" r:id="rId136" xr:uid="{735AEC7E-470C-45D6-9D77-346BC079CFA8}"/>
    <hyperlink ref="B142" r:id="rId137" xr:uid="{9C89A022-E33E-4B7C-9E43-F3EFADC388D5}"/>
    <hyperlink ref="B143" r:id="rId138" xr:uid="{529428E7-4164-45A0-B18A-A95A88655FD5}"/>
    <hyperlink ref="B144" r:id="rId139" xr:uid="{2DDF8327-3A6F-431A-B8A9-6221850A6CCB}"/>
    <hyperlink ref="B145" r:id="rId140" xr:uid="{2B960229-FF42-4F46-A470-A88EB0A9E2CD}"/>
    <hyperlink ref="B146" r:id="rId141" xr:uid="{B1CAB399-BFAA-448D-8C0B-369F52F34F85}"/>
    <hyperlink ref="B147" r:id="rId142" xr:uid="{313F17A8-7E56-4405-844A-573C6B72F766}"/>
    <hyperlink ref="B148" r:id="rId143" xr:uid="{B7D7D645-8758-4CF7-B73D-44D5161B2C73}"/>
    <hyperlink ref="B149" r:id="rId144" xr:uid="{C9EC3043-0785-4328-B190-DFB4DC36AECC}"/>
    <hyperlink ref="B150" r:id="rId145" xr:uid="{CEC12C0C-937D-4F5C-8613-622EC30428BC}"/>
    <hyperlink ref="B151" r:id="rId146" xr:uid="{2E6073B1-010B-4188-B051-94ED9F8588DB}"/>
    <hyperlink ref="B152" r:id="rId147" xr:uid="{B539BD40-BD87-4FF4-B8B8-54E08A3B910C}"/>
    <hyperlink ref="B153" r:id="rId148" xr:uid="{CB76480C-0AFA-48BD-ADAF-0946ACA9C9CE}"/>
    <hyperlink ref="B154" r:id="rId149" xr:uid="{FFA78B85-E548-4542-AF04-3020B59527DF}"/>
    <hyperlink ref="B155" r:id="rId150" xr:uid="{B8E13608-5F53-4240-AE36-162CF7439D8A}"/>
    <hyperlink ref="B156" r:id="rId151" xr:uid="{B79EC93D-6633-4AFA-A277-1AA2D58ED06B}"/>
    <hyperlink ref="B157" r:id="rId152" xr:uid="{D467A4C2-4556-4005-B5FE-A5965C8D8E32}"/>
    <hyperlink ref="B158" r:id="rId153" xr:uid="{88142B82-1620-48CB-A862-3ED75C08AF5C}"/>
    <hyperlink ref="B159" r:id="rId154" xr:uid="{EFC091A9-46C2-482C-8C5F-85792F61D9F1}"/>
    <hyperlink ref="B160" r:id="rId155" xr:uid="{5E813258-817F-40AE-88EA-E1A9D2AD2C24}"/>
    <hyperlink ref="B161" r:id="rId156" xr:uid="{EE71521D-FC3F-41CF-9971-0945179E77FF}"/>
    <hyperlink ref="B162" r:id="rId157" xr:uid="{9AF47191-1C54-4409-B7E7-323795B2CB9D}"/>
    <hyperlink ref="B163" r:id="rId158" xr:uid="{B3E4C9F3-15B9-4599-BFE7-49E2FAC4A3A8}"/>
    <hyperlink ref="B164" r:id="rId159" xr:uid="{ED0301EF-343D-4B86-B440-6525F4A5F42B}"/>
  </hyperlinks>
  <pageMargins left="0.7" right="0.7" top="0.75" bottom="0.75" header="0.3" footer="0.3"/>
  <pageSetup paperSize="9" orientation="portrait" r:id="rId16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17"/>
  <sheetViews>
    <sheetView workbookViewId="0">
      <selection activeCell="E1" sqref="E1"/>
    </sheetView>
  </sheetViews>
  <sheetFormatPr defaultRowHeight="15" x14ac:dyDescent="0.25"/>
  <cols>
    <col min="1" max="1" width="20.140625" bestFit="1" customWidth="1"/>
    <col min="2" max="2" width="8.28515625" style="20" bestFit="1" customWidth="1"/>
    <col min="3" max="3" width="15.85546875" style="22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24" bestFit="1" customWidth="1"/>
    <col min="9" max="9" width="15.85546875" style="22" bestFit="1" customWidth="1"/>
    <col min="10" max="10" width="15.5703125" style="22" bestFit="1" customWidth="1"/>
    <col min="11" max="11" width="14.140625" style="22" bestFit="1" customWidth="1"/>
    <col min="12" max="12" width="9.5703125" bestFit="1" customWidth="1"/>
  </cols>
  <sheetData>
    <row r="1" spans="1:12" x14ac:dyDescent="0.25">
      <c r="A1" s="53" t="s">
        <v>330</v>
      </c>
      <c r="B1" s="55"/>
      <c r="C1" s="54"/>
      <c r="G1" s="56" t="s">
        <v>357</v>
      </c>
      <c r="H1" s="57"/>
      <c r="I1" s="57"/>
      <c r="J1" s="57"/>
      <c r="K1" s="57"/>
    </row>
    <row r="2" spans="1:12" x14ac:dyDescent="0.25">
      <c r="A2" s="14" t="s">
        <v>0</v>
      </c>
      <c r="B2" s="21" t="s">
        <v>328</v>
      </c>
      <c r="C2" s="23" t="s">
        <v>172</v>
      </c>
      <c r="G2" s="14" t="s">
        <v>327</v>
      </c>
      <c r="H2" s="21" t="s">
        <v>328</v>
      </c>
      <c r="I2" s="23" t="s">
        <v>172</v>
      </c>
      <c r="J2" s="23" t="s">
        <v>336</v>
      </c>
      <c r="K2" s="23" t="s">
        <v>193</v>
      </c>
    </row>
    <row r="3" spans="1:12" x14ac:dyDescent="0.25">
      <c r="A3" t="s">
        <v>10</v>
      </c>
      <c r="B3" s="20">
        <v>8.1590977598792011E-2</v>
      </c>
      <c r="C3" s="22">
        <f>SUMIF('All Costing'!$A$6:$A$1048576,RESUME!A3,'All Costing'!$G$6:$H$1048576)</f>
        <v>67897.759999999995</v>
      </c>
      <c r="G3" t="s">
        <v>10</v>
      </c>
      <c r="H3" s="26">
        <f t="shared" ref="H3:H10" si="0">I3/$I$11</f>
        <v>8.1590977598792011E-2</v>
      </c>
      <c r="I3" s="22">
        <f>SUMIF('All Costing'!$A$6:$A$1048576,RESUME!G3,'All Costing'!$G$6:$H$1048576)</f>
        <v>67897.759999999995</v>
      </c>
      <c r="J3" s="22">
        <f>SUMIF('All Costing'!$A$6:$A$1048576,RESUME!G3,'All Costing'!$H$6:$H$1048576)</f>
        <v>79421</v>
      </c>
      <c r="K3" s="22">
        <f t="shared" ref="K3:K10" si="1">I3-J3</f>
        <v>-11523.240000000005</v>
      </c>
    </row>
    <row r="4" spans="1:12" x14ac:dyDescent="0.25">
      <c r="A4" t="s">
        <v>36</v>
      </c>
      <c r="B4" s="20">
        <v>0.27755070800026532</v>
      </c>
      <c r="C4" s="22">
        <f>SUMIF('All Costing'!$A$6:$A$1048576,RESUME!A4,'All Costing'!$G$6:$H$1048576)</f>
        <v>230970.03999999998</v>
      </c>
      <c r="G4" t="s">
        <v>36</v>
      </c>
      <c r="H4" s="26">
        <f t="shared" si="0"/>
        <v>0.27755070800026532</v>
      </c>
      <c r="I4" s="22">
        <f>SUMIF('All Costing'!$A$6:$A$1048576,RESUME!G4,'All Costing'!$G$6:$H$1048576)</f>
        <v>230970.03999999998</v>
      </c>
      <c r="J4" s="22">
        <f>SUMIF('All Costing'!$A$6:$A$1048576,RESUME!G4,'All Costing'!$H$6:$H$1048576)</f>
        <v>0</v>
      </c>
      <c r="K4" s="22">
        <f t="shared" si="1"/>
        <v>230970.03999999998</v>
      </c>
    </row>
    <row r="5" spans="1:12" x14ac:dyDescent="0.25">
      <c r="A5" t="s">
        <v>44</v>
      </c>
      <c r="B5" s="20">
        <v>1.0214229594462793E-2</v>
      </c>
      <c r="C5" s="22">
        <f>SUMIF('All Costing'!$A$6:$A$1048576,RESUME!A5,'All Costing'!$G$6:$H$1048576)</f>
        <v>8500</v>
      </c>
      <c r="G5" t="s">
        <v>44</v>
      </c>
      <c r="H5" s="26">
        <f t="shared" si="0"/>
        <v>1.0214229594462793E-2</v>
      </c>
      <c r="I5" s="22">
        <f>SUMIF('All Costing'!$A$6:$A$1048576,RESUME!G5,'All Costing'!$G$6:$H$1048576)</f>
        <v>8500</v>
      </c>
      <c r="J5" s="22">
        <f>SUMIF('All Costing'!$A$6:$A$1048576,RESUME!G5,'All Costing'!$H$6:$H$1048576)</f>
        <v>0</v>
      </c>
      <c r="K5" s="22">
        <f t="shared" si="1"/>
        <v>8500</v>
      </c>
    </row>
    <row r="6" spans="1:12" x14ac:dyDescent="0.25">
      <c r="A6" t="s">
        <v>316</v>
      </c>
      <c r="B6" s="20">
        <v>1.2016740699367992E-3</v>
      </c>
      <c r="C6" s="22">
        <f>SUMIF('All Costing'!$A$6:$A$1048576,RESUME!A6,'All Costing'!$G$6:$H$1048576)</f>
        <v>1000</v>
      </c>
      <c r="G6" t="s">
        <v>316</v>
      </c>
      <c r="H6" s="26">
        <f t="shared" si="0"/>
        <v>1.2016740699367992E-3</v>
      </c>
      <c r="I6" s="22">
        <f>SUMIF('All Costing'!$A$6:$A$1048576,RESUME!G6,'All Costing'!$G$6:$H$1048576)</f>
        <v>1000</v>
      </c>
      <c r="J6" s="22">
        <f>SUMIF('All Costing'!$A$6:$A$1048576,RESUME!G6,'All Costing'!$H$6:$H$1048576)</f>
        <v>0</v>
      </c>
      <c r="K6" s="22">
        <f t="shared" si="1"/>
        <v>1000</v>
      </c>
    </row>
    <row r="7" spans="1:12" x14ac:dyDescent="0.25">
      <c r="A7" t="s">
        <v>67</v>
      </c>
      <c r="B7" s="20">
        <v>0.1047205357286401</v>
      </c>
      <c r="C7" s="22">
        <f>SUMIF('All Costing'!$A$6:$A$1048576,RESUME!A7,'All Costing'!$G$6:$H$1048576)</f>
        <v>87145.539999999964</v>
      </c>
      <c r="G7" t="s">
        <v>67</v>
      </c>
      <c r="H7" s="26">
        <f t="shared" si="0"/>
        <v>0.1047205357286401</v>
      </c>
      <c r="I7" s="22">
        <f>SUMIF('All Costing'!$A$6:$A$1048576,RESUME!G7,'All Costing'!$G$6:$H$1048576)</f>
        <v>87145.539999999964</v>
      </c>
      <c r="J7" s="22">
        <f>SUMIF('All Costing'!$A$6:$A$1048576,RESUME!G7,'All Costing'!$H$6:$H$1048576)</f>
        <v>85168.449999999968</v>
      </c>
      <c r="K7" s="22">
        <f t="shared" si="1"/>
        <v>1977.0899999999965</v>
      </c>
    </row>
    <row r="8" spans="1:12" x14ac:dyDescent="0.25">
      <c r="A8" t="s">
        <v>141</v>
      </c>
      <c r="B8" s="20">
        <v>0.12076439185780972</v>
      </c>
      <c r="C8" s="22">
        <f>SUMIF('All Costing'!$A$6:$A$1048576,RESUME!A8,'All Costing'!$G$6:$H$1048576)</f>
        <v>100496.79432973135</v>
      </c>
      <c r="G8" t="s">
        <v>141</v>
      </c>
      <c r="H8" s="26">
        <f t="shared" si="0"/>
        <v>0.12076439185780972</v>
      </c>
      <c r="I8" s="22">
        <f>SUMIF('All Costing'!$A$6:$A$1048576,RESUME!G8,'All Costing'!$G$6:$H$1048576)</f>
        <v>100496.79432973135</v>
      </c>
      <c r="J8" s="22">
        <f>SUMIF('All Costing'!$A$6:$A$1048576,RESUME!G8,'All Costing'!$H$6:$H$1048576)</f>
        <v>67970.34</v>
      </c>
      <c r="K8" s="22">
        <f t="shared" si="1"/>
        <v>32526.45432973135</v>
      </c>
    </row>
    <row r="9" spans="1:12" x14ac:dyDescent="0.25">
      <c r="A9" t="s">
        <v>173</v>
      </c>
      <c r="B9" s="20">
        <v>0.14255002855513671</v>
      </c>
      <c r="C9" s="22">
        <f>SUMIFS('All Costing'!$G$6:$G$1048576,'All Costing'!$D$6:$D$1048576,"MAJA-1",'All Costing'!$A$6:$A$1048576,"Tony Teja")</f>
        <v>118626.19999999998</v>
      </c>
      <c r="G9" t="s">
        <v>329</v>
      </c>
      <c r="H9" s="26">
        <f t="shared" si="0"/>
        <v>0.29780020186995526</v>
      </c>
      <c r="I9" s="22">
        <f>SUMIF('All Costing'!$A$6:$A$1048576,RESUME!G9,'All Costing'!$G$6:$H$1048576)</f>
        <v>247821.11000000002</v>
      </c>
      <c r="J9" s="22">
        <f>SUMIF('All Costing'!$A$6:$A$1048576,RESUME!G9,'All Costing'!$H$6:$H$1048576)</f>
        <v>255448.30999999997</v>
      </c>
      <c r="K9" s="22">
        <f t="shared" si="1"/>
        <v>-7627.1999999999534</v>
      </c>
      <c r="L9" s="29"/>
    </row>
    <row r="10" spans="1:12" x14ac:dyDescent="0.25">
      <c r="A10" t="s">
        <v>157</v>
      </c>
      <c r="B10" s="20">
        <v>0.1552501733148185</v>
      </c>
      <c r="C10" s="22">
        <f>SUMIFS('All Costing'!$G$6:$G$1048576,'All Costing'!$D$6:$D$1048576,"MAJA-2",'All Costing'!$A$6:$A$1048576,"Tony Teja")</f>
        <v>129194.91000000002</v>
      </c>
      <c r="G10" t="s">
        <v>159</v>
      </c>
      <c r="H10" s="26">
        <f t="shared" si="0"/>
        <v>0.10615728128013797</v>
      </c>
      <c r="I10" s="22">
        <f>SUMIF('All Costing'!$A$6:$A$1048576,RESUME!G10,'All Costing'!$G$6:$H$1048576)</f>
        <v>88341.16</v>
      </c>
      <c r="J10" s="22">
        <f>SUMIF('All Costing'!$A$6:$A$1048576,RESUME!G10,'All Costing'!$H$6:$H$1048576)</f>
        <v>84615.559999999983</v>
      </c>
      <c r="K10" s="22">
        <f t="shared" si="1"/>
        <v>3725.6000000000204</v>
      </c>
    </row>
    <row r="11" spans="1:12" x14ac:dyDescent="0.25">
      <c r="A11" t="s">
        <v>329</v>
      </c>
      <c r="B11" s="20">
        <v>0.29780020186995526</v>
      </c>
      <c r="C11" s="22">
        <f>SUMIF('All Costing'!$A$6:$A$1048576,RESUME!A11,'All Costing'!$G$6:$H$1048576)</f>
        <v>247821.11000000002</v>
      </c>
      <c r="G11" s="53" t="s">
        <v>35</v>
      </c>
      <c r="H11" s="54"/>
      <c r="I11" s="23">
        <f>SUM(I3:I10)</f>
        <v>832172.40432973136</v>
      </c>
      <c r="J11" s="23">
        <f>SUM(J3:J10)</f>
        <v>572623.65999999992</v>
      </c>
      <c r="K11" s="23"/>
    </row>
    <row r="12" spans="1:12" x14ac:dyDescent="0.25">
      <c r="A12" t="s">
        <v>159</v>
      </c>
      <c r="B12" s="20">
        <v>0.10615728128013797</v>
      </c>
      <c r="C12" s="22">
        <f>SUMIF('All Costing'!$A$6:$A$1048576,RESUME!A12,'All Costing'!$G$6:$H$1048576)</f>
        <v>88341.16</v>
      </c>
      <c r="H12"/>
      <c r="I12"/>
      <c r="J12"/>
      <c r="K12"/>
    </row>
    <row r="13" spans="1:12" x14ac:dyDescent="0.25">
      <c r="A13" s="53" t="s">
        <v>35</v>
      </c>
      <c r="B13" s="54"/>
      <c r="C13" s="23"/>
      <c r="H13"/>
      <c r="I13"/>
      <c r="J13"/>
      <c r="K13"/>
    </row>
    <row r="14" spans="1:12" x14ac:dyDescent="0.25">
      <c r="H14"/>
      <c r="I14"/>
      <c r="J14"/>
      <c r="K14"/>
    </row>
    <row r="15" spans="1:12" x14ac:dyDescent="0.25">
      <c r="H15"/>
      <c r="I15"/>
      <c r="J15"/>
      <c r="K15"/>
    </row>
    <row r="16" spans="1:12" x14ac:dyDescent="0.25">
      <c r="H16"/>
      <c r="I16"/>
      <c r="J16"/>
      <c r="K16"/>
    </row>
    <row r="17" spans="8:9" x14ac:dyDescent="0.25">
      <c r="H17"/>
      <c r="I17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 x14ac:dyDescent="0.2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 x14ac:dyDescent="0.3">
      <c r="A1" s="10" t="s">
        <v>331</v>
      </c>
      <c r="B1" s="10" t="s">
        <v>174</v>
      </c>
      <c r="C1" s="10" t="s">
        <v>1</v>
      </c>
      <c r="D1" s="10" t="s">
        <v>3</v>
      </c>
      <c r="E1" s="10" t="s">
        <v>194</v>
      </c>
      <c r="F1" s="10" t="s">
        <v>176</v>
      </c>
      <c r="L1" t="s">
        <v>3</v>
      </c>
      <c r="M1" t="s">
        <v>194</v>
      </c>
    </row>
    <row r="2" spans="1:13" x14ac:dyDescent="0.25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326</v>
      </c>
      <c r="L2" t="s">
        <v>13</v>
      </c>
      <c r="M2">
        <v>1201</v>
      </c>
    </row>
    <row r="3" spans="1:13" x14ac:dyDescent="0.25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213</v>
      </c>
      <c r="L3" t="s">
        <v>15</v>
      </c>
      <c r="M3">
        <v>1204</v>
      </c>
    </row>
    <row r="4" spans="1:13" x14ac:dyDescent="0.25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216</v>
      </c>
      <c r="L4" t="s">
        <v>24</v>
      </c>
      <c r="M4">
        <v>1205</v>
      </c>
    </row>
    <row r="5" spans="1:13" x14ac:dyDescent="0.25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195</v>
      </c>
      <c r="L5" t="s">
        <v>101</v>
      </c>
      <c r="M5">
        <v>1206</v>
      </c>
    </row>
    <row r="6" spans="1:13" x14ac:dyDescent="0.25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185</v>
      </c>
      <c r="L6" t="s">
        <v>150</v>
      </c>
      <c r="M6">
        <v>1206</v>
      </c>
    </row>
    <row r="7" spans="1:13" x14ac:dyDescent="0.25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187</v>
      </c>
    </row>
    <row r="8" spans="1:13" x14ac:dyDescent="0.25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186</v>
      </c>
    </row>
    <row r="9" spans="1:13" x14ac:dyDescent="0.25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177</v>
      </c>
    </row>
    <row r="10" spans="1:13" x14ac:dyDescent="0.25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178</v>
      </c>
    </row>
    <row r="11" spans="1:13" x14ac:dyDescent="0.25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179</v>
      </c>
    </row>
    <row r="12" spans="1:13" x14ac:dyDescent="0.25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192</v>
      </c>
    </row>
    <row r="13" spans="1:13" x14ac:dyDescent="0.25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217</v>
      </c>
    </row>
    <row r="14" spans="1:13" x14ac:dyDescent="0.25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317</v>
      </c>
    </row>
    <row r="15" spans="1:13" x14ac:dyDescent="0.25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218</v>
      </c>
    </row>
    <row r="16" spans="1:13" x14ac:dyDescent="0.25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219</v>
      </c>
    </row>
    <row r="17" spans="1:6" x14ac:dyDescent="0.25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220</v>
      </c>
    </row>
    <row r="18" spans="1:6" x14ac:dyDescent="0.25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221</v>
      </c>
    </row>
    <row r="19" spans="1:6" x14ac:dyDescent="0.25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219</v>
      </c>
    </row>
    <row r="20" spans="1:6" x14ac:dyDescent="0.25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220</v>
      </c>
    </row>
    <row r="21" spans="1:6" x14ac:dyDescent="0.25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221</v>
      </c>
    </row>
    <row r="22" spans="1:6" x14ac:dyDescent="0.25">
      <c r="A22" t="str">
        <f t="shared" si="0"/>
        <v>Firawaty-FABRIC TESTED CHARGES-CLN</v>
      </c>
      <c r="B22" t="s">
        <v>44</v>
      </c>
      <c r="C22" t="s">
        <v>46</v>
      </c>
      <c r="D22" t="s">
        <v>13</v>
      </c>
      <c r="E22">
        <f t="shared" si="1"/>
        <v>1201</v>
      </c>
      <c r="F22" t="s">
        <v>222</v>
      </c>
    </row>
    <row r="23" spans="1:6" x14ac:dyDescent="0.25">
      <c r="A23" t="str">
        <f t="shared" si="0"/>
        <v>Firawaty-FABRIC TESTED CHARGES-CLN</v>
      </c>
      <c r="B23" t="s">
        <v>44</v>
      </c>
      <c r="C23" t="s">
        <v>46</v>
      </c>
      <c r="D23" t="s">
        <v>13</v>
      </c>
      <c r="E23">
        <f t="shared" si="1"/>
        <v>1201</v>
      </c>
      <c r="F23" t="s">
        <v>222</v>
      </c>
    </row>
    <row r="24" spans="1:6" x14ac:dyDescent="0.25">
      <c r="A24" t="str">
        <f t="shared" si="0"/>
        <v>Firawaty-FABRIC TESTED CHARGES-CLN</v>
      </c>
      <c r="B24" t="s">
        <v>44</v>
      </c>
      <c r="C24" t="s">
        <v>46</v>
      </c>
      <c r="D24" t="s">
        <v>13</v>
      </c>
      <c r="E24">
        <f t="shared" si="1"/>
        <v>1201</v>
      </c>
      <c r="F24" t="s">
        <v>222</v>
      </c>
    </row>
    <row r="25" spans="1:6" x14ac:dyDescent="0.25">
      <c r="A25" t="str">
        <f t="shared" si="0"/>
        <v>Firawaty-FABRIC TESTED CHARGES-CLN</v>
      </c>
      <c r="B25" t="s">
        <v>44</v>
      </c>
      <c r="C25" t="s">
        <v>46</v>
      </c>
      <c r="D25" t="s">
        <v>13</v>
      </c>
      <c r="E25">
        <f t="shared" si="1"/>
        <v>1201</v>
      </c>
      <c r="F25" t="s">
        <v>222</v>
      </c>
    </row>
    <row r="26" spans="1:6" x14ac:dyDescent="0.25">
      <c r="A26" t="str">
        <f t="shared" si="0"/>
        <v>Firawaty-SALES COMMISSION-CLN</v>
      </c>
      <c r="B26" t="s">
        <v>44</v>
      </c>
      <c r="C26" t="s">
        <v>56</v>
      </c>
      <c r="D26" t="s">
        <v>13</v>
      </c>
      <c r="E26">
        <f t="shared" si="1"/>
        <v>1201</v>
      </c>
      <c r="F26" t="s">
        <v>215</v>
      </c>
    </row>
    <row r="27" spans="1:6" x14ac:dyDescent="0.25">
      <c r="A27" t="str">
        <f t="shared" si="0"/>
        <v>Firawaty-SAMPLE EXPENSES-CLN</v>
      </c>
      <c r="B27" t="s">
        <v>44</v>
      </c>
      <c r="C27" t="s">
        <v>59</v>
      </c>
      <c r="D27" t="s">
        <v>13</v>
      </c>
      <c r="E27">
        <f t="shared" si="1"/>
        <v>1201</v>
      </c>
      <c r="F27" t="s">
        <v>223</v>
      </c>
    </row>
    <row r="28" spans="1:6" x14ac:dyDescent="0.25">
      <c r="A28" t="str">
        <f t="shared" si="0"/>
        <v>Firawaty-SAMPLE EXPENSES-CLN</v>
      </c>
      <c r="B28" t="s">
        <v>44</v>
      </c>
      <c r="C28" t="s">
        <v>59</v>
      </c>
      <c r="D28" t="s">
        <v>13</v>
      </c>
      <c r="E28">
        <f t="shared" si="1"/>
        <v>1201</v>
      </c>
      <c r="F28" t="s">
        <v>223</v>
      </c>
    </row>
    <row r="29" spans="1:6" x14ac:dyDescent="0.25">
      <c r="A29" t="str">
        <f t="shared" si="0"/>
        <v>Firawaty-SAMPLE EXPENSES-CLN</v>
      </c>
      <c r="B29" t="s">
        <v>44</v>
      </c>
      <c r="C29" t="s">
        <v>59</v>
      </c>
      <c r="D29" t="s">
        <v>13</v>
      </c>
      <c r="E29">
        <f t="shared" si="1"/>
        <v>1201</v>
      </c>
      <c r="F29" t="s">
        <v>223</v>
      </c>
    </row>
    <row r="30" spans="1:6" x14ac:dyDescent="0.25">
      <c r="A30" t="str">
        <f t="shared" si="0"/>
        <v>Firawaty-SAMPLE EXPENSES-CLN</v>
      </c>
      <c r="B30" t="s">
        <v>44</v>
      </c>
      <c r="C30" t="s">
        <v>59</v>
      </c>
      <c r="D30" t="s">
        <v>13</v>
      </c>
      <c r="E30">
        <f t="shared" si="1"/>
        <v>1201</v>
      </c>
      <c r="F30" t="s">
        <v>223</v>
      </c>
    </row>
    <row r="31" spans="1:6" x14ac:dyDescent="0.25">
      <c r="A31" t="str">
        <f t="shared" si="0"/>
        <v>Fungfung-FABRIC TESTED CHARGES-CLN</v>
      </c>
      <c r="B31" t="s">
        <v>316</v>
      </c>
      <c r="C31" t="s">
        <v>46</v>
      </c>
      <c r="D31" t="s">
        <v>13</v>
      </c>
      <c r="E31">
        <f t="shared" si="1"/>
        <v>1201</v>
      </c>
      <c r="F31" t="s">
        <v>222</v>
      </c>
    </row>
    <row r="32" spans="1:6" x14ac:dyDescent="0.25">
      <c r="A32" t="str">
        <f t="shared" si="0"/>
        <v>Fungfung-SALES COMMISSION-CLN</v>
      </c>
      <c r="B32" t="s">
        <v>316</v>
      </c>
      <c r="C32" t="s">
        <v>56</v>
      </c>
      <c r="D32" t="s">
        <v>13</v>
      </c>
      <c r="E32">
        <f t="shared" si="1"/>
        <v>1201</v>
      </c>
      <c r="F32" t="s">
        <v>215</v>
      </c>
    </row>
    <row r="33" spans="1:6" x14ac:dyDescent="0.25">
      <c r="A33" t="str">
        <f t="shared" si="0"/>
        <v>Fungfung-SAMPLE EXPENSES-CLN</v>
      </c>
      <c r="B33" t="s">
        <v>316</v>
      </c>
      <c r="C33" t="s">
        <v>59</v>
      </c>
      <c r="D33" t="s">
        <v>13</v>
      </c>
      <c r="E33">
        <f t="shared" si="1"/>
        <v>1201</v>
      </c>
      <c r="F33" t="s">
        <v>223</v>
      </c>
    </row>
    <row r="34" spans="1:6" x14ac:dyDescent="0.25">
      <c r="A34" t="str">
        <f t="shared" ref="A34:A65" si="2">B34&amp;"-"&amp;C34&amp;"-"&amp;D34</f>
        <v>Fungfung-SAMPLE EXPENSES-CLN</v>
      </c>
      <c r="B34" t="s">
        <v>316</v>
      </c>
      <c r="C34" t="s">
        <v>59</v>
      </c>
      <c r="D34" t="s">
        <v>13</v>
      </c>
      <c r="E34">
        <f t="shared" si="1"/>
        <v>1201</v>
      </c>
      <c r="F34" t="s">
        <v>223</v>
      </c>
    </row>
    <row r="35" spans="1:6" x14ac:dyDescent="0.25">
      <c r="A35" t="str">
        <f t="shared" si="2"/>
        <v>Owi Wijaya-AIR FREIGHT-CLN</v>
      </c>
      <c r="B35" t="s">
        <v>67</v>
      </c>
      <c r="C35" t="s">
        <v>68</v>
      </c>
      <c r="D35" t="s">
        <v>13</v>
      </c>
      <c r="E35">
        <f t="shared" si="1"/>
        <v>1201</v>
      </c>
      <c r="F35" t="s">
        <v>180</v>
      </c>
    </row>
    <row r="36" spans="1:6" x14ac:dyDescent="0.25">
      <c r="A36" t="str">
        <f t="shared" si="2"/>
        <v>Owi Wijaya-BUSINESS TRIP EXPENSES-CLN</v>
      </c>
      <c r="B36" t="s">
        <v>67</v>
      </c>
      <c r="C36" t="s">
        <v>70</v>
      </c>
      <c r="D36" t="s">
        <v>13</v>
      </c>
      <c r="E36">
        <f t="shared" si="1"/>
        <v>1201</v>
      </c>
      <c r="F36" t="s">
        <v>224</v>
      </c>
    </row>
    <row r="37" spans="1:6" x14ac:dyDescent="0.25">
      <c r="A37" t="str">
        <f t="shared" si="2"/>
        <v>Owi Wijaya-CONTRIBUTION COST-CLN</v>
      </c>
      <c r="B37" t="s">
        <v>67</v>
      </c>
      <c r="C37" t="s">
        <v>73</v>
      </c>
      <c r="D37" t="s">
        <v>13</v>
      </c>
      <c r="E37">
        <f t="shared" si="1"/>
        <v>1201</v>
      </c>
      <c r="F37" t="s">
        <v>225</v>
      </c>
    </row>
    <row r="38" spans="1:6" x14ac:dyDescent="0.25">
      <c r="A38" t="str">
        <f t="shared" si="2"/>
        <v>Owi Wijaya-CONTRIBUTION COST-MAJA-2</v>
      </c>
      <c r="B38" t="s">
        <v>67</v>
      </c>
      <c r="C38" t="s">
        <v>73</v>
      </c>
      <c r="D38" t="s">
        <v>15</v>
      </c>
      <c r="E38">
        <f t="shared" si="1"/>
        <v>1204</v>
      </c>
      <c r="F38" t="s">
        <v>196</v>
      </c>
    </row>
    <row r="39" spans="1:6" x14ac:dyDescent="0.25">
      <c r="A39" t="str">
        <f t="shared" si="2"/>
        <v>Owi Wijaya-ELECTRICITY-CLN</v>
      </c>
      <c r="B39" t="s">
        <v>67</v>
      </c>
      <c r="C39" t="s">
        <v>76</v>
      </c>
      <c r="D39" t="s">
        <v>13</v>
      </c>
      <c r="E39">
        <f t="shared" si="1"/>
        <v>1201</v>
      </c>
      <c r="F39" t="s">
        <v>226</v>
      </c>
    </row>
    <row r="40" spans="1:6" x14ac:dyDescent="0.25">
      <c r="A40" t="str">
        <f t="shared" si="2"/>
        <v>Owi Wijaya-ENTERTAINMENT-CLN</v>
      </c>
      <c r="B40" t="s">
        <v>67</v>
      </c>
      <c r="C40" t="s">
        <v>78</v>
      </c>
      <c r="D40" t="s">
        <v>13</v>
      </c>
      <c r="E40">
        <f t="shared" si="1"/>
        <v>1201</v>
      </c>
      <c r="F40" t="s">
        <v>227</v>
      </c>
    </row>
    <row r="41" spans="1:6" x14ac:dyDescent="0.25">
      <c r="A41" t="str">
        <f t="shared" si="2"/>
        <v>Owi Wijaya-FACTORY SUPPLIES EXPENSE-CLN</v>
      </c>
      <c r="B41" t="s">
        <v>67</v>
      </c>
      <c r="C41" t="s">
        <v>80</v>
      </c>
      <c r="D41" t="s">
        <v>13</v>
      </c>
      <c r="E41">
        <f t="shared" si="1"/>
        <v>1201</v>
      </c>
      <c r="F41" t="s">
        <v>228</v>
      </c>
    </row>
    <row r="42" spans="1:6" x14ac:dyDescent="0.25">
      <c r="A42" t="str">
        <f t="shared" si="2"/>
        <v>Owi Wijaya-FARE ALLOWANCE-CLN</v>
      </c>
      <c r="B42" t="s">
        <v>67</v>
      </c>
      <c r="C42" t="s">
        <v>154</v>
      </c>
      <c r="D42" t="s">
        <v>13</v>
      </c>
      <c r="E42">
        <f t="shared" si="1"/>
        <v>1201</v>
      </c>
      <c r="F42" t="s">
        <v>229</v>
      </c>
    </row>
    <row r="43" spans="1:6" x14ac:dyDescent="0.25">
      <c r="A43" t="str">
        <f t="shared" si="2"/>
        <v>Owi Wijaya-FARE ALLOWANCE-CLN</v>
      </c>
      <c r="B43" t="s">
        <v>67</v>
      </c>
      <c r="C43" t="s">
        <v>154</v>
      </c>
      <c r="D43" t="s">
        <v>13</v>
      </c>
      <c r="E43">
        <f t="shared" si="1"/>
        <v>1201</v>
      </c>
      <c r="F43" t="s">
        <v>229</v>
      </c>
    </row>
    <row r="44" spans="1:6" x14ac:dyDescent="0.25">
      <c r="A44" t="str">
        <f t="shared" si="2"/>
        <v>Owi Wijaya-FREIGHT IN-CLN</v>
      </c>
      <c r="B44" t="s">
        <v>67</v>
      </c>
      <c r="C44" t="s">
        <v>85</v>
      </c>
      <c r="D44" t="s">
        <v>13</v>
      </c>
      <c r="E44">
        <f t="shared" si="1"/>
        <v>1201</v>
      </c>
      <c r="F44" t="s">
        <v>230</v>
      </c>
    </row>
    <row r="45" spans="1:6" x14ac:dyDescent="0.25">
      <c r="A45" t="str">
        <f t="shared" si="2"/>
        <v>Owi Wijaya-FREIGHT IN-MAJA-2</v>
      </c>
      <c r="B45" t="s">
        <v>67</v>
      </c>
      <c r="C45" t="s">
        <v>85</v>
      </c>
      <c r="D45" t="s">
        <v>15</v>
      </c>
      <c r="E45">
        <f t="shared" si="1"/>
        <v>1204</v>
      </c>
      <c r="F45" t="s">
        <v>197</v>
      </c>
    </row>
    <row r="46" spans="1:6" x14ac:dyDescent="0.25">
      <c r="A46" t="str">
        <f t="shared" si="2"/>
        <v>Owi Wijaya-FUEL FOR MOTOR VEHICLE-CLN</v>
      </c>
      <c r="B46" t="s">
        <v>67</v>
      </c>
      <c r="C46" t="s">
        <v>87</v>
      </c>
      <c r="D46" t="s">
        <v>13</v>
      </c>
      <c r="E46">
        <f t="shared" si="1"/>
        <v>1201</v>
      </c>
      <c r="F46" t="s">
        <v>231</v>
      </c>
    </row>
    <row r="47" spans="1:6" x14ac:dyDescent="0.25">
      <c r="A47" t="str">
        <f t="shared" si="2"/>
        <v>Owi Wijaya-FUEL FOR MOTOR VEHICLE-MAJA-1</v>
      </c>
      <c r="B47" t="s">
        <v>67</v>
      </c>
      <c r="C47" t="s">
        <v>87</v>
      </c>
      <c r="D47" t="s">
        <v>24</v>
      </c>
      <c r="E47">
        <f t="shared" si="1"/>
        <v>1205</v>
      </c>
      <c r="F47" t="s">
        <v>198</v>
      </c>
    </row>
    <row r="48" spans="1:6" x14ac:dyDescent="0.25">
      <c r="A48" t="str">
        <f t="shared" si="2"/>
        <v>Owi Wijaya-FUEL FOR MOTOR VEHICLE-MAJA-2</v>
      </c>
      <c r="B48" t="s">
        <v>67</v>
      </c>
      <c r="C48" t="s">
        <v>87</v>
      </c>
      <c r="D48" t="s">
        <v>15</v>
      </c>
      <c r="E48">
        <f t="shared" si="1"/>
        <v>1204</v>
      </c>
      <c r="F48" t="s">
        <v>199</v>
      </c>
    </row>
    <row r="49" spans="1:6" x14ac:dyDescent="0.25">
      <c r="A49" t="str">
        <f t="shared" si="2"/>
        <v>Owi Wijaya-INSURANCEEXP.OFBUILD.&amp;-CLN</v>
      </c>
      <c r="B49" t="s">
        <v>67</v>
      </c>
      <c r="C49" t="s">
        <v>89</v>
      </c>
      <c r="D49" t="s">
        <v>13</v>
      </c>
      <c r="E49">
        <f t="shared" si="1"/>
        <v>1201</v>
      </c>
      <c r="F49" t="s">
        <v>182</v>
      </c>
    </row>
    <row r="50" spans="1:6" x14ac:dyDescent="0.25">
      <c r="A50" t="str">
        <f t="shared" si="2"/>
        <v>Owi Wijaya-INSURANCEEXP.OFBUILD.&amp;-MAJA-2</v>
      </c>
      <c r="B50" t="s">
        <v>67</v>
      </c>
      <c r="C50" t="s">
        <v>89</v>
      </c>
      <c r="D50" t="s">
        <v>15</v>
      </c>
      <c r="E50">
        <f t="shared" si="1"/>
        <v>1204</v>
      </c>
      <c r="F50" t="s">
        <v>183</v>
      </c>
    </row>
    <row r="51" spans="1:6" x14ac:dyDescent="0.25">
      <c r="A51" t="str">
        <f t="shared" si="2"/>
        <v>Owi Wijaya-INTERNET EXPENSES-CLN</v>
      </c>
      <c r="B51" t="s">
        <v>67</v>
      </c>
      <c r="C51" t="s">
        <v>91</v>
      </c>
      <c r="D51" t="s">
        <v>13</v>
      </c>
      <c r="E51">
        <f t="shared" si="1"/>
        <v>1201</v>
      </c>
      <c r="F51" t="s">
        <v>232</v>
      </c>
    </row>
    <row r="52" spans="1:6" x14ac:dyDescent="0.25">
      <c r="A52" t="str">
        <f t="shared" si="2"/>
        <v>Owi Wijaya-INTERNET EXPENSES-MAJA-2</v>
      </c>
      <c r="B52" t="s">
        <v>67</v>
      </c>
      <c r="C52" t="s">
        <v>91</v>
      </c>
      <c r="D52" t="s">
        <v>15</v>
      </c>
      <c r="E52">
        <f t="shared" si="1"/>
        <v>1204</v>
      </c>
      <c r="F52" t="s">
        <v>200</v>
      </c>
    </row>
    <row r="53" spans="1:6" x14ac:dyDescent="0.25">
      <c r="A53" t="str">
        <f t="shared" si="2"/>
        <v>Owi Wijaya-JAMSOSTEK-CLN</v>
      </c>
      <c r="B53" t="s">
        <v>67</v>
      </c>
      <c r="C53" t="s">
        <v>93</v>
      </c>
      <c r="D53" t="s">
        <v>13</v>
      </c>
      <c r="E53">
        <f t="shared" si="1"/>
        <v>1201</v>
      </c>
      <c r="F53" t="s">
        <v>233</v>
      </c>
    </row>
    <row r="54" spans="1:6" x14ac:dyDescent="0.25">
      <c r="A54" t="str">
        <f t="shared" si="2"/>
        <v>Owi Wijaya-LABOR COST-CLN</v>
      </c>
      <c r="B54" t="s">
        <v>67</v>
      </c>
      <c r="C54" t="s">
        <v>96</v>
      </c>
      <c r="D54" t="s">
        <v>13</v>
      </c>
      <c r="E54">
        <f t="shared" si="1"/>
        <v>1201</v>
      </c>
      <c r="F54" t="s">
        <v>234</v>
      </c>
    </row>
    <row r="55" spans="1:6" x14ac:dyDescent="0.25">
      <c r="A55" t="str">
        <f t="shared" si="2"/>
        <v>Owi Wijaya-LEGAL EXPENSES-CLN</v>
      </c>
      <c r="B55" t="s">
        <v>67</v>
      </c>
      <c r="C55" t="s">
        <v>99</v>
      </c>
      <c r="D55" t="s">
        <v>13</v>
      </c>
      <c r="E55">
        <f t="shared" si="1"/>
        <v>1201</v>
      </c>
      <c r="F55" t="s">
        <v>235</v>
      </c>
    </row>
    <row r="56" spans="1:6" x14ac:dyDescent="0.25">
      <c r="A56" t="str">
        <f t="shared" si="2"/>
        <v>Owi Wijaya-LEGAL EXPENSES-KALIBENDA</v>
      </c>
      <c r="B56" t="s">
        <v>67</v>
      </c>
      <c r="C56" t="s">
        <v>99</v>
      </c>
      <c r="D56" t="s">
        <v>101</v>
      </c>
      <c r="E56">
        <f t="shared" si="1"/>
        <v>1206</v>
      </c>
      <c r="F56" t="s">
        <v>201</v>
      </c>
    </row>
    <row r="57" spans="1:6" x14ac:dyDescent="0.25">
      <c r="A57" t="str">
        <f t="shared" si="2"/>
        <v>Owi Wijaya-LEGAL EXPENSES-MAJA-1</v>
      </c>
      <c r="B57" t="s">
        <v>67</v>
      </c>
      <c r="C57" t="s">
        <v>99</v>
      </c>
      <c r="D57" t="s">
        <v>24</v>
      </c>
      <c r="E57">
        <f t="shared" si="1"/>
        <v>1205</v>
      </c>
      <c r="F57" t="s">
        <v>202</v>
      </c>
    </row>
    <row r="58" spans="1:6" x14ac:dyDescent="0.25">
      <c r="A58" t="str">
        <f t="shared" si="2"/>
        <v>Owi Wijaya-LEGAL EXPENSES-MAJA-2</v>
      </c>
      <c r="B58" t="s">
        <v>67</v>
      </c>
      <c r="C58" t="s">
        <v>99</v>
      </c>
      <c r="D58" t="s">
        <v>15</v>
      </c>
      <c r="E58">
        <f t="shared" si="1"/>
        <v>1204</v>
      </c>
      <c r="F58" t="s">
        <v>203</v>
      </c>
    </row>
    <row r="59" spans="1:6" x14ac:dyDescent="0.25">
      <c r="A59" t="str">
        <f t="shared" si="2"/>
        <v>Owi Wijaya-MAINT.&amp;REP.BUILDING-CLN</v>
      </c>
      <c r="B59" t="s">
        <v>67</v>
      </c>
      <c r="C59" t="s">
        <v>102</v>
      </c>
      <c r="D59" t="s">
        <v>13</v>
      </c>
      <c r="E59">
        <f t="shared" si="1"/>
        <v>1201</v>
      </c>
      <c r="F59" t="s">
        <v>236</v>
      </c>
    </row>
    <row r="60" spans="1:6" x14ac:dyDescent="0.25">
      <c r="A60" t="str">
        <f t="shared" si="2"/>
        <v>Owi Wijaya-MAINT.&amp;REP.ELECTRICITY-CLN</v>
      </c>
      <c r="B60" t="s">
        <v>67</v>
      </c>
      <c r="C60" t="s">
        <v>104</v>
      </c>
      <c r="D60" t="s">
        <v>13</v>
      </c>
      <c r="E60">
        <f t="shared" si="1"/>
        <v>1201</v>
      </c>
      <c r="F60" t="s">
        <v>237</v>
      </c>
    </row>
    <row r="61" spans="1:6" x14ac:dyDescent="0.25">
      <c r="A61" t="str">
        <f t="shared" si="2"/>
        <v>Owi Wijaya-MAINT.&amp;REP.GEN&amp;BOILER-CLN</v>
      </c>
      <c r="B61" t="s">
        <v>67</v>
      </c>
      <c r="C61" t="s">
        <v>106</v>
      </c>
      <c r="D61" t="s">
        <v>13</v>
      </c>
      <c r="E61">
        <f t="shared" si="1"/>
        <v>1201</v>
      </c>
      <c r="F61" t="s">
        <v>238</v>
      </c>
    </row>
    <row r="62" spans="1:6" x14ac:dyDescent="0.25">
      <c r="A62" t="str">
        <f t="shared" si="2"/>
        <v>Owi Wijaya-MAINT.&amp;REP.MACHINERIE-CLN</v>
      </c>
      <c r="B62" t="s">
        <v>67</v>
      </c>
      <c r="C62" t="s">
        <v>108</v>
      </c>
      <c r="D62" t="s">
        <v>13</v>
      </c>
      <c r="E62">
        <f t="shared" si="1"/>
        <v>1201</v>
      </c>
      <c r="F62" t="s">
        <v>239</v>
      </c>
    </row>
    <row r="63" spans="1:6" x14ac:dyDescent="0.25">
      <c r="A63" t="str">
        <f t="shared" si="2"/>
        <v>Owi Wijaya-MAINT.&amp;REP.MOTORVEHICLE-CLN</v>
      </c>
      <c r="B63" t="s">
        <v>67</v>
      </c>
      <c r="C63" t="s">
        <v>110</v>
      </c>
      <c r="D63" t="s">
        <v>13</v>
      </c>
      <c r="E63">
        <f t="shared" si="1"/>
        <v>1201</v>
      </c>
      <c r="F63" t="s">
        <v>240</v>
      </c>
    </row>
    <row r="64" spans="1:6" x14ac:dyDescent="0.25">
      <c r="A64" t="str">
        <f t="shared" si="2"/>
        <v>Owi Wijaya-MAINT.&amp;REP.MOTORVEHICLE-MAJA-1</v>
      </c>
      <c r="B64" t="s">
        <v>67</v>
      </c>
      <c r="C64" t="s">
        <v>110</v>
      </c>
      <c r="D64" t="s">
        <v>24</v>
      </c>
      <c r="E64">
        <f t="shared" si="1"/>
        <v>1205</v>
      </c>
      <c r="F64" t="s">
        <v>204</v>
      </c>
    </row>
    <row r="65" spans="1:6" x14ac:dyDescent="0.25">
      <c r="A65" t="str">
        <f t="shared" si="2"/>
        <v>Owi Wijaya-MAINT.&amp;REP.MOTORVEHICLE-MAJA-2</v>
      </c>
      <c r="B65" t="s">
        <v>67</v>
      </c>
      <c r="C65" t="s">
        <v>110</v>
      </c>
      <c r="D65" t="s">
        <v>15</v>
      </c>
      <c r="E65">
        <f t="shared" si="1"/>
        <v>1204</v>
      </c>
      <c r="F65" t="s">
        <v>205</v>
      </c>
    </row>
    <row r="66" spans="1:6" x14ac:dyDescent="0.25">
      <c r="A66" t="str">
        <f t="shared" ref="A66:A97" si="3">B66&amp;"-"&amp;C66&amp;"-"&amp;D66</f>
        <v>Owi Wijaya-MAINT.&amp;REP.PLANTEQUI-CLN</v>
      </c>
      <c r="B66" t="s">
        <v>67</v>
      </c>
      <c r="C66" t="s">
        <v>112</v>
      </c>
      <c r="D66" t="s">
        <v>13</v>
      </c>
      <c r="E66">
        <f t="shared" si="1"/>
        <v>1201</v>
      </c>
      <c r="F66" t="s">
        <v>241</v>
      </c>
    </row>
    <row r="67" spans="1:6" x14ac:dyDescent="0.25">
      <c r="A67" t="str">
        <f t="shared" si="3"/>
        <v>Owi Wijaya-MAINT.&amp;REP.WATERINSTL.-CLN</v>
      </c>
      <c r="B67" t="s">
        <v>67</v>
      </c>
      <c r="C67" t="s">
        <v>114</v>
      </c>
      <c r="D67" t="s">
        <v>13</v>
      </c>
      <c r="E67">
        <f t="shared" ref="E67:E130" si="4">VLOOKUP(D67,$L$2:$M$6,2,FALSE)</f>
        <v>1201</v>
      </c>
      <c r="F67" t="s">
        <v>242</v>
      </c>
    </row>
    <row r="68" spans="1:6" x14ac:dyDescent="0.25">
      <c r="A68" t="str">
        <f t="shared" si="3"/>
        <v>Owi Wijaya-MAINT.OFFICEEQUIP.-CLN</v>
      </c>
      <c r="B68" t="s">
        <v>67</v>
      </c>
      <c r="C68" t="s">
        <v>116</v>
      </c>
      <c r="D68" t="s">
        <v>13</v>
      </c>
      <c r="E68">
        <f t="shared" si="4"/>
        <v>1201</v>
      </c>
      <c r="F68" t="s">
        <v>243</v>
      </c>
    </row>
    <row r="69" spans="1:6" x14ac:dyDescent="0.25">
      <c r="A69" t="str">
        <f t="shared" si="3"/>
        <v>Owi Wijaya-MAINT.OFFICEEQUIP.-KALIBENDA</v>
      </c>
      <c r="B69" t="s">
        <v>67</v>
      </c>
      <c r="C69" t="s">
        <v>116</v>
      </c>
      <c r="D69" t="s">
        <v>101</v>
      </c>
      <c r="E69">
        <f t="shared" si="4"/>
        <v>1206</v>
      </c>
      <c r="F69" t="s">
        <v>206</v>
      </c>
    </row>
    <row r="70" spans="1:6" x14ac:dyDescent="0.25">
      <c r="A70" t="str">
        <f t="shared" si="3"/>
        <v>Owi Wijaya-MAINT.OFFICEEQUIP.-MAJA-1</v>
      </c>
      <c r="B70" t="s">
        <v>67</v>
      </c>
      <c r="C70" t="s">
        <v>116</v>
      </c>
      <c r="D70" t="s">
        <v>24</v>
      </c>
      <c r="E70">
        <f t="shared" si="4"/>
        <v>1205</v>
      </c>
      <c r="F70" t="s">
        <v>207</v>
      </c>
    </row>
    <row r="71" spans="1:6" x14ac:dyDescent="0.25">
      <c r="A71" t="str">
        <f t="shared" si="3"/>
        <v>Owi Wijaya-MAINT.OFFICEEQUIP.-MAJA-2</v>
      </c>
      <c r="B71" t="s">
        <v>67</v>
      </c>
      <c r="C71" t="s">
        <v>116</v>
      </c>
      <c r="D71" t="s">
        <v>15</v>
      </c>
      <c r="E71">
        <f t="shared" si="4"/>
        <v>1204</v>
      </c>
      <c r="F71" t="s">
        <v>208</v>
      </c>
    </row>
    <row r="72" spans="1:6" x14ac:dyDescent="0.25">
      <c r="A72" t="str">
        <f t="shared" si="3"/>
        <v>Owi Wijaya-MEDICAL ALLOWANCE-CLN</v>
      </c>
      <c r="B72" t="s">
        <v>67</v>
      </c>
      <c r="C72" t="s">
        <v>118</v>
      </c>
      <c r="D72" t="s">
        <v>13</v>
      </c>
      <c r="E72">
        <f t="shared" si="4"/>
        <v>1201</v>
      </c>
      <c r="F72" t="s">
        <v>244</v>
      </c>
    </row>
    <row r="73" spans="1:6" x14ac:dyDescent="0.25">
      <c r="A73" t="str">
        <f t="shared" si="3"/>
        <v>Owi Wijaya-OFFICE SUPPLIES EXPENSES-CLN</v>
      </c>
      <c r="B73" t="s">
        <v>67</v>
      </c>
      <c r="C73" t="s">
        <v>120</v>
      </c>
      <c r="D73" t="s">
        <v>13</v>
      </c>
      <c r="E73">
        <f t="shared" si="4"/>
        <v>1201</v>
      </c>
      <c r="F73" t="s">
        <v>245</v>
      </c>
    </row>
    <row r="74" spans="1:6" x14ac:dyDescent="0.25">
      <c r="A74" t="str">
        <f t="shared" si="3"/>
        <v>Owi Wijaya-OFFICE SUPPLIES EXPENSES-KALIBENDA</v>
      </c>
      <c r="B74" t="s">
        <v>67</v>
      </c>
      <c r="C74" t="s">
        <v>120</v>
      </c>
      <c r="D74" t="s">
        <v>101</v>
      </c>
      <c r="E74">
        <f t="shared" si="4"/>
        <v>1206</v>
      </c>
      <c r="F74" t="s">
        <v>209</v>
      </c>
    </row>
    <row r="75" spans="1:6" x14ac:dyDescent="0.25">
      <c r="A75" t="str">
        <f t="shared" si="3"/>
        <v>Owi Wijaya-OFFICE SUPPLIES EXPENSES-MAJA-1</v>
      </c>
      <c r="B75" t="s">
        <v>67</v>
      </c>
      <c r="C75" t="s">
        <v>120</v>
      </c>
      <c r="D75" t="s">
        <v>24</v>
      </c>
      <c r="E75">
        <f t="shared" si="4"/>
        <v>1205</v>
      </c>
      <c r="F75" t="s">
        <v>318</v>
      </c>
    </row>
    <row r="76" spans="1:6" x14ac:dyDescent="0.25">
      <c r="A76" t="str">
        <f t="shared" si="3"/>
        <v>Owi Wijaya-OFFICE SUPPLIES EXPENSES-MAJA-2</v>
      </c>
      <c r="B76" t="s">
        <v>67</v>
      </c>
      <c r="C76" t="s">
        <v>120</v>
      </c>
      <c r="D76" t="s">
        <v>15</v>
      </c>
      <c r="E76">
        <f t="shared" si="4"/>
        <v>1204</v>
      </c>
      <c r="F76" t="s">
        <v>210</v>
      </c>
    </row>
    <row r="77" spans="1:6" x14ac:dyDescent="0.25">
      <c r="A77" t="str">
        <f t="shared" si="3"/>
        <v>Owi Wijaya-OTHER PRODUCTION COST-KALIBENDA</v>
      </c>
      <c r="B77" t="s">
        <v>67</v>
      </c>
      <c r="C77" t="s">
        <v>21</v>
      </c>
      <c r="D77" t="s">
        <v>101</v>
      </c>
      <c r="E77">
        <f t="shared" si="4"/>
        <v>1206</v>
      </c>
      <c r="F77" t="s">
        <v>184</v>
      </c>
    </row>
    <row r="78" spans="1:6" x14ac:dyDescent="0.25">
      <c r="A78" t="str">
        <f t="shared" si="3"/>
        <v>Owi Wijaya-PEMAKAIAN SPARE PART-CLN</v>
      </c>
      <c r="B78" t="s">
        <v>67</v>
      </c>
      <c r="C78" t="s">
        <v>124</v>
      </c>
      <c r="D78" t="s">
        <v>13</v>
      </c>
      <c r="E78">
        <f t="shared" si="4"/>
        <v>1201</v>
      </c>
      <c r="F78" t="s">
        <v>246</v>
      </c>
    </row>
    <row r="79" spans="1:6" x14ac:dyDescent="0.25">
      <c r="A79" t="str">
        <f t="shared" si="3"/>
        <v>Owi Wijaya-PMKN FUEL &amp; LUBRICANT-CLN</v>
      </c>
      <c r="B79" t="s">
        <v>67</v>
      </c>
      <c r="C79" t="s">
        <v>126</v>
      </c>
      <c r="D79" t="s">
        <v>13</v>
      </c>
      <c r="E79">
        <f t="shared" si="4"/>
        <v>1201</v>
      </c>
      <c r="F79" t="s">
        <v>247</v>
      </c>
    </row>
    <row r="80" spans="1:6" x14ac:dyDescent="0.25">
      <c r="A80" t="str">
        <f t="shared" si="3"/>
        <v>Owi Wijaya-RENT EXPENSES-CLN</v>
      </c>
      <c r="B80" t="s">
        <v>67</v>
      </c>
      <c r="C80" t="s">
        <v>128</v>
      </c>
      <c r="D80" t="s">
        <v>13</v>
      </c>
      <c r="E80">
        <f t="shared" si="4"/>
        <v>1201</v>
      </c>
      <c r="F80" t="s">
        <v>248</v>
      </c>
    </row>
    <row r="81" spans="1:6" x14ac:dyDescent="0.25">
      <c r="A81" t="str">
        <f t="shared" si="3"/>
        <v>Owi Wijaya-RENT EXPENSES BUILDING-CLN</v>
      </c>
      <c r="B81" t="s">
        <v>67</v>
      </c>
      <c r="C81" t="s">
        <v>130</v>
      </c>
      <c r="D81" t="s">
        <v>13</v>
      </c>
      <c r="E81">
        <f t="shared" si="4"/>
        <v>1201</v>
      </c>
      <c r="F81" t="s">
        <v>249</v>
      </c>
    </row>
    <row r="82" spans="1:6" x14ac:dyDescent="0.25">
      <c r="A82" t="str">
        <f t="shared" si="3"/>
        <v>Owi Wijaya-RENT EXPENSES LAND-CLN</v>
      </c>
      <c r="B82" t="s">
        <v>67</v>
      </c>
      <c r="C82" t="s">
        <v>132</v>
      </c>
      <c r="D82" t="s">
        <v>13</v>
      </c>
      <c r="E82">
        <f t="shared" si="4"/>
        <v>1201</v>
      </c>
      <c r="F82" t="s">
        <v>250</v>
      </c>
    </row>
    <row r="83" spans="1:6" x14ac:dyDescent="0.25">
      <c r="A83" t="str">
        <f t="shared" si="3"/>
        <v>Owi Wijaya-TELEPHONE EXPENSES-CLN</v>
      </c>
      <c r="B83" t="s">
        <v>67</v>
      </c>
      <c r="C83" t="s">
        <v>134</v>
      </c>
      <c r="D83" t="s">
        <v>13</v>
      </c>
      <c r="E83">
        <f t="shared" si="4"/>
        <v>1201</v>
      </c>
      <c r="F83" t="s">
        <v>251</v>
      </c>
    </row>
    <row r="84" spans="1:6" x14ac:dyDescent="0.25">
      <c r="A84" t="str">
        <f t="shared" si="3"/>
        <v>Owi Wijaya-TRAINING BY EMPLOYEE-CLN</v>
      </c>
      <c r="B84" t="s">
        <v>67</v>
      </c>
      <c r="C84" t="s">
        <v>136</v>
      </c>
      <c r="D84" t="s">
        <v>13</v>
      </c>
      <c r="E84">
        <f t="shared" si="4"/>
        <v>1201</v>
      </c>
      <c r="F84" t="s">
        <v>252</v>
      </c>
    </row>
    <row r="85" spans="1:6" x14ac:dyDescent="0.25">
      <c r="A85" t="str">
        <f t="shared" si="3"/>
        <v>Owi Wijaya-WATER-CLN</v>
      </c>
      <c r="B85" t="s">
        <v>67</v>
      </c>
      <c r="C85" t="s">
        <v>138</v>
      </c>
      <c r="D85" t="s">
        <v>13</v>
      </c>
      <c r="E85">
        <f t="shared" si="4"/>
        <v>1201</v>
      </c>
      <c r="F85" t="s">
        <v>253</v>
      </c>
    </row>
    <row r="86" spans="1:6" x14ac:dyDescent="0.25">
      <c r="A86" t="str">
        <f t="shared" si="3"/>
        <v>Owi Wijaya-OTHER PRODUCTION COST-CLN</v>
      </c>
      <c r="B86" t="s">
        <v>67</v>
      </c>
      <c r="C86" t="s">
        <v>21</v>
      </c>
      <c r="D86" t="s">
        <v>13</v>
      </c>
      <c r="E86">
        <f t="shared" si="4"/>
        <v>1201</v>
      </c>
      <c r="F86" t="s">
        <v>185</v>
      </c>
    </row>
    <row r="87" spans="1:6" x14ac:dyDescent="0.25">
      <c r="A87" t="str">
        <f t="shared" si="3"/>
        <v>Owi Wijaya-OTHER PRODUCTION COST-CLN</v>
      </c>
      <c r="B87" t="s">
        <v>67</v>
      </c>
      <c r="C87" t="s">
        <v>21</v>
      </c>
      <c r="D87" t="s">
        <v>13</v>
      </c>
      <c r="E87">
        <f t="shared" si="4"/>
        <v>1201</v>
      </c>
      <c r="F87" t="s">
        <v>185</v>
      </c>
    </row>
    <row r="88" spans="1:6" x14ac:dyDescent="0.25">
      <c r="A88" t="str">
        <f t="shared" si="3"/>
        <v>Owi Wijaya-OTHER PRODUCTION COST-MAJA-1</v>
      </c>
      <c r="B88" t="s">
        <v>67</v>
      </c>
      <c r="C88" t="s">
        <v>21</v>
      </c>
      <c r="D88" t="s">
        <v>24</v>
      </c>
      <c r="E88">
        <f t="shared" si="4"/>
        <v>1205</v>
      </c>
      <c r="F88" t="s">
        <v>187</v>
      </c>
    </row>
    <row r="89" spans="1:6" x14ac:dyDescent="0.25">
      <c r="A89" t="str">
        <f t="shared" si="3"/>
        <v>Owi Wijaya-OTHER PRODUCTION COST-MAJA-2</v>
      </c>
      <c r="B89" t="s">
        <v>67</v>
      </c>
      <c r="C89" t="s">
        <v>21</v>
      </c>
      <c r="D89" t="s">
        <v>15</v>
      </c>
      <c r="E89">
        <f t="shared" si="4"/>
        <v>1204</v>
      </c>
      <c r="F89" t="s">
        <v>186</v>
      </c>
    </row>
    <row r="90" spans="1:6" x14ac:dyDescent="0.25">
      <c r="A90" t="str">
        <f t="shared" si="3"/>
        <v>Wawan Iskandar-JAMSOSTEK-KALIBENDA</v>
      </c>
      <c r="B90" t="s">
        <v>141</v>
      </c>
      <c r="C90" t="s">
        <v>93</v>
      </c>
      <c r="D90" t="s">
        <v>101</v>
      </c>
      <c r="E90">
        <f t="shared" si="4"/>
        <v>1206</v>
      </c>
      <c r="F90" t="s">
        <v>254</v>
      </c>
    </row>
    <row r="91" spans="1:6" x14ac:dyDescent="0.25">
      <c r="A91" t="str">
        <f t="shared" si="3"/>
        <v>Wawan Iskandar-MAINT.&amp;REP.BUILDING-KALIBENDA</v>
      </c>
      <c r="B91" t="s">
        <v>141</v>
      </c>
      <c r="C91" t="s">
        <v>102</v>
      </c>
      <c r="D91" t="s">
        <v>101</v>
      </c>
      <c r="E91">
        <f t="shared" si="4"/>
        <v>1206</v>
      </c>
      <c r="F91" t="s">
        <v>255</v>
      </c>
    </row>
    <row r="92" spans="1:6" x14ac:dyDescent="0.25">
      <c r="A92" t="str">
        <f t="shared" si="3"/>
        <v>Wawan Iskandar-MEDICAL ALLOWANCE-KALIBENDA</v>
      </c>
      <c r="B92" t="s">
        <v>141</v>
      </c>
      <c r="C92" t="s">
        <v>118</v>
      </c>
      <c r="D92" t="s">
        <v>101</v>
      </c>
      <c r="E92">
        <f t="shared" si="4"/>
        <v>1206</v>
      </c>
      <c r="F92" t="s">
        <v>256</v>
      </c>
    </row>
    <row r="93" spans="1:6" x14ac:dyDescent="0.25">
      <c r="A93" t="str">
        <f t="shared" si="3"/>
        <v>Wawan Iskandar-RENT EXPENSES-KALIBENDA</v>
      </c>
      <c r="B93" t="s">
        <v>141</v>
      </c>
      <c r="C93" t="s">
        <v>128</v>
      </c>
      <c r="D93" t="s">
        <v>101</v>
      </c>
      <c r="E93">
        <f t="shared" si="4"/>
        <v>1206</v>
      </c>
      <c r="F93" t="s">
        <v>257</v>
      </c>
    </row>
    <row r="94" spans="1:6" x14ac:dyDescent="0.25">
      <c r="A94" t="str">
        <f t="shared" si="3"/>
        <v>Wawan Iskandar-RENT EXPENSES BUILDING-KALIBENDA</v>
      </c>
      <c r="B94" t="s">
        <v>141</v>
      </c>
      <c r="C94" t="s">
        <v>130</v>
      </c>
      <c r="D94" t="s">
        <v>101</v>
      </c>
      <c r="E94">
        <f t="shared" si="4"/>
        <v>1206</v>
      </c>
      <c r="F94" t="s">
        <v>258</v>
      </c>
    </row>
    <row r="95" spans="1:6" x14ac:dyDescent="0.25">
      <c r="A95" t="str">
        <f t="shared" si="3"/>
        <v>Wawan Iskandar-TELEPHONE EXPENSES-KALIBENDA</v>
      </c>
      <c r="B95" t="s">
        <v>141</v>
      </c>
      <c r="C95" t="s">
        <v>134</v>
      </c>
      <c r="D95" t="s">
        <v>101</v>
      </c>
      <c r="E95">
        <f t="shared" si="4"/>
        <v>1206</v>
      </c>
      <c r="F95" t="s">
        <v>259</v>
      </c>
    </row>
    <row r="96" spans="1:6" x14ac:dyDescent="0.25">
      <c r="A96" t="str">
        <f t="shared" si="3"/>
        <v>Wawan Iskandar-WATER-KALIBENDA</v>
      </c>
      <c r="B96" t="s">
        <v>141</v>
      </c>
      <c r="C96" t="s">
        <v>138</v>
      </c>
      <c r="D96" t="s">
        <v>101</v>
      </c>
      <c r="E96">
        <f t="shared" si="4"/>
        <v>1206</v>
      </c>
      <c r="F96" t="s">
        <v>260</v>
      </c>
    </row>
    <row r="97" spans="1:6" x14ac:dyDescent="0.25">
      <c r="A97" t="str">
        <f t="shared" si="3"/>
        <v>Wawan Iskandar-FACTORY SUPPLIES EXPENSE-KALIBENDA</v>
      </c>
      <c r="B97" t="s">
        <v>141</v>
      </c>
      <c r="C97" t="s">
        <v>80</v>
      </c>
      <c r="D97" t="s">
        <v>101</v>
      </c>
      <c r="E97">
        <f t="shared" si="4"/>
        <v>1206</v>
      </c>
      <c r="F97" t="s">
        <v>261</v>
      </c>
    </row>
    <row r="98" spans="1:6" x14ac:dyDescent="0.25">
      <c r="A98" t="str">
        <f t="shared" ref="A98:A129" si="5">B98&amp;"-"&amp;C98&amp;"-"&amp;D98</f>
        <v>Wawan Iskandar-MAINT.&amp;REP.ELECTRICITY-KALIBENDA</v>
      </c>
      <c r="B98" t="s">
        <v>141</v>
      </c>
      <c r="C98" t="s">
        <v>104</v>
      </c>
      <c r="D98" t="s">
        <v>101</v>
      </c>
      <c r="E98">
        <f t="shared" si="4"/>
        <v>1206</v>
      </c>
      <c r="F98" t="s">
        <v>262</v>
      </c>
    </row>
    <row r="99" spans="1:6" x14ac:dyDescent="0.25">
      <c r="A99" t="str">
        <f t="shared" si="5"/>
        <v>Wawan Iskandar-MAINT.&amp;REP.GEN&amp;BOILER-KALIBENDA</v>
      </c>
      <c r="B99" t="s">
        <v>141</v>
      </c>
      <c r="C99" t="s">
        <v>106</v>
      </c>
      <c r="D99" t="s">
        <v>101</v>
      </c>
      <c r="E99">
        <f t="shared" si="4"/>
        <v>1206</v>
      </c>
      <c r="F99" t="s">
        <v>263</v>
      </c>
    </row>
    <row r="100" spans="1:6" x14ac:dyDescent="0.25">
      <c r="A100" t="str">
        <f t="shared" si="5"/>
        <v>Wawan Iskandar-MAINT.&amp;REP.MACHINERIE-KALIBENDA</v>
      </c>
      <c r="B100" t="s">
        <v>141</v>
      </c>
      <c r="C100" t="s">
        <v>108</v>
      </c>
      <c r="D100" t="s">
        <v>101</v>
      </c>
      <c r="E100">
        <f t="shared" si="4"/>
        <v>1206</v>
      </c>
      <c r="F100" t="s">
        <v>264</v>
      </c>
    </row>
    <row r="101" spans="1:6" x14ac:dyDescent="0.25">
      <c r="A101" t="str">
        <f t="shared" si="5"/>
        <v>Wawan Iskandar-MAINT.&amp;REP.MOTORVEHICLE-KALIBENDA</v>
      </c>
      <c r="B101" t="s">
        <v>141</v>
      </c>
      <c r="C101" t="s">
        <v>110</v>
      </c>
      <c r="D101" t="s">
        <v>101</v>
      </c>
      <c r="E101">
        <f t="shared" si="4"/>
        <v>1206</v>
      </c>
      <c r="F101" t="s">
        <v>265</v>
      </c>
    </row>
    <row r="102" spans="1:6" x14ac:dyDescent="0.25">
      <c r="A102" t="str">
        <f t="shared" si="5"/>
        <v>Wawan Iskandar-MAINT.&amp;REP.PLANTEQUI-KALIBENDA</v>
      </c>
      <c r="B102" t="s">
        <v>141</v>
      </c>
      <c r="C102" t="s">
        <v>112</v>
      </c>
      <c r="D102" t="s">
        <v>101</v>
      </c>
      <c r="E102">
        <f t="shared" si="4"/>
        <v>1206</v>
      </c>
      <c r="F102" t="s">
        <v>266</v>
      </c>
    </row>
    <row r="103" spans="1:6" x14ac:dyDescent="0.25">
      <c r="A103" t="str">
        <f t="shared" si="5"/>
        <v>Wawan Iskandar-MAINT.&amp;REP.WATERINSTL.-KALIBENDA</v>
      </c>
      <c r="B103" t="s">
        <v>141</v>
      </c>
      <c r="C103" t="s">
        <v>114</v>
      </c>
      <c r="D103" t="s">
        <v>101</v>
      </c>
      <c r="E103">
        <f t="shared" si="4"/>
        <v>1206</v>
      </c>
      <c r="F103" t="s">
        <v>267</v>
      </c>
    </row>
    <row r="104" spans="1:6" x14ac:dyDescent="0.25">
      <c r="A104" t="str">
        <f t="shared" si="5"/>
        <v>Wawan Iskandar-PEMAKAIAN SPARE PART-KALIBENDA</v>
      </c>
      <c r="B104" t="s">
        <v>141</v>
      </c>
      <c r="C104" t="s">
        <v>124</v>
      </c>
      <c r="D104" t="s">
        <v>101</v>
      </c>
      <c r="E104">
        <f t="shared" si="4"/>
        <v>1206</v>
      </c>
      <c r="F104" t="s">
        <v>268</v>
      </c>
    </row>
    <row r="105" spans="1:6" x14ac:dyDescent="0.25">
      <c r="A105" t="str">
        <f t="shared" si="5"/>
        <v>Wawan Iskandar-BUSINESS TRIP EXPENSES-KALIBENDA</v>
      </c>
      <c r="B105" t="s">
        <v>141</v>
      </c>
      <c r="C105" t="s">
        <v>70</v>
      </c>
      <c r="D105" t="s">
        <v>101</v>
      </c>
      <c r="E105">
        <f t="shared" si="4"/>
        <v>1206</v>
      </c>
      <c r="F105" t="s">
        <v>269</v>
      </c>
    </row>
    <row r="106" spans="1:6" x14ac:dyDescent="0.25">
      <c r="A106" t="str">
        <f t="shared" si="5"/>
        <v>Wawan Iskandar-ELECTRICITY-KALIBENDA</v>
      </c>
      <c r="B106" t="s">
        <v>141</v>
      </c>
      <c r="C106" t="s">
        <v>76</v>
      </c>
      <c r="D106" t="s">
        <v>101</v>
      </c>
      <c r="E106">
        <f t="shared" si="4"/>
        <v>1206</v>
      </c>
      <c r="F106" t="s">
        <v>270</v>
      </c>
    </row>
    <row r="107" spans="1:6" x14ac:dyDescent="0.25">
      <c r="A107" t="str">
        <f t="shared" si="5"/>
        <v>Wawan Iskandar-FUEL FOR MOTOR VEHICLE-KALIBENDA</v>
      </c>
      <c r="B107" t="s">
        <v>141</v>
      </c>
      <c r="C107" t="s">
        <v>87</v>
      </c>
      <c r="D107" t="s">
        <v>101</v>
      </c>
      <c r="E107">
        <f t="shared" si="4"/>
        <v>1206</v>
      </c>
      <c r="F107" t="s">
        <v>271</v>
      </c>
    </row>
    <row r="108" spans="1:6" x14ac:dyDescent="0.25">
      <c r="A108" t="str">
        <f t="shared" si="5"/>
        <v>Wawan Iskandar-LABOR COST-KALIBENDA</v>
      </c>
      <c r="B108" t="s">
        <v>141</v>
      </c>
      <c r="C108" t="s">
        <v>96</v>
      </c>
      <c r="D108" t="s">
        <v>101</v>
      </c>
      <c r="E108">
        <f t="shared" si="4"/>
        <v>1206</v>
      </c>
      <c r="F108" t="s">
        <v>272</v>
      </c>
    </row>
    <row r="109" spans="1:6" x14ac:dyDescent="0.25">
      <c r="A109" t="str">
        <f t="shared" si="5"/>
        <v>Wawan Iskandar-OFFICER SALARIES-KALIBENDA</v>
      </c>
      <c r="B109" t="s">
        <v>141</v>
      </c>
      <c r="C109" t="s">
        <v>146</v>
      </c>
      <c r="D109" t="s">
        <v>101</v>
      </c>
      <c r="E109">
        <f t="shared" si="4"/>
        <v>1206</v>
      </c>
      <c r="F109" t="s">
        <v>273</v>
      </c>
    </row>
    <row r="110" spans="1:6" x14ac:dyDescent="0.25">
      <c r="A110" t="str">
        <f t="shared" si="5"/>
        <v>Wawan Iskandar-PEMAKAIAN GENERAL MATERIAL-KALIBENDA</v>
      </c>
      <c r="B110" t="s">
        <v>141</v>
      </c>
      <c r="C110" t="s">
        <v>26</v>
      </c>
      <c r="D110" t="s">
        <v>101</v>
      </c>
      <c r="E110">
        <f t="shared" si="4"/>
        <v>1206</v>
      </c>
      <c r="F110" t="s">
        <v>274</v>
      </c>
    </row>
    <row r="111" spans="1:6" x14ac:dyDescent="0.25">
      <c r="A111" t="str">
        <f t="shared" si="5"/>
        <v>Wawan Iskandar-VENDOR EXPENSES-CHW</v>
      </c>
      <c r="B111" t="s">
        <v>141</v>
      </c>
      <c r="C111" t="s">
        <v>37</v>
      </c>
      <c r="D111" t="s">
        <v>150</v>
      </c>
      <c r="E111">
        <f t="shared" si="4"/>
        <v>1206</v>
      </c>
      <c r="F111" t="s">
        <v>188</v>
      </c>
    </row>
    <row r="112" spans="1:6" x14ac:dyDescent="0.25">
      <c r="A112" t="str">
        <f t="shared" si="5"/>
        <v>Tony Teja-ENTERTAINMENT-MAJA-1</v>
      </c>
      <c r="B112" t="s">
        <v>329</v>
      </c>
      <c r="C112" t="s">
        <v>78</v>
      </c>
      <c r="D112" t="s">
        <v>24</v>
      </c>
      <c r="E112">
        <f t="shared" si="4"/>
        <v>1205</v>
      </c>
      <c r="F112" t="s">
        <v>275</v>
      </c>
    </row>
    <row r="113" spans="1:6" x14ac:dyDescent="0.25">
      <c r="A113" t="str">
        <f t="shared" si="5"/>
        <v>Tony Teja-JAMSOSTEK-MAJA-1</v>
      </c>
      <c r="B113" t="s">
        <v>329</v>
      </c>
      <c r="C113" t="s">
        <v>93</v>
      </c>
      <c r="D113" t="s">
        <v>24</v>
      </c>
      <c r="E113">
        <f t="shared" si="4"/>
        <v>1205</v>
      </c>
      <c r="F113" t="s">
        <v>276</v>
      </c>
    </row>
    <row r="114" spans="1:6" x14ac:dyDescent="0.25">
      <c r="A114" t="str">
        <f t="shared" si="5"/>
        <v>Tony Teja-MAINT.&amp;REP.BUILDING-MAJA-1</v>
      </c>
      <c r="B114" t="s">
        <v>329</v>
      </c>
      <c r="C114" t="s">
        <v>102</v>
      </c>
      <c r="D114" t="s">
        <v>24</v>
      </c>
      <c r="E114">
        <f t="shared" si="4"/>
        <v>1205</v>
      </c>
      <c r="F114" t="s">
        <v>277</v>
      </c>
    </row>
    <row r="115" spans="1:6" x14ac:dyDescent="0.25">
      <c r="A115" t="str">
        <f t="shared" si="5"/>
        <v>Tony Teja-MAINT.&amp;REP.WATERINSTL.-MAJA-1</v>
      </c>
      <c r="B115" t="s">
        <v>329</v>
      </c>
      <c r="C115" t="s">
        <v>114</v>
      </c>
      <c r="D115" t="s">
        <v>24</v>
      </c>
      <c r="E115">
        <f t="shared" si="4"/>
        <v>1205</v>
      </c>
      <c r="F115" t="s">
        <v>278</v>
      </c>
    </row>
    <row r="116" spans="1:6" x14ac:dyDescent="0.25">
      <c r="A116" t="str">
        <f t="shared" si="5"/>
        <v>Tony Teja-MEDICAL ALLOWANCE-MAJA-1</v>
      </c>
      <c r="B116" t="s">
        <v>329</v>
      </c>
      <c r="C116" t="s">
        <v>118</v>
      </c>
      <c r="D116" t="s">
        <v>24</v>
      </c>
      <c r="E116">
        <f t="shared" si="4"/>
        <v>1205</v>
      </c>
      <c r="F116" t="s">
        <v>279</v>
      </c>
    </row>
    <row r="117" spans="1:6" x14ac:dyDescent="0.25">
      <c r="A117" t="str">
        <f t="shared" si="5"/>
        <v>Tony Teja-RENT EXPENSES BUILDING-MAJA-1</v>
      </c>
      <c r="B117" t="s">
        <v>329</v>
      </c>
      <c r="C117" t="s">
        <v>130</v>
      </c>
      <c r="D117" t="s">
        <v>24</v>
      </c>
      <c r="E117">
        <f t="shared" si="4"/>
        <v>1205</v>
      </c>
      <c r="F117" t="s">
        <v>280</v>
      </c>
    </row>
    <row r="118" spans="1:6" x14ac:dyDescent="0.25">
      <c r="A118" t="str">
        <f t="shared" si="5"/>
        <v>Tony Teja-OTHER PRODUCTION COST-MAJA-1</v>
      </c>
      <c r="B118" t="s">
        <v>329</v>
      </c>
      <c r="C118" t="s">
        <v>21</v>
      </c>
      <c r="D118" t="s">
        <v>24</v>
      </c>
      <c r="E118">
        <f t="shared" si="4"/>
        <v>1205</v>
      </c>
      <c r="F118" t="s">
        <v>187</v>
      </c>
    </row>
    <row r="119" spans="1:6" x14ac:dyDescent="0.25">
      <c r="A119" t="str">
        <f t="shared" si="5"/>
        <v>Tony Teja-BUSINESS TRIP EXPENSES-MAJA-1</v>
      </c>
      <c r="B119" t="s">
        <v>329</v>
      </c>
      <c r="C119" t="s">
        <v>70</v>
      </c>
      <c r="D119" t="s">
        <v>24</v>
      </c>
      <c r="E119">
        <f t="shared" si="4"/>
        <v>1205</v>
      </c>
      <c r="F119" t="s">
        <v>281</v>
      </c>
    </row>
    <row r="120" spans="1:6" x14ac:dyDescent="0.25">
      <c r="A120" t="str">
        <f t="shared" si="5"/>
        <v>Tony Teja-ELECTRICITY-MAJA-1</v>
      </c>
      <c r="B120" t="s">
        <v>329</v>
      </c>
      <c r="C120" t="s">
        <v>76</v>
      </c>
      <c r="D120" t="s">
        <v>24</v>
      </c>
      <c r="E120">
        <f t="shared" si="4"/>
        <v>1205</v>
      </c>
      <c r="F120" t="s">
        <v>282</v>
      </c>
    </row>
    <row r="121" spans="1:6" x14ac:dyDescent="0.25">
      <c r="A121" t="str">
        <f t="shared" si="5"/>
        <v>Tony Teja-FACTORY SUPPLIES EXPENSE-MAJA-1</v>
      </c>
      <c r="B121" t="s">
        <v>329</v>
      </c>
      <c r="C121" t="s">
        <v>80</v>
      </c>
      <c r="D121" t="s">
        <v>24</v>
      </c>
      <c r="E121">
        <f t="shared" si="4"/>
        <v>1205</v>
      </c>
      <c r="F121" t="s">
        <v>283</v>
      </c>
    </row>
    <row r="122" spans="1:6" x14ac:dyDescent="0.25">
      <c r="A122" t="str">
        <f t="shared" si="5"/>
        <v>Tony Teja-FARE ALLOWANCE-MAJA-1</v>
      </c>
      <c r="B122" t="s">
        <v>329</v>
      </c>
      <c r="C122" t="s">
        <v>154</v>
      </c>
      <c r="D122" t="s">
        <v>24</v>
      </c>
      <c r="E122">
        <f t="shared" si="4"/>
        <v>1205</v>
      </c>
      <c r="F122" t="s">
        <v>284</v>
      </c>
    </row>
    <row r="123" spans="1:6" x14ac:dyDescent="0.25">
      <c r="A123" t="str">
        <f t="shared" si="5"/>
        <v>Tony Teja-LABOR COST-MAJA-1</v>
      </c>
      <c r="B123" t="s">
        <v>329</v>
      </c>
      <c r="C123" t="s">
        <v>96</v>
      </c>
      <c r="D123" t="s">
        <v>24</v>
      </c>
      <c r="E123">
        <f t="shared" si="4"/>
        <v>1205</v>
      </c>
      <c r="F123" t="s">
        <v>285</v>
      </c>
    </row>
    <row r="124" spans="1:6" x14ac:dyDescent="0.25">
      <c r="A124" t="str">
        <f t="shared" si="5"/>
        <v>Tony Teja-MAINT.&amp;REP.ELECTRICITY-MAJA-1</v>
      </c>
      <c r="B124" t="s">
        <v>329</v>
      </c>
      <c r="C124" t="s">
        <v>104</v>
      </c>
      <c r="D124" t="s">
        <v>24</v>
      </c>
      <c r="E124">
        <f t="shared" si="4"/>
        <v>1205</v>
      </c>
      <c r="F124" t="s">
        <v>286</v>
      </c>
    </row>
    <row r="125" spans="1:6" x14ac:dyDescent="0.25">
      <c r="A125" t="str">
        <f t="shared" si="5"/>
        <v>Tony Teja-MAINT.&amp;REP.GEN&amp;BOILER-MAJA-1</v>
      </c>
      <c r="B125" t="s">
        <v>329</v>
      </c>
      <c r="C125" t="s">
        <v>106</v>
      </c>
      <c r="D125" t="s">
        <v>24</v>
      </c>
      <c r="E125">
        <f t="shared" si="4"/>
        <v>1205</v>
      </c>
      <c r="F125" t="s">
        <v>287</v>
      </c>
    </row>
    <row r="126" spans="1:6" x14ac:dyDescent="0.25">
      <c r="A126" t="str">
        <f t="shared" si="5"/>
        <v>Tony Teja-MAINT.&amp;REP.MACHINERIE-MAJA-1</v>
      </c>
      <c r="B126" t="s">
        <v>329</v>
      </c>
      <c r="C126" t="s">
        <v>108</v>
      </c>
      <c r="D126" t="s">
        <v>24</v>
      </c>
      <c r="E126">
        <f t="shared" si="4"/>
        <v>1205</v>
      </c>
      <c r="F126" t="s">
        <v>288</v>
      </c>
    </row>
    <row r="127" spans="1:6" x14ac:dyDescent="0.25">
      <c r="A127" t="str">
        <f t="shared" si="5"/>
        <v>Tony Teja-MAINT.&amp;REP.PLANTEQUI-MAJA-1</v>
      </c>
      <c r="B127" t="s">
        <v>329</v>
      </c>
      <c r="C127" t="s">
        <v>112</v>
      </c>
      <c r="D127" t="s">
        <v>24</v>
      </c>
      <c r="E127">
        <f t="shared" si="4"/>
        <v>1205</v>
      </c>
      <c r="F127" t="s">
        <v>289</v>
      </c>
    </row>
    <row r="128" spans="1:6" x14ac:dyDescent="0.25">
      <c r="A128" t="str">
        <f t="shared" si="5"/>
        <v>Tony Teja-OFFICER SALARIES-MAJA-1</v>
      </c>
      <c r="B128" t="s">
        <v>329</v>
      </c>
      <c r="C128" t="s">
        <v>146</v>
      </c>
      <c r="D128" t="s">
        <v>24</v>
      </c>
      <c r="E128">
        <f t="shared" si="4"/>
        <v>1205</v>
      </c>
      <c r="F128" t="s">
        <v>290</v>
      </c>
    </row>
    <row r="129" spans="1:6" x14ac:dyDescent="0.25">
      <c r="A129" t="str">
        <f t="shared" si="5"/>
        <v>Tony Teja-PEMAKAIAN SPARE PART-MAJA-1</v>
      </c>
      <c r="B129" t="s">
        <v>329</v>
      </c>
      <c r="C129" t="s">
        <v>124</v>
      </c>
      <c r="D129" t="s">
        <v>24</v>
      </c>
      <c r="E129">
        <f t="shared" si="4"/>
        <v>1205</v>
      </c>
      <c r="F129" t="s">
        <v>291</v>
      </c>
    </row>
    <row r="130" spans="1:6" x14ac:dyDescent="0.25">
      <c r="A130" t="str">
        <f t="shared" ref="A130:A161" si="6">B130&amp;"-"&amp;C130&amp;"-"&amp;D130</f>
        <v>Tony Teja-ENTERTAINMENT-MAJA-2</v>
      </c>
      <c r="B130" t="s">
        <v>329</v>
      </c>
      <c r="C130" t="s">
        <v>78</v>
      </c>
      <c r="D130" t="s">
        <v>15</v>
      </c>
      <c r="E130">
        <f t="shared" si="4"/>
        <v>1204</v>
      </c>
      <c r="F130" t="s">
        <v>292</v>
      </c>
    </row>
    <row r="131" spans="1:6" x14ac:dyDescent="0.25">
      <c r="A131" t="str">
        <f t="shared" si="6"/>
        <v>Tony Teja-JAMSOSTEK-MAJA-2</v>
      </c>
      <c r="B131" t="s">
        <v>329</v>
      </c>
      <c r="C131" t="s">
        <v>93</v>
      </c>
      <c r="D131" t="s">
        <v>15</v>
      </c>
      <c r="E131">
        <f t="shared" ref="E131:E158" si="7">VLOOKUP(D131,$L$2:$M$6,2,FALSE)</f>
        <v>1204</v>
      </c>
      <c r="F131" t="s">
        <v>293</v>
      </c>
    </row>
    <row r="132" spans="1:6" x14ac:dyDescent="0.25">
      <c r="A132" t="str">
        <f t="shared" si="6"/>
        <v>Tony Teja-MAINT.&amp;REP.BUILDING-MAJA-2</v>
      </c>
      <c r="B132" t="s">
        <v>329</v>
      </c>
      <c r="C132" t="s">
        <v>102</v>
      </c>
      <c r="D132" t="s">
        <v>15</v>
      </c>
      <c r="E132">
        <f t="shared" si="7"/>
        <v>1204</v>
      </c>
      <c r="F132" t="s">
        <v>294</v>
      </c>
    </row>
    <row r="133" spans="1:6" x14ac:dyDescent="0.25">
      <c r="A133" t="str">
        <f t="shared" si="6"/>
        <v>Tony Teja-MAINT.&amp;REP.WATERINSTL.-MAJA-2</v>
      </c>
      <c r="B133" t="s">
        <v>329</v>
      </c>
      <c r="C133" t="s">
        <v>114</v>
      </c>
      <c r="D133" t="s">
        <v>15</v>
      </c>
      <c r="E133">
        <f t="shared" si="7"/>
        <v>1204</v>
      </c>
      <c r="F133" t="s">
        <v>295</v>
      </c>
    </row>
    <row r="134" spans="1:6" x14ac:dyDescent="0.25">
      <c r="A134" t="str">
        <f t="shared" si="6"/>
        <v>Tony Teja-MEDICAL ALLOWANCE-MAJA-2</v>
      </c>
      <c r="B134" t="s">
        <v>329</v>
      </c>
      <c r="C134" t="s">
        <v>118</v>
      </c>
      <c r="D134" t="s">
        <v>15</v>
      </c>
      <c r="E134">
        <f t="shared" si="7"/>
        <v>1204</v>
      </c>
      <c r="F134" t="s">
        <v>296</v>
      </c>
    </row>
    <row r="135" spans="1:6" x14ac:dyDescent="0.25">
      <c r="A135" t="str">
        <f t="shared" si="6"/>
        <v>Tony Teja-RENT EXPENSES BUILDING-MAJA-2</v>
      </c>
      <c r="B135" t="s">
        <v>329</v>
      </c>
      <c r="C135" t="s">
        <v>130</v>
      </c>
      <c r="D135" t="s">
        <v>15</v>
      </c>
      <c r="E135">
        <f t="shared" si="7"/>
        <v>1204</v>
      </c>
      <c r="F135" t="s">
        <v>297</v>
      </c>
    </row>
    <row r="136" spans="1:6" x14ac:dyDescent="0.25">
      <c r="A136" t="str">
        <f t="shared" si="6"/>
        <v>Tony Teja-OTHER PRODUCTION COST-MAJA-2</v>
      </c>
      <c r="B136" t="s">
        <v>329</v>
      </c>
      <c r="C136" t="s">
        <v>21</v>
      </c>
      <c r="D136" t="s">
        <v>15</v>
      </c>
      <c r="E136">
        <f t="shared" si="7"/>
        <v>1204</v>
      </c>
      <c r="F136" t="s">
        <v>186</v>
      </c>
    </row>
    <row r="137" spans="1:6" x14ac:dyDescent="0.25">
      <c r="A137" t="str">
        <f t="shared" si="6"/>
        <v>Tony Teja-AIR FREIGHT-MAJA-2</v>
      </c>
      <c r="B137" t="s">
        <v>329</v>
      </c>
      <c r="C137" t="s">
        <v>68</v>
      </c>
      <c r="D137" t="s">
        <v>15</v>
      </c>
      <c r="E137">
        <f t="shared" si="7"/>
        <v>1204</v>
      </c>
      <c r="F137" t="s">
        <v>181</v>
      </c>
    </row>
    <row r="138" spans="1:6" x14ac:dyDescent="0.25">
      <c r="A138" t="str">
        <f t="shared" si="6"/>
        <v>Tony Teja-BUSINESS TRIP EXPENSES-MAJA-2</v>
      </c>
      <c r="B138" t="s">
        <v>329</v>
      </c>
      <c r="C138" t="s">
        <v>70</v>
      </c>
      <c r="D138" t="s">
        <v>15</v>
      </c>
      <c r="E138">
        <f t="shared" si="7"/>
        <v>1204</v>
      </c>
      <c r="F138" t="s">
        <v>298</v>
      </c>
    </row>
    <row r="139" spans="1:6" x14ac:dyDescent="0.25">
      <c r="A139" t="str">
        <f t="shared" si="6"/>
        <v>Tony Teja-ELECTRICITY-MAJA-2</v>
      </c>
      <c r="B139" t="s">
        <v>329</v>
      </c>
      <c r="C139" t="s">
        <v>76</v>
      </c>
      <c r="D139" t="s">
        <v>15</v>
      </c>
      <c r="E139">
        <f t="shared" si="7"/>
        <v>1204</v>
      </c>
      <c r="F139" t="s">
        <v>299</v>
      </c>
    </row>
    <row r="140" spans="1:6" x14ac:dyDescent="0.25">
      <c r="A140" t="str">
        <f t="shared" si="6"/>
        <v>Tony Teja-FACTORY SUPPLIES EXPENSE-MAJA-2</v>
      </c>
      <c r="B140" t="s">
        <v>329</v>
      </c>
      <c r="C140" t="s">
        <v>80</v>
      </c>
      <c r="D140" t="s">
        <v>15</v>
      </c>
      <c r="E140">
        <f t="shared" si="7"/>
        <v>1204</v>
      </c>
      <c r="F140" t="s">
        <v>300</v>
      </c>
    </row>
    <row r="141" spans="1:6" x14ac:dyDescent="0.25">
      <c r="A141" t="str">
        <f t="shared" si="6"/>
        <v>Tony Teja-FARE ALLOWANCE-MAJA-2</v>
      </c>
      <c r="B141" t="s">
        <v>329</v>
      </c>
      <c r="C141" t="s">
        <v>154</v>
      </c>
      <c r="D141" t="s">
        <v>15</v>
      </c>
      <c r="E141">
        <f t="shared" si="7"/>
        <v>1204</v>
      </c>
      <c r="F141" t="s">
        <v>301</v>
      </c>
    </row>
    <row r="142" spans="1:6" x14ac:dyDescent="0.25">
      <c r="A142" t="str">
        <f t="shared" si="6"/>
        <v>Tony Teja-LABOR COST-MAJA-2</v>
      </c>
      <c r="B142" t="s">
        <v>329</v>
      </c>
      <c r="C142" t="s">
        <v>96</v>
      </c>
      <c r="D142" t="s">
        <v>15</v>
      </c>
      <c r="E142">
        <f t="shared" si="7"/>
        <v>1204</v>
      </c>
      <c r="F142" t="s">
        <v>302</v>
      </c>
    </row>
    <row r="143" spans="1:6" x14ac:dyDescent="0.25">
      <c r="A143" t="str">
        <f t="shared" si="6"/>
        <v>Tony Teja-MAINT.&amp;REP.ELECTRICITY-MAJA-2</v>
      </c>
      <c r="B143" t="s">
        <v>329</v>
      </c>
      <c r="C143" t="s">
        <v>104</v>
      </c>
      <c r="D143" t="s">
        <v>15</v>
      </c>
      <c r="E143">
        <f t="shared" si="7"/>
        <v>1204</v>
      </c>
      <c r="F143" t="s">
        <v>303</v>
      </c>
    </row>
    <row r="144" spans="1:6" x14ac:dyDescent="0.25">
      <c r="A144" t="str">
        <f t="shared" si="6"/>
        <v>Tony Teja-MAINT.&amp;REP.GEN&amp;BOILER-MAJA-2</v>
      </c>
      <c r="B144" t="s">
        <v>329</v>
      </c>
      <c r="C144" t="s">
        <v>106</v>
      </c>
      <c r="D144" t="s">
        <v>15</v>
      </c>
      <c r="E144">
        <f t="shared" si="7"/>
        <v>1204</v>
      </c>
      <c r="F144" t="s">
        <v>304</v>
      </c>
    </row>
    <row r="145" spans="1:6" x14ac:dyDescent="0.25">
      <c r="A145" t="str">
        <f t="shared" si="6"/>
        <v>Tony Teja-MAINT.&amp;REP.MACHINERIE-MAJA-2</v>
      </c>
      <c r="B145" t="s">
        <v>329</v>
      </c>
      <c r="C145" t="s">
        <v>108</v>
      </c>
      <c r="D145" t="s">
        <v>15</v>
      </c>
      <c r="E145">
        <f t="shared" si="7"/>
        <v>1204</v>
      </c>
      <c r="F145" t="s">
        <v>305</v>
      </c>
    </row>
    <row r="146" spans="1:6" x14ac:dyDescent="0.25">
      <c r="A146" t="str">
        <f t="shared" si="6"/>
        <v>Tony Teja-MAINT.&amp;REP.PLANTEQUI-MAJA-2</v>
      </c>
      <c r="B146" t="s">
        <v>329</v>
      </c>
      <c r="C146" t="s">
        <v>112</v>
      </c>
      <c r="D146" t="s">
        <v>15</v>
      </c>
      <c r="E146">
        <f t="shared" si="7"/>
        <v>1204</v>
      </c>
      <c r="F146" t="s">
        <v>306</v>
      </c>
    </row>
    <row r="147" spans="1:6" x14ac:dyDescent="0.25">
      <c r="A147" t="str">
        <f t="shared" si="6"/>
        <v>Tony Teja-PEMAKAIAN SPARE PART-MAJA-2</v>
      </c>
      <c r="B147" t="s">
        <v>329</v>
      </c>
      <c r="C147" t="s">
        <v>124</v>
      </c>
      <c r="D147" t="s">
        <v>15</v>
      </c>
      <c r="E147">
        <f t="shared" si="7"/>
        <v>1204</v>
      </c>
      <c r="F147" t="s">
        <v>307</v>
      </c>
    </row>
    <row r="148" spans="1:6" x14ac:dyDescent="0.25">
      <c r="A148" t="str">
        <f t="shared" si="6"/>
        <v>Tony Teja-PMKN FUEL &amp; LUBRICANT-MAJA-2</v>
      </c>
      <c r="B148" t="s">
        <v>329</v>
      </c>
      <c r="C148" t="s">
        <v>126</v>
      </c>
      <c r="D148" t="s">
        <v>15</v>
      </c>
      <c r="E148">
        <f t="shared" si="7"/>
        <v>1204</v>
      </c>
      <c r="F148" t="s">
        <v>308</v>
      </c>
    </row>
    <row r="149" spans="1:6" x14ac:dyDescent="0.25">
      <c r="A149" t="str">
        <f t="shared" si="6"/>
        <v>Santy Silalahi-ACCOUNTING&amp;TAX ADVISORY EXP.-CLN</v>
      </c>
      <c r="B149" t="s">
        <v>159</v>
      </c>
      <c r="C149" t="s">
        <v>160</v>
      </c>
      <c r="D149" t="s">
        <v>13</v>
      </c>
      <c r="E149">
        <f t="shared" si="7"/>
        <v>1201</v>
      </c>
      <c r="F149" t="s">
        <v>309</v>
      </c>
    </row>
    <row r="150" spans="1:6" x14ac:dyDescent="0.25">
      <c r="A150" t="str">
        <f t="shared" si="6"/>
        <v>Santy Silalahi-BANK CHARGES-CLN</v>
      </c>
      <c r="B150" t="s">
        <v>159</v>
      </c>
      <c r="C150" t="s">
        <v>162</v>
      </c>
      <c r="D150" t="s">
        <v>13</v>
      </c>
      <c r="E150">
        <f t="shared" si="7"/>
        <v>1201</v>
      </c>
      <c r="F150" t="s">
        <v>310</v>
      </c>
    </row>
    <row r="151" spans="1:6" x14ac:dyDescent="0.25">
      <c r="A151" t="str">
        <f t="shared" si="6"/>
        <v>Santy Silalahi-INTEREST EXP OF DOMESTIC-CLN</v>
      </c>
      <c r="B151" t="s">
        <v>159</v>
      </c>
      <c r="C151" t="s">
        <v>164</v>
      </c>
      <c r="D151" t="s">
        <v>13</v>
      </c>
      <c r="E151">
        <f t="shared" si="7"/>
        <v>1201</v>
      </c>
      <c r="F151" t="s">
        <v>311</v>
      </c>
    </row>
    <row r="152" spans="1:6" x14ac:dyDescent="0.25">
      <c r="A152" t="str">
        <f t="shared" si="6"/>
        <v>Santy Silalahi-PREMIUM COST-CLN</v>
      </c>
      <c r="B152" t="s">
        <v>159</v>
      </c>
      <c r="C152" t="s">
        <v>167</v>
      </c>
      <c r="D152" t="s">
        <v>13</v>
      </c>
      <c r="E152">
        <f t="shared" si="7"/>
        <v>1201</v>
      </c>
      <c r="F152" t="s">
        <v>189</v>
      </c>
    </row>
    <row r="153" spans="1:6" x14ac:dyDescent="0.25">
      <c r="A153" t="str">
        <f t="shared" si="6"/>
        <v>Santy Silalahi-TAXES-CLN</v>
      </c>
      <c r="B153" t="s">
        <v>159</v>
      </c>
      <c r="C153" t="s">
        <v>169</v>
      </c>
      <c r="D153" t="s">
        <v>13</v>
      </c>
      <c r="E153">
        <f t="shared" si="7"/>
        <v>1201</v>
      </c>
      <c r="F153" t="s">
        <v>312</v>
      </c>
    </row>
    <row r="154" spans="1:6" x14ac:dyDescent="0.25">
      <c r="A154" t="str">
        <f t="shared" si="6"/>
        <v>Santy Silalahi-TAXES-KALIBENDA</v>
      </c>
      <c r="B154" t="s">
        <v>159</v>
      </c>
      <c r="C154" t="s">
        <v>169</v>
      </c>
      <c r="D154" t="s">
        <v>101</v>
      </c>
      <c r="E154">
        <f t="shared" si="7"/>
        <v>1206</v>
      </c>
      <c r="F154" t="s">
        <v>313</v>
      </c>
    </row>
    <row r="155" spans="1:6" x14ac:dyDescent="0.25">
      <c r="A155" t="str">
        <f t="shared" si="6"/>
        <v>Santy Silalahi-TAXES-MAJA-1</v>
      </c>
      <c r="B155" t="s">
        <v>159</v>
      </c>
      <c r="C155" t="s">
        <v>169</v>
      </c>
      <c r="D155" t="s">
        <v>24</v>
      </c>
      <c r="E155">
        <f t="shared" si="7"/>
        <v>1205</v>
      </c>
      <c r="F155" t="s">
        <v>314</v>
      </c>
    </row>
    <row r="156" spans="1:6" x14ac:dyDescent="0.25">
      <c r="A156" t="str">
        <f t="shared" si="6"/>
        <v>Santy Silalahi-TAXES-MAJA-2</v>
      </c>
      <c r="B156" t="s">
        <v>159</v>
      </c>
      <c r="C156" t="s">
        <v>169</v>
      </c>
      <c r="D156" t="s">
        <v>15</v>
      </c>
      <c r="E156">
        <f t="shared" si="7"/>
        <v>1204</v>
      </c>
      <c r="F156" t="s">
        <v>315</v>
      </c>
    </row>
    <row r="157" spans="1:6" x14ac:dyDescent="0.25">
      <c r="A157" t="str">
        <f t="shared" si="6"/>
        <v>Santy Silalahi-OFFICER SALARIES-CLN</v>
      </c>
      <c r="B157" t="s">
        <v>159</v>
      </c>
      <c r="C157" t="s">
        <v>146</v>
      </c>
      <c r="D157" t="s">
        <v>13</v>
      </c>
      <c r="E157">
        <f t="shared" si="7"/>
        <v>1201</v>
      </c>
      <c r="F157" t="s">
        <v>190</v>
      </c>
    </row>
    <row r="158" spans="1:6" x14ac:dyDescent="0.25">
      <c r="A158" t="str">
        <f t="shared" si="6"/>
        <v>Santy Silalahi-OFFICER SALARIES-MAJA-2</v>
      </c>
      <c r="B158" t="s">
        <v>159</v>
      </c>
      <c r="C158" t="s">
        <v>146</v>
      </c>
      <c r="D158" t="s">
        <v>15</v>
      </c>
      <c r="E158">
        <f t="shared" si="7"/>
        <v>1204</v>
      </c>
      <c r="F158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L11"/>
  <sheetViews>
    <sheetView topLeftCell="A4" zoomScale="85" zoomScaleNormal="85" workbookViewId="0">
      <pane xSplit="1" ySplit="2" topLeftCell="D6" activePane="bottomRight" state="frozen"/>
      <selection activeCell="A4" sqref="A4"/>
      <selection pane="topRight" activeCell="B4" sqref="B4"/>
      <selection pane="bottomLeft" activeCell="A6" sqref="A6"/>
      <selection pane="bottomRight" activeCell="L9" sqref="L9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2" ht="23.25" x14ac:dyDescent="0.35">
      <c r="A2" s="58" t="s">
        <v>175</v>
      </c>
      <c r="B2" s="58"/>
      <c r="C2" s="58"/>
      <c r="D2" s="58"/>
      <c r="E2" s="58"/>
      <c r="F2" s="58"/>
      <c r="G2" s="58"/>
      <c r="H2" s="58"/>
      <c r="I2" s="58"/>
      <c r="J2" s="58"/>
    </row>
    <row r="4" spans="1:12" x14ac:dyDescent="0.25">
      <c r="G4" s="3"/>
      <c r="H4" s="3"/>
    </row>
    <row r="5" spans="1:12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</row>
    <row r="6" spans="1:12" x14ac:dyDescent="0.25">
      <c r="A6" s="5"/>
      <c r="F6" s="5"/>
      <c r="H6" s="5"/>
    </row>
    <row r="7" spans="1:12" x14ac:dyDescent="0.25">
      <c r="A7" s="5"/>
      <c r="F7" s="5"/>
      <c r="H7" s="5"/>
    </row>
    <row r="8" spans="1:12" x14ac:dyDescent="0.25">
      <c r="A8" s="5"/>
      <c r="F8" s="5"/>
      <c r="H8" s="5"/>
    </row>
    <row r="9" spans="1:12" x14ac:dyDescent="0.25">
      <c r="A9" s="5"/>
      <c r="F9" s="5"/>
      <c r="H9" s="5"/>
    </row>
    <row r="10" spans="1:12" x14ac:dyDescent="0.25">
      <c r="A10" s="5"/>
      <c r="F10" s="5"/>
      <c r="H10" s="5"/>
    </row>
    <row r="11" spans="1:12" x14ac:dyDescent="0.25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927AF-F2A0-4E0A-8EFE-42BC2579F72A}">
  <sheetPr codeName="Sheet19"/>
  <dimension ref="A5:Z19"/>
  <sheetViews>
    <sheetView zoomScale="85" zoomScaleNormal="85" workbookViewId="0">
      <selection activeCell="L6" sqref="L6"/>
    </sheetView>
  </sheetViews>
  <sheetFormatPr defaultRowHeight="15" x14ac:dyDescent="0.25"/>
  <cols>
    <col min="1" max="1" width="21.42578125" bestFit="1" customWidth="1"/>
    <col min="2" max="2" width="30.28515625" bestFit="1" customWidth="1"/>
    <col min="3" max="3" width="96.42578125" bestFit="1" customWidth="1"/>
    <col min="4" max="4" width="11.85546875" bestFit="1" customWidth="1"/>
    <col min="5" max="5" width="8.5703125" bestFit="1" customWidth="1"/>
    <col min="6" max="6" width="8.85546875" bestFit="1" customWidth="1"/>
    <col min="7" max="7" width="19.28515625" bestFit="1" customWidth="1"/>
    <col min="8" max="8" width="12.140625" bestFit="1" customWidth="1"/>
    <col min="9" max="9" width="12.710937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10</v>
      </c>
      <c r="B6" s="36" t="s">
        <v>11</v>
      </c>
      <c r="C6" s="1" t="s">
        <v>12</v>
      </c>
      <c r="D6" s="2" t="s">
        <v>13</v>
      </c>
      <c r="E6" s="2" t="s">
        <v>14</v>
      </c>
      <c r="F6" s="1"/>
      <c r="G6" s="33">
        <v>10000</v>
      </c>
      <c r="H6" s="33">
        <v>6914.94</v>
      </c>
      <c r="I6" s="33">
        <f t="shared" ref="I6:I19" si="0">G6-H6</f>
        <v>3085.0600000000004</v>
      </c>
      <c r="J6" s="4">
        <f>G6/VLOOKUP(A6,RESUME!$G$3:$I$10,3,FALSE)</f>
        <v>0.14728026373771388</v>
      </c>
      <c r="K6" s="4">
        <f t="shared" ref="K6:K19" si="1">IFERROR((G6/H6)*J6,"")</f>
        <v>0.21298849120558372</v>
      </c>
      <c r="L6" s="59" t="s">
        <v>358</v>
      </c>
    </row>
    <row r="7" spans="1:26" ht="15.75" x14ac:dyDescent="0.25">
      <c r="A7" s="1" t="s">
        <v>10</v>
      </c>
      <c r="B7" s="36" t="s">
        <v>11</v>
      </c>
      <c r="C7" s="1" t="s">
        <v>12</v>
      </c>
      <c r="D7" s="2" t="s">
        <v>15</v>
      </c>
      <c r="E7" s="2" t="s">
        <v>16</v>
      </c>
      <c r="F7" s="1"/>
      <c r="G7" s="33">
        <v>10000</v>
      </c>
      <c r="H7" s="33">
        <v>8466.66</v>
      </c>
      <c r="I7" s="33">
        <f t="shared" si="0"/>
        <v>1533.3400000000001</v>
      </c>
      <c r="J7" s="4">
        <f>G7/VLOOKUP(A7,RESUME!$G$3:$I$10,3,FALSE)</f>
        <v>0.14728026373771388</v>
      </c>
      <c r="K7" s="4">
        <f t="shared" si="1"/>
        <v>0.17395320437777576</v>
      </c>
      <c r="L7" s="59" t="s">
        <v>358</v>
      </c>
    </row>
    <row r="8" spans="1:26" ht="15.75" x14ac:dyDescent="0.25">
      <c r="A8" s="1" t="s">
        <v>10</v>
      </c>
      <c r="B8" s="36" t="s">
        <v>17</v>
      </c>
      <c r="C8" s="1" t="s">
        <v>18</v>
      </c>
      <c r="D8" s="2" t="s">
        <v>13</v>
      </c>
      <c r="E8" s="2" t="s">
        <v>19</v>
      </c>
      <c r="F8" s="1"/>
      <c r="G8" s="33">
        <v>1987.05</v>
      </c>
      <c r="H8" s="33">
        <v>1391.65</v>
      </c>
      <c r="I8" s="33">
        <f t="shared" si="0"/>
        <v>595.39999999999986</v>
      </c>
      <c r="J8" s="4">
        <f>G8/VLOOKUP(A8,RESUME!$G$3:$I$10,3,FALSE)</f>
        <v>2.9265324806002437E-2</v>
      </c>
      <c r="K8" s="4">
        <f t="shared" si="1"/>
        <v>4.1786127011653178E-2</v>
      </c>
      <c r="L8" s="59" t="s">
        <v>358</v>
      </c>
    </row>
    <row r="9" spans="1:26" ht="15.75" x14ac:dyDescent="0.25">
      <c r="A9" s="1" t="s">
        <v>10</v>
      </c>
      <c r="B9" s="36" t="s">
        <v>17</v>
      </c>
      <c r="C9" s="1" t="s">
        <v>18</v>
      </c>
      <c r="D9" s="2" t="s">
        <v>15</v>
      </c>
      <c r="E9" s="2" t="s">
        <v>20</v>
      </c>
      <c r="F9" s="1"/>
      <c r="G9" s="33">
        <v>326</v>
      </c>
      <c r="H9" s="33"/>
      <c r="I9" s="33">
        <f t="shared" si="0"/>
        <v>326</v>
      </c>
      <c r="J9" s="4">
        <f>G9/VLOOKUP(A9,RESUME!$G$3:$I$10,3,FALSE)</f>
        <v>4.8013365978494729E-3</v>
      </c>
      <c r="K9" s="4" t="str">
        <f t="shared" si="1"/>
        <v/>
      </c>
      <c r="L9" s="59" t="s">
        <v>358</v>
      </c>
    </row>
    <row r="10" spans="1:26" ht="15.75" x14ac:dyDescent="0.25">
      <c r="A10" s="1" t="s">
        <v>10</v>
      </c>
      <c r="B10" s="36" t="s">
        <v>21</v>
      </c>
      <c r="C10" s="1" t="s">
        <v>22</v>
      </c>
      <c r="D10" s="2" t="s">
        <v>13</v>
      </c>
      <c r="E10" s="2" t="s">
        <v>23</v>
      </c>
      <c r="F10" s="1"/>
      <c r="G10" s="33">
        <v>15015.099999999999</v>
      </c>
      <c r="H10" s="33">
        <v>31691.109999999997</v>
      </c>
      <c r="I10" s="33">
        <f t="shared" si="0"/>
        <v>-16676.009999999998</v>
      </c>
      <c r="J10" s="4">
        <f>G10/VLOOKUP(A10,RESUME!$G$3:$I$10,3,FALSE)</f>
        <v>0.22114278880481478</v>
      </c>
      <c r="K10" s="4">
        <f t="shared" si="1"/>
        <v>0.10477642115354036</v>
      </c>
      <c r="L10" s="59" t="s">
        <v>359</v>
      </c>
    </row>
    <row r="11" spans="1:26" ht="15.75" x14ac:dyDescent="0.25">
      <c r="A11" s="1" t="s">
        <v>10</v>
      </c>
      <c r="B11" s="36" t="s">
        <v>21</v>
      </c>
      <c r="C11" s="1" t="s">
        <v>22</v>
      </c>
      <c r="D11" s="2" t="s">
        <v>24</v>
      </c>
      <c r="E11" s="2" t="s">
        <v>25</v>
      </c>
      <c r="F11" s="1"/>
      <c r="G11" s="33">
        <v>26.7199999999998</v>
      </c>
      <c r="H11" s="33">
        <v>537.17000000000007</v>
      </c>
      <c r="I11" s="33">
        <f t="shared" si="0"/>
        <v>-510.45000000000027</v>
      </c>
      <c r="J11" s="4">
        <f>G11/VLOOKUP(A11,RESUME!$G$3:$I$10,3,FALSE)</f>
        <v>3.9353286470716859E-4</v>
      </c>
      <c r="K11" s="4">
        <f t="shared" si="1"/>
        <v>1.9575177588054927E-5</v>
      </c>
      <c r="L11" s="59" t="s">
        <v>359</v>
      </c>
    </row>
    <row r="12" spans="1:26" ht="15.75" x14ac:dyDescent="0.25">
      <c r="A12" s="1" t="s">
        <v>10</v>
      </c>
      <c r="B12" s="36" t="s">
        <v>21</v>
      </c>
      <c r="C12" s="1" t="s">
        <v>22</v>
      </c>
      <c r="D12" s="2" t="s">
        <v>15</v>
      </c>
      <c r="E12" s="2" t="s">
        <v>25</v>
      </c>
      <c r="F12" s="1"/>
      <c r="G12" s="33">
        <v>15124.89</v>
      </c>
      <c r="H12" s="33">
        <v>15148.25</v>
      </c>
      <c r="I12" s="33">
        <f t="shared" si="0"/>
        <v>-23.360000000000582</v>
      </c>
      <c r="J12" s="4">
        <f>G12/VLOOKUP(A12,RESUME!$G$3:$I$10,3,FALSE)</f>
        <v>0.22275977882039114</v>
      </c>
      <c r="K12" s="4">
        <f t="shared" si="1"/>
        <v>0.2224162626760679</v>
      </c>
      <c r="L12" s="59" t="s">
        <v>359</v>
      </c>
    </row>
    <row r="13" spans="1:26" ht="15.75" x14ac:dyDescent="0.25">
      <c r="A13" s="1" t="s">
        <v>10</v>
      </c>
      <c r="B13" s="36" t="s">
        <v>26</v>
      </c>
      <c r="C13" s="1" t="s">
        <v>27</v>
      </c>
      <c r="D13" s="2" t="s">
        <v>13</v>
      </c>
      <c r="E13" s="2" t="s">
        <v>28</v>
      </c>
      <c r="F13" s="1"/>
      <c r="G13" s="33">
        <v>639</v>
      </c>
      <c r="H13" s="33">
        <v>639.39</v>
      </c>
      <c r="I13" s="33">
        <f t="shared" si="0"/>
        <v>-0.38999999999998636</v>
      </c>
      <c r="J13" s="4">
        <f>G13/VLOOKUP(A13,RESUME!$G$3:$I$10,3,FALSE)</f>
        <v>9.4112088528399175E-3</v>
      </c>
      <c r="K13" s="4">
        <f t="shared" si="1"/>
        <v>9.4054684261009828E-3</v>
      </c>
      <c r="L13" s="59" t="s">
        <v>359</v>
      </c>
    </row>
    <row r="14" spans="1:26" ht="15.75" x14ac:dyDescent="0.25">
      <c r="A14" s="1" t="s">
        <v>10</v>
      </c>
      <c r="B14" s="36" t="s">
        <v>26</v>
      </c>
      <c r="C14" s="1" t="s">
        <v>27</v>
      </c>
      <c r="D14" s="2" t="s">
        <v>24</v>
      </c>
      <c r="E14" s="2" t="s">
        <v>29</v>
      </c>
      <c r="F14" s="1"/>
      <c r="G14" s="33">
        <v>1265</v>
      </c>
      <c r="H14" s="33">
        <v>2489.87</v>
      </c>
      <c r="I14" s="33">
        <f t="shared" si="0"/>
        <v>-1224.8699999999999</v>
      </c>
      <c r="J14" s="4">
        <f>G14/VLOOKUP(A14,RESUME!$G$3:$I$10,3,FALSE)</f>
        <v>1.8630953362820807E-2</v>
      </c>
      <c r="K14" s="4">
        <f t="shared" si="1"/>
        <v>9.4656170820036079E-3</v>
      </c>
      <c r="L14" s="60" t="s">
        <v>359</v>
      </c>
    </row>
    <row r="15" spans="1:26" ht="15.75" x14ac:dyDescent="0.25">
      <c r="A15" s="1" t="s">
        <v>10</v>
      </c>
      <c r="B15" s="36" t="s">
        <v>26</v>
      </c>
      <c r="C15" s="1" t="s">
        <v>27</v>
      </c>
      <c r="D15" s="2" t="s">
        <v>15</v>
      </c>
      <c r="E15" s="2" t="s">
        <v>29</v>
      </c>
      <c r="F15" s="1"/>
      <c r="G15" s="33">
        <v>2489</v>
      </c>
      <c r="H15" s="33">
        <v>1265.19</v>
      </c>
      <c r="I15" s="33">
        <f t="shared" si="0"/>
        <v>1223.81</v>
      </c>
      <c r="J15" s="4">
        <f>G15/VLOOKUP(A15,RESUME!$G$3:$I$10,3,FALSE)</f>
        <v>3.6658057644316989E-2</v>
      </c>
      <c r="K15" s="4">
        <f t="shared" si="1"/>
        <v>7.211715669322788E-2</v>
      </c>
      <c r="L15" s="59" t="s">
        <v>358</v>
      </c>
    </row>
    <row r="16" spans="1:26" ht="15.75" x14ac:dyDescent="0.25">
      <c r="A16" s="1" t="s">
        <v>10</v>
      </c>
      <c r="B16" s="36" t="s">
        <v>30</v>
      </c>
      <c r="C16" s="1" t="s">
        <v>31</v>
      </c>
      <c r="D16" s="2" t="s">
        <v>13</v>
      </c>
      <c r="E16" s="2" t="s">
        <v>28</v>
      </c>
      <c r="F16" s="1"/>
      <c r="G16" s="33">
        <v>1025</v>
      </c>
      <c r="H16" s="33">
        <v>1025.6400000000001</v>
      </c>
      <c r="I16" s="33">
        <f t="shared" si="0"/>
        <v>-0.64000000000010004</v>
      </c>
      <c r="J16" s="4">
        <f>G16/VLOOKUP(A16,RESUME!$G$3:$I$10,3,FALSE)</f>
        <v>1.5096227033115674E-2</v>
      </c>
      <c r="K16" s="4">
        <f t="shared" si="1"/>
        <v>1.5086806978026954E-2</v>
      </c>
      <c r="L16" s="59" t="s">
        <v>359</v>
      </c>
    </row>
    <row r="17" spans="1:12" ht="15.75" x14ac:dyDescent="0.25">
      <c r="A17" s="1" t="s">
        <v>10</v>
      </c>
      <c r="B17" s="36" t="s">
        <v>32</v>
      </c>
      <c r="C17" s="1" t="s">
        <v>33</v>
      </c>
      <c r="D17" s="2" t="s">
        <v>13</v>
      </c>
      <c r="E17" s="2" t="s">
        <v>34</v>
      </c>
      <c r="F17" s="1"/>
      <c r="G17" s="33">
        <v>8000</v>
      </c>
      <c r="H17" s="33">
        <v>7852.32</v>
      </c>
      <c r="I17" s="33">
        <f t="shared" si="0"/>
        <v>147.68000000000029</v>
      </c>
      <c r="J17" s="4">
        <f>G17/VLOOKUP(A17,RESUME!$G$3:$I$10,3,FALSE)</f>
        <v>0.11782421099017111</v>
      </c>
      <c r="K17" s="4">
        <f t="shared" si="1"/>
        <v>0.12004015219977904</v>
      </c>
      <c r="L17" s="59" t="s">
        <v>358</v>
      </c>
    </row>
    <row r="18" spans="1:12" ht="15.75" x14ac:dyDescent="0.25">
      <c r="A18" s="1" t="s">
        <v>10</v>
      </c>
      <c r="B18" s="36" t="s">
        <v>32</v>
      </c>
      <c r="C18" s="1" t="s">
        <v>33</v>
      </c>
      <c r="D18" s="2" t="s">
        <v>24</v>
      </c>
      <c r="E18" s="2" t="s">
        <v>34</v>
      </c>
      <c r="F18" s="1"/>
      <c r="G18" s="33">
        <v>1000</v>
      </c>
      <c r="H18" s="33"/>
      <c r="I18" s="33">
        <f t="shared" si="0"/>
        <v>1000</v>
      </c>
      <c r="J18" s="4">
        <f>G18/VLOOKUP(A18,RESUME!$G$3:$I$10,3,FALSE)</f>
        <v>1.4728026373771389E-2</v>
      </c>
      <c r="K18" s="4" t="str">
        <f t="shared" si="1"/>
        <v/>
      </c>
      <c r="L18" s="59" t="s">
        <v>358</v>
      </c>
    </row>
    <row r="19" spans="1:12" ht="15.75" x14ac:dyDescent="0.25">
      <c r="A19" s="1" t="s">
        <v>10</v>
      </c>
      <c r="B19" s="36" t="s">
        <v>32</v>
      </c>
      <c r="C19" s="1" t="s">
        <v>33</v>
      </c>
      <c r="D19" s="2" t="s">
        <v>15</v>
      </c>
      <c r="E19" s="2" t="s">
        <v>34</v>
      </c>
      <c r="F19" s="1"/>
      <c r="G19" s="33">
        <v>1000</v>
      </c>
      <c r="H19" s="33">
        <v>1998.81</v>
      </c>
      <c r="I19" s="33">
        <f t="shared" si="0"/>
        <v>-998.81</v>
      </c>
      <c r="J19" s="4">
        <f>G19/VLOOKUP(A19,RESUME!$G$3:$I$10,3,FALSE)</f>
        <v>1.4728026373771389E-2</v>
      </c>
      <c r="K19" s="4">
        <f t="shared" si="1"/>
        <v>7.3683973833287755E-3</v>
      </c>
      <c r="L19" s="59" t="s">
        <v>359</v>
      </c>
    </row>
  </sheetData>
  <conditionalFormatting sqref="L6:L19">
    <cfRule type="containsText" dxfId="7" priority="1" operator="containsText" text="OVER">
      <formula>NOT(ISERROR(SEARCH("OVER",L6)))</formula>
    </cfRule>
  </conditionalFormatting>
  <hyperlinks>
    <hyperlink ref="B6" r:id="rId1" xr:uid="{6C8C269A-2991-4192-9F1B-298E6949BAFF}"/>
    <hyperlink ref="B7" r:id="rId2" xr:uid="{A8077D6A-3093-4CD3-9F45-D6C32946ED75}"/>
    <hyperlink ref="B8" r:id="rId3" xr:uid="{3023DF35-5798-44D2-9185-5D7707CCD467}"/>
    <hyperlink ref="B9" r:id="rId4" xr:uid="{A8C7C770-3719-46E7-A3A7-2489AB822619}"/>
    <hyperlink ref="B10" r:id="rId5" xr:uid="{797F5A63-4F34-48EC-811E-BF33B7E457E9}"/>
    <hyperlink ref="B11" r:id="rId6" xr:uid="{FFB41801-8C1E-4B0B-9A78-4D5F17B38A2B}"/>
    <hyperlink ref="B12" r:id="rId7" xr:uid="{430AD5C8-CFDA-4DCE-BA9F-C6E0791213DE}"/>
    <hyperlink ref="B13" r:id="rId8" xr:uid="{E6E1309D-3550-4790-8F00-A41222BA7CB0}"/>
    <hyperlink ref="B14" r:id="rId9" xr:uid="{2129B0A8-9447-4773-B6D4-204CF6BF6C7D}"/>
    <hyperlink ref="B15" r:id="rId10" xr:uid="{36E01D04-FEA7-49A4-8999-422D0C52A9E0}"/>
    <hyperlink ref="B16" r:id="rId11" xr:uid="{35FB7007-B6E0-430D-8BE9-78E6C06E132B}"/>
    <hyperlink ref="B17" r:id="rId12" xr:uid="{57758648-A0E0-45DC-ABED-924818DA3FF0}"/>
    <hyperlink ref="B18" r:id="rId13" xr:uid="{9EB59DE0-AE78-496C-A924-10258D16D8F2}"/>
    <hyperlink ref="B19" r:id="rId14" xr:uid="{41D34FF2-6F1E-4E54-AA9C-72A34A83CB72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AA4E4-D24D-435A-BAB5-EEB649914479}">
  <sheetPr codeName="Sheet20"/>
  <dimension ref="A5:Z11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18" bestFit="1" customWidth="1"/>
    <col min="3" max="3" width="15.7109375" bestFit="1" customWidth="1"/>
    <col min="4" max="4" width="11.85546875" bestFit="1" customWidth="1"/>
    <col min="5" max="5" width="7.140625" bestFit="1" customWidth="1"/>
    <col min="6" max="6" width="8.85546875" bestFit="1" customWidth="1"/>
    <col min="7" max="7" width="19.28515625" bestFit="1" customWidth="1"/>
    <col min="8" max="8" width="10.28515625" bestFit="1" customWidth="1"/>
    <col min="9" max="9" width="13.425781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36</v>
      </c>
      <c r="B6" s="36" t="s">
        <v>37</v>
      </c>
      <c r="C6" s="1" t="s">
        <v>38</v>
      </c>
      <c r="D6" s="2" t="s">
        <v>13</v>
      </c>
      <c r="E6" s="2" t="s">
        <v>39</v>
      </c>
      <c r="F6" s="1"/>
      <c r="G6" s="33">
        <v>151561</v>
      </c>
      <c r="H6" s="33"/>
      <c r="I6" s="33">
        <f t="shared" ref="I6:I11" si="0">G6-H6</f>
        <v>151561</v>
      </c>
      <c r="J6" s="4">
        <f>G6/VLOOKUP(A6,RESUME!$G$3:$I$10,3,FALSE)</f>
        <v>0.65619333139484248</v>
      </c>
      <c r="K6" s="4" t="str">
        <f t="shared" ref="K6:K11" si="1">IFERROR((G6/H6)*J6,"")</f>
        <v/>
      </c>
      <c r="L6" s="59" t="s">
        <v>358</v>
      </c>
    </row>
    <row r="7" spans="1:26" ht="15.75" x14ac:dyDescent="0.25">
      <c r="A7" s="1" t="s">
        <v>36</v>
      </c>
      <c r="B7" s="36" t="s">
        <v>37</v>
      </c>
      <c r="C7" s="1" t="s">
        <v>38</v>
      </c>
      <c r="D7" s="2" t="s">
        <v>24</v>
      </c>
      <c r="E7" s="2" t="s">
        <v>39</v>
      </c>
      <c r="F7" s="1"/>
      <c r="G7" s="33">
        <v>26883.15</v>
      </c>
      <c r="H7" s="33"/>
      <c r="I7" s="33">
        <f t="shared" si="0"/>
        <v>26883.15</v>
      </c>
      <c r="J7" s="4">
        <f>G7/VLOOKUP(A7,RESUME!$G$3:$I$10,3,FALSE)</f>
        <v>0.11639236846475848</v>
      </c>
      <c r="K7" s="4" t="str">
        <f t="shared" si="1"/>
        <v/>
      </c>
      <c r="L7" s="59" t="s">
        <v>358</v>
      </c>
    </row>
    <row r="8" spans="1:26" ht="15.75" x14ac:dyDescent="0.25">
      <c r="A8" s="1" t="s">
        <v>36</v>
      </c>
      <c r="B8" s="36" t="s">
        <v>37</v>
      </c>
      <c r="C8" s="1" t="s">
        <v>38</v>
      </c>
      <c r="D8" s="2" t="s">
        <v>15</v>
      </c>
      <c r="E8" s="2" t="s">
        <v>40</v>
      </c>
      <c r="F8" s="1"/>
      <c r="G8" s="33">
        <v>32525.89</v>
      </c>
      <c r="H8" s="33"/>
      <c r="I8" s="33">
        <f t="shared" si="0"/>
        <v>32525.89</v>
      </c>
      <c r="J8" s="4">
        <f>G8/VLOOKUP(A8,RESUME!$G$3:$I$10,3,FALSE)</f>
        <v>0.14082298292886819</v>
      </c>
      <c r="K8" s="4" t="str">
        <f t="shared" si="1"/>
        <v/>
      </c>
      <c r="L8" s="59" t="s">
        <v>358</v>
      </c>
    </row>
    <row r="9" spans="1:26" ht="15.75" x14ac:dyDescent="0.25">
      <c r="A9" s="1" t="s">
        <v>36</v>
      </c>
      <c r="B9" s="36" t="s">
        <v>37</v>
      </c>
      <c r="C9" s="1" t="s">
        <v>41</v>
      </c>
      <c r="D9" s="2" t="s">
        <v>13</v>
      </c>
      <c r="E9" s="2" t="s">
        <v>42</v>
      </c>
      <c r="F9" s="1"/>
      <c r="G9" s="33">
        <v>5000</v>
      </c>
      <c r="H9" s="33"/>
      <c r="I9" s="33">
        <f t="shared" si="0"/>
        <v>5000</v>
      </c>
      <c r="J9" s="4">
        <f>G9/VLOOKUP(A9,RESUME!$G$3:$I$10,3,FALSE)</f>
        <v>2.1647829302882747E-2</v>
      </c>
      <c r="K9" s="4" t="str">
        <f t="shared" si="1"/>
        <v/>
      </c>
      <c r="L9" s="59" t="s">
        <v>358</v>
      </c>
    </row>
    <row r="10" spans="1:26" ht="15.75" x14ac:dyDescent="0.25">
      <c r="A10" s="1" t="s">
        <v>36</v>
      </c>
      <c r="B10" s="36" t="s">
        <v>37</v>
      </c>
      <c r="C10" s="1" t="s">
        <v>38</v>
      </c>
      <c r="D10" s="2" t="s">
        <v>24</v>
      </c>
      <c r="E10" s="2" t="s">
        <v>43</v>
      </c>
      <c r="F10" s="1"/>
      <c r="G10" s="33">
        <v>7500</v>
      </c>
      <c r="H10" s="33"/>
      <c r="I10" s="33">
        <f t="shared" si="0"/>
        <v>7500</v>
      </c>
      <c r="J10" s="4">
        <f>G10/VLOOKUP(A10,RESUME!$G$3:$I$10,3,FALSE)</f>
        <v>3.2471743954324124E-2</v>
      </c>
      <c r="K10" s="4" t="str">
        <f t="shared" si="1"/>
        <v/>
      </c>
      <c r="L10" s="59" t="s">
        <v>358</v>
      </c>
    </row>
    <row r="11" spans="1:26" ht="15.75" x14ac:dyDescent="0.25">
      <c r="A11" s="1" t="s">
        <v>36</v>
      </c>
      <c r="B11" s="36" t="s">
        <v>37</v>
      </c>
      <c r="C11" s="1" t="s">
        <v>38</v>
      </c>
      <c r="D11" s="2" t="s">
        <v>15</v>
      </c>
      <c r="E11" s="2" t="s">
        <v>42</v>
      </c>
      <c r="F11" s="1"/>
      <c r="G11" s="33">
        <v>7500</v>
      </c>
      <c r="H11" s="33"/>
      <c r="I11" s="33">
        <f t="shared" si="0"/>
        <v>7500</v>
      </c>
      <c r="J11" s="4">
        <f>G11/VLOOKUP(A11,RESUME!$G$3:$I$10,3,FALSE)</f>
        <v>3.2471743954324124E-2</v>
      </c>
      <c r="K11" s="4" t="str">
        <f t="shared" si="1"/>
        <v/>
      </c>
      <c r="L11" s="59" t="s">
        <v>358</v>
      </c>
    </row>
  </sheetData>
  <conditionalFormatting sqref="L6:L11">
    <cfRule type="containsText" dxfId="6" priority="1" operator="containsText" text="OVER">
      <formula>NOT(ISERROR(SEARCH("OVER",L6)))</formula>
    </cfRule>
  </conditionalFormatting>
  <hyperlinks>
    <hyperlink ref="B6" r:id="rId1" xr:uid="{A97B771C-71AE-433D-8CC4-49750D72EADA}"/>
    <hyperlink ref="B7" r:id="rId2" xr:uid="{344CFC3F-C940-4982-BE85-96CB509E67B5}"/>
    <hyperlink ref="B8" r:id="rId3" xr:uid="{E128C2AE-1897-4331-8A15-AC567F384FDA}"/>
    <hyperlink ref="B9" r:id="rId4" xr:uid="{A1ECC2A7-EC0F-4E55-9A6B-F54A566262CB}"/>
    <hyperlink ref="B10" r:id="rId5" xr:uid="{DCFD3417-5065-4204-9A56-42FE7B7CFE7D}"/>
    <hyperlink ref="B11" r:id="rId6" xr:uid="{66E748D8-5312-4B49-8CBD-0CC08F375708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ACD0F-2D72-461A-B8AB-BA1DE20C9533}">
  <sheetPr codeName="Sheet21"/>
  <dimension ref="A5:Z15"/>
  <sheetViews>
    <sheetView zoomScale="85" zoomScaleNormal="85" workbookViewId="0">
      <selection activeCell="L9" sqref="L9"/>
    </sheetView>
  </sheetViews>
  <sheetFormatPr defaultRowHeight="15" x14ac:dyDescent="0.25"/>
  <cols>
    <col min="1" max="1" width="19.7109375" bestFit="1" customWidth="1"/>
    <col min="2" max="2" width="23.28515625" bestFit="1" customWidth="1"/>
    <col min="3" max="3" width="29.85546875" bestFit="1" customWidth="1"/>
    <col min="4" max="4" width="11.85546875" bestFit="1" customWidth="1"/>
    <col min="5" max="5" width="10" bestFit="1" customWidth="1"/>
    <col min="6" max="6" width="35.7109375" bestFit="1" customWidth="1"/>
    <col min="7" max="7" width="19.28515625" bestFit="1" customWidth="1"/>
    <col min="8" max="8" width="10.28515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44</v>
      </c>
      <c r="B6" s="36" t="s">
        <v>45</v>
      </c>
      <c r="C6" s="1"/>
      <c r="D6" s="2"/>
      <c r="E6" s="2"/>
      <c r="F6" s="1"/>
      <c r="G6" s="33"/>
      <c r="H6" s="33"/>
      <c r="I6" s="33">
        <f t="shared" ref="I6:I15" si="0">G6-H6</f>
        <v>0</v>
      </c>
      <c r="J6" s="4">
        <f>G6/VLOOKUP(A6,RESUME!$G$3:$I$10,3,FALSE)</f>
        <v>0</v>
      </c>
      <c r="K6" s="4" t="str">
        <f t="shared" ref="K6:K15" si="1">IFERROR((G6/H6)*J6,"")</f>
        <v/>
      </c>
      <c r="L6" s="59" t="s">
        <v>359</v>
      </c>
    </row>
    <row r="7" spans="1:26" ht="15.75" x14ac:dyDescent="0.25">
      <c r="A7" s="1" t="s">
        <v>44</v>
      </c>
      <c r="B7" s="36" t="s">
        <v>46</v>
      </c>
      <c r="C7" s="1" t="s">
        <v>47</v>
      </c>
      <c r="D7" s="2" t="s">
        <v>13</v>
      </c>
      <c r="E7" s="2" t="s">
        <v>48</v>
      </c>
      <c r="F7" s="1" t="s">
        <v>49</v>
      </c>
      <c r="G7" s="33">
        <v>450</v>
      </c>
      <c r="H7" s="33"/>
      <c r="I7" s="33">
        <f t="shared" si="0"/>
        <v>450</v>
      </c>
      <c r="J7" s="4">
        <f>G7/VLOOKUP(A7,RESUME!$G$3:$I$10,3,FALSE)</f>
        <v>5.2941176470588235E-2</v>
      </c>
      <c r="K7" s="4" t="str">
        <f t="shared" si="1"/>
        <v/>
      </c>
      <c r="L7" s="59" t="s">
        <v>358</v>
      </c>
    </row>
    <row r="8" spans="1:26" ht="15.75" x14ac:dyDescent="0.25">
      <c r="A8" s="1" t="s">
        <v>44</v>
      </c>
      <c r="B8" s="36" t="s">
        <v>46</v>
      </c>
      <c r="C8" s="1" t="s">
        <v>47</v>
      </c>
      <c r="D8" s="2" t="s">
        <v>13</v>
      </c>
      <c r="E8" s="2" t="s">
        <v>50</v>
      </c>
      <c r="F8" s="1" t="s">
        <v>51</v>
      </c>
      <c r="G8" s="33">
        <v>450</v>
      </c>
      <c r="H8" s="33"/>
      <c r="I8" s="33">
        <f t="shared" si="0"/>
        <v>450</v>
      </c>
      <c r="J8" s="4">
        <f>G8/VLOOKUP(A8,RESUME!$G$3:$I$10,3,FALSE)</f>
        <v>5.2941176470588235E-2</v>
      </c>
      <c r="K8" s="4" t="str">
        <f t="shared" si="1"/>
        <v/>
      </c>
      <c r="L8" s="59" t="s">
        <v>358</v>
      </c>
    </row>
    <row r="9" spans="1:26" ht="15.75" x14ac:dyDescent="0.25">
      <c r="A9" s="1" t="s">
        <v>44</v>
      </c>
      <c r="B9" s="36" t="s">
        <v>46</v>
      </c>
      <c r="C9" s="1" t="s">
        <v>47</v>
      </c>
      <c r="D9" s="2" t="s">
        <v>13</v>
      </c>
      <c r="E9" s="2" t="s">
        <v>52</v>
      </c>
      <c r="F9" s="1" t="s">
        <v>53</v>
      </c>
      <c r="G9" s="33">
        <v>450</v>
      </c>
      <c r="H9" s="33"/>
      <c r="I9" s="33">
        <f t="shared" si="0"/>
        <v>450</v>
      </c>
      <c r="J9" s="4">
        <f>G9/VLOOKUP(A9,RESUME!$G$3:$I$10,3,FALSE)</f>
        <v>5.2941176470588235E-2</v>
      </c>
      <c r="K9" s="4" t="str">
        <f t="shared" si="1"/>
        <v/>
      </c>
      <c r="L9" s="59" t="s">
        <v>358</v>
      </c>
    </row>
    <row r="10" spans="1:26" ht="15.75" x14ac:dyDescent="0.25">
      <c r="A10" s="1" t="s">
        <v>44</v>
      </c>
      <c r="B10" s="36" t="s">
        <v>46</v>
      </c>
      <c r="C10" s="1" t="s">
        <v>47</v>
      </c>
      <c r="D10" s="2" t="s">
        <v>13</v>
      </c>
      <c r="E10" s="2" t="s">
        <v>54</v>
      </c>
      <c r="F10" s="1" t="s">
        <v>55</v>
      </c>
      <c r="G10" s="33">
        <v>450</v>
      </c>
      <c r="H10" s="33"/>
      <c r="I10" s="33">
        <f t="shared" si="0"/>
        <v>450</v>
      </c>
      <c r="J10" s="4">
        <f>G10/VLOOKUP(A10,RESUME!$G$3:$I$10,3,FALSE)</f>
        <v>5.2941176470588235E-2</v>
      </c>
      <c r="K10" s="4" t="str">
        <f t="shared" si="1"/>
        <v/>
      </c>
      <c r="L10" s="59" t="s">
        <v>358</v>
      </c>
    </row>
    <row r="11" spans="1:26" ht="15.75" x14ac:dyDescent="0.25">
      <c r="A11" s="1" t="s">
        <v>44</v>
      </c>
      <c r="B11" s="36" t="s">
        <v>56</v>
      </c>
      <c r="C11" s="1" t="s">
        <v>57</v>
      </c>
      <c r="D11" s="2" t="s">
        <v>13</v>
      </c>
      <c r="E11" s="2" t="s">
        <v>54</v>
      </c>
      <c r="F11" s="1" t="s">
        <v>58</v>
      </c>
      <c r="G11" s="33">
        <v>6300</v>
      </c>
      <c r="H11" s="33"/>
      <c r="I11" s="33">
        <f t="shared" si="0"/>
        <v>6300</v>
      </c>
      <c r="J11" s="4">
        <f>G11/VLOOKUP(A11,RESUME!$G$3:$I$10,3,FALSE)</f>
        <v>0.74117647058823533</v>
      </c>
      <c r="K11" s="4" t="str">
        <f t="shared" si="1"/>
        <v/>
      </c>
      <c r="L11" s="59" t="s">
        <v>358</v>
      </c>
    </row>
    <row r="12" spans="1:26" ht="15.75" x14ac:dyDescent="0.25">
      <c r="A12" s="1" t="s">
        <v>44</v>
      </c>
      <c r="B12" s="36" t="s">
        <v>59</v>
      </c>
      <c r="C12" s="1" t="s">
        <v>60</v>
      </c>
      <c r="D12" s="2" t="s">
        <v>13</v>
      </c>
      <c r="E12" s="2" t="s">
        <v>48</v>
      </c>
      <c r="F12" s="1" t="s">
        <v>49</v>
      </c>
      <c r="G12" s="33">
        <v>100</v>
      </c>
      <c r="H12" s="33"/>
      <c r="I12" s="33">
        <f t="shared" si="0"/>
        <v>100</v>
      </c>
      <c r="J12" s="4">
        <f>G12/VLOOKUP(A12,RESUME!$G$3:$I$10,3,FALSE)</f>
        <v>1.1764705882352941E-2</v>
      </c>
      <c r="K12" s="4" t="str">
        <f t="shared" si="1"/>
        <v/>
      </c>
      <c r="L12" s="59" t="s">
        <v>358</v>
      </c>
    </row>
    <row r="13" spans="1:26" ht="15.75" x14ac:dyDescent="0.25">
      <c r="A13" s="1" t="s">
        <v>44</v>
      </c>
      <c r="B13" s="36" t="s">
        <v>59</v>
      </c>
      <c r="C13" s="1" t="s">
        <v>60</v>
      </c>
      <c r="D13" s="2" t="s">
        <v>13</v>
      </c>
      <c r="E13" s="2" t="s">
        <v>50</v>
      </c>
      <c r="F13" s="1" t="s">
        <v>51</v>
      </c>
      <c r="G13" s="33">
        <v>100</v>
      </c>
      <c r="H13" s="33"/>
      <c r="I13" s="33">
        <f t="shared" si="0"/>
        <v>100</v>
      </c>
      <c r="J13" s="4">
        <f>G13/VLOOKUP(A13,RESUME!$G$3:$I$10,3,FALSE)</f>
        <v>1.1764705882352941E-2</v>
      </c>
      <c r="K13" s="4" t="str">
        <f t="shared" si="1"/>
        <v/>
      </c>
      <c r="L13" s="59" t="s">
        <v>358</v>
      </c>
    </row>
    <row r="14" spans="1:26" ht="15.75" x14ac:dyDescent="0.25">
      <c r="A14" s="1" t="s">
        <v>44</v>
      </c>
      <c r="B14" s="36" t="s">
        <v>59</v>
      </c>
      <c r="C14" s="1" t="s">
        <v>60</v>
      </c>
      <c r="D14" s="2" t="s">
        <v>13</v>
      </c>
      <c r="E14" s="2" t="s">
        <v>52</v>
      </c>
      <c r="F14" s="1" t="s">
        <v>53</v>
      </c>
      <c r="G14" s="33">
        <v>100</v>
      </c>
      <c r="H14" s="33"/>
      <c r="I14" s="33">
        <f t="shared" si="0"/>
        <v>100</v>
      </c>
      <c r="J14" s="4">
        <f>G14/VLOOKUP(A14,RESUME!$G$3:$I$10,3,FALSE)</f>
        <v>1.1764705882352941E-2</v>
      </c>
      <c r="K14" s="4" t="str">
        <f t="shared" si="1"/>
        <v/>
      </c>
      <c r="L14" s="59" t="s">
        <v>358</v>
      </c>
    </row>
    <row r="15" spans="1:26" ht="15.75" x14ac:dyDescent="0.25">
      <c r="A15" s="1" t="s">
        <v>44</v>
      </c>
      <c r="B15" s="36" t="s">
        <v>59</v>
      </c>
      <c r="C15" s="1" t="s">
        <v>60</v>
      </c>
      <c r="D15" s="2" t="s">
        <v>13</v>
      </c>
      <c r="E15" s="2" t="s">
        <v>54</v>
      </c>
      <c r="F15" s="1" t="s">
        <v>55</v>
      </c>
      <c r="G15" s="33">
        <v>100</v>
      </c>
      <c r="H15" s="33"/>
      <c r="I15" s="33">
        <f t="shared" si="0"/>
        <v>100</v>
      </c>
      <c r="J15" s="4">
        <f>G15/VLOOKUP(A15,RESUME!$G$3:$I$10,3,FALSE)</f>
        <v>1.1764705882352941E-2</v>
      </c>
      <c r="K15" s="4" t="str">
        <f t="shared" si="1"/>
        <v/>
      </c>
      <c r="L15" s="59" t="s">
        <v>358</v>
      </c>
    </row>
  </sheetData>
  <conditionalFormatting sqref="L6:L15">
    <cfRule type="containsText" dxfId="5" priority="1" operator="containsText" text="OVER">
      <formula>NOT(ISERROR(SEARCH("OVER",L6)))</formula>
    </cfRule>
  </conditionalFormatting>
  <hyperlinks>
    <hyperlink ref="B6" r:id="rId1" xr:uid="{500D4C5E-7242-4D3F-883F-05FD5B7C65C4}"/>
    <hyperlink ref="B7" r:id="rId2" xr:uid="{CA1242C5-0456-47B5-B88C-1A5D22EB3862}"/>
    <hyperlink ref="B8" r:id="rId3" xr:uid="{D3BCF776-4EBE-4E4C-8E94-D1B1766D64D1}"/>
    <hyperlink ref="B9" r:id="rId4" xr:uid="{798A1C2D-5A6A-4978-85E2-2B78A9C6F0C1}"/>
    <hyperlink ref="B10" r:id="rId5" xr:uid="{D443E043-C54E-4B65-B4E9-FB7FA64D7A8A}"/>
    <hyperlink ref="B11" r:id="rId6" xr:uid="{6B7E82AA-5779-4DED-8198-DB543041B84B}"/>
    <hyperlink ref="B12" r:id="rId7" xr:uid="{94D3DDE1-BBE2-43AC-BDA7-8DCBEC05BA41}"/>
    <hyperlink ref="B13" r:id="rId8" xr:uid="{669FF6DC-817E-4B9C-9446-B3E5691FA152}"/>
    <hyperlink ref="B14" r:id="rId9" xr:uid="{B1A840BF-C6A8-4866-9F91-3382EBE776D8}"/>
    <hyperlink ref="B15" r:id="rId10" xr:uid="{D06166FB-08D3-405E-8A62-69BFBBFD8E2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8AB48-5376-4959-B9D7-05816E2942DF}">
  <sheetPr codeName="Sheet22"/>
  <dimension ref="A5:Z10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3.28515625" bestFit="1" customWidth="1"/>
    <col min="3" max="3" width="29.85546875" bestFit="1" customWidth="1"/>
    <col min="4" max="4" width="11.85546875" bestFit="1" customWidth="1"/>
    <col min="5" max="5" width="7.140625" bestFit="1" customWidth="1"/>
    <col min="6" max="6" width="32.7109375" bestFit="1" customWidth="1"/>
    <col min="7" max="7" width="19.28515625" bestFit="1" customWidth="1"/>
    <col min="8" max="8" width="10.28515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316</v>
      </c>
      <c r="B6" s="36" t="s">
        <v>45</v>
      </c>
      <c r="C6" s="1"/>
      <c r="D6" s="2"/>
      <c r="E6" s="2"/>
      <c r="F6" s="1"/>
      <c r="G6" s="33"/>
      <c r="H6" s="33"/>
      <c r="I6" s="33">
        <f t="shared" ref="I6:I10" si="0">G6-H6</f>
        <v>0</v>
      </c>
      <c r="J6" s="4">
        <f>G6/VLOOKUP(A6,RESUME!$G$3:$I$10,3,FALSE)</f>
        <v>0</v>
      </c>
      <c r="K6" s="4" t="str">
        <f t="shared" ref="K6:K10" si="1">IFERROR((G6/H6)*J6,"")</f>
        <v/>
      </c>
      <c r="L6" s="59" t="s">
        <v>359</v>
      </c>
    </row>
    <row r="7" spans="1:26" ht="15.75" x14ac:dyDescent="0.25">
      <c r="A7" s="1" t="s">
        <v>316</v>
      </c>
      <c r="B7" s="36" t="s">
        <v>46</v>
      </c>
      <c r="C7" s="1" t="s">
        <v>47</v>
      </c>
      <c r="D7" s="2" t="s">
        <v>13</v>
      </c>
      <c r="E7" s="2" t="s">
        <v>61</v>
      </c>
      <c r="F7" s="1" t="s">
        <v>62</v>
      </c>
      <c r="G7" s="33">
        <v>200</v>
      </c>
      <c r="H7" s="33"/>
      <c r="I7" s="33">
        <f t="shared" si="0"/>
        <v>200</v>
      </c>
      <c r="J7" s="4">
        <f>G7/VLOOKUP(A7,RESUME!$G$3:$I$10,3,FALSE)</f>
        <v>0.2</v>
      </c>
      <c r="K7" s="4" t="str">
        <f t="shared" si="1"/>
        <v/>
      </c>
      <c r="L7" s="59" t="s">
        <v>358</v>
      </c>
    </row>
    <row r="8" spans="1:26" ht="15.75" x14ac:dyDescent="0.25">
      <c r="A8" s="1" t="s">
        <v>316</v>
      </c>
      <c r="B8" s="36" t="s">
        <v>56</v>
      </c>
      <c r="C8" s="1" t="s">
        <v>57</v>
      </c>
      <c r="D8" s="2" t="s">
        <v>13</v>
      </c>
      <c r="E8" s="2" t="s">
        <v>63</v>
      </c>
      <c r="F8" s="1" t="s">
        <v>64</v>
      </c>
      <c r="G8" s="33">
        <v>700</v>
      </c>
      <c r="H8" s="33"/>
      <c r="I8" s="33">
        <f t="shared" si="0"/>
        <v>700</v>
      </c>
      <c r="J8" s="4">
        <f>G8/VLOOKUP(A8,RESUME!$G$3:$I$10,3,FALSE)</f>
        <v>0.7</v>
      </c>
      <c r="K8" s="4" t="str">
        <f t="shared" si="1"/>
        <v/>
      </c>
      <c r="L8" s="59" t="s">
        <v>358</v>
      </c>
    </row>
    <row r="9" spans="1:26" ht="15.75" x14ac:dyDescent="0.25">
      <c r="A9" s="1" t="s">
        <v>316</v>
      </c>
      <c r="B9" s="36" t="s">
        <v>59</v>
      </c>
      <c r="C9" s="1" t="s">
        <v>60</v>
      </c>
      <c r="D9" s="2" t="s">
        <v>13</v>
      </c>
      <c r="E9" s="2" t="s">
        <v>63</v>
      </c>
      <c r="F9" s="1" t="s">
        <v>62</v>
      </c>
      <c r="G9" s="33">
        <v>50</v>
      </c>
      <c r="H9" s="33"/>
      <c r="I9" s="33">
        <f t="shared" si="0"/>
        <v>50</v>
      </c>
      <c r="J9" s="4">
        <f>G9/VLOOKUP(A9,RESUME!$G$3:$I$10,3,FALSE)</f>
        <v>0.05</v>
      </c>
      <c r="K9" s="4" t="str">
        <f t="shared" si="1"/>
        <v/>
      </c>
      <c r="L9" s="59" t="s">
        <v>358</v>
      </c>
    </row>
    <row r="10" spans="1:26" ht="15.75" x14ac:dyDescent="0.25">
      <c r="A10" s="1" t="s">
        <v>316</v>
      </c>
      <c r="B10" s="36" t="s">
        <v>59</v>
      </c>
      <c r="C10" s="1" t="s">
        <v>60</v>
      </c>
      <c r="D10" s="2" t="s">
        <v>13</v>
      </c>
      <c r="E10" s="2" t="s">
        <v>65</v>
      </c>
      <c r="F10" s="1" t="s">
        <v>66</v>
      </c>
      <c r="G10" s="33">
        <v>50</v>
      </c>
      <c r="H10" s="33"/>
      <c r="I10" s="33">
        <f t="shared" si="0"/>
        <v>50</v>
      </c>
      <c r="J10" s="4">
        <f>G10/VLOOKUP(A10,RESUME!$G$3:$I$10,3,FALSE)</f>
        <v>0.05</v>
      </c>
      <c r="K10" s="4" t="str">
        <f t="shared" si="1"/>
        <v/>
      </c>
      <c r="L10" s="59" t="s">
        <v>358</v>
      </c>
    </row>
  </sheetData>
  <conditionalFormatting sqref="L6:L10">
    <cfRule type="containsText" dxfId="4" priority="1" operator="containsText" text="OVER">
      <formula>NOT(ISERROR(SEARCH("OVER",L6)))</formula>
    </cfRule>
  </conditionalFormatting>
  <hyperlinks>
    <hyperlink ref="B6" r:id="rId1" xr:uid="{7BE1C732-2169-4B6A-BFBC-1C13B747725F}"/>
    <hyperlink ref="B7" r:id="rId2" xr:uid="{EB3B1443-852A-4231-95AC-78AE1E1473F6}"/>
    <hyperlink ref="B8" r:id="rId3" xr:uid="{94586121-E4E5-457E-8D2B-F15CF177D020}"/>
    <hyperlink ref="B9" r:id="rId4" xr:uid="{A131367E-6D49-4949-94C3-6A99086EDAF3}"/>
    <hyperlink ref="B10" r:id="rId5" xr:uid="{8AA2DC81-183D-432A-899B-967178ED2E4D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B758E-D2BE-4402-9570-0409CBF3F4DC}">
  <sheetPr codeName="Sheet23"/>
  <dimension ref="A5:Z60"/>
  <sheetViews>
    <sheetView topLeftCell="D1"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7.28515625" bestFit="1" customWidth="1"/>
    <col min="3" max="3" width="88.5703125" bestFit="1" customWidth="1"/>
    <col min="4" max="4" width="12.28515625" bestFit="1" customWidth="1"/>
    <col min="5" max="5" width="8.5703125" bestFit="1" customWidth="1"/>
    <col min="6" max="6" width="8.85546875" bestFit="1" customWidth="1"/>
    <col min="7" max="7" width="19.28515625" bestFit="1" customWidth="1"/>
    <col min="8" max="8" width="12.140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67</v>
      </c>
      <c r="B6" s="36" t="s">
        <v>68</v>
      </c>
      <c r="C6" s="1" t="s">
        <v>69</v>
      </c>
      <c r="D6" s="2" t="s">
        <v>13</v>
      </c>
      <c r="E6" s="2" t="s">
        <v>19</v>
      </c>
      <c r="F6" s="1"/>
      <c r="G6" s="33"/>
      <c r="H6" s="33">
        <v>37.9</v>
      </c>
      <c r="I6" s="33">
        <f t="shared" ref="I6:I60" si="0">G6-H6</f>
        <v>-37.9</v>
      </c>
      <c r="J6" s="4">
        <f>G6/VLOOKUP(A6,RESUME!$G$3:$I$10,3,FALSE)</f>
        <v>0</v>
      </c>
      <c r="K6" s="4">
        <f t="shared" ref="K6:K60" si="1">IFERROR((G6/H6)*J6,"")</f>
        <v>0</v>
      </c>
      <c r="L6" s="59" t="s">
        <v>359</v>
      </c>
    </row>
    <row r="7" spans="1:26" ht="15.75" x14ac:dyDescent="0.25">
      <c r="A7" s="1" t="s">
        <v>67</v>
      </c>
      <c r="B7" s="36" t="s">
        <v>70</v>
      </c>
      <c r="C7" s="1" t="s">
        <v>71</v>
      </c>
      <c r="D7" s="2" t="s">
        <v>13</v>
      </c>
      <c r="E7" s="2" t="s">
        <v>72</v>
      </c>
      <c r="F7" s="1"/>
      <c r="G7" s="33">
        <v>4917.96</v>
      </c>
      <c r="H7" s="33">
        <v>4917.96</v>
      </c>
      <c r="I7" s="33">
        <f t="shared" si="0"/>
        <v>0</v>
      </c>
      <c r="J7" s="4">
        <f>G7/VLOOKUP(A7,RESUME!$G$3:$I$10,3,FALSE)</f>
        <v>5.6433869134324049E-2</v>
      </c>
      <c r="K7" s="4">
        <f t="shared" si="1"/>
        <v>5.6433869134324049E-2</v>
      </c>
      <c r="L7" s="59" t="s">
        <v>359</v>
      </c>
    </row>
    <row r="8" spans="1:26" ht="15.75" x14ac:dyDescent="0.25">
      <c r="A8" s="1" t="s">
        <v>67</v>
      </c>
      <c r="B8" s="36" t="s">
        <v>73</v>
      </c>
      <c r="C8" s="1" t="s">
        <v>74</v>
      </c>
      <c r="D8" s="2" t="s">
        <v>13</v>
      </c>
      <c r="E8" s="2" t="s">
        <v>75</v>
      </c>
      <c r="F8" s="1"/>
      <c r="G8" s="33">
        <v>281</v>
      </c>
      <c r="H8" s="33">
        <v>290.63</v>
      </c>
      <c r="I8" s="33">
        <f t="shared" si="0"/>
        <v>-9.6299999999999955</v>
      </c>
      <c r="J8" s="4">
        <f>G8/VLOOKUP(A8,RESUME!$G$3:$I$10,3,FALSE)</f>
        <v>3.2244908919033619E-3</v>
      </c>
      <c r="K8" s="4">
        <f t="shared" si="1"/>
        <v>3.1176476641256745E-3</v>
      </c>
      <c r="L8" s="59" t="s">
        <v>359</v>
      </c>
    </row>
    <row r="9" spans="1:26" ht="15.75" x14ac:dyDescent="0.25">
      <c r="A9" s="1" t="s">
        <v>67</v>
      </c>
      <c r="B9" s="36" t="s">
        <v>73</v>
      </c>
      <c r="C9" s="1" t="s">
        <v>74</v>
      </c>
      <c r="D9" s="2" t="s">
        <v>15</v>
      </c>
      <c r="E9" s="2" t="s">
        <v>75</v>
      </c>
      <c r="F9" s="1"/>
      <c r="G9" s="33">
        <v>64.58</v>
      </c>
      <c r="H9" s="33">
        <v>64.58</v>
      </c>
      <c r="I9" s="33">
        <f t="shared" si="0"/>
        <v>0</v>
      </c>
      <c r="J9" s="4">
        <f>G9/VLOOKUP(A9,RESUME!$G$3:$I$10,3,FALSE)</f>
        <v>7.4105915231003239E-4</v>
      </c>
      <c r="K9" s="4">
        <f t="shared" si="1"/>
        <v>7.4105915231003239E-4</v>
      </c>
      <c r="L9" s="59" t="s">
        <v>359</v>
      </c>
    </row>
    <row r="10" spans="1:26" ht="15.75" x14ac:dyDescent="0.25">
      <c r="A10" s="1" t="s">
        <v>67</v>
      </c>
      <c r="B10" s="36" t="s">
        <v>76</v>
      </c>
      <c r="C10" s="1" t="s">
        <v>77</v>
      </c>
      <c r="D10" s="2" t="s">
        <v>13</v>
      </c>
      <c r="E10" s="2" t="s">
        <v>75</v>
      </c>
      <c r="F10" s="1"/>
      <c r="G10" s="33">
        <v>2027.63</v>
      </c>
      <c r="H10" s="33">
        <v>3926.72</v>
      </c>
      <c r="I10" s="33">
        <f t="shared" si="0"/>
        <v>-1899.0899999999997</v>
      </c>
      <c r="J10" s="4">
        <f>G10/VLOOKUP(A10,RESUME!$G$3:$I$10,3,FALSE)</f>
        <v>2.3267168922242044E-2</v>
      </c>
      <c r="K10" s="4">
        <f t="shared" si="1"/>
        <v>1.2014406354872676E-2</v>
      </c>
      <c r="L10" s="59" t="s">
        <v>359</v>
      </c>
    </row>
    <row r="11" spans="1:26" ht="15.75" x14ac:dyDescent="0.25">
      <c r="A11" s="1" t="s">
        <v>67</v>
      </c>
      <c r="B11" s="36" t="s">
        <v>78</v>
      </c>
      <c r="C11" s="1" t="s">
        <v>79</v>
      </c>
      <c r="D11" s="2" t="s">
        <v>13</v>
      </c>
      <c r="E11" s="2" t="s">
        <v>75</v>
      </c>
      <c r="F11" s="1"/>
      <c r="G11" s="33">
        <v>1453.67</v>
      </c>
      <c r="H11" s="33">
        <v>3736.9</v>
      </c>
      <c r="I11" s="33">
        <f t="shared" si="0"/>
        <v>-2283.23</v>
      </c>
      <c r="J11" s="4">
        <f>G11/VLOOKUP(A11,RESUME!$G$3:$I$10,3,FALSE)</f>
        <v>1.6680945462039718E-2</v>
      </c>
      <c r="K11" s="4">
        <f t="shared" si="1"/>
        <v>6.4889587598820613E-3</v>
      </c>
      <c r="L11" s="59" t="s">
        <v>359</v>
      </c>
    </row>
    <row r="12" spans="1:26" ht="15.75" x14ac:dyDescent="0.25">
      <c r="A12" s="1" t="s">
        <v>67</v>
      </c>
      <c r="B12" s="36" t="s">
        <v>80</v>
      </c>
      <c r="C12" s="1" t="s">
        <v>81</v>
      </c>
      <c r="D12" s="2" t="s">
        <v>13</v>
      </c>
      <c r="E12" s="2" t="s">
        <v>82</v>
      </c>
      <c r="F12" s="1"/>
      <c r="G12" s="33">
        <v>531</v>
      </c>
      <c r="H12" s="33">
        <v>531.61</v>
      </c>
      <c r="I12" s="33">
        <f t="shared" si="0"/>
        <v>-0.61000000000001364</v>
      </c>
      <c r="J12" s="4">
        <f>G12/VLOOKUP(A12,RESUME!$G$3:$I$10,3,FALSE)</f>
        <v>6.0932550306074208E-3</v>
      </c>
      <c r="K12" s="4">
        <f t="shared" si="1"/>
        <v>6.0862632780657629E-3</v>
      </c>
      <c r="L12" s="59" t="s">
        <v>359</v>
      </c>
    </row>
    <row r="13" spans="1:26" ht="15.75" x14ac:dyDescent="0.25">
      <c r="A13" s="1" t="s">
        <v>67</v>
      </c>
      <c r="B13" s="36" t="s">
        <v>154</v>
      </c>
      <c r="C13" s="1" t="s">
        <v>83</v>
      </c>
      <c r="D13" s="2" t="s">
        <v>13</v>
      </c>
      <c r="E13" s="2" t="s">
        <v>75</v>
      </c>
      <c r="F13" s="1"/>
      <c r="G13" s="33">
        <v>2429</v>
      </c>
      <c r="H13" s="33"/>
      <c r="I13" s="33">
        <f t="shared" si="0"/>
        <v>2429</v>
      </c>
      <c r="J13" s="4">
        <f>G13/VLOOKUP(A13,RESUME!$G$3:$I$10,3,FALSE)</f>
        <v>2.7872912371648635E-2</v>
      </c>
      <c r="K13" s="4" t="str">
        <f t="shared" si="1"/>
        <v/>
      </c>
      <c r="L13" s="59" t="s">
        <v>358</v>
      </c>
    </row>
    <row r="14" spans="1:26" ht="15.75" x14ac:dyDescent="0.25">
      <c r="A14" s="1" t="s">
        <v>67</v>
      </c>
      <c r="B14" s="36" t="s">
        <v>154</v>
      </c>
      <c r="C14" s="1" t="s">
        <v>84</v>
      </c>
      <c r="D14" s="2" t="s">
        <v>13</v>
      </c>
      <c r="E14" s="2" t="s">
        <v>75</v>
      </c>
      <c r="F14" s="1"/>
      <c r="G14" s="33">
        <v>200</v>
      </c>
      <c r="H14" s="33"/>
      <c r="I14" s="33">
        <f t="shared" si="0"/>
        <v>200</v>
      </c>
      <c r="J14" s="4">
        <f>G14/VLOOKUP(A14,RESUME!$G$3:$I$10,3,FALSE)</f>
        <v>2.2950113109632469E-3</v>
      </c>
      <c r="K14" s="4" t="str">
        <f t="shared" si="1"/>
        <v/>
      </c>
      <c r="L14" s="59" t="s">
        <v>358</v>
      </c>
    </row>
    <row r="15" spans="1:26" ht="15.75" x14ac:dyDescent="0.25">
      <c r="A15" s="1" t="s">
        <v>67</v>
      </c>
      <c r="B15" s="36" t="s">
        <v>85</v>
      </c>
      <c r="C15" s="1" t="s">
        <v>86</v>
      </c>
      <c r="D15" s="2" t="s">
        <v>13</v>
      </c>
      <c r="E15" s="2" t="s">
        <v>75</v>
      </c>
      <c r="F15" s="1"/>
      <c r="G15" s="33">
        <v>3004.76</v>
      </c>
      <c r="H15" s="33">
        <v>2634.57</v>
      </c>
      <c r="I15" s="33">
        <f t="shared" si="0"/>
        <v>370.19000000000005</v>
      </c>
      <c r="J15" s="4">
        <f>G15/VLOOKUP(A15,RESUME!$G$3:$I$10,3,FALSE)</f>
        <v>3.4479790933649633E-2</v>
      </c>
      <c r="K15" s="4">
        <f t="shared" si="1"/>
        <v>3.9324632333091573E-2</v>
      </c>
      <c r="L15" s="59" t="s">
        <v>358</v>
      </c>
    </row>
    <row r="16" spans="1:26" ht="15.75" x14ac:dyDescent="0.25">
      <c r="A16" s="1" t="s">
        <v>67</v>
      </c>
      <c r="B16" s="36" t="s">
        <v>85</v>
      </c>
      <c r="C16" s="1" t="s">
        <v>86</v>
      </c>
      <c r="D16" s="2" t="s">
        <v>15</v>
      </c>
      <c r="E16" s="2" t="s">
        <v>75</v>
      </c>
      <c r="F16" s="1"/>
      <c r="G16" s="33">
        <v>1543.55</v>
      </c>
      <c r="H16" s="33">
        <v>1343.55</v>
      </c>
      <c r="I16" s="33">
        <f t="shared" si="0"/>
        <v>200</v>
      </c>
      <c r="J16" s="4">
        <f>G16/VLOOKUP(A16,RESUME!$G$3:$I$10,3,FALSE)</f>
        <v>1.7712323545186599E-2</v>
      </c>
      <c r="K16" s="4">
        <f t="shared" si="1"/>
        <v>2.0348968782831139E-2</v>
      </c>
      <c r="L16" s="59" t="s">
        <v>358</v>
      </c>
    </row>
    <row r="17" spans="1:12" ht="15.75" x14ac:dyDescent="0.25">
      <c r="A17" s="1" t="s">
        <v>67</v>
      </c>
      <c r="B17" s="36" t="s">
        <v>87</v>
      </c>
      <c r="C17" s="1" t="s">
        <v>88</v>
      </c>
      <c r="D17" s="2" t="s">
        <v>13</v>
      </c>
      <c r="E17" s="2" t="s">
        <v>75</v>
      </c>
      <c r="F17" s="1"/>
      <c r="G17" s="33">
        <v>938.47</v>
      </c>
      <c r="H17" s="33">
        <v>888.47</v>
      </c>
      <c r="I17" s="33">
        <f t="shared" si="0"/>
        <v>50</v>
      </c>
      <c r="J17" s="4">
        <f>G17/VLOOKUP(A17,RESUME!$G$3:$I$10,3,FALSE)</f>
        <v>1.0768996324998392E-2</v>
      </c>
      <c r="K17" s="4">
        <f t="shared" si="1"/>
        <v>1.1375037965402592E-2</v>
      </c>
      <c r="L17" s="59" t="s">
        <v>358</v>
      </c>
    </row>
    <row r="18" spans="1:12" ht="15.75" x14ac:dyDescent="0.25">
      <c r="A18" s="1" t="s">
        <v>67</v>
      </c>
      <c r="B18" s="36" t="s">
        <v>87</v>
      </c>
      <c r="C18" s="1" t="s">
        <v>88</v>
      </c>
      <c r="D18" s="2" t="s">
        <v>24</v>
      </c>
      <c r="E18" s="2" t="s">
        <v>75</v>
      </c>
      <c r="F18" s="1"/>
      <c r="G18" s="33">
        <v>175.55</v>
      </c>
      <c r="H18" s="33">
        <v>165.55</v>
      </c>
      <c r="I18" s="33">
        <f t="shared" si="0"/>
        <v>10</v>
      </c>
      <c r="J18" s="4">
        <f>G18/VLOOKUP(A18,RESUME!$G$3:$I$10,3,FALSE)</f>
        <v>2.0144461781979902E-3</v>
      </c>
      <c r="K18" s="4">
        <f t="shared" si="1"/>
        <v>2.1361282185602968E-3</v>
      </c>
      <c r="L18" s="59" t="s">
        <v>358</v>
      </c>
    </row>
    <row r="19" spans="1:12" ht="15.75" x14ac:dyDescent="0.25">
      <c r="A19" s="1" t="s">
        <v>67</v>
      </c>
      <c r="B19" s="36" t="s">
        <v>87</v>
      </c>
      <c r="C19" s="1" t="s">
        <v>88</v>
      </c>
      <c r="D19" s="2" t="s">
        <v>15</v>
      </c>
      <c r="E19" s="2" t="s">
        <v>75</v>
      </c>
      <c r="F19" s="1"/>
      <c r="G19" s="33">
        <v>2294.39</v>
      </c>
      <c r="H19" s="33">
        <v>2225.52</v>
      </c>
      <c r="I19" s="33">
        <f t="shared" si="0"/>
        <v>68.869999999999891</v>
      </c>
      <c r="J19" s="4">
        <f>G19/VLOOKUP(A19,RESUME!$G$3:$I$10,3,FALSE)</f>
        <v>2.632825500880482E-2</v>
      </c>
      <c r="K19" s="4">
        <f t="shared" si="1"/>
        <v>2.7142998045244116E-2</v>
      </c>
      <c r="L19" s="59" t="s">
        <v>358</v>
      </c>
    </row>
    <row r="20" spans="1:12" ht="15.75" x14ac:dyDescent="0.25">
      <c r="A20" s="1" t="s">
        <v>67</v>
      </c>
      <c r="B20" s="36" t="s">
        <v>89</v>
      </c>
      <c r="C20" s="1" t="s">
        <v>90</v>
      </c>
      <c r="D20" s="2" t="s">
        <v>13</v>
      </c>
      <c r="E20" s="2" t="s">
        <v>75</v>
      </c>
      <c r="F20" s="1"/>
      <c r="G20" s="33">
        <v>1987.05</v>
      </c>
      <c r="H20" s="33">
        <v>1987.06</v>
      </c>
      <c r="I20" s="33">
        <f t="shared" si="0"/>
        <v>-9.9999999999909051E-3</v>
      </c>
      <c r="J20" s="4">
        <f>G20/VLOOKUP(A20,RESUME!$G$3:$I$10,3,FALSE)</f>
        <v>2.2801511127247598E-2</v>
      </c>
      <c r="K20" s="4">
        <f t="shared" si="1"/>
        <v>2.2801396377259538E-2</v>
      </c>
      <c r="L20" s="59" t="s">
        <v>359</v>
      </c>
    </row>
    <row r="21" spans="1:12" ht="15.75" x14ac:dyDescent="0.25">
      <c r="A21" s="1" t="s">
        <v>67</v>
      </c>
      <c r="B21" s="36" t="s">
        <v>89</v>
      </c>
      <c r="C21" s="1" t="s">
        <v>90</v>
      </c>
      <c r="D21" s="2" t="s">
        <v>15</v>
      </c>
      <c r="E21" s="2" t="s">
        <v>75</v>
      </c>
      <c r="F21" s="1"/>
      <c r="G21" s="33">
        <v>1692.67</v>
      </c>
      <c r="H21" s="33">
        <v>1692.7</v>
      </c>
      <c r="I21" s="33">
        <f t="shared" si="0"/>
        <v>-2.9999999999972715E-2</v>
      </c>
      <c r="J21" s="4">
        <f>G21/VLOOKUP(A21,RESUME!$G$3:$I$10,3,FALSE)</f>
        <v>1.9423483978640799E-2</v>
      </c>
      <c r="K21" s="4">
        <f t="shared" si="1"/>
        <v>1.9423139733045384E-2</v>
      </c>
      <c r="L21" s="59" t="s">
        <v>359</v>
      </c>
    </row>
    <row r="22" spans="1:12" ht="15.75" x14ac:dyDescent="0.25">
      <c r="A22" s="1" t="s">
        <v>67</v>
      </c>
      <c r="B22" s="36" t="s">
        <v>91</v>
      </c>
      <c r="C22" s="1" t="s">
        <v>92</v>
      </c>
      <c r="D22" s="2" t="s">
        <v>13</v>
      </c>
      <c r="E22" s="2" t="s">
        <v>75</v>
      </c>
      <c r="F22" s="1"/>
      <c r="G22" s="33">
        <v>569</v>
      </c>
      <c r="H22" s="33">
        <v>469.69</v>
      </c>
      <c r="I22" s="33">
        <f t="shared" si="0"/>
        <v>99.31</v>
      </c>
      <c r="J22" s="4">
        <f>G22/VLOOKUP(A22,RESUME!$G$3:$I$10,3,FALSE)</f>
        <v>6.5293071796904377E-3</v>
      </c>
      <c r="K22" s="4">
        <f t="shared" si="1"/>
        <v>7.9098464630796041E-3</v>
      </c>
      <c r="L22" s="59" t="s">
        <v>358</v>
      </c>
    </row>
    <row r="23" spans="1:12" ht="15.75" x14ac:dyDescent="0.25">
      <c r="A23" s="1" t="s">
        <v>67</v>
      </c>
      <c r="B23" s="36" t="s">
        <v>91</v>
      </c>
      <c r="C23" s="1" t="s">
        <v>92</v>
      </c>
      <c r="D23" s="2" t="s">
        <v>15</v>
      </c>
      <c r="E23" s="2" t="s">
        <v>75</v>
      </c>
      <c r="F23" s="1"/>
      <c r="G23" s="33">
        <v>300</v>
      </c>
      <c r="H23" s="33">
        <v>290.62</v>
      </c>
      <c r="I23" s="33">
        <f t="shared" si="0"/>
        <v>9.3799999999999955</v>
      </c>
      <c r="J23" s="4">
        <f>G23/VLOOKUP(A23,RESUME!$G$3:$I$10,3,FALSE)</f>
        <v>3.4425169664448704E-3</v>
      </c>
      <c r="K23" s="4">
        <f t="shared" si="1"/>
        <v>3.5536270385157975E-3</v>
      </c>
      <c r="L23" s="59" t="s">
        <v>358</v>
      </c>
    </row>
    <row r="24" spans="1:12" ht="15.75" x14ac:dyDescent="0.25">
      <c r="A24" s="1" t="s">
        <v>67</v>
      </c>
      <c r="B24" s="36" t="s">
        <v>93</v>
      </c>
      <c r="C24" s="1" t="s">
        <v>94</v>
      </c>
      <c r="D24" s="2" t="s">
        <v>13</v>
      </c>
      <c r="E24" s="2" t="s">
        <v>95</v>
      </c>
      <c r="F24" s="1"/>
      <c r="G24" s="33">
        <v>2288.86</v>
      </c>
      <c r="H24" s="33">
        <v>1193.82</v>
      </c>
      <c r="I24" s="33">
        <f t="shared" si="0"/>
        <v>1095.0400000000002</v>
      </c>
      <c r="J24" s="4">
        <f>G24/VLOOKUP(A24,RESUME!$G$3:$I$10,3,FALSE)</f>
        <v>2.6264797946056691E-2</v>
      </c>
      <c r="K24" s="4">
        <f t="shared" si="1"/>
        <v>5.0356373177540437E-2</v>
      </c>
      <c r="L24" s="59" t="s">
        <v>358</v>
      </c>
    </row>
    <row r="25" spans="1:12" ht="15.75" x14ac:dyDescent="0.25">
      <c r="A25" s="1" t="s">
        <v>67</v>
      </c>
      <c r="B25" s="36" t="s">
        <v>96</v>
      </c>
      <c r="C25" s="1" t="s">
        <v>97</v>
      </c>
      <c r="D25" s="2" t="s">
        <v>13</v>
      </c>
      <c r="E25" s="2" t="s">
        <v>98</v>
      </c>
      <c r="F25" s="1"/>
      <c r="G25" s="33">
        <v>36500.160000000003</v>
      </c>
      <c r="H25" s="33">
        <v>36746.160000000003</v>
      </c>
      <c r="I25" s="33">
        <f t="shared" si="0"/>
        <v>-246</v>
      </c>
      <c r="J25" s="4">
        <f>G25/VLOOKUP(A25,RESUME!$G$3:$I$10,3,FALSE)</f>
        <v>0.4188414002598414</v>
      </c>
      <c r="K25" s="4">
        <f t="shared" si="1"/>
        <v>0.41603743422736555</v>
      </c>
      <c r="L25" s="59" t="s">
        <v>359</v>
      </c>
    </row>
    <row r="26" spans="1:12" ht="15.75" x14ac:dyDescent="0.25">
      <c r="A26" s="1" t="s">
        <v>67</v>
      </c>
      <c r="B26" s="36" t="s">
        <v>99</v>
      </c>
      <c r="C26" s="1" t="s">
        <v>100</v>
      </c>
      <c r="D26" s="2" t="s">
        <v>13</v>
      </c>
      <c r="E26" s="2" t="s">
        <v>75</v>
      </c>
      <c r="F26" s="1"/>
      <c r="G26" s="33">
        <v>1440.17</v>
      </c>
      <c r="H26" s="33">
        <v>1719.73</v>
      </c>
      <c r="I26" s="33">
        <f t="shared" si="0"/>
        <v>-279.55999999999995</v>
      </c>
      <c r="J26" s="4">
        <f>G26/VLOOKUP(A26,RESUME!$G$3:$I$10,3,FALSE)</f>
        <v>1.6526032198549697E-2</v>
      </c>
      <c r="K26" s="4">
        <f t="shared" si="1"/>
        <v>1.3839553762151803E-2</v>
      </c>
      <c r="L26" s="59" t="s">
        <v>359</v>
      </c>
    </row>
    <row r="27" spans="1:12" ht="15.75" x14ac:dyDescent="0.25">
      <c r="A27" s="1" t="s">
        <v>67</v>
      </c>
      <c r="B27" s="36" t="s">
        <v>99</v>
      </c>
      <c r="C27" s="1" t="s">
        <v>100</v>
      </c>
      <c r="D27" s="2" t="s">
        <v>101</v>
      </c>
      <c r="E27" s="2" t="s">
        <v>75</v>
      </c>
      <c r="F27" s="1"/>
      <c r="G27" s="33">
        <v>14.27</v>
      </c>
      <c r="H27" s="33">
        <v>14.27</v>
      </c>
      <c r="I27" s="33">
        <f t="shared" si="0"/>
        <v>0</v>
      </c>
      <c r="J27" s="4">
        <f>G27/VLOOKUP(A27,RESUME!$G$3:$I$10,3,FALSE)</f>
        <v>1.6374905703722768E-4</v>
      </c>
      <c r="K27" s="4">
        <f t="shared" si="1"/>
        <v>1.6374905703722768E-4</v>
      </c>
      <c r="L27" s="59" t="s">
        <v>359</v>
      </c>
    </row>
    <row r="28" spans="1:12" ht="15.75" x14ac:dyDescent="0.25">
      <c r="A28" s="1" t="s">
        <v>67</v>
      </c>
      <c r="B28" s="36" t="s">
        <v>99</v>
      </c>
      <c r="C28" s="1" t="s">
        <v>100</v>
      </c>
      <c r="D28" s="2" t="s">
        <v>24</v>
      </c>
      <c r="E28" s="2" t="s">
        <v>75</v>
      </c>
      <c r="F28" s="1"/>
      <c r="G28" s="33">
        <v>35.56</v>
      </c>
      <c r="H28" s="33">
        <v>35.56</v>
      </c>
      <c r="I28" s="33">
        <f t="shared" si="0"/>
        <v>0</v>
      </c>
      <c r="J28" s="4">
        <f>G28/VLOOKUP(A28,RESUME!$G$3:$I$10,3,FALSE)</f>
        <v>4.0805301108926532E-4</v>
      </c>
      <c r="K28" s="4">
        <f t="shared" si="1"/>
        <v>4.0805301108926532E-4</v>
      </c>
      <c r="L28" s="59" t="s">
        <v>359</v>
      </c>
    </row>
    <row r="29" spans="1:12" ht="15.75" x14ac:dyDescent="0.25">
      <c r="A29" s="1" t="s">
        <v>67</v>
      </c>
      <c r="B29" s="36" t="s">
        <v>99</v>
      </c>
      <c r="C29" s="1" t="s">
        <v>100</v>
      </c>
      <c r="D29" s="2" t="s">
        <v>15</v>
      </c>
      <c r="E29" s="2" t="s">
        <v>75</v>
      </c>
      <c r="F29" s="1"/>
      <c r="G29" s="33">
        <v>9.69</v>
      </c>
      <c r="H29" s="33">
        <v>9.69</v>
      </c>
      <c r="I29" s="33">
        <f t="shared" si="0"/>
        <v>0</v>
      </c>
      <c r="J29" s="4">
        <f>G29/VLOOKUP(A29,RESUME!$G$3:$I$10,3,FALSE)</f>
        <v>1.1119329801616931E-4</v>
      </c>
      <c r="K29" s="4">
        <f t="shared" si="1"/>
        <v>1.1119329801616931E-4</v>
      </c>
      <c r="L29" s="59" t="s">
        <v>359</v>
      </c>
    </row>
    <row r="30" spans="1:12" ht="15.75" x14ac:dyDescent="0.25">
      <c r="A30" s="1" t="s">
        <v>67</v>
      </c>
      <c r="B30" s="36" t="s">
        <v>102</v>
      </c>
      <c r="C30" s="1" t="s">
        <v>103</v>
      </c>
      <c r="D30" s="2" t="s">
        <v>13</v>
      </c>
      <c r="E30" s="2" t="s">
        <v>75</v>
      </c>
      <c r="F30" s="1"/>
      <c r="G30" s="33">
        <v>400</v>
      </c>
      <c r="H30" s="33">
        <v>1808.8</v>
      </c>
      <c r="I30" s="33">
        <f t="shared" si="0"/>
        <v>-1408.8</v>
      </c>
      <c r="J30" s="4">
        <f>G30/VLOOKUP(A30,RESUME!$G$3:$I$10,3,FALSE)</f>
        <v>4.5900226219264938E-3</v>
      </c>
      <c r="K30" s="4">
        <f t="shared" si="1"/>
        <v>1.0150425966224002E-3</v>
      </c>
      <c r="L30" s="59" t="s">
        <v>359</v>
      </c>
    </row>
    <row r="31" spans="1:12" ht="15.75" x14ac:dyDescent="0.25">
      <c r="A31" s="1" t="s">
        <v>67</v>
      </c>
      <c r="B31" s="36" t="s">
        <v>104</v>
      </c>
      <c r="C31" s="1" t="s">
        <v>105</v>
      </c>
      <c r="D31" s="2" t="s">
        <v>13</v>
      </c>
      <c r="E31" s="2" t="s">
        <v>82</v>
      </c>
      <c r="F31" s="1"/>
      <c r="G31" s="33">
        <v>100</v>
      </c>
      <c r="H31" s="33"/>
      <c r="I31" s="33">
        <f t="shared" si="0"/>
        <v>100</v>
      </c>
      <c r="J31" s="4">
        <f>G31/VLOOKUP(A31,RESUME!$G$3:$I$10,3,FALSE)</f>
        <v>1.1475056554816235E-3</v>
      </c>
      <c r="K31" s="4" t="str">
        <f t="shared" si="1"/>
        <v/>
      </c>
      <c r="L31" s="59" t="s">
        <v>358</v>
      </c>
    </row>
    <row r="32" spans="1:12" ht="15.75" x14ac:dyDescent="0.25">
      <c r="A32" s="1" t="s">
        <v>67</v>
      </c>
      <c r="B32" s="36" t="s">
        <v>106</v>
      </c>
      <c r="C32" s="1" t="s">
        <v>107</v>
      </c>
      <c r="D32" s="2" t="s">
        <v>13</v>
      </c>
      <c r="E32" s="2" t="s">
        <v>82</v>
      </c>
      <c r="F32" s="1"/>
      <c r="G32" s="33">
        <v>100</v>
      </c>
      <c r="H32" s="33"/>
      <c r="I32" s="33">
        <f t="shared" si="0"/>
        <v>100</v>
      </c>
      <c r="J32" s="4">
        <f>G32/VLOOKUP(A32,RESUME!$G$3:$I$10,3,FALSE)</f>
        <v>1.1475056554816235E-3</v>
      </c>
      <c r="K32" s="4" t="str">
        <f t="shared" si="1"/>
        <v/>
      </c>
      <c r="L32" s="59" t="s">
        <v>358</v>
      </c>
    </row>
    <row r="33" spans="1:12" ht="15.75" x14ac:dyDescent="0.25">
      <c r="A33" s="1" t="s">
        <v>67</v>
      </c>
      <c r="B33" s="36" t="s">
        <v>108</v>
      </c>
      <c r="C33" s="1" t="s">
        <v>109</v>
      </c>
      <c r="D33" s="2" t="s">
        <v>13</v>
      </c>
      <c r="E33" s="2" t="s">
        <v>82</v>
      </c>
      <c r="F33" s="1"/>
      <c r="G33" s="33">
        <v>100</v>
      </c>
      <c r="H33" s="33">
        <v>507.01</v>
      </c>
      <c r="I33" s="33">
        <f t="shared" si="0"/>
        <v>-407.01</v>
      </c>
      <c r="J33" s="4">
        <f>G33/VLOOKUP(A33,RESUME!$G$3:$I$10,3,FALSE)</f>
        <v>1.1475056554816235E-3</v>
      </c>
      <c r="K33" s="4">
        <f t="shared" si="1"/>
        <v>2.2632801236299548E-4</v>
      </c>
      <c r="L33" s="59" t="s">
        <v>359</v>
      </c>
    </row>
    <row r="34" spans="1:12" ht="15.75" x14ac:dyDescent="0.25">
      <c r="A34" s="1" t="s">
        <v>67</v>
      </c>
      <c r="B34" s="36" t="s">
        <v>110</v>
      </c>
      <c r="C34" s="1" t="s">
        <v>111</v>
      </c>
      <c r="D34" s="2" t="s">
        <v>13</v>
      </c>
      <c r="E34" s="2" t="s">
        <v>82</v>
      </c>
      <c r="F34" s="1"/>
      <c r="G34" s="33">
        <v>100</v>
      </c>
      <c r="H34" s="33"/>
      <c r="I34" s="33">
        <f t="shared" si="0"/>
        <v>100</v>
      </c>
      <c r="J34" s="4">
        <f>G34/VLOOKUP(A34,RESUME!$G$3:$I$10,3,FALSE)</f>
        <v>1.1475056554816235E-3</v>
      </c>
      <c r="K34" s="4" t="str">
        <f t="shared" si="1"/>
        <v/>
      </c>
      <c r="L34" s="59" t="s">
        <v>358</v>
      </c>
    </row>
    <row r="35" spans="1:12" ht="15.75" x14ac:dyDescent="0.25">
      <c r="A35" s="1" t="s">
        <v>67</v>
      </c>
      <c r="B35" s="36" t="s">
        <v>110</v>
      </c>
      <c r="C35" s="1" t="s">
        <v>111</v>
      </c>
      <c r="D35" s="2" t="s">
        <v>24</v>
      </c>
      <c r="E35" s="2" t="s">
        <v>75</v>
      </c>
      <c r="F35" s="1"/>
      <c r="G35" s="33">
        <v>250</v>
      </c>
      <c r="H35" s="33"/>
      <c r="I35" s="33">
        <f t="shared" si="0"/>
        <v>250</v>
      </c>
      <c r="J35" s="4">
        <f>G35/VLOOKUP(A35,RESUME!$G$3:$I$10,3,FALSE)</f>
        <v>2.8687641387040589E-3</v>
      </c>
      <c r="K35" s="4" t="str">
        <f t="shared" si="1"/>
        <v/>
      </c>
      <c r="L35" s="59" t="s">
        <v>358</v>
      </c>
    </row>
    <row r="36" spans="1:12" ht="15.75" x14ac:dyDescent="0.25">
      <c r="A36" s="1" t="s">
        <v>67</v>
      </c>
      <c r="B36" s="36" t="s">
        <v>110</v>
      </c>
      <c r="C36" s="1" t="s">
        <v>111</v>
      </c>
      <c r="D36" s="2" t="s">
        <v>15</v>
      </c>
      <c r="E36" s="2" t="s">
        <v>75</v>
      </c>
      <c r="F36" s="1"/>
      <c r="G36" s="33">
        <v>300</v>
      </c>
      <c r="H36" s="33"/>
      <c r="I36" s="33">
        <f t="shared" si="0"/>
        <v>300</v>
      </c>
      <c r="J36" s="4">
        <f>G36/VLOOKUP(A36,RESUME!$G$3:$I$10,3,FALSE)</f>
        <v>3.4425169664448704E-3</v>
      </c>
      <c r="K36" s="4" t="str">
        <f t="shared" si="1"/>
        <v/>
      </c>
      <c r="L36" s="59" t="s">
        <v>358</v>
      </c>
    </row>
    <row r="37" spans="1:12" ht="15.75" x14ac:dyDescent="0.25">
      <c r="A37" s="1" t="s">
        <v>67</v>
      </c>
      <c r="B37" s="36" t="s">
        <v>112</v>
      </c>
      <c r="C37" s="1" t="s">
        <v>113</v>
      </c>
      <c r="D37" s="2" t="s">
        <v>13</v>
      </c>
      <c r="E37" s="2" t="s">
        <v>82</v>
      </c>
      <c r="F37" s="1"/>
      <c r="G37" s="33">
        <v>100</v>
      </c>
      <c r="H37" s="33"/>
      <c r="I37" s="33">
        <f t="shared" si="0"/>
        <v>100</v>
      </c>
      <c r="J37" s="4">
        <f>G37/VLOOKUP(A37,RESUME!$G$3:$I$10,3,FALSE)</f>
        <v>1.1475056554816235E-3</v>
      </c>
      <c r="K37" s="4" t="str">
        <f t="shared" si="1"/>
        <v/>
      </c>
      <c r="L37" s="59" t="s">
        <v>358</v>
      </c>
    </row>
    <row r="38" spans="1:12" ht="15.75" x14ac:dyDescent="0.25">
      <c r="A38" s="1" t="s">
        <v>67</v>
      </c>
      <c r="B38" s="36" t="s">
        <v>114</v>
      </c>
      <c r="C38" s="1" t="s">
        <v>115</v>
      </c>
      <c r="D38" s="2" t="s">
        <v>13</v>
      </c>
      <c r="E38" s="2" t="s">
        <v>82</v>
      </c>
      <c r="F38" s="1"/>
      <c r="G38" s="33">
        <v>100</v>
      </c>
      <c r="H38" s="33"/>
      <c r="I38" s="33">
        <f t="shared" si="0"/>
        <v>100</v>
      </c>
      <c r="J38" s="4">
        <f>G38/VLOOKUP(A38,RESUME!$G$3:$I$10,3,FALSE)</f>
        <v>1.1475056554816235E-3</v>
      </c>
      <c r="K38" s="4" t="str">
        <f t="shared" si="1"/>
        <v/>
      </c>
      <c r="L38" s="59" t="s">
        <v>358</v>
      </c>
    </row>
    <row r="39" spans="1:12" ht="15.75" x14ac:dyDescent="0.25">
      <c r="A39" s="1" t="s">
        <v>67</v>
      </c>
      <c r="B39" s="36" t="s">
        <v>116</v>
      </c>
      <c r="C39" s="1" t="s">
        <v>117</v>
      </c>
      <c r="D39" s="2" t="s">
        <v>13</v>
      </c>
      <c r="E39" s="2" t="s">
        <v>75</v>
      </c>
      <c r="F39" s="1"/>
      <c r="G39" s="33">
        <v>328.75</v>
      </c>
      <c r="H39" s="33">
        <v>313.62</v>
      </c>
      <c r="I39" s="33">
        <f t="shared" si="0"/>
        <v>15.129999999999995</v>
      </c>
      <c r="J39" s="4">
        <f>G39/VLOOKUP(A39,RESUME!$G$3:$I$10,3,FALSE)</f>
        <v>3.7724248423958375E-3</v>
      </c>
      <c r="K39" s="4">
        <f t="shared" si="1"/>
        <v>3.9544182990167449E-3</v>
      </c>
      <c r="L39" s="59" t="s">
        <v>358</v>
      </c>
    </row>
    <row r="40" spans="1:12" ht="15.75" x14ac:dyDescent="0.25">
      <c r="A40" s="1" t="s">
        <v>67</v>
      </c>
      <c r="B40" s="36" t="s">
        <v>116</v>
      </c>
      <c r="C40" s="1" t="s">
        <v>117</v>
      </c>
      <c r="D40" s="2" t="s">
        <v>101</v>
      </c>
      <c r="E40" s="2" t="s">
        <v>75</v>
      </c>
      <c r="F40" s="1"/>
      <c r="G40" s="33">
        <v>109.79</v>
      </c>
      <c r="H40" s="33">
        <v>109.79</v>
      </c>
      <c r="I40" s="33">
        <f t="shared" si="0"/>
        <v>0</v>
      </c>
      <c r="J40" s="4">
        <f>G40/VLOOKUP(A40,RESUME!$G$3:$I$10,3,FALSE)</f>
        <v>1.2598464591532744E-3</v>
      </c>
      <c r="K40" s="4">
        <f t="shared" si="1"/>
        <v>1.2598464591532744E-3</v>
      </c>
      <c r="L40" s="59" t="s">
        <v>359</v>
      </c>
    </row>
    <row r="41" spans="1:12" ht="15.75" x14ac:dyDescent="0.25">
      <c r="A41" s="1" t="s">
        <v>67</v>
      </c>
      <c r="B41" s="36" t="s">
        <v>116</v>
      </c>
      <c r="C41" s="1" t="s">
        <v>117</v>
      </c>
      <c r="D41" s="2" t="s">
        <v>24</v>
      </c>
      <c r="E41" s="2" t="s">
        <v>75</v>
      </c>
      <c r="F41" s="1"/>
      <c r="G41" s="33">
        <v>169.38</v>
      </c>
      <c r="H41" s="33">
        <v>169.38</v>
      </c>
      <c r="I41" s="33">
        <f t="shared" si="0"/>
        <v>0</v>
      </c>
      <c r="J41" s="4">
        <f>G41/VLOOKUP(A41,RESUME!$G$3:$I$10,3,FALSE)</f>
        <v>1.9436450792547739E-3</v>
      </c>
      <c r="K41" s="4">
        <f t="shared" si="1"/>
        <v>1.9436450792547739E-3</v>
      </c>
      <c r="L41" s="59" t="s">
        <v>359</v>
      </c>
    </row>
    <row r="42" spans="1:12" ht="15.75" x14ac:dyDescent="0.25">
      <c r="A42" s="1" t="s">
        <v>67</v>
      </c>
      <c r="B42" s="36" t="s">
        <v>116</v>
      </c>
      <c r="C42" s="1" t="s">
        <v>117</v>
      </c>
      <c r="D42" s="2" t="s">
        <v>15</v>
      </c>
      <c r="E42" s="2" t="s">
        <v>75</v>
      </c>
      <c r="F42" s="1"/>
      <c r="G42" s="33">
        <v>142.08000000000001</v>
      </c>
      <c r="H42" s="33">
        <v>142.08000000000001</v>
      </c>
      <c r="I42" s="33">
        <f t="shared" si="0"/>
        <v>0</v>
      </c>
      <c r="J42" s="4">
        <f>G42/VLOOKUP(A42,RESUME!$G$3:$I$10,3,FALSE)</f>
        <v>1.6303760353082908E-3</v>
      </c>
      <c r="K42" s="4">
        <f t="shared" si="1"/>
        <v>1.6303760353082908E-3</v>
      </c>
      <c r="L42" s="59" t="s">
        <v>359</v>
      </c>
    </row>
    <row r="43" spans="1:12" ht="15.75" x14ac:dyDescent="0.25">
      <c r="A43" s="1" t="s">
        <v>67</v>
      </c>
      <c r="B43" s="36" t="s">
        <v>118</v>
      </c>
      <c r="C43" s="1" t="s">
        <v>119</v>
      </c>
      <c r="D43" s="2" t="s">
        <v>13</v>
      </c>
      <c r="E43" s="2" t="s">
        <v>75</v>
      </c>
      <c r="F43" s="1"/>
      <c r="G43" s="33">
        <v>4300</v>
      </c>
      <c r="H43" s="33">
        <v>2435.48</v>
      </c>
      <c r="I43" s="33">
        <f t="shared" si="0"/>
        <v>1864.52</v>
      </c>
      <c r="J43" s="4">
        <f>G43/VLOOKUP(A43,RESUME!$G$3:$I$10,3,FALSE)</f>
        <v>4.934274318570981E-2</v>
      </c>
      <c r="K43" s="4">
        <f t="shared" si="1"/>
        <v>8.7117855904606967E-2</v>
      </c>
      <c r="L43" s="59" t="s">
        <v>358</v>
      </c>
    </row>
    <row r="44" spans="1:12" ht="15.75" x14ac:dyDescent="0.25">
      <c r="A44" s="1" t="s">
        <v>67</v>
      </c>
      <c r="B44" s="36" t="s">
        <v>120</v>
      </c>
      <c r="C44" s="1" t="s">
        <v>121</v>
      </c>
      <c r="D44" s="2" t="s">
        <v>13</v>
      </c>
      <c r="E44" s="2" t="s">
        <v>122</v>
      </c>
      <c r="F44" s="1"/>
      <c r="G44" s="33">
        <v>1495.98</v>
      </c>
      <c r="H44" s="33">
        <v>1495.98</v>
      </c>
      <c r="I44" s="33">
        <f t="shared" si="0"/>
        <v>0</v>
      </c>
      <c r="J44" s="4">
        <f>G44/VLOOKUP(A44,RESUME!$G$3:$I$10,3,FALSE)</f>
        <v>1.7166455104873992E-2</v>
      </c>
      <c r="K44" s="4">
        <f t="shared" si="1"/>
        <v>1.7166455104873992E-2</v>
      </c>
      <c r="L44" s="59" t="s">
        <v>359</v>
      </c>
    </row>
    <row r="45" spans="1:12" ht="15.75" x14ac:dyDescent="0.25">
      <c r="A45" s="1" t="s">
        <v>67</v>
      </c>
      <c r="B45" s="36" t="s">
        <v>120</v>
      </c>
      <c r="C45" s="1" t="s">
        <v>121</v>
      </c>
      <c r="D45" s="2" t="s">
        <v>101</v>
      </c>
      <c r="E45" s="2" t="s">
        <v>122</v>
      </c>
      <c r="F45" s="1"/>
      <c r="G45" s="33">
        <v>516.97</v>
      </c>
      <c r="H45" s="33">
        <v>516.97</v>
      </c>
      <c r="I45" s="33">
        <f t="shared" si="0"/>
        <v>0</v>
      </c>
      <c r="J45" s="4">
        <f>G45/VLOOKUP(A45,RESUME!$G$3:$I$10,3,FALSE)</f>
        <v>5.9322599871433493E-3</v>
      </c>
      <c r="K45" s="4">
        <f t="shared" si="1"/>
        <v>5.9322599871433493E-3</v>
      </c>
      <c r="L45" s="59" t="s">
        <v>359</v>
      </c>
    </row>
    <row r="46" spans="1:12" ht="15.75" x14ac:dyDescent="0.25">
      <c r="A46" s="1" t="s">
        <v>67</v>
      </c>
      <c r="B46" s="36" t="s">
        <v>120</v>
      </c>
      <c r="C46" s="1" t="s">
        <v>121</v>
      </c>
      <c r="D46" s="2" t="s">
        <v>24</v>
      </c>
      <c r="E46" s="2" t="s">
        <v>122</v>
      </c>
      <c r="F46" s="1"/>
      <c r="G46" s="33">
        <v>1463.62</v>
      </c>
      <c r="H46" s="33">
        <v>1463.62</v>
      </c>
      <c r="I46" s="33">
        <f t="shared" si="0"/>
        <v>0</v>
      </c>
      <c r="J46" s="4">
        <f>G46/VLOOKUP(A46,RESUME!$G$3:$I$10,3,FALSE)</f>
        <v>1.6795122274760137E-2</v>
      </c>
      <c r="K46" s="4">
        <f t="shared" si="1"/>
        <v>1.6795122274760137E-2</v>
      </c>
      <c r="L46" s="59" t="s">
        <v>359</v>
      </c>
    </row>
    <row r="47" spans="1:12" ht="15.75" x14ac:dyDescent="0.25">
      <c r="A47" s="1" t="s">
        <v>67</v>
      </c>
      <c r="B47" s="36" t="s">
        <v>120</v>
      </c>
      <c r="C47" s="1" t="s">
        <v>121</v>
      </c>
      <c r="D47" s="2" t="s">
        <v>15</v>
      </c>
      <c r="E47" s="2" t="s">
        <v>122</v>
      </c>
      <c r="F47" s="1"/>
      <c r="G47" s="33">
        <v>1779.8599999999997</v>
      </c>
      <c r="H47" s="33">
        <v>2245.4699999999998</v>
      </c>
      <c r="I47" s="33">
        <f t="shared" si="0"/>
        <v>-465.61000000000013</v>
      </c>
      <c r="J47" s="4">
        <f>G47/VLOOKUP(A47,RESUME!$G$3:$I$10,3,FALSE)</f>
        <v>2.042399415965522E-2</v>
      </c>
      <c r="K47" s="4">
        <f t="shared" si="1"/>
        <v>1.6188971682990171E-2</v>
      </c>
      <c r="L47" s="59" t="s">
        <v>359</v>
      </c>
    </row>
    <row r="48" spans="1:12" ht="15.75" x14ac:dyDescent="0.25">
      <c r="A48" s="1" t="s">
        <v>67</v>
      </c>
      <c r="B48" s="36" t="s">
        <v>21</v>
      </c>
      <c r="C48" s="1" t="s">
        <v>123</v>
      </c>
      <c r="D48" s="2" t="s">
        <v>101</v>
      </c>
      <c r="E48" s="2" t="s">
        <v>75</v>
      </c>
      <c r="F48" s="1"/>
      <c r="G48" s="33">
        <v>1115.46</v>
      </c>
      <c r="H48" s="33">
        <v>1115.46</v>
      </c>
      <c r="I48" s="33">
        <f t="shared" si="0"/>
        <v>0</v>
      </c>
      <c r="J48" s="4">
        <f>G48/VLOOKUP(A48,RESUME!$G$3:$I$10,3,FALSE)</f>
        <v>1.2799966584635319E-2</v>
      </c>
      <c r="K48" s="4">
        <f t="shared" si="1"/>
        <v>1.2799966584635319E-2</v>
      </c>
      <c r="L48" s="59" t="s">
        <v>359</v>
      </c>
    </row>
    <row r="49" spans="1:12" ht="15.75" x14ac:dyDescent="0.25">
      <c r="A49" s="1" t="s">
        <v>67</v>
      </c>
      <c r="B49" s="36" t="s">
        <v>124</v>
      </c>
      <c r="C49" s="1" t="s">
        <v>125</v>
      </c>
      <c r="D49" s="2" t="s">
        <v>13</v>
      </c>
      <c r="E49" s="2" t="s">
        <v>82</v>
      </c>
      <c r="F49" s="1"/>
      <c r="G49" s="33">
        <v>651</v>
      </c>
      <c r="H49" s="33">
        <v>654.78</v>
      </c>
      <c r="I49" s="33">
        <f t="shared" si="0"/>
        <v>-3.7799999999999727</v>
      </c>
      <c r="J49" s="4">
        <f>G49/VLOOKUP(A49,RESUME!$G$3:$I$10,3,FALSE)</f>
        <v>7.4702618171853695E-3</v>
      </c>
      <c r="K49" s="4">
        <f t="shared" si="1"/>
        <v>7.4271365084267633E-3</v>
      </c>
      <c r="L49" s="59" t="s">
        <v>359</v>
      </c>
    </row>
    <row r="50" spans="1:12" ht="15.75" x14ac:dyDescent="0.25">
      <c r="A50" s="1" t="s">
        <v>67</v>
      </c>
      <c r="B50" s="36" t="s">
        <v>126</v>
      </c>
      <c r="C50" s="1" t="s">
        <v>127</v>
      </c>
      <c r="D50" s="2" t="s">
        <v>13</v>
      </c>
      <c r="E50" s="2" t="s">
        <v>82</v>
      </c>
      <c r="F50" s="1"/>
      <c r="G50" s="33">
        <v>466</v>
      </c>
      <c r="H50" s="33">
        <v>466.1</v>
      </c>
      <c r="I50" s="33">
        <f t="shared" si="0"/>
        <v>-0.10000000000002274</v>
      </c>
      <c r="J50" s="4">
        <f>G50/VLOOKUP(A50,RESUME!$G$3:$I$10,3,FALSE)</f>
        <v>5.3473763545443653E-3</v>
      </c>
      <c r="K50" s="4">
        <f t="shared" si="1"/>
        <v>5.3462290950819008E-3</v>
      </c>
      <c r="L50" s="59" t="s">
        <v>359</v>
      </c>
    </row>
    <row r="51" spans="1:12" ht="15.75" x14ac:dyDescent="0.25">
      <c r="A51" s="1" t="s">
        <v>67</v>
      </c>
      <c r="B51" s="36" t="s">
        <v>128</v>
      </c>
      <c r="C51" s="1" t="s">
        <v>129</v>
      </c>
      <c r="D51" s="2" t="s">
        <v>13</v>
      </c>
      <c r="E51" s="2" t="s">
        <v>75</v>
      </c>
      <c r="F51" s="1"/>
      <c r="G51" s="33">
        <v>1388.61</v>
      </c>
      <c r="H51" s="33"/>
      <c r="I51" s="33">
        <f t="shared" si="0"/>
        <v>1388.61</v>
      </c>
      <c r="J51" s="4">
        <f>G51/VLOOKUP(A51,RESUME!$G$3:$I$10,3,FALSE)</f>
        <v>1.5934378282583372E-2</v>
      </c>
      <c r="K51" s="4" t="str">
        <f t="shared" si="1"/>
        <v/>
      </c>
      <c r="L51" s="59" t="s">
        <v>358</v>
      </c>
    </row>
    <row r="52" spans="1:12" ht="15.75" x14ac:dyDescent="0.25">
      <c r="A52" s="1" t="s">
        <v>67</v>
      </c>
      <c r="B52" s="36" t="s">
        <v>130</v>
      </c>
      <c r="C52" s="1" t="s">
        <v>131</v>
      </c>
      <c r="D52" s="2" t="s">
        <v>13</v>
      </c>
      <c r="E52" s="2" t="s">
        <v>75</v>
      </c>
      <c r="F52" s="1"/>
      <c r="G52" s="33">
        <v>221.29</v>
      </c>
      <c r="H52" s="33">
        <v>221.14</v>
      </c>
      <c r="I52" s="33">
        <f t="shared" si="0"/>
        <v>0.15000000000000568</v>
      </c>
      <c r="J52" s="4">
        <f>G52/VLOOKUP(A52,RESUME!$G$3:$I$10,3,FALSE)</f>
        <v>2.5393152650152848E-3</v>
      </c>
      <c r="K52" s="4">
        <f t="shared" si="1"/>
        <v>2.5410376910338806E-3</v>
      </c>
      <c r="L52" s="59" t="s">
        <v>358</v>
      </c>
    </row>
    <row r="53" spans="1:12" ht="15.75" x14ac:dyDescent="0.25">
      <c r="A53" s="1" t="s">
        <v>67</v>
      </c>
      <c r="B53" s="36" t="s">
        <v>132</v>
      </c>
      <c r="C53" s="1" t="s">
        <v>133</v>
      </c>
      <c r="D53" s="2" t="s">
        <v>13</v>
      </c>
      <c r="E53" s="2" t="s">
        <v>75</v>
      </c>
      <c r="F53" s="1"/>
      <c r="G53" s="33">
        <v>764.4</v>
      </c>
      <c r="H53" s="33">
        <v>764.4</v>
      </c>
      <c r="I53" s="33">
        <f t="shared" si="0"/>
        <v>0</v>
      </c>
      <c r="J53" s="4">
        <f>G53/VLOOKUP(A53,RESUME!$G$3:$I$10,3,FALSE)</f>
        <v>8.7715332305015291E-3</v>
      </c>
      <c r="K53" s="4">
        <f t="shared" si="1"/>
        <v>8.7715332305015291E-3</v>
      </c>
      <c r="L53" s="59" t="s">
        <v>359</v>
      </c>
    </row>
    <row r="54" spans="1:12" ht="15.75" x14ac:dyDescent="0.25">
      <c r="A54" s="1" t="s">
        <v>67</v>
      </c>
      <c r="B54" s="36" t="s">
        <v>134</v>
      </c>
      <c r="C54" s="1" t="s">
        <v>135</v>
      </c>
      <c r="D54" s="2" t="s">
        <v>13</v>
      </c>
      <c r="E54" s="2" t="s">
        <v>75</v>
      </c>
      <c r="F54" s="1"/>
      <c r="G54" s="33">
        <v>255</v>
      </c>
      <c r="H54" s="33">
        <v>507.83</v>
      </c>
      <c r="I54" s="33">
        <f t="shared" si="0"/>
        <v>-252.82999999999998</v>
      </c>
      <c r="J54" s="4">
        <f>G54/VLOOKUP(A54,RESUME!$G$3:$I$10,3,FALSE)</f>
        <v>2.9261394214781401E-3</v>
      </c>
      <c r="K54" s="4">
        <f t="shared" si="1"/>
        <v>1.4693215297972267E-3</v>
      </c>
      <c r="L54" s="59" t="s">
        <v>359</v>
      </c>
    </row>
    <row r="55" spans="1:12" ht="15.75" x14ac:dyDescent="0.25">
      <c r="A55" s="1" t="s">
        <v>67</v>
      </c>
      <c r="B55" s="36" t="s">
        <v>136</v>
      </c>
      <c r="C55" s="1" t="s">
        <v>137</v>
      </c>
      <c r="D55" s="2" t="s">
        <v>13</v>
      </c>
      <c r="E55" s="2" t="s">
        <v>75</v>
      </c>
      <c r="F55" s="1"/>
      <c r="G55" s="33">
        <v>200</v>
      </c>
      <c r="H55" s="33"/>
      <c r="I55" s="33">
        <f t="shared" si="0"/>
        <v>200</v>
      </c>
      <c r="J55" s="4">
        <f>G55/VLOOKUP(A55,RESUME!$G$3:$I$10,3,FALSE)</f>
        <v>2.2950113109632469E-3</v>
      </c>
      <c r="K55" s="4" t="str">
        <f t="shared" si="1"/>
        <v/>
      </c>
      <c r="L55" s="59" t="s">
        <v>358</v>
      </c>
    </row>
    <row r="56" spans="1:12" ht="15.75" x14ac:dyDescent="0.25">
      <c r="A56" s="1" t="s">
        <v>67</v>
      </c>
      <c r="B56" s="36" t="s">
        <v>138</v>
      </c>
      <c r="C56" s="1" t="s">
        <v>139</v>
      </c>
      <c r="D56" s="2" t="s">
        <v>13</v>
      </c>
      <c r="E56" s="2" t="s">
        <v>75</v>
      </c>
      <c r="F56" s="1"/>
      <c r="G56" s="33">
        <v>464.37</v>
      </c>
      <c r="H56" s="33">
        <v>256.64999999999998</v>
      </c>
      <c r="I56" s="33">
        <f t="shared" si="0"/>
        <v>207.72000000000003</v>
      </c>
      <c r="J56" s="4">
        <f>G56/VLOOKUP(A56,RESUME!$G$3:$I$10,3,FALSE)</f>
        <v>5.3286720123600154E-3</v>
      </c>
      <c r="K56" s="4">
        <f t="shared" si="1"/>
        <v>9.6414394014401727E-3</v>
      </c>
      <c r="L56" s="59" t="s">
        <v>358</v>
      </c>
    </row>
    <row r="57" spans="1:12" ht="15.75" x14ac:dyDescent="0.25">
      <c r="A57" s="1" t="s">
        <v>67</v>
      </c>
      <c r="B57" s="36" t="s">
        <v>21</v>
      </c>
      <c r="C57" s="1" t="s">
        <v>140</v>
      </c>
      <c r="D57" s="2" t="s">
        <v>13</v>
      </c>
      <c r="E57" s="2" t="s">
        <v>75</v>
      </c>
      <c r="F57" s="1"/>
      <c r="G57" s="33">
        <v>515.79999999999995</v>
      </c>
      <c r="H57" s="33">
        <v>455.02</v>
      </c>
      <c r="I57" s="33">
        <f t="shared" si="0"/>
        <v>60.779999999999973</v>
      </c>
      <c r="J57" s="4">
        <f>G57/VLOOKUP(A57,RESUME!$G$3:$I$10,3,FALSE)</f>
        <v>5.9188341709742135E-3</v>
      </c>
      <c r="K57" s="4">
        <f t="shared" si="1"/>
        <v>6.7094515963880682E-3</v>
      </c>
      <c r="L57" s="59" t="s">
        <v>358</v>
      </c>
    </row>
    <row r="58" spans="1:12" ht="15.75" x14ac:dyDescent="0.25">
      <c r="A58" s="1" t="s">
        <v>67</v>
      </c>
      <c r="B58" s="36" t="s">
        <v>21</v>
      </c>
      <c r="C58" s="1" t="s">
        <v>123</v>
      </c>
      <c r="D58" s="2" t="s">
        <v>13</v>
      </c>
      <c r="E58" s="2" t="s">
        <v>75</v>
      </c>
      <c r="F58" s="1"/>
      <c r="G58" s="33">
        <v>1891.43</v>
      </c>
      <c r="H58" s="33">
        <v>1885.93</v>
      </c>
      <c r="I58" s="33">
        <f t="shared" si="0"/>
        <v>5.5</v>
      </c>
      <c r="J58" s="4">
        <f>G58/VLOOKUP(A58,RESUME!$G$3:$I$10,3,FALSE)</f>
        <v>2.1704266219476073E-2</v>
      </c>
      <c r="K58" s="4">
        <f t="shared" si="1"/>
        <v>2.1767563088504676E-2</v>
      </c>
      <c r="L58" s="59" t="s">
        <v>358</v>
      </c>
    </row>
    <row r="59" spans="1:12" ht="15.75" x14ac:dyDescent="0.25">
      <c r="A59" s="1" t="s">
        <v>67</v>
      </c>
      <c r="B59" s="36" t="s">
        <v>21</v>
      </c>
      <c r="C59" s="1" t="s">
        <v>123</v>
      </c>
      <c r="D59" s="2" t="s">
        <v>24</v>
      </c>
      <c r="E59" s="2" t="s">
        <v>75</v>
      </c>
      <c r="F59" s="1"/>
      <c r="G59" s="33">
        <v>1328.48</v>
      </c>
      <c r="H59" s="33">
        <v>1385.0600000000002</v>
      </c>
      <c r="I59" s="33">
        <f t="shared" si="0"/>
        <v>-56.580000000000155</v>
      </c>
      <c r="J59" s="4">
        <f>G59/VLOOKUP(A59,RESUME!$G$3:$I$10,3,FALSE)</f>
        <v>1.5244383131942272E-2</v>
      </c>
      <c r="K59" s="4">
        <f t="shared" si="1"/>
        <v>1.4621646790119321E-2</v>
      </c>
      <c r="L59" s="59" t="s">
        <v>359</v>
      </c>
    </row>
    <row r="60" spans="1:12" ht="15.75" x14ac:dyDescent="0.25">
      <c r="A60" s="1" t="s">
        <v>67</v>
      </c>
      <c r="B60" s="36" t="s">
        <v>21</v>
      </c>
      <c r="C60" s="1" t="s">
        <v>123</v>
      </c>
      <c r="D60" s="2" t="s">
        <v>15</v>
      </c>
      <c r="E60" s="2" t="s">
        <v>75</v>
      </c>
      <c r="F60" s="1"/>
      <c r="G60" s="33">
        <v>1328.28</v>
      </c>
      <c r="H60" s="33">
        <v>1324.6200000000001</v>
      </c>
      <c r="I60" s="33">
        <f t="shared" si="0"/>
        <v>3.6599999999998545</v>
      </c>
      <c r="J60" s="4">
        <f>G60/VLOOKUP(A60,RESUME!$G$3:$I$10,3,FALSE)</f>
        <v>1.5242088120631308E-2</v>
      </c>
      <c r="K60" s="4">
        <f t="shared" si="1"/>
        <v>1.5284202872425413E-2</v>
      </c>
      <c r="L60" s="59" t="s">
        <v>358</v>
      </c>
    </row>
  </sheetData>
  <conditionalFormatting sqref="L6:L60">
    <cfRule type="containsText" dxfId="3" priority="1" operator="containsText" text="OVER">
      <formula>NOT(ISERROR(SEARCH("OVER",L6)))</formula>
    </cfRule>
  </conditionalFormatting>
  <hyperlinks>
    <hyperlink ref="B6" r:id="rId1" xr:uid="{8D50AFC0-4061-4E7F-9115-2D0776CA1812}"/>
    <hyperlink ref="B7" r:id="rId2" xr:uid="{E2CA46A6-500C-4CFF-828B-F7105990AF97}"/>
    <hyperlink ref="B8" r:id="rId3" xr:uid="{A1E0F0A6-41A1-4AFD-800F-780E6CC12489}"/>
    <hyperlink ref="B9" r:id="rId4" xr:uid="{E388D719-BAA1-46AF-A223-F5C5B8D2D9B2}"/>
    <hyperlink ref="B10" r:id="rId5" xr:uid="{42B39923-2717-4ACA-B1EF-8A7379CC720F}"/>
    <hyperlink ref="B11" r:id="rId6" xr:uid="{48AA866D-4B10-4735-83BC-DC76C9CEA207}"/>
    <hyperlink ref="B12" r:id="rId7" xr:uid="{25F4D2A0-CA18-43C8-9FC8-02ACDFA5AFF0}"/>
    <hyperlink ref="B13" r:id="rId8" xr:uid="{FCE16112-10B5-4BEC-B4F3-4024F44ABA86}"/>
    <hyperlink ref="B14" r:id="rId9" xr:uid="{3B967AEB-3341-4660-B85F-55C1CCE7D0DE}"/>
    <hyperlink ref="B15" r:id="rId10" xr:uid="{176B95FD-073B-41A2-A64E-375BB953FADC}"/>
    <hyperlink ref="B16" r:id="rId11" xr:uid="{25C33899-8524-4ACD-BE8F-128DAA8DA562}"/>
    <hyperlink ref="B17" r:id="rId12" xr:uid="{42791955-1201-4E7D-943F-840CDC6CB545}"/>
    <hyperlink ref="B18" r:id="rId13" xr:uid="{09B00FFF-F0BE-43F2-B1CD-795E442A4602}"/>
    <hyperlink ref="B19" r:id="rId14" xr:uid="{1A53252F-B07B-412A-A36D-CD1A29232CC3}"/>
    <hyperlink ref="B20" r:id="rId15" xr:uid="{C29F88BD-EB93-46B3-8430-649042DA0B3D}"/>
    <hyperlink ref="B21" r:id="rId16" xr:uid="{7FA8F862-1645-40F1-9D79-D94C981F92B0}"/>
    <hyperlink ref="B22" r:id="rId17" xr:uid="{03914F35-0785-4800-ABBE-C5CB10AE8085}"/>
    <hyperlink ref="B23" r:id="rId18" xr:uid="{15F930AE-1716-4533-A186-3557005E6789}"/>
    <hyperlink ref="B24" r:id="rId19" xr:uid="{D8858756-5D2D-4082-B6CF-2AFC2EFBA8D1}"/>
    <hyperlink ref="B25" r:id="rId20" xr:uid="{3F6BB117-0373-480F-BCF7-042195F4288C}"/>
    <hyperlink ref="B26" r:id="rId21" xr:uid="{7CB658D9-818B-441D-BD71-D17E6AEA15C2}"/>
    <hyperlink ref="B27" r:id="rId22" xr:uid="{CAD478E8-6B6E-48A2-9045-D13CD6F20140}"/>
    <hyperlink ref="B28" r:id="rId23" xr:uid="{607DBA38-C859-4E75-9A19-D453F808E6EF}"/>
    <hyperlink ref="B29" r:id="rId24" xr:uid="{23DA385C-8730-4919-9104-E12A518EE4A2}"/>
    <hyperlink ref="B30" r:id="rId25" xr:uid="{97A57BAA-3DD9-4EC2-8E52-A20FDA20FE33}"/>
    <hyperlink ref="B31" r:id="rId26" xr:uid="{154D3949-2968-4B94-B607-5E3A728503B5}"/>
    <hyperlink ref="B32" r:id="rId27" xr:uid="{F25A776C-B5BA-4DB1-AAC5-319B295EDA2D}"/>
    <hyperlink ref="B33" r:id="rId28" xr:uid="{E5124D8E-A100-4809-BEE8-032A75ACE8F0}"/>
    <hyperlink ref="B34" r:id="rId29" xr:uid="{1AD6C07B-BC14-49D8-9DEA-5C4121135C65}"/>
    <hyperlink ref="B35" r:id="rId30" xr:uid="{CB2FF07C-EE86-4529-9153-BA45AC90FD6C}"/>
    <hyperlink ref="B36" r:id="rId31" xr:uid="{C8E440BA-C215-4EE8-9DBC-5B5B14CF355E}"/>
    <hyperlink ref="B37" r:id="rId32" xr:uid="{2113D5E2-B302-4108-B373-8EC0352EF6AE}"/>
    <hyperlink ref="B38" r:id="rId33" xr:uid="{36F46123-8989-4044-9FBC-EC2641BF5231}"/>
    <hyperlink ref="B39" r:id="rId34" xr:uid="{A813AB4D-2257-44A7-ABDA-7D36EE978F5B}"/>
    <hyperlink ref="B40" r:id="rId35" xr:uid="{1BB5B42F-BC54-4080-8838-2FACBB2A31B2}"/>
    <hyperlink ref="B41" r:id="rId36" xr:uid="{6EFD806A-59BD-4FD6-9E42-61ABD5D75363}"/>
    <hyperlink ref="B42" r:id="rId37" xr:uid="{73E3C660-15E8-410B-A734-7C00E80BCBB3}"/>
    <hyperlink ref="B43" r:id="rId38" xr:uid="{581639F9-176B-4CB5-8484-9A02A932232E}"/>
    <hyperlink ref="B44" r:id="rId39" xr:uid="{420F6D18-5453-4805-B6BB-CC11AEB4F858}"/>
    <hyperlink ref="B45" r:id="rId40" xr:uid="{DA379E2A-8887-4EAA-8460-4153F0268BC9}"/>
    <hyperlink ref="B46" r:id="rId41" xr:uid="{15DB1084-C684-4137-9DB6-F1399ED1D415}"/>
    <hyperlink ref="B47" r:id="rId42" xr:uid="{27D48CAE-EFD9-412E-8B34-B6DBFD7E3C76}"/>
    <hyperlink ref="B48" r:id="rId43" xr:uid="{154495CA-9006-4BF5-95C1-C3B6ADC49DDD}"/>
    <hyperlink ref="B49" r:id="rId44" xr:uid="{7B0E804F-C59D-4953-B3D4-1EAE2FF1A9D1}"/>
    <hyperlink ref="B50" r:id="rId45" xr:uid="{1377F0E4-88A4-4C12-80AA-41BCB9FDAA3C}"/>
    <hyperlink ref="B51" r:id="rId46" xr:uid="{54DE76BF-35C7-4584-8C9E-52B3A9BBE332}"/>
    <hyperlink ref="B52" r:id="rId47" xr:uid="{EAB9B2A0-4CD7-4231-BEE8-B7700FA79DF9}"/>
    <hyperlink ref="B53" r:id="rId48" xr:uid="{1D3F4744-12B2-47F5-9235-494DA1094085}"/>
    <hyperlink ref="B54" r:id="rId49" xr:uid="{6498ECE1-1693-4E49-9698-5D2A0008030F}"/>
    <hyperlink ref="B55" r:id="rId50" xr:uid="{CB4A23CD-1D98-4738-94A9-0B13155DEAC2}"/>
    <hyperlink ref="B56" r:id="rId51" xr:uid="{9752958B-B57C-47A1-BCA4-D34A253C09A7}"/>
    <hyperlink ref="B57" r:id="rId52" xr:uid="{D22A3D9D-A2AF-4200-91B9-13386C48A548}"/>
    <hyperlink ref="B58" r:id="rId53" xr:uid="{EEE622ED-87F4-4DE4-B652-8ED57BADACDE}"/>
    <hyperlink ref="B59" r:id="rId54" xr:uid="{B14E5FFE-D007-44EC-AA0A-5604AADEB8D4}"/>
    <hyperlink ref="B60" r:id="rId55" xr:uid="{A91C7E32-E637-480D-B029-E0BE361ECB0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C5C2E-A966-451E-8030-8397168BB602}">
  <sheetPr codeName="Sheet24"/>
  <dimension ref="A5:Z27"/>
  <sheetViews>
    <sheetView topLeftCell="A3"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30.28515625" bestFit="1" customWidth="1"/>
    <col min="3" max="3" width="96.42578125" bestFit="1" customWidth="1"/>
    <col min="4" max="4" width="12.28515625" bestFit="1" customWidth="1"/>
    <col min="5" max="5" width="8.42578125" bestFit="1" customWidth="1"/>
    <col min="6" max="6" width="8.85546875" bestFit="1" customWidth="1"/>
    <col min="7" max="7" width="19.28515625" bestFit="1" customWidth="1"/>
    <col min="8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141</v>
      </c>
      <c r="B6" s="36" t="s">
        <v>93</v>
      </c>
      <c r="C6" s="1" t="s">
        <v>94</v>
      </c>
      <c r="D6" s="2" t="s">
        <v>101</v>
      </c>
      <c r="E6" s="2" t="s">
        <v>95</v>
      </c>
      <c r="F6" s="1"/>
      <c r="G6" s="33">
        <v>2736.7799999999997</v>
      </c>
      <c r="H6" s="33">
        <v>-53.45</v>
      </c>
      <c r="I6" s="33">
        <f t="shared" ref="I6:I27" si="0">G6-H6</f>
        <v>2790.2299999999996</v>
      </c>
      <c r="J6" s="4">
        <f>G6/VLOOKUP(A6,RESUME!$G$3:$I$10,3,FALSE)</f>
        <v>2.7232510432328692E-2</v>
      </c>
      <c r="K6" s="4">
        <f t="shared" ref="K6:K27" si="1">IFERROR((G6/H6)*J6,"")</f>
        <v>-1.3943758634422545</v>
      </c>
      <c r="L6" s="59" t="s">
        <v>358</v>
      </c>
    </row>
    <row r="7" spans="1:26" ht="15.75" x14ac:dyDescent="0.25">
      <c r="A7" s="1" t="s">
        <v>141</v>
      </c>
      <c r="B7" s="36" t="s">
        <v>102</v>
      </c>
      <c r="C7" s="1" t="s">
        <v>103</v>
      </c>
      <c r="D7" s="2" t="s">
        <v>101</v>
      </c>
      <c r="E7" s="2" t="s">
        <v>75</v>
      </c>
      <c r="F7" s="1"/>
      <c r="G7" s="33">
        <v>200</v>
      </c>
      <c r="H7" s="33">
        <v>40.869999999999997</v>
      </c>
      <c r="I7" s="33">
        <f t="shared" si="0"/>
        <v>159.13</v>
      </c>
      <c r="J7" s="4">
        <f>G7/VLOOKUP(A7,RESUME!$G$3:$I$10,3,FALSE)</f>
        <v>1.990113230316554E-3</v>
      </c>
      <c r="K7" s="4">
        <f t="shared" si="1"/>
        <v>9.7387483744387285E-3</v>
      </c>
      <c r="L7" s="59" t="s">
        <v>358</v>
      </c>
    </row>
    <row r="8" spans="1:26" ht="15.75" x14ac:dyDescent="0.25">
      <c r="A8" s="1" t="s">
        <v>141</v>
      </c>
      <c r="B8" s="36" t="s">
        <v>118</v>
      </c>
      <c r="C8" s="1" t="s">
        <v>119</v>
      </c>
      <c r="D8" s="2" t="s">
        <v>101</v>
      </c>
      <c r="E8" s="2" t="s">
        <v>95</v>
      </c>
      <c r="F8" s="1"/>
      <c r="G8" s="33">
        <v>1460</v>
      </c>
      <c r="H8" s="33">
        <v>1659.81</v>
      </c>
      <c r="I8" s="33">
        <f t="shared" si="0"/>
        <v>-199.80999999999995</v>
      </c>
      <c r="J8" s="4">
        <f>G8/VLOOKUP(A8,RESUME!$G$3:$I$10,3,FALSE)</f>
        <v>1.4527826581310844E-2</v>
      </c>
      <c r="K8" s="4">
        <f t="shared" si="1"/>
        <v>1.2778948680098223E-2</v>
      </c>
      <c r="L8" s="59" t="s">
        <v>359</v>
      </c>
    </row>
    <row r="9" spans="1:26" ht="15.75" x14ac:dyDescent="0.25">
      <c r="A9" s="1" t="s">
        <v>141</v>
      </c>
      <c r="B9" s="36" t="s">
        <v>128</v>
      </c>
      <c r="C9" s="1" t="s">
        <v>129</v>
      </c>
      <c r="D9" s="2" t="s">
        <v>101</v>
      </c>
      <c r="E9" s="2" t="s">
        <v>75</v>
      </c>
      <c r="F9" s="1"/>
      <c r="G9" s="33">
        <v>4235.2299999999996</v>
      </c>
      <c r="H9" s="33"/>
      <c r="I9" s="33">
        <f t="shared" si="0"/>
        <v>4235.2299999999996</v>
      </c>
      <c r="J9" s="4">
        <f>G9/VLOOKUP(A9,RESUME!$G$3:$I$10,3,FALSE)</f>
        <v>4.2142936282167892E-2</v>
      </c>
      <c r="K9" s="4" t="str">
        <f t="shared" si="1"/>
        <v/>
      </c>
      <c r="L9" s="59" t="s">
        <v>358</v>
      </c>
    </row>
    <row r="10" spans="1:26" ht="15.75" x14ac:dyDescent="0.25">
      <c r="A10" s="1" t="s">
        <v>141</v>
      </c>
      <c r="B10" s="36" t="s">
        <v>130</v>
      </c>
      <c r="C10" s="1" t="s">
        <v>142</v>
      </c>
      <c r="D10" s="2" t="s">
        <v>101</v>
      </c>
      <c r="E10" s="2" t="s">
        <v>75</v>
      </c>
      <c r="F10" s="1"/>
      <c r="G10" s="33">
        <v>821.62</v>
      </c>
      <c r="H10" s="33">
        <v>821.62</v>
      </c>
      <c r="I10" s="33">
        <f t="shared" si="0"/>
        <v>0</v>
      </c>
      <c r="J10" s="4">
        <f>G10/VLOOKUP(A10,RESUME!$G$3:$I$10,3,FALSE)</f>
        <v>8.175584161463436E-3</v>
      </c>
      <c r="K10" s="4">
        <f t="shared" si="1"/>
        <v>8.175584161463436E-3</v>
      </c>
      <c r="L10" s="59" t="s">
        <v>359</v>
      </c>
    </row>
    <row r="11" spans="1:26" ht="15.75" x14ac:dyDescent="0.25">
      <c r="A11" s="1" t="s">
        <v>141</v>
      </c>
      <c r="B11" s="36" t="s">
        <v>134</v>
      </c>
      <c r="C11" s="1" t="s">
        <v>135</v>
      </c>
      <c r="D11" s="2" t="s">
        <v>101</v>
      </c>
      <c r="E11" s="2" t="s">
        <v>75</v>
      </c>
      <c r="F11" s="1"/>
      <c r="G11" s="33">
        <v>55</v>
      </c>
      <c r="H11" s="33"/>
      <c r="I11" s="33">
        <f t="shared" si="0"/>
        <v>55</v>
      </c>
      <c r="J11" s="4">
        <f>G11/VLOOKUP(A11,RESUME!$G$3:$I$10,3,FALSE)</f>
        <v>5.4728113833705236E-4</v>
      </c>
      <c r="K11" s="4" t="str">
        <f t="shared" si="1"/>
        <v/>
      </c>
      <c r="L11" s="59" t="s">
        <v>358</v>
      </c>
    </row>
    <row r="12" spans="1:26" ht="15.75" x14ac:dyDescent="0.25">
      <c r="A12" s="1" t="s">
        <v>141</v>
      </c>
      <c r="B12" s="36" t="s">
        <v>138</v>
      </c>
      <c r="C12" s="1" t="s">
        <v>139</v>
      </c>
      <c r="D12" s="2" t="s">
        <v>101</v>
      </c>
      <c r="E12" s="2" t="s">
        <v>75</v>
      </c>
      <c r="F12" s="1"/>
      <c r="G12" s="33">
        <v>20.09</v>
      </c>
      <c r="H12" s="33">
        <v>15.99</v>
      </c>
      <c r="I12" s="33">
        <f t="shared" si="0"/>
        <v>4.0999999999999996</v>
      </c>
      <c r="J12" s="4">
        <f>G12/VLOOKUP(A12,RESUME!$G$3:$I$10,3,FALSE)</f>
        <v>1.9990687398529784E-4</v>
      </c>
      <c r="K12" s="4">
        <f t="shared" si="1"/>
        <v>2.5116504680204089E-4</v>
      </c>
      <c r="L12" s="59" t="s">
        <v>358</v>
      </c>
    </row>
    <row r="13" spans="1:26" ht="15.75" x14ac:dyDescent="0.25">
      <c r="A13" s="1" t="s">
        <v>141</v>
      </c>
      <c r="B13" s="36" t="s">
        <v>80</v>
      </c>
      <c r="C13" s="1" t="s">
        <v>81</v>
      </c>
      <c r="D13" s="2" t="s">
        <v>101</v>
      </c>
      <c r="E13" s="2" t="s">
        <v>143</v>
      </c>
      <c r="F13" s="1"/>
      <c r="G13" s="33">
        <v>563</v>
      </c>
      <c r="H13" s="33">
        <v>563.95000000000005</v>
      </c>
      <c r="I13" s="33">
        <f t="shared" si="0"/>
        <v>-0.95000000000004547</v>
      </c>
      <c r="J13" s="4">
        <f>G13/VLOOKUP(A13,RESUME!$G$3:$I$10,3,FALSE)</f>
        <v>5.6021687433410999E-3</v>
      </c>
      <c r="K13" s="4">
        <f t="shared" si="1"/>
        <v>5.5927316295789325E-3</v>
      </c>
      <c r="L13" s="59" t="s">
        <v>359</v>
      </c>
    </row>
    <row r="14" spans="1:26" ht="15.75" x14ac:dyDescent="0.25">
      <c r="A14" s="1" t="s">
        <v>141</v>
      </c>
      <c r="B14" s="36" t="s">
        <v>104</v>
      </c>
      <c r="C14" s="1" t="s">
        <v>105</v>
      </c>
      <c r="D14" s="2" t="s">
        <v>101</v>
      </c>
      <c r="E14" s="2" t="s">
        <v>143</v>
      </c>
      <c r="F14" s="1"/>
      <c r="G14" s="33">
        <v>50</v>
      </c>
      <c r="H14" s="33"/>
      <c r="I14" s="33">
        <f t="shared" si="0"/>
        <v>50</v>
      </c>
      <c r="J14" s="4">
        <f>G14/VLOOKUP(A14,RESUME!$G$3:$I$10,3,FALSE)</f>
        <v>4.9752830757913849E-4</v>
      </c>
      <c r="K14" s="4" t="str">
        <f t="shared" si="1"/>
        <v/>
      </c>
      <c r="L14" s="59" t="s">
        <v>358</v>
      </c>
    </row>
    <row r="15" spans="1:26" ht="15.75" x14ac:dyDescent="0.25">
      <c r="A15" s="1" t="s">
        <v>141</v>
      </c>
      <c r="B15" s="36" t="s">
        <v>106</v>
      </c>
      <c r="C15" s="1" t="s">
        <v>107</v>
      </c>
      <c r="D15" s="2" t="s">
        <v>101</v>
      </c>
      <c r="E15" s="2" t="s">
        <v>143</v>
      </c>
      <c r="F15" s="1"/>
      <c r="G15" s="33">
        <v>50</v>
      </c>
      <c r="H15" s="33"/>
      <c r="I15" s="33">
        <f t="shared" si="0"/>
        <v>50</v>
      </c>
      <c r="J15" s="4">
        <f>G15/VLOOKUP(A15,RESUME!$G$3:$I$10,3,FALSE)</f>
        <v>4.9752830757913849E-4</v>
      </c>
      <c r="K15" s="4" t="str">
        <f t="shared" si="1"/>
        <v/>
      </c>
      <c r="L15" s="59" t="s">
        <v>358</v>
      </c>
    </row>
    <row r="16" spans="1:26" ht="15.75" x14ac:dyDescent="0.25">
      <c r="A16" s="1" t="s">
        <v>141</v>
      </c>
      <c r="B16" s="36" t="s">
        <v>108</v>
      </c>
      <c r="C16" s="1" t="s">
        <v>109</v>
      </c>
      <c r="D16" s="2" t="s">
        <v>101</v>
      </c>
      <c r="E16" s="2" t="s">
        <v>143</v>
      </c>
      <c r="F16" s="1"/>
      <c r="G16" s="33">
        <v>50</v>
      </c>
      <c r="H16" s="33"/>
      <c r="I16" s="33">
        <f t="shared" si="0"/>
        <v>50</v>
      </c>
      <c r="J16" s="4">
        <f>G16/VLOOKUP(A16,RESUME!$G$3:$I$10,3,FALSE)</f>
        <v>4.9752830757913849E-4</v>
      </c>
      <c r="K16" s="4" t="str">
        <f t="shared" si="1"/>
        <v/>
      </c>
      <c r="L16" s="59" t="s">
        <v>358</v>
      </c>
    </row>
    <row r="17" spans="1:12" ht="15.75" x14ac:dyDescent="0.25">
      <c r="A17" s="1" t="s">
        <v>141</v>
      </c>
      <c r="B17" s="36" t="s">
        <v>110</v>
      </c>
      <c r="C17" s="1" t="s">
        <v>111</v>
      </c>
      <c r="D17" s="2" t="s">
        <v>101</v>
      </c>
      <c r="E17" s="2" t="s">
        <v>143</v>
      </c>
      <c r="F17" s="1"/>
      <c r="G17" s="33">
        <v>50</v>
      </c>
      <c r="H17" s="33"/>
      <c r="I17" s="33">
        <f t="shared" si="0"/>
        <v>50</v>
      </c>
      <c r="J17" s="4">
        <f>G17/VLOOKUP(A17,RESUME!$G$3:$I$10,3,FALSE)</f>
        <v>4.9752830757913849E-4</v>
      </c>
      <c r="K17" s="4" t="str">
        <f t="shared" si="1"/>
        <v/>
      </c>
      <c r="L17" s="59" t="s">
        <v>358</v>
      </c>
    </row>
    <row r="18" spans="1:12" ht="15.75" x14ac:dyDescent="0.25">
      <c r="A18" s="1" t="s">
        <v>141</v>
      </c>
      <c r="B18" s="36" t="s">
        <v>112</v>
      </c>
      <c r="C18" s="1" t="s">
        <v>113</v>
      </c>
      <c r="D18" s="2" t="s">
        <v>101</v>
      </c>
      <c r="E18" s="2" t="s">
        <v>143</v>
      </c>
      <c r="F18" s="1"/>
      <c r="G18" s="33">
        <v>50</v>
      </c>
      <c r="H18" s="33"/>
      <c r="I18" s="33">
        <f t="shared" si="0"/>
        <v>50</v>
      </c>
      <c r="J18" s="4">
        <f>G18/VLOOKUP(A18,RESUME!$G$3:$I$10,3,FALSE)</f>
        <v>4.9752830757913849E-4</v>
      </c>
      <c r="K18" s="4" t="str">
        <f t="shared" si="1"/>
        <v/>
      </c>
      <c r="L18" s="59" t="s">
        <v>358</v>
      </c>
    </row>
    <row r="19" spans="1:12" ht="15.75" x14ac:dyDescent="0.25">
      <c r="A19" s="1" t="s">
        <v>141</v>
      </c>
      <c r="B19" s="36" t="s">
        <v>114</v>
      </c>
      <c r="C19" s="1" t="s">
        <v>115</v>
      </c>
      <c r="D19" s="2" t="s">
        <v>101</v>
      </c>
      <c r="E19" s="2" t="s">
        <v>143</v>
      </c>
      <c r="F19" s="1"/>
      <c r="G19" s="33">
        <v>50</v>
      </c>
      <c r="H19" s="33"/>
      <c r="I19" s="33">
        <f t="shared" si="0"/>
        <v>50</v>
      </c>
      <c r="J19" s="4">
        <f>G19/VLOOKUP(A19,RESUME!$G$3:$I$10,3,FALSE)</f>
        <v>4.9752830757913849E-4</v>
      </c>
      <c r="K19" s="4" t="str">
        <f t="shared" si="1"/>
        <v/>
      </c>
      <c r="L19" s="59" t="s">
        <v>358</v>
      </c>
    </row>
    <row r="20" spans="1:12" ht="15.75" x14ac:dyDescent="0.25">
      <c r="A20" s="1" t="s">
        <v>141</v>
      </c>
      <c r="B20" s="36" t="s">
        <v>124</v>
      </c>
      <c r="C20" s="1" t="s">
        <v>125</v>
      </c>
      <c r="D20" s="2" t="s">
        <v>101</v>
      </c>
      <c r="E20" s="2" t="s">
        <v>143</v>
      </c>
      <c r="F20" s="1"/>
      <c r="G20" s="33">
        <v>3978</v>
      </c>
      <c r="H20" s="33">
        <v>3978.53</v>
      </c>
      <c r="I20" s="33">
        <f t="shared" si="0"/>
        <v>-0.53000000000020009</v>
      </c>
      <c r="J20" s="4">
        <f>G20/VLOOKUP(A20,RESUME!$G$3:$I$10,3,FALSE)</f>
        <v>3.9583352150996259E-2</v>
      </c>
      <c r="K20" s="4">
        <f t="shared" si="1"/>
        <v>3.9578079053485357E-2</v>
      </c>
      <c r="L20" s="59" t="s">
        <v>359</v>
      </c>
    </row>
    <row r="21" spans="1:12" ht="15.75" x14ac:dyDescent="0.25">
      <c r="A21" s="1" t="s">
        <v>141</v>
      </c>
      <c r="B21" s="36" t="s">
        <v>70</v>
      </c>
      <c r="C21" s="1" t="s">
        <v>71</v>
      </c>
      <c r="D21" s="2" t="s">
        <v>101</v>
      </c>
      <c r="E21" s="2" t="s">
        <v>144</v>
      </c>
      <c r="F21" s="1"/>
      <c r="G21" s="33">
        <v>5000</v>
      </c>
      <c r="H21" s="33">
        <v>6452.12</v>
      </c>
      <c r="I21" s="33">
        <f t="shared" si="0"/>
        <v>-1452.12</v>
      </c>
      <c r="J21" s="4">
        <f>G21/VLOOKUP(A21,RESUME!$G$3:$I$10,3,FALSE)</f>
        <v>4.9752830757913848E-2</v>
      </c>
      <c r="K21" s="4">
        <f t="shared" si="1"/>
        <v>3.8555413381891411E-2</v>
      </c>
      <c r="L21" s="59" t="s">
        <v>359</v>
      </c>
    </row>
    <row r="22" spans="1:12" ht="15.75" x14ac:dyDescent="0.25">
      <c r="A22" s="1" t="s">
        <v>141</v>
      </c>
      <c r="B22" s="36" t="s">
        <v>76</v>
      </c>
      <c r="C22" s="1" t="s">
        <v>77</v>
      </c>
      <c r="D22" s="2" t="s">
        <v>101</v>
      </c>
      <c r="E22" s="2" t="s">
        <v>75</v>
      </c>
      <c r="F22" s="1"/>
      <c r="G22" s="33">
        <v>3463.43</v>
      </c>
      <c r="H22" s="33">
        <v>6823.39</v>
      </c>
      <c r="I22" s="33">
        <f t="shared" si="0"/>
        <v>-3359.9600000000005</v>
      </c>
      <c r="J22" s="4">
        <f>G22/VLOOKUP(A22,RESUME!$G$3:$I$10,3,FALSE)</f>
        <v>3.446308932637631E-2</v>
      </c>
      <c r="K22" s="4">
        <f t="shared" si="1"/>
        <v>1.7492844094453269E-2</v>
      </c>
      <c r="L22" s="59" t="s">
        <v>359</v>
      </c>
    </row>
    <row r="23" spans="1:12" ht="15.75" x14ac:dyDescent="0.25">
      <c r="A23" s="1" t="s">
        <v>141</v>
      </c>
      <c r="B23" s="36" t="s">
        <v>87</v>
      </c>
      <c r="C23" s="1" t="s">
        <v>88</v>
      </c>
      <c r="D23" s="2" t="s">
        <v>101</v>
      </c>
      <c r="E23" s="2" t="s">
        <v>75</v>
      </c>
      <c r="F23" s="1"/>
      <c r="G23" s="33">
        <v>23.95</v>
      </c>
      <c r="H23" s="33">
        <v>13.95</v>
      </c>
      <c r="I23" s="33">
        <f t="shared" si="0"/>
        <v>10</v>
      </c>
      <c r="J23" s="4">
        <f>G23/VLOOKUP(A23,RESUME!$G$3:$I$10,3,FALSE)</f>
        <v>2.3831605933040734E-4</v>
      </c>
      <c r="K23" s="4">
        <f t="shared" si="1"/>
        <v>4.0915194415507212E-4</v>
      </c>
      <c r="L23" s="59" t="s">
        <v>358</v>
      </c>
    </row>
    <row r="24" spans="1:12" ht="15.75" x14ac:dyDescent="0.25">
      <c r="A24" s="1" t="s">
        <v>141</v>
      </c>
      <c r="B24" s="36" t="s">
        <v>96</v>
      </c>
      <c r="C24" s="1" t="s">
        <v>97</v>
      </c>
      <c r="D24" s="2" t="s">
        <v>101</v>
      </c>
      <c r="E24" s="2" t="s">
        <v>145</v>
      </c>
      <c r="F24" s="1"/>
      <c r="G24" s="33">
        <v>47747.46</v>
      </c>
      <c r="H24" s="33">
        <v>44085.69</v>
      </c>
      <c r="I24" s="33">
        <f t="shared" si="0"/>
        <v>3661.7699999999968</v>
      </c>
      <c r="J24" s="4">
        <f>G24/VLOOKUP(A24,RESUME!$G$3:$I$10,3,FALSE)</f>
        <v>0.47511425930005224</v>
      </c>
      <c r="K24" s="4">
        <f t="shared" si="1"/>
        <v>0.51457738534565001</v>
      </c>
      <c r="L24" s="59" t="s">
        <v>358</v>
      </c>
    </row>
    <row r="25" spans="1:12" ht="15.75" x14ac:dyDescent="0.25">
      <c r="A25" s="1" t="s">
        <v>141</v>
      </c>
      <c r="B25" s="36" t="s">
        <v>146</v>
      </c>
      <c r="C25" s="1" t="s">
        <v>147</v>
      </c>
      <c r="D25" s="2" t="s">
        <v>101</v>
      </c>
      <c r="E25" s="2" t="s">
        <v>148</v>
      </c>
      <c r="F25" s="1"/>
      <c r="G25" s="33">
        <v>2800</v>
      </c>
      <c r="H25" s="33">
        <v>2755.75</v>
      </c>
      <c r="I25" s="33">
        <f t="shared" si="0"/>
        <v>44.25</v>
      </c>
      <c r="J25" s="4">
        <f>G25/VLOOKUP(A25,RESUME!$G$3:$I$10,3,FALSE)</f>
        <v>2.7861585224431756E-2</v>
      </c>
      <c r="K25" s="4">
        <f t="shared" si="1"/>
        <v>2.8308968022646798E-2</v>
      </c>
      <c r="L25" s="59" t="s">
        <v>358</v>
      </c>
    </row>
    <row r="26" spans="1:12" ht="15.75" x14ac:dyDescent="0.25">
      <c r="A26" s="1" t="s">
        <v>141</v>
      </c>
      <c r="B26" s="36" t="s">
        <v>26</v>
      </c>
      <c r="C26" s="1" t="s">
        <v>27</v>
      </c>
      <c r="D26" s="2" t="s">
        <v>101</v>
      </c>
      <c r="E26" s="2" t="s">
        <v>149</v>
      </c>
      <c r="F26" s="1"/>
      <c r="G26" s="33">
        <v>812</v>
      </c>
      <c r="H26" s="33">
        <v>812.12</v>
      </c>
      <c r="I26" s="33">
        <f t="shared" si="0"/>
        <v>-0.12000000000000455</v>
      </c>
      <c r="J26" s="4">
        <f>G26/VLOOKUP(A26,RESUME!$G$3:$I$10,3,FALSE)</f>
        <v>8.0798597150852098E-3</v>
      </c>
      <c r="K26" s="4">
        <f t="shared" si="1"/>
        <v>8.0786658235841875E-3</v>
      </c>
      <c r="L26" s="59" t="s">
        <v>359</v>
      </c>
    </row>
    <row r="27" spans="1:12" ht="15.75" x14ac:dyDescent="0.25">
      <c r="A27" s="1" t="s">
        <v>141</v>
      </c>
      <c r="B27" s="36" t="s">
        <v>37</v>
      </c>
      <c r="C27" s="1" t="s">
        <v>38</v>
      </c>
      <c r="D27" s="2" t="s">
        <v>150</v>
      </c>
      <c r="E27" s="2" t="s">
        <v>151</v>
      </c>
      <c r="F27" s="1"/>
      <c r="G27" s="33">
        <v>26280.234329731342</v>
      </c>
      <c r="H27" s="33"/>
      <c r="I27" s="33">
        <f t="shared" si="0"/>
        <v>26280.234329731342</v>
      </c>
      <c r="J27" s="4">
        <f>G27/VLOOKUP(A27,RESUME!$G$3:$I$10,3,FALSE)</f>
        <v>0.26150321017708822</v>
      </c>
      <c r="K27" s="4" t="str">
        <f t="shared" si="1"/>
        <v/>
      </c>
      <c r="L27" s="59" t="s">
        <v>358</v>
      </c>
    </row>
  </sheetData>
  <conditionalFormatting sqref="L6:L27">
    <cfRule type="containsText" dxfId="2" priority="1" operator="containsText" text="OVER">
      <formula>NOT(ISERROR(SEARCH("OVER",L6)))</formula>
    </cfRule>
  </conditionalFormatting>
  <hyperlinks>
    <hyperlink ref="B6" r:id="rId1" xr:uid="{8F6C5E27-317C-4032-A77C-28D2F55685CB}"/>
    <hyperlink ref="B7" r:id="rId2" xr:uid="{D213525F-E1FE-4036-AD2D-77F3718F23A9}"/>
    <hyperlink ref="B8" r:id="rId3" xr:uid="{2A592200-BE37-476C-8F78-62B3A92609BE}"/>
    <hyperlink ref="B9" r:id="rId4" xr:uid="{48B5C1F0-51C3-4860-94D5-F2A53370D2BF}"/>
    <hyperlink ref="B10" r:id="rId5" xr:uid="{08069D01-FD48-4D91-A049-0DEAB6780204}"/>
    <hyperlink ref="B11" r:id="rId6" xr:uid="{86EC803F-6FFE-4D22-8621-AD0AF9BE343D}"/>
    <hyperlink ref="B12" r:id="rId7" xr:uid="{B543E0C8-0975-4C27-96C5-FA9364EEC18C}"/>
    <hyperlink ref="B13" r:id="rId8" xr:uid="{6BBFF068-6F69-49E0-8148-82393B2687C7}"/>
    <hyperlink ref="B14" r:id="rId9" xr:uid="{FB1CFEC6-B401-484D-BC56-BB93319F151A}"/>
    <hyperlink ref="B15" r:id="rId10" xr:uid="{A5AD2F85-9A84-4CDF-8189-60357FDA2627}"/>
    <hyperlink ref="B16" r:id="rId11" xr:uid="{B81B6053-7138-4471-AEAC-7635E019902B}"/>
    <hyperlink ref="B17" r:id="rId12" xr:uid="{47201F65-B7EF-43B2-9AA5-093C2DA0F995}"/>
    <hyperlink ref="B18" r:id="rId13" xr:uid="{D462F8CF-D0E8-407A-B2A4-6ED1A4E7DB5D}"/>
    <hyperlink ref="B19" r:id="rId14" xr:uid="{5996C439-EF72-4F7A-875D-809B2DF682B5}"/>
    <hyperlink ref="B20" r:id="rId15" xr:uid="{0953628A-1A4A-4F10-97A5-2097135F1BE0}"/>
    <hyperlink ref="B21" r:id="rId16" xr:uid="{6271CA41-8113-4F1B-80C7-6B70F8965CA2}"/>
    <hyperlink ref="B22" r:id="rId17" xr:uid="{52BAEEDF-4D9F-49F6-9D0A-71FAD3BC898F}"/>
    <hyperlink ref="B23" r:id="rId18" xr:uid="{875CB6A9-FFBC-4751-B576-676E8470BBF9}"/>
    <hyperlink ref="B24" r:id="rId19" xr:uid="{BFE995FA-A3A9-4B4E-984D-36B0804B252A}"/>
    <hyperlink ref="B25" r:id="rId20" xr:uid="{5FDC9A4E-4081-4958-BA58-0305C1956113}"/>
    <hyperlink ref="B26" r:id="rId21" xr:uid="{0147FE60-7FAB-4499-9C9E-C78E14B063CB}"/>
    <hyperlink ref="B27" r:id="rId22" xr:uid="{DE8E52C0-E234-43B2-A380-2326968D7C85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25CAD-9530-4C68-9644-DB8BCFF6AFE3}">
  <sheetPr codeName="Sheet25"/>
  <dimension ref="A5:Z42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6.140625" bestFit="1" customWidth="1"/>
    <col min="3" max="3" width="86.85546875" bestFit="1" customWidth="1"/>
    <col min="4" max="4" width="11.85546875" bestFit="1" customWidth="1"/>
    <col min="5" max="5" width="10.7109375" bestFit="1" customWidth="1"/>
    <col min="6" max="6" width="8.85546875" bestFit="1" customWidth="1"/>
    <col min="7" max="7" width="19.28515625" bestFit="1" customWidth="1"/>
    <col min="8" max="8" width="12.140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329</v>
      </c>
      <c r="B6" s="36" t="s">
        <v>78</v>
      </c>
      <c r="C6" s="1" t="s">
        <v>79</v>
      </c>
      <c r="D6" s="2" t="s">
        <v>24</v>
      </c>
      <c r="E6" s="2" t="s">
        <v>72</v>
      </c>
      <c r="F6" s="1"/>
      <c r="G6" s="33">
        <v>137.53</v>
      </c>
      <c r="H6" s="33">
        <v>137.53</v>
      </c>
      <c r="I6" s="33">
        <f t="shared" ref="I6:I42" si="0">G6-H6</f>
        <v>0</v>
      </c>
      <c r="J6" s="4">
        <f>G6/VLOOKUP(A6,RESUME!$G$3:$I$10,3,FALSE)</f>
        <v>5.5495675892985874E-4</v>
      </c>
      <c r="K6" s="4">
        <f t="shared" ref="K6:K42" si="1">IFERROR((G6/H6)*J6,"")</f>
        <v>5.5495675892985874E-4</v>
      </c>
      <c r="L6" s="59" t="s">
        <v>359</v>
      </c>
    </row>
    <row r="7" spans="1:26" ht="15.75" x14ac:dyDescent="0.25">
      <c r="A7" s="1" t="s">
        <v>329</v>
      </c>
      <c r="B7" s="36" t="s">
        <v>93</v>
      </c>
      <c r="C7" s="1" t="s">
        <v>94</v>
      </c>
      <c r="D7" s="2" t="s">
        <v>24</v>
      </c>
      <c r="E7" s="2" t="s">
        <v>95</v>
      </c>
      <c r="F7" s="1"/>
      <c r="G7" s="33">
        <v>5157.3999999999996</v>
      </c>
      <c r="H7" s="33">
        <v>-210.65</v>
      </c>
      <c r="I7" s="33">
        <f t="shared" si="0"/>
        <v>5368.0499999999993</v>
      </c>
      <c r="J7" s="4">
        <f>G7/VLOOKUP(A7,RESUME!$G$3:$I$10,3,FALSE)</f>
        <v>2.0810979339088584E-2</v>
      </c>
      <c r="K7" s="4">
        <f t="shared" si="1"/>
        <v>-0.50952074456878926</v>
      </c>
      <c r="L7" s="59" t="s">
        <v>358</v>
      </c>
    </row>
    <row r="8" spans="1:26" ht="15.75" x14ac:dyDescent="0.25">
      <c r="A8" s="1" t="s">
        <v>329</v>
      </c>
      <c r="B8" s="36" t="s">
        <v>102</v>
      </c>
      <c r="C8" s="1" t="s">
        <v>103</v>
      </c>
      <c r="D8" s="2" t="s">
        <v>24</v>
      </c>
      <c r="E8" s="2" t="s">
        <v>75</v>
      </c>
      <c r="F8" s="1"/>
      <c r="G8" s="33">
        <v>500</v>
      </c>
      <c r="H8" s="33">
        <v>1925.13</v>
      </c>
      <c r="I8" s="33">
        <f t="shared" si="0"/>
        <v>-1425.13</v>
      </c>
      <c r="J8" s="4">
        <f>G8/VLOOKUP(A8,RESUME!$G$3:$I$10,3,FALSE)</f>
        <v>2.0175843776988971E-3</v>
      </c>
      <c r="K8" s="4">
        <f t="shared" si="1"/>
        <v>5.2401250245409322E-4</v>
      </c>
      <c r="L8" s="59" t="s">
        <v>359</v>
      </c>
    </row>
    <row r="9" spans="1:26" ht="15.75" x14ac:dyDescent="0.25">
      <c r="A9" s="1" t="s">
        <v>329</v>
      </c>
      <c r="B9" s="36" t="s">
        <v>114</v>
      </c>
      <c r="C9" s="1" t="s">
        <v>115</v>
      </c>
      <c r="D9" s="2" t="s">
        <v>24</v>
      </c>
      <c r="E9" s="2" t="s">
        <v>75</v>
      </c>
      <c r="F9" s="1"/>
      <c r="G9" s="33">
        <v>250</v>
      </c>
      <c r="H9" s="33"/>
      <c r="I9" s="33">
        <f t="shared" si="0"/>
        <v>250</v>
      </c>
      <c r="J9" s="4">
        <f>G9/VLOOKUP(A9,RESUME!$G$3:$I$10,3,FALSE)</f>
        <v>1.0087921888494486E-3</v>
      </c>
      <c r="K9" s="4" t="str">
        <f t="shared" si="1"/>
        <v/>
      </c>
      <c r="L9" s="59" t="s">
        <v>358</v>
      </c>
    </row>
    <row r="10" spans="1:26" ht="15.75" x14ac:dyDescent="0.25">
      <c r="A10" s="1" t="s">
        <v>329</v>
      </c>
      <c r="B10" s="36" t="s">
        <v>118</v>
      </c>
      <c r="C10" s="1" t="s">
        <v>119</v>
      </c>
      <c r="D10" s="2" t="s">
        <v>24</v>
      </c>
      <c r="E10" s="2" t="s">
        <v>95</v>
      </c>
      <c r="F10" s="1"/>
      <c r="G10" s="33">
        <v>3183.98</v>
      </c>
      <c r="H10" s="33">
        <v>3321.95</v>
      </c>
      <c r="I10" s="33">
        <f t="shared" si="0"/>
        <v>-137.9699999999998</v>
      </c>
      <c r="J10" s="4">
        <f>G10/VLOOKUP(A10,RESUME!$G$3:$I$10,3,FALSE)</f>
        <v>1.284789661381147E-2</v>
      </c>
      <c r="K10" s="4">
        <f t="shared" si="1"/>
        <v>1.2314287048403332E-2</v>
      </c>
      <c r="L10" s="59" t="s">
        <v>359</v>
      </c>
    </row>
    <row r="11" spans="1:26" ht="15.75" x14ac:dyDescent="0.25">
      <c r="A11" s="1" t="s">
        <v>329</v>
      </c>
      <c r="B11" s="36" t="s">
        <v>130</v>
      </c>
      <c r="C11" s="1" t="s">
        <v>142</v>
      </c>
      <c r="D11" s="2" t="s">
        <v>24</v>
      </c>
      <c r="E11" s="2" t="s">
        <v>75</v>
      </c>
      <c r="F11" s="1"/>
      <c r="G11" s="33">
        <v>126.99</v>
      </c>
      <c r="H11" s="33">
        <v>126.99</v>
      </c>
      <c r="I11" s="33">
        <f t="shared" si="0"/>
        <v>0</v>
      </c>
      <c r="J11" s="4">
        <f>G11/VLOOKUP(A11,RESUME!$G$3:$I$10,3,FALSE)</f>
        <v>5.124260802479659E-4</v>
      </c>
      <c r="K11" s="4">
        <f t="shared" si="1"/>
        <v>5.124260802479659E-4</v>
      </c>
      <c r="L11" s="59" t="s">
        <v>359</v>
      </c>
    </row>
    <row r="12" spans="1:26" ht="15.75" x14ac:dyDescent="0.25">
      <c r="A12" s="1" t="s">
        <v>329</v>
      </c>
      <c r="B12" s="36" t="s">
        <v>21</v>
      </c>
      <c r="C12" s="1" t="s">
        <v>152</v>
      </c>
      <c r="D12" s="2" t="s">
        <v>24</v>
      </c>
      <c r="E12" s="2" t="s">
        <v>75</v>
      </c>
      <c r="F12" s="1"/>
      <c r="G12" s="33">
        <v>754.58</v>
      </c>
      <c r="H12" s="33">
        <v>187.49</v>
      </c>
      <c r="I12" s="33">
        <f t="shared" si="0"/>
        <v>567.09</v>
      </c>
      <c r="J12" s="4">
        <f>G12/VLOOKUP(A12,RESUME!$G$3:$I$10,3,FALSE)</f>
        <v>3.0448576394480681E-3</v>
      </c>
      <c r="K12" s="4">
        <f t="shared" si="1"/>
        <v>1.2254459851590608E-2</v>
      </c>
      <c r="L12" s="59" t="s">
        <v>358</v>
      </c>
    </row>
    <row r="13" spans="1:26" ht="15.75" x14ac:dyDescent="0.25">
      <c r="A13" s="1" t="s">
        <v>329</v>
      </c>
      <c r="B13" s="36" t="s">
        <v>70</v>
      </c>
      <c r="C13" s="1" t="s">
        <v>71</v>
      </c>
      <c r="D13" s="2" t="s">
        <v>24</v>
      </c>
      <c r="E13" s="2" t="s">
        <v>72</v>
      </c>
      <c r="F13" s="1"/>
      <c r="G13" s="33">
        <v>6722.26</v>
      </c>
      <c r="H13" s="33">
        <v>7122.26</v>
      </c>
      <c r="I13" s="33">
        <f t="shared" si="0"/>
        <v>-400</v>
      </c>
      <c r="J13" s="4">
        <f>G13/VLOOKUP(A13,RESUME!$G$3:$I$10,3,FALSE)</f>
        <v>2.7125453517660381E-2</v>
      </c>
      <c r="K13" s="4">
        <f t="shared" si="1"/>
        <v>2.5602035191586332E-2</v>
      </c>
      <c r="L13" s="59" t="s">
        <v>359</v>
      </c>
    </row>
    <row r="14" spans="1:26" ht="15.75" x14ac:dyDescent="0.25">
      <c r="A14" s="1" t="s">
        <v>329</v>
      </c>
      <c r="B14" s="36" t="s">
        <v>76</v>
      </c>
      <c r="C14" s="1" t="s">
        <v>77</v>
      </c>
      <c r="D14" s="2" t="s">
        <v>24</v>
      </c>
      <c r="E14" s="2" t="s">
        <v>75</v>
      </c>
      <c r="F14" s="1"/>
      <c r="G14" s="33">
        <v>5152.29</v>
      </c>
      <c r="H14" s="33">
        <v>8746.93</v>
      </c>
      <c r="I14" s="33">
        <f t="shared" si="0"/>
        <v>-3594.6400000000003</v>
      </c>
      <c r="J14" s="4">
        <f>G14/VLOOKUP(A14,RESUME!$G$3:$I$10,3,FALSE)</f>
        <v>2.0790359626748502E-2</v>
      </c>
      <c r="K14" s="4">
        <f t="shared" si="1"/>
        <v>1.2246349519351364E-2</v>
      </c>
      <c r="L14" s="59" t="s">
        <v>359</v>
      </c>
    </row>
    <row r="15" spans="1:26" ht="15.75" x14ac:dyDescent="0.25">
      <c r="A15" s="1" t="s">
        <v>329</v>
      </c>
      <c r="B15" s="36" t="s">
        <v>80</v>
      </c>
      <c r="C15" s="1" t="s">
        <v>81</v>
      </c>
      <c r="D15" s="2" t="s">
        <v>24</v>
      </c>
      <c r="E15" s="2" t="s">
        <v>153</v>
      </c>
      <c r="F15" s="1"/>
      <c r="G15" s="33">
        <v>3188</v>
      </c>
      <c r="H15" s="33">
        <v>3188.73</v>
      </c>
      <c r="I15" s="33">
        <f t="shared" si="0"/>
        <v>-0.73000000000001819</v>
      </c>
      <c r="J15" s="4">
        <f>G15/VLOOKUP(A15,RESUME!$G$3:$I$10,3,FALSE)</f>
        <v>1.2864117992208169E-2</v>
      </c>
      <c r="K15" s="4">
        <f t="shared" si="1"/>
        <v>1.2861172993373426E-2</v>
      </c>
      <c r="L15" s="59" t="s">
        <v>359</v>
      </c>
    </row>
    <row r="16" spans="1:26" ht="15.75" x14ac:dyDescent="0.25">
      <c r="A16" s="1" t="s">
        <v>329</v>
      </c>
      <c r="B16" s="36" t="s">
        <v>154</v>
      </c>
      <c r="C16" s="1" t="s">
        <v>84</v>
      </c>
      <c r="D16" s="2" t="s">
        <v>24</v>
      </c>
      <c r="E16" s="2" t="s">
        <v>75</v>
      </c>
      <c r="F16" s="1"/>
      <c r="G16" s="33">
        <v>2043.4899999999998</v>
      </c>
      <c r="H16" s="33">
        <v>2193.4899999999998</v>
      </c>
      <c r="I16" s="33">
        <f t="shared" si="0"/>
        <v>-150</v>
      </c>
      <c r="J16" s="4">
        <f>G16/VLOOKUP(A16,RESUME!$G$3:$I$10,3,FALSE)</f>
        <v>8.2458269999678389E-3</v>
      </c>
      <c r="K16" s="4">
        <f t="shared" si="1"/>
        <v>7.6819429384972259E-3</v>
      </c>
      <c r="L16" s="59" t="s">
        <v>359</v>
      </c>
    </row>
    <row r="17" spans="1:12" ht="15.75" x14ac:dyDescent="0.25">
      <c r="A17" s="1" t="s">
        <v>329</v>
      </c>
      <c r="B17" s="36" t="s">
        <v>96</v>
      </c>
      <c r="C17" s="1" t="s">
        <v>97</v>
      </c>
      <c r="D17" s="2" t="s">
        <v>24</v>
      </c>
      <c r="E17" s="2" t="s">
        <v>155</v>
      </c>
      <c r="F17" s="1"/>
      <c r="G17" s="33">
        <v>78109.679999999993</v>
      </c>
      <c r="H17" s="33">
        <v>79525.45</v>
      </c>
      <c r="I17" s="33">
        <f t="shared" si="0"/>
        <v>-1415.7700000000041</v>
      </c>
      <c r="J17" s="4">
        <f>G17/VLOOKUP(A17,RESUME!$G$3:$I$10,3,FALSE)</f>
        <v>0.31518574023011997</v>
      </c>
      <c r="K17" s="4">
        <f t="shared" si="1"/>
        <v>0.30957457405066929</v>
      </c>
      <c r="L17" s="59" t="s">
        <v>359</v>
      </c>
    </row>
    <row r="18" spans="1:12" ht="15.75" x14ac:dyDescent="0.25">
      <c r="A18" s="1" t="s">
        <v>329</v>
      </c>
      <c r="B18" s="36" t="s">
        <v>104</v>
      </c>
      <c r="C18" s="1" t="s">
        <v>105</v>
      </c>
      <c r="D18" s="2" t="s">
        <v>24</v>
      </c>
      <c r="E18" s="2" t="s">
        <v>153</v>
      </c>
      <c r="F18" s="1"/>
      <c r="G18" s="33">
        <v>250</v>
      </c>
      <c r="H18" s="33"/>
      <c r="I18" s="33">
        <f t="shared" si="0"/>
        <v>250</v>
      </c>
      <c r="J18" s="4">
        <f>G18/VLOOKUP(A18,RESUME!$G$3:$I$10,3,FALSE)</f>
        <v>1.0087921888494486E-3</v>
      </c>
      <c r="K18" s="4" t="str">
        <f t="shared" si="1"/>
        <v/>
      </c>
      <c r="L18" s="59" t="s">
        <v>358</v>
      </c>
    </row>
    <row r="19" spans="1:12" ht="15.75" x14ac:dyDescent="0.25">
      <c r="A19" s="1" t="s">
        <v>329</v>
      </c>
      <c r="B19" s="36" t="s">
        <v>106</v>
      </c>
      <c r="C19" s="1" t="s">
        <v>107</v>
      </c>
      <c r="D19" s="2" t="s">
        <v>24</v>
      </c>
      <c r="E19" s="2" t="s">
        <v>153</v>
      </c>
      <c r="F19" s="1"/>
      <c r="G19" s="33">
        <v>250</v>
      </c>
      <c r="H19" s="33"/>
      <c r="I19" s="33">
        <f t="shared" si="0"/>
        <v>250</v>
      </c>
      <c r="J19" s="4">
        <f>G19/VLOOKUP(A19,RESUME!$G$3:$I$10,3,FALSE)</f>
        <v>1.0087921888494486E-3</v>
      </c>
      <c r="K19" s="4" t="str">
        <f t="shared" si="1"/>
        <v/>
      </c>
      <c r="L19" s="59" t="s">
        <v>358</v>
      </c>
    </row>
    <row r="20" spans="1:12" ht="15.75" x14ac:dyDescent="0.25">
      <c r="A20" s="1" t="s">
        <v>329</v>
      </c>
      <c r="B20" s="36" t="s">
        <v>108</v>
      </c>
      <c r="C20" s="1" t="s">
        <v>109</v>
      </c>
      <c r="D20" s="2" t="s">
        <v>24</v>
      </c>
      <c r="E20" s="2" t="s">
        <v>153</v>
      </c>
      <c r="F20" s="1"/>
      <c r="G20" s="33">
        <v>250</v>
      </c>
      <c r="H20" s="33"/>
      <c r="I20" s="33">
        <f t="shared" si="0"/>
        <v>250</v>
      </c>
      <c r="J20" s="4">
        <f>G20/VLOOKUP(A20,RESUME!$G$3:$I$10,3,FALSE)</f>
        <v>1.0087921888494486E-3</v>
      </c>
      <c r="K20" s="4" t="str">
        <f t="shared" si="1"/>
        <v/>
      </c>
      <c r="L20" s="59" t="s">
        <v>358</v>
      </c>
    </row>
    <row r="21" spans="1:12" ht="15.75" x14ac:dyDescent="0.25">
      <c r="A21" s="1" t="s">
        <v>329</v>
      </c>
      <c r="B21" s="36" t="s">
        <v>112</v>
      </c>
      <c r="C21" s="1" t="s">
        <v>113</v>
      </c>
      <c r="D21" s="2" t="s">
        <v>24</v>
      </c>
      <c r="E21" s="2" t="s">
        <v>153</v>
      </c>
      <c r="F21" s="1"/>
      <c r="G21" s="33">
        <v>250</v>
      </c>
      <c r="H21" s="33"/>
      <c r="I21" s="33">
        <f t="shared" si="0"/>
        <v>250</v>
      </c>
      <c r="J21" s="4">
        <f>G21/VLOOKUP(A21,RESUME!$G$3:$I$10,3,FALSE)</f>
        <v>1.0087921888494486E-3</v>
      </c>
      <c r="K21" s="4" t="str">
        <f t="shared" si="1"/>
        <v/>
      </c>
      <c r="L21" s="59" t="s">
        <v>358</v>
      </c>
    </row>
    <row r="22" spans="1:12" ht="15.75" x14ac:dyDescent="0.25">
      <c r="A22" s="1" t="s">
        <v>329</v>
      </c>
      <c r="B22" s="36" t="s">
        <v>146</v>
      </c>
      <c r="C22" s="1" t="s">
        <v>147</v>
      </c>
      <c r="D22" s="2" t="s">
        <v>24</v>
      </c>
      <c r="E22" s="2" t="s">
        <v>148</v>
      </c>
      <c r="F22" s="1"/>
      <c r="G22" s="33">
        <v>10800</v>
      </c>
      <c r="H22" s="33">
        <v>10316.4</v>
      </c>
      <c r="I22" s="33">
        <f t="shared" si="0"/>
        <v>483.60000000000036</v>
      </c>
      <c r="J22" s="4">
        <f>G22/VLOOKUP(A22,RESUME!$G$3:$I$10,3,FALSE)</f>
        <v>4.3579822558296184E-2</v>
      </c>
      <c r="K22" s="4">
        <f t="shared" si="1"/>
        <v>4.5622705946803038E-2</v>
      </c>
      <c r="L22" s="59" t="s">
        <v>358</v>
      </c>
    </row>
    <row r="23" spans="1:12" ht="15.75" x14ac:dyDescent="0.25">
      <c r="A23" s="1" t="s">
        <v>329</v>
      </c>
      <c r="B23" s="36" t="s">
        <v>124</v>
      </c>
      <c r="C23" s="1" t="s">
        <v>125</v>
      </c>
      <c r="D23" s="2" t="s">
        <v>24</v>
      </c>
      <c r="E23" s="2" t="s">
        <v>153</v>
      </c>
      <c r="F23" s="1"/>
      <c r="G23" s="33">
        <v>1500</v>
      </c>
      <c r="H23" s="33">
        <v>2923.11</v>
      </c>
      <c r="I23" s="33">
        <f t="shared" si="0"/>
        <v>-1423.1100000000001</v>
      </c>
      <c r="J23" s="4">
        <f>G23/VLOOKUP(A23,RESUME!$G$3:$I$10,3,FALSE)</f>
        <v>6.0527531330966918E-3</v>
      </c>
      <c r="K23" s="4">
        <f t="shared" si="1"/>
        <v>3.1059829084930219E-3</v>
      </c>
      <c r="L23" s="59" t="s">
        <v>359</v>
      </c>
    </row>
    <row r="24" spans="1:12" ht="15.75" x14ac:dyDescent="0.25">
      <c r="A24" s="1" t="s">
        <v>329</v>
      </c>
      <c r="B24" s="36" t="s">
        <v>78</v>
      </c>
      <c r="C24" s="1" t="s">
        <v>79</v>
      </c>
      <c r="D24" s="2" t="s">
        <v>15</v>
      </c>
      <c r="E24" s="2" t="s">
        <v>72</v>
      </c>
      <c r="F24" s="1"/>
      <c r="G24" s="33">
        <v>504.76</v>
      </c>
      <c r="H24" s="33">
        <v>504.76</v>
      </c>
      <c r="I24" s="33">
        <f t="shared" si="0"/>
        <v>0</v>
      </c>
      <c r="J24" s="4">
        <f>G24/VLOOKUP(A24,RESUME!$G$3:$I$10,3,FALSE)</f>
        <v>2.0367917809745906E-3</v>
      </c>
      <c r="K24" s="4">
        <f t="shared" si="1"/>
        <v>2.0367917809745906E-3</v>
      </c>
      <c r="L24" s="59" t="s">
        <v>359</v>
      </c>
    </row>
    <row r="25" spans="1:12" ht="15.75" x14ac:dyDescent="0.25">
      <c r="A25" s="1" t="s">
        <v>329</v>
      </c>
      <c r="B25" s="36" t="s">
        <v>93</v>
      </c>
      <c r="C25" s="1" t="s">
        <v>94</v>
      </c>
      <c r="D25" s="2" t="s">
        <v>15</v>
      </c>
      <c r="E25" s="2" t="s">
        <v>95</v>
      </c>
      <c r="F25" s="1"/>
      <c r="G25" s="33">
        <v>5702.68</v>
      </c>
      <c r="H25" s="33">
        <v>-125.09</v>
      </c>
      <c r="I25" s="33">
        <f t="shared" si="0"/>
        <v>5827.77</v>
      </c>
      <c r="J25" s="4">
        <f>G25/VLOOKUP(A25,RESUME!$G$3:$I$10,3,FALSE)</f>
        <v>2.3011276158031897E-2</v>
      </c>
      <c r="K25" s="4">
        <f t="shared" si="1"/>
        <v>-1.0490522369564741</v>
      </c>
      <c r="L25" s="59" t="s">
        <v>358</v>
      </c>
    </row>
    <row r="26" spans="1:12" ht="15.75" x14ac:dyDescent="0.25">
      <c r="A26" s="1" t="s">
        <v>329</v>
      </c>
      <c r="B26" s="36" t="s">
        <v>102</v>
      </c>
      <c r="C26" s="1" t="s">
        <v>103</v>
      </c>
      <c r="D26" s="2" t="s">
        <v>15</v>
      </c>
      <c r="E26" s="2" t="s">
        <v>75</v>
      </c>
      <c r="F26" s="1"/>
      <c r="G26" s="33">
        <v>700</v>
      </c>
      <c r="H26" s="33">
        <v>768.14</v>
      </c>
      <c r="I26" s="33">
        <f t="shared" si="0"/>
        <v>-68.139999999999986</v>
      </c>
      <c r="J26" s="4">
        <f>G26/VLOOKUP(A26,RESUME!$G$3:$I$10,3,FALSE)</f>
        <v>2.8246181287784563E-3</v>
      </c>
      <c r="K26" s="4">
        <f t="shared" si="1"/>
        <v>2.5740525036385548E-3</v>
      </c>
      <c r="L26" s="59" t="s">
        <v>359</v>
      </c>
    </row>
    <row r="27" spans="1:12" ht="15.75" x14ac:dyDescent="0.25">
      <c r="A27" s="1" t="s">
        <v>329</v>
      </c>
      <c r="B27" s="36" t="s">
        <v>114</v>
      </c>
      <c r="C27" s="1" t="s">
        <v>115</v>
      </c>
      <c r="D27" s="2" t="s">
        <v>15</v>
      </c>
      <c r="E27" s="2" t="s">
        <v>75</v>
      </c>
      <c r="F27" s="1"/>
      <c r="G27" s="33">
        <v>300</v>
      </c>
      <c r="H27" s="33"/>
      <c r="I27" s="33">
        <f t="shared" si="0"/>
        <v>300</v>
      </c>
      <c r="J27" s="4">
        <f>G27/VLOOKUP(A27,RESUME!$G$3:$I$10,3,FALSE)</f>
        <v>1.2105506266193384E-3</v>
      </c>
      <c r="K27" s="4" t="str">
        <f t="shared" si="1"/>
        <v/>
      </c>
      <c r="L27" s="59" t="s">
        <v>358</v>
      </c>
    </row>
    <row r="28" spans="1:12" ht="15.75" x14ac:dyDescent="0.25">
      <c r="A28" s="1" t="s">
        <v>329</v>
      </c>
      <c r="B28" s="36" t="s">
        <v>118</v>
      </c>
      <c r="C28" s="1" t="s">
        <v>119</v>
      </c>
      <c r="D28" s="2" t="s">
        <v>15</v>
      </c>
      <c r="E28" s="2" t="s">
        <v>95</v>
      </c>
      <c r="F28" s="1"/>
      <c r="G28" s="33">
        <v>3500</v>
      </c>
      <c r="H28" s="33">
        <v>3699.04</v>
      </c>
      <c r="I28" s="33">
        <f t="shared" si="0"/>
        <v>-199.03999999999996</v>
      </c>
      <c r="J28" s="4">
        <f>G28/VLOOKUP(A28,RESUME!$G$3:$I$10,3,FALSE)</f>
        <v>1.4123090643892281E-2</v>
      </c>
      <c r="K28" s="4">
        <f t="shared" si="1"/>
        <v>1.3363147533852832E-2</v>
      </c>
      <c r="L28" s="59" t="s">
        <v>359</v>
      </c>
    </row>
    <row r="29" spans="1:12" ht="15.75" x14ac:dyDescent="0.25">
      <c r="A29" s="1" t="s">
        <v>329</v>
      </c>
      <c r="B29" s="36" t="s">
        <v>130</v>
      </c>
      <c r="C29" s="1" t="s">
        <v>156</v>
      </c>
      <c r="D29" s="2" t="s">
        <v>15</v>
      </c>
      <c r="E29" s="2" t="s">
        <v>75</v>
      </c>
      <c r="F29" s="1"/>
      <c r="G29" s="33">
        <v>512.71</v>
      </c>
      <c r="H29" s="33">
        <v>512.71</v>
      </c>
      <c r="I29" s="33">
        <f t="shared" si="0"/>
        <v>0</v>
      </c>
      <c r="J29" s="4">
        <f>G29/VLOOKUP(A29,RESUME!$G$3:$I$10,3,FALSE)</f>
        <v>2.0688713725800032E-3</v>
      </c>
      <c r="K29" s="4">
        <f t="shared" si="1"/>
        <v>2.0688713725800032E-3</v>
      </c>
      <c r="L29" s="59" t="s">
        <v>359</v>
      </c>
    </row>
    <row r="30" spans="1:12" ht="15.75" x14ac:dyDescent="0.25">
      <c r="A30" s="1" t="s">
        <v>329</v>
      </c>
      <c r="B30" s="36" t="s">
        <v>21</v>
      </c>
      <c r="C30" s="1" t="s">
        <v>152</v>
      </c>
      <c r="D30" s="2" t="s">
        <v>15</v>
      </c>
      <c r="E30" s="2" t="s">
        <v>75</v>
      </c>
      <c r="F30" s="1"/>
      <c r="G30" s="33">
        <v>754.58</v>
      </c>
      <c r="H30" s="33">
        <v>735.02</v>
      </c>
      <c r="I30" s="33">
        <f t="shared" si="0"/>
        <v>19.560000000000059</v>
      </c>
      <c r="J30" s="4">
        <f>G30/VLOOKUP(A30,RESUME!$G$3:$I$10,3,FALSE)</f>
        <v>3.0448576394480681E-3</v>
      </c>
      <c r="K30" s="4">
        <f t="shared" si="1"/>
        <v>3.1258859317769899E-3</v>
      </c>
      <c r="L30" s="59" t="s">
        <v>358</v>
      </c>
    </row>
    <row r="31" spans="1:12" ht="15.75" x14ac:dyDescent="0.25">
      <c r="A31" s="1" t="s">
        <v>329</v>
      </c>
      <c r="B31" s="36" t="s">
        <v>68</v>
      </c>
      <c r="C31" s="1" t="s">
        <v>69</v>
      </c>
      <c r="D31" s="2" t="s">
        <v>15</v>
      </c>
      <c r="E31" s="2" t="s">
        <v>157</v>
      </c>
      <c r="F31" s="1"/>
      <c r="G31" s="33"/>
      <c r="H31" s="33"/>
      <c r="I31" s="33">
        <f t="shared" si="0"/>
        <v>0</v>
      </c>
      <c r="J31" s="4">
        <f>G31/VLOOKUP(A31,RESUME!$G$3:$I$10,3,FALSE)</f>
        <v>0</v>
      </c>
      <c r="K31" s="4" t="str">
        <f t="shared" si="1"/>
        <v/>
      </c>
      <c r="L31" s="59" t="s">
        <v>359</v>
      </c>
    </row>
    <row r="32" spans="1:12" ht="15.75" x14ac:dyDescent="0.25">
      <c r="A32" s="1" t="s">
        <v>329</v>
      </c>
      <c r="B32" s="36" t="s">
        <v>70</v>
      </c>
      <c r="C32" s="1" t="s">
        <v>71</v>
      </c>
      <c r="D32" s="2" t="s">
        <v>15</v>
      </c>
      <c r="E32" s="2" t="s">
        <v>72</v>
      </c>
      <c r="F32" s="1"/>
      <c r="G32" s="33">
        <v>5672.9500000000007</v>
      </c>
      <c r="H32" s="33">
        <v>6068.77</v>
      </c>
      <c r="I32" s="33">
        <f t="shared" si="0"/>
        <v>-395.81999999999971</v>
      </c>
      <c r="J32" s="4">
        <f>G32/VLOOKUP(A32,RESUME!$G$3:$I$10,3,FALSE)</f>
        <v>2.2891310590933921E-2</v>
      </c>
      <c r="K32" s="4">
        <f t="shared" si="1"/>
        <v>2.1398283411109432E-2</v>
      </c>
      <c r="L32" s="59" t="s">
        <v>359</v>
      </c>
    </row>
    <row r="33" spans="1:12" ht="15.75" x14ac:dyDescent="0.25">
      <c r="A33" s="1" t="s">
        <v>329</v>
      </c>
      <c r="B33" s="36" t="s">
        <v>76</v>
      </c>
      <c r="C33" s="1" t="s">
        <v>77</v>
      </c>
      <c r="D33" s="2" t="s">
        <v>15</v>
      </c>
      <c r="E33" s="2" t="s">
        <v>75</v>
      </c>
      <c r="F33" s="1"/>
      <c r="G33" s="33">
        <v>4918.54</v>
      </c>
      <c r="H33" s="33">
        <v>10036.620000000001</v>
      </c>
      <c r="I33" s="33">
        <f t="shared" si="0"/>
        <v>-5118.0800000000008</v>
      </c>
      <c r="J33" s="4">
        <f>G33/VLOOKUP(A33,RESUME!$G$3:$I$10,3,FALSE)</f>
        <v>1.9847138930174268E-2</v>
      </c>
      <c r="K33" s="4">
        <f t="shared" si="1"/>
        <v>9.726277044823789E-3</v>
      </c>
      <c r="L33" s="59" t="s">
        <v>359</v>
      </c>
    </row>
    <row r="34" spans="1:12" ht="15.75" x14ac:dyDescent="0.25">
      <c r="A34" s="1" t="s">
        <v>329</v>
      </c>
      <c r="B34" s="36" t="s">
        <v>80</v>
      </c>
      <c r="C34" s="1" t="s">
        <v>81</v>
      </c>
      <c r="D34" s="2" t="s">
        <v>15</v>
      </c>
      <c r="E34" s="2" t="s">
        <v>158</v>
      </c>
      <c r="F34" s="1"/>
      <c r="G34" s="33">
        <v>1600</v>
      </c>
      <c r="H34" s="33">
        <v>1611.02</v>
      </c>
      <c r="I34" s="33">
        <f t="shared" si="0"/>
        <v>-11.019999999999982</v>
      </c>
      <c r="J34" s="4">
        <f>G34/VLOOKUP(A34,RESUME!$G$3:$I$10,3,FALSE)</f>
        <v>6.4562700086364709E-3</v>
      </c>
      <c r="K34" s="4">
        <f t="shared" si="1"/>
        <v>6.4121066242618669E-3</v>
      </c>
      <c r="L34" s="59" t="s">
        <v>359</v>
      </c>
    </row>
    <row r="35" spans="1:12" ht="15.75" x14ac:dyDescent="0.25">
      <c r="A35" s="1" t="s">
        <v>329</v>
      </c>
      <c r="B35" s="36" t="s">
        <v>154</v>
      </c>
      <c r="C35" s="1" t="s">
        <v>84</v>
      </c>
      <c r="D35" s="2" t="s">
        <v>15</v>
      </c>
      <c r="E35" s="2" t="s">
        <v>75</v>
      </c>
      <c r="F35" s="1"/>
      <c r="G35" s="33">
        <v>3106.38</v>
      </c>
      <c r="H35" s="33">
        <v>3273.37</v>
      </c>
      <c r="I35" s="33">
        <f t="shared" si="0"/>
        <v>-166.98999999999978</v>
      </c>
      <c r="J35" s="4">
        <f>G35/VLOOKUP(A35,RESUME!$G$3:$I$10,3,FALSE)</f>
        <v>1.2534767518392602E-2</v>
      </c>
      <c r="K35" s="4">
        <f t="shared" si="1"/>
        <v>1.1895310069984271E-2</v>
      </c>
      <c r="L35" s="59" t="s">
        <v>359</v>
      </c>
    </row>
    <row r="36" spans="1:12" ht="15.75" x14ac:dyDescent="0.25">
      <c r="A36" s="1" t="s">
        <v>329</v>
      </c>
      <c r="B36" s="36" t="s">
        <v>96</v>
      </c>
      <c r="C36" s="1" t="s">
        <v>97</v>
      </c>
      <c r="D36" s="2" t="s">
        <v>15</v>
      </c>
      <c r="E36" s="2" t="s">
        <v>157</v>
      </c>
      <c r="F36" s="1"/>
      <c r="G36" s="33">
        <v>97892.700000000012</v>
      </c>
      <c r="H36" s="33">
        <v>96162.38</v>
      </c>
      <c r="I36" s="33">
        <f t="shared" si="0"/>
        <v>1730.320000000007</v>
      </c>
      <c r="J36" s="4">
        <f>G36/VLOOKUP(A36,RESUME!$G$3:$I$10,3,FALSE)</f>
        <v>0.39501356442152974</v>
      </c>
      <c r="K36" s="4">
        <f t="shared" si="1"/>
        <v>0.4021213322491341</v>
      </c>
      <c r="L36" s="59" t="s">
        <v>358</v>
      </c>
    </row>
    <row r="37" spans="1:12" ht="15.75" x14ac:dyDescent="0.25">
      <c r="A37" s="1" t="s">
        <v>329</v>
      </c>
      <c r="B37" s="36" t="s">
        <v>104</v>
      </c>
      <c r="C37" s="1" t="s">
        <v>105</v>
      </c>
      <c r="D37" s="2" t="s">
        <v>15</v>
      </c>
      <c r="E37" s="2" t="s">
        <v>158</v>
      </c>
      <c r="F37" s="1"/>
      <c r="G37" s="33">
        <v>300</v>
      </c>
      <c r="H37" s="33"/>
      <c r="I37" s="33">
        <f t="shared" si="0"/>
        <v>300</v>
      </c>
      <c r="J37" s="4">
        <f>G37/VLOOKUP(A37,RESUME!$G$3:$I$10,3,FALSE)</f>
        <v>1.2105506266193384E-3</v>
      </c>
      <c r="K37" s="4" t="str">
        <f t="shared" si="1"/>
        <v/>
      </c>
      <c r="L37" s="59" t="s">
        <v>358</v>
      </c>
    </row>
    <row r="38" spans="1:12" ht="15.75" x14ac:dyDescent="0.25">
      <c r="A38" s="1" t="s">
        <v>329</v>
      </c>
      <c r="B38" s="36" t="s">
        <v>106</v>
      </c>
      <c r="C38" s="1" t="s">
        <v>107</v>
      </c>
      <c r="D38" s="2" t="s">
        <v>15</v>
      </c>
      <c r="E38" s="2" t="s">
        <v>158</v>
      </c>
      <c r="F38" s="1"/>
      <c r="G38" s="33">
        <v>300</v>
      </c>
      <c r="H38" s="33"/>
      <c r="I38" s="33">
        <f t="shared" si="0"/>
        <v>300</v>
      </c>
      <c r="J38" s="4">
        <f>G38/VLOOKUP(A38,RESUME!$G$3:$I$10,3,FALSE)</f>
        <v>1.2105506266193384E-3</v>
      </c>
      <c r="K38" s="4" t="str">
        <f t="shared" si="1"/>
        <v/>
      </c>
      <c r="L38" s="59" t="s">
        <v>358</v>
      </c>
    </row>
    <row r="39" spans="1:12" ht="15.75" x14ac:dyDescent="0.25">
      <c r="A39" s="1" t="s">
        <v>329</v>
      </c>
      <c r="B39" s="36" t="s">
        <v>108</v>
      </c>
      <c r="C39" s="1" t="s">
        <v>109</v>
      </c>
      <c r="D39" s="2" t="s">
        <v>15</v>
      </c>
      <c r="E39" s="2" t="s">
        <v>158</v>
      </c>
      <c r="F39" s="1"/>
      <c r="G39" s="33">
        <v>300</v>
      </c>
      <c r="H39" s="33">
        <v>5264.88</v>
      </c>
      <c r="I39" s="33">
        <f t="shared" si="0"/>
        <v>-4964.88</v>
      </c>
      <c r="J39" s="4">
        <f>G39/VLOOKUP(A39,RESUME!$G$3:$I$10,3,FALSE)</f>
        <v>1.2105506266193384E-3</v>
      </c>
      <c r="K39" s="4">
        <f t="shared" si="1"/>
        <v>6.897881584875657E-5</v>
      </c>
      <c r="L39" s="59" t="s">
        <v>359</v>
      </c>
    </row>
    <row r="40" spans="1:12" ht="15.75" x14ac:dyDescent="0.25">
      <c r="A40" s="1" t="s">
        <v>329</v>
      </c>
      <c r="B40" s="36" t="s">
        <v>112</v>
      </c>
      <c r="C40" s="1" t="s">
        <v>113</v>
      </c>
      <c r="D40" s="2" t="s">
        <v>15</v>
      </c>
      <c r="E40" s="2" t="s">
        <v>158</v>
      </c>
      <c r="F40" s="1"/>
      <c r="G40" s="33">
        <v>300</v>
      </c>
      <c r="H40" s="33"/>
      <c r="I40" s="33">
        <f t="shared" si="0"/>
        <v>300</v>
      </c>
      <c r="J40" s="4">
        <f>G40/VLOOKUP(A40,RESUME!$G$3:$I$10,3,FALSE)</f>
        <v>1.2105506266193384E-3</v>
      </c>
      <c r="K40" s="4" t="str">
        <f t="shared" si="1"/>
        <v/>
      </c>
      <c r="L40" s="59" t="s">
        <v>358</v>
      </c>
    </row>
    <row r="41" spans="1:12" ht="15.75" x14ac:dyDescent="0.25">
      <c r="A41" s="1" t="s">
        <v>329</v>
      </c>
      <c r="B41" s="36" t="s">
        <v>124</v>
      </c>
      <c r="C41" s="1" t="s">
        <v>125</v>
      </c>
      <c r="D41" s="2" t="s">
        <v>15</v>
      </c>
      <c r="E41" s="2" t="s">
        <v>158</v>
      </c>
      <c r="F41" s="1"/>
      <c r="G41" s="33">
        <v>2346.61</v>
      </c>
      <c r="H41" s="33">
        <v>7431.88</v>
      </c>
      <c r="I41" s="33">
        <f t="shared" si="0"/>
        <v>-5085.2700000000004</v>
      </c>
      <c r="J41" s="4">
        <f>G41/VLOOKUP(A41,RESUME!$G$3:$I$10,3,FALSE)</f>
        <v>9.46896735310402E-3</v>
      </c>
      <c r="K41" s="4">
        <f t="shared" si="1"/>
        <v>2.9898186569841585E-3</v>
      </c>
      <c r="L41" s="59" t="s">
        <v>359</v>
      </c>
    </row>
    <row r="42" spans="1:12" ht="15.75" x14ac:dyDescent="0.25">
      <c r="A42" s="1" t="s">
        <v>329</v>
      </c>
      <c r="B42" s="36" t="s">
        <v>126</v>
      </c>
      <c r="C42" s="1" t="s">
        <v>127</v>
      </c>
      <c r="D42" s="2" t="s">
        <v>15</v>
      </c>
      <c r="E42" s="2" t="s">
        <v>158</v>
      </c>
      <c r="F42" s="1"/>
      <c r="G42" s="33">
        <v>483</v>
      </c>
      <c r="H42" s="33"/>
      <c r="I42" s="33">
        <f t="shared" si="0"/>
        <v>483</v>
      </c>
      <c r="J42" s="4">
        <f>G42/VLOOKUP(A42,RESUME!$G$3:$I$10,3,FALSE)</f>
        <v>1.9489865088571348E-3</v>
      </c>
      <c r="K42" s="4" t="str">
        <f t="shared" si="1"/>
        <v/>
      </c>
      <c r="L42" s="59" t="s">
        <v>358</v>
      </c>
    </row>
  </sheetData>
  <conditionalFormatting sqref="L6:L42">
    <cfRule type="containsText" dxfId="1" priority="1" operator="containsText" text="OVER">
      <formula>NOT(ISERROR(SEARCH("OVER",L6)))</formula>
    </cfRule>
  </conditionalFormatting>
  <hyperlinks>
    <hyperlink ref="B6" r:id="rId1" xr:uid="{202C0EC3-10C8-48E1-AE0C-D1C71545F422}"/>
    <hyperlink ref="B7" r:id="rId2" xr:uid="{8801095E-5A77-4901-8FCD-C44682A13A35}"/>
    <hyperlink ref="B8" r:id="rId3" xr:uid="{4DA8B2D4-D9BD-4402-BE5E-FD4CDAF7CF71}"/>
    <hyperlink ref="B9" r:id="rId4" xr:uid="{E645AAAF-CFD9-4765-BE1A-E71DFD53E22F}"/>
    <hyperlink ref="B10" r:id="rId5" xr:uid="{7F2769CE-80CA-4DA4-AB66-DCCC8D22AF0C}"/>
    <hyperlink ref="B11" r:id="rId6" xr:uid="{D70E8DB3-1F52-47B1-A7FD-93878F259373}"/>
    <hyperlink ref="B12" r:id="rId7" xr:uid="{B6BF914C-D427-41E3-8E4F-B06DE6C615B0}"/>
    <hyperlink ref="B13" r:id="rId8" xr:uid="{58EF7EE9-7A39-43D2-ABD2-DBD1A75511AE}"/>
    <hyperlink ref="B14" r:id="rId9" xr:uid="{8DF8F74D-A03A-4EA7-8551-30FCE0D16B50}"/>
    <hyperlink ref="B15" r:id="rId10" xr:uid="{1CA0AD21-38E9-4777-9120-C11845AD3833}"/>
    <hyperlink ref="B16" r:id="rId11" xr:uid="{B0A7C6FD-2669-4A30-8659-5F78DF9F33B1}"/>
    <hyperlink ref="B17" r:id="rId12" xr:uid="{44EF2042-E9D2-4CC8-B2A5-ED64D82D1032}"/>
    <hyperlink ref="B18" r:id="rId13" xr:uid="{8CAFED34-A2FA-4A94-A1CB-05E363FA999C}"/>
    <hyperlink ref="B19" r:id="rId14" xr:uid="{426F833F-1E2D-4745-ACCB-F92D0AA1D4EB}"/>
    <hyperlink ref="B20" r:id="rId15" xr:uid="{07964707-F43C-4379-97D6-CC82D35DD8E2}"/>
    <hyperlink ref="B21" r:id="rId16" xr:uid="{9DA201EB-FE6F-4CE8-A4C3-915325594338}"/>
    <hyperlink ref="B22" r:id="rId17" xr:uid="{E39CF283-1CA6-41FD-B828-D5DC0D2BA525}"/>
    <hyperlink ref="B23" r:id="rId18" xr:uid="{A2B19D95-642F-4278-AB70-E0B6E8285164}"/>
    <hyperlink ref="B24" r:id="rId19" xr:uid="{E6E11A8A-883F-458F-A8DD-A301A3F4D393}"/>
    <hyperlink ref="B25" r:id="rId20" xr:uid="{894C6780-7351-4282-ADFA-307572EDAEBE}"/>
    <hyperlink ref="B26" r:id="rId21" xr:uid="{B235E669-844E-4C28-B553-CA1B8E406746}"/>
    <hyperlink ref="B27" r:id="rId22" xr:uid="{773570E1-A4F3-412A-81AC-6A432C521490}"/>
    <hyperlink ref="B28" r:id="rId23" xr:uid="{891B5B75-358D-40C4-AB6B-5FD59F52998A}"/>
    <hyperlink ref="B29" r:id="rId24" xr:uid="{DC232BD0-F930-4638-B231-43712549C381}"/>
    <hyperlink ref="B30" r:id="rId25" xr:uid="{284A5C67-FF98-47C0-A50B-A40853A848EC}"/>
    <hyperlink ref="B31" r:id="rId26" xr:uid="{256599D5-914D-41E8-A192-3AD8E3EB0A29}"/>
    <hyperlink ref="B32" r:id="rId27" xr:uid="{48B8BA2E-F0F6-4E07-BFC8-2D6FD2F63899}"/>
    <hyperlink ref="B33" r:id="rId28" xr:uid="{4E5B8514-1F3C-453B-8615-EDD4C9DE28D8}"/>
    <hyperlink ref="B34" r:id="rId29" xr:uid="{0F8B6AC0-B567-44DD-A0E2-3E92CD18CD4C}"/>
    <hyperlink ref="B35" r:id="rId30" xr:uid="{8235142E-693F-41BB-B262-90F3015B4636}"/>
    <hyperlink ref="B36" r:id="rId31" xr:uid="{B2DFFB61-9CC6-493B-87D5-9A402B96CE26}"/>
    <hyperlink ref="B37" r:id="rId32" xr:uid="{C04AC510-A7EA-4456-B401-E5700F6072D5}"/>
    <hyperlink ref="B38" r:id="rId33" xr:uid="{90468519-AC22-4B77-A816-953E134191EF}"/>
    <hyperlink ref="B39" r:id="rId34" xr:uid="{7B8B27C7-7E5C-4768-93AD-7D83F129724C}"/>
    <hyperlink ref="B40" r:id="rId35" xr:uid="{B17C91A9-9370-4A74-979C-12D689D4B1D9}"/>
    <hyperlink ref="B41" r:id="rId36" xr:uid="{BC645C9E-094A-4FBD-8754-D7D9295338CB}"/>
    <hyperlink ref="B42" r:id="rId37" xr:uid="{CC31B9F9-C819-45DE-8369-FC5519FAF29F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E4A8-719D-443D-92A9-3D388CA8980D}">
  <sheetPr codeName="Sheet26"/>
  <dimension ref="A5:Z15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32.28515625" bestFit="1" customWidth="1"/>
    <col min="3" max="3" width="119.28515625" bestFit="1" customWidth="1"/>
    <col min="4" max="4" width="12.28515625" bestFit="1" customWidth="1"/>
    <col min="5" max="5" width="7.140625" bestFit="1" customWidth="1"/>
    <col min="6" max="6" width="8.85546875" bestFit="1" customWidth="1"/>
    <col min="7" max="7" width="19.28515625" bestFit="1" customWidth="1"/>
    <col min="8" max="8" width="12.140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159</v>
      </c>
      <c r="B6" s="36" t="s">
        <v>160</v>
      </c>
      <c r="C6" s="1" t="s">
        <v>161</v>
      </c>
      <c r="D6" s="2" t="s">
        <v>13</v>
      </c>
      <c r="E6" s="2" t="s">
        <v>75</v>
      </c>
      <c r="F6" s="1"/>
      <c r="G6" s="33">
        <v>943.01</v>
      </c>
      <c r="H6" s="33">
        <v>6118.58</v>
      </c>
      <c r="I6" s="33">
        <f t="shared" ref="I6:I15" si="0">G6-H6</f>
        <v>-5175.57</v>
      </c>
      <c r="J6" s="4">
        <f>G6/VLOOKUP(A6,RESUME!$G$3:$I$10,3,FALSE)</f>
        <v>1.0674639092355137E-2</v>
      </c>
      <c r="K6" s="4">
        <f t="shared" ref="K6:K15" si="1">IFERROR((G6/H6)*J6,"")</f>
        <v>1.6452005874699387E-3</v>
      </c>
      <c r="L6" s="59" t="s">
        <v>359</v>
      </c>
    </row>
    <row r="7" spans="1:26" ht="15.75" x14ac:dyDescent="0.25">
      <c r="A7" s="1" t="s">
        <v>159</v>
      </c>
      <c r="B7" s="36" t="s">
        <v>162</v>
      </c>
      <c r="C7" s="1" t="s">
        <v>163</v>
      </c>
      <c r="D7" s="2" t="s">
        <v>13</v>
      </c>
      <c r="E7" s="2" t="s">
        <v>72</v>
      </c>
      <c r="F7" s="1"/>
      <c r="G7" s="33">
        <v>3000</v>
      </c>
      <c r="H7" s="33">
        <v>1795.09</v>
      </c>
      <c r="I7" s="33">
        <f t="shared" si="0"/>
        <v>1204.9100000000001</v>
      </c>
      <c r="J7" s="4">
        <f>G7/VLOOKUP(A7,RESUME!$G$3:$I$10,3,FALSE)</f>
        <v>3.3959255232781635E-2</v>
      </c>
      <c r="K7" s="4">
        <f t="shared" si="1"/>
        <v>5.6753569847943504E-2</v>
      </c>
      <c r="L7" s="59" t="s">
        <v>358</v>
      </c>
    </row>
    <row r="8" spans="1:26" ht="15.75" x14ac:dyDescent="0.25">
      <c r="A8" s="1" t="s">
        <v>159</v>
      </c>
      <c r="B8" s="36" t="s">
        <v>164</v>
      </c>
      <c r="C8" s="1" t="s">
        <v>165</v>
      </c>
      <c r="D8" s="2" t="s">
        <v>13</v>
      </c>
      <c r="E8" s="2" t="s">
        <v>166</v>
      </c>
      <c r="F8" s="1"/>
      <c r="G8" s="33">
        <v>27000</v>
      </c>
      <c r="H8" s="33">
        <v>23517.599999999999</v>
      </c>
      <c r="I8" s="33">
        <f t="shared" si="0"/>
        <v>3482.4000000000015</v>
      </c>
      <c r="J8" s="4">
        <f>G8/VLOOKUP(A8,RESUME!$G$3:$I$10,3,FALSE)</f>
        <v>0.30563329709503473</v>
      </c>
      <c r="K8" s="4">
        <f t="shared" si="1"/>
        <v>0.35089035537495056</v>
      </c>
      <c r="L8" s="59" t="s">
        <v>358</v>
      </c>
    </row>
    <row r="9" spans="1:26" ht="15.75" x14ac:dyDescent="0.25">
      <c r="A9" s="1" t="s">
        <v>159</v>
      </c>
      <c r="B9" s="36" t="s">
        <v>167</v>
      </c>
      <c r="C9" s="1" t="s">
        <v>168</v>
      </c>
      <c r="D9" s="2" t="s">
        <v>13</v>
      </c>
      <c r="E9" s="2" t="s">
        <v>72</v>
      </c>
      <c r="F9" s="1"/>
      <c r="G9" s="33">
        <v>743.73</v>
      </c>
      <c r="H9" s="33">
        <v>743.73</v>
      </c>
      <c r="I9" s="33">
        <f t="shared" si="0"/>
        <v>0</v>
      </c>
      <c r="J9" s="4">
        <f>G9/VLOOKUP(A9,RESUME!$G$3:$I$10,3,FALSE)</f>
        <v>8.4188389647588957E-3</v>
      </c>
      <c r="K9" s="4">
        <f t="shared" si="1"/>
        <v>8.4188389647588957E-3</v>
      </c>
      <c r="L9" s="59" t="s">
        <v>359</v>
      </c>
    </row>
    <row r="10" spans="1:26" ht="15.75" x14ac:dyDescent="0.25">
      <c r="A10" s="1" t="s">
        <v>159</v>
      </c>
      <c r="B10" s="36" t="s">
        <v>169</v>
      </c>
      <c r="C10" s="1" t="s">
        <v>170</v>
      </c>
      <c r="D10" s="2" t="s">
        <v>13</v>
      </c>
      <c r="E10" s="2" t="s">
        <v>171</v>
      </c>
      <c r="F10" s="1"/>
      <c r="G10" s="33">
        <v>2000</v>
      </c>
      <c r="H10" s="33">
        <v>883.08</v>
      </c>
      <c r="I10" s="33">
        <f t="shared" si="0"/>
        <v>1116.92</v>
      </c>
      <c r="J10" s="4">
        <f>G10/VLOOKUP(A10,RESUME!$G$3:$I$10,3,FALSE)</f>
        <v>2.263950348852109E-2</v>
      </c>
      <c r="K10" s="4">
        <f t="shared" si="1"/>
        <v>5.1273958165785859E-2</v>
      </c>
      <c r="L10" s="59" t="s">
        <v>358</v>
      </c>
    </row>
    <row r="11" spans="1:26" ht="15.75" x14ac:dyDescent="0.25">
      <c r="A11" s="1" t="s">
        <v>159</v>
      </c>
      <c r="B11" s="36" t="s">
        <v>169</v>
      </c>
      <c r="C11" s="1" t="s">
        <v>170</v>
      </c>
      <c r="D11" s="2" t="s">
        <v>101</v>
      </c>
      <c r="E11" s="2" t="s">
        <v>171</v>
      </c>
      <c r="F11" s="1"/>
      <c r="G11" s="33">
        <v>1000</v>
      </c>
      <c r="H11" s="33">
        <v>91.75</v>
      </c>
      <c r="I11" s="33">
        <f t="shared" si="0"/>
        <v>908.25</v>
      </c>
      <c r="J11" s="4">
        <f>G11/VLOOKUP(A11,RESUME!$G$3:$I$10,3,FALSE)</f>
        <v>1.1319751744260545E-2</v>
      </c>
      <c r="K11" s="4">
        <f t="shared" si="1"/>
        <v>0.12337604080937922</v>
      </c>
      <c r="L11" s="59" t="s">
        <v>358</v>
      </c>
    </row>
    <row r="12" spans="1:26" ht="15.75" x14ac:dyDescent="0.25">
      <c r="A12" s="1" t="s">
        <v>159</v>
      </c>
      <c r="B12" s="36" t="s">
        <v>169</v>
      </c>
      <c r="C12" s="1" t="s">
        <v>170</v>
      </c>
      <c r="D12" s="2" t="s">
        <v>24</v>
      </c>
      <c r="E12" s="2" t="s">
        <v>171</v>
      </c>
      <c r="F12" s="1"/>
      <c r="G12" s="33">
        <v>1000</v>
      </c>
      <c r="H12" s="33">
        <v>33.56</v>
      </c>
      <c r="I12" s="33">
        <f t="shared" si="0"/>
        <v>966.44</v>
      </c>
      <c r="J12" s="4">
        <f>G12/VLOOKUP(A12,RESUME!$G$3:$I$10,3,FALSE)</f>
        <v>1.1319751744260545E-2</v>
      </c>
      <c r="K12" s="4">
        <f t="shared" si="1"/>
        <v>0.33729891967403292</v>
      </c>
      <c r="L12" s="59" t="s">
        <v>358</v>
      </c>
    </row>
    <row r="13" spans="1:26" ht="15.75" x14ac:dyDescent="0.25">
      <c r="A13" s="1" t="s">
        <v>159</v>
      </c>
      <c r="B13" s="36" t="s">
        <v>169</v>
      </c>
      <c r="C13" s="1" t="s">
        <v>170</v>
      </c>
      <c r="D13" s="2" t="s">
        <v>15</v>
      </c>
      <c r="E13" s="2" t="s">
        <v>171</v>
      </c>
      <c r="F13" s="1"/>
      <c r="G13" s="33">
        <v>1000</v>
      </c>
      <c r="H13" s="33">
        <v>527.22</v>
      </c>
      <c r="I13" s="33">
        <f t="shared" si="0"/>
        <v>472.78</v>
      </c>
      <c r="J13" s="4">
        <f>G13/VLOOKUP(A13,RESUME!$G$3:$I$10,3,FALSE)</f>
        <v>1.1319751744260545E-2</v>
      </c>
      <c r="K13" s="4">
        <f t="shared" si="1"/>
        <v>2.1470641751565846E-2</v>
      </c>
      <c r="L13" s="59" t="s">
        <v>358</v>
      </c>
    </row>
    <row r="14" spans="1:26" ht="15.75" x14ac:dyDescent="0.25">
      <c r="A14" s="1" t="s">
        <v>159</v>
      </c>
      <c r="B14" s="36" t="s">
        <v>146</v>
      </c>
      <c r="C14" s="1" t="s">
        <v>147</v>
      </c>
      <c r="D14" s="2" t="s">
        <v>13</v>
      </c>
      <c r="E14" s="2" t="s">
        <v>148</v>
      </c>
      <c r="F14" s="1"/>
      <c r="G14" s="33">
        <v>45654.420000000006</v>
      </c>
      <c r="H14" s="33">
        <v>45027.69</v>
      </c>
      <c r="I14" s="33">
        <f t="shared" si="0"/>
        <v>626.7300000000032</v>
      </c>
      <c r="J14" s="4">
        <f>G14/VLOOKUP(A14,RESUME!$G$3:$I$10,3,FALSE)</f>
        <v>0.51679670042820358</v>
      </c>
      <c r="K14" s="4">
        <f t="shared" si="1"/>
        <v>0.52398987414107601</v>
      </c>
      <c r="L14" s="59" t="s">
        <v>358</v>
      </c>
    </row>
    <row r="15" spans="1:26" ht="15.75" x14ac:dyDescent="0.25">
      <c r="A15" s="1" t="s">
        <v>159</v>
      </c>
      <c r="B15" s="36" t="s">
        <v>146</v>
      </c>
      <c r="C15" s="1" t="s">
        <v>147</v>
      </c>
      <c r="D15" s="2" t="s">
        <v>15</v>
      </c>
      <c r="E15" s="2" t="s">
        <v>148</v>
      </c>
      <c r="F15" s="1"/>
      <c r="G15" s="33">
        <v>6000</v>
      </c>
      <c r="H15" s="33">
        <v>5877.26</v>
      </c>
      <c r="I15" s="33">
        <f t="shared" si="0"/>
        <v>122.73999999999978</v>
      </c>
      <c r="J15" s="4">
        <f>G15/VLOOKUP(A15,RESUME!$G$3:$I$10,3,FALSE)</f>
        <v>6.791851046556327E-2</v>
      </c>
      <c r="K15" s="4">
        <f t="shared" si="1"/>
        <v>6.9336912573780912E-2</v>
      </c>
      <c r="L15" s="59" t="s">
        <v>358</v>
      </c>
    </row>
  </sheetData>
  <conditionalFormatting sqref="L6:L15">
    <cfRule type="containsText" dxfId="0" priority="1" operator="containsText" text="OVER">
      <formula>NOT(ISERROR(SEARCH("OVER",L6)))</formula>
    </cfRule>
  </conditionalFormatting>
  <hyperlinks>
    <hyperlink ref="B6" r:id="rId1" xr:uid="{791920F3-59AF-4549-8F98-C9BC70F26A79}"/>
    <hyperlink ref="B7" r:id="rId2" xr:uid="{4C4D2241-4B63-4C9C-94B2-C1C1C1B5FF0C}"/>
    <hyperlink ref="B8" r:id="rId3" xr:uid="{46AFAB48-A7D4-4403-B6F2-43E7FF504065}"/>
    <hyperlink ref="B9" r:id="rId4" xr:uid="{ABD854E5-40BD-433E-BD2A-33742D56D525}"/>
    <hyperlink ref="B10" r:id="rId5" xr:uid="{00D4201B-1984-4D47-A444-9898C9EAEF03}"/>
    <hyperlink ref="B11" r:id="rId6" xr:uid="{7DE7ECFE-ED33-4DF9-8810-C9D9A2C8EB61}"/>
    <hyperlink ref="B12" r:id="rId7" xr:uid="{1AFA3066-2BBD-44F1-828E-587C05EF0209}"/>
    <hyperlink ref="B13" r:id="rId8" xr:uid="{D349271B-073B-46C5-B3ED-8A309BC58283}"/>
    <hyperlink ref="B14" r:id="rId9" xr:uid="{2037617B-4A6B-4ADF-9D35-E88E877E4987}"/>
    <hyperlink ref="B15" r:id="rId10" xr:uid="{6FFAF365-AD29-4041-82D7-A28B339F36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(HOME)</vt:lpstr>
      <vt:lpstr>Ref1</vt:lpstr>
      <vt:lpstr>All Costing</vt:lpstr>
      <vt:lpstr>RESUME</vt:lpstr>
      <vt:lpstr>Ref_Account</vt:lpstr>
      <vt:lpstr>temp_laporan1</vt:lpstr>
      <vt:lpstr>Asep Ridwan Subiana</vt:lpstr>
      <vt:lpstr>Choeruman</vt:lpstr>
      <vt:lpstr>Firawaty</vt:lpstr>
      <vt:lpstr>Fungfung</vt:lpstr>
      <vt:lpstr>Owi Wijaya</vt:lpstr>
      <vt:lpstr>Wawan Iskandar</vt:lpstr>
      <vt:lpstr>Tony Teja</vt:lpstr>
      <vt:lpstr>Santy Silalahi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2024-02-16T06:25:53Z</dcterms:modified>
</cp:coreProperties>
</file>