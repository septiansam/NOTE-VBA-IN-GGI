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2)\"/>
    </mc:Choice>
  </mc:AlternateContent>
  <xr:revisionPtr revIDLastSave="0" documentId="13_ncr:1_{D6451302-F906-44E5-AD86-824C0CA4E249}" xr6:coauthVersionLast="47" xr6:coauthVersionMax="47" xr10:uidLastSave="{00000000-0000-0000-0000-000000000000}"/>
  <bookViews>
    <workbookView xWindow="-120" yWindow="-120" windowWidth="20640" windowHeight="11160" activeTab="7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temp_laporan1" sheetId="14" state="hidden" r:id="rId5"/>
    <sheet name="Material_Cost" sheetId="107" r:id="rId6"/>
    <sheet name="All Costing" sheetId="1" r:id="rId7"/>
    <sheet name="Production_Cost" sheetId="108" r:id="rId8"/>
    <sheet name="Ref_ProdCost" sheetId="123" r:id="rId9"/>
  </sheets>
  <functionGroups builtInGroupCount="19"/>
  <definedNames>
    <definedName name="_xlnm._FilterDatabase" localSheetId="6" hidden="1">'All Costing'!$A$5:$AA$162</definedName>
    <definedName name="_xlnm._FilterDatabase" localSheetId="7" hidden="1">Production_Cost!$A$4:$Q$140</definedName>
    <definedName name="_xlnm._FilterDatabase" localSheetId="8" hidden="1">Ref_ProdCost!$A$1:$B$33</definedName>
    <definedName name="_xlnm._FilterDatabase" localSheetId="1" hidden="1">'Ref1'!$A$1:$Z$13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" i="108" l="1"/>
  <c r="S5" i="108"/>
  <c r="R5" i="108"/>
  <c r="Q5" i="108"/>
  <c r="P5" i="108"/>
  <c r="O5" i="108"/>
  <c r="N5" i="108"/>
  <c r="M5" i="108"/>
  <c r="K5" i="108"/>
  <c r="AB6" i="1"/>
  <c r="AA6" i="1"/>
  <c r="R6" i="108"/>
  <c r="S6" i="108"/>
  <c r="T6" i="108"/>
  <c r="R7" i="108"/>
  <c r="S7" i="108"/>
  <c r="T7" i="108"/>
  <c r="R8" i="108"/>
  <c r="S8" i="108"/>
  <c r="T8" i="108"/>
  <c r="R9" i="108"/>
  <c r="S9" i="108"/>
  <c r="T9" i="108"/>
  <c r="R10" i="108"/>
  <c r="S10" i="108"/>
  <c r="T10" i="108"/>
  <c r="R11" i="108"/>
  <c r="S11" i="108"/>
  <c r="T11" i="108"/>
  <c r="R12" i="108"/>
  <c r="S12" i="108"/>
  <c r="T12" i="108"/>
  <c r="R13" i="108"/>
  <c r="S13" i="108"/>
  <c r="T13" i="108"/>
  <c r="R14" i="108"/>
  <c r="S14" i="108"/>
  <c r="T14" i="108"/>
  <c r="R15" i="108"/>
  <c r="S15" i="108"/>
  <c r="T15" i="108"/>
  <c r="R16" i="108"/>
  <c r="S16" i="108"/>
  <c r="T16" i="108"/>
  <c r="R17" i="108"/>
  <c r="S17" i="108"/>
  <c r="T17" i="108"/>
  <c r="R18" i="108"/>
  <c r="S18" i="108"/>
  <c r="T18" i="108"/>
  <c r="R19" i="108"/>
  <c r="S19" i="108"/>
  <c r="T19" i="108"/>
  <c r="R20" i="108"/>
  <c r="S20" i="108"/>
  <c r="T20" i="108"/>
  <c r="R21" i="108"/>
  <c r="S21" i="108"/>
  <c r="T21" i="108"/>
  <c r="R22" i="108"/>
  <c r="S22" i="108"/>
  <c r="T22" i="108"/>
  <c r="R23" i="108"/>
  <c r="S23" i="108"/>
  <c r="T23" i="108"/>
  <c r="R24" i="108"/>
  <c r="S24" i="108"/>
  <c r="T24" i="108"/>
  <c r="R25" i="108"/>
  <c r="S25" i="108"/>
  <c r="T25" i="108"/>
  <c r="R26" i="108"/>
  <c r="S26" i="108"/>
  <c r="T26" i="108"/>
  <c r="R27" i="108"/>
  <c r="S27" i="108"/>
  <c r="T27" i="108"/>
  <c r="R28" i="108"/>
  <c r="S28" i="108"/>
  <c r="T28" i="108"/>
  <c r="R29" i="108"/>
  <c r="S29" i="108"/>
  <c r="T29" i="108"/>
  <c r="R30" i="108"/>
  <c r="S30" i="108"/>
  <c r="T30" i="108"/>
  <c r="R31" i="108"/>
  <c r="S31" i="108"/>
  <c r="T31" i="108"/>
  <c r="R32" i="108"/>
  <c r="S32" i="108"/>
  <c r="T32" i="108"/>
  <c r="R33" i="108"/>
  <c r="S33" i="108"/>
  <c r="T33" i="108"/>
  <c r="R34" i="108"/>
  <c r="S34" i="108"/>
  <c r="T34" i="108"/>
  <c r="R35" i="108"/>
  <c r="S35" i="108"/>
  <c r="T35" i="108"/>
  <c r="R36" i="108"/>
  <c r="S36" i="108"/>
  <c r="T36" i="108"/>
  <c r="R37" i="108"/>
  <c r="S37" i="108"/>
  <c r="T37" i="108"/>
  <c r="R38" i="108"/>
  <c r="S38" i="108"/>
  <c r="T38" i="108"/>
  <c r="R39" i="108"/>
  <c r="S39" i="108"/>
  <c r="T39" i="108"/>
  <c r="R40" i="108"/>
  <c r="S40" i="108"/>
  <c r="T40" i="108"/>
  <c r="R41" i="108"/>
  <c r="S41" i="108"/>
  <c r="T41" i="108"/>
  <c r="R42" i="108"/>
  <c r="S42" i="108"/>
  <c r="T42" i="108"/>
  <c r="R43" i="108"/>
  <c r="S43" i="108"/>
  <c r="T43" i="108"/>
  <c r="R44" i="108"/>
  <c r="S44" i="108"/>
  <c r="T44" i="108"/>
  <c r="R45" i="108"/>
  <c r="S45" i="108"/>
  <c r="T45" i="108"/>
  <c r="R46" i="108"/>
  <c r="S46" i="108"/>
  <c r="T46" i="108"/>
  <c r="R47" i="108"/>
  <c r="S47" i="108"/>
  <c r="T47" i="108"/>
  <c r="R48" i="108"/>
  <c r="S48" i="108"/>
  <c r="T48" i="108"/>
  <c r="R49" i="108"/>
  <c r="S49" i="108"/>
  <c r="T49" i="108"/>
  <c r="R50" i="108"/>
  <c r="S50" i="108"/>
  <c r="T50" i="108"/>
  <c r="R51" i="108"/>
  <c r="S51" i="108"/>
  <c r="T51" i="108"/>
  <c r="R52" i="108"/>
  <c r="S52" i="108"/>
  <c r="T52" i="108"/>
  <c r="R53" i="108"/>
  <c r="S53" i="108"/>
  <c r="T53" i="108"/>
  <c r="R54" i="108"/>
  <c r="S54" i="108"/>
  <c r="T54" i="108"/>
  <c r="R55" i="108"/>
  <c r="S55" i="108"/>
  <c r="T55" i="108"/>
  <c r="R56" i="108"/>
  <c r="S56" i="108"/>
  <c r="T56" i="108"/>
  <c r="R57" i="108"/>
  <c r="S57" i="108"/>
  <c r="T57" i="108"/>
  <c r="R58" i="108"/>
  <c r="S58" i="108"/>
  <c r="T58" i="108"/>
  <c r="R59" i="108"/>
  <c r="S59" i="108"/>
  <c r="T59" i="108"/>
  <c r="R60" i="108"/>
  <c r="S60" i="108"/>
  <c r="T60" i="108"/>
  <c r="R61" i="108"/>
  <c r="S61" i="108"/>
  <c r="T61" i="108"/>
  <c r="R62" i="108"/>
  <c r="S62" i="108"/>
  <c r="T62" i="108"/>
  <c r="R63" i="108"/>
  <c r="S63" i="108"/>
  <c r="T63" i="108"/>
  <c r="R64" i="108"/>
  <c r="S64" i="108"/>
  <c r="T64" i="108"/>
  <c r="R65" i="108"/>
  <c r="S65" i="108"/>
  <c r="T65" i="108"/>
  <c r="R66" i="108"/>
  <c r="S66" i="108"/>
  <c r="T66" i="108"/>
  <c r="R67" i="108"/>
  <c r="S67" i="108"/>
  <c r="T67" i="108"/>
  <c r="R68" i="108"/>
  <c r="S68" i="108"/>
  <c r="T68" i="108"/>
  <c r="R69" i="108"/>
  <c r="S69" i="108"/>
  <c r="T69" i="108"/>
  <c r="R70" i="108"/>
  <c r="S70" i="108"/>
  <c r="T70" i="108"/>
  <c r="R71" i="108"/>
  <c r="S71" i="108"/>
  <c r="T71" i="108"/>
  <c r="R72" i="108"/>
  <c r="S72" i="108"/>
  <c r="T72" i="108"/>
  <c r="R73" i="108"/>
  <c r="S73" i="108"/>
  <c r="T73" i="108"/>
  <c r="R74" i="108"/>
  <c r="S74" i="108"/>
  <c r="T74" i="108"/>
  <c r="R75" i="108"/>
  <c r="S75" i="108"/>
  <c r="T75" i="108"/>
  <c r="R76" i="108"/>
  <c r="S76" i="108"/>
  <c r="T76" i="108"/>
  <c r="R77" i="108"/>
  <c r="S77" i="108"/>
  <c r="T77" i="108"/>
  <c r="R78" i="108"/>
  <c r="S78" i="108"/>
  <c r="T78" i="108"/>
  <c r="R79" i="108"/>
  <c r="S79" i="108"/>
  <c r="T79" i="108"/>
  <c r="R80" i="108"/>
  <c r="S80" i="108"/>
  <c r="T80" i="108"/>
  <c r="R81" i="108"/>
  <c r="S81" i="108"/>
  <c r="T81" i="108"/>
  <c r="R82" i="108"/>
  <c r="S82" i="108"/>
  <c r="T82" i="108"/>
  <c r="R83" i="108"/>
  <c r="S83" i="108"/>
  <c r="T83" i="108"/>
  <c r="R84" i="108"/>
  <c r="S84" i="108"/>
  <c r="T84" i="108"/>
  <c r="R85" i="108"/>
  <c r="S85" i="108"/>
  <c r="T85" i="108"/>
  <c r="R86" i="108"/>
  <c r="S86" i="108"/>
  <c r="T86" i="108"/>
  <c r="R87" i="108"/>
  <c r="S87" i="108"/>
  <c r="T87" i="108"/>
  <c r="R88" i="108"/>
  <c r="S88" i="108"/>
  <c r="T88" i="108"/>
  <c r="R89" i="108"/>
  <c r="S89" i="108"/>
  <c r="T89" i="108"/>
  <c r="R90" i="108"/>
  <c r="S90" i="108"/>
  <c r="T90" i="108"/>
  <c r="R91" i="108"/>
  <c r="S91" i="108"/>
  <c r="T91" i="108"/>
  <c r="R92" i="108"/>
  <c r="S92" i="108"/>
  <c r="T92" i="108"/>
  <c r="R93" i="108"/>
  <c r="S93" i="108"/>
  <c r="T93" i="108"/>
  <c r="R94" i="108"/>
  <c r="S94" i="108"/>
  <c r="T94" i="108"/>
  <c r="R95" i="108"/>
  <c r="S95" i="108"/>
  <c r="T95" i="108"/>
  <c r="R96" i="108"/>
  <c r="S96" i="108"/>
  <c r="T96" i="108"/>
  <c r="R97" i="108"/>
  <c r="S97" i="108"/>
  <c r="T97" i="108"/>
  <c r="R98" i="108"/>
  <c r="S98" i="108"/>
  <c r="T98" i="108"/>
  <c r="R99" i="108"/>
  <c r="S99" i="108"/>
  <c r="T99" i="108"/>
  <c r="R100" i="108"/>
  <c r="S100" i="108"/>
  <c r="T100" i="108"/>
  <c r="R101" i="108"/>
  <c r="S101" i="108"/>
  <c r="T101" i="108"/>
  <c r="R102" i="108"/>
  <c r="S102" i="108"/>
  <c r="T102" i="108"/>
  <c r="R103" i="108"/>
  <c r="S103" i="108"/>
  <c r="T103" i="108"/>
  <c r="R104" i="108"/>
  <c r="S104" i="108"/>
  <c r="T104" i="108"/>
  <c r="R105" i="108"/>
  <c r="S105" i="108"/>
  <c r="T105" i="108"/>
  <c r="R106" i="108"/>
  <c r="S106" i="108"/>
  <c r="T106" i="108"/>
  <c r="R107" i="108"/>
  <c r="S107" i="108"/>
  <c r="T107" i="108"/>
  <c r="R108" i="108"/>
  <c r="S108" i="108"/>
  <c r="T108" i="108"/>
  <c r="R109" i="108"/>
  <c r="S109" i="108"/>
  <c r="T109" i="108"/>
  <c r="R110" i="108"/>
  <c r="S110" i="108"/>
  <c r="T110" i="108"/>
  <c r="R111" i="108"/>
  <c r="S111" i="108"/>
  <c r="T111" i="108"/>
  <c r="R112" i="108"/>
  <c r="S112" i="108"/>
  <c r="T112" i="108"/>
  <c r="R113" i="108"/>
  <c r="S113" i="108"/>
  <c r="T113" i="108"/>
  <c r="R114" i="108"/>
  <c r="S114" i="108"/>
  <c r="T114" i="108"/>
  <c r="R115" i="108"/>
  <c r="S115" i="108"/>
  <c r="T115" i="108"/>
  <c r="R116" i="108"/>
  <c r="S116" i="108"/>
  <c r="T116" i="108"/>
  <c r="R117" i="108"/>
  <c r="S117" i="108"/>
  <c r="T117" i="108"/>
  <c r="R118" i="108"/>
  <c r="S118" i="108"/>
  <c r="T118" i="108"/>
  <c r="R119" i="108"/>
  <c r="S119" i="108"/>
  <c r="T119" i="108"/>
  <c r="R120" i="108"/>
  <c r="S120" i="108"/>
  <c r="T120" i="108"/>
  <c r="R121" i="108"/>
  <c r="S121" i="108"/>
  <c r="T121" i="108"/>
  <c r="R122" i="108"/>
  <c r="S122" i="108"/>
  <c r="T122" i="108"/>
  <c r="R123" i="108"/>
  <c r="S123" i="108"/>
  <c r="T123" i="108"/>
  <c r="R124" i="108"/>
  <c r="S124" i="108"/>
  <c r="T124" i="108"/>
  <c r="R125" i="108"/>
  <c r="S125" i="108"/>
  <c r="T125" i="108"/>
  <c r="R126" i="108"/>
  <c r="S126" i="108"/>
  <c r="T126" i="108"/>
  <c r="R127" i="108"/>
  <c r="S127" i="108"/>
  <c r="T127" i="108"/>
  <c r="R128" i="108"/>
  <c r="S128" i="108"/>
  <c r="T128" i="108"/>
  <c r="R129" i="108"/>
  <c r="S129" i="108"/>
  <c r="T129" i="108"/>
  <c r="R130" i="108"/>
  <c r="S130" i="108"/>
  <c r="T130" i="108"/>
  <c r="R131" i="108"/>
  <c r="S131" i="108"/>
  <c r="T131" i="108"/>
  <c r="R132" i="108"/>
  <c r="S132" i="108"/>
  <c r="T132" i="108"/>
  <c r="R133" i="108"/>
  <c r="S133" i="108"/>
  <c r="T133" i="108"/>
  <c r="R134" i="108"/>
  <c r="S134" i="108"/>
  <c r="T134" i="108"/>
  <c r="R135" i="108"/>
  <c r="S135" i="108"/>
  <c r="T135" i="108"/>
  <c r="R136" i="108"/>
  <c r="S136" i="108"/>
  <c r="T136" i="108"/>
  <c r="R137" i="108"/>
  <c r="S137" i="108"/>
  <c r="T137" i="108"/>
  <c r="R138" i="108"/>
  <c r="S138" i="108"/>
  <c r="T138" i="108"/>
  <c r="R139" i="108"/>
  <c r="S139" i="108"/>
  <c r="T139" i="108"/>
  <c r="R140" i="108"/>
  <c r="S140" i="108"/>
  <c r="T140" i="108"/>
  <c r="Q6" i="108"/>
  <c r="Q7" i="108"/>
  <c r="Q8" i="108"/>
  <c r="Q9" i="108"/>
  <c r="Q10" i="108"/>
  <c r="Q11" i="108"/>
  <c r="Q12" i="108"/>
  <c r="Q13" i="108"/>
  <c r="Q14" i="108"/>
  <c r="Q15" i="108"/>
  <c r="Q16" i="108"/>
  <c r="Q17" i="108"/>
  <c r="Q18" i="108"/>
  <c r="Q19" i="108"/>
  <c r="Q20" i="108"/>
  <c r="Q21" i="108"/>
  <c r="Q22" i="108"/>
  <c r="Q23" i="108"/>
  <c r="Q24" i="108"/>
  <c r="Q25" i="108"/>
  <c r="Q26" i="108"/>
  <c r="Q27" i="108"/>
  <c r="Q28" i="108"/>
  <c r="Q29" i="108"/>
  <c r="Q30" i="108"/>
  <c r="Q31" i="108"/>
  <c r="Q32" i="108"/>
  <c r="Q33" i="108"/>
  <c r="Q34" i="108"/>
  <c r="Q35" i="108"/>
  <c r="Q36" i="108"/>
  <c r="Q37" i="108"/>
  <c r="Q38" i="108"/>
  <c r="Q39" i="108"/>
  <c r="Q40" i="108"/>
  <c r="Q41" i="108"/>
  <c r="Q42" i="108"/>
  <c r="Q43" i="108"/>
  <c r="Q44" i="108"/>
  <c r="Q45" i="108"/>
  <c r="Q46" i="108"/>
  <c r="Q47" i="108"/>
  <c r="Q48" i="108"/>
  <c r="Q49" i="108"/>
  <c r="Q50" i="108"/>
  <c r="Q51" i="108"/>
  <c r="Q52" i="108"/>
  <c r="Q53" i="108"/>
  <c r="Q54" i="108"/>
  <c r="Q55" i="108"/>
  <c r="Q56" i="108"/>
  <c r="Q57" i="108"/>
  <c r="Q58" i="108"/>
  <c r="Q59" i="108"/>
  <c r="Q60" i="108"/>
  <c r="Q61" i="108"/>
  <c r="Q62" i="108"/>
  <c r="Q63" i="108"/>
  <c r="Q64" i="108"/>
  <c r="Q65" i="108"/>
  <c r="Q66" i="108"/>
  <c r="Q67" i="108"/>
  <c r="Q68" i="108"/>
  <c r="Q69" i="108"/>
  <c r="Q70" i="108"/>
  <c r="Q71" i="108"/>
  <c r="Q72" i="108"/>
  <c r="Q73" i="108"/>
  <c r="Q74" i="108"/>
  <c r="Q75" i="108"/>
  <c r="Q76" i="108"/>
  <c r="Q77" i="108"/>
  <c r="Q78" i="108"/>
  <c r="Q79" i="108"/>
  <c r="Q80" i="108"/>
  <c r="Q81" i="108"/>
  <c r="Q82" i="108"/>
  <c r="Q83" i="108"/>
  <c r="Q84" i="108"/>
  <c r="Q85" i="108"/>
  <c r="Q86" i="108"/>
  <c r="Q87" i="108"/>
  <c r="Q88" i="108"/>
  <c r="Q89" i="108"/>
  <c r="Q90" i="108"/>
  <c r="Q91" i="108"/>
  <c r="Q92" i="108"/>
  <c r="Q93" i="108"/>
  <c r="Q94" i="108"/>
  <c r="Q95" i="108"/>
  <c r="Q96" i="108"/>
  <c r="Q97" i="108"/>
  <c r="Q98" i="108"/>
  <c r="Q99" i="108"/>
  <c r="Q100" i="108"/>
  <c r="Q101" i="108"/>
  <c r="Q102" i="108"/>
  <c r="Q103" i="108"/>
  <c r="Q104" i="108"/>
  <c r="Q105" i="108"/>
  <c r="Q106" i="108"/>
  <c r="Q107" i="108"/>
  <c r="Q108" i="108"/>
  <c r="Q109" i="108"/>
  <c r="Q110" i="108"/>
  <c r="Q111" i="108"/>
  <c r="Q112" i="108"/>
  <c r="Q113" i="108"/>
  <c r="Q114" i="108"/>
  <c r="Q115" i="108"/>
  <c r="Q116" i="108"/>
  <c r="Q117" i="108"/>
  <c r="Q118" i="108"/>
  <c r="Q119" i="108"/>
  <c r="Q120" i="108"/>
  <c r="Q121" i="108"/>
  <c r="Q122" i="108"/>
  <c r="Q123" i="108"/>
  <c r="Q124" i="108"/>
  <c r="Q125" i="108"/>
  <c r="Q126" i="108"/>
  <c r="Q127" i="108"/>
  <c r="Q128" i="108"/>
  <c r="Q129" i="108"/>
  <c r="Q130" i="108"/>
  <c r="Q131" i="108"/>
  <c r="Q132" i="108"/>
  <c r="Q133" i="108"/>
  <c r="Q134" i="108"/>
  <c r="Q135" i="108"/>
  <c r="Q136" i="108"/>
  <c r="Q137" i="108"/>
  <c r="Q138" i="108"/>
  <c r="Q139" i="108"/>
  <c r="Q140" i="108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K6" i="108"/>
  <c r="K7" i="108"/>
  <c r="K8" i="108"/>
  <c r="K9" i="108"/>
  <c r="K10" i="108"/>
  <c r="K11" i="108"/>
  <c r="K12" i="108"/>
  <c r="K13" i="108"/>
  <c r="K14" i="108"/>
  <c r="K15" i="108"/>
  <c r="K16" i="108"/>
  <c r="K17" i="108"/>
  <c r="K18" i="108"/>
  <c r="K19" i="108"/>
  <c r="K20" i="108"/>
  <c r="K21" i="108"/>
  <c r="K22" i="108"/>
  <c r="K23" i="108"/>
  <c r="K24" i="108"/>
  <c r="K25" i="108"/>
  <c r="K26" i="108"/>
  <c r="K27" i="108"/>
  <c r="K28" i="108"/>
  <c r="K29" i="108"/>
  <c r="K30" i="108"/>
  <c r="K31" i="108"/>
  <c r="K32" i="108"/>
  <c r="K33" i="108"/>
  <c r="K34" i="108"/>
  <c r="K35" i="108"/>
  <c r="K36" i="108"/>
  <c r="K37" i="108"/>
  <c r="K38" i="108"/>
  <c r="K39" i="108"/>
  <c r="K40" i="108"/>
  <c r="K41" i="108"/>
  <c r="K42" i="108"/>
  <c r="K43" i="108"/>
  <c r="K44" i="108"/>
  <c r="K45" i="108"/>
  <c r="K46" i="108"/>
  <c r="K47" i="108"/>
  <c r="K48" i="108"/>
  <c r="K49" i="108"/>
  <c r="K50" i="108"/>
  <c r="K51" i="108"/>
  <c r="K52" i="108"/>
  <c r="K53" i="108"/>
  <c r="K54" i="108"/>
  <c r="K55" i="108"/>
  <c r="K56" i="108"/>
  <c r="K57" i="108"/>
  <c r="K58" i="108"/>
  <c r="K59" i="108"/>
  <c r="K60" i="108"/>
  <c r="K61" i="108"/>
  <c r="K62" i="108"/>
  <c r="K63" i="108"/>
  <c r="K64" i="108"/>
  <c r="K65" i="108"/>
  <c r="K66" i="108"/>
  <c r="K67" i="108"/>
  <c r="K68" i="108"/>
  <c r="K69" i="108"/>
  <c r="K70" i="108"/>
  <c r="K71" i="108"/>
  <c r="K72" i="108"/>
  <c r="K73" i="108"/>
  <c r="K74" i="108"/>
  <c r="K75" i="108"/>
  <c r="K76" i="108"/>
  <c r="K77" i="108"/>
  <c r="K78" i="108"/>
  <c r="K79" i="108"/>
  <c r="K80" i="108"/>
  <c r="K81" i="108"/>
  <c r="K82" i="108"/>
  <c r="K83" i="108"/>
  <c r="K84" i="108"/>
  <c r="K85" i="108"/>
  <c r="K86" i="108"/>
  <c r="K87" i="108"/>
  <c r="K88" i="108"/>
  <c r="K89" i="108"/>
  <c r="K90" i="108"/>
  <c r="K91" i="108"/>
  <c r="K92" i="108"/>
  <c r="K93" i="108"/>
  <c r="K94" i="108"/>
  <c r="K95" i="108"/>
  <c r="K96" i="108"/>
  <c r="K97" i="108"/>
  <c r="K98" i="108"/>
  <c r="K99" i="108"/>
  <c r="K100" i="108"/>
  <c r="K101" i="108"/>
  <c r="K102" i="108"/>
  <c r="K103" i="108"/>
  <c r="K104" i="108"/>
  <c r="K105" i="108"/>
  <c r="K106" i="108"/>
  <c r="K107" i="108"/>
  <c r="K108" i="108"/>
  <c r="K109" i="108"/>
  <c r="K110" i="108"/>
  <c r="K111" i="108"/>
  <c r="K112" i="108"/>
  <c r="K113" i="108"/>
  <c r="K114" i="108"/>
  <c r="K115" i="108"/>
  <c r="K116" i="108"/>
  <c r="K117" i="108"/>
  <c r="K118" i="108"/>
  <c r="K119" i="108"/>
  <c r="K120" i="108"/>
  <c r="K121" i="108"/>
  <c r="K122" i="108"/>
  <c r="K123" i="108"/>
  <c r="K124" i="108"/>
  <c r="K125" i="108"/>
  <c r="K126" i="108"/>
  <c r="K127" i="108"/>
  <c r="K128" i="108"/>
  <c r="K129" i="108"/>
  <c r="K130" i="108"/>
  <c r="K131" i="108"/>
  <c r="K132" i="108"/>
  <c r="K133" i="108"/>
  <c r="K134" i="108"/>
  <c r="K135" i="108"/>
  <c r="K136" i="108"/>
  <c r="K137" i="108"/>
  <c r="N6" i="1"/>
  <c r="P135" i="108"/>
  <c r="O135" i="108"/>
  <c r="N135" i="108"/>
  <c r="M135" i="108"/>
  <c r="P134" i="108"/>
  <c r="O134" i="108"/>
  <c r="N134" i="108"/>
  <c r="M134" i="108"/>
  <c r="P133" i="108"/>
  <c r="O133" i="108"/>
  <c r="N133" i="108"/>
  <c r="M133" i="108"/>
  <c r="P132" i="108"/>
  <c r="O132" i="108"/>
  <c r="N132" i="108"/>
  <c r="M132" i="108"/>
  <c r="P131" i="108"/>
  <c r="O131" i="108"/>
  <c r="N131" i="108"/>
  <c r="M131" i="108"/>
  <c r="P130" i="108"/>
  <c r="O130" i="108"/>
  <c r="N130" i="108"/>
  <c r="M130" i="108"/>
  <c r="P129" i="108"/>
  <c r="O129" i="108"/>
  <c r="N129" i="108"/>
  <c r="M129" i="108"/>
  <c r="P128" i="108"/>
  <c r="O128" i="108"/>
  <c r="N128" i="108"/>
  <c r="M128" i="108"/>
  <c r="P127" i="108"/>
  <c r="O127" i="108"/>
  <c r="N127" i="108"/>
  <c r="M127" i="108"/>
  <c r="P126" i="108"/>
  <c r="O126" i="108"/>
  <c r="N126" i="108"/>
  <c r="M126" i="108"/>
  <c r="P125" i="108"/>
  <c r="O125" i="108"/>
  <c r="N125" i="108"/>
  <c r="M125" i="108"/>
  <c r="P124" i="108"/>
  <c r="O124" i="108"/>
  <c r="N124" i="108"/>
  <c r="M124" i="108"/>
  <c r="P123" i="108"/>
  <c r="O123" i="108"/>
  <c r="N123" i="108"/>
  <c r="M123" i="108"/>
  <c r="P122" i="108"/>
  <c r="O122" i="108"/>
  <c r="N122" i="108"/>
  <c r="M122" i="108"/>
  <c r="P121" i="108"/>
  <c r="O121" i="108"/>
  <c r="N121" i="108"/>
  <c r="M121" i="108"/>
  <c r="P120" i="108"/>
  <c r="O120" i="108"/>
  <c r="N120" i="108"/>
  <c r="M120" i="108"/>
  <c r="P119" i="108"/>
  <c r="O119" i="108"/>
  <c r="N119" i="108"/>
  <c r="M119" i="108"/>
  <c r="P118" i="108"/>
  <c r="O118" i="108"/>
  <c r="N118" i="108"/>
  <c r="M118" i="108"/>
  <c r="P117" i="108"/>
  <c r="O117" i="108"/>
  <c r="N117" i="108"/>
  <c r="M117" i="108"/>
  <c r="P116" i="108"/>
  <c r="O116" i="108"/>
  <c r="N116" i="108"/>
  <c r="M116" i="108"/>
  <c r="P114" i="108"/>
  <c r="O114" i="108"/>
  <c r="N114" i="108"/>
  <c r="M114" i="108"/>
  <c r="P113" i="108"/>
  <c r="O113" i="108"/>
  <c r="N113" i="108"/>
  <c r="M113" i="108"/>
  <c r="P112" i="108"/>
  <c r="O112" i="108"/>
  <c r="N112" i="108"/>
  <c r="M112" i="108"/>
  <c r="P111" i="108"/>
  <c r="O111" i="108"/>
  <c r="N111" i="108"/>
  <c r="M111" i="108"/>
  <c r="P110" i="108"/>
  <c r="O110" i="108"/>
  <c r="N110" i="108"/>
  <c r="M110" i="108"/>
  <c r="P109" i="108"/>
  <c r="O109" i="108"/>
  <c r="N109" i="108"/>
  <c r="M109" i="108"/>
  <c r="P108" i="108"/>
  <c r="O108" i="108"/>
  <c r="N108" i="108"/>
  <c r="M108" i="108"/>
  <c r="P107" i="108"/>
  <c r="O107" i="108"/>
  <c r="N107" i="108"/>
  <c r="M107" i="108"/>
  <c r="P106" i="108"/>
  <c r="O106" i="108"/>
  <c r="N106" i="108"/>
  <c r="M106" i="108"/>
  <c r="P105" i="108"/>
  <c r="O105" i="108"/>
  <c r="N105" i="108"/>
  <c r="M105" i="108"/>
  <c r="P104" i="108"/>
  <c r="O104" i="108"/>
  <c r="N104" i="108"/>
  <c r="M104" i="108"/>
  <c r="P103" i="108"/>
  <c r="O103" i="108"/>
  <c r="N103" i="108"/>
  <c r="M103" i="108"/>
  <c r="P102" i="108"/>
  <c r="O102" i="108"/>
  <c r="N102" i="108"/>
  <c r="M102" i="108"/>
  <c r="P101" i="108"/>
  <c r="O101" i="108"/>
  <c r="N101" i="108"/>
  <c r="M101" i="108"/>
  <c r="P100" i="108"/>
  <c r="O100" i="108"/>
  <c r="N100" i="108"/>
  <c r="M100" i="108"/>
  <c r="P97" i="108"/>
  <c r="O97" i="108"/>
  <c r="N97" i="108"/>
  <c r="M97" i="108"/>
  <c r="P96" i="108"/>
  <c r="O96" i="108"/>
  <c r="N96" i="108"/>
  <c r="M96" i="108"/>
  <c r="P95" i="108"/>
  <c r="O95" i="108"/>
  <c r="N95" i="108"/>
  <c r="M95" i="108"/>
  <c r="P94" i="108"/>
  <c r="O94" i="108"/>
  <c r="N94" i="108"/>
  <c r="M94" i="108"/>
  <c r="P93" i="108"/>
  <c r="O93" i="108"/>
  <c r="N93" i="108"/>
  <c r="M93" i="108"/>
  <c r="P92" i="108"/>
  <c r="O92" i="108"/>
  <c r="N92" i="108"/>
  <c r="M92" i="108"/>
  <c r="P91" i="108"/>
  <c r="O91" i="108"/>
  <c r="N91" i="108"/>
  <c r="M91" i="108"/>
  <c r="P90" i="108"/>
  <c r="O90" i="108"/>
  <c r="N90" i="108"/>
  <c r="M90" i="108"/>
  <c r="P89" i="108"/>
  <c r="O89" i="108"/>
  <c r="N89" i="108"/>
  <c r="M89" i="108"/>
  <c r="P88" i="108"/>
  <c r="O88" i="108"/>
  <c r="N88" i="108"/>
  <c r="M88" i="108"/>
  <c r="P87" i="108"/>
  <c r="O87" i="108"/>
  <c r="N87" i="108"/>
  <c r="M87" i="108"/>
  <c r="P86" i="108"/>
  <c r="O86" i="108"/>
  <c r="N86" i="108"/>
  <c r="M86" i="108"/>
  <c r="P85" i="108"/>
  <c r="O85" i="108"/>
  <c r="N85" i="108"/>
  <c r="M85" i="108"/>
  <c r="P84" i="108"/>
  <c r="O84" i="108"/>
  <c r="N84" i="108"/>
  <c r="M84" i="108"/>
  <c r="P83" i="108"/>
  <c r="O83" i="108"/>
  <c r="N83" i="108"/>
  <c r="M83" i="108"/>
  <c r="P82" i="108"/>
  <c r="O82" i="108"/>
  <c r="N82" i="108"/>
  <c r="M82" i="108"/>
  <c r="P81" i="108"/>
  <c r="O81" i="108"/>
  <c r="N81" i="108"/>
  <c r="M81" i="108"/>
  <c r="P80" i="108"/>
  <c r="O80" i="108"/>
  <c r="N80" i="108"/>
  <c r="M80" i="108"/>
  <c r="P79" i="108"/>
  <c r="O79" i="108"/>
  <c r="N79" i="108"/>
  <c r="M79" i="108"/>
  <c r="P78" i="108"/>
  <c r="O78" i="108"/>
  <c r="N78" i="108"/>
  <c r="M78" i="108"/>
  <c r="P77" i="108"/>
  <c r="O77" i="108"/>
  <c r="N77" i="108"/>
  <c r="M77" i="108"/>
  <c r="P76" i="108"/>
  <c r="O76" i="108"/>
  <c r="N76" i="108"/>
  <c r="M76" i="108"/>
  <c r="P75" i="108"/>
  <c r="O75" i="108"/>
  <c r="N75" i="108"/>
  <c r="M75" i="108"/>
  <c r="P74" i="108"/>
  <c r="O74" i="108"/>
  <c r="N74" i="108"/>
  <c r="M74" i="108"/>
  <c r="P73" i="108"/>
  <c r="O73" i="108"/>
  <c r="N73" i="108"/>
  <c r="M73" i="108"/>
  <c r="P72" i="108"/>
  <c r="O72" i="108"/>
  <c r="N72" i="108"/>
  <c r="M72" i="108"/>
  <c r="P71" i="108"/>
  <c r="O71" i="108"/>
  <c r="N71" i="108"/>
  <c r="M71" i="108"/>
  <c r="P70" i="108"/>
  <c r="O70" i="108"/>
  <c r="N70" i="108"/>
  <c r="M70" i="108"/>
  <c r="P69" i="108"/>
  <c r="O69" i="108"/>
  <c r="N69" i="108"/>
  <c r="M69" i="108"/>
  <c r="P68" i="108"/>
  <c r="O68" i="108"/>
  <c r="N68" i="108"/>
  <c r="M68" i="108"/>
  <c r="P67" i="108"/>
  <c r="O67" i="108"/>
  <c r="N67" i="108"/>
  <c r="M67" i="108"/>
  <c r="P66" i="108"/>
  <c r="O66" i="108"/>
  <c r="N66" i="108"/>
  <c r="M66" i="108"/>
  <c r="P65" i="108"/>
  <c r="O65" i="108"/>
  <c r="N65" i="108"/>
  <c r="M65" i="108"/>
  <c r="P64" i="108"/>
  <c r="O64" i="108"/>
  <c r="N64" i="108"/>
  <c r="M64" i="108"/>
  <c r="P63" i="108"/>
  <c r="O63" i="108"/>
  <c r="N63" i="108"/>
  <c r="M63" i="108"/>
  <c r="P62" i="108"/>
  <c r="O62" i="108"/>
  <c r="N62" i="108"/>
  <c r="M62" i="108"/>
  <c r="P61" i="108"/>
  <c r="O61" i="108"/>
  <c r="N61" i="108"/>
  <c r="M61" i="108"/>
  <c r="P60" i="108"/>
  <c r="O60" i="108"/>
  <c r="N60" i="108"/>
  <c r="M60" i="108"/>
  <c r="P58" i="108"/>
  <c r="O58" i="108"/>
  <c r="N58" i="108"/>
  <c r="M58" i="108"/>
  <c r="P57" i="108"/>
  <c r="O57" i="108"/>
  <c r="N57" i="108"/>
  <c r="M57" i="108"/>
  <c r="P56" i="108"/>
  <c r="O56" i="108"/>
  <c r="N56" i="108"/>
  <c r="M56" i="108"/>
  <c r="P55" i="108"/>
  <c r="O55" i="108"/>
  <c r="N55" i="108"/>
  <c r="M55" i="108"/>
  <c r="P54" i="108"/>
  <c r="O54" i="108"/>
  <c r="N54" i="108"/>
  <c r="M54" i="108"/>
  <c r="P53" i="108"/>
  <c r="O53" i="108"/>
  <c r="N53" i="108"/>
  <c r="M53" i="108"/>
  <c r="P52" i="108"/>
  <c r="O52" i="108"/>
  <c r="N52" i="108"/>
  <c r="M52" i="108"/>
  <c r="P51" i="108"/>
  <c r="O51" i="108"/>
  <c r="N51" i="108"/>
  <c r="M51" i="108"/>
  <c r="P50" i="108"/>
  <c r="O50" i="108"/>
  <c r="N50" i="108"/>
  <c r="M50" i="108"/>
  <c r="P49" i="108"/>
  <c r="O49" i="108"/>
  <c r="N49" i="108"/>
  <c r="M49" i="108"/>
  <c r="P48" i="108"/>
  <c r="O48" i="108"/>
  <c r="N48" i="108"/>
  <c r="M48" i="108"/>
  <c r="P47" i="108"/>
  <c r="O47" i="108"/>
  <c r="N47" i="108"/>
  <c r="M47" i="108"/>
  <c r="P46" i="108"/>
  <c r="O46" i="108"/>
  <c r="N46" i="108"/>
  <c r="M46" i="108"/>
  <c r="P45" i="108"/>
  <c r="O45" i="108"/>
  <c r="N45" i="108"/>
  <c r="M45" i="108"/>
  <c r="P44" i="108"/>
  <c r="O44" i="108"/>
  <c r="N44" i="108"/>
  <c r="M44" i="108"/>
  <c r="P43" i="108"/>
  <c r="O43" i="108"/>
  <c r="N43" i="108"/>
  <c r="M43" i="108"/>
  <c r="P42" i="108"/>
  <c r="O42" i="108"/>
  <c r="N42" i="108"/>
  <c r="M42" i="108"/>
  <c r="P40" i="108"/>
  <c r="O40" i="108"/>
  <c r="N40" i="108"/>
  <c r="M40" i="108"/>
  <c r="P37" i="108"/>
  <c r="O37" i="108"/>
  <c r="N37" i="108"/>
  <c r="M37" i="108"/>
  <c r="P36" i="108"/>
  <c r="O36" i="108"/>
  <c r="N36" i="108"/>
  <c r="M36" i="108"/>
  <c r="P35" i="108"/>
  <c r="O35" i="108"/>
  <c r="N35" i="108"/>
  <c r="M35" i="108"/>
  <c r="P34" i="108"/>
  <c r="O34" i="108"/>
  <c r="N34" i="108"/>
  <c r="M34" i="108"/>
  <c r="P33" i="108"/>
  <c r="O33" i="108"/>
  <c r="N33" i="108"/>
  <c r="M33" i="108"/>
  <c r="P32" i="108"/>
  <c r="O32" i="108"/>
  <c r="N32" i="108"/>
  <c r="M32" i="108"/>
  <c r="P31" i="108"/>
  <c r="O31" i="108"/>
  <c r="N31" i="108"/>
  <c r="M31" i="108"/>
  <c r="P30" i="108"/>
  <c r="O30" i="108"/>
  <c r="N30" i="108"/>
  <c r="M30" i="108"/>
  <c r="P28" i="108"/>
  <c r="O28" i="108"/>
  <c r="N28" i="108"/>
  <c r="M28" i="108"/>
  <c r="P27" i="108"/>
  <c r="O27" i="108"/>
  <c r="N27" i="108"/>
  <c r="M27" i="108"/>
  <c r="P26" i="108"/>
  <c r="O26" i="108"/>
  <c r="N26" i="108"/>
  <c r="M26" i="108"/>
  <c r="P25" i="108"/>
  <c r="O25" i="108"/>
  <c r="N25" i="108"/>
  <c r="M25" i="108"/>
  <c r="P23" i="108"/>
  <c r="O23" i="108"/>
  <c r="N23" i="108"/>
  <c r="M23" i="108"/>
  <c r="P22" i="108"/>
  <c r="O22" i="108"/>
  <c r="N22" i="108"/>
  <c r="M22" i="108"/>
  <c r="P21" i="108"/>
  <c r="O21" i="108"/>
  <c r="N21" i="108"/>
  <c r="M21" i="108"/>
  <c r="P20" i="108"/>
  <c r="O20" i="108"/>
  <c r="N20" i="108"/>
  <c r="M20" i="108"/>
  <c r="P19" i="108"/>
  <c r="O19" i="108"/>
  <c r="N19" i="108"/>
  <c r="M19" i="108"/>
  <c r="P18" i="108"/>
  <c r="O18" i="108"/>
  <c r="N18" i="108"/>
  <c r="M18" i="108"/>
  <c r="P16" i="108"/>
  <c r="O16" i="108"/>
  <c r="N16" i="108"/>
  <c r="M16" i="108"/>
  <c r="P15" i="108"/>
  <c r="O15" i="108"/>
  <c r="N15" i="108"/>
  <c r="M15" i="108"/>
  <c r="P12" i="108"/>
  <c r="O12" i="108"/>
  <c r="N12" i="108"/>
  <c r="M12" i="108"/>
  <c r="P11" i="108"/>
  <c r="O11" i="108"/>
  <c r="N11" i="108"/>
  <c r="M11" i="108"/>
  <c r="P9" i="108"/>
  <c r="O9" i="108"/>
  <c r="N9" i="108"/>
  <c r="M9" i="108"/>
  <c r="P8" i="108"/>
  <c r="O8" i="108"/>
  <c r="N8" i="108"/>
  <c r="M8" i="108"/>
  <c r="P7" i="108"/>
  <c r="O7" i="108"/>
  <c r="N7" i="108"/>
  <c r="M7" i="108"/>
  <c r="P6" i="108"/>
  <c r="O6" i="108"/>
  <c r="N6" i="108"/>
  <c r="M6" i="108"/>
  <c r="N17" i="108"/>
  <c r="O17" i="108"/>
  <c r="P17" i="108"/>
  <c r="M17" i="108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6" i="1"/>
  <c r="B13" i="108" l="1"/>
  <c r="B8" i="108"/>
  <c r="B7" i="108"/>
  <c r="A3" i="1" l="1"/>
  <c r="L36" i="107" l="1"/>
  <c r="L35" i="107"/>
  <c r="L34" i="107"/>
  <c r="L33" i="107"/>
  <c r="L32" i="107"/>
  <c r="L31" i="107"/>
  <c r="L30" i="107"/>
  <c r="L29" i="107"/>
  <c r="L28" i="107"/>
  <c r="L27" i="107"/>
  <c r="L26" i="107"/>
  <c r="L25" i="107"/>
  <c r="L24" i="107"/>
  <c r="L23" i="107"/>
  <c r="L22" i="107"/>
  <c r="L21" i="107"/>
  <c r="L20" i="107"/>
  <c r="L19" i="107"/>
  <c r="N162" i="1"/>
  <c r="I6" i="1"/>
  <c r="P6" i="1" s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I138" i="108" l="1"/>
  <c r="F136" i="108"/>
  <c r="P136" i="108" s="1"/>
  <c r="E136" i="108"/>
  <c r="O136" i="108" s="1"/>
  <c r="D136" i="108"/>
  <c r="N136" i="108" s="1"/>
  <c r="C136" i="108"/>
  <c r="B136" i="108"/>
  <c r="H135" i="108"/>
  <c r="I135" i="108" s="1"/>
  <c r="H134" i="108"/>
  <c r="H133" i="108"/>
  <c r="H132" i="108"/>
  <c r="I132" i="108" s="1"/>
  <c r="H131" i="108"/>
  <c r="I131" i="108" s="1"/>
  <c r="H130" i="108"/>
  <c r="I130" i="108" s="1"/>
  <c r="H129" i="108"/>
  <c r="I129" i="108" s="1"/>
  <c r="H128" i="108"/>
  <c r="H127" i="108"/>
  <c r="I127" i="108" s="1"/>
  <c r="H126" i="108"/>
  <c r="H125" i="108"/>
  <c r="I125" i="108" s="1"/>
  <c r="H124" i="108"/>
  <c r="I124" i="108" s="1"/>
  <c r="H123" i="108"/>
  <c r="I123" i="108" s="1"/>
  <c r="H122" i="108"/>
  <c r="I122" i="108" s="1"/>
  <c r="H121" i="108"/>
  <c r="I121" i="108" s="1"/>
  <c r="H120" i="108"/>
  <c r="H119" i="108"/>
  <c r="I119" i="108" s="1"/>
  <c r="H118" i="108"/>
  <c r="I118" i="108" s="1"/>
  <c r="I117" i="108"/>
  <c r="I116" i="108"/>
  <c r="F115" i="108"/>
  <c r="P115" i="108" s="1"/>
  <c r="E115" i="108"/>
  <c r="D115" i="108"/>
  <c r="C115" i="108"/>
  <c r="B115" i="108"/>
  <c r="H114" i="108"/>
  <c r="I114" i="108" s="1"/>
  <c r="H113" i="108"/>
  <c r="I113" i="108" s="1"/>
  <c r="H112" i="108"/>
  <c r="H111" i="108"/>
  <c r="I111" i="108" s="1"/>
  <c r="H110" i="108"/>
  <c r="I110" i="108" s="1"/>
  <c r="H109" i="108"/>
  <c r="I109" i="108" s="1"/>
  <c r="H108" i="108"/>
  <c r="I108" i="108" s="1"/>
  <c r="H107" i="108"/>
  <c r="H106" i="108"/>
  <c r="I106" i="108" s="1"/>
  <c r="H105" i="108"/>
  <c r="H104" i="108"/>
  <c r="H103" i="108"/>
  <c r="I103" i="108" s="1"/>
  <c r="I102" i="108"/>
  <c r="I101" i="108"/>
  <c r="I100" i="108"/>
  <c r="F98" i="108"/>
  <c r="E98" i="108"/>
  <c r="D98" i="108"/>
  <c r="C98" i="108"/>
  <c r="B98" i="108"/>
  <c r="H97" i="108"/>
  <c r="I97" i="108" s="1"/>
  <c r="H96" i="108"/>
  <c r="I96" i="108" s="1"/>
  <c r="H95" i="108"/>
  <c r="H94" i="108"/>
  <c r="I94" i="108" s="1"/>
  <c r="H93" i="108"/>
  <c r="I93" i="108" s="1"/>
  <c r="H92" i="108"/>
  <c r="H91" i="108"/>
  <c r="I91" i="108" s="1"/>
  <c r="H90" i="108"/>
  <c r="I90" i="108" s="1"/>
  <c r="H89" i="108"/>
  <c r="I89" i="108" s="1"/>
  <c r="H88" i="108"/>
  <c r="I88" i="108" s="1"/>
  <c r="H87" i="108"/>
  <c r="H86" i="108"/>
  <c r="I86" i="108" s="1"/>
  <c r="H85" i="108"/>
  <c r="H84" i="108"/>
  <c r="H83" i="108"/>
  <c r="I83" i="108" s="1"/>
  <c r="H82" i="108"/>
  <c r="I82" i="108" s="1"/>
  <c r="H81" i="108"/>
  <c r="I81" i="108" s="1"/>
  <c r="H80" i="108"/>
  <c r="I80" i="108" s="1"/>
  <c r="H79" i="108"/>
  <c r="H78" i="108"/>
  <c r="I78" i="108" s="1"/>
  <c r="H77" i="108"/>
  <c r="H76" i="108"/>
  <c r="H75" i="108"/>
  <c r="I75" i="108" s="1"/>
  <c r="H74" i="108"/>
  <c r="I74" i="108" s="1"/>
  <c r="H73" i="108"/>
  <c r="I73" i="108" s="1"/>
  <c r="H72" i="108"/>
  <c r="I72" i="108" s="1"/>
  <c r="H71" i="108"/>
  <c r="H70" i="108"/>
  <c r="I70" i="108" s="1"/>
  <c r="H69" i="108"/>
  <c r="I69" i="108" s="1"/>
  <c r="H68" i="108"/>
  <c r="I68" i="108" s="1"/>
  <c r="H67" i="108"/>
  <c r="I67" i="108" s="1"/>
  <c r="H66" i="108"/>
  <c r="I66" i="108" s="1"/>
  <c r="H65" i="108"/>
  <c r="I65" i="108" s="1"/>
  <c r="H64" i="108"/>
  <c r="I64" i="108" s="1"/>
  <c r="H63" i="108"/>
  <c r="I62" i="108"/>
  <c r="I61" i="108"/>
  <c r="I60" i="108"/>
  <c r="F59" i="108"/>
  <c r="P59" i="108" s="1"/>
  <c r="E59" i="108"/>
  <c r="D59" i="108"/>
  <c r="N59" i="108" s="1"/>
  <c r="C59" i="108"/>
  <c r="M59" i="108" s="1"/>
  <c r="B59" i="108"/>
  <c r="H58" i="108"/>
  <c r="I58" i="108" s="1"/>
  <c r="H57" i="108"/>
  <c r="H56" i="108"/>
  <c r="I56" i="108" s="1"/>
  <c r="H55" i="108"/>
  <c r="I55" i="108" s="1"/>
  <c r="H54" i="108"/>
  <c r="H53" i="108"/>
  <c r="I53" i="108" s="1"/>
  <c r="H52" i="108"/>
  <c r="H51" i="108"/>
  <c r="I51" i="108" s="1"/>
  <c r="H50" i="108"/>
  <c r="I50" i="108" s="1"/>
  <c r="H49" i="108"/>
  <c r="H48" i="108"/>
  <c r="I48" i="108" s="1"/>
  <c r="H47" i="108"/>
  <c r="I47" i="108" s="1"/>
  <c r="H46" i="108"/>
  <c r="I46" i="108" s="1"/>
  <c r="I45" i="108"/>
  <c r="I44" i="108"/>
  <c r="I43" i="108"/>
  <c r="I42" i="108"/>
  <c r="I40" i="108"/>
  <c r="B38" i="108"/>
  <c r="H37" i="108"/>
  <c r="I37" i="108" s="1"/>
  <c r="H36" i="108"/>
  <c r="I36" i="108" s="1"/>
  <c r="H35" i="108"/>
  <c r="I35" i="108" s="1"/>
  <c r="H34" i="108"/>
  <c r="I34" i="108" s="1"/>
  <c r="H33" i="108"/>
  <c r="I33" i="108" s="1"/>
  <c r="H32" i="108"/>
  <c r="I32" i="108" s="1"/>
  <c r="H31" i="108"/>
  <c r="I31" i="108" s="1"/>
  <c r="H30" i="108"/>
  <c r="F29" i="108"/>
  <c r="E29" i="108"/>
  <c r="O29" i="108" s="1"/>
  <c r="D29" i="108"/>
  <c r="C29" i="108"/>
  <c r="H28" i="108"/>
  <c r="I28" i="108" s="1"/>
  <c r="H27" i="108"/>
  <c r="I27" i="108" s="1"/>
  <c r="I26" i="108"/>
  <c r="I25" i="108"/>
  <c r="F24" i="108"/>
  <c r="E24" i="108"/>
  <c r="D24" i="108"/>
  <c r="N24" i="108" s="1"/>
  <c r="C24" i="108"/>
  <c r="B24" i="108"/>
  <c r="H23" i="108"/>
  <c r="H22" i="108"/>
  <c r="I22" i="108" s="1"/>
  <c r="H21" i="108"/>
  <c r="H20" i="108"/>
  <c r="I20" i="108" s="1"/>
  <c r="H19" i="108"/>
  <c r="I19" i="108" s="1"/>
  <c r="H18" i="108"/>
  <c r="H17" i="108"/>
  <c r="I17" i="108" s="1"/>
  <c r="H16" i="108"/>
  <c r="F13" i="108"/>
  <c r="E13" i="108"/>
  <c r="D13" i="108"/>
  <c r="B14" i="108"/>
  <c r="F10" i="108"/>
  <c r="P10" i="108" s="1"/>
  <c r="E10" i="108"/>
  <c r="O10" i="108" s="1"/>
  <c r="D10" i="108"/>
  <c r="N10" i="108" s="1"/>
  <c r="C10" i="108"/>
  <c r="H9" i="108"/>
  <c r="H8" i="108"/>
  <c r="H7" i="108"/>
  <c r="B10" i="108"/>
  <c r="H29" i="108" l="1"/>
  <c r="M29" i="108"/>
  <c r="D38" i="108"/>
  <c r="N38" i="108" s="1"/>
  <c r="N29" i="108"/>
  <c r="F38" i="108"/>
  <c r="P38" i="108" s="1"/>
  <c r="P29" i="108"/>
  <c r="E38" i="108"/>
  <c r="O38" i="108" s="1"/>
  <c r="H10" i="108"/>
  <c r="G103" i="108" s="1"/>
  <c r="I54" i="108"/>
  <c r="I92" i="108"/>
  <c r="I112" i="108"/>
  <c r="I49" i="108"/>
  <c r="H98" i="108"/>
  <c r="M98" i="108"/>
  <c r="I126" i="108"/>
  <c r="H136" i="108"/>
  <c r="I136" i="108" s="1"/>
  <c r="M136" i="108"/>
  <c r="I23" i="108"/>
  <c r="H24" i="108"/>
  <c r="I24" i="108" s="1"/>
  <c r="M24" i="108"/>
  <c r="E14" i="108"/>
  <c r="O14" i="108" s="1"/>
  <c r="O13" i="108"/>
  <c r="H59" i="108"/>
  <c r="O59" i="108"/>
  <c r="I84" i="108"/>
  <c r="E99" i="108"/>
  <c r="O99" i="108" s="1"/>
  <c r="O98" i="108"/>
  <c r="I104" i="108"/>
  <c r="I18" i="108"/>
  <c r="I77" i="108"/>
  <c r="F14" i="108"/>
  <c r="P13" i="108"/>
  <c r="O24" i="108"/>
  <c r="F99" i="108"/>
  <c r="P99" i="108" s="1"/>
  <c r="P98" i="108"/>
  <c r="B137" i="108"/>
  <c r="I133" i="108"/>
  <c r="E137" i="108"/>
  <c r="O137" i="108" s="1"/>
  <c r="O115" i="108"/>
  <c r="P24" i="108"/>
  <c r="I57" i="108"/>
  <c r="G76" i="108"/>
  <c r="I85" i="108"/>
  <c r="I105" i="108"/>
  <c r="H115" i="108"/>
  <c r="M115" i="108"/>
  <c r="F137" i="108"/>
  <c r="P137" i="108" s="1"/>
  <c r="D14" i="108"/>
  <c r="N14" i="108" s="1"/>
  <c r="N13" i="108"/>
  <c r="D99" i="108"/>
  <c r="N99" i="108" s="1"/>
  <c r="N98" i="108"/>
  <c r="C13" i="108"/>
  <c r="M13" i="108" s="1"/>
  <c r="M10" i="108"/>
  <c r="I76" i="108"/>
  <c r="D137" i="108"/>
  <c r="N137" i="108" s="1"/>
  <c r="N115" i="108"/>
  <c r="I134" i="108"/>
  <c r="B99" i="108"/>
  <c r="B39" i="108"/>
  <c r="D39" i="108"/>
  <c r="I29" i="108"/>
  <c r="I59" i="108"/>
  <c r="I115" i="108"/>
  <c r="I21" i="108"/>
  <c r="I30" i="108"/>
  <c r="G36" i="108"/>
  <c r="C38" i="108"/>
  <c r="I52" i="108"/>
  <c r="I63" i="108"/>
  <c r="I71" i="108"/>
  <c r="I79" i="108"/>
  <c r="I87" i="108"/>
  <c r="I95" i="108"/>
  <c r="C99" i="108"/>
  <c r="I107" i="108"/>
  <c r="I120" i="108"/>
  <c r="I128" i="108"/>
  <c r="C137" i="108"/>
  <c r="G10" i="108"/>
  <c r="G17" i="108"/>
  <c r="G65" i="108"/>
  <c r="G46" i="108" l="1"/>
  <c r="G119" i="108"/>
  <c r="G108" i="108"/>
  <c r="G74" i="108"/>
  <c r="G19" i="108"/>
  <c r="G58" i="108"/>
  <c r="G69" i="108"/>
  <c r="G85" i="108"/>
  <c r="G34" i="108"/>
  <c r="G127" i="108"/>
  <c r="G98" i="108"/>
  <c r="G132" i="108"/>
  <c r="G75" i="108"/>
  <c r="G106" i="108"/>
  <c r="G88" i="108"/>
  <c r="G47" i="108"/>
  <c r="G8" i="108"/>
  <c r="G35" i="108"/>
  <c r="G37" i="108"/>
  <c r="G126" i="108"/>
  <c r="G122" i="108"/>
  <c r="G86" i="108"/>
  <c r="G72" i="108"/>
  <c r="G82" i="108"/>
  <c r="G91" i="108"/>
  <c r="G29" i="108"/>
  <c r="G128" i="108"/>
  <c r="G121" i="108"/>
  <c r="G31" i="108"/>
  <c r="G67" i="108"/>
  <c r="G131" i="108"/>
  <c r="G89" i="108"/>
  <c r="G51" i="108"/>
  <c r="G55" i="108"/>
  <c r="G81" i="108"/>
  <c r="G20" i="108"/>
  <c r="G27" i="108"/>
  <c r="G125" i="108"/>
  <c r="I98" i="108"/>
  <c r="G109" i="108"/>
  <c r="G83" i="108"/>
  <c r="G78" i="108"/>
  <c r="G9" i="108"/>
  <c r="G64" i="108"/>
  <c r="G123" i="108"/>
  <c r="G24" i="108"/>
  <c r="G79" i="108"/>
  <c r="G115" i="108"/>
  <c r="F39" i="108"/>
  <c r="P39" i="108" s="1"/>
  <c r="G104" i="108"/>
  <c r="G113" i="108"/>
  <c r="G97" i="108"/>
  <c r="G135" i="108"/>
  <c r="G70" i="108"/>
  <c r="G129" i="108"/>
  <c r="G53" i="108"/>
  <c r="G90" i="108"/>
  <c r="G59" i="108"/>
  <c r="G50" i="108"/>
  <c r="G21" i="108"/>
  <c r="G105" i="108"/>
  <c r="G84" i="108"/>
  <c r="G93" i="108"/>
  <c r="G92" i="108"/>
  <c r="G111" i="108"/>
  <c r="G73" i="108"/>
  <c r="G114" i="108"/>
  <c r="G48" i="108"/>
  <c r="G96" i="108"/>
  <c r="G22" i="108"/>
  <c r="G110" i="108"/>
  <c r="G63" i="108"/>
  <c r="G71" i="108"/>
  <c r="G68" i="108"/>
  <c r="G95" i="108"/>
  <c r="G133" i="108"/>
  <c r="G77" i="108"/>
  <c r="G28" i="108"/>
  <c r="G54" i="108"/>
  <c r="G130" i="108"/>
  <c r="G124" i="108"/>
  <c r="G94" i="108"/>
  <c r="G56" i="108"/>
  <c r="G80" i="108"/>
  <c r="G66" i="108"/>
  <c r="G120" i="108"/>
  <c r="G134" i="108"/>
  <c r="G52" i="108"/>
  <c r="G57" i="108"/>
  <c r="G118" i="108"/>
  <c r="G7" i="108"/>
  <c r="G18" i="108"/>
  <c r="E39" i="108"/>
  <c r="O39" i="108" s="1"/>
  <c r="G23" i="108"/>
  <c r="G107" i="108"/>
  <c r="G49" i="108"/>
  <c r="G30" i="108"/>
  <c r="G33" i="108"/>
  <c r="G32" i="108"/>
  <c r="G87" i="108"/>
  <c r="G112" i="108"/>
  <c r="D41" i="108"/>
  <c r="N41" i="108" s="1"/>
  <c r="H13" i="108"/>
  <c r="H14" i="108" s="1"/>
  <c r="C14" i="108"/>
  <c r="M14" i="108" s="1"/>
  <c r="F41" i="108"/>
  <c r="P41" i="108" s="1"/>
  <c r="G136" i="108"/>
  <c r="F139" i="108"/>
  <c r="F140" i="108" s="1"/>
  <c r="P14" i="108"/>
  <c r="H137" i="108"/>
  <c r="I137" i="108" s="1"/>
  <c r="M137" i="108"/>
  <c r="H38" i="108"/>
  <c r="I38" i="108" s="1"/>
  <c r="M38" i="108"/>
  <c r="D139" i="108"/>
  <c r="D140" i="108" s="1"/>
  <c r="N39" i="108"/>
  <c r="H99" i="108"/>
  <c r="G99" i="108" s="1"/>
  <c r="M99" i="108"/>
  <c r="B139" i="108"/>
  <c r="B140" i="108" s="1"/>
  <c r="B3" i="108" s="1"/>
  <c r="B41" i="108"/>
  <c r="C39" i="108"/>
  <c r="M39" i="108" s="1"/>
  <c r="E139" i="108" l="1"/>
  <c r="E140" i="108" s="1"/>
  <c r="E41" i="108"/>
  <c r="O41" i="108" s="1"/>
  <c r="G13" i="108"/>
  <c r="G137" i="108"/>
  <c r="I99" i="108"/>
  <c r="G38" i="108"/>
  <c r="C139" i="108"/>
  <c r="C140" i="108" s="1"/>
  <c r="H39" i="108"/>
  <c r="C41" i="108"/>
  <c r="G14" i="108"/>
  <c r="H41" i="108" l="1"/>
  <c r="G41" i="108" s="1"/>
  <c r="M41" i="108"/>
  <c r="I39" i="108"/>
  <c r="G39" i="108"/>
  <c r="H139" i="108"/>
  <c r="I41" i="108" l="1"/>
  <c r="I139" i="108"/>
  <c r="G139" i="108"/>
  <c r="H140" i="108"/>
  <c r="I140" i="108" l="1"/>
  <c r="H3" i="108"/>
  <c r="G140" i="108"/>
  <c r="I7" i="1" l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M58" i="107"/>
  <c r="K58" i="107"/>
  <c r="J58" i="107"/>
  <c r="J62" i="107" s="1"/>
  <c r="I58" i="107"/>
  <c r="I59" i="107" s="1"/>
  <c r="F58" i="107"/>
  <c r="F59" i="107" s="1"/>
  <c r="E58" i="107"/>
  <c r="E59" i="107" s="1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M37" i="107"/>
  <c r="K37" i="107"/>
  <c r="J37" i="107"/>
  <c r="I37" i="107"/>
  <c r="G37" i="107"/>
  <c r="F37" i="107"/>
  <c r="E37" i="107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H29" i="107"/>
  <c r="G29" i="107"/>
  <c r="H28" i="107"/>
  <c r="G28" i="107"/>
  <c r="H27" i="107"/>
  <c r="G27" i="107"/>
  <c r="G26" i="107"/>
  <c r="H26" i="107" s="1"/>
  <c r="H25" i="107"/>
  <c r="G25" i="107"/>
  <c r="H24" i="107"/>
  <c r="G24" i="107"/>
  <c r="H23" i="107"/>
  <c r="G23" i="107"/>
  <c r="G22" i="107"/>
  <c r="H22" i="107" s="1"/>
  <c r="H21" i="107"/>
  <c r="G21" i="107"/>
  <c r="H20" i="107"/>
  <c r="G20" i="107"/>
  <c r="H19" i="107"/>
  <c r="G19" i="107"/>
  <c r="M18" i="107"/>
  <c r="K18" i="107"/>
  <c r="J18" i="107"/>
  <c r="I18" i="107"/>
  <c r="F18" i="107"/>
  <c r="E18" i="107"/>
  <c r="G17" i="107"/>
  <c r="H17" i="107" s="1"/>
  <c r="H16" i="107"/>
  <c r="G16" i="107"/>
  <c r="H15" i="107"/>
  <c r="G15" i="107"/>
  <c r="H14" i="107"/>
  <c r="G14" i="107"/>
  <c r="G13" i="107"/>
  <c r="H13" i="107" s="1"/>
  <c r="H12" i="107"/>
  <c r="G12" i="107"/>
  <c r="H11" i="107"/>
  <c r="G11" i="107"/>
  <c r="H10" i="107"/>
  <c r="G10" i="107"/>
  <c r="G9" i="107"/>
  <c r="H9" i="107" s="1"/>
  <c r="H8" i="107"/>
  <c r="G8" i="107"/>
  <c r="H7" i="107"/>
  <c r="G7" i="107"/>
  <c r="L6" i="107"/>
  <c r="G6" i="107"/>
  <c r="H6" i="107" s="1"/>
  <c r="L5" i="107"/>
  <c r="H5" i="107"/>
  <c r="G5" i="107"/>
  <c r="G18" i="107" s="1"/>
  <c r="C10" i="16"/>
  <c r="C9" i="16"/>
  <c r="C12" i="16"/>
  <c r="C11" i="16"/>
  <c r="C8" i="16"/>
  <c r="C7" i="16"/>
  <c r="C6" i="16"/>
  <c r="C5" i="16"/>
  <c r="C4" i="16"/>
  <c r="C3" i="16"/>
  <c r="M59" i="107" l="1"/>
  <c r="K59" i="107"/>
  <c r="H37" i="107"/>
  <c r="H58" i="107"/>
  <c r="H59" i="107" s="1"/>
  <c r="H18" i="107"/>
  <c r="G58" i="107"/>
  <c r="G59" i="107" s="1"/>
  <c r="J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J6" i="1" s="1"/>
  <c r="M6" i="1" s="1"/>
  <c r="I4" i="16"/>
  <c r="I5" i="16"/>
  <c r="I6" i="16"/>
  <c r="I7" i="16"/>
  <c r="I8" i="16"/>
  <c r="I9" i="16"/>
  <c r="I10" i="16"/>
  <c r="J154" i="1" l="1"/>
  <c r="M154" i="1" s="1"/>
  <c r="J118" i="1"/>
  <c r="M118" i="1" s="1"/>
  <c r="J94" i="1"/>
  <c r="M94" i="1" s="1"/>
  <c r="J40" i="1"/>
  <c r="M40" i="1" s="1"/>
  <c r="J29" i="1"/>
  <c r="M29" i="1" s="1"/>
  <c r="J24" i="1"/>
  <c r="M24" i="1" s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J159" i="1"/>
  <c r="M159" i="1" s="1"/>
  <c r="J153" i="1"/>
  <c r="M153" i="1" s="1"/>
  <c r="J147" i="1"/>
  <c r="M147" i="1" s="1"/>
  <c r="J141" i="1"/>
  <c r="J135" i="1"/>
  <c r="M135" i="1" s="1"/>
  <c r="J129" i="1"/>
  <c r="M129" i="1" s="1"/>
  <c r="J123" i="1"/>
  <c r="M123" i="1" s="1"/>
  <c r="J117" i="1"/>
  <c r="M117" i="1" s="1"/>
  <c r="J111" i="1"/>
  <c r="M111" i="1" s="1"/>
  <c r="J105" i="1"/>
  <c r="M105" i="1" s="1"/>
  <c r="J99" i="1"/>
  <c r="M99" i="1" s="1"/>
  <c r="J93" i="1"/>
  <c r="M93" i="1" s="1"/>
  <c r="J87" i="1"/>
  <c r="M87" i="1" s="1"/>
  <c r="J81" i="1"/>
  <c r="M81" i="1" s="1"/>
  <c r="J75" i="1"/>
  <c r="M75" i="1" s="1"/>
  <c r="J69" i="1"/>
  <c r="M69" i="1" s="1"/>
  <c r="J63" i="1"/>
  <c r="M63" i="1" s="1"/>
  <c r="J57" i="1"/>
  <c r="M57" i="1" s="1"/>
  <c r="J51" i="1"/>
  <c r="M51" i="1" s="1"/>
  <c r="J45" i="1"/>
  <c r="M45" i="1" s="1"/>
  <c r="J39" i="1"/>
  <c r="J34" i="1"/>
  <c r="M34" i="1" s="1"/>
  <c r="J28" i="1"/>
  <c r="M28" i="1" s="1"/>
  <c r="J23" i="1"/>
  <c r="M23" i="1" s="1"/>
  <c r="J17" i="1"/>
  <c r="M17" i="1" s="1"/>
  <c r="J11" i="1"/>
  <c r="M11" i="1" s="1"/>
  <c r="K6" i="16"/>
  <c r="J158" i="1"/>
  <c r="M158" i="1" s="1"/>
  <c r="J152" i="1"/>
  <c r="M152" i="1" s="1"/>
  <c r="J146" i="1"/>
  <c r="M146" i="1" s="1"/>
  <c r="J140" i="1"/>
  <c r="M140" i="1" s="1"/>
  <c r="J134" i="1"/>
  <c r="M134" i="1" s="1"/>
  <c r="J128" i="1"/>
  <c r="M128" i="1" s="1"/>
  <c r="J122" i="1"/>
  <c r="M122" i="1" s="1"/>
  <c r="J116" i="1"/>
  <c r="M116" i="1" s="1"/>
  <c r="J110" i="1"/>
  <c r="M110" i="1" s="1"/>
  <c r="J104" i="1"/>
  <c r="M104" i="1" s="1"/>
  <c r="J98" i="1"/>
  <c r="M98" i="1" s="1"/>
  <c r="J92" i="1"/>
  <c r="M92" i="1" s="1"/>
  <c r="J86" i="1"/>
  <c r="M86" i="1" s="1"/>
  <c r="J80" i="1"/>
  <c r="M80" i="1" s="1"/>
  <c r="J74" i="1"/>
  <c r="M74" i="1" s="1"/>
  <c r="J68" i="1"/>
  <c r="M68" i="1" s="1"/>
  <c r="J62" i="1"/>
  <c r="M62" i="1" s="1"/>
  <c r="J56" i="1"/>
  <c r="M56" i="1" s="1"/>
  <c r="J50" i="1"/>
  <c r="M50" i="1" s="1"/>
  <c r="J44" i="1"/>
  <c r="M44" i="1" s="1"/>
  <c r="J38" i="1"/>
  <c r="M38" i="1" s="1"/>
  <c r="J33" i="1"/>
  <c r="M33" i="1" s="1"/>
  <c r="J27" i="1"/>
  <c r="M27" i="1" s="1"/>
  <c r="J22" i="1"/>
  <c r="M22" i="1" s="1"/>
  <c r="J16" i="1"/>
  <c r="M16" i="1" s="1"/>
  <c r="J10" i="1"/>
  <c r="M10" i="1" s="1"/>
  <c r="J157" i="1"/>
  <c r="M157" i="1" s="1"/>
  <c r="J151" i="1"/>
  <c r="M151" i="1" s="1"/>
  <c r="J145" i="1"/>
  <c r="M145" i="1" s="1"/>
  <c r="J139" i="1"/>
  <c r="M139" i="1" s="1"/>
  <c r="J133" i="1"/>
  <c r="M133" i="1" s="1"/>
  <c r="J127" i="1"/>
  <c r="M127" i="1" s="1"/>
  <c r="J121" i="1"/>
  <c r="M121" i="1" s="1"/>
  <c r="J115" i="1"/>
  <c r="M115" i="1" s="1"/>
  <c r="J109" i="1"/>
  <c r="M109" i="1" s="1"/>
  <c r="J103" i="1"/>
  <c r="M103" i="1" s="1"/>
  <c r="J97" i="1"/>
  <c r="M97" i="1" s="1"/>
  <c r="J91" i="1"/>
  <c r="M91" i="1" s="1"/>
  <c r="J85" i="1"/>
  <c r="M85" i="1" s="1"/>
  <c r="J79" i="1"/>
  <c r="M79" i="1" s="1"/>
  <c r="J73" i="1"/>
  <c r="M73" i="1" s="1"/>
  <c r="J67" i="1"/>
  <c r="M67" i="1" s="1"/>
  <c r="J61" i="1"/>
  <c r="M61" i="1" s="1"/>
  <c r="J55" i="1"/>
  <c r="M55" i="1" s="1"/>
  <c r="J49" i="1"/>
  <c r="M49" i="1" s="1"/>
  <c r="J43" i="1"/>
  <c r="M43" i="1" s="1"/>
  <c r="J37" i="1"/>
  <c r="M37" i="1" s="1"/>
  <c r="J32" i="1"/>
  <c r="M32" i="1" s="1"/>
  <c r="J26" i="1"/>
  <c r="M26" i="1" s="1"/>
  <c r="J21" i="1"/>
  <c r="M21" i="1" s="1"/>
  <c r="J15" i="1"/>
  <c r="M15" i="1" s="1"/>
  <c r="J9" i="1"/>
  <c r="M9" i="1" s="1"/>
  <c r="K10" i="16"/>
  <c r="K4" i="16"/>
  <c r="J162" i="1"/>
  <c r="M162" i="1" s="1"/>
  <c r="J156" i="1"/>
  <c r="M156" i="1" s="1"/>
  <c r="J150" i="1"/>
  <c r="M150" i="1" s="1"/>
  <c r="J144" i="1"/>
  <c r="M144" i="1" s="1"/>
  <c r="J138" i="1"/>
  <c r="M138" i="1" s="1"/>
  <c r="J132" i="1"/>
  <c r="M132" i="1" s="1"/>
  <c r="J126" i="1"/>
  <c r="M126" i="1" s="1"/>
  <c r="J120" i="1"/>
  <c r="M120" i="1" s="1"/>
  <c r="J114" i="1"/>
  <c r="M114" i="1" s="1"/>
  <c r="J108" i="1"/>
  <c r="M108" i="1" s="1"/>
  <c r="J102" i="1"/>
  <c r="M102" i="1" s="1"/>
  <c r="J96" i="1"/>
  <c r="M96" i="1" s="1"/>
  <c r="J90" i="1"/>
  <c r="M90" i="1" s="1"/>
  <c r="J84" i="1"/>
  <c r="M84" i="1" s="1"/>
  <c r="J78" i="1"/>
  <c r="M78" i="1" s="1"/>
  <c r="J72" i="1"/>
  <c r="M72" i="1" s="1"/>
  <c r="J66" i="1"/>
  <c r="M66" i="1" s="1"/>
  <c r="J60" i="1"/>
  <c r="M60" i="1" s="1"/>
  <c r="J54" i="1"/>
  <c r="M54" i="1" s="1"/>
  <c r="J48" i="1"/>
  <c r="M48" i="1" s="1"/>
  <c r="J42" i="1"/>
  <c r="M42" i="1" s="1"/>
  <c r="J36" i="1"/>
  <c r="M36" i="1" s="1"/>
  <c r="J31" i="1"/>
  <c r="M31" i="1" s="1"/>
  <c r="J20" i="1"/>
  <c r="M20" i="1" s="1"/>
  <c r="J14" i="1"/>
  <c r="M14" i="1" s="1"/>
  <c r="J8" i="1"/>
  <c r="M8" i="1" s="1"/>
  <c r="I11" i="16"/>
  <c r="H10" i="16" s="1"/>
  <c r="K9" i="16"/>
  <c r="K3" i="16"/>
  <c r="J161" i="1"/>
  <c r="M161" i="1" s="1"/>
  <c r="J155" i="1"/>
  <c r="M155" i="1" s="1"/>
  <c r="J149" i="1"/>
  <c r="M149" i="1" s="1"/>
  <c r="J143" i="1"/>
  <c r="M143" i="1" s="1"/>
  <c r="J137" i="1"/>
  <c r="M137" i="1" s="1"/>
  <c r="J131" i="1"/>
  <c r="M131" i="1" s="1"/>
  <c r="J125" i="1"/>
  <c r="M125" i="1" s="1"/>
  <c r="J119" i="1"/>
  <c r="M119" i="1" s="1"/>
  <c r="J113" i="1"/>
  <c r="M113" i="1" s="1"/>
  <c r="J107" i="1"/>
  <c r="M107" i="1" s="1"/>
  <c r="J101" i="1"/>
  <c r="M101" i="1" s="1"/>
  <c r="J95" i="1"/>
  <c r="M95" i="1" s="1"/>
  <c r="J89" i="1"/>
  <c r="M89" i="1" s="1"/>
  <c r="J83" i="1"/>
  <c r="M83" i="1" s="1"/>
  <c r="J77" i="1"/>
  <c r="M77" i="1" s="1"/>
  <c r="J71" i="1"/>
  <c r="M71" i="1" s="1"/>
  <c r="J65" i="1"/>
  <c r="M65" i="1" s="1"/>
  <c r="J59" i="1"/>
  <c r="M59" i="1" s="1"/>
  <c r="J53" i="1"/>
  <c r="M53" i="1" s="1"/>
  <c r="J47" i="1"/>
  <c r="M47" i="1" s="1"/>
  <c r="J41" i="1"/>
  <c r="M41" i="1" s="1"/>
  <c r="J35" i="1"/>
  <c r="M35" i="1" s="1"/>
  <c r="J30" i="1"/>
  <c r="M30" i="1" s="1"/>
  <c r="J25" i="1"/>
  <c r="M25" i="1" s="1"/>
  <c r="J19" i="1"/>
  <c r="M19" i="1" s="1"/>
  <c r="J13" i="1"/>
  <c r="M13" i="1" s="1"/>
  <c r="J7" i="1"/>
  <c r="M7" i="1" s="1"/>
  <c r="K5" i="16"/>
  <c r="K8" i="16"/>
  <c r="J160" i="1"/>
  <c r="M160" i="1" s="1"/>
  <c r="J148" i="1"/>
  <c r="M148" i="1" s="1"/>
  <c r="J142" i="1"/>
  <c r="M142" i="1" s="1"/>
  <c r="J136" i="1"/>
  <c r="M136" i="1" s="1"/>
  <c r="J130" i="1"/>
  <c r="M130" i="1" s="1"/>
  <c r="J124" i="1"/>
  <c r="M124" i="1" s="1"/>
  <c r="J112" i="1"/>
  <c r="M112" i="1" s="1"/>
  <c r="J106" i="1"/>
  <c r="M106" i="1" s="1"/>
  <c r="J100" i="1"/>
  <c r="M100" i="1" s="1"/>
  <c r="J88" i="1"/>
  <c r="M88" i="1" s="1"/>
  <c r="J82" i="1"/>
  <c r="M82" i="1" s="1"/>
  <c r="J76" i="1"/>
  <c r="M76" i="1" s="1"/>
  <c r="J70" i="1"/>
  <c r="M70" i="1" s="1"/>
  <c r="J64" i="1"/>
  <c r="M64" i="1" s="1"/>
  <c r="J58" i="1"/>
  <c r="M58" i="1" s="1"/>
  <c r="J52" i="1"/>
  <c r="M52" i="1" s="1"/>
  <c r="J46" i="1"/>
  <c r="M46" i="1" s="1"/>
  <c r="J18" i="1"/>
  <c r="M18" i="1" s="1"/>
  <c r="J12" i="1"/>
  <c r="M12" i="1" s="1"/>
  <c r="A1" i="1"/>
  <c r="O6" i="1" l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C95" authorId="0" shapeId="0" xr:uid="{EA57340A-B63F-45E9-A3D4-FC9718730B3C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BWI $ 3.375,-
HIGG $1.424,42</t>
        </r>
      </text>
    </comment>
    <comment ref="D95" authorId="0" shapeId="0" xr:uid="{B633E0CC-4F92-423A-9E3D-4D01788C8274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HIGG $ 712,65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<sst xmlns="http://schemas.openxmlformats.org/spreadsheetml/2006/main" count="2142" uniqueCount="546">
  <si>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</si>
  <si>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</si>
  <si>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</si>
  <si>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</si>
  <si>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</si>
  <si>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</si>
  <si>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</si>
  <si>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</si>
  <si>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</si>
  <si>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</si>
  <si>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</si>
  <si>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</si>
  <si>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</si>
  <si>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</si>
  <si>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</si>
  <si>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</si>
  <si>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</si>
  <si>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</si>
  <si>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</si>
  <si>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</si>
  <si>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</si>
  <si>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</si>
  <si>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</si>
  <si>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</si>
  <si>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</si>
  <si>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</si>
  <si>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</si>
  <si>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</si>
  <si>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</si>
  <si>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</si>
  <si>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</si>
  <si>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</si>
  <si>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</si>
  <si>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</si>
  <si>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</si>
  <si>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</si>
  <si>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</si>
  <si>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</si>
  <si>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</si>
  <si>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</si>
  <si>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</si>
  <si>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</si>
  <si>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</si>
  <si>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</si>
  <si>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</si>
  <si>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</si>
  <si>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</si>
  <si>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</si>
  <si>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</si>
  <si>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</si>
  <si>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</si>
  <si>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</si>
  <si>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</si>
  <si>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</si>
  <si>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</si>
  <si>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</si>
  <si>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</si>
  <si>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</si>
  <si>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</si>
  <si>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</si>
  <si>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</si>
  <si>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</si>
  <si>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</si>
  <si>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</si>
  <si>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</si>
  <si>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</si>
  <si>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</si>
  <si>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</si>
  <si>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</si>
  <si>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</si>
  <si>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</si>
  <si>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</si>
  <si>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</si>
  <si>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</si>
  <si>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</si>
  <si>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</si>
  <si>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</si>
  <si>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</si>
  <si>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</si>
  <si>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</si>
  <si>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</si>
  <si>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</si>
  <si>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</si>
  <si>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</si>
  <si>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</si>
  <si>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</si>
  <si>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</si>
  <si>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</si>
  <si>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</si>
  <si>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</si>
  <si>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</si>
  <si>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</si>
  <si>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</si>
  <si>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</si>
  <si>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</si>
  <si>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</si>
  <si>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</si>
  <si>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</si>
  <si>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</si>
  <si>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</si>
  <si>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</si>
  <si>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</si>
  <si>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</si>
  <si>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</si>
  <si>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</si>
  <si>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</si>
  <si>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</si>
  <si>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</si>
  <si>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</si>
  <si>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</si>
  <si>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</si>
  <si>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</si>
  <si>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</si>
  <si>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</si>
  <si>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</si>
  <si>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</si>
  <si>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</si>
  <si>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</si>
  <si>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</si>
  <si>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</si>
  <si>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</si>
  <si>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</si>
  <si>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</si>
  <si>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</si>
  <si>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</si>
  <si>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</si>
  <si>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</si>
  <si>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</si>
  <si>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</si>
  <si>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</si>
  <si>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</si>
  <si>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</si>
  <si>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</si>
  <si>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</si>
  <si>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</si>
  <si>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</si>
  <si>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</si>
  <si>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</si>
  <si>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</si>
  <si>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</si>
  <si>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</si>
  <si>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</si>
  <si>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</si>
  <si>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</si>
  <si>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</si>
  <si>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</si>
  <si>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</si>
  <si>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</si>
  <si>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</si>
  <si>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</si>
  <si>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</si>
  <si>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</si>
  <si>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</si>
  <si>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</si>
  <si>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</si>
  <si>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</si>
  <si>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</si>
  <si>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</si>
  <si>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</si>
  <si>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</si>
  <si>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</si>
  <si>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</si>
  <si>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</si>
  <si>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</si>
  <si>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</si>
  <si>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</si>
  <si>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</si>
  <si>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</si>
  <si>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</si>
  <si>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</si>
  <si>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</si>
  <si>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</si>
  <si>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</si>
  <si>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</si>
  <si>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</si>
  <si>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</si>
  <si>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</si>
  <si>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</si>
  <si>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</si>
  <si>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</si>
  <si>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</si>
  <si>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</si>
  <si>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</si>
  <si>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</si>
  <si>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</si>
  <si>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</si>
  <si>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</si>
  <si>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</si>
  <si>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</si>
  <si>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</si>
  <si>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</si>
  <si>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</si>
  <si>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</si>
  <si>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</si>
  <si>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</si>
  <si>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</si>
  <si>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</si>
  <si>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</si>
  <si>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</si>
  <si>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</si>
  <si>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</si>
  <si>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</si>
  <si>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</si>
  <si>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</si>
  <si>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</si>
  <si>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</si>
  <si>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</si>
  <si>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</si>
  <si>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</si>
  <si>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</si>
  <si>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</si>
  <si>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</si>
  <si>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</si>
  <si>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</si>
  <si>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</si>
  <si>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</si>
  <si>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</si>
  <si>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</si>
  <si>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</si>
  <si>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</si>
  <si>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</si>
  <si>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</si>
  <si>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</si>
  <si>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</si>
  <si>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</si>
  <si>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</si>
  <si>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</si>
  <si>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</si>
  <si>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</si>
  <si>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</si>
  <si>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</si>
  <si>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</si>
  <si>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</si>
  <si>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</si>
  <si>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</si>
  <si>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</si>
  <si>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</si>
  <si>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</si>
  <si>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</si>
  <si>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</si>
  <si>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</si>
  <si>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</si>
  <si>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</si>
  <si>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</si>
  <si>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</si>
  <si>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</si>
  <si>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</si>
  <si>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</si>
  <si>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</si>
  <si>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</si>
  <si>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</si>
  <si>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</si>
  <si>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</si>
  <si>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</si>
  <si>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</si>
  <si>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</si>
  <si>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</si>
  <si>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</si>
  <si>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</si>
  <si>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</si>
  <si>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</si>
  <si>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</si>
  <si>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</si>
  <si>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</si>
  <si>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</si>
  <si>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</si>
  <si>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</si>
  <si>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</si>
  <si>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</si>
  <si>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</si>
  <si>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</si>
  <si>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</si>
  <si>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</si>
  <si>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</si>
  <si>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</si>
  <si>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</si>
  <si>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</si>
  <si>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</si>
  <si>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</si>
  <si>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</si>
  <si>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</si>
  <si>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</si>
  <si>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</si>
  <si>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</si>
  <si>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</si>
  <si>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</si>
  <si>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</si>
  <si>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</si>
  <si>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</si>
  <si>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</si>
  <si>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</si>
  <si>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</si>
  <si>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</si>
  <si>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</si>
  <si>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</si>
  <si>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</si>
  <si>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</si>
  <si>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</si>
  <si>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</si>
  <si>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</si>
  <si>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</si>
  <si>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</si>
  <si>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</si>
  <si>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</si>
  <si>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</si>
  <si>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</si>
  <si>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</si>
  <si>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</si>
  <si>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</si>
  <si>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</si>
  <si>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</si>
  <si>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</si>
  <si>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</si>
  <si>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</si>
  <si>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</si>
  <si>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</si>
  <si>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</si>
  <si>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</si>
  <si>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</si>
  <si>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</si>
  <si>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</si>
  <si>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</si>
  <si>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</si>
  <si>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</si>
  <si>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</si>
  <si>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</si>
  <si>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</si>
  <si>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</si>
  <si>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</si>
  <si>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</si>
  <si>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</si>
  <si>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</si>
  <si>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</si>
  <si>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</si>
  <si>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</si>
  <si>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</si>
  <si>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</si>
  <si>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</si>
  <si>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</si>
  <si>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</si>
  <si>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</si>
  <si>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</si>
  <si>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</si>
  <si>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</si>
  <si>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</si>
  <si>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</si>
  <si>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</si>
  <si>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</si>
  <si>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</si>
  <si>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</si>
  <si>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</si>
  <si>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</si>
  <si>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</si>
  <si>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</si>
  <si>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</si>
  <si>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</si>
  <si>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</si>
  <si>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</si>
  <si>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</si>
  <si>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</si>
  <si>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</si>
  <si>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</si>
  <si>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</si>
  <si>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</si>
  <si>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</si>
  <si>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</si>
  <si>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</si>
  <si>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</si>
  <si>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</si>
  <si>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</si>
  <si>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</si>
  <si>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</si>
  <si>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</si>
  <si>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</si>
  <si>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</si>
  <si>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</si>
  <si>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</si>
  <si>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</si>
  <si>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</si>
  <si>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</si>
  <si>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</si>
  <si>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</si>
  <si>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</si>
  <si>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</si>
  <si>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</si>
  <si>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</si>
  <si>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</si>
  <si>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</si>
  <si>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</si>
  <si>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</si>
  <si>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</si>
  <si>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</si>
  <si>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</si>
  <si>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</si>
  <si>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</si>
  <si>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</si>
  <si>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</si>
  <si>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</si>
  <si>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</si>
  <si>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</si>
  <si>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</si>
  <si>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</si>
  <si>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</si>
  <si>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</si>
  <si>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</si>
  <si>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</si>
  <si>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</si>
  <si>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</si>
  <si>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</si>
  <si>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</si>
  <si>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</si>
  <si>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</si>
  <si>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</si>
  <si>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</si>
  <si>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</si>
  <si>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</si>
  <si>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</si>
  <si>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</si>
  <si>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</si>
  <si>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</si>
  <si>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</si>
  <si>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</si>
  <si>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</si>
  <si>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</si>
  <si>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</si>
  <si>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</si>
  <si>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</si>
  <si>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</si>
  <si>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</si>
  <si>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</si>
  <si>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</si>
  <si>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</si>
  <si>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</si>
  <si>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</si>
  <si>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</si>
  <si>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</si>
  <si>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</si>
  <si>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</si>
  <si>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</si>
  <si>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</si>
  <si>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</si>
  <si>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</si>
  <si>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</si>
  <si>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</si>
  <si>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</si>
  <si>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</si>
  <si>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</si>
  <si>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</si>
  <si>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</si>
  <si>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</si>
  <si>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</si>
  <si>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</si>
  <si>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</si>
  <si>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</si>
  <si>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</si>
  <si>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</si>
  <si>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</si>
  <si>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</si>
  <si>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</si>
  <si>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</si>
  <si>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</si>
  <si>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</si>
  <si>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</si>
  <si>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</si>
  <si>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</si>
  <si>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</si>
  <si>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</si>
  <si>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</si>
  <si>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</si>
  <si>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</si>
  <si>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</si>
  <si>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</si>
  <si>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</si>
  <si>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</si>
  <si>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</si>
  <si>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</si>
  <si>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</si>
  <si>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</si>
  <si>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</si>
  <si>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</si>
  <si>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</si>
  <si>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</si>
  <si>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</si>
  <si>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</si>
  <si>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</si>
  <si>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</si>
  <si>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</si>
  <si>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</si>
  <si>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</si>
  <si>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</si>
  <si>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</si>
  <si>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</si>
  <si>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</si>
  <si>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</si>
  <si>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</si>
  <si>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</si>
  <si>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</si>
  <si>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</si>
  <si>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</si>
  <si>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</si>
  <si>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</si>
  <si>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</si>
  <si>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</si>
  <si>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</si>
  <si>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</si>
  <si>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</si>
  <si>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</si>
  <si>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</si>
  <si>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</si>
  <si>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</si>
  <si>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</si>
  <si>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</si>
  <si>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</si>
  <si>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</si>
  <si>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</si>
  <si>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</si>
  <si>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</si>
  <si>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</si>
  <si>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</si>
  <si>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</si>
  <si>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</si>
  <si>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</si>
  <si>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</si>
  <si>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</si>
  <si>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</si>
  <si>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</si>
  <si>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</si>
  <si>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</si>
  <si>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</si>
  <si>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</si>
  <si>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>\\10.8.0.35\rpa$\WO BUDGETING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</si>
  <si>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</si>
  <si>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</si>
  <si>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</si>
  <si>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</si>
  <si>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</si>
  <si>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</si>
  <si>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</si>
  <si>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</si>
  <si>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Loss\Remarks History\Remark History.xlsx</t>
  </si>
  <si>
    <t>LOKASI FILE  (Remark History)</t>
  </si>
  <si>
    <t>OK</t>
  </si>
  <si>
    <t>CATEGORY ACCOUNT</t>
  </si>
  <si>
    <t>Row @Production_Cost</t>
  </si>
  <si>
    <t>ROW</t>
  </si>
  <si>
    <t>DESC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</si>
</sst>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sz val="72"/>
      <color theme="0" tint="-4.9989318521683403E-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23" fillId="0" borderId="0"/>
    <xf numFmtId="0" fontId="24" fillId="0" borderId="0"/>
    <xf numFmtId="0" fontId="25" fillId="0" borderId="0"/>
    <xf numFmtId="0" fontId="21" fillId="0" borderId="0"/>
  </cellStyleXfs>
  <cellXfs count="21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left"/>
    </xf>
    <xf numFmtId="0" fontId="11" fillId="5" borderId="11" xfId="0" applyFont="1" applyFill="1" applyBorder="1" applyAlignment="1">
      <alignment horizontal="left" vertical="center"/>
    </xf>
    <xf numFmtId="0" fontId="10" fillId="0" borderId="0" xfId="3" applyFill="1"/>
    <xf numFmtId="0" fontId="11" fillId="5" borderId="11" xfId="0" applyFont="1" applyFill="1" applyBorder="1" applyAlignment="1">
      <alignment vertical="center"/>
    </xf>
    <xf numFmtId="0" fontId="11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4" fillId="0" borderId="0" xfId="0" applyFont="1" applyAlignment="1">
      <alignment horizontal="left"/>
    </xf>
    <xf numFmtId="0" fontId="7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10" fillId="0" borderId="0" xfId="3" applyNumberFormat="1"/>
    <xf numFmtId="4" fontId="0" fillId="0" borderId="0" xfId="0" applyNumberFormat="1"/>
    <xf numFmtId="0" fontId="26" fillId="0" borderId="0" xfId="5" applyFont="1" applyAlignment="1">
      <alignment horizontal="center"/>
    </xf>
    <xf numFmtId="4" fontId="3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8" borderId="17" xfId="1" applyFont="1" applyFill="1" applyBorder="1"/>
    <xf numFmtId="9" fontId="20" fillId="0" borderId="17" xfId="2" applyFont="1" applyBorder="1"/>
    <xf numFmtId="9" fontId="1" fillId="0" borderId="17" xfId="2" applyFont="1" applyBorder="1"/>
    <xf numFmtId="9" fontId="21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1" fillId="0" borderId="17" xfId="0" applyNumberFormat="1" applyFont="1" applyBorder="1" applyAlignment="1">
      <alignment horizontal="center" vertical="center"/>
    </xf>
    <xf numFmtId="9" fontId="28" fillId="0" borderId="17" xfId="0" applyNumberFormat="1" applyFont="1" applyBorder="1" applyAlignment="1">
      <alignment horizontal="center" vertical="center"/>
    </xf>
    <xf numFmtId="0" fontId="10" fillId="12" borderId="0" xfId="3" applyFill="1"/>
    <xf numFmtId="0" fontId="10" fillId="10" borderId="0" xfId="3" applyFill="1"/>
    <xf numFmtId="0" fontId="30" fillId="11" borderId="1" xfId="0" applyFont="1" applyFill="1" applyBorder="1" applyAlignment="1">
      <alignment horizontal="center" vertical="center"/>
    </xf>
    <xf numFmtId="10" fontId="30" fillId="11" borderId="1" xfId="2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32" fillId="0" borderId="0" xfId="0" applyFont="1"/>
    <xf numFmtId="10" fontId="32" fillId="0" borderId="0" xfId="2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2" fillId="12" borderId="0" xfId="0" applyFont="1" applyFill="1" applyAlignment="1">
      <alignment horizontal="center"/>
    </xf>
    <xf numFmtId="0" fontId="32" fillId="10" borderId="0" xfId="0" applyFont="1" applyFill="1" applyAlignment="1">
      <alignment horizontal="center"/>
    </xf>
    <xf numFmtId="0" fontId="32" fillId="12" borderId="0" xfId="0" applyFont="1" applyFill="1"/>
    <xf numFmtId="10" fontId="32" fillId="12" borderId="0" xfId="2" applyNumberFormat="1" applyFont="1" applyFill="1" applyAlignment="1">
      <alignment horizontal="center"/>
    </xf>
    <xf numFmtId="0" fontId="32" fillId="10" borderId="0" xfId="0" applyFont="1" applyFill="1"/>
    <xf numFmtId="10" fontId="32" fillId="10" borderId="0" xfId="2" applyNumberFormat="1" applyFont="1" applyFill="1" applyAlignment="1">
      <alignment horizontal="center"/>
    </xf>
    <xf numFmtId="43" fontId="32" fillId="0" borderId="0" xfId="1" applyFont="1" applyAlignment="1">
      <alignment horizontal="center"/>
    </xf>
    <xf numFmtId="0" fontId="33" fillId="10" borderId="0" xfId="0" applyFont="1" applyFill="1" applyAlignment="1">
      <alignment horizontal="center"/>
    </xf>
    <xf numFmtId="43" fontId="33" fillId="10" borderId="0" xfId="1" applyFont="1" applyFill="1" applyAlignment="1">
      <alignment horizontal="center"/>
    </xf>
    <xf numFmtId="10" fontId="33" fillId="10" borderId="0" xfId="2" applyNumberFormat="1" applyFont="1" applyFill="1" applyAlignment="1">
      <alignment horizontal="center"/>
    </xf>
    <xf numFmtId="0" fontId="33" fillId="10" borderId="0" xfId="0" applyFont="1" applyFill="1"/>
    <xf numFmtId="0" fontId="34" fillId="0" borderId="0" xfId="0" applyFont="1"/>
    <xf numFmtId="43" fontId="35" fillId="10" borderId="0" xfId="1" applyFont="1" applyFill="1" applyAlignment="1">
      <alignment horizontal="center"/>
    </xf>
    <xf numFmtId="0" fontId="33" fillId="10" borderId="0" xfId="0" applyFont="1" applyFill="1" applyAlignment="1">
      <alignment horizontal="left"/>
    </xf>
    <xf numFmtId="0" fontId="30" fillId="11" borderId="1" xfId="0" applyFont="1" applyFill="1" applyBorder="1" applyAlignment="1">
      <alignment horizontal="left" vertical="center"/>
    </xf>
    <xf numFmtId="0" fontId="32" fillId="12" borderId="0" xfId="0" applyFont="1" applyFill="1" applyAlignment="1">
      <alignment horizontal="left"/>
    </xf>
    <xf numFmtId="0" fontId="32" fillId="10" borderId="0" xfId="0" applyFont="1" applyFill="1" applyAlignment="1">
      <alignment horizontal="left"/>
    </xf>
    <xf numFmtId="0" fontId="32" fillId="0" borderId="0" xfId="0" applyFont="1" applyAlignment="1">
      <alignment horizontal="left"/>
    </xf>
    <xf numFmtId="43" fontId="30" fillId="11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40" fillId="10" borderId="0" xfId="0" applyFont="1" applyFill="1"/>
    <xf numFmtId="43" fontId="40" fillId="10" borderId="0" xfId="1" applyFont="1" applyFill="1" applyBorder="1"/>
    <xf numFmtId="0" fontId="40" fillId="0" borderId="0" xfId="0" applyFont="1"/>
    <xf numFmtId="43" fontId="40" fillId="0" borderId="0" xfId="1" applyFont="1" applyBorder="1"/>
    <xf numFmtId="10" fontId="37" fillId="0" borderId="0" xfId="0" applyNumberFormat="1" applyFont="1" applyAlignment="1">
      <alignment horizontal="center" vertical="center"/>
    </xf>
    <xf numFmtId="10" fontId="37" fillId="10" borderId="0" xfId="0" applyNumberFormat="1" applyFont="1" applyFill="1" applyAlignment="1">
      <alignment horizontal="center" vertical="center"/>
    </xf>
    <xf numFmtId="43" fontId="40" fillId="8" borderId="0" xfId="1" applyFont="1" applyFill="1" applyBorder="1"/>
    <xf numFmtId="9" fontId="37" fillId="0" borderId="0" xfId="0" applyNumberFormat="1" applyFont="1" applyAlignment="1">
      <alignment horizontal="center" vertical="center"/>
    </xf>
    <xf numFmtId="9" fontId="38" fillId="0" borderId="0" xfId="0" applyNumberFormat="1" applyFont="1" applyAlignment="1">
      <alignment horizontal="center" vertical="center"/>
    </xf>
    <xf numFmtId="0" fontId="40" fillId="6" borderId="0" xfId="0" applyFont="1" applyFill="1"/>
    <xf numFmtId="43" fontId="40" fillId="6" borderId="0" xfId="1" applyFont="1" applyFill="1" applyBorder="1"/>
    <xf numFmtId="9" fontId="39" fillId="0" borderId="0" xfId="0" applyNumberFormat="1" applyFont="1" applyAlignment="1">
      <alignment horizontal="center" vertical="center"/>
    </xf>
    <xf numFmtId="0" fontId="40" fillId="12" borderId="0" xfId="0" applyFont="1" applyFill="1"/>
    <xf numFmtId="43" fontId="40" fillId="12" borderId="0" xfId="1" applyFont="1" applyFill="1" applyBorder="1"/>
    <xf numFmtId="10" fontId="37" fillId="12" borderId="0" xfId="0" applyNumberFormat="1" applyFont="1" applyFill="1" applyAlignment="1">
      <alignment horizontal="center" vertical="center"/>
    </xf>
    <xf numFmtId="9" fontId="37" fillId="12" borderId="0" xfId="0" applyNumberFormat="1" applyFont="1" applyFill="1" applyAlignment="1">
      <alignment horizontal="center" vertical="center"/>
    </xf>
    <xf numFmtId="9" fontId="38" fillId="12" borderId="0" xfId="0" applyNumberFormat="1" applyFont="1" applyFill="1" applyAlignment="1">
      <alignment horizontal="center" vertical="center"/>
    </xf>
    <xf numFmtId="0" fontId="44" fillId="15" borderId="0" xfId="0" applyFont="1" applyFill="1"/>
    <xf numFmtId="43" fontId="44" fillId="15" borderId="0" xfId="1" applyFont="1" applyFill="1" applyBorder="1"/>
    <xf numFmtId="0" fontId="44" fillId="16" borderId="0" xfId="0" applyFont="1" applyFill="1"/>
    <xf numFmtId="43" fontId="44" fillId="16" borderId="0" xfId="1" applyFont="1" applyFill="1" applyBorder="1"/>
    <xf numFmtId="0" fontId="0" fillId="12" borderId="0" xfId="0" applyFill="1"/>
    <xf numFmtId="0" fontId="0" fillId="12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40" fillId="10" borderId="0" xfId="0" applyNumberFormat="1" applyFont="1" applyFill="1" applyAlignment="1">
      <alignment horizontal="center"/>
    </xf>
    <xf numFmtId="10" fontId="40" fillId="12" borderId="0" xfId="0" applyNumberFormat="1" applyFont="1" applyFill="1" applyAlignment="1">
      <alignment horizontal="center"/>
    </xf>
    <xf numFmtId="0" fontId="44" fillId="15" borderId="0" xfId="0" applyFont="1" applyFill="1" applyAlignment="1">
      <alignment horizontal="center"/>
    </xf>
    <xf numFmtId="10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0" fontId="44" fillId="16" borderId="0" xfId="0" applyFont="1" applyFill="1" applyAlignment="1">
      <alignment horizontal="center"/>
    </xf>
    <xf numFmtId="0" fontId="45" fillId="15" borderId="10" xfId="0" applyFont="1" applyFill="1" applyBorder="1" applyAlignment="1">
      <alignment horizontal="center" vertical="center"/>
    </xf>
    <xf numFmtId="9" fontId="45" fillId="15" borderId="10" xfId="2" applyFont="1" applyFill="1" applyBorder="1" applyAlignment="1">
      <alignment horizontal="center" vertical="center"/>
    </xf>
    <xf numFmtId="43" fontId="45" fillId="15" borderId="10" xfId="1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9" fontId="40" fillId="0" borderId="0" xfId="2" applyFont="1" applyAlignment="1">
      <alignment horizontal="center" vertical="center"/>
    </xf>
    <xf numFmtId="43" fontId="40" fillId="0" borderId="0" xfId="1" applyFont="1"/>
    <xf numFmtId="9" fontId="40" fillId="0" borderId="0" xfId="2" applyFont="1" applyAlignment="1">
      <alignment horizontal="center"/>
    </xf>
    <xf numFmtId="0" fontId="40" fillId="12" borderId="0" xfId="0" applyFont="1" applyFill="1" applyAlignment="1">
      <alignment vertical="center"/>
    </xf>
    <xf numFmtId="43" fontId="45" fillId="16" borderId="10" xfId="1" applyFont="1" applyFill="1" applyBorder="1" applyAlignment="1">
      <alignment horizontal="center"/>
    </xf>
    <xf numFmtId="43" fontId="6" fillId="16" borderId="10" xfId="1" applyFont="1" applyFill="1" applyBorder="1" applyAlignment="1">
      <alignment horizontal="center"/>
    </xf>
    <xf numFmtId="3" fontId="47" fillId="12" borderId="16" xfId="5" applyNumberFormat="1" applyFont="1" applyFill="1" applyBorder="1"/>
    <xf numFmtId="0" fontId="50" fillId="15" borderId="0" xfId="5" applyFont="1" applyFill="1" applyAlignment="1">
      <alignment horizontal="center" vertical="center"/>
    </xf>
    <xf numFmtId="10" fontId="50" fillId="15" borderId="0" xfId="5" applyNumberFormat="1" applyFont="1" applyFill="1" applyAlignment="1">
      <alignment horizontal="center" vertical="center"/>
    </xf>
    <xf numFmtId="0" fontId="30" fillId="9" borderId="0" xfId="5" applyFont="1" applyFill="1" applyAlignment="1">
      <alignment horizontal="center"/>
    </xf>
    <xf numFmtId="4" fontId="30" fillId="9" borderId="0" xfId="5" applyNumberFormat="1" applyFont="1" applyFill="1" applyAlignment="1">
      <alignment horizontal="right"/>
    </xf>
    <xf numFmtId="10" fontId="51" fillId="9" borderId="0" xfId="5" applyNumberFormat="1" applyFont="1" applyFill="1" applyAlignment="1">
      <alignment horizontal="right"/>
    </xf>
    <xf numFmtId="0" fontId="30" fillId="15" borderId="0" xfId="5" applyFont="1" applyFill="1" applyAlignment="1">
      <alignment horizontal="center"/>
    </xf>
    <xf numFmtId="4" fontId="30" fillId="15" borderId="0" xfId="5" applyNumberFormat="1" applyFont="1" applyFill="1" applyAlignment="1">
      <alignment horizontal="right"/>
    </xf>
    <xf numFmtId="10" fontId="51" fillId="15" borderId="0" xfId="5" applyNumberFormat="1" applyFont="1" applyFill="1" applyAlignment="1">
      <alignment horizontal="right"/>
    </xf>
    <xf numFmtId="4" fontId="50" fillId="15" borderId="0" xfId="0" applyNumberFormat="1" applyFont="1" applyFill="1" applyAlignment="1">
      <alignment horizontal="center" vertical="center"/>
    </xf>
    <xf numFmtId="0" fontId="32" fillId="0" borderId="21" xfId="0" applyFont="1" applyBorder="1"/>
    <xf numFmtId="0" fontId="52" fillId="0" borderId="21" xfId="5" applyFont="1" applyBorder="1" applyAlignment="1">
      <alignment horizontal="center"/>
    </xf>
    <xf numFmtId="0" fontId="48" fillId="0" borderId="21" xfId="5" applyFont="1" applyBorder="1" applyAlignment="1">
      <alignment horizontal="center"/>
    </xf>
    <xf numFmtId="4" fontId="32" fillId="0" borderId="21" xfId="0" applyNumberFormat="1" applyFont="1" applyBorder="1"/>
    <xf numFmtId="4" fontId="56" fillId="0" borderId="21" xfId="0" applyNumberFormat="1" applyFont="1" applyBorder="1"/>
    <xf numFmtId="0" fontId="57" fillId="0" borderId="21" xfId="5" applyFont="1" applyBorder="1" applyAlignment="1">
      <alignment horizontal="left"/>
    </xf>
    <xf numFmtId="4" fontId="53" fillId="0" borderId="21" xfId="0" applyNumberFormat="1" applyFont="1" applyBorder="1"/>
    <xf numFmtId="10" fontId="48" fillId="0" borderId="21" xfId="5" applyNumberFormat="1" applyFont="1" applyBorder="1" applyAlignment="1">
      <alignment horizontal="right"/>
    </xf>
    <xf numFmtId="0" fontId="53" fillId="0" borderId="21" xfId="5" applyFont="1" applyBorder="1" applyAlignment="1">
      <alignment horizontal="left"/>
    </xf>
    <xf numFmtId="4" fontId="56" fillId="0" borderId="21" xfId="6" applyNumberFormat="1" applyFont="1" applyBorder="1" applyAlignment="1">
      <alignment horizontal="right"/>
    </xf>
    <xf numFmtId="10" fontId="53" fillId="0" borderId="21" xfId="5" applyNumberFormat="1" applyFont="1" applyBorder="1" applyAlignment="1">
      <alignment horizontal="right"/>
    </xf>
    <xf numFmtId="4" fontId="56" fillId="0" borderId="21" xfId="0" applyNumberFormat="1" applyFont="1" applyBorder="1" applyAlignment="1">
      <alignment horizontal="right"/>
    </xf>
    <xf numFmtId="4" fontId="56" fillId="0" borderId="21" xfId="6" applyNumberFormat="1" applyFont="1" applyBorder="1"/>
    <xf numFmtId="4" fontId="53" fillId="0" borderId="21" xfId="5" applyNumberFormat="1" applyFont="1" applyBorder="1" applyAlignment="1">
      <alignment horizontal="right"/>
    </xf>
    <xf numFmtId="0" fontId="55" fillId="0" borderId="21" xfId="5" applyFont="1" applyBorder="1" applyAlignment="1">
      <alignment horizontal="center"/>
    </xf>
    <xf numFmtId="4" fontId="56" fillId="0" borderId="21" xfId="5" applyNumberFormat="1" applyFont="1" applyBorder="1" applyAlignment="1">
      <alignment horizontal="right"/>
    </xf>
    <xf numFmtId="10" fontId="56" fillId="0" borderId="21" xfId="5" applyNumberFormat="1" applyFont="1" applyBorder="1" applyAlignment="1">
      <alignment horizontal="center"/>
    </xf>
    <xf numFmtId="4" fontId="53" fillId="0" borderId="21" xfId="7" applyNumberFormat="1" applyFont="1" applyBorder="1"/>
    <xf numFmtId="0" fontId="56" fillId="0" borderId="21" xfId="5" applyFont="1" applyBorder="1" applyAlignment="1">
      <alignment horizontal="center"/>
    </xf>
    <xf numFmtId="0" fontId="54" fillId="0" borderId="21" xfId="5" applyFont="1" applyBorder="1" applyAlignment="1">
      <alignment horizontal="left"/>
    </xf>
    <xf numFmtId="0" fontId="53" fillId="0" borderId="21" xfId="5" applyFont="1" applyBorder="1"/>
    <xf numFmtId="0" fontId="48" fillId="0" borderId="21" xfId="5" applyFont="1" applyBorder="1" applyAlignment="1">
      <alignment horizontal="left"/>
    </xf>
    <xf numFmtId="4" fontId="53" fillId="7" borderId="21" xfId="0" applyNumberFormat="1" applyFont="1" applyFill="1" applyBorder="1"/>
    <xf numFmtId="10" fontId="53" fillId="7" borderId="21" xfId="5" applyNumberFormat="1" applyFont="1" applyFill="1" applyBorder="1" applyAlignment="1">
      <alignment horizontal="right"/>
    </xf>
    <xf numFmtId="4" fontId="53" fillId="0" borderId="21" xfId="0" applyNumberFormat="1" applyFont="1" applyBorder="1" applyAlignment="1">
      <alignment horizontal="center"/>
    </xf>
    <xf numFmtId="0" fontId="58" fillId="0" borderId="21" xfId="5" applyFont="1" applyBorder="1" applyAlignment="1">
      <alignment horizontal="left"/>
    </xf>
    <xf numFmtId="4" fontId="53" fillId="7" borderId="21" xfId="5" applyNumberFormat="1" applyFont="1" applyFill="1" applyBorder="1" applyAlignment="1">
      <alignment horizontal="right"/>
    </xf>
    <xf numFmtId="4" fontId="53" fillId="0" borderId="21" xfId="8" applyNumberFormat="1" applyFont="1" applyBorder="1"/>
    <xf numFmtId="0" fontId="49" fillId="0" borderId="21" xfId="5" applyFont="1" applyBorder="1" applyAlignment="1">
      <alignment horizontal="center"/>
    </xf>
    <xf numFmtId="3" fontId="59" fillId="12" borderId="16" xfId="5" applyNumberFormat="1" applyFont="1" applyFill="1" applyBorder="1"/>
    <xf numFmtId="0" fontId="31" fillId="4" borderId="1" xfId="0" applyFont="1" applyFill="1" applyBorder="1" applyAlignment="1">
      <alignment horizontal="center" vertical="center"/>
    </xf>
    <xf numFmtId="0" fontId="33" fillId="10" borderId="0" xfId="2" applyNumberFormat="1" applyFont="1" applyFill="1" applyAlignment="1">
      <alignment horizontal="center"/>
    </xf>
    <xf numFmtId="0" fontId="30" fillId="11" borderId="1" xfId="2" applyNumberFormat="1" applyFont="1" applyFill="1" applyBorder="1" applyAlignment="1">
      <alignment horizontal="center" vertical="center"/>
    </xf>
    <xf numFmtId="0" fontId="32" fillId="0" borderId="0" xfId="2" applyNumberFormat="1" applyFont="1" applyAlignment="1">
      <alignment horizontal="center"/>
    </xf>
    <xf numFmtId="9" fontId="34" fillId="10" borderId="0" xfId="2" applyFont="1" applyFill="1" applyAlignment="1">
      <alignment horizontal="center"/>
    </xf>
    <xf numFmtId="9" fontId="32" fillId="12" borderId="0" xfId="2" applyFont="1" applyFill="1" applyAlignment="1">
      <alignment horizontal="center"/>
    </xf>
    <xf numFmtId="9" fontId="60" fillId="10" borderId="0" xfId="2" applyFont="1" applyFill="1" applyAlignment="1">
      <alignment horizontal="center"/>
    </xf>
    <xf numFmtId="9" fontId="32" fillId="10" borderId="0" xfId="2" applyFont="1" applyFill="1" applyAlignment="1">
      <alignment horizontal="center"/>
    </xf>
    <xf numFmtId="9" fontId="40" fillId="10" borderId="0" xfId="2" applyFont="1" applyFill="1" applyBorder="1" applyAlignment="1">
      <alignment horizontal="center"/>
    </xf>
    <xf numFmtId="9" fontId="40" fillId="12" borderId="0" xfId="2" applyFont="1" applyFill="1" applyBorder="1" applyAlignment="1">
      <alignment horizontal="center"/>
    </xf>
    <xf numFmtId="0" fontId="3" fillId="12" borderId="0" xfId="0" applyFont="1" applyFill="1"/>
    <xf numFmtId="0" fontId="34" fillId="12" borderId="0" xfId="0" applyFont="1" applyFill="1"/>
    <xf numFmtId="0" fontId="4" fillId="12" borderId="0" xfId="0" applyFont="1" applyFill="1" applyAlignment="1">
      <alignment vertical="center"/>
    </xf>
    <xf numFmtId="0" fontId="62" fillId="10" borderId="0" xfId="0" applyFont="1" applyFill="1" applyAlignment="1">
      <alignment horizontal="left"/>
    </xf>
    <xf numFmtId="164" fontId="32" fillId="12" borderId="0" xfId="1" applyNumberFormat="1" applyFont="1" applyFill="1" applyAlignment="1">
      <alignment horizontal="center"/>
    </xf>
    <xf numFmtId="164" fontId="32" fillId="10" borderId="0" xfId="1" applyNumberFormat="1" applyFont="1" applyFill="1" applyAlignment="1">
      <alignment horizontal="center"/>
    </xf>
    <xf numFmtId="0" fontId="29" fillId="9" borderId="0" xfId="0" applyFont="1" applyFill="1" applyAlignment="1">
      <alignment horizontal="left" vertical="top"/>
    </xf>
    <xf numFmtId="0" fontId="0" fillId="5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19" fillId="3" borderId="3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45" fillId="16" borderId="13" xfId="0" applyFont="1" applyFill="1" applyBorder="1" applyAlignment="1">
      <alignment horizontal="center"/>
    </xf>
    <xf numFmtId="0" fontId="45" fillId="16" borderId="14" xfId="0" applyFont="1" applyFill="1" applyBorder="1" applyAlignment="1">
      <alignment horizontal="center"/>
    </xf>
    <xf numFmtId="0" fontId="41" fillId="9" borderId="13" xfId="0" applyFont="1" applyFill="1" applyBorder="1" applyAlignment="1">
      <alignment horizontal="center" vertical="center"/>
    </xf>
    <xf numFmtId="0" fontId="41" fillId="9" borderId="15" xfId="0" applyFont="1" applyFill="1" applyBorder="1" applyAlignment="1">
      <alignment horizontal="center" vertical="center"/>
    </xf>
    <xf numFmtId="0" fontId="41" fillId="9" borderId="14" xfId="0" applyFont="1" applyFill="1" applyBorder="1" applyAlignment="1">
      <alignment horizontal="center" vertical="center"/>
    </xf>
    <xf numFmtId="0" fontId="41" fillId="9" borderId="6" xfId="0" applyFont="1" applyFill="1" applyBorder="1" applyAlignment="1">
      <alignment horizontal="center" vertical="center"/>
    </xf>
    <xf numFmtId="0" fontId="4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61" fillId="13" borderId="1" xfId="0" applyFont="1" applyFill="1" applyBorder="1" applyAlignment="1">
      <alignment horizontal="center" vertical="center"/>
    </xf>
    <xf numFmtId="0" fontId="61" fillId="14" borderId="1" xfId="0" applyFont="1" applyFill="1" applyBorder="1" applyAlignment="1">
      <alignment horizontal="center" vertical="center"/>
    </xf>
    <xf numFmtId="0" fontId="43" fillId="9" borderId="0" xfId="0" applyFont="1" applyFill="1" applyAlignment="1">
      <alignment horizontal="left" vertical="top"/>
    </xf>
    <xf numFmtId="0" fontId="36" fillId="9" borderId="0" xfId="0" applyFont="1" applyFill="1" applyAlignment="1">
      <alignment horizontal="center"/>
    </xf>
    <xf numFmtId="0" fontId="46" fillId="9" borderId="0" xfId="4" applyFont="1" applyFill="1" applyAlignment="1">
      <alignment horizontal="left"/>
    </xf>
    <xf numFmtId="0" fontId="42" fillId="9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2" fillId="12" borderId="0" xfId="5" applyFont="1" applyFill="1" applyAlignment="1">
      <alignment horizontal="center"/>
    </xf>
    <xf numFmtId="0" fontId="19" fillId="3" borderId="0" xfId="0" applyFont="1" applyFill="1" applyBorder="1" applyAlignment="1">
      <alignment horizontal="center" vertical="center"/>
    </xf>
    <xf numFmtId="0" fontId="63" fillId="3" borderId="6" xfId="0" applyFont="1" applyFill="1" applyBorder="1" applyAlignment="1">
      <alignment horizontal="center" vertical="center"/>
    </xf>
    <xf numFmtId="0" fontId="63" fillId="3" borderId="0" xfId="0" applyFont="1" applyFill="1" applyBorder="1" applyAlignment="1">
      <alignment horizontal="center" vertical="center"/>
    </xf>
    <xf numFmtId="0" fontId="63" fillId="3" borderId="7" xfId="0" applyFont="1" applyFill="1" applyBorder="1" applyAlignment="1">
      <alignment horizontal="center" vertical="center"/>
    </xf>
    <xf numFmtId="0" fontId="63" fillId="3" borderId="8" xfId="0" applyFont="1" applyFill="1" applyBorder="1" applyAlignment="1">
      <alignment horizontal="center" vertical="center"/>
    </xf>
    <xf numFmtId="0" fontId="63" fillId="3" borderId="2" xfId="0" applyFont="1" applyFill="1" applyBorder="1" applyAlignment="1">
      <alignment horizontal="center" vertical="center"/>
    </xf>
    <xf numFmtId="0" fontId="63" fillId="3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22" xfId="0" applyBorder="1" applyAlignment="1"/>
    <xf numFmtId="0" fontId="7" fillId="0" borderId="23" xfId="0" applyFont="1" applyBorder="1"/>
    <xf numFmtId="0" fontId="7" fillId="0" borderId="24" xfId="0" applyFont="1" applyBorder="1"/>
    <xf numFmtId="0" fontId="0" fillId="0" borderId="25" xfId="0" applyBorder="1" applyAlignment="1"/>
    <xf numFmtId="0" fontId="10" fillId="0" borderId="0" xfId="3"/>
    <xf numFmtId="0" fontId="3" fillId="10" borderId="0" xfId="0" applyFont="1" applyFill="1"/>
    <xf numFmtId="0" fontId="65" fillId="11" borderId="1" xfId="0" applyFont="1" applyFill="1" applyBorder="1" applyAlignment="1">
      <alignment horizontal="left" vertical="center"/>
    </xf>
    <xf numFmtId="43" fontId="30" fillId="11" borderId="1" xfId="1" applyFont="1" applyFill="1" applyBorder="1" applyAlignment="1">
      <alignment horizontal="center" vertical="center"/>
    </xf>
    <xf numFmtId="0" fontId="66" fillId="9" borderId="0" xfId="0" applyFont="1" applyFill="1" applyAlignment="1">
      <alignment vertical="top"/>
    </xf>
    <xf numFmtId="4" fontId="53" fillId="0" borderId="21" xfId="5" applyNumberFormat="1" applyFont="1" applyFill="1" applyBorder="1" applyAlignment="1">
      <alignment horizontal="right"/>
    </xf>
    <xf numFmtId="4" fontId="56" fillId="0" borderId="21" xfId="5" applyNumberFormat="1" applyFont="1" applyFill="1" applyBorder="1" applyAlignment="1">
      <alignment horizontal="right"/>
    </xf>
    <xf numFmtId="4" fontId="32" fillId="0" borderId="21" xfId="0" applyNumberFormat="1" applyFont="1" applyFill="1" applyBorder="1"/>
    <xf numFmtId="43" fontId="3" fillId="12" borderId="0" xfId="1" applyFont="1" applyFill="1"/>
    <xf numFmtId="4" fontId="56" fillId="0" borderId="21" xfId="6" applyNumberFormat="1" applyFont="1" applyFill="1" applyBorder="1" applyAlignment="1">
      <alignment horizontal="center"/>
    </xf>
    <xf numFmtId="0" fontId="6" fillId="17" borderId="0" xfId="0" applyFont="1" applyFill="1"/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F9297"/>
      <color rgb="FF346265"/>
      <color rgb="FFFFFFFF"/>
      <color rgb="FFE4F0F1"/>
      <color rgb="FF76B3B8"/>
      <color rgb="FFEFFBFF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2611412</xdr:colOff>
      <xdr:row>1</xdr:row>
      <xdr:rowOff>4193</xdr:rowOff>
    </xdr:from>
    <xdr:to>
      <xdr:col>4</xdr:col>
      <xdr:colOff>728871</xdr:colOff>
      <xdr:row>2</xdr:row>
      <xdr:rowOff>82826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893021" y="153280"/>
          <a:ext cx="1538176" cy="501046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1082951</xdr:colOff>
      <xdr:row>0</xdr:row>
      <xdr:rowOff>146188</xdr:rowOff>
    </xdr:from>
    <xdr:to>
      <xdr:col>2</xdr:col>
      <xdr:colOff>2759766</xdr:colOff>
      <xdr:row>2</xdr:row>
      <xdr:rowOff>86759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364560" y="146188"/>
          <a:ext cx="1676815" cy="512071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2802420</xdr:colOff>
      <xdr:row>6</xdr:row>
      <xdr:rowOff>66261</xdr:rowOff>
    </xdr:from>
    <xdr:to>
      <xdr:col>4</xdr:col>
      <xdr:colOff>695743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084029" y="1151283"/>
          <a:ext cx="1314040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8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33130</xdr:colOff>
      <xdr:row>16</xdr:row>
      <xdr:rowOff>41414</xdr:rowOff>
    </xdr:from>
    <xdr:to>
      <xdr:col>5</xdr:col>
      <xdr:colOff>99390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719391" y="27001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588066</xdr:colOff>
      <xdr:row>0</xdr:row>
      <xdr:rowOff>140803</xdr:rowOff>
    </xdr:from>
    <xdr:to>
      <xdr:col>4</xdr:col>
      <xdr:colOff>2087217</xdr:colOff>
      <xdr:row>2</xdr:row>
      <xdr:rowOff>91109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290392" y="140803"/>
          <a:ext cx="1499151" cy="521806"/>
          <a:chOff x="-5218043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8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26759</xdr:colOff>
      <xdr:row>17</xdr:row>
      <xdr:rowOff>51288</xdr:rowOff>
    </xdr:from>
    <xdr:to>
      <xdr:col>5</xdr:col>
      <xdr:colOff>95250</xdr:colOff>
      <xdr:row>17</xdr:row>
      <xdr:rowOff>190499</xdr:rowOff>
    </xdr:to>
    <xdr:sp macro="[0]!BUTTON_OpenFile_RemarkHistory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8879C5E-6E1C-4257-BD2B-586FAC96BEBE}"/>
            </a:ext>
          </a:extLst>
        </xdr:cNvPr>
        <xdr:cNvSpPr/>
      </xdr:nvSpPr>
      <xdr:spPr>
        <a:xfrm>
          <a:off x="7353682" y="3377711"/>
          <a:ext cx="68491" cy="139211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solidFill>
                <a:schemeClr val="lt1"/>
              </a:solidFill>
            </a:rPr>
            <a:t>o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3" Type="http://schemas.openxmlformats.org/officeDocument/2006/relationships/hyperlink" Target="../../../../../../../WO%20BUDGETING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2" Type="http://schemas.openxmlformats.org/officeDocument/2006/relationships/hyperlink" Target="../../NEW%20of%20Data%20PIC%20Budget%20Th%202024-3.xlsx" TargetMode="External"/><Relationship Id="rId1" Type="http://schemas.openxmlformats.org/officeDocument/2006/relationships/hyperlink" Target="..\..\..\Tarikan%20JDE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hyperlink" Target="..\..\..\Remarks%20History\Remark%20History.xlsx" TargetMode="External"/><Relationship Id="rId15" Type="http://schemas.openxmlformats.org/officeDocument/2006/relationships/image" Target="../media/image4.emf"/><Relationship Id="rId10" Type="http://schemas.openxmlformats.org/officeDocument/2006/relationships/control" Target="../activeX/activeX2.xml"/><Relationship Id="rId4" Type="http://schemas.openxmlformats.org/officeDocument/2006/relationships/hyperlink" Target="..\..\..\Untuk%20Di%20Share" TargetMode="External"/><Relationship Id="rId9" Type="http://schemas.openxmlformats.org/officeDocument/2006/relationships/image" Target="../media/image1.emf"/><Relationship Id="rId1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../../../Tarikan%20JDE/1205.631100.xlsx" TargetMode="External"/><Relationship Id="rId21" Type="http://schemas.openxmlformats.org/officeDocument/2006/relationships/hyperlink" Target="../../../Tarikan%20JDE/1201.730300.xlsx" TargetMode="External"/><Relationship Id="rId42" Type="http://schemas.openxmlformats.org/officeDocument/2006/relationships/hyperlink" Target="..\..\..\Tarikan%20JDE\1201.630200.xlsx" TargetMode="External"/><Relationship Id="rId63" Type="http://schemas.openxmlformats.org/officeDocument/2006/relationships/hyperlink" Target="../../../Tarikan%20JDE/1205.630760.xlsx" TargetMode="External"/><Relationship Id="rId84" Type="http://schemas.openxmlformats.org/officeDocument/2006/relationships/hyperlink" Target="../../../Tarikan%20JDE/1201.630450.xlsx" TargetMode="External"/><Relationship Id="rId138" Type="http://schemas.openxmlformats.org/officeDocument/2006/relationships/hyperlink" Target="../../../Tarikan%20JDE/1204.630400.xlsx" TargetMode="External"/><Relationship Id="rId107" Type="http://schemas.openxmlformats.org/officeDocument/2006/relationships/hyperlink" Target="../../../Tarikan%20JDE/1206.630110.xlsx" TargetMode="External"/><Relationship Id="rId11" Type="http://schemas.openxmlformats.org/officeDocument/2006/relationships/hyperlink" Target="../../../Tarikan%20JDE/1201.631150.xlsx" TargetMode="External"/><Relationship Id="rId32" Type="http://schemas.openxmlformats.org/officeDocument/2006/relationships/hyperlink" Target="../../../Tarikan%20JDE/1201.710200.xlsx" TargetMode="External"/><Relationship Id="rId53" Type="http://schemas.openxmlformats.org/officeDocument/2006/relationships/hyperlink" Target="../../../Tarikan%20JDE/1201.630110.xlsx" TargetMode="External"/><Relationship Id="rId74" Type="http://schemas.openxmlformats.org/officeDocument/2006/relationships/hyperlink" Target="../../../Tarikan%20JDE/1205.816130.xlsx" TargetMode="External"/><Relationship Id="rId128" Type="http://schemas.openxmlformats.org/officeDocument/2006/relationships/hyperlink" Target="../../../Tarikan%20JDE/1205.631110.xlsx" TargetMode="External"/><Relationship Id="rId149" Type="http://schemas.openxmlformats.org/officeDocument/2006/relationships/hyperlink" Target="../../../Tarikan%20JDE/1201.920410.xlsx" TargetMode="External"/><Relationship Id="rId5" Type="http://schemas.openxmlformats.org/officeDocument/2006/relationships/hyperlink" Target="../../../Tarikan%20JDE/1201.631100.xlsx" TargetMode="External"/><Relationship Id="rId95" Type="http://schemas.openxmlformats.org/officeDocument/2006/relationships/hyperlink" Target="../../../Tarikan%20JDE/1206.630450.xlsx" TargetMode="External"/><Relationship Id="rId22" Type="http://schemas.openxmlformats.org/officeDocument/2006/relationships/hyperlink" Target="../../../Tarikan%20JDE/1201.730300.xlsx" TargetMode="External"/><Relationship Id="rId43" Type="http://schemas.openxmlformats.org/officeDocument/2006/relationships/hyperlink" Target="../../../Tarikan%20JDE/1201.630530.xlsx" TargetMode="External"/><Relationship Id="rId64" Type="http://schemas.openxmlformats.org/officeDocument/2006/relationships/hyperlink" Target="../../../Tarikan%20JDE/1204.630760.xlsx" TargetMode="External"/><Relationship Id="rId118" Type="http://schemas.openxmlformats.org/officeDocument/2006/relationships/hyperlink" Target="../../../Tarikan%20JDE/1205.812100.xlsx" TargetMode="External"/><Relationship Id="rId139" Type="http://schemas.openxmlformats.org/officeDocument/2006/relationships/hyperlink" Target="../../../Tarikan%20JDE/1204.630300.xlsx" TargetMode="External"/><Relationship Id="rId80" Type="http://schemas.openxmlformats.org/officeDocument/2006/relationships/hyperlink" Target="../../../Tarikan%20JDE/1201.815110.xlsx" TargetMode="External"/><Relationship Id="rId85" Type="http://schemas.openxmlformats.org/officeDocument/2006/relationships/hyperlink" Target="../../../Tarikan%20JDE/1201.631100.xlsx" TargetMode="External"/><Relationship Id="rId150" Type="http://schemas.openxmlformats.org/officeDocument/2006/relationships/hyperlink" Target="../../../Tarikan%20JDE/1201.920120.xlsx" TargetMode="External"/><Relationship Id="rId155" Type="http://schemas.openxmlformats.org/officeDocument/2006/relationships/hyperlink" Target="../../../Tarikan%20JDE/1204.920700.xlsx" TargetMode="External"/><Relationship Id="rId12" Type="http://schemas.openxmlformats.org/officeDocument/2006/relationships/hyperlink" Target="../../../Tarikan%20JDE/1201.720100.xlsx" TargetMode="External"/><Relationship Id="rId17" Type="http://schemas.openxmlformats.org/officeDocument/2006/relationships/hyperlink" Target="../../../Tarikan%20JDE/1204.630600.xlsx" TargetMode="External"/><Relationship Id="rId33" Type="http://schemas.openxmlformats.org/officeDocument/2006/relationships/hyperlink" Target="../../../Tarikan%20JDE/1201.710200.xlsx" TargetMode="External"/><Relationship Id="rId38" Type="http://schemas.openxmlformats.org/officeDocument/2006/relationships/hyperlink" Target="../../../Tarikan%20JDE/1201.630400.xlsx" TargetMode="External"/><Relationship Id="rId59" Type="http://schemas.openxmlformats.org/officeDocument/2006/relationships/hyperlink" Target="../../../Tarikan%20JDE/1201.630770.xlsx" TargetMode="External"/><Relationship Id="rId103" Type="http://schemas.openxmlformats.org/officeDocument/2006/relationships/hyperlink" Target="../../../Tarikan%20JDE/1206.631110.xlsx" TargetMode="External"/><Relationship Id="rId108" Type="http://schemas.openxmlformats.org/officeDocument/2006/relationships/hyperlink" Target="../../../Tarikan%20JDE/1206.801110.xlsx" TargetMode="External"/><Relationship Id="rId124" Type="http://schemas.openxmlformats.org/officeDocument/2006/relationships/hyperlink" Target="../../../Tarikan%20JDE/1205.630750.xlsx" TargetMode="External"/><Relationship Id="rId129" Type="http://schemas.openxmlformats.org/officeDocument/2006/relationships/hyperlink" Target="../../../Tarikan%20JDE/1204.813100.xlsx" TargetMode="External"/><Relationship Id="rId54" Type="http://schemas.openxmlformats.org/officeDocument/2006/relationships/hyperlink" Target="../../../Tarikan%20JDE/1201.809100.xlsx" TargetMode="External"/><Relationship Id="rId70" Type="http://schemas.openxmlformats.org/officeDocument/2006/relationships/hyperlink" Target="../../../Tarikan%20JDE/1204.810110.xlsx" TargetMode="External"/><Relationship Id="rId75" Type="http://schemas.openxmlformats.org/officeDocument/2006/relationships/hyperlink" Target="../../../Tarikan%20JDE/1204.816130.xlsx" TargetMode="External"/><Relationship Id="rId91" Type="http://schemas.openxmlformats.org/officeDocument/2006/relationships/hyperlink" Target="../../../Tarikan%20JDE/1206.630130.xlsx" TargetMode="External"/><Relationship Id="rId96" Type="http://schemas.openxmlformats.org/officeDocument/2006/relationships/hyperlink" Target="../../../Tarikan%20JDE/1206.630300.xlsx" TargetMode="External"/><Relationship Id="rId140" Type="http://schemas.openxmlformats.org/officeDocument/2006/relationships/hyperlink" Target="..\..\..\Tarikan%20JDE\1204.630200.xlsx" TargetMode="External"/><Relationship Id="rId145" Type="http://schemas.openxmlformats.org/officeDocument/2006/relationships/hyperlink" Target="../../../Tarikan%20JDE/1204.630730.xlsx" TargetMode="External"/><Relationship Id="rId1" Type="http://schemas.openxmlformats.org/officeDocument/2006/relationships/hyperlink" Target="../../../Tarikan%20JDE/1201.720400.xlsx" TargetMode="External"/><Relationship Id="rId6" Type="http://schemas.openxmlformats.org/officeDocument/2006/relationships/hyperlink" Target="../../../Tarikan%20JDE/1205.631100.xlsx" TargetMode="External"/><Relationship Id="rId23" Type="http://schemas.openxmlformats.org/officeDocument/2006/relationships/hyperlink" Target="../../../Tarikan%20JDE/1201.730300.xlsx" TargetMode="External"/><Relationship Id="rId28" Type="http://schemas.openxmlformats.org/officeDocument/2006/relationships/hyperlink" Target="../../../Tarikan%20JDE/1201.710200.xlsx" TargetMode="External"/><Relationship Id="rId49" Type="http://schemas.openxmlformats.org/officeDocument/2006/relationships/hyperlink" Target="../../../Tarikan%20JDE/1204.630900.xlsx" TargetMode="External"/><Relationship Id="rId114" Type="http://schemas.openxmlformats.org/officeDocument/2006/relationships/hyperlink" Target="../../../Tarikan%20JDE/1205.630740.xlsx" TargetMode="External"/><Relationship Id="rId119" Type="http://schemas.openxmlformats.org/officeDocument/2006/relationships/hyperlink" Target="../../../Tarikan%20JDE/1205.630400.xlsx" TargetMode="External"/><Relationship Id="rId44" Type="http://schemas.openxmlformats.org/officeDocument/2006/relationships/hyperlink" Target="../../../Tarikan%20JDE/1204.630530.xlsx" TargetMode="External"/><Relationship Id="rId60" Type="http://schemas.openxmlformats.org/officeDocument/2006/relationships/hyperlink" Target="../../../Tarikan%20JDE/1201.630750.xlsx" TargetMode="External"/><Relationship Id="rId65" Type="http://schemas.openxmlformats.org/officeDocument/2006/relationships/hyperlink" Target="../../../Tarikan%20JDE/1201.630730.xlsx" TargetMode="External"/><Relationship Id="rId81" Type="http://schemas.openxmlformats.org/officeDocument/2006/relationships/hyperlink" Target="../../../Tarikan%20JDE/1201.815120.xlsx" TargetMode="External"/><Relationship Id="rId86" Type="http://schemas.openxmlformats.org/officeDocument/2006/relationships/hyperlink" Target="../../../Tarikan%20JDE/1201.631100.xlsx" TargetMode="External"/><Relationship Id="rId130" Type="http://schemas.openxmlformats.org/officeDocument/2006/relationships/hyperlink" Target="../../../Tarikan%20JDE/1204.801160.xlsx" TargetMode="External"/><Relationship Id="rId135" Type="http://schemas.openxmlformats.org/officeDocument/2006/relationships/hyperlink" Target="../../../Tarikan%20JDE/1204.631100.xlsx" TargetMode="External"/><Relationship Id="rId151" Type="http://schemas.openxmlformats.org/officeDocument/2006/relationships/hyperlink" Target="../../../Tarikan%20JDE/1201.805120.xlsx" TargetMode="External"/><Relationship Id="rId156" Type="http://schemas.openxmlformats.org/officeDocument/2006/relationships/hyperlink" Target="../../../Tarikan%20JDE/1201.801110.xlsx" TargetMode="External"/><Relationship Id="rId13" Type="http://schemas.openxmlformats.org/officeDocument/2006/relationships/hyperlink" Target="../../../Tarikan%20JDE/1205.720100.xlsx" TargetMode="External"/><Relationship Id="rId18" Type="http://schemas.openxmlformats.org/officeDocument/2006/relationships/hyperlink" Target="../../../Tarikan%20JDE/1201.630600.xlsx" TargetMode="External"/><Relationship Id="rId39" Type="http://schemas.openxmlformats.org/officeDocument/2006/relationships/hyperlink" Target="../../../Tarikan%20JDE/1201.813100.xlsx" TargetMode="External"/><Relationship Id="rId109" Type="http://schemas.openxmlformats.org/officeDocument/2006/relationships/hyperlink" Target="../../../Tarikan%20JDE/1206.631180.xlsx" TargetMode="External"/><Relationship Id="rId34" Type="http://schemas.openxmlformats.org/officeDocument/2006/relationships/hyperlink" Target="../../../Tarikan%20JDE/1201.720500.xlsx" TargetMode="External"/><Relationship Id="rId50" Type="http://schemas.openxmlformats.org/officeDocument/2006/relationships/hyperlink" Target="../../../Tarikan%20JDE/1201.802140.xlsx" TargetMode="External"/><Relationship Id="rId55" Type="http://schemas.openxmlformats.org/officeDocument/2006/relationships/hyperlink" Target="../../../Tarikan%20JDE/1206.809100.xlsx" TargetMode="External"/><Relationship Id="rId76" Type="http://schemas.openxmlformats.org/officeDocument/2006/relationships/hyperlink" Target="../../../Tarikan%20JDE/1206.631100.xlsx" TargetMode="External"/><Relationship Id="rId97" Type="http://schemas.openxmlformats.org/officeDocument/2006/relationships/hyperlink" Target="../../../Tarikan%20JDE/1206.630770.xlsx" TargetMode="External"/><Relationship Id="rId104" Type="http://schemas.openxmlformats.org/officeDocument/2006/relationships/hyperlink" Target="../../../Tarikan%20JDE/1206.812100.xlsx" TargetMode="External"/><Relationship Id="rId120" Type="http://schemas.openxmlformats.org/officeDocument/2006/relationships/hyperlink" Target="../../../Tarikan%20JDE/1205.630300.xlsx" TargetMode="External"/><Relationship Id="rId125" Type="http://schemas.openxmlformats.org/officeDocument/2006/relationships/hyperlink" Target="../../../Tarikan%20JDE/1205.630720.xlsx" TargetMode="External"/><Relationship Id="rId141" Type="http://schemas.openxmlformats.org/officeDocument/2006/relationships/hyperlink" Target="../../../Tarikan%20JDE/1204.630110.xlsx" TargetMode="External"/><Relationship Id="rId146" Type="http://schemas.openxmlformats.org/officeDocument/2006/relationships/hyperlink" Target="../../../Tarikan%20JDE/1204.631110.xlsx" TargetMode="External"/><Relationship Id="rId7" Type="http://schemas.openxmlformats.org/officeDocument/2006/relationships/hyperlink" Target="../../../Tarikan%20JDE/1204.631100.xlsx" TargetMode="External"/><Relationship Id="rId71" Type="http://schemas.openxmlformats.org/officeDocument/2006/relationships/hyperlink" Target="../../../Tarikan%20JDE/1201.630130.xlsx" TargetMode="External"/><Relationship Id="rId92" Type="http://schemas.openxmlformats.org/officeDocument/2006/relationships/hyperlink" Target="../../../Tarikan%20JDE/1206.631000.xlsx" TargetMode="External"/><Relationship Id="rId2" Type="http://schemas.openxmlformats.org/officeDocument/2006/relationships/hyperlink" Target="../../../Tarikan%20JDE/1204.720400.xlsx" TargetMode="External"/><Relationship Id="rId29" Type="http://schemas.openxmlformats.org/officeDocument/2006/relationships/hyperlink" Target="../../../Tarikan%20JDE/1201.710200.xlsx" TargetMode="External"/><Relationship Id="rId24" Type="http://schemas.openxmlformats.org/officeDocument/2006/relationships/hyperlink" Target="../../../Tarikan%20JDE/1201.730300.xlsx" TargetMode="External"/><Relationship Id="rId40" Type="http://schemas.openxmlformats.org/officeDocument/2006/relationships/hyperlink" Target="../../../Tarikan%20JDE/1201.630300.xlsx" TargetMode="External"/><Relationship Id="rId45" Type="http://schemas.openxmlformats.org/officeDocument/2006/relationships/hyperlink" Target="../../../Tarikan%20JDE/1201.808100.xlsx" TargetMode="External"/><Relationship Id="rId66" Type="http://schemas.openxmlformats.org/officeDocument/2006/relationships/hyperlink" Target="../../../Tarikan%20JDE/1201.630740.xlsx" TargetMode="External"/><Relationship Id="rId87" Type="http://schemas.openxmlformats.org/officeDocument/2006/relationships/hyperlink" Target="../../../Tarikan%20JDE/1205.631100.xlsx" TargetMode="External"/><Relationship Id="rId110" Type="http://schemas.openxmlformats.org/officeDocument/2006/relationships/hyperlink" Target="../../../Tarikan%20JDE/1206.630600.xlsx" TargetMode="External"/><Relationship Id="rId115" Type="http://schemas.openxmlformats.org/officeDocument/2006/relationships/hyperlink" Target="../../../Tarikan%20JDE/1205.630130.xlsx" TargetMode="External"/><Relationship Id="rId131" Type="http://schemas.openxmlformats.org/officeDocument/2006/relationships/hyperlink" Target="../../../Tarikan%20JDE/1204.630710.xlsx" TargetMode="External"/><Relationship Id="rId136" Type="http://schemas.openxmlformats.org/officeDocument/2006/relationships/hyperlink" Target="../../../Tarikan%20JDE/1204.720500.xlsx" TargetMode="External"/><Relationship Id="rId157" Type="http://schemas.openxmlformats.org/officeDocument/2006/relationships/hyperlink" Target="../../../Tarikan%20JDE/1204.801110.xlsx" TargetMode="External"/><Relationship Id="rId61" Type="http://schemas.openxmlformats.org/officeDocument/2006/relationships/hyperlink" Target="../../../Tarikan%20JDE/1201.630720.xlsx" TargetMode="External"/><Relationship Id="rId82" Type="http://schemas.openxmlformats.org/officeDocument/2006/relationships/hyperlink" Target="../../../Tarikan%20JDE/1201.802120.xlsx" TargetMode="External"/><Relationship Id="rId152" Type="http://schemas.openxmlformats.org/officeDocument/2006/relationships/hyperlink" Target="../../../Tarikan%20JDE/1201.920700.xlsx" TargetMode="External"/><Relationship Id="rId19" Type="http://schemas.openxmlformats.org/officeDocument/2006/relationships/hyperlink" Target="../../../Tarikan%20JDE/1205.630600.xlsx" TargetMode="External"/><Relationship Id="rId14" Type="http://schemas.openxmlformats.org/officeDocument/2006/relationships/hyperlink" Target="../../../Tarikan%20JDE/1204.720100.xlsx" TargetMode="External"/><Relationship Id="rId30" Type="http://schemas.openxmlformats.org/officeDocument/2006/relationships/hyperlink" Target="../../../Tarikan%20JDE/1201.730300.xlsx" TargetMode="External"/><Relationship Id="rId35" Type="http://schemas.openxmlformats.org/officeDocument/2006/relationships/hyperlink" Target="../../../Tarikan%20JDE/1201.812100.xlsx" TargetMode="External"/><Relationship Id="rId56" Type="http://schemas.openxmlformats.org/officeDocument/2006/relationships/hyperlink" Target="../../../Tarikan%20JDE/1205.809100.xlsx" TargetMode="External"/><Relationship Id="rId77" Type="http://schemas.openxmlformats.org/officeDocument/2006/relationships/hyperlink" Target="../../../Tarikan%20JDE/1201.631110.xlsx" TargetMode="External"/><Relationship Id="rId100" Type="http://schemas.openxmlformats.org/officeDocument/2006/relationships/hyperlink" Target="../../../Tarikan%20JDE/1206.630760.xlsx" TargetMode="External"/><Relationship Id="rId105" Type="http://schemas.openxmlformats.org/officeDocument/2006/relationships/hyperlink" Target="../../../Tarikan%20JDE/1206.630400.xlsx" TargetMode="External"/><Relationship Id="rId126" Type="http://schemas.openxmlformats.org/officeDocument/2006/relationships/hyperlink" Target="../../../Tarikan%20JDE/1205.630730.xlsx" TargetMode="External"/><Relationship Id="rId147" Type="http://schemas.openxmlformats.org/officeDocument/2006/relationships/hyperlink" Target="../../../Tarikan%20JDE/1204.631140.xlsx" TargetMode="External"/><Relationship Id="rId8" Type="http://schemas.openxmlformats.org/officeDocument/2006/relationships/hyperlink" Target="../../../Tarikan%20JDE/1201.631180.xlsx" TargetMode="External"/><Relationship Id="rId51" Type="http://schemas.openxmlformats.org/officeDocument/2006/relationships/hyperlink" Target="../../../Tarikan%20JDE/1204.802140.xlsx" TargetMode="External"/><Relationship Id="rId72" Type="http://schemas.openxmlformats.org/officeDocument/2006/relationships/hyperlink" Target="../../../Tarikan%20JDE/1201.816130.xlsx" TargetMode="External"/><Relationship Id="rId93" Type="http://schemas.openxmlformats.org/officeDocument/2006/relationships/hyperlink" Target="../../../Tarikan%20JDE/1206.815110.xlsx" TargetMode="External"/><Relationship Id="rId98" Type="http://schemas.openxmlformats.org/officeDocument/2006/relationships/hyperlink" Target="../../../Tarikan%20JDE/1206.630750.xlsx" TargetMode="External"/><Relationship Id="rId121" Type="http://schemas.openxmlformats.org/officeDocument/2006/relationships/hyperlink" Target="..\..\..\Tarikan%20JDE\1205.630200.xlsx" TargetMode="External"/><Relationship Id="rId142" Type="http://schemas.openxmlformats.org/officeDocument/2006/relationships/hyperlink" Target="../../../Tarikan%20JDE/1204.630770.xlsx" TargetMode="External"/><Relationship Id="rId3" Type="http://schemas.openxmlformats.org/officeDocument/2006/relationships/hyperlink" Target="../../../Tarikan%20JDE/1201.816110.xlsx" TargetMode="External"/><Relationship Id="rId25" Type="http://schemas.openxmlformats.org/officeDocument/2006/relationships/hyperlink" Target="../../../Tarikan%20JDE/1201.730200.xlsx" TargetMode="External"/><Relationship Id="rId46" Type="http://schemas.openxmlformats.org/officeDocument/2006/relationships/hyperlink" Target="../../../Tarikan%20JDE/1205.808100.xlsx" TargetMode="External"/><Relationship Id="rId67" Type="http://schemas.openxmlformats.org/officeDocument/2006/relationships/hyperlink" Target="../../../Tarikan%20JDE/1201.810110.xlsx" TargetMode="External"/><Relationship Id="rId116" Type="http://schemas.openxmlformats.org/officeDocument/2006/relationships/hyperlink" Target="../../../Tarikan%20JDE/1205.815110.xlsx" TargetMode="External"/><Relationship Id="rId137" Type="http://schemas.openxmlformats.org/officeDocument/2006/relationships/hyperlink" Target="../../../Tarikan%20JDE/1204.812100.xlsx" TargetMode="External"/><Relationship Id="rId158" Type="http://schemas.openxmlformats.org/officeDocument/2006/relationships/printerSettings" Target="../printerSettings/printerSettings2.bin"/><Relationship Id="rId20" Type="http://schemas.openxmlformats.org/officeDocument/2006/relationships/hyperlink" Target="../../../Tarikan%20JDE/1204.630600.xlsx" TargetMode="External"/><Relationship Id="rId41" Type="http://schemas.openxmlformats.org/officeDocument/2006/relationships/hyperlink" Target="..\..\..\Tarikan%20JDE\1201.630200.xlsx" TargetMode="External"/><Relationship Id="rId62" Type="http://schemas.openxmlformats.org/officeDocument/2006/relationships/hyperlink" Target="../../../Tarikan%20JDE/1201.630760.xlsx" TargetMode="External"/><Relationship Id="rId83" Type="http://schemas.openxmlformats.org/officeDocument/2006/relationships/hyperlink" Target="../../../Tarikan%20JDE/1201.814110.xlsx" TargetMode="External"/><Relationship Id="rId88" Type="http://schemas.openxmlformats.org/officeDocument/2006/relationships/hyperlink" Target="../../../Tarikan%20JDE/1204.631100.xlsx" TargetMode="External"/><Relationship Id="rId111" Type="http://schemas.openxmlformats.org/officeDocument/2006/relationships/hyperlink" Target="../../../Tarikan%20JDE/1205.813100.xlsx" TargetMode="External"/><Relationship Id="rId132" Type="http://schemas.openxmlformats.org/officeDocument/2006/relationships/hyperlink" Target="../../../Tarikan%20JDE/1204.630740.xlsx" TargetMode="External"/><Relationship Id="rId153" Type="http://schemas.openxmlformats.org/officeDocument/2006/relationships/hyperlink" Target="../../../Tarikan%20JDE/1206.920700.xlsx" TargetMode="External"/><Relationship Id="rId15" Type="http://schemas.openxmlformats.org/officeDocument/2006/relationships/hyperlink" Target="../../../Tarikan%20JDE/1201.630600.xlsx" TargetMode="External"/><Relationship Id="rId36" Type="http://schemas.openxmlformats.org/officeDocument/2006/relationships/hyperlink" Target="../../../Tarikan%20JDE/1201.807100.xlsx" TargetMode="External"/><Relationship Id="rId57" Type="http://schemas.openxmlformats.org/officeDocument/2006/relationships/hyperlink" Target="../../../Tarikan%20JDE/1204.809100.xlsx" TargetMode="External"/><Relationship Id="rId106" Type="http://schemas.openxmlformats.org/officeDocument/2006/relationships/hyperlink" Target="../../../Tarikan%20JDE/1206.808100.xlsx" TargetMode="External"/><Relationship Id="rId127" Type="http://schemas.openxmlformats.org/officeDocument/2006/relationships/hyperlink" Target="../../../Tarikan%20JDE/1205.801110.xlsx" TargetMode="External"/><Relationship Id="rId10" Type="http://schemas.openxmlformats.org/officeDocument/2006/relationships/hyperlink" Target="../../../Tarikan%20JDE/1205.631180.xlsx" TargetMode="External"/><Relationship Id="rId31" Type="http://schemas.openxmlformats.org/officeDocument/2006/relationships/hyperlink" Target="../../../Tarikan%20JDE/1201.730200.xlsx" TargetMode="External"/><Relationship Id="rId52" Type="http://schemas.openxmlformats.org/officeDocument/2006/relationships/hyperlink" Target="../../../Tarikan%20JDE/1201.801160.xlsx" TargetMode="External"/><Relationship Id="rId73" Type="http://schemas.openxmlformats.org/officeDocument/2006/relationships/hyperlink" Target="../../../Tarikan%20JDE/1206.816130.xlsx" TargetMode="External"/><Relationship Id="rId78" Type="http://schemas.openxmlformats.org/officeDocument/2006/relationships/hyperlink" Target="../../../Tarikan%20JDE/1201.631140.xlsx" TargetMode="External"/><Relationship Id="rId94" Type="http://schemas.openxmlformats.org/officeDocument/2006/relationships/hyperlink" Target="../../../Tarikan%20JDE/1206.802120.xlsx" TargetMode="External"/><Relationship Id="rId99" Type="http://schemas.openxmlformats.org/officeDocument/2006/relationships/hyperlink" Target="../../../Tarikan%20JDE/1206.630720.xlsx" TargetMode="External"/><Relationship Id="rId101" Type="http://schemas.openxmlformats.org/officeDocument/2006/relationships/hyperlink" Target="../../../Tarikan%20JDE/1206.630730.xlsx" TargetMode="External"/><Relationship Id="rId122" Type="http://schemas.openxmlformats.org/officeDocument/2006/relationships/hyperlink" Target="../../../Tarikan%20JDE/1205.630110.xlsx" TargetMode="External"/><Relationship Id="rId143" Type="http://schemas.openxmlformats.org/officeDocument/2006/relationships/hyperlink" Target="../../../Tarikan%20JDE/1204.630750.xlsx" TargetMode="External"/><Relationship Id="rId148" Type="http://schemas.openxmlformats.org/officeDocument/2006/relationships/hyperlink" Target="../../../Tarikan%20JDE/1201.816120.xlsx" TargetMode="External"/><Relationship Id="rId4" Type="http://schemas.openxmlformats.org/officeDocument/2006/relationships/hyperlink" Target="../../../Tarikan%20JDE/1204.816110.xlsx" TargetMode="External"/><Relationship Id="rId9" Type="http://schemas.openxmlformats.org/officeDocument/2006/relationships/hyperlink" Target="../../../Tarikan%20JDE/1204.631180.xlsx" TargetMode="External"/><Relationship Id="rId26" Type="http://schemas.openxmlformats.org/officeDocument/2006/relationships/hyperlink" Target="../../../Tarikan%20JDE/1201.710200.xlsx" TargetMode="External"/><Relationship Id="rId47" Type="http://schemas.openxmlformats.org/officeDocument/2006/relationships/hyperlink" Target="../../../Tarikan%20JDE/1204.808100.xlsx" TargetMode="External"/><Relationship Id="rId68" Type="http://schemas.openxmlformats.org/officeDocument/2006/relationships/hyperlink" Target="../../../Tarikan%20JDE/1206.810110.xlsx" TargetMode="External"/><Relationship Id="rId89" Type="http://schemas.openxmlformats.org/officeDocument/2006/relationships/hyperlink" Target="../../../Tarikan%20JDE/1206.801160.xlsx" TargetMode="External"/><Relationship Id="rId112" Type="http://schemas.openxmlformats.org/officeDocument/2006/relationships/hyperlink" Target="../../../Tarikan%20JDE/1205.801160.xlsx" TargetMode="External"/><Relationship Id="rId133" Type="http://schemas.openxmlformats.org/officeDocument/2006/relationships/hyperlink" Target="../../../Tarikan%20JDE/1204.630130.xlsx" TargetMode="External"/><Relationship Id="rId154" Type="http://schemas.openxmlformats.org/officeDocument/2006/relationships/hyperlink" Target="../../../Tarikan%20JDE/1205.920700.xlsx" TargetMode="External"/><Relationship Id="rId16" Type="http://schemas.openxmlformats.org/officeDocument/2006/relationships/hyperlink" Target="../../../Tarikan%20JDE/1205.630600.xlsx" TargetMode="External"/><Relationship Id="rId37" Type="http://schemas.openxmlformats.org/officeDocument/2006/relationships/hyperlink" Target="../../../Tarikan%20JDE/1204.807100.xlsx" TargetMode="External"/><Relationship Id="rId58" Type="http://schemas.openxmlformats.org/officeDocument/2006/relationships/hyperlink" Target="../../../Tarikan%20JDE/1201.630710.xlsx" TargetMode="External"/><Relationship Id="rId79" Type="http://schemas.openxmlformats.org/officeDocument/2006/relationships/hyperlink" Target="../../../Tarikan%20JDE/1201.631000.xlsx" TargetMode="External"/><Relationship Id="rId102" Type="http://schemas.openxmlformats.org/officeDocument/2006/relationships/hyperlink" Target="../../../Tarikan%20JDE/1206.630740.xlsx" TargetMode="External"/><Relationship Id="rId123" Type="http://schemas.openxmlformats.org/officeDocument/2006/relationships/hyperlink" Target="../../../Tarikan%20JDE/1205.630770.xlsx" TargetMode="External"/><Relationship Id="rId144" Type="http://schemas.openxmlformats.org/officeDocument/2006/relationships/hyperlink" Target="../../../Tarikan%20JDE/1204.630720.xlsx" TargetMode="External"/><Relationship Id="rId90" Type="http://schemas.openxmlformats.org/officeDocument/2006/relationships/hyperlink" Target="../../../Tarikan%20JDE/1206.630710.xlsx" TargetMode="External"/><Relationship Id="rId27" Type="http://schemas.openxmlformats.org/officeDocument/2006/relationships/hyperlink" Target="../../../Tarikan%20JDE/1201.710200.xlsx" TargetMode="External"/><Relationship Id="rId48" Type="http://schemas.openxmlformats.org/officeDocument/2006/relationships/hyperlink" Target="../../../Tarikan%20JDE/1201.630900.xlsx" TargetMode="External"/><Relationship Id="rId69" Type="http://schemas.openxmlformats.org/officeDocument/2006/relationships/hyperlink" Target="../../../Tarikan%20JDE/1205.810110.xlsx" TargetMode="External"/><Relationship Id="rId113" Type="http://schemas.openxmlformats.org/officeDocument/2006/relationships/hyperlink" Target="../../../Tarikan%20JDE/1205.630710.xlsx" TargetMode="External"/><Relationship Id="rId134" Type="http://schemas.openxmlformats.org/officeDocument/2006/relationships/hyperlink" Target="../../../Tarikan%20JDE/1204.815110.xlsx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G34"/>
  <sheetViews>
    <sheetView showGridLines="0" zoomScale="115" zoomScaleNormal="115" workbookViewId="0">
      <selection activeCell="I8" sqref="I8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1.7109375" customWidth="1"/>
    <col min="5" max="5" width="54.42578125" customWidth="1"/>
    <col min="6" max="6" width="1.7109375" customWidth="1"/>
    <col min="7" max="7" width="5.5703125" customWidth="1"/>
  </cols>
  <sheetData>
    <row r="1" spans="1:7" ht="12" customHeight="1">
      <c r="A1" s="200"/>
      <c r="B1" s="200"/>
      <c r="C1" s="169" t="s">
        <v>316</v>
      </c>
      <c r="D1" s="169"/>
      <c r="E1" s="169"/>
      <c r="F1" s="8"/>
    </row>
    <row r="2" spans="1:7" ht="33" customHeight="1">
      <c r="A2" s="200"/>
      <c r="B2" s="200"/>
      <c r="C2" s="170" t="s">
        <v>326</v>
      </c>
      <c r="D2" s="171"/>
      <c r="E2" s="172"/>
      <c r="F2" s="18" t="s">
        <v>210</v>
      </c>
    </row>
    <row r="3" spans="1:7" ht="12" customHeight="1">
      <c r="A3" s="200"/>
      <c r="B3" s="200"/>
      <c r="C3" s="173"/>
      <c r="D3" s="193"/>
      <c r="E3" s="174"/>
      <c r="F3" s="18"/>
    </row>
    <row r="4" spans="1:7" ht="12" customHeight="1">
      <c r="A4" s="200"/>
      <c r="B4" s="200"/>
      <c r="C4" s="173"/>
      <c r="D4" s="193"/>
      <c r="E4" s="174"/>
      <c r="F4" s="18"/>
    </row>
    <row r="5" spans="1:7" ht="12" customHeight="1">
      <c r="A5" s="200"/>
      <c r="B5" s="204"/>
      <c r="C5" s="173"/>
      <c r="D5" s="193"/>
      <c r="E5" s="174"/>
      <c r="F5" s="203"/>
    </row>
    <row r="6" spans="1:7" ht="5.25" customHeight="1">
      <c r="A6" s="200"/>
      <c r="B6" s="168"/>
      <c r="C6" s="168"/>
      <c r="D6" s="168"/>
      <c r="E6" s="168"/>
      <c r="F6" s="168"/>
      <c r="G6" s="200"/>
    </row>
    <row r="7" spans="1:7" ht="18" customHeight="1">
      <c r="A7" s="200"/>
      <c r="B7" s="201"/>
      <c r="C7" s="194" t="s">
        <v>532</v>
      </c>
      <c r="D7" s="195"/>
      <c r="E7" s="196"/>
      <c r="F7" s="202"/>
    </row>
    <row r="8" spans="1:7" ht="12" customHeight="1">
      <c r="A8" s="200"/>
      <c r="B8" s="200"/>
      <c r="C8" s="194"/>
      <c r="D8" s="195"/>
      <c r="E8" s="196"/>
      <c r="F8" s="18"/>
    </row>
    <row r="9" spans="1:7" ht="6.75" customHeight="1">
      <c r="A9" s="168"/>
      <c r="B9" s="168"/>
      <c r="C9" s="197"/>
      <c r="D9" s="198"/>
      <c r="E9" s="199"/>
      <c r="F9" s="18"/>
    </row>
    <row r="10" spans="1:7" ht="18" customHeight="1">
      <c r="A10" s="168"/>
      <c r="B10" s="168"/>
      <c r="C10" s="175" t="s">
        <v>317</v>
      </c>
      <c r="D10" s="175"/>
      <c r="E10" s="175"/>
      <c r="F10" s="18"/>
    </row>
    <row r="11" spans="1:7" ht="15.75">
      <c r="C11" s="13" t="s">
        <v>318</v>
      </c>
      <c r="D11" s="14"/>
      <c r="E11" s="11" t="s">
        <v>319</v>
      </c>
      <c r="F11" s="18"/>
    </row>
    <row r="12" spans="1:7">
      <c r="C12" s="167" t="s">
        <v>536</v>
      </c>
      <c r="D12" s="167"/>
      <c r="E12" s="12" t="s">
        <v>360</v>
      </c>
      <c r="F12" s="18" t="s">
        <v>210</v>
      </c>
    </row>
    <row r="13" spans="1:7">
      <c r="C13" s="17" t="s">
        <v>535</v>
      </c>
      <c r="D13" s="17"/>
      <c r="E13" s="12" t="s">
        <v>327</v>
      </c>
      <c r="F13" s="18" t="s">
        <v>210</v>
      </c>
    </row>
    <row r="14" spans="1:7">
      <c r="C14" s="167" t="s">
        <v>533</v>
      </c>
      <c r="D14" s="167"/>
      <c r="E14" s="21" t="s">
        <v>347</v>
      </c>
      <c r="F14" s="18" t="s">
        <v>210</v>
      </c>
    </row>
    <row r="15" spans="1:7">
      <c r="C15" s="17" t="s">
        <v>534</v>
      </c>
      <c r="D15" s="17"/>
      <c r="E15" s="21" t="s">
        <v>348</v>
      </c>
      <c r="F15" s="18" t="s">
        <v>210</v>
      </c>
    </row>
    <row r="16" spans="1:7">
      <c r="C16" s="17" t="s">
        <v>537</v>
      </c>
      <c r="D16" s="17"/>
      <c r="E16" s="23" t="s">
        <v>359</v>
      </c>
      <c r="F16" s="18" t="s">
        <v>210</v>
      </c>
    </row>
    <row r="17" spans="3:6">
      <c r="C17" s="17" t="s">
        <v>538</v>
      </c>
      <c r="D17" s="17"/>
      <c r="E17" s="23" t="s">
        <v>530</v>
      </c>
      <c r="F17" s="18" t="s">
        <v>210</v>
      </c>
    </row>
    <row r="18" spans="3:6">
      <c r="C18" s="17" t="s">
        <v>540</v>
      </c>
      <c r="D18" s="17"/>
      <c r="E18" s="205" t="s">
        <v>539</v>
      </c>
      <c r="F18" s="18" t="s">
        <v>210</v>
      </c>
    </row>
    <row r="19" spans="3:6">
      <c r="C19" s="17"/>
      <c r="D19" s="17"/>
      <c r="E19" s="205"/>
      <c r="F19" s="18"/>
    </row>
    <row r="20" spans="3:6" ht="1.5" customHeight="1">
      <c r="C20" s="166"/>
      <c r="D20" s="166"/>
      <c r="E20" s="166"/>
      <c r="F20" s="18"/>
    </row>
    <row r="21" spans="3:6">
      <c r="F21" s="18"/>
    </row>
    <row r="22" spans="3:6">
      <c r="F22" s="18"/>
    </row>
    <row r="23" spans="3:6">
      <c r="F23" s="18"/>
    </row>
    <row r="24" spans="3:6">
      <c r="F24" s="18"/>
    </row>
    <row r="25" spans="3:6">
      <c r="F25" s="18"/>
    </row>
    <row r="26" spans="3:6">
      <c r="F26" s="18"/>
    </row>
    <row r="27" spans="3:6">
      <c r="F27" s="18"/>
    </row>
    <row r="28" spans="3:6">
      <c r="F28" s="18"/>
    </row>
    <row r="29" spans="3:6">
      <c r="F29" s="18"/>
    </row>
    <row r="30" spans="3:6">
      <c r="F30" s="18"/>
    </row>
    <row r="31" spans="3:6">
      <c r="F31" s="18"/>
    </row>
    <row r="32" spans="3:6">
      <c r="F32" s="18"/>
    </row>
    <row r="33" spans="6:6">
      <c r="F33" s="18"/>
    </row>
    <row r="34" spans="6:6">
      <c r="F34" s="18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2" r:id="rId1" xr:uid="{0007FD13-BAF9-4905-87BE-19FBE5C13B56}"/>
    <hyperlink ref="E13" r:id="rId2" xr:uid="{24514AAD-1976-4895-9499-8629E57746EE}"/>
    <hyperlink ref="E17" r:id="rId3" xr:uid="{8B4B8F8C-C0F2-4376-9ECD-F490D178679B}"/>
    <hyperlink ref="E16" r:id="rId4" xr:uid="{19AF7C83-3009-4B4C-9FB7-4BFC6E3435A0}"/>
    <hyperlink ref="E18" r:id="rId5" xr:uid="{EFF1BF30-25F2-435D-BF36-04D0579FFDF5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9226" r:id="rId8" name="btn_UpdateRemark">
          <controlPr defaultSize="0" autoLine="0" r:id="rId9">
            <anchor moveWithCells="1">
              <from>
                <xdr:col>4</xdr:col>
                <xdr:colOff>733425</xdr:colOff>
                <xdr:row>1</xdr:row>
                <xdr:rowOff>66675</xdr:rowOff>
              </from>
              <to>
                <xdr:col>4</xdr:col>
                <xdr:colOff>1933575</xdr:colOff>
                <xdr:row>1</xdr:row>
                <xdr:rowOff>400050</xdr:rowOff>
              </to>
            </anchor>
          </controlPr>
        </control>
      </mc:Choice>
      <mc:Fallback>
        <control shapeId="9226" r:id="rId8" name="btn_UpdateRemark"/>
      </mc:Fallback>
    </mc:AlternateContent>
    <mc:AlternateContent xmlns:mc="http://schemas.openxmlformats.org/markup-compatibility/2006">
      <mc:Choice Requires="x14">
        <control shapeId="9225" r:id="rId10" name="CommandButton1">
          <controlPr defaultSize="0" autoLine="0" r:id="rId11">
            <anchor moveWithCells="1">
              <from>
                <xdr:col>2</xdr:col>
                <xdr:colOff>2933700</xdr:colOff>
                <xdr:row>6</xdr:row>
                <xdr:rowOff>114300</xdr:rowOff>
              </from>
              <to>
                <xdr:col>4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9225" r:id="rId10" name="CommandButton1"/>
      </mc:Fallback>
    </mc:AlternateContent>
    <mc:AlternateContent xmlns:mc="http://schemas.openxmlformats.org/markup-compatibility/2006">
      <mc:Choice Requires="x14">
        <control shapeId="9218" r:id="rId12" name="btn_Execute">
          <controlPr defaultSize="0" autoLine="0" r:id="rId13">
            <anchor moveWithCells="1">
              <from>
                <xdr:col>2</xdr:col>
                <xdr:colOff>2771775</xdr:colOff>
                <xdr:row>1</xdr:row>
                <xdr:rowOff>95250</xdr:rowOff>
              </from>
              <to>
                <xdr:col>4</xdr:col>
                <xdr:colOff>581025</xdr:colOff>
                <xdr:row>1</xdr:row>
                <xdr:rowOff>400050</xdr:rowOff>
              </to>
            </anchor>
          </controlPr>
        </control>
      </mc:Choice>
      <mc:Fallback>
        <control shapeId="9218" r:id="rId12" name="btn_Execute"/>
      </mc:Fallback>
    </mc:AlternateContent>
    <mc:AlternateContent xmlns:mc="http://schemas.openxmlformats.org/markup-compatibility/2006">
      <mc:Choice Requires="x14">
        <control shapeId="9224" r:id="rId14" name="btn_UpdateDataAccount">
          <controlPr defaultSize="0" autoLine="0" r:id="rId15">
            <anchor moveWithCells="1">
              <from>
                <xdr:col>2</xdr:col>
                <xdr:colOff>1247775</xdr:colOff>
                <xdr:row>1</xdr:row>
                <xdr:rowOff>104775</xdr:rowOff>
              </from>
              <to>
                <xdr:col>2</xdr:col>
                <xdr:colOff>2590800</xdr:colOff>
                <xdr:row>1</xdr:row>
                <xdr:rowOff>400050</xdr:rowOff>
              </to>
            </anchor>
          </controlPr>
        </control>
      </mc:Choice>
      <mc:Fallback>
        <control shapeId="9224" r:id="rId14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15"/>
  <sheetViews>
    <sheetView topLeftCell="C1"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10" t="s">
        <v>335</v>
      </c>
      <c r="B1" s="9" t="s">
        <v>172</v>
      </c>
      <c r="C1" s="9" t="s">
        <v>1</v>
      </c>
      <c r="D1" s="9" t="s">
        <v>2</v>
      </c>
      <c r="E1" s="9" t="s">
        <v>3</v>
      </c>
      <c r="F1" s="9" t="s">
        <v>4</v>
      </c>
      <c r="G1" s="10" t="s">
        <v>174</v>
      </c>
      <c r="H1" s="10" t="s">
        <v>333</v>
      </c>
      <c r="I1" s="10" t="s">
        <v>210</v>
      </c>
      <c r="J1" s="10" t="s">
        <v>210</v>
      </c>
      <c r="K1" s="10" t="s">
        <v>210</v>
      </c>
      <c r="L1" s="10" t="s">
        <v>210</v>
      </c>
      <c r="M1" s="10" t="s">
        <v>210</v>
      </c>
      <c r="N1" s="10" t="s">
        <v>210</v>
      </c>
      <c r="O1" s="10" t="s">
        <v>210</v>
      </c>
      <c r="P1" s="10" t="s">
        <v>210</v>
      </c>
      <c r="Q1" s="10" t="s">
        <v>210</v>
      </c>
      <c r="R1" s="10" t="s">
        <v>210</v>
      </c>
      <c r="S1" s="10" t="s">
        <v>210</v>
      </c>
      <c r="T1" s="10" t="s">
        <v>210</v>
      </c>
      <c r="U1" s="10" t="s">
        <v>210</v>
      </c>
      <c r="V1" s="10" t="s">
        <v>210</v>
      </c>
      <c r="W1" s="10" t="s">
        <v>210</v>
      </c>
      <c r="X1" s="10" t="s">
        <v>353</v>
      </c>
      <c r="Y1" s="10" t="s">
        <v>354</v>
      </c>
      <c r="Z1" s="10" t="s">
        <v>352</v>
      </c>
    </row>
    <row r="2" spans="1:26">
      <c r="A2" t="s">
        <v>336</v>
      </c>
      <c r="B2" t="s">
        <v>9</v>
      </c>
      <c r="C2" t="s">
        <v>20</v>
      </c>
      <c r="D2" t="s">
        <v>21</v>
      </c>
      <c r="E2" t="s">
        <v>12</v>
      </c>
      <c r="G2" t="s">
        <v>183</v>
      </c>
      <c r="H2" t="s">
        <v>334</v>
      </c>
      <c r="Z2" t="s">
        <v>334</v>
      </c>
    </row>
    <row r="3" spans="1:26">
      <c r="A3" t="s">
        <v>337</v>
      </c>
      <c r="B3" t="s">
        <v>65</v>
      </c>
      <c r="C3" t="s">
        <v>20</v>
      </c>
      <c r="D3" t="s">
        <v>138</v>
      </c>
      <c r="E3" t="s">
        <v>12</v>
      </c>
      <c r="G3" t="s">
        <v>183</v>
      </c>
      <c r="H3" t="s">
        <v>330</v>
      </c>
    </row>
    <row r="4" spans="1:26">
      <c r="A4" t="s">
        <v>338</v>
      </c>
      <c r="B4" t="s">
        <v>65</v>
      </c>
      <c r="C4" t="s">
        <v>20</v>
      </c>
      <c r="D4" t="s">
        <v>121</v>
      </c>
      <c r="E4" t="s">
        <v>12</v>
      </c>
      <c r="G4" t="s">
        <v>183</v>
      </c>
      <c r="H4" t="s">
        <v>331</v>
      </c>
    </row>
    <row r="5" spans="1:26">
      <c r="A5" t="s">
        <v>339</v>
      </c>
      <c r="B5" t="s">
        <v>323</v>
      </c>
      <c r="C5" t="s">
        <v>20</v>
      </c>
      <c r="D5" t="s">
        <v>150</v>
      </c>
      <c r="E5" t="s">
        <v>23</v>
      </c>
      <c r="G5" t="s">
        <v>185</v>
      </c>
      <c r="H5" t="s">
        <v>332</v>
      </c>
    </row>
    <row r="6" spans="1:26">
      <c r="A6" t="s">
        <v>340</v>
      </c>
      <c r="B6" t="s">
        <v>323</v>
      </c>
      <c r="C6" t="s">
        <v>20</v>
      </c>
      <c r="D6" t="s">
        <v>150</v>
      </c>
      <c r="E6" t="s">
        <v>14</v>
      </c>
      <c r="G6" t="s">
        <v>184</v>
      </c>
      <c r="H6" t="s">
        <v>332</v>
      </c>
    </row>
    <row r="7" spans="1:26">
      <c r="A7" t="s">
        <v>341</v>
      </c>
      <c r="B7" t="s">
        <v>65</v>
      </c>
      <c r="C7" t="s">
        <v>20</v>
      </c>
      <c r="D7" t="s">
        <v>121</v>
      </c>
      <c r="E7" t="s">
        <v>23</v>
      </c>
      <c r="G7" t="s">
        <v>185</v>
      </c>
      <c r="H7" t="s">
        <v>331</v>
      </c>
    </row>
    <row r="8" spans="1:26">
      <c r="A8" t="s">
        <v>342</v>
      </c>
      <c r="B8" t="s">
        <v>65</v>
      </c>
      <c r="C8" t="s">
        <v>20</v>
      </c>
      <c r="D8" t="s">
        <v>121</v>
      </c>
      <c r="E8" t="s">
        <v>14</v>
      </c>
      <c r="G8" t="s">
        <v>184</v>
      </c>
      <c r="H8" t="s">
        <v>331</v>
      </c>
    </row>
    <row r="9" spans="1:26">
      <c r="A9" t="s">
        <v>343</v>
      </c>
      <c r="B9" t="s">
        <v>65</v>
      </c>
      <c r="C9" t="s">
        <v>20</v>
      </c>
      <c r="D9" t="s">
        <v>121</v>
      </c>
      <c r="E9" t="s">
        <v>99</v>
      </c>
      <c r="G9" t="s">
        <v>182</v>
      </c>
      <c r="H9" t="s">
        <v>331</v>
      </c>
    </row>
    <row r="10" spans="1:26">
      <c r="A10" t="s">
        <v>344</v>
      </c>
      <c r="B10" t="s">
        <v>9</v>
      </c>
      <c r="C10" t="s">
        <v>20</v>
      </c>
      <c r="D10" t="s">
        <v>21</v>
      </c>
      <c r="E10" t="s">
        <v>23</v>
      </c>
      <c r="G10" t="s">
        <v>185</v>
      </c>
      <c r="H10" t="s">
        <v>334</v>
      </c>
      <c r="Z10" t="s">
        <v>334</v>
      </c>
    </row>
    <row r="11" spans="1:26">
      <c r="A11" t="s">
        <v>345</v>
      </c>
      <c r="B11" t="s">
        <v>9</v>
      </c>
      <c r="C11" t="s">
        <v>20</v>
      </c>
      <c r="D11" t="s">
        <v>21</v>
      </c>
      <c r="E11" t="s">
        <v>14</v>
      </c>
      <c r="G11" t="s">
        <v>184</v>
      </c>
      <c r="H11" t="s">
        <v>334</v>
      </c>
      <c r="Z11" t="s">
        <v>334</v>
      </c>
    </row>
    <row r="12" spans="1:26">
      <c r="A12" t="s">
        <v>355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t="s">
        <v>225</v>
      </c>
      <c r="N12" s="20"/>
      <c r="X12" t="s">
        <v>349</v>
      </c>
      <c r="Y12">
        <v>38</v>
      </c>
      <c r="Z12" t="s">
        <v>350</v>
      </c>
    </row>
    <row r="13" spans="1:26">
      <c r="A13" t="s">
        <v>356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t="s">
        <v>225</v>
      </c>
      <c r="X13" t="s">
        <v>349</v>
      </c>
      <c r="Y13">
        <v>38</v>
      </c>
      <c r="Z13" t="s">
        <v>351</v>
      </c>
    </row>
    <row r="14" spans="1:26">
      <c r="A14" t="s">
        <v>357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215</v>
      </c>
      <c r="X14" t="s">
        <v>37</v>
      </c>
      <c r="Y14">
        <v>1</v>
      </c>
      <c r="Z14" t="s">
        <v>334</v>
      </c>
    </row>
    <row r="15" spans="1:26">
      <c r="A15" t="s">
        <v>358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215</v>
      </c>
      <c r="X15" t="s">
        <v>40</v>
      </c>
      <c r="Y15">
        <v>1</v>
      </c>
      <c r="Z15" t="s">
        <v>334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H13" sqref="H13"/>
    </sheetView>
  </sheetViews>
  <sheetFormatPr defaultRowHeight="15"/>
  <cols>
    <col min="1" max="1" width="20.140625" bestFit="1" customWidth="1"/>
    <col min="2" max="2" width="10.5703125" style="15" bestFit="1" customWidth="1"/>
    <col min="3" max="3" width="18.7109375" style="16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15" bestFit="1" customWidth="1"/>
    <col min="9" max="9" width="19" style="16" bestFit="1" customWidth="1"/>
    <col min="10" max="10" width="20.28515625" style="16" bestFit="1" customWidth="1"/>
    <col min="11" max="11" width="19.5703125" style="16" bestFit="1" customWidth="1"/>
    <col min="12" max="12" width="9.5703125" bestFit="1" customWidth="1"/>
  </cols>
  <sheetData>
    <row r="1" spans="1:12" ht="21" customHeight="1">
      <c r="A1" s="178" t="s">
        <v>324</v>
      </c>
      <c r="B1" s="179"/>
      <c r="C1" s="180"/>
      <c r="D1" s="90"/>
      <c r="E1" s="90"/>
      <c r="F1" s="90"/>
      <c r="G1" s="181" t="s">
        <v>346</v>
      </c>
      <c r="H1" s="182"/>
      <c r="I1" s="182"/>
      <c r="J1" s="182"/>
      <c r="K1" s="182"/>
    </row>
    <row r="2" spans="1:12" s="102" customFormat="1" ht="21" customHeight="1">
      <c r="A2" s="99" t="s">
        <v>0</v>
      </c>
      <c r="B2" s="100" t="s">
        <v>322</v>
      </c>
      <c r="C2" s="101" t="s">
        <v>170</v>
      </c>
      <c r="D2" s="106"/>
      <c r="E2" s="106"/>
      <c r="F2" s="106"/>
      <c r="G2" s="99" t="s">
        <v>321</v>
      </c>
      <c r="H2" s="100" t="s">
        <v>322</v>
      </c>
      <c r="I2" s="101" t="s">
        <v>170</v>
      </c>
      <c r="J2" s="101" t="s">
        <v>328</v>
      </c>
      <c r="K2" s="101" t="s">
        <v>191</v>
      </c>
    </row>
    <row r="3" spans="1:12">
      <c r="A3" s="70" t="s">
        <v>9</v>
      </c>
      <c r="B3" s="103">
        <v>8.1590977598792011E-2</v>
      </c>
      <c r="C3" s="104">
        <f>SUMIF('All Costing'!$A$6:$A$1048576,RESUME!A3,'All Costing'!$G$6:$H$1048576)</f>
        <v>67897.759999999995</v>
      </c>
      <c r="D3" s="89"/>
      <c r="E3" s="89"/>
      <c r="F3" s="89"/>
      <c r="G3" s="70" t="s">
        <v>9</v>
      </c>
      <c r="H3" s="105">
        <f t="shared" ref="H3:H10" si="0">I3/$I$11</f>
        <v>8.1590977598792011E-2</v>
      </c>
      <c r="I3" s="104">
        <f>SUMIF('All Costing'!$A$6:$A$1048576,RESUME!G3,'All Costing'!$G$6:$H$1048576)</f>
        <v>67897.759999999995</v>
      </c>
      <c r="J3" s="104">
        <f>SUMIF('All Costing'!$A$6:$A$1048576,RESUME!G3,'All Costing'!$H$6:$H$1048576)</f>
        <v>1416834.28</v>
      </c>
      <c r="K3" s="104">
        <f t="shared" ref="K3:K10" si="1">I3-J3</f>
        <v>-1348936.52</v>
      </c>
    </row>
    <row r="4" spans="1:12">
      <c r="A4" s="70" t="s">
        <v>35</v>
      </c>
      <c r="B4" s="103">
        <v>0.27755070800026532</v>
      </c>
      <c r="C4" s="104">
        <f>SUMIF('All Costing'!$A$6:$A$1048576,RESUME!A4,'All Costing'!$G$6:$H$1048576)</f>
        <v>230970.03999999998</v>
      </c>
      <c r="D4" s="89"/>
      <c r="E4" s="89"/>
      <c r="F4" s="89"/>
      <c r="G4" s="70" t="s">
        <v>35</v>
      </c>
      <c r="H4" s="105">
        <f t="shared" si="0"/>
        <v>0.27755070800026532</v>
      </c>
      <c r="I4" s="104">
        <f>SUMIF('All Costing'!$A$6:$A$1048576,RESUME!G4,'All Costing'!$G$6:$H$1048576)</f>
        <v>230970.03999999998</v>
      </c>
      <c r="J4" s="104">
        <f>SUMIF('All Costing'!$A$6:$A$1048576,RESUME!G4,'All Costing'!$H$6:$H$1048576)</f>
        <v>669.93</v>
      </c>
      <c r="K4" s="104">
        <f t="shared" si="1"/>
        <v>230300.11</v>
      </c>
    </row>
    <row r="5" spans="1:12">
      <c r="A5" s="70" t="s">
        <v>43</v>
      </c>
      <c r="B5" s="103">
        <v>1.0214229594462793E-2</v>
      </c>
      <c r="C5" s="104">
        <f>SUMIF('All Costing'!$A$6:$A$1048576,RESUME!A5,'All Costing'!$G$6:$H$1048576)</f>
        <v>8500</v>
      </c>
      <c r="D5" s="89"/>
      <c r="E5" s="89"/>
      <c r="F5" s="89"/>
      <c r="G5" s="70" t="s">
        <v>43</v>
      </c>
      <c r="H5" s="105">
        <f t="shared" si="0"/>
        <v>1.0214229594462793E-2</v>
      </c>
      <c r="I5" s="104">
        <f>SUMIF('All Costing'!$A$6:$A$1048576,RESUME!G5,'All Costing'!$G$6:$H$1048576)</f>
        <v>8500</v>
      </c>
      <c r="J5" s="104">
        <f>SUMIF('All Costing'!$A$6:$A$1048576,RESUME!G5,'All Costing'!$H$6:$H$1048576)</f>
        <v>0</v>
      </c>
      <c r="K5" s="104">
        <f t="shared" si="1"/>
        <v>8500</v>
      </c>
    </row>
    <row r="6" spans="1:12">
      <c r="A6" s="70" t="s">
        <v>312</v>
      </c>
      <c r="B6" s="103">
        <v>1.2016740699367992E-3</v>
      </c>
      <c r="C6" s="104">
        <f>SUMIF('All Costing'!$A$6:$A$1048576,RESUME!A6,'All Costing'!$G$6:$H$1048576)</f>
        <v>1000</v>
      </c>
      <c r="D6" s="89"/>
      <c r="E6" s="89"/>
      <c r="F6" s="89"/>
      <c r="G6" s="70" t="s">
        <v>312</v>
      </c>
      <c r="H6" s="105">
        <f t="shared" si="0"/>
        <v>1.2016740699367992E-3</v>
      </c>
      <c r="I6" s="104">
        <f>SUMIF('All Costing'!$A$6:$A$1048576,RESUME!G6,'All Costing'!$G$6:$H$1048576)</f>
        <v>1000</v>
      </c>
      <c r="J6" s="104">
        <f>SUMIF('All Costing'!$A$6:$A$1048576,RESUME!G6,'All Costing'!$H$6:$H$1048576)</f>
        <v>0</v>
      </c>
      <c r="K6" s="104">
        <f t="shared" si="1"/>
        <v>1000</v>
      </c>
    </row>
    <row r="7" spans="1:12">
      <c r="A7" s="70" t="s">
        <v>65</v>
      </c>
      <c r="B7" s="103">
        <v>0.1047205357286401</v>
      </c>
      <c r="C7" s="104">
        <f>SUMIF('All Costing'!$A$6:$A$1048576,RESUME!A7,'All Costing'!$G$6:$H$1048576)</f>
        <v>87145.539999999964</v>
      </c>
      <c r="D7" s="89"/>
      <c r="E7" s="89"/>
      <c r="F7" s="89"/>
      <c r="G7" s="70" t="s">
        <v>65</v>
      </c>
      <c r="H7" s="105">
        <f t="shared" si="0"/>
        <v>0.1047205357286401</v>
      </c>
      <c r="I7" s="104">
        <f>SUMIF('All Costing'!$A$6:$A$1048576,RESUME!G7,'All Costing'!$G$6:$H$1048576)</f>
        <v>87145.539999999964</v>
      </c>
      <c r="J7" s="104">
        <f>SUMIF('All Costing'!$A$6:$A$1048576,RESUME!G7,'All Costing'!$H$6:$H$1048576)</f>
        <v>15412.050000000003</v>
      </c>
      <c r="K7" s="104">
        <f t="shared" si="1"/>
        <v>71733.489999999962</v>
      </c>
    </row>
    <row r="8" spans="1:12">
      <c r="A8" s="70" t="s">
        <v>139</v>
      </c>
      <c r="B8" s="103">
        <v>0.12076439185780972</v>
      </c>
      <c r="C8" s="104">
        <f>SUMIF('All Costing'!$A$6:$A$1048576,RESUME!A8,'All Costing'!$G$6:$H$1048576)</f>
        <v>100496.79432973135</v>
      </c>
      <c r="D8" s="89"/>
      <c r="E8" s="89"/>
      <c r="F8" s="89"/>
      <c r="G8" s="70" t="s">
        <v>139</v>
      </c>
      <c r="H8" s="105">
        <f t="shared" si="0"/>
        <v>0.12076439185780972</v>
      </c>
      <c r="I8" s="104">
        <f>SUMIF('All Costing'!$A$6:$A$1048576,RESUME!G8,'All Costing'!$G$6:$H$1048576)</f>
        <v>100496.79432973135</v>
      </c>
      <c r="J8" s="104">
        <f>SUMIF('All Costing'!$A$6:$A$1048576,RESUME!G8,'All Costing'!$H$6:$H$1048576)</f>
        <v>12258.699999999999</v>
      </c>
      <c r="K8" s="104">
        <f t="shared" si="1"/>
        <v>88238.09432973135</v>
      </c>
    </row>
    <row r="9" spans="1:12">
      <c r="A9" s="70" t="s">
        <v>171</v>
      </c>
      <c r="B9" s="103">
        <v>0.14255002855513671</v>
      </c>
      <c r="C9" s="104">
        <f>SUMIFS('All Costing'!$G$6:$G$1048576,'All Costing'!$D$6:$D$1048576,"MAJA-1",'All Costing'!$A$6:$A$1048576,"Tony Teja")</f>
        <v>118626.19999999998</v>
      </c>
      <c r="D9" s="89"/>
      <c r="E9" s="89"/>
      <c r="F9" s="89"/>
      <c r="G9" s="70" t="s">
        <v>323</v>
      </c>
      <c r="H9" s="105">
        <f t="shared" si="0"/>
        <v>0.29780020186995526</v>
      </c>
      <c r="I9" s="104">
        <f>SUMIF('All Costing'!$A$6:$A$1048576,RESUME!G9,'All Costing'!$G$6:$H$1048576)</f>
        <v>247821.11000000002</v>
      </c>
      <c r="J9" s="104">
        <f>SUMIF('All Costing'!$A$6:$A$1048576,RESUME!G9,'All Costing'!$H$6:$H$1048576)</f>
        <v>32093.16</v>
      </c>
      <c r="K9" s="104">
        <f t="shared" si="1"/>
        <v>215727.95</v>
      </c>
      <c r="L9" s="19"/>
    </row>
    <row r="10" spans="1:12">
      <c r="A10" s="70" t="s">
        <v>155</v>
      </c>
      <c r="B10" s="103">
        <v>0.1552501733148185</v>
      </c>
      <c r="C10" s="104">
        <f>SUMIFS('All Costing'!$G$6:$G$1048576,'All Costing'!$D$6:$D$1048576,"MAJA-2",'All Costing'!$A$6:$A$1048576,"Tony Teja")</f>
        <v>129194.91000000002</v>
      </c>
      <c r="D10" s="89"/>
      <c r="E10" s="89"/>
      <c r="F10" s="89"/>
      <c r="G10" s="70" t="s">
        <v>157</v>
      </c>
      <c r="H10" s="105">
        <f t="shared" si="0"/>
        <v>0.10615728128013797</v>
      </c>
      <c r="I10" s="104">
        <f>SUMIF('All Costing'!$A$6:$A$1048576,RESUME!G10,'All Costing'!$G$6:$H$1048576)</f>
        <v>88341.16</v>
      </c>
      <c r="J10" s="104">
        <f>SUMIF('All Costing'!$A$6:$A$1048576,RESUME!G10,'All Costing'!$H$6:$H$1048576)</f>
        <v>6124.0300000000007</v>
      </c>
      <c r="K10" s="104">
        <f t="shared" si="1"/>
        <v>82217.13</v>
      </c>
    </row>
    <row r="11" spans="1:12">
      <c r="A11" s="70" t="s">
        <v>323</v>
      </c>
      <c r="B11" s="103">
        <v>0.29780020186995526</v>
      </c>
      <c r="C11" s="104">
        <f>SUMIF('All Costing'!$A$6:$A$1048576,RESUME!A11,'All Costing'!$G$6:$H$1048576)</f>
        <v>247821.11000000002</v>
      </c>
      <c r="D11" s="89"/>
      <c r="E11" s="89"/>
      <c r="F11" s="89"/>
      <c r="G11" s="176" t="s">
        <v>34</v>
      </c>
      <c r="H11" s="177"/>
      <c r="I11" s="107">
        <f>SUM(I3:I10)</f>
        <v>832172.40432973136</v>
      </c>
      <c r="J11" s="107">
        <f>SUM(J3:J10)</f>
        <v>1483392.15</v>
      </c>
      <c r="K11" s="107"/>
    </row>
    <row r="12" spans="1:12">
      <c r="A12" s="70" t="s">
        <v>157</v>
      </c>
      <c r="B12" s="103">
        <v>0.10615728128013797</v>
      </c>
      <c r="C12" s="104">
        <f>SUMIF('All Costing'!$A$6:$A$1048576,RESUME!A12,'All Costing'!$G$6:$H$1048576)</f>
        <v>88341.16</v>
      </c>
      <c r="D12" s="89"/>
      <c r="E12" s="89"/>
      <c r="F12" s="89"/>
      <c r="H12" s="22"/>
      <c r="I12"/>
      <c r="J12"/>
      <c r="K12"/>
    </row>
    <row r="13" spans="1:12">
      <c r="A13" s="176" t="s">
        <v>34</v>
      </c>
      <c r="B13" s="177"/>
      <c r="C13" s="108"/>
      <c r="D13" s="89"/>
      <c r="E13" s="89"/>
      <c r="F13" s="89"/>
      <c r="H13" s="22"/>
      <c r="I13"/>
      <c r="J13"/>
      <c r="K13"/>
    </row>
    <row r="14" spans="1:12">
      <c r="D14" s="89"/>
      <c r="E14" s="89"/>
      <c r="F14" s="89"/>
      <c r="H14" s="22"/>
      <c r="I14"/>
      <c r="J14"/>
      <c r="K14"/>
    </row>
    <row r="15" spans="1:12">
      <c r="D15" s="89"/>
      <c r="E15" s="89"/>
      <c r="F15" s="89"/>
      <c r="H15" s="22"/>
      <c r="I15"/>
      <c r="J15"/>
      <c r="K15"/>
    </row>
    <row r="16" spans="1:12">
      <c r="D16" s="89"/>
      <c r="E16" s="89"/>
      <c r="F16" s="89"/>
      <c r="H16" s="22"/>
      <c r="I16"/>
      <c r="J16"/>
      <c r="K16"/>
    </row>
    <row r="17" spans="4:9">
      <c r="D17" s="89"/>
      <c r="E17" s="89"/>
      <c r="F17" s="89"/>
      <c r="H17" s="22"/>
      <c r="I17"/>
    </row>
    <row r="18" spans="4:9">
      <c r="D18" s="89"/>
      <c r="E18" s="89"/>
      <c r="F18" s="89"/>
    </row>
    <row r="19" spans="4:9">
      <c r="D19" s="89"/>
      <c r="E19" s="89"/>
      <c r="F19" s="89"/>
    </row>
    <row r="20" spans="4:9">
      <c r="D20" s="89"/>
      <c r="E20" s="89"/>
      <c r="F20" s="89"/>
    </row>
    <row r="21" spans="4:9">
      <c r="D21" s="89"/>
      <c r="E21" s="89"/>
      <c r="F21" s="8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9" t="s">
        <v>325</v>
      </c>
      <c r="B1" s="9" t="s">
        <v>172</v>
      </c>
      <c r="C1" s="9" t="s">
        <v>1</v>
      </c>
      <c r="D1" s="9" t="s">
        <v>3</v>
      </c>
      <c r="E1" s="9" t="s">
        <v>192</v>
      </c>
      <c r="F1" s="9" t="s">
        <v>174</v>
      </c>
      <c r="L1" t="s">
        <v>3</v>
      </c>
      <c r="M1" t="s">
        <v>192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320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209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212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193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183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185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184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175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176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177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190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213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313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214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215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216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217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215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216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217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218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218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218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218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211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219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219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219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219</v>
      </c>
    </row>
    <row r="31" spans="1:6">
      <c r="A31" t="str">
        <f t="shared" si="0"/>
        <v>Fungfung-FABRIC TESTED CHARGES-CLN</v>
      </c>
      <c r="B31" t="s">
        <v>312</v>
      </c>
      <c r="C31" t="s">
        <v>44</v>
      </c>
      <c r="D31" t="s">
        <v>12</v>
      </c>
      <c r="E31">
        <f t="shared" si="1"/>
        <v>1201</v>
      </c>
      <c r="F31" t="s">
        <v>218</v>
      </c>
    </row>
    <row r="32" spans="1:6">
      <c r="A32" t="str">
        <f t="shared" si="0"/>
        <v>Fungfung-SALES COMMISSION-CLN</v>
      </c>
      <c r="B32" t="s">
        <v>312</v>
      </c>
      <c r="C32" t="s">
        <v>54</v>
      </c>
      <c r="D32" t="s">
        <v>12</v>
      </c>
      <c r="E32">
        <f t="shared" si="1"/>
        <v>1201</v>
      </c>
      <c r="F32" t="s">
        <v>211</v>
      </c>
    </row>
    <row r="33" spans="1:6">
      <c r="A33" t="str">
        <f t="shared" si="0"/>
        <v>Fungfung-SAMPLE EXPENSES-CLN</v>
      </c>
      <c r="B33" t="s">
        <v>312</v>
      </c>
      <c r="C33" t="s">
        <v>57</v>
      </c>
      <c r="D33" t="s">
        <v>12</v>
      </c>
      <c r="E33">
        <f t="shared" si="1"/>
        <v>1201</v>
      </c>
      <c r="F33" t="s">
        <v>219</v>
      </c>
    </row>
    <row r="34" spans="1:6">
      <c r="A34" t="str">
        <f t="shared" ref="A34:A65" si="2">B34&amp;"-"&amp;C34&amp;"-"&amp;D34</f>
        <v>Fungfung-SAMPLE EXPENSES-CLN</v>
      </c>
      <c r="B34" t="s">
        <v>312</v>
      </c>
      <c r="C34" t="s">
        <v>57</v>
      </c>
      <c r="D34" t="s">
        <v>12</v>
      </c>
      <c r="E34">
        <f t="shared" si="1"/>
        <v>1201</v>
      </c>
      <c r="F34" t="s">
        <v>219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178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220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221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194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222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223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224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225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225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226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195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227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196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197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180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181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228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198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229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230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231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199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200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201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232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233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234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235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236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202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203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237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238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239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204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205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206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240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241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207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314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208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182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242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243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244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245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246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247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248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249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183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183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185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184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250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251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252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253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254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255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256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257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258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259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260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261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262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263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264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265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266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267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268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269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270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186</v>
      </c>
    </row>
    <row r="112" spans="1:6">
      <c r="A112" t="str">
        <f t="shared" si="5"/>
        <v>Tony Teja-ENTERTAINMENT-MAJA-1</v>
      </c>
      <c r="B112" t="s">
        <v>323</v>
      </c>
      <c r="C112" t="s">
        <v>76</v>
      </c>
      <c r="D112" t="s">
        <v>23</v>
      </c>
      <c r="E112">
        <f t="shared" si="4"/>
        <v>1205</v>
      </c>
      <c r="F112" t="s">
        <v>271</v>
      </c>
    </row>
    <row r="113" spans="1:6">
      <c r="A113" t="str">
        <f t="shared" si="5"/>
        <v>Tony Teja-JAMSOSTEK-MAJA-1</v>
      </c>
      <c r="B113" t="s">
        <v>323</v>
      </c>
      <c r="C113" t="s">
        <v>91</v>
      </c>
      <c r="D113" t="s">
        <v>23</v>
      </c>
      <c r="E113">
        <f t="shared" si="4"/>
        <v>1205</v>
      </c>
      <c r="F113" t="s">
        <v>272</v>
      </c>
    </row>
    <row r="114" spans="1:6">
      <c r="A114" t="str">
        <f t="shared" si="5"/>
        <v>Tony Teja-MAINT.&amp;REP.BUILDING-MAJA-1</v>
      </c>
      <c r="B114" t="s">
        <v>323</v>
      </c>
      <c r="C114" t="s">
        <v>100</v>
      </c>
      <c r="D114" t="s">
        <v>23</v>
      </c>
      <c r="E114">
        <f t="shared" si="4"/>
        <v>1205</v>
      </c>
      <c r="F114" t="s">
        <v>273</v>
      </c>
    </row>
    <row r="115" spans="1:6">
      <c r="A115" t="str">
        <f t="shared" si="5"/>
        <v>Tony Teja-MAINT.&amp;REP.WATERINSTL.-MAJA-1</v>
      </c>
      <c r="B115" t="s">
        <v>323</v>
      </c>
      <c r="C115" t="s">
        <v>112</v>
      </c>
      <c r="D115" t="s">
        <v>23</v>
      </c>
      <c r="E115">
        <f t="shared" si="4"/>
        <v>1205</v>
      </c>
      <c r="F115" t="s">
        <v>274</v>
      </c>
    </row>
    <row r="116" spans="1:6">
      <c r="A116" t="str">
        <f t="shared" si="5"/>
        <v>Tony Teja-MEDICAL ALLOWANCE-MAJA-1</v>
      </c>
      <c r="B116" t="s">
        <v>323</v>
      </c>
      <c r="C116" t="s">
        <v>116</v>
      </c>
      <c r="D116" t="s">
        <v>23</v>
      </c>
      <c r="E116">
        <f t="shared" si="4"/>
        <v>1205</v>
      </c>
      <c r="F116" t="s">
        <v>275</v>
      </c>
    </row>
    <row r="117" spans="1:6">
      <c r="A117" t="str">
        <f t="shared" si="5"/>
        <v>Tony Teja-RENT EXPENSES BUILDING-MAJA-1</v>
      </c>
      <c r="B117" t="s">
        <v>323</v>
      </c>
      <c r="C117" t="s">
        <v>128</v>
      </c>
      <c r="D117" t="s">
        <v>23</v>
      </c>
      <c r="E117">
        <f t="shared" si="4"/>
        <v>1205</v>
      </c>
      <c r="F117" t="s">
        <v>276</v>
      </c>
    </row>
    <row r="118" spans="1:6">
      <c r="A118" t="str">
        <f t="shared" si="5"/>
        <v>Tony Teja-OTHER PRODUCTION COST-MAJA-1</v>
      </c>
      <c r="B118" t="s">
        <v>323</v>
      </c>
      <c r="C118" t="s">
        <v>20</v>
      </c>
      <c r="D118" t="s">
        <v>23</v>
      </c>
      <c r="E118">
        <f t="shared" si="4"/>
        <v>1205</v>
      </c>
      <c r="F118" t="s">
        <v>185</v>
      </c>
    </row>
    <row r="119" spans="1:6">
      <c r="A119" t="str">
        <f t="shared" si="5"/>
        <v>Tony Teja-BUSINESS TRIP EXPENSES-MAJA-1</v>
      </c>
      <c r="B119" t="s">
        <v>323</v>
      </c>
      <c r="C119" t="s">
        <v>68</v>
      </c>
      <c r="D119" t="s">
        <v>23</v>
      </c>
      <c r="E119">
        <f t="shared" si="4"/>
        <v>1205</v>
      </c>
      <c r="F119" t="s">
        <v>277</v>
      </c>
    </row>
    <row r="120" spans="1:6">
      <c r="A120" t="str">
        <f t="shared" si="5"/>
        <v>Tony Teja-ELECTRICITY-MAJA-1</v>
      </c>
      <c r="B120" t="s">
        <v>323</v>
      </c>
      <c r="C120" t="s">
        <v>74</v>
      </c>
      <c r="D120" t="s">
        <v>23</v>
      </c>
      <c r="E120">
        <f t="shared" si="4"/>
        <v>1205</v>
      </c>
      <c r="F120" t="s">
        <v>278</v>
      </c>
    </row>
    <row r="121" spans="1:6">
      <c r="A121" t="str">
        <f t="shared" si="5"/>
        <v>Tony Teja-FACTORY SUPPLIES EXPENSE-MAJA-1</v>
      </c>
      <c r="B121" t="s">
        <v>323</v>
      </c>
      <c r="C121" t="s">
        <v>78</v>
      </c>
      <c r="D121" t="s">
        <v>23</v>
      </c>
      <c r="E121">
        <f t="shared" si="4"/>
        <v>1205</v>
      </c>
      <c r="F121" t="s">
        <v>279</v>
      </c>
    </row>
    <row r="122" spans="1:6">
      <c r="A122" t="str">
        <f t="shared" si="5"/>
        <v>Tony Teja-FARE ALLOWANCE-MAJA-1</v>
      </c>
      <c r="B122" t="s">
        <v>323</v>
      </c>
      <c r="C122" t="s">
        <v>152</v>
      </c>
      <c r="D122" t="s">
        <v>23</v>
      </c>
      <c r="E122">
        <f t="shared" si="4"/>
        <v>1205</v>
      </c>
      <c r="F122" t="s">
        <v>280</v>
      </c>
    </row>
    <row r="123" spans="1:6">
      <c r="A123" t="str">
        <f t="shared" si="5"/>
        <v>Tony Teja-LABOR COST-MAJA-1</v>
      </c>
      <c r="B123" t="s">
        <v>323</v>
      </c>
      <c r="C123" t="s">
        <v>94</v>
      </c>
      <c r="D123" t="s">
        <v>23</v>
      </c>
      <c r="E123">
        <f t="shared" si="4"/>
        <v>1205</v>
      </c>
      <c r="F123" t="s">
        <v>281</v>
      </c>
    </row>
    <row r="124" spans="1:6">
      <c r="A124" t="str">
        <f t="shared" si="5"/>
        <v>Tony Teja-MAINT.&amp;REP.ELECTRICITY-MAJA-1</v>
      </c>
      <c r="B124" t="s">
        <v>323</v>
      </c>
      <c r="C124" t="s">
        <v>102</v>
      </c>
      <c r="D124" t="s">
        <v>23</v>
      </c>
      <c r="E124">
        <f t="shared" si="4"/>
        <v>1205</v>
      </c>
      <c r="F124" t="s">
        <v>282</v>
      </c>
    </row>
    <row r="125" spans="1:6">
      <c r="A125" t="str">
        <f t="shared" si="5"/>
        <v>Tony Teja-MAINT.&amp;REP.GEN&amp;BOILER-MAJA-1</v>
      </c>
      <c r="B125" t="s">
        <v>323</v>
      </c>
      <c r="C125" t="s">
        <v>104</v>
      </c>
      <c r="D125" t="s">
        <v>23</v>
      </c>
      <c r="E125">
        <f t="shared" si="4"/>
        <v>1205</v>
      </c>
      <c r="F125" t="s">
        <v>283</v>
      </c>
    </row>
    <row r="126" spans="1:6">
      <c r="A126" t="str">
        <f t="shared" si="5"/>
        <v>Tony Teja-MAINT.&amp;REP.MACHINERIE-MAJA-1</v>
      </c>
      <c r="B126" t="s">
        <v>323</v>
      </c>
      <c r="C126" t="s">
        <v>106</v>
      </c>
      <c r="D126" t="s">
        <v>23</v>
      </c>
      <c r="E126">
        <f t="shared" si="4"/>
        <v>1205</v>
      </c>
      <c r="F126" t="s">
        <v>284</v>
      </c>
    </row>
    <row r="127" spans="1:6">
      <c r="A127" t="str">
        <f t="shared" si="5"/>
        <v>Tony Teja-MAINT.&amp;REP.PLANTEQUI-MAJA-1</v>
      </c>
      <c r="B127" t="s">
        <v>323</v>
      </c>
      <c r="C127" t="s">
        <v>110</v>
      </c>
      <c r="D127" t="s">
        <v>23</v>
      </c>
      <c r="E127">
        <f t="shared" si="4"/>
        <v>1205</v>
      </c>
      <c r="F127" t="s">
        <v>285</v>
      </c>
    </row>
    <row r="128" spans="1:6">
      <c r="A128" t="str">
        <f t="shared" si="5"/>
        <v>Tony Teja-OFFICER SALARIES-MAJA-1</v>
      </c>
      <c r="B128" t="s">
        <v>323</v>
      </c>
      <c r="C128" t="s">
        <v>144</v>
      </c>
      <c r="D128" t="s">
        <v>23</v>
      </c>
      <c r="E128">
        <f t="shared" si="4"/>
        <v>1205</v>
      </c>
      <c r="F128" t="s">
        <v>286</v>
      </c>
    </row>
    <row r="129" spans="1:6">
      <c r="A129" t="str">
        <f t="shared" si="5"/>
        <v>Tony Teja-PEMAKAIAN SPARE PART-MAJA-1</v>
      </c>
      <c r="B129" t="s">
        <v>323</v>
      </c>
      <c r="C129" t="s">
        <v>122</v>
      </c>
      <c r="D129" t="s">
        <v>23</v>
      </c>
      <c r="E129">
        <f t="shared" si="4"/>
        <v>1205</v>
      </c>
      <c r="F129" t="s">
        <v>287</v>
      </c>
    </row>
    <row r="130" spans="1:6">
      <c r="A130" t="str">
        <f t="shared" ref="A130:A158" si="6">B130&amp;"-"&amp;C130&amp;"-"&amp;D130</f>
        <v>Tony Teja-ENTERTAINMENT-MAJA-2</v>
      </c>
      <c r="B130" t="s">
        <v>323</v>
      </c>
      <c r="C130" t="s">
        <v>76</v>
      </c>
      <c r="D130" t="s">
        <v>14</v>
      </c>
      <c r="E130">
        <f t="shared" si="4"/>
        <v>1204</v>
      </c>
      <c r="F130" t="s">
        <v>288</v>
      </c>
    </row>
    <row r="131" spans="1:6">
      <c r="A131" t="str">
        <f t="shared" si="6"/>
        <v>Tony Teja-JAMSOSTEK-MAJA-2</v>
      </c>
      <c r="B131" t="s">
        <v>323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289</v>
      </c>
    </row>
    <row r="132" spans="1:6">
      <c r="A132" t="str">
        <f t="shared" si="6"/>
        <v>Tony Teja-MAINT.&amp;REP.BUILDING-MAJA-2</v>
      </c>
      <c r="B132" t="s">
        <v>323</v>
      </c>
      <c r="C132" t="s">
        <v>100</v>
      </c>
      <c r="D132" t="s">
        <v>14</v>
      </c>
      <c r="E132">
        <f t="shared" si="7"/>
        <v>1204</v>
      </c>
      <c r="F132" t="s">
        <v>290</v>
      </c>
    </row>
    <row r="133" spans="1:6">
      <c r="A133" t="str">
        <f t="shared" si="6"/>
        <v>Tony Teja-MAINT.&amp;REP.WATERINSTL.-MAJA-2</v>
      </c>
      <c r="B133" t="s">
        <v>323</v>
      </c>
      <c r="C133" t="s">
        <v>112</v>
      </c>
      <c r="D133" t="s">
        <v>14</v>
      </c>
      <c r="E133">
        <f t="shared" si="7"/>
        <v>1204</v>
      </c>
      <c r="F133" t="s">
        <v>291</v>
      </c>
    </row>
    <row r="134" spans="1:6">
      <c r="A134" t="str">
        <f t="shared" si="6"/>
        <v>Tony Teja-MEDICAL ALLOWANCE-MAJA-2</v>
      </c>
      <c r="B134" t="s">
        <v>323</v>
      </c>
      <c r="C134" t="s">
        <v>116</v>
      </c>
      <c r="D134" t="s">
        <v>14</v>
      </c>
      <c r="E134">
        <f t="shared" si="7"/>
        <v>1204</v>
      </c>
      <c r="F134" t="s">
        <v>292</v>
      </c>
    </row>
    <row r="135" spans="1:6">
      <c r="A135" t="str">
        <f t="shared" si="6"/>
        <v>Tony Teja-RENT EXPENSES BUILDING-MAJA-2</v>
      </c>
      <c r="B135" t="s">
        <v>323</v>
      </c>
      <c r="C135" t="s">
        <v>128</v>
      </c>
      <c r="D135" t="s">
        <v>14</v>
      </c>
      <c r="E135">
        <f t="shared" si="7"/>
        <v>1204</v>
      </c>
      <c r="F135" t="s">
        <v>293</v>
      </c>
    </row>
    <row r="136" spans="1:6">
      <c r="A136" t="str">
        <f t="shared" si="6"/>
        <v>Tony Teja-OTHER PRODUCTION COST-MAJA-2</v>
      </c>
      <c r="B136" t="s">
        <v>323</v>
      </c>
      <c r="C136" t="s">
        <v>20</v>
      </c>
      <c r="D136" t="s">
        <v>14</v>
      </c>
      <c r="E136">
        <f t="shared" si="7"/>
        <v>1204</v>
      </c>
      <c r="F136" t="s">
        <v>184</v>
      </c>
    </row>
    <row r="137" spans="1:6">
      <c r="A137" t="str">
        <f t="shared" si="6"/>
        <v>Tony Teja-AIR FREIGHT-MAJA-2</v>
      </c>
      <c r="B137" t="s">
        <v>323</v>
      </c>
      <c r="C137" t="s">
        <v>66</v>
      </c>
      <c r="D137" t="s">
        <v>14</v>
      </c>
      <c r="E137">
        <f t="shared" si="7"/>
        <v>1204</v>
      </c>
      <c r="F137" t="s">
        <v>179</v>
      </c>
    </row>
    <row r="138" spans="1:6">
      <c r="A138" t="str">
        <f t="shared" si="6"/>
        <v>Tony Teja-BUSINESS TRIP EXPENSES-MAJA-2</v>
      </c>
      <c r="B138" t="s">
        <v>323</v>
      </c>
      <c r="C138" t="s">
        <v>68</v>
      </c>
      <c r="D138" t="s">
        <v>14</v>
      </c>
      <c r="E138">
        <f t="shared" si="7"/>
        <v>1204</v>
      </c>
      <c r="F138" t="s">
        <v>294</v>
      </c>
    </row>
    <row r="139" spans="1:6">
      <c r="A139" t="str">
        <f t="shared" si="6"/>
        <v>Tony Teja-ELECTRICITY-MAJA-2</v>
      </c>
      <c r="B139" t="s">
        <v>323</v>
      </c>
      <c r="C139" t="s">
        <v>74</v>
      </c>
      <c r="D139" t="s">
        <v>14</v>
      </c>
      <c r="E139">
        <f t="shared" si="7"/>
        <v>1204</v>
      </c>
      <c r="F139" t="s">
        <v>295</v>
      </c>
    </row>
    <row r="140" spans="1:6">
      <c r="A140" t="str">
        <f t="shared" si="6"/>
        <v>Tony Teja-FACTORY SUPPLIES EXPENSE-MAJA-2</v>
      </c>
      <c r="B140" t="s">
        <v>323</v>
      </c>
      <c r="C140" t="s">
        <v>78</v>
      </c>
      <c r="D140" t="s">
        <v>14</v>
      </c>
      <c r="E140">
        <f t="shared" si="7"/>
        <v>1204</v>
      </c>
      <c r="F140" t="s">
        <v>296</v>
      </c>
    </row>
    <row r="141" spans="1:6">
      <c r="A141" t="str">
        <f t="shared" si="6"/>
        <v>Tony Teja-FARE ALLOWANCE-MAJA-2</v>
      </c>
      <c r="B141" t="s">
        <v>323</v>
      </c>
      <c r="C141" t="s">
        <v>152</v>
      </c>
      <c r="D141" t="s">
        <v>14</v>
      </c>
      <c r="E141">
        <f t="shared" si="7"/>
        <v>1204</v>
      </c>
      <c r="F141" t="s">
        <v>297</v>
      </c>
    </row>
    <row r="142" spans="1:6">
      <c r="A142" t="str">
        <f t="shared" si="6"/>
        <v>Tony Teja-LABOR COST-MAJA-2</v>
      </c>
      <c r="B142" t="s">
        <v>323</v>
      </c>
      <c r="C142" t="s">
        <v>94</v>
      </c>
      <c r="D142" t="s">
        <v>14</v>
      </c>
      <c r="E142">
        <f t="shared" si="7"/>
        <v>1204</v>
      </c>
      <c r="F142" t="s">
        <v>298</v>
      </c>
    </row>
    <row r="143" spans="1:6">
      <c r="A143" t="str">
        <f t="shared" si="6"/>
        <v>Tony Teja-MAINT.&amp;REP.ELECTRICITY-MAJA-2</v>
      </c>
      <c r="B143" t="s">
        <v>323</v>
      </c>
      <c r="C143" t="s">
        <v>102</v>
      </c>
      <c r="D143" t="s">
        <v>14</v>
      </c>
      <c r="E143">
        <f t="shared" si="7"/>
        <v>1204</v>
      </c>
      <c r="F143" t="s">
        <v>299</v>
      </c>
    </row>
    <row r="144" spans="1:6">
      <c r="A144" t="str">
        <f t="shared" si="6"/>
        <v>Tony Teja-MAINT.&amp;REP.GEN&amp;BOILER-MAJA-2</v>
      </c>
      <c r="B144" t="s">
        <v>323</v>
      </c>
      <c r="C144" t="s">
        <v>104</v>
      </c>
      <c r="D144" t="s">
        <v>14</v>
      </c>
      <c r="E144">
        <f t="shared" si="7"/>
        <v>1204</v>
      </c>
      <c r="F144" t="s">
        <v>300</v>
      </c>
    </row>
    <row r="145" spans="1:6">
      <c r="A145" t="str">
        <f t="shared" si="6"/>
        <v>Tony Teja-MAINT.&amp;REP.MACHINERIE-MAJA-2</v>
      </c>
      <c r="B145" t="s">
        <v>323</v>
      </c>
      <c r="C145" t="s">
        <v>106</v>
      </c>
      <c r="D145" t="s">
        <v>14</v>
      </c>
      <c r="E145">
        <f t="shared" si="7"/>
        <v>1204</v>
      </c>
      <c r="F145" t="s">
        <v>301</v>
      </c>
    </row>
    <row r="146" spans="1:6">
      <c r="A146" t="str">
        <f t="shared" si="6"/>
        <v>Tony Teja-MAINT.&amp;REP.PLANTEQUI-MAJA-2</v>
      </c>
      <c r="B146" t="s">
        <v>323</v>
      </c>
      <c r="C146" t="s">
        <v>110</v>
      </c>
      <c r="D146" t="s">
        <v>14</v>
      </c>
      <c r="E146">
        <f t="shared" si="7"/>
        <v>1204</v>
      </c>
      <c r="F146" t="s">
        <v>302</v>
      </c>
    </row>
    <row r="147" spans="1:6">
      <c r="A147" t="str">
        <f t="shared" si="6"/>
        <v>Tony Teja-PEMAKAIAN SPARE PART-MAJA-2</v>
      </c>
      <c r="B147" t="s">
        <v>323</v>
      </c>
      <c r="C147" t="s">
        <v>122</v>
      </c>
      <c r="D147" t="s">
        <v>14</v>
      </c>
      <c r="E147">
        <f t="shared" si="7"/>
        <v>1204</v>
      </c>
      <c r="F147" t="s">
        <v>303</v>
      </c>
    </row>
    <row r="148" spans="1:6">
      <c r="A148" t="str">
        <f t="shared" si="6"/>
        <v>Tony Teja-PMKN FUEL &amp; LUBRICANT-MAJA-2</v>
      </c>
      <c r="B148" t="s">
        <v>323</v>
      </c>
      <c r="C148" t="s">
        <v>124</v>
      </c>
      <c r="D148" t="s">
        <v>14</v>
      </c>
      <c r="E148">
        <f t="shared" si="7"/>
        <v>1204</v>
      </c>
      <c r="F148" t="s">
        <v>304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305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306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307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187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308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309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310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311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188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Q11"/>
  <sheetViews>
    <sheetView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C20" sqref="C20"/>
    </sheetView>
  </sheetViews>
  <sheetFormatPr defaultColWidth="16.28515625" defaultRowHeight="15.7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2" width="16.28515625" style="1"/>
    <col min="13" max="14" width="19.7109375" style="1" bestFit="1" customWidth="1"/>
    <col min="15" max="15" width="22.42578125" style="1" bestFit="1" customWidth="1"/>
    <col min="16" max="16384" width="16.28515625" style="1"/>
  </cols>
  <sheetData>
    <row r="2" spans="1:17" ht="23.25">
      <c r="A2" s="183" t="s">
        <v>173</v>
      </c>
      <c r="B2" s="183"/>
      <c r="C2" s="183"/>
      <c r="D2" s="183"/>
      <c r="E2" s="183"/>
      <c r="F2" s="183"/>
      <c r="G2" s="183"/>
      <c r="H2" s="183"/>
      <c r="I2" s="183"/>
      <c r="J2" s="183"/>
    </row>
    <row r="4" spans="1:17">
      <c r="G4" s="3"/>
      <c r="H4" s="3"/>
    </row>
    <row r="5" spans="1:17" s="5" customFormat="1">
      <c r="A5" s="59" t="s">
        <v>172</v>
      </c>
      <c r="B5" s="59" t="s">
        <v>524</v>
      </c>
      <c r="C5" s="59" t="s">
        <v>523</v>
      </c>
      <c r="D5" s="38" t="s">
        <v>3</v>
      </c>
      <c r="E5" s="38" t="s">
        <v>4</v>
      </c>
      <c r="F5" s="38" t="s">
        <v>5</v>
      </c>
      <c r="G5" s="63" t="s">
        <v>525</v>
      </c>
      <c r="H5" s="63" t="s">
        <v>6</v>
      </c>
      <c r="I5" s="63" t="s">
        <v>191</v>
      </c>
      <c r="J5" s="39" t="s">
        <v>7</v>
      </c>
      <c r="K5" s="39" t="s">
        <v>527</v>
      </c>
      <c r="L5" s="151" t="s">
        <v>528</v>
      </c>
      <c r="M5" s="151" t="s">
        <v>8</v>
      </c>
      <c r="N5" s="40" t="s">
        <v>174</v>
      </c>
      <c r="O5" s="149" t="s">
        <v>315</v>
      </c>
      <c r="P5" s="39" t="s">
        <v>329</v>
      </c>
      <c r="Q5" s="39" t="s">
        <v>529</v>
      </c>
    </row>
    <row r="6" spans="1:17">
      <c r="A6" s="5"/>
      <c r="F6" s="5"/>
      <c r="H6" s="5"/>
    </row>
    <row r="7" spans="1:17">
      <c r="A7" s="5"/>
      <c r="F7" s="5"/>
      <c r="H7" s="5"/>
    </row>
    <row r="8" spans="1:17">
      <c r="A8" s="5"/>
      <c r="F8" s="5"/>
      <c r="H8" s="5"/>
    </row>
    <row r="9" spans="1:17">
      <c r="A9" s="5"/>
      <c r="F9" s="5"/>
      <c r="H9" s="5"/>
    </row>
    <row r="10" spans="1:17">
      <c r="A10" s="5"/>
      <c r="F10" s="5"/>
      <c r="H10" s="5"/>
    </row>
    <row r="11" spans="1:17">
      <c r="A11" s="5"/>
      <c r="F11" s="5"/>
      <c r="H11" s="5"/>
    </row>
  </sheetData>
  <mergeCells count="1">
    <mergeCell ref="A2:J2"/>
  </mergeCells>
  <conditionalFormatting sqref="I5">
    <cfRule type="cellIs" dxfId="4" priority="1" operator="lessThanOr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N62"/>
  <sheetViews>
    <sheetView zoomScale="85" zoomScaleNormal="85" workbookViewId="0">
      <pane xSplit="4" ySplit="4" topLeftCell="E5" activePane="bottomRight" state="frozen"/>
      <selection activeCell="C4" sqref="C4"/>
      <selection pane="topRight" activeCell="C4" sqref="C4"/>
      <selection pane="bottomLeft" activeCell="C4" sqref="C4"/>
      <selection pane="bottomRight" activeCell="F33" sqref="F33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22" customWidth="1"/>
    <col min="5" max="5" width="16.28515625" bestFit="1" customWidth="1"/>
    <col min="6" max="8" width="18.5703125" bestFit="1" customWidth="1"/>
    <col min="9" max="9" width="11.7109375" bestFit="1" customWidth="1"/>
    <col min="10" max="10" width="14.7109375" customWidth="1"/>
    <col min="11" max="11" width="15" bestFit="1" customWidth="1"/>
    <col min="12" max="12" width="14.7109375" bestFit="1" customWidth="1"/>
    <col min="13" max="13" width="16.140625" customWidth="1"/>
    <col min="14" max="14" width="1.85546875" customWidth="1"/>
    <col min="259" max="259" width="44.140625" bestFit="1" customWidth="1"/>
    <col min="260" max="260" width="7.5703125" customWidth="1"/>
    <col min="261" max="261" width="11.5703125" bestFit="1" customWidth="1"/>
    <col min="262" max="264" width="13.28515625" bestFit="1" customWidth="1"/>
    <col min="265" max="265" width="11.5703125" bestFit="1" customWidth="1"/>
    <col min="266" max="267" width="13.28515625" bestFit="1" customWidth="1"/>
    <col min="268" max="268" width="4.7109375" customWidth="1"/>
    <col min="269" max="269" width="16.140625" customWidth="1"/>
    <col min="515" max="515" width="44.140625" bestFit="1" customWidth="1"/>
    <col min="516" max="516" width="7.5703125" customWidth="1"/>
    <col min="517" max="517" width="11.5703125" bestFit="1" customWidth="1"/>
    <col min="518" max="520" width="13.28515625" bestFit="1" customWidth="1"/>
    <col min="521" max="521" width="11.5703125" bestFit="1" customWidth="1"/>
    <col min="522" max="523" width="13.28515625" bestFit="1" customWidth="1"/>
    <col min="524" max="524" width="4.7109375" customWidth="1"/>
    <col min="525" max="525" width="16.140625" customWidth="1"/>
    <col min="771" max="771" width="44.140625" bestFit="1" customWidth="1"/>
    <col min="772" max="772" width="7.5703125" customWidth="1"/>
    <col min="773" max="773" width="11.5703125" bestFit="1" customWidth="1"/>
    <col min="774" max="776" width="13.28515625" bestFit="1" customWidth="1"/>
    <col min="777" max="777" width="11.5703125" bestFit="1" customWidth="1"/>
    <col min="778" max="779" width="13.28515625" bestFit="1" customWidth="1"/>
    <col min="780" max="780" width="4.7109375" customWidth="1"/>
    <col min="781" max="781" width="16.140625" customWidth="1"/>
    <col min="1027" max="1027" width="44.140625" bestFit="1" customWidth="1"/>
    <col min="1028" max="1028" width="7.5703125" customWidth="1"/>
    <col min="1029" max="1029" width="11.5703125" bestFit="1" customWidth="1"/>
    <col min="1030" max="1032" width="13.28515625" bestFit="1" customWidth="1"/>
    <col min="1033" max="1033" width="11.5703125" bestFit="1" customWidth="1"/>
    <col min="1034" max="1035" width="13.28515625" bestFit="1" customWidth="1"/>
    <col min="1036" max="1036" width="4.7109375" customWidth="1"/>
    <col min="1037" max="1037" width="16.140625" customWidth="1"/>
    <col min="1283" max="1283" width="44.140625" bestFit="1" customWidth="1"/>
    <col min="1284" max="1284" width="7.5703125" customWidth="1"/>
    <col min="1285" max="1285" width="11.5703125" bestFit="1" customWidth="1"/>
    <col min="1286" max="1288" width="13.28515625" bestFit="1" customWidth="1"/>
    <col min="1289" max="1289" width="11.5703125" bestFit="1" customWidth="1"/>
    <col min="1290" max="1291" width="13.28515625" bestFit="1" customWidth="1"/>
    <col min="1292" max="1292" width="4.7109375" customWidth="1"/>
    <col min="1293" max="1293" width="16.140625" customWidth="1"/>
    <col min="1539" max="1539" width="44.140625" bestFit="1" customWidth="1"/>
    <col min="1540" max="1540" width="7.5703125" customWidth="1"/>
    <col min="1541" max="1541" width="11.5703125" bestFit="1" customWidth="1"/>
    <col min="1542" max="1544" width="13.28515625" bestFit="1" customWidth="1"/>
    <col min="1545" max="1545" width="11.5703125" bestFit="1" customWidth="1"/>
    <col min="1546" max="1547" width="13.28515625" bestFit="1" customWidth="1"/>
    <col min="1548" max="1548" width="4.7109375" customWidth="1"/>
    <col min="1549" max="1549" width="16.140625" customWidth="1"/>
    <col min="1795" max="1795" width="44.140625" bestFit="1" customWidth="1"/>
    <col min="1796" max="1796" width="7.5703125" customWidth="1"/>
    <col min="1797" max="1797" width="11.5703125" bestFit="1" customWidth="1"/>
    <col min="1798" max="1800" width="13.28515625" bestFit="1" customWidth="1"/>
    <col min="1801" max="1801" width="11.5703125" bestFit="1" customWidth="1"/>
    <col min="1802" max="1803" width="13.28515625" bestFit="1" customWidth="1"/>
    <col min="1804" max="1804" width="4.7109375" customWidth="1"/>
    <col min="1805" max="1805" width="16.140625" customWidth="1"/>
    <col min="2051" max="2051" width="44.140625" bestFit="1" customWidth="1"/>
    <col min="2052" max="2052" width="7.5703125" customWidth="1"/>
    <col min="2053" max="2053" width="11.5703125" bestFit="1" customWidth="1"/>
    <col min="2054" max="2056" width="13.28515625" bestFit="1" customWidth="1"/>
    <col min="2057" max="2057" width="11.5703125" bestFit="1" customWidth="1"/>
    <col min="2058" max="2059" width="13.28515625" bestFit="1" customWidth="1"/>
    <col min="2060" max="2060" width="4.7109375" customWidth="1"/>
    <col min="2061" max="2061" width="16.140625" customWidth="1"/>
    <col min="2307" max="2307" width="44.140625" bestFit="1" customWidth="1"/>
    <col min="2308" max="2308" width="7.5703125" customWidth="1"/>
    <col min="2309" max="2309" width="11.5703125" bestFit="1" customWidth="1"/>
    <col min="2310" max="2312" width="13.28515625" bestFit="1" customWidth="1"/>
    <col min="2313" max="2313" width="11.5703125" bestFit="1" customWidth="1"/>
    <col min="2314" max="2315" width="13.28515625" bestFit="1" customWidth="1"/>
    <col min="2316" max="2316" width="4.7109375" customWidth="1"/>
    <col min="2317" max="2317" width="16.140625" customWidth="1"/>
    <col min="2563" max="2563" width="44.140625" bestFit="1" customWidth="1"/>
    <col min="2564" max="2564" width="7.5703125" customWidth="1"/>
    <col min="2565" max="2565" width="11.5703125" bestFit="1" customWidth="1"/>
    <col min="2566" max="2568" width="13.28515625" bestFit="1" customWidth="1"/>
    <col min="2569" max="2569" width="11.5703125" bestFit="1" customWidth="1"/>
    <col min="2570" max="2571" width="13.28515625" bestFit="1" customWidth="1"/>
    <col min="2572" max="2572" width="4.7109375" customWidth="1"/>
    <col min="2573" max="2573" width="16.140625" customWidth="1"/>
    <col min="2819" max="2819" width="44.140625" bestFit="1" customWidth="1"/>
    <col min="2820" max="2820" width="7.5703125" customWidth="1"/>
    <col min="2821" max="2821" width="11.5703125" bestFit="1" customWidth="1"/>
    <col min="2822" max="2824" width="13.28515625" bestFit="1" customWidth="1"/>
    <col min="2825" max="2825" width="11.5703125" bestFit="1" customWidth="1"/>
    <col min="2826" max="2827" width="13.28515625" bestFit="1" customWidth="1"/>
    <col min="2828" max="2828" width="4.7109375" customWidth="1"/>
    <col min="2829" max="2829" width="16.140625" customWidth="1"/>
    <col min="3075" max="3075" width="44.140625" bestFit="1" customWidth="1"/>
    <col min="3076" max="3076" width="7.5703125" customWidth="1"/>
    <col min="3077" max="3077" width="11.5703125" bestFit="1" customWidth="1"/>
    <col min="3078" max="3080" width="13.28515625" bestFit="1" customWidth="1"/>
    <col min="3081" max="3081" width="11.5703125" bestFit="1" customWidth="1"/>
    <col min="3082" max="3083" width="13.28515625" bestFit="1" customWidth="1"/>
    <col min="3084" max="3084" width="4.7109375" customWidth="1"/>
    <col min="3085" max="3085" width="16.140625" customWidth="1"/>
    <col min="3331" max="3331" width="44.140625" bestFit="1" customWidth="1"/>
    <col min="3332" max="3332" width="7.5703125" customWidth="1"/>
    <col min="3333" max="3333" width="11.5703125" bestFit="1" customWidth="1"/>
    <col min="3334" max="3336" width="13.28515625" bestFit="1" customWidth="1"/>
    <col min="3337" max="3337" width="11.5703125" bestFit="1" customWidth="1"/>
    <col min="3338" max="3339" width="13.28515625" bestFit="1" customWidth="1"/>
    <col min="3340" max="3340" width="4.7109375" customWidth="1"/>
    <col min="3341" max="3341" width="16.140625" customWidth="1"/>
    <col min="3587" max="3587" width="44.140625" bestFit="1" customWidth="1"/>
    <col min="3588" max="3588" width="7.5703125" customWidth="1"/>
    <col min="3589" max="3589" width="11.5703125" bestFit="1" customWidth="1"/>
    <col min="3590" max="3592" width="13.28515625" bestFit="1" customWidth="1"/>
    <col min="3593" max="3593" width="11.5703125" bestFit="1" customWidth="1"/>
    <col min="3594" max="3595" width="13.28515625" bestFit="1" customWidth="1"/>
    <col min="3596" max="3596" width="4.7109375" customWidth="1"/>
    <col min="3597" max="3597" width="16.140625" customWidth="1"/>
    <col min="3843" max="3843" width="44.140625" bestFit="1" customWidth="1"/>
    <col min="3844" max="3844" width="7.5703125" customWidth="1"/>
    <col min="3845" max="3845" width="11.5703125" bestFit="1" customWidth="1"/>
    <col min="3846" max="3848" width="13.28515625" bestFit="1" customWidth="1"/>
    <col min="3849" max="3849" width="11.5703125" bestFit="1" customWidth="1"/>
    <col min="3850" max="3851" width="13.28515625" bestFit="1" customWidth="1"/>
    <col min="3852" max="3852" width="4.7109375" customWidth="1"/>
    <col min="3853" max="3853" width="16.140625" customWidth="1"/>
    <col min="4099" max="4099" width="44.140625" bestFit="1" customWidth="1"/>
    <col min="4100" max="4100" width="7.5703125" customWidth="1"/>
    <col min="4101" max="4101" width="11.5703125" bestFit="1" customWidth="1"/>
    <col min="4102" max="4104" width="13.28515625" bestFit="1" customWidth="1"/>
    <col min="4105" max="4105" width="11.5703125" bestFit="1" customWidth="1"/>
    <col min="4106" max="4107" width="13.28515625" bestFit="1" customWidth="1"/>
    <col min="4108" max="4108" width="4.7109375" customWidth="1"/>
    <col min="4109" max="4109" width="16.140625" customWidth="1"/>
    <col min="4355" max="4355" width="44.140625" bestFit="1" customWidth="1"/>
    <col min="4356" max="4356" width="7.5703125" customWidth="1"/>
    <col min="4357" max="4357" width="11.5703125" bestFit="1" customWidth="1"/>
    <col min="4358" max="4360" width="13.28515625" bestFit="1" customWidth="1"/>
    <col min="4361" max="4361" width="11.5703125" bestFit="1" customWidth="1"/>
    <col min="4362" max="4363" width="13.28515625" bestFit="1" customWidth="1"/>
    <col min="4364" max="4364" width="4.7109375" customWidth="1"/>
    <col min="4365" max="4365" width="16.140625" customWidth="1"/>
    <col min="4611" max="4611" width="44.140625" bestFit="1" customWidth="1"/>
    <col min="4612" max="4612" width="7.5703125" customWidth="1"/>
    <col min="4613" max="4613" width="11.5703125" bestFit="1" customWidth="1"/>
    <col min="4614" max="4616" width="13.28515625" bestFit="1" customWidth="1"/>
    <col min="4617" max="4617" width="11.5703125" bestFit="1" customWidth="1"/>
    <col min="4618" max="4619" width="13.28515625" bestFit="1" customWidth="1"/>
    <col min="4620" max="4620" width="4.7109375" customWidth="1"/>
    <col min="4621" max="4621" width="16.140625" customWidth="1"/>
    <col min="4867" max="4867" width="44.140625" bestFit="1" customWidth="1"/>
    <col min="4868" max="4868" width="7.5703125" customWidth="1"/>
    <col min="4869" max="4869" width="11.5703125" bestFit="1" customWidth="1"/>
    <col min="4870" max="4872" width="13.28515625" bestFit="1" customWidth="1"/>
    <col min="4873" max="4873" width="11.5703125" bestFit="1" customWidth="1"/>
    <col min="4874" max="4875" width="13.28515625" bestFit="1" customWidth="1"/>
    <col min="4876" max="4876" width="4.7109375" customWidth="1"/>
    <col min="4877" max="4877" width="16.140625" customWidth="1"/>
    <col min="5123" max="5123" width="44.140625" bestFit="1" customWidth="1"/>
    <col min="5124" max="5124" width="7.5703125" customWidth="1"/>
    <col min="5125" max="5125" width="11.5703125" bestFit="1" customWidth="1"/>
    <col min="5126" max="5128" width="13.28515625" bestFit="1" customWidth="1"/>
    <col min="5129" max="5129" width="11.5703125" bestFit="1" customWidth="1"/>
    <col min="5130" max="5131" width="13.28515625" bestFit="1" customWidth="1"/>
    <col min="5132" max="5132" width="4.7109375" customWidth="1"/>
    <col min="5133" max="5133" width="16.140625" customWidth="1"/>
    <col min="5379" max="5379" width="44.140625" bestFit="1" customWidth="1"/>
    <col min="5380" max="5380" width="7.5703125" customWidth="1"/>
    <col min="5381" max="5381" width="11.5703125" bestFit="1" customWidth="1"/>
    <col min="5382" max="5384" width="13.28515625" bestFit="1" customWidth="1"/>
    <col min="5385" max="5385" width="11.5703125" bestFit="1" customWidth="1"/>
    <col min="5386" max="5387" width="13.28515625" bestFit="1" customWidth="1"/>
    <col min="5388" max="5388" width="4.7109375" customWidth="1"/>
    <col min="5389" max="5389" width="16.140625" customWidth="1"/>
    <col min="5635" max="5635" width="44.140625" bestFit="1" customWidth="1"/>
    <col min="5636" max="5636" width="7.5703125" customWidth="1"/>
    <col min="5637" max="5637" width="11.5703125" bestFit="1" customWidth="1"/>
    <col min="5638" max="5640" width="13.28515625" bestFit="1" customWidth="1"/>
    <col min="5641" max="5641" width="11.5703125" bestFit="1" customWidth="1"/>
    <col min="5642" max="5643" width="13.28515625" bestFit="1" customWidth="1"/>
    <col min="5644" max="5644" width="4.7109375" customWidth="1"/>
    <col min="5645" max="5645" width="16.140625" customWidth="1"/>
    <col min="5891" max="5891" width="44.140625" bestFit="1" customWidth="1"/>
    <col min="5892" max="5892" width="7.5703125" customWidth="1"/>
    <col min="5893" max="5893" width="11.5703125" bestFit="1" customWidth="1"/>
    <col min="5894" max="5896" width="13.28515625" bestFit="1" customWidth="1"/>
    <col min="5897" max="5897" width="11.5703125" bestFit="1" customWidth="1"/>
    <col min="5898" max="5899" width="13.28515625" bestFit="1" customWidth="1"/>
    <col min="5900" max="5900" width="4.7109375" customWidth="1"/>
    <col min="5901" max="5901" width="16.140625" customWidth="1"/>
    <col min="6147" max="6147" width="44.140625" bestFit="1" customWidth="1"/>
    <col min="6148" max="6148" width="7.5703125" customWidth="1"/>
    <col min="6149" max="6149" width="11.5703125" bestFit="1" customWidth="1"/>
    <col min="6150" max="6152" width="13.28515625" bestFit="1" customWidth="1"/>
    <col min="6153" max="6153" width="11.5703125" bestFit="1" customWidth="1"/>
    <col min="6154" max="6155" width="13.28515625" bestFit="1" customWidth="1"/>
    <col min="6156" max="6156" width="4.7109375" customWidth="1"/>
    <col min="6157" max="6157" width="16.140625" customWidth="1"/>
    <col min="6403" max="6403" width="44.140625" bestFit="1" customWidth="1"/>
    <col min="6404" max="6404" width="7.5703125" customWidth="1"/>
    <col min="6405" max="6405" width="11.5703125" bestFit="1" customWidth="1"/>
    <col min="6406" max="6408" width="13.28515625" bestFit="1" customWidth="1"/>
    <col min="6409" max="6409" width="11.5703125" bestFit="1" customWidth="1"/>
    <col min="6410" max="6411" width="13.28515625" bestFit="1" customWidth="1"/>
    <col min="6412" max="6412" width="4.7109375" customWidth="1"/>
    <col min="6413" max="6413" width="16.140625" customWidth="1"/>
    <col min="6659" max="6659" width="44.140625" bestFit="1" customWidth="1"/>
    <col min="6660" max="6660" width="7.5703125" customWidth="1"/>
    <col min="6661" max="6661" width="11.5703125" bestFit="1" customWidth="1"/>
    <col min="6662" max="6664" width="13.28515625" bestFit="1" customWidth="1"/>
    <col min="6665" max="6665" width="11.5703125" bestFit="1" customWidth="1"/>
    <col min="6666" max="6667" width="13.28515625" bestFit="1" customWidth="1"/>
    <col min="6668" max="6668" width="4.7109375" customWidth="1"/>
    <col min="6669" max="6669" width="16.140625" customWidth="1"/>
    <col min="6915" max="6915" width="44.140625" bestFit="1" customWidth="1"/>
    <col min="6916" max="6916" width="7.5703125" customWidth="1"/>
    <col min="6917" max="6917" width="11.5703125" bestFit="1" customWidth="1"/>
    <col min="6918" max="6920" width="13.28515625" bestFit="1" customWidth="1"/>
    <col min="6921" max="6921" width="11.5703125" bestFit="1" customWidth="1"/>
    <col min="6922" max="6923" width="13.28515625" bestFit="1" customWidth="1"/>
    <col min="6924" max="6924" width="4.7109375" customWidth="1"/>
    <col min="6925" max="6925" width="16.140625" customWidth="1"/>
    <col min="7171" max="7171" width="44.140625" bestFit="1" customWidth="1"/>
    <col min="7172" max="7172" width="7.5703125" customWidth="1"/>
    <col min="7173" max="7173" width="11.5703125" bestFit="1" customWidth="1"/>
    <col min="7174" max="7176" width="13.28515625" bestFit="1" customWidth="1"/>
    <col min="7177" max="7177" width="11.5703125" bestFit="1" customWidth="1"/>
    <col min="7178" max="7179" width="13.28515625" bestFit="1" customWidth="1"/>
    <col min="7180" max="7180" width="4.7109375" customWidth="1"/>
    <col min="7181" max="7181" width="16.140625" customWidth="1"/>
    <col min="7427" max="7427" width="44.140625" bestFit="1" customWidth="1"/>
    <col min="7428" max="7428" width="7.5703125" customWidth="1"/>
    <col min="7429" max="7429" width="11.5703125" bestFit="1" customWidth="1"/>
    <col min="7430" max="7432" width="13.28515625" bestFit="1" customWidth="1"/>
    <col min="7433" max="7433" width="11.5703125" bestFit="1" customWidth="1"/>
    <col min="7434" max="7435" width="13.28515625" bestFit="1" customWidth="1"/>
    <col min="7436" max="7436" width="4.7109375" customWidth="1"/>
    <col min="7437" max="7437" width="16.140625" customWidth="1"/>
    <col min="7683" max="7683" width="44.140625" bestFit="1" customWidth="1"/>
    <col min="7684" max="7684" width="7.5703125" customWidth="1"/>
    <col min="7685" max="7685" width="11.5703125" bestFit="1" customWidth="1"/>
    <col min="7686" max="7688" width="13.28515625" bestFit="1" customWidth="1"/>
    <col min="7689" max="7689" width="11.5703125" bestFit="1" customWidth="1"/>
    <col min="7690" max="7691" width="13.28515625" bestFit="1" customWidth="1"/>
    <col min="7692" max="7692" width="4.7109375" customWidth="1"/>
    <col min="7693" max="7693" width="16.140625" customWidth="1"/>
    <col min="7939" max="7939" width="44.140625" bestFit="1" customWidth="1"/>
    <col min="7940" max="7940" width="7.5703125" customWidth="1"/>
    <col min="7941" max="7941" width="11.5703125" bestFit="1" customWidth="1"/>
    <col min="7942" max="7944" width="13.28515625" bestFit="1" customWidth="1"/>
    <col min="7945" max="7945" width="11.5703125" bestFit="1" customWidth="1"/>
    <col min="7946" max="7947" width="13.28515625" bestFit="1" customWidth="1"/>
    <col min="7948" max="7948" width="4.7109375" customWidth="1"/>
    <col min="7949" max="7949" width="16.140625" customWidth="1"/>
    <col min="8195" max="8195" width="44.140625" bestFit="1" customWidth="1"/>
    <col min="8196" max="8196" width="7.5703125" customWidth="1"/>
    <col min="8197" max="8197" width="11.5703125" bestFit="1" customWidth="1"/>
    <col min="8198" max="8200" width="13.28515625" bestFit="1" customWidth="1"/>
    <col min="8201" max="8201" width="11.5703125" bestFit="1" customWidth="1"/>
    <col min="8202" max="8203" width="13.28515625" bestFit="1" customWidth="1"/>
    <col min="8204" max="8204" width="4.7109375" customWidth="1"/>
    <col min="8205" max="8205" width="16.140625" customWidth="1"/>
    <col min="8451" max="8451" width="44.140625" bestFit="1" customWidth="1"/>
    <col min="8452" max="8452" width="7.5703125" customWidth="1"/>
    <col min="8453" max="8453" width="11.5703125" bestFit="1" customWidth="1"/>
    <col min="8454" max="8456" width="13.28515625" bestFit="1" customWidth="1"/>
    <col min="8457" max="8457" width="11.5703125" bestFit="1" customWidth="1"/>
    <col min="8458" max="8459" width="13.28515625" bestFit="1" customWidth="1"/>
    <col min="8460" max="8460" width="4.7109375" customWidth="1"/>
    <col min="8461" max="8461" width="16.140625" customWidth="1"/>
    <col min="8707" max="8707" width="44.140625" bestFit="1" customWidth="1"/>
    <col min="8708" max="8708" width="7.5703125" customWidth="1"/>
    <col min="8709" max="8709" width="11.5703125" bestFit="1" customWidth="1"/>
    <col min="8710" max="8712" width="13.28515625" bestFit="1" customWidth="1"/>
    <col min="8713" max="8713" width="11.5703125" bestFit="1" customWidth="1"/>
    <col min="8714" max="8715" width="13.28515625" bestFit="1" customWidth="1"/>
    <col min="8716" max="8716" width="4.7109375" customWidth="1"/>
    <col min="8717" max="8717" width="16.140625" customWidth="1"/>
    <col min="8963" max="8963" width="44.140625" bestFit="1" customWidth="1"/>
    <col min="8964" max="8964" width="7.5703125" customWidth="1"/>
    <col min="8965" max="8965" width="11.5703125" bestFit="1" customWidth="1"/>
    <col min="8966" max="8968" width="13.28515625" bestFit="1" customWidth="1"/>
    <col min="8969" max="8969" width="11.5703125" bestFit="1" customWidth="1"/>
    <col min="8970" max="8971" width="13.28515625" bestFit="1" customWidth="1"/>
    <col min="8972" max="8972" width="4.7109375" customWidth="1"/>
    <col min="8973" max="8973" width="16.140625" customWidth="1"/>
    <col min="9219" max="9219" width="44.140625" bestFit="1" customWidth="1"/>
    <col min="9220" max="9220" width="7.5703125" customWidth="1"/>
    <col min="9221" max="9221" width="11.5703125" bestFit="1" customWidth="1"/>
    <col min="9222" max="9224" width="13.28515625" bestFit="1" customWidth="1"/>
    <col min="9225" max="9225" width="11.5703125" bestFit="1" customWidth="1"/>
    <col min="9226" max="9227" width="13.28515625" bestFit="1" customWidth="1"/>
    <col min="9228" max="9228" width="4.7109375" customWidth="1"/>
    <col min="9229" max="9229" width="16.140625" customWidth="1"/>
    <col min="9475" max="9475" width="44.140625" bestFit="1" customWidth="1"/>
    <col min="9476" max="9476" width="7.5703125" customWidth="1"/>
    <col min="9477" max="9477" width="11.5703125" bestFit="1" customWidth="1"/>
    <col min="9478" max="9480" width="13.28515625" bestFit="1" customWidth="1"/>
    <col min="9481" max="9481" width="11.5703125" bestFit="1" customWidth="1"/>
    <col min="9482" max="9483" width="13.28515625" bestFit="1" customWidth="1"/>
    <col min="9484" max="9484" width="4.7109375" customWidth="1"/>
    <col min="9485" max="9485" width="16.140625" customWidth="1"/>
    <col min="9731" max="9731" width="44.140625" bestFit="1" customWidth="1"/>
    <col min="9732" max="9732" width="7.5703125" customWidth="1"/>
    <col min="9733" max="9733" width="11.5703125" bestFit="1" customWidth="1"/>
    <col min="9734" max="9736" width="13.28515625" bestFit="1" customWidth="1"/>
    <col min="9737" max="9737" width="11.5703125" bestFit="1" customWidth="1"/>
    <col min="9738" max="9739" width="13.28515625" bestFit="1" customWidth="1"/>
    <col min="9740" max="9740" width="4.7109375" customWidth="1"/>
    <col min="9741" max="9741" width="16.140625" customWidth="1"/>
    <col min="9987" max="9987" width="44.140625" bestFit="1" customWidth="1"/>
    <col min="9988" max="9988" width="7.5703125" customWidth="1"/>
    <col min="9989" max="9989" width="11.5703125" bestFit="1" customWidth="1"/>
    <col min="9990" max="9992" width="13.28515625" bestFit="1" customWidth="1"/>
    <col min="9993" max="9993" width="11.5703125" bestFit="1" customWidth="1"/>
    <col min="9994" max="9995" width="13.28515625" bestFit="1" customWidth="1"/>
    <col min="9996" max="9996" width="4.7109375" customWidth="1"/>
    <col min="9997" max="9997" width="16.140625" customWidth="1"/>
    <col min="10243" max="10243" width="44.140625" bestFit="1" customWidth="1"/>
    <col min="10244" max="10244" width="7.5703125" customWidth="1"/>
    <col min="10245" max="10245" width="11.5703125" bestFit="1" customWidth="1"/>
    <col min="10246" max="10248" width="13.28515625" bestFit="1" customWidth="1"/>
    <col min="10249" max="10249" width="11.5703125" bestFit="1" customWidth="1"/>
    <col min="10250" max="10251" width="13.28515625" bestFit="1" customWidth="1"/>
    <col min="10252" max="10252" width="4.7109375" customWidth="1"/>
    <col min="10253" max="10253" width="16.140625" customWidth="1"/>
    <col min="10499" max="10499" width="44.140625" bestFit="1" customWidth="1"/>
    <col min="10500" max="10500" width="7.5703125" customWidth="1"/>
    <col min="10501" max="10501" width="11.5703125" bestFit="1" customWidth="1"/>
    <col min="10502" max="10504" width="13.28515625" bestFit="1" customWidth="1"/>
    <col min="10505" max="10505" width="11.5703125" bestFit="1" customWidth="1"/>
    <col min="10506" max="10507" width="13.28515625" bestFit="1" customWidth="1"/>
    <col min="10508" max="10508" width="4.7109375" customWidth="1"/>
    <col min="10509" max="10509" width="16.140625" customWidth="1"/>
    <col min="10755" max="10755" width="44.140625" bestFit="1" customWidth="1"/>
    <col min="10756" max="10756" width="7.5703125" customWidth="1"/>
    <col min="10757" max="10757" width="11.5703125" bestFit="1" customWidth="1"/>
    <col min="10758" max="10760" width="13.28515625" bestFit="1" customWidth="1"/>
    <col min="10761" max="10761" width="11.5703125" bestFit="1" customWidth="1"/>
    <col min="10762" max="10763" width="13.28515625" bestFit="1" customWidth="1"/>
    <col min="10764" max="10764" width="4.7109375" customWidth="1"/>
    <col min="10765" max="10765" width="16.140625" customWidth="1"/>
    <col min="11011" max="11011" width="44.140625" bestFit="1" customWidth="1"/>
    <col min="11012" max="11012" width="7.5703125" customWidth="1"/>
    <col min="11013" max="11013" width="11.5703125" bestFit="1" customWidth="1"/>
    <col min="11014" max="11016" width="13.28515625" bestFit="1" customWidth="1"/>
    <col min="11017" max="11017" width="11.5703125" bestFit="1" customWidth="1"/>
    <col min="11018" max="11019" width="13.28515625" bestFit="1" customWidth="1"/>
    <col min="11020" max="11020" width="4.7109375" customWidth="1"/>
    <col min="11021" max="11021" width="16.140625" customWidth="1"/>
    <col min="11267" max="11267" width="44.140625" bestFit="1" customWidth="1"/>
    <col min="11268" max="11268" width="7.5703125" customWidth="1"/>
    <col min="11269" max="11269" width="11.5703125" bestFit="1" customWidth="1"/>
    <col min="11270" max="11272" width="13.28515625" bestFit="1" customWidth="1"/>
    <col min="11273" max="11273" width="11.5703125" bestFit="1" customWidth="1"/>
    <col min="11274" max="11275" width="13.28515625" bestFit="1" customWidth="1"/>
    <col min="11276" max="11276" width="4.7109375" customWidth="1"/>
    <col min="11277" max="11277" width="16.140625" customWidth="1"/>
    <col min="11523" max="11523" width="44.140625" bestFit="1" customWidth="1"/>
    <col min="11524" max="11524" width="7.5703125" customWidth="1"/>
    <col min="11525" max="11525" width="11.5703125" bestFit="1" customWidth="1"/>
    <col min="11526" max="11528" width="13.28515625" bestFit="1" customWidth="1"/>
    <col min="11529" max="11529" width="11.5703125" bestFit="1" customWidth="1"/>
    <col min="11530" max="11531" width="13.28515625" bestFit="1" customWidth="1"/>
    <col min="11532" max="11532" width="4.7109375" customWidth="1"/>
    <col min="11533" max="11533" width="16.140625" customWidth="1"/>
    <col min="11779" max="11779" width="44.140625" bestFit="1" customWidth="1"/>
    <col min="11780" max="11780" width="7.5703125" customWidth="1"/>
    <col min="11781" max="11781" width="11.5703125" bestFit="1" customWidth="1"/>
    <col min="11782" max="11784" width="13.28515625" bestFit="1" customWidth="1"/>
    <col min="11785" max="11785" width="11.5703125" bestFit="1" customWidth="1"/>
    <col min="11786" max="11787" width="13.28515625" bestFit="1" customWidth="1"/>
    <col min="11788" max="11788" width="4.7109375" customWidth="1"/>
    <col min="11789" max="11789" width="16.140625" customWidth="1"/>
    <col min="12035" max="12035" width="44.140625" bestFit="1" customWidth="1"/>
    <col min="12036" max="12036" width="7.5703125" customWidth="1"/>
    <col min="12037" max="12037" width="11.5703125" bestFit="1" customWidth="1"/>
    <col min="12038" max="12040" width="13.28515625" bestFit="1" customWidth="1"/>
    <col min="12041" max="12041" width="11.5703125" bestFit="1" customWidth="1"/>
    <col min="12042" max="12043" width="13.28515625" bestFit="1" customWidth="1"/>
    <col min="12044" max="12044" width="4.7109375" customWidth="1"/>
    <col min="12045" max="12045" width="16.140625" customWidth="1"/>
    <col min="12291" max="12291" width="44.140625" bestFit="1" customWidth="1"/>
    <col min="12292" max="12292" width="7.5703125" customWidth="1"/>
    <col min="12293" max="12293" width="11.5703125" bestFit="1" customWidth="1"/>
    <col min="12294" max="12296" width="13.28515625" bestFit="1" customWidth="1"/>
    <col min="12297" max="12297" width="11.5703125" bestFit="1" customWidth="1"/>
    <col min="12298" max="12299" width="13.28515625" bestFit="1" customWidth="1"/>
    <col min="12300" max="12300" width="4.7109375" customWidth="1"/>
    <col min="12301" max="12301" width="16.140625" customWidth="1"/>
    <col min="12547" max="12547" width="44.140625" bestFit="1" customWidth="1"/>
    <col min="12548" max="12548" width="7.5703125" customWidth="1"/>
    <col min="12549" max="12549" width="11.5703125" bestFit="1" customWidth="1"/>
    <col min="12550" max="12552" width="13.28515625" bestFit="1" customWidth="1"/>
    <col min="12553" max="12553" width="11.5703125" bestFit="1" customWidth="1"/>
    <col min="12554" max="12555" width="13.28515625" bestFit="1" customWidth="1"/>
    <col min="12556" max="12556" width="4.7109375" customWidth="1"/>
    <col min="12557" max="12557" width="16.140625" customWidth="1"/>
    <col min="12803" max="12803" width="44.140625" bestFit="1" customWidth="1"/>
    <col min="12804" max="12804" width="7.5703125" customWidth="1"/>
    <col min="12805" max="12805" width="11.5703125" bestFit="1" customWidth="1"/>
    <col min="12806" max="12808" width="13.28515625" bestFit="1" customWidth="1"/>
    <col min="12809" max="12809" width="11.5703125" bestFit="1" customWidth="1"/>
    <col min="12810" max="12811" width="13.28515625" bestFit="1" customWidth="1"/>
    <col min="12812" max="12812" width="4.7109375" customWidth="1"/>
    <col min="12813" max="12813" width="16.140625" customWidth="1"/>
    <col min="13059" max="13059" width="44.140625" bestFit="1" customWidth="1"/>
    <col min="13060" max="13060" width="7.5703125" customWidth="1"/>
    <col min="13061" max="13061" width="11.5703125" bestFit="1" customWidth="1"/>
    <col min="13062" max="13064" width="13.28515625" bestFit="1" customWidth="1"/>
    <col min="13065" max="13065" width="11.5703125" bestFit="1" customWidth="1"/>
    <col min="13066" max="13067" width="13.28515625" bestFit="1" customWidth="1"/>
    <col min="13068" max="13068" width="4.7109375" customWidth="1"/>
    <col min="13069" max="13069" width="16.140625" customWidth="1"/>
    <col min="13315" max="13315" width="44.140625" bestFit="1" customWidth="1"/>
    <col min="13316" max="13316" width="7.5703125" customWidth="1"/>
    <col min="13317" max="13317" width="11.5703125" bestFit="1" customWidth="1"/>
    <col min="13318" max="13320" width="13.28515625" bestFit="1" customWidth="1"/>
    <col min="13321" max="13321" width="11.5703125" bestFit="1" customWidth="1"/>
    <col min="13322" max="13323" width="13.28515625" bestFit="1" customWidth="1"/>
    <col min="13324" max="13324" width="4.7109375" customWidth="1"/>
    <col min="13325" max="13325" width="16.140625" customWidth="1"/>
    <col min="13571" max="13571" width="44.140625" bestFit="1" customWidth="1"/>
    <col min="13572" max="13572" width="7.5703125" customWidth="1"/>
    <col min="13573" max="13573" width="11.5703125" bestFit="1" customWidth="1"/>
    <col min="13574" max="13576" width="13.28515625" bestFit="1" customWidth="1"/>
    <col min="13577" max="13577" width="11.5703125" bestFit="1" customWidth="1"/>
    <col min="13578" max="13579" width="13.28515625" bestFit="1" customWidth="1"/>
    <col min="13580" max="13580" width="4.7109375" customWidth="1"/>
    <col min="13581" max="13581" width="16.140625" customWidth="1"/>
    <col min="13827" max="13827" width="44.140625" bestFit="1" customWidth="1"/>
    <col min="13828" max="13828" width="7.5703125" customWidth="1"/>
    <col min="13829" max="13829" width="11.5703125" bestFit="1" customWidth="1"/>
    <col min="13830" max="13832" width="13.28515625" bestFit="1" customWidth="1"/>
    <col min="13833" max="13833" width="11.5703125" bestFit="1" customWidth="1"/>
    <col min="13834" max="13835" width="13.28515625" bestFit="1" customWidth="1"/>
    <col min="13836" max="13836" width="4.7109375" customWidth="1"/>
    <col min="13837" max="13837" width="16.140625" customWidth="1"/>
    <col min="14083" max="14083" width="44.140625" bestFit="1" customWidth="1"/>
    <col min="14084" max="14084" width="7.5703125" customWidth="1"/>
    <col min="14085" max="14085" width="11.5703125" bestFit="1" customWidth="1"/>
    <col min="14086" max="14088" width="13.28515625" bestFit="1" customWidth="1"/>
    <col min="14089" max="14089" width="11.5703125" bestFit="1" customWidth="1"/>
    <col min="14090" max="14091" width="13.28515625" bestFit="1" customWidth="1"/>
    <col min="14092" max="14092" width="4.7109375" customWidth="1"/>
    <col min="14093" max="14093" width="16.140625" customWidth="1"/>
    <col min="14339" max="14339" width="44.140625" bestFit="1" customWidth="1"/>
    <col min="14340" max="14340" width="7.5703125" customWidth="1"/>
    <col min="14341" max="14341" width="11.5703125" bestFit="1" customWidth="1"/>
    <col min="14342" max="14344" width="13.28515625" bestFit="1" customWidth="1"/>
    <col min="14345" max="14345" width="11.5703125" bestFit="1" customWidth="1"/>
    <col min="14346" max="14347" width="13.28515625" bestFit="1" customWidth="1"/>
    <col min="14348" max="14348" width="4.7109375" customWidth="1"/>
    <col min="14349" max="14349" width="16.140625" customWidth="1"/>
    <col min="14595" max="14595" width="44.140625" bestFit="1" customWidth="1"/>
    <col min="14596" max="14596" width="7.5703125" customWidth="1"/>
    <col min="14597" max="14597" width="11.5703125" bestFit="1" customWidth="1"/>
    <col min="14598" max="14600" width="13.28515625" bestFit="1" customWidth="1"/>
    <col min="14601" max="14601" width="11.5703125" bestFit="1" customWidth="1"/>
    <col min="14602" max="14603" width="13.28515625" bestFit="1" customWidth="1"/>
    <col min="14604" max="14604" width="4.7109375" customWidth="1"/>
    <col min="14605" max="14605" width="16.140625" customWidth="1"/>
    <col min="14851" max="14851" width="44.140625" bestFit="1" customWidth="1"/>
    <col min="14852" max="14852" width="7.5703125" customWidth="1"/>
    <col min="14853" max="14853" width="11.5703125" bestFit="1" customWidth="1"/>
    <col min="14854" max="14856" width="13.28515625" bestFit="1" customWidth="1"/>
    <col min="14857" max="14857" width="11.5703125" bestFit="1" customWidth="1"/>
    <col min="14858" max="14859" width="13.28515625" bestFit="1" customWidth="1"/>
    <col min="14860" max="14860" width="4.7109375" customWidth="1"/>
    <col min="14861" max="14861" width="16.140625" customWidth="1"/>
    <col min="15107" max="15107" width="44.140625" bestFit="1" customWidth="1"/>
    <col min="15108" max="15108" width="7.5703125" customWidth="1"/>
    <col min="15109" max="15109" width="11.5703125" bestFit="1" customWidth="1"/>
    <col min="15110" max="15112" width="13.28515625" bestFit="1" customWidth="1"/>
    <col min="15113" max="15113" width="11.5703125" bestFit="1" customWidth="1"/>
    <col min="15114" max="15115" width="13.28515625" bestFit="1" customWidth="1"/>
    <col min="15116" max="15116" width="4.7109375" customWidth="1"/>
    <col min="15117" max="15117" width="16.140625" customWidth="1"/>
    <col min="15363" max="15363" width="44.140625" bestFit="1" customWidth="1"/>
    <col min="15364" max="15364" width="7.5703125" customWidth="1"/>
    <col min="15365" max="15365" width="11.5703125" bestFit="1" customWidth="1"/>
    <col min="15366" max="15368" width="13.28515625" bestFit="1" customWidth="1"/>
    <col min="15369" max="15369" width="11.5703125" bestFit="1" customWidth="1"/>
    <col min="15370" max="15371" width="13.28515625" bestFit="1" customWidth="1"/>
    <col min="15372" max="15372" width="4.7109375" customWidth="1"/>
    <col min="15373" max="15373" width="16.140625" customWidth="1"/>
    <col min="15619" max="15619" width="44.140625" bestFit="1" customWidth="1"/>
    <col min="15620" max="15620" width="7.5703125" customWidth="1"/>
    <col min="15621" max="15621" width="11.5703125" bestFit="1" customWidth="1"/>
    <col min="15622" max="15624" width="13.28515625" bestFit="1" customWidth="1"/>
    <col min="15625" max="15625" width="11.5703125" bestFit="1" customWidth="1"/>
    <col min="15626" max="15627" width="13.28515625" bestFit="1" customWidth="1"/>
    <col min="15628" max="15628" width="4.7109375" customWidth="1"/>
    <col min="15629" max="15629" width="16.140625" customWidth="1"/>
    <col min="15875" max="15875" width="44.140625" bestFit="1" customWidth="1"/>
    <col min="15876" max="15876" width="7.5703125" customWidth="1"/>
    <col min="15877" max="15877" width="11.5703125" bestFit="1" customWidth="1"/>
    <col min="15878" max="15880" width="13.28515625" bestFit="1" customWidth="1"/>
    <col min="15881" max="15881" width="11.5703125" bestFit="1" customWidth="1"/>
    <col min="15882" max="15883" width="13.28515625" bestFit="1" customWidth="1"/>
    <col min="15884" max="15884" width="4.7109375" customWidth="1"/>
    <col min="15885" max="15885" width="16.140625" customWidth="1"/>
    <col min="16131" max="16131" width="44.140625" bestFit="1" customWidth="1"/>
    <col min="16132" max="16132" width="7.5703125" customWidth="1"/>
    <col min="16133" max="16133" width="11.5703125" bestFit="1" customWidth="1"/>
    <col min="16134" max="16136" width="13.28515625" bestFit="1" customWidth="1"/>
    <col min="16137" max="16137" width="11.5703125" bestFit="1" customWidth="1"/>
    <col min="16138" max="16139" width="13.28515625" bestFit="1" customWidth="1"/>
    <col min="16140" max="16140" width="4.7109375" customWidth="1"/>
    <col min="16141" max="16141" width="16.140625" customWidth="1"/>
  </cols>
  <sheetData>
    <row r="1" spans="1:14">
      <c r="A1" s="89"/>
      <c r="B1" s="186" t="s">
        <v>481</v>
      </c>
      <c r="C1" s="186"/>
      <c r="D1" s="186"/>
      <c r="E1" s="187"/>
      <c r="F1" s="187"/>
      <c r="G1" s="187"/>
      <c r="H1" s="187"/>
      <c r="I1" s="187"/>
      <c r="J1" s="187"/>
      <c r="K1" s="187"/>
      <c r="L1" s="187"/>
      <c r="M1" s="187"/>
      <c r="N1" s="89"/>
    </row>
    <row r="2" spans="1:14">
      <c r="A2" s="89"/>
      <c r="B2" s="186"/>
      <c r="C2" s="186"/>
      <c r="D2" s="186"/>
      <c r="E2" s="187"/>
      <c r="F2" s="187"/>
      <c r="G2" s="187"/>
      <c r="H2" s="187"/>
      <c r="I2" s="187"/>
      <c r="J2" s="187"/>
      <c r="K2" s="187"/>
      <c r="L2" s="187"/>
      <c r="M2" s="187"/>
      <c r="N2" s="89"/>
    </row>
    <row r="3" spans="1:14">
      <c r="A3" s="89"/>
      <c r="B3" s="186"/>
      <c r="C3" s="186"/>
      <c r="D3" s="186"/>
      <c r="E3" s="184" t="s">
        <v>526</v>
      </c>
      <c r="F3" s="184"/>
      <c r="G3" s="184"/>
      <c r="H3" s="184"/>
      <c r="I3" s="185" t="s">
        <v>6</v>
      </c>
      <c r="J3" s="185"/>
      <c r="K3" s="185"/>
      <c r="L3" s="185"/>
      <c r="M3" s="185"/>
      <c r="N3" s="89"/>
    </row>
    <row r="4" spans="1:14" s="64" customFormat="1" ht="24" customHeight="1">
      <c r="A4" s="90"/>
      <c r="B4" s="59" t="s">
        <v>482</v>
      </c>
      <c r="C4" s="59" t="s">
        <v>483</v>
      </c>
      <c r="D4" s="38" t="s">
        <v>370</v>
      </c>
      <c r="E4" s="38" t="s">
        <v>375</v>
      </c>
      <c r="F4" s="38" t="s">
        <v>484</v>
      </c>
      <c r="G4" s="38" t="s">
        <v>485</v>
      </c>
      <c r="H4" s="38" t="s">
        <v>486</v>
      </c>
      <c r="I4" s="38" t="s">
        <v>375</v>
      </c>
      <c r="J4" s="38" t="s">
        <v>484</v>
      </c>
      <c r="K4" s="38" t="s">
        <v>485</v>
      </c>
      <c r="L4" s="38" t="s">
        <v>487</v>
      </c>
      <c r="M4" s="38" t="s">
        <v>486</v>
      </c>
      <c r="N4" s="90"/>
    </row>
    <row r="5" spans="1:14" hidden="1">
      <c r="A5" s="89"/>
      <c r="B5" s="27" t="s">
        <v>488</v>
      </c>
      <c r="C5" s="27" t="s">
        <v>489</v>
      </c>
      <c r="D5" s="91">
        <v>0.61</v>
      </c>
      <c r="E5" s="28"/>
      <c r="F5" s="29">
        <v>1658464.3600000006</v>
      </c>
      <c r="G5" s="28">
        <f>E5+F5</f>
        <v>1658464.3600000006</v>
      </c>
      <c r="H5" s="28">
        <f>D5*G5</f>
        <v>1011663.2596000003</v>
      </c>
      <c r="I5" s="28"/>
      <c r="J5" s="29"/>
      <c r="K5" s="28">
        <v>100</v>
      </c>
      <c r="L5" s="30">
        <f>M5/K5</f>
        <v>0.75</v>
      </c>
      <c r="M5" s="28">
        <v>75</v>
      </c>
      <c r="N5" s="89"/>
    </row>
    <row r="6" spans="1:14" hidden="1">
      <c r="A6" s="89"/>
      <c r="B6" s="27"/>
      <c r="C6" s="27" t="s">
        <v>490</v>
      </c>
      <c r="D6" s="91">
        <v>0.7</v>
      </c>
      <c r="E6" s="28"/>
      <c r="F6" s="29">
        <v>8900</v>
      </c>
      <c r="G6" s="28">
        <f t="shared" ref="G6:G57" si="0">E6+F6</f>
        <v>8900</v>
      </c>
      <c r="H6" s="28">
        <f t="shared" ref="H6:H17" si="1">D6*G6</f>
        <v>6230</v>
      </c>
      <c r="I6" s="28"/>
      <c r="J6" s="29"/>
      <c r="K6" s="28">
        <v>101</v>
      </c>
      <c r="L6" s="31">
        <f>M6/K6</f>
        <v>0.59405940594059403</v>
      </c>
      <c r="M6" s="28">
        <v>60</v>
      </c>
      <c r="N6" s="89"/>
    </row>
    <row r="7" spans="1:14" hidden="1">
      <c r="A7" s="89"/>
      <c r="B7" s="27"/>
      <c r="C7" s="27" t="s">
        <v>491</v>
      </c>
      <c r="D7" s="91">
        <v>0.63</v>
      </c>
      <c r="E7" s="28"/>
      <c r="F7" s="29">
        <v>13916</v>
      </c>
      <c r="G7" s="28">
        <f t="shared" si="0"/>
        <v>13916</v>
      </c>
      <c r="H7" s="28">
        <f t="shared" si="1"/>
        <v>8767.08</v>
      </c>
      <c r="I7" s="28"/>
      <c r="J7" s="29"/>
      <c r="K7" s="28"/>
      <c r="L7" s="28"/>
      <c r="M7" s="28"/>
      <c r="N7" s="89"/>
    </row>
    <row r="8" spans="1:14" hidden="1">
      <c r="A8" s="89"/>
      <c r="B8" s="27"/>
      <c r="C8" s="27" t="s">
        <v>492</v>
      </c>
      <c r="D8" s="32">
        <v>0.02</v>
      </c>
      <c r="E8" s="33">
        <v>59904.5</v>
      </c>
      <c r="F8" s="28"/>
      <c r="G8" s="28">
        <f t="shared" si="0"/>
        <v>59904.5</v>
      </c>
      <c r="H8" s="28">
        <f t="shared" si="1"/>
        <v>1198.0899999999999</v>
      </c>
      <c r="I8" s="33"/>
      <c r="J8" s="28"/>
      <c r="K8" s="28"/>
      <c r="L8" s="28"/>
      <c r="M8" s="28"/>
      <c r="N8" s="89"/>
    </row>
    <row r="9" spans="1:14" hidden="1">
      <c r="A9" s="89"/>
      <c r="B9" s="27"/>
      <c r="C9" s="27" t="s">
        <v>493</v>
      </c>
      <c r="D9" s="91">
        <v>0.45</v>
      </c>
      <c r="E9" s="28"/>
      <c r="F9" s="28"/>
      <c r="G9" s="28">
        <f t="shared" si="0"/>
        <v>0</v>
      </c>
      <c r="H9" s="28">
        <f t="shared" si="1"/>
        <v>0</v>
      </c>
      <c r="I9" s="28"/>
      <c r="J9" s="28"/>
      <c r="K9" s="28"/>
      <c r="L9" s="28"/>
      <c r="M9" s="28"/>
      <c r="N9" s="89"/>
    </row>
    <row r="10" spans="1:14" hidden="1">
      <c r="A10" s="89"/>
      <c r="B10" s="27"/>
      <c r="C10" s="27" t="s">
        <v>494</v>
      </c>
      <c r="D10" s="34">
        <v>5.5E-2</v>
      </c>
      <c r="E10" s="33">
        <v>26256.39</v>
      </c>
      <c r="F10" s="28"/>
      <c r="G10" s="28">
        <f t="shared" si="0"/>
        <v>26256.39</v>
      </c>
      <c r="H10" s="28">
        <f t="shared" si="1"/>
        <v>1444.1014499999999</v>
      </c>
      <c r="I10" s="33"/>
      <c r="J10" s="28"/>
      <c r="K10" s="28"/>
      <c r="L10" s="28"/>
      <c r="M10" s="28"/>
      <c r="N10" s="89"/>
    </row>
    <row r="11" spans="1:14" hidden="1">
      <c r="A11" s="89"/>
      <c r="B11" s="27"/>
      <c r="C11" s="27" t="s">
        <v>495</v>
      </c>
      <c r="D11" s="34">
        <v>5.5E-2</v>
      </c>
      <c r="E11" s="33">
        <v>50681.3</v>
      </c>
      <c r="F11" s="28"/>
      <c r="G11" s="28">
        <f t="shared" si="0"/>
        <v>50681.3</v>
      </c>
      <c r="H11" s="28">
        <f t="shared" si="1"/>
        <v>2787.4715000000001</v>
      </c>
      <c r="I11" s="33"/>
      <c r="J11" s="28"/>
      <c r="K11" s="28"/>
      <c r="L11" s="28"/>
      <c r="M11" s="28"/>
      <c r="N11" s="89"/>
    </row>
    <row r="12" spans="1:14" hidden="1">
      <c r="A12" s="89"/>
      <c r="B12" s="27"/>
      <c r="C12" s="27" t="s">
        <v>496</v>
      </c>
      <c r="D12" s="91">
        <v>0.63349999999999995</v>
      </c>
      <c r="E12" s="28"/>
      <c r="F12" s="29">
        <v>707533</v>
      </c>
      <c r="G12" s="28">
        <f t="shared" si="0"/>
        <v>707533</v>
      </c>
      <c r="H12" s="28">
        <f t="shared" si="1"/>
        <v>448222.15549999999</v>
      </c>
      <c r="I12" s="28"/>
      <c r="J12" s="29"/>
      <c r="K12" s="28"/>
      <c r="L12" s="28"/>
      <c r="M12" s="28"/>
      <c r="N12" s="89"/>
    </row>
    <row r="13" spans="1:14" hidden="1">
      <c r="A13" s="89"/>
      <c r="B13" s="27"/>
      <c r="C13" s="27" t="s">
        <v>497</v>
      </c>
      <c r="D13" s="91">
        <v>0.61</v>
      </c>
      <c r="E13" s="28"/>
      <c r="F13" s="28">
        <v>130000</v>
      </c>
      <c r="G13" s="28">
        <f t="shared" si="0"/>
        <v>130000</v>
      </c>
      <c r="H13" s="28">
        <f t="shared" si="1"/>
        <v>79300</v>
      </c>
      <c r="I13" s="28"/>
      <c r="J13" s="28"/>
      <c r="K13" s="28"/>
      <c r="L13" s="28"/>
      <c r="M13" s="28"/>
      <c r="N13" s="89"/>
    </row>
    <row r="14" spans="1:14" hidden="1">
      <c r="A14" s="89"/>
      <c r="B14" s="27"/>
      <c r="C14" s="27" t="s">
        <v>498</v>
      </c>
      <c r="D14" s="32">
        <v>0.6</v>
      </c>
      <c r="E14" s="28"/>
      <c r="F14" s="29">
        <v>5520</v>
      </c>
      <c r="G14" s="28">
        <f t="shared" si="0"/>
        <v>5520</v>
      </c>
      <c r="H14" s="28">
        <f t="shared" si="1"/>
        <v>3312</v>
      </c>
      <c r="I14" s="28"/>
      <c r="J14" s="29"/>
      <c r="K14" s="28"/>
      <c r="L14" s="28"/>
      <c r="M14" s="28"/>
      <c r="N14" s="89"/>
    </row>
    <row r="15" spans="1:14" hidden="1">
      <c r="A15" s="89"/>
      <c r="B15" s="27"/>
      <c r="C15" s="27" t="s">
        <v>499</v>
      </c>
      <c r="D15" s="35">
        <v>0.6</v>
      </c>
      <c r="E15" s="28"/>
      <c r="F15" s="29">
        <v>58155.97</v>
      </c>
      <c r="G15" s="28">
        <f t="shared" si="0"/>
        <v>58155.97</v>
      </c>
      <c r="H15" s="28">
        <f t="shared" si="1"/>
        <v>34893.582000000002</v>
      </c>
      <c r="I15" s="28"/>
      <c r="J15" s="29"/>
      <c r="K15" s="28"/>
      <c r="L15" s="28"/>
      <c r="M15" s="28"/>
      <c r="N15" s="89"/>
    </row>
    <row r="16" spans="1:14" hidden="1">
      <c r="A16" s="89"/>
      <c r="B16" s="27"/>
      <c r="C16" s="27" t="s">
        <v>500</v>
      </c>
      <c r="D16" s="34">
        <v>2.3E-2</v>
      </c>
      <c r="E16" s="33">
        <v>374.3</v>
      </c>
      <c r="F16" s="28"/>
      <c r="G16" s="28">
        <f>E16+F16</f>
        <v>374.3</v>
      </c>
      <c r="H16" s="28">
        <f t="shared" si="1"/>
        <v>8.6089000000000002</v>
      </c>
      <c r="I16" s="33"/>
      <c r="J16" s="28"/>
      <c r="K16" s="28"/>
      <c r="L16" s="28"/>
      <c r="M16" s="28"/>
      <c r="N16" s="89"/>
    </row>
    <row r="17" spans="1:14" hidden="1">
      <c r="A17" s="89"/>
      <c r="B17" s="27"/>
      <c r="C17" s="27" t="s">
        <v>501</v>
      </c>
      <c r="D17" s="32">
        <v>0.35</v>
      </c>
      <c r="E17" s="33">
        <v>41347.599999999999</v>
      </c>
      <c r="F17" s="28"/>
      <c r="G17" s="28">
        <f t="shared" si="0"/>
        <v>41347.599999999999</v>
      </c>
      <c r="H17" s="28">
        <f t="shared" si="1"/>
        <v>14471.659999999998</v>
      </c>
      <c r="I17" s="33"/>
      <c r="J17" s="28"/>
      <c r="K17" s="28"/>
      <c r="L17" s="28"/>
      <c r="M17" s="28"/>
      <c r="N17" s="89"/>
    </row>
    <row r="18" spans="1:14" hidden="1">
      <c r="A18" s="89"/>
      <c r="B18" s="65" t="s">
        <v>502</v>
      </c>
      <c r="C18" s="66"/>
      <c r="D18" s="92"/>
      <c r="E18" s="67">
        <f t="shared" ref="E18:K18" si="2">SUM(E5:E17)</f>
        <v>178564.09</v>
      </c>
      <c r="F18" s="67">
        <f t="shared" si="2"/>
        <v>2582489.3300000005</v>
      </c>
      <c r="G18" s="67">
        <f t="shared" si="2"/>
        <v>2761053.4200000009</v>
      </c>
      <c r="H18" s="67">
        <f t="shared" si="2"/>
        <v>1612298.0089500002</v>
      </c>
      <c r="I18" s="67">
        <f t="shared" si="2"/>
        <v>0</v>
      </c>
      <c r="J18" s="67">
        <f t="shared" si="2"/>
        <v>0</v>
      </c>
      <c r="K18" s="67">
        <f t="shared" si="2"/>
        <v>201</v>
      </c>
      <c r="L18" s="67"/>
      <c r="M18" s="67">
        <f>SUM(M5:M17)</f>
        <v>135</v>
      </c>
      <c r="N18" s="89"/>
    </row>
    <row r="19" spans="1:14">
      <c r="A19" s="89"/>
      <c r="B19" s="68" t="s">
        <v>503</v>
      </c>
      <c r="C19" s="68" t="s">
        <v>489</v>
      </c>
      <c r="D19" s="93">
        <v>0.61</v>
      </c>
      <c r="E19" s="69"/>
      <c r="F19" s="69">
        <v>1450597.52</v>
      </c>
      <c r="G19" s="69">
        <f t="shared" si="0"/>
        <v>1450597.52</v>
      </c>
      <c r="H19" s="69">
        <f t="shared" ref="H19:H57" si="3">D19*G19</f>
        <v>884864.48719999997</v>
      </c>
      <c r="I19" s="69"/>
      <c r="J19" s="69"/>
      <c r="K19" s="69"/>
      <c r="L19" s="157">
        <f>IFERROR(M19/K19,0)</f>
        <v>0</v>
      </c>
      <c r="M19" s="69"/>
      <c r="N19" s="89"/>
    </row>
    <row r="20" spans="1:14">
      <c r="A20" s="89"/>
      <c r="B20" s="80"/>
      <c r="C20" s="80" t="s">
        <v>504</v>
      </c>
      <c r="D20" s="94">
        <v>0.61</v>
      </c>
      <c r="E20" s="81"/>
      <c r="F20" s="81">
        <v>65338.92</v>
      </c>
      <c r="G20" s="81">
        <f t="shared" si="0"/>
        <v>65338.92</v>
      </c>
      <c r="H20" s="81">
        <f>D20*G20</f>
        <v>39856.741199999997</v>
      </c>
      <c r="I20" s="81"/>
      <c r="J20" s="81"/>
      <c r="K20" s="81"/>
      <c r="L20" s="158">
        <f t="shared" ref="L20:L36" si="4">IFERROR(M20/K20,0)</f>
        <v>0</v>
      </c>
      <c r="M20" s="81"/>
      <c r="N20" s="89"/>
    </row>
    <row r="21" spans="1:14">
      <c r="A21" s="89"/>
      <c r="B21" s="68"/>
      <c r="C21" s="68" t="s">
        <v>505</v>
      </c>
      <c r="D21" s="93">
        <v>0.7</v>
      </c>
      <c r="E21" s="69"/>
      <c r="F21" s="69">
        <v>836.76</v>
      </c>
      <c r="G21" s="69">
        <f t="shared" si="0"/>
        <v>836.76</v>
      </c>
      <c r="H21" s="69">
        <f>D21*G21</f>
        <v>585.73199999999997</v>
      </c>
      <c r="I21" s="69"/>
      <c r="J21" s="69"/>
      <c r="K21" s="69"/>
      <c r="L21" s="157">
        <f t="shared" si="4"/>
        <v>0</v>
      </c>
      <c r="M21" s="69"/>
      <c r="N21" s="89"/>
    </row>
    <row r="22" spans="1:14">
      <c r="A22" s="89"/>
      <c r="B22" s="80"/>
      <c r="C22" s="80" t="s">
        <v>506</v>
      </c>
      <c r="D22" s="94">
        <v>0.7</v>
      </c>
      <c r="E22" s="81"/>
      <c r="F22" s="81">
        <v>64138</v>
      </c>
      <c r="G22" s="81">
        <f t="shared" si="0"/>
        <v>64138</v>
      </c>
      <c r="H22" s="81">
        <f t="shared" si="3"/>
        <v>44896.6</v>
      </c>
      <c r="I22" s="81"/>
      <c r="J22" s="81"/>
      <c r="K22" s="81"/>
      <c r="L22" s="158">
        <f t="shared" si="4"/>
        <v>0</v>
      </c>
      <c r="M22" s="81"/>
      <c r="N22" s="89"/>
    </row>
    <row r="23" spans="1:14">
      <c r="A23" s="89"/>
      <c r="B23" s="68"/>
      <c r="C23" s="68" t="s">
        <v>490</v>
      </c>
      <c r="D23" s="93">
        <v>0.7</v>
      </c>
      <c r="E23" s="69"/>
      <c r="F23" s="69">
        <v>70044</v>
      </c>
      <c r="G23" s="69">
        <f t="shared" si="0"/>
        <v>70044</v>
      </c>
      <c r="H23" s="69">
        <f t="shared" si="3"/>
        <v>49030.799999999996</v>
      </c>
      <c r="I23" s="69"/>
      <c r="J23" s="69"/>
      <c r="K23" s="69"/>
      <c r="L23" s="157">
        <f t="shared" si="4"/>
        <v>0</v>
      </c>
      <c r="M23" s="69"/>
      <c r="N23" s="89"/>
    </row>
    <row r="24" spans="1:14">
      <c r="A24" s="89"/>
      <c r="B24" s="80"/>
      <c r="C24" s="80" t="s">
        <v>491</v>
      </c>
      <c r="D24" s="94">
        <v>0.63</v>
      </c>
      <c r="E24" s="81"/>
      <c r="F24" s="81">
        <v>17403.52</v>
      </c>
      <c r="G24" s="81">
        <f t="shared" si="0"/>
        <v>17403.52</v>
      </c>
      <c r="H24" s="81">
        <f t="shared" si="3"/>
        <v>10964.2176</v>
      </c>
      <c r="I24" s="81"/>
      <c r="J24" s="81"/>
      <c r="K24" s="81"/>
      <c r="L24" s="158">
        <f t="shared" si="4"/>
        <v>0</v>
      </c>
      <c r="M24" s="81"/>
      <c r="N24" s="89"/>
    </row>
    <row r="25" spans="1:14">
      <c r="A25" s="89"/>
      <c r="B25" s="68"/>
      <c r="C25" s="68" t="s">
        <v>493</v>
      </c>
      <c r="D25" s="93">
        <v>0.45</v>
      </c>
      <c r="E25" s="69"/>
      <c r="F25" s="69">
        <v>95918.720000000001</v>
      </c>
      <c r="G25" s="69">
        <f t="shared" si="0"/>
        <v>95918.720000000001</v>
      </c>
      <c r="H25" s="69">
        <f t="shared" si="3"/>
        <v>43163.423999999999</v>
      </c>
      <c r="I25" s="69"/>
      <c r="J25" s="69"/>
      <c r="K25" s="69"/>
      <c r="L25" s="157">
        <f t="shared" si="4"/>
        <v>0</v>
      </c>
      <c r="M25" s="69"/>
      <c r="N25" s="89"/>
    </row>
    <row r="26" spans="1:14">
      <c r="A26" s="89"/>
      <c r="B26" s="80"/>
      <c r="C26" s="80" t="s">
        <v>494</v>
      </c>
      <c r="D26" s="82">
        <v>5.5E-2</v>
      </c>
      <c r="E26" s="81">
        <v>30458.5</v>
      </c>
      <c r="F26" s="81"/>
      <c r="G26" s="81">
        <f t="shared" si="0"/>
        <v>30458.5</v>
      </c>
      <c r="H26" s="81">
        <f t="shared" si="3"/>
        <v>1675.2175</v>
      </c>
      <c r="I26" s="81"/>
      <c r="J26" s="81"/>
      <c r="K26" s="81"/>
      <c r="L26" s="158">
        <f t="shared" si="4"/>
        <v>0</v>
      </c>
      <c r="M26" s="81"/>
      <c r="N26" s="89"/>
    </row>
    <row r="27" spans="1:14">
      <c r="A27" s="89"/>
      <c r="B27" s="68"/>
      <c r="C27" s="68" t="s">
        <v>507</v>
      </c>
      <c r="D27" s="73">
        <v>5.5E-2</v>
      </c>
      <c r="E27" s="69"/>
      <c r="F27" s="69"/>
      <c r="G27" s="69">
        <f t="shared" si="0"/>
        <v>0</v>
      </c>
      <c r="H27" s="69">
        <f t="shared" si="3"/>
        <v>0</v>
      </c>
      <c r="I27" s="69"/>
      <c r="J27" s="69"/>
      <c r="K27" s="69"/>
      <c r="L27" s="157">
        <f t="shared" si="4"/>
        <v>0</v>
      </c>
      <c r="M27" s="69"/>
      <c r="N27" s="89"/>
    </row>
    <row r="28" spans="1:14">
      <c r="A28" s="89"/>
      <c r="B28" s="80"/>
      <c r="C28" s="80" t="s">
        <v>495</v>
      </c>
      <c r="D28" s="82">
        <v>5.5E-2</v>
      </c>
      <c r="E28" s="81">
        <v>7793.7</v>
      </c>
      <c r="F28" s="81"/>
      <c r="G28" s="81">
        <f t="shared" si="0"/>
        <v>7793.7</v>
      </c>
      <c r="H28" s="81">
        <f t="shared" si="3"/>
        <v>428.65350000000001</v>
      </c>
      <c r="I28" s="81"/>
      <c r="J28" s="81"/>
      <c r="K28" s="81"/>
      <c r="L28" s="158">
        <f t="shared" si="4"/>
        <v>0</v>
      </c>
      <c r="M28" s="81"/>
      <c r="N28" s="89"/>
    </row>
    <row r="29" spans="1:14">
      <c r="A29" s="89"/>
      <c r="B29" s="68"/>
      <c r="C29" s="68" t="s">
        <v>508</v>
      </c>
      <c r="D29" s="93">
        <v>0.63349999999999995</v>
      </c>
      <c r="E29" s="69"/>
      <c r="F29" s="69">
        <v>262667.52000000002</v>
      </c>
      <c r="G29" s="69">
        <f t="shared" si="0"/>
        <v>262667.52000000002</v>
      </c>
      <c r="H29" s="69">
        <f t="shared" si="3"/>
        <v>166399.87392000001</v>
      </c>
      <c r="I29" s="69"/>
      <c r="J29" s="69"/>
      <c r="K29" s="69"/>
      <c r="L29" s="157">
        <f t="shared" si="4"/>
        <v>0</v>
      </c>
      <c r="M29" s="69"/>
      <c r="N29" s="89"/>
    </row>
    <row r="30" spans="1:14">
      <c r="A30" s="89"/>
      <c r="B30" s="80"/>
      <c r="C30" s="80" t="s">
        <v>509</v>
      </c>
      <c r="D30" s="94"/>
      <c r="E30" s="81"/>
      <c r="F30" s="81"/>
      <c r="G30" s="81">
        <f t="shared" si="0"/>
        <v>0</v>
      </c>
      <c r="H30" s="81"/>
      <c r="I30" s="81"/>
      <c r="J30" s="81"/>
      <c r="K30" s="81"/>
      <c r="L30" s="158">
        <f t="shared" si="4"/>
        <v>0</v>
      </c>
      <c r="M30" s="81"/>
      <c r="N30" s="89"/>
    </row>
    <row r="31" spans="1:14">
      <c r="A31" s="89"/>
      <c r="B31" s="68"/>
      <c r="C31" s="68" t="s">
        <v>510</v>
      </c>
      <c r="D31" s="93">
        <v>0.61</v>
      </c>
      <c r="E31" s="69"/>
      <c r="F31" s="69">
        <v>20103.18</v>
      </c>
      <c r="G31" s="69">
        <f t="shared" si="0"/>
        <v>20103.18</v>
      </c>
      <c r="H31" s="69">
        <f t="shared" si="3"/>
        <v>12262.9398</v>
      </c>
      <c r="I31" s="69"/>
      <c r="J31" s="69"/>
      <c r="K31" s="69"/>
      <c r="L31" s="157">
        <f t="shared" si="4"/>
        <v>0</v>
      </c>
      <c r="M31" s="69"/>
      <c r="N31" s="89"/>
    </row>
    <row r="32" spans="1:14">
      <c r="A32" s="89"/>
      <c r="B32" s="80"/>
      <c r="C32" s="80" t="s">
        <v>511</v>
      </c>
      <c r="D32" s="82">
        <v>0.6</v>
      </c>
      <c r="E32" s="81"/>
      <c r="F32" s="81">
        <v>2760</v>
      </c>
      <c r="G32" s="81">
        <f t="shared" si="0"/>
        <v>2760</v>
      </c>
      <c r="H32" s="81">
        <f t="shared" si="3"/>
        <v>1656</v>
      </c>
      <c r="I32" s="81"/>
      <c r="J32" s="81"/>
      <c r="K32" s="81"/>
      <c r="L32" s="158">
        <f t="shared" si="4"/>
        <v>0</v>
      </c>
      <c r="M32" s="81"/>
      <c r="N32" s="89"/>
    </row>
    <row r="33" spans="1:14">
      <c r="A33" s="89"/>
      <c r="B33" s="68"/>
      <c r="C33" s="68" t="s">
        <v>497</v>
      </c>
      <c r="D33" s="93">
        <v>0.61</v>
      </c>
      <c r="E33" s="69"/>
      <c r="F33" s="69">
        <v>10000</v>
      </c>
      <c r="G33" s="69">
        <f t="shared" si="0"/>
        <v>10000</v>
      </c>
      <c r="H33" s="69">
        <f t="shared" si="3"/>
        <v>6100</v>
      </c>
      <c r="I33" s="69"/>
      <c r="J33" s="69"/>
      <c r="K33" s="69"/>
      <c r="L33" s="157">
        <f t="shared" si="4"/>
        <v>0</v>
      </c>
      <c r="M33" s="69"/>
      <c r="N33" s="89"/>
    </row>
    <row r="34" spans="1:14">
      <c r="A34" s="89"/>
      <c r="B34" s="80"/>
      <c r="C34" s="80" t="s">
        <v>512</v>
      </c>
      <c r="D34" s="83">
        <v>0.35</v>
      </c>
      <c r="E34" s="81"/>
      <c r="F34" s="81"/>
      <c r="G34" s="81">
        <f t="shared" si="0"/>
        <v>0</v>
      </c>
      <c r="H34" s="81">
        <f t="shared" si="3"/>
        <v>0</v>
      </c>
      <c r="I34" s="81"/>
      <c r="J34" s="81"/>
      <c r="K34" s="81"/>
      <c r="L34" s="158">
        <f t="shared" si="4"/>
        <v>0</v>
      </c>
      <c r="M34" s="81"/>
      <c r="N34" s="89"/>
    </row>
    <row r="35" spans="1:14">
      <c r="A35" s="89"/>
      <c r="B35" s="68"/>
      <c r="C35" s="68" t="s">
        <v>500</v>
      </c>
      <c r="D35" s="73">
        <v>2.3E-2</v>
      </c>
      <c r="E35" s="69">
        <v>18573</v>
      </c>
      <c r="F35" s="69"/>
      <c r="G35" s="69">
        <f t="shared" si="0"/>
        <v>18573</v>
      </c>
      <c r="H35" s="69">
        <f t="shared" si="3"/>
        <v>427.17899999999997</v>
      </c>
      <c r="I35" s="69"/>
      <c r="J35" s="69"/>
      <c r="K35" s="69"/>
      <c r="L35" s="157">
        <f t="shared" si="4"/>
        <v>0</v>
      </c>
      <c r="M35" s="69"/>
      <c r="N35" s="89"/>
    </row>
    <row r="36" spans="1:14">
      <c r="A36" s="89"/>
      <c r="B36" s="80"/>
      <c r="C36" s="80" t="s">
        <v>513</v>
      </c>
      <c r="D36" s="84">
        <v>0.7</v>
      </c>
      <c r="E36" s="81"/>
      <c r="F36" s="81"/>
      <c r="G36" s="81">
        <f t="shared" si="0"/>
        <v>0</v>
      </c>
      <c r="H36" s="81">
        <f t="shared" si="3"/>
        <v>0</v>
      </c>
      <c r="I36" s="81"/>
      <c r="J36" s="81"/>
      <c r="K36" s="81"/>
      <c r="L36" s="158">
        <f t="shared" si="4"/>
        <v>0</v>
      </c>
      <c r="M36" s="81"/>
      <c r="N36" s="89"/>
    </row>
    <row r="37" spans="1:14">
      <c r="A37" s="89"/>
      <c r="B37" s="85" t="s">
        <v>514</v>
      </c>
      <c r="C37" s="85"/>
      <c r="D37" s="95"/>
      <c r="E37" s="86">
        <f t="shared" ref="E37:K37" si="5">SUM(E19:E36)</f>
        <v>56825.2</v>
      </c>
      <c r="F37" s="86">
        <f t="shared" si="5"/>
        <v>2059808.14</v>
      </c>
      <c r="G37" s="86">
        <f t="shared" si="5"/>
        <v>2116633.34</v>
      </c>
      <c r="H37" s="86">
        <f t="shared" si="5"/>
        <v>1262311.8657199999</v>
      </c>
      <c r="I37" s="86">
        <f t="shared" si="5"/>
        <v>0</v>
      </c>
      <c r="J37" s="86">
        <f t="shared" si="5"/>
        <v>0</v>
      </c>
      <c r="K37" s="86">
        <f t="shared" si="5"/>
        <v>0</v>
      </c>
      <c r="L37" s="86"/>
      <c r="M37" s="86">
        <f>SUM(M19:M36)</f>
        <v>0</v>
      </c>
      <c r="N37" s="89"/>
    </row>
    <row r="38" spans="1:14" hidden="1">
      <c r="A38" s="89"/>
      <c r="B38" s="70" t="s">
        <v>515</v>
      </c>
      <c r="C38" s="70" t="s">
        <v>489</v>
      </c>
      <c r="D38" s="96">
        <v>0.61</v>
      </c>
      <c r="E38" s="71"/>
      <c r="F38" s="71">
        <v>1457803.8</v>
      </c>
      <c r="G38" s="71">
        <f t="shared" si="0"/>
        <v>1457803.8</v>
      </c>
      <c r="H38" s="71">
        <f t="shared" si="3"/>
        <v>889260.31799999997</v>
      </c>
      <c r="I38" s="71"/>
      <c r="J38" s="71"/>
      <c r="K38" s="71"/>
      <c r="L38" s="71"/>
      <c r="M38" s="71"/>
      <c r="N38" s="89"/>
    </row>
    <row r="39" spans="1:14" hidden="1">
      <c r="A39" s="89"/>
      <c r="B39" s="70"/>
      <c r="C39" s="70" t="s">
        <v>504</v>
      </c>
      <c r="D39" s="96">
        <v>0.61</v>
      </c>
      <c r="E39" s="71"/>
      <c r="F39" s="71">
        <v>73096.56</v>
      </c>
      <c r="G39" s="71">
        <f t="shared" si="0"/>
        <v>73096.56</v>
      </c>
      <c r="H39" s="71">
        <f t="shared" si="3"/>
        <v>44588.901599999997</v>
      </c>
      <c r="I39" s="71"/>
      <c r="J39" s="71"/>
      <c r="K39" s="71"/>
      <c r="L39" s="71"/>
      <c r="M39" s="71"/>
      <c r="N39" s="89"/>
    </row>
    <row r="40" spans="1:14" hidden="1">
      <c r="A40" s="89"/>
      <c r="B40" s="70"/>
      <c r="C40" s="70" t="s">
        <v>506</v>
      </c>
      <c r="D40" s="96">
        <v>0.7</v>
      </c>
      <c r="E40" s="71"/>
      <c r="F40" s="71">
        <v>34122</v>
      </c>
      <c r="G40" s="71">
        <f t="shared" si="0"/>
        <v>34122</v>
      </c>
      <c r="H40" s="71">
        <f t="shared" si="3"/>
        <v>23885.399999999998</v>
      </c>
      <c r="I40" s="71"/>
      <c r="J40" s="71"/>
      <c r="K40" s="71"/>
      <c r="L40" s="71"/>
      <c r="M40" s="71"/>
      <c r="N40" s="89"/>
    </row>
    <row r="41" spans="1:14" hidden="1">
      <c r="A41" s="89"/>
      <c r="B41" s="70"/>
      <c r="C41" s="70" t="s">
        <v>505</v>
      </c>
      <c r="D41" s="76">
        <v>0.7</v>
      </c>
      <c r="E41" s="71"/>
      <c r="F41" s="71">
        <v>425.80645161290323</v>
      </c>
      <c r="G41" s="71">
        <f t="shared" si="0"/>
        <v>425.80645161290323</v>
      </c>
      <c r="H41" s="71">
        <f t="shared" si="3"/>
        <v>298.06451612903226</v>
      </c>
      <c r="I41" s="71"/>
      <c r="J41" s="71"/>
      <c r="K41" s="71"/>
      <c r="L41" s="71"/>
      <c r="M41" s="71"/>
      <c r="N41" s="89"/>
    </row>
    <row r="42" spans="1:14" hidden="1">
      <c r="A42" s="89"/>
      <c r="B42" s="70"/>
      <c r="C42" s="70" t="s">
        <v>516</v>
      </c>
      <c r="D42" s="96">
        <v>0.7</v>
      </c>
      <c r="E42" s="71"/>
      <c r="F42" s="71">
        <v>20873.5</v>
      </c>
      <c r="G42" s="71">
        <f t="shared" si="0"/>
        <v>20873.5</v>
      </c>
      <c r="H42" s="71">
        <f t="shared" si="3"/>
        <v>14611.449999999999</v>
      </c>
      <c r="I42" s="71"/>
      <c r="J42" s="71"/>
      <c r="K42" s="71"/>
      <c r="L42" s="71"/>
      <c r="M42" s="71"/>
      <c r="N42" s="89"/>
    </row>
    <row r="43" spans="1:14" hidden="1">
      <c r="A43" s="89"/>
      <c r="B43" s="70"/>
      <c r="C43" s="70" t="s">
        <v>490</v>
      </c>
      <c r="D43" s="96">
        <v>0.7</v>
      </c>
      <c r="E43" s="71"/>
      <c r="F43" s="71">
        <v>41792</v>
      </c>
      <c r="G43" s="71">
        <f t="shared" si="0"/>
        <v>41792</v>
      </c>
      <c r="H43" s="71">
        <f t="shared" si="3"/>
        <v>29254.399999999998</v>
      </c>
      <c r="I43" s="71"/>
      <c r="J43" s="71"/>
      <c r="K43" s="71"/>
      <c r="L43" s="71"/>
      <c r="M43" s="71"/>
      <c r="N43" s="89"/>
    </row>
    <row r="44" spans="1:14" hidden="1">
      <c r="A44" s="89"/>
      <c r="B44" s="70"/>
      <c r="C44" s="70" t="s">
        <v>517</v>
      </c>
      <c r="D44" s="79">
        <v>0.7</v>
      </c>
      <c r="E44" s="71"/>
      <c r="F44" s="71"/>
      <c r="G44" s="71">
        <f t="shared" si="0"/>
        <v>0</v>
      </c>
      <c r="H44" s="71">
        <f t="shared" si="3"/>
        <v>0</v>
      </c>
      <c r="I44" s="71"/>
      <c r="J44" s="71"/>
      <c r="K44" s="71"/>
      <c r="L44" s="71"/>
      <c r="M44" s="71"/>
      <c r="N44" s="89"/>
    </row>
    <row r="45" spans="1:14" hidden="1">
      <c r="A45" s="89"/>
      <c r="B45" s="70"/>
      <c r="C45" s="70" t="s">
        <v>491</v>
      </c>
      <c r="D45" s="96">
        <v>0.63</v>
      </c>
      <c r="E45" s="71"/>
      <c r="F45" s="71">
        <v>7651.35</v>
      </c>
      <c r="G45" s="71">
        <f t="shared" si="0"/>
        <v>7651.35</v>
      </c>
      <c r="H45" s="71">
        <f t="shared" si="3"/>
        <v>4820.3505000000005</v>
      </c>
      <c r="I45" s="71"/>
      <c r="J45" s="71"/>
      <c r="K45" s="71"/>
      <c r="L45" s="71"/>
      <c r="M45" s="71"/>
      <c r="N45" s="89"/>
    </row>
    <row r="46" spans="1:14" hidden="1">
      <c r="A46" s="89"/>
      <c r="B46" s="70"/>
      <c r="C46" s="70" t="s">
        <v>518</v>
      </c>
      <c r="D46" s="75">
        <v>0.02</v>
      </c>
      <c r="E46" s="74">
        <v>51610</v>
      </c>
      <c r="F46" s="71"/>
      <c r="G46" s="71">
        <f t="shared" si="0"/>
        <v>51610</v>
      </c>
      <c r="H46" s="71">
        <f t="shared" si="3"/>
        <v>1032.2</v>
      </c>
      <c r="I46" s="74"/>
      <c r="J46" s="71"/>
      <c r="K46" s="71"/>
      <c r="L46" s="71"/>
      <c r="M46" s="71"/>
      <c r="N46" s="89"/>
    </row>
    <row r="47" spans="1:14" hidden="1">
      <c r="A47" s="89"/>
      <c r="B47" s="70"/>
      <c r="C47" s="70" t="s">
        <v>508</v>
      </c>
      <c r="D47" s="96">
        <v>0.63349999999999995</v>
      </c>
      <c r="E47" s="74"/>
      <c r="F47" s="71">
        <v>132980</v>
      </c>
      <c r="G47" s="71">
        <f t="shared" si="0"/>
        <v>132980</v>
      </c>
      <c r="H47" s="71">
        <f t="shared" si="3"/>
        <v>84242.829999999987</v>
      </c>
      <c r="I47" s="74"/>
      <c r="J47" s="71"/>
      <c r="K47" s="71"/>
      <c r="L47" s="71"/>
      <c r="M47" s="71"/>
      <c r="N47" s="89"/>
    </row>
    <row r="48" spans="1:14" hidden="1">
      <c r="A48" s="89"/>
      <c r="B48" s="70"/>
      <c r="C48" s="70" t="s">
        <v>494</v>
      </c>
      <c r="D48" s="72">
        <v>5.5E-2</v>
      </c>
      <c r="E48" s="71">
        <v>48912.75</v>
      </c>
      <c r="F48" s="71"/>
      <c r="G48" s="71">
        <f t="shared" si="0"/>
        <v>48912.75</v>
      </c>
      <c r="H48" s="71">
        <f t="shared" si="3"/>
        <v>2690.2012500000001</v>
      </c>
      <c r="I48" s="71"/>
      <c r="J48" s="71"/>
      <c r="K48" s="71"/>
      <c r="L48" s="71"/>
      <c r="M48" s="71"/>
      <c r="N48" s="89"/>
    </row>
    <row r="49" spans="1:14" hidden="1">
      <c r="A49" s="89"/>
      <c r="B49" s="70"/>
      <c r="C49" s="70" t="s">
        <v>495</v>
      </c>
      <c r="D49" s="72">
        <v>5.5E-2</v>
      </c>
      <c r="E49" s="74">
        <v>41747.5</v>
      </c>
      <c r="F49" s="71"/>
      <c r="G49" s="71">
        <f t="shared" si="0"/>
        <v>41747.5</v>
      </c>
      <c r="H49" s="71">
        <f t="shared" si="3"/>
        <v>2296.1125000000002</v>
      </c>
      <c r="I49" s="74"/>
      <c r="J49" s="71"/>
      <c r="K49" s="71"/>
      <c r="L49" s="71"/>
      <c r="M49" s="71"/>
      <c r="N49" s="89"/>
    </row>
    <row r="50" spans="1:14" hidden="1">
      <c r="A50" s="89"/>
      <c r="B50" s="70"/>
      <c r="C50" s="70" t="s">
        <v>519</v>
      </c>
      <c r="D50" s="72">
        <v>5.5E-2</v>
      </c>
      <c r="E50" s="74">
        <v>28000</v>
      </c>
      <c r="F50" s="71"/>
      <c r="G50" s="71">
        <f t="shared" si="0"/>
        <v>28000</v>
      </c>
      <c r="H50" s="71">
        <f t="shared" si="3"/>
        <v>1540</v>
      </c>
      <c r="I50" s="74"/>
      <c r="J50" s="71"/>
      <c r="K50" s="71"/>
      <c r="L50" s="71"/>
      <c r="M50" s="71"/>
      <c r="N50" s="89"/>
    </row>
    <row r="51" spans="1:14" hidden="1">
      <c r="A51" s="89"/>
      <c r="B51" s="70"/>
      <c r="C51" s="70" t="s">
        <v>509</v>
      </c>
      <c r="D51" s="72">
        <v>0.64</v>
      </c>
      <c r="E51" s="71"/>
      <c r="F51" s="71">
        <v>88000</v>
      </c>
      <c r="G51" s="71">
        <f t="shared" si="0"/>
        <v>88000</v>
      </c>
      <c r="H51" s="71">
        <f t="shared" si="3"/>
        <v>56320</v>
      </c>
      <c r="I51" s="71"/>
      <c r="J51" s="71"/>
      <c r="K51" s="71"/>
      <c r="L51" s="71"/>
      <c r="M51" s="71"/>
      <c r="N51" s="89"/>
    </row>
    <row r="52" spans="1:14" hidden="1">
      <c r="A52" s="89"/>
      <c r="B52" s="70"/>
      <c r="C52" s="70" t="s">
        <v>511</v>
      </c>
      <c r="D52" s="76">
        <v>0.6</v>
      </c>
      <c r="E52" s="71"/>
      <c r="F52" s="71">
        <v>17636.55</v>
      </c>
      <c r="G52" s="71">
        <f t="shared" si="0"/>
        <v>17636.55</v>
      </c>
      <c r="H52" s="71">
        <f t="shared" si="3"/>
        <v>10581.929999999998</v>
      </c>
      <c r="I52" s="71"/>
      <c r="J52" s="71"/>
      <c r="K52" s="71"/>
      <c r="L52" s="71"/>
      <c r="M52" s="71"/>
      <c r="N52" s="89"/>
    </row>
    <row r="53" spans="1:14" hidden="1">
      <c r="A53" s="89"/>
      <c r="B53" s="70"/>
      <c r="C53" s="70" t="s">
        <v>510</v>
      </c>
      <c r="D53" s="76">
        <v>0.6</v>
      </c>
      <c r="E53" s="71"/>
      <c r="F53" s="71">
        <v>44129.03</v>
      </c>
      <c r="G53" s="71">
        <f t="shared" si="0"/>
        <v>44129.03</v>
      </c>
      <c r="H53" s="71">
        <f t="shared" si="3"/>
        <v>26477.417999999998</v>
      </c>
      <c r="I53" s="71"/>
      <c r="J53" s="71"/>
      <c r="K53" s="71"/>
      <c r="L53" s="71"/>
      <c r="M53" s="71"/>
      <c r="N53" s="89"/>
    </row>
    <row r="54" spans="1:14" hidden="1">
      <c r="A54" s="89"/>
      <c r="B54" s="70"/>
      <c r="C54" s="70" t="s">
        <v>512</v>
      </c>
      <c r="D54" s="75">
        <v>0.35</v>
      </c>
      <c r="E54" s="74">
        <v>80960</v>
      </c>
      <c r="F54" s="71"/>
      <c r="G54" s="71">
        <f t="shared" si="0"/>
        <v>80960</v>
      </c>
      <c r="H54" s="71">
        <f t="shared" si="3"/>
        <v>28336</v>
      </c>
      <c r="I54" s="74"/>
      <c r="J54" s="71"/>
      <c r="K54" s="71"/>
      <c r="L54" s="71"/>
      <c r="M54" s="71"/>
      <c r="N54" s="89"/>
    </row>
    <row r="55" spans="1:14" hidden="1">
      <c r="A55" s="89"/>
      <c r="B55" s="70"/>
      <c r="C55" s="70" t="s">
        <v>500</v>
      </c>
      <c r="D55" s="72">
        <v>2.3E-2</v>
      </c>
      <c r="E55" s="74">
        <v>9600</v>
      </c>
      <c r="F55" s="71"/>
      <c r="G55" s="71">
        <f t="shared" si="0"/>
        <v>9600</v>
      </c>
      <c r="H55" s="71">
        <f t="shared" si="3"/>
        <v>220.79999999999998</v>
      </c>
      <c r="I55" s="74"/>
      <c r="J55" s="71"/>
      <c r="K55" s="71"/>
      <c r="L55" s="71"/>
      <c r="M55" s="71"/>
      <c r="N55" s="89"/>
    </row>
    <row r="56" spans="1:14" hidden="1">
      <c r="A56" s="89"/>
      <c r="B56" s="70"/>
      <c r="C56" s="70" t="s">
        <v>520</v>
      </c>
      <c r="D56" s="75">
        <v>0.65</v>
      </c>
      <c r="E56" s="71"/>
      <c r="F56" s="71">
        <v>41012.5</v>
      </c>
      <c r="G56" s="71">
        <f t="shared" si="0"/>
        <v>41012.5</v>
      </c>
      <c r="H56" s="71">
        <f t="shared" si="3"/>
        <v>26658.125</v>
      </c>
      <c r="I56" s="71"/>
      <c r="J56" s="71"/>
      <c r="K56" s="71"/>
      <c r="L56" s="71"/>
      <c r="M56" s="71"/>
      <c r="N56" s="89"/>
    </row>
    <row r="57" spans="1:14" hidden="1">
      <c r="A57" s="89"/>
      <c r="B57" s="70"/>
      <c r="C57" s="70" t="s">
        <v>521</v>
      </c>
      <c r="D57" s="79">
        <v>0.05</v>
      </c>
      <c r="E57" s="74">
        <v>48000</v>
      </c>
      <c r="F57" s="71"/>
      <c r="G57" s="71">
        <f t="shared" si="0"/>
        <v>48000</v>
      </c>
      <c r="H57" s="71">
        <f t="shared" si="3"/>
        <v>2400</v>
      </c>
      <c r="I57" s="74"/>
      <c r="J57" s="71"/>
      <c r="K57" s="71"/>
      <c r="L57" s="71"/>
      <c r="M57" s="71"/>
      <c r="N57" s="89"/>
    </row>
    <row r="58" spans="1:14" hidden="1">
      <c r="A58" s="89"/>
      <c r="B58" s="77" t="s">
        <v>522</v>
      </c>
      <c r="C58" s="77"/>
      <c r="D58" s="97"/>
      <c r="E58" s="78">
        <f t="shared" ref="E58:K58" si="6">SUM(E38:E57)</f>
        <v>308830.25</v>
      </c>
      <c r="F58" s="78">
        <f t="shared" si="6"/>
        <v>1959523.0964516131</v>
      </c>
      <c r="G58" s="78">
        <f t="shared" si="6"/>
        <v>2268353.3464516131</v>
      </c>
      <c r="H58" s="78">
        <f t="shared" si="6"/>
        <v>1249514.5013661291</v>
      </c>
      <c r="I58" s="78">
        <f t="shared" si="6"/>
        <v>0</v>
      </c>
      <c r="J58" s="78">
        <f t="shared" si="6"/>
        <v>0</v>
      </c>
      <c r="K58" s="78">
        <f t="shared" si="6"/>
        <v>0</v>
      </c>
      <c r="L58" s="78"/>
      <c r="M58" s="78">
        <f>SUM(M38:M57)</f>
        <v>0</v>
      </c>
      <c r="N58" s="89"/>
    </row>
    <row r="59" spans="1:14">
      <c r="A59" s="89"/>
      <c r="B59" s="87" t="s">
        <v>485</v>
      </c>
      <c r="C59" s="87"/>
      <c r="D59" s="98"/>
      <c r="E59" s="88">
        <f t="shared" ref="E59:K59" si="7">E58+E37+E18</f>
        <v>544219.54</v>
      </c>
      <c r="F59" s="88">
        <f t="shared" si="7"/>
        <v>6601820.5664516129</v>
      </c>
      <c r="G59" s="88">
        <f t="shared" si="7"/>
        <v>7146040.1064516138</v>
      </c>
      <c r="H59" s="88">
        <f t="shared" si="7"/>
        <v>4124124.3760361294</v>
      </c>
      <c r="I59" s="88">
        <f t="shared" si="7"/>
        <v>0</v>
      </c>
      <c r="J59" s="88">
        <f t="shared" si="7"/>
        <v>0</v>
      </c>
      <c r="K59" s="88">
        <f t="shared" si="7"/>
        <v>201</v>
      </c>
      <c r="L59" s="88"/>
      <c r="M59" s="88">
        <f>M58+M37+M18</f>
        <v>135</v>
      </c>
      <c r="N59" s="89"/>
    </row>
    <row r="61" spans="1:14">
      <c r="F61">
        <v>1959523.1</v>
      </c>
      <c r="J61">
        <v>1959523.1</v>
      </c>
    </row>
    <row r="62" spans="1:14">
      <c r="F62" s="19">
        <f>F58-F61</f>
        <v>-3.5483869723975658E-3</v>
      </c>
      <c r="J62" s="19">
        <f>J58-J61</f>
        <v>-1959523.1</v>
      </c>
    </row>
  </sheetData>
  <mergeCells count="4">
    <mergeCell ref="E3:H3"/>
    <mergeCell ref="I3:M3"/>
    <mergeCell ref="B1:D3"/>
    <mergeCell ref="E1:M2"/>
  </mergeCells>
  <conditionalFormatting sqref="C21">
    <cfRule type="containsText" dxfId="3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62"/>
  <sheetViews>
    <sheetView zoomScale="70" zoomScaleNormal="70" workbookViewId="0">
      <pane xSplit="2" ySplit="5" topLeftCell="H6" activePane="bottomRight" state="frozen"/>
      <selection pane="topRight" activeCell="C1" sqref="C1"/>
      <selection pane="bottomLeft" activeCell="A6" sqref="A6"/>
      <selection pane="bottomRight" activeCell="AB6" sqref="AB6"/>
    </sheetView>
  </sheetViews>
  <sheetFormatPr defaultColWidth="16.28515625" defaultRowHeight="15.75"/>
  <cols>
    <col min="1" max="1" width="27.5703125" style="62" bestFit="1" customWidth="1"/>
    <col min="2" max="2" width="35.42578125" style="62" customWidth="1"/>
    <col min="3" max="3" width="51.85546875" style="62" customWidth="1"/>
    <col min="4" max="4" width="19.85546875" style="44" customWidth="1"/>
    <col min="5" max="5" width="17.42578125" style="44" hidden="1" customWidth="1"/>
    <col min="6" max="6" width="40.140625" style="44" hidden="1" customWidth="1"/>
    <col min="7" max="7" width="20.5703125" style="51" bestFit="1" customWidth="1"/>
    <col min="8" max="8" width="22.7109375" style="51" customWidth="1"/>
    <col min="9" max="9" width="24.5703125" style="51" hidden="1" customWidth="1"/>
    <col min="10" max="10" width="16.28515625" style="43" hidden="1" customWidth="1"/>
    <col min="11" max="11" width="24.28515625" style="152" hidden="1" customWidth="1"/>
    <col min="12" max="12" width="21.28515625" style="152" hidden="1" customWidth="1"/>
    <col min="13" max="13" width="24.28515625" style="152" hidden="1" customWidth="1"/>
    <col min="14" max="14" width="22.140625" style="42" customWidth="1"/>
    <col min="15" max="15" width="23.7109375" style="44" hidden="1" customWidth="1"/>
    <col min="16" max="16" width="19.28515625" style="44" hidden="1" customWidth="1"/>
    <col min="17" max="17" width="9" style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15.1406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9" ht="35.25" customHeight="1">
      <c r="A1" s="209" t="str">
        <f ca="1">"MONTHLY BUDGET TH "&amp;YEAR(TODAY())</f>
        <v>MONTHLY BUDGET TH 2024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165"/>
      <c r="O1" s="165"/>
      <c r="P1" s="209"/>
      <c r="Q1" s="209"/>
      <c r="R1" s="159"/>
    </row>
    <row r="2" spans="1:29" ht="15.75" customHeight="1">
      <c r="A2" s="209"/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165"/>
      <c r="O2" s="165"/>
      <c r="P2" s="209"/>
      <c r="Q2" s="209"/>
      <c r="R2" s="159"/>
    </row>
    <row r="3" spans="1:29" s="56" customFormat="1" ht="17.25" customHeight="1">
      <c r="A3" s="162" t="str">
        <f>"Periode : " &amp; TEXT(DATE('(HOME)'!E15, '(HOME)'!E14, 1), "mmmm-yyyy")</f>
        <v>Periode : February-2024</v>
      </c>
      <c r="B3" s="58"/>
      <c r="C3" s="58"/>
      <c r="D3" s="52"/>
      <c r="E3" s="52"/>
      <c r="F3" s="52"/>
      <c r="G3" s="53"/>
      <c r="H3" s="53"/>
      <c r="I3" s="53"/>
      <c r="J3" s="54"/>
      <c r="K3" s="54"/>
      <c r="L3" s="150"/>
      <c r="M3" s="150"/>
      <c r="N3" s="55"/>
      <c r="O3" s="52"/>
      <c r="P3" s="52"/>
      <c r="Q3" s="58"/>
      <c r="R3" s="160"/>
    </row>
    <row r="4" spans="1:29" s="56" customFormat="1" ht="16.5" customHeight="1">
      <c r="A4" s="58"/>
      <c r="B4" s="58"/>
      <c r="C4" s="58"/>
      <c r="D4" s="52"/>
      <c r="E4" s="52"/>
      <c r="F4" s="52"/>
      <c r="G4" s="57"/>
      <c r="H4" s="53" t="s">
        <v>210</v>
      </c>
      <c r="I4" s="57"/>
      <c r="J4" s="54"/>
      <c r="K4" s="155">
        <v>0.8</v>
      </c>
      <c r="L4" s="155">
        <v>1</v>
      </c>
      <c r="M4" s="153"/>
      <c r="N4" s="55"/>
      <c r="O4" s="52"/>
      <c r="P4" s="52"/>
      <c r="Q4" s="52"/>
      <c r="R4" s="160"/>
    </row>
    <row r="5" spans="1:29" s="41" customFormat="1" ht="28.5" customHeight="1">
      <c r="A5" s="59" t="s">
        <v>172</v>
      </c>
      <c r="B5" s="207" t="s">
        <v>524</v>
      </c>
      <c r="C5" s="59" t="s">
        <v>523</v>
      </c>
      <c r="D5" s="38" t="s">
        <v>3</v>
      </c>
      <c r="E5" s="38" t="s">
        <v>4</v>
      </c>
      <c r="F5" s="38" t="s">
        <v>5</v>
      </c>
      <c r="G5" s="63" t="s">
        <v>525</v>
      </c>
      <c r="H5" s="208" t="s">
        <v>6</v>
      </c>
      <c r="I5" s="208" t="s">
        <v>191</v>
      </c>
      <c r="J5" s="39" t="s">
        <v>7</v>
      </c>
      <c r="K5" s="39" t="s">
        <v>527</v>
      </c>
      <c r="L5" s="151" t="s">
        <v>528</v>
      </c>
      <c r="M5" s="151" t="s">
        <v>8</v>
      </c>
      <c r="N5" s="40" t="s">
        <v>174</v>
      </c>
      <c r="O5" s="149" t="s">
        <v>315</v>
      </c>
      <c r="P5" s="39" t="s">
        <v>329</v>
      </c>
      <c r="Q5" s="39" t="s">
        <v>529</v>
      </c>
      <c r="R5" s="161"/>
    </row>
    <row r="6" spans="1:29">
      <c r="A6" s="60" t="s">
        <v>9</v>
      </c>
      <c r="B6" s="36" t="s">
        <v>10</v>
      </c>
      <c r="C6" s="60" t="s">
        <v>11</v>
      </c>
      <c r="D6" s="45" t="s">
        <v>12</v>
      </c>
      <c r="E6" s="45" t="s">
        <v>13</v>
      </c>
      <c r="F6" s="45"/>
      <c r="G6" s="163">
        <v>10000</v>
      </c>
      <c r="H6" s="163">
        <v>8590.3700000000008</v>
      </c>
      <c r="I6" s="163">
        <f>G6-H6</f>
        <v>1409.6299999999992</v>
      </c>
      <c r="J6" s="48">
        <f>G6/VLOOKUP(A6,RESUME!$G$3:$I$10,3,FALSE)</f>
        <v>0.14728026373771388</v>
      </c>
      <c r="K6" s="163">
        <f>G6*$K$4</f>
        <v>8000</v>
      </c>
      <c r="L6" s="163">
        <f>G6*$L$4</f>
        <v>10000</v>
      </c>
      <c r="M6" s="154">
        <f>IF(L6=0,0,IF(H6&gt;L6,0,L6/IF(H6&gt;=K6,H6,K6)*J6))</f>
        <v>0.17144810262854088</v>
      </c>
      <c r="N6" s="47" t="str">
        <f>_xlfn.IFNA(VLOOKUP(A6&amp;"-"&amp;B6&amp;"-"&amp;D6,Ref_Account!$A:$F,6,FALSE),"ACCOUNT TIDAK DITEMUKAN")</f>
        <v>1201.720400</v>
      </c>
      <c r="O6" s="45">
        <f t="shared" ref="O6:O37" si="0">IF(N6="ACCOUNT TIDAK DITEMUKAN","9999",COUNTIF($N$6:$N$164,N6))</f>
        <v>1</v>
      </c>
      <c r="P6" s="45" t="str">
        <f t="shared" ref="P6:P69" si="1">IF(I6&gt;0,"OK","OVER")</f>
        <v>OK</v>
      </c>
      <c r="Q6" s="159"/>
      <c r="R6" s="213">
        <f>SUMIF($B$6:$B$162,B6,$G$6:$G$162)</f>
        <v>20000</v>
      </c>
      <c r="AA6" s="1">
        <f>IF(LEFT(N6,4)="1201",_xlfn.IFNA(VLOOKUP(B6,Production_Cost!$L:$P,2,FALSE),G6),IF(LEFT(N6,4)="1204",_xlfn.IFNA(VLOOKUP(B6,Production_Cost!$L:$P,3,FALSE),G6),IF(LEFT(N6,4)="1205",_xlfn.IFNA(VLOOKUP(B6,Production_Cost!$L:$P,4,FALSE),G6),IF(LEFT(N6,4)="1206",_xlfn.IFNA(VLOOKUP(B6,Production_Cost!$L:$P,5,FALSE),G6),"BU tidak sesuai"))))</f>
        <v>9944.2800000000007</v>
      </c>
      <c r="AB6" s="1" t="str">
        <f>LEFT(N6,4)&amp;"-"&amp;B6</f>
        <v>1201-EXPEDITION/SEA FREIGHT</v>
      </c>
      <c r="AC6" s="1">
        <v>8590.3700000000008</v>
      </c>
    </row>
    <row r="7" spans="1:29">
      <c r="A7" s="61" t="s">
        <v>9</v>
      </c>
      <c r="B7" s="37" t="s">
        <v>10</v>
      </c>
      <c r="C7" s="61" t="s">
        <v>11</v>
      </c>
      <c r="D7" s="46" t="s">
        <v>14</v>
      </c>
      <c r="E7" s="46" t="s">
        <v>15</v>
      </c>
      <c r="F7" s="46"/>
      <c r="G7" s="164">
        <v>10000</v>
      </c>
      <c r="H7" s="164">
        <v>3143.46</v>
      </c>
      <c r="I7" s="164">
        <f t="shared" ref="I7:I37" si="2">G7-H7</f>
        <v>6856.54</v>
      </c>
      <c r="J7" s="50">
        <f>G7/VLOOKUP(A7,RESUME!$G$3:$I$10,3,FALSE)</f>
        <v>0.14728026373771388</v>
      </c>
      <c r="K7" s="164">
        <f t="shared" ref="K7:K70" si="3">G7*$K$4</f>
        <v>8000</v>
      </c>
      <c r="L7" s="164">
        <f t="shared" ref="L7:L70" si="4">G7*$L$4</f>
        <v>10000</v>
      </c>
      <c r="M7" s="156">
        <f t="shared" ref="M7:M69" si="5">IF(L7=0,0,IF(H7&gt;L7,0,L7/IF(H7&gt;=K7,H7,K7)*J7))</f>
        <v>0.18410032967214235</v>
      </c>
      <c r="N7" s="49" t="str">
        <f>_xlfn.IFNA(VLOOKUP(A7&amp;"-"&amp;B7&amp;"-"&amp;D7,Ref_Account!$A:$F,6,FALSE),"ACCOUNT TIDAK DITEMUKAN")</f>
        <v>1204.720400</v>
      </c>
      <c r="O7" s="46">
        <f t="shared" si="0"/>
        <v>1</v>
      </c>
      <c r="P7" s="46" t="str">
        <f t="shared" si="1"/>
        <v>OK</v>
      </c>
      <c r="Q7" s="206"/>
      <c r="R7" s="213">
        <f t="shared" ref="R7:R70" si="6">SUMIF($B$6:$B$162,B7,$G$6:$G$162)</f>
        <v>20000</v>
      </c>
      <c r="AA7" s="1">
        <f>IF(LEFT(N7,4)="1201",_xlfn.IFNA(VLOOKUP(B7,Production_Cost!$L:$P,2,FALSE),G7),IF(LEFT(N7,4)="1204",_xlfn.IFNA(VLOOKUP(B7,Production_Cost!$L:$P,3,FALSE),G7),IF(LEFT(N7,4)="1205",_xlfn.IFNA(VLOOKUP(B7,Production_Cost!$L:$P,4,FALSE),G7),IF(LEFT(N7,4)="1206",_xlfn.IFNA(VLOOKUP(B7,Production_Cost!$L:$P,5,FALSE),G7),"BU tidak sesuai"))))</f>
        <v>313.45999999999998</v>
      </c>
      <c r="AB7" s="1" t="str">
        <f t="shared" ref="AB7:AB70" si="7">LEFT(N7,4)&amp;"-"&amp;B7</f>
        <v>1204-EXPEDITION/SEA FREIGHT</v>
      </c>
      <c r="AC7" s="1">
        <v>3143.46</v>
      </c>
    </row>
    <row r="8" spans="1:29">
      <c r="A8" s="60" t="s">
        <v>9</v>
      </c>
      <c r="B8" s="36" t="s">
        <v>16</v>
      </c>
      <c r="C8" s="60" t="s">
        <v>17</v>
      </c>
      <c r="D8" s="45" t="s">
        <v>12</v>
      </c>
      <c r="E8" s="45" t="s">
        <v>18</v>
      </c>
      <c r="F8" s="45"/>
      <c r="G8" s="163">
        <v>1987.05</v>
      </c>
      <c r="H8" s="163"/>
      <c r="I8" s="163">
        <f t="shared" si="2"/>
        <v>1987.05</v>
      </c>
      <c r="J8" s="48">
        <f>G8/VLOOKUP(A8,RESUME!$G$3:$I$10,3,FALSE)</f>
        <v>2.9265324806002437E-2</v>
      </c>
      <c r="K8" s="163">
        <f t="shared" si="3"/>
        <v>1589.64</v>
      </c>
      <c r="L8" s="163">
        <f t="shared" si="4"/>
        <v>1987.05</v>
      </c>
      <c r="M8" s="154">
        <f t="shared" si="5"/>
        <v>3.6581656007503044E-2</v>
      </c>
      <c r="N8" s="47" t="str">
        <f>_xlfn.IFNA(VLOOKUP(A8&amp;"-"&amp;B8&amp;"-"&amp;D8,Ref_Account!$A:$F,6,FALSE),"ACCOUNT TIDAK DITEMUKAN")</f>
        <v>1201.816110</v>
      </c>
      <c r="O8" s="45">
        <f t="shared" si="0"/>
        <v>1</v>
      </c>
      <c r="P8" s="45" t="str">
        <f t="shared" si="1"/>
        <v>OK</v>
      </c>
      <c r="Q8" s="159"/>
      <c r="R8" s="213">
        <f t="shared" si="6"/>
        <v>2313.0500000000002</v>
      </c>
      <c r="AA8" s="1">
        <f>IF(LEFT(N8,4)="1201",_xlfn.IFNA(VLOOKUP(B8,Production_Cost!$L:$P,2,FALSE),G8),IF(LEFT(N8,4)="1204",_xlfn.IFNA(VLOOKUP(B8,Production_Cost!$L:$P,3,FALSE),G8),IF(LEFT(N8,4)="1205",_xlfn.IFNA(VLOOKUP(B8,Production_Cost!$L:$P,4,FALSE),G8),IF(LEFT(N8,4)="1206",_xlfn.IFNA(VLOOKUP(B8,Production_Cost!$L:$P,5,FALSE),G8),"BU tidak sesuai"))))</f>
        <v>0</v>
      </c>
      <c r="AB8" s="1" t="str">
        <f t="shared" si="7"/>
        <v>1201-INSURANCE EXPENSES</v>
      </c>
    </row>
    <row r="9" spans="1:29">
      <c r="A9" s="61" t="s">
        <v>9</v>
      </c>
      <c r="B9" s="37" t="s">
        <v>16</v>
      </c>
      <c r="C9" s="61" t="s">
        <v>17</v>
      </c>
      <c r="D9" s="46" t="s">
        <v>14</v>
      </c>
      <c r="E9" s="46" t="s">
        <v>19</v>
      </c>
      <c r="F9" s="46"/>
      <c r="G9" s="164">
        <v>326</v>
      </c>
      <c r="H9" s="164">
        <v>394.88</v>
      </c>
      <c r="I9" s="164">
        <f t="shared" si="2"/>
        <v>-68.88</v>
      </c>
      <c r="J9" s="50">
        <f>G9/VLOOKUP(A9,RESUME!$G$3:$I$10,3,FALSE)</f>
        <v>4.8013365978494729E-3</v>
      </c>
      <c r="K9" s="164">
        <f t="shared" si="3"/>
        <v>260.8</v>
      </c>
      <c r="L9" s="164">
        <f t="shared" si="4"/>
        <v>326</v>
      </c>
      <c r="M9" s="156">
        <f t="shared" si="5"/>
        <v>0</v>
      </c>
      <c r="N9" s="49" t="str">
        <f>_xlfn.IFNA(VLOOKUP(A9&amp;"-"&amp;B9&amp;"-"&amp;D9,Ref_Account!$A:$F,6,FALSE),"ACCOUNT TIDAK DITEMUKAN")</f>
        <v>1204.816110</v>
      </c>
      <c r="O9" s="46">
        <f t="shared" si="0"/>
        <v>1</v>
      </c>
      <c r="P9" s="46" t="str">
        <f t="shared" si="1"/>
        <v>OVER</v>
      </c>
      <c r="Q9" s="206"/>
      <c r="R9" s="213">
        <f t="shared" si="6"/>
        <v>2313.0500000000002</v>
      </c>
      <c r="AA9" s="1">
        <f>IF(LEFT(N9,4)="1201",_xlfn.IFNA(VLOOKUP(B9,Production_Cost!$L:$P,2,FALSE),G9),IF(LEFT(N9,4)="1204",_xlfn.IFNA(VLOOKUP(B9,Production_Cost!$L:$P,3,FALSE),G9),IF(LEFT(N9,4)="1205",_xlfn.IFNA(VLOOKUP(B9,Production_Cost!$L:$P,4,FALSE),G9),IF(LEFT(N9,4)="1206",_xlfn.IFNA(VLOOKUP(B9,Production_Cost!$L:$P,5,FALSE),G9),"BU tidak sesuai"))))</f>
        <v>394.88</v>
      </c>
      <c r="AB9" s="1" t="str">
        <f t="shared" si="7"/>
        <v>1204-INSURANCE EXPENSES</v>
      </c>
      <c r="AC9" s="1">
        <v>394.88</v>
      </c>
    </row>
    <row r="10" spans="1:29">
      <c r="A10" s="60" t="s">
        <v>9</v>
      </c>
      <c r="B10" s="36" t="s">
        <v>20</v>
      </c>
      <c r="C10" s="60" t="s">
        <v>21</v>
      </c>
      <c r="D10" s="45" t="s">
        <v>12</v>
      </c>
      <c r="E10" s="45" t="s">
        <v>22</v>
      </c>
      <c r="F10" s="45"/>
      <c r="G10" s="163">
        <v>15015.099999999999</v>
      </c>
      <c r="H10" s="163">
        <v>5694.9699999999975</v>
      </c>
      <c r="I10" s="163">
        <f t="shared" si="2"/>
        <v>9320.130000000001</v>
      </c>
      <c r="J10" s="48">
        <f>G10/VLOOKUP(A10,RESUME!$G$3:$I$10,3,FALSE)</f>
        <v>0.22114278880481478</v>
      </c>
      <c r="K10" s="163">
        <f t="shared" si="3"/>
        <v>12012.08</v>
      </c>
      <c r="L10" s="163">
        <f t="shared" si="4"/>
        <v>15015.099999999999</v>
      </c>
      <c r="M10" s="154">
        <f t="shared" si="5"/>
        <v>0.27642848600601844</v>
      </c>
      <c r="N10" s="47" t="str">
        <f>_xlfn.IFNA(VLOOKUP(A10&amp;"-"&amp;B10&amp;"-"&amp;D10,Ref_Account!$A:$F,6,FALSE),"ACCOUNT TIDAK DITEMUKAN")</f>
        <v>1201.631100</v>
      </c>
      <c r="O10" s="45">
        <f t="shared" si="0"/>
        <v>3</v>
      </c>
      <c r="P10" s="45" t="str">
        <f t="shared" si="1"/>
        <v>OK</v>
      </c>
      <c r="Q10" s="159"/>
      <c r="R10" s="213">
        <f t="shared" si="6"/>
        <v>37855.32</v>
      </c>
      <c r="AA10" s="1">
        <f>IF(LEFT(N10,4)="1201",_xlfn.IFNA(VLOOKUP(B10,Production_Cost!$L:$P,2,FALSE),G10),IF(LEFT(N10,4)="1204",_xlfn.IFNA(VLOOKUP(B10,Production_Cost!$L:$P,3,FALSE),G10),IF(LEFT(N10,4)="1205",_xlfn.IFNA(VLOOKUP(B10,Production_Cost!$L:$P,4,FALSE),G10),IF(LEFT(N10,4)="1206",_xlfn.IFNA(VLOOKUP(B10,Production_Cost!$L:$P,5,FALSE),G10),"BU tidak sesuai"))))</f>
        <v>15015.099999999999</v>
      </c>
      <c r="AB10" s="1" t="str">
        <f t="shared" si="7"/>
        <v>1201-OTHER PRODUCTION COST</v>
      </c>
      <c r="AC10" s="1">
        <v>5694.9699999999975</v>
      </c>
    </row>
    <row r="11" spans="1:29">
      <c r="A11" s="61" t="s">
        <v>9</v>
      </c>
      <c r="B11" s="37" t="s">
        <v>20</v>
      </c>
      <c r="C11" s="61" t="s">
        <v>21</v>
      </c>
      <c r="D11" s="46" t="s">
        <v>23</v>
      </c>
      <c r="E11" s="46" t="s">
        <v>24</v>
      </c>
      <c r="F11" s="46"/>
      <c r="G11" s="164">
        <v>26.7199999999998</v>
      </c>
      <c r="H11" s="164">
        <v>475.78</v>
      </c>
      <c r="I11" s="164">
        <f t="shared" si="2"/>
        <v>-449.06000000000017</v>
      </c>
      <c r="J11" s="50">
        <f>G11/VLOOKUP(A11,RESUME!$G$3:$I$10,3,FALSE)</f>
        <v>3.9353286470716859E-4</v>
      </c>
      <c r="K11" s="164">
        <f t="shared" si="3"/>
        <v>21.375999999999841</v>
      </c>
      <c r="L11" s="164">
        <f t="shared" si="4"/>
        <v>26.7199999999998</v>
      </c>
      <c r="M11" s="156">
        <f t="shared" si="5"/>
        <v>0</v>
      </c>
      <c r="N11" s="49" t="str">
        <f>_xlfn.IFNA(VLOOKUP(A11&amp;"-"&amp;B11&amp;"-"&amp;D11,Ref_Account!$A:$F,6,FALSE),"ACCOUNT TIDAK DITEMUKAN")</f>
        <v>1205.631100</v>
      </c>
      <c r="O11" s="46">
        <f t="shared" si="0"/>
        <v>3</v>
      </c>
      <c r="P11" s="46" t="str">
        <f t="shared" si="1"/>
        <v>OVER</v>
      </c>
      <c r="Q11" s="206"/>
      <c r="R11" s="213">
        <f t="shared" si="6"/>
        <v>37855.32</v>
      </c>
      <c r="AA11" s="1">
        <f>IF(LEFT(N11,4)="1201",_xlfn.IFNA(VLOOKUP(B11,Production_Cost!$L:$P,2,FALSE),G11),IF(LEFT(N11,4)="1204",_xlfn.IFNA(VLOOKUP(B11,Production_Cost!$L:$P,3,FALSE),G11),IF(LEFT(N11,4)="1205",_xlfn.IFNA(VLOOKUP(B11,Production_Cost!$L:$P,4,FALSE),G11),IF(LEFT(N11,4)="1206",_xlfn.IFNA(VLOOKUP(B11,Production_Cost!$L:$P,5,FALSE),G11),"BU tidak sesuai"))))</f>
        <v>26.7199999999998</v>
      </c>
      <c r="AB11" s="1" t="str">
        <f t="shared" si="7"/>
        <v>1205-OTHER PRODUCTION COST</v>
      </c>
      <c r="AC11" s="1">
        <v>475.78</v>
      </c>
    </row>
    <row r="12" spans="1:29">
      <c r="A12" s="60" t="s">
        <v>9</v>
      </c>
      <c r="B12" s="36" t="s">
        <v>20</v>
      </c>
      <c r="C12" s="60" t="s">
        <v>21</v>
      </c>
      <c r="D12" s="45" t="s">
        <v>14</v>
      </c>
      <c r="E12" s="45" t="s">
        <v>24</v>
      </c>
      <c r="F12" s="45"/>
      <c r="G12" s="163">
        <v>15124.89</v>
      </c>
      <c r="H12" s="163">
        <v>1394454.02</v>
      </c>
      <c r="I12" s="163">
        <f t="shared" si="2"/>
        <v>-1379329.1300000001</v>
      </c>
      <c r="J12" s="48">
        <f>G12/VLOOKUP(A12,RESUME!$G$3:$I$10,3,FALSE)</f>
        <v>0.22275977882039114</v>
      </c>
      <c r="K12" s="163">
        <f t="shared" si="3"/>
        <v>12099.912</v>
      </c>
      <c r="L12" s="163">
        <f t="shared" si="4"/>
        <v>15124.89</v>
      </c>
      <c r="M12" s="154">
        <f t="shared" si="5"/>
        <v>0</v>
      </c>
      <c r="N12" s="47" t="str">
        <f>_xlfn.IFNA(VLOOKUP(A12&amp;"-"&amp;B12&amp;"-"&amp;D12,Ref_Account!$A:$F,6,FALSE),"ACCOUNT TIDAK DITEMUKAN")</f>
        <v>1204.631100</v>
      </c>
      <c r="O12" s="45">
        <f t="shared" si="0"/>
        <v>3</v>
      </c>
      <c r="P12" s="45" t="str">
        <f t="shared" si="1"/>
        <v>OVER</v>
      </c>
      <c r="Q12" s="159"/>
      <c r="R12" s="213">
        <f t="shared" si="6"/>
        <v>37855.32</v>
      </c>
      <c r="AA12" s="1">
        <f>IF(LEFT(N12,4)="1201",_xlfn.IFNA(VLOOKUP(B12,Production_Cost!$L:$P,2,FALSE),G12),IF(LEFT(N12,4)="1204",_xlfn.IFNA(VLOOKUP(B12,Production_Cost!$L:$P,3,FALSE),G12),IF(LEFT(N12,4)="1205",_xlfn.IFNA(VLOOKUP(B12,Production_Cost!$L:$P,4,FALSE),G12),IF(LEFT(N12,4)="1206",_xlfn.IFNA(VLOOKUP(B12,Production_Cost!$L:$P,5,FALSE),G12),"BU tidak sesuai"))))</f>
        <v>15124.89</v>
      </c>
      <c r="AB12" s="1" t="str">
        <f t="shared" si="7"/>
        <v>1204-OTHER PRODUCTION COST</v>
      </c>
      <c r="AC12" s="1">
        <v>1394454.02</v>
      </c>
    </row>
    <row r="13" spans="1:29">
      <c r="A13" s="61" t="s">
        <v>9</v>
      </c>
      <c r="B13" s="37" t="s">
        <v>25</v>
      </c>
      <c r="C13" s="61" t="s">
        <v>26</v>
      </c>
      <c r="D13" s="46" t="s">
        <v>12</v>
      </c>
      <c r="E13" s="46" t="s">
        <v>27</v>
      </c>
      <c r="F13" s="46"/>
      <c r="G13" s="164">
        <v>639</v>
      </c>
      <c r="H13" s="164">
        <v>4.83</v>
      </c>
      <c r="I13" s="164">
        <f t="shared" si="2"/>
        <v>634.16999999999996</v>
      </c>
      <c r="J13" s="50">
        <f>G13/VLOOKUP(A13,RESUME!$G$3:$I$10,3,FALSE)</f>
        <v>9.4112088528399175E-3</v>
      </c>
      <c r="K13" s="164">
        <f t="shared" si="3"/>
        <v>511.20000000000005</v>
      </c>
      <c r="L13" s="164">
        <f t="shared" si="4"/>
        <v>639</v>
      </c>
      <c r="M13" s="156">
        <f t="shared" si="5"/>
        <v>1.1764011066049894E-2</v>
      </c>
      <c r="N13" s="49" t="str">
        <f>_xlfn.IFNA(VLOOKUP(A13&amp;"-"&amp;B13&amp;"-"&amp;D13,Ref_Account!$A:$F,6,FALSE),"ACCOUNT TIDAK DITEMUKAN")</f>
        <v>1201.631180</v>
      </c>
      <c r="O13" s="46">
        <f t="shared" si="0"/>
        <v>1</v>
      </c>
      <c r="P13" s="46" t="str">
        <f t="shared" si="1"/>
        <v>OK</v>
      </c>
      <c r="Q13" s="206"/>
      <c r="R13" s="213">
        <f t="shared" si="6"/>
        <v>5205</v>
      </c>
      <c r="AA13" s="1">
        <f>IF(LEFT(N13,4)="1201",_xlfn.IFNA(VLOOKUP(B13,Production_Cost!$L:$P,2,FALSE),G13),IF(LEFT(N13,4)="1204",_xlfn.IFNA(VLOOKUP(B13,Production_Cost!$L:$P,3,FALSE),G13),IF(LEFT(N13,4)="1205",_xlfn.IFNA(VLOOKUP(B13,Production_Cost!$L:$P,4,FALSE),G13),IF(LEFT(N13,4)="1206",_xlfn.IFNA(VLOOKUP(B13,Production_Cost!$L:$P,5,FALSE),G13),"BU tidak sesuai"))))</f>
        <v>639</v>
      </c>
      <c r="AB13" s="1" t="str">
        <f t="shared" si="7"/>
        <v>1201-PEMAKAIAN GENERAL MATERIAL</v>
      </c>
      <c r="AC13" s="1">
        <v>4.83</v>
      </c>
    </row>
    <row r="14" spans="1:29">
      <c r="A14" s="60" t="s">
        <v>9</v>
      </c>
      <c r="B14" s="36" t="s">
        <v>25</v>
      </c>
      <c r="C14" s="60" t="s">
        <v>26</v>
      </c>
      <c r="D14" s="45" t="s">
        <v>23</v>
      </c>
      <c r="E14" s="45" t="s">
        <v>28</v>
      </c>
      <c r="F14" s="45"/>
      <c r="G14" s="163">
        <v>1265</v>
      </c>
      <c r="H14" s="163">
        <v>598.58000000000004</v>
      </c>
      <c r="I14" s="163">
        <f t="shared" si="2"/>
        <v>666.42</v>
      </c>
      <c r="J14" s="48">
        <f>G14/VLOOKUP(A14,RESUME!$G$3:$I$10,3,FALSE)</f>
        <v>1.8630953362820807E-2</v>
      </c>
      <c r="K14" s="163">
        <f t="shared" si="3"/>
        <v>1012</v>
      </c>
      <c r="L14" s="163">
        <f t="shared" si="4"/>
        <v>1265</v>
      </c>
      <c r="M14" s="154">
        <f t="shared" si="5"/>
        <v>2.3288691703526009E-2</v>
      </c>
      <c r="N14" s="47" t="str">
        <f>_xlfn.IFNA(VLOOKUP(A14&amp;"-"&amp;B14&amp;"-"&amp;D14,Ref_Account!$A:$F,6,FALSE),"ACCOUNT TIDAK DITEMUKAN")</f>
        <v>1204.631180</v>
      </c>
      <c r="O14" s="45">
        <f t="shared" si="0"/>
        <v>1</v>
      </c>
      <c r="P14" s="45" t="str">
        <f t="shared" si="1"/>
        <v>OK</v>
      </c>
      <c r="Q14" s="159"/>
      <c r="R14" s="213">
        <f t="shared" si="6"/>
        <v>5205</v>
      </c>
      <c r="AA14" s="1">
        <f>IF(LEFT(N14,4)="1201",_xlfn.IFNA(VLOOKUP(B14,Production_Cost!$L:$P,2,FALSE),G14),IF(LEFT(N14,4)="1204",_xlfn.IFNA(VLOOKUP(B14,Production_Cost!$L:$P,3,FALSE),G14),IF(LEFT(N14,4)="1205",_xlfn.IFNA(VLOOKUP(B14,Production_Cost!$L:$P,4,FALSE),G14),IF(LEFT(N14,4)="1206",_xlfn.IFNA(VLOOKUP(B14,Production_Cost!$L:$P,5,FALSE),G14),"BU tidak sesuai"))))</f>
        <v>1265</v>
      </c>
      <c r="AB14" s="1" t="str">
        <f t="shared" si="7"/>
        <v>1204-PEMAKAIAN GENERAL MATERIAL</v>
      </c>
      <c r="AC14" s="1">
        <v>598.58000000000004</v>
      </c>
    </row>
    <row r="15" spans="1:29">
      <c r="A15" s="61" t="s">
        <v>9</v>
      </c>
      <c r="B15" s="37" t="s">
        <v>25</v>
      </c>
      <c r="C15" s="61" t="s">
        <v>26</v>
      </c>
      <c r="D15" s="46" t="s">
        <v>14</v>
      </c>
      <c r="E15" s="46" t="s">
        <v>28</v>
      </c>
      <c r="F15" s="46"/>
      <c r="G15" s="164">
        <v>2489</v>
      </c>
      <c r="H15" s="164">
        <v>217.48</v>
      </c>
      <c r="I15" s="164">
        <f t="shared" si="2"/>
        <v>2271.52</v>
      </c>
      <c r="J15" s="50">
        <f>G15/VLOOKUP(A15,RESUME!$G$3:$I$10,3,FALSE)</f>
        <v>3.6658057644316989E-2</v>
      </c>
      <c r="K15" s="164">
        <f t="shared" si="3"/>
        <v>1991.2</v>
      </c>
      <c r="L15" s="164">
        <f t="shared" si="4"/>
        <v>2489</v>
      </c>
      <c r="M15" s="156">
        <f t="shared" si="5"/>
        <v>4.5822572055396235E-2</v>
      </c>
      <c r="N15" s="49" t="str">
        <f>_xlfn.IFNA(VLOOKUP(A15&amp;"-"&amp;B15&amp;"-"&amp;D15,Ref_Account!$A:$F,6,FALSE),"ACCOUNT TIDAK DITEMUKAN")</f>
        <v>1205.631180</v>
      </c>
      <c r="O15" s="46">
        <f t="shared" si="0"/>
        <v>1</v>
      </c>
      <c r="P15" s="46" t="str">
        <f t="shared" si="1"/>
        <v>OK</v>
      </c>
      <c r="Q15" s="206"/>
      <c r="R15" s="213">
        <f t="shared" si="6"/>
        <v>5205</v>
      </c>
      <c r="AA15" s="1">
        <f>IF(LEFT(N15,4)="1201",_xlfn.IFNA(VLOOKUP(B15,Production_Cost!$L:$P,2,FALSE),G15),IF(LEFT(N15,4)="1204",_xlfn.IFNA(VLOOKUP(B15,Production_Cost!$L:$P,3,FALSE),G15),IF(LEFT(N15,4)="1205",_xlfn.IFNA(VLOOKUP(B15,Production_Cost!$L:$P,4,FALSE),G15),IF(LEFT(N15,4)="1206",_xlfn.IFNA(VLOOKUP(B15,Production_Cost!$L:$P,5,FALSE),G15),"BU tidak sesuai"))))</f>
        <v>2489</v>
      </c>
      <c r="AB15" s="1" t="str">
        <f t="shared" si="7"/>
        <v>1205-PEMAKAIAN GENERAL MATERIAL</v>
      </c>
      <c r="AC15" s="1">
        <v>217.48</v>
      </c>
    </row>
    <row r="16" spans="1:29">
      <c r="A16" s="60" t="s">
        <v>9</v>
      </c>
      <c r="B16" s="36" t="s">
        <v>29</v>
      </c>
      <c r="C16" s="60" t="s">
        <v>30</v>
      </c>
      <c r="D16" s="45" t="s">
        <v>12</v>
      </c>
      <c r="E16" s="45" t="s">
        <v>27</v>
      </c>
      <c r="F16" s="45"/>
      <c r="G16" s="163">
        <v>1025</v>
      </c>
      <c r="H16" s="163"/>
      <c r="I16" s="163">
        <f t="shared" si="2"/>
        <v>1025</v>
      </c>
      <c r="J16" s="48">
        <f>G16/VLOOKUP(A16,RESUME!$G$3:$I$10,3,FALSE)</f>
        <v>1.5096227033115674E-2</v>
      </c>
      <c r="K16" s="163">
        <f t="shared" si="3"/>
        <v>820</v>
      </c>
      <c r="L16" s="163">
        <f t="shared" si="4"/>
        <v>1025</v>
      </c>
      <c r="M16" s="154">
        <f t="shared" si="5"/>
        <v>1.887028379139459E-2</v>
      </c>
      <c r="N16" s="47" t="str">
        <f>_xlfn.IFNA(VLOOKUP(A16&amp;"-"&amp;B16&amp;"-"&amp;D16,Ref_Account!$A:$F,6,FALSE),"ACCOUNT TIDAK DITEMUKAN")</f>
        <v>1201.631150</v>
      </c>
      <c r="O16" s="45">
        <f t="shared" si="0"/>
        <v>1</v>
      </c>
      <c r="P16" s="45" t="str">
        <f t="shared" si="1"/>
        <v>OK</v>
      </c>
      <c r="Q16" s="159"/>
      <c r="R16" s="213">
        <f t="shared" si="6"/>
        <v>1025</v>
      </c>
      <c r="AA16" s="1">
        <f>IF(LEFT(N16,4)="1201",_xlfn.IFNA(VLOOKUP(B16,Production_Cost!$L:$P,2,FALSE),G16),IF(LEFT(N16,4)="1204",_xlfn.IFNA(VLOOKUP(B16,Production_Cost!$L:$P,3,FALSE),G16),IF(LEFT(N16,4)="1205",_xlfn.IFNA(VLOOKUP(B16,Production_Cost!$L:$P,4,FALSE),G16),IF(LEFT(N16,4)="1206",_xlfn.IFNA(VLOOKUP(B16,Production_Cost!$L:$P,5,FALSE),G16),"BU tidak sesuai"))))</f>
        <v>1025</v>
      </c>
      <c r="AB16" s="1" t="str">
        <f t="shared" si="7"/>
        <v>1201-PEMAKAIAN PACKING</v>
      </c>
    </row>
    <row r="17" spans="1:29">
      <c r="A17" s="61" t="s">
        <v>9</v>
      </c>
      <c r="B17" s="37" t="s">
        <v>31</v>
      </c>
      <c r="C17" s="61" t="s">
        <v>32</v>
      </c>
      <c r="D17" s="46" t="s">
        <v>12</v>
      </c>
      <c r="E17" s="46" t="s">
        <v>33</v>
      </c>
      <c r="F17" s="46"/>
      <c r="G17" s="164">
        <v>8000</v>
      </c>
      <c r="H17" s="164">
        <v>669.9</v>
      </c>
      <c r="I17" s="164">
        <f t="shared" si="2"/>
        <v>7330.1</v>
      </c>
      <c r="J17" s="50">
        <f>G17/VLOOKUP(A17,RESUME!$G$3:$I$10,3,FALSE)</f>
        <v>0.11782421099017111</v>
      </c>
      <c r="K17" s="164">
        <f t="shared" si="3"/>
        <v>6400</v>
      </c>
      <c r="L17" s="164">
        <f t="shared" si="4"/>
        <v>8000</v>
      </c>
      <c r="M17" s="156">
        <f t="shared" si="5"/>
        <v>0.14728026373771388</v>
      </c>
      <c r="N17" s="49" t="str">
        <f>_xlfn.IFNA(VLOOKUP(A17&amp;"-"&amp;B17&amp;"-"&amp;D17,Ref_Account!$A:$F,6,FALSE),"ACCOUNT TIDAK DITEMUKAN")</f>
        <v>1201.720100</v>
      </c>
      <c r="O17" s="46">
        <f t="shared" si="0"/>
        <v>1</v>
      </c>
      <c r="P17" s="46" t="str">
        <f t="shared" si="1"/>
        <v>OK</v>
      </c>
      <c r="Q17" s="206"/>
      <c r="R17" s="213">
        <f t="shared" si="6"/>
        <v>10000</v>
      </c>
      <c r="AA17" s="1">
        <f>IF(LEFT(N17,4)="1201",_xlfn.IFNA(VLOOKUP(B17,Production_Cost!$L:$P,2,FALSE),G17),IF(LEFT(N17,4)="1204",_xlfn.IFNA(VLOOKUP(B17,Production_Cost!$L:$P,3,FALSE),G17),IF(LEFT(N17,4)="1205",_xlfn.IFNA(VLOOKUP(B17,Production_Cost!$L:$P,4,FALSE),G17),IF(LEFT(N17,4)="1206",_xlfn.IFNA(VLOOKUP(B17,Production_Cost!$L:$P,5,FALSE),G17),"BU tidak sesuai"))))</f>
        <v>669.9</v>
      </c>
      <c r="AB17" s="1" t="str">
        <f t="shared" si="7"/>
        <v>1201-TRUCKING EXPENSES</v>
      </c>
      <c r="AC17" s="1">
        <v>669.9</v>
      </c>
    </row>
    <row r="18" spans="1:29">
      <c r="A18" s="60" t="s">
        <v>9</v>
      </c>
      <c r="B18" s="36" t="s">
        <v>31</v>
      </c>
      <c r="C18" s="60" t="s">
        <v>32</v>
      </c>
      <c r="D18" s="45" t="s">
        <v>23</v>
      </c>
      <c r="E18" s="45" t="s">
        <v>33</v>
      </c>
      <c r="F18" s="45"/>
      <c r="G18" s="163">
        <v>1000</v>
      </c>
      <c r="H18" s="163">
        <v>2590.0100000000002</v>
      </c>
      <c r="I18" s="163">
        <f t="shared" si="2"/>
        <v>-1590.0100000000002</v>
      </c>
      <c r="J18" s="48">
        <f>G18/VLOOKUP(A18,RESUME!$G$3:$I$10,3,FALSE)</f>
        <v>1.4728026373771389E-2</v>
      </c>
      <c r="K18" s="163">
        <f t="shared" si="3"/>
        <v>800</v>
      </c>
      <c r="L18" s="163">
        <f t="shared" si="4"/>
        <v>1000</v>
      </c>
      <c r="M18" s="154">
        <f t="shared" si="5"/>
        <v>0</v>
      </c>
      <c r="N18" s="47" t="str">
        <f>_xlfn.IFNA(VLOOKUP(A18&amp;"-"&amp;B18&amp;"-"&amp;D18,Ref_Account!$A:$F,6,FALSE),"ACCOUNT TIDAK DITEMUKAN")</f>
        <v>1205.720100</v>
      </c>
      <c r="O18" s="45">
        <f t="shared" si="0"/>
        <v>1</v>
      </c>
      <c r="P18" s="45" t="str">
        <f t="shared" si="1"/>
        <v>OVER</v>
      </c>
      <c r="Q18" s="159"/>
      <c r="R18" s="213">
        <f t="shared" si="6"/>
        <v>10000</v>
      </c>
      <c r="AA18" s="1">
        <f>IF(LEFT(N18,4)="1201",_xlfn.IFNA(VLOOKUP(B18,Production_Cost!$L:$P,2,FALSE),G18),IF(LEFT(N18,4)="1204",_xlfn.IFNA(VLOOKUP(B18,Production_Cost!$L:$P,3,FALSE),G18),IF(LEFT(N18,4)="1205",_xlfn.IFNA(VLOOKUP(B18,Production_Cost!$L:$P,4,FALSE),G18),IF(LEFT(N18,4)="1206",_xlfn.IFNA(VLOOKUP(B18,Production_Cost!$L:$P,5,FALSE),G18),"BU tidak sesuai"))))</f>
        <v>2590.0100000000002</v>
      </c>
      <c r="AB18" s="1" t="str">
        <f t="shared" si="7"/>
        <v>1205-TRUCKING EXPENSES</v>
      </c>
      <c r="AC18" s="1">
        <v>2590.0100000000002</v>
      </c>
    </row>
    <row r="19" spans="1:29">
      <c r="A19" s="61" t="s">
        <v>9</v>
      </c>
      <c r="B19" s="37" t="s">
        <v>31</v>
      </c>
      <c r="C19" s="61" t="s">
        <v>32</v>
      </c>
      <c r="D19" s="46" t="s">
        <v>14</v>
      </c>
      <c r="E19" s="46" t="s">
        <v>33</v>
      </c>
      <c r="F19" s="46"/>
      <c r="G19" s="164">
        <v>1000</v>
      </c>
      <c r="H19" s="164"/>
      <c r="I19" s="164">
        <f t="shared" si="2"/>
        <v>1000</v>
      </c>
      <c r="J19" s="50">
        <f>G19/VLOOKUP(A19,RESUME!$G$3:$I$10,3,FALSE)</f>
        <v>1.4728026373771389E-2</v>
      </c>
      <c r="K19" s="164">
        <f t="shared" si="3"/>
        <v>800</v>
      </c>
      <c r="L19" s="164">
        <f t="shared" si="4"/>
        <v>1000</v>
      </c>
      <c r="M19" s="156">
        <f t="shared" si="5"/>
        <v>1.8410032967214236E-2</v>
      </c>
      <c r="N19" s="49" t="str">
        <f>_xlfn.IFNA(VLOOKUP(A19&amp;"-"&amp;B19&amp;"-"&amp;D19,Ref_Account!$A:$F,6,FALSE),"ACCOUNT TIDAK DITEMUKAN")</f>
        <v>1204.720100</v>
      </c>
      <c r="O19" s="46">
        <f t="shared" si="0"/>
        <v>1</v>
      </c>
      <c r="P19" s="46" t="str">
        <f t="shared" si="1"/>
        <v>OK</v>
      </c>
      <c r="Q19" s="206"/>
      <c r="R19" s="213">
        <f t="shared" si="6"/>
        <v>10000</v>
      </c>
      <c r="AA19" s="1">
        <f>IF(LEFT(N19,4)="1201",_xlfn.IFNA(VLOOKUP(B19,Production_Cost!$L:$P,2,FALSE),G19),IF(LEFT(N19,4)="1204",_xlfn.IFNA(VLOOKUP(B19,Production_Cost!$L:$P,3,FALSE),G19),IF(LEFT(N19,4)="1205",_xlfn.IFNA(VLOOKUP(B19,Production_Cost!$L:$P,4,FALSE),G19),IF(LEFT(N19,4)="1206",_xlfn.IFNA(VLOOKUP(B19,Production_Cost!$L:$P,5,FALSE),G19),"BU tidak sesuai"))))</f>
        <v>0</v>
      </c>
      <c r="AB19" s="1" t="str">
        <f t="shared" si="7"/>
        <v>1204-TRUCKING EXPENSES</v>
      </c>
    </row>
    <row r="20" spans="1:29">
      <c r="A20" s="60" t="s">
        <v>35</v>
      </c>
      <c r="B20" s="36" t="s">
        <v>36</v>
      </c>
      <c r="C20" s="60" t="s">
        <v>37</v>
      </c>
      <c r="D20" s="45" t="s">
        <v>12</v>
      </c>
      <c r="E20" s="45" t="s">
        <v>38</v>
      </c>
      <c r="F20" s="45"/>
      <c r="G20" s="163">
        <v>151561</v>
      </c>
      <c r="H20" s="163">
        <v>199.33</v>
      </c>
      <c r="I20" s="163">
        <f t="shared" si="2"/>
        <v>151361.67000000001</v>
      </c>
      <c r="J20" s="48">
        <f>G20/VLOOKUP(A20,RESUME!$G$3:$I$10,3,FALSE)</f>
        <v>0.65619333139484248</v>
      </c>
      <c r="K20" s="163">
        <f t="shared" si="3"/>
        <v>121248.8</v>
      </c>
      <c r="L20" s="163">
        <f t="shared" si="4"/>
        <v>151561</v>
      </c>
      <c r="M20" s="154">
        <f t="shared" si="5"/>
        <v>0.82024166424355305</v>
      </c>
      <c r="N20" s="47" t="str">
        <f>_xlfn.IFNA(VLOOKUP(A20&amp;"-"&amp;B20&amp;"-"&amp;D20,Ref_Account!$A:$F,6,FALSE),"ACCOUNT TIDAK DITEMUKAN")</f>
        <v>1201.630600</v>
      </c>
      <c r="O20" s="45">
        <f t="shared" si="0"/>
        <v>2</v>
      </c>
      <c r="P20" s="45" t="str">
        <f t="shared" si="1"/>
        <v>OK</v>
      </c>
      <c r="Q20" s="159"/>
      <c r="R20" s="213">
        <f t="shared" si="6"/>
        <v>257250.27432973133</v>
      </c>
      <c r="AA20" s="1">
        <f>IF(LEFT(N20,4)="1201",_xlfn.IFNA(VLOOKUP(B20,Production_Cost!$L:$P,2,FALSE),G20),IF(LEFT(N20,4)="1204",_xlfn.IFNA(VLOOKUP(B20,Production_Cost!$L:$P,3,FALSE),G20),IF(LEFT(N20,4)="1205",_xlfn.IFNA(VLOOKUP(B20,Production_Cost!$L:$P,4,FALSE),G20),IF(LEFT(N20,4)="1206",_xlfn.IFNA(VLOOKUP(B20,Production_Cost!$L:$P,5,FALSE),G20),"BU tidak sesuai"))))</f>
        <v>669.93</v>
      </c>
      <c r="AB20" s="1" t="str">
        <f t="shared" si="7"/>
        <v>1201-VENDOR EXPENSES</v>
      </c>
      <c r="AC20" s="1">
        <v>199.33</v>
      </c>
    </row>
    <row r="21" spans="1:29">
      <c r="A21" s="61" t="s">
        <v>35</v>
      </c>
      <c r="B21" s="37" t="s">
        <v>36</v>
      </c>
      <c r="C21" s="61" t="s">
        <v>37</v>
      </c>
      <c r="D21" s="46" t="s">
        <v>23</v>
      </c>
      <c r="E21" s="46" t="s">
        <v>38</v>
      </c>
      <c r="F21" s="46"/>
      <c r="G21" s="164">
        <v>26883.15</v>
      </c>
      <c r="H21" s="164"/>
      <c r="I21" s="164">
        <f t="shared" si="2"/>
        <v>26883.15</v>
      </c>
      <c r="J21" s="50">
        <f>G21/VLOOKUP(A21,RESUME!$G$3:$I$10,3,FALSE)</f>
        <v>0.11639236846475848</v>
      </c>
      <c r="K21" s="164">
        <f t="shared" si="3"/>
        <v>21506.520000000004</v>
      </c>
      <c r="L21" s="164">
        <f t="shared" si="4"/>
        <v>26883.15</v>
      </c>
      <c r="M21" s="156">
        <f t="shared" si="5"/>
        <v>0.14549046058094808</v>
      </c>
      <c r="N21" s="49" t="str">
        <f>_xlfn.IFNA(VLOOKUP(A21&amp;"-"&amp;B21&amp;"-"&amp;D21,Ref_Account!$A:$F,6,FALSE),"ACCOUNT TIDAK DITEMUKAN")</f>
        <v>1205.630600</v>
      </c>
      <c r="O21" s="46">
        <f t="shared" si="0"/>
        <v>2</v>
      </c>
      <c r="P21" s="46" t="str">
        <f t="shared" si="1"/>
        <v>OK</v>
      </c>
      <c r="Q21" s="206"/>
      <c r="R21" s="213">
        <f t="shared" si="6"/>
        <v>257250.27432973133</v>
      </c>
      <c r="AA21" s="1">
        <f>IF(LEFT(N21,4)="1201",_xlfn.IFNA(VLOOKUP(B21,Production_Cost!$L:$P,2,FALSE),G21),IF(LEFT(N21,4)="1204",_xlfn.IFNA(VLOOKUP(B21,Production_Cost!$L:$P,3,FALSE),G21),IF(LEFT(N21,4)="1205",_xlfn.IFNA(VLOOKUP(B21,Production_Cost!$L:$P,4,FALSE),G21),IF(LEFT(N21,4)="1206",_xlfn.IFNA(VLOOKUP(B21,Production_Cost!$L:$P,5,FALSE),G21),"BU tidak sesuai"))))</f>
        <v>10696.05</v>
      </c>
      <c r="AB21" s="1" t="str">
        <f t="shared" si="7"/>
        <v>1205-VENDOR EXPENSES</v>
      </c>
    </row>
    <row r="22" spans="1:29">
      <c r="A22" s="60" t="s">
        <v>35</v>
      </c>
      <c r="B22" s="36" t="s">
        <v>36</v>
      </c>
      <c r="C22" s="60" t="s">
        <v>37</v>
      </c>
      <c r="D22" s="45" t="s">
        <v>14</v>
      </c>
      <c r="E22" s="45" t="s">
        <v>39</v>
      </c>
      <c r="F22" s="45"/>
      <c r="G22" s="163">
        <v>32525.89</v>
      </c>
      <c r="H22" s="163"/>
      <c r="I22" s="163">
        <f t="shared" si="2"/>
        <v>32525.89</v>
      </c>
      <c r="J22" s="48">
        <f>G22/VLOOKUP(A22,RESUME!$G$3:$I$10,3,FALSE)</f>
        <v>0.14082298292886819</v>
      </c>
      <c r="K22" s="163">
        <f t="shared" si="3"/>
        <v>26020.712</v>
      </c>
      <c r="L22" s="163">
        <f t="shared" si="4"/>
        <v>32525.89</v>
      </c>
      <c r="M22" s="154">
        <f t="shared" si="5"/>
        <v>0.17602872866108524</v>
      </c>
      <c r="N22" s="47" t="str">
        <f>_xlfn.IFNA(VLOOKUP(A22&amp;"-"&amp;B22&amp;"-"&amp;D22,Ref_Account!$A:$F,6,FALSE),"ACCOUNT TIDAK DITEMUKAN")</f>
        <v>1204.630600</v>
      </c>
      <c r="O22" s="45">
        <f t="shared" si="0"/>
        <v>2</v>
      </c>
      <c r="P22" s="45" t="str">
        <f t="shared" si="1"/>
        <v>OK</v>
      </c>
      <c r="Q22" s="159"/>
      <c r="R22" s="213">
        <f t="shared" si="6"/>
        <v>257250.27432973133</v>
      </c>
      <c r="AA22" s="1">
        <f>IF(LEFT(N22,4)="1201",_xlfn.IFNA(VLOOKUP(B22,Production_Cost!$L:$P,2,FALSE),G22),IF(LEFT(N22,4)="1204",_xlfn.IFNA(VLOOKUP(B22,Production_Cost!$L:$P,3,FALSE),G22),IF(LEFT(N22,4)="1205",_xlfn.IFNA(VLOOKUP(B22,Production_Cost!$L:$P,4,FALSE),G22),IF(LEFT(N22,4)="1206",_xlfn.IFNA(VLOOKUP(B22,Production_Cost!$L:$P,5,FALSE),G22),"BU tidak sesuai"))))</f>
        <v>67.2</v>
      </c>
      <c r="AB22" s="1" t="str">
        <f t="shared" si="7"/>
        <v>1204-VENDOR EXPENSES</v>
      </c>
    </row>
    <row r="23" spans="1:29">
      <c r="A23" s="61" t="s">
        <v>35</v>
      </c>
      <c r="B23" s="37" t="s">
        <v>36</v>
      </c>
      <c r="C23" s="61" t="s">
        <v>40</v>
      </c>
      <c r="D23" s="46" t="s">
        <v>12</v>
      </c>
      <c r="E23" s="46" t="s">
        <v>41</v>
      </c>
      <c r="F23" s="46"/>
      <c r="G23" s="164">
        <v>5000</v>
      </c>
      <c r="H23" s="164">
        <v>470.59999999999991</v>
      </c>
      <c r="I23" s="164">
        <f t="shared" si="2"/>
        <v>4529.3999999999996</v>
      </c>
      <c r="J23" s="50">
        <f>G23/VLOOKUP(A23,RESUME!$G$3:$I$10,3,FALSE)</f>
        <v>2.1647829302882747E-2</v>
      </c>
      <c r="K23" s="164">
        <f t="shared" si="3"/>
        <v>4000</v>
      </c>
      <c r="L23" s="164">
        <f t="shared" si="4"/>
        <v>5000</v>
      </c>
      <c r="M23" s="156">
        <f t="shared" si="5"/>
        <v>2.7059786628603436E-2</v>
      </c>
      <c r="N23" s="49" t="str">
        <f>_xlfn.IFNA(VLOOKUP(A23&amp;"-"&amp;B23&amp;"-"&amp;D23,Ref_Account!$A:$F,6,FALSE),"ACCOUNT TIDAK DITEMUKAN")</f>
        <v>1201.630600</v>
      </c>
      <c r="O23" s="46">
        <f t="shared" si="0"/>
        <v>2</v>
      </c>
      <c r="P23" s="46" t="str">
        <f t="shared" si="1"/>
        <v>OK</v>
      </c>
      <c r="Q23" s="206"/>
      <c r="R23" s="213">
        <f t="shared" si="6"/>
        <v>257250.27432973133</v>
      </c>
      <c r="AA23" s="1">
        <f>IF(LEFT(N23,4)="1201",_xlfn.IFNA(VLOOKUP(B23,Production_Cost!$L:$P,2,FALSE),G23),IF(LEFT(N23,4)="1204",_xlfn.IFNA(VLOOKUP(B23,Production_Cost!$L:$P,3,FALSE),G23),IF(LEFT(N23,4)="1205",_xlfn.IFNA(VLOOKUP(B23,Production_Cost!$L:$P,4,FALSE),G23),IF(LEFT(N23,4)="1206",_xlfn.IFNA(VLOOKUP(B23,Production_Cost!$L:$P,5,FALSE),G23),"BU tidak sesuai"))))</f>
        <v>669.93</v>
      </c>
      <c r="AB23" s="1" t="str">
        <f t="shared" si="7"/>
        <v>1201-VENDOR EXPENSES</v>
      </c>
      <c r="AC23" s="1">
        <v>470.59999999999991</v>
      </c>
    </row>
    <row r="24" spans="1:29">
      <c r="A24" s="60" t="s">
        <v>35</v>
      </c>
      <c r="B24" s="36" t="s">
        <v>36</v>
      </c>
      <c r="C24" s="60" t="s">
        <v>37</v>
      </c>
      <c r="D24" s="45" t="s">
        <v>23</v>
      </c>
      <c r="E24" s="45" t="s">
        <v>42</v>
      </c>
      <c r="F24" s="45"/>
      <c r="G24" s="163">
        <v>7500</v>
      </c>
      <c r="H24" s="163"/>
      <c r="I24" s="163">
        <f t="shared" si="2"/>
        <v>7500</v>
      </c>
      <c r="J24" s="48">
        <f>G24/VLOOKUP(A24,RESUME!$G$3:$I$10,3,FALSE)</f>
        <v>3.2471743954324124E-2</v>
      </c>
      <c r="K24" s="163">
        <f t="shared" si="3"/>
        <v>6000</v>
      </c>
      <c r="L24" s="163">
        <f t="shared" si="4"/>
        <v>7500</v>
      </c>
      <c r="M24" s="154">
        <f t="shared" si="5"/>
        <v>4.0589679942905153E-2</v>
      </c>
      <c r="N24" s="47" t="str">
        <f>_xlfn.IFNA(VLOOKUP(A24&amp;"-"&amp;B24&amp;"-"&amp;D24,Ref_Account!$A:$F,6,FALSE),"ACCOUNT TIDAK DITEMUKAN")</f>
        <v>1205.630600</v>
      </c>
      <c r="O24" s="45">
        <f t="shared" si="0"/>
        <v>2</v>
      </c>
      <c r="P24" s="45" t="str">
        <f t="shared" si="1"/>
        <v>OK</v>
      </c>
      <c r="Q24" s="159"/>
      <c r="R24" s="213">
        <f t="shared" si="6"/>
        <v>257250.27432973133</v>
      </c>
      <c r="AA24" s="1">
        <f>IF(LEFT(N24,4)="1201",_xlfn.IFNA(VLOOKUP(B24,Production_Cost!$L:$P,2,FALSE),G24),IF(LEFT(N24,4)="1204",_xlfn.IFNA(VLOOKUP(B24,Production_Cost!$L:$P,3,FALSE),G24),IF(LEFT(N24,4)="1205",_xlfn.IFNA(VLOOKUP(B24,Production_Cost!$L:$P,4,FALSE),G24),IF(LEFT(N24,4)="1206",_xlfn.IFNA(VLOOKUP(B24,Production_Cost!$L:$P,5,FALSE),G24),"BU tidak sesuai"))))</f>
        <v>10696.05</v>
      </c>
      <c r="AB24" s="1" t="str">
        <f t="shared" si="7"/>
        <v>1205-VENDOR EXPENSES</v>
      </c>
    </row>
    <row r="25" spans="1:29">
      <c r="A25" s="61" t="s">
        <v>35</v>
      </c>
      <c r="B25" s="37" t="s">
        <v>36</v>
      </c>
      <c r="C25" s="61" t="s">
        <v>37</v>
      </c>
      <c r="D25" s="46" t="s">
        <v>14</v>
      </c>
      <c r="E25" s="46" t="s">
        <v>41</v>
      </c>
      <c r="F25" s="46"/>
      <c r="G25" s="164">
        <v>7500</v>
      </c>
      <c r="H25" s="164"/>
      <c r="I25" s="164">
        <f t="shared" si="2"/>
        <v>7500</v>
      </c>
      <c r="J25" s="50">
        <f>G25/VLOOKUP(A25,RESUME!$G$3:$I$10,3,FALSE)</f>
        <v>3.2471743954324124E-2</v>
      </c>
      <c r="K25" s="164">
        <f t="shared" si="3"/>
        <v>6000</v>
      </c>
      <c r="L25" s="164">
        <f t="shared" si="4"/>
        <v>7500</v>
      </c>
      <c r="M25" s="156">
        <f t="shared" si="5"/>
        <v>4.0589679942905153E-2</v>
      </c>
      <c r="N25" s="49" t="str">
        <f>_xlfn.IFNA(VLOOKUP(A25&amp;"-"&amp;B25&amp;"-"&amp;D25,Ref_Account!$A:$F,6,FALSE),"ACCOUNT TIDAK DITEMUKAN")</f>
        <v>1204.630600</v>
      </c>
      <c r="O25" s="46">
        <f t="shared" si="0"/>
        <v>2</v>
      </c>
      <c r="P25" s="46" t="str">
        <f t="shared" si="1"/>
        <v>OK</v>
      </c>
      <c r="Q25" s="206"/>
      <c r="R25" s="213">
        <f t="shared" si="6"/>
        <v>257250.27432973133</v>
      </c>
      <c r="AA25" s="1">
        <f>IF(LEFT(N25,4)="1201",_xlfn.IFNA(VLOOKUP(B25,Production_Cost!$L:$P,2,FALSE),G25),IF(LEFT(N25,4)="1204",_xlfn.IFNA(VLOOKUP(B25,Production_Cost!$L:$P,3,FALSE),G25),IF(LEFT(N25,4)="1205",_xlfn.IFNA(VLOOKUP(B25,Production_Cost!$L:$P,4,FALSE),G25),IF(LEFT(N25,4)="1206",_xlfn.IFNA(VLOOKUP(B25,Production_Cost!$L:$P,5,FALSE),G25),"BU tidak sesuai"))))</f>
        <v>67.2</v>
      </c>
      <c r="AB25" s="1" t="str">
        <f t="shared" si="7"/>
        <v>1204-VENDOR EXPENSES</v>
      </c>
    </row>
    <row r="26" spans="1:29">
      <c r="A26" s="60" t="s">
        <v>43</v>
      </c>
      <c r="B26" s="36" t="s">
        <v>44</v>
      </c>
      <c r="C26" s="60" t="s">
        <v>45</v>
      </c>
      <c r="D26" s="45" t="s">
        <v>12</v>
      </c>
      <c r="E26" s="45" t="s">
        <v>46</v>
      </c>
      <c r="F26" s="45" t="s">
        <v>47</v>
      </c>
      <c r="G26" s="163">
        <v>450</v>
      </c>
      <c r="H26" s="163"/>
      <c r="I26" s="163">
        <f t="shared" si="2"/>
        <v>450</v>
      </c>
      <c r="J26" s="48">
        <f>G26/VLOOKUP(A26,RESUME!$G$3:$I$10,3,FALSE)</f>
        <v>5.2941176470588235E-2</v>
      </c>
      <c r="K26" s="163">
        <f t="shared" si="3"/>
        <v>360</v>
      </c>
      <c r="L26" s="163">
        <f t="shared" si="4"/>
        <v>450</v>
      </c>
      <c r="M26" s="154">
        <f t="shared" si="5"/>
        <v>6.6176470588235295E-2</v>
      </c>
      <c r="N26" s="47" t="str">
        <f>_xlfn.IFNA(VLOOKUP(A26&amp;"-"&amp;B26&amp;"-"&amp;D26,Ref_Account!$A:$F,6,FALSE),"ACCOUNT TIDAK DITEMUKAN")</f>
        <v>1201.730300</v>
      </c>
      <c r="O26" s="45">
        <f t="shared" si="0"/>
        <v>5</v>
      </c>
      <c r="P26" s="45" t="str">
        <f t="shared" si="1"/>
        <v>OK</v>
      </c>
      <c r="Q26" s="159"/>
      <c r="R26" s="213">
        <f t="shared" si="6"/>
        <v>2000</v>
      </c>
      <c r="AA26" s="1">
        <f>IF(LEFT(N26,4)="1201",_xlfn.IFNA(VLOOKUP(B26,Production_Cost!$L:$P,2,FALSE),G26),IF(LEFT(N26,4)="1204",_xlfn.IFNA(VLOOKUP(B26,Production_Cost!$L:$P,3,FALSE),G26),IF(LEFT(N26,4)="1205",_xlfn.IFNA(VLOOKUP(B26,Production_Cost!$L:$P,4,FALSE),G26),IF(LEFT(N26,4)="1206",_xlfn.IFNA(VLOOKUP(B26,Production_Cost!$L:$P,5,FALSE),G26),"BU tidak sesuai"))))</f>
        <v>632.79</v>
      </c>
      <c r="AB26" s="1" t="str">
        <f t="shared" si="7"/>
        <v>1201-FABRIC TESTED CHARGES</v>
      </c>
    </row>
    <row r="27" spans="1:29">
      <c r="A27" s="61" t="s">
        <v>43</v>
      </c>
      <c r="B27" s="37" t="s">
        <v>44</v>
      </c>
      <c r="C27" s="61" t="s">
        <v>45</v>
      </c>
      <c r="D27" s="46" t="s">
        <v>12</v>
      </c>
      <c r="E27" s="46" t="s">
        <v>48</v>
      </c>
      <c r="F27" s="46" t="s">
        <v>49</v>
      </c>
      <c r="G27" s="164">
        <v>450</v>
      </c>
      <c r="H27" s="164"/>
      <c r="I27" s="164">
        <f t="shared" si="2"/>
        <v>450</v>
      </c>
      <c r="J27" s="50">
        <f>G27/VLOOKUP(A27,RESUME!$G$3:$I$10,3,FALSE)</f>
        <v>5.2941176470588235E-2</v>
      </c>
      <c r="K27" s="164">
        <f t="shared" si="3"/>
        <v>360</v>
      </c>
      <c r="L27" s="164">
        <f t="shared" si="4"/>
        <v>450</v>
      </c>
      <c r="M27" s="156">
        <f t="shared" si="5"/>
        <v>6.6176470588235295E-2</v>
      </c>
      <c r="N27" s="49" t="str">
        <f>_xlfn.IFNA(VLOOKUP(A27&amp;"-"&amp;B27&amp;"-"&amp;D27,Ref_Account!$A:$F,6,FALSE),"ACCOUNT TIDAK DITEMUKAN")</f>
        <v>1201.730300</v>
      </c>
      <c r="O27" s="46">
        <f t="shared" si="0"/>
        <v>5</v>
      </c>
      <c r="P27" s="46" t="str">
        <f t="shared" si="1"/>
        <v>OK</v>
      </c>
      <c r="Q27" s="206"/>
      <c r="R27" s="213">
        <f t="shared" si="6"/>
        <v>2000</v>
      </c>
      <c r="AA27" s="1">
        <f>IF(LEFT(N27,4)="1201",_xlfn.IFNA(VLOOKUP(B27,Production_Cost!$L:$P,2,FALSE),G27),IF(LEFT(N27,4)="1204",_xlfn.IFNA(VLOOKUP(B27,Production_Cost!$L:$P,3,FALSE),G27),IF(LEFT(N27,4)="1205",_xlfn.IFNA(VLOOKUP(B27,Production_Cost!$L:$P,4,FALSE),G27),IF(LEFT(N27,4)="1206",_xlfn.IFNA(VLOOKUP(B27,Production_Cost!$L:$P,5,FALSE),G27),"BU tidak sesuai"))))</f>
        <v>632.79</v>
      </c>
      <c r="AB27" s="1" t="str">
        <f t="shared" si="7"/>
        <v>1201-FABRIC TESTED CHARGES</v>
      </c>
    </row>
    <row r="28" spans="1:29">
      <c r="A28" s="60" t="s">
        <v>43</v>
      </c>
      <c r="B28" s="36" t="s">
        <v>44</v>
      </c>
      <c r="C28" s="60" t="s">
        <v>45</v>
      </c>
      <c r="D28" s="45" t="s">
        <v>12</v>
      </c>
      <c r="E28" s="45" t="s">
        <v>50</v>
      </c>
      <c r="F28" s="45" t="s">
        <v>51</v>
      </c>
      <c r="G28" s="163">
        <v>450</v>
      </c>
      <c r="H28" s="163"/>
      <c r="I28" s="163">
        <f t="shared" si="2"/>
        <v>450</v>
      </c>
      <c r="J28" s="48">
        <f>G28/VLOOKUP(A28,RESUME!$G$3:$I$10,3,FALSE)</f>
        <v>5.2941176470588235E-2</v>
      </c>
      <c r="K28" s="163">
        <f t="shared" si="3"/>
        <v>360</v>
      </c>
      <c r="L28" s="163">
        <f t="shared" si="4"/>
        <v>450</v>
      </c>
      <c r="M28" s="154">
        <f t="shared" si="5"/>
        <v>6.6176470588235295E-2</v>
      </c>
      <c r="N28" s="47" t="str">
        <f>_xlfn.IFNA(VLOOKUP(A28&amp;"-"&amp;B28&amp;"-"&amp;D28,Ref_Account!$A:$F,6,FALSE),"ACCOUNT TIDAK DITEMUKAN")</f>
        <v>1201.730300</v>
      </c>
      <c r="O28" s="45">
        <f t="shared" si="0"/>
        <v>5</v>
      </c>
      <c r="P28" s="45" t="str">
        <f t="shared" si="1"/>
        <v>OK</v>
      </c>
      <c r="Q28" s="159"/>
      <c r="R28" s="213">
        <f t="shared" si="6"/>
        <v>2000</v>
      </c>
      <c r="AA28" s="1">
        <f>IF(LEFT(N28,4)="1201",_xlfn.IFNA(VLOOKUP(B28,Production_Cost!$L:$P,2,FALSE),G28),IF(LEFT(N28,4)="1204",_xlfn.IFNA(VLOOKUP(B28,Production_Cost!$L:$P,3,FALSE),G28),IF(LEFT(N28,4)="1205",_xlfn.IFNA(VLOOKUP(B28,Production_Cost!$L:$P,4,FALSE),G28),IF(LEFT(N28,4)="1206",_xlfn.IFNA(VLOOKUP(B28,Production_Cost!$L:$P,5,FALSE),G28),"BU tidak sesuai"))))</f>
        <v>632.79</v>
      </c>
      <c r="AB28" s="1" t="str">
        <f t="shared" si="7"/>
        <v>1201-FABRIC TESTED CHARGES</v>
      </c>
    </row>
    <row r="29" spans="1:29">
      <c r="A29" s="61" t="s">
        <v>43</v>
      </c>
      <c r="B29" s="37" t="s">
        <v>44</v>
      </c>
      <c r="C29" s="61" t="s">
        <v>45</v>
      </c>
      <c r="D29" s="46" t="s">
        <v>12</v>
      </c>
      <c r="E29" s="46" t="s">
        <v>52</v>
      </c>
      <c r="F29" s="46" t="s">
        <v>53</v>
      </c>
      <c r="G29" s="164">
        <v>450</v>
      </c>
      <c r="H29" s="164"/>
      <c r="I29" s="164">
        <f t="shared" si="2"/>
        <v>450</v>
      </c>
      <c r="J29" s="50">
        <f>G29/VLOOKUP(A29,RESUME!$G$3:$I$10,3,FALSE)</f>
        <v>5.2941176470588235E-2</v>
      </c>
      <c r="K29" s="164">
        <f t="shared" si="3"/>
        <v>360</v>
      </c>
      <c r="L29" s="164">
        <f t="shared" si="4"/>
        <v>450</v>
      </c>
      <c r="M29" s="156">
        <f t="shared" si="5"/>
        <v>6.6176470588235295E-2</v>
      </c>
      <c r="N29" s="49" t="str">
        <f>_xlfn.IFNA(VLOOKUP(A29&amp;"-"&amp;B29&amp;"-"&amp;D29,Ref_Account!$A:$F,6,FALSE),"ACCOUNT TIDAK DITEMUKAN")</f>
        <v>1201.730300</v>
      </c>
      <c r="O29" s="46">
        <f t="shared" si="0"/>
        <v>5</v>
      </c>
      <c r="P29" s="46" t="str">
        <f t="shared" si="1"/>
        <v>OK</v>
      </c>
      <c r="Q29" s="206"/>
      <c r="R29" s="213">
        <f t="shared" si="6"/>
        <v>2000</v>
      </c>
      <c r="AA29" s="1">
        <f>IF(LEFT(N29,4)="1201",_xlfn.IFNA(VLOOKUP(B29,Production_Cost!$L:$P,2,FALSE),G29),IF(LEFT(N29,4)="1204",_xlfn.IFNA(VLOOKUP(B29,Production_Cost!$L:$P,3,FALSE),G29),IF(LEFT(N29,4)="1205",_xlfn.IFNA(VLOOKUP(B29,Production_Cost!$L:$P,4,FALSE),G29),IF(LEFT(N29,4)="1206",_xlfn.IFNA(VLOOKUP(B29,Production_Cost!$L:$P,5,FALSE),G29),"BU tidak sesuai"))))</f>
        <v>632.79</v>
      </c>
      <c r="AB29" s="1" t="str">
        <f t="shared" si="7"/>
        <v>1201-FABRIC TESTED CHARGES</v>
      </c>
    </row>
    <row r="30" spans="1:29">
      <c r="A30" s="60" t="s">
        <v>43</v>
      </c>
      <c r="B30" s="36" t="s">
        <v>54</v>
      </c>
      <c r="C30" s="60" t="s">
        <v>55</v>
      </c>
      <c r="D30" s="45" t="s">
        <v>12</v>
      </c>
      <c r="E30" s="45" t="s">
        <v>52</v>
      </c>
      <c r="F30" s="45" t="s">
        <v>56</v>
      </c>
      <c r="G30" s="163">
        <v>6300</v>
      </c>
      <c r="H30" s="163"/>
      <c r="I30" s="163">
        <f t="shared" si="2"/>
        <v>6300</v>
      </c>
      <c r="J30" s="48">
        <f>G30/VLOOKUP(A30,RESUME!$G$3:$I$10,3,FALSE)</f>
        <v>0.74117647058823533</v>
      </c>
      <c r="K30" s="163">
        <f t="shared" si="3"/>
        <v>5040</v>
      </c>
      <c r="L30" s="163">
        <f t="shared" si="4"/>
        <v>6300</v>
      </c>
      <c r="M30" s="154">
        <f t="shared" si="5"/>
        <v>0.92647058823529416</v>
      </c>
      <c r="N30" s="47" t="str">
        <f>_xlfn.IFNA(VLOOKUP(A30&amp;"-"&amp;B30&amp;"-"&amp;D30,Ref_Account!$A:$F,6,FALSE),"ACCOUNT TIDAK DITEMUKAN")</f>
        <v>1201.730200</v>
      </c>
      <c r="O30" s="45">
        <f t="shared" si="0"/>
        <v>2</v>
      </c>
      <c r="P30" s="45" t="str">
        <f t="shared" si="1"/>
        <v>OK</v>
      </c>
      <c r="Q30" s="159"/>
      <c r="R30" s="213">
        <f t="shared" si="6"/>
        <v>7000</v>
      </c>
      <c r="AA30" s="1">
        <f>IF(LEFT(N30,4)="1201",_xlfn.IFNA(VLOOKUP(B30,Production_Cost!$L:$P,2,FALSE),G30),IF(LEFT(N30,4)="1204",_xlfn.IFNA(VLOOKUP(B30,Production_Cost!$L:$P,3,FALSE),G30),IF(LEFT(N30,4)="1205",_xlfn.IFNA(VLOOKUP(B30,Production_Cost!$L:$P,4,FALSE),G30),IF(LEFT(N30,4)="1206",_xlfn.IFNA(VLOOKUP(B30,Production_Cost!$L:$P,5,FALSE),G30),"BU tidak sesuai"))))</f>
        <v>2090.6999999999998</v>
      </c>
      <c r="AB30" s="1" t="str">
        <f t="shared" si="7"/>
        <v>1201-SALES COMMISSION</v>
      </c>
    </row>
    <row r="31" spans="1:29">
      <c r="A31" s="61" t="s">
        <v>43</v>
      </c>
      <c r="B31" s="37" t="s">
        <v>57</v>
      </c>
      <c r="C31" s="61" t="s">
        <v>58</v>
      </c>
      <c r="D31" s="46" t="s">
        <v>12</v>
      </c>
      <c r="E31" s="46" t="s">
        <v>46</v>
      </c>
      <c r="F31" s="46" t="s">
        <v>47</v>
      </c>
      <c r="G31" s="164">
        <v>100</v>
      </c>
      <c r="H31" s="164"/>
      <c r="I31" s="164">
        <f t="shared" si="2"/>
        <v>100</v>
      </c>
      <c r="J31" s="50">
        <f>G31/VLOOKUP(A31,RESUME!$G$3:$I$10,3,FALSE)</f>
        <v>1.1764705882352941E-2</v>
      </c>
      <c r="K31" s="164">
        <f t="shared" si="3"/>
        <v>80</v>
      </c>
      <c r="L31" s="164">
        <f t="shared" si="4"/>
        <v>100</v>
      </c>
      <c r="M31" s="156">
        <f t="shared" si="5"/>
        <v>1.4705882352941176E-2</v>
      </c>
      <c r="N31" s="49" t="str">
        <f>_xlfn.IFNA(VLOOKUP(A31&amp;"-"&amp;B31&amp;"-"&amp;D31,Ref_Account!$A:$F,6,FALSE),"ACCOUNT TIDAK DITEMUKAN")</f>
        <v>1201.710200</v>
      </c>
      <c r="O31" s="46">
        <f t="shared" si="0"/>
        <v>6</v>
      </c>
      <c r="P31" s="46" t="str">
        <f t="shared" si="1"/>
        <v>OK</v>
      </c>
      <c r="Q31" s="206"/>
      <c r="R31" s="213">
        <f t="shared" si="6"/>
        <v>500</v>
      </c>
      <c r="AA31" s="1">
        <f>IF(LEFT(N31,4)="1201",_xlfn.IFNA(VLOOKUP(B31,Production_Cost!$L:$P,2,FALSE),G31),IF(LEFT(N31,4)="1204",_xlfn.IFNA(VLOOKUP(B31,Production_Cost!$L:$P,3,FALSE),G31),IF(LEFT(N31,4)="1205",_xlfn.IFNA(VLOOKUP(B31,Production_Cost!$L:$P,4,FALSE),G31),IF(LEFT(N31,4)="1206",_xlfn.IFNA(VLOOKUP(B31,Production_Cost!$L:$P,5,FALSE),G31),"BU tidak sesuai"))))</f>
        <v>386.13</v>
      </c>
      <c r="AB31" s="1" t="str">
        <f t="shared" si="7"/>
        <v>1201-SAMPLE EXPENSES</v>
      </c>
    </row>
    <row r="32" spans="1:29">
      <c r="A32" s="60" t="s">
        <v>43</v>
      </c>
      <c r="B32" s="36" t="s">
        <v>57</v>
      </c>
      <c r="C32" s="60" t="s">
        <v>58</v>
      </c>
      <c r="D32" s="45" t="s">
        <v>12</v>
      </c>
      <c r="E32" s="45" t="s">
        <v>48</v>
      </c>
      <c r="F32" s="45" t="s">
        <v>49</v>
      </c>
      <c r="G32" s="163">
        <v>100</v>
      </c>
      <c r="H32" s="163"/>
      <c r="I32" s="163">
        <f t="shared" si="2"/>
        <v>100</v>
      </c>
      <c r="J32" s="48">
        <f>G32/VLOOKUP(A32,RESUME!$G$3:$I$10,3,FALSE)</f>
        <v>1.1764705882352941E-2</v>
      </c>
      <c r="K32" s="163">
        <f t="shared" si="3"/>
        <v>80</v>
      </c>
      <c r="L32" s="163">
        <f t="shared" si="4"/>
        <v>100</v>
      </c>
      <c r="M32" s="154">
        <f t="shared" si="5"/>
        <v>1.4705882352941176E-2</v>
      </c>
      <c r="N32" s="47" t="str">
        <f>_xlfn.IFNA(VLOOKUP(A32&amp;"-"&amp;B32&amp;"-"&amp;D32,Ref_Account!$A:$F,6,FALSE),"ACCOUNT TIDAK DITEMUKAN")</f>
        <v>1201.710200</v>
      </c>
      <c r="O32" s="45">
        <f t="shared" si="0"/>
        <v>6</v>
      </c>
      <c r="P32" s="45" t="str">
        <f t="shared" si="1"/>
        <v>OK</v>
      </c>
      <c r="Q32" s="159"/>
      <c r="R32" s="213">
        <f t="shared" si="6"/>
        <v>500</v>
      </c>
      <c r="AA32" s="1">
        <f>IF(LEFT(N32,4)="1201",_xlfn.IFNA(VLOOKUP(B32,Production_Cost!$L:$P,2,FALSE),G32),IF(LEFT(N32,4)="1204",_xlfn.IFNA(VLOOKUP(B32,Production_Cost!$L:$P,3,FALSE),G32),IF(LEFT(N32,4)="1205",_xlfn.IFNA(VLOOKUP(B32,Production_Cost!$L:$P,4,FALSE),G32),IF(LEFT(N32,4)="1206",_xlfn.IFNA(VLOOKUP(B32,Production_Cost!$L:$P,5,FALSE),G32),"BU tidak sesuai"))))</f>
        <v>386.13</v>
      </c>
      <c r="AB32" s="1" t="str">
        <f t="shared" si="7"/>
        <v>1201-SAMPLE EXPENSES</v>
      </c>
    </row>
    <row r="33" spans="1:29">
      <c r="A33" s="61" t="s">
        <v>43</v>
      </c>
      <c r="B33" s="37" t="s">
        <v>57</v>
      </c>
      <c r="C33" s="61" t="s">
        <v>58</v>
      </c>
      <c r="D33" s="46" t="s">
        <v>12</v>
      </c>
      <c r="E33" s="46" t="s">
        <v>50</v>
      </c>
      <c r="F33" s="46" t="s">
        <v>51</v>
      </c>
      <c r="G33" s="164">
        <v>100</v>
      </c>
      <c r="H33" s="164"/>
      <c r="I33" s="164">
        <f t="shared" si="2"/>
        <v>100</v>
      </c>
      <c r="J33" s="50">
        <f>G33/VLOOKUP(A33,RESUME!$G$3:$I$10,3,FALSE)</f>
        <v>1.1764705882352941E-2</v>
      </c>
      <c r="K33" s="164">
        <f t="shared" si="3"/>
        <v>80</v>
      </c>
      <c r="L33" s="164">
        <f t="shared" si="4"/>
        <v>100</v>
      </c>
      <c r="M33" s="156">
        <f t="shared" si="5"/>
        <v>1.4705882352941176E-2</v>
      </c>
      <c r="N33" s="49" t="str">
        <f>_xlfn.IFNA(VLOOKUP(A33&amp;"-"&amp;B33&amp;"-"&amp;D33,Ref_Account!$A:$F,6,FALSE),"ACCOUNT TIDAK DITEMUKAN")</f>
        <v>1201.710200</v>
      </c>
      <c r="O33" s="46">
        <f t="shared" si="0"/>
        <v>6</v>
      </c>
      <c r="P33" s="46" t="str">
        <f t="shared" si="1"/>
        <v>OK</v>
      </c>
      <c r="Q33" s="206"/>
      <c r="R33" s="213">
        <f t="shared" si="6"/>
        <v>500</v>
      </c>
      <c r="AA33" s="1">
        <f>IF(LEFT(N33,4)="1201",_xlfn.IFNA(VLOOKUP(B33,Production_Cost!$L:$P,2,FALSE),G33),IF(LEFT(N33,4)="1204",_xlfn.IFNA(VLOOKUP(B33,Production_Cost!$L:$P,3,FALSE),G33),IF(LEFT(N33,4)="1205",_xlfn.IFNA(VLOOKUP(B33,Production_Cost!$L:$P,4,FALSE),G33),IF(LEFT(N33,4)="1206",_xlfn.IFNA(VLOOKUP(B33,Production_Cost!$L:$P,5,FALSE),G33),"BU tidak sesuai"))))</f>
        <v>386.13</v>
      </c>
      <c r="AB33" s="1" t="str">
        <f t="shared" si="7"/>
        <v>1201-SAMPLE EXPENSES</v>
      </c>
    </row>
    <row r="34" spans="1:29">
      <c r="A34" s="60" t="s">
        <v>43</v>
      </c>
      <c r="B34" s="36" t="s">
        <v>57</v>
      </c>
      <c r="C34" s="60" t="s">
        <v>58</v>
      </c>
      <c r="D34" s="45" t="s">
        <v>12</v>
      </c>
      <c r="E34" s="45" t="s">
        <v>52</v>
      </c>
      <c r="F34" s="45" t="s">
        <v>53</v>
      </c>
      <c r="G34" s="163">
        <v>100</v>
      </c>
      <c r="H34" s="163"/>
      <c r="I34" s="163">
        <f t="shared" si="2"/>
        <v>100</v>
      </c>
      <c r="J34" s="48">
        <f>G34/VLOOKUP(A34,RESUME!$G$3:$I$10,3,FALSE)</f>
        <v>1.1764705882352941E-2</v>
      </c>
      <c r="K34" s="163">
        <f t="shared" si="3"/>
        <v>80</v>
      </c>
      <c r="L34" s="163">
        <f t="shared" si="4"/>
        <v>100</v>
      </c>
      <c r="M34" s="154">
        <f t="shared" si="5"/>
        <v>1.4705882352941176E-2</v>
      </c>
      <c r="N34" s="47" t="str">
        <f>_xlfn.IFNA(VLOOKUP(A34&amp;"-"&amp;B34&amp;"-"&amp;D34,Ref_Account!$A:$F,6,FALSE),"ACCOUNT TIDAK DITEMUKAN")</f>
        <v>1201.710200</v>
      </c>
      <c r="O34" s="45">
        <f t="shared" si="0"/>
        <v>6</v>
      </c>
      <c r="P34" s="45" t="str">
        <f t="shared" si="1"/>
        <v>OK</v>
      </c>
      <c r="Q34" s="159"/>
      <c r="R34" s="213">
        <f t="shared" si="6"/>
        <v>500</v>
      </c>
      <c r="AA34" s="1">
        <f>IF(LEFT(N34,4)="1201",_xlfn.IFNA(VLOOKUP(B34,Production_Cost!$L:$P,2,FALSE),G34),IF(LEFT(N34,4)="1204",_xlfn.IFNA(VLOOKUP(B34,Production_Cost!$L:$P,3,FALSE),G34),IF(LEFT(N34,4)="1205",_xlfn.IFNA(VLOOKUP(B34,Production_Cost!$L:$P,4,FALSE),G34),IF(LEFT(N34,4)="1206",_xlfn.IFNA(VLOOKUP(B34,Production_Cost!$L:$P,5,FALSE),G34),"BU tidak sesuai"))))</f>
        <v>386.13</v>
      </c>
      <c r="AB34" s="1" t="str">
        <f t="shared" si="7"/>
        <v>1201-SAMPLE EXPENSES</v>
      </c>
    </row>
    <row r="35" spans="1:29">
      <c r="A35" s="61" t="s">
        <v>312</v>
      </c>
      <c r="B35" s="37" t="s">
        <v>44</v>
      </c>
      <c r="C35" s="61" t="s">
        <v>45</v>
      </c>
      <c r="D35" s="46" t="s">
        <v>12</v>
      </c>
      <c r="E35" s="46" t="s">
        <v>59</v>
      </c>
      <c r="F35" s="46" t="s">
        <v>60</v>
      </c>
      <c r="G35" s="164">
        <v>200</v>
      </c>
      <c r="H35" s="164"/>
      <c r="I35" s="164">
        <f t="shared" si="2"/>
        <v>200</v>
      </c>
      <c r="J35" s="50">
        <f>G35/VLOOKUP(A35,RESUME!$G$3:$I$10,3,FALSE)</f>
        <v>0.2</v>
      </c>
      <c r="K35" s="164">
        <f t="shared" si="3"/>
        <v>160</v>
      </c>
      <c r="L35" s="164">
        <f t="shared" si="4"/>
        <v>200</v>
      </c>
      <c r="M35" s="156">
        <f t="shared" si="5"/>
        <v>0.25</v>
      </c>
      <c r="N35" s="49" t="str">
        <f>_xlfn.IFNA(VLOOKUP(A35&amp;"-"&amp;B35&amp;"-"&amp;D35,Ref_Account!$A:$F,6,FALSE),"ACCOUNT TIDAK DITEMUKAN")</f>
        <v>1201.730300</v>
      </c>
      <c r="O35" s="46">
        <f t="shared" si="0"/>
        <v>5</v>
      </c>
      <c r="P35" s="46" t="str">
        <f t="shared" si="1"/>
        <v>OK</v>
      </c>
      <c r="Q35" s="206"/>
      <c r="R35" s="213">
        <f t="shared" si="6"/>
        <v>2000</v>
      </c>
      <c r="AA35" s="1">
        <f>IF(LEFT(N35,4)="1201",_xlfn.IFNA(VLOOKUP(B35,Production_Cost!$L:$P,2,FALSE),G35),IF(LEFT(N35,4)="1204",_xlfn.IFNA(VLOOKUP(B35,Production_Cost!$L:$P,3,FALSE),G35),IF(LEFT(N35,4)="1205",_xlfn.IFNA(VLOOKUP(B35,Production_Cost!$L:$P,4,FALSE),G35),IF(LEFT(N35,4)="1206",_xlfn.IFNA(VLOOKUP(B35,Production_Cost!$L:$P,5,FALSE),G35),"BU tidak sesuai"))))</f>
        <v>632.79</v>
      </c>
      <c r="AB35" s="1" t="str">
        <f t="shared" si="7"/>
        <v>1201-FABRIC TESTED CHARGES</v>
      </c>
    </row>
    <row r="36" spans="1:29">
      <c r="A36" s="60" t="s">
        <v>312</v>
      </c>
      <c r="B36" s="36" t="s">
        <v>54</v>
      </c>
      <c r="C36" s="60" t="s">
        <v>55</v>
      </c>
      <c r="D36" s="45" t="s">
        <v>12</v>
      </c>
      <c r="E36" s="45" t="s">
        <v>61</v>
      </c>
      <c r="F36" s="45" t="s">
        <v>62</v>
      </c>
      <c r="G36" s="163">
        <v>700</v>
      </c>
      <c r="H36" s="163"/>
      <c r="I36" s="163">
        <f t="shared" si="2"/>
        <v>700</v>
      </c>
      <c r="J36" s="48">
        <f>G36/VLOOKUP(A36,RESUME!$G$3:$I$10,3,FALSE)</f>
        <v>0.7</v>
      </c>
      <c r="K36" s="163">
        <f t="shared" si="3"/>
        <v>560</v>
      </c>
      <c r="L36" s="163">
        <f t="shared" si="4"/>
        <v>700</v>
      </c>
      <c r="M36" s="154">
        <f t="shared" si="5"/>
        <v>0.875</v>
      </c>
      <c r="N36" s="47" t="str">
        <f>_xlfn.IFNA(VLOOKUP(A36&amp;"-"&amp;B36&amp;"-"&amp;D36,Ref_Account!$A:$F,6,FALSE),"ACCOUNT TIDAK DITEMUKAN")</f>
        <v>1201.730200</v>
      </c>
      <c r="O36" s="45">
        <f t="shared" si="0"/>
        <v>2</v>
      </c>
      <c r="P36" s="45" t="str">
        <f t="shared" si="1"/>
        <v>OK</v>
      </c>
      <c r="Q36" s="159"/>
      <c r="R36" s="213">
        <f t="shared" si="6"/>
        <v>7000</v>
      </c>
      <c r="AA36" s="1">
        <f>IF(LEFT(N36,4)="1201",_xlfn.IFNA(VLOOKUP(B36,Production_Cost!$L:$P,2,FALSE),G36),IF(LEFT(N36,4)="1204",_xlfn.IFNA(VLOOKUP(B36,Production_Cost!$L:$P,3,FALSE),G36),IF(LEFT(N36,4)="1205",_xlfn.IFNA(VLOOKUP(B36,Production_Cost!$L:$P,4,FALSE),G36),IF(LEFT(N36,4)="1206",_xlfn.IFNA(VLOOKUP(B36,Production_Cost!$L:$P,5,FALSE),G36),"BU tidak sesuai"))))</f>
        <v>2090.6999999999998</v>
      </c>
      <c r="AB36" s="1" t="str">
        <f t="shared" si="7"/>
        <v>1201-SALES COMMISSION</v>
      </c>
    </row>
    <row r="37" spans="1:29">
      <c r="A37" s="61" t="s">
        <v>312</v>
      </c>
      <c r="B37" s="37" t="s">
        <v>57</v>
      </c>
      <c r="C37" s="61" t="s">
        <v>58</v>
      </c>
      <c r="D37" s="46" t="s">
        <v>12</v>
      </c>
      <c r="E37" s="46" t="s">
        <v>61</v>
      </c>
      <c r="F37" s="46" t="s">
        <v>60</v>
      </c>
      <c r="G37" s="164">
        <v>50</v>
      </c>
      <c r="H37" s="164"/>
      <c r="I37" s="164">
        <f t="shared" si="2"/>
        <v>50</v>
      </c>
      <c r="J37" s="50">
        <f>G37/VLOOKUP(A37,RESUME!$G$3:$I$10,3,FALSE)</f>
        <v>0.05</v>
      </c>
      <c r="K37" s="164">
        <f t="shared" si="3"/>
        <v>40</v>
      </c>
      <c r="L37" s="164">
        <f t="shared" si="4"/>
        <v>50</v>
      </c>
      <c r="M37" s="156">
        <f t="shared" si="5"/>
        <v>6.25E-2</v>
      </c>
      <c r="N37" s="49" t="str">
        <f>_xlfn.IFNA(VLOOKUP(A37&amp;"-"&amp;B37&amp;"-"&amp;D37,Ref_Account!$A:$F,6,FALSE),"ACCOUNT TIDAK DITEMUKAN")</f>
        <v>1201.710200</v>
      </c>
      <c r="O37" s="46">
        <f t="shared" si="0"/>
        <v>6</v>
      </c>
      <c r="P37" s="46" t="str">
        <f t="shared" si="1"/>
        <v>OK</v>
      </c>
      <c r="Q37" s="206"/>
      <c r="R37" s="213">
        <f t="shared" si="6"/>
        <v>500</v>
      </c>
      <c r="AA37" s="1">
        <f>IF(LEFT(N37,4)="1201",_xlfn.IFNA(VLOOKUP(B37,Production_Cost!$L:$P,2,FALSE),G37),IF(LEFT(N37,4)="1204",_xlfn.IFNA(VLOOKUP(B37,Production_Cost!$L:$P,3,FALSE),G37),IF(LEFT(N37,4)="1205",_xlfn.IFNA(VLOOKUP(B37,Production_Cost!$L:$P,4,FALSE),G37),IF(LEFT(N37,4)="1206",_xlfn.IFNA(VLOOKUP(B37,Production_Cost!$L:$P,5,FALSE),G37),"BU tidak sesuai"))))</f>
        <v>386.13</v>
      </c>
      <c r="AB37" s="1" t="str">
        <f t="shared" si="7"/>
        <v>1201-SAMPLE EXPENSES</v>
      </c>
    </row>
    <row r="38" spans="1:29">
      <c r="A38" s="60" t="s">
        <v>312</v>
      </c>
      <c r="B38" s="36" t="s">
        <v>57</v>
      </c>
      <c r="C38" s="60" t="s">
        <v>58</v>
      </c>
      <c r="D38" s="45" t="s">
        <v>12</v>
      </c>
      <c r="E38" s="45" t="s">
        <v>63</v>
      </c>
      <c r="F38" s="45" t="s">
        <v>64</v>
      </c>
      <c r="G38" s="163">
        <v>50</v>
      </c>
      <c r="H38" s="163"/>
      <c r="I38" s="163">
        <f t="shared" ref="I38:I69" si="8">G38-H38</f>
        <v>50</v>
      </c>
      <c r="J38" s="48">
        <f>G38/VLOOKUP(A38,RESUME!$G$3:$I$10,3,FALSE)</f>
        <v>0.05</v>
      </c>
      <c r="K38" s="163">
        <f t="shared" si="3"/>
        <v>40</v>
      </c>
      <c r="L38" s="163">
        <f t="shared" si="4"/>
        <v>50</v>
      </c>
      <c r="M38" s="154">
        <f t="shared" si="5"/>
        <v>6.25E-2</v>
      </c>
      <c r="N38" s="47" t="str">
        <f>_xlfn.IFNA(VLOOKUP(A38&amp;"-"&amp;B38&amp;"-"&amp;D38,Ref_Account!$A:$F,6,FALSE),"ACCOUNT TIDAK DITEMUKAN")</f>
        <v>1201.710200</v>
      </c>
      <c r="O38" s="45">
        <f t="shared" ref="O38:O69" si="9">IF(N38="ACCOUNT TIDAK DITEMUKAN","9999",COUNTIF($N$6:$N$164,N38))</f>
        <v>6</v>
      </c>
      <c r="P38" s="45" t="str">
        <f t="shared" si="1"/>
        <v>OK</v>
      </c>
      <c r="Q38" s="159"/>
      <c r="R38" s="213">
        <f t="shared" si="6"/>
        <v>500</v>
      </c>
      <c r="AA38" s="1">
        <f>IF(LEFT(N38,4)="1201",_xlfn.IFNA(VLOOKUP(B38,Production_Cost!$L:$P,2,FALSE),G38),IF(LEFT(N38,4)="1204",_xlfn.IFNA(VLOOKUP(B38,Production_Cost!$L:$P,3,FALSE),G38),IF(LEFT(N38,4)="1205",_xlfn.IFNA(VLOOKUP(B38,Production_Cost!$L:$P,4,FALSE),G38),IF(LEFT(N38,4)="1206",_xlfn.IFNA(VLOOKUP(B38,Production_Cost!$L:$P,5,FALSE),G38),"BU tidak sesuai"))))</f>
        <v>386.13</v>
      </c>
      <c r="AB38" s="1" t="str">
        <f t="shared" si="7"/>
        <v>1201-SAMPLE EXPENSES</v>
      </c>
    </row>
    <row r="39" spans="1:29">
      <c r="A39" s="61" t="s">
        <v>65</v>
      </c>
      <c r="B39" s="37" t="s">
        <v>66</v>
      </c>
      <c r="C39" s="61" t="s">
        <v>67</v>
      </c>
      <c r="D39" s="46" t="s">
        <v>12</v>
      </c>
      <c r="E39" s="46" t="s">
        <v>18</v>
      </c>
      <c r="F39" s="46"/>
      <c r="G39" s="164"/>
      <c r="H39" s="164"/>
      <c r="I39" s="164">
        <f t="shared" si="8"/>
        <v>0</v>
      </c>
      <c r="J39" s="50">
        <f>G39/VLOOKUP(A39,RESUME!$G$3:$I$10,3,FALSE)</f>
        <v>0</v>
      </c>
      <c r="K39" s="164">
        <f t="shared" si="3"/>
        <v>0</v>
      </c>
      <c r="L39" s="164">
        <f t="shared" si="4"/>
        <v>0</v>
      </c>
      <c r="M39" s="156">
        <f t="shared" si="5"/>
        <v>0</v>
      </c>
      <c r="N39" s="49" t="str">
        <f>_xlfn.IFNA(VLOOKUP(A39&amp;"-"&amp;B39&amp;"-"&amp;D39,Ref_Account!$A:$F,6,FALSE),"ACCOUNT TIDAK DITEMUKAN")</f>
        <v>1201.720500</v>
      </c>
      <c r="O39" s="46">
        <f t="shared" si="9"/>
        <v>1</v>
      </c>
      <c r="P39" s="46" t="str">
        <f t="shared" si="1"/>
        <v>OVER</v>
      </c>
      <c r="Q39" s="206"/>
      <c r="R39" s="213">
        <f t="shared" si="6"/>
        <v>0</v>
      </c>
      <c r="AA39" s="1">
        <f>IF(LEFT(N39,4)="1201",_xlfn.IFNA(VLOOKUP(B39,Production_Cost!$L:$P,2,FALSE),G39),IF(LEFT(N39,4)="1204",_xlfn.IFNA(VLOOKUP(B39,Production_Cost!$L:$P,3,FALSE),G39),IF(LEFT(N39,4)="1205",_xlfn.IFNA(VLOOKUP(B39,Production_Cost!$L:$P,4,FALSE),G39),IF(LEFT(N39,4)="1206",_xlfn.IFNA(VLOOKUP(B39,Production_Cost!$L:$P,5,FALSE),G39),"BU tidak sesuai"))))</f>
        <v>0</v>
      </c>
      <c r="AB39" s="1" t="str">
        <f t="shared" si="7"/>
        <v>1201-AIR FREIGHT</v>
      </c>
    </row>
    <row r="40" spans="1:29">
      <c r="A40" s="60" t="s">
        <v>65</v>
      </c>
      <c r="B40" s="36" t="s">
        <v>68</v>
      </c>
      <c r="C40" s="60" t="s">
        <v>69</v>
      </c>
      <c r="D40" s="45" t="s">
        <v>12</v>
      </c>
      <c r="E40" s="45" t="s">
        <v>70</v>
      </c>
      <c r="F40" s="45"/>
      <c r="G40" s="163">
        <v>4917.96</v>
      </c>
      <c r="H40" s="163">
        <v>2288.77</v>
      </c>
      <c r="I40" s="163">
        <f t="shared" si="8"/>
        <v>2629.19</v>
      </c>
      <c r="J40" s="48">
        <f>G40/VLOOKUP(A40,RESUME!$G$3:$I$10,3,FALSE)</f>
        <v>5.6433869134324049E-2</v>
      </c>
      <c r="K40" s="163">
        <f t="shared" si="3"/>
        <v>3934.3680000000004</v>
      </c>
      <c r="L40" s="163">
        <f t="shared" si="4"/>
        <v>4917.96</v>
      </c>
      <c r="M40" s="154">
        <f t="shared" si="5"/>
        <v>7.0542336417905055E-2</v>
      </c>
      <c r="N40" s="47" t="str">
        <f>_xlfn.IFNA(VLOOKUP(A40&amp;"-"&amp;B40&amp;"-"&amp;D40,Ref_Account!$A:$F,6,FALSE),"ACCOUNT TIDAK DITEMUKAN")</f>
        <v>1201.812100</v>
      </c>
      <c r="O40" s="45">
        <f t="shared" si="9"/>
        <v>1</v>
      </c>
      <c r="P40" s="45" t="str">
        <f t="shared" si="1"/>
        <v>OK</v>
      </c>
      <c r="Q40" s="159"/>
      <c r="R40" s="213">
        <f t="shared" si="6"/>
        <v>22313.170000000002</v>
      </c>
      <c r="AA40" s="1">
        <f>IF(LEFT(N40,4)="1201",_xlfn.IFNA(VLOOKUP(B40,Production_Cost!$L:$P,2,FALSE),G40),IF(LEFT(N40,4)="1204",_xlfn.IFNA(VLOOKUP(B40,Production_Cost!$L:$P,3,FALSE),G40),IF(LEFT(N40,4)="1205",_xlfn.IFNA(VLOOKUP(B40,Production_Cost!$L:$P,4,FALSE),G40),IF(LEFT(N40,4)="1206",_xlfn.IFNA(VLOOKUP(B40,Production_Cost!$L:$P,5,FALSE),G40),"BU tidak sesuai"))))</f>
        <v>2459.59</v>
      </c>
      <c r="AB40" s="1" t="str">
        <f t="shared" si="7"/>
        <v>1201-BUSINESS TRIP EXPENSES</v>
      </c>
      <c r="AC40" s="1">
        <v>2288.77</v>
      </c>
    </row>
    <row r="41" spans="1:29">
      <c r="A41" s="61" t="s">
        <v>65</v>
      </c>
      <c r="B41" s="37" t="s">
        <v>71</v>
      </c>
      <c r="C41" s="61" t="s">
        <v>72</v>
      </c>
      <c r="D41" s="46" t="s">
        <v>12</v>
      </c>
      <c r="E41" s="46" t="s">
        <v>73</v>
      </c>
      <c r="F41" s="46"/>
      <c r="G41" s="164">
        <v>281</v>
      </c>
      <c r="H41" s="164"/>
      <c r="I41" s="164">
        <f t="shared" si="8"/>
        <v>281</v>
      </c>
      <c r="J41" s="50">
        <f>G41/VLOOKUP(A41,RESUME!$G$3:$I$10,3,FALSE)</f>
        <v>3.2244908919033619E-3</v>
      </c>
      <c r="K41" s="164">
        <f t="shared" si="3"/>
        <v>224.8</v>
      </c>
      <c r="L41" s="164">
        <f t="shared" si="4"/>
        <v>281</v>
      </c>
      <c r="M41" s="156">
        <f t="shared" si="5"/>
        <v>4.030613614879202E-3</v>
      </c>
      <c r="N41" s="49" t="str">
        <f>_xlfn.IFNA(VLOOKUP(A41&amp;"-"&amp;B41&amp;"-"&amp;D41,Ref_Account!$A:$F,6,FALSE),"ACCOUNT TIDAK DITEMUKAN")</f>
        <v>1201.807100</v>
      </c>
      <c r="O41" s="46">
        <f t="shared" si="9"/>
        <v>1</v>
      </c>
      <c r="P41" s="46" t="str">
        <f t="shared" si="1"/>
        <v>OK</v>
      </c>
      <c r="Q41" s="206"/>
      <c r="R41" s="213">
        <f t="shared" si="6"/>
        <v>345.58</v>
      </c>
      <c r="AA41" s="1">
        <f>IF(LEFT(N41,4)="1201",_xlfn.IFNA(VLOOKUP(B41,Production_Cost!$L:$P,2,FALSE),G41),IF(LEFT(N41,4)="1204",_xlfn.IFNA(VLOOKUP(B41,Production_Cost!$L:$P,3,FALSE),G41),IF(LEFT(N41,4)="1205",_xlfn.IFNA(VLOOKUP(B41,Production_Cost!$L:$P,4,FALSE),G41),IF(LEFT(N41,4)="1206",_xlfn.IFNA(VLOOKUP(B41,Production_Cost!$L:$P,5,FALSE),G41),"BU tidak sesuai"))))</f>
        <v>0</v>
      </c>
      <c r="AB41" s="1" t="str">
        <f t="shared" si="7"/>
        <v>1201-CONTRIBUTION COST</v>
      </c>
    </row>
    <row r="42" spans="1:29">
      <c r="A42" s="60" t="s">
        <v>65</v>
      </c>
      <c r="B42" s="36" t="s">
        <v>71</v>
      </c>
      <c r="C42" s="60" t="s">
        <v>72</v>
      </c>
      <c r="D42" s="45" t="s">
        <v>14</v>
      </c>
      <c r="E42" s="45" t="s">
        <v>73</v>
      </c>
      <c r="F42" s="45"/>
      <c r="G42" s="163">
        <v>64.58</v>
      </c>
      <c r="H42" s="163"/>
      <c r="I42" s="163">
        <f t="shared" si="8"/>
        <v>64.58</v>
      </c>
      <c r="J42" s="48">
        <f>G42/VLOOKUP(A42,RESUME!$G$3:$I$10,3,FALSE)</f>
        <v>7.4105915231003239E-4</v>
      </c>
      <c r="K42" s="163">
        <f t="shared" si="3"/>
        <v>51.664000000000001</v>
      </c>
      <c r="L42" s="163">
        <f t="shared" si="4"/>
        <v>64.58</v>
      </c>
      <c r="M42" s="154">
        <f t="shared" si="5"/>
        <v>9.2632394038754046E-4</v>
      </c>
      <c r="N42" s="47" t="str">
        <f>_xlfn.IFNA(VLOOKUP(A42&amp;"-"&amp;B42&amp;"-"&amp;D42,Ref_Account!$A:$F,6,FALSE),"ACCOUNT TIDAK DITEMUKAN")</f>
        <v>1204.807100</v>
      </c>
      <c r="O42" s="45">
        <f t="shared" si="9"/>
        <v>1</v>
      </c>
      <c r="P42" s="45" t="s">
        <v>541</v>
      </c>
      <c r="Q42" s="159"/>
      <c r="R42" s="213">
        <f t="shared" si="6"/>
        <v>345.58</v>
      </c>
      <c r="AA42" s="1">
        <f>IF(LEFT(N42,4)="1201",_xlfn.IFNA(VLOOKUP(B42,Production_Cost!$L:$P,2,FALSE),G42),IF(LEFT(N42,4)="1204",_xlfn.IFNA(VLOOKUP(B42,Production_Cost!$L:$P,3,FALSE),G42),IF(LEFT(N42,4)="1205",_xlfn.IFNA(VLOOKUP(B42,Production_Cost!$L:$P,4,FALSE),G42),IF(LEFT(N42,4)="1206",_xlfn.IFNA(VLOOKUP(B42,Production_Cost!$L:$P,5,FALSE),G42),"BU tidak sesuai"))))</f>
        <v>0</v>
      </c>
      <c r="AB42" s="1" t="str">
        <f t="shared" si="7"/>
        <v>1204-CONTRIBUTION COST</v>
      </c>
    </row>
    <row r="43" spans="1:29">
      <c r="A43" s="61" t="s">
        <v>65</v>
      </c>
      <c r="B43" s="37" t="s">
        <v>74</v>
      </c>
      <c r="C43" s="61" t="s">
        <v>75</v>
      </c>
      <c r="D43" s="46" t="s">
        <v>12</v>
      </c>
      <c r="E43" s="46" t="s">
        <v>73</v>
      </c>
      <c r="F43" s="46"/>
      <c r="G43" s="164">
        <v>2027.63</v>
      </c>
      <c r="H43" s="164">
        <v>1863.9</v>
      </c>
      <c r="I43" s="164">
        <f t="shared" si="8"/>
        <v>163.73000000000002</v>
      </c>
      <c r="J43" s="50">
        <f>G43/VLOOKUP(A43,RESUME!$G$3:$I$10,3,FALSE)</f>
        <v>2.3267168922242044E-2</v>
      </c>
      <c r="K43" s="164">
        <f t="shared" si="3"/>
        <v>1622.1040000000003</v>
      </c>
      <c r="L43" s="164">
        <f t="shared" si="4"/>
        <v>2027.63</v>
      </c>
      <c r="M43" s="156">
        <f t="shared" si="5"/>
        <v>2.5311019755247403E-2</v>
      </c>
      <c r="N43" s="49" t="str">
        <f>_xlfn.IFNA(VLOOKUP(A43&amp;"-"&amp;B43&amp;"-"&amp;D43,Ref_Account!$A:$F,6,FALSE),"ACCOUNT TIDAK DITEMUKAN")</f>
        <v>1201.630400</v>
      </c>
      <c r="O43" s="46">
        <f t="shared" si="9"/>
        <v>1</v>
      </c>
      <c r="P43" s="46" t="str">
        <f t="shared" si="1"/>
        <v>OK</v>
      </c>
      <c r="Q43" s="206"/>
      <c r="R43" s="213">
        <f t="shared" si="6"/>
        <v>15561.89</v>
      </c>
      <c r="AA43" s="1">
        <f>IF(LEFT(N43,4)="1201",_xlfn.IFNA(VLOOKUP(B43,Production_Cost!$L:$P,2,FALSE),G43),IF(LEFT(N43,4)="1204",_xlfn.IFNA(VLOOKUP(B43,Production_Cost!$L:$P,3,FALSE),G43),IF(LEFT(N43,4)="1205",_xlfn.IFNA(VLOOKUP(B43,Production_Cost!$L:$P,4,FALSE),G43),IF(LEFT(N43,4)="1206",_xlfn.IFNA(VLOOKUP(B43,Production_Cost!$L:$P,5,FALSE),G43),"BU tidak sesuai"))))</f>
        <v>1863.9</v>
      </c>
      <c r="AB43" s="1" t="str">
        <f t="shared" si="7"/>
        <v>1201-ELECTRICITY</v>
      </c>
      <c r="AC43" s="1">
        <v>1863.9</v>
      </c>
    </row>
    <row r="44" spans="1:29">
      <c r="A44" s="60" t="s">
        <v>65</v>
      </c>
      <c r="B44" s="36" t="s">
        <v>76</v>
      </c>
      <c r="C44" s="60" t="s">
        <v>77</v>
      </c>
      <c r="D44" s="45" t="s">
        <v>12</v>
      </c>
      <c r="E44" s="45" t="s">
        <v>73</v>
      </c>
      <c r="F44" s="45"/>
      <c r="G44" s="163">
        <v>1453.67</v>
      </c>
      <c r="H44" s="163">
        <v>313.61</v>
      </c>
      <c r="I44" s="163">
        <f t="shared" si="8"/>
        <v>1140.06</v>
      </c>
      <c r="J44" s="48">
        <f>G44/VLOOKUP(A44,RESUME!$G$3:$I$10,3,FALSE)</f>
        <v>1.6680945462039718E-2</v>
      </c>
      <c r="K44" s="163">
        <f t="shared" si="3"/>
        <v>1162.9360000000001</v>
      </c>
      <c r="L44" s="163">
        <f t="shared" si="4"/>
        <v>1453.67</v>
      </c>
      <c r="M44" s="154">
        <f t="shared" si="5"/>
        <v>2.0851181827549647E-2</v>
      </c>
      <c r="N44" s="47" t="str">
        <f>_xlfn.IFNA(VLOOKUP(A44&amp;"-"&amp;B44&amp;"-"&amp;D44,Ref_Account!$A:$F,6,FALSE),"ACCOUNT TIDAK DITEMUKAN")</f>
        <v>1201.813100</v>
      </c>
      <c r="O44" s="45">
        <f t="shared" si="9"/>
        <v>1</v>
      </c>
      <c r="P44" s="45" t="str">
        <f t="shared" si="1"/>
        <v>OK</v>
      </c>
      <c r="Q44" s="159"/>
      <c r="R44" s="213">
        <f t="shared" si="6"/>
        <v>2095.96</v>
      </c>
      <c r="AA44" s="1">
        <f>IF(LEFT(N44,4)="1201",_xlfn.IFNA(VLOOKUP(B44,Production_Cost!$L:$P,2,FALSE),G44),IF(LEFT(N44,4)="1204",_xlfn.IFNA(VLOOKUP(B44,Production_Cost!$L:$P,3,FALSE),G44),IF(LEFT(N44,4)="1205",_xlfn.IFNA(VLOOKUP(B44,Production_Cost!$L:$P,4,FALSE),G44),IF(LEFT(N44,4)="1206",_xlfn.IFNA(VLOOKUP(B44,Production_Cost!$L:$P,5,FALSE),G44),"BU tidak sesuai"))))</f>
        <v>1453.67</v>
      </c>
      <c r="AB44" s="1" t="str">
        <f t="shared" si="7"/>
        <v>1201-ENTERTAINMENT</v>
      </c>
      <c r="AC44" s="1">
        <v>313.61</v>
      </c>
    </row>
    <row r="45" spans="1:29">
      <c r="A45" s="61" t="s">
        <v>65</v>
      </c>
      <c r="B45" s="37" t="s">
        <v>78</v>
      </c>
      <c r="C45" s="61" t="s">
        <v>79</v>
      </c>
      <c r="D45" s="46" t="s">
        <v>12</v>
      </c>
      <c r="E45" s="46" t="s">
        <v>80</v>
      </c>
      <c r="F45" s="46"/>
      <c r="G45" s="164">
        <v>531</v>
      </c>
      <c r="H45" s="164">
        <v>76.62</v>
      </c>
      <c r="I45" s="164">
        <f t="shared" si="8"/>
        <v>454.38</v>
      </c>
      <c r="J45" s="50">
        <f>G45/VLOOKUP(A45,RESUME!$G$3:$I$10,3,FALSE)</f>
        <v>6.0932550306074208E-3</v>
      </c>
      <c r="K45" s="164">
        <f t="shared" si="3"/>
        <v>424.8</v>
      </c>
      <c r="L45" s="164">
        <f t="shared" si="4"/>
        <v>531</v>
      </c>
      <c r="M45" s="156">
        <f t="shared" si="5"/>
        <v>7.6165687882592762E-3</v>
      </c>
      <c r="N45" s="49" t="str">
        <f>_xlfn.IFNA(VLOOKUP(A45&amp;"-"&amp;B45&amp;"-"&amp;D45,Ref_Account!$A:$F,6,FALSE),"ACCOUNT TIDAK DITEMUKAN")</f>
        <v>1201.630300</v>
      </c>
      <c r="O45" s="46">
        <f t="shared" si="9"/>
        <v>1</v>
      </c>
      <c r="P45" s="46" t="str">
        <f t="shared" si="1"/>
        <v>OK</v>
      </c>
      <c r="Q45" s="206"/>
      <c r="R45" s="213">
        <f t="shared" si="6"/>
        <v>5882</v>
      </c>
      <c r="AA45" s="1">
        <f>IF(LEFT(N45,4)="1201",_xlfn.IFNA(VLOOKUP(B45,Production_Cost!$L:$P,2,FALSE),G45),IF(LEFT(N45,4)="1204",_xlfn.IFNA(VLOOKUP(B45,Production_Cost!$L:$P,3,FALSE),G45),IF(LEFT(N45,4)="1205",_xlfn.IFNA(VLOOKUP(B45,Production_Cost!$L:$P,4,FALSE),G45),IF(LEFT(N45,4)="1206",_xlfn.IFNA(VLOOKUP(B45,Production_Cost!$L:$P,5,FALSE),G45),"BU tidak sesuai"))))</f>
        <v>200.61</v>
      </c>
      <c r="AB45" s="1" t="str">
        <f t="shared" si="7"/>
        <v>1201-FACTORY SUPPLIES EXPENSE</v>
      </c>
      <c r="AC45" s="1">
        <v>76.62</v>
      </c>
    </row>
    <row r="46" spans="1:29">
      <c r="A46" s="60" t="s">
        <v>65</v>
      </c>
      <c r="B46" s="36" t="s">
        <v>152</v>
      </c>
      <c r="C46" s="60" t="s">
        <v>81</v>
      </c>
      <c r="D46" s="45" t="s">
        <v>12</v>
      </c>
      <c r="E46" s="45" t="s">
        <v>73</v>
      </c>
      <c r="F46" s="45"/>
      <c r="G46" s="163">
        <v>2429</v>
      </c>
      <c r="H46" s="163">
        <v>126.88</v>
      </c>
      <c r="I46" s="163">
        <f t="shared" si="8"/>
        <v>2302.12</v>
      </c>
      <c r="J46" s="48">
        <f>G46/VLOOKUP(A46,RESUME!$G$3:$I$10,3,FALSE)</f>
        <v>2.7872912371648635E-2</v>
      </c>
      <c r="K46" s="163">
        <f t="shared" si="3"/>
        <v>1943.2</v>
      </c>
      <c r="L46" s="163">
        <f t="shared" si="4"/>
        <v>2429</v>
      </c>
      <c r="M46" s="154">
        <f t="shared" si="5"/>
        <v>3.4841140464560792E-2</v>
      </c>
      <c r="N46" s="47" t="str">
        <f>_xlfn.IFNA(VLOOKUP(A46&amp;"-"&amp;B46&amp;"-"&amp;D46,Ref_Account!$A:$F,6,FALSE),"ACCOUNT TIDAK DITEMUKAN")</f>
        <v>1201.630200</v>
      </c>
      <c r="O46" s="45">
        <f t="shared" si="9"/>
        <v>2</v>
      </c>
      <c r="P46" s="45" t="str">
        <f t="shared" si="1"/>
        <v>OK</v>
      </c>
      <c r="Q46" s="159"/>
      <c r="R46" s="213">
        <f t="shared" si="6"/>
        <v>7778.87</v>
      </c>
      <c r="AA46" s="1">
        <f>IF(LEFT(N46,4)="1201",_xlfn.IFNA(VLOOKUP(B46,Production_Cost!$L:$P,2,FALSE),G46),IF(LEFT(N46,4)="1204",_xlfn.IFNA(VLOOKUP(B46,Production_Cost!$L:$P,3,FALSE),G46),IF(LEFT(N46,4)="1205",_xlfn.IFNA(VLOOKUP(B46,Production_Cost!$L:$P,4,FALSE),G46),IF(LEFT(N46,4)="1206",_xlfn.IFNA(VLOOKUP(B46,Production_Cost!$L:$P,5,FALSE),G46),"BU tidak sesuai"))))</f>
        <v>126.88</v>
      </c>
      <c r="AB46" s="1" t="str">
        <f t="shared" si="7"/>
        <v>1201-FARE ALLOWANCE</v>
      </c>
      <c r="AC46" s="1">
        <v>126.88</v>
      </c>
    </row>
    <row r="47" spans="1:29">
      <c r="A47" s="61" t="s">
        <v>65</v>
      </c>
      <c r="B47" s="37" t="s">
        <v>152</v>
      </c>
      <c r="C47" s="61" t="s">
        <v>82</v>
      </c>
      <c r="D47" s="46" t="s">
        <v>12</v>
      </c>
      <c r="E47" s="46" t="s">
        <v>73</v>
      </c>
      <c r="F47" s="46"/>
      <c r="G47" s="164">
        <v>200</v>
      </c>
      <c r="H47" s="164"/>
      <c r="I47" s="164">
        <f t="shared" si="8"/>
        <v>200</v>
      </c>
      <c r="J47" s="50">
        <f>G47/VLOOKUP(A47,RESUME!$G$3:$I$10,3,FALSE)</f>
        <v>2.2950113109632469E-3</v>
      </c>
      <c r="K47" s="164">
        <f t="shared" si="3"/>
        <v>160</v>
      </c>
      <c r="L47" s="164">
        <f t="shared" si="4"/>
        <v>200</v>
      </c>
      <c r="M47" s="156">
        <f t="shared" si="5"/>
        <v>2.8687641387040589E-3</v>
      </c>
      <c r="N47" s="49" t="str">
        <f>_xlfn.IFNA(VLOOKUP(A47&amp;"-"&amp;B47&amp;"-"&amp;D47,Ref_Account!$A:$F,6,FALSE),"ACCOUNT TIDAK DITEMUKAN")</f>
        <v>1201.630200</v>
      </c>
      <c r="O47" s="46">
        <f t="shared" si="9"/>
        <v>2</v>
      </c>
      <c r="P47" s="46" t="str">
        <f t="shared" si="1"/>
        <v>OK</v>
      </c>
      <c r="Q47" s="206"/>
      <c r="R47" s="213">
        <f t="shared" si="6"/>
        <v>7778.87</v>
      </c>
      <c r="AA47" s="1">
        <f>IF(LEFT(N47,4)="1201",_xlfn.IFNA(VLOOKUP(B47,Production_Cost!$L:$P,2,FALSE),G47),IF(LEFT(N47,4)="1204",_xlfn.IFNA(VLOOKUP(B47,Production_Cost!$L:$P,3,FALSE),G47),IF(LEFT(N47,4)="1205",_xlfn.IFNA(VLOOKUP(B47,Production_Cost!$L:$P,4,FALSE),G47),IF(LEFT(N47,4)="1206",_xlfn.IFNA(VLOOKUP(B47,Production_Cost!$L:$P,5,FALSE),G47),"BU tidak sesuai"))))</f>
        <v>126.88</v>
      </c>
      <c r="AB47" s="1" t="str">
        <f t="shared" si="7"/>
        <v>1201-FARE ALLOWANCE</v>
      </c>
    </row>
    <row r="48" spans="1:29">
      <c r="A48" s="60" t="s">
        <v>65</v>
      </c>
      <c r="B48" s="36" t="s">
        <v>83</v>
      </c>
      <c r="C48" s="60" t="s">
        <v>84</v>
      </c>
      <c r="D48" s="45" t="s">
        <v>12</v>
      </c>
      <c r="E48" s="45" t="s">
        <v>73</v>
      </c>
      <c r="F48" s="45"/>
      <c r="G48" s="163">
        <v>3004.76</v>
      </c>
      <c r="H48" s="163">
        <v>783.82</v>
      </c>
      <c r="I48" s="163">
        <f t="shared" si="8"/>
        <v>2220.94</v>
      </c>
      <c r="J48" s="48">
        <f>G48/VLOOKUP(A48,RESUME!$G$3:$I$10,3,FALSE)</f>
        <v>3.4479790933649633E-2</v>
      </c>
      <c r="K48" s="163">
        <f t="shared" si="3"/>
        <v>2403.8080000000004</v>
      </c>
      <c r="L48" s="163">
        <f t="shared" si="4"/>
        <v>3004.76</v>
      </c>
      <c r="M48" s="154">
        <f t="shared" si="5"/>
        <v>4.3099738667062036E-2</v>
      </c>
      <c r="N48" s="47" t="str">
        <f>_xlfn.IFNA(VLOOKUP(A48&amp;"-"&amp;B48&amp;"-"&amp;D48,Ref_Account!$A:$F,6,FALSE),"ACCOUNT TIDAK DITEMUKAN")</f>
        <v>1201.630530</v>
      </c>
      <c r="O48" s="45">
        <f t="shared" si="9"/>
        <v>1</v>
      </c>
      <c r="P48" s="45" t="str">
        <f t="shared" si="1"/>
        <v>OK</v>
      </c>
      <c r="Q48" s="159"/>
      <c r="R48" s="213">
        <f t="shared" si="6"/>
        <v>4548.3100000000004</v>
      </c>
      <c r="AA48" s="1">
        <f>IF(LEFT(N48,4)="1201",_xlfn.IFNA(VLOOKUP(B48,Production_Cost!$L:$P,2,FALSE),G48),IF(LEFT(N48,4)="1204",_xlfn.IFNA(VLOOKUP(B48,Production_Cost!$L:$P,3,FALSE),G48),IF(LEFT(N48,4)="1205",_xlfn.IFNA(VLOOKUP(B48,Production_Cost!$L:$P,4,FALSE),G48),IF(LEFT(N48,4)="1206",_xlfn.IFNA(VLOOKUP(B48,Production_Cost!$L:$P,5,FALSE),G48),"BU tidak sesuai"))))</f>
        <v>3004.76</v>
      </c>
      <c r="AB48" s="1" t="str">
        <f t="shared" si="7"/>
        <v>1201-FREIGHT IN</v>
      </c>
      <c r="AC48" s="1">
        <v>783.82</v>
      </c>
    </row>
    <row r="49" spans="1:29">
      <c r="A49" s="61" t="s">
        <v>65</v>
      </c>
      <c r="B49" s="37" t="s">
        <v>83</v>
      </c>
      <c r="C49" s="61" t="s">
        <v>84</v>
      </c>
      <c r="D49" s="46" t="s">
        <v>14</v>
      </c>
      <c r="E49" s="46" t="s">
        <v>73</v>
      </c>
      <c r="F49" s="46"/>
      <c r="G49" s="164">
        <v>1543.55</v>
      </c>
      <c r="H49" s="164"/>
      <c r="I49" s="164">
        <f t="shared" si="8"/>
        <v>1543.55</v>
      </c>
      <c r="J49" s="50">
        <f>G49/VLOOKUP(A49,RESUME!$G$3:$I$10,3,FALSE)</f>
        <v>1.7712323545186599E-2</v>
      </c>
      <c r="K49" s="164">
        <f t="shared" si="3"/>
        <v>1234.8400000000001</v>
      </c>
      <c r="L49" s="164">
        <f t="shared" si="4"/>
        <v>1543.55</v>
      </c>
      <c r="M49" s="156">
        <f t="shared" si="5"/>
        <v>2.2140404431483244E-2</v>
      </c>
      <c r="N49" s="49" t="str">
        <f>_xlfn.IFNA(VLOOKUP(A49&amp;"-"&amp;B49&amp;"-"&amp;D49,Ref_Account!$A:$F,6,FALSE),"ACCOUNT TIDAK DITEMUKAN")</f>
        <v>1204.630530</v>
      </c>
      <c r="O49" s="46">
        <f t="shared" si="9"/>
        <v>1</v>
      </c>
      <c r="P49" s="46" t="str">
        <f t="shared" si="1"/>
        <v>OK</v>
      </c>
      <c r="Q49" s="206"/>
      <c r="R49" s="213">
        <f t="shared" si="6"/>
        <v>4548.3100000000004</v>
      </c>
      <c r="AA49" s="1">
        <f>IF(LEFT(N49,4)="1201",_xlfn.IFNA(VLOOKUP(B49,Production_Cost!$L:$P,2,FALSE),G49),IF(LEFT(N49,4)="1204",_xlfn.IFNA(VLOOKUP(B49,Production_Cost!$L:$P,3,FALSE),G49),IF(LEFT(N49,4)="1205",_xlfn.IFNA(VLOOKUP(B49,Production_Cost!$L:$P,4,FALSE),G49),IF(LEFT(N49,4)="1206",_xlfn.IFNA(VLOOKUP(B49,Production_Cost!$L:$P,5,FALSE),G49),"BU tidak sesuai"))))</f>
        <v>1543.55</v>
      </c>
      <c r="AB49" s="1" t="str">
        <f t="shared" si="7"/>
        <v>1204-FREIGHT IN</v>
      </c>
    </row>
    <row r="50" spans="1:29">
      <c r="A50" s="60" t="s">
        <v>65</v>
      </c>
      <c r="B50" s="36" t="s">
        <v>85</v>
      </c>
      <c r="C50" s="60" t="s">
        <v>86</v>
      </c>
      <c r="D50" s="45" t="s">
        <v>12</v>
      </c>
      <c r="E50" s="45" t="s">
        <v>73</v>
      </c>
      <c r="F50" s="45"/>
      <c r="G50" s="163">
        <v>938.47</v>
      </c>
      <c r="H50" s="163">
        <v>527.75</v>
      </c>
      <c r="I50" s="163">
        <f t="shared" si="8"/>
        <v>410.72</v>
      </c>
      <c r="J50" s="48">
        <f>G50/VLOOKUP(A50,RESUME!$G$3:$I$10,3,FALSE)</f>
        <v>1.0768996324998392E-2</v>
      </c>
      <c r="K50" s="163">
        <f t="shared" si="3"/>
        <v>750.77600000000007</v>
      </c>
      <c r="L50" s="163">
        <f t="shared" si="4"/>
        <v>938.47</v>
      </c>
      <c r="M50" s="154">
        <f t="shared" si="5"/>
        <v>1.346124540624799E-2</v>
      </c>
      <c r="N50" s="47" t="str">
        <f>_xlfn.IFNA(VLOOKUP(A50&amp;"-"&amp;B50&amp;"-"&amp;D50,Ref_Account!$A:$F,6,FALSE),"ACCOUNT TIDAK DITEMUKAN")</f>
        <v>1201.808100</v>
      </c>
      <c r="O50" s="45">
        <f t="shared" si="9"/>
        <v>1</v>
      </c>
      <c r="P50" s="45" t="str">
        <f t="shared" si="1"/>
        <v>OK</v>
      </c>
      <c r="Q50" s="159"/>
      <c r="R50" s="213">
        <f t="shared" si="6"/>
        <v>3432.3599999999997</v>
      </c>
      <c r="AA50" s="1">
        <f>IF(LEFT(N50,4)="1201",_xlfn.IFNA(VLOOKUP(B50,Production_Cost!$L:$P,2,FALSE),G50),IF(LEFT(N50,4)="1204",_xlfn.IFNA(VLOOKUP(B50,Production_Cost!$L:$P,3,FALSE),G50),IF(LEFT(N50,4)="1205",_xlfn.IFNA(VLOOKUP(B50,Production_Cost!$L:$P,4,FALSE),G50),IF(LEFT(N50,4)="1206",_xlfn.IFNA(VLOOKUP(B50,Production_Cost!$L:$P,5,FALSE),G50),"BU tidak sesuai"))))</f>
        <v>527.75</v>
      </c>
      <c r="AB50" s="1" t="str">
        <f t="shared" si="7"/>
        <v>1201-FUEL FOR MOTOR VEHICLE</v>
      </c>
      <c r="AC50" s="1">
        <v>527.75</v>
      </c>
    </row>
    <row r="51" spans="1:29">
      <c r="A51" s="61" t="s">
        <v>65</v>
      </c>
      <c r="B51" s="37" t="s">
        <v>85</v>
      </c>
      <c r="C51" s="61" t="s">
        <v>86</v>
      </c>
      <c r="D51" s="46" t="s">
        <v>23</v>
      </c>
      <c r="E51" s="46" t="s">
        <v>73</v>
      </c>
      <c r="F51" s="46"/>
      <c r="G51" s="164">
        <v>175.55</v>
      </c>
      <c r="H51" s="164"/>
      <c r="I51" s="164">
        <f t="shared" si="8"/>
        <v>175.55</v>
      </c>
      <c r="J51" s="50">
        <f>G51/VLOOKUP(A51,RESUME!$G$3:$I$10,3,FALSE)</f>
        <v>2.0144461781979902E-3</v>
      </c>
      <c r="K51" s="164">
        <f t="shared" si="3"/>
        <v>140.44000000000003</v>
      </c>
      <c r="L51" s="164">
        <f t="shared" si="4"/>
        <v>175.55</v>
      </c>
      <c r="M51" s="156">
        <f t="shared" si="5"/>
        <v>2.5180577227474875E-3</v>
      </c>
      <c r="N51" s="49" t="str">
        <f>_xlfn.IFNA(VLOOKUP(A51&amp;"-"&amp;B51&amp;"-"&amp;D51,Ref_Account!$A:$F,6,FALSE),"ACCOUNT TIDAK DITEMUKAN")</f>
        <v>1205.808100</v>
      </c>
      <c r="O51" s="46">
        <f t="shared" si="9"/>
        <v>1</v>
      </c>
      <c r="P51" s="46" t="str">
        <f t="shared" si="1"/>
        <v>OK</v>
      </c>
      <c r="Q51" s="206"/>
      <c r="R51" s="213">
        <f t="shared" si="6"/>
        <v>3432.3599999999997</v>
      </c>
      <c r="AA51" s="1">
        <f>IF(LEFT(N51,4)="1201",_xlfn.IFNA(VLOOKUP(B51,Production_Cost!$L:$P,2,FALSE),G51),IF(LEFT(N51,4)="1204",_xlfn.IFNA(VLOOKUP(B51,Production_Cost!$L:$P,3,FALSE),G51),IF(LEFT(N51,4)="1205",_xlfn.IFNA(VLOOKUP(B51,Production_Cost!$L:$P,4,FALSE),G51),IF(LEFT(N51,4)="1206",_xlfn.IFNA(VLOOKUP(B51,Production_Cost!$L:$P,5,FALSE),G51),"BU tidak sesuai"))))</f>
        <v>0</v>
      </c>
      <c r="AB51" s="1" t="str">
        <f t="shared" si="7"/>
        <v>1205-FUEL FOR MOTOR VEHICLE</v>
      </c>
    </row>
    <row r="52" spans="1:29">
      <c r="A52" s="60" t="s">
        <v>65</v>
      </c>
      <c r="B52" s="36" t="s">
        <v>85</v>
      </c>
      <c r="C52" s="60" t="s">
        <v>86</v>
      </c>
      <c r="D52" s="45" t="s">
        <v>14</v>
      </c>
      <c r="E52" s="45" t="s">
        <v>73</v>
      </c>
      <c r="F52" s="45"/>
      <c r="G52" s="163">
        <v>2294.39</v>
      </c>
      <c r="H52" s="163">
        <v>1074.9100000000001</v>
      </c>
      <c r="I52" s="163">
        <f t="shared" si="8"/>
        <v>1219.4799999999998</v>
      </c>
      <c r="J52" s="48">
        <f>G52/VLOOKUP(A52,RESUME!$G$3:$I$10,3,FALSE)</f>
        <v>2.632825500880482E-2</v>
      </c>
      <c r="K52" s="163">
        <f t="shared" si="3"/>
        <v>1835.5119999999999</v>
      </c>
      <c r="L52" s="163">
        <f t="shared" si="4"/>
        <v>2294.39</v>
      </c>
      <c r="M52" s="154">
        <f t="shared" si="5"/>
        <v>3.2910318761006023E-2</v>
      </c>
      <c r="N52" s="47" t="str">
        <f>_xlfn.IFNA(VLOOKUP(A52&amp;"-"&amp;B52&amp;"-"&amp;D52,Ref_Account!$A:$F,6,FALSE),"ACCOUNT TIDAK DITEMUKAN")</f>
        <v>1204.808100</v>
      </c>
      <c r="O52" s="45">
        <f t="shared" si="9"/>
        <v>1</v>
      </c>
      <c r="P52" s="45" t="str">
        <f t="shared" si="1"/>
        <v>OK</v>
      </c>
      <c r="Q52" s="159"/>
      <c r="R52" s="213">
        <f t="shared" si="6"/>
        <v>3432.3599999999997</v>
      </c>
      <c r="AA52" s="1">
        <f>IF(LEFT(N52,4)="1201",_xlfn.IFNA(VLOOKUP(B52,Production_Cost!$L:$P,2,FALSE),G52),IF(LEFT(N52,4)="1204",_xlfn.IFNA(VLOOKUP(B52,Production_Cost!$L:$P,3,FALSE),G52),IF(LEFT(N52,4)="1205",_xlfn.IFNA(VLOOKUP(B52,Production_Cost!$L:$P,4,FALSE),G52),IF(LEFT(N52,4)="1206",_xlfn.IFNA(VLOOKUP(B52,Production_Cost!$L:$P,5,FALSE),G52),"BU tidak sesuai"))))</f>
        <v>1074.9100000000001</v>
      </c>
      <c r="AB52" s="1" t="str">
        <f t="shared" si="7"/>
        <v>1204-FUEL FOR MOTOR VEHICLE</v>
      </c>
      <c r="AC52" s="1">
        <v>1074.9100000000001</v>
      </c>
    </row>
    <row r="53" spans="1:29">
      <c r="A53" s="61" t="s">
        <v>65</v>
      </c>
      <c r="B53" s="37" t="s">
        <v>87</v>
      </c>
      <c r="C53" s="61" t="s">
        <v>88</v>
      </c>
      <c r="D53" s="46" t="s">
        <v>12</v>
      </c>
      <c r="E53" s="46" t="s">
        <v>73</v>
      </c>
      <c r="F53" s="46"/>
      <c r="G53" s="164">
        <v>1987.05</v>
      </c>
      <c r="H53" s="164"/>
      <c r="I53" s="164">
        <f t="shared" si="8"/>
        <v>1987.05</v>
      </c>
      <c r="J53" s="50">
        <f>G53/VLOOKUP(A53,RESUME!$G$3:$I$10,3,FALSE)</f>
        <v>2.2801511127247598E-2</v>
      </c>
      <c r="K53" s="164">
        <f t="shared" si="3"/>
        <v>1589.64</v>
      </c>
      <c r="L53" s="164">
        <f t="shared" si="4"/>
        <v>1987.05</v>
      </c>
      <c r="M53" s="156">
        <f t="shared" si="5"/>
        <v>2.8501888909059497E-2</v>
      </c>
      <c r="N53" s="49" t="str">
        <f>_xlfn.IFNA(VLOOKUP(A53&amp;"-"&amp;B53&amp;"-"&amp;D53,Ref_Account!$A:$F,6,FALSE),"ACCOUNT TIDAK DITEMUKAN")</f>
        <v>1201.630900</v>
      </c>
      <c r="O53" s="46">
        <f t="shared" si="9"/>
        <v>1</v>
      </c>
      <c r="P53" s="46" t="str">
        <f t="shared" si="1"/>
        <v>OK</v>
      </c>
      <c r="Q53" s="206"/>
      <c r="R53" s="213">
        <f t="shared" si="6"/>
        <v>3679.7200000000003</v>
      </c>
      <c r="AA53" s="1">
        <f>IF(LEFT(N53,4)="1201",_xlfn.IFNA(VLOOKUP(B53,Production_Cost!$L:$P,2,FALSE),G53),IF(LEFT(N53,4)="1204",_xlfn.IFNA(VLOOKUP(B53,Production_Cost!$L:$P,3,FALSE),G53),IF(LEFT(N53,4)="1205",_xlfn.IFNA(VLOOKUP(B53,Production_Cost!$L:$P,4,FALSE),G53),IF(LEFT(N53,4)="1206",_xlfn.IFNA(VLOOKUP(B53,Production_Cost!$L:$P,5,FALSE),G53),"BU tidak sesuai"))))</f>
        <v>1987.05</v>
      </c>
      <c r="AB53" s="1" t="str">
        <f t="shared" si="7"/>
        <v>1201-INSURANCEEXP.OFBUILD.&amp;</v>
      </c>
    </row>
    <row r="54" spans="1:29">
      <c r="A54" s="60" t="s">
        <v>65</v>
      </c>
      <c r="B54" s="36" t="s">
        <v>87</v>
      </c>
      <c r="C54" s="60" t="s">
        <v>88</v>
      </c>
      <c r="D54" s="45" t="s">
        <v>14</v>
      </c>
      <c r="E54" s="45" t="s">
        <v>73</v>
      </c>
      <c r="F54" s="45"/>
      <c r="G54" s="163">
        <v>1692.67</v>
      </c>
      <c r="H54" s="163"/>
      <c r="I54" s="163">
        <f t="shared" si="8"/>
        <v>1692.67</v>
      </c>
      <c r="J54" s="48">
        <f>G54/VLOOKUP(A54,RESUME!$G$3:$I$10,3,FALSE)</f>
        <v>1.9423483978640799E-2</v>
      </c>
      <c r="K54" s="163">
        <f t="shared" si="3"/>
        <v>1354.1360000000002</v>
      </c>
      <c r="L54" s="163">
        <f t="shared" si="4"/>
        <v>1692.67</v>
      </c>
      <c r="M54" s="154">
        <f t="shared" si="5"/>
        <v>2.4279354973300995E-2</v>
      </c>
      <c r="N54" s="47" t="str">
        <f>_xlfn.IFNA(VLOOKUP(A54&amp;"-"&amp;B54&amp;"-"&amp;D54,Ref_Account!$A:$F,6,FALSE),"ACCOUNT TIDAK DITEMUKAN")</f>
        <v>1204.630900</v>
      </c>
      <c r="O54" s="45">
        <f t="shared" si="9"/>
        <v>1</v>
      </c>
      <c r="P54" s="45" t="str">
        <f t="shared" si="1"/>
        <v>OK</v>
      </c>
      <c r="Q54" s="159"/>
      <c r="R54" s="213">
        <f t="shared" si="6"/>
        <v>3679.7200000000003</v>
      </c>
      <c r="AA54" s="1">
        <f>IF(LEFT(N54,4)="1201",_xlfn.IFNA(VLOOKUP(B54,Production_Cost!$L:$P,2,FALSE),G54),IF(LEFT(N54,4)="1204",_xlfn.IFNA(VLOOKUP(B54,Production_Cost!$L:$P,3,FALSE),G54),IF(LEFT(N54,4)="1205",_xlfn.IFNA(VLOOKUP(B54,Production_Cost!$L:$P,4,FALSE),G54),IF(LEFT(N54,4)="1206",_xlfn.IFNA(VLOOKUP(B54,Production_Cost!$L:$P,5,FALSE),G54),"BU tidak sesuai"))))</f>
        <v>1692.67</v>
      </c>
      <c r="AB54" s="1" t="str">
        <f t="shared" si="7"/>
        <v>1204-INSURANCEEXP.OFBUILD.&amp;</v>
      </c>
    </row>
    <row r="55" spans="1:29">
      <c r="A55" s="61" t="s">
        <v>65</v>
      </c>
      <c r="B55" s="37" t="s">
        <v>89</v>
      </c>
      <c r="C55" s="61" t="s">
        <v>90</v>
      </c>
      <c r="D55" s="46" t="s">
        <v>12</v>
      </c>
      <c r="E55" s="46" t="s">
        <v>73</v>
      </c>
      <c r="F55" s="46"/>
      <c r="G55" s="164">
        <v>569</v>
      </c>
      <c r="H55" s="164">
        <v>460.21</v>
      </c>
      <c r="I55" s="164">
        <f t="shared" si="8"/>
        <v>108.79000000000002</v>
      </c>
      <c r="J55" s="50">
        <f>G55/VLOOKUP(A55,RESUME!$G$3:$I$10,3,FALSE)</f>
        <v>6.5293071796904377E-3</v>
      </c>
      <c r="K55" s="164">
        <f t="shared" si="3"/>
        <v>455.20000000000005</v>
      </c>
      <c r="L55" s="164">
        <f t="shared" si="4"/>
        <v>569</v>
      </c>
      <c r="M55" s="156">
        <f t="shared" si="5"/>
        <v>8.0727836971031912E-3</v>
      </c>
      <c r="N55" s="49" t="str">
        <f>_xlfn.IFNA(VLOOKUP(A55&amp;"-"&amp;B55&amp;"-"&amp;D55,Ref_Account!$A:$F,6,FALSE),"ACCOUNT TIDAK DITEMUKAN")</f>
        <v>1201.802140</v>
      </c>
      <c r="O55" s="46">
        <f t="shared" si="9"/>
        <v>1</v>
      </c>
      <c r="P55" s="46" t="str">
        <f t="shared" si="1"/>
        <v>OK</v>
      </c>
      <c r="Q55" s="206"/>
      <c r="R55" s="213">
        <f t="shared" si="6"/>
        <v>869</v>
      </c>
      <c r="AA55" s="1">
        <f>IF(LEFT(N55,4)="1201",_xlfn.IFNA(VLOOKUP(B55,Production_Cost!$L:$P,2,FALSE),G55),IF(LEFT(N55,4)="1204",_xlfn.IFNA(VLOOKUP(B55,Production_Cost!$L:$P,3,FALSE),G55),IF(LEFT(N55,4)="1205",_xlfn.IFNA(VLOOKUP(B55,Production_Cost!$L:$P,4,FALSE),G55),IF(LEFT(N55,4)="1206",_xlfn.IFNA(VLOOKUP(B55,Production_Cost!$L:$P,5,FALSE),G55),"BU tidak sesuai"))))</f>
        <v>460.21</v>
      </c>
      <c r="AB55" s="1" t="str">
        <f t="shared" si="7"/>
        <v>1201-INTERNET EXPENSES</v>
      </c>
      <c r="AC55" s="1">
        <v>460.21</v>
      </c>
    </row>
    <row r="56" spans="1:29">
      <c r="A56" s="60" t="s">
        <v>65</v>
      </c>
      <c r="B56" s="36" t="s">
        <v>89</v>
      </c>
      <c r="C56" s="60" t="s">
        <v>90</v>
      </c>
      <c r="D56" s="45" t="s">
        <v>14</v>
      </c>
      <c r="E56" s="45" t="s">
        <v>73</v>
      </c>
      <c r="F56" s="45"/>
      <c r="G56" s="163">
        <v>300</v>
      </c>
      <c r="H56" s="163"/>
      <c r="I56" s="163">
        <f t="shared" si="8"/>
        <v>300</v>
      </c>
      <c r="J56" s="48">
        <f>G56/VLOOKUP(A56,RESUME!$G$3:$I$10,3,FALSE)</f>
        <v>3.4425169664448704E-3</v>
      </c>
      <c r="K56" s="163">
        <f t="shared" si="3"/>
        <v>240</v>
      </c>
      <c r="L56" s="163">
        <f t="shared" si="4"/>
        <v>300</v>
      </c>
      <c r="M56" s="154">
        <f t="shared" si="5"/>
        <v>4.3031462080560879E-3</v>
      </c>
      <c r="N56" s="47" t="str">
        <f>_xlfn.IFNA(VLOOKUP(A56&amp;"-"&amp;B56&amp;"-"&amp;D56,Ref_Account!$A:$F,6,FALSE),"ACCOUNT TIDAK DITEMUKAN")</f>
        <v>1204.802140</v>
      </c>
      <c r="O56" s="45">
        <f t="shared" si="9"/>
        <v>1</v>
      </c>
      <c r="P56" s="45" t="str">
        <f t="shared" si="1"/>
        <v>OK</v>
      </c>
      <c r="Q56" s="159"/>
      <c r="R56" s="213">
        <f t="shared" si="6"/>
        <v>869</v>
      </c>
      <c r="AA56" s="1">
        <f>IF(LEFT(N56,4)="1201",_xlfn.IFNA(VLOOKUP(B56,Production_Cost!$L:$P,2,FALSE),G56),IF(LEFT(N56,4)="1204",_xlfn.IFNA(VLOOKUP(B56,Production_Cost!$L:$P,3,FALSE),G56),IF(LEFT(N56,4)="1205",_xlfn.IFNA(VLOOKUP(B56,Production_Cost!$L:$P,4,FALSE),G56),IF(LEFT(N56,4)="1206",_xlfn.IFNA(VLOOKUP(B56,Production_Cost!$L:$P,5,FALSE),G56),"BU tidak sesuai"))))</f>
        <v>0</v>
      </c>
      <c r="AB56" s="1" t="str">
        <f t="shared" si="7"/>
        <v>1204-INTERNET EXPENSES</v>
      </c>
    </row>
    <row r="57" spans="1:29">
      <c r="A57" s="61" t="s">
        <v>65</v>
      </c>
      <c r="B57" s="37" t="s">
        <v>91</v>
      </c>
      <c r="C57" s="61" t="s">
        <v>92</v>
      </c>
      <c r="D57" s="46" t="s">
        <v>12</v>
      </c>
      <c r="E57" s="46" t="s">
        <v>93</v>
      </c>
      <c r="F57" s="46"/>
      <c r="G57" s="164">
        <v>2288.86</v>
      </c>
      <c r="H57" s="164"/>
      <c r="I57" s="164">
        <f t="shared" si="8"/>
        <v>2288.86</v>
      </c>
      <c r="J57" s="50">
        <f>G57/VLOOKUP(A57,RESUME!$G$3:$I$10,3,FALSE)</f>
        <v>2.6264797946056691E-2</v>
      </c>
      <c r="K57" s="164">
        <f t="shared" si="3"/>
        <v>1831.0880000000002</v>
      </c>
      <c r="L57" s="164">
        <f t="shared" si="4"/>
        <v>2288.86</v>
      </c>
      <c r="M57" s="156">
        <f t="shared" si="5"/>
        <v>3.2830997432570862E-2</v>
      </c>
      <c r="N57" s="49" t="str">
        <f>_xlfn.IFNA(VLOOKUP(A57&amp;"-"&amp;B57&amp;"-"&amp;D57,Ref_Account!$A:$F,6,FALSE),"ACCOUNT TIDAK DITEMUKAN")</f>
        <v>1201.801160</v>
      </c>
      <c r="O57" s="46">
        <f t="shared" si="9"/>
        <v>1</v>
      </c>
      <c r="P57" s="46" t="str">
        <f t="shared" si="1"/>
        <v>OK</v>
      </c>
      <c r="Q57" s="206"/>
      <c r="R57" s="213">
        <f t="shared" si="6"/>
        <v>15885.72</v>
      </c>
      <c r="AA57" s="1">
        <f>IF(LEFT(N57,4)="1201",_xlfn.IFNA(VLOOKUP(B57,Production_Cost!$L:$P,2,FALSE),G57),IF(LEFT(N57,4)="1204",_xlfn.IFNA(VLOOKUP(B57,Production_Cost!$L:$P,3,FALSE),G57),IF(LEFT(N57,4)="1205",_xlfn.IFNA(VLOOKUP(B57,Production_Cost!$L:$P,4,FALSE),G57),IF(LEFT(N57,4)="1206",_xlfn.IFNA(VLOOKUP(B57,Production_Cost!$L:$P,5,FALSE),G57),"BU tidak sesuai"))))</f>
        <v>0</v>
      </c>
      <c r="AB57" s="1" t="str">
        <f t="shared" si="7"/>
        <v>1201-JAMSOSTEK</v>
      </c>
    </row>
    <row r="58" spans="1:29">
      <c r="A58" s="60" t="s">
        <v>65</v>
      </c>
      <c r="B58" s="36" t="s">
        <v>94</v>
      </c>
      <c r="C58" s="60" t="s">
        <v>95</v>
      </c>
      <c r="D58" s="45" t="s">
        <v>12</v>
      </c>
      <c r="E58" s="45" t="s">
        <v>96</v>
      </c>
      <c r="F58" s="45"/>
      <c r="G58" s="163">
        <v>36500.160000000003</v>
      </c>
      <c r="H58" s="163">
        <v>122.79</v>
      </c>
      <c r="I58" s="163">
        <f t="shared" si="8"/>
        <v>36377.370000000003</v>
      </c>
      <c r="J58" s="48">
        <f>G58/VLOOKUP(A58,RESUME!$G$3:$I$10,3,FALSE)</f>
        <v>0.4188414002598414</v>
      </c>
      <c r="K58" s="163">
        <f t="shared" si="3"/>
        <v>29200.128000000004</v>
      </c>
      <c r="L58" s="163">
        <f t="shared" si="4"/>
        <v>36500.160000000003</v>
      </c>
      <c r="M58" s="154">
        <f t="shared" si="5"/>
        <v>0.52355175032480172</v>
      </c>
      <c r="N58" s="47" t="str">
        <f>_xlfn.IFNA(VLOOKUP(A58&amp;"-"&amp;B58&amp;"-"&amp;D58,Ref_Account!$A:$F,6,FALSE),"ACCOUNT TIDAK DITEMUKAN")</f>
        <v>1201.630110</v>
      </c>
      <c r="O58" s="45">
        <f t="shared" si="9"/>
        <v>1</v>
      </c>
      <c r="P58" s="45" t="str">
        <f t="shared" si="1"/>
        <v>OK</v>
      </c>
      <c r="Q58" s="159"/>
      <c r="R58" s="213">
        <f t="shared" si="6"/>
        <v>260250</v>
      </c>
      <c r="AA58" s="1">
        <f>IF(LEFT(N58,4)="1201",_xlfn.IFNA(VLOOKUP(B58,Production_Cost!$L:$P,2,FALSE),G58),IF(LEFT(N58,4)="1204",_xlfn.IFNA(VLOOKUP(B58,Production_Cost!$L:$P,3,FALSE),G58),IF(LEFT(N58,4)="1205",_xlfn.IFNA(VLOOKUP(B58,Production_Cost!$L:$P,4,FALSE),G58),IF(LEFT(N58,4)="1206",_xlfn.IFNA(VLOOKUP(B58,Production_Cost!$L:$P,5,FALSE),G58),"BU tidak sesuai"))))</f>
        <v>122.79</v>
      </c>
      <c r="AB58" s="1" t="str">
        <f t="shared" si="7"/>
        <v>1201-LABOR COST</v>
      </c>
      <c r="AC58" s="1">
        <v>122.79</v>
      </c>
    </row>
    <row r="59" spans="1:29">
      <c r="A59" s="61" t="s">
        <v>65</v>
      </c>
      <c r="B59" s="37" t="s">
        <v>97</v>
      </c>
      <c r="C59" s="61" t="s">
        <v>98</v>
      </c>
      <c r="D59" s="46" t="s">
        <v>12</v>
      </c>
      <c r="E59" s="46" t="s">
        <v>73</v>
      </c>
      <c r="F59" s="46"/>
      <c r="G59" s="164">
        <v>1440.17</v>
      </c>
      <c r="H59" s="164">
        <v>0.63</v>
      </c>
      <c r="I59" s="164">
        <f t="shared" si="8"/>
        <v>1439.54</v>
      </c>
      <c r="J59" s="50">
        <f>G59/VLOOKUP(A59,RESUME!$G$3:$I$10,3,FALSE)</f>
        <v>1.6526032198549697E-2</v>
      </c>
      <c r="K59" s="164">
        <f t="shared" si="3"/>
        <v>1152.1360000000002</v>
      </c>
      <c r="L59" s="164">
        <f t="shared" si="4"/>
        <v>1440.17</v>
      </c>
      <c r="M59" s="156">
        <f t="shared" si="5"/>
        <v>2.0657540248187119E-2</v>
      </c>
      <c r="N59" s="49" t="str">
        <f>_xlfn.IFNA(VLOOKUP(A59&amp;"-"&amp;B59&amp;"-"&amp;D59,Ref_Account!$A:$F,6,FALSE),"ACCOUNT TIDAK DITEMUKAN")</f>
        <v>1201.809100</v>
      </c>
      <c r="O59" s="46">
        <f t="shared" si="9"/>
        <v>1</v>
      </c>
      <c r="P59" s="46" t="str">
        <f t="shared" si="1"/>
        <v>OK</v>
      </c>
      <c r="Q59" s="206"/>
      <c r="R59" s="213">
        <f t="shared" si="6"/>
        <v>1499.69</v>
      </c>
      <c r="AA59" s="1">
        <f>IF(LEFT(N59,4)="1201",_xlfn.IFNA(VLOOKUP(B59,Production_Cost!$L:$P,2,FALSE),G59),IF(LEFT(N59,4)="1204",_xlfn.IFNA(VLOOKUP(B59,Production_Cost!$L:$P,3,FALSE),G59),IF(LEFT(N59,4)="1205",_xlfn.IFNA(VLOOKUP(B59,Production_Cost!$L:$P,4,FALSE),G59),IF(LEFT(N59,4)="1206",_xlfn.IFNA(VLOOKUP(B59,Production_Cost!$L:$P,5,FALSE),G59),"BU tidak sesuai"))))</f>
        <v>0.63</v>
      </c>
      <c r="AB59" s="1" t="str">
        <f t="shared" si="7"/>
        <v>1201-LEGAL EXPENSES</v>
      </c>
      <c r="AC59" s="1">
        <v>0.63</v>
      </c>
    </row>
    <row r="60" spans="1:29">
      <c r="A60" s="60" t="s">
        <v>65</v>
      </c>
      <c r="B60" s="36" t="s">
        <v>97</v>
      </c>
      <c r="C60" s="60" t="s">
        <v>98</v>
      </c>
      <c r="D60" s="45" t="s">
        <v>99</v>
      </c>
      <c r="E60" s="45" t="s">
        <v>73</v>
      </c>
      <c r="F60" s="45"/>
      <c r="G60" s="163">
        <v>14.27</v>
      </c>
      <c r="H60" s="163"/>
      <c r="I60" s="163">
        <f t="shared" si="8"/>
        <v>14.27</v>
      </c>
      <c r="J60" s="48">
        <f>G60/VLOOKUP(A60,RESUME!$G$3:$I$10,3,FALSE)</f>
        <v>1.6374905703722768E-4</v>
      </c>
      <c r="K60" s="163">
        <f t="shared" si="3"/>
        <v>11.416</v>
      </c>
      <c r="L60" s="163">
        <f t="shared" si="4"/>
        <v>14.27</v>
      </c>
      <c r="M60" s="154">
        <f t="shared" si="5"/>
        <v>2.0468632129653461E-4</v>
      </c>
      <c r="N60" s="47" t="str">
        <f>_xlfn.IFNA(VLOOKUP(A60&amp;"-"&amp;B60&amp;"-"&amp;D60,Ref_Account!$A:$F,6,FALSE),"ACCOUNT TIDAK DITEMUKAN")</f>
        <v>1206.809100</v>
      </c>
      <c r="O60" s="45">
        <f t="shared" si="9"/>
        <v>1</v>
      </c>
      <c r="P60" s="45" t="str">
        <f t="shared" si="1"/>
        <v>OK</v>
      </c>
      <c r="Q60" s="159"/>
      <c r="R60" s="213">
        <f t="shared" si="6"/>
        <v>1499.69</v>
      </c>
      <c r="AA60" s="1">
        <f>IF(LEFT(N60,4)="1201",_xlfn.IFNA(VLOOKUP(B60,Production_Cost!$L:$P,2,FALSE),G60),IF(LEFT(N60,4)="1204",_xlfn.IFNA(VLOOKUP(B60,Production_Cost!$L:$P,3,FALSE),G60),IF(LEFT(N60,4)="1205",_xlfn.IFNA(VLOOKUP(B60,Production_Cost!$L:$P,4,FALSE),G60),IF(LEFT(N60,4)="1206",_xlfn.IFNA(VLOOKUP(B60,Production_Cost!$L:$P,5,FALSE),G60),"BU tidak sesuai"))))</f>
        <v>3.24</v>
      </c>
      <c r="AB60" s="1" t="str">
        <f t="shared" si="7"/>
        <v>1206-LEGAL EXPENSES</v>
      </c>
    </row>
    <row r="61" spans="1:29">
      <c r="A61" s="61" t="s">
        <v>65</v>
      </c>
      <c r="B61" s="37" t="s">
        <v>97</v>
      </c>
      <c r="C61" s="61" t="s">
        <v>98</v>
      </c>
      <c r="D61" s="46" t="s">
        <v>23</v>
      </c>
      <c r="E61" s="46" t="s">
        <v>73</v>
      </c>
      <c r="F61" s="46"/>
      <c r="G61" s="164">
        <v>35.56</v>
      </c>
      <c r="H61" s="164"/>
      <c r="I61" s="164">
        <f t="shared" si="8"/>
        <v>35.56</v>
      </c>
      <c r="J61" s="50">
        <f>G61/VLOOKUP(A61,RESUME!$G$3:$I$10,3,FALSE)</f>
        <v>4.0805301108926532E-4</v>
      </c>
      <c r="K61" s="164">
        <f t="shared" si="3"/>
        <v>28.448000000000004</v>
      </c>
      <c r="L61" s="164">
        <f t="shared" si="4"/>
        <v>35.56</v>
      </c>
      <c r="M61" s="156">
        <f t="shared" si="5"/>
        <v>5.1006626386158166E-4</v>
      </c>
      <c r="N61" s="49" t="str">
        <f>_xlfn.IFNA(VLOOKUP(A61&amp;"-"&amp;B61&amp;"-"&amp;D61,Ref_Account!$A:$F,6,FALSE),"ACCOUNT TIDAK DITEMUKAN")</f>
        <v>1205.809100</v>
      </c>
      <c r="O61" s="46">
        <f t="shared" si="9"/>
        <v>1</v>
      </c>
      <c r="P61" s="46" t="str">
        <f t="shared" si="1"/>
        <v>OK</v>
      </c>
      <c r="Q61" s="206"/>
      <c r="R61" s="213">
        <f t="shared" si="6"/>
        <v>1499.69</v>
      </c>
      <c r="AA61" s="1">
        <f>IF(LEFT(N61,4)="1201",_xlfn.IFNA(VLOOKUP(B61,Production_Cost!$L:$P,2,FALSE),G61),IF(LEFT(N61,4)="1204",_xlfn.IFNA(VLOOKUP(B61,Production_Cost!$L:$P,3,FALSE),G61),IF(LEFT(N61,4)="1205",_xlfn.IFNA(VLOOKUP(B61,Production_Cost!$L:$P,4,FALSE),G61),IF(LEFT(N61,4)="1206",_xlfn.IFNA(VLOOKUP(B61,Production_Cost!$L:$P,5,FALSE),G61),"BU tidak sesuai"))))</f>
        <v>29.15</v>
      </c>
      <c r="AB61" s="1" t="str">
        <f t="shared" si="7"/>
        <v>1205-LEGAL EXPENSES</v>
      </c>
    </row>
    <row r="62" spans="1:29">
      <c r="A62" s="60" t="s">
        <v>65</v>
      </c>
      <c r="B62" s="36" t="s">
        <v>97</v>
      </c>
      <c r="C62" s="60" t="s">
        <v>98</v>
      </c>
      <c r="D62" s="45" t="s">
        <v>14</v>
      </c>
      <c r="E62" s="45" t="s">
        <v>73</v>
      </c>
      <c r="F62" s="45"/>
      <c r="G62" s="163">
        <v>9.69</v>
      </c>
      <c r="H62" s="163">
        <v>20.88</v>
      </c>
      <c r="I62" s="163">
        <f t="shared" si="8"/>
        <v>-11.19</v>
      </c>
      <c r="J62" s="48">
        <f>G62/VLOOKUP(A62,RESUME!$G$3:$I$10,3,FALSE)</f>
        <v>1.1119329801616931E-4</v>
      </c>
      <c r="K62" s="163">
        <f t="shared" si="3"/>
        <v>7.7519999999999998</v>
      </c>
      <c r="L62" s="163">
        <f t="shared" si="4"/>
        <v>9.69</v>
      </c>
      <c r="M62" s="154">
        <f t="shared" si="5"/>
        <v>0</v>
      </c>
      <c r="N62" s="47" t="str">
        <f>_xlfn.IFNA(VLOOKUP(A62&amp;"-"&amp;B62&amp;"-"&amp;D62,Ref_Account!$A:$F,6,FALSE),"ACCOUNT TIDAK DITEMUKAN")</f>
        <v>1204.809100</v>
      </c>
      <c r="O62" s="45">
        <f t="shared" si="9"/>
        <v>1</v>
      </c>
      <c r="P62" s="45" t="str">
        <f t="shared" si="1"/>
        <v>OVER</v>
      </c>
      <c r="Q62" s="159"/>
      <c r="R62" s="213">
        <f t="shared" si="6"/>
        <v>1499.69</v>
      </c>
      <c r="AA62" s="1">
        <f>IF(LEFT(N62,4)="1201",_xlfn.IFNA(VLOOKUP(B62,Production_Cost!$L:$P,2,FALSE),G62),IF(LEFT(N62,4)="1204",_xlfn.IFNA(VLOOKUP(B62,Production_Cost!$L:$P,3,FALSE),G62),IF(LEFT(N62,4)="1205",_xlfn.IFNA(VLOOKUP(B62,Production_Cost!$L:$P,4,FALSE),G62),IF(LEFT(N62,4)="1206",_xlfn.IFNA(VLOOKUP(B62,Production_Cost!$L:$P,5,FALSE),G62),"BU tidak sesuai"))))</f>
        <v>20.88</v>
      </c>
      <c r="AB62" s="1" t="str">
        <f t="shared" si="7"/>
        <v>1204-LEGAL EXPENSES</v>
      </c>
      <c r="AC62" s="1">
        <v>20.88</v>
      </c>
    </row>
    <row r="63" spans="1:29">
      <c r="A63" s="61" t="s">
        <v>65</v>
      </c>
      <c r="B63" s="37" t="s">
        <v>100</v>
      </c>
      <c r="C63" s="61" t="s">
        <v>101</v>
      </c>
      <c r="D63" s="46" t="s">
        <v>12</v>
      </c>
      <c r="E63" s="46" t="s">
        <v>73</v>
      </c>
      <c r="F63" s="46"/>
      <c r="G63" s="164">
        <v>400</v>
      </c>
      <c r="H63" s="164">
        <v>1156.6500000000001</v>
      </c>
      <c r="I63" s="164">
        <f t="shared" si="8"/>
        <v>-756.65000000000009</v>
      </c>
      <c r="J63" s="50">
        <f>G63/VLOOKUP(A63,RESUME!$G$3:$I$10,3,FALSE)</f>
        <v>4.5900226219264938E-3</v>
      </c>
      <c r="K63" s="164">
        <f t="shared" si="3"/>
        <v>320</v>
      </c>
      <c r="L63" s="164">
        <f t="shared" si="4"/>
        <v>400</v>
      </c>
      <c r="M63" s="156">
        <f t="shared" si="5"/>
        <v>0</v>
      </c>
      <c r="N63" s="49" t="str">
        <f>_xlfn.IFNA(VLOOKUP(A63&amp;"-"&amp;B63&amp;"-"&amp;D63,Ref_Account!$A:$F,6,FALSE),"ACCOUNT TIDAK DITEMUKAN")</f>
        <v>1201.630710</v>
      </c>
      <c r="O63" s="46">
        <f t="shared" si="9"/>
        <v>1</v>
      </c>
      <c r="P63" s="46" t="str">
        <f t="shared" si="1"/>
        <v>OVER</v>
      </c>
      <c r="Q63" s="206"/>
      <c r="R63" s="213">
        <f t="shared" si="6"/>
        <v>1800</v>
      </c>
      <c r="AA63" s="1">
        <f>IF(LEFT(N63,4)="1201",_xlfn.IFNA(VLOOKUP(B63,Production_Cost!$L:$P,2,FALSE),G63),IF(LEFT(N63,4)="1204",_xlfn.IFNA(VLOOKUP(B63,Production_Cost!$L:$P,3,FALSE),G63),IF(LEFT(N63,4)="1205",_xlfn.IFNA(VLOOKUP(B63,Production_Cost!$L:$P,4,FALSE),G63),IF(LEFT(N63,4)="1206",_xlfn.IFNA(VLOOKUP(B63,Production_Cost!$L:$P,5,FALSE),G63),"BU tidak sesuai"))))</f>
        <v>400</v>
      </c>
      <c r="AB63" s="1" t="str">
        <f t="shared" si="7"/>
        <v>1201-MAINT.&amp;REP.BUILDING</v>
      </c>
      <c r="AC63" s="1">
        <v>1156.6500000000001</v>
      </c>
    </row>
    <row r="64" spans="1:29">
      <c r="A64" s="60" t="s">
        <v>65</v>
      </c>
      <c r="B64" s="36" t="s">
        <v>102</v>
      </c>
      <c r="C64" s="60" t="s">
        <v>103</v>
      </c>
      <c r="D64" s="45" t="s">
        <v>12</v>
      </c>
      <c r="E64" s="45" t="s">
        <v>80</v>
      </c>
      <c r="F64" s="45"/>
      <c r="G64" s="163">
        <v>100</v>
      </c>
      <c r="H64" s="163"/>
      <c r="I64" s="163">
        <f t="shared" si="8"/>
        <v>100</v>
      </c>
      <c r="J64" s="48">
        <f>G64/VLOOKUP(A64,RESUME!$G$3:$I$10,3,FALSE)</f>
        <v>1.1475056554816235E-3</v>
      </c>
      <c r="K64" s="163">
        <f t="shared" si="3"/>
        <v>80</v>
      </c>
      <c r="L64" s="163">
        <f t="shared" si="4"/>
        <v>100</v>
      </c>
      <c r="M64" s="154">
        <f t="shared" si="5"/>
        <v>1.4343820693520294E-3</v>
      </c>
      <c r="N64" s="47" t="str">
        <f>_xlfn.IFNA(VLOOKUP(A64&amp;"-"&amp;B64&amp;"-"&amp;D64,Ref_Account!$A:$F,6,FALSE),"ACCOUNT TIDAK DITEMUKAN")</f>
        <v>1201.630770</v>
      </c>
      <c r="O64" s="45">
        <f t="shared" si="9"/>
        <v>1</v>
      </c>
      <c r="P64" s="45" t="str">
        <f t="shared" si="1"/>
        <v>OK</v>
      </c>
      <c r="Q64" s="159"/>
      <c r="R64" s="213">
        <f t="shared" si="6"/>
        <v>700</v>
      </c>
      <c r="AA64" s="1">
        <f>IF(LEFT(N64,4)="1201",_xlfn.IFNA(VLOOKUP(B64,Production_Cost!$L:$P,2,FALSE),G64),IF(LEFT(N64,4)="1204",_xlfn.IFNA(VLOOKUP(B64,Production_Cost!$L:$P,3,FALSE),G64),IF(LEFT(N64,4)="1205",_xlfn.IFNA(VLOOKUP(B64,Production_Cost!$L:$P,4,FALSE),G64),IF(LEFT(N64,4)="1206",_xlfn.IFNA(VLOOKUP(B64,Production_Cost!$L:$P,5,FALSE),G64),"BU tidak sesuai"))))</f>
        <v>100</v>
      </c>
      <c r="AB64" s="1" t="str">
        <f t="shared" si="7"/>
        <v>1201-MAINT.&amp;REP.ELECTRICITY</v>
      </c>
    </row>
    <row r="65" spans="1:29">
      <c r="A65" s="61" t="s">
        <v>65</v>
      </c>
      <c r="B65" s="37" t="s">
        <v>104</v>
      </c>
      <c r="C65" s="61" t="s">
        <v>105</v>
      </c>
      <c r="D65" s="46" t="s">
        <v>12</v>
      </c>
      <c r="E65" s="46" t="s">
        <v>80</v>
      </c>
      <c r="F65" s="46"/>
      <c r="G65" s="164">
        <v>100</v>
      </c>
      <c r="H65" s="164"/>
      <c r="I65" s="164">
        <f t="shared" si="8"/>
        <v>100</v>
      </c>
      <c r="J65" s="50">
        <f>G65/VLOOKUP(A65,RESUME!$G$3:$I$10,3,FALSE)</f>
        <v>1.1475056554816235E-3</v>
      </c>
      <c r="K65" s="164">
        <f t="shared" si="3"/>
        <v>80</v>
      </c>
      <c r="L65" s="164">
        <f t="shared" si="4"/>
        <v>100</v>
      </c>
      <c r="M65" s="156">
        <f t="shared" si="5"/>
        <v>1.4343820693520294E-3</v>
      </c>
      <c r="N65" s="49" t="str">
        <f>_xlfn.IFNA(VLOOKUP(A65&amp;"-"&amp;B65&amp;"-"&amp;D65,Ref_Account!$A:$F,6,FALSE),"ACCOUNT TIDAK DITEMUKAN")</f>
        <v>1201.630750</v>
      </c>
      <c r="O65" s="46">
        <f t="shared" si="9"/>
        <v>1</v>
      </c>
      <c r="P65" s="46" t="str">
        <f t="shared" si="1"/>
        <v>OK</v>
      </c>
      <c r="Q65" s="206"/>
      <c r="R65" s="213">
        <f t="shared" si="6"/>
        <v>700</v>
      </c>
      <c r="AA65" s="1">
        <f>IF(LEFT(N65,4)="1201",_xlfn.IFNA(VLOOKUP(B65,Production_Cost!$L:$P,2,FALSE),G65),IF(LEFT(N65,4)="1204",_xlfn.IFNA(VLOOKUP(B65,Production_Cost!$L:$P,3,FALSE),G65),IF(LEFT(N65,4)="1205",_xlfn.IFNA(VLOOKUP(B65,Production_Cost!$L:$P,4,FALSE),G65),IF(LEFT(N65,4)="1206",_xlfn.IFNA(VLOOKUP(B65,Production_Cost!$L:$P,5,FALSE),G65),"BU tidak sesuai"))))</f>
        <v>100</v>
      </c>
      <c r="AB65" s="1" t="str">
        <f t="shared" si="7"/>
        <v>1201-MAINT.&amp;REP.GEN&amp;BOILER</v>
      </c>
    </row>
    <row r="66" spans="1:29">
      <c r="A66" s="60" t="s">
        <v>65</v>
      </c>
      <c r="B66" s="36" t="s">
        <v>106</v>
      </c>
      <c r="C66" s="60" t="s">
        <v>107</v>
      </c>
      <c r="D66" s="45" t="s">
        <v>12</v>
      </c>
      <c r="E66" s="45" t="s">
        <v>80</v>
      </c>
      <c r="F66" s="45"/>
      <c r="G66" s="163">
        <v>100</v>
      </c>
      <c r="H66" s="163">
        <v>510.61</v>
      </c>
      <c r="I66" s="163">
        <f t="shared" si="8"/>
        <v>-410.61</v>
      </c>
      <c r="J66" s="48">
        <f>G66/VLOOKUP(A66,RESUME!$G$3:$I$10,3,FALSE)</f>
        <v>1.1475056554816235E-3</v>
      </c>
      <c r="K66" s="163">
        <f t="shared" si="3"/>
        <v>80</v>
      </c>
      <c r="L66" s="163">
        <f t="shared" si="4"/>
        <v>100</v>
      </c>
      <c r="M66" s="154">
        <f t="shared" si="5"/>
        <v>0</v>
      </c>
      <c r="N66" s="47" t="str">
        <f>_xlfn.IFNA(VLOOKUP(A66&amp;"-"&amp;B66&amp;"-"&amp;D66,Ref_Account!$A:$F,6,FALSE),"ACCOUNT TIDAK DITEMUKAN")</f>
        <v>1201.630720</v>
      </c>
      <c r="O66" s="45">
        <f t="shared" si="9"/>
        <v>1</v>
      </c>
      <c r="P66" s="45" t="str">
        <f t="shared" si="1"/>
        <v>OVER</v>
      </c>
      <c r="Q66" s="159"/>
      <c r="R66" s="213">
        <f t="shared" si="6"/>
        <v>700</v>
      </c>
      <c r="AA66" s="1">
        <f>IF(LEFT(N66,4)="1201",_xlfn.IFNA(VLOOKUP(B66,Production_Cost!$L:$P,2,FALSE),G66),IF(LEFT(N66,4)="1204",_xlfn.IFNA(VLOOKUP(B66,Production_Cost!$L:$P,3,FALSE),G66),IF(LEFT(N66,4)="1205",_xlfn.IFNA(VLOOKUP(B66,Production_Cost!$L:$P,4,FALSE),G66),IF(LEFT(N66,4)="1206",_xlfn.IFNA(VLOOKUP(B66,Production_Cost!$L:$P,5,FALSE),G66),"BU tidak sesuai"))))</f>
        <v>100</v>
      </c>
      <c r="AB66" s="1" t="str">
        <f t="shared" si="7"/>
        <v>1201-MAINT.&amp;REP.MACHINERIE</v>
      </c>
      <c r="AC66" s="1">
        <v>510.61</v>
      </c>
    </row>
    <row r="67" spans="1:29">
      <c r="A67" s="61" t="s">
        <v>65</v>
      </c>
      <c r="B67" s="37" t="s">
        <v>108</v>
      </c>
      <c r="C67" s="61" t="s">
        <v>109</v>
      </c>
      <c r="D67" s="46" t="s">
        <v>12</v>
      </c>
      <c r="E67" s="46" t="s">
        <v>80</v>
      </c>
      <c r="F67" s="46"/>
      <c r="G67" s="164">
        <v>100</v>
      </c>
      <c r="H67" s="164"/>
      <c r="I67" s="164">
        <f t="shared" si="8"/>
        <v>100</v>
      </c>
      <c r="J67" s="50">
        <f>G67/VLOOKUP(A67,RESUME!$G$3:$I$10,3,FALSE)</f>
        <v>1.1475056554816235E-3</v>
      </c>
      <c r="K67" s="164">
        <f t="shared" si="3"/>
        <v>80</v>
      </c>
      <c r="L67" s="164">
        <f t="shared" si="4"/>
        <v>100</v>
      </c>
      <c r="M67" s="156">
        <f t="shared" si="5"/>
        <v>1.4343820693520294E-3</v>
      </c>
      <c r="N67" s="49" t="str">
        <f>_xlfn.IFNA(VLOOKUP(A67&amp;"-"&amp;B67&amp;"-"&amp;D67,Ref_Account!$A:$F,6,FALSE),"ACCOUNT TIDAK DITEMUKAN")</f>
        <v>1201.630760</v>
      </c>
      <c r="O67" s="46">
        <f t="shared" si="9"/>
        <v>1</v>
      </c>
      <c r="P67" s="46" t="str">
        <f t="shared" si="1"/>
        <v>OK</v>
      </c>
      <c r="Q67" s="206"/>
      <c r="R67" s="213">
        <f t="shared" si="6"/>
        <v>700</v>
      </c>
      <c r="AA67" s="1">
        <f>IF(LEFT(N67,4)="1201",_xlfn.IFNA(VLOOKUP(B67,Production_Cost!$L:$P,2,FALSE),G67),IF(LEFT(N67,4)="1204",_xlfn.IFNA(VLOOKUP(B67,Production_Cost!$L:$P,3,FALSE),G67),IF(LEFT(N67,4)="1205",_xlfn.IFNA(VLOOKUP(B67,Production_Cost!$L:$P,4,FALSE),G67),IF(LEFT(N67,4)="1206",_xlfn.IFNA(VLOOKUP(B67,Production_Cost!$L:$P,5,FALSE),G67),"BU tidak sesuai"))))</f>
        <v>100</v>
      </c>
      <c r="AB67" s="1" t="str">
        <f t="shared" si="7"/>
        <v>1201-MAINT.&amp;REP.MOTORVEHICLE</v>
      </c>
    </row>
    <row r="68" spans="1:29">
      <c r="A68" s="60" t="s">
        <v>65</v>
      </c>
      <c r="B68" s="36" t="s">
        <v>108</v>
      </c>
      <c r="C68" s="60" t="s">
        <v>109</v>
      </c>
      <c r="D68" s="45" t="s">
        <v>23</v>
      </c>
      <c r="E68" s="45" t="s">
        <v>73</v>
      </c>
      <c r="F68" s="45"/>
      <c r="G68" s="163">
        <v>250</v>
      </c>
      <c r="H68" s="163"/>
      <c r="I68" s="163">
        <f t="shared" si="8"/>
        <v>250</v>
      </c>
      <c r="J68" s="48">
        <f>G68/VLOOKUP(A68,RESUME!$G$3:$I$10,3,FALSE)</f>
        <v>2.8687641387040589E-3</v>
      </c>
      <c r="K68" s="163">
        <f t="shared" si="3"/>
        <v>200</v>
      </c>
      <c r="L68" s="163">
        <f t="shared" si="4"/>
        <v>250</v>
      </c>
      <c r="M68" s="154">
        <f t="shared" si="5"/>
        <v>3.5859551733800734E-3</v>
      </c>
      <c r="N68" s="47" t="str">
        <f>_xlfn.IFNA(VLOOKUP(A68&amp;"-"&amp;B68&amp;"-"&amp;D68,Ref_Account!$A:$F,6,FALSE),"ACCOUNT TIDAK DITEMUKAN")</f>
        <v>1205.630760</v>
      </c>
      <c r="O68" s="45">
        <f t="shared" si="9"/>
        <v>1</v>
      </c>
      <c r="P68" s="45" t="str">
        <f t="shared" si="1"/>
        <v>OK</v>
      </c>
      <c r="Q68" s="159"/>
      <c r="R68" s="213">
        <f t="shared" si="6"/>
        <v>700</v>
      </c>
      <c r="AA68" s="1">
        <f>IF(LEFT(N68,4)="1201",_xlfn.IFNA(VLOOKUP(B68,Production_Cost!$L:$P,2,FALSE),G68),IF(LEFT(N68,4)="1204",_xlfn.IFNA(VLOOKUP(B68,Production_Cost!$L:$P,3,FALSE),G68),IF(LEFT(N68,4)="1205",_xlfn.IFNA(VLOOKUP(B68,Production_Cost!$L:$P,4,FALSE),G68),IF(LEFT(N68,4)="1206",_xlfn.IFNA(VLOOKUP(B68,Production_Cost!$L:$P,5,FALSE),G68),"BU tidak sesuai"))))</f>
        <v>250</v>
      </c>
      <c r="AB68" s="1" t="str">
        <f t="shared" si="7"/>
        <v>1205-MAINT.&amp;REP.MOTORVEHICLE</v>
      </c>
    </row>
    <row r="69" spans="1:29">
      <c r="A69" s="61" t="s">
        <v>65</v>
      </c>
      <c r="B69" s="37" t="s">
        <v>108</v>
      </c>
      <c r="C69" s="61" t="s">
        <v>109</v>
      </c>
      <c r="D69" s="46" t="s">
        <v>14</v>
      </c>
      <c r="E69" s="46" t="s">
        <v>73</v>
      </c>
      <c r="F69" s="46"/>
      <c r="G69" s="164">
        <v>300</v>
      </c>
      <c r="H69" s="164"/>
      <c r="I69" s="164">
        <f t="shared" si="8"/>
        <v>300</v>
      </c>
      <c r="J69" s="50">
        <f>G69/VLOOKUP(A69,RESUME!$G$3:$I$10,3,FALSE)</f>
        <v>3.4425169664448704E-3</v>
      </c>
      <c r="K69" s="164">
        <f t="shared" si="3"/>
        <v>240</v>
      </c>
      <c r="L69" s="164">
        <f t="shared" si="4"/>
        <v>300</v>
      </c>
      <c r="M69" s="156">
        <f t="shared" si="5"/>
        <v>4.3031462080560879E-3</v>
      </c>
      <c r="N69" s="49" t="str">
        <f>_xlfn.IFNA(VLOOKUP(A69&amp;"-"&amp;B69&amp;"-"&amp;D69,Ref_Account!$A:$F,6,FALSE),"ACCOUNT TIDAK DITEMUKAN")</f>
        <v>1204.630760</v>
      </c>
      <c r="O69" s="46">
        <f t="shared" si="9"/>
        <v>1</v>
      </c>
      <c r="P69" s="46" t="str">
        <f t="shared" si="1"/>
        <v>OK</v>
      </c>
      <c r="Q69" s="206"/>
      <c r="R69" s="213">
        <f t="shared" si="6"/>
        <v>700</v>
      </c>
      <c r="AA69" s="1">
        <f>IF(LEFT(N69,4)="1201",_xlfn.IFNA(VLOOKUP(B69,Production_Cost!$L:$P,2,FALSE),G69),IF(LEFT(N69,4)="1204",_xlfn.IFNA(VLOOKUP(B69,Production_Cost!$L:$P,3,FALSE),G69),IF(LEFT(N69,4)="1205",_xlfn.IFNA(VLOOKUP(B69,Production_Cost!$L:$P,4,FALSE),G69),IF(LEFT(N69,4)="1206",_xlfn.IFNA(VLOOKUP(B69,Production_Cost!$L:$P,5,FALSE),G69),"BU tidak sesuai"))))</f>
        <v>300</v>
      </c>
      <c r="AB69" s="1" t="str">
        <f t="shared" si="7"/>
        <v>1204-MAINT.&amp;REP.MOTORVEHICLE</v>
      </c>
    </row>
    <row r="70" spans="1:29">
      <c r="A70" s="60" t="s">
        <v>65</v>
      </c>
      <c r="B70" s="36" t="s">
        <v>110</v>
      </c>
      <c r="C70" s="60" t="s">
        <v>111</v>
      </c>
      <c r="D70" s="45" t="s">
        <v>12</v>
      </c>
      <c r="E70" s="45" t="s">
        <v>80</v>
      </c>
      <c r="F70" s="45"/>
      <c r="G70" s="163">
        <v>100</v>
      </c>
      <c r="H70" s="163"/>
      <c r="I70" s="163">
        <f t="shared" ref="I70:I101" si="10">G70-H70</f>
        <v>100</v>
      </c>
      <c r="J70" s="48">
        <f>G70/VLOOKUP(A70,RESUME!$G$3:$I$10,3,FALSE)</f>
        <v>1.1475056554816235E-3</v>
      </c>
      <c r="K70" s="163">
        <f t="shared" si="3"/>
        <v>80</v>
      </c>
      <c r="L70" s="163">
        <f t="shared" si="4"/>
        <v>100</v>
      </c>
      <c r="M70" s="154">
        <f t="shared" ref="M70:M133" si="11">IF(L70=0,0,IF(H70&gt;L70,0,L70/IF(H70&gt;=K70,H70,K70)*J70))</f>
        <v>1.4343820693520294E-3</v>
      </c>
      <c r="N70" s="47" t="str">
        <f>_xlfn.IFNA(VLOOKUP(A70&amp;"-"&amp;B70&amp;"-"&amp;D70,Ref_Account!$A:$F,6,FALSE),"ACCOUNT TIDAK DITEMUKAN")</f>
        <v>1201.630730</v>
      </c>
      <c r="O70" s="45">
        <f t="shared" ref="O70:O101" si="12">IF(N70="ACCOUNT TIDAK DITEMUKAN","9999",COUNTIF($N$6:$N$164,N70))</f>
        <v>1</v>
      </c>
      <c r="P70" s="45" t="str">
        <f t="shared" ref="P70:P133" si="13">IF(I70&gt;0,"OK","OVER")</f>
        <v>OK</v>
      </c>
      <c r="Q70" s="159"/>
      <c r="R70" s="213">
        <f t="shared" si="6"/>
        <v>700</v>
      </c>
      <c r="AA70" s="1">
        <f>IF(LEFT(N70,4)="1201",_xlfn.IFNA(VLOOKUP(B70,Production_Cost!$L:$P,2,FALSE),G70),IF(LEFT(N70,4)="1204",_xlfn.IFNA(VLOOKUP(B70,Production_Cost!$L:$P,3,FALSE),G70),IF(LEFT(N70,4)="1205",_xlfn.IFNA(VLOOKUP(B70,Production_Cost!$L:$P,4,FALSE),G70),IF(LEFT(N70,4)="1206",_xlfn.IFNA(VLOOKUP(B70,Production_Cost!$L:$P,5,FALSE),G70),"BU tidak sesuai"))))</f>
        <v>100</v>
      </c>
      <c r="AB70" s="1" t="str">
        <f t="shared" si="7"/>
        <v>1201-MAINT.&amp;REP.PLANTEQUI</v>
      </c>
    </row>
    <row r="71" spans="1:29">
      <c r="A71" s="61" t="s">
        <v>65</v>
      </c>
      <c r="B71" s="37" t="s">
        <v>112</v>
      </c>
      <c r="C71" s="61" t="s">
        <v>113</v>
      </c>
      <c r="D71" s="46" t="s">
        <v>12</v>
      </c>
      <c r="E71" s="46" t="s">
        <v>80</v>
      </c>
      <c r="F71" s="46"/>
      <c r="G71" s="164">
        <v>100</v>
      </c>
      <c r="H71" s="164"/>
      <c r="I71" s="164">
        <f t="shared" si="10"/>
        <v>100</v>
      </c>
      <c r="J71" s="50">
        <f>G71/VLOOKUP(A71,RESUME!$G$3:$I$10,3,FALSE)</f>
        <v>1.1475056554816235E-3</v>
      </c>
      <c r="K71" s="164">
        <f t="shared" ref="K71:K134" si="14">G71*$K$4</f>
        <v>80</v>
      </c>
      <c r="L71" s="164">
        <f t="shared" ref="L71:L134" si="15">G71*$L$4</f>
        <v>100</v>
      </c>
      <c r="M71" s="156">
        <f t="shared" si="11"/>
        <v>1.4343820693520294E-3</v>
      </c>
      <c r="N71" s="49" t="str">
        <f>_xlfn.IFNA(VLOOKUP(A71&amp;"-"&amp;B71&amp;"-"&amp;D71,Ref_Account!$A:$F,6,FALSE),"ACCOUNT TIDAK DITEMUKAN")</f>
        <v>1201.630740</v>
      </c>
      <c r="O71" s="46">
        <f t="shared" si="12"/>
        <v>1</v>
      </c>
      <c r="P71" s="46" t="str">
        <f t="shared" si="13"/>
        <v>OK</v>
      </c>
      <c r="Q71" s="206"/>
      <c r="R71" s="213">
        <f t="shared" ref="R71:R134" si="16">SUMIF($B$6:$B$162,B71,$G$6:$G$162)</f>
        <v>700</v>
      </c>
      <c r="AA71" s="1">
        <f>IF(LEFT(N71,4)="1201",_xlfn.IFNA(VLOOKUP(B71,Production_Cost!$L:$P,2,FALSE),G71),IF(LEFT(N71,4)="1204",_xlfn.IFNA(VLOOKUP(B71,Production_Cost!$L:$P,3,FALSE),G71),IF(LEFT(N71,4)="1205",_xlfn.IFNA(VLOOKUP(B71,Production_Cost!$L:$P,4,FALSE),G71),IF(LEFT(N71,4)="1206",_xlfn.IFNA(VLOOKUP(B71,Production_Cost!$L:$P,5,FALSE),G71),"BU tidak sesuai"))))</f>
        <v>100</v>
      </c>
      <c r="AB71" s="1" t="str">
        <f t="shared" ref="AB71:AB134" si="17">LEFT(N71,4)&amp;"-"&amp;B71</f>
        <v>1201-MAINT.&amp;REP.WATERINSTL.</v>
      </c>
    </row>
    <row r="72" spans="1:29">
      <c r="A72" s="60" t="s">
        <v>65</v>
      </c>
      <c r="B72" s="36" t="s">
        <v>114</v>
      </c>
      <c r="C72" s="60" t="s">
        <v>115</v>
      </c>
      <c r="D72" s="45" t="s">
        <v>12</v>
      </c>
      <c r="E72" s="45" t="s">
        <v>73</v>
      </c>
      <c r="F72" s="45"/>
      <c r="G72" s="163">
        <v>328.75</v>
      </c>
      <c r="H72" s="163">
        <v>854.27</v>
      </c>
      <c r="I72" s="163">
        <f t="shared" si="10"/>
        <v>-525.52</v>
      </c>
      <c r="J72" s="48">
        <f>G72/VLOOKUP(A72,RESUME!$G$3:$I$10,3,FALSE)</f>
        <v>3.7724248423958375E-3</v>
      </c>
      <c r="K72" s="163">
        <f t="shared" si="14"/>
        <v>263</v>
      </c>
      <c r="L72" s="163">
        <f t="shared" si="15"/>
        <v>328.75</v>
      </c>
      <c r="M72" s="154">
        <f t="shared" si="11"/>
        <v>0</v>
      </c>
      <c r="N72" s="47" t="str">
        <f>_xlfn.IFNA(VLOOKUP(A72&amp;"-"&amp;B72&amp;"-"&amp;D72,Ref_Account!$A:$F,6,FALSE),"ACCOUNT TIDAK DITEMUKAN")</f>
        <v>1201.810110</v>
      </c>
      <c r="O72" s="45">
        <f t="shared" si="12"/>
        <v>1</v>
      </c>
      <c r="P72" s="45" t="str">
        <f t="shared" si="13"/>
        <v>OVER</v>
      </c>
      <c r="Q72" s="159"/>
      <c r="R72" s="213">
        <f t="shared" si="16"/>
        <v>750.00000000000011</v>
      </c>
      <c r="AA72" s="1">
        <f>IF(LEFT(N72,4)="1201",_xlfn.IFNA(VLOOKUP(B72,Production_Cost!$L:$P,2,FALSE),G72),IF(LEFT(N72,4)="1204",_xlfn.IFNA(VLOOKUP(B72,Production_Cost!$L:$P,3,FALSE),G72),IF(LEFT(N72,4)="1205",_xlfn.IFNA(VLOOKUP(B72,Production_Cost!$L:$P,4,FALSE),G72),IF(LEFT(N72,4)="1206",_xlfn.IFNA(VLOOKUP(B72,Production_Cost!$L:$P,5,FALSE),G72),"BU tidak sesuai"))))</f>
        <v>328.75</v>
      </c>
      <c r="AB72" s="1" t="str">
        <f t="shared" si="17"/>
        <v>1201-MAINT.OFFICEEQUIP.</v>
      </c>
      <c r="AC72" s="1">
        <v>854.27</v>
      </c>
    </row>
    <row r="73" spans="1:29">
      <c r="A73" s="61" t="s">
        <v>65</v>
      </c>
      <c r="B73" s="37" t="s">
        <v>114</v>
      </c>
      <c r="C73" s="61" t="s">
        <v>115</v>
      </c>
      <c r="D73" s="46" t="s">
        <v>99</v>
      </c>
      <c r="E73" s="46" t="s">
        <v>73</v>
      </c>
      <c r="F73" s="46"/>
      <c r="G73" s="164">
        <v>109.79</v>
      </c>
      <c r="H73" s="164"/>
      <c r="I73" s="164">
        <f t="shared" si="10"/>
        <v>109.79</v>
      </c>
      <c r="J73" s="50">
        <f>G73/VLOOKUP(A73,RESUME!$G$3:$I$10,3,FALSE)</f>
        <v>1.2598464591532744E-3</v>
      </c>
      <c r="K73" s="164">
        <f t="shared" si="14"/>
        <v>87.832000000000008</v>
      </c>
      <c r="L73" s="164">
        <f t="shared" si="15"/>
        <v>109.79</v>
      </c>
      <c r="M73" s="156">
        <f t="shared" si="11"/>
        <v>1.5748080739415931E-3</v>
      </c>
      <c r="N73" s="49" t="str">
        <f>_xlfn.IFNA(VLOOKUP(A73&amp;"-"&amp;B73&amp;"-"&amp;D73,Ref_Account!$A:$F,6,FALSE),"ACCOUNT TIDAK DITEMUKAN")</f>
        <v>1206.810110</v>
      </c>
      <c r="O73" s="46">
        <f t="shared" si="12"/>
        <v>1</v>
      </c>
      <c r="P73" s="46" t="str">
        <f t="shared" si="13"/>
        <v>OK</v>
      </c>
      <c r="Q73" s="206"/>
      <c r="R73" s="213">
        <f t="shared" si="16"/>
        <v>750.00000000000011</v>
      </c>
      <c r="AA73" s="1">
        <f>IF(LEFT(N73,4)="1201",_xlfn.IFNA(VLOOKUP(B73,Production_Cost!$L:$P,2,FALSE),G73),IF(LEFT(N73,4)="1204",_xlfn.IFNA(VLOOKUP(B73,Production_Cost!$L:$P,3,FALSE),G73),IF(LEFT(N73,4)="1205",_xlfn.IFNA(VLOOKUP(B73,Production_Cost!$L:$P,4,FALSE),G73),IF(LEFT(N73,4)="1206",_xlfn.IFNA(VLOOKUP(B73,Production_Cost!$L:$P,5,FALSE),G73),"BU tidak sesuai"))))</f>
        <v>109.79</v>
      </c>
      <c r="AB73" s="1" t="str">
        <f t="shared" si="17"/>
        <v>1206-MAINT.OFFICEEQUIP.</v>
      </c>
    </row>
    <row r="74" spans="1:29">
      <c r="A74" s="60" t="s">
        <v>65</v>
      </c>
      <c r="B74" s="36" t="s">
        <v>114</v>
      </c>
      <c r="C74" s="60" t="s">
        <v>115</v>
      </c>
      <c r="D74" s="45" t="s">
        <v>23</v>
      </c>
      <c r="E74" s="45" t="s">
        <v>73</v>
      </c>
      <c r="F74" s="45"/>
      <c r="G74" s="163">
        <v>169.38</v>
      </c>
      <c r="H74" s="163">
        <v>50.62</v>
      </c>
      <c r="I74" s="163">
        <f t="shared" si="10"/>
        <v>118.75999999999999</v>
      </c>
      <c r="J74" s="48">
        <f>G74/VLOOKUP(A74,RESUME!$G$3:$I$10,3,FALSE)</f>
        <v>1.9436450792547739E-3</v>
      </c>
      <c r="K74" s="163">
        <f t="shared" si="14"/>
        <v>135.50399999999999</v>
      </c>
      <c r="L74" s="163">
        <f t="shared" si="15"/>
        <v>169.38</v>
      </c>
      <c r="M74" s="154">
        <f t="shared" si="11"/>
        <v>2.4295563490684675E-3</v>
      </c>
      <c r="N74" s="47" t="str">
        <f>_xlfn.IFNA(VLOOKUP(A74&amp;"-"&amp;B74&amp;"-"&amp;D74,Ref_Account!$A:$F,6,FALSE),"ACCOUNT TIDAK DITEMUKAN")</f>
        <v>1205.810110</v>
      </c>
      <c r="O74" s="45">
        <f t="shared" si="12"/>
        <v>1</v>
      </c>
      <c r="P74" s="45" t="str">
        <f t="shared" si="13"/>
        <v>OK</v>
      </c>
      <c r="Q74" s="159"/>
      <c r="R74" s="213">
        <f t="shared" si="16"/>
        <v>750.00000000000011</v>
      </c>
      <c r="AA74" s="1">
        <f>IF(LEFT(N74,4)="1201",_xlfn.IFNA(VLOOKUP(B74,Production_Cost!$L:$P,2,FALSE),G74),IF(LEFT(N74,4)="1204",_xlfn.IFNA(VLOOKUP(B74,Production_Cost!$L:$P,3,FALSE),G74),IF(LEFT(N74,4)="1205",_xlfn.IFNA(VLOOKUP(B74,Production_Cost!$L:$P,4,FALSE),G74),IF(LEFT(N74,4)="1206",_xlfn.IFNA(VLOOKUP(B74,Production_Cost!$L:$P,5,FALSE),G74),"BU tidak sesuai"))))</f>
        <v>169.38</v>
      </c>
      <c r="AB74" s="1" t="str">
        <f t="shared" si="17"/>
        <v>1205-MAINT.OFFICEEQUIP.</v>
      </c>
      <c r="AC74" s="1">
        <v>50.62</v>
      </c>
    </row>
    <row r="75" spans="1:29">
      <c r="A75" s="61" t="s">
        <v>65</v>
      </c>
      <c r="B75" s="37" t="s">
        <v>114</v>
      </c>
      <c r="C75" s="61" t="s">
        <v>115</v>
      </c>
      <c r="D75" s="46" t="s">
        <v>14</v>
      </c>
      <c r="E75" s="46" t="s">
        <v>73</v>
      </c>
      <c r="F75" s="46"/>
      <c r="G75" s="164">
        <v>142.08000000000001</v>
      </c>
      <c r="H75" s="164">
        <v>60.12</v>
      </c>
      <c r="I75" s="164">
        <f t="shared" si="10"/>
        <v>81.960000000000008</v>
      </c>
      <c r="J75" s="50">
        <f>G75/VLOOKUP(A75,RESUME!$G$3:$I$10,3,FALSE)</f>
        <v>1.6303760353082908E-3</v>
      </c>
      <c r="K75" s="164">
        <f t="shared" si="14"/>
        <v>113.66400000000002</v>
      </c>
      <c r="L75" s="164">
        <f t="shared" si="15"/>
        <v>142.08000000000001</v>
      </c>
      <c r="M75" s="156">
        <f t="shared" si="11"/>
        <v>2.0379700441353634E-3</v>
      </c>
      <c r="N75" s="49" t="str">
        <f>_xlfn.IFNA(VLOOKUP(A75&amp;"-"&amp;B75&amp;"-"&amp;D75,Ref_Account!$A:$F,6,FALSE),"ACCOUNT TIDAK DITEMUKAN")</f>
        <v>1204.810110</v>
      </c>
      <c r="O75" s="46">
        <f t="shared" si="12"/>
        <v>1</v>
      </c>
      <c r="P75" s="46" t="str">
        <f t="shared" si="13"/>
        <v>OK</v>
      </c>
      <c r="Q75" s="206"/>
      <c r="R75" s="213">
        <f t="shared" si="16"/>
        <v>750.00000000000011</v>
      </c>
      <c r="AA75" s="1">
        <f>IF(LEFT(N75,4)="1201",_xlfn.IFNA(VLOOKUP(B75,Production_Cost!$L:$P,2,FALSE),G75),IF(LEFT(N75,4)="1204",_xlfn.IFNA(VLOOKUP(B75,Production_Cost!$L:$P,3,FALSE),G75),IF(LEFT(N75,4)="1205",_xlfn.IFNA(VLOOKUP(B75,Production_Cost!$L:$P,4,FALSE),G75),IF(LEFT(N75,4)="1206",_xlfn.IFNA(VLOOKUP(B75,Production_Cost!$L:$P,5,FALSE),G75),"BU tidak sesuai"))))</f>
        <v>142.08000000000001</v>
      </c>
      <c r="AB75" s="1" t="str">
        <f t="shared" si="17"/>
        <v>1204-MAINT.OFFICEEQUIP.</v>
      </c>
      <c r="AC75" s="1">
        <v>60.12</v>
      </c>
    </row>
    <row r="76" spans="1:29">
      <c r="A76" s="60" t="s">
        <v>65</v>
      </c>
      <c r="B76" s="36" t="s">
        <v>116</v>
      </c>
      <c r="C76" s="60" t="s">
        <v>117</v>
      </c>
      <c r="D76" s="45" t="s">
        <v>12</v>
      </c>
      <c r="E76" s="45" t="s">
        <v>73</v>
      </c>
      <c r="F76" s="45"/>
      <c r="G76" s="163">
        <v>4300</v>
      </c>
      <c r="H76" s="163">
        <v>2655.51</v>
      </c>
      <c r="I76" s="163">
        <f t="shared" si="10"/>
        <v>1644.4899999999998</v>
      </c>
      <c r="J76" s="48">
        <f>G76/VLOOKUP(A76,RESUME!$G$3:$I$10,3,FALSE)</f>
        <v>4.934274318570981E-2</v>
      </c>
      <c r="K76" s="163">
        <f t="shared" si="14"/>
        <v>3440</v>
      </c>
      <c r="L76" s="163">
        <f t="shared" si="15"/>
        <v>4300</v>
      </c>
      <c r="M76" s="154">
        <f t="shared" si="11"/>
        <v>6.1678428982137261E-2</v>
      </c>
      <c r="N76" s="47" t="str">
        <f>_xlfn.IFNA(VLOOKUP(A76&amp;"-"&amp;B76&amp;"-"&amp;D76,Ref_Account!$A:$F,6,FALSE),"ACCOUNT TIDAK DITEMUKAN")</f>
        <v>1201.630130</v>
      </c>
      <c r="O76" s="45">
        <f t="shared" si="12"/>
        <v>1</v>
      </c>
      <c r="P76" s="45" t="str">
        <f t="shared" si="13"/>
        <v>OK</v>
      </c>
      <c r="Q76" s="159"/>
      <c r="R76" s="213">
        <f t="shared" si="16"/>
        <v>12443.98</v>
      </c>
      <c r="AA76" s="1">
        <f>IF(LEFT(N76,4)="1201",_xlfn.IFNA(VLOOKUP(B76,Production_Cost!$L:$P,2,FALSE),G76),IF(LEFT(N76,4)="1204",_xlfn.IFNA(VLOOKUP(B76,Production_Cost!$L:$P,3,FALSE),G76),IF(LEFT(N76,4)="1205",_xlfn.IFNA(VLOOKUP(B76,Production_Cost!$L:$P,4,FALSE),G76),IF(LEFT(N76,4)="1206",_xlfn.IFNA(VLOOKUP(B76,Production_Cost!$L:$P,5,FALSE),G76),"BU tidak sesuai"))))</f>
        <v>2655.51</v>
      </c>
      <c r="AB76" s="1" t="str">
        <f t="shared" si="17"/>
        <v>1201-MEDICAL ALLOWANCE</v>
      </c>
      <c r="AC76" s="1">
        <v>2655.51</v>
      </c>
    </row>
    <row r="77" spans="1:29">
      <c r="A77" s="61" t="s">
        <v>65</v>
      </c>
      <c r="B77" s="37" t="s">
        <v>118</v>
      </c>
      <c r="C77" s="61" t="s">
        <v>119</v>
      </c>
      <c r="D77" s="46" t="s">
        <v>12</v>
      </c>
      <c r="E77" s="46" t="s">
        <v>120</v>
      </c>
      <c r="F77" s="46"/>
      <c r="G77" s="164">
        <v>1495.98</v>
      </c>
      <c r="H77" s="164">
        <v>367.61</v>
      </c>
      <c r="I77" s="164">
        <f t="shared" si="10"/>
        <v>1128.3699999999999</v>
      </c>
      <c r="J77" s="50">
        <f>G77/VLOOKUP(A77,RESUME!$G$3:$I$10,3,FALSE)</f>
        <v>1.7166455104873992E-2</v>
      </c>
      <c r="K77" s="164">
        <f t="shared" si="14"/>
        <v>1196.7840000000001</v>
      </c>
      <c r="L77" s="164">
        <f t="shared" si="15"/>
        <v>1495.98</v>
      </c>
      <c r="M77" s="156">
        <f t="shared" si="11"/>
        <v>2.1458068881092491E-2</v>
      </c>
      <c r="N77" s="49" t="str">
        <f>_xlfn.IFNA(VLOOKUP(A77&amp;"-"&amp;B77&amp;"-"&amp;D77,Ref_Account!$A:$F,6,FALSE),"ACCOUNT TIDAK DITEMUKAN")</f>
        <v>1201.816130</v>
      </c>
      <c r="O77" s="46">
        <f t="shared" si="12"/>
        <v>1</v>
      </c>
      <c r="P77" s="46" t="str">
        <f t="shared" si="13"/>
        <v>OK</v>
      </c>
      <c r="Q77" s="206"/>
      <c r="R77" s="213">
        <f t="shared" si="16"/>
        <v>5256.4299999999994</v>
      </c>
      <c r="AA77" s="1">
        <f>IF(LEFT(N77,4)="1201",_xlfn.IFNA(VLOOKUP(B77,Production_Cost!$L:$P,2,FALSE),G77),IF(LEFT(N77,4)="1204",_xlfn.IFNA(VLOOKUP(B77,Production_Cost!$L:$P,3,FALSE),G77),IF(LEFT(N77,4)="1205",_xlfn.IFNA(VLOOKUP(B77,Production_Cost!$L:$P,4,FALSE),G77),IF(LEFT(N77,4)="1206",_xlfn.IFNA(VLOOKUP(B77,Production_Cost!$L:$P,5,FALSE),G77),"BU tidak sesuai"))))</f>
        <v>367.61</v>
      </c>
      <c r="AB77" s="1" t="str">
        <f t="shared" si="17"/>
        <v>1201-OFFICE SUPPLIES EXPENSES</v>
      </c>
      <c r="AC77" s="1">
        <v>367.61</v>
      </c>
    </row>
    <row r="78" spans="1:29">
      <c r="A78" s="60" t="s">
        <v>65</v>
      </c>
      <c r="B78" s="36" t="s">
        <v>118</v>
      </c>
      <c r="C78" s="60" t="s">
        <v>119</v>
      </c>
      <c r="D78" s="45" t="s">
        <v>99</v>
      </c>
      <c r="E78" s="45" t="s">
        <v>120</v>
      </c>
      <c r="F78" s="45"/>
      <c r="G78" s="163">
        <v>516.97</v>
      </c>
      <c r="H78" s="163">
        <v>562.23</v>
      </c>
      <c r="I78" s="163">
        <f t="shared" si="10"/>
        <v>-45.259999999999991</v>
      </c>
      <c r="J78" s="48">
        <f>G78/VLOOKUP(A78,RESUME!$G$3:$I$10,3,FALSE)</f>
        <v>5.9322599871433493E-3</v>
      </c>
      <c r="K78" s="163">
        <f t="shared" si="14"/>
        <v>413.57600000000002</v>
      </c>
      <c r="L78" s="163">
        <f t="shared" si="15"/>
        <v>516.97</v>
      </c>
      <c r="M78" s="154">
        <f t="shared" si="11"/>
        <v>0</v>
      </c>
      <c r="N78" s="47" t="str">
        <f>_xlfn.IFNA(VLOOKUP(A78&amp;"-"&amp;B78&amp;"-"&amp;D78,Ref_Account!$A:$F,6,FALSE),"ACCOUNT TIDAK DITEMUKAN")</f>
        <v>1206.816130</v>
      </c>
      <c r="O78" s="45">
        <f t="shared" si="12"/>
        <v>1</v>
      </c>
      <c r="P78" s="45" t="str">
        <f t="shared" si="13"/>
        <v>OVER</v>
      </c>
      <c r="Q78" s="159"/>
      <c r="R78" s="213">
        <f t="shared" si="16"/>
        <v>5256.4299999999994</v>
      </c>
      <c r="AA78" s="1">
        <f>IF(LEFT(N78,4)="1201",_xlfn.IFNA(VLOOKUP(B78,Production_Cost!$L:$P,2,FALSE),G78),IF(LEFT(N78,4)="1204",_xlfn.IFNA(VLOOKUP(B78,Production_Cost!$L:$P,3,FALSE),G78),IF(LEFT(N78,4)="1205",_xlfn.IFNA(VLOOKUP(B78,Production_Cost!$L:$P,4,FALSE),G78),IF(LEFT(N78,4)="1206",_xlfn.IFNA(VLOOKUP(B78,Production_Cost!$L:$P,5,FALSE),G78),"BU tidak sesuai"))))</f>
        <v>562.23</v>
      </c>
      <c r="AB78" s="1" t="str">
        <f t="shared" si="17"/>
        <v>1206-OFFICE SUPPLIES EXPENSES</v>
      </c>
      <c r="AC78" s="1">
        <v>562.23</v>
      </c>
    </row>
    <row r="79" spans="1:29">
      <c r="A79" s="61" t="s">
        <v>65</v>
      </c>
      <c r="B79" s="37" t="s">
        <v>118</v>
      </c>
      <c r="C79" s="61" t="s">
        <v>119</v>
      </c>
      <c r="D79" s="46" t="s">
        <v>23</v>
      </c>
      <c r="E79" s="46" t="s">
        <v>120</v>
      </c>
      <c r="F79" s="46"/>
      <c r="G79" s="164">
        <v>1463.62</v>
      </c>
      <c r="H79" s="164">
        <v>404.5</v>
      </c>
      <c r="I79" s="164">
        <f t="shared" si="10"/>
        <v>1059.1199999999999</v>
      </c>
      <c r="J79" s="50">
        <f>G79/VLOOKUP(A79,RESUME!$G$3:$I$10,3,FALSE)</f>
        <v>1.6795122274760137E-2</v>
      </c>
      <c r="K79" s="164">
        <f t="shared" si="14"/>
        <v>1170.896</v>
      </c>
      <c r="L79" s="164">
        <f t="shared" si="15"/>
        <v>1463.62</v>
      </c>
      <c r="M79" s="156">
        <f t="shared" si="11"/>
        <v>2.0993902843450173E-2</v>
      </c>
      <c r="N79" s="49" t="str">
        <f>_xlfn.IFNA(VLOOKUP(A79&amp;"-"&amp;B79&amp;"-"&amp;D79,Ref_Account!$A:$F,6,FALSE),"ACCOUNT TIDAK DITEMUKAN")</f>
        <v>1205.816130</v>
      </c>
      <c r="O79" s="46">
        <f t="shared" si="12"/>
        <v>1</v>
      </c>
      <c r="P79" s="46" t="str">
        <f t="shared" si="13"/>
        <v>OK</v>
      </c>
      <c r="Q79" s="206"/>
      <c r="R79" s="213">
        <f t="shared" si="16"/>
        <v>5256.4299999999994</v>
      </c>
      <c r="AA79" s="1">
        <f>IF(LEFT(N79,4)="1201",_xlfn.IFNA(VLOOKUP(B79,Production_Cost!$L:$P,2,FALSE),G79),IF(LEFT(N79,4)="1204",_xlfn.IFNA(VLOOKUP(B79,Production_Cost!$L:$P,3,FALSE),G79),IF(LEFT(N79,4)="1205",_xlfn.IFNA(VLOOKUP(B79,Production_Cost!$L:$P,4,FALSE),G79),IF(LEFT(N79,4)="1206",_xlfn.IFNA(VLOOKUP(B79,Production_Cost!$L:$P,5,FALSE),G79),"BU tidak sesuai"))))</f>
        <v>404.5</v>
      </c>
      <c r="AB79" s="1" t="str">
        <f t="shared" si="17"/>
        <v>1205-OFFICE SUPPLIES EXPENSES</v>
      </c>
      <c r="AC79" s="1">
        <v>404.5</v>
      </c>
    </row>
    <row r="80" spans="1:29">
      <c r="A80" s="60" t="s">
        <v>65</v>
      </c>
      <c r="B80" s="36" t="s">
        <v>118</v>
      </c>
      <c r="C80" s="60" t="s">
        <v>119</v>
      </c>
      <c r="D80" s="45" t="s">
        <v>14</v>
      </c>
      <c r="E80" s="45" t="s">
        <v>120</v>
      </c>
      <c r="F80" s="45"/>
      <c r="G80" s="163">
        <v>1779.8599999999997</v>
      </c>
      <c r="H80" s="163">
        <v>353.89</v>
      </c>
      <c r="I80" s="163">
        <f t="shared" si="10"/>
        <v>1425.9699999999998</v>
      </c>
      <c r="J80" s="48">
        <f>G80/VLOOKUP(A80,RESUME!$G$3:$I$10,3,FALSE)</f>
        <v>2.042399415965522E-2</v>
      </c>
      <c r="K80" s="163">
        <f t="shared" si="14"/>
        <v>1423.8879999999999</v>
      </c>
      <c r="L80" s="163">
        <f t="shared" si="15"/>
        <v>1779.8599999999997</v>
      </c>
      <c r="M80" s="154">
        <f t="shared" si="11"/>
        <v>2.5529992699569022E-2</v>
      </c>
      <c r="N80" s="47" t="str">
        <f>_xlfn.IFNA(VLOOKUP(A80&amp;"-"&amp;B80&amp;"-"&amp;D80,Ref_Account!$A:$F,6,FALSE),"ACCOUNT TIDAK DITEMUKAN")</f>
        <v>1204.816130</v>
      </c>
      <c r="O80" s="45">
        <f t="shared" si="12"/>
        <v>1</v>
      </c>
      <c r="P80" s="45" t="str">
        <f t="shared" si="13"/>
        <v>OK</v>
      </c>
      <c r="Q80" s="159"/>
      <c r="R80" s="213">
        <f t="shared" si="16"/>
        <v>5256.4299999999994</v>
      </c>
      <c r="AA80" s="1">
        <f>IF(LEFT(N80,4)="1201",_xlfn.IFNA(VLOOKUP(B80,Production_Cost!$L:$P,2,FALSE),G80),IF(LEFT(N80,4)="1204",_xlfn.IFNA(VLOOKUP(B80,Production_Cost!$L:$P,3,FALSE),G80),IF(LEFT(N80,4)="1205",_xlfn.IFNA(VLOOKUP(B80,Production_Cost!$L:$P,4,FALSE),G80),IF(LEFT(N80,4)="1206",_xlfn.IFNA(VLOOKUP(B80,Production_Cost!$L:$P,5,FALSE),G80),"BU tidak sesuai"))))</f>
        <v>353.89</v>
      </c>
      <c r="AB80" s="1" t="str">
        <f t="shared" si="17"/>
        <v>1204-OFFICE SUPPLIES EXPENSES</v>
      </c>
      <c r="AC80" s="1">
        <v>353.89</v>
      </c>
    </row>
    <row r="81" spans="1:29">
      <c r="A81" s="61" t="s">
        <v>65</v>
      </c>
      <c r="B81" s="37" t="s">
        <v>20</v>
      </c>
      <c r="C81" s="61" t="s">
        <v>121</v>
      </c>
      <c r="D81" s="46" t="s">
        <v>99</v>
      </c>
      <c r="E81" s="46" t="s">
        <v>73</v>
      </c>
      <c r="F81" s="46"/>
      <c r="G81" s="164">
        <v>1115.46</v>
      </c>
      <c r="H81" s="164"/>
      <c r="I81" s="164">
        <f t="shared" si="10"/>
        <v>1115.46</v>
      </c>
      <c r="J81" s="50">
        <f>G81/VLOOKUP(A81,RESUME!$G$3:$I$10,3,FALSE)</f>
        <v>1.2799966584635319E-2</v>
      </c>
      <c r="K81" s="164">
        <f t="shared" si="14"/>
        <v>892.36800000000005</v>
      </c>
      <c r="L81" s="164">
        <f t="shared" si="15"/>
        <v>1115.46</v>
      </c>
      <c r="M81" s="156">
        <f t="shared" si="11"/>
        <v>1.5999958230794149E-2</v>
      </c>
      <c r="N81" s="49" t="str">
        <f>_xlfn.IFNA(VLOOKUP(A81&amp;"-"&amp;B81&amp;"-"&amp;D81,Ref_Account!$A:$F,6,FALSE),"ACCOUNT TIDAK DITEMUKAN")</f>
        <v>1206.631100</v>
      </c>
      <c r="O81" s="46">
        <f t="shared" si="12"/>
        <v>1</v>
      </c>
      <c r="P81" s="46" t="str">
        <f t="shared" si="13"/>
        <v>OK</v>
      </c>
      <c r="Q81" s="206"/>
      <c r="R81" s="213">
        <f t="shared" si="16"/>
        <v>37855.32</v>
      </c>
      <c r="AA81" s="1">
        <f>IF(LEFT(N81,4)="1201",_xlfn.IFNA(VLOOKUP(B81,Production_Cost!$L:$P,2,FALSE),G81),IF(LEFT(N81,4)="1204",_xlfn.IFNA(VLOOKUP(B81,Production_Cost!$L:$P,3,FALSE),G81),IF(LEFT(N81,4)="1205",_xlfn.IFNA(VLOOKUP(B81,Production_Cost!$L:$P,4,FALSE),G81),IF(LEFT(N81,4)="1206",_xlfn.IFNA(VLOOKUP(B81,Production_Cost!$L:$P,5,FALSE),G81),"BU tidak sesuai"))))</f>
        <v>1115.46</v>
      </c>
      <c r="AB81" s="1" t="str">
        <f t="shared" si="17"/>
        <v>1206-OTHER PRODUCTION COST</v>
      </c>
    </row>
    <row r="82" spans="1:29">
      <c r="A82" s="60" t="s">
        <v>65</v>
      </c>
      <c r="B82" s="36" t="s">
        <v>122</v>
      </c>
      <c r="C82" s="60" t="s">
        <v>123</v>
      </c>
      <c r="D82" s="45" t="s">
        <v>12</v>
      </c>
      <c r="E82" s="45" t="s">
        <v>80</v>
      </c>
      <c r="F82" s="45"/>
      <c r="G82" s="163">
        <v>651</v>
      </c>
      <c r="H82" s="163">
        <v>119.16</v>
      </c>
      <c r="I82" s="163">
        <f t="shared" si="10"/>
        <v>531.84</v>
      </c>
      <c r="J82" s="48">
        <f>G82/VLOOKUP(A82,RESUME!$G$3:$I$10,3,FALSE)</f>
        <v>7.4702618171853695E-3</v>
      </c>
      <c r="K82" s="163">
        <f t="shared" si="14"/>
        <v>520.80000000000007</v>
      </c>
      <c r="L82" s="163">
        <f t="shared" si="15"/>
        <v>651</v>
      </c>
      <c r="M82" s="154">
        <f t="shared" si="11"/>
        <v>9.3378272714817103E-3</v>
      </c>
      <c r="N82" s="47" t="str">
        <f>_xlfn.IFNA(VLOOKUP(A82&amp;"-"&amp;B82&amp;"-"&amp;D82,Ref_Account!$A:$F,6,FALSE),"ACCOUNT TIDAK DITEMUKAN")</f>
        <v>1201.631110</v>
      </c>
      <c r="O82" s="45">
        <f t="shared" si="12"/>
        <v>1</v>
      </c>
      <c r="P82" s="45" t="str">
        <f t="shared" si="13"/>
        <v>OK</v>
      </c>
      <c r="Q82" s="159"/>
      <c r="R82" s="213">
        <f t="shared" si="16"/>
        <v>8475.61</v>
      </c>
      <c r="AA82" s="1">
        <f>IF(LEFT(N82,4)="1201",_xlfn.IFNA(VLOOKUP(B82,Production_Cost!$L:$P,2,FALSE),G82),IF(LEFT(N82,4)="1204",_xlfn.IFNA(VLOOKUP(B82,Production_Cost!$L:$P,3,FALSE),G82),IF(LEFT(N82,4)="1205",_xlfn.IFNA(VLOOKUP(B82,Production_Cost!$L:$P,4,FALSE),G82),IF(LEFT(N82,4)="1206",_xlfn.IFNA(VLOOKUP(B82,Production_Cost!$L:$P,5,FALSE),G82),"BU tidak sesuai"))))</f>
        <v>651</v>
      </c>
      <c r="AB82" s="1" t="str">
        <f t="shared" si="17"/>
        <v>1201-PEMAKAIAN SPARE PART</v>
      </c>
      <c r="AC82" s="1">
        <v>119.16</v>
      </c>
    </row>
    <row r="83" spans="1:29">
      <c r="A83" s="61" t="s">
        <v>65</v>
      </c>
      <c r="B83" s="37" t="s">
        <v>124</v>
      </c>
      <c r="C83" s="61" t="s">
        <v>125</v>
      </c>
      <c r="D83" s="46" t="s">
        <v>12</v>
      </c>
      <c r="E83" s="46" t="s">
        <v>80</v>
      </c>
      <c r="F83" s="46"/>
      <c r="G83" s="164">
        <v>466</v>
      </c>
      <c r="H83" s="164"/>
      <c r="I83" s="164">
        <f t="shared" si="10"/>
        <v>466</v>
      </c>
      <c r="J83" s="50">
        <f>G83/VLOOKUP(A83,RESUME!$G$3:$I$10,3,FALSE)</f>
        <v>5.3473763545443653E-3</v>
      </c>
      <c r="K83" s="164">
        <f t="shared" si="14"/>
        <v>372.8</v>
      </c>
      <c r="L83" s="164">
        <f t="shared" si="15"/>
        <v>466</v>
      </c>
      <c r="M83" s="156">
        <f t="shared" si="11"/>
        <v>6.684220443180457E-3</v>
      </c>
      <c r="N83" s="49" t="str">
        <f>_xlfn.IFNA(VLOOKUP(A83&amp;"-"&amp;B83&amp;"-"&amp;D83,Ref_Account!$A:$F,6,FALSE),"ACCOUNT TIDAK DITEMUKAN")</f>
        <v>1201.631140</v>
      </c>
      <c r="O83" s="46">
        <f t="shared" si="12"/>
        <v>1</v>
      </c>
      <c r="P83" s="46" t="str">
        <f t="shared" si="13"/>
        <v>OK</v>
      </c>
      <c r="Q83" s="206"/>
      <c r="R83" s="213">
        <f t="shared" si="16"/>
        <v>949</v>
      </c>
      <c r="AA83" s="1">
        <f>IF(LEFT(N83,4)="1201",_xlfn.IFNA(VLOOKUP(B83,Production_Cost!$L:$P,2,FALSE),G83),IF(LEFT(N83,4)="1204",_xlfn.IFNA(VLOOKUP(B83,Production_Cost!$L:$P,3,FALSE),G83),IF(LEFT(N83,4)="1205",_xlfn.IFNA(VLOOKUP(B83,Production_Cost!$L:$P,4,FALSE),G83),IF(LEFT(N83,4)="1206",_xlfn.IFNA(VLOOKUP(B83,Production_Cost!$L:$P,5,FALSE),G83),"BU tidak sesuai"))))</f>
        <v>466</v>
      </c>
      <c r="AB83" s="1" t="str">
        <f t="shared" si="17"/>
        <v>1201-PMKN FUEL &amp; LUBRICANT</v>
      </c>
    </row>
    <row r="84" spans="1:29">
      <c r="A84" s="60" t="s">
        <v>65</v>
      </c>
      <c r="B84" s="36" t="s">
        <v>126</v>
      </c>
      <c r="C84" s="60" t="s">
        <v>127</v>
      </c>
      <c r="D84" s="45" t="s">
        <v>12</v>
      </c>
      <c r="E84" s="45" t="s">
        <v>73</v>
      </c>
      <c r="F84" s="45"/>
      <c r="G84" s="163">
        <v>1388.61</v>
      </c>
      <c r="H84" s="163"/>
      <c r="I84" s="163">
        <f t="shared" si="10"/>
        <v>1388.61</v>
      </c>
      <c r="J84" s="48">
        <f>G84/VLOOKUP(A84,RESUME!$G$3:$I$10,3,FALSE)</f>
        <v>1.5934378282583372E-2</v>
      </c>
      <c r="K84" s="163">
        <f t="shared" si="14"/>
        <v>1110.8879999999999</v>
      </c>
      <c r="L84" s="163">
        <f t="shared" si="15"/>
        <v>1388.61</v>
      </c>
      <c r="M84" s="154">
        <f t="shared" si="11"/>
        <v>1.9917972853229216E-2</v>
      </c>
      <c r="N84" s="47" t="str">
        <f>_xlfn.IFNA(VLOOKUP(A84&amp;"-"&amp;B84&amp;"-"&amp;D84,Ref_Account!$A:$F,6,FALSE),"ACCOUNT TIDAK DITEMUKAN")</f>
        <v>1201.631000</v>
      </c>
      <c r="O84" s="45">
        <f t="shared" si="12"/>
        <v>1</v>
      </c>
      <c r="P84" s="45" t="str">
        <f t="shared" si="13"/>
        <v>OK</v>
      </c>
      <c r="Q84" s="159"/>
      <c r="R84" s="213">
        <f t="shared" si="16"/>
        <v>5623.8399999999992</v>
      </c>
      <c r="AA84" s="1">
        <f>IF(LEFT(N84,4)="1201",_xlfn.IFNA(VLOOKUP(B84,Production_Cost!$L:$P,2,FALSE),G84),IF(LEFT(N84,4)="1204",_xlfn.IFNA(VLOOKUP(B84,Production_Cost!$L:$P,3,FALSE),G84),IF(LEFT(N84,4)="1205",_xlfn.IFNA(VLOOKUP(B84,Production_Cost!$L:$P,4,FALSE),G84),IF(LEFT(N84,4)="1206",_xlfn.IFNA(VLOOKUP(B84,Production_Cost!$L:$P,5,FALSE),G84),"BU tidak sesuai"))))</f>
        <v>1388.61</v>
      </c>
      <c r="AB84" s="1" t="str">
        <f t="shared" si="17"/>
        <v>1201-RENT EXPENSES</v>
      </c>
    </row>
    <row r="85" spans="1:29">
      <c r="A85" s="61" t="s">
        <v>65</v>
      </c>
      <c r="B85" s="37" t="s">
        <v>128</v>
      </c>
      <c r="C85" s="61" t="s">
        <v>129</v>
      </c>
      <c r="D85" s="46" t="s">
        <v>12</v>
      </c>
      <c r="E85" s="46" t="s">
        <v>73</v>
      </c>
      <c r="F85" s="46"/>
      <c r="G85" s="164">
        <v>221.29</v>
      </c>
      <c r="H85" s="164"/>
      <c r="I85" s="164">
        <f t="shared" si="10"/>
        <v>221.29</v>
      </c>
      <c r="J85" s="50">
        <f>G85/VLOOKUP(A85,RESUME!$G$3:$I$10,3,FALSE)</f>
        <v>2.5393152650152848E-3</v>
      </c>
      <c r="K85" s="164">
        <f t="shared" si="14"/>
        <v>177.03200000000001</v>
      </c>
      <c r="L85" s="164">
        <f t="shared" si="15"/>
        <v>221.29</v>
      </c>
      <c r="M85" s="156">
        <f t="shared" si="11"/>
        <v>3.1741440812691054E-3</v>
      </c>
      <c r="N85" s="49" t="str">
        <f>_xlfn.IFNA(VLOOKUP(A85&amp;"-"&amp;B85&amp;"-"&amp;D85,Ref_Account!$A:$F,6,FALSE),"ACCOUNT TIDAK DITEMUKAN")</f>
        <v>1201.815110</v>
      </c>
      <c r="O85" s="46">
        <f t="shared" si="12"/>
        <v>1</v>
      </c>
      <c r="P85" s="46" t="str">
        <f t="shared" si="13"/>
        <v>OK</v>
      </c>
      <c r="Q85" s="206"/>
      <c r="R85" s="213">
        <f t="shared" si="16"/>
        <v>1682.6100000000001</v>
      </c>
      <c r="AA85" s="1">
        <f>IF(LEFT(N85,4)="1201",_xlfn.IFNA(VLOOKUP(B85,Production_Cost!$L:$P,2,FALSE),G85),IF(LEFT(N85,4)="1204",_xlfn.IFNA(VLOOKUP(B85,Production_Cost!$L:$P,3,FALSE),G85),IF(LEFT(N85,4)="1205",_xlfn.IFNA(VLOOKUP(B85,Production_Cost!$L:$P,4,FALSE),G85),IF(LEFT(N85,4)="1206",_xlfn.IFNA(VLOOKUP(B85,Production_Cost!$L:$P,5,FALSE),G85),"BU tidak sesuai"))))</f>
        <v>255.15</v>
      </c>
      <c r="AB85" s="1" t="str">
        <f t="shared" si="17"/>
        <v>1201-RENT EXPENSES BUILDING</v>
      </c>
    </row>
    <row r="86" spans="1:29">
      <c r="A86" s="60" t="s">
        <v>65</v>
      </c>
      <c r="B86" s="36" t="s">
        <v>130</v>
      </c>
      <c r="C86" s="60" t="s">
        <v>131</v>
      </c>
      <c r="D86" s="45" t="s">
        <v>12</v>
      </c>
      <c r="E86" s="45" t="s">
        <v>73</v>
      </c>
      <c r="F86" s="45"/>
      <c r="G86" s="163">
        <v>764.4</v>
      </c>
      <c r="H86" s="163"/>
      <c r="I86" s="163">
        <f t="shared" si="10"/>
        <v>764.4</v>
      </c>
      <c r="J86" s="48">
        <f>G86/VLOOKUP(A86,RESUME!$G$3:$I$10,3,FALSE)</f>
        <v>8.7715332305015291E-3</v>
      </c>
      <c r="K86" s="163">
        <f t="shared" si="14"/>
        <v>611.52</v>
      </c>
      <c r="L86" s="163">
        <f t="shared" si="15"/>
        <v>764.4</v>
      </c>
      <c r="M86" s="154">
        <f t="shared" si="11"/>
        <v>1.0964416538126912E-2</v>
      </c>
      <c r="N86" s="47" t="str">
        <f>_xlfn.IFNA(VLOOKUP(A86&amp;"-"&amp;B86&amp;"-"&amp;D86,Ref_Account!$A:$F,6,FALSE),"ACCOUNT TIDAK DITEMUKAN")</f>
        <v>1201.815120</v>
      </c>
      <c r="O86" s="45">
        <f t="shared" si="12"/>
        <v>1</v>
      </c>
      <c r="P86" s="45" t="str">
        <f t="shared" si="13"/>
        <v>OK</v>
      </c>
      <c r="Q86" s="159"/>
      <c r="R86" s="213">
        <f t="shared" si="16"/>
        <v>764.4</v>
      </c>
      <c r="AA86" s="1">
        <f>IF(LEFT(N86,4)="1201",_xlfn.IFNA(VLOOKUP(B86,Production_Cost!$L:$P,2,FALSE),G86),IF(LEFT(N86,4)="1204",_xlfn.IFNA(VLOOKUP(B86,Production_Cost!$L:$P,3,FALSE),G86),IF(LEFT(N86,4)="1205",_xlfn.IFNA(VLOOKUP(B86,Production_Cost!$L:$P,4,FALSE),G86),IF(LEFT(N86,4)="1206",_xlfn.IFNA(VLOOKUP(B86,Production_Cost!$L:$P,5,FALSE),G86),"BU tidak sesuai"))))</f>
        <v>764.4</v>
      </c>
      <c r="AB86" s="1" t="str">
        <f t="shared" si="17"/>
        <v>1201-RENT EXPENSES LAND</v>
      </c>
    </row>
    <row r="87" spans="1:29">
      <c r="A87" s="61" t="s">
        <v>65</v>
      </c>
      <c r="B87" s="37" t="s">
        <v>132</v>
      </c>
      <c r="C87" s="61" t="s">
        <v>133</v>
      </c>
      <c r="D87" s="46" t="s">
        <v>12</v>
      </c>
      <c r="E87" s="46" t="s">
        <v>73</v>
      </c>
      <c r="F87" s="46"/>
      <c r="G87" s="164">
        <v>255</v>
      </c>
      <c r="H87" s="164">
        <v>139.61000000000001</v>
      </c>
      <c r="I87" s="164">
        <f t="shared" si="10"/>
        <v>115.38999999999999</v>
      </c>
      <c r="J87" s="50">
        <f>G87/VLOOKUP(A87,RESUME!$G$3:$I$10,3,FALSE)</f>
        <v>2.9261394214781401E-3</v>
      </c>
      <c r="K87" s="164">
        <f t="shared" si="14"/>
        <v>204</v>
      </c>
      <c r="L87" s="164">
        <f t="shared" si="15"/>
        <v>255</v>
      </c>
      <c r="M87" s="156">
        <f t="shared" si="11"/>
        <v>3.6576742768476751E-3</v>
      </c>
      <c r="N87" s="49" t="str">
        <f>_xlfn.IFNA(VLOOKUP(A87&amp;"-"&amp;B87&amp;"-"&amp;D87,Ref_Account!$A:$F,6,FALSE),"ACCOUNT TIDAK DITEMUKAN")</f>
        <v>1201.802120</v>
      </c>
      <c r="O87" s="46">
        <f t="shared" si="12"/>
        <v>1</v>
      </c>
      <c r="P87" s="46" t="str">
        <f t="shared" si="13"/>
        <v>OK</v>
      </c>
      <c r="Q87" s="206"/>
      <c r="R87" s="213">
        <f t="shared" si="16"/>
        <v>310</v>
      </c>
      <c r="AA87" s="1">
        <f>IF(LEFT(N87,4)="1201",_xlfn.IFNA(VLOOKUP(B87,Production_Cost!$L:$P,2,FALSE),G87),IF(LEFT(N87,4)="1204",_xlfn.IFNA(VLOOKUP(B87,Production_Cost!$L:$P,3,FALSE),G87),IF(LEFT(N87,4)="1205",_xlfn.IFNA(VLOOKUP(B87,Production_Cost!$L:$P,4,FALSE),G87),IF(LEFT(N87,4)="1206",_xlfn.IFNA(VLOOKUP(B87,Production_Cost!$L:$P,5,FALSE),G87),"BU tidak sesuai"))))</f>
        <v>139.61000000000001</v>
      </c>
      <c r="AB87" s="1" t="str">
        <f t="shared" si="17"/>
        <v>1201-TELEPHONE EXPENSES</v>
      </c>
      <c r="AC87" s="1">
        <v>139.61000000000001</v>
      </c>
    </row>
    <row r="88" spans="1:29">
      <c r="A88" s="60" t="s">
        <v>65</v>
      </c>
      <c r="B88" s="36" t="s">
        <v>134</v>
      </c>
      <c r="C88" s="60" t="s">
        <v>135</v>
      </c>
      <c r="D88" s="45" t="s">
        <v>12</v>
      </c>
      <c r="E88" s="45" t="s">
        <v>73</v>
      </c>
      <c r="F88" s="45"/>
      <c r="G88" s="163">
        <v>200</v>
      </c>
      <c r="H88" s="163"/>
      <c r="I88" s="163">
        <f t="shared" si="10"/>
        <v>200</v>
      </c>
      <c r="J88" s="48">
        <f>G88/VLOOKUP(A88,RESUME!$G$3:$I$10,3,FALSE)</f>
        <v>2.2950113109632469E-3</v>
      </c>
      <c r="K88" s="163">
        <f t="shared" si="14"/>
        <v>160</v>
      </c>
      <c r="L88" s="163">
        <f t="shared" si="15"/>
        <v>200</v>
      </c>
      <c r="M88" s="154">
        <f t="shared" si="11"/>
        <v>2.8687641387040589E-3</v>
      </c>
      <c r="N88" s="47" t="str">
        <f>_xlfn.IFNA(VLOOKUP(A88&amp;"-"&amp;B88&amp;"-"&amp;D88,Ref_Account!$A:$F,6,FALSE),"ACCOUNT TIDAK DITEMUKAN")</f>
        <v>1201.814110</v>
      </c>
      <c r="O88" s="45">
        <f t="shared" si="12"/>
        <v>1</v>
      </c>
      <c r="P88" s="45" t="str">
        <f t="shared" si="13"/>
        <v>OK</v>
      </c>
      <c r="Q88" s="159"/>
      <c r="R88" s="213">
        <f t="shared" si="16"/>
        <v>200</v>
      </c>
      <c r="AA88" s="1">
        <f>IF(LEFT(N88,4)="1201",_xlfn.IFNA(VLOOKUP(B88,Production_Cost!$L:$P,2,FALSE),G88),IF(LEFT(N88,4)="1204",_xlfn.IFNA(VLOOKUP(B88,Production_Cost!$L:$P,3,FALSE),G88),IF(LEFT(N88,4)="1205",_xlfn.IFNA(VLOOKUP(B88,Production_Cost!$L:$P,4,FALSE),G88),IF(LEFT(N88,4)="1206",_xlfn.IFNA(VLOOKUP(B88,Production_Cost!$L:$P,5,FALSE),G88),"BU tidak sesuai"))))</f>
        <v>0</v>
      </c>
      <c r="AB88" s="1" t="str">
        <f t="shared" si="17"/>
        <v>1201-TRAINING BY EMPLOYEE</v>
      </c>
    </row>
    <row r="89" spans="1:29">
      <c r="A89" s="61" t="s">
        <v>65</v>
      </c>
      <c r="B89" s="37" t="s">
        <v>136</v>
      </c>
      <c r="C89" s="61" t="s">
        <v>137</v>
      </c>
      <c r="D89" s="46" t="s">
        <v>12</v>
      </c>
      <c r="E89" s="46" t="s">
        <v>73</v>
      </c>
      <c r="F89" s="46"/>
      <c r="G89" s="164">
        <v>464.37</v>
      </c>
      <c r="H89" s="164">
        <v>73.55</v>
      </c>
      <c r="I89" s="164">
        <f t="shared" si="10"/>
        <v>390.82</v>
      </c>
      <c r="J89" s="50">
        <f>G89/VLOOKUP(A89,RESUME!$G$3:$I$10,3,FALSE)</f>
        <v>5.3286720123600154E-3</v>
      </c>
      <c r="K89" s="164">
        <f t="shared" si="14"/>
        <v>371.49600000000004</v>
      </c>
      <c r="L89" s="164">
        <f t="shared" si="15"/>
        <v>464.37</v>
      </c>
      <c r="M89" s="156">
        <f t="shared" si="11"/>
        <v>6.6608400154500183E-3</v>
      </c>
      <c r="N89" s="49" t="str">
        <f>_xlfn.IFNA(VLOOKUP(A89&amp;"-"&amp;B89&amp;"-"&amp;D89,Ref_Account!$A:$F,6,FALSE),"ACCOUNT TIDAK DITEMUKAN")</f>
        <v>1201.630450</v>
      </c>
      <c r="O89" s="46">
        <f t="shared" si="12"/>
        <v>1</v>
      </c>
      <c r="P89" s="46" t="str">
        <f t="shared" si="13"/>
        <v>OK</v>
      </c>
      <c r="Q89" s="206"/>
      <c r="R89" s="213">
        <f t="shared" si="16"/>
        <v>484.46</v>
      </c>
      <c r="AA89" s="1">
        <f>IF(LEFT(N89,4)="1201",_xlfn.IFNA(VLOOKUP(B89,Production_Cost!$L:$P,2,FALSE),G89),IF(LEFT(N89,4)="1204",_xlfn.IFNA(VLOOKUP(B89,Production_Cost!$L:$P,3,FALSE),G89),IF(LEFT(N89,4)="1205",_xlfn.IFNA(VLOOKUP(B89,Production_Cost!$L:$P,4,FALSE),G89),IF(LEFT(N89,4)="1206",_xlfn.IFNA(VLOOKUP(B89,Production_Cost!$L:$P,5,FALSE),G89),"BU tidak sesuai"))))</f>
        <v>73.55</v>
      </c>
      <c r="AB89" s="1" t="str">
        <f t="shared" si="17"/>
        <v>1201-WATER</v>
      </c>
      <c r="AC89" s="1">
        <v>73.55</v>
      </c>
    </row>
    <row r="90" spans="1:29">
      <c r="A90" s="60" t="s">
        <v>65</v>
      </c>
      <c r="B90" s="36" t="s">
        <v>20</v>
      </c>
      <c r="C90" s="60" t="s">
        <v>138</v>
      </c>
      <c r="D90" s="45" t="s">
        <v>12</v>
      </c>
      <c r="E90" s="45" t="s">
        <v>73</v>
      </c>
      <c r="F90" s="45"/>
      <c r="G90" s="163">
        <v>515.79999999999995</v>
      </c>
      <c r="H90" s="163">
        <v>442.95</v>
      </c>
      <c r="I90" s="163">
        <f t="shared" si="10"/>
        <v>72.849999999999966</v>
      </c>
      <c r="J90" s="48">
        <f>G90/VLOOKUP(A90,RESUME!$G$3:$I$10,3,FALSE)</f>
        <v>5.9188341709742135E-3</v>
      </c>
      <c r="K90" s="163">
        <f t="shared" si="14"/>
        <v>412.64</v>
      </c>
      <c r="L90" s="163">
        <f t="shared" si="15"/>
        <v>515.79999999999995</v>
      </c>
      <c r="M90" s="154">
        <f t="shared" si="11"/>
        <v>6.8922782828502067E-3</v>
      </c>
      <c r="N90" s="47" t="str">
        <f>_xlfn.IFNA(VLOOKUP(A90&amp;"-"&amp;B90&amp;"-"&amp;D90,Ref_Account!$A:$F,6,FALSE),"ACCOUNT TIDAK DITEMUKAN")</f>
        <v>1201.631100</v>
      </c>
      <c r="O90" s="45">
        <f t="shared" si="12"/>
        <v>3</v>
      </c>
      <c r="P90" s="45" t="str">
        <f t="shared" si="13"/>
        <v>OK</v>
      </c>
      <c r="Q90" s="159"/>
      <c r="R90" s="213">
        <f t="shared" si="16"/>
        <v>37855.32</v>
      </c>
      <c r="AA90" s="1">
        <f>IF(LEFT(N90,4)="1201",_xlfn.IFNA(VLOOKUP(B90,Production_Cost!$L:$P,2,FALSE),G90),IF(LEFT(N90,4)="1204",_xlfn.IFNA(VLOOKUP(B90,Production_Cost!$L:$P,3,FALSE),G90),IF(LEFT(N90,4)="1205",_xlfn.IFNA(VLOOKUP(B90,Production_Cost!$L:$P,4,FALSE),G90),IF(LEFT(N90,4)="1206",_xlfn.IFNA(VLOOKUP(B90,Production_Cost!$L:$P,5,FALSE),G90),"BU tidak sesuai"))))</f>
        <v>515.79999999999995</v>
      </c>
      <c r="AB90" s="1" t="str">
        <f t="shared" si="17"/>
        <v>1201-OTHER PRODUCTION COST</v>
      </c>
      <c r="AC90" s="1">
        <v>442.95</v>
      </c>
    </row>
    <row r="91" spans="1:29">
      <c r="A91" s="61" t="s">
        <v>65</v>
      </c>
      <c r="B91" s="37" t="s">
        <v>20</v>
      </c>
      <c r="C91" s="61" t="s">
        <v>121</v>
      </c>
      <c r="D91" s="46" t="s">
        <v>12</v>
      </c>
      <c r="E91" s="46" t="s">
        <v>73</v>
      </c>
      <c r="F91" s="46"/>
      <c r="G91" s="164">
        <v>1891.43</v>
      </c>
      <c r="H91" s="164"/>
      <c r="I91" s="164">
        <f t="shared" si="10"/>
        <v>1891.43</v>
      </c>
      <c r="J91" s="50">
        <f>G91/VLOOKUP(A91,RESUME!$G$3:$I$10,3,FALSE)</f>
        <v>2.1704266219476073E-2</v>
      </c>
      <c r="K91" s="164">
        <f t="shared" si="14"/>
        <v>1513.1440000000002</v>
      </c>
      <c r="L91" s="164">
        <f t="shared" si="15"/>
        <v>1891.43</v>
      </c>
      <c r="M91" s="156">
        <f t="shared" si="11"/>
        <v>2.7130332774345085E-2</v>
      </c>
      <c r="N91" s="49" t="str">
        <f>_xlfn.IFNA(VLOOKUP(A91&amp;"-"&amp;B91&amp;"-"&amp;D91,Ref_Account!$A:$F,6,FALSE),"ACCOUNT TIDAK DITEMUKAN")</f>
        <v>1201.631100</v>
      </c>
      <c r="O91" s="46">
        <f t="shared" si="12"/>
        <v>3</v>
      </c>
      <c r="P91" s="46" t="str">
        <f t="shared" si="13"/>
        <v>OK</v>
      </c>
      <c r="Q91" s="206"/>
      <c r="R91" s="213">
        <f t="shared" si="16"/>
        <v>37855.32</v>
      </c>
      <c r="AA91" s="1">
        <f>IF(LEFT(N91,4)="1201",_xlfn.IFNA(VLOOKUP(B91,Production_Cost!$L:$P,2,FALSE),G91),IF(LEFT(N91,4)="1204",_xlfn.IFNA(VLOOKUP(B91,Production_Cost!$L:$P,3,FALSE),G91),IF(LEFT(N91,4)="1205",_xlfn.IFNA(VLOOKUP(B91,Production_Cost!$L:$P,4,FALSE),G91),IF(LEFT(N91,4)="1206",_xlfn.IFNA(VLOOKUP(B91,Production_Cost!$L:$P,5,FALSE),G91),"BU tidak sesuai"))))</f>
        <v>1891.43</v>
      </c>
      <c r="AB91" s="1" t="str">
        <f t="shared" si="17"/>
        <v>1201-OTHER PRODUCTION COST</v>
      </c>
    </row>
    <row r="92" spans="1:29" ht="16.5" customHeight="1">
      <c r="A92" s="60" t="s">
        <v>65</v>
      </c>
      <c r="B92" s="36" t="s">
        <v>20</v>
      </c>
      <c r="C92" s="60" t="s">
        <v>121</v>
      </c>
      <c r="D92" s="45" t="s">
        <v>23</v>
      </c>
      <c r="E92" s="45" t="s">
        <v>73</v>
      </c>
      <c r="F92" s="45"/>
      <c r="G92" s="163">
        <v>1328.48</v>
      </c>
      <c r="H92" s="163"/>
      <c r="I92" s="163">
        <f t="shared" si="10"/>
        <v>1328.48</v>
      </c>
      <c r="J92" s="48">
        <f>G92/VLOOKUP(A92,RESUME!$G$3:$I$10,3,FALSE)</f>
        <v>1.5244383131942272E-2</v>
      </c>
      <c r="K92" s="163">
        <f t="shared" si="14"/>
        <v>1062.7840000000001</v>
      </c>
      <c r="L92" s="163">
        <f t="shared" si="15"/>
        <v>1328.48</v>
      </c>
      <c r="M92" s="154">
        <f t="shared" si="11"/>
        <v>1.9055478914927839E-2</v>
      </c>
      <c r="N92" s="47" t="str">
        <f>_xlfn.IFNA(VLOOKUP(A92&amp;"-"&amp;B92&amp;"-"&amp;D92,Ref_Account!$A:$F,6,FALSE),"ACCOUNT TIDAK DITEMUKAN")</f>
        <v>1205.631100</v>
      </c>
      <c r="O92" s="45">
        <f t="shared" si="12"/>
        <v>3</v>
      </c>
      <c r="P92" s="45" t="str">
        <f t="shared" si="13"/>
        <v>OK</v>
      </c>
      <c r="Q92" s="159"/>
      <c r="R92" s="213">
        <f t="shared" si="16"/>
        <v>37855.32</v>
      </c>
      <c r="AA92" s="1">
        <f>IF(LEFT(N92,4)="1201",_xlfn.IFNA(VLOOKUP(B92,Production_Cost!$L:$P,2,FALSE),G92),IF(LEFT(N92,4)="1204",_xlfn.IFNA(VLOOKUP(B92,Production_Cost!$L:$P,3,FALSE),G92),IF(LEFT(N92,4)="1205",_xlfn.IFNA(VLOOKUP(B92,Production_Cost!$L:$P,4,FALSE),G92),IF(LEFT(N92,4)="1206",_xlfn.IFNA(VLOOKUP(B92,Production_Cost!$L:$P,5,FALSE),G92),"BU tidak sesuai"))))</f>
        <v>1328.48</v>
      </c>
      <c r="AB92" s="1" t="str">
        <f t="shared" si="17"/>
        <v>1205-OTHER PRODUCTION COST</v>
      </c>
    </row>
    <row r="93" spans="1:29">
      <c r="A93" s="61" t="s">
        <v>65</v>
      </c>
      <c r="B93" s="37" t="s">
        <v>20</v>
      </c>
      <c r="C93" s="61" t="s">
        <v>121</v>
      </c>
      <c r="D93" s="46" t="s">
        <v>14</v>
      </c>
      <c r="E93" s="46" t="s">
        <v>73</v>
      </c>
      <c r="F93" s="46"/>
      <c r="G93" s="164">
        <v>1328.28</v>
      </c>
      <c r="H93" s="164"/>
      <c r="I93" s="164">
        <f t="shared" si="10"/>
        <v>1328.28</v>
      </c>
      <c r="J93" s="50">
        <f>G93/VLOOKUP(A93,RESUME!$G$3:$I$10,3,FALSE)</f>
        <v>1.5242088120631308E-2</v>
      </c>
      <c r="K93" s="164">
        <f t="shared" si="14"/>
        <v>1062.624</v>
      </c>
      <c r="L93" s="164">
        <f t="shared" si="15"/>
        <v>1328.28</v>
      </c>
      <c r="M93" s="156">
        <f t="shared" si="11"/>
        <v>1.9052610150789136E-2</v>
      </c>
      <c r="N93" s="49" t="str">
        <f>_xlfn.IFNA(VLOOKUP(A93&amp;"-"&amp;B93&amp;"-"&amp;D93,Ref_Account!$A:$F,6,FALSE),"ACCOUNT TIDAK DITEMUKAN")</f>
        <v>1204.631100</v>
      </c>
      <c r="O93" s="46">
        <f t="shared" si="12"/>
        <v>3</v>
      </c>
      <c r="P93" s="46" t="str">
        <f t="shared" si="13"/>
        <v>OK</v>
      </c>
      <c r="Q93" s="206"/>
      <c r="R93" s="213">
        <f t="shared" si="16"/>
        <v>37855.32</v>
      </c>
      <c r="AA93" s="1">
        <f>IF(LEFT(N93,4)="1201",_xlfn.IFNA(VLOOKUP(B93,Production_Cost!$L:$P,2,FALSE),G93),IF(LEFT(N93,4)="1204",_xlfn.IFNA(VLOOKUP(B93,Production_Cost!$L:$P,3,FALSE),G93),IF(LEFT(N93,4)="1205",_xlfn.IFNA(VLOOKUP(B93,Production_Cost!$L:$P,4,FALSE),G93),IF(LEFT(N93,4)="1206",_xlfn.IFNA(VLOOKUP(B93,Production_Cost!$L:$P,5,FALSE),G93),"BU tidak sesuai"))))</f>
        <v>1328.28</v>
      </c>
      <c r="AB93" s="1" t="str">
        <f t="shared" si="17"/>
        <v>1204-OTHER PRODUCTION COST</v>
      </c>
    </row>
    <row r="94" spans="1:29">
      <c r="A94" s="60" t="s">
        <v>139</v>
      </c>
      <c r="B94" s="36" t="s">
        <v>91</v>
      </c>
      <c r="C94" s="60" t="s">
        <v>92</v>
      </c>
      <c r="D94" s="45" t="s">
        <v>99</v>
      </c>
      <c r="E94" s="45" t="s">
        <v>93</v>
      </c>
      <c r="F94" s="45"/>
      <c r="G94" s="163">
        <v>2736.7799999999997</v>
      </c>
      <c r="H94" s="163"/>
      <c r="I94" s="163">
        <f t="shared" si="10"/>
        <v>2736.7799999999997</v>
      </c>
      <c r="J94" s="48">
        <f>G94/VLOOKUP(A94,RESUME!$G$3:$I$10,3,FALSE)</f>
        <v>2.7232510432328692E-2</v>
      </c>
      <c r="K94" s="163">
        <f t="shared" si="14"/>
        <v>2189.424</v>
      </c>
      <c r="L94" s="163">
        <f t="shared" si="15"/>
        <v>2736.7799999999997</v>
      </c>
      <c r="M94" s="154">
        <f t="shared" si="11"/>
        <v>3.4040638040410867E-2</v>
      </c>
      <c r="N94" s="47" t="str">
        <f>_xlfn.IFNA(VLOOKUP(A94&amp;"-"&amp;B94&amp;"-"&amp;D94,Ref_Account!$A:$F,6,FALSE),"ACCOUNT TIDAK DITEMUKAN")</f>
        <v>1206.801160</v>
      </c>
      <c r="O94" s="45">
        <f t="shared" si="12"/>
        <v>1</v>
      </c>
      <c r="P94" s="45" t="str">
        <f t="shared" si="13"/>
        <v>OK</v>
      </c>
      <c r="Q94" s="159"/>
      <c r="R94" s="213">
        <f t="shared" si="16"/>
        <v>15885.72</v>
      </c>
      <c r="AA94" s="1">
        <f>IF(LEFT(N94,4)="1201",_xlfn.IFNA(VLOOKUP(B94,Production_Cost!$L:$P,2,FALSE),G94),IF(LEFT(N94,4)="1204",_xlfn.IFNA(VLOOKUP(B94,Production_Cost!$L:$P,3,FALSE),G94),IF(LEFT(N94,4)="1205",_xlfn.IFNA(VLOOKUP(B94,Production_Cost!$L:$P,4,FALSE),G94),IF(LEFT(N94,4)="1206",_xlfn.IFNA(VLOOKUP(B94,Production_Cost!$L:$P,5,FALSE),G94),"BU tidak sesuai"))))</f>
        <v>0</v>
      </c>
      <c r="AB94" s="1" t="str">
        <f t="shared" si="17"/>
        <v>1206-JAMSOSTEK</v>
      </c>
    </row>
    <row r="95" spans="1:29">
      <c r="A95" s="61" t="s">
        <v>139</v>
      </c>
      <c r="B95" s="37" t="s">
        <v>100</v>
      </c>
      <c r="C95" s="61" t="s">
        <v>101</v>
      </c>
      <c r="D95" s="46" t="s">
        <v>99</v>
      </c>
      <c r="E95" s="46" t="s">
        <v>73</v>
      </c>
      <c r="F95" s="46"/>
      <c r="G95" s="164">
        <v>200</v>
      </c>
      <c r="H95" s="164"/>
      <c r="I95" s="164">
        <f t="shared" si="10"/>
        <v>200</v>
      </c>
      <c r="J95" s="50">
        <f>G95/VLOOKUP(A95,RESUME!$G$3:$I$10,3,FALSE)</f>
        <v>1.990113230316554E-3</v>
      </c>
      <c r="K95" s="164">
        <f t="shared" si="14"/>
        <v>160</v>
      </c>
      <c r="L95" s="164">
        <f t="shared" si="15"/>
        <v>200</v>
      </c>
      <c r="M95" s="156">
        <f t="shared" si="11"/>
        <v>2.4876415378956925E-3</v>
      </c>
      <c r="N95" s="49" t="str">
        <f>_xlfn.IFNA(VLOOKUP(A95&amp;"-"&amp;B95&amp;"-"&amp;D95,Ref_Account!$A:$F,6,FALSE),"ACCOUNT TIDAK DITEMUKAN")</f>
        <v>1206.630710</v>
      </c>
      <c r="O95" s="46">
        <f t="shared" si="12"/>
        <v>1</v>
      </c>
      <c r="P95" s="46" t="str">
        <f t="shared" si="13"/>
        <v>OK</v>
      </c>
      <c r="Q95" s="206"/>
      <c r="R95" s="213">
        <f t="shared" si="16"/>
        <v>1800</v>
      </c>
      <c r="AA95" s="1">
        <f>IF(LEFT(N95,4)="1201",_xlfn.IFNA(VLOOKUP(B95,Production_Cost!$L:$P,2,FALSE),G95),IF(LEFT(N95,4)="1204",_xlfn.IFNA(VLOOKUP(B95,Production_Cost!$L:$P,3,FALSE),G95),IF(LEFT(N95,4)="1205",_xlfn.IFNA(VLOOKUP(B95,Production_Cost!$L:$P,4,FALSE),G95),IF(LEFT(N95,4)="1206",_xlfn.IFNA(VLOOKUP(B95,Production_Cost!$L:$P,5,FALSE),G95),"BU tidak sesuai"))))</f>
        <v>200</v>
      </c>
      <c r="AB95" s="1" t="str">
        <f t="shared" si="17"/>
        <v>1206-MAINT.&amp;REP.BUILDING</v>
      </c>
    </row>
    <row r="96" spans="1:29">
      <c r="A96" s="60" t="s">
        <v>139</v>
      </c>
      <c r="B96" s="36" t="s">
        <v>116</v>
      </c>
      <c r="C96" s="60" t="s">
        <v>117</v>
      </c>
      <c r="D96" s="45" t="s">
        <v>99</v>
      </c>
      <c r="E96" s="45" t="s">
        <v>93</v>
      </c>
      <c r="F96" s="45"/>
      <c r="G96" s="163">
        <v>1460</v>
      </c>
      <c r="H96" s="163">
        <v>2181.4299999999998</v>
      </c>
      <c r="I96" s="163">
        <f t="shared" si="10"/>
        <v>-721.42999999999984</v>
      </c>
      <c r="J96" s="48">
        <f>G96/VLOOKUP(A96,RESUME!$G$3:$I$10,3,FALSE)</f>
        <v>1.4527826581310844E-2</v>
      </c>
      <c r="K96" s="163">
        <f t="shared" si="14"/>
        <v>1168</v>
      </c>
      <c r="L96" s="163">
        <f t="shared" si="15"/>
        <v>1460</v>
      </c>
      <c r="M96" s="154">
        <f t="shared" si="11"/>
        <v>0</v>
      </c>
      <c r="N96" s="47" t="str">
        <f>_xlfn.IFNA(VLOOKUP(A96&amp;"-"&amp;B96&amp;"-"&amp;D96,Ref_Account!$A:$F,6,FALSE),"ACCOUNT TIDAK DITEMUKAN")</f>
        <v>1206.630130</v>
      </c>
      <c r="O96" s="45">
        <f t="shared" si="12"/>
        <v>1</v>
      </c>
      <c r="P96" s="45" t="str">
        <f t="shared" si="13"/>
        <v>OVER</v>
      </c>
      <c r="Q96" s="159"/>
      <c r="R96" s="213">
        <f t="shared" si="16"/>
        <v>12443.98</v>
      </c>
      <c r="AA96" s="1">
        <f>IF(LEFT(N96,4)="1201",_xlfn.IFNA(VLOOKUP(B96,Production_Cost!$L:$P,2,FALSE),G96),IF(LEFT(N96,4)="1204",_xlfn.IFNA(VLOOKUP(B96,Production_Cost!$L:$P,3,FALSE),G96),IF(LEFT(N96,4)="1205",_xlfn.IFNA(VLOOKUP(B96,Production_Cost!$L:$P,4,FALSE),G96),IF(LEFT(N96,4)="1206",_xlfn.IFNA(VLOOKUP(B96,Production_Cost!$L:$P,5,FALSE),G96),"BU tidak sesuai"))))</f>
        <v>2181.4299999999998</v>
      </c>
      <c r="AB96" s="1" t="str">
        <f t="shared" si="17"/>
        <v>1206-MEDICAL ALLOWANCE</v>
      </c>
      <c r="AC96" s="1">
        <v>2181.4299999999998</v>
      </c>
    </row>
    <row r="97" spans="1:29">
      <c r="A97" s="61" t="s">
        <v>139</v>
      </c>
      <c r="B97" s="37" t="s">
        <v>126</v>
      </c>
      <c r="C97" s="61" t="s">
        <v>127</v>
      </c>
      <c r="D97" s="46" t="s">
        <v>99</v>
      </c>
      <c r="E97" s="46" t="s">
        <v>73</v>
      </c>
      <c r="F97" s="46"/>
      <c r="G97" s="164">
        <v>4235.2299999999996</v>
      </c>
      <c r="H97" s="164"/>
      <c r="I97" s="164">
        <f t="shared" si="10"/>
        <v>4235.2299999999996</v>
      </c>
      <c r="J97" s="50">
        <f>G97/VLOOKUP(A97,RESUME!$G$3:$I$10,3,FALSE)</f>
        <v>4.2142936282167892E-2</v>
      </c>
      <c r="K97" s="164">
        <f t="shared" si="14"/>
        <v>3388.1839999999997</v>
      </c>
      <c r="L97" s="164">
        <f t="shared" si="15"/>
        <v>4235.2299999999996</v>
      </c>
      <c r="M97" s="156">
        <f t="shared" si="11"/>
        <v>5.2678670352709865E-2</v>
      </c>
      <c r="N97" s="49" t="str">
        <f>_xlfn.IFNA(VLOOKUP(A97&amp;"-"&amp;B97&amp;"-"&amp;D97,Ref_Account!$A:$F,6,FALSE),"ACCOUNT TIDAK DITEMUKAN")</f>
        <v>1206.631000</v>
      </c>
      <c r="O97" s="46">
        <f t="shared" si="12"/>
        <v>1</v>
      </c>
      <c r="P97" s="46" t="str">
        <f t="shared" si="13"/>
        <v>OK</v>
      </c>
      <c r="Q97" s="206"/>
      <c r="R97" s="213">
        <f t="shared" si="16"/>
        <v>5623.8399999999992</v>
      </c>
      <c r="AA97" s="1">
        <f>IF(LEFT(N97,4)="1201",_xlfn.IFNA(VLOOKUP(B97,Production_Cost!$L:$P,2,FALSE),G97),IF(LEFT(N97,4)="1204",_xlfn.IFNA(VLOOKUP(B97,Production_Cost!$L:$P,3,FALSE),G97),IF(LEFT(N97,4)="1205",_xlfn.IFNA(VLOOKUP(B97,Production_Cost!$L:$P,4,FALSE),G97),IF(LEFT(N97,4)="1206",_xlfn.IFNA(VLOOKUP(B97,Production_Cost!$L:$P,5,FALSE),G97),"BU tidak sesuai"))))</f>
        <v>4235.2299999999996</v>
      </c>
      <c r="AB97" s="1" t="str">
        <f t="shared" si="17"/>
        <v>1206-RENT EXPENSES</v>
      </c>
    </row>
    <row r="98" spans="1:29">
      <c r="A98" s="60" t="s">
        <v>139</v>
      </c>
      <c r="B98" s="36" t="s">
        <v>128</v>
      </c>
      <c r="C98" s="60" t="s">
        <v>140</v>
      </c>
      <c r="D98" s="45" t="s">
        <v>99</v>
      </c>
      <c r="E98" s="45" t="s">
        <v>73</v>
      </c>
      <c r="F98" s="45"/>
      <c r="G98" s="163">
        <v>821.62</v>
      </c>
      <c r="H98" s="163"/>
      <c r="I98" s="163">
        <f t="shared" si="10"/>
        <v>821.62</v>
      </c>
      <c r="J98" s="48">
        <f>G98/VLOOKUP(A98,RESUME!$G$3:$I$10,3,FALSE)</f>
        <v>8.175584161463436E-3</v>
      </c>
      <c r="K98" s="163">
        <f t="shared" si="14"/>
        <v>657.29600000000005</v>
      </c>
      <c r="L98" s="163">
        <f t="shared" si="15"/>
        <v>821.62</v>
      </c>
      <c r="M98" s="154">
        <f t="shared" si="11"/>
        <v>1.0219480201829296E-2</v>
      </c>
      <c r="N98" s="47" t="str">
        <f>_xlfn.IFNA(VLOOKUP(A98&amp;"-"&amp;B98&amp;"-"&amp;D98,Ref_Account!$A:$F,6,FALSE),"ACCOUNT TIDAK DITEMUKAN")</f>
        <v>1206.815110</v>
      </c>
      <c r="O98" s="45">
        <f t="shared" si="12"/>
        <v>1</v>
      </c>
      <c r="P98" s="45" t="str">
        <f t="shared" si="13"/>
        <v>OK</v>
      </c>
      <c r="Q98" s="159"/>
      <c r="R98" s="213">
        <f t="shared" si="16"/>
        <v>1682.6100000000001</v>
      </c>
      <c r="AA98" s="1">
        <f>IF(LEFT(N98,4)="1201",_xlfn.IFNA(VLOOKUP(B98,Production_Cost!$L:$P,2,FALSE),G98),IF(LEFT(N98,4)="1204",_xlfn.IFNA(VLOOKUP(B98,Production_Cost!$L:$P,3,FALSE),G98),IF(LEFT(N98,4)="1205",_xlfn.IFNA(VLOOKUP(B98,Production_Cost!$L:$P,4,FALSE),G98),IF(LEFT(N98,4)="1206",_xlfn.IFNA(VLOOKUP(B98,Production_Cost!$L:$P,5,FALSE),G98),"BU tidak sesuai"))))</f>
        <v>832.63</v>
      </c>
      <c r="AB98" s="1" t="str">
        <f t="shared" si="17"/>
        <v>1206-RENT EXPENSES BUILDING</v>
      </c>
    </row>
    <row r="99" spans="1:29">
      <c r="A99" s="61" t="s">
        <v>139</v>
      </c>
      <c r="B99" s="37" t="s">
        <v>132</v>
      </c>
      <c r="C99" s="61" t="s">
        <v>133</v>
      </c>
      <c r="D99" s="46" t="s">
        <v>99</v>
      </c>
      <c r="E99" s="46" t="s">
        <v>73</v>
      </c>
      <c r="F99" s="46"/>
      <c r="G99" s="164">
        <v>55</v>
      </c>
      <c r="H99" s="164"/>
      <c r="I99" s="164">
        <f t="shared" si="10"/>
        <v>55</v>
      </c>
      <c r="J99" s="50">
        <f>G99/VLOOKUP(A99,RESUME!$G$3:$I$10,3,FALSE)</f>
        <v>5.4728113833705236E-4</v>
      </c>
      <c r="K99" s="164">
        <f t="shared" si="14"/>
        <v>44</v>
      </c>
      <c r="L99" s="164">
        <f t="shared" si="15"/>
        <v>55</v>
      </c>
      <c r="M99" s="156">
        <f t="shared" si="11"/>
        <v>6.8410142292131548E-4</v>
      </c>
      <c r="N99" s="49" t="str">
        <f>_xlfn.IFNA(VLOOKUP(A99&amp;"-"&amp;B99&amp;"-"&amp;D99,Ref_Account!$A:$F,6,FALSE),"ACCOUNT TIDAK DITEMUKAN")</f>
        <v>1206.802120</v>
      </c>
      <c r="O99" s="46">
        <f t="shared" si="12"/>
        <v>1</v>
      </c>
      <c r="P99" s="46" t="str">
        <f t="shared" si="13"/>
        <v>OK</v>
      </c>
      <c r="Q99" s="206"/>
      <c r="R99" s="213">
        <f t="shared" si="16"/>
        <v>310</v>
      </c>
      <c r="AA99" s="1">
        <f>IF(LEFT(N99,4)="1201",_xlfn.IFNA(VLOOKUP(B99,Production_Cost!$L:$P,2,FALSE),G99),IF(LEFT(N99,4)="1204",_xlfn.IFNA(VLOOKUP(B99,Production_Cost!$L:$P,3,FALSE),G99),IF(LEFT(N99,4)="1205",_xlfn.IFNA(VLOOKUP(B99,Production_Cost!$L:$P,4,FALSE),G99),IF(LEFT(N99,4)="1206",_xlfn.IFNA(VLOOKUP(B99,Production_Cost!$L:$P,5,FALSE),G99),"BU tidak sesuai"))))</f>
        <v>0</v>
      </c>
      <c r="AB99" s="1" t="str">
        <f t="shared" si="17"/>
        <v>1206-TELEPHONE EXPENSES</v>
      </c>
    </row>
    <row r="100" spans="1:29">
      <c r="A100" s="60" t="s">
        <v>139</v>
      </c>
      <c r="B100" s="36" t="s">
        <v>136</v>
      </c>
      <c r="C100" s="60" t="s">
        <v>137</v>
      </c>
      <c r="D100" s="45" t="s">
        <v>99</v>
      </c>
      <c r="E100" s="45" t="s">
        <v>73</v>
      </c>
      <c r="F100" s="45"/>
      <c r="G100" s="163">
        <v>20.09</v>
      </c>
      <c r="H100" s="163"/>
      <c r="I100" s="163">
        <f t="shared" si="10"/>
        <v>20.09</v>
      </c>
      <c r="J100" s="48">
        <f>G100/VLOOKUP(A100,RESUME!$G$3:$I$10,3,FALSE)</f>
        <v>1.9990687398529784E-4</v>
      </c>
      <c r="K100" s="163">
        <f t="shared" si="14"/>
        <v>16.071999999999999</v>
      </c>
      <c r="L100" s="163">
        <f t="shared" si="15"/>
        <v>20.09</v>
      </c>
      <c r="M100" s="154">
        <f t="shared" si="11"/>
        <v>2.4988359248162231E-4</v>
      </c>
      <c r="N100" s="47" t="str">
        <f>_xlfn.IFNA(VLOOKUP(A100&amp;"-"&amp;B100&amp;"-"&amp;D100,Ref_Account!$A:$F,6,FALSE),"ACCOUNT TIDAK DITEMUKAN")</f>
        <v>1206.630450</v>
      </c>
      <c r="O100" s="45">
        <f t="shared" si="12"/>
        <v>1</v>
      </c>
      <c r="P100" s="45" t="str">
        <f t="shared" si="13"/>
        <v>OK</v>
      </c>
      <c r="Q100" s="159"/>
      <c r="R100" s="213">
        <f t="shared" si="16"/>
        <v>484.46</v>
      </c>
      <c r="AA100" s="1">
        <f>IF(LEFT(N100,4)="1201",_xlfn.IFNA(VLOOKUP(B100,Production_Cost!$L:$P,2,FALSE),G100),IF(LEFT(N100,4)="1204",_xlfn.IFNA(VLOOKUP(B100,Production_Cost!$L:$P,3,FALSE),G100),IF(LEFT(N100,4)="1205",_xlfn.IFNA(VLOOKUP(B100,Production_Cost!$L:$P,4,FALSE),G100),IF(LEFT(N100,4)="1206",_xlfn.IFNA(VLOOKUP(B100,Production_Cost!$L:$P,5,FALSE),G100),"BU tidak sesuai"))))</f>
        <v>0</v>
      </c>
      <c r="AB100" s="1" t="str">
        <f t="shared" si="17"/>
        <v>1206-WATER</v>
      </c>
    </row>
    <row r="101" spans="1:29">
      <c r="A101" s="61" t="s">
        <v>139</v>
      </c>
      <c r="B101" s="37" t="s">
        <v>78</v>
      </c>
      <c r="C101" s="61" t="s">
        <v>79</v>
      </c>
      <c r="D101" s="46" t="s">
        <v>99</v>
      </c>
      <c r="E101" s="46" t="s">
        <v>141</v>
      </c>
      <c r="F101" s="46"/>
      <c r="G101" s="164">
        <v>563</v>
      </c>
      <c r="H101" s="164">
        <v>84.77</v>
      </c>
      <c r="I101" s="164">
        <f t="shared" si="10"/>
        <v>478.23</v>
      </c>
      <c r="J101" s="50">
        <f>G101/VLOOKUP(A101,RESUME!$G$3:$I$10,3,FALSE)</f>
        <v>5.6021687433410999E-3</v>
      </c>
      <c r="K101" s="164">
        <f t="shared" si="14"/>
        <v>450.40000000000003</v>
      </c>
      <c r="L101" s="164">
        <f t="shared" si="15"/>
        <v>563</v>
      </c>
      <c r="M101" s="156">
        <f t="shared" si="11"/>
        <v>7.0027109291763753E-3</v>
      </c>
      <c r="N101" s="49" t="str">
        <f>_xlfn.IFNA(VLOOKUP(A101&amp;"-"&amp;B101&amp;"-"&amp;D101,Ref_Account!$A:$F,6,FALSE),"ACCOUNT TIDAK DITEMUKAN")</f>
        <v>1206.630300</v>
      </c>
      <c r="O101" s="46">
        <f t="shared" si="12"/>
        <v>1</v>
      </c>
      <c r="P101" s="46" t="str">
        <f t="shared" si="13"/>
        <v>OK</v>
      </c>
      <c r="Q101" s="206"/>
      <c r="R101" s="213">
        <f t="shared" si="16"/>
        <v>5882</v>
      </c>
      <c r="AA101" s="1">
        <f>IF(LEFT(N101,4)="1201",_xlfn.IFNA(VLOOKUP(B101,Production_Cost!$L:$P,2,FALSE),G101),IF(LEFT(N101,4)="1204",_xlfn.IFNA(VLOOKUP(B101,Production_Cost!$L:$P,3,FALSE),G101),IF(LEFT(N101,4)="1205",_xlfn.IFNA(VLOOKUP(B101,Production_Cost!$L:$P,4,FALSE),G101),IF(LEFT(N101,4)="1206",_xlfn.IFNA(VLOOKUP(B101,Production_Cost!$L:$P,5,FALSE),G101),"BU tidak sesuai"))))</f>
        <v>3241.4700000000003</v>
      </c>
      <c r="AB101" s="1" t="str">
        <f t="shared" si="17"/>
        <v>1206-FACTORY SUPPLIES EXPENSE</v>
      </c>
      <c r="AC101" s="1">
        <v>84.77</v>
      </c>
    </row>
    <row r="102" spans="1:29">
      <c r="A102" s="60" t="s">
        <v>139</v>
      </c>
      <c r="B102" s="36" t="s">
        <v>102</v>
      </c>
      <c r="C102" s="60" t="s">
        <v>103</v>
      </c>
      <c r="D102" s="45" t="s">
        <v>99</v>
      </c>
      <c r="E102" s="45" t="s">
        <v>141</v>
      </c>
      <c r="F102" s="45"/>
      <c r="G102" s="163">
        <v>50</v>
      </c>
      <c r="H102" s="163"/>
      <c r="I102" s="163">
        <f t="shared" ref="I102:I133" si="18">G102-H102</f>
        <v>50</v>
      </c>
      <c r="J102" s="48">
        <f>G102/VLOOKUP(A102,RESUME!$G$3:$I$10,3,FALSE)</f>
        <v>4.9752830757913849E-4</v>
      </c>
      <c r="K102" s="163">
        <f t="shared" si="14"/>
        <v>40</v>
      </c>
      <c r="L102" s="163">
        <f t="shared" si="15"/>
        <v>50</v>
      </c>
      <c r="M102" s="154">
        <f t="shared" si="11"/>
        <v>6.2191038447392312E-4</v>
      </c>
      <c r="N102" s="47" t="str">
        <f>_xlfn.IFNA(VLOOKUP(A102&amp;"-"&amp;B102&amp;"-"&amp;D102,Ref_Account!$A:$F,6,FALSE),"ACCOUNT TIDAK DITEMUKAN")</f>
        <v>1206.630770</v>
      </c>
      <c r="O102" s="45">
        <f t="shared" ref="O102:O133" si="19">IF(N102="ACCOUNT TIDAK DITEMUKAN","9999",COUNTIF($N$6:$N$164,N102))</f>
        <v>1</v>
      </c>
      <c r="P102" s="45" t="str">
        <f t="shared" si="13"/>
        <v>OK</v>
      </c>
      <c r="Q102" s="159"/>
      <c r="R102" s="213">
        <f t="shared" si="16"/>
        <v>700</v>
      </c>
      <c r="AA102" s="1">
        <f>IF(LEFT(N102,4)="1201",_xlfn.IFNA(VLOOKUP(B102,Production_Cost!$L:$P,2,FALSE),G102),IF(LEFT(N102,4)="1204",_xlfn.IFNA(VLOOKUP(B102,Production_Cost!$L:$P,3,FALSE),G102),IF(LEFT(N102,4)="1205",_xlfn.IFNA(VLOOKUP(B102,Production_Cost!$L:$P,4,FALSE),G102),IF(LEFT(N102,4)="1206",_xlfn.IFNA(VLOOKUP(B102,Production_Cost!$L:$P,5,FALSE),G102),"BU tidak sesuai"))))</f>
        <v>50</v>
      </c>
      <c r="AB102" s="1" t="str">
        <f t="shared" si="17"/>
        <v>1206-MAINT.&amp;REP.ELECTRICITY</v>
      </c>
    </row>
    <row r="103" spans="1:29">
      <c r="A103" s="61" t="s">
        <v>139</v>
      </c>
      <c r="B103" s="37" t="s">
        <v>104</v>
      </c>
      <c r="C103" s="61" t="s">
        <v>105</v>
      </c>
      <c r="D103" s="46" t="s">
        <v>99</v>
      </c>
      <c r="E103" s="46" t="s">
        <v>141</v>
      </c>
      <c r="F103" s="46"/>
      <c r="G103" s="164">
        <v>50</v>
      </c>
      <c r="H103" s="164"/>
      <c r="I103" s="164">
        <f t="shared" si="18"/>
        <v>50</v>
      </c>
      <c r="J103" s="50">
        <f>G103/VLOOKUP(A103,RESUME!$G$3:$I$10,3,FALSE)</f>
        <v>4.9752830757913849E-4</v>
      </c>
      <c r="K103" s="164">
        <f t="shared" si="14"/>
        <v>40</v>
      </c>
      <c r="L103" s="164">
        <f t="shared" si="15"/>
        <v>50</v>
      </c>
      <c r="M103" s="156">
        <f t="shared" si="11"/>
        <v>6.2191038447392312E-4</v>
      </c>
      <c r="N103" s="49" t="str">
        <f>_xlfn.IFNA(VLOOKUP(A103&amp;"-"&amp;B103&amp;"-"&amp;D103,Ref_Account!$A:$F,6,FALSE),"ACCOUNT TIDAK DITEMUKAN")</f>
        <v>1206.630750</v>
      </c>
      <c r="O103" s="46">
        <f t="shared" si="19"/>
        <v>1</v>
      </c>
      <c r="P103" s="46" t="str">
        <f t="shared" si="13"/>
        <v>OK</v>
      </c>
      <c r="Q103" s="206"/>
      <c r="R103" s="213">
        <f t="shared" si="16"/>
        <v>700</v>
      </c>
      <c r="AA103" s="1">
        <f>IF(LEFT(N103,4)="1201",_xlfn.IFNA(VLOOKUP(B103,Production_Cost!$L:$P,2,FALSE),G103),IF(LEFT(N103,4)="1204",_xlfn.IFNA(VLOOKUP(B103,Production_Cost!$L:$P,3,FALSE),G103),IF(LEFT(N103,4)="1205",_xlfn.IFNA(VLOOKUP(B103,Production_Cost!$L:$P,4,FALSE),G103),IF(LEFT(N103,4)="1206",_xlfn.IFNA(VLOOKUP(B103,Production_Cost!$L:$P,5,FALSE),G103),"BU tidak sesuai"))))</f>
        <v>50</v>
      </c>
      <c r="AB103" s="1" t="str">
        <f t="shared" si="17"/>
        <v>1206-MAINT.&amp;REP.GEN&amp;BOILER</v>
      </c>
    </row>
    <row r="104" spans="1:29">
      <c r="A104" s="60" t="s">
        <v>139</v>
      </c>
      <c r="B104" s="36" t="s">
        <v>106</v>
      </c>
      <c r="C104" s="60" t="s">
        <v>107</v>
      </c>
      <c r="D104" s="45" t="s">
        <v>99</v>
      </c>
      <c r="E104" s="45" t="s">
        <v>141</v>
      </c>
      <c r="F104" s="45"/>
      <c r="G104" s="163">
        <v>50</v>
      </c>
      <c r="H104" s="163"/>
      <c r="I104" s="163">
        <f t="shared" si="18"/>
        <v>50</v>
      </c>
      <c r="J104" s="48">
        <f>G104/VLOOKUP(A104,RESUME!$G$3:$I$10,3,FALSE)</f>
        <v>4.9752830757913849E-4</v>
      </c>
      <c r="K104" s="163">
        <f t="shared" si="14"/>
        <v>40</v>
      </c>
      <c r="L104" s="163">
        <f t="shared" si="15"/>
        <v>50</v>
      </c>
      <c r="M104" s="154">
        <f t="shared" si="11"/>
        <v>6.2191038447392312E-4</v>
      </c>
      <c r="N104" s="47" t="str">
        <f>_xlfn.IFNA(VLOOKUP(A104&amp;"-"&amp;B104&amp;"-"&amp;D104,Ref_Account!$A:$F,6,FALSE),"ACCOUNT TIDAK DITEMUKAN")</f>
        <v>1206.630720</v>
      </c>
      <c r="O104" s="45">
        <f t="shared" si="19"/>
        <v>1</v>
      </c>
      <c r="P104" s="45" t="str">
        <f t="shared" si="13"/>
        <v>OK</v>
      </c>
      <c r="Q104" s="159"/>
      <c r="R104" s="213">
        <f t="shared" si="16"/>
        <v>700</v>
      </c>
      <c r="AA104" s="1">
        <f>IF(LEFT(N104,4)="1201",_xlfn.IFNA(VLOOKUP(B104,Production_Cost!$L:$P,2,FALSE),G104),IF(LEFT(N104,4)="1204",_xlfn.IFNA(VLOOKUP(B104,Production_Cost!$L:$P,3,FALSE),G104),IF(LEFT(N104,4)="1205",_xlfn.IFNA(VLOOKUP(B104,Production_Cost!$L:$P,4,FALSE),G104),IF(LEFT(N104,4)="1206",_xlfn.IFNA(VLOOKUP(B104,Production_Cost!$L:$P,5,FALSE),G104),"BU tidak sesuai"))))</f>
        <v>50</v>
      </c>
      <c r="AB104" s="1" t="str">
        <f t="shared" si="17"/>
        <v>1206-MAINT.&amp;REP.MACHINERIE</v>
      </c>
    </row>
    <row r="105" spans="1:29">
      <c r="A105" s="61" t="s">
        <v>139</v>
      </c>
      <c r="B105" s="37" t="s">
        <v>108</v>
      </c>
      <c r="C105" s="61" t="s">
        <v>109</v>
      </c>
      <c r="D105" s="46" t="s">
        <v>99</v>
      </c>
      <c r="E105" s="46" t="s">
        <v>141</v>
      </c>
      <c r="F105" s="46"/>
      <c r="G105" s="164">
        <v>50</v>
      </c>
      <c r="H105" s="164"/>
      <c r="I105" s="164">
        <f t="shared" si="18"/>
        <v>50</v>
      </c>
      <c r="J105" s="50">
        <f>G105/VLOOKUP(A105,RESUME!$G$3:$I$10,3,FALSE)</f>
        <v>4.9752830757913849E-4</v>
      </c>
      <c r="K105" s="164">
        <f t="shared" si="14"/>
        <v>40</v>
      </c>
      <c r="L105" s="164">
        <f t="shared" si="15"/>
        <v>50</v>
      </c>
      <c r="M105" s="156">
        <f t="shared" si="11"/>
        <v>6.2191038447392312E-4</v>
      </c>
      <c r="N105" s="49" t="str">
        <f>_xlfn.IFNA(VLOOKUP(A105&amp;"-"&amp;B105&amp;"-"&amp;D105,Ref_Account!$A:$F,6,FALSE),"ACCOUNT TIDAK DITEMUKAN")</f>
        <v>1206.630760</v>
      </c>
      <c r="O105" s="46">
        <f t="shared" si="19"/>
        <v>1</v>
      </c>
      <c r="P105" s="46" t="str">
        <f t="shared" si="13"/>
        <v>OK</v>
      </c>
      <c r="Q105" s="206"/>
      <c r="R105" s="213">
        <f t="shared" si="16"/>
        <v>700</v>
      </c>
      <c r="AA105" s="1">
        <f>IF(LEFT(N105,4)="1201",_xlfn.IFNA(VLOOKUP(B105,Production_Cost!$L:$P,2,FALSE),G105),IF(LEFT(N105,4)="1204",_xlfn.IFNA(VLOOKUP(B105,Production_Cost!$L:$P,3,FALSE),G105),IF(LEFT(N105,4)="1205",_xlfn.IFNA(VLOOKUP(B105,Production_Cost!$L:$P,4,FALSE),G105),IF(LEFT(N105,4)="1206",_xlfn.IFNA(VLOOKUP(B105,Production_Cost!$L:$P,5,FALSE),G105),"BU tidak sesuai"))))</f>
        <v>50</v>
      </c>
      <c r="AB105" s="1" t="str">
        <f t="shared" si="17"/>
        <v>1206-MAINT.&amp;REP.MOTORVEHICLE</v>
      </c>
    </row>
    <row r="106" spans="1:29">
      <c r="A106" s="60" t="s">
        <v>139</v>
      </c>
      <c r="B106" s="36" t="s">
        <v>110</v>
      </c>
      <c r="C106" s="60" t="s">
        <v>111</v>
      </c>
      <c r="D106" s="45" t="s">
        <v>99</v>
      </c>
      <c r="E106" s="45" t="s">
        <v>141</v>
      </c>
      <c r="F106" s="45"/>
      <c r="G106" s="163">
        <v>50</v>
      </c>
      <c r="H106" s="163"/>
      <c r="I106" s="163">
        <f t="shared" si="18"/>
        <v>50</v>
      </c>
      <c r="J106" s="48">
        <f>G106/VLOOKUP(A106,RESUME!$G$3:$I$10,3,FALSE)</f>
        <v>4.9752830757913849E-4</v>
      </c>
      <c r="K106" s="163">
        <f t="shared" si="14"/>
        <v>40</v>
      </c>
      <c r="L106" s="163">
        <f t="shared" si="15"/>
        <v>50</v>
      </c>
      <c r="M106" s="154">
        <f t="shared" si="11"/>
        <v>6.2191038447392312E-4</v>
      </c>
      <c r="N106" s="47" t="str">
        <f>_xlfn.IFNA(VLOOKUP(A106&amp;"-"&amp;B106&amp;"-"&amp;D106,Ref_Account!$A:$F,6,FALSE),"ACCOUNT TIDAK DITEMUKAN")</f>
        <v>1206.630730</v>
      </c>
      <c r="O106" s="45">
        <f t="shared" si="19"/>
        <v>1</v>
      </c>
      <c r="P106" s="45" t="str">
        <f t="shared" si="13"/>
        <v>OK</v>
      </c>
      <c r="Q106" s="159"/>
      <c r="R106" s="213">
        <f t="shared" si="16"/>
        <v>700</v>
      </c>
      <c r="AA106" s="1">
        <f>IF(LEFT(N106,4)="1201",_xlfn.IFNA(VLOOKUP(B106,Production_Cost!$L:$P,2,FALSE),G106),IF(LEFT(N106,4)="1204",_xlfn.IFNA(VLOOKUP(B106,Production_Cost!$L:$P,3,FALSE),G106),IF(LEFT(N106,4)="1205",_xlfn.IFNA(VLOOKUP(B106,Production_Cost!$L:$P,4,FALSE),G106),IF(LEFT(N106,4)="1206",_xlfn.IFNA(VLOOKUP(B106,Production_Cost!$L:$P,5,FALSE),G106),"BU tidak sesuai"))))</f>
        <v>50</v>
      </c>
      <c r="AB106" s="1" t="str">
        <f t="shared" si="17"/>
        <v>1206-MAINT.&amp;REP.PLANTEQUI</v>
      </c>
    </row>
    <row r="107" spans="1:29">
      <c r="A107" s="61" t="s">
        <v>139</v>
      </c>
      <c r="B107" s="37" t="s">
        <v>112</v>
      </c>
      <c r="C107" s="61" t="s">
        <v>113</v>
      </c>
      <c r="D107" s="46" t="s">
        <v>99</v>
      </c>
      <c r="E107" s="46" t="s">
        <v>141</v>
      </c>
      <c r="F107" s="46"/>
      <c r="G107" s="164">
        <v>50</v>
      </c>
      <c r="H107" s="164"/>
      <c r="I107" s="164">
        <f t="shared" si="18"/>
        <v>50</v>
      </c>
      <c r="J107" s="50">
        <f>G107/VLOOKUP(A107,RESUME!$G$3:$I$10,3,FALSE)</f>
        <v>4.9752830757913849E-4</v>
      </c>
      <c r="K107" s="164">
        <f t="shared" si="14"/>
        <v>40</v>
      </c>
      <c r="L107" s="164">
        <f t="shared" si="15"/>
        <v>50</v>
      </c>
      <c r="M107" s="156">
        <f t="shared" si="11"/>
        <v>6.2191038447392312E-4</v>
      </c>
      <c r="N107" s="49" t="str">
        <f>_xlfn.IFNA(VLOOKUP(A107&amp;"-"&amp;B107&amp;"-"&amp;D107,Ref_Account!$A:$F,6,FALSE),"ACCOUNT TIDAK DITEMUKAN")</f>
        <v>1206.630740</v>
      </c>
      <c r="O107" s="46">
        <f t="shared" si="19"/>
        <v>1</v>
      </c>
      <c r="P107" s="46" t="str">
        <f t="shared" si="13"/>
        <v>OK</v>
      </c>
      <c r="Q107" s="206"/>
      <c r="R107" s="213">
        <f t="shared" si="16"/>
        <v>700</v>
      </c>
      <c r="AA107" s="1">
        <f>IF(LEFT(N107,4)="1201",_xlfn.IFNA(VLOOKUP(B107,Production_Cost!$L:$P,2,FALSE),G107),IF(LEFT(N107,4)="1204",_xlfn.IFNA(VLOOKUP(B107,Production_Cost!$L:$P,3,FALSE),G107),IF(LEFT(N107,4)="1205",_xlfn.IFNA(VLOOKUP(B107,Production_Cost!$L:$P,4,FALSE),G107),IF(LEFT(N107,4)="1206",_xlfn.IFNA(VLOOKUP(B107,Production_Cost!$L:$P,5,FALSE),G107),"BU tidak sesuai"))))</f>
        <v>50</v>
      </c>
      <c r="AB107" s="1" t="str">
        <f t="shared" si="17"/>
        <v>1206-MAINT.&amp;REP.WATERINSTL.</v>
      </c>
    </row>
    <row r="108" spans="1:29">
      <c r="A108" s="60" t="s">
        <v>139</v>
      </c>
      <c r="B108" s="36" t="s">
        <v>122</v>
      </c>
      <c r="C108" s="60" t="s">
        <v>123</v>
      </c>
      <c r="D108" s="45" t="s">
        <v>99</v>
      </c>
      <c r="E108" s="45" t="s">
        <v>141</v>
      </c>
      <c r="F108" s="45"/>
      <c r="G108" s="163">
        <v>3978</v>
      </c>
      <c r="H108" s="163">
        <v>2813.51</v>
      </c>
      <c r="I108" s="163">
        <f t="shared" si="18"/>
        <v>1164.4899999999998</v>
      </c>
      <c r="J108" s="48">
        <f>G108/VLOOKUP(A108,RESUME!$G$3:$I$10,3,FALSE)</f>
        <v>3.9583352150996259E-2</v>
      </c>
      <c r="K108" s="163">
        <f t="shared" si="14"/>
        <v>3182.4</v>
      </c>
      <c r="L108" s="163">
        <f t="shared" si="15"/>
        <v>3978</v>
      </c>
      <c r="M108" s="154">
        <f t="shared" si="11"/>
        <v>4.9479190188745324E-2</v>
      </c>
      <c r="N108" s="47" t="str">
        <f>_xlfn.IFNA(VLOOKUP(A108&amp;"-"&amp;B108&amp;"-"&amp;D108,Ref_Account!$A:$F,6,FALSE),"ACCOUNT TIDAK DITEMUKAN")</f>
        <v>1206.631110</v>
      </c>
      <c r="O108" s="45">
        <f t="shared" si="19"/>
        <v>1</v>
      </c>
      <c r="P108" s="45" t="str">
        <f t="shared" si="13"/>
        <v>OK</v>
      </c>
      <c r="Q108" s="159"/>
      <c r="R108" s="213">
        <f t="shared" si="16"/>
        <v>8475.61</v>
      </c>
      <c r="AA108" s="1">
        <f>IF(LEFT(N108,4)="1201",_xlfn.IFNA(VLOOKUP(B108,Production_Cost!$L:$P,2,FALSE),G108),IF(LEFT(N108,4)="1204",_xlfn.IFNA(VLOOKUP(B108,Production_Cost!$L:$P,3,FALSE),G108),IF(LEFT(N108,4)="1205",_xlfn.IFNA(VLOOKUP(B108,Production_Cost!$L:$P,4,FALSE),G108),IF(LEFT(N108,4)="1206",_xlfn.IFNA(VLOOKUP(B108,Production_Cost!$L:$P,5,FALSE),G108),"BU tidak sesuai"))))</f>
        <v>3978</v>
      </c>
      <c r="AB108" s="1" t="str">
        <f t="shared" si="17"/>
        <v>1206-PEMAKAIAN SPARE PART</v>
      </c>
      <c r="AC108" s="1">
        <v>2813.51</v>
      </c>
    </row>
    <row r="109" spans="1:29">
      <c r="A109" s="61" t="s">
        <v>139</v>
      </c>
      <c r="B109" s="37" t="s">
        <v>68</v>
      </c>
      <c r="C109" s="61" t="s">
        <v>69</v>
      </c>
      <c r="D109" s="46" t="s">
        <v>99</v>
      </c>
      <c r="E109" s="46" t="s">
        <v>142</v>
      </c>
      <c r="F109" s="46"/>
      <c r="G109" s="164">
        <v>5000</v>
      </c>
      <c r="H109" s="164">
        <v>3055.97</v>
      </c>
      <c r="I109" s="164">
        <f t="shared" si="18"/>
        <v>1944.0300000000002</v>
      </c>
      <c r="J109" s="50">
        <f>G109/VLOOKUP(A109,RESUME!$G$3:$I$10,3,FALSE)</f>
        <v>4.9752830757913848E-2</v>
      </c>
      <c r="K109" s="164">
        <f t="shared" si="14"/>
        <v>4000</v>
      </c>
      <c r="L109" s="164">
        <f t="shared" si="15"/>
        <v>5000</v>
      </c>
      <c r="M109" s="156">
        <f t="shared" si="11"/>
        <v>6.2191038447392308E-2</v>
      </c>
      <c r="N109" s="49" t="str">
        <f>_xlfn.IFNA(VLOOKUP(A109&amp;"-"&amp;B109&amp;"-"&amp;D109,Ref_Account!$A:$F,6,FALSE),"ACCOUNT TIDAK DITEMUKAN")</f>
        <v>1206.812100</v>
      </c>
      <c r="O109" s="46">
        <f t="shared" si="19"/>
        <v>1</v>
      </c>
      <c r="P109" s="46" t="str">
        <f t="shared" si="13"/>
        <v>OK</v>
      </c>
      <c r="Q109" s="206"/>
      <c r="R109" s="213">
        <f t="shared" si="16"/>
        <v>22313.170000000002</v>
      </c>
      <c r="AA109" s="1">
        <f>IF(LEFT(N109,4)="1201",_xlfn.IFNA(VLOOKUP(B109,Production_Cost!$L:$P,2,FALSE),G109),IF(LEFT(N109,4)="1204",_xlfn.IFNA(VLOOKUP(B109,Production_Cost!$L:$P,3,FALSE),G109),IF(LEFT(N109,4)="1205",_xlfn.IFNA(VLOOKUP(B109,Production_Cost!$L:$P,4,FALSE),G109),IF(LEFT(N109,4)="1206",_xlfn.IFNA(VLOOKUP(B109,Production_Cost!$L:$P,5,FALSE),G109),"BU tidak sesuai"))))</f>
        <v>3055.97</v>
      </c>
      <c r="AB109" s="1" t="str">
        <f t="shared" si="17"/>
        <v>1206-BUSINESS TRIP EXPENSES</v>
      </c>
      <c r="AC109" s="1">
        <v>3055.97</v>
      </c>
    </row>
    <row r="110" spans="1:29">
      <c r="A110" s="60" t="s">
        <v>139</v>
      </c>
      <c r="B110" s="36" t="s">
        <v>74</v>
      </c>
      <c r="C110" s="60" t="s">
        <v>75</v>
      </c>
      <c r="D110" s="45" t="s">
        <v>99</v>
      </c>
      <c r="E110" s="45" t="s">
        <v>73</v>
      </c>
      <c r="F110" s="45"/>
      <c r="G110" s="163">
        <v>3463.43</v>
      </c>
      <c r="H110" s="163">
        <v>3779.14</v>
      </c>
      <c r="I110" s="163">
        <f t="shared" si="18"/>
        <v>-315.71000000000004</v>
      </c>
      <c r="J110" s="48">
        <f>G110/VLOOKUP(A110,RESUME!$G$3:$I$10,3,FALSE)</f>
        <v>3.446308932637631E-2</v>
      </c>
      <c r="K110" s="163">
        <f t="shared" si="14"/>
        <v>2770.7440000000001</v>
      </c>
      <c r="L110" s="163">
        <f t="shared" si="15"/>
        <v>3463.43</v>
      </c>
      <c r="M110" s="154">
        <f t="shared" si="11"/>
        <v>0</v>
      </c>
      <c r="N110" s="47" t="str">
        <f>_xlfn.IFNA(VLOOKUP(A110&amp;"-"&amp;B110&amp;"-"&amp;D110,Ref_Account!$A:$F,6,FALSE),"ACCOUNT TIDAK DITEMUKAN")</f>
        <v>1206.630400</v>
      </c>
      <c r="O110" s="45">
        <f t="shared" si="19"/>
        <v>1</v>
      </c>
      <c r="P110" s="45" t="str">
        <f t="shared" si="13"/>
        <v>OVER</v>
      </c>
      <c r="Q110" s="159"/>
      <c r="R110" s="213">
        <f t="shared" si="16"/>
        <v>15561.89</v>
      </c>
      <c r="AA110" s="1">
        <f>IF(LEFT(N110,4)="1201",_xlfn.IFNA(VLOOKUP(B110,Production_Cost!$L:$P,2,FALSE),G110),IF(LEFT(N110,4)="1204",_xlfn.IFNA(VLOOKUP(B110,Production_Cost!$L:$P,3,FALSE),G110),IF(LEFT(N110,4)="1205",_xlfn.IFNA(VLOOKUP(B110,Production_Cost!$L:$P,4,FALSE),G110),IF(LEFT(N110,4)="1206",_xlfn.IFNA(VLOOKUP(B110,Production_Cost!$L:$P,5,FALSE),G110),"BU tidak sesuai"))))</f>
        <v>3779.14</v>
      </c>
      <c r="AB110" s="1" t="str">
        <f t="shared" si="17"/>
        <v>1206-ELECTRICITY</v>
      </c>
      <c r="AC110" s="1">
        <v>3779.14</v>
      </c>
    </row>
    <row r="111" spans="1:29">
      <c r="A111" s="61" t="s">
        <v>139</v>
      </c>
      <c r="B111" s="37" t="s">
        <v>85</v>
      </c>
      <c r="C111" s="61" t="s">
        <v>86</v>
      </c>
      <c r="D111" s="46" t="s">
        <v>99</v>
      </c>
      <c r="E111" s="46" t="s">
        <v>73</v>
      </c>
      <c r="F111" s="46"/>
      <c r="G111" s="164">
        <v>23.95</v>
      </c>
      <c r="H111" s="164"/>
      <c r="I111" s="164">
        <f t="shared" si="18"/>
        <v>23.95</v>
      </c>
      <c r="J111" s="50">
        <f>G111/VLOOKUP(A111,RESUME!$G$3:$I$10,3,FALSE)</f>
        <v>2.3831605933040734E-4</v>
      </c>
      <c r="K111" s="164">
        <f t="shared" si="14"/>
        <v>19.16</v>
      </c>
      <c r="L111" s="164">
        <f t="shared" si="15"/>
        <v>23.95</v>
      </c>
      <c r="M111" s="156">
        <f t="shared" si="11"/>
        <v>2.9789507416300918E-4</v>
      </c>
      <c r="N111" s="49" t="str">
        <f>_xlfn.IFNA(VLOOKUP(A111&amp;"-"&amp;B111&amp;"-"&amp;D111,Ref_Account!$A:$F,6,FALSE),"ACCOUNT TIDAK DITEMUKAN")</f>
        <v>1206.808100</v>
      </c>
      <c r="O111" s="46">
        <f t="shared" si="19"/>
        <v>1</v>
      </c>
      <c r="P111" s="46" t="str">
        <f t="shared" si="13"/>
        <v>OK</v>
      </c>
      <c r="Q111" s="206"/>
      <c r="R111" s="213">
        <f t="shared" si="16"/>
        <v>3432.3599999999997</v>
      </c>
      <c r="AA111" s="1">
        <f>IF(LEFT(N111,4)="1201",_xlfn.IFNA(VLOOKUP(B111,Production_Cost!$L:$P,2,FALSE),G111),IF(LEFT(N111,4)="1204",_xlfn.IFNA(VLOOKUP(B111,Production_Cost!$L:$P,3,FALSE),G111),IF(LEFT(N111,4)="1205",_xlfn.IFNA(VLOOKUP(B111,Production_Cost!$L:$P,4,FALSE),G111),IF(LEFT(N111,4)="1206",_xlfn.IFNA(VLOOKUP(B111,Production_Cost!$L:$P,5,FALSE),G111),"BU tidak sesuai"))))</f>
        <v>0</v>
      </c>
      <c r="AB111" s="1" t="str">
        <f t="shared" si="17"/>
        <v>1206-FUEL FOR MOTOR VEHICLE</v>
      </c>
    </row>
    <row r="112" spans="1:29">
      <c r="A112" s="60" t="s">
        <v>139</v>
      </c>
      <c r="B112" s="36" t="s">
        <v>94</v>
      </c>
      <c r="C112" s="60" t="s">
        <v>95</v>
      </c>
      <c r="D112" s="45" t="s">
        <v>99</v>
      </c>
      <c r="E112" s="45" t="s">
        <v>143</v>
      </c>
      <c r="F112" s="45"/>
      <c r="G112" s="163">
        <v>47747.46</v>
      </c>
      <c r="H112" s="163"/>
      <c r="I112" s="163">
        <f t="shared" si="18"/>
        <v>47747.46</v>
      </c>
      <c r="J112" s="48">
        <f>G112/VLOOKUP(A112,RESUME!$G$3:$I$10,3,FALSE)</f>
        <v>0.47511425930005224</v>
      </c>
      <c r="K112" s="163">
        <f t="shared" si="14"/>
        <v>38197.968000000001</v>
      </c>
      <c r="L112" s="163">
        <f t="shared" si="15"/>
        <v>47747.46</v>
      </c>
      <c r="M112" s="154">
        <f t="shared" si="11"/>
        <v>0.59389282412506528</v>
      </c>
      <c r="N112" s="47" t="str">
        <f>_xlfn.IFNA(VLOOKUP(A112&amp;"-"&amp;B112&amp;"-"&amp;D112,Ref_Account!$A:$F,6,FALSE),"ACCOUNT TIDAK DITEMUKAN")</f>
        <v>1206.630110</v>
      </c>
      <c r="O112" s="45">
        <f t="shared" si="19"/>
        <v>1</v>
      </c>
      <c r="P112" s="45" t="str">
        <f t="shared" si="13"/>
        <v>OK</v>
      </c>
      <c r="Q112" s="159"/>
      <c r="R112" s="213">
        <f t="shared" si="16"/>
        <v>260250</v>
      </c>
      <c r="AA112" s="1">
        <f>IF(LEFT(N112,4)="1201",_xlfn.IFNA(VLOOKUP(B112,Production_Cost!$L:$P,2,FALSE),G112),IF(LEFT(N112,4)="1204",_xlfn.IFNA(VLOOKUP(B112,Production_Cost!$L:$P,3,FALSE),G112),IF(LEFT(N112,4)="1205",_xlfn.IFNA(VLOOKUP(B112,Production_Cost!$L:$P,4,FALSE),G112),IF(LEFT(N112,4)="1206",_xlfn.IFNA(VLOOKUP(B112,Production_Cost!$L:$P,5,FALSE),G112),"BU tidak sesuai"))))</f>
        <v>0</v>
      </c>
      <c r="AB112" s="1" t="str">
        <f t="shared" si="17"/>
        <v>1206-LABOR COST</v>
      </c>
    </row>
    <row r="113" spans="1:29">
      <c r="A113" s="61" t="s">
        <v>139</v>
      </c>
      <c r="B113" s="37" t="s">
        <v>144</v>
      </c>
      <c r="C113" s="61" t="s">
        <v>145</v>
      </c>
      <c r="D113" s="46" t="s">
        <v>99</v>
      </c>
      <c r="E113" s="46" t="s">
        <v>146</v>
      </c>
      <c r="F113" s="46"/>
      <c r="G113" s="164">
        <v>2800</v>
      </c>
      <c r="H113" s="164"/>
      <c r="I113" s="164">
        <f t="shared" si="18"/>
        <v>2800</v>
      </c>
      <c r="J113" s="50">
        <f>G113/VLOOKUP(A113,RESUME!$G$3:$I$10,3,FALSE)</f>
        <v>2.7861585224431756E-2</v>
      </c>
      <c r="K113" s="164">
        <f t="shared" si="14"/>
        <v>2240</v>
      </c>
      <c r="L113" s="164">
        <f t="shared" si="15"/>
        <v>2800</v>
      </c>
      <c r="M113" s="156">
        <f t="shared" si="11"/>
        <v>3.4826981530539695E-2</v>
      </c>
      <c r="N113" s="49" t="str">
        <f>_xlfn.IFNA(VLOOKUP(A113&amp;"-"&amp;B113&amp;"-"&amp;D113,Ref_Account!$A:$F,6,FALSE),"ACCOUNT TIDAK DITEMUKAN")</f>
        <v>1206.801110</v>
      </c>
      <c r="O113" s="46">
        <f t="shared" si="19"/>
        <v>1</v>
      </c>
      <c r="P113" s="46" t="str">
        <f t="shared" si="13"/>
        <v>OK</v>
      </c>
      <c r="Q113" s="206"/>
      <c r="R113" s="213">
        <f t="shared" si="16"/>
        <v>65254.420000000006</v>
      </c>
      <c r="AA113" s="1">
        <f>IF(LEFT(N113,4)="1201",_xlfn.IFNA(VLOOKUP(B113,Production_Cost!$L:$P,2,FALSE),G113),IF(LEFT(N113,4)="1204",_xlfn.IFNA(VLOOKUP(B113,Production_Cost!$L:$P,3,FALSE),G113),IF(LEFT(N113,4)="1205",_xlfn.IFNA(VLOOKUP(B113,Production_Cost!$L:$P,4,FALSE),G113),IF(LEFT(N113,4)="1206",_xlfn.IFNA(VLOOKUP(B113,Production_Cost!$L:$P,5,FALSE),G113),"BU tidak sesuai"))))</f>
        <v>0</v>
      </c>
      <c r="AB113" s="1" t="str">
        <f t="shared" si="17"/>
        <v>1206-OFFICER SALARIES</v>
      </c>
    </row>
    <row r="114" spans="1:29">
      <c r="A114" s="60" t="s">
        <v>139</v>
      </c>
      <c r="B114" s="36" t="s">
        <v>25</v>
      </c>
      <c r="C114" s="60" t="s">
        <v>26</v>
      </c>
      <c r="D114" s="45" t="s">
        <v>99</v>
      </c>
      <c r="E114" s="45" t="s">
        <v>147</v>
      </c>
      <c r="F114" s="45"/>
      <c r="G114" s="163">
        <v>812</v>
      </c>
      <c r="H114" s="163">
        <v>343.88</v>
      </c>
      <c r="I114" s="163">
        <f t="shared" si="18"/>
        <v>468.12</v>
      </c>
      <c r="J114" s="48">
        <f>G114/VLOOKUP(A114,RESUME!$G$3:$I$10,3,FALSE)</f>
        <v>8.0798597150852098E-3</v>
      </c>
      <c r="K114" s="163">
        <f t="shared" si="14"/>
        <v>649.6</v>
      </c>
      <c r="L114" s="163">
        <f t="shared" si="15"/>
        <v>812</v>
      </c>
      <c r="M114" s="154">
        <f t="shared" si="11"/>
        <v>1.0099824643856512E-2</v>
      </c>
      <c r="N114" s="47" t="str">
        <f>_xlfn.IFNA(VLOOKUP(A114&amp;"-"&amp;B114&amp;"-"&amp;D114,Ref_Account!$A:$F,6,FALSE),"ACCOUNT TIDAK DITEMUKAN")</f>
        <v>1206.631180</v>
      </c>
      <c r="O114" s="45">
        <f t="shared" si="19"/>
        <v>1</v>
      </c>
      <c r="P114" s="45" t="str">
        <f t="shared" si="13"/>
        <v>OK</v>
      </c>
      <c r="Q114" s="159"/>
      <c r="R114" s="213">
        <f t="shared" si="16"/>
        <v>5205</v>
      </c>
      <c r="AA114" s="1">
        <f>IF(LEFT(N114,4)="1201",_xlfn.IFNA(VLOOKUP(B114,Production_Cost!$L:$P,2,FALSE),G114),IF(LEFT(N114,4)="1204",_xlfn.IFNA(VLOOKUP(B114,Production_Cost!$L:$P,3,FALSE),G114),IF(LEFT(N114,4)="1205",_xlfn.IFNA(VLOOKUP(B114,Production_Cost!$L:$P,4,FALSE),G114),IF(LEFT(N114,4)="1206",_xlfn.IFNA(VLOOKUP(B114,Production_Cost!$L:$P,5,FALSE),G114),"BU tidak sesuai"))))</f>
        <v>812</v>
      </c>
      <c r="AB114" s="1" t="str">
        <f t="shared" si="17"/>
        <v>1206-PEMAKAIAN GENERAL MATERIAL</v>
      </c>
      <c r="AC114" s="1">
        <v>343.88</v>
      </c>
    </row>
    <row r="115" spans="1:29">
      <c r="A115" s="61" t="s">
        <v>139</v>
      </c>
      <c r="B115" s="37" t="s">
        <v>36</v>
      </c>
      <c r="C115" s="61" t="s">
        <v>37</v>
      </c>
      <c r="D115" s="46" t="s">
        <v>148</v>
      </c>
      <c r="E115" s="46" t="s">
        <v>149</v>
      </c>
      <c r="F115" s="46"/>
      <c r="G115" s="164">
        <v>26280.234329731342</v>
      </c>
      <c r="H115" s="164"/>
      <c r="I115" s="164">
        <f t="shared" si="18"/>
        <v>26280.234329731342</v>
      </c>
      <c r="J115" s="50">
        <f>G115/VLOOKUP(A115,RESUME!$G$3:$I$10,3,FALSE)</f>
        <v>0.26150321017708822</v>
      </c>
      <c r="K115" s="164">
        <f t="shared" si="14"/>
        <v>21024.187463785074</v>
      </c>
      <c r="L115" s="164">
        <f t="shared" si="15"/>
        <v>26280.234329731342</v>
      </c>
      <c r="M115" s="156">
        <f t="shared" si="11"/>
        <v>0.32687901272136027</v>
      </c>
      <c r="N115" s="49" t="str">
        <f>_xlfn.IFNA(VLOOKUP(A115&amp;"-"&amp;B115&amp;"-"&amp;D115,Ref_Account!$A:$F,6,FALSE),"ACCOUNT TIDAK DITEMUKAN")</f>
        <v>1206.630600</v>
      </c>
      <c r="O115" s="46">
        <f t="shared" si="19"/>
        <v>1</v>
      </c>
      <c r="P115" s="46" t="str">
        <f t="shared" si="13"/>
        <v>OK</v>
      </c>
      <c r="Q115" s="206"/>
      <c r="R115" s="213">
        <f t="shared" si="16"/>
        <v>257250.27432973133</v>
      </c>
      <c r="AA115" s="1">
        <f>IF(LEFT(N115,4)="1201",_xlfn.IFNA(VLOOKUP(B115,Production_Cost!$L:$P,2,FALSE),G115),IF(LEFT(N115,4)="1204",_xlfn.IFNA(VLOOKUP(B115,Production_Cost!$L:$P,3,FALSE),G115),IF(LEFT(N115,4)="1205",_xlfn.IFNA(VLOOKUP(B115,Production_Cost!$L:$P,4,FALSE),G115),IF(LEFT(N115,4)="1206",_xlfn.IFNA(VLOOKUP(B115,Production_Cost!$L:$P,5,FALSE),G115),"BU tidak sesuai"))))</f>
        <v>0</v>
      </c>
      <c r="AB115" s="1" t="str">
        <f t="shared" si="17"/>
        <v>1206-VENDOR EXPENSES</v>
      </c>
    </row>
    <row r="116" spans="1:29">
      <c r="A116" s="60" t="s">
        <v>323</v>
      </c>
      <c r="B116" s="36" t="s">
        <v>76</v>
      </c>
      <c r="C116" s="60" t="s">
        <v>77</v>
      </c>
      <c r="D116" s="45" t="s">
        <v>23</v>
      </c>
      <c r="E116" s="45" t="s">
        <v>70</v>
      </c>
      <c r="F116" s="45"/>
      <c r="G116" s="163">
        <v>137.53</v>
      </c>
      <c r="H116" s="163"/>
      <c r="I116" s="163">
        <f t="shared" si="18"/>
        <v>137.53</v>
      </c>
      <c r="J116" s="48">
        <f>G116/VLOOKUP(A116,RESUME!$G$3:$I$10,3,FALSE)</f>
        <v>5.5495675892985874E-4</v>
      </c>
      <c r="K116" s="163">
        <f t="shared" si="14"/>
        <v>110.024</v>
      </c>
      <c r="L116" s="163">
        <f t="shared" si="15"/>
        <v>137.53</v>
      </c>
      <c r="M116" s="154">
        <f t="shared" si="11"/>
        <v>6.9369594866232343E-4</v>
      </c>
      <c r="N116" s="47" t="str">
        <f>_xlfn.IFNA(VLOOKUP(A116&amp;"-"&amp;B116&amp;"-"&amp;D116,Ref_Account!$A:$F,6,FALSE),"ACCOUNT TIDAK DITEMUKAN")</f>
        <v>1205.813100</v>
      </c>
      <c r="O116" s="45">
        <f t="shared" si="19"/>
        <v>1</v>
      </c>
      <c r="P116" s="45" t="str">
        <f t="shared" si="13"/>
        <v>OK</v>
      </c>
      <c r="Q116" s="159"/>
      <c r="R116" s="213">
        <f t="shared" si="16"/>
        <v>2095.96</v>
      </c>
      <c r="AA116" s="1">
        <f>IF(LEFT(N116,4)="1201",_xlfn.IFNA(VLOOKUP(B116,Production_Cost!$L:$P,2,FALSE),G116),IF(LEFT(N116,4)="1204",_xlfn.IFNA(VLOOKUP(B116,Production_Cost!$L:$P,3,FALSE),G116),IF(LEFT(N116,4)="1205",_xlfn.IFNA(VLOOKUP(B116,Production_Cost!$L:$P,4,FALSE),G116),IF(LEFT(N116,4)="1206",_xlfn.IFNA(VLOOKUP(B116,Production_Cost!$L:$P,5,FALSE),G116),"BU tidak sesuai"))))</f>
        <v>137.53</v>
      </c>
      <c r="AB116" s="1" t="str">
        <f t="shared" si="17"/>
        <v>1205-ENTERTAINMENT</v>
      </c>
    </row>
    <row r="117" spans="1:29">
      <c r="A117" s="61" t="s">
        <v>323</v>
      </c>
      <c r="B117" s="37" t="s">
        <v>91</v>
      </c>
      <c r="C117" s="61" t="s">
        <v>92</v>
      </c>
      <c r="D117" s="46" t="s">
        <v>23</v>
      </c>
      <c r="E117" s="46" t="s">
        <v>93</v>
      </c>
      <c r="F117" s="46"/>
      <c r="G117" s="164">
        <v>5157.3999999999996</v>
      </c>
      <c r="H117" s="164"/>
      <c r="I117" s="164">
        <f t="shared" si="18"/>
        <v>5157.3999999999996</v>
      </c>
      <c r="J117" s="50">
        <f>G117/VLOOKUP(A117,RESUME!$G$3:$I$10,3,FALSE)</f>
        <v>2.0810979339088584E-2</v>
      </c>
      <c r="K117" s="164">
        <f t="shared" si="14"/>
        <v>4125.92</v>
      </c>
      <c r="L117" s="164">
        <f t="shared" si="15"/>
        <v>5157.3999999999996</v>
      </c>
      <c r="M117" s="156">
        <f t="shared" si="11"/>
        <v>2.601372417386073E-2</v>
      </c>
      <c r="N117" s="49" t="str">
        <f>_xlfn.IFNA(VLOOKUP(A117&amp;"-"&amp;B117&amp;"-"&amp;D117,Ref_Account!$A:$F,6,FALSE),"ACCOUNT TIDAK DITEMUKAN")</f>
        <v>1205.801160</v>
      </c>
      <c r="O117" s="46">
        <f t="shared" si="19"/>
        <v>1</v>
      </c>
      <c r="P117" s="46" t="str">
        <f t="shared" si="13"/>
        <v>OK</v>
      </c>
      <c r="Q117" s="206"/>
      <c r="R117" s="213">
        <f t="shared" si="16"/>
        <v>15885.72</v>
      </c>
      <c r="AA117" s="1">
        <f>IF(LEFT(N117,4)="1201",_xlfn.IFNA(VLOOKUP(B117,Production_Cost!$L:$P,2,FALSE),G117),IF(LEFT(N117,4)="1204",_xlfn.IFNA(VLOOKUP(B117,Production_Cost!$L:$P,3,FALSE),G117),IF(LEFT(N117,4)="1205",_xlfn.IFNA(VLOOKUP(B117,Production_Cost!$L:$P,4,FALSE),G117),IF(LEFT(N117,4)="1206",_xlfn.IFNA(VLOOKUP(B117,Production_Cost!$L:$P,5,FALSE),G117),"BU tidak sesuai"))))</f>
        <v>0</v>
      </c>
      <c r="AB117" s="1" t="str">
        <f t="shared" si="17"/>
        <v>1205-JAMSOSTEK</v>
      </c>
    </row>
    <row r="118" spans="1:29">
      <c r="A118" s="60" t="s">
        <v>323</v>
      </c>
      <c r="B118" s="36" t="s">
        <v>100</v>
      </c>
      <c r="C118" s="60" t="s">
        <v>101</v>
      </c>
      <c r="D118" s="45" t="s">
        <v>23</v>
      </c>
      <c r="E118" s="45" t="s">
        <v>73</v>
      </c>
      <c r="F118" s="45"/>
      <c r="G118" s="163">
        <v>500</v>
      </c>
      <c r="H118" s="163"/>
      <c r="I118" s="163">
        <f t="shared" si="18"/>
        <v>500</v>
      </c>
      <c r="J118" s="48">
        <f>G118/VLOOKUP(A118,RESUME!$G$3:$I$10,3,FALSE)</f>
        <v>2.0175843776988971E-3</v>
      </c>
      <c r="K118" s="163">
        <f t="shared" si="14"/>
        <v>400</v>
      </c>
      <c r="L118" s="163">
        <f t="shared" si="15"/>
        <v>500</v>
      </c>
      <c r="M118" s="154">
        <f t="shared" si="11"/>
        <v>2.5219804721236215E-3</v>
      </c>
      <c r="N118" s="47" t="str">
        <f>_xlfn.IFNA(VLOOKUP(A118&amp;"-"&amp;B118&amp;"-"&amp;D118,Ref_Account!$A:$F,6,FALSE),"ACCOUNT TIDAK DITEMUKAN")</f>
        <v>1205.630710</v>
      </c>
      <c r="O118" s="45">
        <f t="shared" si="19"/>
        <v>1</v>
      </c>
      <c r="P118" s="45" t="str">
        <f t="shared" si="13"/>
        <v>OK</v>
      </c>
      <c r="Q118" s="159"/>
      <c r="R118" s="213">
        <f t="shared" si="16"/>
        <v>1800</v>
      </c>
      <c r="AA118" s="1">
        <f>IF(LEFT(N118,4)="1201",_xlfn.IFNA(VLOOKUP(B118,Production_Cost!$L:$P,2,FALSE),G118),IF(LEFT(N118,4)="1204",_xlfn.IFNA(VLOOKUP(B118,Production_Cost!$L:$P,3,FALSE),G118),IF(LEFT(N118,4)="1205",_xlfn.IFNA(VLOOKUP(B118,Production_Cost!$L:$P,4,FALSE),G118),IF(LEFT(N118,4)="1206",_xlfn.IFNA(VLOOKUP(B118,Production_Cost!$L:$P,5,FALSE),G118),"BU tidak sesuai"))))</f>
        <v>500</v>
      </c>
      <c r="AB118" s="1" t="str">
        <f t="shared" si="17"/>
        <v>1205-MAINT.&amp;REP.BUILDING</v>
      </c>
    </row>
    <row r="119" spans="1:29">
      <c r="A119" s="61" t="s">
        <v>323</v>
      </c>
      <c r="B119" s="37" t="s">
        <v>112</v>
      </c>
      <c r="C119" s="61" t="s">
        <v>113</v>
      </c>
      <c r="D119" s="46" t="s">
        <v>23</v>
      </c>
      <c r="E119" s="46" t="s">
        <v>73</v>
      </c>
      <c r="F119" s="46"/>
      <c r="G119" s="164">
        <v>250</v>
      </c>
      <c r="H119" s="164"/>
      <c r="I119" s="164">
        <f t="shared" si="18"/>
        <v>250</v>
      </c>
      <c r="J119" s="50">
        <f>G119/VLOOKUP(A119,RESUME!$G$3:$I$10,3,FALSE)</f>
        <v>1.0087921888494486E-3</v>
      </c>
      <c r="K119" s="164">
        <f t="shared" si="14"/>
        <v>200</v>
      </c>
      <c r="L119" s="164">
        <f t="shared" si="15"/>
        <v>250</v>
      </c>
      <c r="M119" s="156">
        <f t="shared" si="11"/>
        <v>1.2609902360618108E-3</v>
      </c>
      <c r="N119" s="49" t="str">
        <f>_xlfn.IFNA(VLOOKUP(A119&amp;"-"&amp;B119&amp;"-"&amp;D119,Ref_Account!$A:$F,6,FALSE),"ACCOUNT TIDAK DITEMUKAN")</f>
        <v>1205.630740</v>
      </c>
      <c r="O119" s="46">
        <f t="shared" si="19"/>
        <v>1</v>
      </c>
      <c r="P119" s="46" t="str">
        <f t="shared" si="13"/>
        <v>OK</v>
      </c>
      <c r="Q119" s="206"/>
      <c r="R119" s="213">
        <f t="shared" si="16"/>
        <v>700</v>
      </c>
      <c r="AA119" s="1">
        <f>IF(LEFT(N119,4)="1201",_xlfn.IFNA(VLOOKUP(B119,Production_Cost!$L:$P,2,FALSE),G119),IF(LEFT(N119,4)="1204",_xlfn.IFNA(VLOOKUP(B119,Production_Cost!$L:$P,3,FALSE),G119),IF(LEFT(N119,4)="1205",_xlfn.IFNA(VLOOKUP(B119,Production_Cost!$L:$P,4,FALSE),G119),IF(LEFT(N119,4)="1206",_xlfn.IFNA(VLOOKUP(B119,Production_Cost!$L:$P,5,FALSE),G119),"BU tidak sesuai"))))</f>
        <v>250</v>
      </c>
      <c r="AB119" s="1" t="str">
        <f t="shared" si="17"/>
        <v>1205-MAINT.&amp;REP.WATERINSTL.</v>
      </c>
    </row>
    <row r="120" spans="1:29">
      <c r="A120" s="60" t="s">
        <v>323</v>
      </c>
      <c r="B120" s="36" t="s">
        <v>116</v>
      </c>
      <c r="C120" s="60" t="s">
        <v>117</v>
      </c>
      <c r="D120" s="45" t="s">
        <v>23</v>
      </c>
      <c r="E120" s="45" t="s">
        <v>93</v>
      </c>
      <c r="F120" s="45"/>
      <c r="G120" s="163">
        <v>3183.98</v>
      </c>
      <c r="H120" s="163">
        <v>3929.89</v>
      </c>
      <c r="I120" s="163">
        <f t="shared" si="18"/>
        <v>-745.90999999999985</v>
      </c>
      <c r="J120" s="48">
        <f>G120/VLOOKUP(A120,RESUME!$G$3:$I$10,3,FALSE)</f>
        <v>1.284789661381147E-2</v>
      </c>
      <c r="K120" s="163">
        <f t="shared" si="14"/>
        <v>2547.1840000000002</v>
      </c>
      <c r="L120" s="163">
        <f t="shared" si="15"/>
        <v>3183.98</v>
      </c>
      <c r="M120" s="154">
        <f t="shared" si="11"/>
        <v>0</v>
      </c>
      <c r="N120" s="47" t="str">
        <f>_xlfn.IFNA(VLOOKUP(A120&amp;"-"&amp;B120&amp;"-"&amp;D120,Ref_Account!$A:$F,6,FALSE),"ACCOUNT TIDAK DITEMUKAN")</f>
        <v>1205.630130</v>
      </c>
      <c r="O120" s="45">
        <f t="shared" si="19"/>
        <v>1</v>
      </c>
      <c r="P120" s="45" t="str">
        <f t="shared" si="13"/>
        <v>OVER</v>
      </c>
      <c r="Q120" s="159"/>
      <c r="R120" s="213">
        <f t="shared" si="16"/>
        <v>12443.98</v>
      </c>
      <c r="AA120" s="1">
        <f>IF(LEFT(N120,4)="1201",_xlfn.IFNA(VLOOKUP(B120,Production_Cost!$L:$P,2,FALSE),G120),IF(LEFT(N120,4)="1204",_xlfn.IFNA(VLOOKUP(B120,Production_Cost!$L:$P,3,FALSE),G120),IF(LEFT(N120,4)="1205",_xlfn.IFNA(VLOOKUP(B120,Production_Cost!$L:$P,4,FALSE),G120),IF(LEFT(N120,4)="1206",_xlfn.IFNA(VLOOKUP(B120,Production_Cost!$L:$P,5,FALSE),G120),"BU tidak sesuai"))))</f>
        <v>3929.89</v>
      </c>
      <c r="AB120" s="1" t="str">
        <f t="shared" si="17"/>
        <v>1205-MEDICAL ALLOWANCE</v>
      </c>
      <c r="AC120" s="1">
        <v>3929.89</v>
      </c>
    </row>
    <row r="121" spans="1:29">
      <c r="A121" s="61" t="s">
        <v>323</v>
      </c>
      <c r="B121" s="37" t="s">
        <v>128</v>
      </c>
      <c r="C121" s="61" t="s">
        <v>140</v>
      </c>
      <c r="D121" s="46" t="s">
        <v>23</v>
      </c>
      <c r="E121" s="46" t="s">
        <v>73</v>
      </c>
      <c r="F121" s="46"/>
      <c r="G121" s="164">
        <v>126.99</v>
      </c>
      <c r="H121" s="164"/>
      <c r="I121" s="164">
        <f t="shared" si="18"/>
        <v>126.99</v>
      </c>
      <c r="J121" s="50">
        <f>G121/VLOOKUP(A121,RESUME!$G$3:$I$10,3,FALSE)</f>
        <v>5.124260802479659E-4</v>
      </c>
      <c r="K121" s="164">
        <f t="shared" si="14"/>
        <v>101.592</v>
      </c>
      <c r="L121" s="164">
        <f t="shared" si="15"/>
        <v>126.99</v>
      </c>
      <c r="M121" s="156">
        <f t="shared" si="11"/>
        <v>6.4053260030995742E-4</v>
      </c>
      <c r="N121" s="49" t="str">
        <f>_xlfn.IFNA(VLOOKUP(A121&amp;"-"&amp;B121&amp;"-"&amp;D121,Ref_Account!$A:$F,6,FALSE),"ACCOUNT TIDAK DITEMUKAN")</f>
        <v>1205.815110</v>
      </c>
      <c r="O121" s="46">
        <f t="shared" si="19"/>
        <v>1</v>
      </c>
      <c r="P121" s="46" t="str">
        <f t="shared" si="13"/>
        <v>OK</v>
      </c>
      <c r="Q121" s="206"/>
      <c r="R121" s="213">
        <f t="shared" si="16"/>
        <v>1682.6100000000001</v>
      </c>
      <c r="AA121" s="1">
        <f>IF(LEFT(N121,4)="1201",_xlfn.IFNA(VLOOKUP(B121,Production_Cost!$L:$P,2,FALSE),G121),IF(LEFT(N121,4)="1204",_xlfn.IFNA(VLOOKUP(B121,Production_Cost!$L:$P,3,FALSE),G121),IF(LEFT(N121,4)="1205",_xlfn.IFNA(VLOOKUP(B121,Production_Cost!$L:$P,4,FALSE),G121),IF(LEFT(N121,4)="1206",_xlfn.IFNA(VLOOKUP(B121,Production_Cost!$L:$P,5,FALSE),G121),"BU tidak sesuai"))))</f>
        <v>126.99</v>
      </c>
      <c r="AB121" s="1" t="str">
        <f t="shared" si="17"/>
        <v>1205-RENT EXPENSES BUILDING</v>
      </c>
    </row>
    <row r="122" spans="1:29">
      <c r="A122" s="60" t="s">
        <v>323</v>
      </c>
      <c r="B122" s="36" t="s">
        <v>20</v>
      </c>
      <c r="C122" s="60" t="s">
        <v>150</v>
      </c>
      <c r="D122" s="45" t="s">
        <v>23</v>
      </c>
      <c r="E122" s="45" t="s">
        <v>73</v>
      </c>
      <c r="F122" s="45"/>
      <c r="G122" s="163">
        <v>754.58</v>
      </c>
      <c r="H122" s="163"/>
      <c r="I122" s="163">
        <f t="shared" si="18"/>
        <v>754.58</v>
      </c>
      <c r="J122" s="48">
        <f>G122/VLOOKUP(A122,RESUME!$G$3:$I$10,3,FALSE)</f>
        <v>3.0448576394480681E-3</v>
      </c>
      <c r="K122" s="163">
        <f t="shared" si="14"/>
        <v>603.6640000000001</v>
      </c>
      <c r="L122" s="163">
        <f t="shared" si="15"/>
        <v>754.58</v>
      </c>
      <c r="M122" s="154">
        <f t="shared" si="11"/>
        <v>3.8060720493100844E-3</v>
      </c>
      <c r="N122" s="47" t="str">
        <f>_xlfn.IFNA(VLOOKUP(A122&amp;"-"&amp;B122&amp;"-"&amp;D122,Ref_Account!$A:$F,6,FALSE),"ACCOUNT TIDAK DITEMUKAN")</f>
        <v>1205.631100</v>
      </c>
      <c r="O122" s="45">
        <f t="shared" si="19"/>
        <v>3</v>
      </c>
      <c r="P122" s="45" t="str">
        <f t="shared" si="13"/>
        <v>OK</v>
      </c>
      <c r="Q122" s="159"/>
      <c r="R122" s="213">
        <f t="shared" si="16"/>
        <v>37855.32</v>
      </c>
      <c r="AA122" s="1">
        <f>IF(LEFT(N122,4)="1201",_xlfn.IFNA(VLOOKUP(B122,Production_Cost!$L:$P,2,FALSE),G122),IF(LEFT(N122,4)="1204",_xlfn.IFNA(VLOOKUP(B122,Production_Cost!$L:$P,3,FALSE),G122),IF(LEFT(N122,4)="1205",_xlfn.IFNA(VLOOKUP(B122,Production_Cost!$L:$P,4,FALSE),G122),IF(LEFT(N122,4)="1206",_xlfn.IFNA(VLOOKUP(B122,Production_Cost!$L:$P,5,FALSE),G122),"BU tidak sesuai"))))</f>
        <v>754.58</v>
      </c>
      <c r="AB122" s="1" t="str">
        <f t="shared" si="17"/>
        <v>1205-OTHER PRODUCTION COST</v>
      </c>
    </row>
    <row r="123" spans="1:29">
      <c r="A123" s="61" t="s">
        <v>323</v>
      </c>
      <c r="B123" s="37" t="s">
        <v>68</v>
      </c>
      <c r="C123" s="61" t="s">
        <v>69</v>
      </c>
      <c r="D123" s="46" t="s">
        <v>23</v>
      </c>
      <c r="E123" s="46" t="s">
        <v>70</v>
      </c>
      <c r="F123" s="46"/>
      <c r="G123" s="164">
        <v>6722.26</v>
      </c>
      <c r="H123" s="164">
        <v>3755.27</v>
      </c>
      <c r="I123" s="164">
        <f t="shared" si="18"/>
        <v>2966.9900000000002</v>
      </c>
      <c r="J123" s="50">
        <f>G123/VLOOKUP(A123,RESUME!$G$3:$I$10,3,FALSE)</f>
        <v>2.7125453517660381E-2</v>
      </c>
      <c r="K123" s="164">
        <f t="shared" si="14"/>
        <v>5377.8080000000009</v>
      </c>
      <c r="L123" s="164">
        <f t="shared" si="15"/>
        <v>6722.26</v>
      </c>
      <c r="M123" s="156">
        <f t="shared" si="11"/>
        <v>3.3906816897075469E-2</v>
      </c>
      <c r="N123" s="49" t="str">
        <f>_xlfn.IFNA(VLOOKUP(A123&amp;"-"&amp;B123&amp;"-"&amp;D123,Ref_Account!$A:$F,6,FALSE),"ACCOUNT TIDAK DITEMUKAN")</f>
        <v>1205.812100</v>
      </c>
      <c r="O123" s="46">
        <f t="shared" si="19"/>
        <v>1</v>
      </c>
      <c r="P123" s="46" t="str">
        <f t="shared" si="13"/>
        <v>OK</v>
      </c>
      <c r="Q123" s="206"/>
      <c r="R123" s="213">
        <f t="shared" si="16"/>
        <v>22313.170000000002</v>
      </c>
      <c r="AA123" s="1">
        <f>IF(LEFT(N123,4)="1201",_xlfn.IFNA(VLOOKUP(B123,Production_Cost!$L:$P,2,FALSE),G123),IF(LEFT(N123,4)="1204",_xlfn.IFNA(VLOOKUP(B123,Production_Cost!$L:$P,3,FALSE),G123),IF(LEFT(N123,4)="1205",_xlfn.IFNA(VLOOKUP(B123,Production_Cost!$L:$P,4,FALSE),G123),IF(LEFT(N123,4)="1206",_xlfn.IFNA(VLOOKUP(B123,Production_Cost!$L:$P,5,FALSE),G123),"BU tidak sesuai"))))</f>
        <v>3755.27</v>
      </c>
      <c r="AB123" s="1" t="str">
        <f t="shared" si="17"/>
        <v>1205-BUSINESS TRIP EXPENSES</v>
      </c>
      <c r="AC123" s="1">
        <v>3755.27</v>
      </c>
    </row>
    <row r="124" spans="1:29">
      <c r="A124" s="60" t="s">
        <v>323</v>
      </c>
      <c r="B124" s="36" t="s">
        <v>74</v>
      </c>
      <c r="C124" s="60" t="s">
        <v>75</v>
      </c>
      <c r="D124" s="45" t="s">
        <v>23</v>
      </c>
      <c r="E124" s="45" t="s">
        <v>73</v>
      </c>
      <c r="F124" s="45"/>
      <c r="G124" s="163">
        <v>5152.29</v>
      </c>
      <c r="H124" s="163">
        <v>4098.6000000000004</v>
      </c>
      <c r="I124" s="163">
        <f t="shared" si="18"/>
        <v>1053.6899999999996</v>
      </c>
      <c r="J124" s="48">
        <f>G124/VLOOKUP(A124,RESUME!$G$3:$I$10,3,FALSE)</f>
        <v>2.0790359626748502E-2</v>
      </c>
      <c r="K124" s="163">
        <f t="shared" si="14"/>
        <v>4121.8320000000003</v>
      </c>
      <c r="L124" s="163">
        <f t="shared" si="15"/>
        <v>5152.29</v>
      </c>
      <c r="M124" s="154">
        <f t="shared" si="11"/>
        <v>2.5987949533435625E-2</v>
      </c>
      <c r="N124" s="47" t="str">
        <f>_xlfn.IFNA(VLOOKUP(A124&amp;"-"&amp;B124&amp;"-"&amp;D124,Ref_Account!$A:$F,6,FALSE),"ACCOUNT TIDAK DITEMUKAN")</f>
        <v>1205.630400</v>
      </c>
      <c r="O124" s="45">
        <f t="shared" si="19"/>
        <v>1</v>
      </c>
      <c r="P124" s="45" t="str">
        <f t="shared" si="13"/>
        <v>OK</v>
      </c>
      <c r="Q124" s="159"/>
      <c r="R124" s="213">
        <f t="shared" si="16"/>
        <v>15561.89</v>
      </c>
      <c r="AA124" s="1">
        <f>IF(LEFT(N124,4)="1201",_xlfn.IFNA(VLOOKUP(B124,Production_Cost!$L:$P,2,FALSE),G124),IF(LEFT(N124,4)="1204",_xlfn.IFNA(VLOOKUP(B124,Production_Cost!$L:$P,3,FALSE),G124),IF(LEFT(N124,4)="1205",_xlfn.IFNA(VLOOKUP(B124,Production_Cost!$L:$P,4,FALSE),G124),IF(LEFT(N124,4)="1206",_xlfn.IFNA(VLOOKUP(B124,Production_Cost!$L:$P,5,FALSE),G124),"BU tidak sesuai"))))</f>
        <v>4098.6000000000004</v>
      </c>
      <c r="AB124" s="1" t="str">
        <f t="shared" si="17"/>
        <v>1205-ELECTRICITY</v>
      </c>
      <c r="AC124" s="1">
        <v>4098.6000000000004</v>
      </c>
    </row>
    <row r="125" spans="1:29">
      <c r="A125" s="61" t="s">
        <v>323</v>
      </c>
      <c r="B125" s="37" t="s">
        <v>78</v>
      </c>
      <c r="C125" s="61" t="s">
        <v>79</v>
      </c>
      <c r="D125" s="46" t="s">
        <v>23</v>
      </c>
      <c r="E125" s="46" t="s">
        <v>151</v>
      </c>
      <c r="F125" s="46"/>
      <c r="G125" s="164">
        <v>3188</v>
      </c>
      <c r="H125" s="164">
        <v>779.6</v>
      </c>
      <c r="I125" s="164">
        <f t="shared" si="18"/>
        <v>2408.4</v>
      </c>
      <c r="J125" s="50">
        <f>G125/VLOOKUP(A125,RESUME!$G$3:$I$10,3,FALSE)</f>
        <v>1.2864117992208169E-2</v>
      </c>
      <c r="K125" s="164">
        <f t="shared" si="14"/>
        <v>2550.4</v>
      </c>
      <c r="L125" s="164">
        <f t="shared" si="15"/>
        <v>3188</v>
      </c>
      <c r="M125" s="156">
        <f t="shared" si="11"/>
        <v>1.608014749026021E-2</v>
      </c>
      <c r="N125" s="49" t="str">
        <f>_xlfn.IFNA(VLOOKUP(A125&amp;"-"&amp;B125&amp;"-"&amp;D125,Ref_Account!$A:$F,6,FALSE),"ACCOUNT TIDAK DITEMUKAN")</f>
        <v>1205.630300</v>
      </c>
      <c r="O125" s="46">
        <f t="shared" si="19"/>
        <v>1</v>
      </c>
      <c r="P125" s="46" t="str">
        <f t="shared" si="13"/>
        <v>OK</v>
      </c>
      <c r="Q125" s="206"/>
      <c r="R125" s="213">
        <f t="shared" si="16"/>
        <v>5882</v>
      </c>
      <c r="AA125" s="1">
        <f>IF(LEFT(N125,4)="1201",_xlfn.IFNA(VLOOKUP(B125,Production_Cost!$L:$P,2,FALSE),G125),IF(LEFT(N125,4)="1204",_xlfn.IFNA(VLOOKUP(B125,Production_Cost!$L:$P,3,FALSE),G125),IF(LEFT(N125,4)="1205",_xlfn.IFNA(VLOOKUP(B125,Production_Cost!$L:$P,4,FALSE),G125),IF(LEFT(N125,4)="1206",_xlfn.IFNA(VLOOKUP(B125,Production_Cost!$L:$P,5,FALSE),G125),"BU tidak sesuai"))))</f>
        <v>3645.15</v>
      </c>
      <c r="AB125" s="1" t="str">
        <f t="shared" si="17"/>
        <v>1205-FACTORY SUPPLIES EXPENSE</v>
      </c>
      <c r="AC125" s="1">
        <v>779.6</v>
      </c>
    </row>
    <row r="126" spans="1:29">
      <c r="A126" s="60" t="s">
        <v>323</v>
      </c>
      <c r="B126" s="36" t="s">
        <v>152</v>
      </c>
      <c r="C126" s="60" t="s">
        <v>82</v>
      </c>
      <c r="D126" s="45" t="s">
        <v>23</v>
      </c>
      <c r="E126" s="45" t="s">
        <v>73</v>
      </c>
      <c r="F126" s="45"/>
      <c r="G126" s="163">
        <v>2043.4899999999998</v>
      </c>
      <c r="H126" s="163"/>
      <c r="I126" s="163">
        <f t="shared" si="18"/>
        <v>2043.4899999999998</v>
      </c>
      <c r="J126" s="48">
        <f>G126/VLOOKUP(A126,RESUME!$G$3:$I$10,3,FALSE)</f>
        <v>8.2458269999678389E-3</v>
      </c>
      <c r="K126" s="163">
        <f t="shared" si="14"/>
        <v>1634.7919999999999</v>
      </c>
      <c r="L126" s="163">
        <f t="shared" si="15"/>
        <v>2043.4899999999998</v>
      </c>
      <c r="M126" s="154">
        <f t="shared" si="11"/>
        <v>1.03072837499598E-2</v>
      </c>
      <c r="N126" s="47" t="str">
        <f>_xlfn.IFNA(VLOOKUP(A126&amp;"-"&amp;B126&amp;"-"&amp;D126,Ref_Account!$A:$F,6,FALSE),"ACCOUNT TIDAK DITEMUKAN")</f>
        <v>1205.630200</v>
      </c>
      <c r="O126" s="45">
        <f t="shared" si="19"/>
        <v>1</v>
      </c>
      <c r="P126" s="45" t="str">
        <f t="shared" si="13"/>
        <v>OK</v>
      </c>
      <c r="Q126" s="159"/>
      <c r="R126" s="213">
        <f t="shared" si="16"/>
        <v>7778.87</v>
      </c>
      <c r="AA126" s="1">
        <f>IF(LEFT(N126,4)="1201",_xlfn.IFNA(VLOOKUP(B126,Production_Cost!$L:$P,2,FALSE),G126),IF(LEFT(N126,4)="1204",_xlfn.IFNA(VLOOKUP(B126,Production_Cost!$L:$P,3,FALSE),G126),IF(LEFT(N126,4)="1205",_xlfn.IFNA(VLOOKUP(B126,Production_Cost!$L:$P,4,FALSE),G126),IF(LEFT(N126,4)="1206",_xlfn.IFNA(VLOOKUP(B126,Production_Cost!$L:$P,5,FALSE),G126),"BU tidak sesuai"))))</f>
        <v>0</v>
      </c>
      <c r="AB126" s="1" t="str">
        <f t="shared" si="17"/>
        <v>1205-FARE ALLOWANCE</v>
      </c>
    </row>
    <row r="127" spans="1:29">
      <c r="A127" s="61" t="s">
        <v>323</v>
      </c>
      <c r="B127" s="37" t="s">
        <v>94</v>
      </c>
      <c r="C127" s="61" t="s">
        <v>95</v>
      </c>
      <c r="D127" s="46" t="s">
        <v>23</v>
      </c>
      <c r="E127" s="46" t="s">
        <v>153</v>
      </c>
      <c r="F127" s="46"/>
      <c r="G127" s="164">
        <v>78109.679999999993</v>
      </c>
      <c r="H127" s="164">
        <v>901.67</v>
      </c>
      <c r="I127" s="164">
        <f t="shared" si="18"/>
        <v>77208.009999999995</v>
      </c>
      <c r="J127" s="50">
        <f>G127/VLOOKUP(A127,RESUME!$G$3:$I$10,3,FALSE)</f>
        <v>0.31518574023011997</v>
      </c>
      <c r="K127" s="164">
        <f t="shared" si="14"/>
        <v>62487.743999999999</v>
      </c>
      <c r="L127" s="164">
        <f t="shared" si="15"/>
        <v>78109.679999999993</v>
      </c>
      <c r="M127" s="156">
        <f t="shared" si="11"/>
        <v>0.39398217528764995</v>
      </c>
      <c r="N127" s="49" t="str">
        <f>_xlfn.IFNA(VLOOKUP(A127&amp;"-"&amp;B127&amp;"-"&amp;D127,Ref_Account!$A:$F,6,FALSE),"ACCOUNT TIDAK DITEMUKAN")</f>
        <v>1205.630110</v>
      </c>
      <c r="O127" s="46">
        <f t="shared" si="19"/>
        <v>1</v>
      </c>
      <c r="P127" s="46" t="str">
        <f t="shared" si="13"/>
        <v>OK</v>
      </c>
      <c r="Q127" s="206"/>
      <c r="R127" s="213">
        <f t="shared" si="16"/>
        <v>260250</v>
      </c>
      <c r="AA127" s="1">
        <f>IF(LEFT(N127,4)="1201",_xlfn.IFNA(VLOOKUP(B127,Production_Cost!$L:$P,2,FALSE),G127),IF(LEFT(N127,4)="1204",_xlfn.IFNA(VLOOKUP(B127,Production_Cost!$L:$P,3,FALSE),G127),IF(LEFT(N127,4)="1205",_xlfn.IFNA(VLOOKUP(B127,Production_Cost!$L:$P,4,FALSE),G127),IF(LEFT(N127,4)="1206",_xlfn.IFNA(VLOOKUP(B127,Production_Cost!$L:$P,5,FALSE),G127),"BU tidak sesuai"))))</f>
        <v>901.67</v>
      </c>
      <c r="AB127" s="1" t="str">
        <f t="shared" si="17"/>
        <v>1205-LABOR COST</v>
      </c>
      <c r="AC127" s="1">
        <v>901.67</v>
      </c>
    </row>
    <row r="128" spans="1:29">
      <c r="A128" s="60" t="s">
        <v>323</v>
      </c>
      <c r="B128" s="36" t="s">
        <v>102</v>
      </c>
      <c r="C128" s="60" t="s">
        <v>103</v>
      </c>
      <c r="D128" s="45" t="s">
        <v>23</v>
      </c>
      <c r="E128" s="45" t="s">
        <v>151</v>
      </c>
      <c r="F128" s="45"/>
      <c r="G128" s="163">
        <v>250</v>
      </c>
      <c r="H128" s="163"/>
      <c r="I128" s="163">
        <f t="shared" si="18"/>
        <v>250</v>
      </c>
      <c r="J128" s="48">
        <f>G128/VLOOKUP(A128,RESUME!$G$3:$I$10,3,FALSE)</f>
        <v>1.0087921888494486E-3</v>
      </c>
      <c r="K128" s="163">
        <f t="shared" si="14"/>
        <v>200</v>
      </c>
      <c r="L128" s="163">
        <f t="shared" si="15"/>
        <v>250</v>
      </c>
      <c r="M128" s="154">
        <f t="shared" si="11"/>
        <v>1.2609902360618108E-3</v>
      </c>
      <c r="N128" s="47" t="str">
        <f>_xlfn.IFNA(VLOOKUP(A128&amp;"-"&amp;B128&amp;"-"&amp;D128,Ref_Account!$A:$F,6,FALSE),"ACCOUNT TIDAK DITEMUKAN")</f>
        <v>1205.630770</v>
      </c>
      <c r="O128" s="45">
        <f t="shared" si="19"/>
        <v>1</v>
      </c>
      <c r="P128" s="45" t="str">
        <f t="shared" si="13"/>
        <v>OK</v>
      </c>
      <c r="Q128" s="159"/>
      <c r="R128" s="213">
        <f t="shared" si="16"/>
        <v>700</v>
      </c>
      <c r="AA128" s="1">
        <f>IF(LEFT(N128,4)="1201",_xlfn.IFNA(VLOOKUP(B128,Production_Cost!$L:$P,2,FALSE),G128),IF(LEFT(N128,4)="1204",_xlfn.IFNA(VLOOKUP(B128,Production_Cost!$L:$P,3,FALSE),G128),IF(LEFT(N128,4)="1205",_xlfn.IFNA(VLOOKUP(B128,Production_Cost!$L:$P,4,FALSE),G128),IF(LEFT(N128,4)="1206",_xlfn.IFNA(VLOOKUP(B128,Production_Cost!$L:$P,5,FALSE),G128),"BU tidak sesuai"))))</f>
        <v>250</v>
      </c>
      <c r="AB128" s="1" t="str">
        <f t="shared" si="17"/>
        <v>1205-MAINT.&amp;REP.ELECTRICITY</v>
      </c>
    </row>
    <row r="129" spans="1:29">
      <c r="A129" s="61" t="s">
        <v>323</v>
      </c>
      <c r="B129" s="37" t="s">
        <v>104</v>
      </c>
      <c r="C129" s="61" t="s">
        <v>105</v>
      </c>
      <c r="D129" s="46" t="s">
        <v>23</v>
      </c>
      <c r="E129" s="46" t="s">
        <v>151</v>
      </c>
      <c r="F129" s="46"/>
      <c r="G129" s="164">
        <v>250</v>
      </c>
      <c r="H129" s="164"/>
      <c r="I129" s="164">
        <f t="shared" si="18"/>
        <v>250</v>
      </c>
      <c r="J129" s="50">
        <f>G129/VLOOKUP(A129,RESUME!$G$3:$I$10,3,FALSE)</f>
        <v>1.0087921888494486E-3</v>
      </c>
      <c r="K129" s="164">
        <f t="shared" si="14"/>
        <v>200</v>
      </c>
      <c r="L129" s="164">
        <f t="shared" si="15"/>
        <v>250</v>
      </c>
      <c r="M129" s="156">
        <f t="shared" si="11"/>
        <v>1.2609902360618108E-3</v>
      </c>
      <c r="N129" s="49" t="str">
        <f>_xlfn.IFNA(VLOOKUP(A129&amp;"-"&amp;B129&amp;"-"&amp;D129,Ref_Account!$A:$F,6,FALSE),"ACCOUNT TIDAK DITEMUKAN")</f>
        <v>1205.630750</v>
      </c>
      <c r="O129" s="46">
        <f t="shared" si="19"/>
        <v>1</v>
      </c>
      <c r="P129" s="46" t="str">
        <f t="shared" si="13"/>
        <v>OK</v>
      </c>
      <c r="Q129" s="206"/>
      <c r="R129" s="213">
        <f t="shared" si="16"/>
        <v>700</v>
      </c>
      <c r="AA129" s="1">
        <f>IF(LEFT(N129,4)="1201",_xlfn.IFNA(VLOOKUP(B129,Production_Cost!$L:$P,2,FALSE),G129),IF(LEFT(N129,4)="1204",_xlfn.IFNA(VLOOKUP(B129,Production_Cost!$L:$P,3,FALSE),G129),IF(LEFT(N129,4)="1205",_xlfn.IFNA(VLOOKUP(B129,Production_Cost!$L:$P,4,FALSE),G129),IF(LEFT(N129,4)="1206",_xlfn.IFNA(VLOOKUP(B129,Production_Cost!$L:$P,5,FALSE),G129),"BU tidak sesuai"))))</f>
        <v>250</v>
      </c>
      <c r="AB129" s="1" t="str">
        <f t="shared" si="17"/>
        <v>1205-MAINT.&amp;REP.GEN&amp;BOILER</v>
      </c>
    </row>
    <row r="130" spans="1:29">
      <c r="A130" s="60" t="s">
        <v>323</v>
      </c>
      <c r="B130" s="36" t="s">
        <v>106</v>
      </c>
      <c r="C130" s="60" t="s">
        <v>107</v>
      </c>
      <c r="D130" s="45" t="s">
        <v>23</v>
      </c>
      <c r="E130" s="45" t="s">
        <v>151</v>
      </c>
      <c r="F130" s="45"/>
      <c r="G130" s="163">
        <v>250</v>
      </c>
      <c r="H130" s="163"/>
      <c r="I130" s="163">
        <f t="shared" si="18"/>
        <v>250</v>
      </c>
      <c r="J130" s="48">
        <f>G130/VLOOKUP(A130,RESUME!$G$3:$I$10,3,FALSE)</f>
        <v>1.0087921888494486E-3</v>
      </c>
      <c r="K130" s="163">
        <f t="shared" si="14"/>
        <v>200</v>
      </c>
      <c r="L130" s="163">
        <f t="shared" si="15"/>
        <v>250</v>
      </c>
      <c r="M130" s="154">
        <f t="shared" si="11"/>
        <v>1.2609902360618108E-3</v>
      </c>
      <c r="N130" s="47" t="str">
        <f>_xlfn.IFNA(VLOOKUP(A130&amp;"-"&amp;B130&amp;"-"&amp;D130,Ref_Account!$A:$F,6,FALSE),"ACCOUNT TIDAK DITEMUKAN")</f>
        <v>1205.630720</v>
      </c>
      <c r="O130" s="45">
        <f t="shared" si="19"/>
        <v>1</v>
      </c>
      <c r="P130" s="45" t="str">
        <f t="shared" si="13"/>
        <v>OK</v>
      </c>
      <c r="Q130" s="159"/>
      <c r="R130" s="213">
        <f t="shared" si="16"/>
        <v>700</v>
      </c>
      <c r="AA130" s="1">
        <f>IF(LEFT(N130,4)="1201",_xlfn.IFNA(VLOOKUP(B130,Production_Cost!$L:$P,2,FALSE),G130),IF(LEFT(N130,4)="1204",_xlfn.IFNA(VLOOKUP(B130,Production_Cost!$L:$P,3,FALSE),G130),IF(LEFT(N130,4)="1205",_xlfn.IFNA(VLOOKUP(B130,Production_Cost!$L:$P,4,FALSE),G130),IF(LEFT(N130,4)="1206",_xlfn.IFNA(VLOOKUP(B130,Production_Cost!$L:$P,5,FALSE),G130),"BU tidak sesuai"))))</f>
        <v>250</v>
      </c>
      <c r="AB130" s="1" t="str">
        <f t="shared" si="17"/>
        <v>1205-MAINT.&amp;REP.MACHINERIE</v>
      </c>
    </row>
    <row r="131" spans="1:29">
      <c r="A131" s="61" t="s">
        <v>323</v>
      </c>
      <c r="B131" s="37" t="s">
        <v>110</v>
      </c>
      <c r="C131" s="61" t="s">
        <v>111</v>
      </c>
      <c r="D131" s="46" t="s">
        <v>23</v>
      </c>
      <c r="E131" s="46" t="s">
        <v>151</v>
      </c>
      <c r="F131" s="46"/>
      <c r="G131" s="164">
        <v>250</v>
      </c>
      <c r="H131" s="164"/>
      <c r="I131" s="164">
        <f t="shared" si="18"/>
        <v>250</v>
      </c>
      <c r="J131" s="50">
        <f>G131/VLOOKUP(A131,RESUME!$G$3:$I$10,3,FALSE)</f>
        <v>1.0087921888494486E-3</v>
      </c>
      <c r="K131" s="164">
        <f t="shared" si="14"/>
        <v>200</v>
      </c>
      <c r="L131" s="164">
        <f t="shared" si="15"/>
        <v>250</v>
      </c>
      <c r="M131" s="156">
        <f t="shared" si="11"/>
        <v>1.2609902360618108E-3</v>
      </c>
      <c r="N131" s="49" t="str">
        <f>_xlfn.IFNA(VLOOKUP(A131&amp;"-"&amp;B131&amp;"-"&amp;D131,Ref_Account!$A:$F,6,FALSE),"ACCOUNT TIDAK DITEMUKAN")</f>
        <v>1205.630730</v>
      </c>
      <c r="O131" s="46">
        <f t="shared" si="19"/>
        <v>1</v>
      </c>
      <c r="P131" s="46" t="str">
        <f t="shared" si="13"/>
        <v>OK</v>
      </c>
      <c r="Q131" s="206"/>
      <c r="R131" s="213">
        <f t="shared" si="16"/>
        <v>700</v>
      </c>
      <c r="AA131" s="1">
        <f>IF(LEFT(N131,4)="1201",_xlfn.IFNA(VLOOKUP(B131,Production_Cost!$L:$P,2,FALSE),G131),IF(LEFT(N131,4)="1204",_xlfn.IFNA(VLOOKUP(B131,Production_Cost!$L:$P,3,FALSE),G131),IF(LEFT(N131,4)="1205",_xlfn.IFNA(VLOOKUP(B131,Production_Cost!$L:$P,4,FALSE),G131),IF(LEFT(N131,4)="1206",_xlfn.IFNA(VLOOKUP(B131,Production_Cost!$L:$P,5,FALSE),G131),"BU tidak sesuai"))))</f>
        <v>250</v>
      </c>
      <c r="AB131" s="1" t="str">
        <f t="shared" si="17"/>
        <v>1205-MAINT.&amp;REP.PLANTEQUI</v>
      </c>
    </row>
    <row r="132" spans="1:29">
      <c r="A132" s="60" t="s">
        <v>323</v>
      </c>
      <c r="B132" s="36" t="s">
        <v>144</v>
      </c>
      <c r="C132" s="60" t="s">
        <v>145</v>
      </c>
      <c r="D132" s="45" t="s">
        <v>23</v>
      </c>
      <c r="E132" s="45" t="s">
        <v>146</v>
      </c>
      <c r="F132" s="45"/>
      <c r="G132" s="163">
        <v>10800</v>
      </c>
      <c r="H132" s="163"/>
      <c r="I132" s="163">
        <f t="shared" si="18"/>
        <v>10800</v>
      </c>
      <c r="J132" s="48">
        <f>G132/VLOOKUP(A132,RESUME!$G$3:$I$10,3,FALSE)</f>
        <v>4.3579822558296184E-2</v>
      </c>
      <c r="K132" s="163">
        <f t="shared" si="14"/>
        <v>8640</v>
      </c>
      <c r="L132" s="163">
        <f t="shared" si="15"/>
        <v>10800</v>
      </c>
      <c r="M132" s="154">
        <f t="shared" si="11"/>
        <v>5.4474778197870229E-2</v>
      </c>
      <c r="N132" s="47" t="str">
        <f>_xlfn.IFNA(VLOOKUP(A132&amp;"-"&amp;B132&amp;"-"&amp;D132,Ref_Account!$A:$F,6,FALSE),"ACCOUNT TIDAK DITEMUKAN")</f>
        <v>1205.801110</v>
      </c>
      <c r="O132" s="45">
        <f t="shared" si="19"/>
        <v>1</v>
      </c>
      <c r="P132" s="45" t="str">
        <f t="shared" si="13"/>
        <v>OK</v>
      </c>
      <c r="Q132" s="159"/>
      <c r="R132" s="213">
        <f t="shared" si="16"/>
        <v>65254.420000000006</v>
      </c>
      <c r="AA132" s="1">
        <f>IF(LEFT(N132,4)="1201",_xlfn.IFNA(VLOOKUP(B132,Production_Cost!$L:$P,2,FALSE),G132),IF(LEFT(N132,4)="1204",_xlfn.IFNA(VLOOKUP(B132,Production_Cost!$L:$P,3,FALSE),G132),IF(LEFT(N132,4)="1205",_xlfn.IFNA(VLOOKUP(B132,Production_Cost!$L:$P,4,FALSE),G132),IF(LEFT(N132,4)="1206",_xlfn.IFNA(VLOOKUP(B132,Production_Cost!$L:$P,5,FALSE),G132),"BU tidak sesuai"))))</f>
        <v>0</v>
      </c>
      <c r="AB132" s="1" t="str">
        <f t="shared" si="17"/>
        <v>1205-OFFICER SALARIES</v>
      </c>
    </row>
    <row r="133" spans="1:29">
      <c r="A133" s="61" t="s">
        <v>323</v>
      </c>
      <c r="B133" s="37" t="s">
        <v>122</v>
      </c>
      <c r="C133" s="61" t="s">
        <v>123</v>
      </c>
      <c r="D133" s="46" t="s">
        <v>23</v>
      </c>
      <c r="E133" s="46" t="s">
        <v>151</v>
      </c>
      <c r="F133" s="46"/>
      <c r="G133" s="164">
        <v>1500</v>
      </c>
      <c r="H133" s="164">
        <v>2530.19</v>
      </c>
      <c r="I133" s="164">
        <f t="shared" si="18"/>
        <v>-1030.19</v>
      </c>
      <c r="J133" s="50">
        <f>G133/VLOOKUP(A133,RESUME!$G$3:$I$10,3,FALSE)</f>
        <v>6.0527531330966918E-3</v>
      </c>
      <c r="K133" s="164">
        <f t="shared" si="14"/>
        <v>1200</v>
      </c>
      <c r="L133" s="164">
        <f t="shared" si="15"/>
        <v>1500</v>
      </c>
      <c r="M133" s="156">
        <f t="shared" si="11"/>
        <v>0</v>
      </c>
      <c r="N133" s="49" t="str">
        <f>_xlfn.IFNA(VLOOKUP(A133&amp;"-"&amp;B133&amp;"-"&amp;D133,Ref_Account!$A:$F,6,FALSE),"ACCOUNT TIDAK DITEMUKAN")</f>
        <v>1205.631110</v>
      </c>
      <c r="O133" s="46">
        <f t="shared" si="19"/>
        <v>1</v>
      </c>
      <c r="P133" s="46" t="str">
        <f t="shared" si="13"/>
        <v>OVER</v>
      </c>
      <c r="Q133" s="206"/>
      <c r="R133" s="213">
        <f t="shared" si="16"/>
        <v>8475.61</v>
      </c>
      <c r="AA133" s="1">
        <f>IF(LEFT(N133,4)="1201",_xlfn.IFNA(VLOOKUP(B133,Production_Cost!$L:$P,2,FALSE),G133),IF(LEFT(N133,4)="1204",_xlfn.IFNA(VLOOKUP(B133,Production_Cost!$L:$P,3,FALSE),G133),IF(LEFT(N133,4)="1205",_xlfn.IFNA(VLOOKUP(B133,Production_Cost!$L:$P,4,FALSE),G133),IF(LEFT(N133,4)="1206",_xlfn.IFNA(VLOOKUP(B133,Production_Cost!$L:$P,5,FALSE),G133),"BU tidak sesuai"))))</f>
        <v>1500</v>
      </c>
      <c r="AB133" s="1" t="str">
        <f t="shared" si="17"/>
        <v>1205-PEMAKAIAN SPARE PART</v>
      </c>
      <c r="AC133" s="1">
        <v>2530.19</v>
      </c>
    </row>
    <row r="134" spans="1:29">
      <c r="A134" s="60" t="s">
        <v>323</v>
      </c>
      <c r="B134" s="36" t="s">
        <v>76</v>
      </c>
      <c r="C134" s="60" t="s">
        <v>77</v>
      </c>
      <c r="D134" s="45" t="s">
        <v>14</v>
      </c>
      <c r="E134" s="45" t="s">
        <v>70</v>
      </c>
      <c r="F134" s="45"/>
      <c r="G134" s="163">
        <v>504.76</v>
      </c>
      <c r="H134" s="163"/>
      <c r="I134" s="163">
        <f t="shared" ref="I134:I162" si="20">G134-H134</f>
        <v>504.76</v>
      </c>
      <c r="J134" s="48">
        <f>G134/VLOOKUP(A134,RESUME!$G$3:$I$10,3,FALSE)</f>
        <v>2.0367917809745906E-3</v>
      </c>
      <c r="K134" s="163">
        <f t="shared" si="14"/>
        <v>403.80799999999999</v>
      </c>
      <c r="L134" s="163">
        <f t="shared" si="15"/>
        <v>504.76</v>
      </c>
      <c r="M134" s="154">
        <f t="shared" ref="M134:M162" si="21">IF(L134=0,0,IF(H134&gt;L134,0,L134/IF(H134&gt;=K134,H134,K134)*J134))</f>
        <v>2.5459897262182381E-3</v>
      </c>
      <c r="N134" s="47" t="str">
        <f>_xlfn.IFNA(VLOOKUP(A134&amp;"-"&amp;B134&amp;"-"&amp;D134,Ref_Account!$A:$F,6,FALSE),"ACCOUNT TIDAK DITEMUKAN")</f>
        <v>1204.813100</v>
      </c>
      <c r="O134" s="45">
        <f t="shared" ref="O134:O162" si="22">IF(N134="ACCOUNT TIDAK DITEMUKAN","9999",COUNTIF($N$6:$N$164,N134))</f>
        <v>1</v>
      </c>
      <c r="P134" s="45" t="str">
        <f t="shared" ref="P134:P162" si="23">IF(I134&gt;0,"OK","OVER")</f>
        <v>OK</v>
      </c>
      <c r="Q134" s="159"/>
      <c r="R134" s="213">
        <f t="shared" si="16"/>
        <v>2095.96</v>
      </c>
      <c r="AA134" s="1">
        <f>IF(LEFT(N134,4)="1201",_xlfn.IFNA(VLOOKUP(B134,Production_Cost!$L:$P,2,FALSE),G134),IF(LEFT(N134,4)="1204",_xlfn.IFNA(VLOOKUP(B134,Production_Cost!$L:$P,3,FALSE),G134),IF(LEFT(N134,4)="1205",_xlfn.IFNA(VLOOKUP(B134,Production_Cost!$L:$P,4,FALSE),G134),IF(LEFT(N134,4)="1206",_xlfn.IFNA(VLOOKUP(B134,Production_Cost!$L:$P,5,FALSE),G134),"BU tidak sesuai"))))</f>
        <v>504.76</v>
      </c>
      <c r="AB134" s="1" t="str">
        <f t="shared" si="17"/>
        <v>1204-ENTERTAINMENT</v>
      </c>
    </row>
    <row r="135" spans="1:29">
      <c r="A135" s="61" t="s">
        <v>323</v>
      </c>
      <c r="B135" s="37" t="s">
        <v>91</v>
      </c>
      <c r="C135" s="61" t="s">
        <v>92</v>
      </c>
      <c r="D135" s="46" t="s">
        <v>14</v>
      </c>
      <c r="E135" s="46" t="s">
        <v>93</v>
      </c>
      <c r="F135" s="46"/>
      <c r="G135" s="164">
        <v>5702.68</v>
      </c>
      <c r="H135" s="164"/>
      <c r="I135" s="164">
        <f t="shared" si="20"/>
        <v>5702.68</v>
      </c>
      <c r="J135" s="50">
        <f>G135/VLOOKUP(A135,RESUME!$G$3:$I$10,3,FALSE)</f>
        <v>2.3011276158031897E-2</v>
      </c>
      <c r="K135" s="164">
        <f t="shared" ref="K135:K162" si="24">G135*$K$4</f>
        <v>4562.1440000000002</v>
      </c>
      <c r="L135" s="164">
        <f t="shared" ref="L135:L162" si="25">G135*$L$4</f>
        <v>5702.68</v>
      </c>
      <c r="M135" s="156">
        <f t="shared" si="21"/>
        <v>2.876409519753987E-2</v>
      </c>
      <c r="N135" s="49" t="str">
        <f>_xlfn.IFNA(VLOOKUP(A135&amp;"-"&amp;B135&amp;"-"&amp;D135,Ref_Account!$A:$F,6,FALSE),"ACCOUNT TIDAK DITEMUKAN")</f>
        <v>1204.801160</v>
      </c>
      <c r="O135" s="46">
        <f t="shared" si="22"/>
        <v>1</v>
      </c>
      <c r="P135" s="46" t="str">
        <f t="shared" si="23"/>
        <v>OK</v>
      </c>
      <c r="Q135" s="206"/>
      <c r="R135" s="213">
        <f t="shared" ref="R135:R162" si="26">SUMIF($B$6:$B$162,B135,$G$6:$G$162)</f>
        <v>15885.72</v>
      </c>
      <c r="AA135" s="1">
        <f>IF(LEFT(N135,4)="1201",_xlfn.IFNA(VLOOKUP(B135,Production_Cost!$L:$P,2,FALSE),G135),IF(LEFT(N135,4)="1204",_xlfn.IFNA(VLOOKUP(B135,Production_Cost!$L:$P,3,FALSE),G135),IF(LEFT(N135,4)="1205",_xlfn.IFNA(VLOOKUP(B135,Production_Cost!$L:$P,4,FALSE),G135),IF(LEFT(N135,4)="1206",_xlfn.IFNA(VLOOKUP(B135,Production_Cost!$L:$P,5,FALSE),G135),"BU tidak sesuai"))))</f>
        <v>0</v>
      </c>
      <c r="AB135" s="1" t="str">
        <f t="shared" ref="AB135:AB162" si="27">LEFT(N135,4)&amp;"-"&amp;B135</f>
        <v>1204-JAMSOSTEK</v>
      </c>
    </row>
    <row r="136" spans="1:29">
      <c r="A136" s="60" t="s">
        <v>323</v>
      </c>
      <c r="B136" s="36" t="s">
        <v>100</v>
      </c>
      <c r="C136" s="60" t="s">
        <v>101</v>
      </c>
      <c r="D136" s="45" t="s">
        <v>14</v>
      </c>
      <c r="E136" s="45" t="s">
        <v>73</v>
      </c>
      <c r="F136" s="45"/>
      <c r="G136" s="163">
        <v>700</v>
      </c>
      <c r="H136" s="163"/>
      <c r="I136" s="163">
        <f t="shared" si="20"/>
        <v>700</v>
      </c>
      <c r="J136" s="48">
        <f>G136/VLOOKUP(A136,RESUME!$G$3:$I$10,3,FALSE)</f>
        <v>2.8246181287784563E-3</v>
      </c>
      <c r="K136" s="163">
        <f t="shared" si="24"/>
        <v>560</v>
      </c>
      <c r="L136" s="163">
        <f t="shared" si="25"/>
        <v>700</v>
      </c>
      <c r="M136" s="154">
        <f t="shared" si="21"/>
        <v>3.5307726609730703E-3</v>
      </c>
      <c r="N136" s="47" t="str">
        <f>_xlfn.IFNA(VLOOKUP(A136&amp;"-"&amp;B136&amp;"-"&amp;D136,Ref_Account!$A:$F,6,FALSE),"ACCOUNT TIDAK DITEMUKAN")</f>
        <v>1204.630710</v>
      </c>
      <c r="O136" s="45">
        <f t="shared" si="22"/>
        <v>1</v>
      </c>
      <c r="P136" s="45" t="str">
        <f t="shared" si="23"/>
        <v>OK</v>
      </c>
      <c r="Q136" s="159"/>
      <c r="R136" s="213">
        <f t="shared" si="26"/>
        <v>1800</v>
      </c>
      <c r="AA136" s="1">
        <f>IF(LEFT(N136,4)="1201",_xlfn.IFNA(VLOOKUP(B136,Production_Cost!$L:$P,2,FALSE),G136),IF(LEFT(N136,4)="1204",_xlfn.IFNA(VLOOKUP(B136,Production_Cost!$L:$P,3,FALSE),G136),IF(LEFT(N136,4)="1205",_xlfn.IFNA(VLOOKUP(B136,Production_Cost!$L:$P,4,FALSE),G136),IF(LEFT(N136,4)="1206",_xlfn.IFNA(VLOOKUP(B136,Production_Cost!$L:$P,5,FALSE),G136),"BU tidak sesuai"))))</f>
        <v>700</v>
      </c>
      <c r="AB136" s="1" t="str">
        <f t="shared" si="27"/>
        <v>1204-MAINT.&amp;REP.BUILDING</v>
      </c>
    </row>
    <row r="137" spans="1:29">
      <c r="A137" s="61" t="s">
        <v>323</v>
      </c>
      <c r="B137" s="37" t="s">
        <v>112</v>
      </c>
      <c r="C137" s="61" t="s">
        <v>113</v>
      </c>
      <c r="D137" s="46" t="s">
        <v>14</v>
      </c>
      <c r="E137" s="46" t="s">
        <v>73</v>
      </c>
      <c r="F137" s="46"/>
      <c r="G137" s="164">
        <v>300</v>
      </c>
      <c r="H137" s="164"/>
      <c r="I137" s="164">
        <f t="shared" si="20"/>
        <v>300</v>
      </c>
      <c r="J137" s="50">
        <f>G137/VLOOKUP(A137,RESUME!$G$3:$I$10,3,FALSE)</f>
        <v>1.2105506266193384E-3</v>
      </c>
      <c r="K137" s="164">
        <f t="shared" si="24"/>
        <v>240</v>
      </c>
      <c r="L137" s="164">
        <f t="shared" si="25"/>
        <v>300</v>
      </c>
      <c r="M137" s="156">
        <f t="shared" si="21"/>
        <v>1.5131882832741729E-3</v>
      </c>
      <c r="N137" s="49" t="str">
        <f>_xlfn.IFNA(VLOOKUP(A137&amp;"-"&amp;B137&amp;"-"&amp;D137,Ref_Account!$A:$F,6,FALSE),"ACCOUNT TIDAK DITEMUKAN")</f>
        <v>1204.630740</v>
      </c>
      <c r="O137" s="46">
        <f t="shared" si="22"/>
        <v>1</v>
      </c>
      <c r="P137" s="46" t="str">
        <f t="shared" si="23"/>
        <v>OK</v>
      </c>
      <c r="Q137" s="206"/>
      <c r="R137" s="213">
        <f t="shared" si="26"/>
        <v>700</v>
      </c>
      <c r="AA137" s="1">
        <f>IF(LEFT(N137,4)="1201",_xlfn.IFNA(VLOOKUP(B137,Production_Cost!$L:$P,2,FALSE),G137),IF(LEFT(N137,4)="1204",_xlfn.IFNA(VLOOKUP(B137,Production_Cost!$L:$P,3,FALSE),G137),IF(LEFT(N137,4)="1205",_xlfn.IFNA(VLOOKUP(B137,Production_Cost!$L:$P,4,FALSE),G137),IF(LEFT(N137,4)="1206",_xlfn.IFNA(VLOOKUP(B137,Production_Cost!$L:$P,5,FALSE),G137),"BU tidak sesuai"))))</f>
        <v>300</v>
      </c>
      <c r="AB137" s="1" t="str">
        <f t="shared" si="27"/>
        <v>1204-MAINT.&amp;REP.WATERINSTL.</v>
      </c>
    </row>
    <row r="138" spans="1:29">
      <c r="A138" s="60" t="s">
        <v>323</v>
      </c>
      <c r="B138" s="36" t="s">
        <v>116</v>
      </c>
      <c r="C138" s="60" t="s">
        <v>117</v>
      </c>
      <c r="D138" s="45" t="s">
        <v>14</v>
      </c>
      <c r="E138" s="45" t="s">
        <v>93</v>
      </c>
      <c r="F138" s="45"/>
      <c r="G138" s="163">
        <v>3500</v>
      </c>
      <c r="H138" s="163">
        <v>4436.3599999999997</v>
      </c>
      <c r="I138" s="163">
        <f t="shared" si="20"/>
        <v>-936.35999999999967</v>
      </c>
      <c r="J138" s="48">
        <f>G138/VLOOKUP(A138,RESUME!$G$3:$I$10,3,FALSE)</f>
        <v>1.4123090643892281E-2</v>
      </c>
      <c r="K138" s="163">
        <f t="shared" si="24"/>
        <v>2800</v>
      </c>
      <c r="L138" s="163">
        <f t="shared" si="25"/>
        <v>3500</v>
      </c>
      <c r="M138" s="154">
        <f t="shared" si="21"/>
        <v>0</v>
      </c>
      <c r="N138" s="47" t="str">
        <f>_xlfn.IFNA(VLOOKUP(A138&amp;"-"&amp;B138&amp;"-"&amp;D138,Ref_Account!$A:$F,6,FALSE),"ACCOUNT TIDAK DITEMUKAN")</f>
        <v>1204.630130</v>
      </c>
      <c r="O138" s="45">
        <f t="shared" si="22"/>
        <v>1</v>
      </c>
      <c r="P138" s="45" t="str">
        <f t="shared" si="23"/>
        <v>OVER</v>
      </c>
      <c r="Q138" s="159"/>
      <c r="R138" s="213">
        <f t="shared" si="26"/>
        <v>12443.98</v>
      </c>
      <c r="AA138" s="1">
        <f>IF(LEFT(N138,4)="1201",_xlfn.IFNA(VLOOKUP(B138,Production_Cost!$L:$P,2,FALSE),G138),IF(LEFT(N138,4)="1204",_xlfn.IFNA(VLOOKUP(B138,Production_Cost!$L:$P,3,FALSE),G138),IF(LEFT(N138,4)="1205",_xlfn.IFNA(VLOOKUP(B138,Production_Cost!$L:$P,4,FALSE),G138),IF(LEFT(N138,4)="1206",_xlfn.IFNA(VLOOKUP(B138,Production_Cost!$L:$P,5,FALSE),G138),"BU tidak sesuai"))))</f>
        <v>4436.3599999999997</v>
      </c>
      <c r="AB138" s="1" t="str">
        <f t="shared" si="27"/>
        <v>1204-MEDICAL ALLOWANCE</v>
      </c>
      <c r="AC138" s="1">
        <v>4436.3599999999997</v>
      </c>
    </row>
    <row r="139" spans="1:29">
      <c r="A139" s="61" t="s">
        <v>323</v>
      </c>
      <c r="B139" s="37" t="s">
        <v>128</v>
      </c>
      <c r="C139" s="61" t="s">
        <v>154</v>
      </c>
      <c r="D139" s="46" t="s">
        <v>14</v>
      </c>
      <c r="E139" s="46" t="s">
        <v>73</v>
      </c>
      <c r="F139" s="46"/>
      <c r="G139" s="164">
        <v>512.71</v>
      </c>
      <c r="H139" s="164"/>
      <c r="I139" s="164">
        <f t="shared" si="20"/>
        <v>512.71</v>
      </c>
      <c r="J139" s="50">
        <f>G139/VLOOKUP(A139,RESUME!$G$3:$I$10,3,FALSE)</f>
        <v>2.0688713725800032E-3</v>
      </c>
      <c r="K139" s="164">
        <f t="shared" si="24"/>
        <v>410.16800000000006</v>
      </c>
      <c r="L139" s="164">
        <f t="shared" si="25"/>
        <v>512.71</v>
      </c>
      <c r="M139" s="156">
        <f t="shared" si="21"/>
        <v>2.586089215725004E-3</v>
      </c>
      <c r="N139" s="49" t="str">
        <f>_xlfn.IFNA(VLOOKUP(A139&amp;"-"&amp;B139&amp;"-"&amp;D139,Ref_Account!$A:$F,6,FALSE),"ACCOUNT TIDAK DITEMUKAN")</f>
        <v>1204.815110</v>
      </c>
      <c r="O139" s="46">
        <f t="shared" si="22"/>
        <v>1</v>
      </c>
      <c r="P139" s="46" t="str">
        <f t="shared" si="23"/>
        <v>OK</v>
      </c>
      <c r="Q139" s="206"/>
      <c r="R139" s="213">
        <f t="shared" si="26"/>
        <v>1682.6100000000001</v>
      </c>
      <c r="AA139" s="1">
        <f>IF(LEFT(N139,4)="1201",_xlfn.IFNA(VLOOKUP(B139,Production_Cost!$L:$P,2,FALSE),G139),IF(LEFT(N139,4)="1204",_xlfn.IFNA(VLOOKUP(B139,Production_Cost!$L:$P,3,FALSE),G139),IF(LEFT(N139,4)="1205",_xlfn.IFNA(VLOOKUP(B139,Production_Cost!$L:$P,4,FALSE),G139),IF(LEFT(N139,4)="1206",_xlfn.IFNA(VLOOKUP(B139,Production_Cost!$L:$P,5,FALSE),G139),"BU tidak sesuai"))))</f>
        <v>473.01</v>
      </c>
      <c r="AB139" s="1" t="str">
        <f t="shared" si="27"/>
        <v>1204-RENT EXPENSES BUILDING</v>
      </c>
    </row>
    <row r="140" spans="1:29">
      <c r="A140" s="60" t="s">
        <v>323</v>
      </c>
      <c r="B140" s="36" t="s">
        <v>20</v>
      </c>
      <c r="C140" s="60" t="s">
        <v>150</v>
      </c>
      <c r="D140" s="45" t="s">
        <v>14</v>
      </c>
      <c r="E140" s="45" t="s">
        <v>73</v>
      </c>
      <c r="F140" s="45"/>
      <c r="G140" s="163">
        <v>754.58</v>
      </c>
      <c r="H140" s="163"/>
      <c r="I140" s="163">
        <f t="shared" si="20"/>
        <v>754.58</v>
      </c>
      <c r="J140" s="48">
        <f>G140/VLOOKUP(A140,RESUME!$G$3:$I$10,3,FALSE)</f>
        <v>3.0448576394480681E-3</v>
      </c>
      <c r="K140" s="163">
        <f t="shared" si="24"/>
        <v>603.6640000000001</v>
      </c>
      <c r="L140" s="163">
        <f t="shared" si="25"/>
        <v>754.58</v>
      </c>
      <c r="M140" s="154">
        <f t="shared" si="21"/>
        <v>3.8060720493100844E-3</v>
      </c>
      <c r="N140" s="47" t="str">
        <f>_xlfn.IFNA(VLOOKUP(A140&amp;"-"&amp;B140&amp;"-"&amp;D140,Ref_Account!$A:$F,6,FALSE),"ACCOUNT TIDAK DITEMUKAN")</f>
        <v>1204.631100</v>
      </c>
      <c r="O140" s="45">
        <f t="shared" si="22"/>
        <v>3</v>
      </c>
      <c r="P140" s="45" t="str">
        <f t="shared" si="23"/>
        <v>OK</v>
      </c>
      <c r="Q140" s="159"/>
      <c r="R140" s="213">
        <f t="shared" si="26"/>
        <v>37855.32</v>
      </c>
      <c r="AA140" s="1">
        <f>IF(LEFT(N140,4)="1201",_xlfn.IFNA(VLOOKUP(B140,Production_Cost!$L:$P,2,FALSE),G140),IF(LEFT(N140,4)="1204",_xlfn.IFNA(VLOOKUP(B140,Production_Cost!$L:$P,3,FALSE),G140),IF(LEFT(N140,4)="1205",_xlfn.IFNA(VLOOKUP(B140,Production_Cost!$L:$P,4,FALSE),G140),IF(LEFT(N140,4)="1206",_xlfn.IFNA(VLOOKUP(B140,Production_Cost!$L:$P,5,FALSE),G140),"BU tidak sesuai"))))</f>
        <v>754.58</v>
      </c>
      <c r="AB140" s="1" t="str">
        <f t="shared" si="27"/>
        <v>1204-OTHER PRODUCTION COST</v>
      </c>
    </row>
    <row r="141" spans="1:29">
      <c r="A141" s="61" t="s">
        <v>323</v>
      </c>
      <c r="B141" s="37" t="s">
        <v>66</v>
      </c>
      <c r="C141" s="61" t="s">
        <v>67</v>
      </c>
      <c r="D141" s="46" t="s">
        <v>14</v>
      </c>
      <c r="E141" s="46" t="s">
        <v>155</v>
      </c>
      <c r="F141" s="46"/>
      <c r="G141" s="164"/>
      <c r="H141" s="164"/>
      <c r="I141" s="164">
        <f t="shared" si="20"/>
        <v>0</v>
      </c>
      <c r="J141" s="50">
        <f>G141/VLOOKUP(A141,RESUME!$G$3:$I$10,3,FALSE)</f>
        <v>0</v>
      </c>
      <c r="K141" s="164">
        <f t="shared" si="24"/>
        <v>0</v>
      </c>
      <c r="L141" s="164">
        <f t="shared" si="25"/>
        <v>0</v>
      </c>
      <c r="M141" s="156">
        <f t="shared" si="21"/>
        <v>0</v>
      </c>
      <c r="N141" s="49" t="str">
        <f>_xlfn.IFNA(VLOOKUP(A141&amp;"-"&amp;B141&amp;"-"&amp;D141,Ref_Account!$A:$F,6,FALSE),"ACCOUNT TIDAK DITEMUKAN")</f>
        <v>1204.720500</v>
      </c>
      <c r="O141" s="46">
        <f t="shared" si="22"/>
        <v>1</v>
      </c>
      <c r="P141" s="46" t="str">
        <f t="shared" si="23"/>
        <v>OVER</v>
      </c>
      <c r="Q141" s="206"/>
      <c r="R141" s="213">
        <f t="shared" si="26"/>
        <v>0</v>
      </c>
      <c r="AA141" s="1">
        <f>IF(LEFT(N141,4)="1201",_xlfn.IFNA(VLOOKUP(B141,Production_Cost!$L:$P,2,FALSE),G141),IF(LEFT(N141,4)="1204",_xlfn.IFNA(VLOOKUP(B141,Production_Cost!$L:$P,3,FALSE),G141),IF(LEFT(N141,4)="1205",_xlfn.IFNA(VLOOKUP(B141,Production_Cost!$L:$P,4,FALSE),G141),IF(LEFT(N141,4)="1206",_xlfn.IFNA(VLOOKUP(B141,Production_Cost!$L:$P,5,FALSE),G141),"BU tidak sesuai"))))</f>
        <v>0</v>
      </c>
      <c r="AB141" s="1" t="str">
        <f t="shared" si="27"/>
        <v>1204-AIR FREIGHT</v>
      </c>
    </row>
    <row r="142" spans="1:29">
      <c r="A142" s="60" t="s">
        <v>323</v>
      </c>
      <c r="B142" s="36" t="s">
        <v>68</v>
      </c>
      <c r="C142" s="60" t="s">
        <v>69</v>
      </c>
      <c r="D142" s="45" t="s">
        <v>14</v>
      </c>
      <c r="E142" s="45" t="s">
        <v>70</v>
      </c>
      <c r="F142" s="45"/>
      <c r="G142" s="163">
        <v>5672.9500000000007</v>
      </c>
      <c r="H142" s="163">
        <v>2802.67</v>
      </c>
      <c r="I142" s="163">
        <f t="shared" si="20"/>
        <v>2870.2800000000007</v>
      </c>
      <c r="J142" s="48">
        <f>G142/VLOOKUP(A142,RESUME!$G$3:$I$10,3,FALSE)</f>
        <v>2.2891310590933921E-2</v>
      </c>
      <c r="K142" s="163">
        <f t="shared" si="24"/>
        <v>4538.3600000000006</v>
      </c>
      <c r="L142" s="163">
        <f t="shared" si="25"/>
        <v>5672.9500000000007</v>
      </c>
      <c r="M142" s="154">
        <f t="shared" si="21"/>
        <v>2.8614138238667403E-2</v>
      </c>
      <c r="N142" s="47" t="str">
        <f>_xlfn.IFNA(VLOOKUP(A142&amp;"-"&amp;B142&amp;"-"&amp;D142,Ref_Account!$A:$F,6,FALSE),"ACCOUNT TIDAK DITEMUKAN")</f>
        <v>1204.812100</v>
      </c>
      <c r="O142" s="45">
        <f t="shared" si="22"/>
        <v>1</v>
      </c>
      <c r="P142" s="45" t="str">
        <f t="shared" si="23"/>
        <v>OK</v>
      </c>
      <c r="Q142" s="159"/>
      <c r="R142" s="213">
        <f t="shared" si="26"/>
        <v>22313.170000000002</v>
      </c>
      <c r="AA142" s="1">
        <f>IF(LEFT(N142,4)="1201",_xlfn.IFNA(VLOOKUP(B142,Production_Cost!$L:$P,2,FALSE),G142),IF(LEFT(N142,4)="1204",_xlfn.IFNA(VLOOKUP(B142,Production_Cost!$L:$P,3,FALSE),G142),IF(LEFT(N142,4)="1205",_xlfn.IFNA(VLOOKUP(B142,Production_Cost!$L:$P,4,FALSE),G142),IF(LEFT(N142,4)="1206",_xlfn.IFNA(VLOOKUP(B142,Production_Cost!$L:$P,5,FALSE),G142),"BU tidak sesuai"))))</f>
        <v>2802.67</v>
      </c>
      <c r="AB142" s="1" t="str">
        <f t="shared" si="27"/>
        <v>1204-BUSINESS TRIP EXPENSES</v>
      </c>
      <c r="AC142" s="1">
        <v>2802.67</v>
      </c>
    </row>
    <row r="143" spans="1:29">
      <c r="A143" s="61" t="s">
        <v>323</v>
      </c>
      <c r="B143" s="37" t="s">
        <v>74</v>
      </c>
      <c r="C143" s="61" t="s">
        <v>75</v>
      </c>
      <c r="D143" s="46" t="s">
        <v>14</v>
      </c>
      <c r="E143" s="46" t="s">
        <v>73</v>
      </c>
      <c r="F143" s="46"/>
      <c r="G143" s="164">
        <v>4918.54</v>
      </c>
      <c r="H143" s="164">
        <v>5107.6000000000004</v>
      </c>
      <c r="I143" s="164">
        <f t="shared" si="20"/>
        <v>-189.0600000000004</v>
      </c>
      <c r="J143" s="50">
        <f>G143/VLOOKUP(A143,RESUME!$G$3:$I$10,3,FALSE)</f>
        <v>1.9847138930174268E-2</v>
      </c>
      <c r="K143" s="164">
        <f t="shared" si="24"/>
        <v>3934.8320000000003</v>
      </c>
      <c r="L143" s="164">
        <f t="shared" si="25"/>
        <v>4918.54</v>
      </c>
      <c r="M143" s="156">
        <f t="shared" si="21"/>
        <v>0</v>
      </c>
      <c r="N143" s="49" t="str">
        <f>_xlfn.IFNA(VLOOKUP(A143&amp;"-"&amp;B143&amp;"-"&amp;D143,Ref_Account!$A:$F,6,FALSE),"ACCOUNT TIDAK DITEMUKAN")</f>
        <v>1204.630400</v>
      </c>
      <c r="O143" s="46">
        <f t="shared" si="22"/>
        <v>1</v>
      </c>
      <c r="P143" s="46" t="str">
        <f t="shared" si="23"/>
        <v>OVER</v>
      </c>
      <c r="Q143" s="206"/>
      <c r="R143" s="213">
        <f t="shared" si="26"/>
        <v>15561.89</v>
      </c>
      <c r="AA143" s="1">
        <f>IF(LEFT(N143,4)="1201",_xlfn.IFNA(VLOOKUP(B143,Production_Cost!$L:$P,2,FALSE),G143),IF(LEFT(N143,4)="1204",_xlfn.IFNA(VLOOKUP(B143,Production_Cost!$L:$P,3,FALSE),G143),IF(LEFT(N143,4)="1205",_xlfn.IFNA(VLOOKUP(B143,Production_Cost!$L:$P,4,FALSE),G143),IF(LEFT(N143,4)="1206",_xlfn.IFNA(VLOOKUP(B143,Production_Cost!$L:$P,5,FALSE),G143),"BU tidak sesuai"))))</f>
        <v>5107.6000000000004</v>
      </c>
      <c r="AB143" s="1" t="str">
        <f t="shared" si="27"/>
        <v>1204-ELECTRICITY</v>
      </c>
      <c r="AC143" s="1">
        <v>5107.6000000000004</v>
      </c>
    </row>
    <row r="144" spans="1:29">
      <c r="A144" s="60" t="s">
        <v>323</v>
      </c>
      <c r="B144" s="36" t="s">
        <v>78</v>
      </c>
      <c r="C144" s="60" t="s">
        <v>79</v>
      </c>
      <c r="D144" s="45" t="s">
        <v>14</v>
      </c>
      <c r="E144" s="45" t="s">
        <v>156</v>
      </c>
      <c r="F144" s="45"/>
      <c r="G144" s="163">
        <v>1600</v>
      </c>
      <c r="H144" s="163">
        <v>254.14</v>
      </c>
      <c r="I144" s="163">
        <f t="shared" si="20"/>
        <v>1345.8600000000001</v>
      </c>
      <c r="J144" s="48">
        <f>G144/VLOOKUP(A144,RESUME!$G$3:$I$10,3,FALSE)</f>
        <v>6.4562700086364709E-3</v>
      </c>
      <c r="K144" s="163">
        <f t="shared" si="24"/>
        <v>1280</v>
      </c>
      <c r="L144" s="163">
        <f t="shared" si="25"/>
        <v>1600</v>
      </c>
      <c r="M144" s="154">
        <f t="shared" si="21"/>
        <v>8.0703375107955885E-3</v>
      </c>
      <c r="N144" s="47" t="str">
        <f>_xlfn.IFNA(VLOOKUP(A144&amp;"-"&amp;B144&amp;"-"&amp;D144,Ref_Account!$A:$F,6,FALSE),"ACCOUNT TIDAK DITEMUKAN")</f>
        <v>1204.630300</v>
      </c>
      <c r="O144" s="45">
        <f t="shared" si="22"/>
        <v>1</v>
      </c>
      <c r="P144" s="45" t="str">
        <f t="shared" si="23"/>
        <v>OK</v>
      </c>
      <c r="Q144" s="159"/>
      <c r="R144" s="213">
        <f t="shared" si="26"/>
        <v>5882</v>
      </c>
      <c r="AA144" s="1">
        <f>IF(LEFT(N144,4)="1201",_xlfn.IFNA(VLOOKUP(B144,Production_Cost!$L:$P,2,FALSE),G144),IF(LEFT(N144,4)="1204",_xlfn.IFNA(VLOOKUP(B144,Production_Cost!$L:$P,3,FALSE),G144),IF(LEFT(N144,4)="1205",_xlfn.IFNA(VLOOKUP(B144,Production_Cost!$L:$P,4,FALSE),G144),IF(LEFT(N144,4)="1206",_xlfn.IFNA(VLOOKUP(B144,Production_Cost!$L:$P,5,FALSE),G144),"BU tidak sesuai"))))</f>
        <v>3933.92</v>
      </c>
      <c r="AB144" s="1" t="str">
        <f t="shared" si="27"/>
        <v>1204-FACTORY SUPPLIES EXPENSE</v>
      </c>
      <c r="AC144" s="1">
        <v>254.14</v>
      </c>
    </row>
    <row r="145" spans="1:29">
      <c r="A145" s="61" t="s">
        <v>323</v>
      </c>
      <c r="B145" s="37" t="s">
        <v>152</v>
      </c>
      <c r="C145" s="61" t="s">
        <v>82</v>
      </c>
      <c r="D145" s="46" t="s">
        <v>14</v>
      </c>
      <c r="E145" s="46" t="s">
        <v>73</v>
      </c>
      <c r="F145" s="46"/>
      <c r="G145" s="164">
        <v>3106.38</v>
      </c>
      <c r="H145" s="164">
        <v>126.43</v>
      </c>
      <c r="I145" s="164">
        <f t="shared" si="20"/>
        <v>2979.9500000000003</v>
      </c>
      <c r="J145" s="50">
        <f>G145/VLOOKUP(A145,RESUME!$G$3:$I$10,3,FALSE)</f>
        <v>1.2534767518392602E-2</v>
      </c>
      <c r="K145" s="164">
        <f t="shared" si="24"/>
        <v>2485.1040000000003</v>
      </c>
      <c r="L145" s="164">
        <f t="shared" si="25"/>
        <v>3106.38</v>
      </c>
      <c r="M145" s="156">
        <f t="shared" si="21"/>
        <v>1.5668459397990754E-2</v>
      </c>
      <c r="N145" s="49" t="str">
        <f>_xlfn.IFNA(VLOOKUP(A145&amp;"-"&amp;B145&amp;"-"&amp;D145,Ref_Account!$A:$F,6,FALSE),"ACCOUNT TIDAK DITEMUKAN")</f>
        <v>1204.630200</v>
      </c>
      <c r="O145" s="46">
        <f t="shared" si="22"/>
        <v>1</v>
      </c>
      <c r="P145" s="46" t="str">
        <f t="shared" si="23"/>
        <v>OK</v>
      </c>
      <c r="Q145" s="206"/>
      <c r="R145" s="213">
        <f t="shared" si="26"/>
        <v>7778.87</v>
      </c>
      <c r="AA145" s="1">
        <f>IF(LEFT(N145,4)="1201",_xlfn.IFNA(VLOOKUP(B145,Production_Cost!$L:$P,2,FALSE),G145),IF(LEFT(N145,4)="1204",_xlfn.IFNA(VLOOKUP(B145,Production_Cost!$L:$P,3,FALSE),G145),IF(LEFT(N145,4)="1205",_xlfn.IFNA(VLOOKUP(B145,Production_Cost!$L:$P,4,FALSE),G145),IF(LEFT(N145,4)="1206",_xlfn.IFNA(VLOOKUP(B145,Production_Cost!$L:$P,5,FALSE),G145),"BU tidak sesuai"))))</f>
        <v>126.43</v>
      </c>
      <c r="AB145" s="1" t="str">
        <f t="shared" si="27"/>
        <v>1204-FARE ALLOWANCE</v>
      </c>
      <c r="AC145" s="1">
        <v>126.43</v>
      </c>
    </row>
    <row r="146" spans="1:29">
      <c r="A146" s="60" t="s">
        <v>323</v>
      </c>
      <c r="B146" s="36" t="s">
        <v>94</v>
      </c>
      <c r="C146" s="60" t="s">
        <v>95</v>
      </c>
      <c r="D146" s="45" t="s">
        <v>14</v>
      </c>
      <c r="E146" s="45" t="s">
        <v>155</v>
      </c>
      <c r="F146" s="45"/>
      <c r="G146" s="163">
        <v>97892.700000000012</v>
      </c>
      <c r="H146" s="163">
        <v>901.66</v>
      </c>
      <c r="I146" s="163">
        <f t="shared" si="20"/>
        <v>96991.040000000008</v>
      </c>
      <c r="J146" s="48">
        <f>G146/VLOOKUP(A146,RESUME!$G$3:$I$10,3,FALSE)</f>
        <v>0.39501356442152974</v>
      </c>
      <c r="K146" s="163">
        <f t="shared" si="24"/>
        <v>78314.160000000018</v>
      </c>
      <c r="L146" s="163">
        <f t="shared" si="25"/>
        <v>97892.700000000012</v>
      </c>
      <c r="M146" s="154">
        <f t="shared" si="21"/>
        <v>0.49376695552691208</v>
      </c>
      <c r="N146" s="47" t="str">
        <f>_xlfn.IFNA(VLOOKUP(A146&amp;"-"&amp;B146&amp;"-"&amp;D146,Ref_Account!$A:$F,6,FALSE),"ACCOUNT TIDAK DITEMUKAN")</f>
        <v>1204.630110</v>
      </c>
      <c r="O146" s="45">
        <f t="shared" si="22"/>
        <v>1</v>
      </c>
      <c r="P146" s="45" t="str">
        <f t="shared" si="23"/>
        <v>OK</v>
      </c>
      <c r="Q146" s="159"/>
      <c r="R146" s="213">
        <f t="shared" si="26"/>
        <v>260250</v>
      </c>
      <c r="AA146" s="1">
        <f>IF(LEFT(N146,4)="1201",_xlfn.IFNA(VLOOKUP(B146,Production_Cost!$L:$P,2,FALSE),G146),IF(LEFT(N146,4)="1204",_xlfn.IFNA(VLOOKUP(B146,Production_Cost!$L:$P,3,FALSE),G146),IF(LEFT(N146,4)="1205",_xlfn.IFNA(VLOOKUP(B146,Production_Cost!$L:$P,4,FALSE),G146),IF(LEFT(N146,4)="1206",_xlfn.IFNA(VLOOKUP(B146,Production_Cost!$L:$P,5,FALSE),G146),"BU tidak sesuai"))))</f>
        <v>901.66</v>
      </c>
      <c r="AB146" s="1" t="str">
        <f t="shared" si="27"/>
        <v>1204-LABOR COST</v>
      </c>
      <c r="AC146" s="1">
        <v>901.66</v>
      </c>
    </row>
    <row r="147" spans="1:29">
      <c r="A147" s="61" t="s">
        <v>323</v>
      </c>
      <c r="B147" s="37" t="s">
        <v>102</v>
      </c>
      <c r="C147" s="61" t="s">
        <v>103</v>
      </c>
      <c r="D147" s="46" t="s">
        <v>14</v>
      </c>
      <c r="E147" s="46" t="s">
        <v>156</v>
      </c>
      <c r="F147" s="46"/>
      <c r="G147" s="164">
        <v>300</v>
      </c>
      <c r="H147" s="164"/>
      <c r="I147" s="164">
        <f t="shared" si="20"/>
        <v>300</v>
      </c>
      <c r="J147" s="50">
        <f>G147/VLOOKUP(A147,RESUME!$G$3:$I$10,3,FALSE)</f>
        <v>1.2105506266193384E-3</v>
      </c>
      <c r="K147" s="164">
        <f t="shared" si="24"/>
        <v>240</v>
      </c>
      <c r="L147" s="164">
        <f t="shared" si="25"/>
        <v>300</v>
      </c>
      <c r="M147" s="156">
        <f t="shared" si="21"/>
        <v>1.5131882832741729E-3</v>
      </c>
      <c r="N147" s="49" t="str">
        <f>_xlfn.IFNA(VLOOKUP(A147&amp;"-"&amp;B147&amp;"-"&amp;D147,Ref_Account!$A:$F,6,FALSE),"ACCOUNT TIDAK DITEMUKAN")</f>
        <v>1204.630770</v>
      </c>
      <c r="O147" s="46">
        <f t="shared" si="22"/>
        <v>1</v>
      </c>
      <c r="P147" s="46" t="str">
        <f t="shared" si="23"/>
        <v>OK</v>
      </c>
      <c r="Q147" s="206"/>
      <c r="R147" s="213">
        <f t="shared" si="26"/>
        <v>700</v>
      </c>
      <c r="AA147" s="1">
        <f>IF(LEFT(N147,4)="1201",_xlfn.IFNA(VLOOKUP(B147,Production_Cost!$L:$P,2,FALSE),G147),IF(LEFT(N147,4)="1204",_xlfn.IFNA(VLOOKUP(B147,Production_Cost!$L:$P,3,FALSE),G147),IF(LEFT(N147,4)="1205",_xlfn.IFNA(VLOOKUP(B147,Production_Cost!$L:$P,4,FALSE),G147),IF(LEFT(N147,4)="1206",_xlfn.IFNA(VLOOKUP(B147,Production_Cost!$L:$P,5,FALSE),G147),"BU tidak sesuai"))))</f>
        <v>300</v>
      </c>
      <c r="AB147" s="1" t="str">
        <f t="shared" si="27"/>
        <v>1204-MAINT.&amp;REP.ELECTRICITY</v>
      </c>
    </row>
    <row r="148" spans="1:29">
      <c r="A148" s="60" t="s">
        <v>323</v>
      </c>
      <c r="B148" s="36" t="s">
        <v>104</v>
      </c>
      <c r="C148" s="60" t="s">
        <v>105</v>
      </c>
      <c r="D148" s="45" t="s">
        <v>14</v>
      </c>
      <c r="E148" s="45" t="s">
        <v>156</v>
      </c>
      <c r="F148" s="45"/>
      <c r="G148" s="163">
        <v>300</v>
      </c>
      <c r="H148" s="163"/>
      <c r="I148" s="163">
        <f t="shared" si="20"/>
        <v>300</v>
      </c>
      <c r="J148" s="48">
        <f>G148/VLOOKUP(A148,RESUME!$G$3:$I$10,3,FALSE)</f>
        <v>1.2105506266193384E-3</v>
      </c>
      <c r="K148" s="163">
        <f t="shared" si="24"/>
        <v>240</v>
      </c>
      <c r="L148" s="163">
        <f t="shared" si="25"/>
        <v>300</v>
      </c>
      <c r="M148" s="154">
        <f t="shared" si="21"/>
        <v>1.5131882832741729E-3</v>
      </c>
      <c r="N148" s="47" t="str">
        <f>_xlfn.IFNA(VLOOKUP(A148&amp;"-"&amp;B148&amp;"-"&amp;D148,Ref_Account!$A:$F,6,FALSE),"ACCOUNT TIDAK DITEMUKAN")</f>
        <v>1204.630750</v>
      </c>
      <c r="O148" s="45">
        <f t="shared" si="22"/>
        <v>1</v>
      </c>
      <c r="P148" s="45" t="str">
        <f t="shared" si="23"/>
        <v>OK</v>
      </c>
      <c r="Q148" s="159"/>
      <c r="R148" s="213">
        <f t="shared" si="26"/>
        <v>700</v>
      </c>
      <c r="AA148" s="1">
        <f>IF(LEFT(N148,4)="1201",_xlfn.IFNA(VLOOKUP(B148,Production_Cost!$L:$P,2,FALSE),G148),IF(LEFT(N148,4)="1204",_xlfn.IFNA(VLOOKUP(B148,Production_Cost!$L:$P,3,FALSE),G148),IF(LEFT(N148,4)="1205",_xlfn.IFNA(VLOOKUP(B148,Production_Cost!$L:$P,4,FALSE),G148),IF(LEFT(N148,4)="1206",_xlfn.IFNA(VLOOKUP(B148,Production_Cost!$L:$P,5,FALSE),G148),"BU tidak sesuai"))))</f>
        <v>300</v>
      </c>
      <c r="AB148" s="1" t="str">
        <f t="shared" si="27"/>
        <v>1204-MAINT.&amp;REP.GEN&amp;BOILER</v>
      </c>
    </row>
    <row r="149" spans="1:29">
      <c r="A149" s="61" t="s">
        <v>323</v>
      </c>
      <c r="B149" s="37" t="s">
        <v>106</v>
      </c>
      <c r="C149" s="61" t="s">
        <v>107</v>
      </c>
      <c r="D149" s="46" t="s">
        <v>14</v>
      </c>
      <c r="E149" s="46" t="s">
        <v>156</v>
      </c>
      <c r="F149" s="46"/>
      <c r="G149" s="164">
        <v>300</v>
      </c>
      <c r="H149" s="164">
        <v>110.74</v>
      </c>
      <c r="I149" s="164">
        <f t="shared" si="20"/>
        <v>189.26</v>
      </c>
      <c r="J149" s="50">
        <f>G149/VLOOKUP(A149,RESUME!$G$3:$I$10,3,FALSE)</f>
        <v>1.2105506266193384E-3</v>
      </c>
      <c r="K149" s="164">
        <f t="shared" si="24"/>
        <v>240</v>
      </c>
      <c r="L149" s="164">
        <f t="shared" si="25"/>
        <v>300</v>
      </c>
      <c r="M149" s="156">
        <f t="shared" si="21"/>
        <v>1.5131882832741729E-3</v>
      </c>
      <c r="N149" s="49" t="str">
        <f>_xlfn.IFNA(VLOOKUP(A149&amp;"-"&amp;B149&amp;"-"&amp;D149,Ref_Account!$A:$F,6,FALSE),"ACCOUNT TIDAK DITEMUKAN")</f>
        <v>1204.630720</v>
      </c>
      <c r="O149" s="46">
        <f t="shared" si="22"/>
        <v>1</v>
      </c>
      <c r="P149" s="46" t="str">
        <f t="shared" si="23"/>
        <v>OK</v>
      </c>
      <c r="Q149" s="206"/>
      <c r="R149" s="213">
        <f t="shared" si="26"/>
        <v>700</v>
      </c>
      <c r="AA149" s="1">
        <f>IF(LEFT(N149,4)="1201",_xlfn.IFNA(VLOOKUP(B149,Production_Cost!$L:$P,2,FALSE),G149),IF(LEFT(N149,4)="1204",_xlfn.IFNA(VLOOKUP(B149,Production_Cost!$L:$P,3,FALSE),G149),IF(LEFT(N149,4)="1205",_xlfn.IFNA(VLOOKUP(B149,Production_Cost!$L:$P,4,FALSE),G149),IF(LEFT(N149,4)="1206",_xlfn.IFNA(VLOOKUP(B149,Production_Cost!$L:$P,5,FALSE),G149),"BU tidak sesuai"))))</f>
        <v>300</v>
      </c>
      <c r="AB149" s="1" t="str">
        <f t="shared" si="27"/>
        <v>1204-MAINT.&amp;REP.MACHINERIE</v>
      </c>
      <c r="AC149" s="1">
        <v>110.74</v>
      </c>
    </row>
    <row r="150" spans="1:29">
      <c r="A150" s="60" t="s">
        <v>323</v>
      </c>
      <c r="B150" s="36" t="s">
        <v>110</v>
      </c>
      <c r="C150" s="60" t="s">
        <v>111</v>
      </c>
      <c r="D150" s="45" t="s">
        <v>14</v>
      </c>
      <c r="E150" s="45" t="s">
        <v>156</v>
      </c>
      <c r="F150" s="45"/>
      <c r="G150" s="163">
        <v>300</v>
      </c>
      <c r="H150" s="163">
        <v>120.24</v>
      </c>
      <c r="I150" s="163">
        <f t="shared" si="20"/>
        <v>179.76</v>
      </c>
      <c r="J150" s="48">
        <f>G150/VLOOKUP(A150,RESUME!$G$3:$I$10,3,FALSE)</f>
        <v>1.2105506266193384E-3</v>
      </c>
      <c r="K150" s="163">
        <f t="shared" si="24"/>
        <v>240</v>
      </c>
      <c r="L150" s="163">
        <f t="shared" si="25"/>
        <v>300</v>
      </c>
      <c r="M150" s="154">
        <f t="shared" si="21"/>
        <v>1.5131882832741729E-3</v>
      </c>
      <c r="N150" s="47" t="str">
        <f>_xlfn.IFNA(VLOOKUP(A150&amp;"-"&amp;B150&amp;"-"&amp;D150,Ref_Account!$A:$F,6,FALSE),"ACCOUNT TIDAK DITEMUKAN")</f>
        <v>1204.630730</v>
      </c>
      <c r="O150" s="45">
        <f t="shared" si="22"/>
        <v>1</v>
      </c>
      <c r="P150" s="45" t="str">
        <f t="shared" si="23"/>
        <v>OK</v>
      </c>
      <c r="Q150" s="159"/>
      <c r="R150" s="213">
        <f t="shared" si="26"/>
        <v>700</v>
      </c>
      <c r="AA150" s="1">
        <f>IF(LEFT(N150,4)="1201",_xlfn.IFNA(VLOOKUP(B150,Production_Cost!$L:$P,2,FALSE),G150),IF(LEFT(N150,4)="1204",_xlfn.IFNA(VLOOKUP(B150,Production_Cost!$L:$P,3,FALSE),G150),IF(LEFT(N150,4)="1205",_xlfn.IFNA(VLOOKUP(B150,Production_Cost!$L:$P,4,FALSE),G150),IF(LEFT(N150,4)="1206",_xlfn.IFNA(VLOOKUP(B150,Production_Cost!$L:$P,5,FALSE),G150),"BU tidak sesuai"))))</f>
        <v>300</v>
      </c>
      <c r="AB150" s="1" t="str">
        <f t="shared" si="27"/>
        <v>1204-MAINT.&amp;REP.PLANTEQUI</v>
      </c>
      <c r="AC150" s="1">
        <v>120.24</v>
      </c>
    </row>
    <row r="151" spans="1:29">
      <c r="A151" s="61" t="s">
        <v>323</v>
      </c>
      <c r="B151" s="37" t="s">
        <v>122</v>
      </c>
      <c r="C151" s="61" t="s">
        <v>123</v>
      </c>
      <c r="D151" s="46" t="s">
        <v>14</v>
      </c>
      <c r="E151" s="46" t="s">
        <v>156</v>
      </c>
      <c r="F151" s="46"/>
      <c r="G151" s="164">
        <v>2346.61</v>
      </c>
      <c r="H151" s="164">
        <v>2238.1</v>
      </c>
      <c r="I151" s="164">
        <f t="shared" si="20"/>
        <v>108.51000000000022</v>
      </c>
      <c r="J151" s="50">
        <f>G151/VLOOKUP(A151,RESUME!$G$3:$I$10,3,FALSE)</f>
        <v>9.46896735310402E-3</v>
      </c>
      <c r="K151" s="164">
        <f t="shared" si="24"/>
        <v>1877.2880000000002</v>
      </c>
      <c r="L151" s="164">
        <f t="shared" si="25"/>
        <v>2346.61</v>
      </c>
      <c r="M151" s="156">
        <f t="shared" si="21"/>
        <v>9.9280521337149485E-3</v>
      </c>
      <c r="N151" s="49" t="str">
        <f>_xlfn.IFNA(VLOOKUP(A151&amp;"-"&amp;B151&amp;"-"&amp;D151,Ref_Account!$A:$F,6,FALSE),"ACCOUNT TIDAK DITEMUKAN")</f>
        <v>1204.631110</v>
      </c>
      <c r="O151" s="46">
        <f t="shared" si="22"/>
        <v>1</v>
      </c>
      <c r="P151" s="46" t="str">
        <f t="shared" si="23"/>
        <v>OK</v>
      </c>
      <c r="Q151" s="206"/>
      <c r="R151" s="213">
        <f t="shared" si="26"/>
        <v>8475.61</v>
      </c>
      <c r="AA151" s="1">
        <f>IF(LEFT(N151,4)="1201",_xlfn.IFNA(VLOOKUP(B151,Production_Cost!$L:$P,2,FALSE),G151),IF(LEFT(N151,4)="1204",_xlfn.IFNA(VLOOKUP(B151,Production_Cost!$L:$P,3,FALSE),G151),IF(LEFT(N151,4)="1205",_xlfn.IFNA(VLOOKUP(B151,Production_Cost!$L:$P,4,FALSE),G151),IF(LEFT(N151,4)="1206",_xlfn.IFNA(VLOOKUP(B151,Production_Cost!$L:$P,5,FALSE),G151),"BU tidak sesuai"))))</f>
        <v>2346.61</v>
      </c>
      <c r="AB151" s="1" t="str">
        <f t="shared" si="27"/>
        <v>1204-PEMAKAIAN SPARE PART</v>
      </c>
      <c r="AC151" s="1">
        <v>2238.1</v>
      </c>
    </row>
    <row r="152" spans="1:29">
      <c r="A152" s="60" t="s">
        <v>323</v>
      </c>
      <c r="B152" s="36" t="s">
        <v>124</v>
      </c>
      <c r="C152" s="60" t="s">
        <v>125</v>
      </c>
      <c r="D152" s="45" t="s">
        <v>14</v>
      </c>
      <c r="E152" s="45" t="s">
        <v>156</v>
      </c>
      <c r="F152" s="45"/>
      <c r="G152" s="163">
        <v>483</v>
      </c>
      <c r="H152" s="163"/>
      <c r="I152" s="163">
        <f t="shared" si="20"/>
        <v>483</v>
      </c>
      <c r="J152" s="48">
        <f>G152/VLOOKUP(A152,RESUME!$G$3:$I$10,3,FALSE)</f>
        <v>1.9489865088571348E-3</v>
      </c>
      <c r="K152" s="163">
        <f t="shared" si="24"/>
        <v>386.40000000000003</v>
      </c>
      <c r="L152" s="163">
        <f t="shared" si="25"/>
        <v>483</v>
      </c>
      <c r="M152" s="154">
        <f t="shared" si="21"/>
        <v>2.4362331360714183E-3</v>
      </c>
      <c r="N152" s="47" t="str">
        <f>_xlfn.IFNA(VLOOKUP(A152&amp;"-"&amp;B152&amp;"-"&amp;D152,Ref_Account!$A:$F,6,FALSE),"ACCOUNT TIDAK DITEMUKAN")</f>
        <v>1204.631140</v>
      </c>
      <c r="O152" s="45">
        <f t="shared" si="22"/>
        <v>1</v>
      </c>
      <c r="P152" s="45" t="str">
        <f t="shared" si="23"/>
        <v>OK</v>
      </c>
      <c r="Q152" s="159"/>
      <c r="R152" s="213">
        <f t="shared" si="26"/>
        <v>949</v>
      </c>
      <c r="AA152" s="1">
        <f>IF(LEFT(N152,4)="1201",_xlfn.IFNA(VLOOKUP(B152,Production_Cost!$L:$P,2,FALSE),G152),IF(LEFT(N152,4)="1204",_xlfn.IFNA(VLOOKUP(B152,Production_Cost!$L:$P,3,FALSE),G152),IF(LEFT(N152,4)="1205",_xlfn.IFNA(VLOOKUP(B152,Production_Cost!$L:$P,4,FALSE),G152),IF(LEFT(N152,4)="1206",_xlfn.IFNA(VLOOKUP(B152,Production_Cost!$L:$P,5,FALSE),G152),"BU tidak sesuai"))))</f>
        <v>483</v>
      </c>
      <c r="AB152" s="1" t="str">
        <f t="shared" si="27"/>
        <v>1204-PMKN FUEL &amp; LUBRICANT</v>
      </c>
    </row>
    <row r="153" spans="1:29">
      <c r="A153" s="61" t="s">
        <v>157</v>
      </c>
      <c r="B153" s="37" t="s">
        <v>158</v>
      </c>
      <c r="C153" s="61" t="s">
        <v>159</v>
      </c>
      <c r="D153" s="46" t="s">
        <v>12</v>
      </c>
      <c r="E153" s="46" t="s">
        <v>73</v>
      </c>
      <c r="F153" s="46"/>
      <c r="G153" s="164">
        <v>943.01</v>
      </c>
      <c r="H153" s="164">
        <v>474.59</v>
      </c>
      <c r="I153" s="164">
        <f t="shared" si="20"/>
        <v>468.42</v>
      </c>
      <c r="J153" s="50">
        <f>G153/VLOOKUP(A153,RESUME!$G$3:$I$10,3,FALSE)</f>
        <v>1.0674639092355137E-2</v>
      </c>
      <c r="K153" s="164">
        <f t="shared" si="24"/>
        <v>754.40800000000002</v>
      </c>
      <c r="L153" s="164">
        <f t="shared" si="25"/>
        <v>943.01</v>
      </c>
      <c r="M153" s="156">
        <f t="shared" si="21"/>
        <v>1.3343298865443921E-2</v>
      </c>
      <c r="N153" s="49" t="str">
        <f>_xlfn.IFNA(VLOOKUP(A153&amp;"-"&amp;B153&amp;"-"&amp;D153,Ref_Account!$A:$F,6,FALSE),"ACCOUNT TIDAK DITEMUKAN")</f>
        <v>1201.816120</v>
      </c>
      <c r="O153" s="46">
        <f t="shared" si="22"/>
        <v>1</v>
      </c>
      <c r="P153" s="46" t="str">
        <f t="shared" si="23"/>
        <v>OK</v>
      </c>
      <c r="Q153" s="206"/>
      <c r="R153" s="213">
        <f t="shared" si="26"/>
        <v>943.01</v>
      </c>
      <c r="AA153" s="1">
        <f>IF(LEFT(N153,4)="1201",_xlfn.IFNA(VLOOKUP(B153,Production_Cost!$L:$P,2,FALSE),G153),IF(LEFT(N153,4)="1204",_xlfn.IFNA(VLOOKUP(B153,Production_Cost!$L:$P,3,FALSE),G153),IF(LEFT(N153,4)="1205",_xlfn.IFNA(VLOOKUP(B153,Production_Cost!$L:$P,4,FALSE),G153),IF(LEFT(N153,4)="1206",_xlfn.IFNA(VLOOKUP(B153,Production_Cost!$L:$P,5,FALSE),G153),"BU tidak sesuai"))))</f>
        <v>474.59</v>
      </c>
      <c r="AB153" s="1" t="str">
        <f t="shared" si="27"/>
        <v>1201-ACCOUNTING&amp;TAX ADVISORY EXP.</v>
      </c>
      <c r="AC153" s="1">
        <v>474.59</v>
      </c>
    </row>
    <row r="154" spans="1:29">
      <c r="A154" s="60" t="s">
        <v>157</v>
      </c>
      <c r="B154" s="36" t="s">
        <v>160</v>
      </c>
      <c r="C154" s="60" t="s">
        <v>161</v>
      </c>
      <c r="D154" s="45" t="s">
        <v>12</v>
      </c>
      <c r="E154" s="45" t="s">
        <v>70</v>
      </c>
      <c r="F154" s="45"/>
      <c r="G154" s="163">
        <v>3000</v>
      </c>
      <c r="H154" s="163">
        <v>452.47</v>
      </c>
      <c r="I154" s="163">
        <f t="shared" si="20"/>
        <v>2547.5299999999997</v>
      </c>
      <c r="J154" s="48">
        <f>G154/VLOOKUP(A154,RESUME!$G$3:$I$10,3,FALSE)</f>
        <v>3.3959255232781635E-2</v>
      </c>
      <c r="K154" s="163">
        <f t="shared" si="24"/>
        <v>2400</v>
      </c>
      <c r="L154" s="163">
        <f t="shared" si="25"/>
        <v>3000</v>
      </c>
      <c r="M154" s="154">
        <f t="shared" si="21"/>
        <v>4.2449069040977047E-2</v>
      </c>
      <c r="N154" s="47" t="str">
        <f>_xlfn.IFNA(VLOOKUP(A154&amp;"-"&amp;B154&amp;"-"&amp;D154,Ref_Account!$A:$F,6,FALSE),"ACCOUNT TIDAK DITEMUKAN")</f>
        <v>1201.920410</v>
      </c>
      <c r="O154" s="45">
        <f t="shared" si="22"/>
        <v>1</v>
      </c>
      <c r="P154" s="45" t="str">
        <f t="shared" si="23"/>
        <v>OK</v>
      </c>
      <c r="Q154" s="159"/>
      <c r="R154" s="213">
        <f t="shared" si="26"/>
        <v>3000</v>
      </c>
      <c r="AA154" s="1">
        <f>IF(LEFT(N154,4)="1201",_xlfn.IFNA(VLOOKUP(B154,Production_Cost!$L:$P,2,FALSE),G154),IF(LEFT(N154,4)="1204",_xlfn.IFNA(VLOOKUP(B154,Production_Cost!$L:$P,3,FALSE),G154),IF(LEFT(N154,4)="1205",_xlfn.IFNA(VLOOKUP(B154,Production_Cost!$L:$P,4,FALSE),G154),IF(LEFT(N154,4)="1206",_xlfn.IFNA(VLOOKUP(B154,Production_Cost!$L:$P,5,FALSE),G154),"BU tidak sesuai"))))</f>
        <v>452.47</v>
      </c>
      <c r="AB154" s="1" t="str">
        <f t="shared" si="27"/>
        <v>1201-BANK CHARGES</v>
      </c>
      <c r="AC154" s="1">
        <v>452.47</v>
      </c>
    </row>
    <row r="155" spans="1:29">
      <c r="A155" s="61" t="s">
        <v>157</v>
      </c>
      <c r="B155" s="37" t="s">
        <v>162</v>
      </c>
      <c r="C155" s="61" t="s">
        <v>163</v>
      </c>
      <c r="D155" s="46" t="s">
        <v>12</v>
      </c>
      <c r="E155" s="46" t="s">
        <v>164</v>
      </c>
      <c r="F155" s="46"/>
      <c r="G155" s="164">
        <v>27000</v>
      </c>
      <c r="H155" s="164">
        <v>4859.3</v>
      </c>
      <c r="I155" s="164">
        <f t="shared" si="20"/>
        <v>22140.7</v>
      </c>
      <c r="J155" s="50">
        <f>G155/VLOOKUP(A155,RESUME!$G$3:$I$10,3,FALSE)</f>
        <v>0.30563329709503473</v>
      </c>
      <c r="K155" s="164">
        <f t="shared" si="24"/>
        <v>21600</v>
      </c>
      <c r="L155" s="164">
        <f t="shared" si="25"/>
        <v>27000</v>
      </c>
      <c r="M155" s="156">
        <f t="shared" si="21"/>
        <v>0.38204162136879338</v>
      </c>
      <c r="N155" s="49" t="str">
        <f>_xlfn.IFNA(VLOOKUP(A155&amp;"-"&amp;B155&amp;"-"&amp;D155,Ref_Account!$A:$F,6,FALSE),"ACCOUNT TIDAK DITEMUKAN")</f>
        <v>1201.920120</v>
      </c>
      <c r="O155" s="46">
        <f t="shared" si="22"/>
        <v>1</v>
      </c>
      <c r="P155" s="46" t="str">
        <f t="shared" si="23"/>
        <v>OK</v>
      </c>
      <c r="Q155" s="206"/>
      <c r="R155" s="213">
        <f t="shared" si="26"/>
        <v>27000</v>
      </c>
      <c r="AA155" s="1">
        <f>IF(LEFT(N155,4)="1201",_xlfn.IFNA(VLOOKUP(B155,Production_Cost!$L:$P,2,FALSE),G155),IF(LEFT(N155,4)="1204",_xlfn.IFNA(VLOOKUP(B155,Production_Cost!$L:$P,3,FALSE),G155),IF(LEFT(N155,4)="1205",_xlfn.IFNA(VLOOKUP(B155,Production_Cost!$L:$P,4,FALSE),G155),IF(LEFT(N155,4)="1206",_xlfn.IFNA(VLOOKUP(B155,Production_Cost!$L:$P,5,FALSE),G155),"BU tidak sesuai"))))</f>
        <v>0</v>
      </c>
      <c r="AB155" s="1" t="str">
        <f t="shared" si="27"/>
        <v>1201-INTEREST EXP OF DOMESTIC</v>
      </c>
      <c r="AC155" s="1">
        <v>4859.3</v>
      </c>
    </row>
    <row r="156" spans="1:29">
      <c r="A156" s="60" t="s">
        <v>157</v>
      </c>
      <c r="B156" s="36" t="s">
        <v>165</v>
      </c>
      <c r="C156" s="60" t="s">
        <v>166</v>
      </c>
      <c r="D156" s="45" t="s">
        <v>12</v>
      </c>
      <c r="E156" s="45" t="s">
        <v>70</v>
      </c>
      <c r="F156" s="45"/>
      <c r="G156" s="163">
        <v>743.73</v>
      </c>
      <c r="H156" s="163"/>
      <c r="I156" s="163">
        <f t="shared" si="20"/>
        <v>743.73</v>
      </c>
      <c r="J156" s="48">
        <f>G156/VLOOKUP(A156,RESUME!$G$3:$I$10,3,FALSE)</f>
        <v>8.4188389647588957E-3</v>
      </c>
      <c r="K156" s="163">
        <f t="shared" si="24"/>
        <v>594.98400000000004</v>
      </c>
      <c r="L156" s="163">
        <f t="shared" si="25"/>
        <v>743.73</v>
      </c>
      <c r="M156" s="154">
        <f t="shared" si="21"/>
        <v>1.052354870594862E-2</v>
      </c>
      <c r="N156" s="47" t="str">
        <f>_xlfn.IFNA(VLOOKUP(A156&amp;"-"&amp;B156&amp;"-"&amp;D156,Ref_Account!$A:$F,6,FALSE),"ACCOUNT TIDAK DITEMUKAN")</f>
        <v>1201.805120</v>
      </c>
      <c r="O156" s="45">
        <f t="shared" si="22"/>
        <v>1</v>
      </c>
      <c r="P156" s="45" t="str">
        <f t="shared" si="23"/>
        <v>OK</v>
      </c>
      <c r="Q156" s="159"/>
      <c r="R156" s="213">
        <f t="shared" si="26"/>
        <v>743.73</v>
      </c>
      <c r="AA156" s="1">
        <f>IF(LEFT(N156,4)="1201",_xlfn.IFNA(VLOOKUP(B156,Production_Cost!$L:$P,2,FALSE),G156),IF(LEFT(N156,4)="1204",_xlfn.IFNA(VLOOKUP(B156,Production_Cost!$L:$P,3,FALSE),G156),IF(LEFT(N156,4)="1205",_xlfn.IFNA(VLOOKUP(B156,Production_Cost!$L:$P,4,FALSE),G156),IF(LEFT(N156,4)="1206",_xlfn.IFNA(VLOOKUP(B156,Production_Cost!$L:$P,5,FALSE),G156),"BU tidak sesuai"))))</f>
        <v>743.73</v>
      </c>
      <c r="AB156" s="1" t="str">
        <f t="shared" si="27"/>
        <v>1201-PREMIUM COST</v>
      </c>
    </row>
    <row r="157" spans="1:29">
      <c r="A157" s="61" t="s">
        <v>157</v>
      </c>
      <c r="B157" s="37" t="s">
        <v>167</v>
      </c>
      <c r="C157" s="61" t="s">
        <v>168</v>
      </c>
      <c r="D157" s="46" t="s">
        <v>12</v>
      </c>
      <c r="E157" s="46" t="s">
        <v>169</v>
      </c>
      <c r="F157" s="46"/>
      <c r="G157" s="164">
        <v>2000</v>
      </c>
      <c r="H157" s="164">
        <v>71.38</v>
      </c>
      <c r="I157" s="164">
        <f t="shared" si="20"/>
        <v>1928.62</v>
      </c>
      <c r="J157" s="50">
        <f>G157/VLOOKUP(A157,RESUME!$G$3:$I$10,3,FALSE)</f>
        <v>2.263950348852109E-2</v>
      </c>
      <c r="K157" s="164">
        <f t="shared" si="24"/>
        <v>1600</v>
      </c>
      <c r="L157" s="164">
        <f t="shared" si="25"/>
        <v>2000</v>
      </c>
      <c r="M157" s="156">
        <f t="shared" si="21"/>
        <v>2.8299379360651362E-2</v>
      </c>
      <c r="N157" s="49" t="str">
        <f>_xlfn.IFNA(VLOOKUP(A157&amp;"-"&amp;B157&amp;"-"&amp;D157,Ref_Account!$A:$F,6,FALSE),"ACCOUNT TIDAK DITEMUKAN")</f>
        <v>1201.920700</v>
      </c>
      <c r="O157" s="46">
        <f t="shared" si="22"/>
        <v>1</v>
      </c>
      <c r="P157" s="46" t="str">
        <f t="shared" si="23"/>
        <v>OK</v>
      </c>
      <c r="Q157" s="206"/>
      <c r="R157" s="213">
        <f t="shared" si="26"/>
        <v>5000</v>
      </c>
      <c r="AA157" s="1">
        <f>IF(LEFT(N157,4)="1201",_xlfn.IFNA(VLOOKUP(B157,Production_Cost!$L:$P,2,FALSE),G157),IF(LEFT(N157,4)="1204",_xlfn.IFNA(VLOOKUP(B157,Production_Cost!$L:$P,3,FALSE),G157),IF(LEFT(N157,4)="1205",_xlfn.IFNA(VLOOKUP(B157,Production_Cost!$L:$P,4,FALSE),G157),IF(LEFT(N157,4)="1206",_xlfn.IFNA(VLOOKUP(B157,Production_Cost!$L:$P,5,FALSE),G157),"BU tidak sesuai"))))</f>
        <v>139.5</v>
      </c>
      <c r="AB157" s="1" t="str">
        <f t="shared" si="27"/>
        <v>1201-TAXES</v>
      </c>
      <c r="AC157" s="1">
        <v>71.38</v>
      </c>
    </row>
    <row r="158" spans="1:29">
      <c r="A158" s="60" t="s">
        <v>157</v>
      </c>
      <c r="B158" s="36" t="s">
        <v>167</v>
      </c>
      <c r="C158" s="60" t="s">
        <v>168</v>
      </c>
      <c r="D158" s="45" t="s">
        <v>99</v>
      </c>
      <c r="E158" s="45" t="s">
        <v>169</v>
      </c>
      <c r="F158" s="45"/>
      <c r="G158" s="163">
        <v>1000</v>
      </c>
      <c r="H158" s="163"/>
      <c r="I158" s="163">
        <f t="shared" si="20"/>
        <v>1000</v>
      </c>
      <c r="J158" s="48">
        <f>G158/VLOOKUP(A158,RESUME!$G$3:$I$10,3,FALSE)</f>
        <v>1.1319751744260545E-2</v>
      </c>
      <c r="K158" s="163">
        <f t="shared" si="24"/>
        <v>800</v>
      </c>
      <c r="L158" s="163">
        <f t="shared" si="25"/>
        <v>1000</v>
      </c>
      <c r="M158" s="154">
        <f t="shared" si="21"/>
        <v>1.4149689680325681E-2</v>
      </c>
      <c r="N158" s="47" t="str">
        <f>_xlfn.IFNA(VLOOKUP(A158&amp;"-"&amp;B158&amp;"-"&amp;D158,Ref_Account!$A:$F,6,FALSE),"ACCOUNT TIDAK DITEMUKAN")</f>
        <v>1206.920700</v>
      </c>
      <c r="O158" s="45">
        <f t="shared" si="22"/>
        <v>1</v>
      </c>
      <c r="P158" s="45" t="str">
        <f t="shared" si="23"/>
        <v>OK</v>
      </c>
      <c r="Q158" s="159"/>
      <c r="R158" s="213">
        <f t="shared" si="26"/>
        <v>5000</v>
      </c>
      <c r="AA158" s="1">
        <f>IF(LEFT(N158,4)="1201",_xlfn.IFNA(VLOOKUP(B158,Production_Cost!$L:$P,2,FALSE),G158),IF(LEFT(N158,4)="1204",_xlfn.IFNA(VLOOKUP(B158,Production_Cost!$L:$P,3,FALSE),G158),IF(LEFT(N158,4)="1205",_xlfn.IFNA(VLOOKUP(B158,Production_Cost!$L:$P,4,FALSE),G158),IF(LEFT(N158,4)="1206",_xlfn.IFNA(VLOOKUP(B158,Production_Cost!$L:$P,5,FALSE),G158),"BU tidak sesuai"))))</f>
        <v>0</v>
      </c>
      <c r="AB158" s="1" t="str">
        <f t="shared" si="27"/>
        <v>1206-TAXES</v>
      </c>
    </row>
    <row r="159" spans="1:29">
      <c r="A159" s="61" t="s">
        <v>157</v>
      </c>
      <c r="B159" s="37" t="s">
        <v>167</v>
      </c>
      <c r="C159" s="61" t="s">
        <v>168</v>
      </c>
      <c r="D159" s="46" t="s">
        <v>23</v>
      </c>
      <c r="E159" s="46" t="s">
        <v>169</v>
      </c>
      <c r="F159" s="46"/>
      <c r="G159" s="164">
        <v>1000</v>
      </c>
      <c r="H159" s="164">
        <v>197.81</v>
      </c>
      <c r="I159" s="164">
        <f t="shared" si="20"/>
        <v>802.19</v>
      </c>
      <c r="J159" s="50">
        <f>G159/VLOOKUP(A159,RESUME!$G$3:$I$10,3,FALSE)</f>
        <v>1.1319751744260545E-2</v>
      </c>
      <c r="K159" s="164">
        <f t="shared" si="24"/>
        <v>800</v>
      </c>
      <c r="L159" s="164">
        <f t="shared" si="25"/>
        <v>1000</v>
      </c>
      <c r="M159" s="156">
        <f t="shared" si="21"/>
        <v>1.4149689680325681E-2</v>
      </c>
      <c r="N159" s="49" t="str">
        <f>_xlfn.IFNA(VLOOKUP(A159&amp;"-"&amp;B159&amp;"-"&amp;D159,Ref_Account!$A:$F,6,FALSE),"ACCOUNT TIDAK DITEMUKAN")</f>
        <v>1205.920700</v>
      </c>
      <c r="O159" s="46">
        <f t="shared" si="22"/>
        <v>1</v>
      </c>
      <c r="P159" s="46" t="str">
        <f t="shared" si="23"/>
        <v>OK</v>
      </c>
      <c r="Q159" s="206"/>
      <c r="R159" s="213">
        <f t="shared" si="26"/>
        <v>5000</v>
      </c>
      <c r="AA159" s="1">
        <f>IF(LEFT(N159,4)="1201",_xlfn.IFNA(VLOOKUP(B159,Production_Cost!$L:$P,2,FALSE),G159),IF(LEFT(N159,4)="1204",_xlfn.IFNA(VLOOKUP(B159,Production_Cost!$L:$P,3,FALSE),G159),IF(LEFT(N159,4)="1205",_xlfn.IFNA(VLOOKUP(B159,Production_Cost!$L:$P,4,FALSE),G159),IF(LEFT(N159,4)="1206",_xlfn.IFNA(VLOOKUP(B159,Production_Cost!$L:$P,5,FALSE),G159),"BU tidak sesuai"))))</f>
        <v>197.81</v>
      </c>
      <c r="AB159" s="1" t="str">
        <f t="shared" si="27"/>
        <v>1205-TAXES</v>
      </c>
      <c r="AC159" s="1">
        <v>197.81</v>
      </c>
    </row>
    <row r="160" spans="1:29">
      <c r="A160" s="60" t="s">
        <v>157</v>
      </c>
      <c r="B160" s="36" t="s">
        <v>167</v>
      </c>
      <c r="C160" s="60" t="s">
        <v>168</v>
      </c>
      <c r="D160" s="45" t="s">
        <v>14</v>
      </c>
      <c r="E160" s="45" t="s">
        <v>169</v>
      </c>
      <c r="F160" s="45"/>
      <c r="G160" s="163">
        <v>1000</v>
      </c>
      <c r="H160" s="163">
        <v>68.48</v>
      </c>
      <c r="I160" s="163">
        <f t="shared" si="20"/>
        <v>931.52</v>
      </c>
      <c r="J160" s="48">
        <f>G160/VLOOKUP(A160,RESUME!$G$3:$I$10,3,FALSE)</f>
        <v>1.1319751744260545E-2</v>
      </c>
      <c r="K160" s="163">
        <f t="shared" si="24"/>
        <v>800</v>
      </c>
      <c r="L160" s="163">
        <f t="shared" si="25"/>
        <v>1000</v>
      </c>
      <c r="M160" s="154">
        <f t="shared" si="21"/>
        <v>1.4149689680325681E-2</v>
      </c>
      <c r="N160" s="47" t="str">
        <f>_xlfn.IFNA(VLOOKUP(A160&amp;"-"&amp;B160&amp;"-"&amp;D160,Ref_Account!$A:$F,6,FALSE),"ACCOUNT TIDAK DITEMUKAN")</f>
        <v>1204.920700</v>
      </c>
      <c r="O160" s="45">
        <f t="shared" si="22"/>
        <v>1</v>
      </c>
      <c r="P160" s="45" t="str">
        <f t="shared" si="23"/>
        <v>OK</v>
      </c>
      <c r="Q160" s="159"/>
      <c r="R160" s="213">
        <f t="shared" si="26"/>
        <v>5000</v>
      </c>
      <c r="AA160" s="1">
        <f>IF(LEFT(N160,4)="1201",_xlfn.IFNA(VLOOKUP(B160,Production_Cost!$L:$P,2,FALSE),G160),IF(LEFT(N160,4)="1204",_xlfn.IFNA(VLOOKUP(B160,Production_Cost!$L:$P,3,FALSE),G160),IF(LEFT(N160,4)="1205",_xlfn.IFNA(VLOOKUP(B160,Production_Cost!$L:$P,4,FALSE),G160),IF(LEFT(N160,4)="1206",_xlfn.IFNA(VLOOKUP(B160,Production_Cost!$L:$P,5,FALSE),G160),"BU tidak sesuai"))))</f>
        <v>68.48</v>
      </c>
      <c r="AB160" s="1" t="str">
        <f t="shared" si="27"/>
        <v>1204-TAXES</v>
      </c>
      <c r="AC160" s="1">
        <v>68.48</v>
      </c>
    </row>
    <row r="161" spans="1:28">
      <c r="A161" s="61" t="s">
        <v>157</v>
      </c>
      <c r="B161" s="37" t="s">
        <v>144</v>
      </c>
      <c r="C161" s="61" t="s">
        <v>145</v>
      </c>
      <c r="D161" s="46" t="s">
        <v>12</v>
      </c>
      <c r="E161" s="46" t="s">
        <v>146</v>
      </c>
      <c r="F161" s="46"/>
      <c r="G161" s="164">
        <v>45654.420000000006</v>
      </c>
      <c r="H161" s="164"/>
      <c r="I161" s="164">
        <f t="shared" si="20"/>
        <v>45654.420000000006</v>
      </c>
      <c r="J161" s="50">
        <f>G161/VLOOKUP(A161,RESUME!$G$3:$I$10,3,FALSE)</f>
        <v>0.51679670042820358</v>
      </c>
      <c r="K161" s="164">
        <f t="shared" si="24"/>
        <v>36523.536000000007</v>
      </c>
      <c r="L161" s="164">
        <f t="shared" si="25"/>
        <v>45654.420000000006</v>
      </c>
      <c r="M161" s="156">
        <f t="shared" si="21"/>
        <v>0.6459958755352545</v>
      </c>
      <c r="N161" s="49" t="str">
        <f>_xlfn.IFNA(VLOOKUP(A161&amp;"-"&amp;B161&amp;"-"&amp;D161,Ref_Account!$A:$F,6,FALSE),"ACCOUNT TIDAK DITEMUKAN")</f>
        <v>1201.801110</v>
      </c>
      <c r="O161" s="46">
        <f t="shared" si="22"/>
        <v>1</v>
      </c>
      <c r="P161" s="46" t="str">
        <f t="shared" si="23"/>
        <v>OK</v>
      </c>
      <c r="Q161" s="206"/>
      <c r="R161" s="213">
        <f t="shared" si="26"/>
        <v>65254.420000000006</v>
      </c>
      <c r="AA161" s="1">
        <f>IF(LEFT(N161,4)="1201",_xlfn.IFNA(VLOOKUP(B161,Production_Cost!$L:$P,2,FALSE),G161),IF(LEFT(N161,4)="1204",_xlfn.IFNA(VLOOKUP(B161,Production_Cost!$L:$P,3,FALSE),G161),IF(LEFT(N161,4)="1205",_xlfn.IFNA(VLOOKUP(B161,Production_Cost!$L:$P,4,FALSE),G161),IF(LEFT(N161,4)="1206",_xlfn.IFNA(VLOOKUP(B161,Production_Cost!$L:$P,5,FALSE),G161),"BU tidak sesuai"))))</f>
        <v>0</v>
      </c>
      <c r="AB161" s="1" t="str">
        <f t="shared" si="27"/>
        <v>1201-OFFICER SALARIES</v>
      </c>
    </row>
    <row r="162" spans="1:28">
      <c r="A162" s="60" t="s">
        <v>157</v>
      </c>
      <c r="B162" s="36" t="s">
        <v>144</v>
      </c>
      <c r="C162" s="60" t="s">
        <v>145</v>
      </c>
      <c r="D162" s="45" t="s">
        <v>14</v>
      </c>
      <c r="E162" s="45" t="s">
        <v>146</v>
      </c>
      <c r="F162" s="45"/>
      <c r="G162" s="163">
        <v>6000</v>
      </c>
      <c r="H162" s="163"/>
      <c r="I162" s="163">
        <f t="shared" si="20"/>
        <v>6000</v>
      </c>
      <c r="J162" s="48">
        <f>G162/VLOOKUP(A162,RESUME!$G$3:$I$10,3,FALSE)</f>
        <v>6.791851046556327E-2</v>
      </c>
      <c r="K162" s="163">
        <f t="shared" si="24"/>
        <v>4800</v>
      </c>
      <c r="L162" s="163">
        <f t="shared" si="25"/>
        <v>6000</v>
      </c>
      <c r="M162" s="154">
        <f t="shared" si="21"/>
        <v>8.4898138081954094E-2</v>
      </c>
      <c r="N162" s="47" t="str">
        <f>_xlfn.IFNA(VLOOKUP(A162&amp;"-"&amp;B162&amp;"-"&amp;D162,Ref_Account!$A:$F,6,FALSE),"ACCOUNT TIDAK DITEMUKAN")</f>
        <v>1204.801110</v>
      </c>
      <c r="O162" s="45">
        <f t="shared" si="22"/>
        <v>1</v>
      </c>
      <c r="P162" s="45" t="str">
        <f t="shared" si="23"/>
        <v>OK</v>
      </c>
      <c r="Q162" s="159"/>
      <c r="R162" s="213">
        <f t="shared" si="26"/>
        <v>65254.420000000006</v>
      </c>
      <c r="AA162" s="1">
        <f>IF(LEFT(N162,4)="1201",_xlfn.IFNA(VLOOKUP(B162,Production_Cost!$L:$P,2,FALSE),G162),IF(LEFT(N162,4)="1204",_xlfn.IFNA(VLOOKUP(B162,Production_Cost!$L:$P,3,FALSE),G162),IF(LEFT(N162,4)="1205",_xlfn.IFNA(VLOOKUP(B162,Production_Cost!$L:$P,4,FALSE),G162),IF(LEFT(N162,4)="1206",_xlfn.IFNA(VLOOKUP(B162,Production_Cost!$L:$P,5,FALSE),G162),"BU tidak sesuai"))))</f>
        <v>0</v>
      </c>
      <c r="AB162" s="1" t="str">
        <f t="shared" si="27"/>
        <v>1204-OFFICER SALARIES</v>
      </c>
    </row>
  </sheetData>
  <autoFilter ref="A5:AA162" xr:uid="{00000000-0001-0000-0000-000000000000}"/>
  <conditionalFormatting sqref="P6:P1048576">
    <cfRule type="containsText" dxfId="2" priority="2" operator="containsText" text="OVER">
      <formula>NOT(ISERROR(SEARCH("OVER",P6)))</formula>
    </cfRule>
  </conditionalFormatting>
  <conditionalFormatting sqref="I3:I1048576">
    <cfRule type="cellIs" dxfId="1" priority="1" operator="lessThanOrEqual">
      <formula>0</formula>
    </cfRule>
  </conditionalFormatting>
  <hyperlinks>
    <hyperlink ref="B6" r:id="rId1" xr:uid="{7D1307EF-9524-41E2-97E4-2339187A8182}"/>
    <hyperlink ref="B7" r:id="rId2" xr:uid="{246D51B9-5C32-4C4F-9E0F-2EDAF1ABAB26}"/>
    <hyperlink ref="B8" r:id="rId3" xr:uid="{3A187186-74B1-415E-A9C1-30356DD15F17}"/>
    <hyperlink ref="B9" r:id="rId4" xr:uid="{13B1A3DE-FD6D-4EC2-B9EE-922E20639948}"/>
    <hyperlink ref="B10" r:id="rId5" xr:uid="{C82A100C-D70A-4CA7-951A-3514626A9933}"/>
    <hyperlink ref="B11" r:id="rId6" xr:uid="{619CAA31-053D-4D02-8321-0539BC5B7A2B}"/>
    <hyperlink ref="B12" r:id="rId7" xr:uid="{A13C42EB-0636-472E-B5E7-E680AC1BF4FB}"/>
    <hyperlink ref="B13" r:id="rId8" xr:uid="{9F9A87EB-7028-46E5-80B7-E816A17A1D06}"/>
    <hyperlink ref="B14" r:id="rId9" xr:uid="{00EC0F6C-5749-4DC9-BD7A-D0921E135484}"/>
    <hyperlink ref="B15" r:id="rId10" xr:uid="{87ED0D22-5516-4622-8990-4F69C4908889}"/>
    <hyperlink ref="B16" r:id="rId11" xr:uid="{7D51CF01-F58C-4F9F-A2C1-99093E989620}"/>
    <hyperlink ref="B17" r:id="rId12" xr:uid="{D7E920A8-4A2B-46AE-A2BF-76B316CA91D2}"/>
    <hyperlink ref="B18" r:id="rId13" xr:uid="{0A340390-6D41-49AB-9816-DF56E843CDA3}"/>
    <hyperlink ref="B19" r:id="rId14" xr:uid="{B94E05DF-370A-48C7-8BE1-F875541B9688}"/>
    <hyperlink ref="B20" r:id="rId15" xr:uid="{F47575CE-0329-4BB8-921F-469FEFE75EE6}"/>
    <hyperlink ref="B21" r:id="rId16" xr:uid="{D4BEDADB-5618-43CC-9D92-81B8F6A2A5C8}"/>
    <hyperlink ref="B22" r:id="rId17" xr:uid="{32DF8317-C06B-4D2F-82C8-5F61C136F2BE}"/>
    <hyperlink ref="B23" r:id="rId18" xr:uid="{9F6242F2-2987-45B1-BB33-45CF6AFC863F}"/>
    <hyperlink ref="B24" r:id="rId19" xr:uid="{465146B0-5DF5-4C05-9FD2-4A2AA1E0DF44}"/>
    <hyperlink ref="B25" r:id="rId20" xr:uid="{408731E5-76FF-47D1-BA9D-11FFF57BC047}"/>
    <hyperlink ref="B26" r:id="rId21" xr:uid="{69EEDEB5-0305-4827-B080-94D8F8911863}"/>
    <hyperlink ref="B27" r:id="rId22" xr:uid="{C07DCDBA-7884-4FBD-BF8B-9A6EE68B6861}"/>
    <hyperlink ref="B28" r:id="rId23" xr:uid="{76804065-45E5-47E3-BE6A-8C446E880C22}"/>
    <hyperlink ref="B29" r:id="rId24" xr:uid="{EE04A706-0E94-4D12-B357-50E7C72A9F0D}"/>
    <hyperlink ref="B30" r:id="rId25" xr:uid="{1683DCAA-7F48-4D8F-885C-5CEEE8FC1021}"/>
    <hyperlink ref="B31" r:id="rId26" xr:uid="{71C53358-6402-4B46-8CE4-22EDF04D08B2}"/>
    <hyperlink ref="B32" r:id="rId27" xr:uid="{0FF98B8D-592F-41E9-A95B-C4C9F6C5AA1B}"/>
    <hyperlink ref="B33" r:id="rId28" xr:uid="{4A3EE2CC-F158-4D67-87B3-6751EE246291}"/>
    <hyperlink ref="B34" r:id="rId29" xr:uid="{B6D19FBB-DA20-43DE-99D0-B4C0A5D6F50B}"/>
    <hyperlink ref="B35" r:id="rId30" xr:uid="{87B766AA-E185-4F3E-879E-3904542E5592}"/>
    <hyperlink ref="B36" r:id="rId31" xr:uid="{F53A0EA6-E87C-4520-868E-FEFAFF9238DF}"/>
    <hyperlink ref="B37" r:id="rId32" xr:uid="{ACFDA72D-AABF-4DF5-8450-29D1A5252293}"/>
    <hyperlink ref="B38" r:id="rId33" xr:uid="{C97229FC-77C8-4F03-B387-4CACD08BFF80}"/>
    <hyperlink ref="B39" r:id="rId34" xr:uid="{FFA98CB4-4D91-496B-B74A-F824A6D78EC5}"/>
    <hyperlink ref="B40" r:id="rId35" xr:uid="{E00BDD9A-499E-4DCA-9887-56BFC4D368B6}"/>
    <hyperlink ref="B41" r:id="rId36" xr:uid="{84111E8E-E6EE-48B9-8006-AB2ECC99F957}"/>
    <hyperlink ref="B42" r:id="rId37" xr:uid="{640FB3E7-2A3E-4457-9725-867587B550D7}"/>
    <hyperlink ref="B43" r:id="rId38" xr:uid="{9B32073D-F97F-4C3E-B9BC-A271EC5116E3}"/>
    <hyperlink ref="B44" r:id="rId39" xr:uid="{0283C915-BA5D-4FF2-A7EC-6EA54840C131}"/>
    <hyperlink ref="B45" r:id="rId40" xr:uid="{6940D8A1-5737-4B4F-B725-3C696404C3A1}"/>
    <hyperlink ref="B46" r:id="rId41" xr:uid="{834C3E84-766E-4296-8277-417725C8EF1B}"/>
    <hyperlink ref="B47" r:id="rId42" xr:uid="{9B89B1FC-7B05-457B-B8A4-715937990637}"/>
    <hyperlink ref="B48" r:id="rId43" xr:uid="{0F71256A-8DB8-421B-8FF8-948375FB7526}"/>
    <hyperlink ref="B49" r:id="rId44" xr:uid="{AED96E60-DBFB-4334-B274-7927506056AD}"/>
    <hyperlink ref="B50" r:id="rId45" xr:uid="{EC0B2F94-F94B-496E-A5D4-E2722532730D}"/>
    <hyperlink ref="B51" r:id="rId46" xr:uid="{9A1688A7-88BF-477C-8C51-221D2A1BB7C7}"/>
    <hyperlink ref="B52" r:id="rId47" xr:uid="{0A476CDD-12B6-4E3A-9965-5385AE1A6CAE}"/>
    <hyperlink ref="B53" r:id="rId48" xr:uid="{4A9A1019-68AD-4DBC-9977-BFC9B8606D15}"/>
    <hyperlink ref="B54" r:id="rId49" xr:uid="{8EADFA3E-2E6E-4FDC-92FA-888DC9F9C34D}"/>
    <hyperlink ref="B55" r:id="rId50" xr:uid="{6EE42537-0B3C-4FBE-8115-66115EEDCF6F}"/>
    <hyperlink ref="B56" r:id="rId51" xr:uid="{E905D1C7-1C2E-4D67-9BC0-FDB5681D2AC4}"/>
    <hyperlink ref="B57" r:id="rId52" xr:uid="{28DFDE95-20C0-43B7-BD2F-A69AB2CF2A84}"/>
    <hyperlink ref="B58" r:id="rId53" xr:uid="{2D1B3F66-ECCF-40AF-876D-B25B70E77818}"/>
    <hyperlink ref="B59" r:id="rId54" xr:uid="{F9EFF41E-40EE-4479-A8D5-932598C03EAF}"/>
    <hyperlink ref="B60" r:id="rId55" xr:uid="{C2AFC8B5-28CA-47DC-A9DC-CDE842D16F24}"/>
    <hyperlink ref="B61" r:id="rId56" xr:uid="{E0041190-06F4-4955-B9BC-AF972054A169}"/>
    <hyperlink ref="B62" r:id="rId57" xr:uid="{32099AA7-F063-4212-998D-D9A731519927}"/>
    <hyperlink ref="B63" r:id="rId58" xr:uid="{69A24B10-6AB9-48DE-8A04-B89A36116DC0}"/>
    <hyperlink ref="B64" r:id="rId59" xr:uid="{9021C7D8-F254-4151-8952-144D5BEB4933}"/>
    <hyperlink ref="B65" r:id="rId60" xr:uid="{9725D18C-3D54-4D7A-B541-ED05834A2AC6}"/>
    <hyperlink ref="B66" r:id="rId61" xr:uid="{215B081C-D639-4AC1-816B-E11EE607C6BD}"/>
    <hyperlink ref="B67" r:id="rId62" xr:uid="{D795AA95-E5E8-4941-BB3B-70DC8BC6DE34}"/>
    <hyperlink ref="B68" r:id="rId63" xr:uid="{1B3C910B-46DD-46DD-B181-D4B9B4ABC5E0}"/>
    <hyperlink ref="B69" r:id="rId64" xr:uid="{57F1C8E6-8E71-4D98-AB93-C005EAB79EB5}"/>
    <hyperlink ref="B70" r:id="rId65" xr:uid="{D4FDCB4E-C4F3-4679-9059-742D134CF2A6}"/>
    <hyperlink ref="B71" r:id="rId66" xr:uid="{4B6973E5-C75A-4E67-8EDC-410407726A88}"/>
    <hyperlink ref="B72" r:id="rId67" xr:uid="{DE0A8E5E-2F66-4162-8F3C-9A1FDF64BC0D}"/>
    <hyperlink ref="B73" r:id="rId68" xr:uid="{E50B2A3A-3ECF-4FFA-8EDD-9A9D6664ED0A}"/>
    <hyperlink ref="B74" r:id="rId69" xr:uid="{5A3D1E26-2F49-4240-AC57-EEB32CE1BC84}"/>
    <hyperlink ref="B75" r:id="rId70" xr:uid="{93C458BE-FACB-46F8-AE03-1D872F02CD33}"/>
    <hyperlink ref="B76" r:id="rId71" xr:uid="{BFE0AAB1-F3B1-4838-B185-96E2D53F3BC6}"/>
    <hyperlink ref="B77" r:id="rId72" xr:uid="{35D19E7A-9A1F-4066-B9E6-D614B6D14541}"/>
    <hyperlink ref="B78" r:id="rId73" xr:uid="{74A0C847-D878-4D0E-AC93-11787076B0EE}"/>
    <hyperlink ref="B79" r:id="rId74" xr:uid="{061C873B-A9F0-46DF-9245-E19F1D7B1E95}"/>
    <hyperlink ref="B80" r:id="rId75" xr:uid="{FB1868F6-150F-45BE-9FAD-8BAAC562880C}"/>
    <hyperlink ref="B81" r:id="rId76" xr:uid="{498313BE-9150-4EBC-8EE4-2598DBCE35E3}"/>
    <hyperlink ref="B82" r:id="rId77" xr:uid="{FFE0BDD3-2A61-45A0-A603-C98A69B6010C}"/>
    <hyperlink ref="B83" r:id="rId78" xr:uid="{CC88E85A-D85A-4405-B755-0297386A792D}"/>
    <hyperlink ref="B84" r:id="rId79" xr:uid="{181F60FD-31FD-4886-B1FD-107ECE1BDF44}"/>
    <hyperlink ref="B85" r:id="rId80" xr:uid="{6B917998-7BEE-4BA6-9762-E25C2DC7516E}"/>
    <hyperlink ref="B86" r:id="rId81" xr:uid="{BD38ADB6-8E74-47FB-9958-5476FAA4CE63}"/>
    <hyperlink ref="B87" r:id="rId82" xr:uid="{08482068-9C94-4345-A403-D2F24CD5F0C2}"/>
    <hyperlink ref="B88" r:id="rId83" xr:uid="{4D2602D1-BB80-49B7-BEF7-AACB47002910}"/>
    <hyperlink ref="B89" r:id="rId84" xr:uid="{B59FBAD2-C470-4183-BA05-2C761CF99172}"/>
    <hyperlink ref="B90" r:id="rId85" xr:uid="{6B8F4FF5-FA68-409E-86E7-C75C3FDF6FB7}"/>
    <hyperlink ref="B91" r:id="rId86" xr:uid="{241031C8-71EB-4C94-AA64-2AA5177F04FF}"/>
    <hyperlink ref="B92" r:id="rId87" xr:uid="{9A7A2906-CFD9-4057-A06A-EA8CF2A55D25}"/>
    <hyperlink ref="B93" r:id="rId88" xr:uid="{FCCC4715-AEB7-4BF9-82A6-65187568B77E}"/>
    <hyperlink ref="B94" r:id="rId89" xr:uid="{F68B1B22-42AE-4BCC-AC98-9A3866EFCCAC}"/>
    <hyperlink ref="B95" r:id="rId90" xr:uid="{4ED568A7-F3BC-4DEA-9157-B2FC9F8D8B2D}"/>
    <hyperlink ref="B96" r:id="rId91" xr:uid="{11062A76-B79D-4F6A-9E44-4722493274E4}"/>
    <hyperlink ref="B97" r:id="rId92" xr:uid="{25D31249-8078-4302-836C-0B4503BE66F9}"/>
    <hyperlink ref="B98" r:id="rId93" xr:uid="{F9CCC5AA-13D2-4803-9761-FA67B67B5AB5}"/>
    <hyperlink ref="B99" r:id="rId94" xr:uid="{98C7C7C5-0DCF-47BA-9D20-39761F20103B}"/>
    <hyperlink ref="B100" r:id="rId95" xr:uid="{AA464BBC-85B1-4530-A2EF-31E10BAB16C8}"/>
    <hyperlink ref="B101" r:id="rId96" xr:uid="{B0318FE3-D273-4D00-B95A-4B7E86DFFD58}"/>
    <hyperlink ref="B102" r:id="rId97" xr:uid="{2982CAF3-8DE9-464C-9410-EDB6891DE2F7}"/>
    <hyperlink ref="B103" r:id="rId98" xr:uid="{A4C43023-921F-420C-8ED9-10CE9850D17B}"/>
    <hyperlink ref="B104" r:id="rId99" xr:uid="{740CB77E-80B1-4B6C-8B8B-429CDAD5191E}"/>
    <hyperlink ref="B105" r:id="rId100" xr:uid="{943A82A7-3A36-4100-B629-86D507C0CA66}"/>
    <hyperlink ref="B106" r:id="rId101" xr:uid="{9CFF4FF1-0F04-4FC1-B9C5-AA30CD3E256D}"/>
    <hyperlink ref="B107" r:id="rId102" xr:uid="{4F2E0F75-230D-427F-90CC-CF8D951399B5}"/>
    <hyperlink ref="B108" r:id="rId103" xr:uid="{9E3BB937-C8D3-466C-8BE8-215FD8986A92}"/>
    <hyperlink ref="B109" r:id="rId104" xr:uid="{2A78E7B3-3845-41DA-811F-7C5D3C7ADD51}"/>
    <hyperlink ref="B110" r:id="rId105" xr:uid="{A43C7446-69DD-4660-BCD4-31E816BEDED3}"/>
    <hyperlink ref="B111" r:id="rId106" xr:uid="{CEE149B5-BDF4-48CA-8AF6-B9ECD5BA07F2}"/>
    <hyperlink ref="B112" r:id="rId107" xr:uid="{024809EE-5B5A-4D51-A368-D4E8DB537CE7}"/>
    <hyperlink ref="B113" r:id="rId108" xr:uid="{F9F15588-7CED-492A-A5E4-0A2A5B6FAD6C}"/>
    <hyperlink ref="B114" r:id="rId109" xr:uid="{EA0DBC28-5FA4-40DA-AFE1-C01D1E2B5D43}"/>
    <hyperlink ref="B115" r:id="rId110" xr:uid="{4B223989-447F-4833-BD1B-E652E2282C60}"/>
    <hyperlink ref="B116" r:id="rId111" xr:uid="{1168BCCB-5996-4FA6-BCC0-6053A7E733C4}"/>
    <hyperlink ref="B117" r:id="rId112" xr:uid="{2107CB25-9F2B-4284-8393-6D0A743BBAE1}"/>
    <hyperlink ref="B118" r:id="rId113" xr:uid="{E613C9C4-B9C0-4385-B180-32C8E77DF3A6}"/>
    <hyperlink ref="B119" r:id="rId114" xr:uid="{8F5BCE5E-A9C3-425A-905B-CFB2F896B4D8}"/>
    <hyperlink ref="B120" r:id="rId115" xr:uid="{A3B97C4B-3E0D-48B8-B5AB-ABFF86124674}"/>
    <hyperlink ref="B121" r:id="rId116" xr:uid="{4A889034-67F8-4C3E-AC53-0833F1AE5D97}"/>
    <hyperlink ref="B122" r:id="rId117" xr:uid="{BD179C9F-E364-45C6-B158-CF7954B82C33}"/>
    <hyperlink ref="B123" r:id="rId118" xr:uid="{DE6D3EE4-7868-462A-A857-F9E290B22BD5}"/>
    <hyperlink ref="B124" r:id="rId119" xr:uid="{2DE57721-C654-40B9-85E9-D4B4642CCE32}"/>
    <hyperlink ref="B125" r:id="rId120" xr:uid="{1C53E5AE-ADB3-43B8-88F8-556F24F4E8BD}"/>
    <hyperlink ref="B126" r:id="rId121" xr:uid="{86FC23CD-1521-4CAD-BA60-EBC37E01915B}"/>
    <hyperlink ref="B127" r:id="rId122" xr:uid="{37257B6E-E7AC-406E-B11F-4B04BABF07EA}"/>
    <hyperlink ref="B128" r:id="rId123" xr:uid="{663CAE25-28BF-4671-BB57-1AACD3822526}"/>
    <hyperlink ref="B129" r:id="rId124" xr:uid="{38A8F065-50D3-4027-BD82-675DF26F1086}"/>
    <hyperlink ref="B130" r:id="rId125" xr:uid="{05797234-1A34-4FDD-9660-74D5C23D0B48}"/>
    <hyperlink ref="B131" r:id="rId126" xr:uid="{209868AC-78B3-4783-B172-D764E69C0D80}"/>
    <hyperlink ref="B132" r:id="rId127" xr:uid="{D9385F81-F1D4-4BAA-9D93-A37B3E597E5D}"/>
    <hyperlink ref="B133" r:id="rId128" xr:uid="{DA3ACA55-DBBE-431D-853E-8F362B14764C}"/>
    <hyperlink ref="B134" r:id="rId129" xr:uid="{C81AEC14-7612-4D9C-B5F5-9914AA332DFA}"/>
    <hyperlink ref="B135" r:id="rId130" xr:uid="{2618CCF9-EE16-405E-A1F9-FE17249EF5EC}"/>
    <hyperlink ref="B136" r:id="rId131" xr:uid="{B05CD40D-B5A5-40A5-AABD-A54848998157}"/>
    <hyperlink ref="B137" r:id="rId132" xr:uid="{8EB531DF-DAAC-43C7-A97D-A22666AF9AA5}"/>
    <hyperlink ref="B138" r:id="rId133" xr:uid="{339941CF-D5AB-45E0-B86D-E73C051DB949}"/>
    <hyperlink ref="B139" r:id="rId134" xr:uid="{ABEF39AB-BA77-42FD-BB92-66975EC9A4AA}"/>
    <hyperlink ref="B140" r:id="rId135" xr:uid="{7245DAA8-A6D2-4AB3-8E12-75E6397EE537}"/>
    <hyperlink ref="B141" r:id="rId136" xr:uid="{35AA9834-8A92-416B-8FC9-79652BBEEDE1}"/>
    <hyperlink ref="B142" r:id="rId137" xr:uid="{92B06DB5-B17E-4027-B6EA-27B5924FB317}"/>
    <hyperlink ref="B143" r:id="rId138" xr:uid="{E2D0F571-EAF2-45E8-98A3-F87149827E69}"/>
    <hyperlink ref="B144" r:id="rId139" xr:uid="{3E635DC3-A6C1-4168-AEEA-709F608A5682}"/>
    <hyperlink ref="B145" r:id="rId140" xr:uid="{ADE9563C-4B27-4C34-9E9A-3622C3764615}"/>
    <hyperlink ref="B146" r:id="rId141" xr:uid="{78F066DB-753A-4906-A1A4-46797CC215B9}"/>
    <hyperlink ref="B147" r:id="rId142" xr:uid="{8599720E-C585-4366-B36A-B37A44ABC5B1}"/>
    <hyperlink ref="B148" r:id="rId143" xr:uid="{73EDCAF9-08EF-46B2-B4D7-50092A1865E1}"/>
    <hyperlink ref="B149" r:id="rId144" xr:uid="{B946960B-BF77-4767-A70E-2802FA987F6F}"/>
    <hyperlink ref="B150" r:id="rId145" xr:uid="{BB7ACC39-5356-4EF1-A3AF-1105F05AF115}"/>
    <hyperlink ref="B151" r:id="rId146" xr:uid="{9E2C8F6E-132D-499B-BF79-8F849A8984F7}"/>
    <hyperlink ref="B152" r:id="rId147" xr:uid="{84EC1A30-E563-4AE7-B724-0B308C821706}"/>
    <hyperlink ref="B153" r:id="rId148" xr:uid="{978FE246-0444-42F5-86B1-322C72B2E1AA}"/>
    <hyperlink ref="B154" r:id="rId149" xr:uid="{49FE3456-6E68-4D27-9A77-210D6D0C6980}"/>
    <hyperlink ref="B155" r:id="rId150" xr:uid="{2DAFF601-6BA7-45BD-B308-79C92BDB45C8}"/>
    <hyperlink ref="B156" r:id="rId151" xr:uid="{05D45701-0C7D-462F-8BA0-FD6EC9081CD8}"/>
    <hyperlink ref="B157" r:id="rId152" xr:uid="{0B0F59A5-419C-4519-9A05-21697C02F48E}"/>
    <hyperlink ref="B158" r:id="rId153" xr:uid="{575AAB63-4DC7-43FB-81D5-1F9CFFF304DD}"/>
    <hyperlink ref="B159" r:id="rId154" xr:uid="{42666742-EB45-4F57-930B-18EEF0A1DD46}"/>
    <hyperlink ref="B160" r:id="rId155" xr:uid="{7CAB1A5F-6D62-4B19-9BF7-50C1B75071BD}"/>
    <hyperlink ref="B161" r:id="rId156" xr:uid="{5B2AD676-AF24-4082-A7CE-BF63FAD2B34C}"/>
    <hyperlink ref="B162" r:id="rId157" xr:uid="{C780D994-E0CA-4806-B174-584EFC7CC945}"/>
  </hyperlinks>
  <pageMargins left="0.7" right="0.7" top="0.75" bottom="0.75" header="0.3" footer="0.3"/>
  <pageSetup paperSize="9" orientation="portrait" r:id="rId158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T146"/>
  <sheetViews>
    <sheetView tabSelected="1" zoomScale="85" zoomScaleNormal="85" workbookViewId="0">
      <pane xSplit="1" ySplit="4" topLeftCell="G5" activePane="bottomRight" state="frozen"/>
      <selection activeCell="C4" sqref="C4"/>
      <selection pane="topRight" activeCell="C4" sqref="C4"/>
      <selection pane="bottomLeft" activeCell="C4" sqref="C4"/>
      <selection pane="bottomRight" activeCell="L13" sqref="L13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12.42578125" hidden="1" customWidth="1"/>
    <col min="10" max="11" width="4.5703125" customWidth="1"/>
    <col min="12" max="12" width="24.28515625" customWidth="1"/>
    <col min="13" max="13" width="10.28515625" bestFit="1" customWidth="1"/>
    <col min="14" max="16" width="9.140625" customWidth="1"/>
    <col min="17" max="17" width="14.5703125" style="216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20" ht="18.75">
      <c r="A1" s="188" t="s">
        <v>361</v>
      </c>
      <c r="B1" s="188"/>
      <c r="C1" s="188"/>
      <c r="D1" s="188"/>
      <c r="E1" s="188"/>
      <c r="F1" s="188"/>
      <c r="G1" s="188"/>
      <c r="H1" s="188"/>
    </row>
    <row r="2" spans="1:20" ht="15.75">
      <c r="A2" s="189" t="s">
        <v>362</v>
      </c>
      <c r="B2" s="189"/>
      <c r="C2" s="189"/>
      <c r="D2" s="189"/>
      <c r="E2" s="189"/>
      <c r="F2" s="189"/>
      <c r="G2" s="189"/>
      <c r="H2" s="189"/>
    </row>
    <row r="3" spans="1:20">
      <c r="A3" s="109" t="s">
        <v>363</v>
      </c>
      <c r="B3" s="148">
        <f>B140</f>
        <v>-58146.039720000234</v>
      </c>
      <c r="C3" s="190"/>
      <c r="D3" s="168"/>
      <c r="E3" s="168"/>
      <c r="F3" s="168"/>
      <c r="G3" s="191"/>
      <c r="H3" s="148">
        <f>H140</f>
        <v>-33950.792000000016</v>
      </c>
    </row>
    <row r="4" spans="1:20" ht="24.75" customHeight="1">
      <c r="A4" s="110" t="s">
        <v>364</v>
      </c>
      <c r="B4" s="118" t="s">
        <v>365</v>
      </c>
      <c r="C4" s="110" t="s">
        <v>366</v>
      </c>
      <c r="D4" s="110" t="s">
        <v>367</v>
      </c>
      <c r="E4" s="110" t="s">
        <v>368</v>
      </c>
      <c r="F4" s="110" t="s">
        <v>369</v>
      </c>
      <c r="G4" s="111" t="s">
        <v>370</v>
      </c>
      <c r="H4" s="118" t="s">
        <v>371</v>
      </c>
      <c r="K4" t="s">
        <v>544</v>
      </c>
      <c r="L4" s="22" t="s">
        <v>545</v>
      </c>
      <c r="M4" s="22">
        <v>1201</v>
      </c>
      <c r="N4" s="22">
        <v>1204</v>
      </c>
      <c r="O4" s="22">
        <v>1205</v>
      </c>
      <c r="P4" s="22">
        <v>1206</v>
      </c>
      <c r="Q4" s="217" t="s">
        <v>366</v>
      </c>
      <c r="R4" t="s">
        <v>367</v>
      </c>
      <c r="S4" t="s">
        <v>368</v>
      </c>
      <c r="T4" t="s">
        <v>369</v>
      </c>
    </row>
    <row r="5" spans="1:20" ht="15.75">
      <c r="A5" s="147" t="s">
        <v>372</v>
      </c>
      <c r="B5" s="122"/>
      <c r="C5" s="123"/>
      <c r="D5" s="123"/>
      <c r="E5" s="123"/>
      <c r="F5" s="119"/>
      <c r="G5" s="119"/>
      <c r="H5" s="123"/>
      <c r="K5">
        <f>ROW(A5)</f>
        <v>5</v>
      </c>
      <c r="L5" t="s">
        <v>531</v>
      </c>
      <c r="M5" s="24">
        <f>C5</f>
        <v>0</v>
      </c>
      <c r="N5" s="24">
        <f>D5</f>
        <v>0</v>
      </c>
      <c r="O5" s="24">
        <f>E5</f>
        <v>0</v>
      </c>
      <c r="P5" s="24">
        <f>F5</f>
        <v>0</v>
      </c>
      <c r="Q5" s="24">
        <f>_xlfn.IFNA(VLOOKUP("1201-"&amp;L5,'All Costing'!$AB:$AC,2,FALSE),C5)</f>
        <v>0</v>
      </c>
      <c r="R5" s="24">
        <f>_xlfn.IFNA(VLOOKUP("1204-"&amp;L5,'All Costing'!$AB:$AC,2,FALSE),C5)</f>
        <v>0</v>
      </c>
      <c r="S5">
        <f>_xlfn.IFNA(VLOOKUP("1205-"&amp;L5,'All Costing'!$AB:$AC,2,FALSE),C5)</f>
        <v>0</v>
      </c>
      <c r="T5">
        <f>_xlfn.IFNA(VLOOKUP("1206-"&amp;L5,'All Costing'!$AB:$AC,2,FALSE),C5)</f>
        <v>0</v>
      </c>
    </row>
    <row r="6" spans="1:20">
      <c r="A6" s="124" t="s">
        <v>373</v>
      </c>
      <c r="B6" s="122"/>
      <c r="C6" s="125"/>
      <c r="D6" s="125"/>
      <c r="E6" s="125"/>
      <c r="F6" s="123"/>
      <c r="G6" s="126"/>
      <c r="H6" s="125"/>
      <c r="K6">
        <f t="shared" ref="K6:K69" si="0">ROW(A6)</f>
        <v>6</v>
      </c>
      <c r="L6" t="s">
        <v>531</v>
      </c>
      <c r="M6" s="24">
        <f t="shared" ref="M5:M17" si="1">C6</f>
        <v>0</v>
      </c>
      <c r="N6" s="24">
        <f t="shared" ref="N5:N17" si="2">D6</f>
        <v>0</v>
      </c>
      <c r="O6" s="24">
        <f t="shared" ref="O5:O17" si="3">E6</f>
        <v>0</v>
      </c>
      <c r="P6" s="24">
        <f t="shared" ref="P5:P17" si="4">F6</f>
        <v>0</v>
      </c>
      <c r="Q6" s="24">
        <f>_xlfn.IFNA(VLOOKUP("1201-"&amp;L6,'All Costing'!$AB:$AC,2,FALSE),C6)</f>
        <v>0</v>
      </c>
      <c r="R6" s="24">
        <f>_xlfn.IFNA(VLOOKUP("1204-"&amp;L6,'All Costing'!$AB:$AC,2,FALSE),C6)</f>
        <v>0</v>
      </c>
      <c r="S6">
        <f>_xlfn.IFNA(VLOOKUP("1205-"&amp;L6,'All Costing'!$AB:$AC,2,FALSE),C6)</f>
        <v>0</v>
      </c>
      <c r="T6">
        <f>_xlfn.IFNA(VLOOKUP("1206-"&amp;L6,'All Costing'!$AB:$AC,2,FALSE),C6)</f>
        <v>0</v>
      </c>
    </row>
    <row r="7" spans="1:20">
      <c r="A7" s="127" t="s">
        <v>374</v>
      </c>
      <c r="B7" s="214">
        <f>Material_Cost!F37</f>
        <v>2059808.14</v>
      </c>
      <c r="C7" s="128">
        <v>386555.96</v>
      </c>
      <c r="D7" s="125"/>
      <c r="E7" s="125"/>
      <c r="F7" s="125"/>
      <c r="G7" s="129">
        <f>H7/$H$10</f>
        <v>0.87158302108948116</v>
      </c>
      <c r="H7" s="128">
        <f>C7</f>
        <v>386555.96</v>
      </c>
      <c r="K7">
        <f t="shared" si="0"/>
        <v>7</v>
      </c>
      <c r="L7" t="s">
        <v>531</v>
      </c>
      <c r="M7" s="24">
        <f t="shared" si="1"/>
        <v>386555.96</v>
      </c>
      <c r="N7" s="24">
        <f t="shared" si="2"/>
        <v>0</v>
      </c>
      <c r="O7" s="24">
        <f t="shared" si="3"/>
        <v>0</v>
      </c>
      <c r="P7" s="24">
        <f t="shared" si="4"/>
        <v>0</v>
      </c>
      <c r="Q7" s="24">
        <f>_xlfn.IFNA(VLOOKUP("1201-"&amp;L7,'All Costing'!$AB:$AC,2,FALSE),C7)</f>
        <v>386555.96</v>
      </c>
      <c r="R7" s="24">
        <f>_xlfn.IFNA(VLOOKUP("1204-"&amp;L7,'All Costing'!$AB:$AC,2,FALSE),C7)</f>
        <v>386555.96</v>
      </c>
      <c r="S7">
        <f>_xlfn.IFNA(VLOOKUP("1205-"&amp;L7,'All Costing'!$AB:$AC,2,FALSE),C7)</f>
        <v>386555.96</v>
      </c>
      <c r="T7">
        <f>_xlfn.IFNA(VLOOKUP("1206-"&amp;L7,'All Costing'!$AB:$AC,2,FALSE),C7)</f>
        <v>386555.96</v>
      </c>
    </row>
    <row r="8" spans="1:20">
      <c r="A8" s="127" t="s">
        <v>375</v>
      </c>
      <c r="B8" s="214">
        <f>Material_Cost!E37</f>
        <v>56825.2</v>
      </c>
      <c r="C8" s="130">
        <v>56954.239999999998</v>
      </c>
      <c r="D8" s="125"/>
      <c r="E8" s="125">
        <v>0</v>
      </c>
      <c r="F8" s="125"/>
      <c r="G8" s="129">
        <f t="shared" ref="G8:G71" si="5">H8/$H$10</f>
        <v>0.12841697891051884</v>
      </c>
      <c r="H8" s="128">
        <f>C8</f>
        <v>56954.239999999998</v>
      </c>
      <c r="K8">
        <f t="shared" si="0"/>
        <v>8</v>
      </c>
      <c r="L8" t="s">
        <v>531</v>
      </c>
      <c r="M8" s="24">
        <f t="shared" si="1"/>
        <v>56954.239999999998</v>
      </c>
      <c r="N8" s="24">
        <f t="shared" si="2"/>
        <v>0</v>
      </c>
      <c r="O8" s="24">
        <f t="shared" si="3"/>
        <v>0</v>
      </c>
      <c r="P8" s="24">
        <f t="shared" si="4"/>
        <v>0</v>
      </c>
      <c r="Q8" s="24">
        <f>_xlfn.IFNA(VLOOKUP("1201-"&amp;L8,'All Costing'!$AB:$AC,2,FALSE),C8)</f>
        <v>56954.239999999998</v>
      </c>
      <c r="R8" s="24">
        <f>_xlfn.IFNA(VLOOKUP("1204-"&amp;L8,'All Costing'!$AB:$AC,2,FALSE),C8)</f>
        <v>56954.239999999998</v>
      </c>
      <c r="S8">
        <f>_xlfn.IFNA(VLOOKUP("1205-"&amp;L8,'All Costing'!$AB:$AC,2,FALSE),C8)</f>
        <v>56954.239999999998</v>
      </c>
      <c r="T8">
        <f>_xlfn.IFNA(VLOOKUP("1206-"&amp;L8,'All Costing'!$AB:$AC,2,FALSE),C8)</f>
        <v>56954.239999999998</v>
      </c>
    </row>
    <row r="9" spans="1:20">
      <c r="A9" s="127" t="s">
        <v>376</v>
      </c>
      <c r="B9" s="131"/>
      <c r="C9" s="132"/>
      <c r="D9" s="125"/>
      <c r="E9" s="125"/>
      <c r="F9" s="125"/>
      <c r="G9" s="129">
        <f t="shared" si="5"/>
        <v>0</v>
      </c>
      <c r="H9" s="128">
        <f>C9</f>
        <v>0</v>
      </c>
      <c r="K9">
        <f t="shared" si="0"/>
        <v>9</v>
      </c>
      <c r="L9" t="s">
        <v>531</v>
      </c>
      <c r="M9" s="24">
        <f t="shared" si="1"/>
        <v>0</v>
      </c>
      <c r="N9" s="24">
        <f t="shared" si="2"/>
        <v>0</v>
      </c>
      <c r="O9" s="24">
        <f t="shared" si="3"/>
        <v>0</v>
      </c>
      <c r="P9" s="24">
        <f t="shared" si="4"/>
        <v>0</v>
      </c>
      <c r="Q9" s="24">
        <f>_xlfn.IFNA(VLOOKUP("1201-"&amp;L9,'All Costing'!$AB:$AC,2,FALSE),C9)</f>
        <v>0</v>
      </c>
      <c r="R9" s="24">
        <f>_xlfn.IFNA(VLOOKUP("1204-"&amp;L9,'All Costing'!$AB:$AC,2,FALSE),C9)</f>
        <v>0</v>
      </c>
      <c r="S9">
        <f>_xlfn.IFNA(VLOOKUP("1205-"&amp;L9,'All Costing'!$AB:$AC,2,FALSE),C9)</f>
        <v>0</v>
      </c>
      <c r="T9">
        <f>_xlfn.IFNA(VLOOKUP("1206-"&amp;L9,'All Costing'!$AB:$AC,2,FALSE),C9)</f>
        <v>0</v>
      </c>
    </row>
    <row r="10" spans="1:20" ht="15.75">
      <c r="A10" s="120" t="s">
        <v>377</v>
      </c>
      <c r="B10" s="211">
        <f t="shared" ref="B10:H10" si="6">B7+B8+B9</f>
        <v>2116633.34</v>
      </c>
      <c r="C10" s="134">
        <f t="shared" si="6"/>
        <v>443510.2</v>
      </c>
      <c r="D10" s="134">
        <f t="shared" si="6"/>
        <v>0</v>
      </c>
      <c r="E10" s="134">
        <f t="shared" si="6"/>
        <v>0</v>
      </c>
      <c r="F10" s="134">
        <f t="shared" si="6"/>
        <v>0</v>
      </c>
      <c r="G10" s="129">
        <f t="shared" si="5"/>
        <v>1</v>
      </c>
      <c r="H10" s="134">
        <f t="shared" si="6"/>
        <v>443510.2</v>
      </c>
      <c r="K10">
        <f t="shared" si="0"/>
        <v>10</v>
      </c>
      <c r="L10" t="s">
        <v>531</v>
      </c>
      <c r="M10" s="24">
        <f t="shared" si="1"/>
        <v>443510.2</v>
      </c>
      <c r="N10" s="24">
        <f t="shared" si="2"/>
        <v>0</v>
      </c>
      <c r="O10" s="24">
        <f t="shared" si="3"/>
        <v>0</v>
      </c>
      <c r="P10" s="24">
        <f t="shared" si="4"/>
        <v>0</v>
      </c>
      <c r="Q10" s="24">
        <f>_xlfn.IFNA(VLOOKUP("1201-"&amp;L10,'All Costing'!$AB:$AC,2,FALSE),C10)</f>
        <v>443510.2</v>
      </c>
      <c r="R10" s="24">
        <f>_xlfn.IFNA(VLOOKUP("1204-"&amp;L10,'All Costing'!$AB:$AC,2,FALSE),C10)</f>
        <v>443510.2</v>
      </c>
      <c r="S10">
        <f>_xlfn.IFNA(VLOOKUP("1205-"&amp;L10,'All Costing'!$AB:$AC,2,FALSE),C10)</f>
        <v>443510.2</v>
      </c>
      <c r="T10">
        <f>_xlfn.IFNA(VLOOKUP("1206-"&amp;L10,'All Costing'!$AB:$AC,2,FALSE),C10)</f>
        <v>443510.2</v>
      </c>
    </row>
    <row r="11" spans="1:20">
      <c r="A11" s="133"/>
      <c r="B11" s="122"/>
      <c r="C11" s="125"/>
      <c r="D11" s="125"/>
      <c r="E11" s="125"/>
      <c r="F11" s="125"/>
      <c r="G11" s="129"/>
      <c r="H11" s="125"/>
      <c r="K11">
        <f t="shared" si="0"/>
        <v>11</v>
      </c>
      <c r="L11" t="s">
        <v>531</v>
      </c>
      <c r="M11" s="24">
        <f t="shared" si="1"/>
        <v>0</v>
      </c>
      <c r="N11" s="24">
        <f t="shared" si="2"/>
        <v>0</v>
      </c>
      <c r="O11" s="24">
        <f t="shared" si="3"/>
        <v>0</v>
      </c>
      <c r="P11" s="24">
        <f t="shared" si="4"/>
        <v>0</v>
      </c>
      <c r="Q11" s="24">
        <f>_xlfn.IFNA(VLOOKUP("1201-"&amp;L11,'All Costing'!$AB:$AC,2,FALSE),C11)</f>
        <v>0</v>
      </c>
      <c r="R11" s="24">
        <f>_xlfn.IFNA(VLOOKUP("1204-"&amp;L11,'All Costing'!$AB:$AC,2,FALSE),C11)</f>
        <v>0</v>
      </c>
      <c r="S11">
        <f>_xlfn.IFNA(VLOOKUP("1205-"&amp;L11,'All Costing'!$AB:$AC,2,FALSE),C11)</f>
        <v>0</v>
      </c>
      <c r="T11">
        <f>_xlfn.IFNA(VLOOKUP("1206-"&amp;L11,'All Costing'!$AB:$AC,2,FALSE),C11)</f>
        <v>0</v>
      </c>
    </row>
    <row r="12" spans="1:20">
      <c r="A12" s="124" t="s">
        <v>378</v>
      </c>
      <c r="B12" s="122"/>
      <c r="C12" s="125"/>
      <c r="D12" s="125"/>
      <c r="E12" s="125"/>
      <c r="F12" s="125"/>
      <c r="G12" s="129"/>
      <c r="H12" s="125"/>
      <c r="K12">
        <f t="shared" si="0"/>
        <v>12</v>
      </c>
      <c r="L12" t="s">
        <v>531</v>
      </c>
      <c r="M12" s="24">
        <f t="shared" si="1"/>
        <v>0</v>
      </c>
      <c r="N12" s="24">
        <f t="shared" si="2"/>
        <v>0</v>
      </c>
      <c r="O12" s="24">
        <f t="shared" si="3"/>
        <v>0</v>
      </c>
      <c r="P12" s="24">
        <f t="shared" si="4"/>
        <v>0</v>
      </c>
      <c r="Q12" s="24">
        <f>_xlfn.IFNA(VLOOKUP("1201-"&amp;L12,'All Costing'!$AB:$AC,2,FALSE),C12)</f>
        <v>0</v>
      </c>
      <c r="R12" s="24">
        <f>_xlfn.IFNA(VLOOKUP("1204-"&amp;L12,'All Costing'!$AB:$AC,2,FALSE),C12)</f>
        <v>0</v>
      </c>
      <c r="S12">
        <f>_xlfn.IFNA(VLOOKUP("1205-"&amp;L12,'All Costing'!$AB:$AC,2,FALSE),C12)</f>
        <v>0</v>
      </c>
      <c r="T12">
        <f>_xlfn.IFNA(VLOOKUP("1206-"&amp;L12,'All Costing'!$AB:$AC,2,FALSE),C12)</f>
        <v>0</v>
      </c>
    </row>
    <row r="13" spans="1:20">
      <c r="A13" s="127" t="s">
        <v>379</v>
      </c>
      <c r="B13" s="212">
        <f>Material_Cost!H37</f>
        <v>1262311.8657199999</v>
      </c>
      <c r="C13" s="212">
        <f>C10*61%</f>
        <v>270541.22200000001</v>
      </c>
      <c r="D13" s="122">
        <f>(D7*61%)+(D8*6.5%)+(D9*61%)</f>
        <v>0</v>
      </c>
      <c r="E13" s="122">
        <f>(E7*61%)+(E8*6.5%)+(E9*61%)</f>
        <v>0</v>
      </c>
      <c r="F13" s="122">
        <f>(F7*61%)+(F8*6.5%)+(F9*61%)</f>
        <v>0</v>
      </c>
      <c r="G13" s="129">
        <f t="shared" si="5"/>
        <v>0.61</v>
      </c>
      <c r="H13" s="125">
        <f>SUM(C13:F13)</f>
        <v>270541.22200000001</v>
      </c>
      <c r="K13">
        <f t="shared" si="0"/>
        <v>13</v>
      </c>
      <c r="L13" t="s">
        <v>531</v>
      </c>
      <c r="M13" s="24">
        <f t="shared" si="1"/>
        <v>270541.22200000001</v>
      </c>
      <c r="N13" s="24">
        <f t="shared" si="2"/>
        <v>0</v>
      </c>
      <c r="O13" s="24">
        <f t="shared" si="3"/>
        <v>0</v>
      </c>
      <c r="P13" s="24">
        <f t="shared" si="4"/>
        <v>0</v>
      </c>
      <c r="Q13" s="24">
        <f>_xlfn.IFNA(VLOOKUP("1201-"&amp;L13,'All Costing'!$AB:$AC,2,FALSE),C13)</f>
        <v>270541.22200000001</v>
      </c>
      <c r="R13" s="24">
        <f>_xlfn.IFNA(VLOOKUP("1204-"&amp;L13,'All Costing'!$AB:$AC,2,FALSE),C13)</f>
        <v>270541.22200000001</v>
      </c>
      <c r="S13">
        <f>_xlfn.IFNA(VLOOKUP("1205-"&amp;L13,'All Costing'!$AB:$AC,2,FALSE),C13)</f>
        <v>270541.22200000001</v>
      </c>
      <c r="T13">
        <f>_xlfn.IFNA(VLOOKUP("1206-"&amp;L13,'All Costing'!$AB:$AC,2,FALSE),C13)</f>
        <v>270541.22200000001</v>
      </c>
    </row>
    <row r="14" spans="1:20">
      <c r="A14" s="133" t="s">
        <v>380</v>
      </c>
      <c r="B14" s="211">
        <f>B13</f>
        <v>1262311.8657199999</v>
      </c>
      <c r="C14" s="134">
        <f>C13</f>
        <v>270541.22200000001</v>
      </c>
      <c r="D14" s="134">
        <f>D13</f>
        <v>0</v>
      </c>
      <c r="E14" s="134">
        <f>E13</f>
        <v>0</v>
      </c>
      <c r="F14" s="134">
        <f>F13</f>
        <v>0</v>
      </c>
      <c r="G14" s="129">
        <f t="shared" si="5"/>
        <v>0.61</v>
      </c>
      <c r="H14" s="134">
        <f>H13</f>
        <v>270541.22200000001</v>
      </c>
      <c r="K14">
        <f t="shared" si="0"/>
        <v>14</v>
      </c>
      <c r="L14" t="s">
        <v>531</v>
      </c>
      <c r="M14" s="24">
        <f t="shared" si="1"/>
        <v>270541.22200000001</v>
      </c>
      <c r="N14" s="24">
        <f t="shared" si="2"/>
        <v>0</v>
      </c>
      <c r="O14" s="24">
        <f t="shared" si="3"/>
        <v>0</v>
      </c>
      <c r="P14" s="24">
        <f t="shared" si="4"/>
        <v>0</v>
      </c>
      <c r="Q14" s="24">
        <f>_xlfn.IFNA(VLOOKUP("1201-"&amp;L14,'All Costing'!$AB:$AC,2,FALSE),C14)</f>
        <v>270541.22200000001</v>
      </c>
      <c r="R14" s="24">
        <f>_xlfn.IFNA(VLOOKUP("1204-"&amp;L14,'All Costing'!$AB:$AC,2,FALSE),C14)</f>
        <v>270541.22200000001</v>
      </c>
      <c r="S14">
        <f>_xlfn.IFNA(VLOOKUP("1205-"&amp;L14,'All Costing'!$AB:$AC,2,FALSE),C14)</f>
        <v>270541.22200000001</v>
      </c>
      <c r="T14">
        <f>_xlfn.IFNA(VLOOKUP("1206-"&amp;L14,'All Costing'!$AB:$AC,2,FALSE),C14)</f>
        <v>270541.22200000001</v>
      </c>
    </row>
    <row r="15" spans="1:20">
      <c r="A15" s="135"/>
      <c r="B15" s="122"/>
      <c r="C15" s="125"/>
      <c r="D15" s="125"/>
      <c r="E15" s="125"/>
      <c r="F15" s="125"/>
      <c r="G15" s="129"/>
      <c r="H15" s="136"/>
      <c r="K15">
        <f t="shared" si="0"/>
        <v>15</v>
      </c>
      <c r="L15" t="s">
        <v>531</v>
      </c>
      <c r="M15" s="24">
        <f t="shared" si="1"/>
        <v>0</v>
      </c>
      <c r="N15" s="24">
        <f t="shared" si="2"/>
        <v>0</v>
      </c>
      <c r="O15" s="24">
        <f t="shared" si="3"/>
        <v>0</v>
      </c>
      <c r="P15" s="24">
        <f t="shared" si="4"/>
        <v>0</v>
      </c>
      <c r="Q15" s="24">
        <f>_xlfn.IFNA(VLOOKUP("1201-"&amp;L15,'All Costing'!$AB:$AC,2,FALSE),C15)</f>
        <v>0</v>
      </c>
      <c r="R15" s="24">
        <f>_xlfn.IFNA(VLOOKUP("1204-"&amp;L15,'All Costing'!$AB:$AC,2,FALSE),C15)</f>
        <v>0</v>
      </c>
      <c r="S15">
        <f>_xlfn.IFNA(VLOOKUP("1205-"&amp;L15,'All Costing'!$AB:$AC,2,FALSE),C15)</f>
        <v>0</v>
      </c>
      <c r="T15">
        <f>_xlfn.IFNA(VLOOKUP("1206-"&amp;L15,'All Costing'!$AB:$AC,2,FALSE),C15)</f>
        <v>0</v>
      </c>
    </row>
    <row r="16" spans="1:20">
      <c r="A16" s="124" t="s">
        <v>381</v>
      </c>
      <c r="B16" s="122"/>
      <c r="C16" s="125"/>
      <c r="D16" s="125"/>
      <c r="E16" s="125"/>
      <c r="F16" s="125"/>
      <c r="G16" s="129"/>
      <c r="H16" s="125">
        <f t="shared" ref="H16:H79" si="7">SUM(C16:F16)</f>
        <v>0</v>
      </c>
      <c r="K16">
        <f t="shared" si="0"/>
        <v>16</v>
      </c>
      <c r="L16" t="s">
        <v>531</v>
      </c>
      <c r="M16" s="24">
        <f t="shared" si="1"/>
        <v>0</v>
      </c>
      <c r="N16" s="24">
        <f t="shared" si="2"/>
        <v>0</v>
      </c>
      <c r="O16" s="24">
        <f t="shared" si="3"/>
        <v>0</v>
      </c>
      <c r="P16" s="24">
        <f t="shared" si="4"/>
        <v>0</v>
      </c>
      <c r="Q16" s="24">
        <f>_xlfn.IFNA(VLOOKUP("1201-"&amp;L16,'All Costing'!$AB:$AC,2,FALSE),C16)</f>
        <v>0</v>
      </c>
      <c r="R16" s="24">
        <f>_xlfn.IFNA(VLOOKUP("1204-"&amp;L16,'All Costing'!$AB:$AC,2,FALSE),C16)</f>
        <v>0</v>
      </c>
      <c r="S16">
        <f>_xlfn.IFNA(VLOOKUP("1205-"&amp;L16,'All Costing'!$AB:$AC,2,FALSE),C16)</f>
        <v>0</v>
      </c>
      <c r="T16">
        <f>_xlfn.IFNA(VLOOKUP("1206-"&amp;L16,'All Costing'!$AB:$AC,2,FALSE),C16)</f>
        <v>0</v>
      </c>
    </row>
    <row r="17" spans="1:20">
      <c r="A17" s="127" t="s">
        <v>382</v>
      </c>
      <c r="B17" s="210">
        <v>260250</v>
      </c>
      <c r="C17" s="125">
        <v>122.79</v>
      </c>
      <c r="D17" s="125">
        <v>901.66</v>
      </c>
      <c r="E17" s="125">
        <v>901.67</v>
      </c>
      <c r="F17" s="125">
        <v>0</v>
      </c>
      <c r="G17" s="129">
        <f t="shared" si="5"/>
        <v>4.3428989908236605E-3</v>
      </c>
      <c r="H17" s="125">
        <f t="shared" si="7"/>
        <v>1926.12</v>
      </c>
      <c r="I17" s="24">
        <f>H17-B17</f>
        <v>-258323.88</v>
      </c>
      <c r="K17">
        <f t="shared" si="0"/>
        <v>17</v>
      </c>
      <c r="L17" t="s">
        <v>94</v>
      </c>
      <c r="M17" s="24">
        <f>C17</f>
        <v>122.79</v>
      </c>
      <c r="N17" s="24">
        <f t="shared" ref="N17:P17" si="8">D17</f>
        <v>901.66</v>
      </c>
      <c r="O17" s="24">
        <f t="shared" si="8"/>
        <v>901.67</v>
      </c>
      <c r="P17" s="24">
        <f t="shared" si="8"/>
        <v>0</v>
      </c>
      <c r="Q17" s="24">
        <f>_xlfn.IFNA(VLOOKUP("1201-"&amp;L17,'All Costing'!$AB:$AC,2,FALSE),C17)</f>
        <v>122.79</v>
      </c>
      <c r="R17" s="24">
        <f>_xlfn.IFNA(VLOOKUP("1204-"&amp;L17,'All Costing'!$AB:$AC,2,FALSE),C17)</f>
        <v>901.66</v>
      </c>
      <c r="S17">
        <f>_xlfn.IFNA(VLOOKUP("1205-"&amp;L17,'All Costing'!$AB:$AC,2,FALSE),C17)</f>
        <v>901.67</v>
      </c>
      <c r="T17">
        <f>_xlfn.IFNA(VLOOKUP("1206-"&amp;L17,'All Costing'!$AB:$AC,2,FALSE),C17)</f>
        <v>0</v>
      </c>
    </row>
    <row r="18" spans="1:20">
      <c r="A18" s="127" t="s">
        <v>383</v>
      </c>
      <c r="B18" s="210">
        <v>20600</v>
      </c>
      <c r="C18" s="125">
        <v>2700</v>
      </c>
      <c r="D18" s="125">
        <v>8000</v>
      </c>
      <c r="E18" s="125">
        <v>6300</v>
      </c>
      <c r="F18" s="125">
        <v>3600</v>
      </c>
      <c r="G18" s="129">
        <f t="shared" si="5"/>
        <v>4.6447635251680795E-2</v>
      </c>
      <c r="H18" s="125">
        <f t="shared" si="7"/>
        <v>20600</v>
      </c>
      <c r="I18" s="24">
        <f t="shared" ref="I18:I81" si="9">H18-B18</f>
        <v>0</v>
      </c>
      <c r="K18">
        <f t="shared" si="0"/>
        <v>18</v>
      </c>
      <c r="L18" t="s">
        <v>531</v>
      </c>
      <c r="M18" s="24">
        <f t="shared" ref="M18:M81" si="10">C18</f>
        <v>2700</v>
      </c>
      <c r="N18" s="24">
        <f t="shared" ref="N18:N81" si="11">D18</f>
        <v>8000</v>
      </c>
      <c r="O18" s="24">
        <f t="shared" ref="O18:O81" si="12">E18</f>
        <v>6300</v>
      </c>
      <c r="P18" s="24">
        <f t="shared" ref="P18:P81" si="13">F18</f>
        <v>3600</v>
      </c>
      <c r="Q18" s="24">
        <f>_xlfn.IFNA(VLOOKUP("1201-"&amp;L18,'All Costing'!$AB:$AC,2,FALSE),C18)</f>
        <v>2700</v>
      </c>
      <c r="R18" s="24">
        <f>_xlfn.IFNA(VLOOKUP("1204-"&amp;L18,'All Costing'!$AB:$AC,2,FALSE),C18)</f>
        <v>2700</v>
      </c>
      <c r="S18">
        <f>_xlfn.IFNA(VLOOKUP("1205-"&amp;L18,'All Costing'!$AB:$AC,2,FALSE),C18)</f>
        <v>2700</v>
      </c>
      <c r="T18">
        <f>_xlfn.IFNA(VLOOKUP("1206-"&amp;L18,'All Costing'!$AB:$AC,2,FALSE),C18)</f>
        <v>2700</v>
      </c>
    </row>
    <row r="19" spans="1:20">
      <c r="A19" s="127" t="s">
        <v>384</v>
      </c>
      <c r="B19" s="210">
        <v>0</v>
      </c>
      <c r="C19" s="125"/>
      <c r="D19" s="125"/>
      <c r="E19" s="125"/>
      <c r="F19" s="125"/>
      <c r="G19" s="129">
        <f t="shared" si="5"/>
        <v>0</v>
      </c>
      <c r="H19" s="125">
        <f t="shared" si="7"/>
        <v>0</v>
      </c>
      <c r="I19" s="24">
        <f t="shared" si="9"/>
        <v>0</v>
      </c>
      <c r="K19">
        <f t="shared" si="0"/>
        <v>19</v>
      </c>
      <c r="L19" t="s">
        <v>531</v>
      </c>
      <c r="M19" s="24">
        <f t="shared" si="10"/>
        <v>0</v>
      </c>
      <c r="N19" s="24">
        <f t="shared" si="11"/>
        <v>0</v>
      </c>
      <c r="O19" s="24">
        <f t="shared" si="12"/>
        <v>0</v>
      </c>
      <c r="P19" s="24">
        <f t="shared" si="13"/>
        <v>0</v>
      </c>
      <c r="Q19" s="24">
        <f>_xlfn.IFNA(VLOOKUP("1201-"&amp;L19,'All Costing'!$AB:$AC,2,FALSE),C19)</f>
        <v>0</v>
      </c>
      <c r="R19" s="24">
        <f>_xlfn.IFNA(VLOOKUP("1204-"&amp;L19,'All Costing'!$AB:$AC,2,FALSE),C19)</f>
        <v>0</v>
      </c>
      <c r="S19">
        <f>_xlfn.IFNA(VLOOKUP("1205-"&amp;L19,'All Costing'!$AB:$AC,2,FALSE),C19)</f>
        <v>0</v>
      </c>
      <c r="T19">
        <f>_xlfn.IFNA(VLOOKUP("1206-"&amp;L19,'All Costing'!$AB:$AC,2,FALSE),C19)</f>
        <v>0</v>
      </c>
    </row>
    <row r="20" spans="1:20">
      <c r="A20" s="127" t="s">
        <v>385</v>
      </c>
      <c r="B20" s="210">
        <v>0</v>
      </c>
      <c r="C20" s="125"/>
      <c r="D20" s="125"/>
      <c r="E20" s="125"/>
      <c r="F20" s="125"/>
      <c r="G20" s="129">
        <f t="shared" si="5"/>
        <v>0</v>
      </c>
      <c r="H20" s="125">
        <f t="shared" si="7"/>
        <v>0</v>
      </c>
      <c r="I20" s="24">
        <f t="shared" si="9"/>
        <v>0</v>
      </c>
      <c r="J20" s="16"/>
      <c r="K20">
        <f t="shared" si="0"/>
        <v>20</v>
      </c>
      <c r="L20" t="s">
        <v>531</v>
      </c>
      <c r="M20" s="24">
        <f t="shared" si="10"/>
        <v>0</v>
      </c>
      <c r="N20" s="24">
        <f t="shared" si="11"/>
        <v>0</v>
      </c>
      <c r="O20" s="24">
        <f t="shared" si="12"/>
        <v>0</v>
      </c>
      <c r="P20" s="24">
        <f t="shared" si="13"/>
        <v>0</v>
      </c>
      <c r="Q20" s="24">
        <f>_xlfn.IFNA(VLOOKUP("1201-"&amp;L20,'All Costing'!$AB:$AC,2,FALSE),C20)</f>
        <v>0</v>
      </c>
      <c r="R20" s="24">
        <f>_xlfn.IFNA(VLOOKUP("1204-"&amp;L20,'All Costing'!$AB:$AC,2,FALSE),C20)</f>
        <v>0</v>
      </c>
      <c r="S20">
        <f>_xlfn.IFNA(VLOOKUP("1205-"&amp;L20,'All Costing'!$AB:$AC,2,FALSE),C20)</f>
        <v>0</v>
      </c>
      <c r="T20">
        <f>_xlfn.IFNA(VLOOKUP("1206-"&amp;L20,'All Costing'!$AB:$AC,2,FALSE),C20)</f>
        <v>0</v>
      </c>
    </row>
    <row r="21" spans="1:20">
      <c r="A21" s="127" t="s">
        <v>386</v>
      </c>
      <c r="B21" s="210">
        <v>10343.979499999999</v>
      </c>
      <c r="C21" s="125">
        <v>2655.51</v>
      </c>
      <c r="D21" s="125">
        <v>4436.3599999999997</v>
      </c>
      <c r="E21" s="125">
        <v>3929.89</v>
      </c>
      <c r="F21" s="125">
        <v>2181.4299999999998</v>
      </c>
      <c r="G21" s="129">
        <f t="shared" si="5"/>
        <v>2.9769755013526182E-2</v>
      </c>
      <c r="H21" s="125">
        <f t="shared" si="7"/>
        <v>13203.19</v>
      </c>
      <c r="I21" s="24">
        <f t="shared" si="9"/>
        <v>2859.210500000001</v>
      </c>
      <c r="K21">
        <f t="shared" si="0"/>
        <v>21</v>
      </c>
      <c r="L21" t="s">
        <v>116</v>
      </c>
      <c r="M21" s="24">
        <f t="shared" si="10"/>
        <v>2655.51</v>
      </c>
      <c r="N21" s="24">
        <f t="shared" si="11"/>
        <v>4436.3599999999997</v>
      </c>
      <c r="O21" s="24">
        <f t="shared" si="12"/>
        <v>3929.89</v>
      </c>
      <c r="P21" s="24">
        <f t="shared" si="13"/>
        <v>2181.4299999999998</v>
      </c>
      <c r="Q21" s="24">
        <f>_xlfn.IFNA(VLOOKUP("1201-"&amp;L21,'All Costing'!$AB:$AC,2,FALSE),C21)</f>
        <v>2655.51</v>
      </c>
      <c r="R21" s="24">
        <f>_xlfn.IFNA(VLOOKUP("1204-"&amp;L21,'All Costing'!$AB:$AC,2,FALSE),C21)</f>
        <v>4436.3599999999997</v>
      </c>
      <c r="S21">
        <f>_xlfn.IFNA(VLOOKUP("1205-"&amp;L21,'All Costing'!$AB:$AC,2,FALSE),C21)</f>
        <v>3929.89</v>
      </c>
      <c r="T21">
        <f>_xlfn.IFNA(VLOOKUP("1206-"&amp;L21,'All Costing'!$AB:$AC,2,FALSE),C21)</f>
        <v>2181.4299999999998</v>
      </c>
    </row>
    <row r="22" spans="1:20">
      <c r="A22" s="127" t="s">
        <v>387</v>
      </c>
      <c r="B22" s="210">
        <v>0</v>
      </c>
      <c r="C22" s="125"/>
      <c r="D22" s="125"/>
      <c r="E22" s="125"/>
      <c r="F22" s="125"/>
      <c r="G22" s="129">
        <f t="shared" si="5"/>
        <v>0</v>
      </c>
      <c r="H22" s="125">
        <f t="shared" si="7"/>
        <v>0</v>
      </c>
      <c r="I22" s="24">
        <f t="shared" si="9"/>
        <v>0</v>
      </c>
      <c r="K22">
        <f t="shared" si="0"/>
        <v>22</v>
      </c>
      <c r="L22" t="s">
        <v>531</v>
      </c>
      <c r="M22" s="24">
        <f t="shared" si="10"/>
        <v>0</v>
      </c>
      <c r="N22" s="24">
        <f t="shared" si="11"/>
        <v>0</v>
      </c>
      <c r="O22" s="24">
        <f t="shared" si="12"/>
        <v>0</v>
      </c>
      <c r="P22" s="24">
        <f t="shared" si="13"/>
        <v>0</v>
      </c>
      <c r="Q22" s="24">
        <f>_xlfn.IFNA(VLOOKUP("1201-"&amp;L22,'All Costing'!$AB:$AC,2,FALSE),C22)</f>
        <v>0</v>
      </c>
      <c r="R22" s="24">
        <f>_xlfn.IFNA(VLOOKUP("1204-"&amp;L22,'All Costing'!$AB:$AC,2,FALSE),C22)</f>
        <v>0</v>
      </c>
      <c r="S22">
        <f>_xlfn.IFNA(VLOOKUP("1205-"&amp;L22,'All Costing'!$AB:$AC,2,FALSE),C22)</f>
        <v>0</v>
      </c>
      <c r="T22">
        <f>_xlfn.IFNA(VLOOKUP("1206-"&amp;L22,'All Costing'!$AB:$AC,2,FALSE),C22)</f>
        <v>0</v>
      </c>
    </row>
    <row r="23" spans="1:20">
      <c r="A23" s="127" t="s">
        <v>388</v>
      </c>
      <c r="B23" s="210">
        <v>15885.723</v>
      </c>
      <c r="C23" s="125"/>
      <c r="D23" s="125"/>
      <c r="E23" s="125"/>
      <c r="F23" s="125"/>
      <c r="G23" s="129">
        <f t="shared" si="5"/>
        <v>0</v>
      </c>
      <c r="H23" s="125">
        <f t="shared" si="7"/>
        <v>0</v>
      </c>
      <c r="I23" s="24">
        <f t="shared" si="9"/>
        <v>-15885.723</v>
      </c>
      <c r="K23">
        <f t="shared" si="0"/>
        <v>23</v>
      </c>
      <c r="L23" t="s">
        <v>91</v>
      </c>
      <c r="M23" s="24">
        <f t="shared" si="10"/>
        <v>0</v>
      </c>
      <c r="N23" s="24">
        <f t="shared" si="11"/>
        <v>0</v>
      </c>
      <c r="O23" s="24">
        <f t="shared" si="12"/>
        <v>0</v>
      </c>
      <c r="P23" s="24">
        <f t="shared" si="13"/>
        <v>0</v>
      </c>
      <c r="Q23" s="24">
        <f>_xlfn.IFNA(VLOOKUP("1201-"&amp;L23,'All Costing'!$AB:$AC,2,FALSE),C23)</f>
        <v>0</v>
      </c>
      <c r="R23" s="24">
        <f>_xlfn.IFNA(VLOOKUP("1204-"&amp;L23,'All Costing'!$AB:$AC,2,FALSE),C23)</f>
        <v>0</v>
      </c>
      <c r="S23">
        <f>_xlfn.IFNA(VLOOKUP("1205-"&amp;L23,'All Costing'!$AB:$AC,2,FALSE),C23)</f>
        <v>0</v>
      </c>
      <c r="T23">
        <f>_xlfn.IFNA(VLOOKUP("1206-"&amp;L23,'All Costing'!$AB:$AC,2,FALSE),C23)</f>
        <v>0</v>
      </c>
    </row>
    <row r="24" spans="1:20">
      <c r="A24" s="137" t="s">
        <v>389</v>
      </c>
      <c r="B24" s="211">
        <f>SUM(B17:B23)</f>
        <v>307079.70250000001</v>
      </c>
      <c r="C24" s="134">
        <f>SUM(C17:C23)</f>
        <v>5478.3</v>
      </c>
      <c r="D24" s="134">
        <f>SUM(D17:D23)</f>
        <v>13338.02</v>
      </c>
      <c r="E24" s="134">
        <f>SUM(E17:E23)</f>
        <v>11131.56</v>
      </c>
      <c r="F24" s="134">
        <f>SUM(F17:F23)</f>
        <v>5781.43</v>
      </c>
      <c r="G24" s="129">
        <f t="shared" si="5"/>
        <v>8.0560289256030634E-2</v>
      </c>
      <c r="H24" s="123">
        <f t="shared" si="7"/>
        <v>35729.31</v>
      </c>
      <c r="I24" s="24">
        <f t="shared" si="9"/>
        <v>-271350.39250000002</v>
      </c>
      <c r="K24">
        <f t="shared" si="0"/>
        <v>24</v>
      </c>
      <c r="L24" t="s">
        <v>531</v>
      </c>
      <c r="M24" s="24">
        <f t="shared" si="10"/>
        <v>5478.3</v>
      </c>
      <c r="N24" s="24">
        <f t="shared" si="11"/>
        <v>13338.02</v>
      </c>
      <c r="O24" s="24">
        <f t="shared" si="12"/>
        <v>11131.56</v>
      </c>
      <c r="P24" s="24">
        <f t="shared" si="13"/>
        <v>5781.43</v>
      </c>
      <c r="Q24" s="24">
        <f>_xlfn.IFNA(VLOOKUP("1201-"&amp;L24,'All Costing'!$AB:$AC,2,FALSE),C24)</f>
        <v>5478.3</v>
      </c>
      <c r="R24" s="24">
        <f>_xlfn.IFNA(VLOOKUP("1204-"&amp;L24,'All Costing'!$AB:$AC,2,FALSE),C24)</f>
        <v>5478.3</v>
      </c>
      <c r="S24">
        <f>_xlfn.IFNA(VLOOKUP("1205-"&amp;L24,'All Costing'!$AB:$AC,2,FALSE),C24)</f>
        <v>5478.3</v>
      </c>
      <c r="T24">
        <f>_xlfn.IFNA(VLOOKUP("1206-"&amp;L24,'All Costing'!$AB:$AC,2,FALSE),C24)</f>
        <v>5478.3</v>
      </c>
    </row>
    <row r="25" spans="1:20">
      <c r="A25" s="137"/>
      <c r="B25" s="212"/>
      <c r="C25" s="125"/>
      <c r="D25" s="125"/>
      <c r="E25" s="125"/>
      <c r="F25" s="125"/>
      <c r="G25" s="129"/>
      <c r="H25" s="125"/>
      <c r="I25" s="24">
        <f t="shared" si="9"/>
        <v>0</v>
      </c>
      <c r="K25">
        <f t="shared" si="0"/>
        <v>25</v>
      </c>
      <c r="L25" t="s">
        <v>531</v>
      </c>
      <c r="M25" s="24">
        <f t="shared" si="10"/>
        <v>0</v>
      </c>
      <c r="N25" s="24">
        <f t="shared" si="11"/>
        <v>0</v>
      </c>
      <c r="O25" s="24">
        <f t="shared" si="12"/>
        <v>0</v>
      </c>
      <c r="P25" s="24">
        <f t="shared" si="13"/>
        <v>0</v>
      </c>
      <c r="Q25" s="24">
        <f>_xlfn.IFNA(VLOOKUP("1201-"&amp;L25,'All Costing'!$AB:$AC,2,FALSE),C25)</f>
        <v>0</v>
      </c>
      <c r="R25" s="24">
        <f>_xlfn.IFNA(VLOOKUP("1204-"&amp;L25,'All Costing'!$AB:$AC,2,FALSE),C25)</f>
        <v>0</v>
      </c>
      <c r="S25">
        <f>_xlfn.IFNA(VLOOKUP("1205-"&amp;L25,'All Costing'!$AB:$AC,2,FALSE),C25)</f>
        <v>0</v>
      </c>
      <c r="T25">
        <f>_xlfn.IFNA(VLOOKUP("1206-"&amp;L25,'All Costing'!$AB:$AC,2,FALSE),C25)</f>
        <v>0</v>
      </c>
    </row>
    <row r="26" spans="1:20">
      <c r="A26" s="124" t="s">
        <v>390</v>
      </c>
      <c r="B26" s="212"/>
      <c r="C26" s="125"/>
      <c r="D26" s="125"/>
      <c r="E26" s="125"/>
      <c r="F26" s="125"/>
      <c r="G26" s="129"/>
      <c r="H26" s="125"/>
      <c r="I26" s="24">
        <f t="shared" si="9"/>
        <v>0</v>
      </c>
      <c r="K26">
        <f t="shared" si="0"/>
        <v>26</v>
      </c>
      <c r="L26" t="s">
        <v>531</v>
      </c>
      <c r="M26" s="24">
        <f t="shared" si="10"/>
        <v>0</v>
      </c>
      <c r="N26" s="24">
        <f t="shared" si="11"/>
        <v>0</v>
      </c>
      <c r="O26" s="24">
        <f t="shared" si="12"/>
        <v>0</v>
      </c>
      <c r="P26" s="24">
        <f t="shared" si="13"/>
        <v>0</v>
      </c>
      <c r="Q26" s="24">
        <f>_xlfn.IFNA(VLOOKUP("1201-"&amp;L26,'All Costing'!$AB:$AC,2,FALSE),C26)</f>
        <v>0</v>
      </c>
      <c r="R26" s="24">
        <f>_xlfn.IFNA(VLOOKUP("1204-"&amp;L26,'All Costing'!$AB:$AC,2,FALSE),C26)</f>
        <v>0</v>
      </c>
      <c r="S26">
        <f>_xlfn.IFNA(VLOOKUP("1205-"&amp;L26,'All Costing'!$AB:$AC,2,FALSE),C26)</f>
        <v>0</v>
      </c>
      <c r="T26">
        <f>_xlfn.IFNA(VLOOKUP("1206-"&amp;L26,'All Costing'!$AB:$AC,2,FALSE),C26)</f>
        <v>0</v>
      </c>
    </row>
    <row r="27" spans="1:20">
      <c r="A27" s="127" t="s">
        <v>152</v>
      </c>
      <c r="B27" s="210">
        <v>5375.03</v>
      </c>
      <c r="C27" s="125">
        <v>126.88</v>
      </c>
      <c r="D27" s="125">
        <v>126.43</v>
      </c>
      <c r="E27" s="125">
        <v>0</v>
      </c>
      <c r="F27" s="125">
        <v>0</v>
      </c>
      <c r="G27" s="129">
        <f t="shared" si="5"/>
        <v>5.7114808182540111E-4</v>
      </c>
      <c r="H27" s="125">
        <f t="shared" si="7"/>
        <v>253.31</v>
      </c>
      <c r="I27" s="24">
        <f t="shared" si="9"/>
        <v>-5121.7199999999993</v>
      </c>
      <c r="K27">
        <f t="shared" si="0"/>
        <v>27</v>
      </c>
      <c r="L27" t="s">
        <v>152</v>
      </c>
      <c r="M27" s="24">
        <f t="shared" si="10"/>
        <v>126.88</v>
      </c>
      <c r="N27" s="24">
        <f t="shared" si="11"/>
        <v>126.43</v>
      </c>
      <c r="O27" s="24">
        <f t="shared" si="12"/>
        <v>0</v>
      </c>
      <c r="P27" s="24">
        <f t="shared" si="13"/>
        <v>0</v>
      </c>
      <c r="Q27" s="24">
        <f>_xlfn.IFNA(VLOOKUP("1201-"&amp;L27,'All Costing'!$AB:$AC,2,FALSE),C27)</f>
        <v>126.88</v>
      </c>
      <c r="R27" s="24">
        <f>_xlfn.IFNA(VLOOKUP("1204-"&amp;L27,'All Costing'!$AB:$AC,2,FALSE),C27)</f>
        <v>126.43</v>
      </c>
      <c r="S27">
        <f>_xlfn.IFNA(VLOOKUP("1205-"&amp;L27,'All Costing'!$AB:$AC,2,FALSE),C27)</f>
        <v>0</v>
      </c>
      <c r="T27">
        <f>_xlfn.IFNA(VLOOKUP("1206-"&amp;L27,'All Costing'!$AB:$AC,2,FALSE),C27)</f>
        <v>126.88</v>
      </c>
    </row>
    <row r="28" spans="1:20">
      <c r="A28" s="127" t="s">
        <v>83</v>
      </c>
      <c r="B28" s="210">
        <v>25000</v>
      </c>
      <c r="C28" s="125">
        <v>7633.95</v>
      </c>
      <c r="D28" s="125"/>
      <c r="E28" s="125"/>
      <c r="F28" s="125"/>
      <c r="G28" s="129">
        <f t="shared" si="5"/>
        <v>1.7212569181047018E-2</v>
      </c>
      <c r="H28" s="125">
        <f t="shared" si="7"/>
        <v>7633.95</v>
      </c>
      <c r="I28" s="24">
        <f t="shared" si="9"/>
        <v>-17366.05</v>
      </c>
      <c r="K28">
        <f t="shared" si="0"/>
        <v>28</v>
      </c>
      <c r="M28" s="24">
        <f t="shared" si="10"/>
        <v>7633.95</v>
      </c>
      <c r="N28" s="24">
        <f t="shared" si="11"/>
        <v>0</v>
      </c>
      <c r="O28" s="24">
        <f t="shared" si="12"/>
        <v>0</v>
      </c>
      <c r="P28" s="24">
        <f t="shared" si="13"/>
        <v>0</v>
      </c>
      <c r="Q28" s="24">
        <f>_xlfn.IFNA(VLOOKUP("1201-"&amp;L28,'All Costing'!$AB:$AC,2,FALSE),C28)</f>
        <v>7633.95</v>
      </c>
      <c r="R28" s="24">
        <f>_xlfn.IFNA(VLOOKUP("1204-"&amp;L28,'All Costing'!$AB:$AC,2,FALSE),C28)</f>
        <v>7633.95</v>
      </c>
      <c r="S28">
        <f>_xlfn.IFNA(VLOOKUP("1205-"&amp;L28,'All Costing'!$AB:$AC,2,FALSE),C28)</f>
        <v>7633.95</v>
      </c>
      <c r="T28">
        <f>_xlfn.IFNA(VLOOKUP("1206-"&amp;L28,'All Costing'!$AB:$AC,2,FALSE),C28)</f>
        <v>7633.95</v>
      </c>
    </row>
    <row r="29" spans="1:20">
      <c r="A29" s="127" t="s">
        <v>78</v>
      </c>
      <c r="B29" s="210">
        <v>21536.61</v>
      </c>
      <c r="C29" s="125">
        <f>76.62+119.16+4.83</f>
        <v>200.61</v>
      </c>
      <c r="D29" s="125">
        <f>254.14+2840.15+839.63</f>
        <v>3933.92</v>
      </c>
      <c r="E29" s="125">
        <f>779.6+2552.63+312.92</f>
        <v>3645.15</v>
      </c>
      <c r="F29" s="125">
        <f>84.77+2812.82+343.88</f>
        <v>3241.4700000000003</v>
      </c>
      <c r="G29" s="129">
        <f t="shared" si="5"/>
        <v>2.4849823070585527E-2</v>
      </c>
      <c r="H29" s="125">
        <f t="shared" si="7"/>
        <v>11021.150000000001</v>
      </c>
      <c r="I29" s="24">
        <f t="shared" si="9"/>
        <v>-10515.46</v>
      </c>
      <c r="K29">
        <f t="shared" si="0"/>
        <v>29</v>
      </c>
      <c r="L29" t="s">
        <v>78</v>
      </c>
      <c r="M29" s="24">
        <f t="shared" si="10"/>
        <v>200.61</v>
      </c>
      <c r="N29" s="24">
        <f t="shared" si="11"/>
        <v>3933.92</v>
      </c>
      <c r="O29" s="24">
        <f t="shared" si="12"/>
        <v>3645.15</v>
      </c>
      <c r="P29" s="24">
        <f t="shared" si="13"/>
        <v>3241.4700000000003</v>
      </c>
      <c r="Q29" s="24">
        <f>_xlfn.IFNA(VLOOKUP("1201-"&amp;L29,'All Costing'!$AB:$AC,2,FALSE),C29)</f>
        <v>76.62</v>
      </c>
      <c r="R29" s="24">
        <f>_xlfn.IFNA(VLOOKUP("1204-"&amp;L29,'All Costing'!$AB:$AC,2,FALSE),C29)</f>
        <v>254.14</v>
      </c>
      <c r="S29">
        <f>_xlfn.IFNA(VLOOKUP("1205-"&amp;L29,'All Costing'!$AB:$AC,2,FALSE),C29)</f>
        <v>779.6</v>
      </c>
      <c r="T29">
        <f>_xlfn.IFNA(VLOOKUP("1206-"&amp;L29,'All Costing'!$AB:$AC,2,FALSE),C29)</f>
        <v>84.77</v>
      </c>
    </row>
    <row r="30" spans="1:20">
      <c r="A30" s="127" t="s">
        <v>391</v>
      </c>
      <c r="B30" s="210">
        <v>257250</v>
      </c>
      <c r="C30" s="125">
        <v>669.93</v>
      </c>
      <c r="D30" s="125">
        <v>67.2</v>
      </c>
      <c r="E30" s="125">
        <v>10696.05</v>
      </c>
      <c r="F30" s="125">
        <v>0</v>
      </c>
      <c r="G30" s="129">
        <f t="shared" si="5"/>
        <v>2.5778843417806396E-2</v>
      </c>
      <c r="H30" s="125">
        <f t="shared" si="7"/>
        <v>11433.179999999998</v>
      </c>
      <c r="I30" s="24">
        <f t="shared" si="9"/>
        <v>-245816.82</v>
      </c>
      <c r="K30">
        <f t="shared" si="0"/>
        <v>30</v>
      </c>
      <c r="L30" t="s">
        <v>36</v>
      </c>
      <c r="M30" s="24">
        <f t="shared" si="10"/>
        <v>669.93</v>
      </c>
      <c r="N30" s="24">
        <f t="shared" si="11"/>
        <v>67.2</v>
      </c>
      <c r="O30" s="24">
        <f t="shared" si="12"/>
        <v>10696.05</v>
      </c>
      <c r="P30" s="24">
        <f t="shared" si="13"/>
        <v>0</v>
      </c>
      <c r="Q30" s="24">
        <f>_xlfn.IFNA(VLOOKUP("1201-"&amp;L30,'All Costing'!$AB:$AC,2,FALSE),C30)</f>
        <v>199.33</v>
      </c>
      <c r="R30" s="24">
        <f>_xlfn.IFNA(VLOOKUP("1204-"&amp;L30,'All Costing'!$AB:$AC,2,FALSE),C30)</f>
        <v>0</v>
      </c>
      <c r="S30">
        <f>_xlfn.IFNA(VLOOKUP("1205-"&amp;L30,'All Costing'!$AB:$AC,2,FALSE),C30)</f>
        <v>0</v>
      </c>
      <c r="T30">
        <f>_xlfn.IFNA(VLOOKUP("1206-"&amp;L30,'All Costing'!$AB:$AC,2,FALSE),C30)</f>
        <v>0</v>
      </c>
    </row>
    <row r="31" spans="1:20">
      <c r="A31" s="127" t="s">
        <v>74</v>
      </c>
      <c r="B31" s="210">
        <v>15561.89</v>
      </c>
      <c r="C31" s="125">
        <v>1863.9</v>
      </c>
      <c r="D31" s="125">
        <v>5107.6000000000004</v>
      </c>
      <c r="E31" s="125">
        <v>4098.6000000000004</v>
      </c>
      <c r="F31" s="125">
        <v>3779.14</v>
      </c>
      <c r="G31" s="129">
        <f t="shared" si="5"/>
        <v>3.3481169091488759E-2</v>
      </c>
      <c r="H31" s="125">
        <f t="shared" si="7"/>
        <v>14849.24</v>
      </c>
      <c r="I31" s="24">
        <f t="shared" si="9"/>
        <v>-712.64999999999964</v>
      </c>
      <c r="K31">
        <f t="shared" si="0"/>
        <v>31</v>
      </c>
      <c r="L31" t="s">
        <v>74</v>
      </c>
      <c r="M31" s="24">
        <f t="shared" si="10"/>
        <v>1863.9</v>
      </c>
      <c r="N31" s="24">
        <f t="shared" si="11"/>
        <v>5107.6000000000004</v>
      </c>
      <c r="O31" s="24">
        <f t="shared" si="12"/>
        <v>4098.6000000000004</v>
      </c>
      <c r="P31" s="24">
        <f t="shared" si="13"/>
        <v>3779.14</v>
      </c>
      <c r="Q31" s="24">
        <f>_xlfn.IFNA(VLOOKUP("1201-"&amp;L31,'All Costing'!$AB:$AC,2,FALSE),C31)</f>
        <v>1863.9</v>
      </c>
      <c r="R31" s="24">
        <f>_xlfn.IFNA(VLOOKUP("1204-"&amp;L31,'All Costing'!$AB:$AC,2,FALSE),C31)</f>
        <v>5107.6000000000004</v>
      </c>
      <c r="S31">
        <f>_xlfn.IFNA(VLOOKUP("1205-"&amp;L31,'All Costing'!$AB:$AC,2,FALSE),C31)</f>
        <v>4098.6000000000004</v>
      </c>
      <c r="T31">
        <f>_xlfn.IFNA(VLOOKUP("1206-"&amp;L31,'All Costing'!$AB:$AC,2,FALSE),C31)</f>
        <v>3779.14</v>
      </c>
    </row>
    <row r="32" spans="1:20">
      <c r="A32" s="127" t="s">
        <v>392</v>
      </c>
      <c r="B32" s="210">
        <v>6000</v>
      </c>
      <c r="C32" s="125">
        <v>1667.26</v>
      </c>
      <c r="D32" s="125">
        <v>230.98</v>
      </c>
      <c r="E32" s="125">
        <v>0</v>
      </c>
      <c r="F32" s="125">
        <v>0</v>
      </c>
      <c r="G32" s="129">
        <f t="shared" si="5"/>
        <v>4.2800368514636193E-3</v>
      </c>
      <c r="H32" s="125">
        <f t="shared" si="7"/>
        <v>1898.24</v>
      </c>
      <c r="I32" s="24">
        <f t="shared" si="9"/>
        <v>-4101.76</v>
      </c>
      <c r="K32">
        <f t="shared" si="0"/>
        <v>32</v>
      </c>
      <c r="L32" t="s">
        <v>531</v>
      </c>
      <c r="M32" s="24">
        <f t="shared" si="10"/>
        <v>1667.26</v>
      </c>
      <c r="N32" s="24">
        <f t="shared" si="11"/>
        <v>230.98</v>
      </c>
      <c r="O32" s="24">
        <f t="shared" si="12"/>
        <v>0</v>
      </c>
      <c r="P32" s="24">
        <f t="shared" si="13"/>
        <v>0</v>
      </c>
      <c r="Q32" s="24">
        <f>_xlfn.IFNA(VLOOKUP("1201-"&amp;L32,'All Costing'!$AB:$AC,2,FALSE),C32)</f>
        <v>1667.26</v>
      </c>
      <c r="R32" s="24">
        <f>_xlfn.IFNA(VLOOKUP("1204-"&amp;L32,'All Costing'!$AB:$AC,2,FALSE),C32)</f>
        <v>1667.26</v>
      </c>
      <c r="S32">
        <f>_xlfn.IFNA(VLOOKUP("1205-"&amp;L32,'All Costing'!$AB:$AC,2,FALSE),C32)</f>
        <v>1667.26</v>
      </c>
      <c r="T32">
        <f>_xlfn.IFNA(VLOOKUP("1206-"&amp;L32,'All Costing'!$AB:$AC,2,FALSE),C32)</f>
        <v>1667.26</v>
      </c>
    </row>
    <row r="33" spans="1:20">
      <c r="A33" s="138" t="s">
        <v>393</v>
      </c>
      <c r="B33" s="210">
        <v>54459.64</v>
      </c>
      <c r="C33" s="125">
        <v>16128.62</v>
      </c>
      <c r="D33" s="125">
        <v>26307.19</v>
      </c>
      <c r="E33" s="125">
        <v>7692.81</v>
      </c>
      <c r="F33" s="125">
        <v>3001.08</v>
      </c>
      <c r="G33" s="129">
        <f t="shared" si="5"/>
        <v>0.11979363721510801</v>
      </c>
      <c r="H33" s="125">
        <f t="shared" si="7"/>
        <v>53129.7</v>
      </c>
      <c r="I33" s="24">
        <f t="shared" si="9"/>
        <v>-1329.9400000000023</v>
      </c>
      <c r="K33">
        <f t="shared" si="0"/>
        <v>33</v>
      </c>
      <c r="L33" t="s">
        <v>531</v>
      </c>
      <c r="M33" s="24">
        <f t="shared" si="10"/>
        <v>16128.62</v>
      </c>
      <c r="N33" s="24">
        <f t="shared" si="11"/>
        <v>26307.19</v>
      </c>
      <c r="O33" s="24">
        <f t="shared" si="12"/>
        <v>7692.81</v>
      </c>
      <c r="P33" s="24">
        <f t="shared" si="13"/>
        <v>3001.08</v>
      </c>
      <c r="Q33" s="24">
        <f>_xlfn.IFNA(VLOOKUP("1201-"&amp;L33,'All Costing'!$AB:$AC,2,FALSE),C33)</f>
        <v>16128.62</v>
      </c>
      <c r="R33" s="24">
        <f>_xlfn.IFNA(VLOOKUP("1204-"&amp;L33,'All Costing'!$AB:$AC,2,FALSE),C33)</f>
        <v>16128.62</v>
      </c>
      <c r="S33">
        <f>_xlfn.IFNA(VLOOKUP("1205-"&amp;L33,'All Costing'!$AB:$AC,2,FALSE),C33)</f>
        <v>16128.62</v>
      </c>
      <c r="T33">
        <f>_xlfn.IFNA(VLOOKUP("1206-"&amp;L33,'All Costing'!$AB:$AC,2,FALSE),C33)</f>
        <v>16128.62</v>
      </c>
    </row>
    <row r="34" spans="1:20">
      <c r="A34" s="127" t="s">
        <v>394</v>
      </c>
      <c r="B34" s="210">
        <v>3679.7200000000003</v>
      </c>
      <c r="C34" s="125">
        <v>999.88</v>
      </c>
      <c r="D34" s="125">
        <v>1456.81</v>
      </c>
      <c r="E34" s="125"/>
      <c r="F34" s="125"/>
      <c r="G34" s="129">
        <f t="shared" si="5"/>
        <v>5.5391961673034807E-3</v>
      </c>
      <c r="H34" s="125">
        <f t="shared" si="7"/>
        <v>2456.69</v>
      </c>
      <c r="I34" s="24">
        <f t="shared" si="9"/>
        <v>-1223.0300000000002</v>
      </c>
      <c r="K34">
        <f t="shared" si="0"/>
        <v>34</v>
      </c>
      <c r="L34" t="s">
        <v>531</v>
      </c>
      <c r="M34" s="24">
        <f t="shared" si="10"/>
        <v>999.88</v>
      </c>
      <c r="N34" s="24">
        <f t="shared" si="11"/>
        <v>1456.81</v>
      </c>
      <c r="O34" s="24">
        <f t="shared" si="12"/>
        <v>0</v>
      </c>
      <c r="P34" s="24">
        <f t="shared" si="13"/>
        <v>0</v>
      </c>
      <c r="Q34" s="24">
        <f>_xlfn.IFNA(VLOOKUP("1201-"&amp;L34,'All Costing'!$AB:$AC,2,FALSE),C34)</f>
        <v>999.88</v>
      </c>
      <c r="R34" s="24">
        <f>_xlfn.IFNA(VLOOKUP("1204-"&amp;L34,'All Costing'!$AB:$AC,2,FALSE),C34)</f>
        <v>999.88</v>
      </c>
      <c r="S34">
        <f>_xlfn.IFNA(VLOOKUP("1205-"&amp;L34,'All Costing'!$AB:$AC,2,FALSE),C34)</f>
        <v>999.88</v>
      </c>
      <c r="T34">
        <f>_xlfn.IFNA(VLOOKUP("1206-"&amp;L34,'All Costing'!$AB:$AC,2,FALSE),C34)</f>
        <v>999.88</v>
      </c>
    </row>
    <row r="35" spans="1:20">
      <c r="A35" s="127" t="s">
        <v>395</v>
      </c>
      <c r="B35" s="210">
        <v>5623.8399999999992</v>
      </c>
      <c r="C35" s="125">
        <v>1388.61</v>
      </c>
      <c r="D35" s="125"/>
      <c r="E35" s="125"/>
      <c r="F35" s="125">
        <v>4235.2299999999996</v>
      </c>
      <c r="G35" s="129">
        <f t="shared" si="5"/>
        <v>1.2680294613291869E-2</v>
      </c>
      <c r="H35" s="125">
        <f t="shared" si="7"/>
        <v>5623.8399999999992</v>
      </c>
      <c r="I35" s="24">
        <f t="shared" si="9"/>
        <v>0</v>
      </c>
      <c r="K35">
        <f t="shared" si="0"/>
        <v>35</v>
      </c>
      <c r="L35" t="s">
        <v>126</v>
      </c>
      <c r="M35" s="24">
        <f t="shared" si="10"/>
        <v>1388.61</v>
      </c>
      <c r="N35" s="24">
        <f t="shared" si="11"/>
        <v>0</v>
      </c>
      <c r="O35" s="24">
        <f t="shared" si="12"/>
        <v>0</v>
      </c>
      <c r="P35" s="24">
        <f t="shared" si="13"/>
        <v>4235.2299999999996</v>
      </c>
      <c r="Q35" s="24">
        <f>_xlfn.IFNA(VLOOKUP("1201-"&amp;L35,'All Costing'!$AB:$AC,2,FALSE),C35)</f>
        <v>0</v>
      </c>
      <c r="R35" s="24">
        <f>_xlfn.IFNA(VLOOKUP("1204-"&amp;L35,'All Costing'!$AB:$AC,2,FALSE),C35)</f>
        <v>1388.61</v>
      </c>
      <c r="S35">
        <f>_xlfn.IFNA(VLOOKUP("1205-"&amp;L35,'All Costing'!$AB:$AC,2,FALSE),C35)</f>
        <v>1388.61</v>
      </c>
      <c r="T35">
        <f>_xlfn.IFNA(VLOOKUP("1206-"&amp;L35,'All Costing'!$AB:$AC,2,FALSE),C35)</f>
        <v>0</v>
      </c>
    </row>
    <row r="36" spans="1:20">
      <c r="A36" s="127" t="s">
        <v>136</v>
      </c>
      <c r="B36" s="210">
        <v>484.46</v>
      </c>
      <c r="C36" s="125">
        <v>73.55</v>
      </c>
      <c r="D36" s="125"/>
      <c r="E36" s="125"/>
      <c r="F36" s="125">
        <v>0</v>
      </c>
      <c r="G36" s="129">
        <f t="shared" si="5"/>
        <v>1.6583609576510303E-4</v>
      </c>
      <c r="H36" s="125">
        <f t="shared" si="7"/>
        <v>73.55</v>
      </c>
      <c r="I36" s="24">
        <f t="shared" si="9"/>
        <v>-410.90999999999997</v>
      </c>
      <c r="K36">
        <f t="shared" si="0"/>
        <v>36</v>
      </c>
      <c r="L36" t="s">
        <v>136</v>
      </c>
      <c r="M36" s="24">
        <f t="shared" si="10"/>
        <v>73.55</v>
      </c>
      <c r="N36" s="24">
        <f t="shared" si="11"/>
        <v>0</v>
      </c>
      <c r="O36" s="24">
        <f t="shared" si="12"/>
        <v>0</v>
      </c>
      <c r="P36" s="24">
        <f t="shared" si="13"/>
        <v>0</v>
      </c>
      <c r="Q36" s="24">
        <f>_xlfn.IFNA(VLOOKUP("1201-"&amp;L36,'All Costing'!$AB:$AC,2,FALSE),C36)</f>
        <v>73.55</v>
      </c>
      <c r="R36" s="24">
        <f>_xlfn.IFNA(VLOOKUP("1204-"&amp;L36,'All Costing'!$AB:$AC,2,FALSE),C36)</f>
        <v>73.55</v>
      </c>
      <c r="S36">
        <f>_xlfn.IFNA(VLOOKUP("1205-"&amp;L36,'All Costing'!$AB:$AC,2,FALSE),C36)</f>
        <v>73.55</v>
      </c>
      <c r="T36">
        <f>_xlfn.IFNA(VLOOKUP("1206-"&amp;L36,'All Costing'!$AB:$AC,2,FALSE),C36)</f>
        <v>0</v>
      </c>
    </row>
    <row r="37" spans="1:20">
      <c r="A37" s="127" t="s">
        <v>396</v>
      </c>
      <c r="B37" s="210">
        <v>12855.169999999998</v>
      </c>
      <c r="C37" s="125">
        <v>6137.92</v>
      </c>
      <c r="D37" s="125">
        <v>4958.0200000000004</v>
      </c>
      <c r="E37" s="125">
        <v>475.78</v>
      </c>
      <c r="F37" s="125">
        <v>0</v>
      </c>
      <c r="G37" s="129">
        <f t="shared" si="5"/>
        <v>2.6091215038571831E-2</v>
      </c>
      <c r="H37" s="125">
        <f t="shared" si="7"/>
        <v>11571.720000000001</v>
      </c>
      <c r="I37" s="24">
        <f t="shared" si="9"/>
        <v>-1283.4499999999971</v>
      </c>
      <c r="K37">
        <f t="shared" si="0"/>
        <v>37</v>
      </c>
      <c r="L37" t="s">
        <v>531</v>
      </c>
      <c r="M37" s="24">
        <f t="shared" si="10"/>
        <v>6137.92</v>
      </c>
      <c r="N37" s="24">
        <f t="shared" si="11"/>
        <v>4958.0200000000004</v>
      </c>
      <c r="O37" s="24">
        <f t="shared" si="12"/>
        <v>475.78</v>
      </c>
      <c r="P37" s="24">
        <f t="shared" si="13"/>
        <v>0</v>
      </c>
      <c r="Q37" s="24">
        <f>_xlfn.IFNA(VLOOKUP("1201-"&amp;L37,'All Costing'!$AB:$AC,2,FALSE),C37)</f>
        <v>6137.92</v>
      </c>
      <c r="R37" s="24">
        <f>_xlfn.IFNA(VLOOKUP("1204-"&amp;L37,'All Costing'!$AB:$AC,2,FALSE),C37)</f>
        <v>6137.92</v>
      </c>
      <c r="S37">
        <f>_xlfn.IFNA(VLOOKUP("1205-"&amp;L37,'All Costing'!$AB:$AC,2,FALSE),C37)</f>
        <v>6137.92</v>
      </c>
      <c r="T37">
        <f>_xlfn.IFNA(VLOOKUP("1206-"&amp;L37,'All Costing'!$AB:$AC,2,FALSE),C37)</f>
        <v>6137.92</v>
      </c>
    </row>
    <row r="38" spans="1:20">
      <c r="A38" s="133" t="s">
        <v>397</v>
      </c>
      <c r="B38" s="211">
        <f>SUM(B27:B37)</f>
        <v>407826.36000000004</v>
      </c>
      <c r="C38" s="134">
        <f>SUM(C27:C37)</f>
        <v>36891.11</v>
      </c>
      <c r="D38" s="134">
        <f>SUM(D27:D37)</f>
        <v>42188.149999999994</v>
      </c>
      <c r="E38" s="134">
        <f>SUM(E27:E37)</f>
        <v>26608.39</v>
      </c>
      <c r="F38" s="134">
        <f>SUM(F27:F37)</f>
        <v>14256.92</v>
      </c>
      <c r="G38" s="129">
        <f t="shared" si="5"/>
        <v>0.27044376882425702</v>
      </c>
      <c r="H38" s="123">
        <f t="shared" si="7"/>
        <v>119944.56999999999</v>
      </c>
      <c r="I38" s="24">
        <f t="shared" si="9"/>
        <v>-287881.79000000004</v>
      </c>
      <c r="K38">
        <f t="shared" si="0"/>
        <v>38</v>
      </c>
      <c r="L38" t="s">
        <v>531</v>
      </c>
      <c r="M38" s="24">
        <f t="shared" si="10"/>
        <v>36891.11</v>
      </c>
      <c r="N38" s="24">
        <f t="shared" si="11"/>
        <v>42188.149999999994</v>
      </c>
      <c r="O38" s="24">
        <f t="shared" si="12"/>
        <v>26608.39</v>
      </c>
      <c r="P38" s="24">
        <f t="shared" si="13"/>
        <v>14256.92</v>
      </c>
      <c r="Q38" s="24">
        <f>_xlfn.IFNA(VLOOKUP("1201-"&amp;L38,'All Costing'!$AB:$AC,2,FALSE),C38)</f>
        <v>36891.11</v>
      </c>
      <c r="R38" s="24">
        <f>_xlfn.IFNA(VLOOKUP("1204-"&amp;L38,'All Costing'!$AB:$AC,2,FALSE),C38)</f>
        <v>36891.11</v>
      </c>
      <c r="S38">
        <f>_xlfn.IFNA(VLOOKUP("1205-"&amp;L38,'All Costing'!$AB:$AC,2,FALSE),C38)</f>
        <v>36891.11</v>
      </c>
      <c r="T38">
        <f>_xlfn.IFNA(VLOOKUP("1206-"&amp;L38,'All Costing'!$AB:$AC,2,FALSE),C38)</f>
        <v>36891.11</v>
      </c>
    </row>
    <row r="39" spans="1:20">
      <c r="A39" s="137" t="s">
        <v>398</v>
      </c>
      <c r="B39" s="211">
        <f>B24+B38</f>
        <v>714906.0625</v>
      </c>
      <c r="C39" s="134">
        <f>C24+C38</f>
        <v>42369.41</v>
      </c>
      <c r="D39" s="134">
        <f>D24+D38</f>
        <v>55526.17</v>
      </c>
      <c r="E39" s="134">
        <f>E24+E38</f>
        <v>37739.949999999997</v>
      </c>
      <c r="F39" s="134">
        <f>F24+F38</f>
        <v>20038.349999999999</v>
      </c>
      <c r="G39" s="129">
        <f t="shared" si="5"/>
        <v>0.35100405808028767</v>
      </c>
      <c r="H39" s="123">
        <f t="shared" si="7"/>
        <v>155673.88</v>
      </c>
      <c r="I39" s="24">
        <f t="shared" si="9"/>
        <v>-559232.1825</v>
      </c>
      <c r="K39">
        <f t="shared" si="0"/>
        <v>39</v>
      </c>
      <c r="L39" t="s">
        <v>531</v>
      </c>
      <c r="M39" s="24">
        <f t="shared" si="10"/>
        <v>42369.41</v>
      </c>
      <c r="N39" s="24">
        <f t="shared" si="11"/>
        <v>55526.17</v>
      </c>
      <c r="O39" s="24">
        <f t="shared" si="12"/>
        <v>37739.949999999997</v>
      </c>
      <c r="P39" s="24">
        <f t="shared" si="13"/>
        <v>20038.349999999999</v>
      </c>
      <c r="Q39" s="24">
        <f>_xlfn.IFNA(VLOOKUP("1201-"&amp;L39,'All Costing'!$AB:$AC,2,FALSE),C39)</f>
        <v>42369.41</v>
      </c>
      <c r="R39" s="24">
        <f>_xlfn.IFNA(VLOOKUP("1204-"&amp;L39,'All Costing'!$AB:$AC,2,FALSE),C39)</f>
        <v>42369.41</v>
      </c>
      <c r="S39">
        <f>_xlfn.IFNA(VLOOKUP("1205-"&amp;L39,'All Costing'!$AB:$AC,2,FALSE),C39)</f>
        <v>42369.41</v>
      </c>
      <c r="T39">
        <f>_xlfn.IFNA(VLOOKUP("1206-"&amp;L39,'All Costing'!$AB:$AC,2,FALSE),C39)</f>
        <v>42369.41</v>
      </c>
    </row>
    <row r="40" spans="1:20">
      <c r="A40" s="137"/>
      <c r="B40" s="119"/>
      <c r="C40" s="119"/>
      <c r="D40" s="119"/>
      <c r="E40" s="119"/>
      <c r="F40" s="119"/>
      <c r="G40" s="129"/>
      <c r="H40" s="123"/>
      <c r="I40" s="24">
        <f t="shared" si="9"/>
        <v>0</v>
      </c>
      <c r="K40">
        <f t="shared" si="0"/>
        <v>40</v>
      </c>
      <c r="L40" t="s">
        <v>531</v>
      </c>
      <c r="M40" s="24">
        <f t="shared" si="10"/>
        <v>0</v>
      </c>
      <c r="N40" s="24">
        <f t="shared" si="11"/>
        <v>0</v>
      </c>
      <c r="O40" s="24">
        <f t="shared" si="12"/>
        <v>0</v>
      </c>
      <c r="P40" s="24">
        <f t="shared" si="13"/>
        <v>0</v>
      </c>
      <c r="Q40" s="24">
        <f>_xlfn.IFNA(VLOOKUP("1201-"&amp;L40,'All Costing'!$AB:$AC,2,FALSE),C40)</f>
        <v>0</v>
      </c>
      <c r="R40" s="24">
        <f>_xlfn.IFNA(VLOOKUP("1204-"&amp;L40,'All Costing'!$AB:$AC,2,FALSE),C40)</f>
        <v>0</v>
      </c>
      <c r="S40">
        <f>_xlfn.IFNA(VLOOKUP("1205-"&amp;L40,'All Costing'!$AB:$AC,2,FALSE),C40)</f>
        <v>0</v>
      </c>
      <c r="T40">
        <f>_xlfn.IFNA(VLOOKUP("1206-"&amp;L40,'All Costing'!$AB:$AC,2,FALSE),C40)</f>
        <v>0</v>
      </c>
    </row>
    <row r="41" spans="1:20">
      <c r="A41" s="121" t="s">
        <v>399</v>
      </c>
      <c r="B41" s="211">
        <f>B10-B14-B39</f>
        <v>139415.41177999997</v>
      </c>
      <c r="C41" s="134">
        <f>C10-C14-C39</f>
        <v>130599.568</v>
      </c>
      <c r="D41" s="134">
        <f>D10-D14-D39</f>
        <v>-55526.17</v>
      </c>
      <c r="E41" s="134">
        <f>E10-E14-E39</f>
        <v>-37739.949999999997</v>
      </c>
      <c r="F41" s="134">
        <f>F10-F14-F39</f>
        <v>-20038.349999999999</v>
      </c>
      <c r="G41" s="129">
        <f t="shared" si="5"/>
        <v>3.899594191971234E-2</v>
      </c>
      <c r="H41" s="123">
        <f t="shared" si="7"/>
        <v>17295.098000000005</v>
      </c>
      <c r="I41" s="24">
        <f t="shared" si="9"/>
        <v>-122120.31377999997</v>
      </c>
      <c r="K41">
        <f t="shared" si="0"/>
        <v>41</v>
      </c>
      <c r="L41" t="s">
        <v>531</v>
      </c>
      <c r="M41" s="24">
        <f t="shared" si="10"/>
        <v>130599.568</v>
      </c>
      <c r="N41" s="24">
        <f t="shared" si="11"/>
        <v>-55526.17</v>
      </c>
      <c r="O41" s="24">
        <f t="shared" si="12"/>
        <v>-37739.949999999997</v>
      </c>
      <c r="P41" s="24">
        <f t="shared" si="13"/>
        <v>-20038.349999999999</v>
      </c>
      <c r="Q41" s="24">
        <f>_xlfn.IFNA(VLOOKUP("1201-"&amp;L41,'All Costing'!$AB:$AC,2,FALSE),C41)</f>
        <v>130599.568</v>
      </c>
      <c r="R41" s="24">
        <f>_xlfn.IFNA(VLOOKUP("1204-"&amp;L41,'All Costing'!$AB:$AC,2,FALSE),C41)</f>
        <v>130599.568</v>
      </c>
      <c r="S41">
        <f>_xlfn.IFNA(VLOOKUP("1205-"&amp;L41,'All Costing'!$AB:$AC,2,FALSE),C41)</f>
        <v>130599.568</v>
      </c>
      <c r="T41">
        <f>_xlfn.IFNA(VLOOKUP("1206-"&amp;L41,'All Costing'!$AB:$AC,2,FALSE),C41)</f>
        <v>130599.568</v>
      </c>
    </row>
    <row r="42" spans="1:20">
      <c r="A42" s="137"/>
      <c r="B42" s="122"/>
      <c r="C42" s="125"/>
      <c r="D42" s="125"/>
      <c r="E42" s="125"/>
      <c r="F42" s="125"/>
      <c r="G42" s="129"/>
      <c r="H42" s="125"/>
      <c r="I42" s="24">
        <f t="shared" si="9"/>
        <v>0</v>
      </c>
      <c r="K42">
        <f t="shared" si="0"/>
        <v>42</v>
      </c>
      <c r="L42" t="s">
        <v>531</v>
      </c>
      <c r="M42" s="24">
        <f t="shared" si="10"/>
        <v>0</v>
      </c>
      <c r="N42" s="24">
        <f t="shared" si="11"/>
        <v>0</v>
      </c>
      <c r="O42" s="24">
        <f t="shared" si="12"/>
        <v>0</v>
      </c>
      <c r="P42" s="24">
        <f t="shared" si="13"/>
        <v>0</v>
      </c>
      <c r="Q42" s="24">
        <f>_xlfn.IFNA(VLOOKUP("1201-"&amp;L42,'All Costing'!$AB:$AC,2,FALSE),C42)</f>
        <v>0</v>
      </c>
      <c r="R42" s="24">
        <f>_xlfn.IFNA(VLOOKUP("1204-"&amp;L42,'All Costing'!$AB:$AC,2,FALSE),C42)</f>
        <v>0</v>
      </c>
      <c r="S42">
        <f>_xlfn.IFNA(VLOOKUP("1205-"&amp;L42,'All Costing'!$AB:$AC,2,FALSE),C42)</f>
        <v>0</v>
      </c>
      <c r="T42">
        <f>_xlfn.IFNA(VLOOKUP("1206-"&amp;L42,'All Costing'!$AB:$AC,2,FALSE),C42)</f>
        <v>0</v>
      </c>
    </row>
    <row r="43" spans="1:20">
      <c r="A43" s="121" t="s">
        <v>400</v>
      </c>
      <c r="B43" s="122"/>
      <c r="C43" s="139"/>
      <c r="D43" s="125"/>
      <c r="E43" s="125"/>
      <c r="F43" s="125"/>
      <c r="G43" s="129"/>
      <c r="H43" s="125"/>
      <c r="I43" s="24">
        <f t="shared" si="9"/>
        <v>0</v>
      </c>
      <c r="K43">
        <f t="shared" si="0"/>
        <v>43</v>
      </c>
      <c r="L43" t="s">
        <v>531</v>
      </c>
      <c r="M43" s="24">
        <f t="shared" si="10"/>
        <v>0</v>
      </c>
      <c r="N43" s="24">
        <f t="shared" si="11"/>
        <v>0</v>
      </c>
      <c r="O43" s="24">
        <f t="shared" si="12"/>
        <v>0</v>
      </c>
      <c r="P43" s="24">
        <f t="shared" si="13"/>
        <v>0</v>
      </c>
      <c r="Q43" s="24">
        <f>_xlfn.IFNA(VLOOKUP("1201-"&amp;L43,'All Costing'!$AB:$AC,2,FALSE),C43)</f>
        <v>0</v>
      </c>
      <c r="R43" s="24">
        <f>_xlfn.IFNA(VLOOKUP("1204-"&amp;L43,'All Costing'!$AB:$AC,2,FALSE),C43)</f>
        <v>0</v>
      </c>
      <c r="S43">
        <f>_xlfn.IFNA(VLOOKUP("1205-"&amp;L43,'All Costing'!$AB:$AC,2,FALSE),C43)</f>
        <v>0</v>
      </c>
      <c r="T43">
        <f>_xlfn.IFNA(VLOOKUP("1206-"&amp;L43,'All Costing'!$AB:$AC,2,FALSE),C43)</f>
        <v>0</v>
      </c>
    </row>
    <row r="44" spans="1:20">
      <c r="A44" s="124" t="s">
        <v>401</v>
      </c>
      <c r="B44" s="122"/>
      <c r="C44" s="139"/>
      <c r="D44" s="125"/>
      <c r="E44" s="125"/>
      <c r="F44" s="125"/>
      <c r="G44" s="129"/>
      <c r="H44" s="125"/>
      <c r="I44" s="24">
        <f t="shared" si="9"/>
        <v>0</v>
      </c>
      <c r="K44">
        <f t="shared" si="0"/>
        <v>44</v>
      </c>
      <c r="L44" t="s">
        <v>531</v>
      </c>
      <c r="M44" s="24">
        <f t="shared" si="10"/>
        <v>0</v>
      </c>
      <c r="N44" s="24">
        <f t="shared" si="11"/>
        <v>0</v>
      </c>
      <c r="O44" s="24">
        <f t="shared" si="12"/>
        <v>0</v>
      </c>
      <c r="P44" s="24">
        <f t="shared" si="13"/>
        <v>0</v>
      </c>
      <c r="Q44" s="24">
        <f>_xlfn.IFNA(VLOOKUP("1201-"&amp;L44,'All Costing'!$AB:$AC,2,FALSE),C44)</f>
        <v>0</v>
      </c>
      <c r="R44" s="24">
        <f>_xlfn.IFNA(VLOOKUP("1204-"&amp;L44,'All Costing'!$AB:$AC,2,FALSE),C44)</f>
        <v>0</v>
      </c>
      <c r="S44">
        <f>_xlfn.IFNA(VLOOKUP("1205-"&amp;L44,'All Costing'!$AB:$AC,2,FALSE),C44)</f>
        <v>0</v>
      </c>
      <c r="T44">
        <f>_xlfn.IFNA(VLOOKUP("1206-"&amp;L44,'All Costing'!$AB:$AC,2,FALSE),C44)</f>
        <v>0</v>
      </c>
    </row>
    <row r="45" spans="1:20">
      <c r="A45" s="140" t="s">
        <v>402</v>
      </c>
      <c r="B45" s="122"/>
      <c r="C45" s="139"/>
      <c r="D45" s="125"/>
      <c r="E45" s="125"/>
      <c r="F45" s="125"/>
      <c r="G45" s="129"/>
      <c r="H45" s="125"/>
      <c r="I45" s="24">
        <f t="shared" si="9"/>
        <v>0</v>
      </c>
      <c r="K45">
        <f t="shared" si="0"/>
        <v>45</v>
      </c>
      <c r="L45" t="s">
        <v>531</v>
      </c>
      <c r="M45" s="24">
        <f t="shared" si="10"/>
        <v>0</v>
      </c>
      <c r="N45" s="24">
        <f t="shared" si="11"/>
        <v>0</v>
      </c>
      <c r="O45" s="24">
        <f t="shared" si="12"/>
        <v>0</v>
      </c>
      <c r="P45" s="24">
        <f t="shared" si="13"/>
        <v>0</v>
      </c>
      <c r="Q45" s="24">
        <f>_xlfn.IFNA(VLOOKUP("1201-"&amp;L45,'All Costing'!$AB:$AC,2,FALSE),C45)</f>
        <v>0</v>
      </c>
      <c r="R45" s="24">
        <f>_xlfn.IFNA(VLOOKUP("1204-"&amp;L45,'All Costing'!$AB:$AC,2,FALSE),C45)</f>
        <v>0</v>
      </c>
      <c r="S45">
        <f>_xlfn.IFNA(VLOOKUP("1205-"&amp;L45,'All Costing'!$AB:$AC,2,FALSE),C45)</f>
        <v>0</v>
      </c>
      <c r="T45">
        <f>_xlfn.IFNA(VLOOKUP("1206-"&amp;L45,'All Costing'!$AB:$AC,2,FALSE),C45)</f>
        <v>0</v>
      </c>
    </row>
    <row r="46" spans="1:20">
      <c r="A46" s="127" t="s">
        <v>403</v>
      </c>
      <c r="B46" s="210">
        <v>0</v>
      </c>
      <c r="C46" s="139">
        <v>0</v>
      </c>
      <c r="D46" s="125">
        <v>0</v>
      </c>
      <c r="E46" s="125"/>
      <c r="F46" s="125"/>
      <c r="G46" s="129">
        <f t="shared" si="5"/>
        <v>0</v>
      </c>
      <c r="H46" s="125">
        <f t="shared" si="7"/>
        <v>0</v>
      </c>
      <c r="I46" s="24">
        <f t="shared" si="9"/>
        <v>0</v>
      </c>
      <c r="K46">
        <f t="shared" si="0"/>
        <v>46</v>
      </c>
      <c r="L46" t="s">
        <v>531</v>
      </c>
      <c r="M46" s="24">
        <f t="shared" si="10"/>
        <v>0</v>
      </c>
      <c r="N46" s="24">
        <f t="shared" si="11"/>
        <v>0</v>
      </c>
      <c r="O46" s="24">
        <f t="shared" si="12"/>
        <v>0</v>
      </c>
      <c r="P46" s="24">
        <f t="shared" si="13"/>
        <v>0</v>
      </c>
      <c r="Q46" s="24">
        <f>_xlfn.IFNA(VLOOKUP("1201-"&amp;L46,'All Costing'!$AB:$AC,2,FALSE),C46)</f>
        <v>0</v>
      </c>
      <c r="R46" s="24">
        <f>_xlfn.IFNA(VLOOKUP("1204-"&amp;L46,'All Costing'!$AB:$AC,2,FALSE),C46)</f>
        <v>0</v>
      </c>
      <c r="S46">
        <f>_xlfn.IFNA(VLOOKUP("1205-"&amp;L46,'All Costing'!$AB:$AC,2,FALSE),C46)</f>
        <v>0</v>
      </c>
      <c r="T46">
        <f>_xlfn.IFNA(VLOOKUP("1206-"&amp;L46,'All Costing'!$AB:$AC,2,FALSE),C46)</f>
        <v>0</v>
      </c>
    </row>
    <row r="47" spans="1:20">
      <c r="A47" s="127" t="s">
        <v>404</v>
      </c>
      <c r="B47" s="210">
        <v>500</v>
      </c>
      <c r="C47" s="141">
        <v>386.13</v>
      </c>
      <c r="D47" s="141">
        <v>0</v>
      </c>
      <c r="E47" s="141">
        <v>708.39</v>
      </c>
      <c r="F47" s="141"/>
      <c r="G47" s="142">
        <f t="shared" si="5"/>
        <v>2.4678575599839641E-3</v>
      </c>
      <c r="H47" s="141">
        <f t="shared" si="7"/>
        <v>1094.52</v>
      </c>
      <c r="I47" s="24">
        <f t="shared" si="9"/>
        <v>594.52</v>
      </c>
      <c r="K47">
        <f t="shared" si="0"/>
        <v>47</v>
      </c>
      <c r="L47" t="s">
        <v>57</v>
      </c>
      <c r="M47" s="24">
        <f t="shared" si="10"/>
        <v>386.13</v>
      </c>
      <c r="N47" s="24">
        <f t="shared" si="11"/>
        <v>0</v>
      </c>
      <c r="O47" s="24">
        <f t="shared" si="12"/>
        <v>708.39</v>
      </c>
      <c r="P47" s="24">
        <f t="shared" si="13"/>
        <v>0</v>
      </c>
      <c r="Q47" s="24">
        <f>_xlfn.IFNA(VLOOKUP("1201-"&amp;L47,'All Costing'!$AB:$AC,2,FALSE),C47)</f>
        <v>0</v>
      </c>
      <c r="R47" s="24">
        <f>_xlfn.IFNA(VLOOKUP("1204-"&amp;L47,'All Costing'!$AB:$AC,2,FALSE),C47)</f>
        <v>386.13</v>
      </c>
      <c r="S47">
        <f>_xlfn.IFNA(VLOOKUP("1205-"&amp;L47,'All Costing'!$AB:$AC,2,FALSE),C47)</f>
        <v>386.13</v>
      </c>
      <c r="T47">
        <f>_xlfn.IFNA(VLOOKUP("1206-"&amp;L47,'All Costing'!$AB:$AC,2,FALSE),C47)</f>
        <v>386.13</v>
      </c>
    </row>
    <row r="48" spans="1:20">
      <c r="A48" s="140" t="s">
        <v>405</v>
      </c>
      <c r="B48" s="210">
        <v>0</v>
      </c>
      <c r="C48" s="125"/>
      <c r="D48" s="125"/>
      <c r="E48" s="125"/>
      <c r="F48" s="125"/>
      <c r="G48" s="129">
        <f t="shared" si="5"/>
        <v>0</v>
      </c>
      <c r="H48" s="125">
        <f t="shared" si="7"/>
        <v>0</v>
      </c>
      <c r="I48" s="24">
        <f t="shared" si="9"/>
        <v>0</v>
      </c>
      <c r="K48">
        <f t="shared" si="0"/>
        <v>48</v>
      </c>
      <c r="L48" t="s">
        <v>531</v>
      </c>
      <c r="M48" s="24">
        <f t="shared" si="10"/>
        <v>0</v>
      </c>
      <c r="N48" s="24">
        <f t="shared" si="11"/>
        <v>0</v>
      </c>
      <c r="O48" s="24">
        <f t="shared" si="12"/>
        <v>0</v>
      </c>
      <c r="P48" s="24">
        <f t="shared" si="13"/>
        <v>0</v>
      </c>
      <c r="Q48" s="24">
        <f>_xlfn.IFNA(VLOOKUP("1201-"&amp;L48,'All Costing'!$AB:$AC,2,FALSE),C48)</f>
        <v>0</v>
      </c>
      <c r="R48" s="24">
        <f>_xlfn.IFNA(VLOOKUP("1204-"&amp;L48,'All Costing'!$AB:$AC,2,FALSE),C48)</f>
        <v>0</v>
      </c>
      <c r="S48">
        <f>_xlfn.IFNA(VLOOKUP("1205-"&amp;L48,'All Costing'!$AB:$AC,2,FALSE),C48)</f>
        <v>0</v>
      </c>
      <c r="T48">
        <f>_xlfn.IFNA(VLOOKUP("1206-"&amp;L48,'All Costing'!$AB:$AC,2,FALSE),C48)</f>
        <v>0</v>
      </c>
    </row>
    <row r="49" spans="1:20">
      <c r="A49" s="127" t="s">
        <v>406</v>
      </c>
      <c r="B49" s="210">
        <v>10000</v>
      </c>
      <c r="C49" s="125">
        <v>669.9</v>
      </c>
      <c r="D49" s="125">
        <v>0</v>
      </c>
      <c r="E49" s="125">
        <v>2590.0100000000002</v>
      </c>
      <c r="F49" s="125"/>
      <c r="G49" s="129">
        <f t="shared" si="5"/>
        <v>7.3502480889954735E-3</v>
      </c>
      <c r="H49" s="125">
        <f t="shared" si="7"/>
        <v>3259.9100000000003</v>
      </c>
      <c r="I49" s="24">
        <f t="shared" si="9"/>
        <v>-6740.09</v>
      </c>
      <c r="K49">
        <f t="shared" si="0"/>
        <v>49</v>
      </c>
      <c r="L49" t="s">
        <v>31</v>
      </c>
      <c r="M49" s="24">
        <f t="shared" si="10"/>
        <v>669.9</v>
      </c>
      <c r="N49" s="24">
        <f t="shared" si="11"/>
        <v>0</v>
      </c>
      <c r="O49" s="24">
        <f t="shared" si="12"/>
        <v>2590.0100000000002</v>
      </c>
      <c r="P49" s="24">
        <f t="shared" si="13"/>
        <v>0</v>
      </c>
      <c r="Q49" s="24">
        <f>_xlfn.IFNA(VLOOKUP("1201-"&amp;L49,'All Costing'!$AB:$AC,2,FALSE),C49)</f>
        <v>669.9</v>
      </c>
      <c r="R49" s="24">
        <f>_xlfn.IFNA(VLOOKUP("1204-"&amp;L49,'All Costing'!$AB:$AC,2,FALSE),C49)</f>
        <v>0</v>
      </c>
      <c r="S49">
        <f>_xlfn.IFNA(VLOOKUP("1205-"&amp;L49,'All Costing'!$AB:$AC,2,FALSE),C49)</f>
        <v>2590.0100000000002</v>
      </c>
      <c r="T49">
        <f>_xlfn.IFNA(VLOOKUP("1206-"&amp;L49,'All Costing'!$AB:$AC,2,FALSE),C49)</f>
        <v>669.9</v>
      </c>
    </row>
    <row r="50" spans="1:20">
      <c r="A50" s="127" t="s">
        <v>407</v>
      </c>
      <c r="B50" s="210">
        <v>0</v>
      </c>
      <c r="C50" s="125"/>
      <c r="D50" s="125"/>
      <c r="E50" s="125"/>
      <c r="F50" s="125"/>
      <c r="G50" s="129">
        <f t="shared" si="5"/>
        <v>0</v>
      </c>
      <c r="H50" s="125">
        <f t="shared" si="7"/>
        <v>0</v>
      </c>
      <c r="I50" s="24">
        <f t="shared" si="9"/>
        <v>0</v>
      </c>
      <c r="K50">
        <f t="shared" si="0"/>
        <v>50</v>
      </c>
      <c r="L50" t="s">
        <v>531</v>
      </c>
      <c r="M50" s="24">
        <f t="shared" si="10"/>
        <v>0</v>
      </c>
      <c r="N50" s="24">
        <f t="shared" si="11"/>
        <v>0</v>
      </c>
      <c r="O50" s="24">
        <f t="shared" si="12"/>
        <v>0</v>
      </c>
      <c r="P50" s="24">
        <f t="shared" si="13"/>
        <v>0</v>
      </c>
      <c r="Q50" s="24">
        <f>_xlfn.IFNA(VLOOKUP("1201-"&amp;L50,'All Costing'!$AB:$AC,2,FALSE),C50)</f>
        <v>0</v>
      </c>
      <c r="R50" s="24">
        <f>_xlfn.IFNA(VLOOKUP("1204-"&amp;L50,'All Costing'!$AB:$AC,2,FALSE),C50)</f>
        <v>0</v>
      </c>
      <c r="S50">
        <f>_xlfn.IFNA(VLOOKUP("1205-"&amp;L50,'All Costing'!$AB:$AC,2,FALSE),C50)</f>
        <v>0</v>
      </c>
      <c r="T50">
        <f>_xlfn.IFNA(VLOOKUP("1206-"&amp;L50,'All Costing'!$AB:$AC,2,FALSE),C50)</f>
        <v>0</v>
      </c>
    </row>
    <row r="51" spans="1:20">
      <c r="A51" s="127" t="s">
        <v>408</v>
      </c>
      <c r="B51" s="210">
        <v>20000</v>
      </c>
      <c r="C51" s="125">
        <v>9944.2800000000007</v>
      </c>
      <c r="D51" s="125">
        <v>313.45999999999998</v>
      </c>
      <c r="E51" s="125">
        <v>0</v>
      </c>
      <c r="F51" s="125"/>
      <c r="G51" s="129">
        <f t="shared" si="5"/>
        <v>2.3128532331387192E-2</v>
      </c>
      <c r="H51" s="125">
        <f t="shared" si="7"/>
        <v>10257.74</v>
      </c>
      <c r="I51" s="24">
        <f t="shared" si="9"/>
        <v>-9742.26</v>
      </c>
      <c r="K51">
        <f t="shared" si="0"/>
        <v>51</v>
      </c>
      <c r="L51" t="s">
        <v>10</v>
      </c>
      <c r="M51" s="24">
        <f t="shared" si="10"/>
        <v>9944.2800000000007</v>
      </c>
      <c r="N51" s="24">
        <f t="shared" si="11"/>
        <v>313.45999999999998</v>
      </c>
      <c r="O51" s="24">
        <f t="shared" si="12"/>
        <v>0</v>
      </c>
      <c r="P51" s="24">
        <f t="shared" si="13"/>
        <v>0</v>
      </c>
      <c r="Q51" s="24">
        <f>_xlfn.IFNA(VLOOKUP("1201-"&amp;L51,'All Costing'!$AB:$AC,2,FALSE),C51)</f>
        <v>8590.3700000000008</v>
      </c>
      <c r="R51" s="24">
        <f>_xlfn.IFNA(VLOOKUP("1204-"&amp;L51,'All Costing'!$AB:$AC,2,FALSE),C51)</f>
        <v>3143.46</v>
      </c>
      <c r="S51">
        <f>_xlfn.IFNA(VLOOKUP("1205-"&amp;L51,'All Costing'!$AB:$AC,2,FALSE),C51)</f>
        <v>9944.2800000000007</v>
      </c>
      <c r="T51">
        <f>_xlfn.IFNA(VLOOKUP("1206-"&amp;L51,'All Costing'!$AB:$AC,2,FALSE),C51)</f>
        <v>9944.2800000000007</v>
      </c>
    </row>
    <row r="52" spans="1:20">
      <c r="A52" s="127" t="s">
        <v>409</v>
      </c>
      <c r="B52" s="210">
        <v>0</v>
      </c>
      <c r="C52" s="125"/>
      <c r="D52" s="143"/>
      <c r="E52" s="125"/>
      <c r="F52" s="125"/>
      <c r="G52" s="129">
        <f t="shared" si="5"/>
        <v>0</v>
      </c>
      <c r="H52" s="125">
        <f t="shared" si="7"/>
        <v>0</v>
      </c>
      <c r="I52" s="24">
        <f t="shared" si="9"/>
        <v>0</v>
      </c>
      <c r="K52">
        <f t="shared" si="0"/>
        <v>52</v>
      </c>
      <c r="L52" t="s">
        <v>531</v>
      </c>
      <c r="M52" s="24">
        <f t="shared" si="10"/>
        <v>0</v>
      </c>
      <c r="N52" s="24">
        <f t="shared" si="11"/>
        <v>0</v>
      </c>
      <c r="O52" s="24">
        <f t="shared" si="12"/>
        <v>0</v>
      </c>
      <c r="P52" s="24">
        <f t="shared" si="13"/>
        <v>0</v>
      </c>
      <c r="Q52" s="24">
        <f>_xlfn.IFNA(VLOOKUP("1201-"&amp;L52,'All Costing'!$AB:$AC,2,FALSE),C52)</f>
        <v>0</v>
      </c>
      <c r="R52" s="24">
        <f>_xlfn.IFNA(VLOOKUP("1204-"&amp;L52,'All Costing'!$AB:$AC,2,FALSE),C52)</f>
        <v>0</v>
      </c>
      <c r="S52">
        <f>_xlfn.IFNA(VLOOKUP("1205-"&amp;L52,'All Costing'!$AB:$AC,2,FALSE),C52)</f>
        <v>0</v>
      </c>
      <c r="T52">
        <f>_xlfn.IFNA(VLOOKUP("1206-"&amp;L52,'All Costing'!$AB:$AC,2,FALSE),C52)</f>
        <v>0</v>
      </c>
    </row>
    <row r="53" spans="1:20">
      <c r="A53" s="127" t="s">
        <v>410</v>
      </c>
      <c r="B53" s="210">
        <v>0</v>
      </c>
      <c r="C53" s="125"/>
      <c r="D53" s="125"/>
      <c r="E53" s="125"/>
      <c r="F53" s="125"/>
      <c r="G53" s="129">
        <f t="shared" si="5"/>
        <v>0</v>
      </c>
      <c r="H53" s="125">
        <f t="shared" si="7"/>
        <v>0</v>
      </c>
      <c r="I53" s="24">
        <f t="shared" si="9"/>
        <v>0</v>
      </c>
      <c r="K53">
        <f t="shared" si="0"/>
        <v>53</v>
      </c>
      <c r="L53" t="s">
        <v>531</v>
      </c>
      <c r="M53" s="24">
        <f t="shared" si="10"/>
        <v>0</v>
      </c>
      <c r="N53" s="24">
        <f t="shared" si="11"/>
        <v>0</v>
      </c>
      <c r="O53" s="24">
        <f t="shared" si="12"/>
        <v>0</v>
      </c>
      <c r="P53" s="24">
        <f t="shared" si="13"/>
        <v>0</v>
      </c>
      <c r="Q53" s="24">
        <f>_xlfn.IFNA(VLOOKUP("1201-"&amp;L53,'All Costing'!$AB:$AC,2,FALSE),C53)</f>
        <v>0</v>
      </c>
      <c r="R53" s="24">
        <f>_xlfn.IFNA(VLOOKUP("1204-"&amp;L53,'All Costing'!$AB:$AC,2,FALSE),C53)</f>
        <v>0</v>
      </c>
      <c r="S53">
        <f>_xlfn.IFNA(VLOOKUP("1205-"&amp;L53,'All Costing'!$AB:$AC,2,FALSE),C53)</f>
        <v>0</v>
      </c>
      <c r="T53">
        <f>_xlfn.IFNA(VLOOKUP("1206-"&amp;L53,'All Costing'!$AB:$AC,2,FALSE),C53)</f>
        <v>0</v>
      </c>
    </row>
    <row r="54" spans="1:20">
      <c r="A54" s="140" t="s">
        <v>411</v>
      </c>
      <c r="B54" s="210">
        <v>0</v>
      </c>
      <c r="C54" s="125"/>
      <c r="D54" s="125"/>
      <c r="E54" s="125"/>
      <c r="F54" s="125"/>
      <c r="G54" s="129">
        <f t="shared" si="5"/>
        <v>0</v>
      </c>
      <c r="H54" s="125">
        <f t="shared" si="7"/>
        <v>0</v>
      </c>
      <c r="I54" s="24">
        <f t="shared" si="9"/>
        <v>0</v>
      </c>
      <c r="K54">
        <f t="shared" si="0"/>
        <v>54</v>
      </c>
      <c r="L54" t="s">
        <v>531</v>
      </c>
      <c r="M54" s="24">
        <f t="shared" si="10"/>
        <v>0</v>
      </c>
      <c r="N54" s="24">
        <f t="shared" si="11"/>
        <v>0</v>
      </c>
      <c r="O54" s="24">
        <f t="shared" si="12"/>
        <v>0</v>
      </c>
      <c r="P54" s="24">
        <f t="shared" si="13"/>
        <v>0</v>
      </c>
      <c r="Q54" s="24">
        <f>_xlfn.IFNA(VLOOKUP("1201-"&amp;L54,'All Costing'!$AB:$AC,2,FALSE),C54)</f>
        <v>0</v>
      </c>
      <c r="R54" s="24">
        <f>_xlfn.IFNA(VLOOKUP("1204-"&amp;L54,'All Costing'!$AB:$AC,2,FALSE),C54)</f>
        <v>0</v>
      </c>
      <c r="S54">
        <f>_xlfn.IFNA(VLOOKUP("1205-"&amp;L54,'All Costing'!$AB:$AC,2,FALSE),C54)</f>
        <v>0</v>
      </c>
      <c r="T54">
        <f>_xlfn.IFNA(VLOOKUP("1206-"&amp;L54,'All Costing'!$AB:$AC,2,FALSE),C54)</f>
        <v>0</v>
      </c>
    </row>
    <row r="55" spans="1:20">
      <c r="A55" s="127" t="s">
        <v>412</v>
      </c>
      <c r="B55" s="210">
        <v>0</v>
      </c>
      <c r="C55" s="125"/>
      <c r="D55" s="125"/>
      <c r="E55" s="125"/>
      <c r="F55" s="125"/>
      <c r="G55" s="129">
        <f t="shared" si="5"/>
        <v>0</v>
      </c>
      <c r="H55" s="125">
        <f t="shared" si="7"/>
        <v>0</v>
      </c>
      <c r="I55" s="24">
        <f t="shared" si="9"/>
        <v>0</v>
      </c>
      <c r="K55">
        <f t="shared" si="0"/>
        <v>55</v>
      </c>
      <c r="L55" t="s">
        <v>531</v>
      </c>
      <c r="M55" s="24">
        <f t="shared" si="10"/>
        <v>0</v>
      </c>
      <c r="N55" s="24">
        <f t="shared" si="11"/>
        <v>0</v>
      </c>
      <c r="O55" s="24">
        <f t="shared" si="12"/>
        <v>0</v>
      </c>
      <c r="P55" s="24">
        <f t="shared" si="13"/>
        <v>0</v>
      </c>
      <c r="Q55" s="24">
        <f>_xlfn.IFNA(VLOOKUP("1201-"&amp;L55,'All Costing'!$AB:$AC,2,FALSE),C55)</f>
        <v>0</v>
      </c>
      <c r="R55" s="24">
        <f>_xlfn.IFNA(VLOOKUP("1204-"&amp;L55,'All Costing'!$AB:$AC,2,FALSE),C55)</f>
        <v>0</v>
      </c>
      <c r="S55">
        <f>_xlfn.IFNA(VLOOKUP("1205-"&amp;L55,'All Costing'!$AB:$AC,2,FALSE),C55)</f>
        <v>0</v>
      </c>
      <c r="T55">
        <f>_xlfn.IFNA(VLOOKUP("1206-"&amp;L55,'All Costing'!$AB:$AC,2,FALSE),C55)</f>
        <v>0</v>
      </c>
    </row>
    <row r="56" spans="1:20">
      <c r="A56" s="127" t="s">
        <v>413</v>
      </c>
      <c r="B56" s="210">
        <v>7000</v>
      </c>
      <c r="C56" s="125">
        <v>2090.6999999999998</v>
      </c>
      <c r="D56" s="125"/>
      <c r="E56" s="125"/>
      <c r="F56" s="125"/>
      <c r="G56" s="129">
        <f t="shared" si="5"/>
        <v>4.7139840301305353E-3</v>
      </c>
      <c r="H56" s="125">
        <f t="shared" si="7"/>
        <v>2090.6999999999998</v>
      </c>
      <c r="I56" s="24">
        <f t="shared" si="9"/>
        <v>-4909.3</v>
      </c>
      <c r="K56">
        <f t="shared" si="0"/>
        <v>56</v>
      </c>
      <c r="L56" t="s">
        <v>54</v>
      </c>
      <c r="M56" s="24">
        <f t="shared" si="10"/>
        <v>2090.6999999999998</v>
      </c>
      <c r="N56" s="24">
        <f t="shared" si="11"/>
        <v>0</v>
      </c>
      <c r="O56" s="24">
        <f t="shared" si="12"/>
        <v>0</v>
      </c>
      <c r="P56" s="24">
        <f t="shared" si="13"/>
        <v>0</v>
      </c>
      <c r="Q56" s="24">
        <f>_xlfn.IFNA(VLOOKUP("1201-"&amp;L56,'All Costing'!$AB:$AC,2,FALSE),C56)</f>
        <v>0</v>
      </c>
      <c r="R56" s="24">
        <f>_xlfn.IFNA(VLOOKUP("1204-"&amp;L56,'All Costing'!$AB:$AC,2,FALSE),C56)</f>
        <v>2090.6999999999998</v>
      </c>
      <c r="S56">
        <f>_xlfn.IFNA(VLOOKUP("1205-"&amp;L56,'All Costing'!$AB:$AC,2,FALSE),C56)</f>
        <v>2090.6999999999998</v>
      </c>
      <c r="T56">
        <f>_xlfn.IFNA(VLOOKUP("1206-"&amp;L56,'All Costing'!$AB:$AC,2,FALSE),C56)</f>
        <v>2090.6999999999998</v>
      </c>
    </row>
    <row r="57" spans="1:20">
      <c r="A57" s="127" t="s">
        <v>414</v>
      </c>
      <c r="B57" s="210">
        <v>2000</v>
      </c>
      <c r="C57" s="125">
        <v>632.79</v>
      </c>
      <c r="D57" s="125"/>
      <c r="E57" s="125"/>
      <c r="F57" s="125"/>
      <c r="G57" s="129">
        <f t="shared" si="5"/>
        <v>1.4267766558694703E-3</v>
      </c>
      <c r="H57" s="125">
        <f t="shared" si="7"/>
        <v>632.79</v>
      </c>
      <c r="I57" s="24">
        <f t="shared" si="9"/>
        <v>-1367.21</v>
      </c>
      <c r="K57">
        <f t="shared" si="0"/>
        <v>57</v>
      </c>
      <c r="L57" t="s">
        <v>44</v>
      </c>
      <c r="M57" s="24">
        <f t="shared" si="10"/>
        <v>632.79</v>
      </c>
      <c r="N57" s="24">
        <f t="shared" si="11"/>
        <v>0</v>
      </c>
      <c r="O57" s="24">
        <f t="shared" si="12"/>
        <v>0</v>
      </c>
      <c r="P57" s="24">
        <f t="shared" si="13"/>
        <v>0</v>
      </c>
      <c r="Q57" s="24">
        <f>_xlfn.IFNA(VLOOKUP("1201-"&amp;L57,'All Costing'!$AB:$AC,2,FALSE),C57)</f>
        <v>0</v>
      </c>
      <c r="R57" s="24">
        <f>_xlfn.IFNA(VLOOKUP("1204-"&amp;L57,'All Costing'!$AB:$AC,2,FALSE),C57)</f>
        <v>632.79</v>
      </c>
      <c r="S57">
        <f>_xlfn.IFNA(VLOOKUP("1205-"&amp;L57,'All Costing'!$AB:$AC,2,FALSE),C57)</f>
        <v>632.79</v>
      </c>
      <c r="T57">
        <f>_xlfn.IFNA(VLOOKUP("1206-"&amp;L57,'All Costing'!$AB:$AC,2,FALSE),C57)</f>
        <v>632.79</v>
      </c>
    </row>
    <row r="58" spans="1:20">
      <c r="A58" s="127" t="s">
        <v>415</v>
      </c>
      <c r="B58" s="210">
        <v>0</v>
      </c>
      <c r="C58" s="125"/>
      <c r="D58" s="125"/>
      <c r="E58" s="125"/>
      <c r="F58" s="125"/>
      <c r="G58" s="129">
        <f t="shared" si="5"/>
        <v>0</v>
      </c>
      <c r="H58" s="125">
        <f t="shared" si="7"/>
        <v>0</v>
      </c>
      <c r="I58" s="24">
        <f t="shared" si="9"/>
        <v>0</v>
      </c>
      <c r="K58">
        <f t="shared" si="0"/>
        <v>58</v>
      </c>
      <c r="L58" t="s">
        <v>531</v>
      </c>
      <c r="M58" s="24">
        <f t="shared" si="10"/>
        <v>0</v>
      </c>
      <c r="N58" s="24">
        <f t="shared" si="11"/>
        <v>0</v>
      </c>
      <c r="O58" s="24">
        <f t="shared" si="12"/>
        <v>0</v>
      </c>
      <c r="P58" s="24">
        <f t="shared" si="13"/>
        <v>0</v>
      </c>
      <c r="Q58" s="24">
        <f>_xlfn.IFNA(VLOOKUP("1201-"&amp;L58,'All Costing'!$AB:$AC,2,FALSE),C58)</f>
        <v>0</v>
      </c>
      <c r="R58" s="24">
        <f>_xlfn.IFNA(VLOOKUP("1204-"&amp;L58,'All Costing'!$AB:$AC,2,FALSE),C58)</f>
        <v>0</v>
      </c>
      <c r="S58">
        <f>_xlfn.IFNA(VLOOKUP("1205-"&amp;L58,'All Costing'!$AB:$AC,2,FALSE),C58)</f>
        <v>0</v>
      </c>
      <c r="T58">
        <f>_xlfn.IFNA(VLOOKUP("1206-"&amp;L58,'All Costing'!$AB:$AC,2,FALSE),C58)</f>
        <v>0</v>
      </c>
    </row>
    <row r="59" spans="1:20">
      <c r="A59" s="133" t="s">
        <v>416</v>
      </c>
      <c r="B59" s="211">
        <f>SUM(B46:B58)</f>
        <v>39500</v>
      </c>
      <c r="C59" s="134">
        <f>SUM(C46:C58)</f>
        <v>13723.800000000003</v>
      </c>
      <c r="D59" s="134">
        <f>SUM(D46:D58)</f>
        <v>313.45999999999998</v>
      </c>
      <c r="E59" s="134">
        <f>SUM(E46:E58)</f>
        <v>3298.4</v>
      </c>
      <c r="F59" s="134">
        <f>SUM(F46:F58)</f>
        <v>0</v>
      </c>
      <c r="G59" s="129">
        <f t="shared" si="5"/>
        <v>3.9087398666366645E-2</v>
      </c>
      <c r="H59" s="123">
        <f t="shared" si="7"/>
        <v>17335.660000000003</v>
      </c>
      <c r="I59" s="24">
        <f t="shared" si="9"/>
        <v>-22164.339999999997</v>
      </c>
      <c r="K59">
        <f t="shared" si="0"/>
        <v>59</v>
      </c>
      <c r="L59" t="s">
        <v>531</v>
      </c>
      <c r="M59" s="24">
        <f t="shared" si="10"/>
        <v>13723.800000000003</v>
      </c>
      <c r="N59" s="24">
        <f t="shared" si="11"/>
        <v>313.45999999999998</v>
      </c>
      <c r="O59" s="24">
        <f t="shared" si="12"/>
        <v>3298.4</v>
      </c>
      <c r="P59" s="24">
        <f t="shared" si="13"/>
        <v>0</v>
      </c>
      <c r="Q59" s="24">
        <f>_xlfn.IFNA(VLOOKUP("1201-"&amp;L59,'All Costing'!$AB:$AC,2,FALSE),C59)</f>
        <v>13723.800000000003</v>
      </c>
      <c r="R59" s="24">
        <f>_xlfn.IFNA(VLOOKUP("1204-"&amp;L59,'All Costing'!$AB:$AC,2,FALSE),C59)</f>
        <v>13723.800000000003</v>
      </c>
      <c r="S59">
        <f>_xlfn.IFNA(VLOOKUP("1205-"&amp;L59,'All Costing'!$AB:$AC,2,FALSE),C59)</f>
        <v>13723.800000000003</v>
      </c>
      <c r="T59">
        <f>_xlfn.IFNA(VLOOKUP("1206-"&amp;L59,'All Costing'!$AB:$AC,2,FALSE),C59)</f>
        <v>13723.800000000003</v>
      </c>
    </row>
    <row r="60" spans="1:20">
      <c r="A60" s="137"/>
      <c r="B60" s="122"/>
      <c r="C60" s="125"/>
      <c r="D60" s="125"/>
      <c r="E60" s="125"/>
      <c r="F60" s="125"/>
      <c r="G60" s="129"/>
      <c r="H60" s="125"/>
      <c r="I60" s="24">
        <f t="shared" si="9"/>
        <v>0</v>
      </c>
      <c r="K60">
        <f t="shared" si="0"/>
        <v>60</v>
      </c>
      <c r="L60" t="s">
        <v>531</v>
      </c>
      <c r="M60" s="24">
        <f t="shared" si="10"/>
        <v>0</v>
      </c>
      <c r="N60" s="24">
        <f t="shared" si="11"/>
        <v>0</v>
      </c>
      <c r="O60" s="24">
        <f t="shared" si="12"/>
        <v>0</v>
      </c>
      <c r="P60" s="24">
        <f t="shared" si="13"/>
        <v>0</v>
      </c>
      <c r="Q60" s="24">
        <f>_xlfn.IFNA(VLOOKUP("1201-"&amp;L60,'All Costing'!$AB:$AC,2,FALSE),C60)</f>
        <v>0</v>
      </c>
      <c r="R60" s="24">
        <f>_xlfn.IFNA(VLOOKUP("1204-"&amp;L60,'All Costing'!$AB:$AC,2,FALSE),C60)</f>
        <v>0</v>
      </c>
      <c r="S60">
        <f>_xlfn.IFNA(VLOOKUP("1205-"&amp;L60,'All Costing'!$AB:$AC,2,FALSE),C60)</f>
        <v>0</v>
      </c>
      <c r="T60">
        <f>_xlfn.IFNA(VLOOKUP("1206-"&amp;L60,'All Costing'!$AB:$AC,2,FALSE),C60)</f>
        <v>0</v>
      </c>
    </row>
    <row r="61" spans="1:20">
      <c r="A61" s="124" t="s">
        <v>417</v>
      </c>
      <c r="B61" s="122"/>
      <c r="C61" s="125"/>
      <c r="D61" s="125"/>
      <c r="E61" s="125"/>
      <c r="F61" s="125"/>
      <c r="G61" s="129"/>
      <c r="H61" s="125"/>
      <c r="I61" s="24">
        <f t="shared" si="9"/>
        <v>0</v>
      </c>
      <c r="K61">
        <f t="shared" si="0"/>
        <v>61</v>
      </c>
      <c r="L61" t="s">
        <v>531</v>
      </c>
      <c r="M61" s="24">
        <f t="shared" si="10"/>
        <v>0</v>
      </c>
      <c r="N61" s="24">
        <f t="shared" si="11"/>
        <v>0</v>
      </c>
      <c r="O61" s="24">
        <f t="shared" si="12"/>
        <v>0</v>
      </c>
      <c r="P61" s="24">
        <f t="shared" si="13"/>
        <v>0</v>
      </c>
      <c r="Q61" s="24">
        <f>_xlfn.IFNA(VLOOKUP("1201-"&amp;L61,'All Costing'!$AB:$AC,2,FALSE),C61)</f>
        <v>0</v>
      </c>
      <c r="R61" s="24">
        <f>_xlfn.IFNA(VLOOKUP("1204-"&amp;L61,'All Costing'!$AB:$AC,2,FALSE),C61)</f>
        <v>0</v>
      </c>
      <c r="S61">
        <f>_xlfn.IFNA(VLOOKUP("1205-"&amp;L61,'All Costing'!$AB:$AC,2,FALSE),C61)</f>
        <v>0</v>
      </c>
      <c r="T61">
        <f>_xlfn.IFNA(VLOOKUP("1206-"&amp;L61,'All Costing'!$AB:$AC,2,FALSE),C61)</f>
        <v>0</v>
      </c>
    </row>
    <row r="62" spans="1:20">
      <c r="A62" s="140" t="s">
        <v>418</v>
      </c>
      <c r="B62" s="122"/>
      <c r="C62" s="125"/>
      <c r="D62" s="125"/>
      <c r="E62" s="125"/>
      <c r="F62" s="125"/>
      <c r="G62" s="129"/>
      <c r="H62" s="125"/>
      <c r="I62" s="24">
        <f t="shared" si="9"/>
        <v>0</v>
      </c>
      <c r="K62">
        <f t="shared" si="0"/>
        <v>62</v>
      </c>
      <c r="L62" t="s">
        <v>531</v>
      </c>
      <c r="M62" s="24">
        <f t="shared" si="10"/>
        <v>0</v>
      </c>
      <c r="N62" s="24">
        <f t="shared" si="11"/>
        <v>0</v>
      </c>
      <c r="O62" s="24">
        <f t="shared" si="12"/>
        <v>0</v>
      </c>
      <c r="P62" s="24">
        <f t="shared" si="13"/>
        <v>0</v>
      </c>
      <c r="Q62" s="24">
        <f>_xlfn.IFNA(VLOOKUP("1201-"&amp;L62,'All Costing'!$AB:$AC,2,FALSE),C62)</f>
        <v>0</v>
      </c>
      <c r="R62" s="24">
        <f>_xlfn.IFNA(VLOOKUP("1204-"&amp;L62,'All Costing'!$AB:$AC,2,FALSE),C62)</f>
        <v>0</v>
      </c>
      <c r="S62">
        <f>_xlfn.IFNA(VLOOKUP("1205-"&amp;L62,'All Costing'!$AB:$AC,2,FALSE),C62)</f>
        <v>0</v>
      </c>
      <c r="T62">
        <f>_xlfn.IFNA(VLOOKUP("1206-"&amp;L62,'All Costing'!$AB:$AC,2,FALSE),C62)</f>
        <v>0</v>
      </c>
    </row>
    <row r="63" spans="1:20">
      <c r="A63" s="127" t="s">
        <v>419</v>
      </c>
      <c r="B63" s="210">
        <v>65254.421499999997</v>
      </c>
      <c r="C63" s="125"/>
      <c r="D63" s="125"/>
      <c r="E63" s="125"/>
      <c r="F63" s="125"/>
      <c r="G63" s="129">
        <f t="shared" si="5"/>
        <v>0</v>
      </c>
      <c r="H63" s="125">
        <f t="shared" si="7"/>
        <v>0</v>
      </c>
      <c r="I63" s="24">
        <f t="shared" si="9"/>
        <v>-65254.421499999997</v>
      </c>
      <c r="K63">
        <f t="shared" si="0"/>
        <v>63</v>
      </c>
      <c r="L63" t="s">
        <v>144</v>
      </c>
      <c r="M63" s="24">
        <f t="shared" si="10"/>
        <v>0</v>
      </c>
      <c r="N63" s="24">
        <f t="shared" si="11"/>
        <v>0</v>
      </c>
      <c r="O63" s="24">
        <f t="shared" si="12"/>
        <v>0</v>
      </c>
      <c r="P63" s="24">
        <f t="shared" si="13"/>
        <v>0</v>
      </c>
      <c r="Q63" s="24">
        <f>_xlfn.IFNA(VLOOKUP("1201-"&amp;L63,'All Costing'!$AB:$AC,2,FALSE),C63)</f>
        <v>0</v>
      </c>
      <c r="R63" s="24">
        <f>_xlfn.IFNA(VLOOKUP("1204-"&amp;L63,'All Costing'!$AB:$AC,2,FALSE),C63)</f>
        <v>0</v>
      </c>
      <c r="S63">
        <f>_xlfn.IFNA(VLOOKUP("1205-"&amp;L63,'All Costing'!$AB:$AC,2,FALSE),C63)</f>
        <v>0</v>
      </c>
      <c r="T63">
        <f>_xlfn.IFNA(VLOOKUP("1206-"&amp;L63,'All Costing'!$AB:$AC,2,FALSE),C63)</f>
        <v>0</v>
      </c>
    </row>
    <row r="64" spans="1:20">
      <c r="A64" s="127" t="s">
        <v>383</v>
      </c>
      <c r="B64" s="132">
        <v>3000</v>
      </c>
      <c r="C64" s="125">
        <v>2000</v>
      </c>
      <c r="D64" s="125">
        <v>200</v>
      </c>
      <c r="E64" s="125">
        <v>600</v>
      </c>
      <c r="F64" s="125">
        <v>200</v>
      </c>
      <c r="G64" s="129">
        <f t="shared" si="5"/>
        <v>6.7642187259729309E-3</v>
      </c>
      <c r="H64" s="125">
        <f t="shared" si="7"/>
        <v>3000</v>
      </c>
      <c r="I64" s="24">
        <f t="shared" si="9"/>
        <v>0</v>
      </c>
      <c r="K64">
        <f t="shared" si="0"/>
        <v>64</v>
      </c>
      <c r="L64" t="s">
        <v>531</v>
      </c>
      <c r="M64" s="24">
        <f t="shared" si="10"/>
        <v>2000</v>
      </c>
      <c r="N64" s="24">
        <f t="shared" si="11"/>
        <v>200</v>
      </c>
      <c r="O64" s="24">
        <f t="shared" si="12"/>
        <v>600</v>
      </c>
      <c r="P64" s="24">
        <f t="shared" si="13"/>
        <v>200</v>
      </c>
      <c r="Q64" s="24">
        <f>_xlfn.IFNA(VLOOKUP("1201-"&amp;L64,'All Costing'!$AB:$AC,2,FALSE),C64)</f>
        <v>2000</v>
      </c>
      <c r="R64" s="24">
        <f>_xlfn.IFNA(VLOOKUP("1204-"&amp;L64,'All Costing'!$AB:$AC,2,FALSE),C64)</f>
        <v>2000</v>
      </c>
      <c r="S64">
        <f>_xlfn.IFNA(VLOOKUP("1205-"&amp;L64,'All Costing'!$AB:$AC,2,FALSE),C64)</f>
        <v>2000</v>
      </c>
      <c r="T64">
        <f>_xlfn.IFNA(VLOOKUP("1206-"&amp;L64,'All Costing'!$AB:$AC,2,FALSE),C64)</f>
        <v>2000</v>
      </c>
    </row>
    <row r="65" spans="1:20">
      <c r="A65" s="127" t="s">
        <v>384</v>
      </c>
      <c r="B65" s="132">
        <v>0</v>
      </c>
      <c r="C65" s="125"/>
      <c r="D65" s="125"/>
      <c r="E65" s="125"/>
      <c r="F65" s="125"/>
      <c r="G65" s="129">
        <f t="shared" si="5"/>
        <v>0</v>
      </c>
      <c r="H65" s="125">
        <f t="shared" si="7"/>
        <v>0</v>
      </c>
      <c r="I65" s="24">
        <f t="shared" si="9"/>
        <v>0</v>
      </c>
      <c r="K65">
        <f t="shared" si="0"/>
        <v>65</v>
      </c>
      <c r="L65" t="s">
        <v>531</v>
      </c>
      <c r="M65" s="24">
        <f t="shared" si="10"/>
        <v>0</v>
      </c>
      <c r="N65" s="24">
        <f t="shared" si="11"/>
        <v>0</v>
      </c>
      <c r="O65" s="24">
        <f t="shared" si="12"/>
        <v>0</v>
      </c>
      <c r="P65" s="24">
        <f t="shared" si="13"/>
        <v>0</v>
      </c>
      <c r="Q65" s="24">
        <f>_xlfn.IFNA(VLOOKUP("1201-"&amp;L65,'All Costing'!$AB:$AC,2,FALSE),C65)</f>
        <v>0</v>
      </c>
      <c r="R65" s="24">
        <f>_xlfn.IFNA(VLOOKUP("1204-"&amp;L65,'All Costing'!$AB:$AC,2,FALSE),C65)</f>
        <v>0</v>
      </c>
      <c r="S65">
        <f>_xlfn.IFNA(VLOOKUP("1205-"&amp;L65,'All Costing'!$AB:$AC,2,FALSE),C65)</f>
        <v>0</v>
      </c>
      <c r="T65">
        <f>_xlfn.IFNA(VLOOKUP("1206-"&amp;L65,'All Costing'!$AB:$AC,2,FALSE),C65)</f>
        <v>0</v>
      </c>
    </row>
    <row r="66" spans="1:20">
      <c r="A66" s="127" t="s">
        <v>385</v>
      </c>
      <c r="B66" s="132">
        <v>0</v>
      </c>
      <c r="C66" s="125"/>
      <c r="D66" s="125"/>
      <c r="E66" s="125"/>
      <c r="F66" s="125"/>
      <c r="G66" s="129">
        <f t="shared" si="5"/>
        <v>0</v>
      </c>
      <c r="H66" s="125">
        <f t="shared" si="7"/>
        <v>0</v>
      </c>
      <c r="I66" s="24">
        <f t="shared" si="9"/>
        <v>0</v>
      </c>
      <c r="K66">
        <f t="shared" si="0"/>
        <v>66</v>
      </c>
      <c r="L66" t="s">
        <v>531</v>
      </c>
      <c r="M66" s="24">
        <f t="shared" si="10"/>
        <v>0</v>
      </c>
      <c r="N66" s="24">
        <f t="shared" si="11"/>
        <v>0</v>
      </c>
      <c r="O66" s="24">
        <f t="shared" si="12"/>
        <v>0</v>
      </c>
      <c r="P66" s="24">
        <f t="shared" si="13"/>
        <v>0</v>
      </c>
      <c r="Q66" s="24">
        <f>_xlfn.IFNA(VLOOKUP("1201-"&amp;L66,'All Costing'!$AB:$AC,2,FALSE),C66)</f>
        <v>0</v>
      </c>
      <c r="R66" s="24">
        <f>_xlfn.IFNA(VLOOKUP("1204-"&amp;L66,'All Costing'!$AB:$AC,2,FALSE),C66)</f>
        <v>0</v>
      </c>
      <c r="S66">
        <f>_xlfn.IFNA(VLOOKUP("1205-"&amp;L66,'All Costing'!$AB:$AC,2,FALSE),C66)</f>
        <v>0</v>
      </c>
      <c r="T66">
        <f>_xlfn.IFNA(VLOOKUP("1206-"&amp;L66,'All Costing'!$AB:$AC,2,FALSE),C66)</f>
        <v>0</v>
      </c>
    </row>
    <row r="67" spans="1:20">
      <c r="A67" s="127" t="s">
        <v>386</v>
      </c>
      <c r="B67" s="132">
        <v>0</v>
      </c>
      <c r="C67" s="125">
        <v>2297.81</v>
      </c>
      <c r="D67" s="125"/>
      <c r="E67" s="125"/>
      <c r="F67" s="125"/>
      <c r="G67" s="129">
        <f t="shared" si="5"/>
        <v>5.1809631435759534E-3</v>
      </c>
      <c r="H67" s="125">
        <f t="shared" si="7"/>
        <v>2297.81</v>
      </c>
      <c r="I67" s="24">
        <f t="shared" si="9"/>
        <v>2297.81</v>
      </c>
      <c r="K67">
        <f t="shared" si="0"/>
        <v>67</v>
      </c>
      <c r="M67" s="24">
        <f t="shared" si="10"/>
        <v>2297.81</v>
      </c>
      <c r="N67" s="24">
        <f t="shared" si="11"/>
        <v>0</v>
      </c>
      <c r="O67" s="24">
        <f t="shared" si="12"/>
        <v>0</v>
      </c>
      <c r="P67" s="24">
        <f t="shared" si="13"/>
        <v>0</v>
      </c>
      <c r="Q67" s="24">
        <f>_xlfn.IFNA(VLOOKUP("1201-"&amp;L67,'All Costing'!$AB:$AC,2,FALSE),C67)</f>
        <v>2297.81</v>
      </c>
      <c r="R67" s="24">
        <f>_xlfn.IFNA(VLOOKUP("1204-"&amp;L67,'All Costing'!$AB:$AC,2,FALSE),C67)</f>
        <v>2297.81</v>
      </c>
      <c r="S67">
        <f>_xlfn.IFNA(VLOOKUP("1205-"&amp;L67,'All Costing'!$AB:$AC,2,FALSE),C67)</f>
        <v>2297.81</v>
      </c>
      <c r="T67">
        <f>_xlfn.IFNA(VLOOKUP("1206-"&amp;L67,'All Costing'!$AB:$AC,2,FALSE),C67)</f>
        <v>2297.81</v>
      </c>
    </row>
    <row r="68" spans="1:20">
      <c r="A68" s="127" t="s">
        <v>387</v>
      </c>
      <c r="B68" s="132">
        <v>0</v>
      </c>
      <c r="C68" s="119"/>
      <c r="D68" s="125"/>
      <c r="E68" s="125"/>
      <c r="F68" s="125"/>
      <c r="G68" s="129">
        <f t="shared" si="5"/>
        <v>0</v>
      </c>
      <c r="H68" s="125">
        <f t="shared" si="7"/>
        <v>0</v>
      </c>
      <c r="I68" s="24">
        <f t="shared" si="9"/>
        <v>0</v>
      </c>
      <c r="K68">
        <f t="shared" si="0"/>
        <v>68</v>
      </c>
      <c r="L68" t="s">
        <v>531</v>
      </c>
      <c r="M68" s="24">
        <f t="shared" si="10"/>
        <v>0</v>
      </c>
      <c r="N68" s="24">
        <f t="shared" si="11"/>
        <v>0</v>
      </c>
      <c r="O68" s="24">
        <f t="shared" si="12"/>
        <v>0</v>
      </c>
      <c r="P68" s="24">
        <f t="shared" si="13"/>
        <v>0</v>
      </c>
      <c r="Q68" s="24">
        <f>_xlfn.IFNA(VLOOKUP("1201-"&amp;L68,'All Costing'!$AB:$AC,2,FALSE),C68)</f>
        <v>0</v>
      </c>
      <c r="R68" s="24">
        <f>_xlfn.IFNA(VLOOKUP("1204-"&amp;L68,'All Costing'!$AB:$AC,2,FALSE),C68)</f>
        <v>0</v>
      </c>
      <c r="S68">
        <f>_xlfn.IFNA(VLOOKUP("1205-"&amp;L68,'All Costing'!$AB:$AC,2,FALSE),C68)</f>
        <v>0</v>
      </c>
      <c r="T68">
        <f>_xlfn.IFNA(VLOOKUP("1206-"&amp;L68,'All Costing'!$AB:$AC,2,FALSE),C68)</f>
        <v>0</v>
      </c>
    </row>
    <row r="69" spans="1:20">
      <c r="A69" s="127" t="s">
        <v>388</v>
      </c>
      <c r="B69" s="132">
        <v>733.20000000000016</v>
      </c>
      <c r="C69" s="119"/>
      <c r="D69" s="125"/>
      <c r="E69" s="125"/>
      <c r="F69" s="125"/>
      <c r="G69" s="129">
        <f t="shared" si="5"/>
        <v>0</v>
      </c>
      <c r="H69" s="125">
        <f t="shared" si="7"/>
        <v>0</v>
      </c>
      <c r="I69" s="24">
        <f t="shared" si="9"/>
        <v>-733.20000000000016</v>
      </c>
      <c r="K69">
        <f t="shared" si="0"/>
        <v>69</v>
      </c>
      <c r="M69" s="24">
        <f t="shared" si="10"/>
        <v>0</v>
      </c>
      <c r="N69" s="24">
        <f t="shared" si="11"/>
        <v>0</v>
      </c>
      <c r="O69" s="24">
        <f t="shared" si="12"/>
        <v>0</v>
      </c>
      <c r="P69" s="24">
        <f t="shared" si="13"/>
        <v>0</v>
      </c>
      <c r="Q69" s="24">
        <f>_xlfn.IFNA(VLOOKUP("1201-"&amp;L69,'All Costing'!$AB:$AC,2,FALSE),C69)</f>
        <v>0</v>
      </c>
      <c r="R69" s="24">
        <f>_xlfn.IFNA(VLOOKUP("1204-"&amp;L69,'All Costing'!$AB:$AC,2,FALSE),C69)</f>
        <v>0</v>
      </c>
      <c r="S69">
        <f>_xlfn.IFNA(VLOOKUP("1205-"&amp;L69,'All Costing'!$AB:$AC,2,FALSE),C69)</f>
        <v>0</v>
      </c>
      <c r="T69">
        <f>_xlfn.IFNA(VLOOKUP("1206-"&amp;L69,'All Costing'!$AB:$AC,2,FALSE),C69)</f>
        <v>0</v>
      </c>
    </row>
    <row r="70" spans="1:20">
      <c r="A70" s="127" t="s">
        <v>152</v>
      </c>
      <c r="B70" s="132">
        <v>2403.8200000000002</v>
      </c>
      <c r="C70" s="125">
        <v>1683.72</v>
      </c>
      <c r="D70" s="125"/>
      <c r="E70" s="125"/>
      <c r="F70" s="125"/>
      <c r="G70" s="129">
        <f t="shared" si="5"/>
        <v>3.7963501177650481E-3</v>
      </c>
      <c r="H70" s="125">
        <f t="shared" si="7"/>
        <v>1683.72</v>
      </c>
      <c r="I70" s="24">
        <f t="shared" si="9"/>
        <v>-720.10000000000014</v>
      </c>
      <c r="K70">
        <f t="shared" ref="K70:K133" si="14">ROW(A70)</f>
        <v>70</v>
      </c>
      <c r="M70" s="24">
        <f t="shared" si="10"/>
        <v>1683.72</v>
      </c>
      <c r="N70" s="24">
        <f t="shared" si="11"/>
        <v>0</v>
      </c>
      <c r="O70" s="24">
        <f t="shared" si="12"/>
        <v>0</v>
      </c>
      <c r="P70" s="24">
        <f t="shared" si="13"/>
        <v>0</v>
      </c>
      <c r="Q70" s="24">
        <f>_xlfn.IFNA(VLOOKUP("1201-"&amp;L70,'All Costing'!$AB:$AC,2,FALSE),C70)</f>
        <v>1683.72</v>
      </c>
      <c r="R70" s="24">
        <f>_xlfn.IFNA(VLOOKUP("1204-"&amp;L70,'All Costing'!$AB:$AC,2,FALSE),C70)</f>
        <v>1683.72</v>
      </c>
      <c r="S70">
        <f>_xlfn.IFNA(VLOOKUP("1205-"&amp;L70,'All Costing'!$AB:$AC,2,FALSE),C70)</f>
        <v>1683.72</v>
      </c>
      <c r="T70">
        <f>_xlfn.IFNA(VLOOKUP("1206-"&amp;L70,'All Costing'!$AB:$AC,2,FALSE),C70)</f>
        <v>1683.72</v>
      </c>
    </row>
    <row r="71" spans="1:20">
      <c r="A71" s="140" t="s">
        <v>420</v>
      </c>
      <c r="B71" s="132">
        <v>0</v>
      </c>
      <c r="C71" s="125"/>
      <c r="D71" s="125"/>
      <c r="E71" s="125"/>
      <c r="F71" s="125"/>
      <c r="G71" s="129">
        <f t="shared" si="5"/>
        <v>0</v>
      </c>
      <c r="H71" s="125">
        <f t="shared" si="7"/>
        <v>0</v>
      </c>
      <c r="I71" s="24">
        <f t="shared" si="9"/>
        <v>0</v>
      </c>
      <c r="K71">
        <f t="shared" si="14"/>
        <v>71</v>
      </c>
      <c r="L71" t="s">
        <v>531</v>
      </c>
      <c r="M71" s="24">
        <f t="shared" si="10"/>
        <v>0</v>
      </c>
      <c r="N71" s="24">
        <f t="shared" si="11"/>
        <v>0</v>
      </c>
      <c r="O71" s="24">
        <f t="shared" si="12"/>
        <v>0</v>
      </c>
      <c r="P71" s="24">
        <f t="shared" si="13"/>
        <v>0</v>
      </c>
      <c r="Q71" s="24">
        <f>_xlfn.IFNA(VLOOKUP("1201-"&amp;L71,'All Costing'!$AB:$AC,2,FALSE),C71)</f>
        <v>0</v>
      </c>
      <c r="R71" s="24">
        <f>_xlfn.IFNA(VLOOKUP("1204-"&amp;L71,'All Costing'!$AB:$AC,2,FALSE),C71)</f>
        <v>0</v>
      </c>
      <c r="S71">
        <f>_xlfn.IFNA(VLOOKUP("1205-"&amp;L71,'All Costing'!$AB:$AC,2,FALSE),C71)</f>
        <v>0</v>
      </c>
      <c r="T71">
        <f>_xlfn.IFNA(VLOOKUP("1206-"&amp;L71,'All Costing'!$AB:$AC,2,FALSE),C71)</f>
        <v>0</v>
      </c>
    </row>
    <row r="72" spans="1:20">
      <c r="A72" s="127" t="s">
        <v>421</v>
      </c>
      <c r="B72" s="132">
        <v>0</v>
      </c>
      <c r="C72" s="125"/>
      <c r="D72" s="125"/>
      <c r="E72" s="125"/>
      <c r="F72" s="125"/>
      <c r="G72" s="129">
        <f t="shared" ref="G72:G135" si="15">H72/$H$10</f>
        <v>0</v>
      </c>
      <c r="H72" s="125">
        <f t="shared" si="7"/>
        <v>0</v>
      </c>
      <c r="I72" s="24">
        <f t="shared" si="9"/>
        <v>0</v>
      </c>
      <c r="K72">
        <f t="shared" si="14"/>
        <v>72</v>
      </c>
      <c r="L72" t="s">
        <v>531</v>
      </c>
      <c r="M72" s="24">
        <f t="shared" si="10"/>
        <v>0</v>
      </c>
      <c r="N72" s="24">
        <f t="shared" si="11"/>
        <v>0</v>
      </c>
      <c r="O72" s="24">
        <f t="shared" si="12"/>
        <v>0</v>
      </c>
      <c r="P72" s="24">
        <f t="shared" si="13"/>
        <v>0</v>
      </c>
      <c r="Q72" s="24">
        <f>_xlfn.IFNA(VLOOKUP("1201-"&amp;L72,'All Costing'!$AB:$AC,2,FALSE),C72)</f>
        <v>0</v>
      </c>
      <c r="R72" s="24">
        <f>_xlfn.IFNA(VLOOKUP("1204-"&amp;L72,'All Costing'!$AB:$AC,2,FALSE),C72)</f>
        <v>0</v>
      </c>
      <c r="S72">
        <f>_xlfn.IFNA(VLOOKUP("1205-"&amp;L72,'All Costing'!$AB:$AC,2,FALSE),C72)</f>
        <v>0</v>
      </c>
      <c r="T72">
        <f>_xlfn.IFNA(VLOOKUP("1206-"&amp;L72,'All Costing'!$AB:$AC,2,FALSE),C72)</f>
        <v>0</v>
      </c>
    </row>
    <row r="73" spans="1:20">
      <c r="A73" s="127" t="s">
        <v>422</v>
      </c>
      <c r="B73" s="132">
        <v>309.85000000000002</v>
      </c>
      <c r="C73" s="125">
        <v>139.61000000000001</v>
      </c>
      <c r="D73" s="125"/>
      <c r="E73" s="125"/>
      <c r="F73" s="125"/>
      <c r="G73" s="129">
        <f t="shared" si="15"/>
        <v>3.1478419211102698E-4</v>
      </c>
      <c r="H73" s="125">
        <f t="shared" si="7"/>
        <v>139.61000000000001</v>
      </c>
      <c r="I73" s="24">
        <f t="shared" si="9"/>
        <v>-170.24</v>
      </c>
      <c r="K73">
        <f t="shared" si="14"/>
        <v>73</v>
      </c>
      <c r="L73" t="s">
        <v>132</v>
      </c>
      <c r="M73" s="24">
        <f t="shared" si="10"/>
        <v>139.61000000000001</v>
      </c>
      <c r="N73" s="24">
        <f t="shared" si="11"/>
        <v>0</v>
      </c>
      <c r="O73" s="24">
        <f t="shared" si="12"/>
        <v>0</v>
      </c>
      <c r="P73" s="24">
        <f t="shared" si="13"/>
        <v>0</v>
      </c>
      <c r="Q73" s="24">
        <f>_xlfn.IFNA(VLOOKUP("1201-"&amp;L73,'All Costing'!$AB:$AC,2,FALSE),C73)</f>
        <v>139.61000000000001</v>
      </c>
      <c r="R73" s="24">
        <f>_xlfn.IFNA(VLOOKUP("1204-"&amp;L73,'All Costing'!$AB:$AC,2,FALSE),C73)</f>
        <v>139.61000000000001</v>
      </c>
      <c r="S73">
        <f>_xlfn.IFNA(VLOOKUP("1205-"&amp;L73,'All Costing'!$AB:$AC,2,FALSE),C73)</f>
        <v>139.61000000000001</v>
      </c>
      <c r="T73">
        <f>_xlfn.IFNA(VLOOKUP("1206-"&amp;L73,'All Costing'!$AB:$AC,2,FALSE),C73)</f>
        <v>0</v>
      </c>
    </row>
    <row r="74" spans="1:20">
      <c r="A74" s="127" t="s">
        <v>423</v>
      </c>
      <c r="B74" s="132">
        <v>0</v>
      </c>
      <c r="C74" s="125"/>
      <c r="D74" s="125"/>
      <c r="E74" s="125"/>
      <c r="F74" s="125"/>
      <c r="G74" s="129">
        <f t="shared" si="15"/>
        <v>0</v>
      </c>
      <c r="H74" s="125">
        <f t="shared" si="7"/>
        <v>0</v>
      </c>
      <c r="I74" s="24">
        <f t="shared" si="9"/>
        <v>0</v>
      </c>
      <c r="K74">
        <f t="shared" si="14"/>
        <v>74</v>
      </c>
      <c r="L74" t="s">
        <v>531</v>
      </c>
      <c r="M74" s="24">
        <f t="shared" si="10"/>
        <v>0</v>
      </c>
      <c r="N74" s="24">
        <f t="shared" si="11"/>
        <v>0</v>
      </c>
      <c r="O74" s="24">
        <f t="shared" si="12"/>
        <v>0</v>
      </c>
      <c r="P74" s="24">
        <f t="shared" si="13"/>
        <v>0</v>
      </c>
      <c r="Q74" s="24">
        <f>_xlfn.IFNA(VLOOKUP("1201-"&amp;L74,'All Costing'!$AB:$AC,2,FALSE),C74)</f>
        <v>0</v>
      </c>
      <c r="R74" s="24">
        <f>_xlfn.IFNA(VLOOKUP("1204-"&amp;L74,'All Costing'!$AB:$AC,2,FALSE),C74)</f>
        <v>0</v>
      </c>
      <c r="S74">
        <f>_xlfn.IFNA(VLOOKUP("1205-"&amp;L74,'All Costing'!$AB:$AC,2,FALSE),C74)</f>
        <v>0</v>
      </c>
      <c r="T74">
        <f>_xlfn.IFNA(VLOOKUP("1206-"&amp;L74,'All Costing'!$AB:$AC,2,FALSE),C74)</f>
        <v>0</v>
      </c>
    </row>
    <row r="75" spans="1:20">
      <c r="A75" s="127" t="s">
        <v>424</v>
      </c>
      <c r="B75" s="132">
        <v>869.23</v>
      </c>
      <c r="C75" s="125">
        <v>460.21</v>
      </c>
      <c r="D75" s="125">
        <v>0</v>
      </c>
      <c r="E75" s="125"/>
      <c r="F75" s="125"/>
      <c r="G75" s="129">
        <f t="shared" si="15"/>
        <v>1.0376536999600009E-3</v>
      </c>
      <c r="H75" s="125">
        <f t="shared" si="7"/>
        <v>460.21</v>
      </c>
      <c r="I75" s="24">
        <f t="shared" si="9"/>
        <v>-409.02000000000004</v>
      </c>
      <c r="K75">
        <f t="shared" si="14"/>
        <v>75</v>
      </c>
      <c r="L75" t="s">
        <v>89</v>
      </c>
      <c r="M75" s="24">
        <f t="shared" si="10"/>
        <v>460.21</v>
      </c>
      <c r="N75" s="24">
        <f t="shared" si="11"/>
        <v>0</v>
      </c>
      <c r="O75" s="24">
        <f t="shared" si="12"/>
        <v>0</v>
      </c>
      <c r="P75" s="24">
        <f t="shared" si="13"/>
        <v>0</v>
      </c>
      <c r="Q75" s="24">
        <f>_xlfn.IFNA(VLOOKUP("1201-"&amp;L75,'All Costing'!$AB:$AC,2,FALSE),C75)</f>
        <v>460.21</v>
      </c>
      <c r="R75" s="24">
        <f>_xlfn.IFNA(VLOOKUP("1204-"&amp;L75,'All Costing'!$AB:$AC,2,FALSE),C75)</f>
        <v>0</v>
      </c>
      <c r="S75">
        <f>_xlfn.IFNA(VLOOKUP("1205-"&amp;L75,'All Costing'!$AB:$AC,2,FALSE),C75)</f>
        <v>460.21</v>
      </c>
      <c r="T75">
        <f>_xlfn.IFNA(VLOOKUP("1206-"&amp;L75,'All Costing'!$AB:$AC,2,FALSE),C75)</f>
        <v>460.21</v>
      </c>
    </row>
    <row r="76" spans="1:20">
      <c r="A76" s="127" t="s">
        <v>425</v>
      </c>
      <c r="B76" s="132">
        <v>0</v>
      </c>
      <c r="C76" s="125"/>
      <c r="D76" s="125"/>
      <c r="E76" s="125"/>
      <c r="F76" s="125"/>
      <c r="G76" s="129">
        <f t="shared" si="15"/>
        <v>0</v>
      </c>
      <c r="H76" s="125">
        <f t="shared" si="7"/>
        <v>0</v>
      </c>
      <c r="I76" s="24">
        <f t="shared" si="9"/>
        <v>0</v>
      </c>
      <c r="K76">
        <f t="shared" si="14"/>
        <v>76</v>
      </c>
      <c r="L76" t="s">
        <v>531</v>
      </c>
      <c r="M76" s="24">
        <f t="shared" si="10"/>
        <v>0</v>
      </c>
      <c r="N76" s="24">
        <f t="shared" si="11"/>
        <v>0</v>
      </c>
      <c r="O76" s="24">
        <f t="shared" si="12"/>
        <v>0</v>
      </c>
      <c r="P76" s="24">
        <f t="shared" si="13"/>
        <v>0</v>
      </c>
      <c r="Q76" s="24">
        <f>_xlfn.IFNA(VLOOKUP("1201-"&amp;L76,'All Costing'!$AB:$AC,2,FALSE),C76)</f>
        <v>0</v>
      </c>
      <c r="R76" s="24">
        <f>_xlfn.IFNA(VLOOKUP("1204-"&amp;L76,'All Costing'!$AB:$AC,2,FALSE),C76)</f>
        <v>0</v>
      </c>
      <c r="S76">
        <f>_xlfn.IFNA(VLOOKUP("1205-"&amp;L76,'All Costing'!$AB:$AC,2,FALSE),C76)</f>
        <v>0</v>
      </c>
      <c r="T76">
        <f>_xlfn.IFNA(VLOOKUP("1206-"&amp;L76,'All Costing'!$AB:$AC,2,FALSE),C76)</f>
        <v>0</v>
      </c>
    </row>
    <row r="77" spans="1:20">
      <c r="A77" s="127" t="s">
        <v>426</v>
      </c>
      <c r="B77" s="132">
        <v>4548.3100000000004</v>
      </c>
      <c r="C77" s="125">
        <v>2328.67</v>
      </c>
      <c r="D77" s="125">
        <v>423.97</v>
      </c>
      <c r="E77" s="125"/>
      <c r="F77" s="125"/>
      <c r="G77" s="129">
        <f t="shared" si="15"/>
        <v>6.2064863446207102E-3</v>
      </c>
      <c r="H77" s="125">
        <f t="shared" si="7"/>
        <v>2752.6400000000003</v>
      </c>
      <c r="I77" s="24">
        <f t="shared" si="9"/>
        <v>-1795.67</v>
      </c>
      <c r="K77">
        <f t="shared" si="14"/>
        <v>77</v>
      </c>
      <c r="L77" t="s">
        <v>531</v>
      </c>
      <c r="M77" s="24">
        <f t="shared" si="10"/>
        <v>2328.67</v>
      </c>
      <c r="N77" s="24">
        <f t="shared" si="11"/>
        <v>423.97</v>
      </c>
      <c r="O77" s="24">
        <f t="shared" si="12"/>
        <v>0</v>
      </c>
      <c r="P77" s="24">
        <f t="shared" si="13"/>
        <v>0</v>
      </c>
      <c r="Q77" s="24">
        <f>_xlfn.IFNA(VLOOKUP("1201-"&amp;L77,'All Costing'!$AB:$AC,2,FALSE),C77)</f>
        <v>2328.67</v>
      </c>
      <c r="R77" s="24">
        <f>_xlfn.IFNA(VLOOKUP("1204-"&amp;L77,'All Costing'!$AB:$AC,2,FALSE),C77)</f>
        <v>2328.67</v>
      </c>
      <c r="S77">
        <f>_xlfn.IFNA(VLOOKUP("1205-"&amp;L77,'All Costing'!$AB:$AC,2,FALSE),C77)</f>
        <v>2328.67</v>
      </c>
      <c r="T77">
        <f>_xlfn.IFNA(VLOOKUP("1206-"&amp;L77,'All Costing'!$AB:$AC,2,FALSE),C77)</f>
        <v>2328.67</v>
      </c>
    </row>
    <row r="78" spans="1:20">
      <c r="A78" s="127" t="s">
        <v>427</v>
      </c>
      <c r="B78" s="132">
        <v>743.73</v>
      </c>
      <c r="C78" s="125"/>
      <c r="D78" s="125"/>
      <c r="E78" s="125"/>
      <c r="F78" s="125"/>
      <c r="G78" s="129">
        <f t="shared" si="15"/>
        <v>0</v>
      </c>
      <c r="H78" s="125">
        <f t="shared" si="7"/>
        <v>0</v>
      </c>
      <c r="I78" s="24">
        <f t="shared" si="9"/>
        <v>-743.73</v>
      </c>
      <c r="K78">
        <f t="shared" si="14"/>
        <v>78</v>
      </c>
      <c r="L78" t="s">
        <v>531</v>
      </c>
      <c r="M78" s="24">
        <f t="shared" si="10"/>
        <v>0</v>
      </c>
      <c r="N78" s="24">
        <f t="shared" si="11"/>
        <v>0</v>
      </c>
      <c r="O78" s="24">
        <f t="shared" si="12"/>
        <v>0</v>
      </c>
      <c r="P78" s="24">
        <f t="shared" si="13"/>
        <v>0</v>
      </c>
      <c r="Q78" s="24">
        <f>_xlfn.IFNA(VLOOKUP("1201-"&amp;L78,'All Costing'!$AB:$AC,2,FALSE),C78)</f>
        <v>0</v>
      </c>
      <c r="R78" s="24">
        <f>_xlfn.IFNA(VLOOKUP("1204-"&amp;L78,'All Costing'!$AB:$AC,2,FALSE),C78)</f>
        <v>0</v>
      </c>
      <c r="S78">
        <f>_xlfn.IFNA(VLOOKUP("1205-"&amp;L78,'All Costing'!$AB:$AC,2,FALSE),C78)</f>
        <v>0</v>
      </c>
      <c r="T78">
        <f>_xlfn.IFNA(VLOOKUP("1206-"&amp;L78,'All Costing'!$AB:$AC,2,FALSE),C78)</f>
        <v>0</v>
      </c>
    </row>
    <row r="79" spans="1:20">
      <c r="A79" s="144" t="s">
        <v>428</v>
      </c>
      <c r="B79" s="132">
        <v>0</v>
      </c>
      <c r="C79" s="125"/>
      <c r="D79" s="125"/>
      <c r="E79" s="125"/>
      <c r="F79" s="125"/>
      <c r="G79" s="129">
        <f t="shared" si="15"/>
        <v>0</v>
      </c>
      <c r="H79" s="125">
        <f t="shared" si="7"/>
        <v>0</v>
      </c>
      <c r="I79" s="24">
        <f t="shared" si="9"/>
        <v>0</v>
      </c>
      <c r="K79">
        <f t="shared" si="14"/>
        <v>79</v>
      </c>
      <c r="L79" t="s">
        <v>531</v>
      </c>
      <c r="M79" s="24">
        <f t="shared" si="10"/>
        <v>0</v>
      </c>
      <c r="N79" s="24">
        <f t="shared" si="11"/>
        <v>0</v>
      </c>
      <c r="O79" s="24">
        <f t="shared" si="12"/>
        <v>0</v>
      </c>
      <c r="P79" s="24">
        <f t="shared" si="13"/>
        <v>0</v>
      </c>
      <c r="Q79" s="24">
        <f>_xlfn.IFNA(VLOOKUP("1201-"&amp;L79,'All Costing'!$AB:$AC,2,FALSE),C79)</f>
        <v>0</v>
      </c>
      <c r="R79" s="24">
        <f>_xlfn.IFNA(VLOOKUP("1204-"&amp;L79,'All Costing'!$AB:$AC,2,FALSE),C79)</f>
        <v>0</v>
      </c>
      <c r="S79">
        <f>_xlfn.IFNA(VLOOKUP("1205-"&amp;L79,'All Costing'!$AB:$AC,2,FALSE),C79)</f>
        <v>0</v>
      </c>
      <c r="T79">
        <f>_xlfn.IFNA(VLOOKUP("1206-"&amp;L79,'All Costing'!$AB:$AC,2,FALSE),C79)</f>
        <v>0</v>
      </c>
    </row>
    <row r="80" spans="1:20">
      <c r="A80" s="144" t="s">
        <v>71</v>
      </c>
      <c r="B80" s="132">
        <v>345.96999999999997</v>
      </c>
      <c r="C80" s="125"/>
      <c r="D80" s="125"/>
      <c r="E80" s="125"/>
      <c r="F80" s="125"/>
      <c r="G80" s="129">
        <f t="shared" si="15"/>
        <v>0</v>
      </c>
      <c r="H80" s="125">
        <f t="shared" ref="H80:H137" si="16">SUM(C80:F80)</f>
        <v>0</v>
      </c>
      <c r="I80" s="24">
        <f t="shared" si="9"/>
        <v>-345.96999999999997</v>
      </c>
      <c r="K80">
        <f t="shared" si="14"/>
        <v>80</v>
      </c>
      <c r="L80" t="s">
        <v>71</v>
      </c>
      <c r="M80" s="24">
        <f t="shared" si="10"/>
        <v>0</v>
      </c>
      <c r="N80" s="24">
        <f t="shared" si="11"/>
        <v>0</v>
      </c>
      <c r="O80" s="24">
        <f t="shared" si="12"/>
        <v>0</v>
      </c>
      <c r="P80" s="24">
        <f t="shared" si="13"/>
        <v>0</v>
      </c>
      <c r="Q80" s="24">
        <f>_xlfn.IFNA(VLOOKUP("1201-"&amp;L80,'All Costing'!$AB:$AC,2,FALSE),C80)</f>
        <v>0</v>
      </c>
      <c r="R80" s="24">
        <f>_xlfn.IFNA(VLOOKUP("1204-"&amp;L80,'All Costing'!$AB:$AC,2,FALSE),C80)</f>
        <v>0</v>
      </c>
      <c r="S80">
        <f>_xlfn.IFNA(VLOOKUP("1205-"&amp;L80,'All Costing'!$AB:$AC,2,FALSE),C80)</f>
        <v>0</v>
      </c>
      <c r="T80">
        <f>_xlfn.IFNA(VLOOKUP("1206-"&amp;L80,'All Costing'!$AB:$AC,2,FALSE),C80)</f>
        <v>0</v>
      </c>
    </row>
    <row r="81" spans="1:20">
      <c r="A81" s="127" t="s">
        <v>85</v>
      </c>
      <c r="B81" s="132">
        <v>3432.3599999999997</v>
      </c>
      <c r="C81" s="125">
        <v>527.75</v>
      </c>
      <c r="D81" s="125">
        <v>1074.9100000000001</v>
      </c>
      <c r="E81" s="125"/>
      <c r="F81" s="125"/>
      <c r="G81" s="129">
        <f t="shared" si="15"/>
        <v>3.6135809277892594E-3</v>
      </c>
      <c r="H81" s="125">
        <f t="shared" si="16"/>
        <v>1602.66</v>
      </c>
      <c r="I81" s="24">
        <f t="shared" si="9"/>
        <v>-1829.6999999999996</v>
      </c>
      <c r="K81">
        <f t="shared" si="14"/>
        <v>81</v>
      </c>
      <c r="L81" t="s">
        <v>85</v>
      </c>
      <c r="M81" s="24">
        <f t="shared" si="10"/>
        <v>527.75</v>
      </c>
      <c r="N81" s="24">
        <f t="shared" si="11"/>
        <v>1074.9100000000001</v>
      </c>
      <c r="O81" s="24">
        <f t="shared" si="12"/>
        <v>0</v>
      </c>
      <c r="P81" s="24">
        <f t="shared" si="13"/>
        <v>0</v>
      </c>
      <c r="Q81" s="24">
        <f>_xlfn.IFNA(VLOOKUP("1201-"&amp;L81,'All Costing'!$AB:$AC,2,FALSE),C81)</f>
        <v>527.75</v>
      </c>
      <c r="R81" s="24">
        <f>_xlfn.IFNA(VLOOKUP("1204-"&amp;L81,'All Costing'!$AB:$AC,2,FALSE),C81)</f>
        <v>1074.9100000000001</v>
      </c>
      <c r="S81">
        <f>_xlfn.IFNA(VLOOKUP("1205-"&amp;L81,'All Costing'!$AB:$AC,2,FALSE),C81)</f>
        <v>0</v>
      </c>
      <c r="T81">
        <f>_xlfn.IFNA(VLOOKUP("1206-"&amp;L81,'All Costing'!$AB:$AC,2,FALSE),C81)</f>
        <v>0</v>
      </c>
    </row>
    <row r="82" spans="1:20">
      <c r="A82" s="127" t="s">
        <v>429</v>
      </c>
      <c r="B82" s="132">
        <v>1499.6899999999998</v>
      </c>
      <c r="C82" s="125">
        <v>0.63</v>
      </c>
      <c r="D82" s="125">
        <v>20.88</v>
      </c>
      <c r="E82" s="125">
        <v>29.15</v>
      </c>
      <c r="F82" s="125">
        <v>3.24</v>
      </c>
      <c r="G82" s="129">
        <f t="shared" si="15"/>
        <v>1.2153046310998033E-4</v>
      </c>
      <c r="H82" s="125">
        <f t="shared" si="16"/>
        <v>53.9</v>
      </c>
      <c r="I82" s="24">
        <f t="shared" ref="I82:I140" si="17">H82-B82</f>
        <v>-1445.7899999999997</v>
      </c>
      <c r="K82">
        <f t="shared" si="14"/>
        <v>82</v>
      </c>
      <c r="L82" t="s">
        <v>97</v>
      </c>
      <c r="M82" s="24">
        <f t="shared" ref="M82:M137" si="18">C82</f>
        <v>0.63</v>
      </c>
      <c r="N82" s="24">
        <f t="shared" ref="N82:N137" si="19">D82</f>
        <v>20.88</v>
      </c>
      <c r="O82" s="24">
        <f t="shared" ref="O82:O137" si="20">E82</f>
        <v>29.15</v>
      </c>
      <c r="P82" s="24">
        <f t="shared" ref="P82:P137" si="21">F82</f>
        <v>3.24</v>
      </c>
      <c r="Q82" s="24">
        <f>_xlfn.IFNA(VLOOKUP("1201-"&amp;L82,'All Costing'!$AB:$AC,2,FALSE),C82)</f>
        <v>0.63</v>
      </c>
      <c r="R82" s="24">
        <f>_xlfn.IFNA(VLOOKUP("1204-"&amp;L82,'All Costing'!$AB:$AC,2,FALSE),C82)</f>
        <v>20.88</v>
      </c>
      <c r="S82">
        <f>_xlfn.IFNA(VLOOKUP("1205-"&amp;L82,'All Costing'!$AB:$AC,2,FALSE),C82)</f>
        <v>0</v>
      </c>
      <c r="T82">
        <f>_xlfn.IFNA(VLOOKUP("1206-"&amp;L82,'All Costing'!$AB:$AC,2,FALSE),C82)</f>
        <v>0</v>
      </c>
    </row>
    <row r="83" spans="1:20">
      <c r="A83" s="127" t="s">
        <v>430</v>
      </c>
      <c r="B83" s="132">
        <v>0</v>
      </c>
      <c r="C83" s="125"/>
      <c r="D83" s="125"/>
      <c r="E83" s="125"/>
      <c r="F83" s="125"/>
      <c r="G83" s="129">
        <f t="shared" si="15"/>
        <v>0</v>
      </c>
      <c r="H83" s="125">
        <f t="shared" si="16"/>
        <v>0</v>
      </c>
      <c r="I83" s="24">
        <f t="shared" si="17"/>
        <v>0</v>
      </c>
      <c r="K83">
        <f t="shared" si="14"/>
        <v>83</v>
      </c>
      <c r="L83" t="s">
        <v>531</v>
      </c>
      <c r="M83" s="24">
        <f t="shared" si="18"/>
        <v>0</v>
      </c>
      <c r="N83" s="24">
        <f t="shared" si="19"/>
        <v>0</v>
      </c>
      <c r="O83" s="24">
        <f t="shared" si="20"/>
        <v>0</v>
      </c>
      <c r="P83" s="24">
        <f t="shared" si="21"/>
        <v>0</v>
      </c>
      <c r="Q83" s="24">
        <f>_xlfn.IFNA(VLOOKUP("1201-"&amp;L83,'All Costing'!$AB:$AC,2,FALSE),C83)</f>
        <v>0</v>
      </c>
      <c r="R83" s="24">
        <f>_xlfn.IFNA(VLOOKUP("1204-"&amp;L83,'All Costing'!$AB:$AC,2,FALSE),C83)</f>
        <v>0</v>
      </c>
      <c r="S83">
        <f>_xlfn.IFNA(VLOOKUP("1205-"&amp;L83,'All Costing'!$AB:$AC,2,FALSE),C83)</f>
        <v>0</v>
      </c>
      <c r="T83">
        <f>_xlfn.IFNA(VLOOKUP("1206-"&amp;L83,'All Costing'!$AB:$AC,2,FALSE),C83)</f>
        <v>0</v>
      </c>
    </row>
    <row r="84" spans="1:20">
      <c r="A84" s="127" t="s">
        <v>431</v>
      </c>
      <c r="B84" s="145">
        <v>750</v>
      </c>
      <c r="C84" s="141">
        <v>854.27</v>
      </c>
      <c r="D84" s="141">
        <v>60.12</v>
      </c>
      <c r="E84" s="141">
        <v>50.62</v>
      </c>
      <c r="F84" s="141"/>
      <c r="G84" s="142">
        <f t="shared" si="15"/>
        <v>2.1758462375837126E-3</v>
      </c>
      <c r="H84" s="141">
        <f t="shared" si="16"/>
        <v>965.01</v>
      </c>
      <c r="I84" s="24">
        <f t="shared" si="17"/>
        <v>215.01</v>
      </c>
      <c r="K84">
        <f t="shared" si="14"/>
        <v>84</v>
      </c>
      <c r="L84" t="s">
        <v>531</v>
      </c>
      <c r="M84" s="24">
        <f t="shared" si="18"/>
        <v>854.27</v>
      </c>
      <c r="N84" s="24">
        <f t="shared" si="19"/>
        <v>60.12</v>
      </c>
      <c r="O84" s="24">
        <f t="shared" si="20"/>
        <v>50.62</v>
      </c>
      <c r="P84" s="24">
        <f t="shared" si="21"/>
        <v>0</v>
      </c>
      <c r="Q84" s="24">
        <f>_xlfn.IFNA(VLOOKUP("1201-"&amp;L84,'All Costing'!$AB:$AC,2,FALSE),C84)</f>
        <v>854.27</v>
      </c>
      <c r="R84" s="24">
        <f>_xlfn.IFNA(VLOOKUP("1204-"&amp;L84,'All Costing'!$AB:$AC,2,FALSE),C84)</f>
        <v>854.27</v>
      </c>
      <c r="S84">
        <f>_xlfn.IFNA(VLOOKUP("1205-"&amp;L84,'All Costing'!$AB:$AC,2,FALSE),C84)</f>
        <v>854.27</v>
      </c>
      <c r="T84">
        <f>_xlfn.IFNA(VLOOKUP("1206-"&amp;L84,'All Costing'!$AB:$AC,2,FALSE),C84)</f>
        <v>854.27</v>
      </c>
    </row>
    <row r="85" spans="1:20">
      <c r="A85" s="138" t="s">
        <v>393</v>
      </c>
      <c r="B85" s="132">
        <v>2450.3500000000004</v>
      </c>
      <c r="C85" s="125">
        <v>1368.25</v>
      </c>
      <c r="D85" s="125">
        <v>412.47</v>
      </c>
      <c r="E85" s="125">
        <v>495.25</v>
      </c>
      <c r="F85" s="125">
        <v>422.57</v>
      </c>
      <c r="G85" s="129">
        <f t="shared" si="15"/>
        <v>6.0845049335956653E-3</v>
      </c>
      <c r="H85" s="125">
        <f t="shared" si="16"/>
        <v>2698.5400000000004</v>
      </c>
      <c r="I85" s="24">
        <f t="shared" si="17"/>
        <v>248.19000000000005</v>
      </c>
      <c r="K85">
        <f t="shared" si="14"/>
        <v>85</v>
      </c>
      <c r="L85" t="s">
        <v>531</v>
      </c>
      <c r="M85" s="24">
        <f t="shared" si="18"/>
        <v>1368.25</v>
      </c>
      <c r="N85" s="24">
        <f t="shared" si="19"/>
        <v>412.47</v>
      </c>
      <c r="O85" s="24">
        <f t="shared" si="20"/>
        <v>495.25</v>
      </c>
      <c r="P85" s="24">
        <f t="shared" si="21"/>
        <v>422.57</v>
      </c>
      <c r="Q85" s="24">
        <f>_xlfn.IFNA(VLOOKUP("1201-"&amp;L85,'All Costing'!$AB:$AC,2,FALSE),C85)</f>
        <v>1368.25</v>
      </c>
      <c r="R85" s="24">
        <f>_xlfn.IFNA(VLOOKUP("1204-"&amp;L85,'All Costing'!$AB:$AC,2,FALSE),C85)</f>
        <v>1368.25</v>
      </c>
      <c r="S85">
        <f>_xlfn.IFNA(VLOOKUP("1205-"&amp;L85,'All Costing'!$AB:$AC,2,FALSE),C85)</f>
        <v>1368.25</v>
      </c>
      <c r="T85">
        <f>_xlfn.IFNA(VLOOKUP("1206-"&amp;L85,'All Costing'!$AB:$AC,2,FALSE),C85)</f>
        <v>1368.25</v>
      </c>
    </row>
    <row r="86" spans="1:20">
      <c r="A86" s="127" t="s">
        <v>432</v>
      </c>
      <c r="B86" s="132">
        <v>23465.289999999997</v>
      </c>
      <c r="C86" s="125">
        <v>2459.59</v>
      </c>
      <c r="D86" s="125">
        <v>2802.67</v>
      </c>
      <c r="E86" s="125">
        <v>3755.27</v>
      </c>
      <c r="F86" s="125">
        <v>3055.97</v>
      </c>
      <c r="G86" s="129">
        <f t="shared" si="15"/>
        <v>2.722259826267806E-2</v>
      </c>
      <c r="H86" s="125">
        <f t="shared" si="16"/>
        <v>12073.5</v>
      </c>
      <c r="I86" s="24">
        <f t="shared" si="17"/>
        <v>-11391.789999999997</v>
      </c>
      <c r="K86">
        <f t="shared" si="14"/>
        <v>86</v>
      </c>
      <c r="L86" t="s">
        <v>68</v>
      </c>
      <c r="M86" s="24">
        <f t="shared" si="18"/>
        <v>2459.59</v>
      </c>
      <c r="N86" s="24">
        <f t="shared" si="19"/>
        <v>2802.67</v>
      </c>
      <c r="O86" s="24">
        <f t="shared" si="20"/>
        <v>3755.27</v>
      </c>
      <c r="P86" s="24">
        <f t="shared" si="21"/>
        <v>3055.97</v>
      </c>
      <c r="Q86" s="24">
        <f>_xlfn.IFNA(VLOOKUP("1201-"&amp;L86,'All Costing'!$AB:$AC,2,FALSE),C86)</f>
        <v>2288.77</v>
      </c>
      <c r="R86" s="24">
        <f>_xlfn.IFNA(VLOOKUP("1204-"&amp;L86,'All Costing'!$AB:$AC,2,FALSE),C86)</f>
        <v>2802.67</v>
      </c>
      <c r="S86">
        <f>_xlfn.IFNA(VLOOKUP("1205-"&amp;L86,'All Costing'!$AB:$AC,2,FALSE),C86)</f>
        <v>3755.27</v>
      </c>
      <c r="T86">
        <f>_xlfn.IFNA(VLOOKUP("1206-"&amp;L86,'All Costing'!$AB:$AC,2,FALSE),C86)</f>
        <v>3055.97</v>
      </c>
    </row>
    <row r="87" spans="1:20">
      <c r="A87" s="144" t="s">
        <v>433</v>
      </c>
      <c r="B87" s="132">
        <v>2095.96</v>
      </c>
      <c r="C87" s="125">
        <v>313.61</v>
      </c>
      <c r="D87" s="125">
        <v>0</v>
      </c>
      <c r="E87" s="125">
        <v>0</v>
      </c>
      <c r="F87" s="125">
        <v>0</v>
      </c>
      <c r="G87" s="129">
        <f t="shared" si="15"/>
        <v>7.07108878217457E-4</v>
      </c>
      <c r="H87" s="125">
        <f t="shared" si="16"/>
        <v>313.61</v>
      </c>
      <c r="I87" s="24">
        <f t="shared" si="17"/>
        <v>-1782.35</v>
      </c>
      <c r="K87">
        <f t="shared" si="14"/>
        <v>87</v>
      </c>
      <c r="M87" s="24">
        <f t="shared" si="18"/>
        <v>313.61</v>
      </c>
      <c r="N87" s="24">
        <f t="shared" si="19"/>
        <v>0</v>
      </c>
      <c r="O87" s="24">
        <f t="shared" si="20"/>
        <v>0</v>
      </c>
      <c r="P87" s="24">
        <f t="shared" si="21"/>
        <v>0</v>
      </c>
      <c r="Q87" s="24">
        <f>_xlfn.IFNA(VLOOKUP("1201-"&amp;L87,'All Costing'!$AB:$AC,2,FALSE),C87)</f>
        <v>313.61</v>
      </c>
      <c r="R87" s="24">
        <f>_xlfn.IFNA(VLOOKUP("1204-"&amp;L87,'All Costing'!$AB:$AC,2,FALSE),C87)</f>
        <v>313.61</v>
      </c>
      <c r="S87">
        <f>_xlfn.IFNA(VLOOKUP("1205-"&amp;L87,'All Costing'!$AB:$AC,2,FALSE),C87)</f>
        <v>313.61</v>
      </c>
      <c r="T87">
        <f>_xlfn.IFNA(VLOOKUP("1206-"&amp;L87,'All Costing'!$AB:$AC,2,FALSE),C87)</f>
        <v>313.61</v>
      </c>
    </row>
    <row r="88" spans="1:20">
      <c r="A88" s="144" t="s">
        <v>134</v>
      </c>
      <c r="B88" s="132">
        <v>200</v>
      </c>
      <c r="C88" s="125"/>
      <c r="D88" s="125"/>
      <c r="E88" s="125"/>
      <c r="F88" s="125"/>
      <c r="G88" s="129">
        <f t="shared" si="15"/>
        <v>0</v>
      </c>
      <c r="H88" s="125">
        <f t="shared" si="16"/>
        <v>0</v>
      </c>
      <c r="I88" s="24">
        <f t="shared" si="17"/>
        <v>-200</v>
      </c>
      <c r="K88">
        <f t="shared" si="14"/>
        <v>88</v>
      </c>
      <c r="L88" t="s">
        <v>134</v>
      </c>
      <c r="M88" s="24">
        <f t="shared" si="18"/>
        <v>0</v>
      </c>
      <c r="N88" s="24">
        <f t="shared" si="19"/>
        <v>0</v>
      </c>
      <c r="O88" s="24">
        <f t="shared" si="20"/>
        <v>0</v>
      </c>
      <c r="P88" s="24">
        <f t="shared" si="21"/>
        <v>0</v>
      </c>
      <c r="Q88" s="24">
        <f>_xlfn.IFNA(VLOOKUP("1201-"&amp;L88,'All Costing'!$AB:$AC,2,FALSE),C88)</f>
        <v>0</v>
      </c>
      <c r="R88" s="24">
        <f>_xlfn.IFNA(VLOOKUP("1204-"&amp;L88,'All Costing'!$AB:$AC,2,FALSE),C88)</f>
        <v>0</v>
      </c>
      <c r="S88">
        <f>_xlfn.IFNA(VLOOKUP("1205-"&amp;L88,'All Costing'!$AB:$AC,2,FALSE),C88)</f>
        <v>0</v>
      </c>
      <c r="T88">
        <f>_xlfn.IFNA(VLOOKUP("1206-"&amp;L88,'All Costing'!$AB:$AC,2,FALSE),C88)</f>
        <v>0</v>
      </c>
    </row>
    <row r="89" spans="1:20">
      <c r="A89" s="127" t="s">
        <v>434</v>
      </c>
      <c r="B89" s="132">
        <v>1682.6100000000001</v>
      </c>
      <c r="C89" s="125">
        <v>255.15</v>
      </c>
      <c r="D89" s="125">
        <v>473.01</v>
      </c>
      <c r="E89" s="125">
        <v>126.99</v>
      </c>
      <c r="F89" s="125">
        <v>832.63</v>
      </c>
      <c r="G89" s="129">
        <f t="shared" si="15"/>
        <v>3.8055043604408646E-3</v>
      </c>
      <c r="H89" s="125">
        <f t="shared" si="16"/>
        <v>1687.78</v>
      </c>
      <c r="I89" s="24">
        <f t="shared" si="17"/>
        <v>5.1699999999998454</v>
      </c>
      <c r="K89">
        <f t="shared" si="14"/>
        <v>89</v>
      </c>
      <c r="L89" t="s">
        <v>128</v>
      </c>
      <c r="M89" s="24">
        <f t="shared" si="18"/>
        <v>255.15</v>
      </c>
      <c r="N89" s="24">
        <f t="shared" si="19"/>
        <v>473.01</v>
      </c>
      <c r="O89" s="24">
        <f t="shared" si="20"/>
        <v>126.99</v>
      </c>
      <c r="P89" s="24">
        <f t="shared" si="21"/>
        <v>832.63</v>
      </c>
      <c r="Q89" s="24">
        <f>_xlfn.IFNA(VLOOKUP("1201-"&amp;L89,'All Costing'!$AB:$AC,2,FALSE),C89)</f>
        <v>0</v>
      </c>
      <c r="R89" s="24">
        <f>_xlfn.IFNA(VLOOKUP("1204-"&amp;L89,'All Costing'!$AB:$AC,2,FALSE),C89)</f>
        <v>0</v>
      </c>
      <c r="S89">
        <f>_xlfn.IFNA(VLOOKUP("1205-"&amp;L89,'All Costing'!$AB:$AC,2,FALSE),C89)</f>
        <v>0</v>
      </c>
      <c r="T89">
        <f>_xlfn.IFNA(VLOOKUP("1206-"&amp;L89,'All Costing'!$AB:$AC,2,FALSE),C89)</f>
        <v>0</v>
      </c>
    </row>
    <row r="90" spans="1:20">
      <c r="A90" s="127" t="s">
        <v>435</v>
      </c>
      <c r="B90" s="132">
        <v>764.4</v>
      </c>
      <c r="C90" s="125">
        <v>764.4</v>
      </c>
      <c r="D90" s="125"/>
      <c r="E90" s="125"/>
      <c r="F90" s="125"/>
      <c r="G90" s="129">
        <f t="shared" si="15"/>
        <v>1.7235229313779029E-3</v>
      </c>
      <c r="H90" s="125">
        <f t="shared" si="16"/>
        <v>764.4</v>
      </c>
      <c r="I90" s="24">
        <f t="shared" si="17"/>
        <v>0</v>
      </c>
      <c r="K90">
        <f t="shared" si="14"/>
        <v>90</v>
      </c>
      <c r="L90" t="s">
        <v>130</v>
      </c>
      <c r="M90" s="24">
        <f t="shared" si="18"/>
        <v>764.4</v>
      </c>
      <c r="N90" s="24">
        <f t="shared" si="19"/>
        <v>0</v>
      </c>
      <c r="O90" s="24">
        <f t="shared" si="20"/>
        <v>0</v>
      </c>
      <c r="P90" s="24">
        <f t="shared" si="21"/>
        <v>0</v>
      </c>
      <c r="Q90" s="24">
        <f>_xlfn.IFNA(VLOOKUP("1201-"&amp;L90,'All Costing'!$AB:$AC,2,FALSE),C90)</f>
        <v>0</v>
      </c>
      <c r="R90" s="24">
        <f>_xlfn.IFNA(VLOOKUP("1204-"&amp;L90,'All Costing'!$AB:$AC,2,FALSE),C90)</f>
        <v>764.4</v>
      </c>
      <c r="S90">
        <f>_xlfn.IFNA(VLOOKUP("1205-"&amp;L90,'All Costing'!$AB:$AC,2,FALSE),C90)</f>
        <v>764.4</v>
      </c>
      <c r="T90">
        <f>_xlfn.IFNA(VLOOKUP("1206-"&amp;L90,'All Costing'!$AB:$AC,2,FALSE),C90)</f>
        <v>764.4</v>
      </c>
    </row>
    <row r="91" spans="1:20">
      <c r="A91" s="127" t="s">
        <v>436</v>
      </c>
      <c r="B91" s="132">
        <v>2312.8199999999997</v>
      </c>
      <c r="C91" s="125"/>
      <c r="D91" s="125">
        <v>394.88</v>
      </c>
      <c r="E91" s="125"/>
      <c r="F91" s="125"/>
      <c r="G91" s="129">
        <f t="shared" si="15"/>
        <v>8.9035156350406367E-4</v>
      </c>
      <c r="H91" s="125">
        <f t="shared" si="16"/>
        <v>394.88</v>
      </c>
      <c r="I91" s="24">
        <f t="shared" si="17"/>
        <v>-1917.9399999999996</v>
      </c>
      <c r="K91">
        <f t="shared" si="14"/>
        <v>91</v>
      </c>
      <c r="L91" t="s">
        <v>16</v>
      </c>
      <c r="M91" s="24">
        <f t="shared" si="18"/>
        <v>0</v>
      </c>
      <c r="N91" s="24">
        <f t="shared" si="19"/>
        <v>394.88</v>
      </c>
      <c r="O91" s="24">
        <f t="shared" si="20"/>
        <v>0</v>
      </c>
      <c r="P91" s="24">
        <f t="shared" si="21"/>
        <v>0</v>
      </c>
      <c r="Q91" s="24">
        <f>_xlfn.IFNA(VLOOKUP("1201-"&amp;L91,'All Costing'!$AB:$AC,2,FALSE),C91)</f>
        <v>0</v>
      </c>
      <c r="R91" s="24">
        <f>_xlfn.IFNA(VLOOKUP("1204-"&amp;L91,'All Costing'!$AB:$AC,2,FALSE),C91)</f>
        <v>394.88</v>
      </c>
      <c r="S91">
        <f>_xlfn.IFNA(VLOOKUP("1205-"&amp;L91,'All Costing'!$AB:$AC,2,FALSE),C91)</f>
        <v>0</v>
      </c>
      <c r="T91">
        <f>_xlfn.IFNA(VLOOKUP("1206-"&amp;L91,'All Costing'!$AB:$AC,2,FALSE),C91)</f>
        <v>0</v>
      </c>
    </row>
    <row r="92" spans="1:20">
      <c r="A92" s="127" t="s">
        <v>437</v>
      </c>
      <c r="B92" s="132">
        <v>0</v>
      </c>
      <c r="C92" s="125"/>
      <c r="D92" s="125"/>
      <c r="E92" s="125"/>
      <c r="F92" s="125"/>
      <c r="G92" s="129">
        <f t="shared" si="15"/>
        <v>0</v>
      </c>
      <c r="H92" s="125">
        <f t="shared" si="16"/>
        <v>0</v>
      </c>
      <c r="I92" s="24">
        <f t="shared" si="17"/>
        <v>0</v>
      </c>
      <c r="K92">
        <f t="shared" si="14"/>
        <v>92</v>
      </c>
      <c r="L92" t="s">
        <v>531</v>
      </c>
      <c r="M92" s="24">
        <f t="shared" si="18"/>
        <v>0</v>
      </c>
      <c r="N92" s="24">
        <f t="shared" si="19"/>
        <v>0</v>
      </c>
      <c r="O92" s="24">
        <f t="shared" si="20"/>
        <v>0</v>
      </c>
      <c r="P92" s="24">
        <f t="shared" si="21"/>
        <v>0</v>
      </c>
      <c r="Q92" s="24">
        <f>_xlfn.IFNA(VLOOKUP("1201-"&amp;L92,'All Costing'!$AB:$AC,2,FALSE),C92)</f>
        <v>0</v>
      </c>
      <c r="R92" s="24">
        <f>_xlfn.IFNA(VLOOKUP("1204-"&amp;L92,'All Costing'!$AB:$AC,2,FALSE),C92)</f>
        <v>0</v>
      </c>
      <c r="S92">
        <f>_xlfn.IFNA(VLOOKUP("1205-"&amp;L92,'All Costing'!$AB:$AC,2,FALSE),C92)</f>
        <v>0</v>
      </c>
      <c r="T92">
        <f>_xlfn.IFNA(VLOOKUP("1206-"&amp;L92,'All Costing'!$AB:$AC,2,FALSE),C92)</f>
        <v>0</v>
      </c>
    </row>
    <row r="93" spans="1:20">
      <c r="A93" s="127" t="s">
        <v>438</v>
      </c>
      <c r="B93" s="132">
        <v>0</v>
      </c>
      <c r="C93" s="125"/>
      <c r="D93" s="125"/>
      <c r="E93" s="125"/>
      <c r="F93" s="125"/>
      <c r="G93" s="129">
        <f t="shared" si="15"/>
        <v>0</v>
      </c>
      <c r="H93" s="125">
        <f t="shared" si="16"/>
        <v>0</v>
      </c>
      <c r="I93" s="24">
        <f t="shared" si="17"/>
        <v>0</v>
      </c>
      <c r="K93">
        <f t="shared" si="14"/>
        <v>93</v>
      </c>
      <c r="L93" t="s">
        <v>531</v>
      </c>
      <c r="M93" s="24">
        <f t="shared" si="18"/>
        <v>0</v>
      </c>
      <c r="N93" s="24">
        <f t="shared" si="19"/>
        <v>0</v>
      </c>
      <c r="O93" s="24">
        <f t="shared" si="20"/>
        <v>0</v>
      </c>
      <c r="P93" s="24">
        <f t="shared" si="21"/>
        <v>0</v>
      </c>
      <c r="Q93" s="24">
        <f>_xlfn.IFNA(VLOOKUP("1201-"&amp;L93,'All Costing'!$AB:$AC,2,FALSE),C93)</f>
        <v>0</v>
      </c>
      <c r="R93" s="24">
        <f>_xlfn.IFNA(VLOOKUP("1204-"&amp;L93,'All Costing'!$AB:$AC,2,FALSE),C93)</f>
        <v>0</v>
      </c>
      <c r="S93">
        <f>_xlfn.IFNA(VLOOKUP("1205-"&amp;L93,'All Costing'!$AB:$AC,2,FALSE),C93)</f>
        <v>0</v>
      </c>
      <c r="T93">
        <f>_xlfn.IFNA(VLOOKUP("1206-"&amp;L93,'All Costing'!$AB:$AC,2,FALSE),C93)</f>
        <v>0</v>
      </c>
    </row>
    <row r="94" spans="1:20">
      <c r="A94" s="127" t="s">
        <v>439</v>
      </c>
      <c r="B94" s="132">
        <v>943.01</v>
      </c>
      <c r="C94" s="125">
        <v>474.59</v>
      </c>
      <c r="D94" s="125"/>
      <c r="E94" s="125"/>
      <c r="F94" s="125"/>
      <c r="G94" s="129">
        <f t="shared" si="15"/>
        <v>1.0700768550531644E-3</v>
      </c>
      <c r="H94" s="125">
        <f t="shared" si="16"/>
        <v>474.59</v>
      </c>
      <c r="I94" s="24">
        <f t="shared" si="17"/>
        <v>-468.42</v>
      </c>
      <c r="K94">
        <f t="shared" si="14"/>
        <v>94</v>
      </c>
      <c r="L94" t="s">
        <v>158</v>
      </c>
      <c r="M94" s="24">
        <f t="shared" si="18"/>
        <v>474.59</v>
      </c>
      <c r="N94" s="24">
        <f t="shared" si="19"/>
        <v>0</v>
      </c>
      <c r="O94" s="24">
        <f t="shared" si="20"/>
        <v>0</v>
      </c>
      <c r="P94" s="24">
        <f t="shared" si="21"/>
        <v>0</v>
      </c>
      <c r="Q94" s="24">
        <f>_xlfn.IFNA(VLOOKUP("1201-"&amp;L94,'All Costing'!$AB:$AC,2,FALSE),C94)</f>
        <v>474.59</v>
      </c>
      <c r="R94" s="24">
        <f>_xlfn.IFNA(VLOOKUP("1204-"&amp;L94,'All Costing'!$AB:$AC,2,FALSE),C94)</f>
        <v>474.59</v>
      </c>
      <c r="S94">
        <f>_xlfn.IFNA(VLOOKUP("1205-"&amp;L94,'All Costing'!$AB:$AC,2,FALSE),C94)</f>
        <v>474.59</v>
      </c>
      <c r="T94">
        <f>_xlfn.IFNA(VLOOKUP("1206-"&amp;L94,'All Costing'!$AB:$AC,2,FALSE),C94)</f>
        <v>474.59</v>
      </c>
    </row>
    <row r="95" spans="1:20">
      <c r="A95" s="127" t="s">
        <v>440</v>
      </c>
      <c r="B95" s="132">
        <v>5256.43</v>
      </c>
      <c r="C95" s="125">
        <v>367.61</v>
      </c>
      <c r="D95" s="125">
        <v>353.89</v>
      </c>
      <c r="E95" s="125">
        <v>404.5</v>
      </c>
      <c r="F95" s="125">
        <v>562.23</v>
      </c>
      <c r="G95" s="129">
        <f t="shared" si="15"/>
        <v>3.8065189932497607E-3</v>
      </c>
      <c r="H95" s="125">
        <f t="shared" si="16"/>
        <v>1688.23</v>
      </c>
      <c r="I95" s="24">
        <f t="shared" si="17"/>
        <v>-3568.2000000000003</v>
      </c>
      <c r="K95">
        <f t="shared" si="14"/>
        <v>95</v>
      </c>
      <c r="L95" t="s">
        <v>118</v>
      </c>
      <c r="M95" s="24">
        <f t="shared" si="18"/>
        <v>367.61</v>
      </c>
      <c r="N95" s="24">
        <f t="shared" si="19"/>
        <v>353.89</v>
      </c>
      <c r="O95" s="24">
        <f t="shared" si="20"/>
        <v>404.5</v>
      </c>
      <c r="P95" s="24">
        <f t="shared" si="21"/>
        <v>562.23</v>
      </c>
      <c r="Q95" s="24">
        <f>_xlfn.IFNA(VLOOKUP("1201-"&amp;L95,'All Costing'!$AB:$AC,2,FALSE),C95)</f>
        <v>367.61</v>
      </c>
      <c r="R95" s="24">
        <f>_xlfn.IFNA(VLOOKUP("1204-"&amp;L95,'All Costing'!$AB:$AC,2,FALSE),C95)</f>
        <v>353.89</v>
      </c>
      <c r="S95">
        <f>_xlfn.IFNA(VLOOKUP("1205-"&amp;L95,'All Costing'!$AB:$AC,2,FALSE),C95)</f>
        <v>404.5</v>
      </c>
      <c r="T95">
        <f>_xlfn.IFNA(VLOOKUP("1206-"&amp;L95,'All Costing'!$AB:$AC,2,FALSE),C95)</f>
        <v>562.23</v>
      </c>
    </row>
    <row r="96" spans="1:20">
      <c r="A96" s="144" t="s">
        <v>441</v>
      </c>
      <c r="B96" s="132">
        <v>0</v>
      </c>
      <c r="C96" s="125"/>
      <c r="D96" s="125"/>
      <c r="E96" s="125"/>
      <c r="F96" s="125"/>
      <c r="G96" s="129">
        <f t="shared" si="15"/>
        <v>0</v>
      </c>
      <c r="H96" s="125">
        <f t="shared" si="16"/>
        <v>0</v>
      </c>
      <c r="I96" s="24">
        <f t="shared" si="17"/>
        <v>0</v>
      </c>
      <c r="K96">
        <f t="shared" si="14"/>
        <v>96</v>
      </c>
      <c r="M96" s="24">
        <f t="shared" si="18"/>
        <v>0</v>
      </c>
      <c r="N96" s="24">
        <f t="shared" si="19"/>
        <v>0</v>
      </c>
      <c r="O96" s="24">
        <f t="shared" si="20"/>
        <v>0</v>
      </c>
      <c r="P96" s="24">
        <f t="shared" si="21"/>
        <v>0</v>
      </c>
      <c r="Q96" s="24">
        <f>_xlfn.IFNA(VLOOKUP("1201-"&amp;L96,'All Costing'!$AB:$AC,2,FALSE),C96)</f>
        <v>0</v>
      </c>
      <c r="R96" s="24">
        <f>_xlfn.IFNA(VLOOKUP("1204-"&amp;L96,'All Costing'!$AB:$AC,2,FALSE),C96)</f>
        <v>0</v>
      </c>
      <c r="S96">
        <f>_xlfn.IFNA(VLOOKUP("1205-"&amp;L96,'All Costing'!$AB:$AC,2,FALSE),C96)</f>
        <v>0</v>
      </c>
      <c r="T96">
        <f>_xlfn.IFNA(VLOOKUP("1206-"&amp;L96,'All Costing'!$AB:$AC,2,FALSE),C96)</f>
        <v>0</v>
      </c>
    </row>
    <row r="97" spans="1:20">
      <c r="A97" s="144" t="s">
        <v>442</v>
      </c>
      <c r="B97" s="132">
        <v>0</v>
      </c>
      <c r="C97" s="125"/>
      <c r="D97" s="125"/>
      <c r="E97" s="125"/>
      <c r="F97" s="125"/>
      <c r="G97" s="129">
        <f t="shared" si="15"/>
        <v>0</v>
      </c>
      <c r="H97" s="125">
        <f t="shared" si="16"/>
        <v>0</v>
      </c>
      <c r="I97" s="24">
        <f t="shared" si="17"/>
        <v>0</v>
      </c>
      <c r="K97">
        <f t="shared" si="14"/>
        <v>97</v>
      </c>
      <c r="L97" t="s">
        <v>531</v>
      </c>
      <c r="M97" s="24">
        <f t="shared" si="18"/>
        <v>0</v>
      </c>
      <c r="N97" s="24">
        <f t="shared" si="19"/>
        <v>0</v>
      </c>
      <c r="O97" s="24">
        <f t="shared" si="20"/>
        <v>0</v>
      </c>
      <c r="P97" s="24">
        <f t="shared" si="21"/>
        <v>0</v>
      </c>
      <c r="Q97" s="24">
        <f>_xlfn.IFNA(VLOOKUP("1201-"&amp;L97,'All Costing'!$AB:$AC,2,FALSE),C97)</f>
        <v>0</v>
      </c>
      <c r="R97" s="24">
        <f>_xlfn.IFNA(VLOOKUP("1204-"&amp;L97,'All Costing'!$AB:$AC,2,FALSE),C97)</f>
        <v>0</v>
      </c>
      <c r="S97">
        <f>_xlfn.IFNA(VLOOKUP("1205-"&amp;L97,'All Costing'!$AB:$AC,2,FALSE),C97)</f>
        <v>0</v>
      </c>
      <c r="T97">
        <f>_xlfn.IFNA(VLOOKUP("1206-"&amp;L97,'All Costing'!$AB:$AC,2,FALSE),C97)</f>
        <v>0</v>
      </c>
    </row>
    <row r="98" spans="1:20">
      <c r="A98" s="133" t="s">
        <v>443</v>
      </c>
      <c r="B98" s="134">
        <f>SUM(B63:B97)</f>
        <v>123061.4515</v>
      </c>
      <c r="C98" s="134">
        <f>SUM(C63:C97)</f>
        <v>16295.87</v>
      </c>
      <c r="D98" s="134">
        <f>SUM(D63:D97)</f>
        <v>6216.8000000000011</v>
      </c>
      <c r="E98" s="134">
        <f>SUM(E63:E97)</f>
        <v>5461.78</v>
      </c>
      <c r="F98" s="134">
        <f>SUM(F63:F97)</f>
        <v>5076.6399999999994</v>
      </c>
      <c r="G98" s="129">
        <f t="shared" si="15"/>
        <v>7.4521600630605561E-2</v>
      </c>
      <c r="H98" s="123">
        <f>SUM(C98:F98)</f>
        <v>33051.089999999997</v>
      </c>
      <c r="I98" s="24">
        <f t="shared" si="17"/>
        <v>-90010.361499999999</v>
      </c>
      <c r="K98">
        <f t="shared" si="14"/>
        <v>98</v>
      </c>
      <c r="L98" t="s">
        <v>531</v>
      </c>
      <c r="M98" s="24">
        <f t="shared" si="18"/>
        <v>16295.87</v>
      </c>
      <c r="N98" s="24">
        <f t="shared" si="19"/>
        <v>6216.8000000000011</v>
      </c>
      <c r="O98" s="24">
        <f t="shared" si="20"/>
        <v>5461.78</v>
      </c>
      <c r="P98" s="24">
        <f t="shared" si="21"/>
        <v>5076.6399999999994</v>
      </c>
      <c r="Q98" s="24">
        <f>_xlfn.IFNA(VLOOKUP("1201-"&amp;L98,'All Costing'!$AB:$AC,2,FALSE),C98)</f>
        <v>16295.87</v>
      </c>
      <c r="R98" s="24">
        <f>_xlfn.IFNA(VLOOKUP("1204-"&amp;L98,'All Costing'!$AB:$AC,2,FALSE),C98)</f>
        <v>16295.87</v>
      </c>
      <c r="S98">
        <f>_xlfn.IFNA(VLOOKUP("1205-"&amp;L98,'All Costing'!$AB:$AC,2,FALSE),C98)</f>
        <v>16295.87</v>
      </c>
      <c r="T98">
        <f>_xlfn.IFNA(VLOOKUP("1206-"&amp;L98,'All Costing'!$AB:$AC,2,FALSE),C98)</f>
        <v>16295.87</v>
      </c>
    </row>
    <row r="99" spans="1:20">
      <c r="A99" s="137" t="s">
        <v>444</v>
      </c>
      <c r="B99" s="134">
        <f>B98+B59</f>
        <v>162561.4515</v>
      </c>
      <c r="C99" s="134">
        <f>C98+C59</f>
        <v>30019.670000000006</v>
      </c>
      <c r="D99" s="134">
        <f>D98+D59</f>
        <v>6530.2600000000011</v>
      </c>
      <c r="E99" s="134">
        <f>E98+E59</f>
        <v>8760.18</v>
      </c>
      <c r="F99" s="134">
        <f>F98+F59</f>
        <v>5076.6399999999994</v>
      </c>
      <c r="G99" s="129">
        <f t="shared" si="15"/>
        <v>0.11360899929697221</v>
      </c>
      <c r="H99" s="123">
        <f>SUM(C99:F99)</f>
        <v>50386.750000000007</v>
      </c>
      <c r="I99" s="24">
        <f t="shared" si="17"/>
        <v>-112174.7015</v>
      </c>
      <c r="K99">
        <f t="shared" si="14"/>
        <v>99</v>
      </c>
      <c r="L99" t="s">
        <v>531</v>
      </c>
      <c r="M99" s="24">
        <f t="shared" si="18"/>
        <v>30019.670000000006</v>
      </c>
      <c r="N99" s="24">
        <f t="shared" si="19"/>
        <v>6530.2600000000011</v>
      </c>
      <c r="O99" s="24">
        <f t="shared" si="20"/>
        <v>8760.18</v>
      </c>
      <c r="P99" s="24">
        <f t="shared" si="21"/>
        <v>5076.6399999999994</v>
      </c>
      <c r="Q99" s="24">
        <f>_xlfn.IFNA(VLOOKUP("1201-"&amp;L99,'All Costing'!$AB:$AC,2,FALSE),C99)</f>
        <v>30019.670000000006</v>
      </c>
      <c r="R99" s="24">
        <f>_xlfn.IFNA(VLOOKUP("1204-"&amp;L99,'All Costing'!$AB:$AC,2,FALSE),C99)</f>
        <v>30019.670000000006</v>
      </c>
      <c r="S99">
        <f>_xlfn.IFNA(VLOOKUP("1205-"&amp;L99,'All Costing'!$AB:$AC,2,FALSE),C99)</f>
        <v>30019.670000000006</v>
      </c>
      <c r="T99">
        <f>_xlfn.IFNA(VLOOKUP("1206-"&amp;L99,'All Costing'!$AB:$AC,2,FALSE),C99)</f>
        <v>30019.670000000006</v>
      </c>
    </row>
    <row r="100" spans="1:20">
      <c r="A100" s="137"/>
      <c r="B100" s="132"/>
      <c r="C100" s="125"/>
      <c r="D100" s="125"/>
      <c r="E100" s="125"/>
      <c r="F100" s="125"/>
      <c r="G100" s="129"/>
      <c r="H100" s="125"/>
      <c r="I100" s="24">
        <f t="shared" si="17"/>
        <v>0</v>
      </c>
      <c r="K100">
        <f t="shared" si="14"/>
        <v>100</v>
      </c>
      <c r="L100" t="s">
        <v>531</v>
      </c>
      <c r="M100" s="24">
        <f t="shared" si="18"/>
        <v>0</v>
      </c>
      <c r="N100" s="24">
        <f t="shared" si="19"/>
        <v>0</v>
      </c>
      <c r="O100" s="24">
        <f t="shared" si="20"/>
        <v>0</v>
      </c>
      <c r="P100" s="24">
        <f t="shared" si="21"/>
        <v>0</v>
      </c>
      <c r="Q100" s="24">
        <f>_xlfn.IFNA(VLOOKUP("1201-"&amp;L100,'All Costing'!$AB:$AC,2,FALSE),C100)</f>
        <v>0</v>
      </c>
      <c r="R100" s="24">
        <f>_xlfn.IFNA(VLOOKUP("1204-"&amp;L100,'All Costing'!$AB:$AC,2,FALSE),C100)</f>
        <v>0</v>
      </c>
      <c r="S100">
        <f>_xlfn.IFNA(VLOOKUP("1205-"&amp;L100,'All Costing'!$AB:$AC,2,FALSE),C100)</f>
        <v>0</v>
      </c>
      <c r="T100">
        <f>_xlfn.IFNA(VLOOKUP("1206-"&amp;L100,'All Costing'!$AB:$AC,2,FALSE),C100)</f>
        <v>0</v>
      </c>
    </row>
    <row r="101" spans="1:20">
      <c r="A101" s="121" t="s">
        <v>445</v>
      </c>
      <c r="B101" s="132"/>
      <c r="C101" s="125"/>
      <c r="D101" s="125"/>
      <c r="E101" s="125"/>
      <c r="F101" s="125"/>
      <c r="G101" s="129"/>
      <c r="H101" s="125"/>
      <c r="I101" s="24">
        <f t="shared" si="17"/>
        <v>0</v>
      </c>
      <c r="K101">
        <f t="shared" si="14"/>
        <v>101</v>
      </c>
      <c r="L101" t="s">
        <v>531</v>
      </c>
      <c r="M101" s="24">
        <f t="shared" si="18"/>
        <v>0</v>
      </c>
      <c r="N101" s="24">
        <f t="shared" si="19"/>
        <v>0</v>
      </c>
      <c r="O101" s="24">
        <f t="shared" si="20"/>
        <v>0</v>
      </c>
      <c r="P101" s="24">
        <f t="shared" si="21"/>
        <v>0</v>
      </c>
      <c r="Q101" s="24">
        <f>_xlfn.IFNA(VLOOKUP("1201-"&amp;L101,'All Costing'!$AB:$AC,2,FALSE),C101)</f>
        <v>0</v>
      </c>
      <c r="R101" s="24">
        <f>_xlfn.IFNA(VLOOKUP("1204-"&amp;L101,'All Costing'!$AB:$AC,2,FALSE),C101)</f>
        <v>0</v>
      </c>
      <c r="S101">
        <f>_xlfn.IFNA(VLOOKUP("1205-"&amp;L101,'All Costing'!$AB:$AC,2,FALSE),C101)</f>
        <v>0</v>
      </c>
      <c r="T101">
        <f>_xlfn.IFNA(VLOOKUP("1206-"&amp;L101,'All Costing'!$AB:$AC,2,FALSE),C101)</f>
        <v>0</v>
      </c>
    </row>
    <row r="102" spans="1:20">
      <c r="A102" s="140" t="s">
        <v>446</v>
      </c>
      <c r="B102" s="132"/>
      <c r="C102" s="125"/>
      <c r="D102" s="125"/>
      <c r="E102" s="125"/>
      <c r="F102" s="125"/>
      <c r="G102" s="129"/>
      <c r="H102" s="125"/>
      <c r="I102" s="24">
        <f t="shared" si="17"/>
        <v>0</v>
      </c>
      <c r="K102">
        <f t="shared" si="14"/>
        <v>102</v>
      </c>
      <c r="L102" t="s">
        <v>531</v>
      </c>
      <c r="M102" s="24">
        <f t="shared" si="18"/>
        <v>0</v>
      </c>
      <c r="N102" s="24">
        <f t="shared" si="19"/>
        <v>0</v>
      </c>
      <c r="O102" s="24">
        <f t="shared" si="20"/>
        <v>0</v>
      </c>
      <c r="P102" s="24">
        <f t="shared" si="21"/>
        <v>0</v>
      </c>
      <c r="Q102" s="24">
        <f>_xlfn.IFNA(VLOOKUP("1201-"&amp;L102,'All Costing'!$AB:$AC,2,FALSE),C102)</f>
        <v>0</v>
      </c>
      <c r="R102" s="24">
        <f>_xlfn.IFNA(VLOOKUP("1204-"&amp;L102,'All Costing'!$AB:$AC,2,FALSE),C102)</f>
        <v>0</v>
      </c>
      <c r="S102">
        <f>_xlfn.IFNA(VLOOKUP("1205-"&amp;L102,'All Costing'!$AB:$AC,2,FALSE),C102)</f>
        <v>0</v>
      </c>
      <c r="T102">
        <f>_xlfn.IFNA(VLOOKUP("1206-"&amp;L102,'All Costing'!$AB:$AC,2,FALSE),C102)</f>
        <v>0</v>
      </c>
    </row>
    <row r="103" spans="1:20">
      <c r="A103" s="127" t="s">
        <v>447</v>
      </c>
      <c r="B103" s="132">
        <v>0</v>
      </c>
      <c r="C103" s="125"/>
      <c r="D103" s="125"/>
      <c r="E103" s="125"/>
      <c r="F103" s="125"/>
      <c r="G103" s="129">
        <f t="shared" si="15"/>
        <v>0</v>
      </c>
      <c r="H103" s="125">
        <f t="shared" si="16"/>
        <v>0</v>
      </c>
      <c r="I103" s="24">
        <f t="shared" si="17"/>
        <v>0</v>
      </c>
      <c r="K103">
        <f t="shared" si="14"/>
        <v>103</v>
      </c>
      <c r="L103" t="s">
        <v>531</v>
      </c>
      <c r="M103" s="24">
        <f t="shared" si="18"/>
        <v>0</v>
      </c>
      <c r="N103" s="24">
        <f t="shared" si="19"/>
        <v>0</v>
      </c>
      <c r="O103" s="24">
        <f t="shared" si="20"/>
        <v>0</v>
      </c>
      <c r="P103" s="24">
        <f t="shared" si="21"/>
        <v>0</v>
      </c>
      <c r="Q103" s="24">
        <f>_xlfn.IFNA(VLOOKUP("1201-"&amp;L103,'All Costing'!$AB:$AC,2,FALSE),C103)</f>
        <v>0</v>
      </c>
      <c r="R103" s="24">
        <f>_xlfn.IFNA(VLOOKUP("1204-"&amp;L103,'All Costing'!$AB:$AC,2,FALSE),C103)</f>
        <v>0</v>
      </c>
      <c r="S103">
        <f>_xlfn.IFNA(VLOOKUP("1205-"&amp;L103,'All Costing'!$AB:$AC,2,FALSE),C103)</f>
        <v>0</v>
      </c>
      <c r="T103">
        <f>_xlfn.IFNA(VLOOKUP("1206-"&amp;L103,'All Costing'!$AB:$AC,2,FALSE),C103)</f>
        <v>0</v>
      </c>
    </row>
    <row r="104" spans="1:20">
      <c r="A104" s="127" t="s">
        <v>448</v>
      </c>
      <c r="B104" s="132">
        <v>0</v>
      </c>
      <c r="C104" s="125"/>
      <c r="D104" s="125"/>
      <c r="E104" s="125"/>
      <c r="F104" s="125"/>
      <c r="G104" s="129">
        <f t="shared" si="15"/>
        <v>0</v>
      </c>
      <c r="H104" s="125">
        <f t="shared" si="16"/>
        <v>0</v>
      </c>
      <c r="I104" s="24">
        <f t="shared" si="17"/>
        <v>0</v>
      </c>
      <c r="K104">
        <f t="shared" si="14"/>
        <v>104</v>
      </c>
      <c r="L104" t="s">
        <v>531</v>
      </c>
      <c r="M104" s="24">
        <f t="shared" si="18"/>
        <v>0</v>
      </c>
      <c r="N104" s="24">
        <f t="shared" si="19"/>
        <v>0</v>
      </c>
      <c r="O104" s="24">
        <f t="shared" si="20"/>
        <v>0</v>
      </c>
      <c r="P104" s="24">
        <f t="shared" si="21"/>
        <v>0</v>
      </c>
      <c r="Q104" s="24">
        <f>_xlfn.IFNA(VLOOKUP("1201-"&amp;L104,'All Costing'!$AB:$AC,2,FALSE),C104)</f>
        <v>0</v>
      </c>
      <c r="R104" s="24">
        <f>_xlfn.IFNA(VLOOKUP("1204-"&amp;L104,'All Costing'!$AB:$AC,2,FALSE),C104)</f>
        <v>0</v>
      </c>
      <c r="S104">
        <f>_xlfn.IFNA(VLOOKUP("1205-"&amp;L104,'All Costing'!$AB:$AC,2,FALSE),C104)</f>
        <v>0</v>
      </c>
      <c r="T104">
        <f>_xlfn.IFNA(VLOOKUP("1206-"&amp;L104,'All Costing'!$AB:$AC,2,FALSE),C104)</f>
        <v>0</v>
      </c>
    </row>
    <row r="105" spans="1:20">
      <c r="A105" s="127" t="s">
        <v>449</v>
      </c>
      <c r="B105" s="132">
        <v>0</v>
      </c>
      <c r="C105" s="125"/>
      <c r="D105" s="125"/>
      <c r="E105" s="125"/>
      <c r="F105" s="125"/>
      <c r="G105" s="129">
        <f t="shared" si="15"/>
        <v>0</v>
      </c>
      <c r="H105" s="125">
        <f t="shared" si="16"/>
        <v>0</v>
      </c>
      <c r="I105" s="24">
        <f t="shared" si="17"/>
        <v>0</v>
      </c>
      <c r="K105">
        <f t="shared" si="14"/>
        <v>105</v>
      </c>
      <c r="L105" t="s">
        <v>531</v>
      </c>
      <c r="M105" s="24">
        <f t="shared" si="18"/>
        <v>0</v>
      </c>
      <c r="N105" s="24">
        <f t="shared" si="19"/>
        <v>0</v>
      </c>
      <c r="O105" s="24">
        <f t="shared" si="20"/>
        <v>0</v>
      </c>
      <c r="P105" s="24">
        <f t="shared" si="21"/>
        <v>0</v>
      </c>
      <c r="Q105" s="24">
        <f>_xlfn.IFNA(VLOOKUP("1201-"&amp;L105,'All Costing'!$AB:$AC,2,FALSE),C105)</f>
        <v>0</v>
      </c>
      <c r="R105" s="24">
        <f>_xlfn.IFNA(VLOOKUP("1204-"&amp;L105,'All Costing'!$AB:$AC,2,FALSE),C105)</f>
        <v>0</v>
      </c>
      <c r="S105">
        <f>_xlfn.IFNA(VLOOKUP("1205-"&amp;L105,'All Costing'!$AB:$AC,2,FALSE),C105)</f>
        <v>0</v>
      </c>
      <c r="T105">
        <f>_xlfn.IFNA(VLOOKUP("1206-"&amp;L105,'All Costing'!$AB:$AC,2,FALSE),C105)</f>
        <v>0</v>
      </c>
    </row>
    <row r="106" spans="1:20">
      <c r="A106" s="127" t="s">
        <v>450</v>
      </c>
      <c r="B106" s="132">
        <v>0</v>
      </c>
      <c r="C106" s="125"/>
      <c r="D106" s="125"/>
      <c r="E106" s="125"/>
      <c r="F106" s="125"/>
      <c r="G106" s="129">
        <f t="shared" si="15"/>
        <v>0</v>
      </c>
      <c r="H106" s="125">
        <f t="shared" si="16"/>
        <v>0</v>
      </c>
      <c r="I106" s="24">
        <f t="shared" si="17"/>
        <v>0</v>
      </c>
      <c r="K106">
        <f t="shared" si="14"/>
        <v>106</v>
      </c>
      <c r="L106" t="s">
        <v>531</v>
      </c>
      <c r="M106" s="24">
        <f t="shared" si="18"/>
        <v>0</v>
      </c>
      <c r="N106" s="24">
        <f t="shared" si="19"/>
        <v>0</v>
      </c>
      <c r="O106" s="24">
        <f t="shared" si="20"/>
        <v>0</v>
      </c>
      <c r="P106" s="24">
        <f t="shared" si="21"/>
        <v>0</v>
      </c>
      <c r="Q106" s="24">
        <f>_xlfn.IFNA(VLOOKUP("1201-"&amp;L106,'All Costing'!$AB:$AC,2,FALSE),C106)</f>
        <v>0</v>
      </c>
      <c r="R106" s="24">
        <f>_xlfn.IFNA(VLOOKUP("1204-"&amp;L106,'All Costing'!$AB:$AC,2,FALSE),C106)</f>
        <v>0</v>
      </c>
      <c r="S106">
        <f>_xlfn.IFNA(VLOOKUP("1205-"&amp;L106,'All Costing'!$AB:$AC,2,FALSE),C106)</f>
        <v>0</v>
      </c>
      <c r="T106">
        <f>_xlfn.IFNA(VLOOKUP("1206-"&amp;L106,'All Costing'!$AB:$AC,2,FALSE),C106)</f>
        <v>0</v>
      </c>
    </row>
    <row r="107" spans="1:20">
      <c r="A107" s="127" t="s">
        <v>451</v>
      </c>
      <c r="B107" s="132">
        <v>0</v>
      </c>
      <c r="C107" s="125"/>
      <c r="D107" s="125"/>
      <c r="E107" s="125"/>
      <c r="F107" s="125"/>
      <c r="G107" s="129">
        <f t="shared" si="15"/>
        <v>0</v>
      </c>
      <c r="H107" s="125">
        <f t="shared" si="16"/>
        <v>0</v>
      </c>
      <c r="I107" s="24">
        <f t="shared" si="17"/>
        <v>0</v>
      </c>
      <c r="K107">
        <f t="shared" si="14"/>
        <v>107</v>
      </c>
      <c r="L107" t="s">
        <v>531</v>
      </c>
      <c r="M107" s="24">
        <f t="shared" si="18"/>
        <v>0</v>
      </c>
      <c r="N107" s="24">
        <f t="shared" si="19"/>
        <v>0</v>
      </c>
      <c r="O107" s="24">
        <f t="shared" si="20"/>
        <v>0</v>
      </c>
      <c r="P107" s="24">
        <f t="shared" si="21"/>
        <v>0</v>
      </c>
      <c r="Q107" s="24">
        <f>_xlfn.IFNA(VLOOKUP("1201-"&amp;L107,'All Costing'!$AB:$AC,2,FALSE),C107)</f>
        <v>0</v>
      </c>
      <c r="R107" s="24">
        <f>_xlfn.IFNA(VLOOKUP("1204-"&amp;L107,'All Costing'!$AB:$AC,2,FALSE),C107)</f>
        <v>0</v>
      </c>
      <c r="S107">
        <f>_xlfn.IFNA(VLOOKUP("1205-"&amp;L107,'All Costing'!$AB:$AC,2,FALSE),C107)</f>
        <v>0</v>
      </c>
      <c r="T107">
        <f>_xlfn.IFNA(VLOOKUP("1206-"&amp;L107,'All Costing'!$AB:$AC,2,FALSE),C107)</f>
        <v>0</v>
      </c>
    </row>
    <row r="108" spans="1:20">
      <c r="A108" s="127" t="s">
        <v>452</v>
      </c>
      <c r="B108" s="132">
        <v>0</v>
      </c>
      <c r="C108" s="125"/>
      <c r="D108" s="125"/>
      <c r="E108" s="125"/>
      <c r="F108" s="125"/>
      <c r="G108" s="129">
        <f t="shared" si="15"/>
        <v>0</v>
      </c>
      <c r="H108" s="125">
        <f t="shared" si="16"/>
        <v>0</v>
      </c>
      <c r="I108" s="24">
        <f t="shared" si="17"/>
        <v>0</v>
      </c>
      <c r="K108">
        <f t="shared" si="14"/>
        <v>108</v>
      </c>
      <c r="L108" t="s">
        <v>531</v>
      </c>
      <c r="M108" s="24">
        <f t="shared" si="18"/>
        <v>0</v>
      </c>
      <c r="N108" s="24">
        <f t="shared" si="19"/>
        <v>0</v>
      </c>
      <c r="O108" s="24">
        <f t="shared" si="20"/>
        <v>0</v>
      </c>
      <c r="P108" s="24">
        <f t="shared" si="21"/>
        <v>0</v>
      </c>
      <c r="Q108" s="24">
        <f>_xlfn.IFNA(VLOOKUP("1201-"&amp;L108,'All Costing'!$AB:$AC,2,FALSE),C108)</f>
        <v>0</v>
      </c>
      <c r="R108" s="24">
        <f>_xlfn.IFNA(VLOOKUP("1204-"&amp;L108,'All Costing'!$AB:$AC,2,FALSE),C108)</f>
        <v>0</v>
      </c>
      <c r="S108">
        <f>_xlfn.IFNA(VLOOKUP("1205-"&amp;L108,'All Costing'!$AB:$AC,2,FALSE),C108)</f>
        <v>0</v>
      </c>
      <c r="T108">
        <f>_xlfn.IFNA(VLOOKUP("1206-"&amp;L108,'All Costing'!$AB:$AC,2,FALSE),C108)</f>
        <v>0</v>
      </c>
    </row>
    <row r="109" spans="1:20">
      <c r="A109" s="127" t="s">
        <v>453</v>
      </c>
      <c r="B109" s="132">
        <v>0</v>
      </c>
      <c r="C109" s="125"/>
      <c r="D109" s="125"/>
      <c r="E109" s="125"/>
      <c r="F109" s="125"/>
      <c r="G109" s="129">
        <f t="shared" si="15"/>
        <v>0</v>
      </c>
      <c r="H109" s="125">
        <f t="shared" si="16"/>
        <v>0</v>
      </c>
      <c r="I109" s="24">
        <f t="shared" si="17"/>
        <v>0</v>
      </c>
      <c r="K109">
        <f t="shared" si="14"/>
        <v>109</v>
      </c>
      <c r="L109" t="s">
        <v>531</v>
      </c>
      <c r="M109" s="24">
        <f t="shared" si="18"/>
        <v>0</v>
      </c>
      <c r="N109" s="24">
        <f t="shared" si="19"/>
        <v>0</v>
      </c>
      <c r="O109" s="24">
        <f t="shared" si="20"/>
        <v>0</v>
      </c>
      <c r="P109" s="24">
        <f t="shared" si="21"/>
        <v>0</v>
      </c>
      <c r="Q109" s="24">
        <f>_xlfn.IFNA(VLOOKUP("1201-"&amp;L109,'All Costing'!$AB:$AC,2,FALSE),C109)</f>
        <v>0</v>
      </c>
      <c r="R109" s="24">
        <f>_xlfn.IFNA(VLOOKUP("1204-"&amp;L109,'All Costing'!$AB:$AC,2,FALSE),C109)</f>
        <v>0</v>
      </c>
      <c r="S109">
        <f>_xlfn.IFNA(VLOOKUP("1205-"&amp;L109,'All Costing'!$AB:$AC,2,FALSE),C109)</f>
        <v>0</v>
      </c>
      <c r="T109">
        <f>_xlfn.IFNA(VLOOKUP("1206-"&amp;L109,'All Costing'!$AB:$AC,2,FALSE),C109)</f>
        <v>0</v>
      </c>
    </row>
    <row r="110" spans="1:20">
      <c r="A110" s="127" t="s">
        <v>454</v>
      </c>
      <c r="B110" s="132">
        <v>0</v>
      </c>
      <c r="C110" s="125"/>
      <c r="D110" s="125"/>
      <c r="E110" s="125"/>
      <c r="F110" s="125"/>
      <c r="G110" s="129">
        <f t="shared" si="15"/>
        <v>0</v>
      </c>
      <c r="H110" s="125">
        <f t="shared" si="16"/>
        <v>0</v>
      </c>
      <c r="I110" s="24">
        <f t="shared" si="17"/>
        <v>0</v>
      </c>
      <c r="K110">
        <f t="shared" si="14"/>
        <v>110</v>
      </c>
      <c r="L110" t="s">
        <v>531</v>
      </c>
      <c r="M110" s="24">
        <f t="shared" si="18"/>
        <v>0</v>
      </c>
      <c r="N110" s="24">
        <f t="shared" si="19"/>
        <v>0</v>
      </c>
      <c r="O110" s="24">
        <f t="shared" si="20"/>
        <v>0</v>
      </c>
      <c r="P110" s="24">
        <f t="shared" si="21"/>
        <v>0</v>
      </c>
      <c r="Q110" s="24">
        <f>_xlfn.IFNA(VLOOKUP("1201-"&amp;L110,'All Costing'!$AB:$AC,2,FALSE),C110)</f>
        <v>0</v>
      </c>
      <c r="R110" s="24">
        <f>_xlfn.IFNA(VLOOKUP("1204-"&amp;L110,'All Costing'!$AB:$AC,2,FALSE),C110)</f>
        <v>0</v>
      </c>
      <c r="S110">
        <f>_xlfn.IFNA(VLOOKUP("1205-"&amp;L110,'All Costing'!$AB:$AC,2,FALSE),C110)</f>
        <v>0</v>
      </c>
      <c r="T110">
        <f>_xlfn.IFNA(VLOOKUP("1206-"&amp;L110,'All Costing'!$AB:$AC,2,FALSE),C110)</f>
        <v>0</v>
      </c>
    </row>
    <row r="111" spans="1:20">
      <c r="A111" s="127" t="s">
        <v>455</v>
      </c>
      <c r="B111" s="132">
        <v>0</v>
      </c>
      <c r="C111" s="125"/>
      <c r="D111" s="125"/>
      <c r="E111" s="125"/>
      <c r="F111" s="125"/>
      <c r="G111" s="129">
        <f t="shared" si="15"/>
        <v>0</v>
      </c>
      <c r="H111" s="125">
        <f t="shared" si="16"/>
        <v>0</v>
      </c>
      <c r="I111" s="24">
        <f t="shared" si="17"/>
        <v>0</v>
      </c>
      <c r="K111">
        <f t="shared" si="14"/>
        <v>111</v>
      </c>
      <c r="L111" t="s">
        <v>531</v>
      </c>
      <c r="M111" s="24">
        <f t="shared" si="18"/>
        <v>0</v>
      </c>
      <c r="N111" s="24">
        <f t="shared" si="19"/>
        <v>0</v>
      </c>
      <c r="O111" s="24">
        <f t="shared" si="20"/>
        <v>0</v>
      </c>
      <c r="P111" s="24">
        <f t="shared" si="21"/>
        <v>0</v>
      </c>
      <c r="Q111" s="24">
        <f>_xlfn.IFNA(VLOOKUP("1201-"&amp;L111,'All Costing'!$AB:$AC,2,FALSE),C111)</f>
        <v>0</v>
      </c>
      <c r="R111" s="24">
        <f>_xlfn.IFNA(VLOOKUP("1204-"&amp;L111,'All Costing'!$AB:$AC,2,FALSE),C111)</f>
        <v>0</v>
      </c>
      <c r="S111">
        <f>_xlfn.IFNA(VLOOKUP("1205-"&amp;L111,'All Costing'!$AB:$AC,2,FALSE),C111)</f>
        <v>0</v>
      </c>
      <c r="T111">
        <f>_xlfn.IFNA(VLOOKUP("1206-"&amp;L111,'All Costing'!$AB:$AC,2,FALSE),C111)</f>
        <v>0</v>
      </c>
    </row>
    <row r="112" spans="1:20">
      <c r="A112" s="127" t="s">
        <v>456</v>
      </c>
      <c r="B112" s="132">
        <v>0</v>
      </c>
      <c r="C112" s="125"/>
      <c r="D112" s="125"/>
      <c r="E112" s="125"/>
      <c r="F112" s="125"/>
      <c r="G112" s="129">
        <f t="shared" si="15"/>
        <v>0</v>
      </c>
      <c r="H112" s="125">
        <f t="shared" si="16"/>
        <v>0</v>
      </c>
      <c r="I112" s="24">
        <f t="shared" si="17"/>
        <v>0</v>
      </c>
      <c r="K112">
        <f t="shared" si="14"/>
        <v>112</v>
      </c>
      <c r="L112" t="s">
        <v>531</v>
      </c>
      <c r="M112" s="24">
        <f t="shared" si="18"/>
        <v>0</v>
      </c>
      <c r="N112" s="24">
        <f t="shared" si="19"/>
        <v>0</v>
      </c>
      <c r="O112" s="24">
        <f t="shared" si="20"/>
        <v>0</v>
      </c>
      <c r="P112" s="24">
        <f t="shared" si="21"/>
        <v>0</v>
      </c>
      <c r="Q112" s="24">
        <f>_xlfn.IFNA(VLOOKUP("1201-"&amp;L112,'All Costing'!$AB:$AC,2,FALSE),C112)</f>
        <v>0</v>
      </c>
      <c r="R112" s="24">
        <f>_xlfn.IFNA(VLOOKUP("1204-"&amp;L112,'All Costing'!$AB:$AC,2,FALSE),C112)</f>
        <v>0</v>
      </c>
      <c r="S112">
        <f>_xlfn.IFNA(VLOOKUP("1205-"&amp;L112,'All Costing'!$AB:$AC,2,FALSE),C112)</f>
        <v>0</v>
      </c>
      <c r="T112">
        <f>_xlfn.IFNA(VLOOKUP("1206-"&amp;L112,'All Costing'!$AB:$AC,2,FALSE),C112)</f>
        <v>0</v>
      </c>
    </row>
    <row r="113" spans="1:20">
      <c r="A113" s="127" t="s">
        <v>457</v>
      </c>
      <c r="B113" s="132">
        <v>0</v>
      </c>
      <c r="C113" s="125"/>
      <c r="D113" s="125"/>
      <c r="E113" s="125"/>
      <c r="F113" s="125"/>
      <c r="G113" s="129">
        <f t="shared" si="15"/>
        <v>0</v>
      </c>
      <c r="H113" s="125">
        <f t="shared" si="16"/>
        <v>0</v>
      </c>
      <c r="I113" s="24">
        <f t="shared" si="17"/>
        <v>0</v>
      </c>
      <c r="K113">
        <f t="shared" si="14"/>
        <v>113</v>
      </c>
      <c r="L113" t="s">
        <v>531</v>
      </c>
      <c r="M113" s="24">
        <f t="shared" si="18"/>
        <v>0</v>
      </c>
      <c r="N113" s="24">
        <f t="shared" si="19"/>
        <v>0</v>
      </c>
      <c r="O113" s="24">
        <f t="shared" si="20"/>
        <v>0</v>
      </c>
      <c r="P113" s="24">
        <f t="shared" si="21"/>
        <v>0</v>
      </c>
      <c r="Q113" s="24">
        <f>_xlfn.IFNA(VLOOKUP("1201-"&amp;L113,'All Costing'!$AB:$AC,2,FALSE),C113)</f>
        <v>0</v>
      </c>
      <c r="R113" s="24">
        <f>_xlfn.IFNA(VLOOKUP("1204-"&amp;L113,'All Costing'!$AB:$AC,2,FALSE),C113)</f>
        <v>0</v>
      </c>
      <c r="S113">
        <f>_xlfn.IFNA(VLOOKUP("1205-"&amp;L113,'All Costing'!$AB:$AC,2,FALSE),C113)</f>
        <v>0</v>
      </c>
      <c r="T113">
        <f>_xlfn.IFNA(VLOOKUP("1206-"&amp;L113,'All Costing'!$AB:$AC,2,FALSE),C113)</f>
        <v>0</v>
      </c>
    </row>
    <row r="114" spans="1:20">
      <c r="A114" s="127" t="s">
        <v>458</v>
      </c>
      <c r="B114" s="132">
        <v>0</v>
      </c>
      <c r="C114" s="125"/>
      <c r="D114" s="125"/>
      <c r="E114" s="125"/>
      <c r="F114" s="125"/>
      <c r="G114" s="129">
        <f t="shared" si="15"/>
        <v>0</v>
      </c>
      <c r="H114" s="125">
        <f t="shared" si="16"/>
        <v>0</v>
      </c>
      <c r="I114" s="24">
        <f t="shared" si="17"/>
        <v>0</v>
      </c>
      <c r="K114">
        <f t="shared" si="14"/>
        <v>114</v>
      </c>
      <c r="L114" t="s">
        <v>531</v>
      </c>
      <c r="M114" s="24">
        <f t="shared" si="18"/>
        <v>0</v>
      </c>
      <c r="N114" s="24">
        <f t="shared" si="19"/>
        <v>0</v>
      </c>
      <c r="O114" s="24">
        <f t="shared" si="20"/>
        <v>0</v>
      </c>
      <c r="P114" s="24">
        <f t="shared" si="21"/>
        <v>0</v>
      </c>
      <c r="Q114" s="24">
        <f>_xlfn.IFNA(VLOOKUP("1201-"&amp;L114,'All Costing'!$AB:$AC,2,FALSE),C114)</f>
        <v>0</v>
      </c>
      <c r="R114" s="24">
        <f>_xlfn.IFNA(VLOOKUP("1204-"&amp;L114,'All Costing'!$AB:$AC,2,FALSE),C114)</f>
        <v>0</v>
      </c>
      <c r="S114">
        <f>_xlfn.IFNA(VLOOKUP("1205-"&amp;L114,'All Costing'!$AB:$AC,2,FALSE),C114)</f>
        <v>0</v>
      </c>
      <c r="T114">
        <f>_xlfn.IFNA(VLOOKUP("1206-"&amp;L114,'All Costing'!$AB:$AC,2,FALSE),C114)</f>
        <v>0</v>
      </c>
    </row>
    <row r="115" spans="1:20">
      <c r="A115" s="133" t="s">
        <v>459</v>
      </c>
      <c r="B115" s="134">
        <f>SUM(B103:B114)</f>
        <v>0</v>
      </c>
      <c r="C115" s="134">
        <f>SUM(C103:C114)</f>
        <v>0</v>
      </c>
      <c r="D115" s="134">
        <f>SUM(D103:D114)</f>
        <v>0</v>
      </c>
      <c r="E115" s="134">
        <f>SUM(E103:E114)</f>
        <v>0</v>
      </c>
      <c r="F115" s="134">
        <f>SUM(F103:F114)</f>
        <v>0</v>
      </c>
      <c r="G115" s="129">
        <f t="shared" si="15"/>
        <v>0</v>
      </c>
      <c r="H115" s="123">
        <f t="shared" si="16"/>
        <v>0</v>
      </c>
      <c r="I115" s="24">
        <f t="shared" si="17"/>
        <v>0</v>
      </c>
      <c r="K115">
        <f t="shared" si="14"/>
        <v>115</v>
      </c>
      <c r="L115" t="s">
        <v>531</v>
      </c>
      <c r="M115" s="24">
        <f t="shared" si="18"/>
        <v>0</v>
      </c>
      <c r="N115" s="24">
        <f t="shared" si="19"/>
        <v>0</v>
      </c>
      <c r="O115" s="24">
        <f t="shared" si="20"/>
        <v>0</v>
      </c>
      <c r="P115" s="24">
        <f t="shared" si="21"/>
        <v>0</v>
      </c>
      <c r="Q115" s="24">
        <f>_xlfn.IFNA(VLOOKUP("1201-"&amp;L115,'All Costing'!$AB:$AC,2,FALSE),C115)</f>
        <v>0</v>
      </c>
      <c r="R115" s="24">
        <f>_xlfn.IFNA(VLOOKUP("1204-"&amp;L115,'All Costing'!$AB:$AC,2,FALSE),C115)</f>
        <v>0</v>
      </c>
      <c r="S115">
        <f>_xlfn.IFNA(VLOOKUP("1205-"&amp;L115,'All Costing'!$AB:$AC,2,FALSE),C115)</f>
        <v>0</v>
      </c>
      <c r="T115">
        <f>_xlfn.IFNA(VLOOKUP("1206-"&amp;L115,'All Costing'!$AB:$AC,2,FALSE),C115)</f>
        <v>0</v>
      </c>
    </row>
    <row r="116" spans="1:20">
      <c r="A116" s="127"/>
      <c r="B116" s="132"/>
      <c r="C116" s="125"/>
      <c r="D116" s="125"/>
      <c r="E116" s="125"/>
      <c r="F116" s="125"/>
      <c r="G116" s="129"/>
      <c r="H116" s="125"/>
      <c r="I116" s="24">
        <f t="shared" si="17"/>
        <v>0</v>
      </c>
      <c r="K116">
        <f t="shared" si="14"/>
        <v>116</v>
      </c>
      <c r="L116" t="s">
        <v>531</v>
      </c>
      <c r="M116" s="24">
        <f t="shared" si="18"/>
        <v>0</v>
      </c>
      <c r="N116" s="24">
        <f t="shared" si="19"/>
        <v>0</v>
      </c>
      <c r="O116" s="24">
        <f t="shared" si="20"/>
        <v>0</v>
      </c>
      <c r="P116" s="24">
        <f t="shared" si="21"/>
        <v>0</v>
      </c>
      <c r="Q116" s="24">
        <f>_xlfn.IFNA(VLOOKUP("1201-"&amp;L116,'All Costing'!$AB:$AC,2,FALSE),C116)</f>
        <v>0</v>
      </c>
      <c r="R116" s="24">
        <f>_xlfn.IFNA(VLOOKUP("1204-"&amp;L116,'All Costing'!$AB:$AC,2,FALSE),C116)</f>
        <v>0</v>
      </c>
      <c r="S116">
        <f>_xlfn.IFNA(VLOOKUP("1205-"&amp;L116,'All Costing'!$AB:$AC,2,FALSE),C116)</f>
        <v>0</v>
      </c>
      <c r="T116">
        <f>_xlfn.IFNA(VLOOKUP("1206-"&amp;L116,'All Costing'!$AB:$AC,2,FALSE),C116)</f>
        <v>0</v>
      </c>
    </row>
    <row r="117" spans="1:20">
      <c r="A117" s="140" t="s">
        <v>460</v>
      </c>
      <c r="B117" s="132"/>
      <c r="C117" s="125"/>
      <c r="D117" s="125"/>
      <c r="E117" s="125"/>
      <c r="F117" s="125"/>
      <c r="G117" s="129"/>
      <c r="H117" s="125"/>
      <c r="I117" s="24">
        <f t="shared" si="17"/>
        <v>0</v>
      </c>
      <c r="K117">
        <f t="shared" si="14"/>
        <v>117</v>
      </c>
      <c r="L117" t="s">
        <v>531</v>
      </c>
      <c r="M117" s="24">
        <f t="shared" si="18"/>
        <v>0</v>
      </c>
      <c r="N117" s="24">
        <f t="shared" si="19"/>
        <v>0</v>
      </c>
      <c r="O117" s="24">
        <f t="shared" si="20"/>
        <v>0</v>
      </c>
      <c r="P117" s="24">
        <f t="shared" si="21"/>
        <v>0</v>
      </c>
      <c r="Q117" s="24">
        <f>_xlfn.IFNA(VLOOKUP("1201-"&amp;L117,'All Costing'!$AB:$AC,2,FALSE),C117)</f>
        <v>0</v>
      </c>
      <c r="R117" s="24">
        <f>_xlfn.IFNA(VLOOKUP("1204-"&amp;L117,'All Costing'!$AB:$AC,2,FALSE),C117)</f>
        <v>0</v>
      </c>
      <c r="S117">
        <f>_xlfn.IFNA(VLOOKUP("1205-"&amp;L117,'All Costing'!$AB:$AC,2,FALSE),C117)</f>
        <v>0</v>
      </c>
      <c r="T117">
        <f>_xlfn.IFNA(VLOOKUP("1206-"&amp;L117,'All Costing'!$AB:$AC,2,FALSE),C117)</f>
        <v>0</v>
      </c>
    </row>
    <row r="118" spans="1:20">
      <c r="A118" s="127" t="s">
        <v>461</v>
      </c>
      <c r="B118" s="132">
        <v>0</v>
      </c>
      <c r="C118" s="125"/>
      <c r="D118" s="125"/>
      <c r="E118" s="125"/>
      <c r="F118" s="125"/>
      <c r="G118" s="129">
        <f t="shared" si="15"/>
        <v>0</v>
      </c>
      <c r="H118" s="125">
        <f t="shared" si="16"/>
        <v>0</v>
      </c>
      <c r="I118" s="24">
        <f t="shared" si="17"/>
        <v>0</v>
      </c>
      <c r="K118">
        <f t="shared" si="14"/>
        <v>118</v>
      </c>
      <c r="L118" t="s">
        <v>531</v>
      </c>
      <c r="M118" s="24">
        <f t="shared" si="18"/>
        <v>0</v>
      </c>
      <c r="N118" s="24">
        <f t="shared" si="19"/>
        <v>0</v>
      </c>
      <c r="O118" s="24">
        <f t="shared" si="20"/>
        <v>0</v>
      </c>
      <c r="P118" s="24">
        <f t="shared" si="21"/>
        <v>0</v>
      </c>
      <c r="Q118" s="24">
        <f>_xlfn.IFNA(VLOOKUP("1201-"&amp;L118,'All Costing'!$AB:$AC,2,FALSE),C118)</f>
        <v>0</v>
      </c>
      <c r="R118" s="24">
        <f>_xlfn.IFNA(VLOOKUP("1204-"&amp;L118,'All Costing'!$AB:$AC,2,FALSE),C118)</f>
        <v>0</v>
      </c>
      <c r="S118">
        <f>_xlfn.IFNA(VLOOKUP("1205-"&amp;L118,'All Costing'!$AB:$AC,2,FALSE),C118)</f>
        <v>0</v>
      </c>
      <c r="T118">
        <f>_xlfn.IFNA(VLOOKUP("1206-"&amp;L118,'All Costing'!$AB:$AC,2,FALSE),C118)</f>
        <v>0</v>
      </c>
    </row>
    <row r="119" spans="1:20">
      <c r="A119" s="127" t="s">
        <v>441</v>
      </c>
      <c r="B119" s="132">
        <v>5000</v>
      </c>
      <c r="C119" s="125">
        <v>139.5</v>
      </c>
      <c r="D119" s="119">
        <v>68.48</v>
      </c>
      <c r="E119" s="119">
        <v>197.81</v>
      </c>
      <c r="F119" s="119"/>
      <c r="G119" s="129">
        <f t="shared" si="15"/>
        <v>9.1495077227085196E-4</v>
      </c>
      <c r="H119" s="125">
        <f t="shared" si="16"/>
        <v>405.79</v>
      </c>
      <c r="I119" s="24">
        <f t="shared" si="17"/>
        <v>-4594.21</v>
      </c>
      <c r="K119">
        <f t="shared" si="14"/>
        <v>119</v>
      </c>
      <c r="L119" t="s">
        <v>167</v>
      </c>
      <c r="M119" s="24">
        <f t="shared" si="18"/>
        <v>139.5</v>
      </c>
      <c r="N119" s="24">
        <f t="shared" si="19"/>
        <v>68.48</v>
      </c>
      <c r="O119" s="24">
        <f t="shared" si="20"/>
        <v>197.81</v>
      </c>
      <c r="P119" s="24">
        <f t="shared" si="21"/>
        <v>0</v>
      </c>
      <c r="Q119" s="24">
        <f>_xlfn.IFNA(VLOOKUP("1201-"&amp;L119,'All Costing'!$AB:$AC,2,FALSE),C119)</f>
        <v>71.38</v>
      </c>
      <c r="R119" s="24">
        <f>_xlfn.IFNA(VLOOKUP("1204-"&amp;L119,'All Costing'!$AB:$AC,2,FALSE),C119)</f>
        <v>68.48</v>
      </c>
      <c r="S119">
        <f>_xlfn.IFNA(VLOOKUP("1205-"&amp;L119,'All Costing'!$AB:$AC,2,FALSE),C119)</f>
        <v>197.81</v>
      </c>
      <c r="T119">
        <f>_xlfn.IFNA(VLOOKUP("1206-"&amp;L119,'All Costing'!$AB:$AC,2,FALSE),C119)</f>
        <v>0</v>
      </c>
    </row>
    <row r="120" spans="1:20">
      <c r="A120" s="127" t="s">
        <v>462</v>
      </c>
      <c r="B120" s="132">
        <v>0</v>
      </c>
      <c r="C120" s="125"/>
      <c r="D120" s="125"/>
      <c r="E120" s="125"/>
      <c r="F120" s="125"/>
      <c r="G120" s="129">
        <f t="shared" si="15"/>
        <v>0</v>
      </c>
      <c r="H120" s="125">
        <f t="shared" si="16"/>
        <v>0</v>
      </c>
      <c r="I120" s="24">
        <f t="shared" si="17"/>
        <v>0</v>
      </c>
      <c r="K120">
        <f t="shared" si="14"/>
        <v>120</v>
      </c>
      <c r="L120" t="s">
        <v>531</v>
      </c>
      <c r="M120" s="24">
        <f t="shared" si="18"/>
        <v>0</v>
      </c>
      <c r="N120" s="24">
        <f t="shared" si="19"/>
        <v>0</v>
      </c>
      <c r="O120" s="24">
        <f t="shared" si="20"/>
        <v>0</v>
      </c>
      <c r="P120" s="24">
        <f t="shared" si="21"/>
        <v>0</v>
      </c>
      <c r="Q120" s="24">
        <f>_xlfn.IFNA(VLOOKUP("1201-"&amp;L120,'All Costing'!$AB:$AC,2,FALSE),C120)</f>
        <v>0</v>
      </c>
      <c r="R120" s="24">
        <f>_xlfn.IFNA(VLOOKUP("1204-"&amp;L120,'All Costing'!$AB:$AC,2,FALSE),C120)</f>
        <v>0</v>
      </c>
      <c r="S120">
        <f>_xlfn.IFNA(VLOOKUP("1205-"&amp;L120,'All Costing'!$AB:$AC,2,FALSE),C120)</f>
        <v>0</v>
      </c>
      <c r="T120">
        <f>_xlfn.IFNA(VLOOKUP("1206-"&amp;L120,'All Costing'!$AB:$AC,2,FALSE),C120)</f>
        <v>0</v>
      </c>
    </row>
    <row r="121" spans="1:20">
      <c r="A121" s="127" t="s">
        <v>450</v>
      </c>
      <c r="B121" s="132">
        <v>0</v>
      </c>
      <c r="C121" s="125"/>
      <c r="D121" s="125"/>
      <c r="E121" s="125"/>
      <c r="F121" s="125"/>
      <c r="G121" s="129">
        <f t="shared" si="15"/>
        <v>0</v>
      </c>
      <c r="H121" s="125">
        <f t="shared" si="16"/>
        <v>0</v>
      </c>
      <c r="I121" s="24">
        <f t="shared" si="17"/>
        <v>0</v>
      </c>
      <c r="K121">
        <f t="shared" si="14"/>
        <v>121</v>
      </c>
      <c r="L121" t="s">
        <v>531</v>
      </c>
      <c r="M121" s="24">
        <f t="shared" si="18"/>
        <v>0</v>
      </c>
      <c r="N121" s="24">
        <f t="shared" si="19"/>
        <v>0</v>
      </c>
      <c r="O121" s="24">
        <f t="shared" si="20"/>
        <v>0</v>
      </c>
      <c r="P121" s="24">
        <f t="shared" si="21"/>
        <v>0</v>
      </c>
      <c r="Q121" s="24">
        <f>_xlfn.IFNA(VLOOKUP("1201-"&amp;L121,'All Costing'!$AB:$AC,2,FALSE),C121)</f>
        <v>0</v>
      </c>
      <c r="R121" s="24">
        <f>_xlfn.IFNA(VLOOKUP("1204-"&amp;L121,'All Costing'!$AB:$AC,2,FALSE),C121)</f>
        <v>0</v>
      </c>
      <c r="S121">
        <f>_xlfn.IFNA(VLOOKUP("1205-"&amp;L121,'All Costing'!$AB:$AC,2,FALSE),C121)</f>
        <v>0</v>
      </c>
      <c r="T121">
        <f>_xlfn.IFNA(VLOOKUP("1206-"&amp;L121,'All Costing'!$AB:$AC,2,FALSE),C121)</f>
        <v>0</v>
      </c>
    </row>
    <row r="122" spans="1:20">
      <c r="A122" s="127" t="s">
        <v>463</v>
      </c>
      <c r="B122" s="132">
        <v>0</v>
      </c>
      <c r="C122" s="125"/>
      <c r="D122" s="125"/>
      <c r="E122" s="125"/>
      <c r="F122" s="125"/>
      <c r="G122" s="129">
        <f t="shared" si="15"/>
        <v>0</v>
      </c>
      <c r="H122" s="125">
        <f t="shared" si="16"/>
        <v>0</v>
      </c>
      <c r="I122" s="24">
        <f t="shared" si="17"/>
        <v>0</v>
      </c>
      <c r="K122">
        <f t="shared" si="14"/>
        <v>122</v>
      </c>
      <c r="L122" t="s">
        <v>531</v>
      </c>
      <c r="M122" s="24">
        <f t="shared" si="18"/>
        <v>0</v>
      </c>
      <c r="N122" s="24">
        <f t="shared" si="19"/>
        <v>0</v>
      </c>
      <c r="O122" s="24">
        <f t="shared" si="20"/>
        <v>0</v>
      </c>
      <c r="P122" s="24">
        <f t="shared" si="21"/>
        <v>0</v>
      </c>
      <c r="Q122" s="24">
        <f>_xlfn.IFNA(VLOOKUP("1201-"&amp;L122,'All Costing'!$AB:$AC,2,FALSE),C122)</f>
        <v>0</v>
      </c>
      <c r="R122" s="24">
        <f>_xlfn.IFNA(VLOOKUP("1204-"&amp;L122,'All Costing'!$AB:$AC,2,FALSE),C122)</f>
        <v>0</v>
      </c>
      <c r="S122">
        <f>_xlfn.IFNA(VLOOKUP("1205-"&amp;L122,'All Costing'!$AB:$AC,2,FALSE),C122)</f>
        <v>0</v>
      </c>
      <c r="T122">
        <f>_xlfn.IFNA(VLOOKUP("1206-"&amp;L122,'All Costing'!$AB:$AC,2,FALSE),C122)</f>
        <v>0</v>
      </c>
    </row>
    <row r="123" spans="1:20">
      <c r="A123" s="127" t="s">
        <v>464</v>
      </c>
      <c r="B123" s="132">
        <v>0</v>
      </c>
      <c r="C123" s="125"/>
      <c r="D123" s="125"/>
      <c r="E123" s="125"/>
      <c r="F123" s="125"/>
      <c r="G123" s="129">
        <f t="shared" si="15"/>
        <v>0</v>
      </c>
      <c r="H123" s="125">
        <f t="shared" si="16"/>
        <v>0</v>
      </c>
      <c r="I123" s="24">
        <f t="shared" si="17"/>
        <v>0</v>
      </c>
      <c r="K123">
        <f t="shared" si="14"/>
        <v>123</v>
      </c>
      <c r="L123" t="s">
        <v>531</v>
      </c>
      <c r="M123" s="24">
        <f t="shared" si="18"/>
        <v>0</v>
      </c>
      <c r="N123" s="24">
        <f t="shared" si="19"/>
        <v>0</v>
      </c>
      <c r="O123" s="24">
        <f t="shared" si="20"/>
        <v>0</v>
      </c>
      <c r="P123" s="24">
        <f t="shared" si="21"/>
        <v>0</v>
      </c>
      <c r="Q123" s="24">
        <f>_xlfn.IFNA(VLOOKUP("1201-"&amp;L123,'All Costing'!$AB:$AC,2,FALSE),C123)</f>
        <v>0</v>
      </c>
      <c r="R123" s="24">
        <f>_xlfn.IFNA(VLOOKUP("1204-"&amp;L123,'All Costing'!$AB:$AC,2,FALSE),C123)</f>
        <v>0</v>
      </c>
      <c r="S123">
        <f>_xlfn.IFNA(VLOOKUP("1205-"&amp;L123,'All Costing'!$AB:$AC,2,FALSE),C123)</f>
        <v>0</v>
      </c>
      <c r="T123">
        <f>_xlfn.IFNA(VLOOKUP("1206-"&amp;L123,'All Costing'!$AB:$AC,2,FALSE),C123)</f>
        <v>0</v>
      </c>
    </row>
    <row r="124" spans="1:20">
      <c r="A124" s="138" t="s">
        <v>465</v>
      </c>
      <c r="B124" s="132">
        <v>0</v>
      </c>
      <c r="C124" s="125"/>
      <c r="D124" s="125"/>
      <c r="E124" s="125"/>
      <c r="F124" s="125"/>
      <c r="G124" s="129">
        <f t="shared" si="15"/>
        <v>0</v>
      </c>
      <c r="H124" s="125">
        <f t="shared" si="16"/>
        <v>0</v>
      </c>
      <c r="I124" s="24">
        <f t="shared" si="17"/>
        <v>0</v>
      </c>
      <c r="K124">
        <f t="shared" si="14"/>
        <v>124</v>
      </c>
      <c r="L124" t="s">
        <v>531</v>
      </c>
      <c r="M124" s="24">
        <f t="shared" si="18"/>
        <v>0</v>
      </c>
      <c r="N124" s="24">
        <f t="shared" si="19"/>
        <v>0</v>
      </c>
      <c r="O124" s="24">
        <f t="shared" si="20"/>
        <v>0</v>
      </c>
      <c r="P124" s="24">
        <f t="shared" si="21"/>
        <v>0</v>
      </c>
      <c r="Q124" s="24">
        <f>_xlfn.IFNA(VLOOKUP("1201-"&amp;L124,'All Costing'!$AB:$AC,2,FALSE),C124)</f>
        <v>0</v>
      </c>
      <c r="R124" s="24">
        <f>_xlfn.IFNA(VLOOKUP("1204-"&amp;L124,'All Costing'!$AB:$AC,2,FALSE),C124)</f>
        <v>0</v>
      </c>
      <c r="S124">
        <f>_xlfn.IFNA(VLOOKUP("1205-"&amp;L124,'All Costing'!$AB:$AC,2,FALSE),C124)</f>
        <v>0</v>
      </c>
      <c r="T124">
        <f>_xlfn.IFNA(VLOOKUP("1206-"&amp;L124,'All Costing'!$AB:$AC,2,FALSE),C124)</f>
        <v>0</v>
      </c>
    </row>
    <row r="125" spans="1:20">
      <c r="A125" s="138" t="s">
        <v>466</v>
      </c>
      <c r="B125" s="132">
        <v>27000</v>
      </c>
      <c r="C125" s="146"/>
      <c r="D125" s="146"/>
      <c r="E125" s="146"/>
      <c r="F125" s="146"/>
      <c r="G125" s="129">
        <f t="shared" si="15"/>
        <v>0</v>
      </c>
      <c r="H125" s="125">
        <f t="shared" si="16"/>
        <v>0</v>
      </c>
      <c r="I125" s="24">
        <f t="shared" si="17"/>
        <v>-27000</v>
      </c>
      <c r="K125">
        <f t="shared" si="14"/>
        <v>125</v>
      </c>
      <c r="L125" t="s">
        <v>162</v>
      </c>
      <c r="M125" s="24">
        <f t="shared" si="18"/>
        <v>0</v>
      </c>
      <c r="N125" s="24">
        <f t="shared" si="19"/>
        <v>0</v>
      </c>
      <c r="O125" s="24">
        <f t="shared" si="20"/>
        <v>0</v>
      </c>
      <c r="P125" s="24">
        <f t="shared" si="21"/>
        <v>0</v>
      </c>
      <c r="Q125" s="24">
        <f>_xlfn.IFNA(VLOOKUP("1201-"&amp;L125,'All Costing'!$AB:$AC,2,FALSE),C125)</f>
        <v>4859.3</v>
      </c>
      <c r="R125" s="24">
        <f>_xlfn.IFNA(VLOOKUP("1204-"&amp;L125,'All Costing'!$AB:$AC,2,FALSE),C125)</f>
        <v>0</v>
      </c>
      <c r="S125">
        <f>_xlfn.IFNA(VLOOKUP("1205-"&amp;L125,'All Costing'!$AB:$AC,2,FALSE),C125)</f>
        <v>0</v>
      </c>
      <c r="T125">
        <f>_xlfn.IFNA(VLOOKUP("1206-"&amp;L125,'All Costing'!$AB:$AC,2,FALSE),C125)</f>
        <v>0</v>
      </c>
    </row>
    <row r="126" spans="1:20">
      <c r="A126" s="127" t="s">
        <v>467</v>
      </c>
      <c r="B126" s="132">
        <v>0</v>
      </c>
      <c r="C126" s="119"/>
      <c r="D126" s="119"/>
      <c r="E126" s="119"/>
      <c r="F126" s="119"/>
      <c r="G126" s="129">
        <f t="shared" si="15"/>
        <v>0</v>
      </c>
      <c r="H126" s="125">
        <f t="shared" si="16"/>
        <v>0</v>
      </c>
      <c r="I126" s="24">
        <f t="shared" si="17"/>
        <v>0</v>
      </c>
      <c r="K126">
        <f t="shared" si="14"/>
        <v>126</v>
      </c>
      <c r="L126" t="s">
        <v>531</v>
      </c>
      <c r="M126" s="24">
        <f t="shared" si="18"/>
        <v>0</v>
      </c>
      <c r="N126" s="24">
        <f t="shared" si="19"/>
        <v>0</v>
      </c>
      <c r="O126" s="24">
        <f t="shared" si="20"/>
        <v>0</v>
      </c>
      <c r="P126" s="24">
        <f t="shared" si="21"/>
        <v>0</v>
      </c>
      <c r="Q126" s="24">
        <f>_xlfn.IFNA(VLOOKUP("1201-"&amp;L126,'All Costing'!$AB:$AC,2,FALSE),C126)</f>
        <v>0</v>
      </c>
      <c r="R126" s="24">
        <f>_xlfn.IFNA(VLOOKUP("1204-"&amp;L126,'All Costing'!$AB:$AC,2,FALSE),C126)</f>
        <v>0</v>
      </c>
      <c r="S126">
        <f>_xlfn.IFNA(VLOOKUP("1205-"&amp;L126,'All Costing'!$AB:$AC,2,FALSE),C126)</f>
        <v>0</v>
      </c>
      <c r="T126">
        <f>_xlfn.IFNA(VLOOKUP("1206-"&amp;L126,'All Costing'!$AB:$AC,2,FALSE),C126)</f>
        <v>0</v>
      </c>
    </row>
    <row r="127" spans="1:20">
      <c r="A127" s="127" t="s">
        <v>468</v>
      </c>
      <c r="B127" s="132">
        <v>0</v>
      </c>
      <c r="C127" s="125"/>
      <c r="D127" s="125"/>
      <c r="E127" s="125"/>
      <c r="F127" s="125"/>
      <c r="G127" s="129">
        <f t="shared" si="15"/>
        <v>0</v>
      </c>
      <c r="H127" s="125">
        <f t="shared" si="16"/>
        <v>0</v>
      </c>
      <c r="I127" s="24">
        <f t="shared" si="17"/>
        <v>0</v>
      </c>
      <c r="K127">
        <f t="shared" si="14"/>
        <v>127</v>
      </c>
      <c r="L127" t="s">
        <v>531</v>
      </c>
      <c r="M127" s="24">
        <f t="shared" si="18"/>
        <v>0</v>
      </c>
      <c r="N127" s="24">
        <f t="shared" si="19"/>
        <v>0</v>
      </c>
      <c r="O127" s="24">
        <f t="shared" si="20"/>
        <v>0</v>
      </c>
      <c r="P127" s="24">
        <f t="shared" si="21"/>
        <v>0</v>
      </c>
      <c r="Q127" s="24">
        <f>_xlfn.IFNA(VLOOKUP("1201-"&amp;L127,'All Costing'!$AB:$AC,2,FALSE),C127)</f>
        <v>0</v>
      </c>
      <c r="R127" s="24">
        <f>_xlfn.IFNA(VLOOKUP("1204-"&amp;L127,'All Costing'!$AB:$AC,2,FALSE),C127)</f>
        <v>0</v>
      </c>
      <c r="S127">
        <f>_xlfn.IFNA(VLOOKUP("1205-"&amp;L127,'All Costing'!$AB:$AC,2,FALSE),C127)</f>
        <v>0</v>
      </c>
      <c r="T127">
        <f>_xlfn.IFNA(VLOOKUP("1206-"&amp;L127,'All Costing'!$AB:$AC,2,FALSE),C127)</f>
        <v>0</v>
      </c>
    </row>
    <row r="128" spans="1:20">
      <c r="A128" s="127" t="s">
        <v>469</v>
      </c>
      <c r="B128" s="132">
        <v>0</v>
      </c>
      <c r="C128" s="125"/>
      <c r="D128" s="125"/>
      <c r="E128" s="125"/>
      <c r="F128" s="125"/>
      <c r="G128" s="129">
        <f t="shared" si="15"/>
        <v>0</v>
      </c>
      <c r="H128" s="125">
        <f t="shared" si="16"/>
        <v>0</v>
      </c>
      <c r="I128" s="24">
        <f t="shared" si="17"/>
        <v>0</v>
      </c>
      <c r="K128">
        <f t="shared" si="14"/>
        <v>128</v>
      </c>
      <c r="L128" t="s">
        <v>531</v>
      </c>
      <c r="M128" s="24">
        <f t="shared" si="18"/>
        <v>0</v>
      </c>
      <c r="N128" s="24">
        <f t="shared" si="19"/>
        <v>0</v>
      </c>
      <c r="O128" s="24">
        <f t="shared" si="20"/>
        <v>0</v>
      </c>
      <c r="P128" s="24">
        <f t="shared" si="21"/>
        <v>0</v>
      </c>
      <c r="Q128" s="24">
        <f>_xlfn.IFNA(VLOOKUP("1201-"&amp;L128,'All Costing'!$AB:$AC,2,FALSE),C128)</f>
        <v>0</v>
      </c>
      <c r="R128" s="24">
        <f>_xlfn.IFNA(VLOOKUP("1204-"&amp;L128,'All Costing'!$AB:$AC,2,FALSE),C128)</f>
        <v>0</v>
      </c>
      <c r="S128">
        <f>_xlfn.IFNA(VLOOKUP("1205-"&amp;L128,'All Costing'!$AB:$AC,2,FALSE),C128)</f>
        <v>0</v>
      </c>
      <c r="T128">
        <f>_xlfn.IFNA(VLOOKUP("1206-"&amp;L128,'All Costing'!$AB:$AC,2,FALSE),C128)</f>
        <v>0</v>
      </c>
    </row>
    <row r="129" spans="1:20">
      <c r="A129" s="127" t="s">
        <v>470</v>
      </c>
      <c r="B129" s="132">
        <v>0</v>
      </c>
      <c r="C129" s="125"/>
      <c r="D129" s="125"/>
      <c r="E129" s="125"/>
      <c r="F129" s="125"/>
      <c r="G129" s="129">
        <f t="shared" si="15"/>
        <v>0</v>
      </c>
      <c r="H129" s="125">
        <f t="shared" si="16"/>
        <v>0</v>
      </c>
      <c r="I129" s="24">
        <f t="shared" si="17"/>
        <v>0</v>
      </c>
      <c r="K129">
        <f t="shared" si="14"/>
        <v>129</v>
      </c>
      <c r="L129" t="s">
        <v>531</v>
      </c>
      <c r="M129" s="24">
        <f t="shared" si="18"/>
        <v>0</v>
      </c>
      <c r="N129" s="24">
        <f t="shared" si="19"/>
        <v>0</v>
      </c>
      <c r="O129" s="24">
        <f t="shared" si="20"/>
        <v>0</v>
      </c>
      <c r="P129" s="24">
        <f t="shared" si="21"/>
        <v>0</v>
      </c>
      <c r="Q129" s="24">
        <f>_xlfn.IFNA(VLOOKUP("1201-"&amp;L129,'All Costing'!$AB:$AC,2,FALSE),C129)</f>
        <v>0</v>
      </c>
      <c r="R129" s="24">
        <f>_xlfn.IFNA(VLOOKUP("1204-"&amp;L129,'All Costing'!$AB:$AC,2,FALSE),C129)</f>
        <v>0</v>
      </c>
      <c r="S129">
        <f>_xlfn.IFNA(VLOOKUP("1205-"&amp;L129,'All Costing'!$AB:$AC,2,FALSE),C129)</f>
        <v>0</v>
      </c>
      <c r="T129">
        <f>_xlfn.IFNA(VLOOKUP("1206-"&amp;L129,'All Costing'!$AB:$AC,2,FALSE),C129)</f>
        <v>0</v>
      </c>
    </row>
    <row r="130" spans="1:20">
      <c r="A130" s="127" t="s">
        <v>471</v>
      </c>
      <c r="B130" s="132">
        <v>0</v>
      </c>
      <c r="C130" s="146"/>
      <c r="D130" s="146"/>
      <c r="E130" s="146"/>
      <c r="F130" s="146"/>
      <c r="G130" s="129">
        <f t="shared" si="15"/>
        <v>0</v>
      </c>
      <c r="H130" s="125">
        <f t="shared" si="16"/>
        <v>0</v>
      </c>
      <c r="I130" s="24">
        <f t="shared" si="17"/>
        <v>0</v>
      </c>
      <c r="K130">
        <f t="shared" si="14"/>
        <v>130</v>
      </c>
      <c r="L130" t="s">
        <v>531</v>
      </c>
      <c r="M130" s="24">
        <f t="shared" si="18"/>
        <v>0</v>
      </c>
      <c r="N130" s="24">
        <f t="shared" si="19"/>
        <v>0</v>
      </c>
      <c r="O130" s="24">
        <f t="shared" si="20"/>
        <v>0</v>
      </c>
      <c r="P130" s="24">
        <f t="shared" si="21"/>
        <v>0</v>
      </c>
      <c r="Q130" s="24">
        <f>_xlfn.IFNA(VLOOKUP("1201-"&amp;L130,'All Costing'!$AB:$AC,2,FALSE),C130)</f>
        <v>0</v>
      </c>
      <c r="R130" s="24">
        <f>_xlfn.IFNA(VLOOKUP("1204-"&amp;L130,'All Costing'!$AB:$AC,2,FALSE),C130)</f>
        <v>0</v>
      </c>
      <c r="S130">
        <f>_xlfn.IFNA(VLOOKUP("1205-"&amp;L130,'All Costing'!$AB:$AC,2,FALSE),C130)</f>
        <v>0</v>
      </c>
      <c r="T130">
        <f>_xlfn.IFNA(VLOOKUP("1206-"&amp;L130,'All Costing'!$AB:$AC,2,FALSE),C130)</f>
        <v>0</v>
      </c>
    </row>
    <row r="131" spans="1:20">
      <c r="A131" s="127" t="s">
        <v>472</v>
      </c>
      <c r="B131" s="132">
        <v>3000</v>
      </c>
      <c r="C131" s="125">
        <v>452.47</v>
      </c>
      <c r="D131" s="125">
        <v>0.22</v>
      </c>
      <c r="E131" s="125">
        <v>0.22</v>
      </c>
      <c r="F131" s="125">
        <v>0.44</v>
      </c>
      <c r="G131" s="129">
        <f t="shared" si="15"/>
        <v>1.0221861864732763E-3</v>
      </c>
      <c r="H131" s="125">
        <f t="shared" si="16"/>
        <v>453.35000000000008</v>
      </c>
      <c r="I131" s="24">
        <f t="shared" si="17"/>
        <v>-2546.65</v>
      </c>
      <c r="K131">
        <f t="shared" si="14"/>
        <v>131</v>
      </c>
      <c r="L131" t="s">
        <v>160</v>
      </c>
      <c r="M131" s="24">
        <f t="shared" si="18"/>
        <v>452.47</v>
      </c>
      <c r="N131" s="24">
        <f t="shared" si="19"/>
        <v>0.22</v>
      </c>
      <c r="O131" s="24">
        <f t="shared" si="20"/>
        <v>0.22</v>
      </c>
      <c r="P131" s="24">
        <f t="shared" si="21"/>
        <v>0.44</v>
      </c>
      <c r="Q131" s="24">
        <f>_xlfn.IFNA(VLOOKUP("1201-"&amp;L131,'All Costing'!$AB:$AC,2,FALSE),C131)</f>
        <v>452.47</v>
      </c>
      <c r="R131" s="24">
        <f>_xlfn.IFNA(VLOOKUP("1204-"&amp;L131,'All Costing'!$AB:$AC,2,FALSE),C131)</f>
        <v>452.47</v>
      </c>
      <c r="S131">
        <f>_xlfn.IFNA(VLOOKUP("1205-"&amp;L131,'All Costing'!$AB:$AC,2,FALSE),C131)</f>
        <v>452.47</v>
      </c>
      <c r="T131">
        <f>_xlfn.IFNA(VLOOKUP("1206-"&amp;L131,'All Costing'!$AB:$AC,2,FALSE),C131)</f>
        <v>452.47</v>
      </c>
    </row>
    <row r="132" spans="1:20">
      <c r="A132" s="127" t="s">
        <v>473</v>
      </c>
      <c r="B132" s="132">
        <v>0</v>
      </c>
      <c r="C132" s="125"/>
      <c r="D132" s="125"/>
      <c r="E132" s="125"/>
      <c r="F132" s="125"/>
      <c r="G132" s="129">
        <f t="shared" si="15"/>
        <v>0</v>
      </c>
      <c r="H132" s="125">
        <f t="shared" si="16"/>
        <v>0</v>
      </c>
      <c r="I132" s="24">
        <f t="shared" si="17"/>
        <v>0</v>
      </c>
      <c r="K132">
        <f t="shared" si="14"/>
        <v>132</v>
      </c>
      <c r="L132" t="s">
        <v>531</v>
      </c>
      <c r="M132" s="24">
        <f t="shared" si="18"/>
        <v>0</v>
      </c>
      <c r="N132" s="24">
        <f t="shared" si="19"/>
        <v>0</v>
      </c>
      <c r="O132" s="24">
        <f t="shared" si="20"/>
        <v>0</v>
      </c>
      <c r="P132" s="24">
        <f t="shared" si="21"/>
        <v>0</v>
      </c>
      <c r="Q132" s="24">
        <f>_xlfn.IFNA(VLOOKUP("1201-"&amp;L132,'All Costing'!$AB:$AC,2,FALSE),C132)</f>
        <v>0</v>
      </c>
      <c r="R132" s="24">
        <f>_xlfn.IFNA(VLOOKUP("1204-"&amp;L132,'All Costing'!$AB:$AC,2,FALSE),C132)</f>
        <v>0</v>
      </c>
      <c r="S132">
        <f>_xlfn.IFNA(VLOOKUP("1205-"&amp;L132,'All Costing'!$AB:$AC,2,FALSE),C132)</f>
        <v>0</v>
      </c>
      <c r="T132">
        <f>_xlfn.IFNA(VLOOKUP("1206-"&amp;L132,'All Costing'!$AB:$AC,2,FALSE),C132)</f>
        <v>0</v>
      </c>
    </row>
    <row r="133" spans="1:20">
      <c r="A133" s="127" t="s">
        <v>474</v>
      </c>
      <c r="B133" s="132">
        <v>0</v>
      </c>
      <c r="C133" s="125"/>
      <c r="D133" s="125"/>
      <c r="E133" s="125"/>
      <c r="F133" s="125"/>
      <c r="G133" s="129">
        <f t="shared" si="15"/>
        <v>0</v>
      </c>
      <c r="H133" s="125">
        <f t="shared" si="16"/>
        <v>0</v>
      </c>
      <c r="I133" s="24">
        <f t="shared" si="17"/>
        <v>0</v>
      </c>
      <c r="K133">
        <f t="shared" si="14"/>
        <v>133</v>
      </c>
      <c r="L133" t="s">
        <v>531</v>
      </c>
      <c r="M133" s="24">
        <f t="shared" si="18"/>
        <v>0</v>
      </c>
      <c r="N133" s="24">
        <f t="shared" si="19"/>
        <v>0</v>
      </c>
      <c r="O133" s="24">
        <f t="shared" si="20"/>
        <v>0</v>
      </c>
      <c r="P133" s="24">
        <f t="shared" si="21"/>
        <v>0</v>
      </c>
      <c r="Q133" s="24">
        <f>_xlfn.IFNA(VLOOKUP("1201-"&amp;L133,'All Costing'!$AB:$AC,2,FALSE),C133)</f>
        <v>0</v>
      </c>
      <c r="R133" s="24">
        <f>_xlfn.IFNA(VLOOKUP("1204-"&amp;L133,'All Costing'!$AB:$AC,2,FALSE),C133)</f>
        <v>0</v>
      </c>
      <c r="S133">
        <f>_xlfn.IFNA(VLOOKUP("1205-"&amp;L133,'All Costing'!$AB:$AC,2,FALSE),C133)</f>
        <v>0</v>
      </c>
      <c r="T133">
        <f>_xlfn.IFNA(VLOOKUP("1206-"&amp;L133,'All Costing'!$AB:$AC,2,FALSE),C133)</f>
        <v>0</v>
      </c>
    </row>
    <row r="134" spans="1:20">
      <c r="A134" s="127" t="s">
        <v>475</v>
      </c>
      <c r="B134" s="132">
        <v>0</v>
      </c>
      <c r="C134" s="125"/>
      <c r="D134" s="125"/>
      <c r="E134" s="125"/>
      <c r="F134" s="125"/>
      <c r="G134" s="129">
        <f t="shared" si="15"/>
        <v>0</v>
      </c>
      <c r="H134" s="125">
        <f t="shared" si="16"/>
        <v>0</v>
      </c>
      <c r="I134" s="24">
        <f t="shared" si="17"/>
        <v>0</v>
      </c>
      <c r="K134">
        <f t="shared" ref="K134:K140" si="22">ROW(A134)</f>
        <v>134</v>
      </c>
      <c r="L134" t="s">
        <v>531</v>
      </c>
      <c r="M134" s="24">
        <f t="shared" si="18"/>
        <v>0</v>
      </c>
      <c r="N134" s="24">
        <f t="shared" si="19"/>
        <v>0</v>
      </c>
      <c r="O134" s="24">
        <f t="shared" si="20"/>
        <v>0</v>
      </c>
      <c r="P134" s="24">
        <f t="shared" si="21"/>
        <v>0</v>
      </c>
      <c r="Q134" s="24">
        <f>_xlfn.IFNA(VLOOKUP("1201-"&amp;L134,'All Costing'!$AB:$AC,2,FALSE),C134)</f>
        <v>0</v>
      </c>
      <c r="R134" s="24">
        <f>_xlfn.IFNA(VLOOKUP("1204-"&amp;L134,'All Costing'!$AB:$AC,2,FALSE),C134)</f>
        <v>0</v>
      </c>
      <c r="S134">
        <f>_xlfn.IFNA(VLOOKUP("1205-"&amp;L134,'All Costing'!$AB:$AC,2,FALSE),C134)</f>
        <v>0</v>
      </c>
      <c r="T134">
        <f>_xlfn.IFNA(VLOOKUP("1206-"&amp;L134,'All Costing'!$AB:$AC,2,FALSE),C134)</f>
        <v>0</v>
      </c>
    </row>
    <row r="135" spans="1:20">
      <c r="A135" s="127" t="s">
        <v>476</v>
      </c>
      <c r="B135" s="132">
        <v>0</v>
      </c>
      <c r="C135" s="125"/>
      <c r="D135" s="125"/>
      <c r="E135" s="125"/>
      <c r="F135" s="125"/>
      <c r="G135" s="129">
        <f t="shared" si="15"/>
        <v>0</v>
      </c>
      <c r="H135" s="125">
        <f t="shared" si="16"/>
        <v>0</v>
      </c>
      <c r="I135" s="24">
        <f t="shared" si="17"/>
        <v>0</v>
      </c>
      <c r="K135">
        <f t="shared" si="22"/>
        <v>135</v>
      </c>
      <c r="L135" t="s">
        <v>531</v>
      </c>
      <c r="M135" s="24">
        <f t="shared" si="18"/>
        <v>0</v>
      </c>
      <c r="N135" s="24">
        <f t="shared" si="19"/>
        <v>0</v>
      </c>
      <c r="O135" s="24">
        <f t="shared" si="20"/>
        <v>0</v>
      </c>
      <c r="P135" s="24">
        <f t="shared" si="21"/>
        <v>0</v>
      </c>
      <c r="Q135" s="24">
        <f>_xlfn.IFNA(VLOOKUP("1201-"&amp;L135,'All Costing'!$AB:$AC,2,FALSE),C135)</f>
        <v>0</v>
      </c>
      <c r="R135" s="24">
        <f>_xlfn.IFNA(VLOOKUP("1204-"&amp;L135,'All Costing'!$AB:$AC,2,FALSE),C135)</f>
        <v>0</v>
      </c>
      <c r="S135">
        <f>_xlfn.IFNA(VLOOKUP("1205-"&amp;L135,'All Costing'!$AB:$AC,2,FALSE),C135)</f>
        <v>0</v>
      </c>
      <c r="T135">
        <f>_xlfn.IFNA(VLOOKUP("1206-"&amp;L135,'All Costing'!$AB:$AC,2,FALSE),C135)</f>
        <v>0</v>
      </c>
    </row>
    <row r="136" spans="1:20">
      <c r="A136" s="133" t="s">
        <v>477</v>
      </c>
      <c r="B136" s="134">
        <f>SUM(B118:B135)</f>
        <v>35000</v>
      </c>
      <c r="C136" s="134">
        <f>SUM(C118:C135)</f>
        <v>591.97</v>
      </c>
      <c r="D136" s="134">
        <f>SUM(D118:D135)</f>
        <v>68.7</v>
      </c>
      <c r="E136" s="134">
        <f>SUM(E118:E135)</f>
        <v>198.03</v>
      </c>
      <c r="F136" s="134">
        <f>SUM(F118:F135)</f>
        <v>0.44</v>
      </c>
      <c r="G136" s="129">
        <f>H136/$H$10</f>
        <v>1.9371369587441283E-3</v>
      </c>
      <c r="H136" s="123">
        <f t="shared" si="16"/>
        <v>859.1400000000001</v>
      </c>
      <c r="I136" s="24">
        <f t="shared" si="17"/>
        <v>-34140.86</v>
      </c>
      <c r="K136">
        <f t="shared" si="22"/>
        <v>136</v>
      </c>
      <c r="L136" t="s">
        <v>531</v>
      </c>
      <c r="M136" s="24">
        <f t="shared" si="18"/>
        <v>591.97</v>
      </c>
      <c r="N136" s="24">
        <f t="shared" si="19"/>
        <v>68.7</v>
      </c>
      <c r="O136" s="24">
        <f t="shared" si="20"/>
        <v>198.03</v>
      </c>
      <c r="P136" s="24">
        <f t="shared" si="21"/>
        <v>0.44</v>
      </c>
      <c r="Q136" s="24">
        <f>_xlfn.IFNA(VLOOKUP("1201-"&amp;L136,'All Costing'!$AB:$AC,2,FALSE),C136)</f>
        <v>591.97</v>
      </c>
      <c r="R136" s="24">
        <f>_xlfn.IFNA(VLOOKUP("1204-"&amp;L136,'All Costing'!$AB:$AC,2,FALSE),C136)</f>
        <v>591.97</v>
      </c>
      <c r="S136">
        <f>_xlfn.IFNA(VLOOKUP("1205-"&amp;L136,'All Costing'!$AB:$AC,2,FALSE),C136)</f>
        <v>591.97</v>
      </c>
      <c r="T136">
        <f>_xlfn.IFNA(VLOOKUP("1206-"&amp;L136,'All Costing'!$AB:$AC,2,FALSE),C136)</f>
        <v>591.97</v>
      </c>
    </row>
    <row r="137" spans="1:20">
      <c r="A137" s="137" t="s">
        <v>478</v>
      </c>
      <c r="B137" s="134">
        <f>B115+B136</f>
        <v>35000</v>
      </c>
      <c r="C137" s="134">
        <f>C115+C136</f>
        <v>591.97</v>
      </c>
      <c r="D137" s="134">
        <f>D115+D136</f>
        <v>68.7</v>
      </c>
      <c r="E137" s="134">
        <f>E115+E136</f>
        <v>198.03</v>
      </c>
      <c r="F137" s="134">
        <f>F115+F136</f>
        <v>0.44</v>
      </c>
      <c r="G137" s="129">
        <f>H137/$H$10</f>
        <v>1.9371369587441283E-3</v>
      </c>
      <c r="H137" s="123">
        <f t="shared" si="16"/>
        <v>859.1400000000001</v>
      </c>
      <c r="I137" s="24">
        <f t="shared" si="17"/>
        <v>-34140.86</v>
      </c>
      <c r="K137">
        <f t="shared" si="22"/>
        <v>137</v>
      </c>
      <c r="L137" t="s">
        <v>531</v>
      </c>
      <c r="M137" s="24">
        <f t="shared" si="18"/>
        <v>591.97</v>
      </c>
      <c r="N137" s="24">
        <f t="shared" si="19"/>
        <v>68.7</v>
      </c>
      <c r="O137" s="24">
        <f t="shared" si="20"/>
        <v>198.03</v>
      </c>
      <c r="P137" s="24">
        <f t="shared" si="21"/>
        <v>0.44</v>
      </c>
      <c r="Q137" s="24">
        <f>_xlfn.IFNA(VLOOKUP("1201-"&amp;L137,'All Costing'!$AB:$AC,2,FALSE),C137)</f>
        <v>591.97</v>
      </c>
      <c r="R137" s="24">
        <f>_xlfn.IFNA(VLOOKUP("1204-"&amp;L137,'All Costing'!$AB:$AC,2,FALSE),C137)</f>
        <v>591.97</v>
      </c>
      <c r="S137">
        <f>_xlfn.IFNA(VLOOKUP("1205-"&amp;L137,'All Costing'!$AB:$AC,2,FALSE),C137)</f>
        <v>591.97</v>
      </c>
      <c r="T137">
        <f>_xlfn.IFNA(VLOOKUP("1206-"&amp;L137,'All Costing'!$AB:$AC,2,FALSE),C137)</f>
        <v>591.97</v>
      </c>
    </row>
    <row r="138" spans="1:20" ht="6" customHeight="1">
      <c r="A138" s="192"/>
      <c r="B138" s="192"/>
      <c r="C138" s="192"/>
      <c r="D138" s="192"/>
      <c r="E138" s="192"/>
      <c r="F138" s="192"/>
      <c r="G138" s="192"/>
      <c r="H138" s="192"/>
      <c r="I138" s="24">
        <f t="shared" si="17"/>
        <v>0</v>
      </c>
      <c r="Q138" s="24">
        <f>_xlfn.IFNA(VLOOKUP("1201-"&amp;L138,'All Costing'!$AB:$AC,2,FALSE),C138)</f>
        <v>0</v>
      </c>
      <c r="R138" s="24">
        <f>_xlfn.IFNA(VLOOKUP("1204-"&amp;L138,'All Costing'!$AB:$AC,2,FALSE),C138)</f>
        <v>0</v>
      </c>
      <c r="S138">
        <f>_xlfn.IFNA(VLOOKUP("1205-"&amp;L138,'All Costing'!$AB:$AC,2,FALSE),C138)</f>
        <v>0</v>
      </c>
      <c r="T138">
        <f>_xlfn.IFNA(VLOOKUP("1206-"&amp;L138,'All Costing'!$AB:$AC,2,FALSE),C138)</f>
        <v>0</v>
      </c>
    </row>
    <row r="139" spans="1:20">
      <c r="A139" s="115" t="s">
        <v>479</v>
      </c>
      <c r="B139" s="116">
        <f>B14+B39+B99+B137</f>
        <v>2174779.3797200001</v>
      </c>
      <c r="C139" s="116">
        <f>C14+C39+C99+C137</f>
        <v>343522.27199999994</v>
      </c>
      <c r="D139" s="116">
        <f>D14+D39+D99+D137</f>
        <v>62125.13</v>
      </c>
      <c r="E139" s="116">
        <f>E14+E39+E99+E137</f>
        <v>46698.159999999996</v>
      </c>
      <c r="F139" s="116">
        <f>F14+F39+F99+F137</f>
        <v>25115.429999999997</v>
      </c>
      <c r="G139" s="117">
        <f>H139/$H$10</f>
        <v>1.0765501943360041</v>
      </c>
      <c r="H139" s="116">
        <f>H14+H39+H99+H137</f>
        <v>477460.99200000003</v>
      </c>
      <c r="I139" s="24">
        <f t="shared" si="17"/>
        <v>-1697318.38772</v>
      </c>
      <c r="Q139" s="24">
        <f>_xlfn.IFNA(VLOOKUP("1201-"&amp;L139,'All Costing'!$AB:$AC,2,FALSE),C139)</f>
        <v>343522.27199999994</v>
      </c>
      <c r="R139" s="24">
        <f>_xlfn.IFNA(VLOOKUP("1204-"&amp;L139,'All Costing'!$AB:$AC,2,FALSE),C139)</f>
        <v>343522.27199999994</v>
      </c>
      <c r="S139">
        <f>_xlfn.IFNA(VLOOKUP("1205-"&amp;L139,'All Costing'!$AB:$AC,2,FALSE),C139)</f>
        <v>343522.27199999994</v>
      </c>
      <c r="T139">
        <f>_xlfn.IFNA(VLOOKUP("1206-"&amp;L139,'All Costing'!$AB:$AC,2,FALSE),C139)</f>
        <v>343522.27199999994</v>
      </c>
    </row>
    <row r="140" spans="1:20">
      <c r="A140" s="112" t="s">
        <v>480</v>
      </c>
      <c r="B140" s="113">
        <f>B10-B139</f>
        <v>-58146.039720000234</v>
      </c>
      <c r="C140" s="113">
        <f t="shared" ref="C140:H140" si="23">C10-C139</f>
        <v>99987.928000000073</v>
      </c>
      <c r="D140" s="113">
        <f t="shared" si="23"/>
        <v>-62125.13</v>
      </c>
      <c r="E140" s="113">
        <f t="shared" si="23"/>
        <v>-46698.159999999996</v>
      </c>
      <c r="F140" s="113">
        <f t="shared" si="23"/>
        <v>-25115.429999999997</v>
      </c>
      <c r="G140" s="114">
        <f>H140/$H$10</f>
        <v>-7.6550194336004032E-2</v>
      </c>
      <c r="H140" s="113">
        <f t="shared" si="23"/>
        <v>-33950.792000000016</v>
      </c>
      <c r="I140" s="24">
        <f t="shared" si="17"/>
        <v>24195.247720000218</v>
      </c>
      <c r="Q140" s="24">
        <f>_xlfn.IFNA(VLOOKUP("1201-"&amp;L140,'All Costing'!$AB:$AC,2,FALSE),C140)</f>
        <v>99987.928000000073</v>
      </c>
      <c r="R140" s="24">
        <f>_xlfn.IFNA(VLOOKUP("1204-"&amp;L140,'All Costing'!$AB:$AC,2,FALSE),C140)</f>
        <v>99987.928000000073</v>
      </c>
      <c r="S140">
        <f>_xlfn.IFNA(VLOOKUP("1205-"&amp;L140,'All Costing'!$AB:$AC,2,FALSE),C140)</f>
        <v>99987.928000000073</v>
      </c>
      <c r="T140">
        <f>_xlfn.IFNA(VLOOKUP("1206-"&amp;L140,'All Costing'!$AB:$AC,2,FALSE),C140)</f>
        <v>99987.928000000073</v>
      </c>
    </row>
    <row r="141" spans="1:20" ht="15.75">
      <c r="A141" s="25"/>
    </row>
    <row r="142" spans="1:20" ht="15.75">
      <c r="A142" s="26"/>
    </row>
    <row r="143" spans="1:20" ht="15.75">
      <c r="A143" s="26"/>
    </row>
    <row r="144" spans="1:20" ht="15.75">
      <c r="A144" s="26"/>
    </row>
    <row r="145" spans="1:1" ht="15.75">
      <c r="A145" s="1"/>
    </row>
    <row r="146" spans="1:1" ht="15.75">
      <c r="A146" s="1"/>
    </row>
  </sheetData>
  <autoFilter ref="A4:Q140" xr:uid="{FA13EED4-3901-479A-BE84-62A55ED5A4F3}"/>
  <mergeCells count="4">
    <mergeCell ref="A1:H1"/>
    <mergeCell ref="A2:H2"/>
    <mergeCell ref="C3:G3"/>
    <mergeCell ref="A138:H138"/>
  </mergeCells>
  <conditionalFormatting sqref="L1:L1048576">
    <cfRule type="duplicateValues" dxfId="0" priority="1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topLeftCell="A104" workbookViewId="0">
      <selection activeCell="B117" sqref="B11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215" t="s">
        <v>543</v>
      </c>
      <c r="B1" s="215" t="s">
        <v>542</v>
      </c>
    </row>
    <row r="2" spans="1:2">
      <c r="A2">
        <v>5</v>
      </c>
      <c r="B2" t="s">
        <v>531</v>
      </c>
    </row>
    <row r="3" spans="1:2">
      <c r="A3">
        <v>6</v>
      </c>
      <c r="B3" t="s">
        <v>531</v>
      </c>
    </row>
    <row r="4" spans="1:2">
      <c r="A4">
        <v>7</v>
      </c>
      <c r="B4" t="s">
        <v>531</v>
      </c>
    </row>
    <row r="5" spans="1:2">
      <c r="A5">
        <v>8</v>
      </c>
      <c r="B5" t="s">
        <v>531</v>
      </c>
    </row>
    <row r="6" spans="1:2">
      <c r="A6">
        <v>9</v>
      </c>
      <c r="B6" t="s">
        <v>531</v>
      </c>
    </row>
    <row r="7" spans="1:2">
      <c r="A7">
        <v>10</v>
      </c>
      <c r="B7" t="s">
        <v>531</v>
      </c>
    </row>
    <row r="8" spans="1:2">
      <c r="A8">
        <v>11</v>
      </c>
      <c r="B8" t="s">
        <v>531</v>
      </c>
    </row>
    <row r="9" spans="1:2">
      <c r="A9">
        <v>12</v>
      </c>
      <c r="B9" t="s">
        <v>531</v>
      </c>
    </row>
    <row r="10" spans="1:2">
      <c r="A10">
        <v>13</v>
      </c>
      <c r="B10" t="s">
        <v>531</v>
      </c>
    </row>
    <row r="11" spans="1:2">
      <c r="A11">
        <v>14</v>
      </c>
      <c r="B11" t="s">
        <v>531</v>
      </c>
    </row>
    <row r="12" spans="1:2">
      <c r="A12">
        <v>15</v>
      </c>
      <c r="B12" t="s">
        <v>531</v>
      </c>
    </row>
    <row r="13" spans="1:2">
      <c r="A13">
        <v>16</v>
      </c>
      <c r="B13" t="s">
        <v>531</v>
      </c>
    </row>
    <row r="14" spans="1:2">
      <c r="A14">
        <v>17</v>
      </c>
      <c r="B14" t="s">
        <v>94</v>
      </c>
    </row>
    <row r="15" spans="1:2">
      <c r="A15">
        <v>18</v>
      </c>
      <c r="B15" t="s">
        <v>531</v>
      </c>
    </row>
    <row r="16" spans="1:2">
      <c r="A16">
        <v>19</v>
      </c>
      <c r="B16" t="s">
        <v>531</v>
      </c>
    </row>
    <row r="17" spans="1:2">
      <c r="A17">
        <v>20</v>
      </c>
      <c r="B17" t="s">
        <v>531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531</v>
      </c>
    </row>
    <row r="20" spans="1:2">
      <c r="A20">
        <v>23</v>
      </c>
      <c r="B20" t="s">
        <v>91</v>
      </c>
    </row>
    <row r="21" spans="1:2">
      <c r="A21">
        <v>24</v>
      </c>
      <c r="B21" t="s">
        <v>531</v>
      </c>
    </row>
    <row r="22" spans="1:2">
      <c r="A22">
        <v>25</v>
      </c>
      <c r="B22" t="s">
        <v>531</v>
      </c>
    </row>
    <row r="23" spans="1:2">
      <c r="A23">
        <v>26</v>
      </c>
      <c r="B23" t="s">
        <v>531</v>
      </c>
    </row>
    <row r="24" spans="1:2">
      <c r="A24">
        <v>27</v>
      </c>
      <c r="B24" t="s">
        <v>152</v>
      </c>
    </row>
    <row r="25" spans="1:2">
      <c r="A25">
        <v>28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  <c r="B29" t="s">
        <v>531</v>
      </c>
    </row>
    <row r="30" spans="1:2">
      <c r="A30">
        <v>33</v>
      </c>
      <c r="B30" t="s">
        <v>531</v>
      </c>
    </row>
    <row r="31" spans="1:2">
      <c r="A31">
        <v>34</v>
      </c>
      <c r="B31" t="s">
        <v>531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  <c r="B34" t="s">
        <v>531</v>
      </c>
    </row>
    <row r="35" spans="1:2">
      <c r="A35">
        <v>38</v>
      </c>
      <c r="B35" t="s">
        <v>531</v>
      </c>
    </row>
    <row r="36" spans="1:2">
      <c r="A36">
        <v>39</v>
      </c>
      <c r="B36" t="s">
        <v>531</v>
      </c>
    </row>
    <row r="37" spans="1:2">
      <c r="A37">
        <v>40</v>
      </c>
      <c r="B37" t="s">
        <v>531</v>
      </c>
    </row>
    <row r="38" spans="1:2">
      <c r="A38">
        <v>41</v>
      </c>
      <c r="B38" t="s">
        <v>531</v>
      </c>
    </row>
    <row r="39" spans="1:2">
      <c r="A39">
        <v>42</v>
      </c>
      <c r="B39" t="s">
        <v>531</v>
      </c>
    </row>
    <row r="40" spans="1:2">
      <c r="A40">
        <v>43</v>
      </c>
      <c r="B40" t="s">
        <v>531</v>
      </c>
    </row>
    <row r="41" spans="1:2">
      <c r="A41">
        <v>44</v>
      </c>
      <c r="B41" t="s">
        <v>531</v>
      </c>
    </row>
    <row r="42" spans="1:2">
      <c r="A42">
        <v>45</v>
      </c>
      <c r="B42" t="s">
        <v>531</v>
      </c>
    </row>
    <row r="43" spans="1:2">
      <c r="A43">
        <v>46</v>
      </c>
      <c r="B43" t="s">
        <v>531</v>
      </c>
    </row>
    <row r="44" spans="1:2">
      <c r="A44">
        <v>47</v>
      </c>
      <c r="B44" t="s">
        <v>57</v>
      </c>
    </row>
    <row r="45" spans="1:2">
      <c r="A45">
        <v>48</v>
      </c>
      <c r="B45" t="s">
        <v>531</v>
      </c>
    </row>
    <row r="46" spans="1:2">
      <c r="A46">
        <v>49</v>
      </c>
      <c r="B46" t="s">
        <v>31</v>
      </c>
    </row>
    <row r="47" spans="1:2">
      <c r="A47">
        <v>50</v>
      </c>
      <c r="B47" t="s">
        <v>531</v>
      </c>
    </row>
    <row r="48" spans="1:2">
      <c r="A48">
        <v>51</v>
      </c>
      <c r="B48" t="s">
        <v>10</v>
      </c>
    </row>
    <row r="49" spans="1:2">
      <c r="A49">
        <v>52</v>
      </c>
      <c r="B49" t="s">
        <v>531</v>
      </c>
    </row>
    <row r="50" spans="1:2">
      <c r="A50">
        <v>53</v>
      </c>
      <c r="B50" t="s">
        <v>531</v>
      </c>
    </row>
    <row r="51" spans="1:2">
      <c r="A51">
        <v>54</v>
      </c>
      <c r="B51" t="s">
        <v>531</v>
      </c>
    </row>
    <row r="52" spans="1:2">
      <c r="A52">
        <v>55</v>
      </c>
      <c r="B52" t="s">
        <v>531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531</v>
      </c>
    </row>
    <row r="56" spans="1:2">
      <c r="A56">
        <v>59</v>
      </c>
      <c r="B56" t="s">
        <v>531</v>
      </c>
    </row>
    <row r="57" spans="1:2">
      <c r="A57">
        <v>60</v>
      </c>
      <c r="B57" t="s">
        <v>531</v>
      </c>
    </row>
    <row r="58" spans="1:2">
      <c r="A58">
        <v>61</v>
      </c>
      <c r="B58" t="s">
        <v>531</v>
      </c>
    </row>
    <row r="59" spans="1:2">
      <c r="A59">
        <v>62</v>
      </c>
      <c r="B59" t="s">
        <v>531</v>
      </c>
    </row>
    <row r="60" spans="1:2">
      <c r="A60">
        <v>63</v>
      </c>
      <c r="B60" t="s">
        <v>144</v>
      </c>
    </row>
    <row r="61" spans="1:2">
      <c r="A61">
        <v>64</v>
      </c>
      <c r="B61" t="s">
        <v>531</v>
      </c>
    </row>
    <row r="62" spans="1:2">
      <c r="A62">
        <v>65</v>
      </c>
      <c r="B62" t="s">
        <v>531</v>
      </c>
    </row>
    <row r="63" spans="1:2">
      <c r="A63">
        <v>66</v>
      </c>
      <c r="B63" t="s">
        <v>531</v>
      </c>
    </row>
    <row r="64" spans="1:2">
      <c r="A64">
        <v>67</v>
      </c>
    </row>
    <row r="65" spans="1:2">
      <c r="A65">
        <v>68</v>
      </c>
      <c r="B65" t="s">
        <v>531</v>
      </c>
    </row>
    <row r="66" spans="1:2">
      <c r="A66">
        <v>69</v>
      </c>
    </row>
    <row r="67" spans="1:2">
      <c r="A67">
        <v>70</v>
      </c>
    </row>
    <row r="68" spans="1:2">
      <c r="A68">
        <v>71</v>
      </c>
      <c r="B68" t="s">
        <v>531</v>
      </c>
    </row>
    <row r="69" spans="1:2">
      <c r="A69">
        <v>72</v>
      </c>
      <c r="B69" t="s">
        <v>531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531</v>
      </c>
    </row>
    <row r="72" spans="1:2">
      <c r="A72">
        <v>75</v>
      </c>
      <c r="B72" t="s">
        <v>89</v>
      </c>
    </row>
    <row r="73" spans="1:2">
      <c r="A73">
        <v>76</v>
      </c>
      <c r="B73" t="s">
        <v>531</v>
      </c>
    </row>
    <row r="74" spans="1:2">
      <c r="A74">
        <v>77</v>
      </c>
      <c r="B74" t="s">
        <v>531</v>
      </c>
    </row>
    <row r="75" spans="1:2">
      <c r="A75">
        <v>78</v>
      </c>
      <c r="B75" t="s">
        <v>531</v>
      </c>
    </row>
    <row r="76" spans="1:2">
      <c r="A76">
        <v>79</v>
      </c>
      <c r="B76" t="s">
        <v>531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531</v>
      </c>
    </row>
    <row r="81" spans="1:2">
      <c r="A81">
        <v>84</v>
      </c>
      <c r="B81" t="s">
        <v>531</v>
      </c>
    </row>
    <row r="82" spans="1:2">
      <c r="A82">
        <v>85</v>
      </c>
      <c r="B82" t="s">
        <v>531</v>
      </c>
    </row>
    <row r="83" spans="1:2">
      <c r="A83">
        <v>86</v>
      </c>
      <c r="B83" t="s">
        <v>68</v>
      </c>
    </row>
    <row r="84" spans="1:2">
      <c r="A84">
        <v>87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531</v>
      </c>
    </row>
    <row r="90" spans="1:2">
      <c r="A90">
        <v>93</v>
      </c>
      <c r="B90" t="s">
        <v>531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531</v>
      </c>
    </row>
    <row r="95" spans="1:2">
      <c r="A95">
        <v>98</v>
      </c>
      <c r="B95" t="s">
        <v>531</v>
      </c>
    </row>
    <row r="96" spans="1:2">
      <c r="A96">
        <v>99</v>
      </c>
      <c r="B96" t="s">
        <v>531</v>
      </c>
    </row>
    <row r="97" spans="1:2">
      <c r="A97">
        <v>100</v>
      </c>
      <c r="B97" t="s">
        <v>531</v>
      </c>
    </row>
    <row r="98" spans="1:2">
      <c r="A98">
        <v>101</v>
      </c>
      <c r="B98" t="s">
        <v>531</v>
      </c>
    </row>
    <row r="99" spans="1:2">
      <c r="A99">
        <v>102</v>
      </c>
      <c r="B99" t="s">
        <v>531</v>
      </c>
    </row>
    <row r="100" spans="1:2">
      <c r="A100">
        <v>103</v>
      </c>
      <c r="B100" t="s">
        <v>531</v>
      </c>
    </row>
    <row r="101" spans="1:2">
      <c r="A101">
        <v>104</v>
      </c>
      <c r="B101" t="s">
        <v>531</v>
      </c>
    </row>
    <row r="102" spans="1:2">
      <c r="A102">
        <v>105</v>
      </c>
      <c r="B102" t="s">
        <v>531</v>
      </c>
    </row>
    <row r="103" spans="1:2">
      <c r="A103">
        <v>106</v>
      </c>
      <c r="B103" t="s">
        <v>531</v>
      </c>
    </row>
    <row r="104" spans="1:2">
      <c r="A104">
        <v>107</v>
      </c>
      <c r="B104" t="s">
        <v>531</v>
      </c>
    </row>
    <row r="105" spans="1:2">
      <c r="A105">
        <v>108</v>
      </c>
      <c r="B105" t="s">
        <v>531</v>
      </c>
    </row>
    <row r="106" spans="1:2">
      <c r="A106">
        <v>109</v>
      </c>
      <c r="B106" t="s">
        <v>531</v>
      </c>
    </row>
    <row r="107" spans="1:2">
      <c r="A107">
        <v>110</v>
      </c>
      <c r="B107" t="s">
        <v>531</v>
      </c>
    </row>
    <row r="108" spans="1:2">
      <c r="A108">
        <v>111</v>
      </c>
      <c r="B108" t="s">
        <v>531</v>
      </c>
    </row>
    <row r="109" spans="1:2">
      <c r="A109">
        <v>112</v>
      </c>
      <c r="B109" t="s">
        <v>531</v>
      </c>
    </row>
    <row r="110" spans="1:2">
      <c r="A110">
        <v>113</v>
      </c>
      <c r="B110" t="s">
        <v>531</v>
      </c>
    </row>
    <row r="111" spans="1:2">
      <c r="A111">
        <v>114</v>
      </c>
      <c r="B111" t="s">
        <v>531</v>
      </c>
    </row>
    <row r="112" spans="1:2">
      <c r="A112">
        <v>115</v>
      </c>
      <c r="B112" t="s">
        <v>531</v>
      </c>
    </row>
    <row r="113" spans="1:2">
      <c r="A113">
        <v>116</v>
      </c>
      <c r="B113" t="s">
        <v>531</v>
      </c>
    </row>
    <row r="114" spans="1:2">
      <c r="A114">
        <v>117</v>
      </c>
      <c r="B114" t="s">
        <v>531</v>
      </c>
    </row>
    <row r="115" spans="1:2">
      <c r="A115">
        <v>118</v>
      </c>
      <c r="B115" t="s">
        <v>531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531</v>
      </c>
    </row>
    <row r="118" spans="1:2">
      <c r="A118">
        <v>121</v>
      </c>
      <c r="B118" t="s">
        <v>531</v>
      </c>
    </row>
    <row r="119" spans="1:2">
      <c r="A119">
        <v>122</v>
      </c>
      <c r="B119" t="s">
        <v>531</v>
      </c>
    </row>
    <row r="120" spans="1:2">
      <c r="A120">
        <v>123</v>
      </c>
      <c r="B120" t="s">
        <v>531</v>
      </c>
    </row>
    <row r="121" spans="1:2">
      <c r="A121">
        <v>124</v>
      </c>
      <c r="B121" t="s">
        <v>531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531</v>
      </c>
    </row>
    <row r="124" spans="1:2">
      <c r="A124">
        <v>127</v>
      </c>
      <c r="B124" t="s">
        <v>531</v>
      </c>
    </row>
    <row r="125" spans="1:2">
      <c r="A125">
        <v>128</v>
      </c>
      <c r="B125" t="s">
        <v>531</v>
      </c>
    </row>
    <row r="126" spans="1:2">
      <c r="A126">
        <v>129</v>
      </c>
      <c r="B126" t="s">
        <v>531</v>
      </c>
    </row>
    <row r="127" spans="1:2">
      <c r="A127">
        <v>130</v>
      </c>
      <c r="B127" t="s">
        <v>531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531</v>
      </c>
    </row>
    <row r="130" spans="1:2">
      <c r="A130">
        <v>133</v>
      </c>
      <c r="B130" t="s">
        <v>531</v>
      </c>
    </row>
    <row r="131" spans="1:2">
      <c r="A131">
        <v>134</v>
      </c>
      <c r="B131" t="s">
        <v>531</v>
      </c>
    </row>
    <row r="132" spans="1:2">
      <c r="A132">
        <v>135</v>
      </c>
      <c r="B132" t="s">
        <v>531</v>
      </c>
    </row>
    <row r="133" spans="1:2">
      <c r="A133">
        <v>136</v>
      </c>
      <c r="B133" t="s">
        <v>531</v>
      </c>
    </row>
    <row r="134" spans="1:2">
      <c r="A134">
        <v>137</v>
      </c>
      <c r="B134" t="s">
        <v>531</v>
      </c>
    </row>
  </sheetData>
  <autoFilter ref="A1:B33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temp_laporan1</vt:lpstr>
      <vt:lpstr>Material_Cost</vt:lpstr>
      <vt:lpstr>All Costing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2024-02-22T09:28:00Z</dcterms:modified>
</cp:coreProperties>
</file>