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2)\"/>
    </mc:Choice>
  </mc:AlternateContent>
  <xr:revisionPtr revIDLastSave="0" documentId="13_ncr:1_{CDC84FE3-121F-40AC-A6FD-F2D018F41345}" xr6:coauthVersionLast="47" xr6:coauthVersionMax="47" xr10:uidLastSave="{00000000-0000-0000-0000-000000000000}"/>
  <bookViews>
    <workbookView xWindow="-120" yWindow="-120" windowWidth="20640" windowHeight="11160" firstSheet="1" activeTab="1" xr2:uid="{00000000-000D-0000-FFFF-FFFF00000000}"/>
  </bookViews>
  <sheets>
    <sheet name="Ref_Factory" sheetId="9" state="hidden" r:id="rId1"/>
    <sheet name="temp1" sheetId="14" r:id="rId2"/>
    <sheet name="Ref1" sheetId="10" r:id="rId3"/>
    <sheet name="(HOME)" sheetId="11" r:id="rId4"/>
    <sheet name="NOT FOUND" sheetId="13" r:id="rId5"/>
    <sheet name="All Costing" sheetId="1" r:id="rId6"/>
    <sheet name="Resume" sheetId="12" r:id="rId7"/>
    <sheet name="AsepA" sheetId="2" r:id="rId8"/>
    <sheet name="Choer" sheetId="3" r:id="rId9"/>
    <sheet name="Fira" sheetId="4" r:id="rId10"/>
    <sheet name="Fung" sheetId="5" r:id="rId11"/>
    <sheet name="Owijaya" sheetId="6" r:id="rId12"/>
    <sheet name="Tony" sheetId="7" r:id="rId13"/>
    <sheet name="Santy" sheetId="8" r:id="rId14"/>
  </sheets>
  <definedNames>
    <definedName name="_xlnm._FilterDatabase" localSheetId="5" hidden="1">'All Costing'!$A$5:$N$164</definedName>
    <definedName name="_xlnm._FilterDatabase" localSheetId="7" hidden="1">AsepA!$A$5:$J$20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1" l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K20" i="1" l="1"/>
  <c r="L20" i="1" s="1"/>
  <c r="K26" i="1"/>
  <c r="L26" i="1" s="1"/>
  <c r="K27" i="1"/>
  <c r="L27" i="1" s="1"/>
  <c r="K28" i="1"/>
  <c r="L28" i="1" s="1"/>
  <c r="K29" i="1"/>
  <c r="L29" i="1" s="1"/>
  <c r="K30" i="1"/>
  <c r="L30" i="1" s="1"/>
  <c r="K31" i="1"/>
  <c r="L31" i="1" s="1"/>
  <c r="K32" i="1"/>
  <c r="L32" i="1" s="1"/>
  <c r="K33" i="1"/>
  <c r="L33" i="1" s="1"/>
  <c r="K34" i="1"/>
  <c r="L34" i="1" s="1"/>
  <c r="K35" i="1"/>
  <c r="L35" i="1" s="1"/>
  <c r="K36" i="1"/>
  <c r="L36" i="1" s="1"/>
  <c r="K37" i="1"/>
  <c r="L37" i="1" s="1"/>
  <c r="K38" i="1"/>
  <c r="L38" i="1" s="1"/>
  <c r="K39" i="1"/>
  <c r="L39" i="1" s="1"/>
  <c r="K40" i="1"/>
  <c r="L40" i="1" s="1"/>
  <c r="K41" i="1"/>
  <c r="L41" i="1" s="1"/>
  <c r="K96" i="1"/>
  <c r="L96" i="1" s="1"/>
  <c r="K118" i="1"/>
  <c r="L118" i="1" s="1"/>
  <c r="K119" i="1"/>
  <c r="L119" i="1" s="1"/>
  <c r="K120" i="1"/>
  <c r="L120" i="1" s="1"/>
  <c r="K121" i="1"/>
  <c r="L121" i="1" s="1"/>
  <c r="K122" i="1"/>
  <c r="L122" i="1" s="1"/>
  <c r="K123" i="1"/>
  <c r="L123" i="1" s="1"/>
  <c r="K124" i="1"/>
  <c r="L124" i="1" s="1"/>
  <c r="K125" i="1"/>
  <c r="L125" i="1" s="1"/>
  <c r="K126" i="1"/>
  <c r="L126" i="1" s="1"/>
  <c r="K127" i="1"/>
  <c r="L127" i="1" s="1"/>
  <c r="K128" i="1"/>
  <c r="L128" i="1" s="1"/>
  <c r="K129" i="1"/>
  <c r="L129" i="1" s="1"/>
  <c r="K130" i="1"/>
  <c r="L130" i="1" s="1"/>
  <c r="K131" i="1"/>
  <c r="L131" i="1" s="1"/>
  <c r="K132" i="1"/>
  <c r="L132" i="1" s="1"/>
  <c r="K133" i="1"/>
  <c r="L133" i="1" s="1"/>
  <c r="K134" i="1"/>
  <c r="L134" i="1" s="1"/>
  <c r="K135" i="1"/>
  <c r="L135" i="1" s="1"/>
  <c r="K136" i="1"/>
  <c r="L136" i="1" s="1"/>
  <c r="K137" i="1"/>
  <c r="L137" i="1" s="1"/>
  <c r="K138" i="1"/>
  <c r="L138" i="1" s="1"/>
  <c r="K139" i="1"/>
  <c r="L139" i="1" s="1"/>
  <c r="K140" i="1"/>
  <c r="L140" i="1" s="1"/>
  <c r="K141" i="1"/>
  <c r="L141" i="1" s="1"/>
  <c r="K142" i="1"/>
  <c r="L142" i="1" s="1"/>
  <c r="K143" i="1"/>
  <c r="L143" i="1" s="1"/>
  <c r="K144" i="1"/>
  <c r="L144" i="1" s="1"/>
  <c r="K145" i="1"/>
  <c r="L145" i="1" s="1"/>
  <c r="K146" i="1"/>
  <c r="L146" i="1" s="1"/>
  <c r="K147" i="1"/>
  <c r="L147" i="1" s="1"/>
  <c r="K148" i="1"/>
  <c r="L148" i="1" s="1"/>
  <c r="K149" i="1"/>
  <c r="L149" i="1" s="1"/>
  <c r="K150" i="1"/>
  <c r="L150" i="1" s="1"/>
  <c r="K151" i="1"/>
  <c r="L151" i="1" s="1"/>
  <c r="K152" i="1"/>
  <c r="L152" i="1" s="1"/>
  <c r="K153" i="1"/>
  <c r="L153" i="1" s="1"/>
  <c r="K154" i="1"/>
  <c r="L154" i="1" s="1"/>
  <c r="K155" i="1"/>
  <c r="L155" i="1" s="1"/>
  <c r="K6" i="1"/>
  <c r="L6" i="1" s="1"/>
  <c r="B10" i="12"/>
  <c r="A13" i="12"/>
  <c r="B4" i="12" s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5" i="1"/>
  <c r="J34" i="1"/>
  <c r="J33" i="1"/>
  <c r="J32" i="1"/>
  <c r="J31" i="1"/>
  <c r="J30" i="1"/>
  <c r="J29" i="1"/>
  <c r="J28" i="1"/>
  <c r="J27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B11" i="12" l="1"/>
  <c r="B9" i="12"/>
  <c r="B8" i="12"/>
  <c r="B7" i="12"/>
  <c r="B6" i="12"/>
  <c r="B3" i="12"/>
  <c r="B5" i="12"/>
  <c r="B12" i="12"/>
  <c r="G16" i="8"/>
  <c r="A7" i="8"/>
  <c r="A8" i="8" s="1"/>
  <c r="A9" i="8" s="1"/>
  <c r="A10" i="8" s="1"/>
  <c r="A11" i="8" s="1"/>
  <c r="A12" i="8" s="1"/>
  <c r="A13" i="8" s="1"/>
  <c r="A14" i="8" s="1"/>
  <c r="A15" i="8" s="1"/>
  <c r="G43" i="7"/>
  <c r="I39" i="7" s="1"/>
  <c r="I11" i="7"/>
  <c r="G61" i="6"/>
  <c r="I33" i="6" s="1"/>
  <c r="A7" i="6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G11" i="5"/>
  <c r="I6" i="5" s="1"/>
  <c r="A8" i="5"/>
  <c r="A9" i="5" s="1"/>
  <c r="A10" i="5" s="1"/>
  <c r="G16" i="4"/>
  <c r="A8" i="4"/>
  <c r="A9" i="4" s="1"/>
  <c r="A10" i="4" s="1"/>
  <c r="A11" i="4" s="1"/>
  <c r="A12" i="4" s="1"/>
  <c r="A13" i="4" s="1"/>
  <c r="A14" i="4" s="1"/>
  <c r="A15" i="4" s="1"/>
  <c r="I6" i="4"/>
  <c r="G12" i="3"/>
  <c r="A7" i="3"/>
  <c r="A8" i="3" s="1"/>
  <c r="A9" i="3" s="1"/>
  <c r="A10" i="3" s="1"/>
  <c r="A11" i="3" s="1"/>
  <c r="H20" i="2"/>
  <c r="G20" i="2"/>
  <c r="I18" i="2" s="1"/>
  <c r="J18" i="2" s="1"/>
  <c r="A7" i="2" a="1"/>
  <c r="I19" i="7" l="1"/>
  <c r="I9" i="5"/>
  <c r="I27" i="7"/>
  <c r="I35" i="7"/>
  <c r="I7" i="7"/>
  <c r="I15" i="7"/>
  <c r="I23" i="7"/>
  <c r="I31" i="7"/>
  <c r="I10" i="6"/>
  <c r="I14" i="6"/>
  <c r="I18" i="6"/>
  <c r="I22" i="6"/>
  <c r="I26" i="6"/>
  <c r="I30" i="6"/>
  <c r="I8" i="6"/>
  <c r="I12" i="6"/>
  <c r="I16" i="6"/>
  <c r="I20" i="6"/>
  <c r="I24" i="6"/>
  <c r="I28" i="6"/>
  <c r="I32" i="6"/>
  <c r="I6" i="6"/>
  <c r="I7" i="6"/>
  <c r="I9" i="6"/>
  <c r="I11" i="6"/>
  <c r="I13" i="6"/>
  <c r="I15" i="6"/>
  <c r="I17" i="6"/>
  <c r="I19" i="6"/>
  <c r="I21" i="6"/>
  <c r="I23" i="6"/>
  <c r="I25" i="6"/>
  <c r="I27" i="6"/>
  <c r="I29" i="6"/>
  <c r="I31" i="6"/>
  <c r="I7" i="5"/>
  <c r="I8" i="5"/>
  <c r="I10" i="5"/>
  <c r="I15" i="8"/>
  <c r="I14" i="8"/>
  <c r="I13" i="8"/>
  <c r="I12" i="8"/>
  <c r="I11" i="8"/>
  <c r="I10" i="8"/>
  <c r="I9" i="8"/>
  <c r="I8" i="8"/>
  <c r="I7" i="8"/>
  <c r="I6" i="8"/>
  <c r="I42" i="7"/>
  <c r="I40" i="7"/>
  <c r="I38" i="7"/>
  <c r="I36" i="7"/>
  <c r="I34" i="7"/>
  <c r="I32" i="7"/>
  <c r="I30" i="7"/>
  <c r="I28" i="7"/>
  <c r="I26" i="7"/>
  <c r="I24" i="7"/>
  <c r="I22" i="7"/>
  <c r="I20" i="7"/>
  <c r="I18" i="7"/>
  <c r="I16" i="7"/>
  <c r="I14" i="7"/>
  <c r="I12" i="7"/>
  <c r="I10" i="7"/>
  <c r="I8" i="7"/>
  <c r="I6" i="7"/>
  <c r="I9" i="7"/>
  <c r="I13" i="7"/>
  <c r="I17" i="7"/>
  <c r="I21" i="7"/>
  <c r="I25" i="7"/>
  <c r="I29" i="7"/>
  <c r="I33" i="7"/>
  <c r="I37" i="7"/>
  <c r="I41" i="7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7" i="4"/>
  <c r="I8" i="4"/>
  <c r="I9" i="4"/>
  <c r="I10" i="4"/>
  <c r="I11" i="4"/>
  <c r="I12" i="4"/>
  <c r="I13" i="4"/>
  <c r="I14" i="4"/>
  <c r="I15" i="4"/>
  <c r="I11" i="3"/>
  <c r="I10" i="3"/>
  <c r="I9" i="3"/>
  <c r="I8" i="3"/>
  <c r="I7" i="3"/>
  <c r="I6" i="3"/>
  <c r="I13" i="2"/>
  <c r="I8" i="2"/>
  <c r="A19" i="2"/>
  <c r="A17" i="2"/>
  <c r="A15" i="2"/>
  <c r="A13" i="2"/>
  <c r="A11" i="2"/>
  <c r="A9" i="2"/>
  <c r="A7" i="2"/>
  <c r="A10" i="2"/>
  <c r="A14" i="2"/>
  <c r="A18" i="2"/>
  <c r="I17" i="2"/>
  <c r="I16" i="2"/>
  <c r="J16" i="2" s="1"/>
  <c r="I15" i="2"/>
  <c r="J15" i="2" s="1"/>
  <c r="I14" i="2"/>
  <c r="J14" i="2" s="1"/>
  <c r="I12" i="2"/>
  <c r="I11" i="2"/>
  <c r="J11" i="2" s="1"/>
  <c r="I10" i="2"/>
  <c r="J10" i="2" s="1"/>
  <c r="I9" i="2"/>
  <c r="J9" i="2" s="1"/>
  <c r="I6" i="2"/>
  <c r="J6" i="2" s="1"/>
  <c r="A8" i="2"/>
  <c r="A12" i="2"/>
  <c r="A16" i="2"/>
  <c r="I7" i="2"/>
  <c r="J7" i="2" s="1"/>
  <c r="I19" i="2"/>
  <c r="J19" i="2" s="1"/>
  <c r="A156" i="1"/>
  <c r="K156" i="1" s="1"/>
  <c r="L156" i="1" s="1"/>
  <c r="A97" i="1"/>
  <c r="K97" i="1" s="1"/>
  <c r="L97" i="1" s="1"/>
  <c r="A42" i="1"/>
  <c r="K42" i="1" s="1"/>
  <c r="L42" i="1" s="1"/>
  <c r="A21" i="1"/>
  <c r="K21" i="1" s="1"/>
  <c r="L21" i="1" s="1"/>
  <c r="A7" i="1" a="1"/>
  <c r="A19" i="1" s="1"/>
  <c r="K19" i="1" s="1"/>
  <c r="L19" i="1" s="1"/>
  <c r="A43" i="1" l="1"/>
  <c r="K43" i="1" s="1"/>
  <c r="L43" i="1" s="1"/>
  <c r="A157" i="1"/>
  <c r="K157" i="1" s="1"/>
  <c r="L157" i="1" s="1"/>
  <c r="A98" i="1"/>
  <c r="K98" i="1" s="1"/>
  <c r="L98" i="1" s="1"/>
  <c r="A22" i="1"/>
  <c r="K22" i="1" s="1"/>
  <c r="L22" i="1" s="1"/>
  <c r="I12" i="3"/>
  <c r="I16" i="8"/>
  <c r="I61" i="6"/>
  <c r="I11" i="5"/>
  <c r="I16" i="4"/>
  <c r="I43" i="7"/>
  <c r="J20" i="2"/>
  <c r="I20" i="2"/>
  <c r="A11" i="1"/>
  <c r="K11" i="1" s="1"/>
  <c r="L11" i="1" s="1"/>
  <c r="A16" i="1"/>
  <c r="K16" i="1" s="1"/>
  <c r="L16" i="1" s="1"/>
  <c r="A12" i="1"/>
  <c r="K12" i="1" s="1"/>
  <c r="L12" i="1" s="1"/>
  <c r="A8" i="1"/>
  <c r="K8" i="1" s="1"/>
  <c r="L8" i="1" s="1"/>
  <c r="A18" i="1"/>
  <c r="K18" i="1" s="1"/>
  <c r="L18" i="1" s="1"/>
  <c r="A13" i="1"/>
  <c r="K13" i="1" s="1"/>
  <c r="L13" i="1" s="1"/>
  <c r="A7" i="1"/>
  <c r="K7" i="1" s="1"/>
  <c r="L7" i="1" s="1"/>
  <c r="A14" i="1"/>
  <c r="K14" i="1" s="1"/>
  <c r="L14" i="1" s="1"/>
  <c r="A9" i="1"/>
  <c r="K9" i="1" s="1"/>
  <c r="L9" i="1" s="1"/>
  <c r="A15" i="1"/>
  <c r="K15" i="1" s="1"/>
  <c r="L15" i="1" s="1"/>
  <c r="A10" i="1"/>
  <c r="K10" i="1" s="1"/>
  <c r="L10" i="1" s="1"/>
  <c r="A17" i="1"/>
  <c r="K17" i="1" s="1"/>
  <c r="L17" i="1" s="1"/>
  <c r="A23" i="1" l="1"/>
  <c r="K23" i="1" s="1"/>
  <c r="L23" i="1" s="1"/>
  <c r="A158" i="1"/>
  <c r="K158" i="1" s="1"/>
  <c r="L158" i="1" s="1"/>
  <c r="A99" i="1"/>
  <c r="K99" i="1" s="1"/>
  <c r="L99" i="1" s="1"/>
  <c r="A44" i="1"/>
  <c r="K44" i="1" s="1"/>
  <c r="L44" i="1" s="1"/>
  <c r="A24" i="1" l="1"/>
  <c r="K24" i="1" s="1"/>
  <c r="L24" i="1" s="1"/>
  <c r="A100" i="1"/>
  <c r="K100" i="1" s="1"/>
  <c r="L100" i="1" s="1"/>
  <c r="A45" i="1"/>
  <c r="K45" i="1" s="1"/>
  <c r="L45" i="1" s="1"/>
  <c r="A159" i="1"/>
  <c r="K159" i="1" s="1"/>
  <c r="L159" i="1" s="1"/>
  <c r="A160" i="1" l="1"/>
  <c r="K160" i="1" s="1"/>
  <c r="L160" i="1" s="1"/>
  <c r="A101" i="1"/>
  <c r="K101" i="1" s="1"/>
  <c r="L101" i="1" s="1"/>
  <c r="A46" i="1"/>
  <c r="K46" i="1" s="1"/>
  <c r="L46" i="1" s="1"/>
  <c r="A25" i="1"/>
  <c r="K25" i="1" s="1"/>
  <c r="L25" i="1" s="1"/>
  <c r="A102" i="1" l="1"/>
  <c r="K102" i="1" s="1"/>
  <c r="L102" i="1" s="1"/>
  <c r="A161" i="1"/>
  <c r="K161" i="1" s="1"/>
  <c r="L161" i="1" s="1"/>
  <c r="A47" i="1"/>
  <c r="K47" i="1" s="1"/>
  <c r="L47" i="1" s="1"/>
  <c r="A48" i="1" l="1"/>
  <c r="K48" i="1" s="1"/>
  <c r="L48" i="1" s="1"/>
  <c r="A162" i="1"/>
  <c r="K162" i="1" s="1"/>
  <c r="L162" i="1" s="1"/>
  <c r="A103" i="1"/>
  <c r="K103" i="1" s="1"/>
  <c r="L103" i="1" s="1"/>
  <c r="A163" i="1" l="1"/>
  <c r="K163" i="1" s="1"/>
  <c r="L163" i="1" s="1"/>
  <c r="A104" i="1"/>
  <c r="K104" i="1" s="1"/>
  <c r="L104" i="1" s="1"/>
  <c r="A49" i="1"/>
  <c r="K49" i="1" s="1"/>
  <c r="L49" i="1" s="1"/>
  <c r="A105" i="1" l="1"/>
  <c r="K105" i="1" s="1"/>
  <c r="L105" i="1" s="1"/>
  <c r="A164" i="1"/>
  <c r="K164" i="1" s="1"/>
  <c r="L164" i="1" s="1"/>
  <c r="A50" i="1"/>
  <c r="K50" i="1" s="1"/>
  <c r="L50" i="1" s="1"/>
  <c r="A51" i="1" l="1"/>
  <c r="K51" i="1" s="1"/>
  <c r="L51" i="1" s="1"/>
  <c r="A106" i="1"/>
  <c r="K106" i="1" s="1"/>
  <c r="L106" i="1" s="1"/>
  <c r="A107" i="1" l="1"/>
  <c r="K107" i="1" s="1"/>
  <c r="L107" i="1" s="1"/>
  <c r="A52" i="1"/>
  <c r="K52" i="1" s="1"/>
  <c r="L52" i="1" s="1"/>
  <c r="A53" i="1" l="1"/>
  <c r="K53" i="1" s="1"/>
  <c r="L53" i="1" s="1"/>
  <c r="A108" i="1"/>
  <c r="K108" i="1" s="1"/>
  <c r="L108" i="1" s="1"/>
  <c r="A109" i="1" l="1"/>
  <c r="K109" i="1" s="1"/>
  <c r="L109" i="1" s="1"/>
  <c r="A54" i="1"/>
  <c r="K54" i="1" s="1"/>
  <c r="L54" i="1" s="1"/>
  <c r="A55" i="1" l="1"/>
  <c r="K55" i="1" s="1"/>
  <c r="L55" i="1" s="1"/>
  <c r="A110" i="1"/>
  <c r="K110" i="1" s="1"/>
  <c r="L110" i="1" s="1"/>
  <c r="A111" i="1" l="1"/>
  <c r="K111" i="1" s="1"/>
  <c r="L111" i="1" s="1"/>
  <c r="A56" i="1"/>
  <c r="K56" i="1" s="1"/>
  <c r="L56" i="1" s="1"/>
  <c r="A57" i="1" l="1"/>
  <c r="K57" i="1" s="1"/>
  <c r="L57" i="1" s="1"/>
  <c r="A112" i="1"/>
  <c r="K112" i="1" s="1"/>
  <c r="L112" i="1" s="1"/>
  <c r="A113" i="1" l="1"/>
  <c r="K113" i="1" s="1"/>
  <c r="L113" i="1" s="1"/>
  <c r="A58" i="1"/>
  <c r="K58" i="1" s="1"/>
  <c r="L58" i="1" s="1"/>
  <c r="A114" i="1" l="1"/>
  <c r="K114" i="1" s="1"/>
  <c r="L114" i="1" s="1"/>
  <c r="A59" i="1"/>
  <c r="K59" i="1" s="1"/>
  <c r="L59" i="1" s="1"/>
  <c r="A60" i="1" l="1"/>
  <c r="K60" i="1" s="1"/>
  <c r="L60" i="1" s="1"/>
  <c r="A115" i="1"/>
  <c r="K115" i="1" s="1"/>
  <c r="L115" i="1" s="1"/>
  <c r="A116" i="1" l="1"/>
  <c r="K116" i="1" s="1"/>
  <c r="L116" i="1" s="1"/>
  <c r="A61" i="1"/>
  <c r="K61" i="1" s="1"/>
  <c r="L61" i="1" s="1"/>
  <c r="A62" i="1" l="1"/>
  <c r="K62" i="1" s="1"/>
  <c r="L62" i="1" s="1"/>
  <c r="A117" i="1"/>
  <c r="K117" i="1" s="1"/>
  <c r="L117" i="1" s="1"/>
  <c r="A63" i="1" l="1"/>
  <c r="K63" i="1" s="1"/>
  <c r="L63" i="1" s="1"/>
  <c r="A64" i="1" l="1"/>
  <c r="K64" i="1" s="1"/>
  <c r="L64" i="1" s="1"/>
  <c r="A65" i="1" l="1"/>
  <c r="K65" i="1" s="1"/>
  <c r="L65" i="1" s="1"/>
  <c r="A66" i="1" l="1"/>
  <c r="K66" i="1" s="1"/>
  <c r="L66" i="1" s="1"/>
  <c r="A67" i="1" l="1"/>
  <c r="K67" i="1" s="1"/>
  <c r="L67" i="1" s="1"/>
  <c r="A68" i="1" l="1"/>
  <c r="K68" i="1" s="1"/>
  <c r="L68" i="1" s="1"/>
  <c r="A69" i="1" l="1"/>
  <c r="K69" i="1" s="1"/>
  <c r="L69" i="1" s="1"/>
  <c r="A70" i="1" l="1"/>
  <c r="K70" i="1" s="1"/>
  <c r="L70" i="1" s="1"/>
  <c r="A71" i="1" l="1"/>
  <c r="K71" i="1" s="1"/>
  <c r="L71" i="1" s="1"/>
  <c r="A72" i="1" l="1"/>
  <c r="K72" i="1" s="1"/>
  <c r="L72" i="1" s="1"/>
  <c r="A73" i="1" l="1"/>
  <c r="K73" i="1" s="1"/>
  <c r="L73" i="1" s="1"/>
  <c r="A74" i="1" l="1"/>
  <c r="K74" i="1" s="1"/>
  <c r="L74" i="1" s="1"/>
  <c r="A75" i="1" l="1"/>
  <c r="K75" i="1" s="1"/>
  <c r="L75" i="1" s="1"/>
  <c r="A76" i="1" l="1"/>
  <c r="K76" i="1" s="1"/>
  <c r="L76" i="1" s="1"/>
  <c r="A77" i="1" l="1"/>
  <c r="K77" i="1" s="1"/>
  <c r="L77" i="1" s="1"/>
  <c r="A78" i="1" l="1"/>
  <c r="K78" i="1" s="1"/>
  <c r="L78" i="1" s="1"/>
  <c r="A79" i="1" l="1"/>
  <c r="K79" i="1" s="1"/>
  <c r="L79" i="1" s="1"/>
  <c r="A80" i="1" l="1"/>
  <c r="K80" i="1" s="1"/>
  <c r="L80" i="1" s="1"/>
  <c r="A81" i="1" l="1"/>
  <c r="K81" i="1" s="1"/>
  <c r="L81" i="1" s="1"/>
  <c r="A82" i="1" l="1"/>
  <c r="K82" i="1" s="1"/>
  <c r="L82" i="1" s="1"/>
  <c r="A83" i="1" l="1"/>
  <c r="K83" i="1" s="1"/>
  <c r="L83" i="1" s="1"/>
  <c r="A84" i="1" l="1"/>
  <c r="K84" i="1" s="1"/>
  <c r="L84" i="1" s="1"/>
  <c r="A85" i="1" l="1"/>
  <c r="K85" i="1" s="1"/>
  <c r="L85" i="1" s="1"/>
  <c r="A86" i="1" l="1"/>
  <c r="K86" i="1" s="1"/>
  <c r="L86" i="1" s="1"/>
  <c r="A87" i="1" l="1"/>
  <c r="K87" i="1" s="1"/>
  <c r="L87" i="1" s="1"/>
  <c r="A88" i="1" l="1"/>
  <c r="K88" i="1" s="1"/>
  <c r="L88" i="1" s="1"/>
  <c r="A89" i="1" l="1"/>
  <c r="K89" i="1" s="1"/>
  <c r="L89" i="1" s="1"/>
  <c r="A90" i="1" l="1"/>
  <c r="K90" i="1" s="1"/>
  <c r="L90" i="1" s="1"/>
  <c r="A91" i="1" l="1"/>
  <c r="K91" i="1" s="1"/>
  <c r="L91" i="1" s="1"/>
  <c r="N86" i="1" l="1"/>
  <c r="A92" i="1"/>
  <c r="K92" i="1" s="1"/>
  <c r="L92" i="1" s="1"/>
  <c r="N89" i="1" l="1"/>
  <c r="N88" i="1"/>
  <c r="N90" i="1"/>
  <c r="N87" i="1"/>
  <c r="N85" i="1"/>
  <c r="N91" i="1"/>
  <c r="N108" i="1"/>
  <c r="N52" i="1"/>
  <c r="N110" i="1"/>
  <c r="N112" i="1"/>
  <c r="N57" i="1"/>
  <c r="N114" i="1"/>
  <c r="N113" i="1"/>
  <c r="N60" i="1"/>
  <c r="N59" i="1"/>
  <c r="N163" i="1"/>
  <c r="N115" i="1"/>
  <c r="N41" i="1"/>
  <c r="N117" i="1"/>
  <c r="N138" i="1"/>
  <c r="N131" i="1"/>
  <c r="N119" i="1"/>
  <c r="N95" i="1"/>
  <c r="N123" i="1"/>
  <c r="N64" i="1"/>
  <c r="N155" i="1"/>
  <c r="N102" i="1"/>
  <c r="N141" i="1"/>
  <c r="N137" i="1"/>
  <c r="N121" i="1"/>
  <c r="N159" i="1"/>
  <c r="N154" i="1"/>
  <c r="N56" i="1"/>
  <c r="N46" i="1"/>
  <c r="N81" i="1"/>
  <c r="N96" i="1"/>
  <c r="N97" i="1"/>
  <c r="N133" i="1"/>
  <c r="N156" i="1"/>
  <c r="N58" i="1"/>
  <c r="N142" i="1"/>
  <c r="N116" i="1"/>
  <c r="N61" i="1"/>
  <c r="N43" i="1"/>
  <c r="N132" i="1"/>
  <c r="N143" i="1"/>
  <c r="N75" i="1"/>
  <c r="N62" i="1"/>
  <c r="N130" i="1"/>
  <c r="N93" i="1"/>
  <c r="N140" i="1"/>
  <c r="N120" i="1"/>
  <c r="N70" i="1"/>
  <c r="N107" i="1"/>
  <c r="N150" i="1"/>
  <c r="N47" i="1"/>
  <c r="N105" i="1"/>
  <c r="N162" i="1"/>
  <c r="N54" i="1"/>
  <c r="N118" i="1"/>
  <c r="N98" i="1"/>
  <c r="N127" i="1"/>
  <c r="N101" i="1"/>
  <c r="N126" i="1"/>
  <c r="N164" i="1"/>
  <c r="N80" i="1"/>
  <c r="N92" i="1"/>
  <c r="N122" i="1"/>
  <c r="N45" i="1"/>
  <c r="N71" i="1"/>
  <c r="N151" i="1"/>
  <c r="N157" i="1"/>
  <c r="N48" i="1"/>
  <c r="N51" i="1"/>
  <c r="N106" i="1"/>
  <c r="N94" i="1"/>
  <c r="N158" i="1"/>
  <c r="N135" i="1"/>
  <c r="N139" i="1"/>
  <c r="N111" i="1"/>
  <c r="N50" i="1"/>
  <c r="N129" i="1"/>
  <c r="N44" i="1"/>
  <c r="N149" i="1"/>
  <c r="N63" i="1"/>
  <c r="N109" i="1"/>
  <c r="N128" i="1"/>
  <c r="N161" i="1"/>
  <c r="N144" i="1"/>
  <c r="N55" i="1"/>
  <c r="N147" i="1"/>
  <c r="N124" i="1"/>
  <c r="N145" i="1"/>
  <c r="N146" i="1"/>
  <c r="N134" i="1"/>
  <c r="N104" i="1"/>
  <c r="N82" i="1"/>
  <c r="N76" i="1"/>
  <c r="N100" i="1"/>
  <c r="N160" i="1"/>
  <c r="N153" i="1"/>
  <c r="N148" i="1"/>
  <c r="N83" i="1"/>
  <c r="N103" i="1"/>
  <c r="N66" i="1"/>
  <c r="N152" i="1"/>
  <c r="N53" i="1"/>
  <c r="N42" i="1"/>
  <c r="N136" i="1"/>
  <c r="N77" i="1"/>
  <c r="N125" i="1"/>
  <c r="N49" i="1"/>
  <c r="N99" i="1"/>
  <c r="N65" i="1"/>
  <c r="N67" i="1"/>
  <c r="N68" i="1"/>
  <c r="N73" i="1"/>
  <c r="N69" i="1"/>
  <c r="N72" i="1"/>
  <c r="N74" i="1"/>
  <c r="N78" i="1"/>
  <c r="N79" i="1"/>
  <c r="N84" i="1"/>
  <c r="A93" i="1"/>
  <c r="K93" i="1" s="1"/>
  <c r="L93" i="1" s="1"/>
  <c r="A94" i="1" l="1"/>
  <c r="K94" i="1" s="1"/>
  <c r="L94" i="1" s="1"/>
  <c r="A95" i="1" l="1"/>
  <c r="K95" i="1" s="1"/>
  <c r="L9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CD2CDCC6-B19B-462A-84C5-EA0931FA65E2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 xml:space="preserve">Tidak boleh ada Nama PIC yg dupolikat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H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SIMULASI</t>
        </r>
      </text>
    </comment>
  </commentList>
</comments>
</file>

<file path=xl/sharedStrings.xml><?xml version="1.0" encoding="utf-8"?>
<sst xmlns="http://schemas.openxmlformats.org/spreadsheetml/2006/main" count="1643" uniqueCount="348">
  <si>
    <t>PIC</t>
  </si>
  <si>
    <t>KATEGORI</t>
  </si>
  <si>
    <t>DEFINISI</t>
  </si>
  <si>
    <t>FACTORY</t>
  </si>
  <si>
    <t>PIC-2</t>
  </si>
  <si>
    <t>BUYER</t>
  </si>
  <si>
    <t>PLAN BUDGET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</si>
  <si>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</si>
  <si>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</si>
  <si>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</si>
  <si>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</si>
  <si>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</si>
  <si>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</si>
  <si>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</si>
  <si>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</si>
  <si>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</si>
  <si>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</si>
  <si>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</si>
  <si>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</si>
  <si>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</si>
  <si>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</si>
  <si>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</si>
  <si>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</si>
  <si>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</si>
  <si>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</si>
  <si>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</si>
  <si>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</si>
  <si>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</si>
  <si>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</si>
  <si>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</si>
  <si>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</si>
  <si>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</si>
  <si>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</si>
  <si>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</si>
  <si>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</si>
  <si>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</si>
  <si>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</si>
  <si>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</si>
  <si>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</si>
  <si>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</si>
  <si>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</si>
  <si>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</si>
  <si>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</si>
  <si>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</si>
  <si>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</si>
  <si>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 xml:space="preserve">SALES 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</si>
  <si>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</si>
  <si>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</si>
  <si>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</si>
  <si>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</si>
  <si>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</si>
  <si>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</si>
  <si>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</si>
  <si>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</si>
  <si>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</si>
  <si>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</si>
  <si>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</si>
  <si>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</si>
  <si>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</si>
  <si>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</si>
  <si>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</si>
  <si>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Fung-fung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</si>
  <si>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</si>
  <si>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</si>
  <si>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</si>
  <si>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</si>
  <si>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</si>
  <si>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</si>
  <si>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</si>
  <si>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</si>
  <si>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</si>
  <si>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</si>
  <si>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</si>
  <si>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</si>
  <si>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</si>
  <si>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</si>
  <si>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</si>
  <si>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</si>
  <si>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</si>
  <si>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</si>
  <si>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</si>
  <si>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</si>
  <si>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</si>
  <si>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</si>
  <si>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FARE ALLOWANCE OFFICE</t>
  </si>
  <si>
    <t>Tunjangan makan Staff</t>
  </si>
  <si>
    <t>FARE ALLOWANCE PROD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</si>
  <si>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</si>
  <si>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</si>
  <si>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</si>
  <si>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</si>
  <si>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</si>
  <si>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</si>
  <si>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</si>
  <si>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</si>
  <si>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</si>
  <si>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</si>
  <si>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</si>
  <si>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</si>
  <si>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</si>
  <si>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</si>
  <si>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</si>
  <si>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</si>
  <si>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</si>
  <si>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</si>
  <si>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</si>
  <si>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</si>
  <si>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</si>
  <si>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</si>
  <si>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</si>
  <si>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</si>
  <si>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</si>
  <si>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</si>
  <si>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</si>
  <si>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</si>
  <si>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</si>
  <si>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</si>
  <si>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</si>
  <si>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</si>
  <si>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</si>
  <si>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</si>
  <si>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</si>
  <si>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</si>
  <si>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</si>
  <si>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</si>
  <si>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</si>
  <si>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</si>
  <si>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</si>
  <si>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</si>
  <si>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</si>
  <si>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</si>
  <si>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</si>
  <si>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</si>
  <si>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</si>
  <si>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</si>
  <si>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</si>
  <si>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</si>
  <si>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</si>
  <si>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</si>
  <si>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</si>
  <si>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</si>
  <si>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</si>
  <si>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</si>
  <si>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</si>
  <si>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</si>
  <si>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</si>
  <si>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</si>
  <si>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</si>
  <si>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</si>
  <si>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</si>
  <si>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</si>
  <si>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</si>
  <si>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</si>
  <si>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</si>
  <si>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</si>
  <si>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Tony / Kiki</t>
  </si>
  <si>
    <t>Biaya dokter &amp; Obat</t>
  </si>
  <si>
    <t>Mutia</t>
  </si>
  <si>
    <t>FARE ALLOWANCE</t>
  </si>
  <si>
    <t>Kiki</t>
  </si>
  <si>
    <t>Tony / Rudi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</si>
  <si>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</si>
  <si>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</si>
  <si>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</si>
  <si>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</si>
  <si>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</si>
  <si>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</si>
  <si>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</si>
  <si>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</si>
  <si>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</si>
  <si>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</si>
  <si>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</si>
  <si>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</si>
  <si>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</si>
  <si>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</si>
  <si>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</si>
  <si>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</si>
  <si>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Perhitungan Performance Budget</t>
  </si>
  <si>
    <t>1. Bila sesuai target atau ada saving -&gt;  Aktual Budget dibagi dengan Plan Budget x bobot</t>
  </si>
  <si>
    <t>2. Bila tidak mencapai  target -&gt; performance pada kategori tsb dihitung 0</t>
  </si>
  <si>
    <t>3. Total pencapaian berdasarkan penjumlahan performance untuk semua kategori (persentase)</t>
  </si>
  <si>
    <t>4. Target budget dihitung proposional berdasarkan plan sales (acuan sales siberikan terpisah)</t>
  </si>
  <si>
    <t>5. Untuk PIC diatas akan menerima alert bila tidak meet target</t>
  </si>
  <si>
    <t>Resume</t>
  </si>
  <si>
    <t>TOTAL BUDGET</t>
  </si>
  <si>
    <t>Kiki Zulfikar</t>
  </si>
  <si>
    <t>-&gt; Gabungan dari Kiki dan Rudi</t>
  </si>
  <si>
    <t>PIC (MANAGER)</t>
  </si>
  <si>
    <t>MONTHLY BUDGET TH 2024</t>
  </si>
  <si>
    <t>Account Ledger</t>
  </si>
  <si>
    <t>q</t>
  </si>
  <si>
    <t>Toni Teja</t>
  </si>
  <si>
    <t>1201.631180</t>
  </si>
  <si>
    <t>1204.631180</t>
  </si>
  <si>
    <t>1205.631180</t>
  </si>
  <si>
    <t>hiraukan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</si>
  <si>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</si>
  <si>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</si>
  <si>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</si>
  <si>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</si>
  <si>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</si>
  <si>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</si>
  <si>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</si>
  <si>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</si>
  <si>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</si>
  <si>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</si>
  <si>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</si>
  <si>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</si>
  <si>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</si>
  <si>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</si>
  <si>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</si>
  <si>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</si>
  <si>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</si>
  <si>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</si>
  <si>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</si>
  <si>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</si>
  <si>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</si>
  <si>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</si>
  <si>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</si>
  <si>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</si>
  <si>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</si>
  <si>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</si>
  <si>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</si>
  <si>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</si>
  <si>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</si>
  <si>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</si>
  <si>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</si>
  <si>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Q</t>
  </si>
  <si>
    <t>MOTHER</t>
  </si>
  <si>
    <t>ADIDAS COCSO PENGGANTI RIJEK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</si>
  <si>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</si>
  <si>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</si>
  <si>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</si>
  <si>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</si>
  <si>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</si>
  <si>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</si>
  <si>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</si>
  <si>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</si>
  <si>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</si>
  <si>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</si>
  <si>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</si>
  <si>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</si>
  <si>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</si>
  <si>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</si>
  <si>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</si>
  <si>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</si>
  <si>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</si>
  <si>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</si>
  <si>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</si>
  <si>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</si>
  <si>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</si>
  <si>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</si>
  <si>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</si>
  <si>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</si>
  <si>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</si>
  <si>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</si>
  <si>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</si>
  <si>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</si>
  <si>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</si>
  <si>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</si>
  <si>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</si>
  <si>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</si>
  <si>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</si>
  <si>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</si>
  <si>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</si>
  <si>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</si>
  <si>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</si>
  <si>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</si>
  <si>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</si>
  <si>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</si>
  <si>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</si>
  <si>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</si>
  <si>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</si>
  <si>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</si>
  <si>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</si>
  <si>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</si>
  <si>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</si>
  <si>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</si>
  <si>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</si>
  <si>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</si>
  <si>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</si>
  <si>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</si>
  <si>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</si>
  <si>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</si>
  <si>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</si>
  <si>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</si>
  <si>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</si>
  <si>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</si>
  <si>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</si>
  <si>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</si>
  <si>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</si>
  <si>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</si>
  <si>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</si>
  <si>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</si>
  <si>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</si>
  <si>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</si>
  <si>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</si>
  <si>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</si>
  <si>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</si>
  <si>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</si>
  <si>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</si>
  <si>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</si>
  <si>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</si>
  <si>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</si>
  <si>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</si>
  <si>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</si>
  <si>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</si>
  <si>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</si>
  <si>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</si>
  <si>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</si>
  <si>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</si>
  <si>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</si>
  <si>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</si>
  <si>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</si>
  <si>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</si>
  <si>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</si>
  <si>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</si>
  <si>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</si>
  <si>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</si>
  <si>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</si>
  <si>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</si>
  <si>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</si>
  <si>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</si>
  <si>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</si>
  <si>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</si>
  <si>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</si>
  <si>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</si>
  <si>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</si>
  <si>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</si>
  <si>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</si>
  <si>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</si>
  <si>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</si>
  <si>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</si>
  <si>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%</t>
  </si>
  <si>
    <t>Fungfung</t>
  </si>
  <si>
    <t>1205.720100</t>
  </si>
  <si>
    <t>1205.816130</t>
  </si>
  <si>
    <t>Remark</t>
  </si>
  <si>
    <t>Dummy COUNTIF</t>
  </si>
  <si>
    <t>LOKASI FOLDER  (Hasil Pengolahan Macro)</t>
  </si>
  <si>
    <t>\\10.8.0.35\rpa$\RPA Excel Template\Accounting Finance\Santy\Profit Loss\07-02-2024\Tarikan JDE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</si>
  <si>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</si>
  <si>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</si>
  <si>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</si>
  <si>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</si>
  <si>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☼</t>
  </si>
  <si>
    <t>File Tidak ditemukan di LOKASI FOLDER  (Hasil Pengolahan Macro)</t>
  </si>
  <si>
    <t>1201.720400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</si>
</sst>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&quot;$&quot;#,##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2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80"/>
      <color rgb="FFF3F3F3"/>
      <name val="Calibri"/>
      <family val="2"/>
      <scheme val="minor"/>
    </font>
    <font>
      <b/>
      <sz val="18"/>
      <color rgb="FF00B0F0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8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3" applyNumberFormat="1" applyFont="1"/>
    <xf numFmtId="0" fontId="4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64" fontId="5" fillId="2" borderId="1" xfId="1" applyNumberFormat="1" applyFont="1" applyFill="1" applyBorder="1" applyAlignment="1">
      <alignment horizontal="center"/>
    </xf>
    <xf numFmtId="10" fontId="5" fillId="2" borderId="1" xfId="3" applyNumberFormat="1" applyFont="1" applyFill="1" applyBorder="1" applyAlignment="1">
      <alignment horizontal="center"/>
    </xf>
    <xf numFmtId="0" fontId="4" fillId="0" borderId="0" xfId="0" applyFont="1"/>
    <xf numFmtId="164" fontId="3" fillId="0" borderId="0" xfId="1" applyNumberFormat="1" applyFont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164" fontId="3" fillId="3" borderId="0" xfId="1" applyNumberFormat="1" applyFont="1" applyFill="1"/>
    <xf numFmtId="164" fontId="3" fillId="3" borderId="0" xfId="0" applyNumberFormat="1" applyFont="1" applyFill="1"/>
    <xf numFmtId="10" fontId="3" fillId="3" borderId="0" xfId="3" applyNumberFormat="1" applyFont="1" applyFill="1"/>
    <xf numFmtId="10" fontId="3" fillId="0" borderId="0" xfId="0" applyNumberFormat="1" applyFont="1"/>
    <xf numFmtId="164" fontId="3" fillId="0" borderId="0" xfId="1" applyNumberFormat="1" applyFont="1" applyFill="1"/>
    <xf numFmtId="44" fontId="3" fillId="0" borderId="0" xfId="2" applyFont="1"/>
    <xf numFmtId="44" fontId="3" fillId="0" borderId="0" xfId="0" applyNumberFormat="1" applyFont="1"/>
    <xf numFmtId="0" fontId="4" fillId="3" borderId="0" xfId="0" applyFont="1" applyFill="1"/>
    <xf numFmtId="0" fontId="4" fillId="3" borderId="0" xfId="0" applyFont="1" applyFill="1" applyAlignment="1">
      <alignment horizontal="right"/>
    </xf>
    <xf numFmtId="164" fontId="4" fillId="3" borderId="0" xfId="1" applyNumberFormat="1" applyFont="1" applyFill="1"/>
    <xf numFmtId="10" fontId="4" fillId="3" borderId="0" xfId="3" applyNumberFormat="1" applyFont="1" applyFill="1"/>
    <xf numFmtId="0" fontId="4" fillId="4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right"/>
    </xf>
    <xf numFmtId="164" fontId="4" fillId="4" borderId="0" xfId="1" applyNumberFormat="1" applyFont="1" applyFill="1"/>
    <xf numFmtId="10" fontId="3" fillId="4" borderId="0" xfId="3" applyNumberFormat="1" applyFont="1" applyFill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5" fontId="1" fillId="0" borderId="0" xfId="2" applyNumberFormat="1" applyFont="1" applyAlignment="1">
      <alignment horizontal="center"/>
    </xf>
    <xf numFmtId="0" fontId="4" fillId="0" borderId="1" xfId="0" applyFont="1" applyBorder="1"/>
    <xf numFmtId="166" fontId="3" fillId="0" borderId="0" xfId="3" applyNumberFormat="1" applyFont="1"/>
    <xf numFmtId="0" fontId="4" fillId="0" borderId="2" xfId="0" applyFont="1" applyBorder="1" applyAlignment="1">
      <alignment horizontal="center"/>
    </xf>
    <xf numFmtId="9" fontId="3" fillId="0" borderId="0" xfId="3" applyFont="1"/>
    <xf numFmtId="0" fontId="3" fillId="0" borderId="2" xfId="0" applyFont="1" applyBorder="1" applyAlignment="1">
      <alignment horizontal="center"/>
    </xf>
    <xf numFmtId="167" fontId="3" fillId="0" borderId="2" xfId="0" applyNumberFormat="1" applyFont="1" applyBorder="1" applyAlignment="1">
      <alignment horizontal="center"/>
    </xf>
    <xf numFmtId="0" fontId="3" fillId="0" borderId="0" xfId="0" quotePrefix="1" applyFont="1" applyAlignment="1">
      <alignment horizontal="left"/>
    </xf>
    <xf numFmtId="167" fontId="3" fillId="0" borderId="0" xfId="0" applyNumberFormat="1" applyFont="1" applyAlignment="1">
      <alignment horizontal="center"/>
    </xf>
    <xf numFmtId="0" fontId="2" fillId="0" borderId="0" xfId="0" applyFont="1"/>
    <xf numFmtId="0" fontId="3" fillId="5" borderId="0" xfId="0" applyFont="1" applyFill="1"/>
    <xf numFmtId="0" fontId="3" fillId="0" borderId="0" xfId="3" applyNumberFormat="1" applyFont="1"/>
    <xf numFmtId="0" fontId="4" fillId="0" borderId="0" xfId="1" applyNumberFormat="1" applyFont="1"/>
    <xf numFmtId="0" fontId="3" fillId="0" borderId="0" xfId="1" applyNumberFormat="1" applyFont="1"/>
    <xf numFmtId="0" fontId="1" fillId="0" borderId="0" xfId="2" applyNumberFormat="1" applyFont="1" applyAlignment="1">
      <alignment horizontal="center"/>
    </xf>
    <xf numFmtId="164" fontId="7" fillId="0" borderId="0" xfId="1" applyNumberFormat="1" applyFont="1"/>
    <xf numFmtId="0" fontId="10" fillId="0" borderId="0" xfId="0" applyFont="1"/>
    <xf numFmtId="10" fontId="3" fillId="0" borderId="0" xfId="3" applyNumberFormat="1" applyFont="1" applyFill="1"/>
    <xf numFmtId="0" fontId="14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164" fontId="15" fillId="2" borderId="1" xfId="1" applyNumberFormat="1" applyFont="1" applyFill="1" applyBorder="1" applyAlignment="1">
      <alignment horizontal="center"/>
    </xf>
    <xf numFmtId="10" fontId="15" fillId="2" borderId="1" xfId="3" applyNumberFormat="1" applyFont="1" applyFill="1" applyBorder="1" applyAlignment="1">
      <alignment horizontal="center"/>
    </xf>
    <xf numFmtId="0" fontId="3" fillId="0" borderId="0" xfId="0" quotePrefix="1" applyFont="1"/>
    <xf numFmtId="0" fontId="16" fillId="7" borderId="1" xfId="0" applyFont="1" applyFill="1" applyBorder="1" applyAlignment="1">
      <alignment horizontal="left"/>
    </xf>
    <xf numFmtId="0" fontId="8" fillId="8" borderId="11" xfId="0" applyFont="1" applyFill="1" applyBorder="1" applyAlignment="1">
      <alignment horizontal="center"/>
    </xf>
    <xf numFmtId="0" fontId="0" fillId="0" borderId="11" xfId="0" applyBorder="1"/>
    <xf numFmtId="9" fontId="3" fillId="0" borderId="11" xfId="3" applyFont="1" applyBorder="1" applyAlignment="1">
      <alignment horizontal="center"/>
    </xf>
    <xf numFmtId="43" fontId="0" fillId="0" borderId="11" xfId="1" applyFont="1" applyBorder="1" applyAlignment="1">
      <alignment horizontal="right"/>
    </xf>
    <xf numFmtId="0" fontId="14" fillId="8" borderId="12" xfId="0" applyFont="1" applyFill="1" applyBorder="1" applyAlignment="1">
      <alignment horizontal="left" vertical="center"/>
    </xf>
    <xf numFmtId="0" fontId="12" fillId="0" borderId="0" xfId="4" applyFill="1"/>
    <xf numFmtId="0" fontId="14" fillId="8" borderId="12" xfId="0" applyFont="1" applyFill="1" applyBorder="1" applyAlignment="1">
      <alignment vertical="center"/>
    </xf>
    <xf numFmtId="0" fontId="14" fillId="8" borderId="13" xfId="0" applyFont="1" applyFill="1" applyBorder="1" applyAlignment="1">
      <alignment vertical="center"/>
    </xf>
    <xf numFmtId="0" fontId="23" fillId="0" borderId="0" xfId="0" applyFont="1"/>
    <xf numFmtId="0" fontId="24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0" fillId="0" borderId="3" xfId="0" applyFont="1" applyBorder="1" applyAlignment="1">
      <alignment horizontal="left"/>
    </xf>
    <xf numFmtId="0" fontId="22" fillId="6" borderId="4" xfId="0" applyFont="1" applyFill="1" applyBorder="1" applyAlignment="1">
      <alignment horizontal="center"/>
    </xf>
    <xf numFmtId="0" fontId="22" fillId="6" borderId="5" xfId="0" applyFont="1" applyFill="1" applyBorder="1" applyAlignment="1">
      <alignment horizontal="center"/>
    </xf>
    <xf numFmtId="0" fontId="22" fillId="6" borderId="6" xfId="0" applyFont="1" applyFill="1" applyBorder="1" applyAlignment="1">
      <alignment horizontal="center"/>
    </xf>
    <xf numFmtId="0" fontId="22" fillId="6" borderId="7" xfId="0" applyFont="1" applyFill="1" applyBorder="1" applyAlignment="1">
      <alignment horizontal="center"/>
    </xf>
    <xf numFmtId="0" fontId="22" fillId="6" borderId="0" xfId="0" applyFont="1" applyFill="1" applyAlignment="1">
      <alignment horizontal="center"/>
    </xf>
    <xf numFmtId="0" fontId="22" fillId="6" borderId="8" xfId="0" applyFont="1" applyFill="1" applyBorder="1" applyAlignment="1">
      <alignment horizontal="center"/>
    </xf>
    <xf numFmtId="0" fontId="22" fillId="6" borderId="9" xfId="0" applyFont="1" applyFill="1" applyBorder="1" applyAlignment="1">
      <alignment horizontal="center"/>
    </xf>
    <xf numFmtId="0" fontId="22" fillId="6" borderId="3" xfId="0" applyFont="1" applyFill="1" applyBorder="1" applyAlignment="1">
      <alignment horizontal="center"/>
    </xf>
    <xf numFmtId="0" fontId="22" fillId="6" borderId="10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0" fillId="8" borderId="0" xfId="0" applyFill="1" applyAlignment="1">
      <alignment horizontal="center"/>
    </xf>
    <xf numFmtId="0" fontId="17" fillId="0" borderId="0" xfId="0" applyFont="1" applyAlignment="1">
      <alignment horizontal="left"/>
    </xf>
    <xf numFmtId="0" fontId="8" fillId="4" borderId="11" xfId="0" applyFont="1" applyFill="1" applyBorder="1" applyAlignment="1">
      <alignment horizontal="center"/>
    </xf>
    <xf numFmtId="167" fontId="4" fillId="0" borderId="11" xfId="0" applyNumberFormat="1" applyFont="1" applyBorder="1" applyAlignment="1">
      <alignment horizontal="right"/>
    </xf>
    <xf numFmtId="49" fontId="0" fillId="0" borderId="0" xfId="0" applyNumberFormat="1"/>
  </cellXfs>
  <cellStyles count="5">
    <cellStyle name="Comma" xfId="1" builtinId="3"/>
    <cellStyle name="Currency" xfId="2" builtinId="4"/>
    <cellStyle name="Hyperlink" xfId="4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F3F3F3"/>
      <color rgb="FF2F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2795954</xdr:colOff>
      <xdr:row>1</xdr:row>
      <xdr:rowOff>14655</xdr:rowOff>
    </xdr:from>
    <xdr:to>
      <xdr:col>4</xdr:col>
      <xdr:colOff>3179885</xdr:colOff>
      <xdr:row>2</xdr:row>
      <xdr:rowOff>62667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604" y="167055"/>
          <a:ext cx="383931" cy="20041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2876550</xdr:colOff>
          <xdr:row>1</xdr:row>
          <xdr:rowOff>76200</xdr:rowOff>
        </xdr:from>
        <xdr:to>
          <xdr:col>4</xdr:col>
          <xdr:colOff>3114675</xdr:colOff>
          <xdr:row>2</xdr:row>
          <xdr:rowOff>19050</xdr:rowOff>
        </xdr:to>
        <xdr:sp macro="" textlink="">
          <xdr:nvSpPr>
            <xdr:cNvPr id="9217" name="btn_Help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732</xdr:colOff>
      <xdr:row>5</xdr:row>
      <xdr:rowOff>97787</xdr:rowOff>
    </xdr:from>
    <xdr:to>
      <xdr:col>4</xdr:col>
      <xdr:colOff>872635</xdr:colOff>
      <xdr:row>8</xdr:row>
      <xdr:rowOff>79771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1607" y="859787"/>
          <a:ext cx="871903" cy="4391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19050</xdr:rowOff>
        </xdr:from>
        <xdr:to>
          <xdr:col>4</xdr:col>
          <xdr:colOff>771525</xdr:colOff>
          <xdr:row>7</xdr:row>
          <xdr:rowOff>133350</xdr:rowOff>
        </xdr:to>
        <xdr:sp macro="" textlink="">
          <xdr:nvSpPr>
            <xdr:cNvPr id="9218" name="btn_Execute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1943100</xdr:colOff>
      <xdr:row>1</xdr:row>
      <xdr:rowOff>114300</xdr:rowOff>
    </xdr:from>
    <xdr:to>
      <xdr:col>4</xdr:col>
      <xdr:colOff>24178</xdr:colOff>
      <xdr:row>4</xdr:row>
      <xdr:rowOff>96284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3150" y="266700"/>
          <a:ext cx="871903" cy="4391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2028825</xdr:colOff>
          <xdr:row>2</xdr:row>
          <xdr:rowOff>38100</xdr:rowOff>
        </xdr:from>
        <xdr:to>
          <xdr:col>3</xdr:col>
          <xdr:colOff>47625</xdr:colOff>
          <xdr:row>4</xdr:row>
          <xdr:rowOff>0</xdr:rowOff>
        </xdr:to>
        <xdr:sp macro="" textlink="">
          <xdr:nvSpPr>
            <xdr:cNvPr id="9224" name="CommandButton1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hyperlink" Target="..\..\Tarikan%20JDE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BADC-9BD2-406D-AD6A-BACF708381EA}">
  <sheetPr codeName="Sheet3"/>
  <dimension ref="A1:B6"/>
  <sheetViews>
    <sheetView workbookViewId="0">
      <selection activeCell="D17" sqref="D17"/>
    </sheetView>
  </sheetViews>
  <sheetFormatPr defaultRowHeight="15" x14ac:dyDescent="0.25"/>
  <cols>
    <col min="1" max="1" width="11" bestFit="1" customWidth="1"/>
    <col min="2" max="2" width="14.42578125" bestFit="1" customWidth="1"/>
  </cols>
  <sheetData>
    <row r="1" spans="1:2" x14ac:dyDescent="0.25">
      <c r="A1" t="s">
        <v>3</v>
      </c>
      <c r="B1" t="s">
        <v>210</v>
      </c>
    </row>
    <row r="2" spans="1:2" x14ac:dyDescent="0.25">
      <c r="A2" t="s">
        <v>13</v>
      </c>
      <c r="B2">
        <v>1201</v>
      </c>
    </row>
    <row r="3" spans="1:2" x14ac:dyDescent="0.25">
      <c r="A3" t="s">
        <v>15</v>
      </c>
      <c r="B3">
        <v>1204</v>
      </c>
    </row>
    <row r="4" spans="1:2" x14ac:dyDescent="0.25">
      <c r="A4" t="s">
        <v>24</v>
      </c>
      <c r="B4">
        <v>1205</v>
      </c>
    </row>
    <row r="5" spans="1:2" x14ac:dyDescent="0.25">
      <c r="A5" t="s">
        <v>104</v>
      </c>
      <c r="B5">
        <v>1206</v>
      </c>
    </row>
    <row r="6" spans="1:2" x14ac:dyDescent="0.25">
      <c r="A6" t="s">
        <v>153</v>
      </c>
      <c r="B6">
        <v>1206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B9DF-4CA1-4FDF-99F3-5043E9798012}">
  <sheetPr codeName="Sheet14"/>
  <dimension ref="A2:J11"/>
  <sheetViews>
    <sheetView tabSelected="1" topLeftCell="A4" zoomScale="85" zoomScaleNormal="85" workbookViewId="0">
      <pane xSplit="1" ySplit="2" topLeftCell="B6" activePane="bottomRight" state="frozen"/>
      <selection activeCell="A4" sqref="A4"/>
      <selection pane="topRight" activeCell="B4" sqref="B4"/>
      <selection pane="bottomLeft" activeCell="A6" sqref="A6"/>
      <selection pane="bottomRight" activeCell="B14" sqref="B14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65" t="s">
        <v>188</v>
      </c>
      <c r="B2" s="65"/>
      <c r="C2" s="65"/>
      <c r="D2" s="65"/>
      <c r="E2" s="65"/>
      <c r="F2" s="65"/>
      <c r="G2" s="65"/>
      <c r="H2" s="65"/>
      <c r="I2" s="65"/>
      <c r="J2" s="65"/>
    </row>
    <row r="4" spans="1:10" x14ac:dyDescent="0.25">
      <c r="G4" s="3"/>
      <c r="H4" s="3"/>
    </row>
    <row r="5" spans="1:10" s="9" customFormat="1" ht="18.75" x14ac:dyDescent="0.3">
      <c r="A5" s="5" t="s">
        <v>187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/>
      <c r="F6" s="9"/>
      <c r="H6" s="9"/>
    </row>
    <row r="7" spans="1:10" x14ac:dyDescent="0.25">
      <c r="A7" s="9"/>
      <c r="F7" s="9"/>
      <c r="H7" s="9"/>
    </row>
    <row r="8" spans="1:10" x14ac:dyDescent="0.25">
      <c r="A8" s="9"/>
      <c r="F8" s="9"/>
      <c r="H8" s="9"/>
    </row>
    <row r="9" spans="1:10" x14ac:dyDescent="0.25">
      <c r="A9" s="9"/>
      <c r="F9" s="9"/>
      <c r="H9" s="9"/>
    </row>
    <row r="10" spans="1:10" x14ac:dyDescent="0.25">
      <c r="A10" s="9"/>
      <c r="F10" s="9"/>
      <c r="H10" s="9"/>
    </row>
    <row r="11" spans="1:10" x14ac:dyDescent="0.25">
      <c r="A11" s="9"/>
      <c r="F11" s="9"/>
      <c r="H11" s="9"/>
    </row>
  </sheetData>
  <mergeCells count="1">
    <mergeCell ref="A2: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B2:C3"/>
  <sheetViews>
    <sheetView workbookViewId="0">
      <selection activeCell="B16" sqref="B16"/>
    </sheetView>
  </sheetViews>
  <sheetFormatPr defaultRowHeight="15" x14ac:dyDescent="0.25"/>
  <cols>
    <col min="2" max="2" width="30.85546875" bestFit="1" customWidth="1"/>
  </cols>
  <sheetData>
    <row r="2" spans="2:3" x14ac:dyDescent="0.25">
      <c r="B2" t="s">
        <v>229</v>
      </c>
      <c r="C2" t="s">
        <v>48</v>
      </c>
    </row>
    <row r="3" spans="2:3" x14ac:dyDescent="0.25">
      <c r="B3" t="s">
        <v>228</v>
      </c>
      <c r="C3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Sheet11">
    <tabColor rgb="FF00B0F0"/>
  </sheetPr>
  <dimension ref="A1:F28"/>
  <sheetViews>
    <sheetView showGridLines="0" zoomScaleNormal="100" workbookViewId="0">
      <selection activeCell="C23" sqref="C23"/>
    </sheetView>
  </sheetViews>
  <sheetFormatPr defaultRowHeight="15" x14ac:dyDescent="0.25"/>
  <cols>
    <col min="1" max="1" width="2.42578125" customWidth="1"/>
    <col min="2" max="2" width="3.5703125" customWidth="1"/>
    <col min="3" max="3" width="40.140625" customWidth="1"/>
    <col min="4" max="4" width="1.7109375" customWidth="1"/>
    <col min="5" max="5" width="47.85546875" customWidth="1"/>
    <col min="6" max="6" width="1" customWidth="1"/>
    <col min="7" max="7" width="5.5703125" customWidth="1"/>
  </cols>
  <sheetData>
    <row r="1" spans="1:6" ht="12" customHeight="1" x14ac:dyDescent="0.25">
      <c r="A1" s="66"/>
      <c r="B1" s="66"/>
      <c r="C1" s="67" t="s">
        <v>341</v>
      </c>
      <c r="D1" s="67"/>
      <c r="E1" s="67"/>
      <c r="F1" s="47"/>
    </row>
    <row r="2" spans="1:6" ht="12" customHeight="1" x14ac:dyDescent="0.25">
      <c r="A2" s="66"/>
      <c r="B2" s="66"/>
      <c r="C2" s="68" t="s">
        <v>345</v>
      </c>
      <c r="D2" s="69"/>
      <c r="E2" s="70"/>
      <c r="F2" s="77" t="s">
        <v>231</v>
      </c>
    </row>
    <row r="3" spans="1:6" ht="12" customHeight="1" x14ac:dyDescent="0.25">
      <c r="A3" s="66"/>
      <c r="B3" s="66"/>
      <c r="C3" s="71"/>
      <c r="D3" s="72"/>
      <c r="E3" s="73"/>
      <c r="F3" s="77"/>
    </row>
    <row r="4" spans="1:6" ht="12" customHeight="1" x14ac:dyDescent="0.25">
      <c r="A4" s="66"/>
      <c r="B4" s="66"/>
      <c r="C4" s="71"/>
      <c r="D4" s="72"/>
      <c r="E4" s="73"/>
      <c r="F4" s="77"/>
    </row>
    <row r="5" spans="1:6" ht="12" customHeight="1" x14ac:dyDescent="0.25">
      <c r="A5" s="66"/>
      <c r="B5" s="66"/>
      <c r="C5" s="71"/>
      <c r="D5" s="72"/>
      <c r="E5" s="73"/>
      <c r="F5" s="77"/>
    </row>
    <row r="6" spans="1:6" ht="12" customHeight="1" x14ac:dyDescent="0.25">
      <c r="A6" s="66"/>
      <c r="B6" s="66"/>
      <c r="C6" s="71"/>
      <c r="D6" s="72"/>
      <c r="E6" s="73"/>
      <c r="F6" s="77"/>
    </row>
    <row r="7" spans="1:6" ht="12" customHeight="1" x14ac:dyDescent="0.25">
      <c r="A7" s="66"/>
      <c r="B7" s="66"/>
      <c r="C7" s="71"/>
      <c r="D7" s="72"/>
      <c r="E7" s="73"/>
      <c r="F7" s="77"/>
    </row>
    <row r="8" spans="1:6" ht="12" customHeight="1" x14ac:dyDescent="0.25">
      <c r="A8" s="66"/>
      <c r="B8" s="66"/>
      <c r="C8" s="71"/>
      <c r="D8" s="72"/>
      <c r="E8" s="73"/>
      <c r="F8" s="77"/>
    </row>
    <row r="9" spans="1:6" ht="6.75" customHeight="1" x14ac:dyDescent="0.25">
      <c r="A9" s="66"/>
      <c r="B9" s="66"/>
      <c r="C9" s="74"/>
      <c r="D9" s="75"/>
      <c r="E9" s="76"/>
      <c r="F9" s="77"/>
    </row>
    <row r="10" spans="1:6" ht="18" customHeight="1" x14ac:dyDescent="0.25">
      <c r="A10" s="66"/>
      <c r="B10" s="66"/>
      <c r="C10" s="78" t="s">
        <v>342</v>
      </c>
      <c r="D10" s="78"/>
      <c r="E10" s="78"/>
      <c r="F10" s="77"/>
    </row>
    <row r="11" spans="1:6" ht="15.75" x14ac:dyDescent="0.25">
      <c r="C11" s="61" t="s">
        <v>343</v>
      </c>
      <c r="D11" s="62"/>
      <c r="E11" s="59" t="s">
        <v>344</v>
      </c>
      <c r="F11" s="77"/>
    </row>
    <row r="12" spans="1:6" x14ac:dyDescent="0.25">
      <c r="C12" s="80" t="s">
        <v>339</v>
      </c>
      <c r="D12" s="80"/>
      <c r="E12" s="60" t="s">
        <v>340</v>
      </c>
      <c r="F12" s="77"/>
    </row>
    <row r="13" spans="1:6" x14ac:dyDescent="0.25">
      <c r="C13" s="80"/>
      <c r="D13" s="80"/>
      <c r="E13" s="60"/>
      <c r="F13" s="77"/>
    </row>
    <row r="14" spans="1:6" ht="1.5" customHeight="1" x14ac:dyDescent="0.25">
      <c r="C14" s="79"/>
      <c r="D14" s="79"/>
      <c r="E14" s="79"/>
      <c r="F14" s="77"/>
    </row>
    <row r="15" spans="1:6" x14ac:dyDescent="0.25">
      <c r="F15" s="77"/>
    </row>
    <row r="16" spans="1:6" x14ac:dyDescent="0.25">
      <c r="F16" s="77"/>
    </row>
    <row r="17" spans="6:6" x14ac:dyDescent="0.25">
      <c r="F17" s="77"/>
    </row>
    <row r="18" spans="6:6" x14ac:dyDescent="0.25">
      <c r="F18" s="77"/>
    </row>
    <row r="19" spans="6:6" x14ac:dyDescent="0.25">
      <c r="F19" s="77"/>
    </row>
    <row r="20" spans="6:6" x14ac:dyDescent="0.25">
      <c r="F20" s="77"/>
    </row>
    <row r="21" spans="6:6" x14ac:dyDescent="0.25">
      <c r="F21" s="77"/>
    </row>
    <row r="22" spans="6:6" x14ac:dyDescent="0.25">
      <c r="F22" s="77"/>
    </row>
    <row r="23" spans="6:6" x14ac:dyDescent="0.25">
      <c r="F23" s="77"/>
    </row>
    <row r="24" spans="6:6" x14ac:dyDescent="0.25">
      <c r="F24" s="77"/>
    </row>
    <row r="25" spans="6:6" x14ac:dyDescent="0.25">
      <c r="F25" s="77"/>
    </row>
    <row r="26" spans="6:6" x14ac:dyDescent="0.25">
      <c r="F26" s="77"/>
    </row>
    <row r="27" spans="6:6" x14ac:dyDescent="0.25">
      <c r="F27" s="77"/>
    </row>
    <row r="28" spans="6:6" x14ac:dyDescent="0.25">
      <c r="F28" s="77"/>
    </row>
  </sheetData>
  <mergeCells count="9">
    <mergeCell ref="A1:B8"/>
    <mergeCell ref="C1:E1"/>
    <mergeCell ref="C2:E9"/>
    <mergeCell ref="F2:F28"/>
    <mergeCell ref="A9:B10"/>
    <mergeCell ref="C10:E10"/>
    <mergeCell ref="C14:E14"/>
    <mergeCell ref="C12:D12"/>
    <mergeCell ref="C13:D13"/>
  </mergeCells>
  <hyperlinks>
    <hyperlink ref="E12" r:id="rId1" xr:uid="{0007FD13-BAF9-4905-87BE-19FBE5C13B56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9217" r:id="rId4" name="btn_Help">
          <controlPr defaultSize="0" autoLine="0" r:id="rId5">
            <anchor moveWithCells="1">
              <from>
                <xdr:col>4</xdr:col>
                <xdr:colOff>2876550</xdr:colOff>
                <xdr:row>1</xdr:row>
                <xdr:rowOff>76200</xdr:rowOff>
              </from>
              <to>
                <xdr:col>4</xdr:col>
                <xdr:colOff>3114675</xdr:colOff>
                <xdr:row>2</xdr:row>
                <xdr:rowOff>19050</xdr:rowOff>
              </to>
            </anchor>
          </controlPr>
        </control>
      </mc:Choice>
      <mc:Fallback>
        <control shapeId="9217" r:id="rId4" name="btn_Help"/>
      </mc:Fallback>
    </mc:AlternateContent>
    <mc:AlternateContent xmlns:mc="http://schemas.openxmlformats.org/markup-compatibility/2006">
      <mc:Choice Requires="x14">
        <control shapeId="9218" r:id="rId6" name="btn_Execute">
          <controlPr defaultSize="0" autoLine="0" r:id="rId7">
            <anchor moveWithCells="1">
              <from>
                <xdr:col>4</xdr:col>
                <xdr:colOff>76200</xdr:colOff>
                <xdr:row>6</xdr:row>
                <xdr:rowOff>19050</xdr:rowOff>
              </from>
              <to>
                <xdr:col>4</xdr:col>
                <xdr:colOff>771525</xdr:colOff>
                <xdr:row>7</xdr:row>
                <xdr:rowOff>133350</xdr:rowOff>
              </to>
            </anchor>
          </controlPr>
        </control>
      </mc:Choice>
      <mc:Fallback>
        <control shapeId="9218" r:id="rId6" name="btn_Execute"/>
      </mc:Fallback>
    </mc:AlternateContent>
    <mc:AlternateContent xmlns:mc="http://schemas.openxmlformats.org/markup-compatibility/2006">
      <mc:Choice Requires="x14">
        <control shapeId="9224" r:id="rId8" name="CommandButton1">
          <controlPr defaultSize="0" autoLine="0" r:id="rId9">
            <anchor moveWithCells="1">
              <from>
                <xdr:col>2</xdr:col>
                <xdr:colOff>2028825</xdr:colOff>
                <xdr:row>2</xdr:row>
                <xdr:rowOff>38100</xdr:rowOff>
              </from>
              <to>
                <xdr:col>3</xdr:col>
                <xdr:colOff>47625</xdr:colOff>
                <xdr:row>4</xdr:row>
                <xdr:rowOff>0</xdr:rowOff>
              </to>
            </anchor>
          </controlPr>
        </control>
      </mc:Choice>
      <mc:Fallback>
        <control shapeId="9224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2C888-2616-4CA3-82A0-8C71D4796DA1}">
  <sheetPr codeName="Sheet13"/>
  <dimension ref="A1:A2"/>
  <sheetViews>
    <sheetView workbookViewId="0">
      <selection activeCell="E13" sqref="E13"/>
    </sheetView>
  </sheetViews>
  <sheetFormatPr defaultRowHeight="15" x14ac:dyDescent="0.25"/>
  <cols>
    <col min="1" max="1" width="19.7109375" style="83" bestFit="1" customWidth="1"/>
  </cols>
  <sheetData>
    <row r="1" spans="1:1" x14ac:dyDescent="0.25">
      <c r="A1" s="83" t="s">
        <v>346</v>
      </c>
    </row>
    <row r="2" spans="1:1" x14ac:dyDescent="0.25">
      <c r="A2" s="83" t="s">
        <v>189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N172"/>
  <sheetViews>
    <sheetView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D10" sqref="D10"/>
    </sheetView>
  </sheetViews>
  <sheetFormatPr defaultColWidth="16.28515625" defaultRowHeight="15.75" x14ac:dyDescent="0.25"/>
  <cols>
    <col min="1" max="1" width="26.42578125" style="1" customWidth="1"/>
    <col min="2" max="2" width="37.7109375" style="1" customWidth="1"/>
    <col min="3" max="3" width="23.7109375" style="1" bestFit="1" customWidth="1"/>
    <col min="4" max="4" width="30.7109375" style="1" customWidth="1"/>
    <col min="5" max="5" width="16.28515625" style="2" customWidth="1"/>
    <col min="6" max="6" width="12.28515625" style="2" bestFit="1" customWidth="1"/>
    <col min="7" max="7" width="16.85546875" style="1" customWidth="1"/>
    <col min="8" max="8" width="22.85546875" style="10" customWidth="1"/>
    <col min="9" max="9" width="16" style="42" customWidth="1"/>
    <col min="10" max="10" width="16" style="33" customWidth="1"/>
    <col min="11" max="11" width="16.28515625" style="4"/>
    <col min="12" max="12" width="19" style="1" customWidth="1"/>
    <col min="13" max="13" width="11.7109375" style="1" customWidth="1"/>
    <col min="14" max="14" width="21" style="1" bestFit="1" customWidth="1"/>
    <col min="15" max="16384" width="16.28515625" style="1"/>
  </cols>
  <sheetData>
    <row r="2" spans="1:14" ht="23.25" x14ac:dyDescent="0.35">
      <c r="A2" s="63" t="s">
        <v>188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</row>
    <row r="3" spans="1:14" ht="5.25" customHeight="1" x14ac:dyDescent="0.25"/>
    <row r="4" spans="1:14" ht="6.75" customHeight="1" x14ac:dyDescent="0.25">
      <c r="H4" s="3"/>
      <c r="I4" s="43" t="s">
        <v>231</v>
      </c>
      <c r="J4" s="3"/>
    </row>
    <row r="5" spans="1:14" s="9" customFormat="1" ht="18.75" x14ac:dyDescent="0.3">
      <c r="A5" s="49" t="s">
        <v>187</v>
      </c>
      <c r="B5" s="50" t="s">
        <v>1</v>
      </c>
      <c r="C5" s="50" t="s">
        <v>189</v>
      </c>
      <c r="D5" s="50" t="s">
        <v>2</v>
      </c>
      <c r="E5" s="50" t="s">
        <v>3</v>
      </c>
      <c r="F5" s="50" t="s">
        <v>4</v>
      </c>
      <c r="G5" s="50" t="s">
        <v>5</v>
      </c>
      <c r="H5" s="51" t="s">
        <v>6</v>
      </c>
      <c r="I5" s="50" t="s">
        <v>7</v>
      </c>
      <c r="J5" s="50" t="s">
        <v>209</v>
      </c>
      <c r="K5" s="52" t="s">
        <v>8</v>
      </c>
      <c r="L5" s="50" t="s">
        <v>9</v>
      </c>
      <c r="M5" s="54" t="s">
        <v>337</v>
      </c>
      <c r="N5" s="54" t="s">
        <v>338</v>
      </c>
    </row>
    <row r="6" spans="1:14" x14ac:dyDescent="0.25">
      <c r="A6" s="9" t="s">
        <v>10</v>
      </c>
      <c r="B6" s="1" t="s">
        <v>11</v>
      </c>
      <c r="C6" s="53" t="s">
        <v>347</v>
      </c>
      <c r="D6" s="1" t="s">
        <v>12</v>
      </c>
      <c r="E6" s="2" t="s">
        <v>13</v>
      </c>
      <c r="F6" s="2" t="s">
        <v>14</v>
      </c>
      <c r="G6" s="9"/>
      <c r="H6" s="10">
        <v>10000</v>
      </c>
      <c r="I6" s="44">
        <v>8411.43</v>
      </c>
      <c r="J6" s="10">
        <f>H6-I6</f>
        <v>1588.5699999999997</v>
      </c>
      <c r="K6" s="4">
        <f>H6/VLOOKUP(A6,Resume!$A:$C,3,FALSE)</f>
        <v>0.14728026373771388</v>
      </c>
      <c r="L6" s="4">
        <f t="shared" ref="L6:L69" si="0">IFERROR((H6/I6)*K6,"")</f>
        <v>0.17509539250485812</v>
      </c>
      <c r="N6" s="1">
        <f t="shared" ref="N6:N40" si="1">COUNTIF($C$6:$C$164,C6)</f>
        <v>1</v>
      </c>
    </row>
    <row r="7" spans="1:14" x14ac:dyDescent="0.25">
      <c r="A7" s="9" t="str">
        <f t="array" ref="A7:A19">A6</f>
        <v>Asep Ridwan Subiana</v>
      </c>
      <c r="B7" s="1" t="s">
        <v>11</v>
      </c>
      <c r="C7" s="1" t="s">
        <v>230</v>
      </c>
      <c r="D7" s="1" t="s">
        <v>12</v>
      </c>
      <c r="E7" s="2" t="s">
        <v>15</v>
      </c>
      <c r="F7" s="2" t="s">
        <v>16</v>
      </c>
      <c r="G7" s="9"/>
      <c r="H7" s="10">
        <v>10000</v>
      </c>
      <c r="I7" s="44">
        <v>3143.46</v>
      </c>
      <c r="J7" s="10">
        <f t="shared" ref="J7:J19" si="2">H7-I7</f>
        <v>6856.54</v>
      </c>
      <c r="K7" s="4">
        <f>H7/VLOOKUP(A7,Resume!$A:$C,3,FALSE)</f>
        <v>0.14728026373771388</v>
      </c>
      <c r="L7" s="4">
        <f t="shared" si="0"/>
        <v>0.46852914857422673</v>
      </c>
      <c r="N7" s="1">
        <f t="shared" si="1"/>
        <v>1</v>
      </c>
    </row>
    <row r="8" spans="1:14" x14ac:dyDescent="0.25">
      <c r="A8" s="9" t="str">
        <v>Asep Ridwan Subiana</v>
      </c>
      <c r="B8" s="1" t="s">
        <v>17</v>
      </c>
      <c r="C8" s="1" t="s">
        <v>233</v>
      </c>
      <c r="D8" s="1" t="s">
        <v>18</v>
      </c>
      <c r="E8" s="2" t="s">
        <v>13</v>
      </c>
      <c r="F8" s="2" t="s">
        <v>19</v>
      </c>
      <c r="G8" s="9"/>
      <c r="H8" s="10">
        <v>1987.05</v>
      </c>
      <c r="I8" s="44"/>
      <c r="J8" s="10">
        <f t="shared" si="2"/>
        <v>1987.05</v>
      </c>
      <c r="K8" s="4">
        <f>H8/VLOOKUP(A8,Resume!$A:$C,3,FALSE)</f>
        <v>2.9265324806002437E-2</v>
      </c>
      <c r="L8" s="4" t="str">
        <f t="shared" si="0"/>
        <v/>
      </c>
      <c r="N8" s="1">
        <f t="shared" si="1"/>
        <v>1</v>
      </c>
    </row>
    <row r="9" spans="1:14" x14ac:dyDescent="0.25">
      <c r="A9" s="9" t="str">
        <v>Asep Ridwan Subiana</v>
      </c>
      <c r="B9" s="1" t="s">
        <v>17</v>
      </c>
      <c r="C9" s="1" t="s">
        <v>211</v>
      </c>
      <c r="D9" s="1" t="s">
        <v>18</v>
      </c>
      <c r="E9" s="2" t="s">
        <v>15</v>
      </c>
      <c r="F9" s="2" t="s">
        <v>20</v>
      </c>
      <c r="G9" s="9"/>
      <c r="H9" s="10">
        <v>326</v>
      </c>
      <c r="I9" s="44">
        <v>394.88</v>
      </c>
      <c r="J9" s="10">
        <f t="shared" si="2"/>
        <v>-68.88</v>
      </c>
      <c r="K9" s="4">
        <f>H9/VLOOKUP(A9,Resume!$A:$C,3,FALSE)</f>
        <v>4.8013365978494729E-3</v>
      </c>
      <c r="L9" s="4">
        <f t="shared" si="0"/>
        <v>3.9638263039377232E-3</v>
      </c>
      <c r="M9" s="1" t="s">
        <v>227</v>
      </c>
      <c r="N9" s="1">
        <f t="shared" si="1"/>
        <v>1</v>
      </c>
    </row>
    <row r="10" spans="1:14" x14ac:dyDescent="0.25">
      <c r="A10" s="9" t="str">
        <v>Asep Ridwan Subiana</v>
      </c>
      <c r="B10" s="1" t="s">
        <v>21</v>
      </c>
      <c r="C10" s="1" t="s">
        <v>201</v>
      </c>
      <c r="D10" s="1" t="s">
        <v>22</v>
      </c>
      <c r="E10" s="2" t="s">
        <v>13</v>
      </c>
      <c r="F10" s="2" t="s">
        <v>23</v>
      </c>
      <c r="G10" s="9"/>
      <c r="H10" s="10">
        <v>15015.099999999999</v>
      </c>
      <c r="I10" s="44"/>
      <c r="J10" s="10">
        <f t="shared" si="2"/>
        <v>15015.099999999999</v>
      </c>
      <c r="K10" s="4">
        <f>H10/VLOOKUP(A10,Resume!$A:$C,3,FALSE)</f>
        <v>0.22114278880481478</v>
      </c>
      <c r="L10" s="4" t="str">
        <f t="shared" si="0"/>
        <v/>
      </c>
      <c r="N10" s="1">
        <f t="shared" si="1"/>
        <v>3</v>
      </c>
    </row>
    <row r="11" spans="1:14" x14ac:dyDescent="0.25">
      <c r="A11" s="9" t="str">
        <v>Asep Ridwan Subiana</v>
      </c>
      <c r="B11" s="1" t="s">
        <v>21</v>
      </c>
      <c r="C11" s="1" t="s">
        <v>203</v>
      </c>
      <c r="D11" s="1" t="s">
        <v>22</v>
      </c>
      <c r="E11" s="2" t="s">
        <v>24</v>
      </c>
      <c r="F11" s="2" t="s">
        <v>25</v>
      </c>
      <c r="G11" s="9"/>
      <c r="H11" s="10">
        <v>26.7199999999998</v>
      </c>
      <c r="I11" s="44"/>
      <c r="J11" s="10">
        <f t="shared" si="2"/>
        <v>26.7199999999998</v>
      </c>
      <c r="K11" s="4">
        <f>H11/VLOOKUP(A11,Resume!$A:$C,3,FALSE)</f>
        <v>3.9353286470716859E-4</v>
      </c>
      <c r="L11" s="4" t="str">
        <f t="shared" si="0"/>
        <v/>
      </c>
      <c r="N11" s="1">
        <f t="shared" si="1"/>
        <v>3</v>
      </c>
    </row>
    <row r="12" spans="1:14" x14ac:dyDescent="0.25">
      <c r="A12" s="9" t="str">
        <v>Asep Ridwan Subiana</v>
      </c>
      <c r="B12" s="1" t="s">
        <v>21</v>
      </c>
      <c r="C12" s="1" t="s">
        <v>202</v>
      </c>
      <c r="D12" s="1" t="s">
        <v>22</v>
      </c>
      <c r="E12" s="2" t="s">
        <v>15</v>
      </c>
      <c r="F12" s="2" t="s">
        <v>25</v>
      </c>
      <c r="G12" s="9"/>
      <c r="H12" s="10">
        <v>15124.89</v>
      </c>
      <c r="I12" s="44"/>
      <c r="J12" s="10">
        <f t="shared" si="2"/>
        <v>15124.89</v>
      </c>
      <c r="K12" s="4">
        <f>H12/VLOOKUP(A12,Resume!$A:$C,3,FALSE)</f>
        <v>0.22275977882039114</v>
      </c>
      <c r="L12" s="4" t="str">
        <f t="shared" si="0"/>
        <v/>
      </c>
      <c r="N12" s="1">
        <f t="shared" si="1"/>
        <v>3</v>
      </c>
    </row>
    <row r="13" spans="1:14" x14ac:dyDescent="0.25">
      <c r="A13" s="9" t="str">
        <v>Asep Ridwan Subiana</v>
      </c>
      <c r="B13" s="1" t="s">
        <v>26</v>
      </c>
      <c r="C13" s="1" t="s">
        <v>192</v>
      </c>
      <c r="D13" s="1" t="s">
        <v>27</v>
      </c>
      <c r="E13" s="2" t="s">
        <v>13</v>
      </c>
      <c r="F13" s="2" t="s">
        <v>28</v>
      </c>
      <c r="G13" s="9"/>
      <c r="H13" s="10">
        <v>639</v>
      </c>
      <c r="I13" s="44">
        <v>4.83</v>
      </c>
      <c r="J13" s="10">
        <f t="shared" si="2"/>
        <v>634.16999999999996</v>
      </c>
      <c r="K13" s="4">
        <f>H13/VLOOKUP(A13,Resume!$A:$C,3,FALSE)</f>
        <v>9.4112088528399175E-3</v>
      </c>
      <c r="L13" s="4">
        <f t="shared" si="0"/>
        <v>1.2450853948167095</v>
      </c>
      <c r="N13" s="1">
        <f t="shared" si="1"/>
        <v>1</v>
      </c>
    </row>
    <row r="14" spans="1:14" x14ac:dyDescent="0.25">
      <c r="A14" s="9" t="str">
        <v>Asep Ridwan Subiana</v>
      </c>
      <c r="B14" s="1" t="s">
        <v>26</v>
      </c>
      <c r="C14" s="1" t="s">
        <v>193</v>
      </c>
      <c r="D14" s="1" t="s">
        <v>27</v>
      </c>
      <c r="E14" s="2" t="s">
        <v>24</v>
      </c>
      <c r="F14" s="2" t="s">
        <v>29</v>
      </c>
      <c r="G14" s="9"/>
      <c r="H14" s="10">
        <v>1265</v>
      </c>
      <c r="I14" s="44">
        <v>598.58000000000004</v>
      </c>
      <c r="J14" s="10">
        <f t="shared" si="2"/>
        <v>666.42</v>
      </c>
      <c r="K14" s="4">
        <f>H14/VLOOKUP(A14,Resume!$A:$C,3,FALSE)</f>
        <v>1.8630953362820807E-2</v>
      </c>
      <c r="L14" s="4">
        <f t="shared" si="0"/>
        <v>3.9373443823663201E-2</v>
      </c>
      <c r="N14" s="1">
        <f t="shared" si="1"/>
        <v>1</v>
      </c>
    </row>
    <row r="15" spans="1:14" x14ac:dyDescent="0.25">
      <c r="A15" s="9" t="str">
        <v>Asep Ridwan Subiana</v>
      </c>
      <c r="B15" s="1" t="s">
        <v>26</v>
      </c>
      <c r="C15" s="1" t="s">
        <v>194</v>
      </c>
      <c r="D15" s="1" t="s">
        <v>27</v>
      </c>
      <c r="E15" s="2" t="s">
        <v>15</v>
      </c>
      <c r="F15" s="2" t="s">
        <v>29</v>
      </c>
      <c r="G15" s="9"/>
      <c r="H15" s="10">
        <v>2489</v>
      </c>
      <c r="I15" s="44">
        <v>186.36</v>
      </c>
      <c r="J15" s="10">
        <f t="shared" si="2"/>
        <v>2302.64</v>
      </c>
      <c r="K15" s="4">
        <f>H15/VLOOKUP(A15,Resume!$A:$C,3,FALSE)</f>
        <v>3.6658057644316989E-2</v>
      </c>
      <c r="L15" s="4">
        <f t="shared" si="0"/>
        <v>0.48960026548993874</v>
      </c>
      <c r="N15" s="1">
        <f t="shared" si="1"/>
        <v>1</v>
      </c>
    </row>
    <row r="16" spans="1:14" x14ac:dyDescent="0.25">
      <c r="A16" s="9" t="str">
        <v>Asep Ridwan Subiana</v>
      </c>
      <c r="B16" s="1" t="s">
        <v>30</v>
      </c>
      <c r="C16" s="38" t="s">
        <v>208</v>
      </c>
      <c r="D16" s="1" t="s">
        <v>31</v>
      </c>
      <c r="E16" s="2" t="s">
        <v>13</v>
      </c>
      <c r="F16" s="2" t="s">
        <v>28</v>
      </c>
      <c r="G16" s="9"/>
      <c r="H16" s="10">
        <v>1025</v>
      </c>
      <c r="I16" s="44"/>
      <c r="J16" s="10">
        <f t="shared" si="2"/>
        <v>1025</v>
      </c>
      <c r="K16" s="4">
        <f>H16/VLOOKUP(A16,Resume!$A:$C,3,FALSE)</f>
        <v>1.5096227033115674E-2</v>
      </c>
      <c r="L16" s="4" t="str">
        <f t="shared" si="0"/>
        <v/>
      </c>
      <c r="N16" s="1">
        <f t="shared" si="1"/>
        <v>1</v>
      </c>
    </row>
    <row r="17" spans="1:14" x14ac:dyDescent="0.25">
      <c r="A17" s="9" t="str">
        <v>Asep Ridwan Subiana</v>
      </c>
      <c r="B17" s="1" t="s">
        <v>32</v>
      </c>
      <c r="C17" s="1" t="s">
        <v>234</v>
      </c>
      <c r="D17" s="1" t="s">
        <v>33</v>
      </c>
      <c r="E17" s="2" t="s">
        <v>13</v>
      </c>
      <c r="F17" s="2" t="s">
        <v>34</v>
      </c>
      <c r="G17" s="9"/>
      <c r="H17" s="10">
        <v>8000</v>
      </c>
      <c r="I17" s="44">
        <v>669.9</v>
      </c>
      <c r="J17" s="10">
        <f t="shared" si="2"/>
        <v>7330.1</v>
      </c>
      <c r="K17" s="4">
        <f>H17/VLOOKUP(A17,Resume!$A:$C,3,FALSE)</f>
        <v>0.11782421099017111</v>
      </c>
      <c r="L17" s="4">
        <f t="shared" si="0"/>
        <v>1.4070662605185387</v>
      </c>
      <c r="N17" s="1">
        <f t="shared" si="1"/>
        <v>1</v>
      </c>
    </row>
    <row r="18" spans="1:14" x14ac:dyDescent="0.25">
      <c r="A18" s="9" t="str">
        <v>Asep Ridwan Subiana</v>
      </c>
      <c r="B18" s="1" t="s">
        <v>32</v>
      </c>
      <c r="C18" s="53" t="s">
        <v>335</v>
      </c>
      <c r="D18" s="1" t="s">
        <v>33</v>
      </c>
      <c r="E18" s="2" t="s">
        <v>24</v>
      </c>
      <c r="F18" s="2" t="s">
        <v>34</v>
      </c>
      <c r="G18" s="9"/>
      <c r="H18" s="10">
        <v>1000</v>
      </c>
      <c r="I18" s="44">
        <v>2590.0100000000002</v>
      </c>
      <c r="J18" s="46">
        <f t="shared" si="2"/>
        <v>-1590.0100000000002</v>
      </c>
      <c r="K18" s="4">
        <f>H18/VLOOKUP(A18,Resume!$A:$C,3,FALSE)</f>
        <v>1.4728026373771389E-2</v>
      </c>
      <c r="L18" s="4">
        <f t="shared" si="0"/>
        <v>5.6864747139089757E-3</v>
      </c>
      <c r="M18" s="1" t="s">
        <v>227</v>
      </c>
      <c r="N18" s="1">
        <f t="shared" si="1"/>
        <v>1</v>
      </c>
    </row>
    <row r="19" spans="1:14" x14ac:dyDescent="0.25">
      <c r="A19" s="9" t="str">
        <v>Asep Ridwan Subiana</v>
      </c>
      <c r="B19" s="1" t="s">
        <v>32</v>
      </c>
      <c r="C19" s="1" t="s">
        <v>235</v>
      </c>
      <c r="D19" s="1" t="s">
        <v>33</v>
      </c>
      <c r="E19" s="2" t="s">
        <v>15</v>
      </c>
      <c r="F19" s="2" t="s">
        <v>34</v>
      </c>
      <c r="G19" s="9"/>
      <c r="H19" s="10">
        <v>1000</v>
      </c>
      <c r="I19" s="44"/>
      <c r="J19" s="10">
        <f t="shared" si="2"/>
        <v>1000</v>
      </c>
      <c r="K19" s="4">
        <f>H19/VLOOKUP(A19,Resume!$A:$C,3,FALSE)</f>
        <v>1.4728026373771389E-2</v>
      </c>
      <c r="L19" s="4" t="str">
        <f t="shared" si="0"/>
        <v/>
      </c>
      <c r="N19" s="1">
        <f t="shared" si="1"/>
        <v>1</v>
      </c>
    </row>
    <row r="20" spans="1:14" x14ac:dyDescent="0.25">
      <c r="A20" s="9" t="s">
        <v>36</v>
      </c>
      <c r="B20" s="1" t="s">
        <v>37</v>
      </c>
      <c r="C20" s="1" t="s">
        <v>236</v>
      </c>
      <c r="D20" s="1" t="s">
        <v>38</v>
      </c>
      <c r="E20" s="2" t="s">
        <v>13</v>
      </c>
      <c r="F20" s="2" t="s">
        <v>39</v>
      </c>
      <c r="G20" s="9"/>
      <c r="H20" s="10">
        <v>151561</v>
      </c>
      <c r="I20" s="9"/>
      <c r="J20" s="10">
        <f t="shared" ref="J20:J25" si="3">H20-I20</f>
        <v>151561</v>
      </c>
      <c r="K20" s="4">
        <f>H20/VLOOKUP(A20,Resume!$A:$C,3,FALSE)</f>
        <v>0.65619333139484248</v>
      </c>
      <c r="L20" s="4" t="str">
        <f t="shared" si="0"/>
        <v/>
      </c>
      <c r="N20" s="1">
        <f t="shared" si="1"/>
        <v>2</v>
      </c>
    </row>
    <row r="21" spans="1:14" x14ac:dyDescent="0.25">
      <c r="A21" s="9" t="str">
        <f>A20</f>
        <v>Choeruman</v>
      </c>
      <c r="B21" s="1" t="s">
        <v>37</v>
      </c>
      <c r="C21" s="1" t="s">
        <v>237</v>
      </c>
      <c r="D21" s="1" t="s">
        <v>38</v>
      </c>
      <c r="E21" s="2" t="s">
        <v>24</v>
      </c>
      <c r="F21" s="2" t="s">
        <v>39</v>
      </c>
      <c r="G21" s="9"/>
      <c r="H21" s="10">
        <v>26883.15</v>
      </c>
      <c r="I21" s="9"/>
      <c r="J21" s="10">
        <f t="shared" si="3"/>
        <v>26883.15</v>
      </c>
      <c r="K21" s="4">
        <f>H21/VLOOKUP(A21,Resume!$A:$C,3,FALSE)</f>
        <v>0.11639236846475848</v>
      </c>
      <c r="L21" s="4" t="str">
        <f t="shared" si="0"/>
        <v/>
      </c>
      <c r="N21" s="1">
        <f t="shared" si="1"/>
        <v>2</v>
      </c>
    </row>
    <row r="22" spans="1:14" x14ac:dyDescent="0.25">
      <c r="A22" s="9" t="str">
        <f t="shared" ref="A22:A25" si="4">A21</f>
        <v>Choeruman</v>
      </c>
      <c r="B22" s="1" t="s">
        <v>37</v>
      </c>
      <c r="C22" s="1" t="s">
        <v>238</v>
      </c>
      <c r="D22" s="1" t="s">
        <v>38</v>
      </c>
      <c r="E22" s="2" t="s">
        <v>15</v>
      </c>
      <c r="F22" s="2" t="s">
        <v>40</v>
      </c>
      <c r="G22" s="9"/>
      <c r="H22" s="10">
        <v>32525.89</v>
      </c>
      <c r="I22" s="9"/>
      <c r="J22" s="10">
        <f t="shared" si="3"/>
        <v>32525.89</v>
      </c>
      <c r="K22" s="4">
        <f>H22/VLOOKUP(A22,Resume!$A:$C,3,FALSE)</f>
        <v>0.14082298292886819</v>
      </c>
      <c r="L22" s="4" t="str">
        <f t="shared" si="0"/>
        <v/>
      </c>
      <c r="N22" s="1">
        <f t="shared" si="1"/>
        <v>2</v>
      </c>
    </row>
    <row r="23" spans="1:14" x14ac:dyDescent="0.25">
      <c r="A23" s="9" t="str">
        <f t="shared" si="4"/>
        <v>Choeruman</v>
      </c>
      <c r="B23" s="1" t="s">
        <v>37</v>
      </c>
      <c r="C23" s="1" t="s">
        <v>236</v>
      </c>
      <c r="D23" s="1" t="s">
        <v>41</v>
      </c>
      <c r="E23" s="2" t="s">
        <v>13</v>
      </c>
      <c r="F23" s="2" t="s">
        <v>42</v>
      </c>
      <c r="G23" s="9"/>
      <c r="H23" s="10">
        <v>5000</v>
      </c>
      <c r="I23" s="9"/>
      <c r="J23" s="10">
        <f t="shared" si="3"/>
        <v>5000</v>
      </c>
      <c r="K23" s="4">
        <f>H23/VLOOKUP(A23,Resume!$A:$C,3,FALSE)</f>
        <v>2.1647829302882747E-2</v>
      </c>
      <c r="L23" s="4" t="str">
        <f t="shared" si="0"/>
        <v/>
      </c>
      <c r="N23" s="1">
        <f t="shared" si="1"/>
        <v>2</v>
      </c>
    </row>
    <row r="24" spans="1:14" x14ac:dyDescent="0.25">
      <c r="A24" s="9" t="str">
        <f t="shared" si="4"/>
        <v>Choeruman</v>
      </c>
      <c r="B24" s="1" t="s">
        <v>37</v>
      </c>
      <c r="C24" s="1" t="s">
        <v>237</v>
      </c>
      <c r="D24" s="1" t="s">
        <v>38</v>
      </c>
      <c r="E24" s="2" t="s">
        <v>24</v>
      </c>
      <c r="F24" s="2" t="s">
        <v>43</v>
      </c>
      <c r="G24" s="9"/>
      <c r="H24" s="10">
        <v>7500</v>
      </c>
      <c r="I24" s="9"/>
      <c r="J24" s="10">
        <f t="shared" si="3"/>
        <v>7500</v>
      </c>
      <c r="K24" s="4">
        <f>H24/VLOOKUP(A24,Resume!$A:$C,3,FALSE)</f>
        <v>3.2471743954324124E-2</v>
      </c>
      <c r="L24" s="4" t="str">
        <f t="shared" si="0"/>
        <v/>
      </c>
      <c r="N24" s="1">
        <f t="shared" si="1"/>
        <v>2</v>
      </c>
    </row>
    <row r="25" spans="1:14" x14ac:dyDescent="0.25">
      <c r="A25" s="9" t="str">
        <f t="shared" si="4"/>
        <v>Choeruman</v>
      </c>
      <c r="B25" s="1" t="s">
        <v>37</v>
      </c>
      <c r="C25" s="1" t="s">
        <v>238</v>
      </c>
      <c r="D25" s="1" t="s">
        <v>38</v>
      </c>
      <c r="E25" s="2" t="s">
        <v>15</v>
      </c>
      <c r="F25" s="2" t="s">
        <v>42</v>
      </c>
      <c r="G25" s="9"/>
      <c r="H25" s="10">
        <v>7500</v>
      </c>
      <c r="I25" s="9"/>
      <c r="J25" s="10">
        <f t="shared" si="3"/>
        <v>7500</v>
      </c>
      <c r="K25" s="4">
        <f>H25/VLOOKUP(A25,Resume!$A:$C,3,FALSE)</f>
        <v>3.2471743954324124E-2</v>
      </c>
      <c r="L25" s="4" t="str">
        <f t="shared" si="0"/>
        <v/>
      </c>
      <c r="N25" s="1">
        <f t="shared" si="1"/>
        <v>2</v>
      </c>
    </row>
    <row r="26" spans="1:14" x14ac:dyDescent="0.25">
      <c r="A26" s="9" t="s">
        <v>44</v>
      </c>
      <c r="B26" s="41" t="s">
        <v>45</v>
      </c>
      <c r="C26" s="1" t="e">
        <v>#N/A</v>
      </c>
      <c r="H26" s="17"/>
      <c r="I26" s="1"/>
      <c r="J26" s="1"/>
      <c r="K26" s="48">
        <f>H26/VLOOKUP(A26,Resume!$A:$C,3,FALSE)</f>
        <v>0</v>
      </c>
      <c r="L26" s="48" t="str">
        <f t="shared" si="0"/>
        <v/>
      </c>
      <c r="M26" s="1" t="s">
        <v>195</v>
      </c>
      <c r="N26" s="1">
        <f t="shared" si="1"/>
        <v>2</v>
      </c>
    </row>
    <row r="27" spans="1:14" x14ac:dyDescent="0.25">
      <c r="A27" s="9" t="s">
        <v>44</v>
      </c>
      <c r="B27" s="1" t="s">
        <v>46</v>
      </c>
      <c r="C27" s="1" t="s">
        <v>239</v>
      </c>
      <c r="D27" s="1" t="s">
        <v>47</v>
      </c>
      <c r="E27" s="2" t="s">
        <v>13</v>
      </c>
      <c r="F27" s="2" t="s">
        <v>48</v>
      </c>
      <c r="G27" s="9" t="s">
        <v>49</v>
      </c>
      <c r="H27" s="10">
        <v>450</v>
      </c>
      <c r="I27" s="9"/>
      <c r="J27" s="10">
        <f t="shared" ref="J27:J35" si="5">H27-I27</f>
        <v>450</v>
      </c>
      <c r="K27" s="4">
        <f>H27/VLOOKUP(A27,Resume!$A:$C,3,FALSE)</f>
        <v>5.2941176470588235E-2</v>
      </c>
      <c r="L27" s="4" t="str">
        <f t="shared" si="0"/>
        <v/>
      </c>
      <c r="N27" s="1">
        <f t="shared" si="1"/>
        <v>5</v>
      </c>
    </row>
    <row r="28" spans="1:14" x14ac:dyDescent="0.25">
      <c r="A28" s="9" t="s">
        <v>44</v>
      </c>
      <c r="B28" s="1" t="s">
        <v>46</v>
      </c>
      <c r="C28" s="1" t="s">
        <v>239</v>
      </c>
      <c r="D28" s="1" t="s">
        <v>47</v>
      </c>
      <c r="E28" s="2" t="s">
        <v>13</v>
      </c>
      <c r="F28" s="2" t="s">
        <v>50</v>
      </c>
      <c r="G28" s="9" t="s">
        <v>51</v>
      </c>
      <c r="H28" s="10">
        <v>450</v>
      </c>
      <c r="I28" s="9"/>
      <c r="J28" s="10">
        <f t="shared" si="5"/>
        <v>450</v>
      </c>
      <c r="K28" s="4">
        <f>H28/VLOOKUP(A28,Resume!$A:$C,3,FALSE)</f>
        <v>5.2941176470588235E-2</v>
      </c>
      <c r="L28" s="4" t="str">
        <f t="shared" si="0"/>
        <v/>
      </c>
      <c r="N28" s="1">
        <f t="shared" si="1"/>
        <v>5</v>
      </c>
    </row>
    <row r="29" spans="1:14" x14ac:dyDescent="0.25">
      <c r="A29" s="9" t="s">
        <v>44</v>
      </c>
      <c r="B29" s="1" t="s">
        <v>46</v>
      </c>
      <c r="C29" s="1" t="s">
        <v>239</v>
      </c>
      <c r="D29" s="1" t="s">
        <v>47</v>
      </c>
      <c r="E29" s="2" t="s">
        <v>13</v>
      </c>
      <c r="F29" s="2" t="s">
        <v>52</v>
      </c>
      <c r="G29" s="9" t="s">
        <v>53</v>
      </c>
      <c r="H29" s="10">
        <v>450</v>
      </c>
      <c r="I29" s="9"/>
      <c r="J29" s="10">
        <f t="shared" si="5"/>
        <v>450</v>
      </c>
      <c r="K29" s="4">
        <f>H29/VLOOKUP(A29,Resume!$A:$C,3,FALSE)</f>
        <v>5.2941176470588235E-2</v>
      </c>
      <c r="L29" s="4" t="str">
        <f t="shared" si="0"/>
        <v/>
      </c>
      <c r="N29" s="1">
        <f t="shared" si="1"/>
        <v>5</v>
      </c>
    </row>
    <row r="30" spans="1:14" x14ac:dyDescent="0.25">
      <c r="A30" s="9" t="s">
        <v>44</v>
      </c>
      <c r="B30" s="1" t="s">
        <v>46</v>
      </c>
      <c r="C30" s="1" t="s">
        <v>239</v>
      </c>
      <c r="D30" s="1" t="s">
        <v>47</v>
      </c>
      <c r="E30" s="2" t="s">
        <v>13</v>
      </c>
      <c r="F30" s="2" t="s">
        <v>54</v>
      </c>
      <c r="G30" s="9" t="s">
        <v>55</v>
      </c>
      <c r="H30" s="10">
        <v>450</v>
      </c>
      <c r="I30" s="9"/>
      <c r="J30" s="10">
        <f t="shared" si="5"/>
        <v>450</v>
      </c>
      <c r="K30" s="4">
        <f>H30/VLOOKUP(A30,Resume!$A:$C,3,FALSE)</f>
        <v>5.2941176470588235E-2</v>
      </c>
      <c r="L30" s="4" t="str">
        <f t="shared" si="0"/>
        <v/>
      </c>
      <c r="N30" s="1">
        <f t="shared" si="1"/>
        <v>5</v>
      </c>
    </row>
    <row r="31" spans="1:14" x14ac:dyDescent="0.25">
      <c r="A31" s="9" t="s">
        <v>44</v>
      </c>
      <c r="B31" s="1" t="s">
        <v>56</v>
      </c>
      <c r="C31" s="1" t="s">
        <v>232</v>
      </c>
      <c r="D31" s="1" t="s">
        <v>57</v>
      </c>
      <c r="E31" s="2" t="s">
        <v>13</v>
      </c>
      <c r="F31" s="2" t="s">
        <v>54</v>
      </c>
      <c r="G31" s="9" t="s">
        <v>58</v>
      </c>
      <c r="H31" s="10">
        <v>6300</v>
      </c>
      <c r="I31" s="9"/>
      <c r="J31" s="10">
        <f t="shared" si="5"/>
        <v>6300</v>
      </c>
      <c r="K31" s="4">
        <f>H31/VLOOKUP(A31,Resume!$A:$C,3,FALSE)</f>
        <v>0.74117647058823533</v>
      </c>
      <c r="L31" s="4" t="str">
        <f t="shared" si="0"/>
        <v/>
      </c>
      <c r="N31" s="1">
        <f t="shared" si="1"/>
        <v>2</v>
      </c>
    </row>
    <row r="32" spans="1:14" x14ac:dyDescent="0.25">
      <c r="A32" s="9" t="s">
        <v>44</v>
      </c>
      <c r="B32" s="1" t="s">
        <v>59</v>
      </c>
      <c r="C32" s="1" t="s">
        <v>240</v>
      </c>
      <c r="D32" s="1" t="s">
        <v>60</v>
      </c>
      <c r="E32" s="2" t="s">
        <v>13</v>
      </c>
      <c r="F32" s="2" t="s">
        <v>48</v>
      </c>
      <c r="G32" s="9" t="s">
        <v>49</v>
      </c>
      <c r="H32" s="10">
        <v>100</v>
      </c>
      <c r="I32" s="1"/>
      <c r="J32" s="46">
        <f t="shared" si="5"/>
        <v>100</v>
      </c>
      <c r="K32" s="4">
        <f>H32/VLOOKUP(A32,Resume!$A:$C,3,FALSE)</f>
        <v>1.1764705882352941E-2</v>
      </c>
      <c r="L32" s="4" t="str">
        <f t="shared" si="0"/>
        <v/>
      </c>
      <c r="N32" s="1">
        <f t="shared" si="1"/>
        <v>6</v>
      </c>
    </row>
    <row r="33" spans="1:14" x14ac:dyDescent="0.25">
      <c r="A33" s="9" t="s">
        <v>44</v>
      </c>
      <c r="B33" s="1" t="s">
        <v>59</v>
      </c>
      <c r="C33" s="1" t="s">
        <v>240</v>
      </c>
      <c r="D33" s="1" t="s">
        <v>60</v>
      </c>
      <c r="E33" s="2" t="s">
        <v>13</v>
      </c>
      <c r="F33" s="2" t="s">
        <v>50</v>
      </c>
      <c r="G33" s="9" t="s">
        <v>51</v>
      </c>
      <c r="H33" s="10">
        <v>100</v>
      </c>
      <c r="I33" s="1"/>
      <c r="J33" s="10">
        <f t="shared" si="5"/>
        <v>100</v>
      </c>
      <c r="K33" s="4">
        <f>H33/VLOOKUP(A33,Resume!$A:$C,3,FALSE)</f>
        <v>1.1764705882352941E-2</v>
      </c>
      <c r="L33" s="4" t="str">
        <f t="shared" si="0"/>
        <v/>
      </c>
      <c r="N33" s="1">
        <f t="shared" si="1"/>
        <v>6</v>
      </c>
    </row>
    <row r="34" spans="1:14" x14ac:dyDescent="0.25">
      <c r="A34" s="9" t="s">
        <v>44</v>
      </c>
      <c r="B34" s="1" t="s">
        <v>59</v>
      </c>
      <c r="C34" s="1" t="s">
        <v>240</v>
      </c>
      <c r="D34" s="1" t="s">
        <v>60</v>
      </c>
      <c r="E34" s="2" t="s">
        <v>13</v>
      </c>
      <c r="F34" s="2" t="s">
        <v>52</v>
      </c>
      <c r="G34" s="9" t="s">
        <v>53</v>
      </c>
      <c r="H34" s="10">
        <v>100</v>
      </c>
      <c r="I34" s="9"/>
      <c r="J34" s="10">
        <f t="shared" si="5"/>
        <v>100</v>
      </c>
      <c r="K34" s="4">
        <f>H34/VLOOKUP(A34,Resume!$A:$C,3,FALSE)</f>
        <v>1.1764705882352941E-2</v>
      </c>
      <c r="L34" s="4" t="str">
        <f t="shared" si="0"/>
        <v/>
      </c>
      <c r="N34" s="1">
        <f t="shared" si="1"/>
        <v>6</v>
      </c>
    </row>
    <row r="35" spans="1:14" x14ac:dyDescent="0.25">
      <c r="A35" s="9" t="s">
        <v>44</v>
      </c>
      <c r="B35" s="1" t="s">
        <v>59</v>
      </c>
      <c r="C35" s="1" t="s">
        <v>240</v>
      </c>
      <c r="D35" s="1" t="s">
        <v>60</v>
      </c>
      <c r="E35" s="2" t="s">
        <v>13</v>
      </c>
      <c r="F35" s="2" t="s">
        <v>54</v>
      </c>
      <c r="G35" s="9" t="s">
        <v>55</v>
      </c>
      <c r="H35" s="10">
        <v>100</v>
      </c>
      <c r="I35" s="9"/>
      <c r="J35" s="10">
        <f t="shared" si="5"/>
        <v>100</v>
      </c>
      <c r="K35" s="4">
        <f>H35/VLOOKUP(A35,Resume!$A:$C,3,FALSE)</f>
        <v>1.1764705882352941E-2</v>
      </c>
      <c r="L35" s="4" t="str">
        <f t="shared" si="0"/>
        <v/>
      </c>
      <c r="N35" s="1">
        <f t="shared" si="1"/>
        <v>6</v>
      </c>
    </row>
    <row r="36" spans="1:14" x14ac:dyDescent="0.25">
      <c r="A36" s="9" t="s">
        <v>334</v>
      </c>
      <c r="B36" s="41" t="s">
        <v>45</v>
      </c>
      <c r="C36" s="1" t="e">
        <v>#N/A</v>
      </c>
      <c r="H36" s="17"/>
      <c r="I36" s="1"/>
      <c r="J36" s="1"/>
      <c r="K36" s="48">
        <f>H36/VLOOKUP(A36,Resume!$A:$C,3,FALSE)</f>
        <v>0</v>
      </c>
      <c r="L36" s="48" t="str">
        <f t="shared" si="0"/>
        <v/>
      </c>
      <c r="M36" s="1" t="s">
        <v>195</v>
      </c>
      <c r="N36" s="1">
        <f t="shared" si="1"/>
        <v>2</v>
      </c>
    </row>
    <row r="37" spans="1:14" x14ac:dyDescent="0.25">
      <c r="A37" s="9" t="s">
        <v>334</v>
      </c>
      <c r="B37" s="1" t="s">
        <v>46</v>
      </c>
      <c r="C37" s="1" t="s">
        <v>239</v>
      </c>
      <c r="D37" s="1" t="s">
        <v>47</v>
      </c>
      <c r="E37" s="2" t="s">
        <v>13</v>
      </c>
      <c r="F37" s="2" t="s">
        <v>62</v>
      </c>
      <c r="G37" s="9" t="s">
        <v>63</v>
      </c>
      <c r="H37" s="10">
        <v>200</v>
      </c>
      <c r="I37" s="9"/>
      <c r="J37" s="10">
        <f t="shared" ref="J37:J40" si="6">H37-I37</f>
        <v>200</v>
      </c>
      <c r="K37" s="4">
        <f>H37/VLOOKUP(A37,Resume!$A:$C,3,FALSE)</f>
        <v>0.2</v>
      </c>
      <c r="L37" s="4" t="str">
        <f t="shared" si="0"/>
        <v/>
      </c>
      <c r="N37" s="1">
        <f t="shared" si="1"/>
        <v>5</v>
      </c>
    </row>
    <row r="38" spans="1:14" x14ac:dyDescent="0.25">
      <c r="A38" s="9" t="s">
        <v>334</v>
      </c>
      <c r="B38" s="1" t="s">
        <v>56</v>
      </c>
      <c r="C38" s="1" t="s">
        <v>232</v>
      </c>
      <c r="D38" s="1" t="s">
        <v>57</v>
      </c>
      <c r="E38" s="2" t="s">
        <v>13</v>
      </c>
      <c r="F38" s="2" t="s">
        <v>64</v>
      </c>
      <c r="G38" s="9" t="s">
        <v>65</v>
      </c>
      <c r="H38" s="10">
        <v>700</v>
      </c>
      <c r="I38" s="9"/>
      <c r="J38" s="10">
        <f t="shared" si="6"/>
        <v>700</v>
      </c>
      <c r="K38" s="4">
        <f>H38/VLOOKUP(A38,Resume!$A:$C,3,FALSE)</f>
        <v>0.7</v>
      </c>
      <c r="L38" s="4" t="str">
        <f t="shared" si="0"/>
        <v/>
      </c>
      <c r="N38" s="1">
        <f t="shared" si="1"/>
        <v>2</v>
      </c>
    </row>
    <row r="39" spans="1:14" x14ac:dyDescent="0.25">
      <c r="A39" s="9" t="s">
        <v>334</v>
      </c>
      <c r="B39" s="1" t="s">
        <v>59</v>
      </c>
      <c r="C39" s="1" t="s">
        <v>240</v>
      </c>
      <c r="D39" s="1" t="s">
        <v>60</v>
      </c>
      <c r="E39" s="2" t="s">
        <v>13</v>
      </c>
      <c r="F39" s="2" t="s">
        <v>64</v>
      </c>
      <c r="G39" s="9" t="s">
        <v>63</v>
      </c>
      <c r="H39" s="10">
        <v>50</v>
      </c>
      <c r="I39" s="9"/>
      <c r="J39" s="10">
        <f t="shared" si="6"/>
        <v>50</v>
      </c>
      <c r="K39" s="4">
        <f>H39/VLOOKUP(A39,Resume!$A:$C,3,FALSE)</f>
        <v>0.05</v>
      </c>
      <c r="L39" s="4" t="str">
        <f t="shared" si="0"/>
        <v/>
      </c>
      <c r="N39" s="1">
        <f t="shared" si="1"/>
        <v>6</v>
      </c>
    </row>
    <row r="40" spans="1:14" x14ac:dyDescent="0.25">
      <c r="A40" s="9" t="s">
        <v>334</v>
      </c>
      <c r="B40" s="1" t="s">
        <v>59</v>
      </c>
      <c r="C40" s="1" t="s">
        <v>240</v>
      </c>
      <c r="D40" s="1" t="s">
        <v>60</v>
      </c>
      <c r="E40" s="2" t="s">
        <v>13</v>
      </c>
      <c r="F40" s="2" t="s">
        <v>66</v>
      </c>
      <c r="G40" s="9" t="s">
        <v>67</v>
      </c>
      <c r="H40" s="10">
        <v>50</v>
      </c>
      <c r="I40" s="9"/>
      <c r="J40" s="10">
        <f t="shared" si="6"/>
        <v>50</v>
      </c>
      <c r="K40" s="4">
        <f>H40/VLOOKUP(A40,Resume!$A:$C,3,FALSE)</f>
        <v>0.05</v>
      </c>
      <c r="L40" s="4" t="str">
        <f t="shared" si="0"/>
        <v/>
      </c>
      <c r="N40" s="1">
        <f t="shared" si="1"/>
        <v>6</v>
      </c>
    </row>
    <row r="41" spans="1:14" x14ac:dyDescent="0.25">
      <c r="A41" s="9" t="s">
        <v>68</v>
      </c>
      <c r="B41" s="1" t="s">
        <v>69</v>
      </c>
      <c r="C41" s="1" t="s">
        <v>196</v>
      </c>
      <c r="D41" s="1" t="s">
        <v>70</v>
      </c>
      <c r="E41" s="2" t="s">
        <v>13</v>
      </c>
      <c r="F41" s="2" t="s">
        <v>19</v>
      </c>
      <c r="G41" s="9"/>
      <c r="I41" s="9"/>
      <c r="J41" s="10">
        <f t="shared" ref="J41:J95" si="7">H41-I41</f>
        <v>0</v>
      </c>
      <c r="K41" s="4">
        <f>H41/VLOOKUP(A41,Resume!$A:$C,3,FALSE)</f>
        <v>0</v>
      </c>
      <c r="L41" s="4" t="str">
        <f t="shared" si="0"/>
        <v/>
      </c>
      <c r="N41" s="1">
        <f t="shared" ref="N41:N72" si="8">COUNTIF($C$6:$C$164,C41)</f>
        <v>1</v>
      </c>
    </row>
    <row r="42" spans="1:14" x14ac:dyDescent="0.25">
      <c r="A42" s="9" t="str">
        <f t="shared" ref="A42:A95" si="9">A41</f>
        <v>Owi Wijaya</v>
      </c>
      <c r="B42" s="1" t="s">
        <v>71</v>
      </c>
      <c r="C42" s="1" t="s">
        <v>241</v>
      </c>
      <c r="D42" s="1" t="s">
        <v>72</v>
      </c>
      <c r="E42" s="2" t="s">
        <v>13</v>
      </c>
      <c r="F42" s="2" t="s">
        <v>73</v>
      </c>
      <c r="G42" s="9"/>
      <c r="H42" s="10">
        <v>4917.96</v>
      </c>
      <c r="I42" s="9"/>
      <c r="J42" s="10">
        <f t="shared" si="7"/>
        <v>4917.96</v>
      </c>
      <c r="K42" s="4">
        <f>H42/VLOOKUP(A42,Resume!$A:$C,3,FALSE)</f>
        <v>5.6433869134324049E-2</v>
      </c>
      <c r="L42" s="4" t="str">
        <f t="shared" si="0"/>
        <v/>
      </c>
      <c r="N42" s="1">
        <f t="shared" si="8"/>
        <v>1</v>
      </c>
    </row>
    <row r="43" spans="1:14" x14ac:dyDescent="0.25">
      <c r="A43" s="9" t="str">
        <f t="shared" si="9"/>
        <v>Owi Wijaya</v>
      </c>
      <c r="B43" s="1" t="s">
        <v>74</v>
      </c>
      <c r="C43" s="1" t="s">
        <v>242</v>
      </c>
      <c r="D43" s="1" t="s">
        <v>75</v>
      </c>
      <c r="E43" s="2" t="s">
        <v>13</v>
      </c>
      <c r="F43" s="2" t="s">
        <v>76</v>
      </c>
      <c r="G43" s="9"/>
      <c r="H43" s="10">
        <v>281</v>
      </c>
      <c r="I43" s="9"/>
      <c r="J43" s="10">
        <f t="shared" si="7"/>
        <v>281</v>
      </c>
      <c r="K43" s="4">
        <f>H43/VLOOKUP(A43,Resume!$A:$C,3,FALSE)</f>
        <v>3.2244908919033619E-3</v>
      </c>
      <c r="L43" s="4" t="str">
        <f t="shared" si="0"/>
        <v/>
      </c>
      <c r="N43" s="1">
        <f t="shared" si="8"/>
        <v>1</v>
      </c>
    </row>
    <row r="44" spans="1:14" x14ac:dyDescent="0.25">
      <c r="A44" s="9" t="str">
        <f t="shared" si="9"/>
        <v>Owi Wijaya</v>
      </c>
      <c r="B44" s="1" t="s">
        <v>74</v>
      </c>
      <c r="C44" s="1" t="s">
        <v>212</v>
      </c>
      <c r="D44" s="1" t="s">
        <v>75</v>
      </c>
      <c r="E44" s="2" t="s">
        <v>15</v>
      </c>
      <c r="F44" s="2" t="s">
        <v>76</v>
      </c>
      <c r="G44" s="9"/>
      <c r="H44" s="10">
        <v>64.58</v>
      </c>
      <c r="I44" s="9"/>
      <c r="J44" s="10">
        <f t="shared" si="7"/>
        <v>64.58</v>
      </c>
      <c r="K44" s="4">
        <f>H44/VLOOKUP(A44,Resume!$A:$C,3,FALSE)</f>
        <v>7.4105915231003239E-4</v>
      </c>
      <c r="L44" s="4" t="str">
        <f t="shared" si="0"/>
        <v/>
      </c>
      <c r="M44" s="1" t="s">
        <v>227</v>
      </c>
      <c r="N44" s="1">
        <f t="shared" si="8"/>
        <v>1</v>
      </c>
    </row>
    <row r="45" spans="1:14" x14ac:dyDescent="0.25">
      <c r="A45" s="9" t="str">
        <f t="shared" si="9"/>
        <v>Owi Wijaya</v>
      </c>
      <c r="B45" s="1" t="s">
        <v>77</v>
      </c>
      <c r="C45" s="1" t="s">
        <v>243</v>
      </c>
      <c r="D45" s="1" t="s">
        <v>78</v>
      </c>
      <c r="E45" s="2" t="s">
        <v>13</v>
      </c>
      <c r="F45" s="2" t="s">
        <v>76</v>
      </c>
      <c r="G45" s="9"/>
      <c r="H45" s="10">
        <v>2027.63</v>
      </c>
      <c r="I45" s="9"/>
      <c r="J45" s="10">
        <f t="shared" si="7"/>
        <v>2027.63</v>
      </c>
      <c r="K45" s="4">
        <f>H45/VLOOKUP(A45,Resume!$A:$C,3,FALSE)</f>
        <v>2.3267168922242044E-2</v>
      </c>
      <c r="L45" s="4" t="str">
        <f t="shared" si="0"/>
        <v/>
      </c>
      <c r="N45" s="1">
        <f t="shared" si="8"/>
        <v>1</v>
      </c>
    </row>
    <row r="46" spans="1:14" x14ac:dyDescent="0.25">
      <c r="A46" s="9" t="str">
        <f t="shared" si="9"/>
        <v>Owi Wijaya</v>
      </c>
      <c r="B46" s="1" t="s">
        <v>79</v>
      </c>
      <c r="C46" s="1" t="s">
        <v>244</v>
      </c>
      <c r="D46" s="1" t="s">
        <v>80</v>
      </c>
      <c r="E46" s="2" t="s">
        <v>13</v>
      </c>
      <c r="F46" s="2" t="s">
        <v>76</v>
      </c>
      <c r="G46" s="9"/>
      <c r="H46" s="10">
        <v>1453.67</v>
      </c>
      <c r="I46" s="9"/>
      <c r="J46" s="10">
        <f t="shared" si="7"/>
        <v>1453.67</v>
      </c>
      <c r="K46" s="4">
        <f>H46/VLOOKUP(A46,Resume!$A:$C,3,FALSE)</f>
        <v>1.6680945462039718E-2</v>
      </c>
      <c r="L46" s="4" t="str">
        <f t="shared" si="0"/>
        <v/>
      </c>
      <c r="N46" s="1">
        <f t="shared" si="8"/>
        <v>1</v>
      </c>
    </row>
    <row r="47" spans="1:14" x14ac:dyDescent="0.25">
      <c r="A47" s="9" t="str">
        <f t="shared" si="9"/>
        <v>Owi Wijaya</v>
      </c>
      <c r="B47" s="1" t="s">
        <v>81</v>
      </c>
      <c r="C47" s="1" t="s">
        <v>245</v>
      </c>
      <c r="D47" s="1" t="s">
        <v>82</v>
      </c>
      <c r="E47" s="2" t="s">
        <v>13</v>
      </c>
      <c r="F47" s="2" t="s">
        <v>83</v>
      </c>
      <c r="G47" s="9"/>
      <c r="H47" s="10">
        <v>531</v>
      </c>
      <c r="I47" s="9"/>
      <c r="J47" s="10">
        <f t="shared" si="7"/>
        <v>531</v>
      </c>
      <c r="K47" s="4">
        <f>H47/VLOOKUP(A47,Resume!$A:$C,3,FALSE)</f>
        <v>6.0932550306074208E-3</v>
      </c>
      <c r="L47" s="4" t="str">
        <f t="shared" si="0"/>
        <v/>
      </c>
      <c r="N47" s="1">
        <f t="shared" si="8"/>
        <v>1</v>
      </c>
    </row>
    <row r="48" spans="1:14" x14ac:dyDescent="0.25">
      <c r="A48" s="9" t="str">
        <f t="shared" si="9"/>
        <v>Owi Wijaya</v>
      </c>
      <c r="B48" s="1" t="s">
        <v>158</v>
      </c>
      <c r="C48" s="1" t="s">
        <v>246</v>
      </c>
      <c r="D48" s="1" t="s">
        <v>85</v>
      </c>
      <c r="E48" s="2" t="s">
        <v>13</v>
      </c>
      <c r="F48" s="2" t="s">
        <v>76</v>
      </c>
      <c r="G48" s="9"/>
      <c r="H48" s="10">
        <v>2429</v>
      </c>
      <c r="I48" s="9"/>
      <c r="J48" s="10">
        <f t="shared" si="7"/>
        <v>2429</v>
      </c>
      <c r="K48" s="4">
        <f>H48/VLOOKUP(A48,Resume!$A:$C,3,FALSE)</f>
        <v>2.7872912371648635E-2</v>
      </c>
      <c r="L48" s="4" t="str">
        <f t="shared" si="0"/>
        <v/>
      </c>
      <c r="N48" s="1">
        <f t="shared" si="8"/>
        <v>2</v>
      </c>
    </row>
    <row r="49" spans="1:14" x14ac:dyDescent="0.25">
      <c r="A49" s="9" t="str">
        <f t="shared" si="9"/>
        <v>Owi Wijaya</v>
      </c>
      <c r="B49" s="1" t="s">
        <v>158</v>
      </c>
      <c r="C49" s="1" t="s">
        <v>246</v>
      </c>
      <c r="D49" s="1" t="s">
        <v>87</v>
      </c>
      <c r="E49" s="2" t="s">
        <v>13</v>
      </c>
      <c r="F49" s="2" t="s">
        <v>76</v>
      </c>
      <c r="G49" s="9"/>
      <c r="H49" s="10">
        <v>200</v>
      </c>
      <c r="I49" s="9"/>
      <c r="J49" s="10">
        <f t="shared" si="7"/>
        <v>200</v>
      </c>
      <c r="K49" s="4">
        <f>H49/VLOOKUP(A49,Resume!$A:$C,3,FALSE)</f>
        <v>2.2950113109632469E-3</v>
      </c>
      <c r="L49" s="4" t="str">
        <f t="shared" si="0"/>
        <v/>
      </c>
      <c r="N49" s="1">
        <f t="shared" si="8"/>
        <v>2</v>
      </c>
    </row>
    <row r="50" spans="1:14" x14ac:dyDescent="0.25">
      <c r="A50" s="9" t="str">
        <f t="shared" si="9"/>
        <v>Owi Wijaya</v>
      </c>
      <c r="B50" s="1" t="s">
        <v>88</v>
      </c>
      <c r="C50" s="1" t="s">
        <v>247</v>
      </c>
      <c r="D50" s="1" t="s">
        <v>89</v>
      </c>
      <c r="E50" s="2" t="s">
        <v>13</v>
      </c>
      <c r="F50" s="2" t="s">
        <v>76</v>
      </c>
      <c r="G50" s="9"/>
      <c r="H50" s="10">
        <v>3004.76</v>
      </c>
      <c r="I50" s="9"/>
      <c r="J50" s="10">
        <f t="shared" si="7"/>
        <v>3004.76</v>
      </c>
      <c r="K50" s="4">
        <f>H50/VLOOKUP(A50,Resume!$A:$C,3,FALSE)</f>
        <v>3.4479790933649633E-2</v>
      </c>
      <c r="L50" s="4" t="str">
        <f t="shared" si="0"/>
        <v/>
      </c>
      <c r="N50" s="1">
        <f t="shared" si="8"/>
        <v>1</v>
      </c>
    </row>
    <row r="51" spans="1:14" x14ac:dyDescent="0.25">
      <c r="A51" s="9" t="str">
        <f t="shared" si="9"/>
        <v>Owi Wijaya</v>
      </c>
      <c r="B51" s="1" t="s">
        <v>88</v>
      </c>
      <c r="C51" s="1" t="s">
        <v>213</v>
      </c>
      <c r="D51" s="1" t="s">
        <v>89</v>
      </c>
      <c r="E51" s="2" t="s">
        <v>15</v>
      </c>
      <c r="F51" s="2" t="s">
        <v>76</v>
      </c>
      <c r="G51" s="9"/>
      <c r="H51" s="10">
        <v>1543.55</v>
      </c>
      <c r="I51" s="9"/>
      <c r="J51" s="10">
        <f t="shared" si="7"/>
        <v>1543.55</v>
      </c>
      <c r="K51" s="4">
        <f>H51/VLOOKUP(A51,Resume!$A:$C,3,FALSE)</f>
        <v>1.7712323545186599E-2</v>
      </c>
      <c r="L51" s="4" t="str">
        <f t="shared" si="0"/>
        <v/>
      </c>
      <c r="M51" s="1" t="s">
        <v>227</v>
      </c>
      <c r="N51" s="1">
        <f t="shared" si="8"/>
        <v>1</v>
      </c>
    </row>
    <row r="52" spans="1:14" x14ac:dyDescent="0.25">
      <c r="A52" s="9" t="str">
        <f t="shared" si="9"/>
        <v>Owi Wijaya</v>
      </c>
      <c r="B52" s="1" t="s">
        <v>90</v>
      </c>
      <c r="C52" s="1" t="s">
        <v>248</v>
      </c>
      <c r="D52" s="1" t="s">
        <v>91</v>
      </c>
      <c r="E52" s="2" t="s">
        <v>13</v>
      </c>
      <c r="F52" s="2" t="s">
        <v>76</v>
      </c>
      <c r="G52" s="9"/>
      <c r="H52" s="10">
        <v>938.47</v>
      </c>
      <c r="I52" s="9"/>
      <c r="J52" s="10">
        <f t="shared" si="7"/>
        <v>938.47</v>
      </c>
      <c r="K52" s="4">
        <f>H52/VLOOKUP(A52,Resume!$A:$C,3,FALSE)</f>
        <v>1.0768996324998392E-2</v>
      </c>
      <c r="L52" s="4" t="str">
        <f t="shared" si="0"/>
        <v/>
      </c>
      <c r="N52" s="1">
        <f t="shared" si="8"/>
        <v>1</v>
      </c>
    </row>
    <row r="53" spans="1:14" x14ac:dyDescent="0.25">
      <c r="A53" s="9" t="str">
        <f t="shared" si="9"/>
        <v>Owi Wijaya</v>
      </c>
      <c r="B53" s="1" t="s">
        <v>90</v>
      </c>
      <c r="C53" s="1" t="s">
        <v>214</v>
      </c>
      <c r="D53" s="1" t="s">
        <v>91</v>
      </c>
      <c r="E53" s="2" t="s">
        <v>24</v>
      </c>
      <c r="F53" s="2" t="s">
        <v>76</v>
      </c>
      <c r="G53" s="9"/>
      <c r="H53" s="10">
        <v>175.55</v>
      </c>
      <c r="I53" s="9"/>
      <c r="J53" s="10">
        <f t="shared" si="7"/>
        <v>175.55</v>
      </c>
      <c r="K53" s="4">
        <f>H53/VLOOKUP(A53,Resume!$A:$C,3,FALSE)</f>
        <v>2.0144461781979902E-3</v>
      </c>
      <c r="L53" s="4" t="str">
        <f t="shared" si="0"/>
        <v/>
      </c>
      <c r="M53" s="1" t="s">
        <v>227</v>
      </c>
      <c r="N53" s="1">
        <f t="shared" si="8"/>
        <v>1</v>
      </c>
    </row>
    <row r="54" spans="1:14" x14ac:dyDescent="0.25">
      <c r="A54" s="9" t="str">
        <f t="shared" si="9"/>
        <v>Owi Wijaya</v>
      </c>
      <c r="B54" s="1" t="s">
        <v>90</v>
      </c>
      <c r="C54" s="1" t="s">
        <v>215</v>
      </c>
      <c r="D54" s="1" t="s">
        <v>91</v>
      </c>
      <c r="E54" s="2" t="s">
        <v>15</v>
      </c>
      <c r="F54" s="2" t="s">
        <v>76</v>
      </c>
      <c r="G54" s="9"/>
      <c r="H54" s="10">
        <v>2294.39</v>
      </c>
      <c r="I54" s="9"/>
      <c r="J54" s="10">
        <f t="shared" si="7"/>
        <v>2294.39</v>
      </c>
      <c r="K54" s="4">
        <f>H54/VLOOKUP(A54,Resume!$A:$C,3,FALSE)</f>
        <v>2.632825500880482E-2</v>
      </c>
      <c r="L54" s="4" t="str">
        <f t="shared" si="0"/>
        <v/>
      </c>
      <c r="M54" s="1" t="s">
        <v>227</v>
      </c>
      <c r="N54" s="1">
        <f t="shared" si="8"/>
        <v>1</v>
      </c>
    </row>
    <row r="55" spans="1:14" x14ac:dyDescent="0.25">
      <c r="A55" s="9" t="str">
        <f t="shared" si="9"/>
        <v>Owi Wijaya</v>
      </c>
      <c r="B55" s="1" t="s">
        <v>92</v>
      </c>
      <c r="C55" s="1" t="s">
        <v>198</v>
      </c>
      <c r="D55" s="1" t="s">
        <v>93</v>
      </c>
      <c r="E55" s="2" t="s">
        <v>13</v>
      </c>
      <c r="F55" s="2" t="s">
        <v>76</v>
      </c>
      <c r="G55" s="9"/>
      <c r="H55" s="10">
        <v>1987.05</v>
      </c>
      <c r="I55" s="9"/>
      <c r="J55" s="10">
        <f t="shared" si="7"/>
        <v>1987.05</v>
      </c>
      <c r="K55" s="4">
        <f>H55/VLOOKUP(A55,Resume!$A:$C,3,FALSE)</f>
        <v>2.2801511127247598E-2</v>
      </c>
      <c r="L55" s="4" t="str">
        <f t="shared" si="0"/>
        <v/>
      </c>
      <c r="M55" s="1" t="s">
        <v>190</v>
      </c>
      <c r="N55" s="1">
        <f t="shared" si="8"/>
        <v>1</v>
      </c>
    </row>
    <row r="56" spans="1:14" x14ac:dyDescent="0.25">
      <c r="A56" s="9" t="str">
        <f t="shared" si="9"/>
        <v>Owi Wijaya</v>
      </c>
      <c r="B56" s="1" t="s">
        <v>92</v>
      </c>
      <c r="C56" s="1" t="s">
        <v>199</v>
      </c>
      <c r="D56" s="1" t="s">
        <v>93</v>
      </c>
      <c r="E56" s="2" t="s">
        <v>15</v>
      </c>
      <c r="F56" s="2" t="s">
        <v>76</v>
      </c>
      <c r="G56" s="9"/>
      <c r="H56" s="10">
        <v>1692.67</v>
      </c>
      <c r="I56" s="9"/>
      <c r="J56" s="10">
        <f t="shared" si="7"/>
        <v>1692.67</v>
      </c>
      <c r="K56" s="4">
        <f>H56/VLOOKUP(A56,Resume!$A:$C,3,FALSE)</f>
        <v>1.9423483978640799E-2</v>
      </c>
      <c r="L56" s="4" t="str">
        <f t="shared" si="0"/>
        <v/>
      </c>
      <c r="M56" s="1" t="s">
        <v>190</v>
      </c>
      <c r="N56" s="1">
        <f t="shared" si="8"/>
        <v>1</v>
      </c>
    </row>
    <row r="57" spans="1:14" x14ac:dyDescent="0.25">
      <c r="A57" s="9" t="str">
        <f t="shared" si="9"/>
        <v>Owi Wijaya</v>
      </c>
      <c r="B57" s="1" t="s">
        <v>94</v>
      </c>
      <c r="C57" s="1" t="s">
        <v>249</v>
      </c>
      <c r="D57" s="1" t="s">
        <v>95</v>
      </c>
      <c r="E57" s="2" t="s">
        <v>13</v>
      </c>
      <c r="F57" s="2" t="s">
        <v>76</v>
      </c>
      <c r="G57" s="9"/>
      <c r="H57" s="10">
        <v>569</v>
      </c>
      <c r="I57" s="9"/>
      <c r="J57" s="10">
        <f t="shared" si="7"/>
        <v>569</v>
      </c>
      <c r="K57" s="4">
        <f>H57/VLOOKUP(A57,Resume!$A:$C,3,FALSE)</f>
        <v>6.5293071796904377E-3</v>
      </c>
      <c r="L57" s="4" t="str">
        <f t="shared" si="0"/>
        <v/>
      </c>
      <c r="N57" s="1">
        <f t="shared" si="8"/>
        <v>1</v>
      </c>
    </row>
    <row r="58" spans="1:14" x14ac:dyDescent="0.25">
      <c r="A58" s="9" t="str">
        <f t="shared" si="9"/>
        <v>Owi Wijaya</v>
      </c>
      <c r="B58" s="1" t="s">
        <v>94</v>
      </c>
      <c r="C58" s="1" t="s">
        <v>216</v>
      </c>
      <c r="D58" s="1" t="s">
        <v>95</v>
      </c>
      <c r="E58" s="2" t="s">
        <v>15</v>
      </c>
      <c r="F58" s="2" t="s">
        <v>76</v>
      </c>
      <c r="G58" s="9"/>
      <c r="H58" s="10">
        <v>300</v>
      </c>
      <c r="I58" s="9"/>
      <c r="J58" s="10">
        <f t="shared" si="7"/>
        <v>300</v>
      </c>
      <c r="K58" s="4">
        <f>H58/VLOOKUP(A58,Resume!$A:$C,3,FALSE)</f>
        <v>3.4425169664448704E-3</v>
      </c>
      <c r="L58" s="4" t="str">
        <f t="shared" si="0"/>
        <v/>
      </c>
      <c r="M58" s="1" t="s">
        <v>227</v>
      </c>
      <c r="N58" s="1">
        <f t="shared" si="8"/>
        <v>1</v>
      </c>
    </row>
    <row r="59" spans="1:14" x14ac:dyDescent="0.25">
      <c r="A59" s="9" t="str">
        <f t="shared" si="9"/>
        <v>Owi Wijaya</v>
      </c>
      <c r="B59" s="1" t="s">
        <v>96</v>
      </c>
      <c r="C59" s="1" t="s">
        <v>250</v>
      </c>
      <c r="D59" s="1" t="s">
        <v>97</v>
      </c>
      <c r="E59" s="2" t="s">
        <v>13</v>
      </c>
      <c r="F59" s="2" t="s">
        <v>98</v>
      </c>
      <c r="G59" s="9"/>
      <c r="H59" s="10">
        <v>2288.86</v>
      </c>
      <c r="I59" s="9"/>
      <c r="J59" s="10">
        <f t="shared" si="7"/>
        <v>2288.86</v>
      </c>
      <c r="K59" s="4">
        <f>H59/VLOOKUP(A59,Resume!$A:$C,3,FALSE)</f>
        <v>2.6264797946056691E-2</v>
      </c>
      <c r="L59" s="4" t="str">
        <f t="shared" si="0"/>
        <v/>
      </c>
      <c r="N59" s="1">
        <f t="shared" si="8"/>
        <v>1</v>
      </c>
    </row>
    <row r="60" spans="1:14" x14ac:dyDescent="0.25">
      <c r="A60" s="9" t="str">
        <f t="shared" si="9"/>
        <v>Owi Wijaya</v>
      </c>
      <c r="B60" s="1" t="s">
        <v>99</v>
      </c>
      <c r="C60" s="1" t="s">
        <v>251</v>
      </c>
      <c r="D60" s="1" t="s">
        <v>100</v>
      </c>
      <c r="E60" s="2" t="s">
        <v>13</v>
      </c>
      <c r="F60" s="2" t="s">
        <v>101</v>
      </c>
      <c r="G60" s="9"/>
      <c r="H60" s="10">
        <v>36500.160000000003</v>
      </c>
      <c r="I60" s="9"/>
      <c r="J60" s="10">
        <f t="shared" si="7"/>
        <v>36500.160000000003</v>
      </c>
      <c r="K60" s="4">
        <f>H60/VLOOKUP(A60,Resume!$A:$C,3,FALSE)</f>
        <v>0.4188414002598414</v>
      </c>
      <c r="L60" s="4" t="str">
        <f t="shared" si="0"/>
        <v/>
      </c>
      <c r="N60" s="1">
        <f t="shared" si="8"/>
        <v>1</v>
      </c>
    </row>
    <row r="61" spans="1:14" x14ac:dyDescent="0.25">
      <c r="A61" s="9" t="str">
        <f t="shared" si="9"/>
        <v>Owi Wijaya</v>
      </c>
      <c r="B61" s="1" t="s">
        <v>102</v>
      </c>
      <c r="C61" s="1" t="s">
        <v>252</v>
      </c>
      <c r="D61" s="1" t="s">
        <v>103</v>
      </c>
      <c r="E61" s="2" t="s">
        <v>13</v>
      </c>
      <c r="F61" s="2" t="s">
        <v>76</v>
      </c>
      <c r="G61" s="9"/>
      <c r="H61" s="10">
        <v>1440.17</v>
      </c>
      <c r="I61" s="9"/>
      <c r="J61" s="10">
        <f t="shared" si="7"/>
        <v>1440.17</v>
      </c>
      <c r="K61" s="4">
        <f>H61/VLOOKUP(A61,Resume!$A:$C,3,FALSE)</f>
        <v>1.6526032198549697E-2</v>
      </c>
      <c r="L61" s="4" t="str">
        <f t="shared" si="0"/>
        <v/>
      </c>
      <c r="N61" s="1">
        <f t="shared" si="8"/>
        <v>1</v>
      </c>
    </row>
    <row r="62" spans="1:14" x14ac:dyDescent="0.25">
      <c r="A62" s="9" t="str">
        <f t="shared" si="9"/>
        <v>Owi Wijaya</v>
      </c>
      <c r="B62" s="1" t="s">
        <v>102</v>
      </c>
      <c r="C62" s="1" t="s">
        <v>217</v>
      </c>
      <c r="D62" s="1" t="s">
        <v>103</v>
      </c>
      <c r="E62" s="2" t="s">
        <v>104</v>
      </c>
      <c r="F62" s="2" t="s">
        <v>76</v>
      </c>
      <c r="G62" s="9"/>
      <c r="H62" s="10">
        <v>14.27</v>
      </c>
      <c r="I62" s="9"/>
      <c r="J62" s="10">
        <f t="shared" si="7"/>
        <v>14.27</v>
      </c>
      <c r="K62" s="4">
        <f>H62/VLOOKUP(A62,Resume!$A:$C,3,FALSE)</f>
        <v>1.6374905703722768E-4</v>
      </c>
      <c r="L62" s="4" t="str">
        <f t="shared" si="0"/>
        <v/>
      </c>
      <c r="M62" s="1" t="s">
        <v>227</v>
      </c>
      <c r="N62" s="1">
        <f t="shared" si="8"/>
        <v>1</v>
      </c>
    </row>
    <row r="63" spans="1:14" x14ac:dyDescent="0.25">
      <c r="A63" s="9" t="str">
        <f t="shared" si="9"/>
        <v>Owi Wijaya</v>
      </c>
      <c r="B63" s="1" t="s">
        <v>102</v>
      </c>
      <c r="C63" s="1" t="s">
        <v>218</v>
      </c>
      <c r="D63" s="1" t="s">
        <v>103</v>
      </c>
      <c r="E63" s="2" t="s">
        <v>24</v>
      </c>
      <c r="F63" s="2" t="s">
        <v>76</v>
      </c>
      <c r="G63" s="9"/>
      <c r="H63" s="10">
        <v>35.56</v>
      </c>
      <c r="I63" s="9"/>
      <c r="J63" s="10">
        <f t="shared" si="7"/>
        <v>35.56</v>
      </c>
      <c r="K63" s="4">
        <f>H63/VLOOKUP(A63,Resume!$A:$C,3,FALSE)</f>
        <v>4.0805301108926532E-4</v>
      </c>
      <c r="L63" s="4" t="str">
        <f t="shared" si="0"/>
        <v/>
      </c>
      <c r="M63" s="1" t="s">
        <v>227</v>
      </c>
      <c r="N63" s="1">
        <f t="shared" si="8"/>
        <v>1</v>
      </c>
    </row>
    <row r="64" spans="1:14" x14ac:dyDescent="0.25">
      <c r="A64" s="9" t="str">
        <f t="shared" si="9"/>
        <v>Owi Wijaya</v>
      </c>
      <c r="B64" s="1" t="s">
        <v>102</v>
      </c>
      <c r="C64" s="1" t="s">
        <v>219</v>
      </c>
      <c r="D64" s="1" t="s">
        <v>103</v>
      </c>
      <c r="E64" s="2" t="s">
        <v>15</v>
      </c>
      <c r="F64" s="2" t="s">
        <v>76</v>
      </c>
      <c r="G64" s="9"/>
      <c r="H64" s="10">
        <v>9.69</v>
      </c>
      <c r="I64" s="9"/>
      <c r="J64" s="10">
        <f t="shared" si="7"/>
        <v>9.69</v>
      </c>
      <c r="K64" s="4">
        <f>H64/VLOOKUP(A64,Resume!$A:$C,3,FALSE)</f>
        <v>1.1119329801616931E-4</v>
      </c>
      <c r="L64" s="4" t="str">
        <f t="shared" si="0"/>
        <v/>
      </c>
      <c r="M64" s="1" t="s">
        <v>227</v>
      </c>
      <c r="N64" s="1">
        <f t="shared" si="8"/>
        <v>1</v>
      </c>
    </row>
    <row r="65" spans="1:14" x14ac:dyDescent="0.25">
      <c r="A65" s="9" t="str">
        <f t="shared" si="9"/>
        <v>Owi Wijaya</v>
      </c>
      <c r="B65" s="1" t="s">
        <v>105</v>
      </c>
      <c r="C65" s="1" t="s">
        <v>253</v>
      </c>
      <c r="D65" s="1" t="s">
        <v>106</v>
      </c>
      <c r="E65" s="2" t="s">
        <v>13</v>
      </c>
      <c r="F65" s="2" t="s">
        <v>76</v>
      </c>
      <c r="G65" s="9"/>
      <c r="H65" s="10">
        <v>400</v>
      </c>
      <c r="I65" s="9"/>
      <c r="J65" s="10">
        <f t="shared" si="7"/>
        <v>400</v>
      </c>
      <c r="K65" s="4">
        <f>H65/VLOOKUP(A65,Resume!$A:$C,3,FALSE)</f>
        <v>4.5900226219264938E-3</v>
      </c>
      <c r="L65" s="4" t="str">
        <f t="shared" si="0"/>
        <v/>
      </c>
      <c r="N65" s="1">
        <f t="shared" si="8"/>
        <v>1</v>
      </c>
    </row>
    <row r="66" spans="1:14" x14ac:dyDescent="0.25">
      <c r="A66" s="9" t="str">
        <f t="shared" si="9"/>
        <v>Owi Wijaya</v>
      </c>
      <c r="B66" s="1" t="s">
        <v>107</v>
      </c>
      <c r="C66" s="1" t="s">
        <v>254</v>
      </c>
      <c r="D66" s="1" t="s">
        <v>108</v>
      </c>
      <c r="E66" s="2" t="s">
        <v>13</v>
      </c>
      <c r="F66" s="2" t="s">
        <v>83</v>
      </c>
      <c r="G66" s="9"/>
      <c r="H66" s="10">
        <v>100</v>
      </c>
      <c r="I66" s="9"/>
      <c r="J66" s="10">
        <f t="shared" si="7"/>
        <v>100</v>
      </c>
      <c r="K66" s="4">
        <f>H66/VLOOKUP(A66,Resume!$A:$C,3,FALSE)</f>
        <v>1.1475056554816235E-3</v>
      </c>
      <c r="L66" s="4" t="str">
        <f t="shared" si="0"/>
        <v/>
      </c>
      <c r="N66" s="1">
        <f t="shared" si="8"/>
        <v>1</v>
      </c>
    </row>
    <row r="67" spans="1:14" x14ac:dyDescent="0.25">
      <c r="A67" s="9" t="str">
        <f t="shared" si="9"/>
        <v>Owi Wijaya</v>
      </c>
      <c r="B67" s="1" t="s">
        <v>109</v>
      </c>
      <c r="C67" s="1" t="s">
        <v>255</v>
      </c>
      <c r="D67" s="1" t="s">
        <v>110</v>
      </c>
      <c r="E67" s="2" t="s">
        <v>13</v>
      </c>
      <c r="F67" s="2" t="s">
        <v>83</v>
      </c>
      <c r="G67" s="9"/>
      <c r="H67" s="10">
        <v>100</v>
      </c>
      <c r="I67" s="9"/>
      <c r="J67" s="10">
        <f t="shared" si="7"/>
        <v>100</v>
      </c>
      <c r="K67" s="4">
        <f>H67/VLOOKUP(A67,Resume!$A:$C,3,FALSE)</f>
        <v>1.1475056554816235E-3</v>
      </c>
      <c r="L67" s="4" t="str">
        <f t="shared" si="0"/>
        <v/>
      </c>
      <c r="N67" s="1">
        <f t="shared" si="8"/>
        <v>1</v>
      </c>
    </row>
    <row r="68" spans="1:14" x14ac:dyDescent="0.25">
      <c r="A68" s="9" t="str">
        <f t="shared" si="9"/>
        <v>Owi Wijaya</v>
      </c>
      <c r="B68" s="1" t="s">
        <v>111</v>
      </c>
      <c r="C68" s="1" t="s">
        <v>256</v>
      </c>
      <c r="D68" s="1" t="s">
        <v>112</v>
      </c>
      <c r="E68" s="2" t="s">
        <v>13</v>
      </c>
      <c r="F68" s="2" t="s">
        <v>83</v>
      </c>
      <c r="G68" s="9"/>
      <c r="H68" s="10">
        <v>100</v>
      </c>
      <c r="I68" s="9"/>
      <c r="J68" s="10">
        <f t="shared" si="7"/>
        <v>100</v>
      </c>
      <c r="K68" s="4">
        <f>H68/VLOOKUP(A68,Resume!$A:$C,3,FALSE)</f>
        <v>1.1475056554816235E-3</v>
      </c>
      <c r="L68" s="4" t="str">
        <f t="shared" si="0"/>
        <v/>
      </c>
      <c r="N68" s="1">
        <f t="shared" si="8"/>
        <v>1</v>
      </c>
    </row>
    <row r="69" spans="1:14" x14ac:dyDescent="0.25">
      <c r="A69" s="9" t="str">
        <f t="shared" si="9"/>
        <v>Owi Wijaya</v>
      </c>
      <c r="B69" s="1" t="s">
        <v>113</v>
      </c>
      <c r="C69" s="1" t="s">
        <v>257</v>
      </c>
      <c r="D69" s="1" t="s">
        <v>114</v>
      </c>
      <c r="E69" s="2" t="s">
        <v>13</v>
      </c>
      <c r="F69" s="2" t="s">
        <v>83</v>
      </c>
      <c r="G69" s="9"/>
      <c r="H69" s="10">
        <v>100</v>
      </c>
      <c r="I69" s="9"/>
      <c r="J69" s="10">
        <f t="shared" si="7"/>
        <v>100</v>
      </c>
      <c r="K69" s="4">
        <f>H69/VLOOKUP(A69,Resume!$A:$C,3,FALSE)</f>
        <v>1.1475056554816235E-3</v>
      </c>
      <c r="L69" s="4" t="str">
        <f t="shared" si="0"/>
        <v/>
      </c>
      <c r="N69" s="1">
        <f t="shared" si="8"/>
        <v>1</v>
      </c>
    </row>
    <row r="70" spans="1:14" x14ac:dyDescent="0.25">
      <c r="A70" s="9" t="str">
        <f t="shared" si="9"/>
        <v>Owi Wijaya</v>
      </c>
      <c r="B70" s="1" t="s">
        <v>113</v>
      </c>
      <c r="C70" s="1" t="s">
        <v>220</v>
      </c>
      <c r="D70" s="1" t="s">
        <v>114</v>
      </c>
      <c r="E70" s="2" t="s">
        <v>24</v>
      </c>
      <c r="F70" s="2" t="s">
        <v>76</v>
      </c>
      <c r="G70" s="9"/>
      <c r="H70" s="10">
        <v>250</v>
      </c>
      <c r="I70" s="9"/>
      <c r="J70" s="10">
        <f t="shared" si="7"/>
        <v>250</v>
      </c>
      <c r="K70" s="4">
        <f>H70/VLOOKUP(A70,Resume!$A:$C,3,FALSE)</f>
        <v>2.8687641387040589E-3</v>
      </c>
      <c r="L70" s="4" t="str">
        <f t="shared" ref="L70:L133" si="10">IFERROR((H70/I70)*K70,"")</f>
        <v/>
      </c>
      <c r="M70" s="1" t="s">
        <v>227</v>
      </c>
      <c r="N70" s="1">
        <f t="shared" si="8"/>
        <v>1</v>
      </c>
    </row>
    <row r="71" spans="1:14" x14ac:dyDescent="0.25">
      <c r="A71" s="9" t="str">
        <f t="shared" si="9"/>
        <v>Owi Wijaya</v>
      </c>
      <c r="B71" s="1" t="s">
        <v>113</v>
      </c>
      <c r="C71" s="1" t="s">
        <v>221</v>
      </c>
      <c r="D71" s="1" t="s">
        <v>114</v>
      </c>
      <c r="E71" s="2" t="s">
        <v>15</v>
      </c>
      <c r="F71" s="2" t="s">
        <v>76</v>
      </c>
      <c r="G71" s="9"/>
      <c r="H71" s="10">
        <v>300</v>
      </c>
      <c r="I71" s="9"/>
      <c r="J71" s="10">
        <f t="shared" si="7"/>
        <v>300</v>
      </c>
      <c r="K71" s="4">
        <f>H71/VLOOKUP(A71,Resume!$A:$C,3,FALSE)</f>
        <v>3.4425169664448704E-3</v>
      </c>
      <c r="L71" s="4" t="str">
        <f t="shared" si="10"/>
        <v/>
      </c>
      <c r="M71" s="1" t="s">
        <v>227</v>
      </c>
      <c r="N71" s="1">
        <f t="shared" si="8"/>
        <v>1</v>
      </c>
    </row>
    <row r="72" spans="1:14" x14ac:dyDescent="0.25">
      <c r="A72" s="9" t="str">
        <f t="shared" si="9"/>
        <v>Owi Wijaya</v>
      </c>
      <c r="B72" s="1" t="s">
        <v>115</v>
      </c>
      <c r="C72" s="1" t="s">
        <v>258</v>
      </c>
      <c r="D72" s="1" t="s">
        <v>116</v>
      </c>
      <c r="E72" s="2" t="s">
        <v>13</v>
      </c>
      <c r="F72" s="2" t="s">
        <v>83</v>
      </c>
      <c r="G72" s="9"/>
      <c r="H72" s="10">
        <v>100</v>
      </c>
      <c r="I72" s="9"/>
      <c r="J72" s="10">
        <f t="shared" si="7"/>
        <v>100</v>
      </c>
      <c r="K72" s="4">
        <f>H72/VLOOKUP(A72,Resume!$A:$C,3,FALSE)</f>
        <v>1.1475056554816235E-3</v>
      </c>
      <c r="L72" s="4" t="str">
        <f t="shared" si="10"/>
        <v/>
      </c>
      <c r="N72" s="1">
        <f t="shared" si="8"/>
        <v>1</v>
      </c>
    </row>
    <row r="73" spans="1:14" x14ac:dyDescent="0.25">
      <c r="A73" s="9" t="str">
        <f t="shared" si="9"/>
        <v>Owi Wijaya</v>
      </c>
      <c r="B73" s="1" t="s">
        <v>117</v>
      </c>
      <c r="C73" s="1" t="s">
        <v>259</v>
      </c>
      <c r="D73" s="1" t="s">
        <v>118</v>
      </c>
      <c r="E73" s="2" t="s">
        <v>13</v>
      </c>
      <c r="F73" s="2" t="s">
        <v>83</v>
      </c>
      <c r="G73" s="9"/>
      <c r="H73" s="10">
        <v>100</v>
      </c>
      <c r="I73" s="9"/>
      <c r="J73" s="10">
        <f t="shared" si="7"/>
        <v>100</v>
      </c>
      <c r="K73" s="4">
        <f>H73/VLOOKUP(A73,Resume!$A:$C,3,FALSE)</f>
        <v>1.1475056554816235E-3</v>
      </c>
      <c r="L73" s="4" t="str">
        <f t="shared" si="10"/>
        <v/>
      </c>
      <c r="N73" s="1">
        <f t="shared" ref="N73:N104" si="11">COUNTIF($C$6:$C$164,C73)</f>
        <v>1</v>
      </c>
    </row>
    <row r="74" spans="1:14" x14ac:dyDescent="0.25">
      <c r="A74" s="9" t="str">
        <f t="shared" si="9"/>
        <v>Owi Wijaya</v>
      </c>
      <c r="B74" s="1" t="s">
        <v>119</v>
      </c>
      <c r="C74" s="1" t="s">
        <v>260</v>
      </c>
      <c r="D74" s="1" t="s">
        <v>120</v>
      </c>
      <c r="E74" s="2" t="s">
        <v>13</v>
      </c>
      <c r="F74" s="2" t="s">
        <v>76</v>
      </c>
      <c r="G74" s="9"/>
      <c r="H74" s="10">
        <v>328.75</v>
      </c>
      <c r="I74" s="9"/>
      <c r="J74" s="10">
        <f t="shared" si="7"/>
        <v>328.75</v>
      </c>
      <c r="K74" s="4">
        <f>H74/VLOOKUP(A74,Resume!$A:$C,3,FALSE)</f>
        <v>3.7724248423958375E-3</v>
      </c>
      <c r="L74" s="4" t="str">
        <f t="shared" si="10"/>
        <v/>
      </c>
      <c r="N74" s="1">
        <f t="shared" si="11"/>
        <v>1</v>
      </c>
    </row>
    <row r="75" spans="1:14" x14ac:dyDescent="0.25">
      <c r="A75" s="9" t="str">
        <f t="shared" si="9"/>
        <v>Owi Wijaya</v>
      </c>
      <c r="B75" s="1" t="s">
        <v>119</v>
      </c>
      <c r="C75" s="1" t="s">
        <v>222</v>
      </c>
      <c r="D75" s="1" t="s">
        <v>120</v>
      </c>
      <c r="E75" s="2" t="s">
        <v>104</v>
      </c>
      <c r="F75" s="2" t="s">
        <v>76</v>
      </c>
      <c r="G75" s="9"/>
      <c r="H75" s="10">
        <v>109.79</v>
      </c>
      <c r="I75" s="9"/>
      <c r="J75" s="10">
        <f t="shared" si="7"/>
        <v>109.79</v>
      </c>
      <c r="K75" s="4">
        <f>H75/VLOOKUP(A75,Resume!$A:$C,3,FALSE)</f>
        <v>1.2598464591532744E-3</v>
      </c>
      <c r="L75" s="4" t="str">
        <f t="shared" si="10"/>
        <v/>
      </c>
      <c r="M75" s="1" t="s">
        <v>227</v>
      </c>
      <c r="N75" s="1">
        <f t="shared" si="11"/>
        <v>1</v>
      </c>
    </row>
    <row r="76" spans="1:14" x14ac:dyDescent="0.25">
      <c r="A76" s="9" t="str">
        <f t="shared" si="9"/>
        <v>Owi Wijaya</v>
      </c>
      <c r="B76" s="1" t="s">
        <v>119</v>
      </c>
      <c r="C76" s="1" t="s">
        <v>223</v>
      </c>
      <c r="D76" s="1" t="s">
        <v>120</v>
      </c>
      <c r="E76" s="2" t="s">
        <v>24</v>
      </c>
      <c r="F76" s="2" t="s">
        <v>76</v>
      </c>
      <c r="G76" s="9"/>
      <c r="H76" s="10">
        <v>169.38</v>
      </c>
      <c r="I76" s="9"/>
      <c r="J76" s="10">
        <f t="shared" si="7"/>
        <v>169.38</v>
      </c>
      <c r="K76" s="4">
        <f>H76/VLOOKUP(A76,Resume!$A:$C,3,FALSE)</f>
        <v>1.9436450792547739E-3</v>
      </c>
      <c r="L76" s="4" t="str">
        <f t="shared" si="10"/>
        <v/>
      </c>
      <c r="M76" s="1" t="s">
        <v>227</v>
      </c>
      <c r="N76" s="1">
        <f t="shared" si="11"/>
        <v>1</v>
      </c>
    </row>
    <row r="77" spans="1:14" x14ac:dyDescent="0.25">
      <c r="A77" s="9" t="str">
        <f t="shared" si="9"/>
        <v>Owi Wijaya</v>
      </c>
      <c r="B77" s="1" t="s">
        <v>119</v>
      </c>
      <c r="C77" s="1" t="s">
        <v>224</v>
      </c>
      <c r="D77" s="1" t="s">
        <v>120</v>
      </c>
      <c r="E77" s="2" t="s">
        <v>15</v>
      </c>
      <c r="F77" s="2" t="s">
        <v>76</v>
      </c>
      <c r="G77" s="9"/>
      <c r="H77" s="10">
        <v>142.08000000000001</v>
      </c>
      <c r="I77" s="9"/>
      <c r="J77" s="10">
        <f t="shared" si="7"/>
        <v>142.08000000000001</v>
      </c>
      <c r="K77" s="4">
        <f>H77/VLOOKUP(A77,Resume!$A:$C,3,FALSE)</f>
        <v>1.6303760353082908E-3</v>
      </c>
      <c r="L77" s="4" t="str">
        <f t="shared" si="10"/>
        <v/>
      </c>
      <c r="M77" s="1" t="s">
        <v>227</v>
      </c>
      <c r="N77" s="1">
        <f t="shared" si="11"/>
        <v>1</v>
      </c>
    </row>
    <row r="78" spans="1:14" x14ac:dyDescent="0.25">
      <c r="A78" s="9" t="str">
        <f t="shared" si="9"/>
        <v>Owi Wijaya</v>
      </c>
      <c r="B78" s="1" t="s">
        <v>121</v>
      </c>
      <c r="C78" s="1" t="s">
        <v>261</v>
      </c>
      <c r="D78" s="1" t="s">
        <v>122</v>
      </c>
      <c r="E78" s="2" t="s">
        <v>13</v>
      </c>
      <c r="F78" s="2" t="s">
        <v>76</v>
      </c>
      <c r="G78" s="9"/>
      <c r="H78" s="10">
        <v>4300</v>
      </c>
      <c r="I78" s="9"/>
      <c r="J78" s="10">
        <f t="shared" si="7"/>
        <v>4300</v>
      </c>
      <c r="K78" s="4">
        <f>H78/VLOOKUP(A78,Resume!$A:$C,3,FALSE)</f>
        <v>4.934274318570981E-2</v>
      </c>
      <c r="L78" s="4" t="str">
        <f t="shared" si="10"/>
        <v/>
      </c>
      <c r="N78" s="1">
        <f t="shared" si="11"/>
        <v>1</v>
      </c>
    </row>
    <row r="79" spans="1:14" x14ac:dyDescent="0.25">
      <c r="A79" s="9" t="str">
        <f t="shared" si="9"/>
        <v>Owi Wijaya</v>
      </c>
      <c r="B79" s="1" t="s">
        <v>123</v>
      </c>
      <c r="C79" s="1" t="s">
        <v>262</v>
      </c>
      <c r="D79" s="1" t="s">
        <v>124</v>
      </c>
      <c r="E79" s="2" t="s">
        <v>13</v>
      </c>
      <c r="F79" s="2" t="s">
        <v>125</v>
      </c>
      <c r="G79" s="9"/>
      <c r="H79" s="10">
        <v>1495.98</v>
      </c>
      <c r="I79" s="9"/>
      <c r="J79" s="10">
        <f t="shared" si="7"/>
        <v>1495.98</v>
      </c>
      <c r="K79" s="4">
        <f>H79/VLOOKUP(A79,Resume!$A:$C,3,FALSE)</f>
        <v>1.7166455104873992E-2</v>
      </c>
      <c r="L79" s="4" t="str">
        <f t="shared" si="10"/>
        <v/>
      </c>
      <c r="N79" s="1">
        <f t="shared" si="11"/>
        <v>1</v>
      </c>
    </row>
    <row r="80" spans="1:14" x14ac:dyDescent="0.25">
      <c r="A80" s="9" t="str">
        <f t="shared" si="9"/>
        <v>Owi Wijaya</v>
      </c>
      <c r="B80" s="1" t="s">
        <v>123</v>
      </c>
      <c r="C80" s="1" t="s">
        <v>225</v>
      </c>
      <c r="D80" s="1" t="s">
        <v>124</v>
      </c>
      <c r="E80" s="2" t="s">
        <v>104</v>
      </c>
      <c r="F80" s="2" t="s">
        <v>125</v>
      </c>
      <c r="G80" s="9"/>
      <c r="H80" s="10">
        <v>516.97</v>
      </c>
      <c r="I80" s="9"/>
      <c r="J80" s="10">
        <f t="shared" si="7"/>
        <v>516.97</v>
      </c>
      <c r="K80" s="4">
        <f>H80/VLOOKUP(A80,Resume!$A:$C,3,FALSE)</f>
        <v>5.9322599871433493E-3</v>
      </c>
      <c r="L80" s="4" t="str">
        <f t="shared" si="10"/>
        <v/>
      </c>
      <c r="M80" s="1" t="s">
        <v>227</v>
      </c>
      <c r="N80" s="1">
        <f t="shared" si="11"/>
        <v>1</v>
      </c>
    </row>
    <row r="81" spans="1:14" x14ac:dyDescent="0.25">
      <c r="A81" s="9" t="str">
        <f t="shared" si="9"/>
        <v>Owi Wijaya</v>
      </c>
      <c r="B81" s="1" t="s">
        <v>123</v>
      </c>
      <c r="C81" s="53" t="s">
        <v>336</v>
      </c>
      <c r="D81" s="1" t="s">
        <v>124</v>
      </c>
      <c r="E81" s="2" t="s">
        <v>24</v>
      </c>
      <c r="F81" s="2" t="s">
        <v>125</v>
      </c>
      <c r="G81" s="9"/>
      <c r="H81" s="10">
        <v>1463.62</v>
      </c>
      <c r="I81" s="9"/>
      <c r="J81" s="10">
        <f t="shared" si="7"/>
        <v>1463.62</v>
      </c>
      <c r="K81" s="4">
        <f>H81/VLOOKUP(A81,Resume!$A:$C,3,FALSE)</f>
        <v>1.6795122274760137E-2</v>
      </c>
      <c r="L81" s="4" t="str">
        <f t="shared" si="10"/>
        <v/>
      </c>
      <c r="M81" s="1" t="s">
        <v>227</v>
      </c>
      <c r="N81" s="1">
        <f t="shared" si="11"/>
        <v>1</v>
      </c>
    </row>
    <row r="82" spans="1:14" x14ac:dyDescent="0.25">
      <c r="A82" s="9" t="str">
        <f t="shared" si="9"/>
        <v>Owi Wijaya</v>
      </c>
      <c r="B82" s="1" t="s">
        <v>123</v>
      </c>
      <c r="C82" s="1" t="s">
        <v>226</v>
      </c>
      <c r="D82" s="1" t="s">
        <v>124</v>
      </c>
      <c r="E82" s="2" t="s">
        <v>15</v>
      </c>
      <c r="F82" s="2" t="s">
        <v>125</v>
      </c>
      <c r="G82" s="9"/>
      <c r="H82" s="10">
        <v>1779.8599999999997</v>
      </c>
      <c r="I82" s="9"/>
      <c r="J82" s="10">
        <f t="shared" si="7"/>
        <v>1779.8599999999997</v>
      </c>
      <c r="K82" s="4">
        <f>H82/VLOOKUP(A82,Resume!$A:$C,3,FALSE)</f>
        <v>2.042399415965522E-2</v>
      </c>
      <c r="L82" s="4" t="str">
        <f t="shared" si="10"/>
        <v/>
      </c>
      <c r="M82" s="1" t="s">
        <v>227</v>
      </c>
      <c r="N82" s="1">
        <f t="shared" si="11"/>
        <v>1</v>
      </c>
    </row>
    <row r="83" spans="1:14" x14ac:dyDescent="0.25">
      <c r="A83" s="9" t="str">
        <f t="shared" si="9"/>
        <v>Owi Wijaya</v>
      </c>
      <c r="B83" s="1" t="s">
        <v>21</v>
      </c>
      <c r="C83" s="1" t="s">
        <v>200</v>
      </c>
      <c r="D83" s="1" t="s">
        <v>126</v>
      </c>
      <c r="E83" s="2" t="s">
        <v>104</v>
      </c>
      <c r="F83" s="2" t="s">
        <v>76</v>
      </c>
      <c r="G83" s="9"/>
      <c r="H83" s="10">
        <v>1115.46</v>
      </c>
      <c r="I83" s="9"/>
      <c r="J83" s="10">
        <f t="shared" si="7"/>
        <v>1115.46</v>
      </c>
      <c r="K83" s="4">
        <f>H83/VLOOKUP(A83,Resume!$A:$C,3,FALSE)</f>
        <v>1.2799966584635319E-2</v>
      </c>
      <c r="L83" s="4" t="str">
        <f t="shared" si="10"/>
        <v/>
      </c>
      <c r="M83" s="1" t="s">
        <v>190</v>
      </c>
      <c r="N83" s="1">
        <f t="shared" si="11"/>
        <v>1</v>
      </c>
    </row>
    <row r="84" spans="1:14" x14ac:dyDescent="0.25">
      <c r="A84" s="9" t="str">
        <f t="shared" si="9"/>
        <v>Owi Wijaya</v>
      </c>
      <c r="B84" s="1" t="s">
        <v>127</v>
      </c>
      <c r="C84" s="1" t="s">
        <v>263</v>
      </c>
      <c r="D84" s="1" t="s">
        <v>128</v>
      </c>
      <c r="E84" s="2" t="s">
        <v>13</v>
      </c>
      <c r="F84" s="2" t="s">
        <v>83</v>
      </c>
      <c r="G84" s="9"/>
      <c r="H84" s="10">
        <v>651</v>
      </c>
      <c r="I84" s="9"/>
      <c r="J84" s="10">
        <f t="shared" si="7"/>
        <v>651</v>
      </c>
      <c r="K84" s="4">
        <f>H84/VLOOKUP(A84,Resume!$A:$C,3,FALSE)</f>
        <v>7.4702618171853695E-3</v>
      </c>
      <c r="L84" s="4" t="str">
        <f t="shared" si="10"/>
        <v/>
      </c>
      <c r="N84" s="1">
        <f t="shared" si="11"/>
        <v>1</v>
      </c>
    </row>
    <row r="85" spans="1:14" x14ac:dyDescent="0.25">
      <c r="A85" s="9" t="str">
        <f t="shared" si="9"/>
        <v>Owi Wijaya</v>
      </c>
      <c r="B85" s="1" t="s">
        <v>129</v>
      </c>
      <c r="C85" s="1" t="s">
        <v>264</v>
      </c>
      <c r="D85" s="1" t="s">
        <v>130</v>
      </c>
      <c r="E85" s="2" t="s">
        <v>13</v>
      </c>
      <c r="F85" s="2" t="s">
        <v>83</v>
      </c>
      <c r="G85" s="9"/>
      <c r="H85" s="10">
        <v>466</v>
      </c>
      <c r="I85" s="9"/>
      <c r="J85" s="10">
        <f t="shared" si="7"/>
        <v>466</v>
      </c>
      <c r="K85" s="4">
        <f>H85/VLOOKUP(A85,Resume!$A:$C,3,FALSE)</f>
        <v>5.3473763545443653E-3</v>
      </c>
      <c r="L85" s="4" t="str">
        <f t="shared" si="10"/>
        <v/>
      </c>
      <c r="N85" s="1">
        <f t="shared" si="11"/>
        <v>1</v>
      </c>
    </row>
    <row r="86" spans="1:14" x14ac:dyDescent="0.25">
      <c r="A86" s="9" t="str">
        <f t="shared" si="9"/>
        <v>Owi Wijaya</v>
      </c>
      <c r="B86" s="1" t="s">
        <v>131</v>
      </c>
      <c r="C86" s="1" t="s">
        <v>265</v>
      </c>
      <c r="D86" s="1" t="s">
        <v>132</v>
      </c>
      <c r="E86" s="2" t="s">
        <v>13</v>
      </c>
      <c r="F86" s="2" t="s">
        <v>76</v>
      </c>
      <c r="G86" s="9"/>
      <c r="H86" s="10">
        <v>1388.61</v>
      </c>
      <c r="I86" s="9"/>
      <c r="J86" s="10">
        <f t="shared" si="7"/>
        <v>1388.61</v>
      </c>
      <c r="K86" s="4">
        <f>H86/VLOOKUP(A86,Resume!$A:$C,3,FALSE)</f>
        <v>1.5934378282583372E-2</v>
      </c>
      <c r="L86" s="4" t="str">
        <f t="shared" si="10"/>
        <v/>
      </c>
      <c r="N86" s="1">
        <f t="shared" si="11"/>
        <v>1</v>
      </c>
    </row>
    <row r="87" spans="1:14" x14ac:dyDescent="0.25">
      <c r="A87" s="9" t="str">
        <f t="shared" si="9"/>
        <v>Owi Wijaya</v>
      </c>
      <c r="B87" s="1" t="s">
        <v>133</v>
      </c>
      <c r="C87" s="1" t="s">
        <v>266</v>
      </c>
      <c r="D87" s="1" t="s">
        <v>134</v>
      </c>
      <c r="E87" s="2" t="s">
        <v>13</v>
      </c>
      <c r="F87" s="2" t="s">
        <v>76</v>
      </c>
      <c r="G87" s="9"/>
      <c r="H87" s="10">
        <v>221.29</v>
      </c>
      <c r="I87" s="9"/>
      <c r="J87" s="10">
        <f t="shared" si="7"/>
        <v>221.29</v>
      </c>
      <c r="K87" s="4">
        <f>H87/VLOOKUP(A87,Resume!$A:$C,3,FALSE)</f>
        <v>2.5393152650152848E-3</v>
      </c>
      <c r="L87" s="4" t="str">
        <f t="shared" si="10"/>
        <v/>
      </c>
      <c r="N87" s="1">
        <f t="shared" si="11"/>
        <v>1</v>
      </c>
    </row>
    <row r="88" spans="1:14" x14ac:dyDescent="0.25">
      <c r="A88" s="9" t="str">
        <f t="shared" si="9"/>
        <v>Owi Wijaya</v>
      </c>
      <c r="B88" s="1" t="s">
        <v>135</v>
      </c>
      <c r="C88" s="1" t="s">
        <v>267</v>
      </c>
      <c r="D88" s="1" t="s">
        <v>136</v>
      </c>
      <c r="E88" s="2" t="s">
        <v>13</v>
      </c>
      <c r="F88" s="2" t="s">
        <v>76</v>
      </c>
      <c r="G88" s="9"/>
      <c r="H88" s="10">
        <v>764.4</v>
      </c>
      <c r="I88" s="9"/>
      <c r="J88" s="10">
        <f t="shared" si="7"/>
        <v>764.4</v>
      </c>
      <c r="K88" s="4">
        <f>H88/VLOOKUP(A88,Resume!$A:$C,3,FALSE)</f>
        <v>8.7715332305015291E-3</v>
      </c>
      <c r="L88" s="4" t="str">
        <f t="shared" si="10"/>
        <v/>
      </c>
      <c r="N88" s="1">
        <f t="shared" si="11"/>
        <v>1</v>
      </c>
    </row>
    <row r="89" spans="1:14" x14ac:dyDescent="0.25">
      <c r="A89" s="9" t="str">
        <f t="shared" si="9"/>
        <v>Owi Wijaya</v>
      </c>
      <c r="B89" s="1" t="s">
        <v>137</v>
      </c>
      <c r="C89" s="1" t="s">
        <v>268</v>
      </c>
      <c r="D89" s="1" t="s">
        <v>138</v>
      </c>
      <c r="E89" s="2" t="s">
        <v>13</v>
      </c>
      <c r="F89" s="2" t="s">
        <v>76</v>
      </c>
      <c r="G89" s="9"/>
      <c r="H89" s="10">
        <v>255</v>
      </c>
      <c r="I89" s="9"/>
      <c r="J89" s="10">
        <f t="shared" si="7"/>
        <v>255</v>
      </c>
      <c r="K89" s="4">
        <f>H89/VLOOKUP(A89,Resume!$A:$C,3,FALSE)</f>
        <v>2.9261394214781401E-3</v>
      </c>
      <c r="L89" s="4" t="str">
        <f t="shared" si="10"/>
        <v/>
      </c>
      <c r="N89" s="1">
        <f t="shared" si="11"/>
        <v>1</v>
      </c>
    </row>
    <row r="90" spans="1:14" x14ac:dyDescent="0.25">
      <c r="A90" s="9" t="str">
        <f t="shared" si="9"/>
        <v>Owi Wijaya</v>
      </c>
      <c r="B90" s="1" t="s">
        <v>139</v>
      </c>
      <c r="C90" s="1" t="s">
        <v>269</v>
      </c>
      <c r="D90" s="1" t="s">
        <v>140</v>
      </c>
      <c r="E90" s="2" t="s">
        <v>13</v>
      </c>
      <c r="F90" s="2" t="s">
        <v>76</v>
      </c>
      <c r="G90" s="9"/>
      <c r="H90" s="10">
        <v>200</v>
      </c>
      <c r="I90" s="9"/>
      <c r="J90" s="10">
        <f t="shared" si="7"/>
        <v>200</v>
      </c>
      <c r="K90" s="4">
        <f>H90/VLOOKUP(A90,Resume!$A:$C,3,FALSE)</f>
        <v>2.2950113109632469E-3</v>
      </c>
      <c r="L90" s="4" t="str">
        <f t="shared" si="10"/>
        <v/>
      </c>
      <c r="N90" s="1">
        <f t="shared" si="11"/>
        <v>1</v>
      </c>
    </row>
    <row r="91" spans="1:14" x14ac:dyDescent="0.25">
      <c r="A91" s="9" t="str">
        <f t="shared" si="9"/>
        <v>Owi Wijaya</v>
      </c>
      <c r="B91" s="1" t="s">
        <v>141</v>
      </c>
      <c r="C91" s="1" t="s">
        <v>270</v>
      </c>
      <c r="D91" s="1" t="s">
        <v>142</v>
      </c>
      <c r="E91" s="2" t="s">
        <v>13</v>
      </c>
      <c r="F91" s="2" t="s">
        <v>76</v>
      </c>
      <c r="G91" s="9"/>
      <c r="H91" s="10">
        <v>464.37</v>
      </c>
      <c r="I91" s="9"/>
      <c r="J91" s="10">
        <f t="shared" si="7"/>
        <v>464.37</v>
      </c>
      <c r="K91" s="4">
        <f>H91/VLOOKUP(A91,Resume!$A:$C,3,FALSE)</f>
        <v>5.3286720123600154E-3</v>
      </c>
      <c r="L91" s="4" t="str">
        <f t="shared" si="10"/>
        <v/>
      </c>
      <c r="N91" s="1">
        <f t="shared" si="11"/>
        <v>1</v>
      </c>
    </row>
    <row r="92" spans="1:14" x14ac:dyDescent="0.25">
      <c r="A92" s="9" t="str">
        <f t="shared" si="9"/>
        <v>Owi Wijaya</v>
      </c>
      <c r="B92" s="1" t="s">
        <v>21</v>
      </c>
      <c r="C92" s="1" t="s">
        <v>201</v>
      </c>
      <c r="D92" s="1" t="s">
        <v>143</v>
      </c>
      <c r="E92" s="2" t="s">
        <v>13</v>
      </c>
      <c r="F92" s="2" t="s">
        <v>76</v>
      </c>
      <c r="G92" s="9"/>
      <c r="H92" s="10">
        <v>515.79999999999995</v>
      </c>
      <c r="I92" s="9"/>
      <c r="J92" s="10">
        <f t="shared" si="7"/>
        <v>515.79999999999995</v>
      </c>
      <c r="K92" s="4">
        <f>H92/VLOOKUP(A92,Resume!$A:$C,3,FALSE)</f>
        <v>5.9188341709742135E-3</v>
      </c>
      <c r="L92" s="4" t="str">
        <f t="shared" si="10"/>
        <v/>
      </c>
      <c r="M92" s="1" t="s">
        <v>190</v>
      </c>
      <c r="N92" s="1">
        <f t="shared" si="11"/>
        <v>3</v>
      </c>
    </row>
    <row r="93" spans="1:14" x14ac:dyDescent="0.25">
      <c r="A93" s="9" t="str">
        <f t="shared" si="9"/>
        <v>Owi Wijaya</v>
      </c>
      <c r="B93" s="1" t="s">
        <v>21</v>
      </c>
      <c r="C93" s="1" t="s">
        <v>201</v>
      </c>
      <c r="D93" s="1" t="s">
        <v>126</v>
      </c>
      <c r="E93" s="2" t="s">
        <v>13</v>
      </c>
      <c r="F93" s="2" t="s">
        <v>76</v>
      </c>
      <c r="G93" s="9"/>
      <c r="H93" s="10">
        <v>1891.43</v>
      </c>
      <c r="I93" s="9"/>
      <c r="J93" s="10">
        <f t="shared" si="7"/>
        <v>1891.43</v>
      </c>
      <c r="K93" s="4">
        <f>H93/VLOOKUP(A93,Resume!$A:$C,3,FALSE)</f>
        <v>2.1704266219476073E-2</v>
      </c>
      <c r="L93" s="4" t="str">
        <f t="shared" si="10"/>
        <v/>
      </c>
      <c r="M93" s="1" t="s">
        <v>190</v>
      </c>
      <c r="N93" s="1">
        <f t="shared" si="11"/>
        <v>3</v>
      </c>
    </row>
    <row r="94" spans="1:14" x14ac:dyDescent="0.25">
      <c r="A94" s="9" t="str">
        <f t="shared" si="9"/>
        <v>Owi Wijaya</v>
      </c>
      <c r="B94" s="1" t="s">
        <v>21</v>
      </c>
      <c r="C94" s="1" t="s">
        <v>203</v>
      </c>
      <c r="D94" s="1" t="s">
        <v>126</v>
      </c>
      <c r="E94" s="2" t="s">
        <v>24</v>
      </c>
      <c r="F94" s="2" t="s">
        <v>76</v>
      </c>
      <c r="G94" s="9"/>
      <c r="H94" s="10">
        <v>1328.48</v>
      </c>
      <c r="I94" s="9"/>
      <c r="J94" s="10">
        <f t="shared" si="7"/>
        <v>1328.48</v>
      </c>
      <c r="K94" s="4">
        <f>H94/VLOOKUP(A94,Resume!$A:$C,3,FALSE)</f>
        <v>1.5244383131942272E-2</v>
      </c>
      <c r="L94" s="4" t="str">
        <f t="shared" si="10"/>
        <v/>
      </c>
      <c r="M94" s="1" t="s">
        <v>190</v>
      </c>
      <c r="N94" s="1">
        <f t="shared" si="11"/>
        <v>3</v>
      </c>
    </row>
    <row r="95" spans="1:14" x14ac:dyDescent="0.25">
      <c r="A95" s="9" t="str">
        <f t="shared" si="9"/>
        <v>Owi Wijaya</v>
      </c>
      <c r="B95" s="1" t="s">
        <v>21</v>
      </c>
      <c r="C95" s="1" t="s">
        <v>202</v>
      </c>
      <c r="D95" s="1" t="s">
        <v>126</v>
      </c>
      <c r="E95" s="2" t="s">
        <v>15</v>
      </c>
      <c r="F95" s="2" t="s">
        <v>76</v>
      </c>
      <c r="G95" s="9"/>
      <c r="H95" s="10">
        <v>1328.28</v>
      </c>
      <c r="I95" s="9"/>
      <c r="J95" s="10">
        <f t="shared" si="7"/>
        <v>1328.28</v>
      </c>
      <c r="K95" s="4">
        <f>H95/VLOOKUP(A95,Resume!$A:$C,3,FALSE)</f>
        <v>1.5242088120631308E-2</v>
      </c>
      <c r="L95" s="4" t="str">
        <f t="shared" si="10"/>
        <v/>
      </c>
      <c r="M95" s="1" t="s">
        <v>190</v>
      </c>
      <c r="N95" s="1">
        <f t="shared" si="11"/>
        <v>3</v>
      </c>
    </row>
    <row r="96" spans="1:14" x14ac:dyDescent="0.25">
      <c r="A96" s="9" t="s">
        <v>144</v>
      </c>
      <c r="B96" s="1" t="s">
        <v>96</v>
      </c>
      <c r="C96" s="1" t="s">
        <v>271</v>
      </c>
      <c r="D96" s="1" t="s">
        <v>97</v>
      </c>
      <c r="E96" s="2" t="s">
        <v>104</v>
      </c>
      <c r="F96" s="2" t="s">
        <v>98</v>
      </c>
      <c r="G96" s="9"/>
      <c r="H96" s="10">
        <v>2736.7799999999997</v>
      </c>
      <c r="I96" s="9"/>
      <c r="J96" s="10">
        <f t="shared" ref="J96:J117" si="12">H96-I96</f>
        <v>2736.7799999999997</v>
      </c>
      <c r="K96" s="4">
        <f>H96/VLOOKUP(A96,Resume!$A:$C,3,FALSE)</f>
        <v>2.7232510432328692E-2</v>
      </c>
      <c r="L96" s="4" t="str">
        <f t="shared" si="10"/>
        <v/>
      </c>
      <c r="N96" s="1">
        <f t="shared" si="11"/>
        <v>1</v>
      </c>
    </row>
    <row r="97" spans="1:14" x14ac:dyDescent="0.25">
      <c r="A97" s="9" t="str">
        <f t="shared" ref="A97:A117" si="13">A96</f>
        <v>Wawan Iskandar</v>
      </c>
      <c r="B97" s="1" t="s">
        <v>105</v>
      </c>
      <c r="C97" s="1" t="s">
        <v>272</v>
      </c>
      <c r="D97" s="1" t="s">
        <v>106</v>
      </c>
      <c r="E97" s="2" t="s">
        <v>104</v>
      </c>
      <c r="F97" s="2" t="s">
        <v>76</v>
      </c>
      <c r="G97" s="9"/>
      <c r="H97" s="10">
        <v>200</v>
      </c>
      <c r="I97" s="9"/>
      <c r="J97" s="10">
        <f t="shared" si="12"/>
        <v>200</v>
      </c>
      <c r="K97" s="4">
        <f>H97/VLOOKUP(A97,Resume!$A:$C,3,FALSE)</f>
        <v>1.990113230316554E-3</v>
      </c>
      <c r="L97" s="4" t="str">
        <f t="shared" si="10"/>
        <v/>
      </c>
      <c r="N97" s="1">
        <f t="shared" si="11"/>
        <v>1</v>
      </c>
    </row>
    <row r="98" spans="1:14" x14ac:dyDescent="0.25">
      <c r="A98" s="9" t="str">
        <f t="shared" si="13"/>
        <v>Wawan Iskandar</v>
      </c>
      <c r="B98" s="1" t="s">
        <v>121</v>
      </c>
      <c r="C98" s="1" t="s">
        <v>273</v>
      </c>
      <c r="D98" s="1" t="s">
        <v>122</v>
      </c>
      <c r="E98" s="2" t="s">
        <v>104</v>
      </c>
      <c r="F98" s="2" t="s">
        <v>98</v>
      </c>
      <c r="G98" s="9"/>
      <c r="H98" s="10">
        <v>1460</v>
      </c>
      <c r="I98" s="9"/>
      <c r="J98" s="10">
        <f t="shared" si="12"/>
        <v>1460</v>
      </c>
      <c r="K98" s="4">
        <f>H98/VLOOKUP(A98,Resume!$A:$C,3,FALSE)</f>
        <v>1.4527826581310844E-2</v>
      </c>
      <c r="L98" s="4" t="str">
        <f t="shared" si="10"/>
        <v/>
      </c>
      <c r="N98" s="1">
        <f t="shared" si="11"/>
        <v>1</v>
      </c>
    </row>
    <row r="99" spans="1:14" x14ac:dyDescent="0.25">
      <c r="A99" s="9" t="str">
        <f t="shared" si="13"/>
        <v>Wawan Iskandar</v>
      </c>
      <c r="B99" s="1" t="s">
        <v>131</v>
      </c>
      <c r="C99" s="1" t="s">
        <v>274</v>
      </c>
      <c r="D99" s="1" t="s">
        <v>132</v>
      </c>
      <c r="E99" s="2" t="s">
        <v>104</v>
      </c>
      <c r="F99" s="2" t="s">
        <v>76</v>
      </c>
      <c r="G99" s="9"/>
      <c r="H99" s="10">
        <v>4235.2299999999996</v>
      </c>
      <c r="I99" s="9"/>
      <c r="J99" s="10">
        <f t="shared" si="12"/>
        <v>4235.2299999999996</v>
      </c>
      <c r="K99" s="4">
        <f>H99/VLOOKUP(A99,Resume!$A:$C,3,FALSE)</f>
        <v>4.2142936282167892E-2</v>
      </c>
      <c r="L99" s="4" t="str">
        <f t="shared" si="10"/>
        <v/>
      </c>
      <c r="N99" s="1">
        <f t="shared" si="11"/>
        <v>1</v>
      </c>
    </row>
    <row r="100" spans="1:14" x14ac:dyDescent="0.25">
      <c r="A100" s="9" t="str">
        <f t="shared" si="13"/>
        <v>Wawan Iskandar</v>
      </c>
      <c r="B100" s="1" t="s">
        <v>133</v>
      </c>
      <c r="C100" s="1" t="s">
        <v>275</v>
      </c>
      <c r="D100" s="1" t="s">
        <v>145</v>
      </c>
      <c r="E100" s="2" t="s">
        <v>104</v>
      </c>
      <c r="F100" s="2" t="s">
        <v>76</v>
      </c>
      <c r="G100" s="9"/>
      <c r="H100" s="10">
        <v>821.62</v>
      </c>
      <c r="I100" s="9"/>
      <c r="J100" s="10">
        <f t="shared" si="12"/>
        <v>821.62</v>
      </c>
      <c r="K100" s="4">
        <f>H100/VLOOKUP(A100,Resume!$A:$C,3,FALSE)</f>
        <v>8.175584161463436E-3</v>
      </c>
      <c r="L100" s="4" t="str">
        <f t="shared" si="10"/>
        <v/>
      </c>
      <c r="N100" s="1">
        <f t="shared" si="11"/>
        <v>1</v>
      </c>
    </row>
    <row r="101" spans="1:14" x14ac:dyDescent="0.25">
      <c r="A101" s="9" t="str">
        <f t="shared" si="13"/>
        <v>Wawan Iskandar</v>
      </c>
      <c r="B101" s="1" t="s">
        <v>137</v>
      </c>
      <c r="C101" s="1" t="s">
        <v>276</v>
      </c>
      <c r="D101" s="1" t="s">
        <v>138</v>
      </c>
      <c r="E101" s="2" t="s">
        <v>104</v>
      </c>
      <c r="F101" s="2" t="s">
        <v>76</v>
      </c>
      <c r="G101" s="9"/>
      <c r="H101" s="10">
        <v>55</v>
      </c>
      <c r="I101" s="9"/>
      <c r="J101" s="10">
        <f t="shared" si="12"/>
        <v>55</v>
      </c>
      <c r="K101" s="4">
        <f>H101/VLOOKUP(A101,Resume!$A:$C,3,FALSE)</f>
        <v>5.4728113833705236E-4</v>
      </c>
      <c r="L101" s="4" t="str">
        <f t="shared" si="10"/>
        <v/>
      </c>
      <c r="N101" s="1">
        <f t="shared" si="11"/>
        <v>1</v>
      </c>
    </row>
    <row r="102" spans="1:14" x14ac:dyDescent="0.25">
      <c r="A102" s="9" t="str">
        <f t="shared" si="13"/>
        <v>Wawan Iskandar</v>
      </c>
      <c r="B102" s="1" t="s">
        <v>141</v>
      </c>
      <c r="C102" s="1" t="s">
        <v>277</v>
      </c>
      <c r="D102" s="1" t="s">
        <v>142</v>
      </c>
      <c r="E102" s="2" t="s">
        <v>104</v>
      </c>
      <c r="F102" s="2" t="s">
        <v>76</v>
      </c>
      <c r="G102" s="9"/>
      <c r="H102" s="10">
        <v>20.09</v>
      </c>
      <c r="I102" s="9"/>
      <c r="J102" s="10">
        <f t="shared" si="12"/>
        <v>20.09</v>
      </c>
      <c r="K102" s="4">
        <f>H102/VLOOKUP(A102,Resume!$A:$C,3,FALSE)</f>
        <v>1.9990687398529784E-4</v>
      </c>
      <c r="L102" s="4" t="str">
        <f t="shared" si="10"/>
        <v/>
      </c>
      <c r="N102" s="1">
        <f t="shared" si="11"/>
        <v>1</v>
      </c>
    </row>
    <row r="103" spans="1:14" x14ac:dyDescent="0.25">
      <c r="A103" s="9" t="str">
        <f t="shared" si="13"/>
        <v>Wawan Iskandar</v>
      </c>
      <c r="B103" s="1" t="s">
        <v>81</v>
      </c>
      <c r="C103" s="1" t="s">
        <v>278</v>
      </c>
      <c r="D103" s="1" t="s">
        <v>82</v>
      </c>
      <c r="E103" s="2" t="s">
        <v>104</v>
      </c>
      <c r="F103" s="2" t="s">
        <v>146</v>
      </c>
      <c r="G103" s="9"/>
      <c r="H103" s="10">
        <v>563</v>
      </c>
      <c r="I103" s="9"/>
      <c r="J103" s="10">
        <f t="shared" si="12"/>
        <v>563</v>
      </c>
      <c r="K103" s="4">
        <f>H103/VLOOKUP(A103,Resume!$A:$C,3,FALSE)</f>
        <v>5.6021687433410999E-3</v>
      </c>
      <c r="L103" s="4" t="str">
        <f t="shared" si="10"/>
        <v/>
      </c>
      <c r="N103" s="1">
        <f t="shared" si="11"/>
        <v>1</v>
      </c>
    </row>
    <row r="104" spans="1:14" x14ac:dyDescent="0.25">
      <c r="A104" s="9" t="str">
        <f t="shared" si="13"/>
        <v>Wawan Iskandar</v>
      </c>
      <c r="B104" s="1" t="s">
        <v>107</v>
      </c>
      <c r="C104" s="1" t="s">
        <v>279</v>
      </c>
      <c r="D104" s="1" t="s">
        <v>108</v>
      </c>
      <c r="E104" s="2" t="s">
        <v>104</v>
      </c>
      <c r="F104" s="2" t="s">
        <v>146</v>
      </c>
      <c r="G104" s="9"/>
      <c r="H104" s="10">
        <v>50</v>
      </c>
      <c r="I104" s="9"/>
      <c r="J104" s="10">
        <f t="shared" si="12"/>
        <v>50</v>
      </c>
      <c r="K104" s="4">
        <f>H104/VLOOKUP(A104,Resume!$A:$C,3,FALSE)</f>
        <v>4.9752830757913849E-4</v>
      </c>
      <c r="L104" s="4" t="str">
        <f t="shared" si="10"/>
        <v/>
      </c>
      <c r="N104" s="1">
        <f t="shared" si="11"/>
        <v>1</v>
      </c>
    </row>
    <row r="105" spans="1:14" x14ac:dyDescent="0.25">
      <c r="A105" s="9" t="str">
        <f t="shared" si="13"/>
        <v>Wawan Iskandar</v>
      </c>
      <c r="B105" s="1" t="s">
        <v>109</v>
      </c>
      <c r="C105" s="1" t="s">
        <v>280</v>
      </c>
      <c r="D105" s="1" t="s">
        <v>110</v>
      </c>
      <c r="E105" s="2" t="s">
        <v>104</v>
      </c>
      <c r="F105" s="2" t="s">
        <v>146</v>
      </c>
      <c r="G105" s="9"/>
      <c r="H105" s="10">
        <v>50</v>
      </c>
      <c r="I105" s="9"/>
      <c r="J105" s="10">
        <f t="shared" si="12"/>
        <v>50</v>
      </c>
      <c r="K105" s="4">
        <f>H105/VLOOKUP(A105,Resume!$A:$C,3,FALSE)</f>
        <v>4.9752830757913849E-4</v>
      </c>
      <c r="L105" s="4" t="str">
        <f t="shared" si="10"/>
        <v/>
      </c>
      <c r="N105" s="1">
        <f t="shared" ref="N105:N136" si="14">COUNTIF($C$6:$C$164,C105)</f>
        <v>1</v>
      </c>
    </row>
    <row r="106" spans="1:14" x14ac:dyDescent="0.25">
      <c r="A106" s="9" t="str">
        <f t="shared" si="13"/>
        <v>Wawan Iskandar</v>
      </c>
      <c r="B106" s="1" t="s">
        <v>111</v>
      </c>
      <c r="C106" s="1" t="s">
        <v>281</v>
      </c>
      <c r="D106" s="1" t="s">
        <v>112</v>
      </c>
      <c r="E106" s="2" t="s">
        <v>104</v>
      </c>
      <c r="F106" s="2" t="s">
        <v>146</v>
      </c>
      <c r="G106" s="9"/>
      <c r="H106" s="10">
        <v>50</v>
      </c>
      <c r="I106" s="9"/>
      <c r="J106" s="10">
        <f t="shared" si="12"/>
        <v>50</v>
      </c>
      <c r="K106" s="4">
        <f>H106/VLOOKUP(A106,Resume!$A:$C,3,FALSE)</f>
        <v>4.9752830757913849E-4</v>
      </c>
      <c r="L106" s="4" t="str">
        <f t="shared" si="10"/>
        <v/>
      </c>
      <c r="N106" s="1">
        <f t="shared" si="14"/>
        <v>1</v>
      </c>
    </row>
    <row r="107" spans="1:14" x14ac:dyDescent="0.25">
      <c r="A107" s="9" t="str">
        <f t="shared" si="13"/>
        <v>Wawan Iskandar</v>
      </c>
      <c r="B107" s="1" t="s">
        <v>113</v>
      </c>
      <c r="C107" s="1" t="s">
        <v>282</v>
      </c>
      <c r="D107" s="1" t="s">
        <v>114</v>
      </c>
      <c r="E107" s="2" t="s">
        <v>104</v>
      </c>
      <c r="F107" s="2" t="s">
        <v>146</v>
      </c>
      <c r="G107" s="9"/>
      <c r="H107" s="10">
        <v>50</v>
      </c>
      <c r="I107" s="9"/>
      <c r="J107" s="10">
        <f t="shared" si="12"/>
        <v>50</v>
      </c>
      <c r="K107" s="4">
        <f>H107/VLOOKUP(A107,Resume!$A:$C,3,FALSE)</f>
        <v>4.9752830757913849E-4</v>
      </c>
      <c r="L107" s="4" t="str">
        <f t="shared" si="10"/>
        <v/>
      </c>
      <c r="N107" s="1">
        <f t="shared" si="14"/>
        <v>1</v>
      </c>
    </row>
    <row r="108" spans="1:14" x14ac:dyDescent="0.25">
      <c r="A108" s="9" t="str">
        <f t="shared" si="13"/>
        <v>Wawan Iskandar</v>
      </c>
      <c r="B108" s="1" t="s">
        <v>115</v>
      </c>
      <c r="C108" s="1" t="s">
        <v>283</v>
      </c>
      <c r="D108" s="1" t="s">
        <v>116</v>
      </c>
      <c r="E108" s="2" t="s">
        <v>104</v>
      </c>
      <c r="F108" s="2" t="s">
        <v>146</v>
      </c>
      <c r="G108" s="9"/>
      <c r="H108" s="10">
        <v>50</v>
      </c>
      <c r="I108" s="9"/>
      <c r="J108" s="10">
        <f t="shared" si="12"/>
        <v>50</v>
      </c>
      <c r="K108" s="4">
        <f>H108/VLOOKUP(A108,Resume!$A:$C,3,FALSE)</f>
        <v>4.9752830757913849E-4</v>
      </c>
      <c r="L108" s="4" t="str">
        <f t="shared" si="10"/>
        <v/>
      </c>
      <c r="N108" s="1">
        <f t="shared" si="14"/>
        <v>1</v>
      </c>
    </row>
    <row r="109" spans="1:14" x14ac:dyDescent="0.25">
      <c r="A109" s="9" t="str">
        <f t="shared" si="13"/>
        <v>Wawan Iskandar</v>
      </c>
      <c r="B109" s="1" t="s">
        <v>117</v>
      </c>
      <c r="C109" s="1" t="s">
        <v>284</v>
      </c>
      <c r="D109" s="1" t="s">
        <v>118</v>
      </c>
      <c r="E109" s="2" t="s">
        <v>104</v>
      </c>
      <c r="F109" s="2" t="s">
        <v>146</v>
      </c>
      <c r="G109" s="9"/>
      <c r="H109" s="10">
        <v>50</v>
      </c>
      <c r="I109" s="9"/>
      <c r="J109" s="10">
        <f t="shared" si="12"/>
        <v>50</v>
      </c>
      <c r="K109" s="4">
        <f>H109/VLOOKUP(A109,Resume!$A:$C,3,FALSE)</f>
        <v>4.9752830757913849E-4</v>
      </c>
      <c r="L109" s="4" t="str">
        <f t="shared" si="10"/>
        <v/>
      </c>
      <c r="N109" s="1">
        <f t="shared" si="14"/>
        <v>1</v>
      </c>
    </row>
    <row r="110" spans="1:14" x14ac:dyDescent="0.25">
      <c r="A110" s="9" t="str">
        <f t="shared" si="13"/>
        <v>Wawan Iskandar</v>
      </c>
      <c r="B110" s="1" t="s">
        <v>127</v>
      </c>
      <c r="C110" s="1" t="s">
        <v>285</v>
      </c>
      <c r="D110" s="1" t="s">
        <v>128</v>
      </c>
      <c r="E110" s="2" t="s">
        <v>104</v>
      </c>
      <c r="F110" s="2" t="s">
        <v>146</v>
      </c>
      <c r="G110" s="9"/>
      <c r="H110" s="10">
        <v>3978</v>
      </c>
      <c r="I110" s="9"/>
      <c r="J110" s="10">
        <f t="shared" si="12"/>
        <v>3978</v>
      </c>
      <c r="K110" s="4">
        <f>H110/VLOOKUP(A110,Resume!$A:$C,3,FALSE)</f>
        <v>3.9583352150996259E-2</v>
      </c>
      <c r="L110" s="4" t="str">
        <f t="shared" si="10"/>
        <v/>
      </c>
      <c r="N110" s="1">
        <f t="shared" si="14"/>
        <v>1</v>
      </c>
    </row>
    <row r="111" spans="1:14" x14ac:dyDescent="0.25">
      <c r="A111" s="9" t="str">
        <f t="shared" si="13"/>
        <v>Wawan Iskandar</v>
      </c>
      <c r="B111" s="1" t="s">
        <v>71</v>
      </c>
      <c r="C111" s="1" t="s">
        <v>286</v>
      </c>
      <c r="D111" s="1" t="s">
        <v>72</v>
      </c>
      <c r="E111" s="2" t="s">
        <v>104</v>
      </c>
      <c r="F111" s="2" t="s">
        <v>147</v>
      </c>
      <c r="G111" s="9"/>
      <c r="H111" s="10">
        <v>5000</v>
      </c>
      <c r="I111" s="9"/>
      <c r="J111" s="10">
        <f t="shared" si="12"/>
        <v>5000</v>
      </c>
      <c r="K111" s="4">
        <f>H111/VLOOKUP(A111,Resume!$A:$C,3,FALSE)</f>
        <v>4.9752830757913848E-2</v>
      </c>
      <c r="L111" s="4" t="str">
        <f t="shared" si="10"/>
        <v/>
      </c>
      <c r="N111" s="1">
        <f t="shared" si="14"/>
        <v>1</v>
      </c>
    </row>
    <row r="112" spans="1:14" x14ac:dyDescent="0.25">
      <c r="A112" s="9" t="str">
        <f t="shared" si="13"/>
        <v>Wawan Iskandar</v>
      </c>
      <c r="B112" s="1" t="s">
        <v>77</v>
      </c>
      <c r="C112" s="1" t="s">
        <v>287</v>
      </c>
      <c r="D112" s="1" t="s">
        <v>78</v>
      </c>
      <c r="E112" s="2" t="s">
        <v>104</v>
      </c>
      <c r="F112" s="2" t="s">
        <v>76</v>
      </c>
      <c r="G112" s="9"/>
      <c r="H112" s="10">
        <v>3463.43</v>
      </c>
      <c r="I112" s="9"/>
      <c r="J112" s="10">
        <f t="shared" si="12"/>
        <v>3463.43</v>
      </c>
      <c r="K112" s="4">
        <f>H112/VLOOKUP(A112,Resume!$A:$C,3,FALSE)</f>
        <v>3.446308932637631E-2</v>
      </c>
      <c r="L112" s="4" t="str">
        <f t="shared" si="10"/>
        <v/>
      </c>
      <c r="N112" s="1">
        <f t="shared" si="14"/>
        <v>1</v>
      </c>
    </row>
    <row r="113" spans="1:14" x14ac:dyDescent="0.25">
      <c r="A113" s="9" t="str">
        <f t="shared" si="13"/>
        <v>Wawan Iskandar</v>
      </c>
      <c r="B113" s="1" t="s">
        <v>90</v>
      </c>
      <c r="C113" s="1" t="s">
        <v>288</v>
      </c>
      <c r="D113" s="1" t="s">
        <v>91</v>
      </c>
      <c r="E113" s="2" t="s">
        <v>104</v>
      </c>
      <c r="F113" s="2" t="s">
        <v>76</v>
      </c>
      <c r="G113" s="9"/>
      <c r="H113" s="10">
        <v>23.95</v>
      </c>
      <c r="I113" s="9"/>
      <c r="J113" s="10">
        <f t="shared" si="12"/>
        <v>23.95</v>
      </c>
      <c r="K113" s="4">
        <f>H113/VLOOKUP(A113,Resume!$A:$C,3,FALSE)</f>
        <v>2.3831605933040734E-4</v>
      </c>
      <c r="L113" s="4" t="str">
        <f t="shared" si="10"/>
        <v/>
      </c>
      <c r="N113" s="1">
        <f t="shared" si="14"/>
        <v>1</v>
      </c>
    </row>
    <row r="114" spans="1:14" x14ac:dyDescent="0.25">
      <c r="A114" s="9" t="str">
        <f t="shared" si="13"/>
        <v>Wawan Iskandar</v>
      </c>
      <c r="B114" s="1" t="s">
        <v>99</v>
      </c>
      <c r="C114" s="1" t="s">
        <v>289</v>
      </c>
      <c r="D114" s="1" t="s">
        <v>100</v>
      </c>
      <c r="E114" s="2" t="s">
        <v>104</v>
      </c>
      <c r="F114" s="2" t="s">
        <v>148</v>
      </c>
      <c r="G114" s="9"/>
      <c r="H114" s="10">
        <v>47747.46</v>
      </c>
      <c r="I114" s="9"/>
      <c r="J114" s="10">
        <f t="shared" si="12"/>
        <v>47747.46</v>
      </c>
      <c r="K114" s="4">
        <f>H114/VLOOKUP(A114,Resume!$A:$C,3,FALSE)</f>
        <v>0.47511425930005224</v>
      </c>
      <c r="L114" s="4" t="str">
        <f t="shared" si="10"/>
        <v/>
      </c>
      <c r="N114" s="1">
        <f t="shared" si="14"/>
        <v>1</v>
      </c>
    </row>
    <row r="115" spans="1:14" x14ac:dyDescent="0.25">
      <c r="A115" s="9" t="str">
        <f t="shared" si="13"/>
        <v>Wawan Iskandar</v>
      </c>
      <c r="B115" s="1" t="s">
        <v>149</v>
      </c>
      <c r="C115" s="1" t="s">
        <v>290</v>
      </c>
      <c r="D115" s="1" t="s">
        <v>150</v>
      </c>
      <c r="E115" s="2" t="s">
        <v>104</v>
      </c>
      <c r="F115" s="2" t="s">
        <v>151</v>
      </c>
      <c r="G115" s="9"/>
      <c r="H115" s="10">
        <v>2800</v>
      </c>
      <c r="I115" s="9"/>
      <c r="J115" s="10">
        <f t="shared" si="12"/>
        <v>2800</v>
      </c>
      <c r="K115" s="4">
        <f>H115/VLOOKUP(A115,Resume!$A:$C,3,FALSE)</f>
        <v>2.7861585224431756E-2</v>
      </c>
      <c r="L115" s="4" t="str">
        <f t="shared" si="10"/>
        <v/>
      </c>
      <c r="N115" s="1">
        <f t="shared" si="14"/>
        <v>1</v>
      </c>
    </row>
    <row r="116" spans="1:14" x14ac:dyDescent="0.25">
      <c r="A116" s="9" t="str">
        <f t="shared" si="13"/>
        <v>Wawan Iskandar</v>
      </c>
      <c r="B116" s="1" t="s">
        <v>26</v>
      </c>
      <c r="C116" s="1" t="s">
        <v>291</v>
      </c>
      <c r="D116" s="1" t="s">
        <v>27</v>
      </c>
      <c r="E116" s="2" t="s">
        <v>104</v>
      </c>
      <c r="F116" s="2" t="s">
        <v>152</v>
      </c>
      <c r="G116" s="9"/>
      <c r="H116" s="10">
        <v>812</v>
      </c>
      <c r="I116" s="9"/>
      <c r="J116" s="10">
        <f t="shared" si="12"/>
        <v>812</v>
      </c>
      <c r="K116" s="4">
        <f>H116/VLOOKUP(A116,Resume!$A:$C,3,FALSE)</f>
        <v>8.0798597150852098E-3</v>
      </c>
      <c r="L116" s="4" t="str">
        <f t="shared" si="10"/>
        <v/>
      </c>
      <c r="N116" s="1">
        <f t="shared" si="14"/>
        <v>1</v>
      </c>
    </row>
    <row r="117" spans="1:14" x14ac:dyDescent="0.25">
      <c r="A117" s="9" t="str">
        <f t="shared" si="13"/>
        <v>Wawan Iskandar</v>
      </c>
      <c r="B117" s="1" t="s">
        <v>37</v>
      </c>
      <c r="C117" s="1" t="s">
        <v>204</v>
      </c>
      <c r="D117" s="1" t="s">
        <v>38</v>
      </c>
      <c r="E117" s="2" t="s">
        <v>153</v>
      </c>
      <c r="F117" s="2" t="s">
        <v>154</v>
      </c>
      <c r="G117" s="9"/>
      <c r="H117" s="10">
        <v>26280.234329731342</v>
      </c>
      <c r="I117" s="9"/>
      <c r="J117" s="10">
        <f t="shared" si="12"/>
        <v>26280.234329731342</v>
      </c>
      <c r="K117" s="4">
        <f>H117/VLOOKUP(A117,Resume!$A:$C,3,FALSE)</f>
        <v>0.26150321017708822</v>
      </c>
      <c r="L117" s="4" t="str">
        <f t="shared" si="10"/>
        <v/>
      </c>
      <c r="M117" s="1" t="s">
        <v>190</v>
      </c>
      <c r="N117" s="1">
        <f t="shared" si="14"/>
        <v>1</v>
      </c>
    </row>
    <row r="118" spans="1:14" x14ac:dyDescent="0.25">
      <c r="A118" s="9" t="s">
        <v>191</v>
      </c>
      <c r="B118" s="1" t="s">
        <v>79</v>
      </c>
      <c r="C118" s="1" t="s">
        <v>292</v>
      </c>
      <c r="D118" s="1" t="s">
        <v>80</v>
      </c>
      <c r="E118" s="2" t="s">
        <v>24</v>
      </c>
      <c r="F118" s="2" t="s">
        <v>73</v>
      </c>
      <c r="G118" s="9"/>
      <c r="H118" s="10">
        <v>137.53</v>
      </c>
      <c r="I118" s="9"/>
      <c r="J118" s="10">
        <f t="shared" ref="J118:J154" si="15">H118-I118</f>
        <v>137.53</v>
      </c>
      <c r="K118" s="4">
        <f>H118/VLOOKUP(A118,Resume!$A:$C,3,FALSE)</f>
        <v>5.5495675892985874E-4</v>
      </c>
      <c r="L118" s="4" t="str">
        <f t="shared" si="10"/>
        <v/>
      </c>
      <c r="N118" s="1">
        <f t="shared" si="14"/>
        <v>1</v>
      </c>
    </row>
    <row r="119" spans="1:14" x14ac:dyDescent="0.25">
      <c r="A119" s="9" t="s">
        <v>191</v>
      </c>
      <c r="B119" s="1" t="s">
        <v>96</v>
      </c>
      <c r="C119" s="1" t="s">
        <v>293</v>
      </c>
      <c r="D119" s="1" t="s">
        <v>97</v>
      </c>
      <c r="E119" s="2" t="s">
        <v>24</v>
      </c>
      <c r="F119" s="2" t="s">
        <v>98</v>
      </c>
      <c r="G119" s="9"/>
      <c r="H119" s="10">
        <v>5157.3999999999996</v>
      </c>
      <c r="I119" s="9"/>
      <c r="J119" s="10">
        <f t="shared" si="15"/>
        <v>5157.3999999999996</v>
      </c>
      <c r="K119" s="4">
        <f>H119/VLOOKUP(A119,Resume!$A:$C,3,FALSE)</f>
        <v>2.0810979339088584E-2</v>
      </c>
      <c r="L119" s="4" t="str">
        <f t="shared" si="10"/>
        <v/>
      </c>
      <c r="N119" s="1">
        <f t="shared" si="14"/>
        <v>1</v>
      </c>
    </row>
    <row r="120" spans="1:14" x14ac:dyDescent="0.25">
      <c r="A120" s="9" t="s">
        <v>191</v>
      </c>
      <c r="B120" s="1" t="s">
        <v>105</v>
      </c>
      <c r="C120" s="1" t="s">
        <v>294</v>
      </c>
      <c r="D120" s="1" t="s">
        <v>106</v>
      </c>
      <c r="E120" s="2" t="s">
        <v>24</v>
      </c>
      <c r="F120" s="2" t="s">
        <v>76</v>
      </c>
      <c r="G120" s="9"/>
      <c r="H120" s="10">
        <v>500</v>
      </c>
      <c r="I120" s="9"/>
      <c r="J120" s="10">
        <f t="shared" si="15"/>
        <v>500</v>
      </c>
      <c r="K120" s="4">
        <f>H120/VLOOKUP(A120,Resume!$A:$C,3,FALSE)</f>
        <v>2.0175843776988971E-3</v>
      </c>
      <c r="L120" s="4" t="str">
        <f t="shared" si="10"/>
        <v/>
      </c>
      <c r="N120" s="1">
        <f t="shared" si="14"/>
        <v>1</v>
      </c>
    </row>
    <row r="121" spans="1:14" x14ac:dyDescent="0.25">
      <c r="A121" s="9" t="s">
        <v>191</v>
      </c>
      <c r="B121" s="1" t="s">
        <v>117</v>
      </c>
      <c r="C121" s="1" t="s">
        <v>295</v>
      </c>
      <c r="D121" s="1" t="s">
        <v>118</v>
      </c>
      <c r="E121" s="2" t="s">
        <v>24</v>
      </c>
      <c r="F121" s="2" t="s">
        <v>76</v>
      </c>
      <c r="G121" s="9"/>
      <c r="H121" s="10">
        <v>250</v>
      </c>
      <c r="I121" s="9"/>
      <c r="J121" s="10">
        <f t="shared" si="15"/>
        <v>250</v>
      </c>
      <c r="K121" s="4">
        <f>H121/VLOOKUP(A121,Resume!$A:$C,3,FALSE)</f>
        <v>1.0087921888494486E-3</v>
      </c>
      <c r="L121" s="4" t="str">
        <f t="shared" si="10"/>
        <v/>
      </c>
      <c r="N121" s="1">
        <f t="shared" si="14"/>
        <v>1</v>
      </c>
    </row>
    <row r="122" spans="1:14" x14ac:dyDescent="0.25">
      <c r="A122" s="9" t="s">
        <v>191</v>
      </c>
      <c r="B122" s="1" t="s">
        <v>121</v>
      </c>
      <c r="C122" s="1" t="s">
        <v>296</v>
      </c>
      <c r="D122" s="1" t="s">
        <v>122</v>
      </c>
      <c r="E122" s="2" t="s">
        <v>24</v>
      </c>
      <c r="F122" s="2" t="s">
        <v>98</v>
      </c>
      <c r="G122" s="9"/>
      <c r="H122" s="10">
        <v>3183.98</v>
      </c>
      <c r="I122" s="9"/>
      <c r="J122" s="10">
        <f t="shared" si="15"/>
        <v>3183.98</v>
      </c>
      <c r="K122" s="4">
        <f>H122/VLOOKUP(A122,Resume!$A:$C,3,FALSE)</f>
        <v>1.284789661381147E-2</v>
      </c>
      <c r="L122" s="4" t="str">
        <f t="shared" si="10"/>
        <v/>
      </c>
      <c r="N122" s="1">
        <f t="shared" si="14"/>
        <v>1</v>
      </c>
    </row>
    <row r="123" spans="1:14" x14ac:dyDescent="0.25">
      <c r="A123" s="9" t="s">
        <v>191</v>
      </c>
      <c r="B123" s="1" t="s">
        <v>133</v>
      </c>
      <c r="C123" s="1" t="s">
        <v>297</v>
      </c>
      <c r="D123" s="1" t="s">
        <v>145</v>
      </c>
      <c r="E123" s="2" t="s">
        <v>24</v>
      </c>
      <c r="F123" s="2" t="s">
        <v>76</v>
      </c>
      <c r="G123" s="9"/>
      <c r="H123" s="10">
        <v>126.99</v>
      </c>
      <c r="I123" s="9"/>
      <c r="J123" s="10">
        <f t="shared" si="15"/>
        <v>126.99</v>
      </c>
      <c r="K123" s="4">
        <f>H123/VLOOKUP(A123,Resume!$A:$C,3,FALSE)</f>
        <v>5.124260802479659E-4</v>
      </c>
      <c r="L123" s="4" t="str">
        <f t="shared" si="10"/>
        <v/>
      </c>
      <c r="N123" s="1">
        <f t="shared" si="14"/>
        <v>1</v>
      </c>
    </row>
    <row r="124" spans="1:14" x14ac:dyDescent="0.25">
      <c r="A124" s="9" t="s">
        <v>191</v>
      </c>
      <c r="B124" s="1" t="s">
        <v>21</v>
      </c>
      <c r="C124" s="1" t="s">
        <v>203</v>
      </c>
      <c r="D124" s="1" t="s">
        <v>156</v>
      </c>
      <c r="E124" s="2" t="s">
        <v>24</v>
      </c>
      <c r="F124" s="2" t="s">
        <v>76</v>
      </c>
      <c r="G124" s="9"/>
      <c r="H124" s="10">
        <v>754.58</v>
      </c>
      <c r="I124" s="9"/>
      <c r="J124" s="10">
        <f t="shared" si="15"/>
        <v>754.58</v>
      </c>
      <c r="K124" s="4">
        <f>H124/VLOOKUP(A124,Resume!$A:$C,3,FALSE)</f>
        <v>3.0448576394480681E-3</v>
      </c>
      <c r="L124" s="4" t="str">
        <f t="shared" si="10"/>
        <v/>
      </c>
      <c r="M124" s="1" t="s">
        <v>190</v>
      </c>
      <c r="N124" s="1">
        <f t="shared" si="14"/>
        <v>3</v>
      </c>
    </row>
    <row r="125" spans="1:14" x14ac:dyDescent="0.25">
      <c r="A125" s="9" t="s">
        <v>191</v>
      </c>
      <c r="B125" s="1" t="s">
        <v>71</v>
      </c>
      <c r="C125" s="1" t="s">
        <v>298</v>
      </c>
      <c r="D125" s="1" t="s">
        <v>72</v>
      </c>
      <c r="E125" s="2" t="s">
        <v>24</v>
      </c>
      <c r="F125" s="2" t="s">
        <v>73</v>
      </c>
      <c r="G125" s="9"/>
      <c r="H125" s="10">
        <v>6722.26</v>
      </c>
      <c r="I125" s="9"/>
      <c r="J125" s="10">
        <f t="shared" si="15"/>
        <v>6722.26</v>
      </c>
      <c r="K125" s="4">
        <f>H125/VLOOKUP(A125,Resume!$A:$C,3,FALSE)</f>
        <v>2.7125453517660381E-2</v>
      </c>
      <c r="L125" s="4" t="str">
        <f t="shared" si="10"/>
        <v/>
      </c>
      <c r="N125" s="1">
        <f t="shared" si="14"/>
        <v>1</v>
      </c>
    </row>
    <row r="126" spans="1:14" x14ac:dyDescent="0.25">
      <c r="A126" s="9" t="s">
        <v>191</v>
      </c>
      <c r="B126" s="1" t="s">
        <v>77</v>
      </c>
      <c r="C126" s="1" t="s">
        <v>299</v>
      </c>
      <c r="D126" s="1" t="s">
        <v>78</v>
      </c>
      <c r="E126" s="2" t="s">
        <v>24</v>
      </c>
      <c r="F126" s="2" t="s">
        <v>76</v>
      </c>
      <c r="G126" s="9"/>
      <c r="H126" s="10">
        <v>5152.29</v>
      </c>
      <c r="I126" s="9"/>
      <c r="J126" s="10">
        <f t="shared" si="15"/>
        <v>5152.29</v>
      </c>
      <c r="K126" s="4">
        <f>H126/VLOOKUP(A126,Resume!$A:$C,3,FALSE)</f>
        <v>2.0790359626748502E-2</v>
      </c>
      <c r="L126" s="4" t="str">
        <f t="shared" si="10"/>
        <v/>
      </c>
      <c r="N126" s="1">
        <f t="shared" si="14"/>
        <v>1</v>
      </c>
    </row>
    <row r="127" spans="1:14" x14ac:dyDescent="0.25">
      <c r="A127" s="9" t="s">
        <v>191</v>
      </c>
      <c r="B127" s="1" t="s">
        <v>81</v>
      </c>
      <c r="C127" s="1" t="s">
        <v>300</v>
      </c>
      <c r="D127" s="1" t="s">
        <v>82</v>
      </c>
      <c r="E127" s="2" t="s">
        <v>24</v>
      </c>
      <c r="F127" s="2" t="s">
        <v>157</v>
      </c>
      <c r="G127" s="9"/>
      <c r="H127" s="10">
        <v>3188</v>
      </c>
      <c r="I127" s="9"/>
      <c r="J127" s="10">
        <f t="shared" si="15"/>
        <v>3188</v>
      </c>
      <c r="K127" s="4">
        <f>H127/VLOOKUP(A127,Resume!$A:$C,3,FALSE)</f>
        <v>1.2864117992208169E-2</v>
      </c>
      <c r="L127" s="4" t="str">
        <f t="shared" si="10"/>
        <v/>
      </c>
      <c r="N127" s="1">
        <f t="shared" si="14"/>
        <v>1</v>
      </c>
    </row>
    <row r="128" spans="1:14" x14ac:dyDescent="0.25">
      <c r="A128" s="9" t="s">
        <v>191</v>
      </c>
      <c r="B128" s="1" t="s">
        <v>158</v>
      </c>
      <c r="C128" s="1" t="s">
        <v>301</v>
      </c>
      <c r="D128" s="1" t="s">
        <v>87</v>
      </c>
      <c r="E128" s="2" t="s">
        <v>24</v>
      </c>
      <c r="F128" s="2" t="s">
        <v>76</v>
      </c>
      <c r="G128" s="9"/>
      <c r="H128" s="10">
        <v>2043.4899999999998</v>
      </c>
      <c r="I128" s="9"/>
      <c r="J128" s="10">
        <f t="shared" si="15"/>
        <v>2043.4899999999998</v>
      </c>
      <c r="K128" s="4">
        <f>H128/VLOOKUP(A128,Resume!$A:$C,3,FALSE)</f>
        <v>8.2458269999678389E-3</v>
      </c>
      <c r="L128" s="4" t="str">
        <f t="shared" si="10"/>
        <v/>
      </c>
      <c r="N128" s="1">
        <f t="shared" si="14"/>
        <v>1</v>
      </c>
    </row>
    <row r="129" spans="1:14" x14ac:dyDescent="0.25">
      <c r="A129" s="9" t="s">
        <v>191</v>
      </c>
      <c r="B129" s="1" t="s">
        <v>99</v>
      </c>
      <c r="C129" s="1" t="s">
        <v>302</v>
      </c>
      <c r="D129" s="1" t="s">
        <v>100</v>
      </c>
      <c r="E129" s="2" t="s">
        <v>24</v>
      </c>
      <c r="F129" s="2" t="s">
        <v>159</v>
      </c>
      <c r="G129" s="9"/>
      <c r="H129" s="10">
        <v>78109.679999999993</v>
      </c>
      <c r="I129" s="9"/>
      <c r="J129" s="10">
        <f t="shared" si="15"/>
        <v>78109.679999999993</v>
      </c>
      <c r="K129" s="4">
        <f>H129/VLOOKUP(A129,Resume!$A:$C,3,FALSE)</f>
        <v>0.31518574023011997</v>
      </c>
      <c r="L129" s="4" t="str">
        <f t="shared" si="10"/>
        <v/>
      </c>
      <c r="N129" s="1">
        <f t="shared" si="14"/>
        <v>1</v>
      </c>
    </row>
    <row r="130" spans="1:14" x14ac:dyDescent="0.25">
      <c r="A130" s="9" t="s">
        <v>191</v>
      </c>
      <c r="B130" s="1" t="s">
        <v>107</v>
      </c>
      <c r="C130" s="1" t="s">
        <v>303</v>
      </c>
      <c r="D130" s="1" t="s">
        <v>108</v>
      </c>
      <c r="E130" s="2" t="s">
        <v>24</v>
      </c>
      <c r="F130" s="2" t="s">
        <v>157</v>
      </c>
      <c r="G130" s="9"/>
      <c r="H130" s="10">
        <v>250</v>
      </c>
      <c r="I130" s="9"/>
      <c r="J130" s="10">
        <f t="shared" si="15"/>
        <v>250</v>
      </c>
      <c r="K130" s="4">
        <f>H130/VLOOKUP(A130,Resume!$A:$C,3,FALSE)</f>
        <v>1.0087921888494486E-3</v>
      </c>
      <c r="L130" s="4" t="str">
        <f t="shared" si="10"/>
        <v/>
      </c>
      <c r="N130" s="1">
        <f t="shared" si="14"/>
        <v>1</v>
      </c>
    </row>
    <row r="131" spans="1:14" x14ac:dyDescent="0.25">
      <c r="A131" s="9" t="s">
        <v>191</v>
      </c>
      <c r="B131" s="1" t="s">
        <v>109</v>
      </c>
      <c r="C131" s="1" t="s">
        <v>304</v>
      </c>
      <c r="D131" s="1" t="s">
        <v>110</v>
      </c>
      <c r="E131" s="2" t="s">
        <v>24</v>
      </c>
      <c r="F131" s="2" t="s">
        <v>157</v>
      </c>
      <c r="G131" s="9"/>
      <c r="H131" s="10">
        <v>250</v>
      </c>
      <c r="I131" s="9"/>
      <c r="J131" s="10">
        <f t="shared" si="15"/>
        <v>250</v>
      </c>
      <c r="K131" s="4">
        <f>H131/VLOOKUP(A131,Resume!$A:$C,3,FALSE)</f>
        <v>1.0087921888494486E-3</v>
      </c>
      <c r="L131" s="4" t="str">
        <f t="shared" si="10"/>
        <v/>
      </c>
      <c r="N131" s="1">
        <f t="shared" si="14"/>
        <v>1</v>
      </c>
    </row>
    <row r="132" spans="1:14" x14ac:dyDescent="0.25">
      <c r="A132" s="9" t="s">
        <v>191</v>
      </c>
      <c r="B132" s="1" t="s">
        <v>111</v>
      </c>
      <c r="C132" s="1" t="s">
        <v>305</v>
      </c>
      <c r="D132" s="1" t="s">
        <v>112</v>
      </c>
      <c r="E132" s="2" t="s">
        <v>24</v>
      </c>
      <c r="F132" s="2" t="s">
        <v>157</v>
      </c>
      <c r="G132" s="9"/>
      <c r="H132" s="10">
        <v>250</v>
      </c>
      <c r="I132" s="9"/>
      <c r="J132" s="10">
        <f t="shared" si="15"/>
        <v>250</v>
      </c>
      <c r="K132" s="4">
        <f>H132/VLOOKUP(A132,Resume!$A:$C,3,FALSE)</f>
        <v>1.0087921888494486E-3</v>
      </c>
      <c r="L132" s="4" t="str">
        <f t="shared" si="10"/>
        <v/>
      </c>
      <c r="N132" s="1">
        <f t="shared" si="14"/>
        <v>1</v>
      </c>
    </row>
    <row r="133" spans="1:14" x14ac:dyDescent="0.25">
      <c r="A133" s="9" t="s">
        <v>191</v>
      </c>
      <c r="B133" s="1" t="s">
        <v>115</v>
      </c>
      <c r="C133" s="1" t="s">
        <v>306</v>
      </c>
      <c r="D133" s="1" t="s">
        <v>116</v>
      </c>
      <c r="E133" s="2" t="s">
        <v>24</v>
      </c>
      <c r="F133" s="2" t="s">
        <v>157</v>
      </c>
      <c r="G133" s="9"/>
      <c r="H133" s="10">
        <v>250</v>
      </c>
      <c r="I133" s="9"/>
      <c r="J133" s="10">
        <f t="shared" si="15"/>
        <v>250</v>
      </c>
      <c r="K133" s="4">
        <f>H133/VLOOKUP(A133,Resume!$A:$C,3,FALSE)</f>
        <v>1.0087921888494486E-3</v>
      </c>
      <c r="L133" s="4" t="str">
        <f t="shared" si="10"/>
        <v/>
      </c>
      <c r="N133" s="1">
        <f t="shared" si="14"/>
        <v>1</v>
      </c>
    </row>
    <row r="134" spans="1:14" x14ac:dyDescent="0.25">
      <c r="A134" s="9" t="s">
        <v>191</v>
      </c>
      <c r="B134" s="1" t="s">
        <v>149</v>
      </c>
      <c r="C134" s="1" t="s">
        <v>307</v>
      </c>
      <c r="D134" s="1" t="s">
        <v>150</v>
      </c>
      <c r="E134" s="2" t="s">
        <v>24</v>
      </c>
      <c r="F134" s="2" t="s">
        <v>151</v>
      </c>
      <c r="G134" s="9"/>
      <c r="H134" s="10">
        <v>10800</v>
      </c>
      <c r="I134" s="9"/>
      <c r="J134" s="10">
        <f t="shared" si="15"/>
        <v>10800</v>
      </c>
      <c r="K134" s="4">
        <f>H134/VLOOKUP(A134,Resume!$A:$C,3,FALSE)</f>
        <v>4.3579822558296184E-2</v>
      </c>
      <c r="L134" s="4" t="str">
        <f t="shared" ref="L134:L164" si="16">IFERROR((H134/I134)*K134,"")</f>
        <v/>
      </c>
      <c r="N134" s="1">
        <f t="shared" si="14"/>
        <v>1</v>
      </c>
    </row>
    <row r="135" spans="1:14" x14ac:dyDescent="0.25">
      <c r="A135" s="9" t="s">
        <v>191</v>
      </c>
      <c r="B135" s="1" t="s">
        <v>127</v>
      </c>
      <c r="C135" s="1" t="s">
        <v>308</v>
      </c>
      <c r="D135" s="1" t="s">
        <v>128</v>
      </c>
      <c r="E135" s="2" t="s">
        <v>24</v>
      </c>
      <c r="F135" s="2" t="s">
        <v>157</v>
      </c>
      <c r="G135" s="9"/>
      <c r="H135" s="10">
        <v>1500</v>
      </c>
      <c r="I135" s="9"/>
      <c r="J135" s="10">
        <f t="shared" si="15"/>
        <v>1500</v>
      </c>
      <c r="K135" s="4">
        <f>H135/VLOOKUP(A135,Resume!$A:$C,3,FALSE)</f>
        <v>6.0527531330966918E-3</v>
      </c>
      <c r="L135" s="4" t="str">
        <f t="shared" si="16"/>
        <v/>
      </c>
      <c r="N135" s="1">
        <f t="shared" si="14"/>
        <v>1</v>
      </c>
    </row>
    <row r="136" spans="1:14" x14ac:dyDescent="0.25">
      <c r="A136" s="9" t="s">
        <v>191</v>
      </c>
      <c r="B136" s="1" t="s">
        <v>79</v>
      </c>
      <c r="C136" s="1" t="s">
        <v>309</v>
      </c>
      <c r="D136" s="1" t="s">
        <v>80</v>
      </c>
      <c r="E136" s="2" t="s">
        <v>15</v>
      </c>
      <c r="F136" s="2" t="s">
        <v>73</v>
      </c>
      <c r="G136" s="9"/>
      <c r="H136" s="10">
        <v>504.76</v>
      </c>
      <c r="I136" s="9"/>
      <c r="J136" s="10">
        <f t="shared" si="15"/>
        <v>504.76</v>
      </c>
      <c r="K136" s="4">
        <f>H136/VLOOKUP(A136,Resume!$A:$C,3,FALSE)</f>
        <v>2.0367917809745906E-3</v>
      </c>
      <c r="L136" s="4" t="str">
        <f t="shared" si="16"/>
        <v/>
      </c>
      <c r="N136" s="1">
        <f t="shared" si="14"/>
        <v>1</v>
      </c>
    </row>
    <row r="137" spans="1:14" x14ac:dyDescent="0.25">
      <c r="A137" s="9" t="s">
        <v>191</v>
      </c>
      <c r="B137" s="1" t="s">
        <v>96</v>
      </c>
      <c r="C137" s="1" t="s">
        <v>310</v>
      </c>
      <c r="D137" s="1" t="s">
        <v>97</v>
      </c>
      <c r="E137" s="2" t="s">
        <v>15</v>
      </c>
      <c r="F137" s="2" t="s">
        <v>98</v>
      </c>
      <c r="G137" s="9"/>
      <c r="H137" s="10">
        <v>5702.68</v>
      </c>
      <c r="I137" s="9"/>
      <c r="J137" s="10">
        <f t="shared" si="15"/>
        <v>5702.68</v>
      </c>
      <c r="K137" s="4">
        <f>H137/VLOOKUP(A137,Resume!$A:$C,3,FALSE)</f>
        <v>2.3011276158031897E-2</v>
      </c>
      <c r="L137" s="4" t="str">
        <f t="shared" si="16"/>
        <v/>
      </c>
      <c r="N137" s="1">
        <f t="shared" ref="N137:N164" si="17">COUNTIF($C$6:$C$164,C137)</f>
        <v>1</v>
      </c>
    </row>
    <row r="138" spans="1:14" x14ac:dyDescent="0.25">
      <c r="A138" s="9" t="s">
        <v>191</v>
      </c>
      <c r="B138" s="1" t="s">
        <v>105</v>
      </c>
      <c r="C138" s="1" t="s">
        <v>311</v>
      </c>
      <c r="D138" s="1" t="s">
        <v>106</v>
      </c>
      <c r="E138" s="2" t="s">
        <v>15</v>
      </c>
      <c r="F138" s="2" t="s">
        <v>76</v>
      </c>
      <c r="G138" s="9"/>
      <c r="H138" s="10">
        <v>700</v>
      </c>
      <c r="I138" s="9"/>
      <c r="J138" s="10">
        <f t="shared" si="15"/>
        <v>700</v>
      </c>
      <c r="K138" s="4">
        <f>H138/VLOOKUP(A138,Resume!$A:$C,3,FALSE)</f>
        <v>2.8246181287784563E-3</v>
      </c>
      <c r="L138" s="4" t="str">
        <f t="shared" si="16"/>
        <v/>
      </c>
      <c r="N138" s="1">
        <f t="shared" si="17"/>
        <v>1</v>
      </c>
    </row>
    <row r="139" spans="1:14" x14ac:dyDescent="0.25">
      <c r="A139" s="9" t="s">
        <v>191</v>
      </c>
      <c r="B139" s="1" t="s">
        <v>117</v>
      </c>
      <c r="C139" s="1" t="s">
        <v>312</v>
      </c>
      <c r="D139" s="1" t="s">
        <v>118</v>
      </c>
      <c r="E139" s="2" t="s">
        <v>15</v>
      </c>
      <c r="F139" s="2" t="s">
        <v>76</v>
      </c>
      <c r="G139" s="9"/>
      <c r="H139" s="10">
        <v>300</v>
      </c>
      <c r="I139" s="9"/>
      <c r="J139" s="10">
        <f t="shared" si="15"/>
        <v>300</v>
      </c>
      <c r="K139" s="4">
        <f>H139/VLOOKUP(A139,Resume!$A:$C,3,FALSE)</f>
        <v>1.2105506266193384E-3</v>
      </c>
      <c r="L139" s="4" t="str">
        <f t="shared" si="16"/>
        <v/>
      </c>
      <c r="N139" s="1">
        <f t="shared" si="17"/>
        <v>1</v>
      </c>
    </row>
    <row r="140" spans="1:14" x14ac:dyDescent="0.25">
      <c r="A140" s="9" t="s">
        <v>191</v>
      </c>
      <c r="B140" s="1" t="s">
        <v>121</v>
      </c>
      <c r="C140" s="1" t="s">
        <v>313</v>
      </c>
      <c r="D140" s="1" t="s">
        <v>122</v>
      </c>
      <c r="E140" s="2" t="s">
        <v>15</v>
      </c>
      <c r="F140" s="2" t="s">
        <v>98</v>
      </c>
      <c r="G140" s="9"/>
      <c r="H140" s="10">
        <v>3500</v>
      </c>
      <c r="I140" s="9"/>
      <c r="J140" s="10">
        <f t="shared" si="15"/>
        <v>3500</v>
      </c>
      <c r="K140" s="4">
        <f>H140/VLOOKUP(A140,Resume!$A:$C,3,FALSE)</f>
        <v>1.4123090643892281E-2</v>
      </c>
      <c r="L140" s="4" t="str">
        <f t="shared" si="16"/>
        <v/>
      </c>
      <c r="N140" s="1">
        <f t="shared" si="17"/>
        <v>1</v>
      </c>
    </row>
    <row r="141" spans="1:14" x14ac:dyDescent="0.25">
      <c r="A141" s="9" t="s">
        <v>191</v>
      </c>
      <c r="B141" s="1" t="s">
        <v>133</v>
      </c>
      <c r="C141" s="1" t="s">
        <v>314</v>
      </c>
      <c r="D141" s="1" t="s">
        <v>161</v>
      </c>
      <c r="E141" s="2" t="s">
        <v>15</v>
      </c>
      <c r="F141" s="2" t="s">
        <v>76</v>
      </c>
      <c r="G141" s="9"/>
      <c r="H141" s="10">
        <v>512.71</v>
      </c>
      <c r="I141" s="9"/>
      <c r="J141" s="10">
        <f t="shared" si="15"/>
        <v>512.71</v>
      </c>
      <c r="K141" s="4">
        <f>H141/VLOOKUP(A141,Resume!$A:$C,3,FALSE)</f>
        <v>2.0688713725800032E-3</v>
      </c>
      <c r="L141" s="4" t="str">
        <f t="shared" si="16"/>
        <v/>
      </c>
      <c r="N141" s="1">
        <f t="shared" si="17"/>
        <v>1</v>
      </c>
    </row>
    <row r="142" spans="1:14" x14ac:dyDescent="0.25">
      <c r="A142" s="9" t="s">
        <v>191</v>
      </c>
      <c r="B142" s="1" t="s">
        <v>21</v>
      </c>
      <c r="C142" s="1" t="s">
        <v>202</v>
      </c>
      <c r="D142" s="1" t="s">
        <v>156</v>
      </c>
      <c r="E142" s="2" t="s">
        <v>15</v>
      </c>
      <c r="F142" s="2" t="s">
        <v>76</v>
      </c>
      <c r="G142" s="9"/>
      <c r="H142" s="10">
        <v>754.58</v>
      </c>
      <c r="I142" s="9"/>
      <c r="J142" s="10">
        <f t="shared" si="15"/>
        <v>754.58</v>
      </c>
      <c r="K142" s="4">
        <f>H142/VLOOKUP(A142,Resume!$A:$C,3,FALSE)</f>
        <v>3.0448576394480681E-3</v>
      </c>
      <c r="L142" s="4" t="str">
        <f t="shared" si="16"/>
        <v/>
      </c>
      <c r="M142" s="1" t="s">
        <v>190</v>
      </c>
      <c r="N142" s="1">
        <f t="shared" si="17"/>
        <v>3</v>
      </c>
    </row>
    <row r="143" spans="1:14" x14ac:dyDescent="0.25">
      <c r="A143" s="9" t="s">
        <v>191</v>
      </c>
      <c r="B143" s="1" t="s">
        <v>69</v>
      </c>
      <c r="C143" s="1" t="s">
        <v>197</v>
      </c>
      <c r="D143" s="1" t="s">
        <v>70</v>
      </c>
      <c r="E143" s="2" t="s">
        <v>15</v>
      </c>
      <c r="F143" s="2" t="s">
        <v>162</v>
      </c>
      <c r="G143" s="9"/>
      <c r="I143" s="9"/>
      <c r="J143" s="10">
        <f t="shared" si="15"/>
        <v>0</v>
      </c>
      <c r="K143" s="4">
        <f>H143/VLOOKUP(A143,Resume!$A:$C,3,FALSE)</f>
        <v>0</v>
      </c>
      <c r="L143" s="4" t="str">
        <f t="shared" si="16"/>
        <v/>
      </c>
      <c r="N143" s="1">
        <f t="shared" si="17"/>
        <v>1</v>
      </c>
    </row>
    <row r="144" spans="1:14" x14ac:dyDescent="0.25">
      <c r="A144" s="9" t="s">
        <v>191</v>
      </c>
      <c r="B144" s="1" t="s">
        <v>71</v>
      </c>
      <c r="C144" s="1" t="s">
        <v>315</v>
      </c>
      <c r="D144" s="1" t="s">
        <v>72</v>
      </c>
      <c r="E144" s="2" t="s">
        <v>15</v>
      </c>
      <c r="F144" s="2" t="s">
        <v>73</v>
      </c>
      <c r="G144" s="9"/>
      <c r="H144" s="10">
        <v>5672.9500000000007</v>
      </c>
      <c r="I144" s="9"/>
      <c r="J144" s="10">
        <f t="shared" si="15"/>
        <v>5672.9500000000007</v>
      </c>
      <c r="K144" s="4">
        <f>H144/VLOOKUP(A144,Resume!$A:$C,3,FALSE)</f>
        <v>2.2891310590933921E-2</v>
      </c>
      <c r="L144" s="4" t="str">
        <f t="shared" si="16"/>
        <v/>
      </c>
      <c r="N144" s="1">
        <f t="shared" si="17"/>
        <v>1</v>
      </c>
    </row>
    <row r="145" spans="1:14" x14ac:dyDescent="0.25">
      <c r="A145" s="9" t="s">
        <v>191</v>
      </c>
      <c r="B145" s="1" t="s">
        <v>77</v>
      </c>
      <c r="C145" s="1" t="s">
        <v>316</v>
      </c>
      <c r="D145" s="1" t="s">
        <v>78</v>
      </c>
      <c r="E145" s="2" t="s">
        <v>15</v>
      </c>
      <c r="F145" s="2" t="s">
        <v>76</v>
      </c>
      <c r="G145" s="9"/>
      <c r="H145" s="10">
        <v>4918.54</v>
      </c>
      <c r="I145" s="9"/>
      <c r="J145" s="10">
        <f t="shared" si="15"/>
        <v>4918.54</v>
      </c>
      <c r="K145" s="4">
        <f>H145/VLOOKUP(A145,Resume!$A:$C,3,FALSE)</f>
        <v>1.9847138930174268E-2</v>
      </c>
      <c r="L145" s="4" t="str">
        <f t="shared" si="16"/>
        <v/>
      </c>
      <c r="N145" s="1">
        <f t="shared" si="17"/>
        <v>1</v>
      </c>
    </row>
    <row r="146" spans="1:14" x14ac:dyDescent="0.25">
      <c r="A146" s="9" t="s">
        <v>191</v>
      </c>
      <c r="B146" s="1" t="s">
        <v>81</v>
      </c>
      <c r="C146" s="1" t="s">
        <v>317</v>
      </c>
      <c r="D146" s="1" t="s">
        <v>82</v>
      </c>
      <c r="E146" s="2" t="s">
        <v>15</v>
      </c>
      <c r="F146" s="2" t="s">
        <v>163</v>
      </c>
      <c r="G146" s="9"/>
      <c r="H146" s="10">
        <v>1600</v>
      </c>
      <c r="I146" s="9"/>
      <c r="J146" s="10">
        <f t="shared" si="15"/>
        <v>1600</v>
      </c>
      <c r="K146" s="4">
        <f>H146/VLOOKUP(A146,Resume!$A:$C,3,FALSE)</f>
        <v>6.4562700086364709E-3</v>
      </c>
      <c r="L146" s="4" t="str">
        <f t="shared" si="16"/>
        <v/>
      </c>
      <c r="N146" s="1">
        <f t="shared" si="17"/>
        <v>1</v>
      </c>
    </row>
    <row r="147" spans="1:14" x14ac:dyDescent="0.25">
      <c r="A147" s="9" t="s">
        <v>191</v>
      </c>
      <c r="B147" s="1" t="s">
        <v>158</v>
      </c>
      <c r="C147" s="1" t="s">
        <v>318</v>
      </c>
      <c r="D147" s="1" t="s">
        <v>87</v>
      </c>
      <c r="E147" s="2" t="s">
        <v>15</v>
      </c>
      <c r="F147" s="2" t="s">
        <v>76</v>
      </c>
      <c r="G147" s="9"/>
      <c r="H147" s="10">
        <v>3106.38</v>
      </c>
      <c r="I147" s="9"/>
      <c r="J147" s="10">
        <f t="shared" si="15"/>
        <v>3106.38</v>
      </c>
      <c r="K147" s="4">
        <f>H147/VLOOKUP(A147,Resume!$A:$C,3,FALSE)</f>
        <v>1.2534767518392602E-2</v>
      </c>
      <c r="L147" s="4" t="str">
        <f t="shared" si="16"/>
        <v/>
      </c>
      <c r="N147" s="1">
        <f t="shared" si="17"/>
        <v>1</v>
      </c>
    </row>
    <row r="148" spans="1:14" x14ac:dyDescent="0.25">
      <c r="A148" s="9" t="s">
        <v>191</v>
      </c>
      <c r="B148" s="1" t="s">
        <v>99</v>
      </c>
      <c r="C148" s="1" t="s">
        <v>319</v>
      </c>
      <c r="D148" s="1" t="s">
        <v>100</v>
      </c>
      <c r="E148" s="2" t="s">
        <v>15</v>
      </c>
      <c r="F148" s="2" t="s">
        <v>162</v>
      </c>
      <c r="G148" s="9"/>
      <c r="H148" s="10">
        <v>97892.700000000012</v>
      </c>
      <c r="I148" s="9"/>
      <c r="J148" s="10">
        <f t="shared" si="15"/>
        <v>97892.700000000012</v>
      </c>
      <c r="K148" s="4">
        <f>H148/VLOOKUP(A148,Resume!$A:$C,3,FALSE)</f>
        <v>0.39501356442152974</v>
      </c>
      <c r="L148" s="4" t="str">
        <f t="shared" si="16"/>
        <v/>
      </c>
      <c r="N148" s="1">
        <f t="shared" si="17"/>
        <v>1</v>
      </c>
    </row>
    <row r="149" spans="1:14" x14ac:dyDescent="0.25">
      <c r="A149" s="9" t="s">
        <v>191</v>
      </c>
      <c r="B149" s="1" t="s">
        <v>107</v>
      </c>
      <c r="C149" s="1" t="s">
        <v>320</v>
      </c>
      <c r="D149" s="1" t="s">
        <v>108</v>
      </c>
      <c r="E149" s="2" t="s">
        <v>15</v>
      </c>
      <c r="F149" s="2" t="s">
        <v>163</v>
      </c>
      <c r="G149" s="9"/>
      <c r="H149" s="10">
        <v>300</v>
      </c>
      <c r="I149" s="9"/>
      <c r="J149" s="10">
        <f t="shared" si="15"/>
        <v>300</v>
      </c>
      <c r="K149" s="4">
        <f>H149/VLOOKUP(A149,Resume!$A:$C,3,FALSE)</f>
        <v>1.2105506266193384E-3</v>
      </c>
      <c r="L149" s="4" t="str">
        <f t="shared" si="16"/>
        <v/>
      </c>
      <c r="N149" s="1">
        <f t="shared" si="17"/>
        <v>1</v>
      </c>
    </row>
    <row r="150" spans="1:14" x14ac:dyDescent="0.25">
      <c r="A150" s="9" t="s">
        <v>191</v>
      </c>
      <c r="B150" s="1" t="s">
        <v>109</v>
      </c>
      <c r="C150" s="1" t="s">
        <v>321</v>
      </c>
      <c r="D150" s="1" t="s">
        <v>110</v>
      </c>
      <c r="E150" s="2" t="s">
        <v>15</v>
      </c>
      <c r="F150" s="2" t="s">
        <v>163</v>
      </c>
      <c r="G150" s="9"/>
      <c r="H150" s="10">
        <v>300</v>
      </c>
      <c r="I150" s="9"/>
      <c r="J150" s="10">
        <f t="shared" si="15"/>
        <v>300</v>
      </c>
      <c r="K150" s="4">
        <f>H150/VLOOKUP(A150,Resume!$A:$C,3,FALSE)</f>
        <v>1.2105506266193384E-3</v>
      </c>
      <c r="L150" s="4" t="str">
        <f t="shared" si="16"/>
        <v/>
      </c>
      <c r="N150" s="1">
        <f t="shared" si="17"/>
        <v>1</v>
      </c>
    </row>
    <row r="151" spans="1:14" x14ac:dyDescent="0.25">
      <c r="A151" s="9" t="s">
        <v>191</v>
      </c>
      <c r="B151" s="1" t="s">
        <v>111</v>
      </c>
      <c r="C151" s="1" t="s">
        <v>322</v>
      </c>
      <c r="D151" s="1" t="s">
        <v>112</v>
      </c>
      <c r="E151" s="2" t="s">
        <v>15</v>
      </c>
      <c r="F151" s="2" t="s">
        <v>163</v>
      </c>
      <c r="G151" s="9"/>
      <c r="H151" s="10">
        <v>300</v>
      </c>
      <c r="I151" s="9"/>
      <c r="J151" s="10">
        <f t="shared" si="15"/>
        <v>300</v>
      </c>
      <c r="K151" s="4">
        <f>H151/VLOOKUP(A151,Resume!$A:$C,3,FALSE)</f>
        <v>1.2105506266193384E-3</v>
      </c>
      <c r="L151" s="4" t="str">
        <f t="shared" si="16"/>
        <v/>
      </c>
      <c r="N151" s="1">
        <f t="shared" si="17"/>
        <v>1</v>
      </c>
    </row>
    <row r="152" spans="1:14" x14ac:dyDescent="0.25">
      <c r="A152" s="9" t="s">
        <v>191</v>
      </c>
      <c r="B152" s="1" t="s">
        <v>115</v>
      </c>
      <c r="C152" s="1" t="s">
        <v>323</v>
      </c>
      <c r="D152" s="1" t="s">
        <v>116</v>
      </c>
      <c r="E152" s="2" t="s">
        <v>15</v>
      </c>
      <c r="F152" s="2" t="s">
        <v>163</v>
      </c>
      <c r="G152" s="9"/>
      <c r="H152" s="10">
        <v>300</v>
      </c>
      <c r="I152" s="9"/>
      <c r="J152" s="10">
        <f t="shared" si="15"/>
        <v>300</v>
      </c>
      <c r="K152" s="4">
        <f>H152/VLOOKUP(A152,Resume!$A:$C,3,FALSE)</f>
        <v>1.2105506266193384E-3</v>
      </c>
      <c r="L152" s="4" t="str">
        <f t="shared" si="16"/>
        <v/>
      </c>
      <c r="N152" s="1">
        <f t="shared" si="17"/>
        <v>1</v>
      </c>
    </row>
    <row r="153" spans="1:14" x14ac:dyDescent="0.25">
      <c r="A153" s="9" t="s">
        <v>191</v>
      </c>
      <c r="B153" s="1" t="s">
        <v>127</v>
      </c>
      <c r="C153" s="1" t="s">
        <v>324</v>
      </c>
      <c r="D153" s="1" t="s">
        <v>128</v>
      </c>
      <c r="E153" s="2" t="s">
        <v>15</v>
      </c>
      <c r="F153" s="2" t="s">
        <v>163</v>
      </c>
      <c r="G153" s="9"/>
      <c r="H153" s="10">
        <v>2346.61</v>
      </c>
      <c r="I153" s="9"/>
      <c r="J153" s="10">
        <f t="shared" si="15"/>
        <v>2346.61</v>
      </c>
      <c r="K153" s="4">
        <f>H153/VLOOKUP(A153,Resume!$A:$C,3,FALSE)</f>
        <v>9.46896735310402E-3</v>
      </c>
      <c r="L153" s="4" t="str">
        <f t="shared" si="16"/>
        <v/>
      </c>
      <c r="N153" s="1">
        <f t="shared" si="17"/>
        <v>1</v>
      </c>
    </row>
    <row r="154" spans="1:14" x14ac:dyDescent="0.25">
      <c r="A154" s="9" t="s">
        <v>191</v>
      </c>
      <c r="B154" s="1" t="s">
        <v>129</v>
      </c>
      <c r="C154" s="1" t="s">
        <v>325</v>
      </c>
      <c r="D154" s="1" t="s">
        <v>130</v>
      </c>
      <c r="E154" s="2" t="s">
        <v>15</v>
      </c>
      <c r="F154" s="2" t="s">
        <v>163</v>
      </c>
      <c r="G154" s="9"/>
      <c r="H154" s="10">
        <v>483</v>
      </c>
      <c r="I154" s="9"/>
      <c r="J154" s="10">
        <f t="shared" si="15"/>
        <v>483</v>
      </c>
      <c r="K154" s="4">
        <f>H154/VLOOKUP(A154,Resume!$A:$C,3,FALSE)</f>
        <v>1.9489865088571348E-3</v>
      </c>
      <c r="L154" s="4" t="str">
        <f t="shared" si="16"/>
        <v/>
      </c>
      <c r="N154" s="1">
        <f t="shared" si="17"/>
        <v>1</v>
      </c>
    </row>
    <row r="155" spans="1:14" x14ac:dyDescent="0.25">
      <c r="A155" s="9" t="s">
        <v>164</v>
      </c>
      <c r="B155" s="1" t="s">
        <v>165</v>
      </c>
      <c r="C155" s="1" t="s">
        <v>326</v>
      </c>
      <c r="D155" s="1" t="s">
        <v>166</v>
      </c>
      <c r="E155" s="2" t="s">
        <v>13</v>
      </c>
      <c r="F155" s="2" t="s">
        <v>76</v>
      </c>
      <c r="G155" s="9"/>
      <c r="H155" s="10">
        <v>943.01</v>
      </c>
      <c r="I155" s="9"/>
      <c r="J155" s="10">
        <f t="shared" ref="J155:J164" si="18">H155-I155</f>
        <v>943.01</v>
      </c>
      <c r="K155" s="4">
        <f>H155/VLOOKUP(A155,Resume!$A:$C,3,FALSE)</f>
        <v>1.0674639092355137E-2</v>
      </c>
      <c r="L155" s="4" t="str">
        <f t="shared" si="16"/>
        <v/>
      </c>
      <c r="N155" s="1">
        <f t="shared" si="17"/>
        <v>1</v>
      </c>
    </row>
    <row r="156" spans="1:14" x14ac:dyDescent="0.25">
      <c r="A156" s="9" t="str">
        <f t="shared" ref="A156:A164" si="19">A155</f>
        <v>Santy Silalahi</v>
      </c>
      <c r="B156" s="1" t="s">
        <v>167</v>
      </c>
      <c r="C156" s="1" t="s">
        <v>327</v>
      </c>
      <c r="D156" s="1" t="s">
        <v>168</v>
      </c>
      <c r="E156" s="2" t="s">
        <v>13</v>
      </c>
      <c r="F156" s="2" t="s">
        <v>73</v>
      </c>
      <c r="G156" s="9"/>
      <c r="H156" s="10">
        <v>3000</v>
      </c>
      <c r="I156" s="9"/>
      <c r="J156" s="10">
        <f t="shared" si="18"/>
        <v>3000</v>
      </c>
      <c r="K156" s="4">
        <f>H156/VLOOKUP(A156,Resume!$A:$C,3,FALSE)</f>
        <v>3.3959255232781635E-2</v>
      </c>
      <c r="L156" s="4" t="str">
        <f t="shared" si="16"/>
        <v/>
      </c>
      <c r="N156" s="1">
        <f t="shared" si="17"/>
        <v>1</v>
      </c>
    </row>
    <row r="157" spans="1:14" x14ac:dyDescent="0.25">
      <c r="A157" s="9" t="str">
        <f t="shared" si="19"/>
        <v>Santy Silalahi</v>
      </c>
      <c r="B157" s="1" t="s">
        <v>169</v>
      </c>
      <c r="C157" s="1" t="s">
        <v>328</v>
      </c>
      <c r="D157" s="1" t="s">
        <v>170</v>
      </c>
      <c r="E157" s="2" t="s">
        <v>13</v>
      </c>
      <c r="F157" s="2" t="s">
        <v>171</v>
      </c>
      <c r="G157" s="9"/>
      <c r="H157" s="10">
        <v>27000</v>
      </c>
      <c r="I157" s="9"/>
      <c r="J157" s="10">
        <f t="shared" si="18"/>
        <v>27000</v>
      </c>
      <c r="K157" s="4">
        <f>H157/VLOOKUP(A157,Resume!$A:$C,3,FALSE)</f>
        <v>0.30563329709503473</v>
      </c>
      <c r="L157" s="4" t="str">
        <f t="shared" si="16"/>
        <v/>
      </c>
      <c r="N157" s="1">
        <f t="shared" si="17"/>
        <v>1</v>
      </c>
    </row>
    <row r="158" spans="1:14" x14ac:dyDescent="0.25">
      <c r="A158" s="9" t="str">
        <f t="shared" si="19"/>
        <v>Santy Silalahi</v>
      </c>
      <c r="B158" s="1" t="s">
        <v>172</v>
      </c>
      <c r="C158" s="1" t="s">
        <v>205</v>
      </c>
      <c r="D158" s="1" t="s">
        <v>173</v>
      </c>
      <c r="E158" s="2" t="s">
        <v>13</v>
      </c>
      <c r="F158" s="2" t="s">
        <v>73</v>
      </c>
      <c r="G158" s="9"/>
      <c r="H158" s="10">
        <v>743.73</v>
      </c>
      <c r="I158" s="9"/>
      <c r="J158" s="10">
        <f t="shared" si="18"/>
        <v>743.73</v>
      </c>
      <c r="K158" s="4">
        <f>H158/VLOOKUP(A158,Resume!$A:$C,3,FALSE)</f>
        <v>8.4188389647588957E-3</v>
      </c>
      <c r="L158" s="4" t="str">
        <f t="shared" si="16"/>
        <v/>
      </c>
      <c r="M158" s="1" t="s">
        <v>190</v>
      </c>
      <c r="N158" s="1">
        <f t="shared" si="17"/>
        <v>1</v>
      </c>
    </row>
    <row r="159" spans="1:14" x14ac:dyDescent="0.25">
      <c r="A159" s="9" t="str">
        <f t="shared" si="19"/>
        <v>Santy Silalahi</v>
      </c>
      <c r="B159" s="1" t="s">
        <v>174</v>
      </c>
      <c r="C159" s="1" t="s">
        <v>329</v>
      </c>
      <c r="D159" s="1" t="s">
        <v>175</v>
      </c>
      <c r="E159" s="2" t="s">
        <v>13</v>
      </c>
      <c r="F159" s="2" t="s">
        <v>176</v>
      </c>
      <c r="G159" s="9"/>
      <c r="H159" s="10">
        <v>2000</v>
      </c>
      <c r="I159" s="9"/>
      <c r="J159" s="10">
        <f t="shared" si="18"/>
        <v>2000</v>
      </c>
      <c r="K159" s="4">
        <f>H159/VLOOKUP(A159,Resume!$A:$C,3,FALSE)</f>
        <v>2.263950348852109E-2</v>
      </c>
      <c r="L159" s="4" t="str">
        <f t="shared" si="16"/>
        <v/>
      </c>
      <c r="N159" s="1">
        <f t="shared" si="17"/>
        <v>1</v>
      </c>
    </row>
    <row r="160" spans="1:14" x14ac:dyDescent="0.25">
      <c r="A160" s="9" t="str">
        <f t="shared" si="19"/>
        <v>Santy Silalahi</v>
      </c>
      <c r="B160" s="1" t="s">
        <v>174</v>
      </c>
      <c r="C160" s="1" t="s">
        <v>330</v>
      </c>
      <c r="D160" s="1" t="s">
        <v>175</v>
      </c>
      <c r="E160" s="2" t="s">
        <v>104</v>
      </c>
      <c r="F160" s="2" t="s">
        <v>176</v>
      </c>
      <c r="G160" s="9"/>
      <c r="H160" s="10">
        <v>1000</v>
      </c>
      <c r="I160" s="9"/>
      <c r="J160" s="10">
        <f t="shared" si="18"/>
        <v>1000</v>
      </c>
      <c r="K160" s="4">
        <f>H160/VLOOKUP(A160,Resume!$A:$C,3,FALSE)</f>
        <v>1.1319751744260545E-2</v>
      </c>
      <c r="L160" s="4" t="str">
        <f t="shared" si="16"/>
        <v/>
      </c>
      <c r="N160" s="1">
        <f t="shared" si="17"/>
        <v>1</v>
      </c>
    </row>
    <row r="161" spans="1:14" x14ac:dyDescent="0.25">
      <c r="A161" s="9" t="str">
        <f t="shared" si="19"/>
        <v>Santy Silalahi</v>
      </c>
      <c r="B161" s="1" t="s">
        <v>174</v>
      </c>
      <c r="C161" s="1" t="s">
        <v>331</v>
      </c>
      <c r="D161" s="1" t="s">
        <v>175</v>
      </c>
      <c r="E161" s="2" t="s">
        <v>24</v>
      </c>
      <c r="F161" s="2" t="s">
        <v>176</v>
      </c>
      <c r="G161" s="9"/>
      <c r="H161" s="10">
        <v>1000</v>
      </c>
      <c r="I161" s="9"/>
      <c r="J161" s="10">
        <f t="shared" si="18"/>
        <v>1000</v>
      </c>
      <c r="K161" s="4">
        <f>H161/VLOOKUP(A161,Resume!$A:$C,3,FALSE)</f>
        <v>1.1319751744260545E-2</v>
      </c>
      <c r="L161" s="4" t="str">
        <f t="shared" si="16"/>
        <v/>
      </c>
      <c r="N161" s="1">
        <f t="shared" si="17"/>
        <v>1</v>
      </c>
    </row>
    <row r="162" spans="1:14" x14ac:dyDescent="0.25">
      <c r="A162" s="9" t="str">
        <f t="shared" si="19"/>
        <v>Santy Silalahi</v>
      </c>
      <c r="B162" s="1" t="s">
        <v>174</v>
      </c>
      <c r="C162" s="1" t="s">
        <v>332</v>
      </c>
      <c r="D162" s="1" t="s">
        <v>175</v>
      </c>
      <c r="E162" s="2" t="s">
        <v>15</v>
      </c>
      <c r="F162" s="2" t="s">
        <v>176</v>
      </c>
      <c r="G162" s="9"/>
      <c r="H162" s="10">
        <v>1000</v>
      </c>
      <c r="I162" s="9"/>
      <c r="J162" s="10">
        <f t="shared" si="18"/>
        <v>1000</v>
      </c>
      <c r="K162" s="4">
        <f>H162/VLOOKUP(A162,Resume!$A:$C,3,FALSE)</f>
        <v>1.1319751744260545E-2</v>
      </c>
      <c r="L162" s="4" t="str">
        <f t="shared" si="16"/>
        <v/>
      </c>
      <c r="N162" s="1">
        <f t="shared" si="17"/>
        <v>1</v>
      </c>
    </row>
    <row r="163" spans="1:14" x14ac:dyDescent="0.25">
      <c r="A163" s="9" t="str">
        <f t="shared" si="19"/>
        <v>Santy Silalahi</v>
      </c>
      <c r="B163" s="1" t="s">
        <v>149</v>
      </c>
      <c r="C163" s="1" t="s">
        <v>206</v>
      </c>
      <c r="D163" s="1" t="s">
        <v>150</v>
      </c>
      <c r="E163" s="2" t="s">
        <v>13</v>
      </c>
      <c r="F163" s="2" t="s">
        <v>151</v>
      </c>
      <c r="G163" s="9"/>
      <c r="H163" s="10">
        <v>45654.420000000006</v>
      </c>
      <c r="I163" s="9"/>
      <c r="J163" s="10">
        <f t="shared" si="18"/>
        <v>45654.420000000006</v>
      </c>
      <c r="K163" s="4">
        <f>H163/VLOOKUP(A163,Resume!$A:$C,3,FALSE)</f>
        <v>0.51679670042820358</v>
      </c>
      <c r="L163" s="4" t="str">
        <f t="shared" si="16"/>
        <v/>
      </c>
      <c r="M163" s="1" t="s">
        <v>190</v>
      </c>
      <c r="N163" s="1">
        <f t="shared" si="17"/>
        <v>1</v>
      </c>
    </row>
    <row r="164" spans="1:14" x14ac:dyDescent="0.25">
      <c r="A164" s="9" t="str">
        <f t="shared" si="19"/>
        <v>Santy Silalahi</v>
      </c>
      <c r="B164" s="1" t="s">
        <v>149</v>
      </c>
      <c r="C164" s="1" t="s">
        <v>207</v>
      </c>
      <c r="D164" s="1" t="s">
        <v>150</v>
      </c>
      <c r="E164" s="2" t="s">
        <v>15</v>
      </c>
      <c r="F164" s="2" t="s">
        <v>151</v>
      </c>
      <c r="G164" s="9"/>
      <c r="H164" s="10">
        <v>6000</v>
      </c>
      <c r="I164" s="9"/>
      <c r="J164" s="10">
        <f t="shared" si="18"/>
        <v>6000</v>
      </c>
      <c r="K164" s="4">
        <f>H164/VLOOKUP(A164,Resume!$A:$C,3,FALSE)</f>
        <v>6.791851046556327E-2</v>
      </c>
      <c r="L164" s="4" t="str">
        <f t="shared" si="16"/>
        <v/>
      </c>
      <c r="M164" s="1" t="s">
        <v>190</v>
      </c>
      <c r="N164" s="1">
        <f t="shared" si="17"/>
        <v>1</v>
      </c>
    </row>
    <row r="165" spans="1:14" ht="1.5" customHeight="1" x14ac:dyDescent="0.25">
      <c r="A165" s="24"/>
      <c r="B165" s="25"/>
      <c r="C165" s="25"/>
      <c r="D165" s="25"/>
      <c r="E165" s="26"/>
      <c r="F165" s="26"/>
      <c r="G165" s="24"/>
      <c r="H165" s="27"/>
      <c r="I165" s="24"/>
      <c r="J165" s="24"/>
      <c r="K165" s="28"/>
      <c r="L165" s="28"/>
      <c r="M165" s="25"/>
      <c r="N165" s="25"/>
    </row>
    <row r="166" spans="1:14" x14ac:dyDescent="0.25">
      <c r="A166" s="9"/>
      <c r="G166" s="9"/>
      <c r="I166" s="9"/>
      <c r="J166" s="9"/>
    </row>
    <row r="167" spans="1:14" x14ac:dyDescent="0.25">
      <c r="A167" s="9"/>
      <c r="B167" t="s">
        <v>177</v>
      </c>
      <c r="C167"/>
      <c r="D167"/>
      <c r="E167" s="29"/>
      <c r="F167" s="29"/>
      <c r="G167" s="30"/>
      <c r="H167" s="30"/>
      <c r="I167" s="45"/>
      <c r="J167" s="31"/>
      <c r="M167"/>
      <c r="N167"/>
    </row>
    <row r="168" spans="1:14" x14ac:dyDescent="0.25">
      <c r="A168" s="9"/>
      <c r="B168" t="s">
        <v>178</v>
      </c>
      <c r="C168"/>
      <c r="D168"/>
      <c r="E168" s="29"/>
      <c r="F168" s="29"/>
      <c r="G168" s="30"/>
      <c r="H168" s="30"/>
      <c r="I168" s="45"/>
      <c r="J168" s="31"/>
      <c r="M168"/>
      <c r="N168"/>
    </row>
    <row r="169" spans="1:14" x14ac:dyDescent="0.25">
      <c r="A169" s="32"/>
      <c r="B169" t="s">
        <v>179</v>
      </c>
      <c r="C169"/>
      <c r="D169"/>
      <c r="E169" s="29"/>
      <c r="F169" s="29"/>
      <c r="G169" s="30"/>
      <c r="H169" s="30"/>
      <c r="I169" s="45"/>
      <c r="J169" s="31"/>
      <c r="M169"/>
      <c r="N169"/>
    </row>
    <row r="170" spans="1:14" x14ac:dyDescent="0.25">
      <c r="B170" t="s">
        <v>180</v>
      </c>
      <c r="C170"/>
      <c r="D170"/>
      <c r="E170" s="29"/>
      <c r="F170" s="29"/>
      <c r="G170" s="30"/>
      <c r="H170" s="30"/>
      <c r="I170" s="45"/>
      <c r="J170" s="31"/>
      <c r="M170"/>
      <c r="N170"/>
    </row>
    <row r="171" spans="1:14" x14ac:dyDescent="0.25">
      <c r="B171" t="s">
        <v>181</v>
      </c>
      <c r="C171"/>
      <c r="D171"/>
      <c r="E171" s="29"/>
      <c r="F171" s="29"/>
      <c r="G171" s="30"/>
      <c r="H171" s="30"/>
      <c r="I171" s="45"/>
      <c r="J171" s="31"/>
      <c r="M171"/>
      <c r="N171"/>
    </row>
    <row r="172" spans="1:14" x14ac:dyDescent="0.25">
      <c r="B172" t="s">
        <v>182</v>
      </c>
      <c r="C172"/>
      <c r="D172"/>
      <c r="E172" s="29"/>
      <c r="F172" s="29"/>
      <c r="G172" s="30"/>
      <c r="H172" s="30"/>
      <c r="I172" s="45"/>
      <c r="J172" s="31"/>
      <c r="M172"/>
      <c r="N172"/>
    </row>
  </sheetData>
  <autoFilter ref="A5:N164" xr:uid="{00000000-0001-0000-0000-000000000000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FB638-CF85-4359-8428-4AEF83F2B53F}">
  <sheetPr codeName="Sheet12"/>
  <dimension ref="A1:D13"/>
  <sheetViews>
    <sheetView workbookViewId="0">
      <selection activeCell="I3" sqref="I3"/>
    </sheetView>
  </sheetViews>
  <sheetFormatPr defaultRowHeight="15" x14ac:dyDescent="0.25"/>
  <cols>
    <col min="1" max="1" width="20.140625" bestFit="1" customWidth="1"/>
    <col min="3" max="3" width="14.140625" bestFit="1" customWidth="1"/>
  </cols>
  <sheetData>
    <row r="1" spans="1:4" x14ac:dyDescent="0.25">
      <c r="A1" s="81" t="s">
        <v>183</v>
      </c>
      <c r="B1" s="81"/>
      <c r="C1" s="81"/>
    </row>
    <row r="2" spans="1:4" x14ac:dyDescent="0.25">
      <c r="A2" s="55" t="s">
        <v>0</v>
      </c>
      <c r="B2" s="55" t="s">
        <v>333</v>
      </c>
      <c r="C2" s="55" t="s">
        <v>184</v>
      </c>
    </row>
    <row r="3" spans="1:4" ht="15.75" x14ac:dyDescent="0.25">
      <c r="A3" s="56" t="s">
        <v>10</v>
      </c>
      <c r="B3" s="57">
        <f t="shared" ref="B3:B12" si="0">C3/$A$13</f>
        <v>8.1590977598792011E-2</v>
      </c>
      <c r="C3" s="58">
        <v>67897.759999999995</v>
      </c>
    </row>
    <row r="4" spans="1:4" ht="15.75" x14ac:dyDescent="0.25">
      <c r="A4" s="56" t="s">
        <v>36</v>
      </c>
      <c r="B4" s="57">
        <f t="shared" si="0"/>
        <v>0.27755070800026532</v>
      </c>
      <c r="C4" s="58">
        <v>230970.03999999998</v>
      </c>
    </row>
    <row r="5" spans="1:4" ht="15.75" x14ac:dyDescent="0.25">
      <c r="A5" s="56" t="s">
        <v>44</v>
      </c>
      <c r="B5" s="57">
        <f t="shared" si="0"/>
        <v>1.0214229594462793E-2</v>
      </c>
      <c r="C5" s="58">
        <v>8500</v>
      </c>
    </row>
    <row r="6" spans="1:4" ht="15.75" x14ac:dyDescent="0.25">
      <c r="A6" s="56" t="s">
        <v>334</v>
      </c>
      <c r="B6" s="57">
        <f t="shared" si="0"/>
        <v>1.2016740699367992E-3</v>
      </c>
      <c r="C6" s="58">
        <v>1000</v>
      </c>
    </row>
    <row r="7" spans="1:4" ht="15.75" x14ac:dyDescent="0.25">
      <c r="A7" s="56" t="s">
        <v>68</v>
      </c>
      <c r="B7" s="57">
        <f t="shared" si="0"/>
        <v>0.1047205357286401</v>
      </c>
      <c r="C7" s="58">
        <v>87145.539999999964</v>
      </c>
    </row>
    <row r="8" spans="1:4" ht="15.75" x14ac:dyDescent="0.25">
      <c r="A8" s="56" t="s">
        <v>144</v>
      </c>
      <c r="B8" s="57">
        <f t="shared" si="0"/>
        <v>0.12076439185780972</v>
      </c>
      <c r="C8" s="58">
        <v>100496.79432973135</v>
      </c>
    </row>
    <row r="9" spans="1:4" ht="15.75" x14ac:dyDescent="0.25">
      <c r="A9" s="56" t="s">
        <v>185</v>
      </c>
      <c r="B9" s="57">
        <f t="shared" si="0"/>
        <v>0.14255002855513671</v>
      </c>
      <c r="C9" s="58">
        <v>118626.19999999998</v>
      </c>
    </row>
    <row r="10" spans="1:4" ht="15.75" x14ac:dyDescent="0.25">
      <c r="A10" s="56" t="s">
        <v>162</v>
      </c>
      <c r="B10" s="57">
        <f t="shared" si="0"/>
        <v>0.1552501733148185</v>
      </c>
      <c r="C10" s="58">
        <v>129194.91000000002</v>
      </c>
    </row>
    <row r="11" spans="1:4" ht="15.75" x14ac:dyDescent="0.25">
      <c r="A11" s="56" t="s">
        <v>191</v>
      </c>
      <c r="B11" s="57">
        <f t="shared" si="0"/>
        <v>0.29780020186995526</v>
      </c>
      <c r="C11" s="58">
        <v>247821.11000000002</v>
      </c>
      <c r="D11" s="64" t="s">
        <v>186</v>
      </c>
    </row>
    <row r="12" spans="1:4" ht="15.75" x14ac:dyDescent="0.25">
      <c r="A12" s="56" t="s">
        <v>164</v>
      </c>
      <c r="B12" s="57">
        <f t="shared" si="0"/>
        <v>0.10615728128013797</v>
      </c>
      <c r="C12" s="58">
        <v>88341.16</v>
      </c>
    </row>
    <row r="13" spans="1:4" ht="15.75" x14ac:dyDescent="0.25">
      <c r="A13" s="82">
        <f>SUM(C3:C8,C11,C12)</f>
        <v>832172.40432973136</v>
      </c>
      <c r="B13" s="82"/>
      <c r="C13" s="82"/>
    </row>
  </sheetData>
  <mergeCells count="2">
    <mergeCell ref="A1:C1"/>
    <mergeCell ref="A13:C13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J20"/>
  <sheetViews>
    <sheetView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15" sqref="C15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65" t="s">
        <v>188</v>
      </c>
      <c r="B2" s="65"/>
      <c r="C2" s="65"/>
      <c r="D2" s="65"/>
      <c r="E2" s="65"/>
      <c r="F2" s="65"/>
      <c r="G2" s="65"/>
      <c r="H2" s="65"/>
      <c r="I2" s="65"/>
      <c r="J2" s="65"/>
    </row>
    <row r="4" spans="1:10" x14ac:dyDescent="0.25">
      <c r="G4" s="3"/>
      <c r="H4" s="3"/>
    </row>
    <row r="5" spans="1:10" s="9" customFormat="1" ht="18.75" x14ac:dyDescent="0.3">
      <c r="A5" s="5" t="s">
        <v>187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10</v>
      </c>
      <c r="B6" s="1" t="s">
        <v>11</v>
      </c>
      <c r="C6" s="1" t="s">
        <v>12</v>
      </c>
      <c r="D6" s="2" t="s">
        <v>13</v>
      </c>
      <c r="E6" s="2" t="s">
        <v>14</v>
      </c>
      <c r="F6" s="9"/>
      <c r="G6" s="10">
        <v>10000</v>
      </c>
      <c r="H6" s="10">
        <v>9000</v>
      </c>
      <c r="I6" s="4">
        <f>G6/$G$20</f>
        <v>0.14728026373771388</v>
      </c>
      <c r="J6" s="4">
        <f>(G6/H6)*I6</f>
        <v>0.16364473748634878</v>
      </c>
    </row>
    <row r="7" spans="1:10" x14ac:dyDescent="0.25">
      <c r="A7" s="9" t="str">
        <f t="array" ref="A7:A19">A6</f>
        <v>Asep Ridwan Subiana</v>
      </c>
      <c r="B7" s="1" t="s">
        <v>11</v>
      </c>
      <c r="C7" s="1" t="s">
        <v>12</v>
      </c>
      <c r="D7" s="2" t="s">
        <v>15</v>
      </c>
      <c r="E7" s="2" t="s">
        <v>16</v>
      </c>
      <c r="F7" s="9"/>
      <c r="G7" s="10">
        <v>10000</v>
      </c>
      <c r="H7" s="10">
        <v>9500</v>
      </c>
      <c r="I7" s="4">
        <f t="shared" ref="I7:I19" si="0">G7/$G$20</f>
        <v>0.14728026373771388</v>
      </c>
      <c r="J7" s="4">
        <f t="shared" ref="J7:J19" si="1">(G7/H7)*I7</f>
        <v>0.15503185656601462</v>
      </c>
    </row>
    <row r="8" spans="1:10" x14ac:dyDescent="0.25">
      <c r="A8" s="9" t="str">
        <v>Asep Ridwan Subiana</v>
      </c>
      <c r="B8" s="1" t="s">
        <v>17</v>
      </c>
      <c r="C8" s="1" t="s">
        <v>18</v>
      </c>
      <c r="D8" s="2" t="s">
        <v>13</v>
      </c>
      <c r="E8" s="2" t="s">
        <v>19</v>
      </c>
      <c r="F8" s="9"/>
      <c r="G8" s="10">
        <v>1987.05</v>
      </c>
      <c r="H8" s="10">
        <v>2000</v>
      </c>
      <c r="I8" s="4">
        <f t="shared" si="0"/>
        <v>2.9265324806002437E-2</v>
      </c>
      <c r="J8" s="4"/>
    </row>
    <row r="9" spans="1:10" x14ac:dyDescent="0.25">
      <c r="A9" s="9" t="str">
        <v>Asep Ridwan Subiana</v>
      </c>
      <c r="B9" s="1" t="s">
        <v>17</v>
      </c>
      <c r="C9" s="1" t="s">
        <v>18</v>
      </c>
      <c r="D9" s="2" t="s">
        <v>15</v>
      </c>
      <c r="E9" s="2" t="s">
        <v>20</v>
      </c>
      <c r="F9" s="9"/>
      <c r="G9" s="10">
        <v>326</v>
      </c>
      <c r="H9" s="10">
        <v>326</v>
      </c>
      <c r="I9" s="4">
        <f t="shared" si="0"/>
        <v>4.8013365978494729E-3</v>
      </c>
      <c r="J9" s="4">
        <f t="shared" si="1"/>
        <v>4.8013365978494729E-3</v>
      </c>
    </row>
    <row r="10" spans="1:10" x14ac:dyDescent="0.25">
      <c r="A10" s="9" t="str">
        <v>Asep Ridwan Subiana</v>
      </c>
      <c r="B10" s="1" t="s">
        <v>21</v>
      </c>
      <c r="C10" s="1" t="s">
        <v>22</v>
      </c>
      <c r="D10" s="2" t="s">
        <v>13</v>
      </c>
      <c r="E10" s="2" t="s">
        <v>23</v>
      </c>
      <c r="F10" s="9"/>
      <c r="G10" s="10">
        <v>15015.099999999999</v>
      </c>
      <c r="H10" s="10">
        <v>15000</v>
      </c>
      <c r="I10" s="4">
        <f t="shared" si="0"/>
        <v>0.22114278880481478</v>
      </c>
      <c r="J10" s="4">
        <f t="shared" si="1"/>
        <v>0.22136540587887826</v>
      </c>
    </row>
    <row r="11" spans="1:10" x14ac:dyDescent="0.25">
      <c r="A11" s="9" t="str">
        <v>Asep Ridwan Subiana</v>
      </c>
      <c r="B11" s="1" t="s">
        <v>21</v>
      </c>
      <c r="C11" s="1" t="s">
        <v>22</v>
      </c>
      <c r="D11" s="2" t="s">
        <v>24</v>
      </c>
      <c r="E11" s="2" t="s">
        <v>25</v>
      </c>
      <c r="F11" s="9"/>
      <c r="G11" s="10">
        <v>26.7199999999998</v>
      </c>
      <c r="H11" s="10">
        <v>20</v>
      </c>
      <c r="I11" s="4">
        <f t="shared" si="0"/>
        <v>3.9353286470716859E-4</v>
      </c>
      <c r="J11" s="4">
        <f t="shared" si="1"/>
        <v>5.2575990724877339E-4</v>
      </c>
    </row>
    <row r="12" spans="1:10" x14ac:dyDescent="0.25">
      <c r="A12" s="9" t="str">
        <v>Asep Ridwan Subiana</v>
      </c>
      <c r="B12" s="1" t="s">
        <v>21</v>
      </c>
      <c r="C12" s="1" t="s">
        <v>22</v>
      </c>
      <c r="D12" s="2" t="s">
        <v>15</v>
      </c>
      <c r="E12" s="2" t="s">
        <v>25</v>
      </c>
      <c r="F12" s="9"/>
      <c r="G12" s="10">
        <v>15124.89</v>
      </c>
      <c r="H12" s="10">
        <v>16000</v>
      </c>
      <c r="I12" s="4">
        <f t="shared" si="0"/>
        <v>0.22275977882039114</v>
      </c>
      <c r="J12" s="4"/>
    </row>
    <row r="13" spans="1:10" x14ac:dyDescent="0.25">
      <c r="A13" s="9" t="str">
        <v>Asep Ridwan Subiana</v>
      </c>
      <c r="B13" s="1" t="s">
        <v>26</v>
      </c>
      <c r="C13" s="1" t="s">
        <v>27</v>
      </c>
      <c r="D13" s="2" t="s">
        <v>13</v>
      </c>
      <c r="E13" s="2" t="s">
        <v>28</v>
      </c>
      <c r="F13" s="9"/>
      <c r="G13" s="10">
        <v>639</v>
      </c>
      <c r="H13" s="10">
        <v>700</v>
      </c>
      <c r="I13" s="4">
        <f t="shared" si="0"/>
        <v>9.4112088528399175E-3</v>
      </c>
      <c r="J13" s="4"/>
    </row>
    <row r="14" spans="1:10" x14ac:dyDescent="0.25">
      <c r="A14" s="9" t="str">
        <v>Asep Ridwan Subiana</v>
      </c>
      <c r="B14" s="1" t="s">
        <v>26</v>
      </c>
      <c r="C14" s="1" t="s">
        <v>27</v>
      </c>
      <c r="D14" s="2" t="s">
        <v>24</v>
      </c>
      <c r="E14" s="2" t="s">
        <v>29</v>
      </c>
      <c r="F14" s="9"/>
      <c r="G14" s="10">
        <v>1265</v>
      </c>
      <c r="H14" s="10">
        <v>1250</v>
      </c>
      <c r="I14" s="4">
        <f t="shared" si="0"/>
        <v>1.8630953362820807E-2</v>
      </c>
      <c r="J14" s="4">
        <f t="shared" si="1"/>
        <v>1.8854524803174656E-2</v>
      </c>
    </row>
    <row r="15" spans="1:10" x14ac:dyDescent="0.25">
      <c r="A15" s="9" t="str">
        <v>Asep Ridwan Subiana</v>
      </c>
      <c r="B15" s="1" t="s">
        <v>26</v>
      </c>
      <c r="C15" s="1" t="s">
        <v>27</v>
      </c>
      <c r="D15" s="2" t="s">
        <v>15</v>
      </c>
      <c r="E15" s="2" t="s">
        <v>29</v>
      </c>
      <c r="F15" s="9"/>
      <c r="G15" s="10">
        <v>2489</v>
      </c>
      <c r="H15" s="10">
        <v>2489</v>
      </c>
      <c r="I15" s="4">
        <f t="shared" si="0"/>
        <v>3.6658057644316989E-2</v>
      </c>
      <c r="J15" s="4">
        <f t="shared" si="1"/>
        <v>3.6658057644316989E-2</v>
      </c>
    </row>
    <row r="16" spans="1:10" x14ac:dyDescent="0.25">
      <c r="A16" s="9" t="str">
        <v>Asep Ridwan Subiana</v>
      </c>
      <c r="B16" s="1" t="s">
        <v>30</v>
      </c>
      <c r="C16" s="1" t="s">
        <v>31</v>
      </c>
      <c r="D16" s="2" t="s">
        <v>13</v>
      </c>
      <c r="E16" s="2" t="s">
        <v>28</v>
      </c>
      <c r="F16" s="9"/>
      <c r="G16" s="10">
        <v>1025</v>
      </c>
      <c r="H16" s="10">
        <v>1025</v>
      </c>
      <c r="I16" s="4">
        <f t="shared" si="0"/>
        <v>1.5096227033115674E-2</v>
      </c>
      <c r="J16" s="4">
        <f t="shared" si="1"/>
        <v>1.5096227033115674E-2</v>
      </c>
    </row>
    <row r="17" spans="1:10" x14ac:dyDescent="0.25">
      <c r="A17" s="9" t="str">
        <v>Asep Ridwan Subiana</v>
      </c>
      <c r="B17" s="1" t="s">
        <v>32</v>
      </c>
      <c r="C17" s="1" t="s">
        <v>33</v>
      </c>
      <c r="D17" s="2" t="s">
        <v>13</v>
      </c>
      <c r="E17" s="2" t="s">
        <v>34</v>
      </c>
      <c r="F17" s="9"/>
      <c r="G17" s="10">
        <v>8000</v>
      </c>
      <c r="H17" s="10">
        <v>8005</v>
      </c>
      <c r="I17" s="4">
        <f t="shared" si="0"/>
        <v>0.11782421099017111</v>
      </c>
      <c r="J17" s="4"/>
    </row>
    <row r="18" spans="1:10" x14ac:dyDescent="0.25">
      <c r="A18" s="9" t="str">
        <v>Asep Ridwan Subiana</v>
      </c>
      <c r="B18" s="1" t="s">
        <v>32</v>
      </c>
      <c r="C18" s="1" t="s">
        <v>33</v>
      </c>
      <c r="D18" s="2" t="s">
        <v>24</v>
      </c>
      <c r="E18" s="2" t="s">
        <v>34</v>
      </c>
      <c r="F18" s="9"/>
      <c r="G18" s="10">
        <v>1000</v>
      </c>
      <c r="H18" s="10">
        <v>900</v>
      </c>
      <c r="I18" s="4">
        <f t="shared" si="0"/>
        <v>1.4728026373771389E-2</v>
      </c>
      <c r="J18" s="4">
        <f t="shared" si="1"/>
        <v>1.6364473748634877E-2</v>
      </c>
    </row>
    <row r="19" spans="1:10" x14ac:dyDescent="0.25">
      <c r="A19" s="9" t="str">
        <v>Asep Ridwan Subiana</v>
      </c>
      <c r="B19" s="1" t="s">
        <v>32</v>
      </c>
      <c r="C19" s="1" t="s">
        <v>33</v>
      </c>
      <c r="D19" s="2" t="s">
        <v>15</v>
      </c>
      <c r="E19" s="2" t="s">
        <v>34</v>
      </c>
      <c r="F19" s="9"/>
      <c r="G19" s="10">
        <v>1000</v>
      </c>
      <c r="H19" s="10">
        <v>1000</v>
      </c>
      <c r="I19" s="4">
        <f t="shared" si="0"/>
        <v>1.4728026373771389E-2</v>
      </c>
      <c r="J19" s="4">
        <f t="shared" si="1"/>
        <v>1.4728026373771389E-2</v>
      </c>
    </row>
    <row r="20" spans="1:10" x14ac:dyDescent="0.25">
      <c r="A20" s="11" t="s">
        <v>35</v>
      </c>
      <c r="B20" s="11"/>
      <c r="C20" s="11"/>
      <c r="D20" s="12"/>
      <c r="E20" s="12"/>
      <c r="F20" s="11"/>
      <c r="G20" s="13">
        <f>SUM(G6:G19)</f>
        <v>67897.759999999995</v>
      </c>
      <c r="H20" s="14">
        <f>SUM(H6:H19)</f>
        <v>67215</v>
      </c>
      <c r="I20" s="15">
        <f>SUM(I6:I19)</f>
        <v>0.99999999999999989</v>
      </c>
      <c r="J20" s="16">
        <f>SUM(J6:J19)</f>
        <v>0.6470704060393534</v>
      </c>
    </row>
  </sheetData>
  <autoFilter ref="A5:J20" xr:uid="{00000000-0009-0000-0000-000001000000}"/>
  <mergeCells count="1">
    <mergeCell ref="A2:J2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2:J12"/>
  <sheetViews>
    <sheetView topLeftCell="A4" zoomScale="85" zoomScaleNormal="85" workbookViewId="0">
      <pane xSplit="1" ySplit="2" topLeftCell="B6" activePane="bottomRight" state="frozen"/>
      <selection activeCell="A4" sqref="A4"/>
      <selection pane="topRight" activeCell="B4" sqref="B4"/>
      <selection pane="bottomLeft" activeCell="A6" sqref="A6"/>
      <selection pane="bottomRight" activeCell="B6" sqref="B6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65" t="s">
        <v>188</v>
      </c>
      <c r="B2" s="65"/>
      <c r="C2" s="65"/>
      <c r="D2" s="65"/>
      <c r="E2" s="65"/>
      <c r="F2" s="65"/>
      <c r="G2" s="65"/>
      <c r="H2" s="65"/>
      <c r="I2" s="65"/>
      <c r="J2" s="65"/>
    </row>
    <row r="4" spans="1:10" x14ac:dyDescent="0.25">
      <c r="G4" s="3"/>
      <c r="H4" s="3"/>
    </row>
    <row r="5" spans="1:10" s="9" customFormat="1" ht="18.75" x14ac:dyDescent="0.3">
      <c r="A5" s="5" t="s">
        <v>187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36</v>
      </c>
      <c r="B6" s="1" t="s">
        <v>37</v>
      </c>
      <c r="C6" s="1" t="s">
        <v>38</v>
      </c>
      <c r="D6" s="2" t="s">
        <v>13</v>
      </c>
      <c r="E6" s="2" t="s">
        <v>39</v>
      </c>
      <c r="F6" s="9"/>
      <c r="G6" s="10">
        <v>151561</v>
      </c>
      <c r="H6" s="9"/>
      <c r="I6" s="4">
        <f t="shared" ref="I6:I11" si="0">G6/$G$12</f>
        <v>0.65619333139484248</v>
      </c>
    </row>
    <row r="7" spans="1:10" x14ac:dyDescent="0.25">
      <c r="A7" s="9" t="str">
        <f>A6</f>
        <v>Choeruman</v>
      </c>
      <c r="B7" s="1" t="s">
        <v>37</v>
      </c>
      <c r="C7" s="1" t="s">
        <v>38</v>
      </c>
      <c r="D7" s="2" t="s">
        <v>24</v>
      </c>
      <c r="E7" s="2" t="s">
        <v>39</v>
      </c>
      <c r="F7" s="9"/>
      <c r="G7" s="10">
        <v>26883.15</v>
      </c>
      <c r="H7" s="9"/>
      <c r="I7" s="4">
        <f t="shared" si="0"/>
        <v>0.11639236846475848</v>
      </c>
    </row>
    <row r="8" spans="1:10" x14ac:dyDescent="0.25">
      <c r="A8" s="9" t="str">
        <f t="shared" ref="A8:A11" si="1">A7</f>
        <v>Choeruman</v>
      </c>
      <c r="B8" s="1" t="s">
        <v>37</v>
      </c>
      <c r="C8" s="1" t="s">
        <v>38</v>
      </c>
      <c r="D8" s="2" t="s">
        <v>15</v>
      </c>
      <c r="E8" s="2" t="s">
        <v>40</v>
      </c>
      <c r="F8" s="9"/>
      <c r="G8" s="10">
        <v>32525.89</v>
      </c>
      <c r="H8" s="9"/>
      <c r="I8" s="4">
        <f t="shared" si="0"/>
        <v>0.14082298292886819</v>
      </c>
    </row>
    <row r="9" spans="1:10" x14ac:dyDescent="0.25">
      <c r="A9" s="9" t="str">
        <f t="shared" si="1"/>
        <v>Choeruman</v>
      </c>
      <c r="B9" s="1" t="s">
        <v>37</v>
      </c>
      <c r="C9" s="1" t="s">
        <v>41</v>
      </c>
      <c r="D9" s="2" t="s">
        <v>13</v>
      </c>
      <c r="E9" s="2" t="s">
        <v>42</v>
      </c>
      <c r="F9" s="9"/>
      <c r="G9" s="10">
        <v>5000</v>
      </c>
      <c r="H9" s="9"/>
      <c r="I9" s="4">
        <f t="shared" si="0"/>
        <v>2.1647829302882747E-2</v>
      </c>
    </row>
    <row r="10" spans="1:10" x14ac:dyDescent="0.25">
      <c r="A10" s="9" t="str">
        <f t="shared" si="1"/>
        <v>Choeruman</v>
      </c>
      <c r="B10" s="1" t="s">
        <v>37</v>
      </c>
      <c r="C10" s="1" t="s">
        <v>38</v>
      </c>
      <c r="D10" s="2" t="s">
        <v>24</v>
      </c>
      <c r="E10" s="2" t="s">
        <v>43</v>
      </c>
      <c r="F10" s="9"/>
      <c r="G10" s="10">
        <v>7500</v>
      </c>
      <c r="H10" s="9"/>
      <c r="I10" s="4">
        <f t="shared" si="0"/>
        <v>3.2471743954324124E-2</v>
      </c>
    </row>
    <row r="11" spans="1:10" x14ac:dyDescent="0.25">
      <c r="A11" s="9" t="str">
        <f t="shared" si="1"/>
        <v>Choeruman</v>
      </c>
      <c r="B11" s="1" t="s">
        <v>37</v>
      </c>
      <c r="C11" s="1" t="s">
        <v>38</v>
      </c>
      <c r="D11" s="2" t="s">
        <v>15</v>
      </c>
      <c r="E11" s="2" t="s">
        <v>42</v>
      </c>
      <c r="F11" s="9"/>
      <c r="G11" s="10">
        <v>7500</v>
      </c>
      <c r="H11" s="9"/>
      <c r="I11" s="4">
        <f t="shared" si="0"/>
        <v>3.2471743954324124E-2</v>
      </c>
    </row>
    <row r="12" spans="1:10" x14ac:dyDescent="0.25">
      <c r="A12" s="11" t="s">
        <v>35</v>
      </c>
      <c r="B12" s="11"/>
      <c r="C12" s="11"/>
      <c r="D12" s="12"/>
      <c r="E12" s="12"/>
      <c r="F12" s="11"/>
      <c r="G12" s="13">
        <f>SUM(G6:G11)</f>
        <v>230970.03999999998</v>
      </c>
      <c r="H12" s="11"/>
      <c r="I12" s="15">
        <f>SUM(I6:I11)</f>
        <v>1.0000000000000002</v>
      </c>
    </row>
  </sheetData>
  <mergeCells count="1">
    <mergeCell ref="A2:J2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2:L16"/>
  <sheetViews>
    <sheetView workbookViewId="0">
      <pane xSplit="2" ySplit="5" topLeftCell="C9" activePane="bottomRight" state="frozen"/>
      <selection pane="topRight" activeCell="C1" sqref="C1"/>
      <selection pane="bottomLeft" activeCell="A6" sqref="A6"/>
      <selection pane="bottomRight" activeCell="A17" sqref="A17:XFD189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2" ht="23.25" x14ac:dyDescent="0.35">
      <c r="A2" s="65" t="s">
        <v>188</v>
      </c>
      <c r="B2" s="65"/>
      <c r="C2" s="65"/>
      <c r="D2" s="65"/>
      <c r="E2" s="65"/>
      <c r="F2" s="65"/>
      <c r="G2" s="65"/>
      <c r="H2" s="65"/>
      <c r="I2" s="65"/>
      <c r="J2" s="65"/>
    </row>
    <row r="4" spans="1:12" x14ac:dyDescent="0.25">
      <c r="G4" s="3"/>
      <c r="H4" s="3"/>
    </row>
    <row r="5" spans="1:12" s="9" customFormat="1" ht="18.75" x14ac:dyDescent="0.3">
      <c r="A5" s="5" t="s">
        <v>187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2" x14ac:dyDescent="0.25">
      <c r="A6" s="9" t="s">
        <v>44</v>
      </c>
      <c r="B6" s="1" t="s">
        <v>45</v>
      </c>
      <c r="G6" s="17"/>
      <c r="H6" s="1"/>
      <c r="I6" s="4">
        <f>G6/$G$16</f>
        <v>0</v>
      </c>
    </row>
    <row r="7" spans="1:12" x14ac:dyDescent="0.25">
      <c r="A7" s="9" t="s">
        <v>44</v>
      </c>
      <c r="B7" s="1" t="s">
        <v>46</v>
      </c>
      <c r="C7" s="1" t="s">
        <v>47</v>
      </c>
      <c r="D7" s="2" t="s">
        <v>13</v>
      </c>
      <c r="E7" s="2" t="s">
        <v>48</v>
      </c>
      <c r="F7" s="9" t="s">
        <v>49</v>
      </c>
      <c r="G7" s="10">
        <v>450</v>
      </c>
      <c r="H7" s="9"/>
      <c r="I7" s="4">
        <f>G7/$G$16</f>
        <v>5.2941176470588235E-2</v>
      </c>
    </row>
    <row r="8" spans="1:12" x14ac:dyDescent="0.25">
      <c r="A8" s="9" t="str">
        <f t="shared" ref="A8:A15" si="0">A7</f>
        <v>Firawaty</v>
      </c>
      <c r="B8" s="1" t="s">
        <v>46</v>
      </c>
      <c r="C8" s="1" t="s">
        <v>47</v>
      </c>
      <c r="D8" s="2" t="s">
        <v>13</v>
      </c>
      <c r="E8" s="2" t="s">
        <v>50</v>
      </c>
      <c r="F8" s="9" t="s">
        <v>51</v>
      </c>
      <c r="G8" s="10">
        <v>450</v>
      </c>
      <c r="H8" s="9"/>
      <c r="I8" s="4">
        <f t="shared" ref="I8:I10" si="1">G8/$G$16</f>
        <v>5.2941176470588235E-2</v>
      </c>
    </row>
    <row r="9" spans="1:12" x14ac:dyDescent="0.25">
      <c r="A9" s="9" t="str">
        <f t="shared" si="0"/>
        <v>Firawaty</v>
      </c>
      <c r="B9" s="1" t="s">
        <v>46</v>
      </c>
      <c r="C9" s="1" t="s">
        <v>47</v>
      </c>
      <c r="D9" s="2" t="s">
        <v>13</v>
      </c>
      <c r="E9" s="2" t="s">
        <v>52</v>
      </c>
      <c r="F9" s="9" t="s">
        <v>53</v>
      </c>
      <c r="G9" s="10">
        <v>450</v>
      </c>
      <c r="H9" s="9"/>
      <c r="I9" s="4">
        <f t="shared" si="1"/>
        <v>5.2941176470588235E-2</v>
      </c>
    </row>
    <row r="10" spans="1:12" x14ac:dyDescent="0.25">
      <c r="A10" s="9" t="str">
        <f t="shared" si="0"/>
        <v>Firawaty</v>
      </c>
      <c r="B10" s="1" t="s">
        <v>46</v>
      </c>
      <c r="C10" s="1" t="s">
        <v>47</v>
      </c>
      <c r="D10" s="2" t="s">
        <v>13</v>
      </c>
      <c r="E10" s="2" t="s">
        <v>54</v>
      </c>
      <c r="F10" s="9" t="s">
        <v>55</v>
      </c>
      <c r="G10" s="10">
        <v>450</v>
      </c>
      <c r="H10" s="9"/>
      <c r="I10" s="4">
        <f t="shared" si="1"/>
        <v>5.2941176470588235E-2</v>
      </c>
    </row>
    <row r="11" spans="1:12" x14ac:dyDescent="0.25">
      <c r="A11" s="9" t="str">
        <f t="shared" si="0"/>
        <v>Firawaty</v>
      </c>
      <c r="B11" s="1" t="s">
        <v>56</v>
      </c>
      <c r="C11" s="1" t="s">
        <v>57</v>
      </c>
      <c r="D11" s="2" t="s">
        <v>13</v>
      </c>
      <c r="E11" s="2" t="s">
        <v>54</v>
      </c>
      <c r="F11" s="9" t="s">
        <v>58</v>
      </c>
      <c r="G11" s="10">
        <v>6300</v>
      </c>
      <c r="H11" s="9"/>
      <c r="I11" s="4">
        <f>G11/$G$16</f>
        <v>0.74117647058823533</v>
      </c>
      <c r="L11" s="18"/>
    </row>
    <row r="12" spans="1:12" x14ac:dyDescent="0.25">
      <c r="A12" s="9" t="str">
        <f t="shared" si="0"/>
        <v>Firawaty</v>
      </c>
      <c r="B12" s="1" t="s">
        <v>59</v>
      </c>
      <c r="C12" s="1" t="s">
        <v>60</v>
      </c>
      <c r="D12" s="2" t="s">
        <v>13</v>
      </c>
      <c r="E12" s="2" t="s">
        <v>48</v>
      </c>
      <c r="F12" s="9" t="s">
        <v>49</v>
      </c>
      <c r="G12" s="10">
        <v>100</v>
      </c>
      <c r="H12" s="9"/>
      <c r="I12" s="4">
        <f>G12/$G$16</f>
        <v>1.1764705882352941E-2</v>
      </c>
      <c r="L12" s="18"/>
    </row>
    <row r="13" spans="1:12" x14ac:dyDescent="0.25">
      <c r="A13" s="9" t="str">
        <f t="shared" si="0"/>
        <v>Firawaty</v>
      </c>
      <c r="B13" s="1" t="s">
        <v>59</v>
      </c>
      <c r="C13" s="1" t="s">
        <v>60</v>
      </c>
      <c r="D13" s="2" t="s">
        <v>13</v>
      </c>
      <c r="E13" s="2" t="s">
        <v>50</v>
      </c>
      <c r="F13" s="9" t="s">
        <v>51</v>
      </c>
      <c r="G13" s="10">
        <v>100</v>
      </c>
      <c r="H13" s="9"/>
      <c r="I13" s="4">
        <f>G13/$G$16</f>
        <v>1.1764705882352941E-2</v>
      </c>
      <c r="L13" s="19"/>
    </row>
    <row r="14" spans="1:12" x14ac:dyDescent="0.25">
      <c r="A14" s="9" t="str">
        <f t="shared" si="0"/>
        <v>Firawaty</v>
      </c>
      <c r="B14" s="1" t="s">
        <v>59</v>
      </c>
      <c r="C14" s="1" t="s">
        <v>60</v>
      </c>
      <c r="D14" s="2" t="s">
        <v>13</v>
      </c>
      <c r="E14" s="2" t="s">
        <v>52</v>
      </c>
      <c r="F14" s="9" t="s">
        <v>53</v>
      </c>
      <c r="G14" s="10">
        <v>100</v>
      </c>
      <c r="H14" s="9"/>
      <c r="I14" s="4">
        <f>G14/$G$16</f>
        <v>1.1764705882352941E-2</v>
      </c>
    </row>
    <row r="15" spans="1:12" x14ac:dyDescent="0.25">
      <c r="A15" s="9" t="str">
        <f t="shared" si="0"/>
        <v>Firawaty</v>
      </c>
      <c r="B15" s="1" t="s">
        <v>59</v>
      </c>
      <c r="C15" s="1" t="s">
        <v>60</v>
      </c>
      <c r="D15" s="2" t="s">
        <v>13</v>
      </c>
      <c r="E15" s="2" t="s">
        <v>54</v>
      </c>
      <c r="F15" s="9" t="s">
        <v>55</v>
      </c>
      <c r="G15" s="10">
        <v>100</v>
      </c>
      <c r="H15" s="9"/>
      <c r="I15" s="4">
        <f>G15/$G$16</f>
        <v>1.1764705882352941E-2</v>
      </c>
    </row>
    <row r="16" spans="1:12" x14ac:dyDescent="0.25">
      <c r="A16" s="11" t="s">
        <v>35</v>
      </c>
      <c r="B16" s="11"/>
      <c r="C16" s="11"/>
      <c r="D16" s="12"/>
      <c r="E16" s="12"/>
      <c r="F16" s="11"/>
      <c r="G16" s="13">
        <f>SUM(G6:G15)</f>
        <v>8500</v>
      </c>
      <c r="H16" s="11"/>
      <c r="I16" s="15">
        <f>SUM(I6:I15)</f>
        <v>0.99999999999999989</v>
      </c>
    </row>
  </sheetData>
  <mergeCells count="1">
    <mergeCell ref="A2:J2"/>
  </mergeCell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2:J11"/>
  <sheetViews>
    <sheetView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16" sqref="A16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65" t="s">
        <v>188</v>
      </c>
      <c r="B2" s="65"/>
      <c r="C2" s="65"/>
      <c r="D2" s="65"/>
      <c r="E2" s="65"/>
      <c r="F2" s="65"/>
      <c r="G2" s="65"/>
      <c r="H2" s="65"/>
      <c r="I2" s="65"/>
      <c r="J2" s="65"/>
    </row>
    <row r="4" spans="1:10" x14ac:dyDescent="0.25">
      <c r="G4" s="3"/>
      <c r="H4" s="3"/>
    </row>
    <row r="5" spans="1:10" s="9" customFormat="1" ht="18.75" x14ac:dyDescent="0.3">
      <c r="A5" s="5" t="s">
        <v>187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61</v>
      </c>
      <c r="B6" s="1" t="s">
        <v>45</v>
      </c>
      <c r="G6" s="17"/>
      <c r="H6" s="1"/>
      <c r="I6" s="4">
        <f>G6/$G$11</f>
        <v>0</v>
      </c>
    </row>
    <row r="7" spans="1:10" x14ac:dyDescent="0.25">
      <c r="A7" s="9" t="s">
        <v>61</v>
      </c>
      <c r="B7" s="1" t="s">
        <v>46</v>
      </c>
      <c r="C7" s="1" t="s">
        <v>47</v>
      </c>
      <c r="D7" s="2" t="s">
        <v>13</v>
      </c>
      <c r="E7" s="2" t="s">
        <v>62</v>
      </c>
      <c r="F7" s="9" t="s">
        <v>63</v>
      </c>
      <c r="G7" s="10">
        <v>200</v>
      </c>
      <c r="H7" s="9"/>
      <c r="I7" s="4">
        <f>G7/$G$11</f>
        <v>0.2</v>
      </c>
    </row>
    <row r="8" spans="1:10" x14ac:dyDescent="0.25">
      <c r="A8" s="9" t="str">
        <f t="shared" ref="A8:A10" si="0">A7</f>
        <v>Fung-fung</v>
      </c>
      <c r="B8" s="1" t="s">
        <v>56</v>
      </c>
      <c r="C8" s="1" t="s">
        <v>57</v>
      </c>
      <c r="D8" s="2" t="s">
        <v>13</v>
      </c>
      <c r="E8" s="2" t="s">
        <v>64</v>
      </c>
      <c r="F8" s="9" t="s">
        <v>65</v>
      </c>
      <c r="G8" s="10">
        <v>700</v>
      </c>
      <c r="H8" s="9"/>
      <c r="I8" s="4">
        <f>G8/$G$11</f>
        <v>0.7</v>
      </c>
    </row>
    <row r="9" spans="1:10" x14ac:dyDescent="0.25">
      <c r="A9" s="9" t="str">
        <f t="shared" si="0"/>
        <v>Fung-fung</v>
      </c>
      <c r="B9" s="1" t="s">
        <v>59</v>
      </c>
      <c r="C9" s="1" t="s">
        <v>60</v>
      </c>
      <c r="D9" s="2" t="s">
        <v>13</v>
      </c>
      <c r="E9" s="2" t="s">
        <v>64</v>
      </c>
      <c r="F9" s="9" t="s">
        <v>63</v>
      </c>
      <c r="G9" s="10">
        <v>50</v>
      </c>
      <c r="H9" s="9"/>
      <c r="I9" s="4">
        <f>G9/$G$11</f>
        <v>0.05</v>
      </c>
    </row>
    <row r="10" spans="1:10" x14ac:dyDescent="0.25">
      <c r="A10" s="9" t="str">
        <f t="shared" si="0"/>
        <v>Fung-fung</v>
      </c>
      <c r="B10" s="1" t="s">
        <v>59</v>
      </c>
      <c r="C10" s="1" t="s">
        <v>60</v>
      </c>
      <c r="D10" s="2" t="s">
        <v>13</v>
      </c>
      <c r="E10" s="2" t="s">
        <v>66</v>
      </c>
      <c r="F10" s="9" t="s">
        <v>67</v>
      </c>
      <c r="G10" s="10">
        <v>50</v>
      </c>
      <c r="H10" s="9"/>
      <c r="I10" s="4">
        <f>G10/$G$11</f>
        <v>0.05</v>
      </c>
    </row>
    <row r="11" spans="1:10" x14ac:dyDescent="0.25">
      <c r="A11" s="11" t="s">
        <v>35</v>
      </c>
      <c r="B11" s="11"/>
      <c r="C11" s="11"/>
      <c r="D11" s="12"/>
      <c r="E11" s="12"/>
      <c r="F11" s="11"/>
      <c r="G11" s="13">
        <f>SUM(G6:G10)</f>
        <v>1000</v>
      </c>
      <c r="H11" s="11"/>
      <c r="I11" s="15">
        <f>SUM(I6:I10)</f>
        <v>1</v>
      </c>
    </row>
  </sheetData>
  <mergeCells count="1">
    <mergeCell ref="A2:J2"/>
  </mergeCell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2:J61"/>
  <sheetViews>
    <sheetView workbookViewId="0">
      <pane xSplit="2" ySplit="5" topLeftCell="C54" activePane="bottomRight" state="frozen"/>
      <selection pane="topRight" activeCell="C1" sqref="C1"/>
      <selection pane="bottomLeft" activeCell="A6" sqref="A6"/>
      <selection pane="bottomRight" activeCell="A62" sqref="A62:XFD187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65" t="s">
        <v>188</v>
      </c>
      <c r="B2" s="65"/>
      <c r="C2" s="65"/>
      <c r="D2" s="65"/>
      <c r="E2" s="65"/>
      <c r="F2" s="65"/>
      <c r="G2" s="65"/>
      <c r="H2" s="65"/>
      <c r="I2" s="65"/>
      <c r="J2" s="65"/>
    </row>
    <row r="4" spans="1:10" x14ac:dyDescent="0.25">
      <c r="G4" s="3"/>
      <c r="H4" s="3"/>
    </row>
    <row r="5" spans="1:10" s="9" customFormat="1" ht="18.75" x14ac:dyDescent="0.3">
      <c r="A5" s="5" t="s">
        <v>187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68</v>
      </c>
      <c r="B6" s="1" t="s">
        <v>69</v>
      </c>
      <c r="C6" s="1" t="s">
        <v>70</v>
      </c>
      <c r="D6" s="2" t="s">
        <v>13</v>
      </c>
      <c r="E6" s="2" t="s">
        <v>19</v>
      </c>
      <c r="F6" s="9"/>
      <c r="H6" s="9"/>
      <c r="I6" s="4">
        <f>G6/$G$61</f>
        <v>0</v>
      </c>
    </row>
    <row r="7" spans="1:10" x14ac:dyDescent="0.25">
      <c r="A7" s="9" t="str">
        <f t="shared" ref="A7:A60" si="0">A6</f>
        <v>Owi Wijaya</v>
      </c>
      <c r="B7" s="1" t="s">
        <v>71</v>
      </c>
      <c r="C7" s="1" t="s">
        <v>72</v>
      </c>
      <c r="D7" s="2" t="s">
        <v>13</v>
      </c>
      <c r="E7" s="2" t="s">
        <v>73</v>
      </c>
      <c r="F7" s="9"/>
      <c r="G7" s="10">
        <v>4917.96</v>
      </c>
      <c r="H7" s="9"/>
      <c r="I7" s="4">
        <f t="shared" ref="I7:I60" si="1">G7/$G$61</f>
        <v>5.6433869134324049E-2</v>
      </c>
    </row>
    <row r="8" spans="1:10" x14ac:dyDescent="0.25">
      <c r="A8" s="9" t="str">
        <f t="shared" si="0"/>
        <v>Owi Wijaya</v>
      </c>
      <c r="B8" s="1" t="s">
        <v>74</v>
      </c>
      <c r="C8" s="1" t="s">
        <v>75</v>
      </c>
      <c r="D8" s="2" t="s">
        <v>13</v>
      </c>
      <c r="E8" s="2" t="s">
        <v>76</v>
      </c>
      <c r="F8" s="9"/>
      <c r="G8" s="10">
        <v>281</v>
      </c>
      <c r="H8" s="9"/>
      <c r="I8" s="4">
        <f t="shared" si="1"/>
        <v>3.2244908919033619E-3</v>
      </c>
    </row>
    <row r="9" spans="1:10" x14ac:dyDescent="0.25">
      <c r="A9" s="9" t="str">
        <f t="shared" si="0"/>
        <v>Owi Wijaya</v>
      </c>
      <c r="B9" s="1" t="s">
        <v>74</v>
      </c>
      <c r="C9" s="1" t="s">
        <v>75</v>
      </c>
      <c r="D9" s="2" t="s">
        <v>15</v>
      </c>
      <c r="E9" s="2" t="s">
        <v>76</v>
      </c>
      <c r="F9" s="9"/>
      <c r="G9" s="10">
        <v>64.58</v>
      </c>
      <c r="H9" s="9"/>
      <c r="I9" s="4">
        <f t="shared" si="1"/>
        <v>7.4105915231003239E-4</v>
      </c>
    </row>
    <row r="10" spans="1:10" x14ac:dyDescent="0.25">
      <c r="A10" s="9" t="str">
        <f t="shared" si="0"/>
        <v>Owi Wijaya</v>
      </c>
      <c r="B10" s="1" t="s">
        <v>77</v>
      </c>
      <c r="C10" s="1" t="s">
        <v>78</v>
      </c>
      <c r="D10" s="2" t="s">
        <v>13</v>
      </c>
      <c r="E10" s="2" t="s">
        <v>76</v>
      </c>
      <c r="F10" s="9"/>
      <c r="G10" s="10">
        <v>2027.63</v>
      </c>
      <c r="H10" s="9"/>
      <c r="I10" s="4">
        <f t="shared" si="1"/>
        <v>2.3267168922242044E-2</v>
      </c>
    </row>
    <row r="11" spans="1:10" x14ac:dyDescent="0.25">
      <c r="A11" s="9" t="str">
        <f t="shared" si="0"/>
        <v>Owi Wijaya</v>
      </c>
      <c r="B11" s="1" t="s">
        <v>79</v>
      </c>
      <c r="C11" s="1" t="s">
        <v>80</v>
      </c>
      <c r="D11" s="2" t="s">
        <v>13</v>
      </c>
      <c r="E11" s="2" t="s">
        <v>76</v>
      </c>
      <c r="F11" s="9"/>
      <c r="G11" s="10">
        <v>1453.67</v>
      </c>
      <c r="H11" s="9"/>
      <c r="I11" s="4">
        <f t="shared" si="1"/>
        <v>1.6680945462039718E-2</v>
      </c>
    </row>
    <row r="12" spans="1:10" x14ac:dyDescent="0.25">
      <c r="A12" s="9" t="str">
        <f t="shared" si="0"/>
        <v>Owi Wijaya</v>
      </c>
      <c r="B12" s="1" t="s">
        <v>81</v>
      </c>
      <c r="C12" s="1" t="s">
        <v>82</v>
      </c>
      <c r="D12" s="2" t="s">
        <v>13</v>
      </c>
      <c r="E12" s="2" t="s">
        <v>83</v>
      </c>
      <c r="F12" s="9"/>
      <c r="G12" s="10">
        <v>531</v>
      </c>
      <c r="H12" s="9"/>
      <c r="I12" s="4">
        <f t="shared" si="1"/>
        <v>6.0932550306074208E-3</v>
      </c>
    </row>
    <row r="13" spans="1:10" x14ac:dyDescent="0.25">
      <c r="A13" s="9" t="str">
        <f t="shared" si="0"/>
        <v>Owi Wijaya</v>
      </c>
      <c r="B13" s="1" t="s">
        <v>84</v>
      </c>
      <c r="C13" s="1" t="s">
        <v>85</v>
      </c>
      <c r="D13" s="2" t="s">
        <v>13</v>
      </c>
      <c r="E13" s="2" t="s">
        <v>76</v>
      </c>
      <c r="F13" s="9"/>
      <c r="G13" s="10">
        <v>2429</v>
      </c>
      <c r="H13" s="9"/>
      <c r="I13" s="4">
        <f t="shared" si="1"/>
        <v>2.7872912371648635E-2</v>
      </c>
    </row>
    <row r="14" spans="1:10" x14ac:dyDescent="0.25">
      <c r="A14" s="9" t="str">
        <f t="shared" si="0"/>
        <v>Owi Wijaya</v>
      </c>
      <c r="B14" s="1" t="s">
        <v>86</v>
      </c>
      <c r="C14" s="1" t="s">
        <v>87</v>
      </c>
      <c r="D14" s="2" t="s">
        <v>13</v>
      </c>
      <c r="E14" s="2" t="s">
        <v>76</v>
      </c>
      <c r="F14" s="9"/>
      <c r="G14" s="10">
        <v>200</v>
      </c>
      <c r="H14" s="9"/>
      <c r="I14" s="4">
        <f t="shared" si="1"/>
        <v>2.2950113109632469E-3</v>
      </c>
    </row>
    <row r="15" spans="1:10" x14ac:dyDescent="0.25">
      <c r="A15" s="9" t="str">
        <f t="shared" si="0"/>
        <v>Owi Wijaya</v>
      </c>
      <c r="B15" s="1" t="s">
        <v>88</v>
      </c>
      <c r="C15" s="1" t="s">
        <v>89</v>
      </c>
      <c r="D15" s="2" t="s">
        <v>13</v>
      </c>
      <c r="E15" s="2" t="s">
        <v>76</v>
      </c>
      <c r="F15" s="9"/>
      <c r="G15" s="10">
        <v>3004.76</v>
      </c>
      <c r="H15" s="9"/>
      <c r="I15" s="4">
        <f t="shared" si="1"/>
        <v>3.4479790933649633E-2</v>
      </c>
    </row>
    <row r="16" spans="1:10" x14ac:dyDescent="0.25">
      <c r="A16" s="9" t="str">
        <f t="shared" si="0"/>
        <v>Owi Wijaya</v>
      </c>
      <c r="B16" s="1" t="s">
        <v>88</v>
      </c>
      <c r="C16" s="1" t="s">
        <v>89</v>
      </c>
      <c r="D16" s="2" t="s">
        <v>15</v>
      </c>
      <c r="E16" s="2" t="s">
        <v>76</v>
      </c>
      <c r="F16" s="9"/>
      <c r="G16" s="10">
        <v>1543.55</v>
      </c>
      <c r="H16" s="9"/>
      <c r="I16" s="4">
        <f t="shared" si="1"/>
        <v>1.7712323545186599E-2</v>
      </c>
    </row>
    <row r="17" spans="1:9" x14ac:dyDescent="0.25">
      <c r="A17" s="9" t="str">
        <f t="shared" si="0"/>
        <v>Owi Wijaya</v>
      </c>
      <c r="B17" s="1" t="s">
        <v>90</v>
      </c>
      <c r="C17" s="1" t="s">
        <v>91</v>
      </c>
      <c r="D17" s="2" t="s">
        <v>13</v>
      </c>
      <c r="E17" s="2" t="s">
        <v>76</v>
      </c>
      <c r="F17" s="9"/>
      <c r="G17" s="10">
        <v>938.47</v>
      </c>
      <c r="H17" s="9"/>
      <c r="I17" s="4">
        <f t="shared" si="1"/>
        <v>1.0768996324998392E-2</v>
      </c>
    </row>
    <row r="18" spans="1:9" x14ac:dyDescent="0.25">
      <c r="A18" s="9" t="str">
        <f t="shared" si="0"/>
        <v>Owi Wijaya</v>
      </c>
      <c r="B18" s="1" t="s">
        <v>90</v>
      </c>
      <c r="C18" s="1" t="s">
        <v>91</v>
      </c>
      <c r="D18" s="2" t="s">
        <v>24</v>
      </c>
      <c r="E18" s="2" t="s">
        <v>76</v>
      </c>
      <c r="F18" s="9"/>
      <c r="G18" s="10">
        <v>175.55</v>
      </c>
      <c r="H18" s="9"/>
      <c r="I18" s="4">
        <f t="shared" si="1"/>
        <v>2.0144461781979902E-3</v>
      </c>
    </row>
    <row r="19" spans="1:9" x14ac:dyDescent="0.25">
      <c r="A19" s="9" t="str">
        <f t="shared" si="0"/>
        <v>Owi Wijaya</v>
      </c>
      <c r="B19" s="1" t="s">
        <v>90</v>
      </c>
      <c r="C19" s="1" t="s">
        <v>91</v>
      </c>
      <c r="D19" s="2" t="s">
        <v>15</v>
      </c>
      <c r="E19" s="2" t="s">
        <v>76</v>
      </c>
      <c r="F19" s="9"/>
      <c r="G19" s="10">
        <v>2294.39</v>
      </c>
      <c r="H19" s="9"/>
      <c r="I19" s="4">
        <f t="shared" si="1"/>
        <v>2.632825500880482E-2</v>
      </c>
    </row>
    <row r="20" spans="1:9" x14ac:dyDescent="0.25">
      <c r="A20" s="9" t="str">
        <f t="shared" si="0"/>
        <v>Owi Wijaya</v>
      </c>
      <c r="B20" s="1" t="s">
        <v>92</v>
      </c>
      <c r="C20" s="1" t="s">
        <v>93</v>
      </c>
      <c r="D20" s="2" t="s">
        <v>13</v>
      </c>
      <c r="E20" s="2" t="s">
        <v>76</v>
      </c>
      <c r="F20" s="9"/>
      <c r="G20" s="10">
        <v>1987.05</v>
      </c>
      <c r="H20" s="9"/>
      <c r="I20" s="4">
        <f t="shared" si="1"/>
        <v>2.2801511127247598E-2</v>
      </c>
    </row>
    <row r="21" spans="1:9" x14ac:dyDescent="0.25">
      <c r="A21" s="9" t="str">
        <f t="shared" si="0"/>
        <v>Owi Wijaya</v>
      </c>
      <c r="B21" s="1" t="s">
        <v>92</v>
      </c>
      <c r="C21" s="1" t="s">
        <v>93</v>
      </c>
      <c r="D21" s="2" t="s">
        <v>15</v>
      </c>
      <c r="E21" s="2" t="s">
        <v>76</v>
      </c>
      <c r="F21" s="9"/>
      <c r="G21" s="10">
        <v>1692.67</v>
      </c>
      <c r="H21" s="9"/>
      <c r="I21" s="4">
        <f t="shared" si="1"/>
        <v>1.9423483978640799E-2</v>
      </c>
    </row>
    <row r="22" spans="1:9" x14ac:dyDescent="0.25">
      <c r="A22" s="9" t="str">
        <f t="shared" si="0"/>
        <v>Owi Wijaya</v>
      </c>
      <c r="B22" s="1" t="s">
        <v>94</v>
      </c>
      <c r="C22" s="1" t="s">
        <v>95</v>
      </c>
      <c r="D22" s="2" t="s">
        <v>13</v>
      </c>
      <c r="E22" s="2" t="s">
        <v>76</v>
      </c>
      <c r="F22" s="9"/>
      <c r="G22" s="10">
        <v>569</v>
      </c>
      <c r="H22" s="9"/>
      <c r="I22" s="4">
        <f t="shared" si="1"/>
        <v>6.5293071796904377E-3</v>
      </c>
    </row>
    <row r="23" spans="1:9" x14ac:dyDescent="0.25">
      <c r="A23" s="9" t="str">
        <f t="shared" si="0"/>
        <v>Owi Wijaya</v>
      </c>
      <c r="B23" s="1" t="s">
        <v>94</v>
      </c>
      <c r="C23" s="1" t="s">
        <v>95</v>
      </c>
      <c r="D23" s="2" t="s">
        <v>15</v>
      </c>
      <c r="E23" s="2" t="s">
        <v>76</v>
      </c>
      <c r="F23" s="9"/>
      <c r="G23" s="10">
        <v>300</v>
      </c>
      <c r="H23" s="9"/>
      <c r="I23" s="4">
        <f t="shared" si="1"/>
        <v>3.4425169664448704E-3</v>
      </c>
    </row>
    <row r="24" spans="1:9" x14ac:dyDescent="0.25">
      <c r="A24" s="9" t="str">
        <f t="shared" si="0"/>
        <v>Owi Wijaya</v>
      </c>
      <c r="B24" s="1" t="s">
        <v>96</v>
      </c>
      <c r="C24" s="1" t="s">
        <v>97</v>
      </c>
      <c r="D24" s="2" t="s">
        <v>13</v>
      </c>
      <c r="E24" s="2" t="s">
        <v>98</v>
      </c>
      <c r="F24" s="9"/>
      <c r="G24" s="10">
        <v>2288.86</v>
      </c>
      <c r="H24" s="9"/>
      <c r="I24" s="4">
        <f t="shared" si="1"/>
        <v>2.6264797946056691E-2</v>
      </c>
    </row>
    <row r="25" spans="1:9" x14ac:dyDescent="0.25">
      <c r="A25" s="9" t="str">
        <f t="shared" si="0"/>
        <v>Owi Wijaya</v>
      </c>
      <c r="B25" s="1" t="s">
        <v>99</v>
      </c>
      <c r="C25" s="1" t="s">
        <v>100</v>
      </c>
      <c r="D25" s="2" t="s">
        <v>13</v>
      </c>
      <c r="E25" s="2" t="s">
        <v>101</v>
      </c>
      <c r="F25" s="9"/>
      <c r="G25" s="10">
        <v>36500.160000000003</v>
      </c>
      <c r="H25" s="9"/>
      <c r="I25" s="4">
        <f t="shared" si="1"/>
        <v>0.4188414002598414</v>
      </c>
    </row>
    <row r="26" spans="1:9" x14ac:dyDescent="0.25">
      <c r="A26" s="9" t="str">
        <f t="shared" si="0"/>
        <v>Owi Wijaya</v>
      </c>
      <c r="B26" s="1" t="s">
        <v>102</v>
      </c>
      <c r="C26" s="1" t="s">
        <v>103</v>
      </c>
      <c r="D26" s="2" t="s">
        <v>13</v>
      </c>
      <c r="E26" s="2" t="s">
        <v>76</v>
      </c>
      <c r="F26" s="9"/>
      <c r="G26" s="10">
        <v>1440.17</v>
      </c>
      <c r="H26" s="9"/>
      <c r="I26" s="4">
        <f t="shared" si="1"/>
        <v>1.6526032198549697E-2</v>
      </c>
    </row>
    <row r="27" spans="1:9" x14ac:dyDescent="0.25">
      <c r="A27" s="9" t="str">
        <f t="shared" si="0"/>
        <v>Owi Wijaya</v>
      </c>
      <c r="B27" s="1" t="s">
        <v>102</v>
      </c>
      <c r="C27" s="1" t="s">
        <v>103</v>
      </c>
      <c r="D27" s="2" t="s">
        <v>104</v>
      </c>
      <c r="E27" s="2" t="s">
        <v>76</v>
      </c>
      <c r="F27" s="9"/>
      <c r="G27" s="10">
        <v>14.27</v>
      </c>
      <c r="H27" s="9"/>
      <c r="I27" s="4">
        <f t="shared" si="1"/>
        <v>1.6374905703722768E-4</v>
      </c>
    </row>
    <row r="28" spans="1:9" x14ac:dyDescent="0.25">
      <c r="A28" s="9" t="str">
        <f t="shared" si="0"/>
        <v>Owi Wijaya</v>
      </c>
      <c r="B28" s="1" t="s">
        <v>102</v>
      </c>
      <c r="C28" s="1" t="s">
        <v>103</v>
      </c>
      <c r="D28" s="2" t="s">
        <v>24</v>
      </c>
      <c r="E28" s="2" t="s">
        <v>76</v>
      </c>
      <c r="F28" s="9"/>
      <c r="G28" s="10">
        <v>35.56</v>
      </c>
      <c r="H28" s="9"/>
      <c r="I28" s="4">
        <f t="shared" si="1"/>
        <v>4.0805301108926532E-4</v>
      </c>
    </row>
    <row r="29" spans="1:9" x14ac:dyDescent="0.25">
      <c r="A29" s="9" t="str">
        <f t="shared" si="0"/>
        <v>Owi Wijaya</v>
      </c>
      <c r="B29" s="1" t="s">
        <v>102</v>
      </c>
      <c r="C29" s="1" t="s">
        <v>103</v>
      </c>
      <c r="D29" s="2" t="s">
        <v>15</v>
      </c>
      <c r="E29" s="2" t="s">
        <v>76</v>
      </c>
      <c r="F29" s="9"/>
      <c r="G29" s="10">
        <v>9.69</v>
      </c>
      <c r="H29" s="9"/>
      <c r="I29" s="4">
        <f t="shared" si="1"/>
        <v>1.1119329801616931E-4</v>
      </c>
    </row>
    <row r="30" spans="1:9" x14ac:dyDescent="0.25">
      <c r="A30" s="9" t="str">
        <f t="shared" si="0"/>
        <v>Owi Wijaya</v>
      </c>
      <c r="B30" s="1" t="s">
        <v>105</v>
      </c>
      <c r="C30" s="1" t="s">
        <v>106</v>
      </c>
      <c r="D30" s="2" t="s">
        <v>13</v>
      </c>
      <c r="E30" s="2" t="s">
        <v>76</v>
      </c>
      <c r="F30" s="9"/>
      <c r="G30" s="10">
        <v>400</v>
      </c>
      <c r="H30" s="9"/>
      <c r="I30" s="4">
        <f t="shared" si="1"/>
        <v>4.5900226219264938E-3</v>
      </c>
    </row>
    <row r="31" spans="1:9" x14ac:dyDescent="0.25">
      <c r="A31" s="9" t="str">
        <f t="shared" si="0"/>
        <v>Owi Wijaya</v>
      </c>
      <c r="B31" s="1" t="s">
        <v>107</v>
      </c>
      <c r="C31" s="1" t="s">
        <v>108</v>
      </c>
      <c r="D31" s="2" t="s">
        <v>13</v>
      </c>
      <c r="E31" s="2" t="s">
        <v>83</v>
      </c>
      <c r="F31" s="9"/>
      <c r="G31" s="10">
        <v>100</v>
      </c>
      <c r="H31" s="9"/>
      <c r="I31" s="4">
        <f t="shared" si="1"/>
        <v>1.1475056554816235E-3</v>
      </c>
    </row>
    <row r="32" spans="1:9" x14ac:dyDescent="0.25">
      <c r="A32" s="9" t="str">
        <f t="shared" si="0"/>
        <v>Owi Wijaya</v>
      </c>
      <c r="B32" s="1" t="s">
        <v>109</v>
      </c>
      <c r="C32" s="1" t="s">
        <v>110</v>
      </c>
      <c r="D32" s="2" t="s">
        <v>13</v>
      </c>
      <c r="E32" s="2" t="s">
        <v>83</v>
      </c>
      <c r="F32" s="9"/>
      <c r="G32" s="10">
        <v>100</v>
      </c>
      <c r="H32" s="9"/>
      <c r="I32" s="4">
        <f t="shared" si="1"/>
        <v>1.1475056554816235E-3</v>
      </c>
    </row>
    <row r="33" spans="1:9" x14ac:dyDescent="0.25">
      <c r="A33" s="9" t="str">
        <f t="shared" si="0"/>
        <v>Owi Wijaya</v>
      </c>
      <c r="B33" s="1" t="s">
        <v>111</v>
      </c>
      <c r="C33" s="1" t="s">
        <v>112</v>
      </c>
      <c r="D33" s="2" t="s">
        <v>13</v>
      </c>
      <c r="E33" s="2" t="s">
        <v>83</v>
      </c>
      <c r="F33" s="9"/>
      <c r="G33" s="10">
        <v>100</v>
      </c>
      <c r="H33" s="9"/>
      <c r="I33" s="4">
        <f t="shared" si="1"/>
        <v>1.1475056554816235E-3</v>
      </c>
    </row>
    <row r="34" spans="1:9" x14ac:dyDescent="0.25">
      <c r="A34" s="9" t="str">
        <f t="shared" si="0"/>
        <v>Owi Wijaya</v>
      </c>
      <c r="B34" s="1" t="s">
        <v>113</v>
      </c>
      <c r="C34" s="1" t="s">
        <v>114</v>
      </c>
      <c r="D34" s="2" t="s">
        <v>13</v>
      </c>
      <c r="E34" s="2" t="s">
        <v>83</v>
      </c>
      <c r="F34" s="9"/>
      <c r="G34" s="10">
        <v>100</v>
      </c>
      <c r="H34" s="9"/>
      <c r="I34" s="4">
        <f t="shared" si="1"/>
        <v>1.1475056554816235E-3</v>
      </c>
    </row>
    <row r="35" spans="1:9" x14ac:dyDescent="0.25">
      <c r="A35" s="9" t="str">
        <f t="shared" si="0"/>
        <v>Owi Wijaya</v>
      </c>
      <c r="B35" s="1" t="s">
        <v>113</v>
      </c>
      <c r="C35" s="1" t="s">
        <v>114</v>
      </c>
      <c r="D35" s="2" t="s">
        <v>24</v>
      </c>
      <c r="E35" s="2" t="s">
        <v>76</v>
      </c>
      <c r="F35" s="9"/>
      <c r="G35" s="10">
        <v>250</v>
      </c>
      <c r="H35" s="9"/>
      <c r="I35" s="4">
        <f t="shared" si="1"/>
        <v>2.8687641387040589E-3</v>
      </c>
    </row>
    <row r="36" spans="1:9" x14ac:dyDescent="0.25">
      <c r="A36" s="9" t="str">
        <f t="shared" si="0"/>
        <v>Owi Wijaya</v>
      </c>
      <c r="B36" s="1" t="s">
        <v>113</v>
      </c>
      <c r="C36" s="1" t="s">
        <v>114</v>
      </c>
      <c r="D36" s="2" t="s">
        <v>15</v>
      </c>
      <c r="E36" s="2" t="s">
        <v>76</v>
      </c>
      <c r="F36" s="9"/>
      <c r="G36" s="10">
        <v>300</v>
      </c>
      <c r="H36" s="9"/>
      <c r="I36" s="4">
        <f t="shared" si="1"/>
        <v>3.4425169664448704E-3</v>
      </c>
    </row>
    <row r="37" spans="1:9" x14ac:dyDescent="0.25">
      <c r="A37" s="9" t="str">
        <f t="shared" si="0"/>
        <v>Owi Wijaya</v>
      </c>
      <c r="B37" s="1" t="s">
        <v>115</v>
      </c>
      <c r="C37" s="1" t="s">
        <v>116</v>
      </c>
      <c r="D37" s="2" t="s">
        <v>13</v>
      </c>
      <c r="E37" s="2" t="s">
        <v>83</v>
      </c>
      <c r="F37" s="9"/>
      <c r="G37" s="10">
        <v>100</v>
      </c>
      <c r="H37" s="9"/>
      <c r="I37" s="4">
        <f t="shared" si="1"/>
        <v>1.1475056554816235E-3</v>
      </c>
    </row>
    <row r="38" spans="1:9" x14ac:dyDescent="0.25">
      <c r="A38" s="9" t="str">
        <f t="shared" si="0"/>
        <v>Owi Wijaya</v>
      </c>
      <c r="B38" s="1" t="s">
        <v>117</v>
      </c>
      <c r="C38" s="1" t="s">
        <v>118</v>
      </c>
      <c r="D38" s="2" t="s">
        <v>13</v>
      </c>
      <c r="E38" s="2" t="s">
        <v>83</v>
      </c>
      <c r="F38" s="9"/>
      <c r="G38" s="10">
        <v>100</v>
      </c>
      <c r="H38" s="9"/>
      <c r="I38" s="4">
        <f t="shared" si="1"/>
        <v>1.1475056554816235E-3</v>
      </c>
    </row>
    <row r="39" spans="1:9" x14ac:dyDescent="0.25">
      <c r="A39" s="9" t="str">
        <f t="shared" si="0"/>
        <v>Owi Wijaya</v>
      </c>
      <c r="B39" s="1" t="s">
        <v>119</v>
      </c>
      <c r="C39" s="1" t="s">
        <v>120</v>
      </c>
      <c r="D39" s="2" t="s">
        <v>13</v>
      </c>
      <c r="E39" s="2" t="s">
        <v>76</v>
      </c>
      <c r="F39" s="9"/>
      <c r="G39" s="10">
        <v>328.75</v>
      </c>
      <c r="H39" s="9"/>
      <c r="I39" s="4">
        <f t="shared" si="1"/>
        <v>3.7724248423958375E-3</v>
      </c>
    </row>
    <row r="40" spans="1:9" x14ac:dyDescent="0.25">
      <c r="A40" s="9" t="str">
        <f t="shared" si="0"/>
        <v>Owi Wijaya</v>
      </c>
      <c r="B40" s="1" t="s">
        <v>119</v>
      </c>
      <c r="C40" s="1" t="s">
        <v>120</v>
      </c>
      <c r="D40" s="2" t="s">
        <v>104</v>
      </c>
      <c r="E40" s="2" t="s">
        <v>76</v>
      </c>
      <c r="F40" s="9"/>
      <c r="G40" s="10">
        <v>109.79</v>
      </c>
      <c r="H40" s="9"/>
      <c r="I40" s="4">
        <f t="shared" si="1"/>
        <v>1.2598464591532744E-3</v>
      </c>
    </row>
    <row r="41" spans="1:9" x14ac:dyDescent="0.25">
      <c r="A41" s="9" t="str">
        <f t="shared" si="0"/>
        <v>Owi Wijaya</v>
      </c>
      <c r="B41" s="1" t="s">
        <v>119</v>
      </c>
      <c r="C41" s="1" t="s">
        <v>120</v>
      </c>
      <c r="D41" s="2" t="s">
        <v>24</v>
      </c>
      <c r="E41" s="2" t="s">
        <v>76</v>
      </c>
      <c r="F41" s="9"/>
      <c r="G41" s="10">
        <v>169.38</v>
      </c>
      <c r="H41" s="9"/>
      <c r="I41" s="4">
        <f t="shared" si="1"/>
        <v>1.9436450792547739E-3</v>
      </c>
    </row>
    <row r="42" spans="1:9" x14ac:dyDescent="0.25">
      <c r="A42" s="9" t="str">
        <f t="shared" si="0"/>
        <v>Owi Wijaya</v>
      </c>
      <c r="B42" s="1" t="s">
        <v>119</v>
      </c>
      <c r="C42" s="1" t="s">
        <v>120</v>
      </c>
      <c r="D42" s="2" t="s">
        <v>15</v>
      </c>
      <c r="E42" s="2" t="s">
        <v>76</v>
      </c>
      <c r="F42" s="9"/>
      <c r="G42" s="10">
        <v>142.08000000000001</v>
      </c>
      <c r="H42" s="9"/>
      <c r="I42" s="4">
        <f t="shared" si="1"/>
        <v>1.6303760353082908E-3</v>
      </c>
    </row>
    <row r="43" spans="1:9" x14ac:dyDescent="0.25">
      <c r="A43" s="9" t="str">
        <f t="shared" si="0"/>
        <v>Owi Wijaya</v>
      </c>
      <c r="B43" s="1" t="s">
        <v>121</v>
      </c>
      <c r="C43" s="1" t="s">
        <v>122</v>
      </c>
      <c r="D43" s="2" t="s">
        <v>13</v>
      </c>
      <c r="E43" s="2" t="s">
        <v>76</v>
      </c>
      <c r="F43" s="9"/>
      <c r="G43" s="10">
        <v>4300</v>
      </c>
      <c r="H43" s="9"/>
      <c r="I43" s="4">
        <f t="shared" si="1"/>
        <v>4.934274318570981E-2</v>
      </c>
    </row>
    <row r="44" spans="1:9" x14ac:dyDescent="0.25">
      <c r="A44" s="9" t="str">
        <f t="shared" si="0"/>
        <v>Owi Wijaya</v>
      </c>
      <c r="B44" s="1" t="s">
        <v>123</v>
      </c>
      <c r="C44" s="1" t="s">
        <v>124</v>
      </c>
      <c r="D44" s="2" t="s">
        <v>13</v>
      </c>
      <c r="E44" s="2" t="s">
        <v>125</v>
      </c>
      <c r="F44" s="9"/>
      <c r="G44" s="10">
        <v>1495.98</v>
      </c>
      <c r="H44" s="9"/>
      <c r="I44" s="4">
        <f t="shared" si="1"/>
        <v>1.7166455104873992E-2</v>
      </c>
    </row>
    <row r="45" spans="1:9" x14ac:dyDescent="0.25">
      <c r="A45" s="9" t="str">
        <f t="shared" si="0"/>
        <v>Owi Wijaya</v>
      </c>
      <c r="B45" s="1" t="s">
        <v>123</v>
      </c>
      <c r="C45" s="1" t="s">
        <v>124</v>
      </c>
      <c r="D45" s="2" t="s">
        <v>104</v>
      </c>
      <c r="E45" s="2" t="s">
        <v>125</v>
      </c>
      <c r="F45" s="9"/>
      <c r="G45" s="10">
        <v>516.97</v>
      </c>
      <c r="H45" s="9"/>
      <c r="I45" s="4">
        <f t="shared" si="1"/>
        <v>5.9322599871433493E-3</v>
      </c>
    </row>
    <row r="46" spans="1:9" x14ac:dyDescent="0.25">
      <c r="A46" s="9" t="str">
        <f t="shared" si="0"/>
        <v>Owi Wijaya</v>
      </c>
      <c r="B46" s="1" t="s">
        <v>123</v>
      </c>
      <c r="C46" s="1" t="s">
        <v>124</v>
      </c>
      <c r="D46" s="2" t="s">
        <v>24</v>
      </c>
      <c r="E46" s="2" t="s">
        <v>125</v>
      </c>
      <c r="F46" s="9"/>
      <c r="G46" s="10">
        <v>1463.62</v>
      </c>
      <c r="H46" s="9"/>
      <c r="I46" s="4">
        <f t="shared" si="1"/>
        <v>1.6795122274760137E-2</v>
      </c>
    </row>
    <row r="47" spans="1:9" x14ac:dyDescent="0.25">
      <c r="A47" s="9" t="str">
        <f t="shared" si="0"/>
        <v>Owi Wijaya</v>
      </c>
      <c r="B47" s="1" t="s">
        <v>123</v>
      </c>
      <c r="C47" s="1" t="s">
        <v>124</v>
      </c>
      <c r="D47" s="2" t="s">
        <v>15</v>
      </c>
      <c r="E47" s="2" t="s">
        <v>125</v>
      </c>
      <c r="F47" s="9"/>
      <c r="G47" s="10">
        <v>1779.8599999999997</v>
      </c>
      <c r="H47" s="9"/>
      <c r="I47" s="4">
        <f t="shared" si="1"/>
        <v>2.042399415965522E-2</v>
      </c>
    </row>
    <row r="48" spans="1:9" x14ac:dyDescent="0.25">
      <c r="A48" s="9" t="str">
        <f t="shared" si="0"/>
        <v>Owi Wijaya</v>
      </c>
      <c r="B48" s="1" t="s">
        <v>21</v>
      </c>
      <c r="C48" s="1" t="s">
        <v>126</v>
      </c>
      <c r="D48" s="2" t="s">
        <v>104</v>
      </c>
      <c r="E48" s="2" t="s">
        <v>76</v>
      </c>
      <c r="F48" s="9"/>
      <c r="G48" s="10">
        <v>1115.46</v>
      </c>
      <c r="H48" s="9"/>
      <c r="I48" s="4">
        <f t="shared" si="1"/>
        <v>1.2799966584635319E-2</v>
      </c>
    </row>
    <row r="49" spans="1:9" x14ac:dyDescent="0.25">
      <c r="A49" s="9" t="str">
        <f t="shared" si="0"/>
        <v>Owi Wijaya</v>
      </c>
      <c r="B49" s="1" t="s">
        <v>127</v>
      </c>
      <c r="C49" s="1" t="s">
        <v>128</v>
      </c>
      <c r="D49" s="2" t="s">
        <v>13</v>
      </c>
      <c r="E49" s="2" t="s">
        <v>83</v>
      </c>
      <c r="F49" s="9"/>
      <c r="G49" s="10">
        <v>651</v>
      </c>
      <c r="H49" s="9"/>
      <c r="I49" s="4">
        <f t="shared" si="1"/>
        <v>7.4702618171853695E-3</v>
      </c>
    </row>
    <row r="50" spans="1:9" x14ac:dyDescent="0.25">
      <c r="A50" s="9" t="str">
        <f t="shared" si="0"/>
        <v>Owi Wijaya</v>
      </c>
      <c r="B50" s="1" t="s">
        <v>129</v>
      </c>
      <c r="C50" s="1" t="s">
        <v>130</v>
      </c>
      <c r="D50" s="2" t="s">
        <v>13</v>
      </c>
      <c r="E50" s="2" t="s">
        <v>83</v>
      </c>
      <c r="F50" s="9"/>
      <c r="G50" s="10">
        <v>466</v>
      </c>
      <c r="H50" s="9"/>
      <c r="I50" s="4">
        <f t="shared" si="1"/>
        <v>5.3473763545443653E-3</v>
      </c>
    </row>
    <row r="51" spans="1:9" x14ac:dyDescent="0.25">
      <c r="A51" s="9" t="str">
        <f t="shared" si="0"/>
        <v>Owi Wijaya</v>
      </c>
      <c r="B51" s="1" t="s">
        <v>131</v>
      </c>
      <c r="C51" s="1" t="s">
        <v>132</v>
      </c>
      <c r="D51" s="2" t="s">
        <v>13</v>
      </c>
      <c r="E51" s="2" t="s">
        <v>76</v>
      </c>
      <c r="F51" s="9"/>
      <c r="G51" s="10">
        <v>1388.61</v>
      </c>
      <c r="H51" s="9"/>
      <c r="I51" s="4">
        <f t="shared" si="1"/>
        <v>1.5934378282583372E-2</v>
      </c>
    </row>
    <row r="52" spans="1:9" x14ac:dyDescent="0.25">
      <c r="A52" s="9" t="str">
        <f t="shared" si="0"/>
        <v>Owi Wijaya</v>
      </c>
      <c r="B52" s="1" t="s">
        <v>133</v>
      </c>
      <c r="C52" s="1" t="s">
        <v>134</v>
      </c>
      <c r="D52" s="2" t="s">
        <v>13</v>
      </c>
      <c r="E52" s="2" t="s">
        <v>76</v>
      </c>
      <c r="F52" s="9"/>
      <c r="G52" s="10">
        <v>221.29</v>
      </c>
      <c r="H52" s="9"/>
      <c r="I52" s="4">
        <f t="shared" si="1"/>
        <v>2.5393152650152848E-3</v>
      </c>
    </row>
    <row r="53" spans="1:9" x14ac:dyDescent="0.25">
      <c r="A53" s="9" t="str">
        <f t="shared" si="0"/>
        <v>Owi Wijaya</v>
      </c>
      <c r="B53" s="1" t="s">
        <v>135</v>
      </c>
      <c r="C53" s="1" t="s">
        <v>136</v>
      </c>
      <c r="D53" s="2" t="s">
        <v>13</v>
      </c>
      <c r="E53" s="2" t="s">
        <v>76</v>
      </c>
      <c r="F53" s="9"/>
      <c r="G53" s="10">
        <v>764.4</v>
      </c>
      <c r="H53" s="9"/>
      <c r="I53" s="4">
        <f t="shared" si="1"/>
        <v>8.7715332305015291E-3</v>
      </c>
    </row>
    <row r="54" spans="1:9" x14ac:dyDescent="0.25">
      <c r="A54" s="9" t="str">
        <f t="shared" si="0"/>
        <v>Owi Wijaya</v>
      </c>
      <c r="B54" s="1" t="s">
        <v>137</v>
      </c>
      <c r="C54" s="1" t="s">
        <v>138</v>
      </c>
      <c r="D54" s="2" t="s">
        <v>13</v>
      </c>
      <c r="E54" s="2" t="s">
        <v>76</v>
      </c>
      <c r="F54" s="9"/>
      <c r="G54" s="10">
        <v>255</v>
      </c>
      <c r="H54" s="9"/>
      <c r="I54" s="4">
        <f t="shared" si="1"/>
        <v>2.9261394214781401E-3</v>
      </c>
    </row>
    <row r="55" spans="1:9" x14ac:dyDescent="0.25">
      <c r="A55" s="9" t="str">
        <f t="shared" si="0"/>
        <v>Owi Wijaya</v>
      </c>
      <c r="B55" s="1" t="s">
        <v>139</v>
      </c>
      <c r="C55" s="1" t="s">
        <v>140</v>
      </c>
      <c r="D55" s="2" t="s">
        <v>13</v>
      </c>
      <c r="E55" s="2" t="s">
        <v>76</v>
      </c>
      <c r="F55" s="9"/>
      <c r="G55" s="10">
        <v>200</v>
      </c>
      <c r="H55" s="9"/>
      <c r="I55" s="4">
        <f t="shared" si="1"/>
        <v>2.2950113109632469E-3</v>
      </c>
    </row>
    <row r="56" spans="1:9" x14ac:dyDescent="0.25">
      <c r="A56" s="9" t="str">
        <f t="shared" si="0"/>
        <v>Owi Wijaya</v>
      </c>
      <c r="B56" s="1" t="s">
        <v>141</v>
      </c>
      <c r="C56" s="1" t="s">
        <v>142</v>
      </c>
      <c r="D56" s="2" t="s">
        <v>13</v>
      </c>
      <c r="E56" s="2" t="s">
        <v>76</v>
      </c>
      <c r="F56" s="9"/>
      <c r="G56" s="10">
        <v>464.37</v>
      </c>
      <c r="H56" s="9"/>
      <c r="I56" s="4">
        <f t="shared" si="1"/>
        <v>5.3286720123600154E-3</v>
      </c>
    </row>
    <row r="57" spans="1:9" x14ac:dyDescent="0.25">
      <c r="A57" s="9" t="str">
        <f t="shared" si="0"/>
        <v>Owi Wijaya</v>
      </c>
      <c r="B57" s="1" t="s">
        <v>21</v>
      </c>
      <c r="C57" s="1" t="s">
        <v>143</v>
      </c>
      <c r="D57" s="2" t="s">
        <v>13</v>
      </c>
      <c r="E57" s="2" t="s">
        <v>76</v>
      </c>
      <c r="F57" s="9"/>
      <c r="G57" s="10">
        <v>515.79999999999995</v>
      </c>
      <c r="H57" s="9"/>
      <c r="I57" s="4">
        <f t="shared" si="1"/>
        <v>5.9188341709742135E-3</v>
      </c>
    </row>
    <row r="58" spans="1:9" x14ac:dyDescent="0.25">
      <c r="A58" s="9" t="str">
        <f t="shared" si="0"/>
        <v>Owi Wijaya</v>
      </c>
      <c r="B58" s="1" t="s">
        <v>21</v>
      </c>
      <c r="C58" s="1" t="s">
        <v>126</v>
      </c>
      <c r="D58" s="2" t="s">
        <v>13</v>
      </c>
      <c r="E58" s="2" t="s">
        <v>76</v>
      </c>
      <c r="F58" s="9"/>
      <c r="G58" s="10">
        <v>1891.43</v>
      </c>
      <c r="H58" s="9"/>
      <c r="I58" s="4">
        <f t="shared" si="1"/>
        <v>2.1704266219476073E-2</v>
      </c>
    </row>
    <row r="59" spans="1:9" x14ac:dyDescent="0.25">
      <c r="A59" s="9" t="str">
        <f t="shared" si="0"/>
        <v>Owi Wijaya</v>
      </c>
      <c r="B59" s="1" t="s">
        <v>21</v>
      </c>
      <c r="C59" s="1" t="s">
        <v>126</v>
      </c>
      <c r="D59" s="2" t="s">
        <v>24</v>
      </c>
      <c r="E59" s="2" t="s">
        <v>76</v>
      </c>
      <c r="F59" s="9"/>
      <c r="G59" s="10">
        <v>1328.48</v>
      </c>
      <c r="H59" s="9"/>
      <c r="I59" s="4">
        <f t="shared" si="1"/>
        <v>1.5244383131942272E-2</v>
      </c>
    </row>
    <row r="60" spans="1:9" x14ac:dyDescent="0.25">
      <c r="A60" s="9" t="str">
        <f t="shared" si="0"/>
        <v>Owi Wijaya</v>
      </c>
      <c r="B60" s="1" t="s">
        <v>21</v>
      </c>
      <c r="C60" s="1" t="s">
        <v>126</v>
      </c>
      <c r="D60" s="2" t="s">
        <v>15</v>
      </c>
      <c r="E60" s="2" t="s">
        <v>76</v>
      </c>
      <c r="F60" s="9"/>
      <c r="G60" s="10">
        <v>1328.28</v>
      </c>
      <c r="H60" s="9"/>
      <c r="I60" s="4">
        <f t="shared" si="1"/>
        <v>1.5242088120631308E-2</v>
      </c>
    </row>
    <row r="61" spans="1:9" x14ac:dyDescent="0.25">
      <c r="A61" s="11" t="s">
        <v>35</v>
      </c>
      <c r="B61" s="11"/>
      <c r="C61" s="11"/>
      <c r="D61" s="12"/>
      <c r="E61" s="12"/>
      <c r="F61" s="11"/>
      <c r="G61" s="13">
        <f>SUM(G7:G60)</f>
        <v>87145.539999999964</v>
      </c>
      <c r="H61" s="11"/>
      <c r="I61" s="15">
        <f>SUM(I6:I60)</f>
        <v>1</v>
      </c>
    </row>
  </sheetData>
  <mergeCells count="1">
    <mergeCell ref="A2:J2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2:J65"/>
  <sheetViews>
    <sheetView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65" t="s">
        <v>188</v>
      </c>
      <c r="B2" s="65"/>
      <c r="C2" s="65"/>
      <c r="D2" s="65"/>
      <c r="E2" s="65"/>
      <c r="F2" s="65"/>
      <c r="G2" s="65"/>
      <c r="H2" s="65"/>
      <c r="I2" s="65"/>
      <c r="J2" s="65"/>
    </row>
    <row r="4" spans="1:10" x14ac:dyDescent="0.25">
      <c r="G4" s="3"/>
      <c r="H4" s="3"/>
    </row>
    <row r="5" spans="1:10" s="9" customFormat="1" ht="18.75" x14ac:dyDescent="0.3">
      <c r="A5" s="5" t="s">
        <v>187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155</v>
      </c>
      <c r="B6" s="1" t="s">
        <v>79</v>
      </c>
      <c r="C6" s="1" t="s">
        <v>80</v>
      </c>
      <c r="D6" s="2" t="s">
        <v>24</v>
      </c>
      <c r="E6" s="2" t="s">
        <v>73</v>
      </c>
      <c r="F6" s="9"/>
      <c r="G6" s="10">
        <v>137.53</v>
      </c>
      <c r="H6" s="9"/>
      <c r="I6" s="4">
        <f t="shared" ref="I6:I42" si="0">G6/$G$43</f>
        <v>5.5495675892985874E-4</v>
      </c>
    </row>
    <row r="7" spans="1:10" x14ac:dyDescent="0.25">
      <c r="A7" s="9" t="s">
        <v>155</v>
      </c>
      <c r="B7" s="1" t="s">
        <v>96</v>
      </c>
      <c r="C7" s="1" t="s">
        <v>97</v>
      </c>
      <c r="D7" s="2" t="s">
        <v>24</v>
      </c>
      <c r="E7" s="2" t="s">
        <v>98</v>
      </c>
      <c r="F7" s="9"/>
      <c r="G7" s="10">
        <v>5157.3999999999996</v>
      </c>
      <c r="H7" s="9"/>
      <c r="I7" s="4">
        <f t="shared" si="0"/>
        <v>2.0810979339088584E-2</v>
      </c>
    </row>
    <row r="8" spans="1:10" x14ac:dyDescent="0.25">
      <c r="A8" s="9" t="s">
        <v>155</v>
      </c>
      <c r="B8" s="1" t="s">
        <v>105</v>
      </c>
      <c r="C8" s="1" t="s">
        <v>106</v>
      </c>
      <c r="D8" s="2" t="s">
        <v>24</v>
      </c>
      <c r="E8" s="2" t="s">
        <v>76</v>
      </c>
      <c r="F8" s="9"/>
      <c r="G8" s="10">
        <v>500</v>
      </c>
      <c r="H8" s="9"/>
      <c r="I8" s="4">
        <f t="shared" si="0"/>
        <v>2.0175843776988971E-3</v>
      </c>
    </row>
    <row r="9" spans="1:10" x14ac:dyDescent="0.25">
      <c r="A9" s="9" t="s">
        <v>155</v>
      </c>
      <c r="B9" s="1" t="s">
        <v>117</v>
      </c>
      <c r="C9" s="1" t="s">
        <v>118</v>
      </c>
      <c r="D9" s="2" t="s">
        <v>24</v>
      </c>
      <c r="E9" s="2" t="s">
        <v>76</v>
      </c>
      <c r="F9" s="9"/>
      <c r="G9" s="10">
        <v>250</v>
      </c>
      <c r="H9" s="9"/>
      <c r="I9" s="4">
        <f t="shared" si="0"/>
        <v>1.0087921888494486E-3</v>
      </c>
    </row>
    <row r="10" spans="1:10" x14ac:dyDescent="0.25">
      <c r="A10" s="9" t="s">
        <v>155</v>
      </c>
      <c r="B10" s="1" t="s">
        <v>121</v>
      </c>
      <c r="C10" s="1" t="s">
        <v>122</v>
      </c>
      <c r="D10" s="2" t="s">
        <v>24</v>
      </c>
      <c r="E10" s="2" t="s">
        <v>98</v>
      </c>
      <c r="F10" s="9"/>
      <c r="G10" s="10">
        <v>3183.98</v>
      </c>
      <c r="H10" s="9"/>
      <c r="I10" s="4">
        <f t="shared" si="0"/>
        <v>1.284789661381147E-2</v>
      </c>
    </row>
    <row r="11" spans="1:10" x14ac:dyDescent="0.25">
      <c r="A11" s="9" t="s">
        <v>155</v>
      </c>
      <c r="B11" s="1" t="s">
        <v>133</v>
      </c>
      <c r="C11" s="1" t="s">
        <v>145</v>
      </c>
      <c r="D11" s="2" t="s">
        <v>24</v>
      </c>
      <c r="E11" s="2" t="s">
        <v>76</v>
      </c>
      <c r="F11" s="9"/>
      <c r="G11" s="10">
        <v>126.99</v>
      </c>
      <c r="H11" s="9"/>
      <c r="I11" s="4">
        <f t="shared" si="0"/>
        <v>5.124260802479659E-4</v>
      </c>
    </row>
    <row r="12" spans="1:10" x14ac:dyDescent="0.25">
      <c r="A12" s="9" t="s">
        <v>155</v>
      </c>
      <c r="B12" s="1" t="s">
        <v>21</v>
      </c>
      <c r="C12" s="1" t="s">
        <v>156</v>
      </c>
      <c r="D12" s="2" t="s">
        <v>24</v>
      </c>
      <c r="E12" s="2" t="s">
        <v>76</v>
      </c>
      <c r="F12" s="9"/>
      <c r="G12" s="10">
        <v>754.58</v>
      </c>
      <c r="H12" s="9"/>
      <c r="I12" s="4">
        <f t="shared" si="0"/>
        <v>3.0448576394480681E-3</v>
      </c>
    </row>
    <row r="13" spans="1:10" x14ac:dyDescent="0.25">
      <c r="A13" s="9" t="s">
        <v>155</v>
      </c>
      <c r="B13" s="1" t="s">
        <v>71</v>
      </c>
      <c r="C13" s="1" t="s">
        <v>72</v>
      </c>
      <c r="D13" s="2" t="s">
        <v>24</v>
      </c>
      <c r="E13" s="2" t="s">
        <v>73</v>
      </c>
      <c r="F13" s="9"/>
      <c r="G13" s="10">
        <v>6722.26</v>
      </c>
      <c r="H13" s="9"/>
      <c r="I13" s="4">
        <f t="shared" si="0"/>
        <v>2.7125453517660381E-2</v>
      </c>
    </row>
    <row r="14" spans="1:10" x14ac:dyDescent="0.25">
      <c r="A14" s="9" t="s">
        <v>155</v>
      </c>
      <c r="B14" s="1" t="s">
        <v>77</v>
      </c>
      <c r="C14" s="1" t="s">
        <v>78</v>
      </c>
      <c r="D14" s="2" t="s">
        <v>24</v>
      </c>
      <c r="E14" s="2" t="s">
        <v>76</v>
      </c>
      <c r="F14" s="9"/>
      <c r="G14" s="10">
        <v>5152.29</v>
      </c>
      <c r="H14" s="9"/>
      <c r="I14" s="4">
        <f t="shared" si="0"/>
        <v>2.0790359626748502E-2</v>
      </c>
    </row>
    <row r="15" spans="1:10" x14ac:dyDescent="0.25">
      <c r="A15" s="9" t="s">
        <v>155</v>
      </c>
      <c r="B15" s="1" t="s">
        <v>81</v>
      </c>
      <c r="C15" s="1" t="s">
        <v>82</v>
      </c>
      <c r="D15" s="2" t="s">
        <v>24</v>
      </c>
      <c r="E15" s="2" t="s">
        <v>157</v>
      </c>
      <c r="F15" s="9"/>
      <c r="G15" s="10">
        <v>3188</v>
      </c>
      <c r="H15" s="9"/>
      <c r="I15" s="4">
        <f t="shared" si="0"/>
        <v>1.2864117992208169E-2</v>
      </c>
    </row>
    <row r="16" spans="1:10" x14ac:dyDescent="0.25">
      <c r="A16" s="9" t="s">
        <v>155</v>
      </c>
      <c r="B16" s="1" t="s">
        <v>158</v>
      </c>
      <c r="C16" s="1" t="s">
        <v>87</v>
      </c>
      <c r="D16" s="2" t="s">
        <v>24</v>
      </c>
      <c r="E16" s="2" t="s">
        <v>76</v>
      </c>
      <c r="F16" s="9"/>
      <c r="G16" s="10">
        <v>2043.4899999999998</v>
      </c>
      <c r="H16" s="9"/>
      <c r="I16" s="4">
        <f t="shared" si="0"/>
        <v>8.2458269999678389E-3</v>
      </c>
    </row>
    <row r="17" spans="1:9" x14ac:dyDescent="0.25">
      <c r="A17" s="9" t="s">
        <v>155</v>
      </c>
      <c r="B17" s="1" t="s">
        <v>99</v>
      </c>
      <c r="C17" s="1" t="s">
        <v>100</v>
      </c>
      <c r="D17" s="2" t="s">
        <v>24</v>
      </c>
      <c r="E17" s="2" t="s">
        <v>159</v>
      </c>
      <c r="F17" s="9"/>
      <c r="G17" s="10">
        <v>78109.679999999993</v>
      </c>
      <c r="H17" s="9"/>
      <c r="I17" s="4">
        <f t="shared" si="0"/>
        <v>0.31518574023011997</v>
      </c>
    </row>
    <row r="18" spans="1:9" x14ac:dyDescent="0.25">
      <c r="A18" s="9" t="s">
        <v>155</v>
      </c>
      <c r="B18" s="1" t="s">
        <v>107</v>
      </c>
      <c r="C18" s="1" t="s">
        <v>108</v>
      </c>
      <c r="D18" s="2" t="s">
        <v>24</v>
      </c>
      <c r="E18" s="2" t="s">
        <v>157</v>
      </c>
      <c r="F18" s="9"/>
      <c r="G18" s="10">
        <v>250</v>
      </c>
      <c r="H18" s="9"/>
      <c r="I18" s="4">
        <f t="shared" si="0"/>
        <v>1.0087921888494486E-3</v>
      </c>
    </row>
    <row r="19" spans="1:9" x14ac:dyDescent="0.25">
      <c r="A19" s="9" t="s">
        <v>155</v>
      </c>
      <c r="B19" s="1" t="s">
        <v>109</v>
      </c>
      <c r="C19" s="1" t="s">
        <v>110</v>
      </c>
      <c r="D19" s="2" t="s">
        <v>24</v>
      </c>
      <c r="E19" s="2" t="s">
        <v>157</v>
      </c>
      <c r="F19" s="9"/>
      <c r="G19" s="10">
        <v>250</v>
      </c>
      <c r="H19" s="9"/>
      <c r="I19" s="4">
        <f t="shared" si="0"/>
        <v>1.0087921888494486E-3</v>
      </c>
    </row>
    <row r="20" spans="1:9" x14ac:dyDescent="0.25">
      <c r="A20" s="9" t="s">
        <v>155</v>
      </c>
      <c r="B20" s="1" t="s">
        <v>111</v>
      </c>
      <c r="C20" s="1" t="s">
        <v>112</v>
      </c>
      <c r="D20" s="2" t="s">
        <v>24</v>
      </c>
      <c r="E20" s="2" t="s">
        <v>157</v>
      </c>
      <c r="F20" s="9"/>
      <c r="G20" s="10">
        <v>250</v>
      </c>
      <c r="H20" s="9"/>
      <c r="I20" s="4">
        <f t="shared" si="0"/>
        <v>1.0087921888494486E-3</v>
      </c>
    </row>
    <row r="21" spans="1:9" x14ac:dyDescent="0.25">
      <c r="A21" s="9" t="s">
        <v>155</v>
      </c>
      <c r="B21" s="1" t="s">
        <v>115</v>
      </c>
      <c r="C21" s="1" t="s">
        <v>116</v>
      </c>
      <c r="D21" s="2" t="s">
        <v>24</v>
      </c>
      <c r="E21" s="2" t="s">
        <v>157</v>
      </c>
      <c r="F21" s="9"/>
      <c r="G21" s="10">
        <v>250</v>
      </c>
      <c r="H21" s="9"/>
      <c r="I21" s="4">
        <f t="shared" si="0"/>
        <v>1.0087921888494486E-3</v>
      </c>
    </row>
    <row r="22" spans="1:9" x14ac:dyDescent="0.25">
      <c r="A22" s="9" t="s">
        <v>155</v>
      </c>
      <c r="B22" s="1" t="s">
        <v>149</v>
      </c>
      <c r="C22" s="1" t="s">
        <v>150</v>
      </c>
      <c r="D22" s="2" t="s">
        <v>24</v>
      </c>
      <c r="E22" s="2" t="s">
        <v>151</v>
      </c>
      <c r="F22" s="9"/>
      <c r="G22" s="10">
        <v>10800</v>
      </c>
      <c r="H22" s="9"/>
      <c r="I22" s="4">
        <f t="shared" si="0"/>
        <v>4.3579822558296184E-2</v>
      </c>
    </row>
    <row r="23" spans="1:9" x14ac:dyDescent="0.25">
      <c r="A23" s="9" t="s">
        <v>155</v>
      </c>
      <c r="B23" s="1" t="s">
        <v>127</v>
      </c>
      <c r="C23" s="1" t="s">
        <v>128</v>
      </c>
      <c r="D23" s="2" t="s">
        <v>24</v>
      </c>
      <c r="E23" s="2" t="s">
        <v>157</v>
      </c>
      <c r="F23" s="9"/>
      <c r="G23" s="10">
        <v>1500</v>
      </c>
      <c r="H23" s="9"/>
      <c r="I23" s="4">
        <f t="shared" si="0"/>
        <v>6.0527531330966918E-3</v>
      </c>
    </row>
    <row r="24" spans="1:9" x14ac:dyDescent="0.25">
      <c r="A24" s="9" t="s">
        <v>160</v>
      </c>
      <c r="B24" s="1" t="s">
        <v>79</v>
      </c>
      <c r="C24" s="1" t="s">
        <v>80</v>
      </c>
      <c r="D24" s="2" t="s">
        <v>15</v>
      </c>
      <c r="E24" s="2" t="s">
        <v>73</v>
      </c>
      <c r="F24" s="9"/>
      <c r="G24" s="10">
        <v>504.76</v>
      </c>
      <c r="H24" s="9"/>
      <c r="I24" s="4">
        <f t="shared" si="0"/>
        <v>2.0367917809745906E-3</v>
      </c>
    </row>
    <row r="25" spans="1:9" x14ac:dyDescent="0.25">
      <c r="A25" s="9" t="s">
        <v>160</v>
      </c>
      <c r="B25" s="1" t="s">
        <v>96</v>
      </c>
      <c r="C25" s="1" t="s">
        <v>97</v>
      </c>
      <c r="D25" s="2" t="s">
        <v>15</v>
      </c>
      <c r="E25" s="2" t="s">
        <v>98</v>
      </c>
      <c r="F25" s="9"/>
      <c r="G25" s="10">
        <v>5702.68</v>
      </c>
      <c r="H25" s="9"/>
      <c r="I25" s="4">
        <f t="shared" si="0"/>
        <v>2.3011276158031897E-2</v>
      </c>
    </row>
    <row r="26" spans="1:9" x14ac:dyDescent="0.25">
      <c r="A26" s="9" t="s">
        <v>160</v>
      </c>
      <c r="B26" s="1" t="s">
        <v>105</v>
      </c>
      <c r="C26" s="1" t="s">
        <v>106</v>
      </c>
      <c r="D26" s="2" t="s">
        <v>15</v>
      </c>
      <c r="E26" s="2" t="s">
        <v>76</v>
      </c>
      <c r="F26" s="9"/>
      <c r="G26" s="10">
        <v>700</v>
      </c>
      <c r="H26" s="9"/>
      <c r="I26" s="4">
        <f t="shared" si="0"/>
        <v>2.8246181287784563E-3</v>
      </c>
    </row>
    <row r="27" spans="1:9" x14ac:dyDescent="0.25">
      <c r="A27" s="9" t="s">
        <v>160</v>
      </c>
      <c r="B27" s="1" t="s">
        <v>117</v>
      </c>
      <c r="C27" s="1" t="s">
        <v>118</v>
      </c>
      <c r="D27" s="2" t="s">
        <v>15</v>
      </c>
      <c r="E27" s="2" t="s">
        <v>76</v>
      </c>
      <c r="F27" s="9"/>
      <c r="G27" s="10">
        <v>300</v>
      </c>
      <c r="H27" s="9"/>
      <c r="I27" s="4">
        <f t="shared" si="0"/>
        <v>1.2105506266193384E-3</v>
      </c>
    </row>
    <row r="28" spans="1:9" x14ac:dyDescent="0.25">
      <c r="A28" s="9" t="s">
        <v>160</v>
      </c>
      <c r="B28" s="1" t="s">
        <v>121</v>
      </c>
      <c r="C28" s="1" t="s">
        <v>122</v>
      </c>
      <c r="D28" s="2" t="s">
        <v>15</v>
      </c>
      <c r="E28" s="2" t="s">
        <v>98</v>
      </c>
      <c r="F28" s="9"/>
      <c r="G28" s="10">
        <v>3500</v>
      </c>
      <c r="H28" s="9"/>
      <c r="I28" s="4">
        <f t="shared" si="0"/>
        <v>1.4123090643892281E-2</v>
      </c>
    </row>
    <row r="29" spans="1:9" x14ac:dyDescent="0.25">
      <c r="A29" s="9" t="s">
        <v>160</v>
      </c>
      <c r="B29" s="1" t="s">
        <v>133</v>
      </c>
      <c r="C29" s="1" t="s">
        <v>161</v>
      </c>
      <c r="D29" s="2" t="s">
        <v>15</v>
      </c>
      <c r="E29" s="2" t="s">
        <v>76</v>
      </c>
      <c r="F29" s="9"/>
      <c r="G29" s="10">
        <v>512.71</v>
      </c>
      <c r="H29" s="9"/>
      <c r="I29" s="4">
        <f t="shared" si="0"/>
        <v>2.0688713725800032E-3</v>
      </c>
    </row>
    <row r="30" spans="1:9" x14ac:dyDescent="0.25">
      <c r="A30" s="9" t="s">
        <v>160</v>
      </c>
      <c r="B30" s="1" t="s">
        <v>21</v>
      </c>
      <c r="C30" s="1" t="s">
        <v>156</v>
      </c>
      <c r="D30" s="2" t="s">
        <v>15</v>
      </c>
      <c r="E30" s="2" t="s">
        <v>76</v>
      </c>
      <c r="F30" s="9"/>
      <c r="G30" s="10">
        <v>754.58</v>
      </c>
      <c r="H30" s="9"/>
      <c r="I30" s="4">
        <f t="shared" si="0"/>
        <v>3.0448576394480681E-3</v>
      </c>
    </row>
    <row r="31" spans="1:9" x14ac:dyDescent="0.25">
      <c r="A31" s="9" t="s">
        <v>160</v>
      </c>
      <c r="B31" s="1" t="s">
        <v>69</v>
      </c>
      <c r="C31" s="1" t="s">
        <v>70</v>
      </c>
      <c r="D31" s="2" t="s">
        <v>15</v>
      </c>
      <c r="E31" s="2" t="s">
        <v>162</v>
      </c>
      <c r="F31" s="9"/>
      <c r="H31" s="9"/>
      <c r="I31" s="4">
        <f t="shared" si="0"/>
        <v>0</v>
      </c>
    </row>
    <row r="32" spans="1:9" x14ac:dyDescent="0.25">
      <c r="A32" s="9" t="s">
        <v>160</v>
      </c>
      <c r="B32" s="1" t="s">
        <v>71</v>
      </c>
      <c r="C32" s="1" t="s">
        <v>72</v>
      </c>
      <c r="D32" s="2" t="s">
        <v>15</v>
      </c>
      <c r="E32" s="2" t="s">
        <v>73</v>
      </c>
      <c r="F32" s="9"/>
      <c r="G32" s="10">
        <v>5672.9500000000007</v>
      </c>
      <c r="H32" s="9"/>
      <c r="I32" s="4">
        <f t="shared" si="0"/>
        <v>2.2891310590933921E-2</v>
      </c>
    </row>
    <row r="33" spans="1:9" x14ac:dyDescent="0.25">
      <c r="A33" s="9" t="s">
        <v>160</v>
      </c>
      <c r="B33" s="1" t="s">
        <v>77</v>
      </c>
      <c r="C33" s="1" t="s">
        <v>78</v>
      </c>
      <c r="D33" s="2" t="s">
        <v>15</v>
      </c>
      <c r="E33" s="2" t="s">
        <v>76</v>
      </c>
      <c r="F33" s="9"/>
      <c r="G33" s="10">
        <v>4918.54</v>
      </c>
      <c r="H33" s="9"/>
      <c r="I33" s="4">
        <f t="shared" si="0"/>
        <v>1.9847138930174268E-2</v>
      </c>
    </row>
    <row r="34" spans="1:9" x14ac:dyDescent="0.25">
      <c r="A34" s="9" t="s">
        <v>160</v>
      </c>
      <c r="B34" s="1" t="s">
        <v>81</v>
      </c>
      <c r="C34" s="1" t="s">
        <v>82</v>
      </c>
      <c r="D34" s="2" t="s">
        <v>15</v>
      </c>
      <c r="E34" s="2" t="s">
        <v>163</v>
      </c>
      <c r="F34" s="9"/>
      <c r="G34" s="10">
        <v>1600</v>
      </c>
      <c r="H34" s="9"/>
      <c r="I34" s="4">
        <f t="shared" si="0"/>
        <v>6.4562700086364709E-3</v>
      </c>
    </row>
    <row r="35" spans="1:9" x14ac:dyDescent="0.25">
      <c r="A35" s="9" t="s">
        <v>160</v>
      </c>
      <c r="B35" s="1" t="s">
        <v>158</v>
      </c>
      <c r="C35" s="1" t="s">
        <v>87</v>
      </c>
      <c r="D35" s="2" t="s">
        <v>15</v>
      </c>
      <c r="E35" s="2" t="s">
        <v>76</v>
      </c>
      <c r="F35" s="9"/>
      <c r="G35" s="10">
        <v>3106.38</v>
      </c>
      <c r="H35" s="9"/>
      <c r="I35" s="4">
        <f t="shared" si="0"/>
        <v>1.2534767518392602E-2</v>
      </c>
    </row>
    <row r="36" spans="1:9" x14ac:dyDescent="0.25">
      <c r="A36" s="9" t="s">
        <v>160</v>
      </c>
      <c r="B36" s="1" t="s">
        <v>99</v>
      </c>
      <c r="C36" s="1" t="s">
        <v>100</v>
      </c>
      <c r="D36" s="2" t="s">
        <v>15</v>
      </c>
      <c r="E36" s="2" t="s">
        <v>162</v>
      </c>
      <c r="F36" s="9"/>
      <c r="G36" s="10">
        <v>97892.700000000012</v>
      </c>
      <c r="H36" s="9"/>
      <c r="I36" s="4">
        <f t="shared" si="0"/>
        <v>0.39501356442152974</v>
      </c>
    </row>
    <row r="37" spans="1:9" x14ac:dyDescent="0.25">
      <c r="A37" s="9" t="s">
        <v>160</v>
      </c>
      <c r="B37" s="1" t="s">
        <v>107</v>
      </c>
      <c r="C37" s="1" t="s">
        <v>108</v>
      </c>
      <c r="D37" s="2" t="s">
        <v>15</v>
      </c>
      <c r="E37" s="2" t="s">
        <v>163</v>
      </c>
      <c r="F37" s="9"/>
      <c r="G37" s="10">
        <v>300</v>
      </c>
      <c r="H37" s="9"/>
      <c r="I37" s="4">
        <f t="shared" si="0"/>
        <v>1.2105506266193384E-3</v>
      </c>
    </row>
    <row r="38" spans="1:9" x14ac:dyDescent="0.25">
      <c r="A38" s="9" t="s">
        <v>160</v>
      </c>
      <c r="B38" s="1" t="s">
        <v>109</v>
      </c>
      <c r="C38" s="1" t="s">
        <v>110</v>
      </c>
      <c r="D38" s="2" t="s">
        <v>15</v>
      </c>
      <c r="E38" s="2" t="s">
        <v>163</v>
      </c>
      <c r="F38" s="9"/>
      <c r="G38" s="10">
        <v>300</v>
      </c>
      <c r="H38" s="9"/>
      <c r="I38" s="4">
        <f t="shared" si="0"/>
        <v>1.2105506266193384E-3</v>
      </c>
    </row>
    <row r="39" spans="1:9" x14ac:dyDescent="0.25">
      <c r="A39" s="9" t="s">
        <v>160</v>
      </c>
      <c r="B39" s="1" t="s">
        <v>111</v>
      </c>
      <c r="C39" s="1" t="s">
        <v>112</v>
      </c>
      <c r="D39" s="2" t="s">
        <v>15</v>
      </c>
      <c r="E39" s="2" t="s">
        <v>163</v>
      </c>
      <c r="F39" s="9"/>
      <c r="G39" s="10">
        <v>300</v>
      </c>
      <c r="H39" s="9"/>
      <c r="I39" s="4">
        <f t="shared" si="0"/>
        <v>1.2105506266193384E-3</v>
      </c>
    </row>
    <row r="40" spans="1:9" x14ac:dyDescent="0.25">
      <c r="A40" s="9" t="s">
        <v>160</v>
      </c>
      <c r="B40" s="1" t="s">
        <v>115</v>
      </c>
      <c r="C40" s="1" t="s">
        <v>116</v>
      </c>
      <c r="D40" s="2" t="s">
        <v>15</v>
      </c>
      <c r="E40" s="2" t="s">
        <v>163</v>
      </c>
      <c r="F40" s="9"/>
      <c r="G40" s="10">
        <v>300</v>
      </c>
      <c r="H40" s="9"/>
      <c r="I40" s="4">
        <f t="shared" si="0"/>
        <v>1.2105506266193384E-3</v>
      </c>
    </row>
    <row r="41" spans="1:9" x14ac:dyDescent="0.25">
      <c r="A41" s="9" t="s">
        <v>160</v>
      </c>
      <c r="B41" s="1" t="s">
        <v>127</v>
      </c>
      <c r="C41" s="1" t="s">
        <v>128</v>
      </c>
      <c r="D41" s="2" t="s">
        <v>15</v>
      </c>
      <c r="E41" s="2" t="s">
        <v>163</v>
      </c>
      <c r="F41" s="9"/>
      <c r="G41" s="10">
        <v>2346.61</v>
      </c>
      <c r="H41" s="9"/>
      <c r="I41" s="4">
        <f t="shared" si="0"/>
        <v>9.46896735310402E-3</v>
      </c>
    </row>
    <row r="42" spans="1:9" x14ac:dyDescent="0.25">
      <c r="A42" s="9" t="s">
        <v>160</v>
      </c>
      <c r="B42" s="1" t="s">
        <v>129</v>
      </c>
      <c r="C42" s="1" t="s">
        <v>130</v>
      </c>
      <c r="D42" s="2" t="s">
        <v>15</v>
      </c>
      <c r="E42" s="2" t="s">
        <v>163</v>
      </c>
      <c r="F42" s="9"/>
      <c r="G42" s="10">
        <v>483</v>
      </c>
      <c r="H42" s="9"/>
      <c r="I42" s="4">
        <f t="shared" si="0"/>
        <v>1.9489865088571348E-3</v>
      </c>
    </row>
    <row r="43" spans="1:9" x14ac:dyDescent="0.25">
      <c r="A43" s="11" t="s">
        <v>35</v>
      </c>
      <c r="B43" s="11"/>
      <c r="C43" s="11"/>
      <c r="D43" s="12"/>
      <c r="E43" s="12"/>
      <c r="F43" s="11"/>
      <c r="G43" s="13">
        <f>SUM(G6:G42)</f>
        <v>247821.11000000002</v>
      </c>
      <c r="H43" s="11"/>
      <c r="I43" s="15">
        <f>SUM(I6:I42)</f>
        <v>1.0000000000000002</v>
      </c>
    </row>
    <row r="44" spans="1:9" x14ac:dyDescent="0.25">
      <c r="A44" s="9"/>
      <c r="F44" s="9"/>
      <c r="H44" s="9"/>
    </row>
    <row r="45" spans="1:9" x14ac:dyDescent="0.25">
      <c r="A45" s="9"/>
      <c r="B45"/>
      <c r="C45"/>
      <c r="D45" s="29"/>
      <c r="E45" s="29"/>
      <c r="F45" s="30"/>
      <c r="G45" s="30"/>
      <c r="H45" s="31"/>
    </row>
    <row r="46" spans="1:9" x14ac:dyDescent="0.25">
      <c r="A46" s="9"/>
      <c r="B46"/>
      <c r="C46"/>
      <c r="D46" s="29"/>
      <c r="E46" s="29"/>
      <c r="F46" s="30"/>
      <c r="G46" s="30"/>
      <c r="H46" s="31"/>
    </row>
    <row r="47" spans="1:9" x14ac:dyDescent="0.25">
      <c r="A47" s="32"/>
      <c r="B47"/>
      <c r="C47"/>
      <c r="D47" s="29"/>
      <c r="E47" s="29"/>
      <c r="F47" s="30"/>
      <c r="G47" s="30"/>
      <c r="H47" s="31"/>
    </row>
    <row r="48" spans="1:9" x14ac:dyDescent="0.25">
      <c r="B48"/>
      <c r="C48"/>
      <c r="D48" s="29"/>
      <c r="E48" s="29"/>
      <c r="F48" s="30"/>
      <c r="G48" s="30"/>
      <c r="H48" s="31"/>
    </row>
    <row r="49" spans="1:8" x14ac:dyDescent="0.25">
      <c r="B49"/>
      <c r="C49"/>
      <c r="D49" s="29"/>
      <c r="E49" s="29"/>
      <c r="F49" s="30"/>
      <c r="G49" s="30"/>
      <c r="H49" s="31"/>
    </row>
    <row r="50" spans="1:8" x14ac:dyDescent="0.25">
      <c r="B50"/>
      <c r="C50"/>
      <c r="D50" s="29"/>
      <c r="E50" s="29"/>
      <c r="F50" s="30"/>
      <c r="G50" s="30"/>
      <c r="H50" s="31"/>
    </row>
    <row r="54" spans="1:8" x14ac:dyDescent="0.25">
      <c r="B54" s="34"/>
      <c r="C54" s="34"/>
    </row>
    <row r="55" spans="1:8" x14ac:dyDescent="0.25">
      <c r="A55" s="35"/>
      <c r="B55" s="36"/>
      <c r="C55" s="37"/>
    </row>
    <row r="56" spans="1:8" x14ac:dyDescent="0.25">
      <c r="A56" s="35"/>
      <c r="B56" s="36"/>
      <c r="C56" s="37"/>
    </row>
    <row r="57" spans="1:8" x14ac:dyDescent="0.25">
      <c r="A57" s="35"/>
      <c r="B57" s="36"/>
      <c r="C57" s="37"/>
    </row>
    <row r="58" spans="1:8" x14ac:dyDescent="0.25">
      <c r="A58" s="35"/>
      <c r="B58" s="36"/>
      <c r="C58" s="37"/>
    </row>
    <row r="59" spans="1:8" x14ac:dyDescent="0.25">
      <c r="A59" s="35"/>
      <c r="B59" s="36"/>
      <c r="C59" s="37"/>
    </row>
    <row r="60" spans="1:8" x14ac:dyDescent="0.25">
      <c r="A60" s="35"/>
      <c r="B60" s="36"/>
      <c r="C60" s="37"/>
    </row>
    <row r="61" spans="1:8" x14ac:dyDescent="0.25">
      <c r="A61" s="35"/>
      <c r="B61" s="36"/>
      <c r="C61" s="37"/>
    </row>
    <row r="62" spans="1:8" x14ac:dyDescent="0.25">
      <c r="A62" s="35"/>
      <c r="B62" s="36"/>
      <c r="C62" s="37"/>
    </row>
    <row r="63" spans="1:8" x14ac:dyDescent="0.25">
      <c r="A63" s="35"/>
      <c r="B63" s="36"/>
      <c r="C63" s="37"/>
      <c r="D63" s="38"/>
    </row>
    <row r="64" spans="1:8" x14ac:dyDescent="0.25">
      <c r="A64" s="35"/>
      <c r="B64" s="36"/>
      <c r="C64" s="37"/>
    </row>
    <row r="65" spans="3:4" x14ac:dyDescent="0.25">
      <c r="C65" s="39"/>
      <c r="D65" s="38"/>
    </row>
  </sheetData>
  <mergeCells count="1">
    <mergeCell ref="A2:J2"/>
  </mergeCell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J16"/>
  <sheetViews>
    <sheetView topLeftCell="A4" workbookViewId="0">
      <pane xSplit="2" ySplit="2" topLeftCell="C6" activePane="bottomRight" state="frozen"/>
      <selection activeCell="A4" sqref="A4"/>
      <selection pane="topRight" activeCell="C4" sqref="C4"/>
      <selection pane="bottomLeft" activeCell="A6" sqref="A6"/>
      <selection pane="bottomRight" activeCell="A17" sqref="A17:XFD115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33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65" t="s">
        <v>188</v>
      </c>
      <c r="B2" s="65"/>
      <c r="C2" s="65"/>
      <c r="D2" s="65"/>
      <c r="E2" s="65"/>
      <c r="F2" s="65"/>
      <c r="G2" s="65"/>
      <c r="H2" s="65"/>
      <c r="I2" s="65"/>
      <c r="J2" s="65"/>
    </row>
    <row r="4" spans="1:10" x14ac:dyDescent="0.25">
      <c r="G4" s="3"/>
      <c r="H4" s="3"/>
    </row>
    <row r="5" spans="1:10" s="9" customFormat="1" ht="18.75" x14ac:dyDescent="0.3">
      <c r="A5" s="5" t="s">
        <v>187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 t="s">
        <v>164</v>
      </c>
      <c r="B6" s="1" t="s">
        <v>165</v>
      </c>
      <c r="C6" s="1" t="s">
        <v>166</v>
      </c>
      <c r="D6" s="2" t="s">
        <v>13</v>
      </c>
      <c r="E6" s="2" t="s">
        <v>76</v>
      </c>
      <c r="F6" s="9"/>
      <c r="G6" s="10">
        <v>943.01</v>
      </c>
      <c r="H6" s="9"/>
      <c r="I6" s="4">
        <f>G6/$G$16</f>
        <v>1.0674639092355137E-2</v>
      </c>
    </row>
    <row r="7" spans="1:10" x14ac:dyDescent="0.25">
      <c r="A7" s="9" t="str">
        <f t="shared" ref="A7:A15" si="0">A6</f>
        <v>Santy Silalahi</v>
      </c>
      <c r="B7" s="1" t="s">
        <v>167</v>
      </c>
      <c r="C7" s="1" t="s">
        <v>168</v>
      </c>
      <c r="D7" s="2" t="s">
        <v>13</v>
      </c>
      <c r="E7" s="2" t="s">
        <v>73</v>
      </c>
      <c r="F7" s="9"/>
      <c r="G7" s="10">
        <v>3000</v>
      </c>
      <c r="H7" s="9"/>
      <c r="I7" s="4">
        <f t="shared" ref="I7:I15" si="1">G7/$G$16</f>
        <v>3.3959255232781635E-2</v>
      </c>
    </row>
    <row r="8" spans="1:10" x14ac:dyDescent="0.25">
      <c r="A8" s="9" t="str">
        <f t="shared" si="0"/>
        <v>Santy Silalahi</v>
      </c>
      <c r="B8" s="1" t="s">
        <v>169</v>
      </c>
      <c r="C8" s="1" t="s">
        <v>170</v>
      </c>
      <c r="D8" s="2" t="s">
        <v>13</v>
      </c>
      <c r="E8" s="2" t="s">
        <v>171</v>
      </c>
      <c r="F8" s="9"/>
      <c r="G8" s="10">
        <v>27000</v>
      </c>
      <c r="H8" s="9"/>
      <c r="I8" s="4">
        <f t="shared" si="1"/>
        <v>0.30563329709503473</v>
      </c>
    </row>
    <row r="9" spans="1:10" x14ac:dyDescent="0.25">
      <c r="A9" s="9" t="str">
        <f t="shared" si="0"/>
        <v>Santy Silalahi</v>
      </c>
      <c r="B9" s="1" t="s">
        <v>172</v>
      </c>
      <c r="C9" s="1" t="s">
        <v>173</v>
      </c>
      <c r="D9" s="2" t="s">
        <v>13</v>
      </c>
      <c r="E9" s="2" t="s">
        <v>73</v>
      </c>
      <c r="F9" s="9"/>
      <c r="G9" s="10">
        <v>743.73</v>
      </c>
      <c r="H9" s="9"/>
      <c r="I9" s="4">
        <f t="shared" si="1"/>
        <v>8.4188389647588957E-3</v>
      </c>
    </row>
    <row r="10" spans="1:10" x14ac:dyDescent="0.25">
      <c r="A10" s="9" t="str">
        <f t="shared" si="0"/>
        <v>Santy Silalahi</v>
      </c>
      <c r="B10" s="1" t="s">
        <v>174</v>
      </c>
      <c r="C10" s="1" t="s">
        <v>175</v>
      </c>
      <c r="D10" s="2" t="s">
        <v>13</v>
      </c>
      <c r="E10" s="2" t="s">
        <v>176</v>
      </c>
      <c r="F10" s="9"/>
      <c r="G10" s="10">
        <v>2000</v>
      </c>
      <c r="H10" s="9"/>
      <c r="I10" s="4">
        <f t="shared" si="1"/>
        <v>2.263950348852109E-2</v>
      </c>
    </row>
    <row r="11" spans="1:10" x14ac:dyDescent="0.25">
      <c r="A11" s="9" t="str">
        <f t="shared" si="0"/>
        <v>Santy Silalahi</v>
      </c>
      <c r="B11" s="1" t="s">
        <v>174</v>
      </c>
      <c r="C11" s="1" t="s">
        <v>175</v>
      </c>
      <c r="D11" s="2" t="s">
        <v>104</v>
      </c>
      <c r="E11" s="2" t="s">
        <v>176</v>
      </c>
      <c r="F11" s="9"/>
      <c r="G11" s="10">
        <v>1000</v>
      </c>
      <c r="H11" s="9"/>
      <c r="I11" s="4">
        <f t="shared" si="1"/>
        <v>1.1319751744260545E-2</v>
      </c>
    </row>
    <row r="12" spans="1:10" x14ac:dyDescent="0.25">
      <c r="A12" s="9" t="str">
        <f t="shared" si="0"/>
        <v>Santy Silalahi</v>
      </c>
      <c r="B12" s="1" t="s">
        <v>174</v>
      </c>
      <c r="C12" s="1" t="s">
        <v>175</v>
      </c>
      <c r="D12" s="2" t="s">
        <v>24</v>
      </c>
      <c r="E12" s="2" t="s">
        <v>176</v>
      </c>
      <c r="F12" s="9"/>
      <c r="G12" s="10">
        <v>1000</v>
      </c>
      <c r="H12" s="9"/>
      <c r="I12" s="4">
        <f t="shared" si="1"/>
        <v>1.1319751744260545E-2</v>
      </c>
    </row>
    <row r="13" spans="1:10" x14ac:dyDescent="0.25">
      <c r="A13" s="9" t="str">
        <f t="shared" si="0"/>
        <v>Santy Silalahi</v>
      </c>
      <c r="B13" s="1" t="s">
        <v>174</v>
      </c>
      <c r="C13" s="1" t="s">
        <v>175</v>
      </c>
      <c r="D13" s="2" t="s">
        <v>15</v>
      </c>
      <c r="E13" s="2" t="s">
        <v>176</v>
      </c>
      <c r="F13" s="9"/>
      <c r="G13" s="10">
        <v>1000</v>
      </c>
      <c r="H13" s="9"/>
      <c r="I13" s="4">
        <f t="shared" si="1"/>
        <v>1.1319751744260545E-2</v>
      </c>
    </row>
    <row r="14" spans="1:10" x14ac:dyDescent="0.25">
      <c r="A14" s="9" t="str">
        <f t="shared" si="0"/>
        <v>Santy Silalahi</v>
      </c>
      <c r="B14" s="1" t="s">
        <v>149</v>
      </c>
      <c r="C14" s="1" t="s">
        <v>150</v>
      </c>
      <c r="D14" s="2" t="s">
        <v>13</v>
      </c>
      <c r="E14" s="2" t="s">
        <v>151</v>
      </c>
      <c r="F14" s="9"/>
      <c r="G14" s="10">
        <v>45654.420000000006</v>
      </c>
      <c r="H14" s="9"/>
      <c r="I14" s="4">
        <f t="shared" si="1"/>
        <v>0.51679670042820358</v>
      </c>
    </row>
    <row r="15" spans="1:10" x14ac:dyDescent="0.25">
      <c r="A15" s="9" t="str">
        <f t="shared" si="0"/>
        <v>Santy Silalahi</v>
      </c>
      <c r="B15" s="1" t="s">
        <v>149</v>
      </c>
      <c r="C15" s="1" t="s">
        <v>150</v>
      </c>
      <c r="D15" s="2" t="s">
        <v>15</v>
      </c>
      <c r="E15" s="2" t="s">
        <v>151</v>
      </c>
      <c r="F15" s="9"/>
      <c r="G15" s="10">
        <v>6000</v>
      </c>
      <c r="H15" s="9"/>
      <c r="I15" s="4">
        <f t="shared" si="1"/>
        <v>6.791851046556327E-2</v>
      </c>
    </row>
    <row r="16" spans="1:10" s="9" customFormat="1" x14ac:dyDescent="0.25">
      <c r="A16" s="11" t="s">
        <v>35</v>
      </c>
      <c r="B16" s="20"/>
      <c r="C16" s="20"/>
      <c r="D16" s="21"/>
      <c r="E16" s="21"/>
      <c r="F16" s="20"/>
      <c r="G16" s="22">
        <f>SUM(G6:G15)</f>
        <v>88341.16</v>
      </c>
      <c r="H16" s="20"/>
      <c r="I16" s="23">
        <f>SUM(I6:I15)</f>
        <v>1</v>
      </c>
    </row>
  </sheetData>
  <mergeCells count="1">
    <mergeCell ref="A2:J2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Ref_Factory</vt:lpstr>
      <vt:lpstr>temp1</vt:lpstr>
      <vt:lpstr>Ref1</vt:lpstr>
      <vt:lpstr>(HOME)</vt:lpstr>
      <vt:lpstr>NOT FOUND</vt:lpstr>
      <vt:lpstr>All Costing</vt:lpstr>
      <vt:lpstr>Resume</vt:lpstr>
      <vt:lpstr>AsepA</vt:lpstr>
      <vt:lpstr>Choer</vt:lpstr>
      <vt:lpstr>Fira</vt:lpstr>
      <vt:lpstr>Fung</vt:lpstr>
      <vt:lpstr>Owijaya</vt:lpstr>
      <vt:lpstr>Tony</vt:lpstr>
      <vt:lpstr>Santy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2024-02-13T07:21:44Z</dcterms:modified>
</cp:coreProperties>
</file>