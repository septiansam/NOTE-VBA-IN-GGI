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0)\"/>
    </mc:Choice>
  </mc:AlternateContent>
  <xr:revisionPtr revIDLastSave="0" documentId="13_ncr:1_{0CF55A9C-6306-4411-BCF2-C7CFA3200263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NOT FOUND" sheetId="97" r:id="rId7"/>
  </sheets>
  <functionGroups builtInGroupCount="19"/>
  <definedNames>
    <definedName name="_xlnm._FilterDatabase" localSheetId="2" hidden="1">'All Costing'!$A$5:$S$164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P6" i="1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C10" i="16"/>
  <c r="C9" i="16"/>
  <c r="C12" i="16"/>
  <c r="C11" i="16"/>
  <c r="C8" i="16"/>
  <c r="C7" i="16"/>
  <c r="C6" i="16"/>
  <c r="C5" i="16"/>
  <c r="C4" i="16"/>
  <c r="C3" i="16"/>
  <c r="P11" i="1" l="1"/>
  <c r="P10" i="1"/>
  <c r="P7" i="1"/>
  <c r="P8" i="1"/>
  <c r="P9" i="1"/>
  <c r="P87" i="1"/>
  <c r="J3" i="16"/>
  <c r="J4" i="16"/>
  <c r="J5" i="16"/>
  <c r="J6" i="16"/>
  <c r="J7" i="16"/>
  <c r="J8" i="16"/>
  <c r="J9" i="16"/>
  <c r="J10" i="16"/>
  <c r="I3" i="16"/>
  <c r="N6" i="1" s="1"/>
  <c r="I4" i="16"/>
  <c r="I5" i="16"/>
  <c r="I6" i="16"/>
  <c r="I7" i="16"/>
  <c r="I8" i="16"/>
  <c r="I9" i="16"/>
  <c r="I10" i="16"/>
  <c r="N156" i="1" l="1"/>
  <c r="N120" i="1"/>
  <c r="N96" i="1"/>
  <c r="N42" i="1"/>
  <c r="N36" i="1"/>
  <c r="N30" i="1"/>
  <c r="N24" i="1"/>
  <c r="P93" i="1"/>
  <c r="P81" i="1"/>
  <c r="P147" i="1"/>
  <c r="P33" i="1"/>
  <c r="P141" i="1"/>
  <c r="P45" i="1"/>
  <c r="P129" i="1"/>
  <c r="P135" i="1"/>
  <c r="P99" i="1"/>
  <c r="P39" i="1"/>
  <c r="P27" i="1"/>
  <c r="P21" i="1"/>
  <c r="P75" i="1"/>
  <c r="P69" i="1"/>
  <c r="P159" i="1"/>
  <c r="P111" i="1"/>
  <c r="P63" i="1"/>
  <c r="P15" i="1"/>
  <c r="P123" i="1"/>
  <c r="P117" i="1"/>
  <c r="P153" i="1"/>
  <c r="P105" i="1"/>
  <c r="P57" i="1"/>
  <c r="P51" i="1"/>
  <c r="P152" i="1"/>
  <c r="P122" i="1"/>
  <c r="P145" i="1"/>
  <c r="P121" i="1"/>
  <c r="P91" i="1"/>
  <c r="P150" i="1"/>
  <c r="P132" i="1"/>
  <c r="P114" i="1"/>
  <c r="P96" i="1"/>
  <c r="P84" i="1"/>
  <c r="P66" i="1"/>
  <c r="P48" i="1"/>
  <c r="P161" i="1"/>
  <c r="P149" i="1"/>
  <c r="P143" i="1"/>
  <c r="P131" i="1"/>
  <c r="P119" i="1"/>
  <c r="P107" i="1"/>
  <c r="P95" i="1"/>
  <c r="P83" i="1"/>
  <c r="P71" i="1"/>
  <c r="P53" i="1"/>
  <c r="P41" i="1"/>
  <c r="P160" i="1"/>
  <c r="P154" i="1"/>
  <c r="P148" i="1"/>
  <c r="P142" i="1"/>
  <c r="P136" i="1"/>
  <c r="P130" i="1"/>
  <c r="P124" i="1"/>
  <c r="P118" i="1"/>
  <c r="P112" i="1"/>
  <c r="P106" i="1"/>
  <c r="P100" i="1"/>
  <c r="P94" i="1"/>
  <c r="P88" i="1"/>
  <c r="P82" i="1"/>
  <c r="P76" i="1"/>
  <c r="P70" i="1"/>
  <c r="P64" i="1"/>
  <c r="P58" i="1"/>
  <c r="P52" i="1"/>
  <c r="P46" i="1"/>
  <c r="P40" i="1"/>
  <c r="P34" i="1"/>
  <c r="P28" i="1"/>
  <c r="P22" i="1"/>
  <c r="P16" i="1"/>
  <c r="P164" i="1"/>
  <c r="P140" i="1"/>
  <c r="P116" i="1"/>
  <c r="P110" i="1"/>
  <c r="P104" i="1"/>
  <c r="P98" i="1"/>
  <c r="P92" i="1"/>
  <c r="P86" i="1"/>
  <c r="P80" i="1"/>
  <c r="P74" i="1"/>
  <c r="P68" i="1"/>
  <c r="P62" i="1"/>
  <c r="P56" i="1"/>
  <c r="P50" i="1"/>
  <c r="P44" i="1"/>
  <c r="P38" i="1"/>
  <c r="P32" i="1"/>
  <c r="P26" i="1"/>
  <c r="P20" i="1"/>
  <c r="P14" i="1"/>
  <c r="P146" i="1"/>
  <c r="P163" i="1"/>
  <c r="P139" i="1"/>
  <c r="P115" i="1"/>
  <c r="P97" i="1"/>
  <c r="P85" i="1"/>
  <c r="P79" i="1"/>
  <c r="P73" i="1"/>
  <c r="P67" i="1"/>
  <c r="P61" i="1"/>
  <c r="P55" i="1"/>
  <c r="P49" i="1"/>
  <c r="P43" i="1"/>
  <c r="P37" i="1"/>
  <c r="P31" i="1"/>
  <c r="P25" i="1"/>
  <c r="P19" i="1"/>
  <c r="P13" i="1"/>
  <c r="P158" i="1"/>
  <c r="P134" i="1"/>
  <c r="P157" i="1"/>
  <c r="P133" i="1"/>
  <c r="P103" i="1"/>
  <c r="P156" i="1"/>
  <c r="P138" i="1"/>
  <c r="P120" i="1"/>
  <c r="P102" i="1"/>
  <c r="P78" i="1"/>
  <c r="P60" i="1"/>
  <c r="P42" i="1"/>
  <c r="P30" i="1"/>
  <c r="P24" i="1"/>
  <c r="P18" i="1"/>
  <c r="P12" i="1"/>
  <c r="P128" i="1"/>
  <c r="P151" i="1"/>
  <c r="P127" i="1"/>
  <c r="P109" i="1"/>
  <c r="P162" i="1"/>
  <c r="P144" i="1"/>
  <c r="P126" i="1"/>
  <c r="P108" i="1"/>
  <c r="P90" i="1"/>
  <c r="P72" i="1"/>
  <c r="P54" i="1"/>
  <c r="P36" i="1"/>
  <c r="P155" i="1"/>
  <c r="P137" i="1"/>
  <c r="P125" i="1"/>
  <c r="P113" i="1"/>
  <c r="P101" i="1"/>
  <c r="P89" i="1"/>
  <c r="P77" i="1"/>
  <c r="P65" i="1"/>
  <c r="P59" i="1"/>
  <c r="P47" i="1"/>
  <c r="P35" i="1"/>
  <c r="P29" i="1"/>
  <c r="P23" i="1"/>
  <c r="P17" i="1"/>
  <c r="J11" i="16"/>
  <c r="K7" i="16"/>
  <c r="N161" i="1"/>
  <c r="N155" i="1"/>
  <c r="N149" i="1"/>
  <c r="N143" i="1"/>
  <c r="N137" i="1"/>
  <c r="N131" i="1"/>
  <c r="N125" i="1"/>
  <c r="N119" i="1"/>
  <c r="N113" i="1"/>
  <c r="N107" i="1"/>
  <c r="N101" i="1"/>
  <c r="N95" i="1"/>
  <c r="N89" i="1"/>
  <c r="N83" i="1"/>
  <c r="N77" i="1"/>
  <c r="N71" i="1"/>
  <c r="N65" i="1"/>
  <c r="N59" i="1"/>
  <c r="N53" i="1"/>
  <c r="N47" i="1"/>
  <c r="N41" i="1"/>
  <c r="N35" i="1"/>
  <c r="N29" i="1"/>
  <c r="N23" i="1"/>
  <c r="N17" i="1"/>
  <c r="N11" i="1"/>
  <c r="K6" i="16"/>
  <c r="N160" i="1"/>
  <c r="N154" i="1"/>
  <c r="N148" i="1"/>
  <c r="N142" i="1"/>
  <c r="N136" i="1"/>
  <c r="N130" i="1"/>
  <c r="N124" i="1"/>
  <c r="N118" i="1"/>
  <c r="N112" i="1"/>
  <c r="N106" i="1"/>
  <c r="N100" i="1"/>
  <c r="N94" i="1"/>
  <c r="N88" i="1"/>
  <c r="N82" i="1"/>
  <c r="N76" i="1"/>
  <c r="N70" i="1"/>
  <c r="N64" i="1"/>
  <c r="N58" i="1"/>
  <c r="N52" i="1"/>
  <c r="N46" i="1"/>
  <c r="N40" i="1"/>
  <c r="N34" i="1"/>
  <c r="N28" i="1"/>
  <c r="N22" i="1"/>
  <c r="N16" i="1"/>
  <c r="N10" i="1"/>
  <c r="N159" i="1"/>
  <c r="N153" i="1"/>
  <c r="N147" i="1"/>
  <c r="N141" i="1"/>
  <c r="N135" i="1"/>
  <c r="N129" i="1"/>
  <c r="N123" i="1"/>
  <c r="N117" i="1"/>
  <c r="N111" i="1"/>
  <c r="N105" i="1"/>
  <c r="N99" i="1"/>
  <c r="N93" i="1"/>
  <c r="N87" i="1"/>
  <c r="N81" i="1"/>
  <c r="N75" i="1"/>
  <c r="N69" i="1"/>
  <c r="N63" i="1"/>
  <c r="N57" i="1"/>
  <c r="N51" i="1"/>
  <c r="N45" i="1"/>
  <c r="N39" i="1"/>
  <c r="N33" i="1"/>
  <c r="N27" i="1"/>
  <c r="N21" i="1"/>
  <c r="N15" i="1"/>
  <c r="N9" i="1"/>
  <c r="K10" i="16"/>
  <c r="K4" i="16"/>
  <c r="N164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2" i="1"/>
  <c r="N26" i="1"/>
  <c r="N20" i="1"/>
  <c r="N14" i="1"/>
  <c r="N8" i="1"/>
  <c r="I11" i="16"/>
  <c r="H10" i="16" s="1"/>
  <c r="K9" i="16"/>
  <c r="K3" i="16"/>
  <c r="N163" i="1"/>
  <c r="N157" i="1"/>
  <c r="N151" i="1"/>
  <c r="N145" i="1"/>
  <c r="N139" i="1"/>
  <c r="N133" i="1"/>
  <c r="N127" i="1"/>
  <c r="N121" i="1"/>
  <c r="N115" i="1"/>
  <c r="N109" i="1"/>
  <c r="N103" i="1"/>
  <c r="N97" i="1"/>
  <c r="N91" i="1"/>
  <c r="N85" i="1"/>
  <c r="N79" i="1"/>
  <c r="N73" i="1"/>
  <c r="N67" i="1"/>
  <c r="N61" i="1"/>
  <c r="N55" i="1"/>
  <c r="N49" i="1"/>
  <c r="N43" i="1"/>
  <c r="N37" i="1"/>
  <c r="N31" i="1"/>
  <c r="N25" i="1"/>
  <c r="N19" i="1"/>
  <c r="N13" i="1"/>
  <c r="N7" i="1"/>
  <c r="K5" i="16"/>
  <c r="K8" i="16"/>
  <c r="N162" i="1"/>
  <c r="N150" i="1"/>
  <c r="N144" i="1"/>
  <c r="N138" i="1"/>
  <c r="N132" i="1"/>
  <c r="N126" i="1"/>
  <c r="N114" i="1"/>
  <c r="N108" i="1"/>
  <c r="N102" i="1"/>
  <c r="N90" i="1"/>
  <c r="N84" i="1"/>
  <c r="N78" i="1"/>
  <c r="N72" i="1"/>
  <c r="N66" i="1"/>
  <c r="N60" i="1"/>
  <c r="N54" i="1"/>
  <c r="N48" i="1"/>
  <c r="N18" i="1"/>
  <c r="N12" i="1"/>
  <c r="A2" i="1"/>
  <c r="H5" i="16" l="1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<sst xmlns="http://schemas.openxmlformats.org/spreadsheetml/2006/main" count="1684" uniqueCount="375">
  <si>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</si>
  <si>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</si>
  <si>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</si>
  <si>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</si>
  <si>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</si>
  <si>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</si>
  <si>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</si>
  <si>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</si>
  <si>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</si>
  <si>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</si>
  <si>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</si>
  <si>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</si>
  <si>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</si>
  <si>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</si>
  <si>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</si>
  <si>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</si>
  <si>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</si>
  <si>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</si>
  <si>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</si>
  <si>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</si>
  <si>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</si>
  <si>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</si>
  <si>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</si>
  <si>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</si>
  <si>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</si>
  <si>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</si>
  <si>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</si>
  <si>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</si>
  <si>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</si>
  <si>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</si>
  <si>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</si>
  <si>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</si>
  <si>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</si>
  <si>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</si>
  <si>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</si>
  <si>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</si>
  <si>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</si>
  <si>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</si>
  <si>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</si>
  <si>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</si>
  <si>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</si>
  <si>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</si>
  <si>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</si>
  <si>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</si>
  <si>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</si>
  <si>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</si>
  <si>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</si>
  <si>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</si>
  <si>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</si>
  <si>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</si>
  <si>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</si>
  <si>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</si>
  <si>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</si>
  <si>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</si>
  <si>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</si>
  <si>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</si>
  <si>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</si>
  <si>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</si>
  <si>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</si>
  <si>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</si>
  <si>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</si>
  <si>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</si>
  <si>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</si>
  <si>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</si>
  <si>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</si>
  <si>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</si>
  <si>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</si>
  <si>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</si>
  <si>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</si>
  <si>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</si>
  <si>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</si>
  <si>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</si>
  <si>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</si>
  <si>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</si>
  <si>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</si>
  <si>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</si>
  <si>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</si>
  <si>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</si>
  <si>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</si>
  <si>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</si>
  <si>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</si>
  <si>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</si>
  <si>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</si>
  <si>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</si>
  <si>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</si>
  <si>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</si>
  <si>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</si>
  <si>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</si>
  <si>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</si>
  <si>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</si>
  <si>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</si>
  <si>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</si>
  <si>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</si>
  <si>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</si>
  <si>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</si>
  <si>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</si>
  <si>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</si>
  <si>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</si>
  <si>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</si>
  <si>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</si>
  <si>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</si>
  <si>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</si>
  <si>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</si>
  <si>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</si>
  <si>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</si>
  <si>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</si>
  <si>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</si>
  <si>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</si>
  <si>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</si>
  <si>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</si>
  <si>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</si>
  <si>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</si>
  <si>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</si>
  <si>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</si>
  <si>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</si>
  <si>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</si>
  <si>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</si>
  <si>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</si>
  <si>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</si>
  <si>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</si>
  <si>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</si>
  <si>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</si>
  <si>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</si>
  <si>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</si>
  <si>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</si>
  <si>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</si>
  <si>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</si>
  <si>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</si>
  <si>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</si>
  <si>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</si>
  <si>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</si>
  <si>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</si>
  <si>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</si>
  <si>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</si>
  <si>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</si>
  <si>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</si>
  <si>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</si>
  <si>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</si>
  <si>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</si>
  <si>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</si>
  <si>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</si>
  <si>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</si>
  <si>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</si>
  <si>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</si>
  <si>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</si>
  <si>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</si>
  <si>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</si>
  <si>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</si>
  <si>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</si>
  <si>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</si>
  <si>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</si>
  <si>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</si>
  <si>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</si>
  <si>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</si>
  <si>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</si>
  <si>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</si>
  <si>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</si>
  <si>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</si>
  <si>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</si>
  <si>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</si>
  <si>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</si>
  <si>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</si>
  <si>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</si>
  <si>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</si>
  <si>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</si>
  <si>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</si>
  <si>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</si>
  <si>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</si>
  <si>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</si>
  <si>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</si>
  <si>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</si>
  <si>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</si>
  <si>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</si>
  <si>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</si>
  <si>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</si>
  <si>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</si>
  <si>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</si>
  <si>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</si>
  <si>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</si>
  <si>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</si>
  <si>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</si>
  <si>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</si>
  <si>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</si>
  <si>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</si>
  <si>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</si>
  <si>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</si>
  <si>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</si>
  <si>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</si>
  <si>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</si>
  <si>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</si>
  <si>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</si>
  <si>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</si>
  <si>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</si>
  <si>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</si>
  <si>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</si>
  <si>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</si>
  <si>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</si>
  <si>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</si>
  <si>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</si>
  <si>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</si>
  <si>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</si>
  <si>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</si>
  <si>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</si>
  <si>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</si>
  <si>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</si>
  <si>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</si>
  <si>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</si>
  <si>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</si>
  <si>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</si>
  <si>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</si>
  <si>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</si>
  <si>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</si>
  <si>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</si>
  <si>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</si>
  <si>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</si>
  <si>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</si>
  <si>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</si>
  <si>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</si>
  <si>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</si>
  <si>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</si>
  <si>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</si>
  <si>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</si>
  <si>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</si>
  <si>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</si>
  <si>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</si>
  <si>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</si>
  <si>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</si>
  <si>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</si>
  <si>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</si>
  <si>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</si>
  <si>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</si>
  <si>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</si>
  <si>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</si>
  <si>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</si>
  <si>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</si>
  <si>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</si>
  <si>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</si>
  <si>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</si>
  <si>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</si>
  <si>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</si>
  <si>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</si>
  <si>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</si>
  <si>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</si>
  <si>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</si>
  <si>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</si>
  <si>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</si>
  <si>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</si>
  <si>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</si>
  <si>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</si>
  <si>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</si>
  <si>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</si>
  <si>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</si>
  <si>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</si>
  <si>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</si>
  <si>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</si>
  <si>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</si>
  <si>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</si>
  <si>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</si>
  <si>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</si>
  <si>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</si>
  <si>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</si>
  <si>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</si>
  <si>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</si>
  <si>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</si>
  <si>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</si>
  <si>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</si>
  <si>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</si>
  <si>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</si>
  <si>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</si>
  <si>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</si>
  <si>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</si>
  <si>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</si>
  <si>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</si>
  <si>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</si>
  <si>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</si>
  <si>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</si>
  <si>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</si>
  <si>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</si>
  <si>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</si>
  <si>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</si>
  <si>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</si>
  <si>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</si>
  <si>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</si>
  <si>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</si>
  <si>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</si>
  <si>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</si>
  <si>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</si>
  <si>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</si>
  <si>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</si>
  <si>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</si>
  <si>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</si>
  <si>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</si>
  <si>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</si>
  <si>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</si>
  <si>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</si>
  <si>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</si>
  <si>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</si>
  <si>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</si>
  <si>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</si>
  <si>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</si>
  <si>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</si>
  <si>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</si>
  <si>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</si>
  <si>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</si>
  <si>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</si>
  <si>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</si>
  <si>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</si>
  <si>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</si>
  <si>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</si>
  <si>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</si>
  <si>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</si>
  <si>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</si>
  <si>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</si>
  <si>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</si>
  <si>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</si>
  <si>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</si>
  <si>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</si>
  <si>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</si>
  <si>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</si>
  <si>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</si>
  <si>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</si>
  <si>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</si>
  <si>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</si>
  <si>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</si>
  <si>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</si>
  <si>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</si>
  <si>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</si>
  <si>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</si>
  <si>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</si>
  <si>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</si>
  <si>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</si>
  <si>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</si>
  <si>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</si>
  <si>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</si>
  <si>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</si>
  <si>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</si>
  <si>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</si>
  <si>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</si>
  <si>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</si>
  <si>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</si>
  <si>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</si>
  <si>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</si>
  <si>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</si>
  <si>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</si>
  <si>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</si>
  <si>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</si>
  <si>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</si>
  <si>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</si>
  <si>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</si>
  <si>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</si>
  <si>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</si>
  <si>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</si>
  <si>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</si>
  <si>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</si>
  <si>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</si>
  <si>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</si>
  <si>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</si>
  <si>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</si>
  <si>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</si>
  <si>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</si>
  <si>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</si>
  <si>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</si>
  <si>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</si>
  <si>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</si>
  <si>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</si>
  <si>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</si>
  <si>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File Tidak ditemukan di LOKASI FOLDER (Tarikan JDE)</t>
  </si>
  <si>
    <t>\\10.8.0.35\rpa$\RPA Excel Template\Accounting Finance\Santy\Profit Loss\Untuk Di Share</t>
  </si>
  <si>
    <t>LOKASI FOLDER  (Untuk di Share)</t>
  </si>
  <si>
    <t>WEEK 1</t>
  </si>
  <si>
    <t>WEEK 2</t>
  </si>
  <si>
    <t>WEEK 3</t>
  </si>
  <si>
    <t>WEEK 4</t>
  </si>
  <si>
    <t>WEEK 5</t>
  </si>
  <si>
    <t>\\10.8.0.35\rpa$\RPA Excel Template\Accounting Finance\Santy\Profit Loss\Tarikan JDE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</si>
</sst>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2FC9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009AD0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left" vertical="center"/>
    </xf>
    <xf numFmtId="0" fontId="10" fillId="0" borderId="0" xfId="3" applyFill="1"/>
    <xf numFmtId="0" fontId="11" fillId="6" borderId="11" xfId="0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9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4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1" fillId="0" borderId="0" xfId="0" applyFont="1"/>
    <xf numFmtId="43" fontId="0" fillId="0" borderId="0" xfId="0" applyNumberFormat="1"/>
    <xf numFmtId="10" fontId="2" fillId="0" borderId="0" xfId="2" applyNumberFormat="1" applyFont="1"/>
    <xf numFmtId="0" fontId="10" fillId="0" borderId="0" xfId="3"/>
    <xf numFmtId="0" fontId="3" fillId="0" borderId="0" xfId="0" applyFont="1" applyAlignment="1">
      <alignment horizontal="center"/>
    </xf>
    <xf numFmtId="0" fontId="0" fillId="0" borderId="0" xfId="0" quotePrefix="1"/>
    <xf numFmtId="0" fontId="22" fillId="0" borderId="0" xfId="0" applyFont="1" applyAlignment="1">
      <alignment horizontal="center"/>
    </xf>
    <xf numFmtId="49" fontId="0" fillId="0" borderId="0" xfId="0" applyNumberFormat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49" fontId="10" fillId="0" borderId="0" xfId="3" applyNumberFormat="1"/>
    <xf numFmtId="0" fontId="12" fillId="2" borderId="16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10" fontId="23" fillId="7" borderId="1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10" fontId="12" fillId="2" borderId="16" xfId="2" applyNumberFormat="1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/>
    </xf>
    <xf numFmtId="164" fontId="21" fillId="0" borderId="0" xfId="1" applyNumberFormat="1" applyFont="1"/>
    <xf numFmtId="164" fontId="12" fillId="2" borderId="16" xfId="1" applyNumberFormat="1" applyFont="1" applyFill="1" applyBorder="1" applyAlignment="1">
      <alignment horizontal="center" vertical="center"/>
    </xf>
    <xf numFmtId="164" fontId="23" fillId="7" borderId="1" xfId="1" applyNumberFormat="1" applyFont="1" applyFill="1" applyBorder="1" applyAlignment="1">
      <alignment horizontal="center" vertical="center"/>
    </xf>
    <xf numFmtId="164" fontId="2" fillId="0" borderId="0" xfId="1" applyNumberFormat="1" applyFont="1"/>
    <xf numFmtId="164" fontId="12" fillId="2" borderId="16" xfId="1" applyNumberFormat="1" applyFont="1" applyFill="1" applyBorder="1" applyAlignment="1">
      <alignment horizontal="center" vertical="center"/>
    </xf>
    <xf numFmtId="164" fontId="12" fillId="2" borderId="16" xfId="1" applyNumberFormat="1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"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2FC9FF"/>
      <color rgb="FF009AD0"/>
      <color rgb="FFEFFBFF"/>
      <color rgb="FFD5F4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TarikanJ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08B15E5-6D46-4728-9E64-9C5206B913AF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hyperlink" Target="..\..\..\Untuk%20Di%20Share" TargetMode="External"/><Relationship Id="rId7" Type="http://schemas.openxmlformats.org/officeDocument/2006/relationships/image" Target="../media/image1.emf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/../../Tarikan%20JDE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Tarikan%20JDE/1201.72040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2"/>
  <sheetViews>
    <sheetView showGridLines="0" zoomScaleNormal="100" workbookViewId="0">
      <selection activeCell="C24" sqref="C24"/>
    </sheetView>
  </sheetViews>
  <sheetFormatPr defaultRowHeight="15" x14ac:dyDescent="0.2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 x14ac:dyDescent="0.25">
      <c r="A1" s="38"/>
      <c r="B1" s="38"/>
      <c r="C1" s="39" t="s">
        <v>319</v>
      </c>
      <c r="D1" s="39"/>
      <c r="E1" s="39"/>
      <c r="F1" s="9"/>
    </row>
    <row r="2" spans="1:6" ht="12" customHeight="1" x14ac:dyDescent="0.25">
      <c r="A2" s="38"/>
      <c r="B2" s="38"/>
      <c r="C2" s="40" t="s">
        <v>329</v>
      </c>
      <c r="D2" s="41"/>
      <c r="E2" s="42"/>
      <c r="F2" s="27" t="s">
        <v>212</v>
      </c>
    </row>
    <row r="3" spans="1:6" ht="12" customHeight="1" x14ac:dyDescent="0.25">
      <c r="A3" s="38"/>
      <c r="B3" s="38"/>
      <c r="C3" s="43"/>
      <c r="D3" s="44"/>
      <c r="E3" s="45"/>
      <c r="F3" s="27"/>
    </row>
    <row r="4" spans="1:6" ht="12" customHeight="1" x14ac:dyDescent="0.25">
      <c r="A4" s="38"/>
      <c r="B4" s="38"/>
      <c r="C4" s="43"/>
      <c r="D4" s="44"/>
      <c r="E4" s="45"/>
      <c r="F4" s="27"/>
    </row>
    <row r="5" spans="1:6" ht="12" customHeight="1" x14ac:dyDescent="0.25">
      <c r="A5" s="38"/>
      <c r="B5" s="38"/>
      <c r="C5" s="43"/>
      <c r="D5" s="44"/>
      <c r="E5" s="45"/>
      <c r="F5" s="27"/>
    </row>
    <row r="6" spans="1:6" ht="12" customHeight="1" x14ac:dyDescent="0.25">
      <c r="A6" s="38"/>
      <c r="B6" s="38"/>
      <c r="C6" s="43"/>
      <c r="D6" s="44"/>
      <c r="E6" s="45"/>
      <c r="F6" s="27"/>
    </row>
    <row r="7" spans="1:6" ht="12" customHeight="1" x14ac:dyDescent="0.25">
      <c r="A7" s="38"/>
      <c r="B7" s="38"/>
      <c r="C7" s="43"/>
      <c r="D7" s="44"/>
      <c r="E7" s="45"/>
      <c r="F7" s="27"/>
    </row>
    <row r="8" spans="1:6" ht="12" customHeight="1" x14ac:dyDescent="0.25">
      <c r="A8" s="38"/>
      <c r="B8" s="38"/>
      <c r="C8" s="43"/>
      <c r="D8" s="44"/>
      <c r="E8" s="45"/>
      <c r="F8" s="27"/>
    </row>
    <row r="9" spans="1:6" ht="6.75" customHeight="1" x14ac:dyDescent="0.25">
      <c r="A9" s="38"/>
      <c r="B9" s="38"/>
      <c r="C9" s="46"/>
      <c r="D9" s="47"/>
      <c r="E9" s="48"/>
      <c r="F9" s="27"/>
    </row>
    <row r="10" spans="1:6" ht="18" customHeight="1" x14ac:dyDescent="0.25">
      <c r="A10" s="38"/>
      <c r="B10" s="38"/>
      <c r="C10" s="49" t="s">
        <v>320</v>
      </c>
      <c r="D10" s="49"/>
      <c r="E10" s="49"/>
      <c r="F10" s="27"/>
    </row>
    <row r="11" spans="1:6" ht="15.75" x14ac:dyDescent="0.25">
      <c r="C11" s="17" t="s">
        <v>321</v>
      </c>
      <c r="D11" s="18"/>
      <c r="E11" s="15" t="s">
        <v>322</v>
      </c>
      <c r="F11" s="27"/>
    </row>
    <row r="12" spans="1:6" x14ac:dyDescent="0.25">
      <c r="C12" s="37" t="s">
        <v>330</v>
      </c>
      <c r="D12" s="37"/>
      <c r="E12" s="16" t="s">
        <v>374</v>
      </c>
      <c r="F12" s="27" t="s">
        <v>212</v>
      </c>
    </row>
    <row r="13" spans="1:6" x14ac:dyDescent="0.25">
      <c r="C13" s="25" t="s">
        <v>331</v>
      </c>
      <c r="D13" s="25"/>
      <c r="E13" s="16" t="s">
        <v>332</v>
      </c>
      <c r="F13" s="27" t="s">
        <v>212</v>
      </c>
    </row>
    <row r="14" spans="1:6" x14ac:dyDescent="0.25">
      <c r="C14" s="37" t="s">
        <v>352</v>
      </c>
      <c r="D14" s="37"/>
      <c r="E14" s="35" t="s">
        <v>354</v>
      </c>
      <c r="F14" s="27" t="s">
        <v>212</v>
      </c>
    </row>
    <row r="15" spans="1:6" x14ac:dyDescent="0.25">
      <c r="C15" s="25" t="s">
        <v>353</v>
      </c>
      <c r="D15" s="25"/>
      <c r="E15" s="35" t="s">
        <v>355</v>
      </c>
      <c r="F15" s="27" t="s">
        <v>212</v>
      </c>
    </row>
    <row r="16" spans="1:6" x14ac:dyDescent="0.25">
      <c r="C16" s="25" t="s">
        <v>368</v>
      </c>
      <c r="D16" s="25"/>
      <c r="E16" s="56" t="s">
        <v>367</v>
      </c>
      <c r="F16" s="27" t="s">
        <v>212</v>
      </c>
    </row>
    <row r="17" spans="3:6" x14ac:dyDescent="0.25">
      <c r="C17" s="25"/>
      <c r="D17" s="25"/>
      <c r="F17" s="27" t="s">
        <v>212</v>
      </c>
    </row>
    <row r="18" spans="3:6" ht="1.5" customHeight="1" x14ac:dyDescent="0.25">
      <c r="C18" s="36"/>
      <c r="D18" s="36"/>
      <c r="E18" s="36"/>
      <c r="F18" s="27"/>
    </row>
    <row r="19" spans="3:6" x14ac:dyDescent="0.25">
      <c r="F19" s="27"/>
    </row>
    <row r="20" spans="3:6" x14ac:dyDescent="0.25">
      <c r="F20" s="27"/>
    </row>
    <row r="21" spans="3:6" x14ac:dyDescent="0.25">
      <c r="F21" s="27"/>
    </row>
    <row r="22" spans="3:6" x14ac:dyDescent="0.25">
      <c r="F22" s="27"/>
    </row>
    <row r="23" spans="3:6" x14ac:dyDescent="0.25">
      <c r="F23" s="27"/>
    </row>
    <row r="24" spans="3:6" x14ac:dyDescent="0.25">
      <c r="F24" s="27"/>
    </row>
    <row r="25" spans="3:6" x14ac:dyDescent="0.25">
      <c r="F25" s="27"/>
    </row>
    <row r="26" spans="3:6" x14ac:dyDescent="0.25">
      <c r="F26" s="27"/>
    </row>
    <row r="27" spans="3:6" x14ac:dyDescent="0.25">
      <c r="F27" s="27"/>
    </row>
    <row r="28" spans="3:6" x14ac:dyDescent="0.25">
      <c r="F28" s="27"/>
    </row>
    <row r="29" spans="3:6" x14ac:dyDescent="0.25">
      <c r="F29" s="27"/>
    </row>
    <row r="30" spans="3:6" x14ac:dyDescent="0.25">
      <c r="F30" s="27"/>
    </row>
    <row r="31" spans="3:6" x14ac:dyDescent="0.25">
      <c r="F31" s="27"/>
    </row>
    <row r="32" spans="3:6" x14ac:dyDescent="0.25">
      <c r="F32" s="27"/>
    </row>
  </sheetData>
  <mergeCells count="8">
    <mergeCell ref="C18:E18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xr:uid="{24514AAD-1976-4895-9499-8629E57746EE}"/>
    <hyperlink ref="E16" r:id="rId3" xr:uid="{8B704FD3-AA31-4778-B23F-81B3FCB34DD2}"/>
  </hyperlinks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9224" r:id="rId6" name="btn_UpdateDataAccount">
          <controlPr defaultSize="0" autoLine="0" r:id="rId7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6" name="btn_UpdateDataAccount"/>
      </mc:Fallback>
    </mc:AlternateContent>
    <mc:AlternateContent xmlns:mc="http://schemas.openxmlformats.org/markup-compatibility/2006">
      <mc:Choice Requires="x14">
        <control shapeId="9218" r:id="rId8" name="btn_Execute">
          <controlPr defaultSize="0" autoLine="0" r:id="rId9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8" name="btn_Execute"/>
      </mc:Fallback>
    </mc:AlternateContent>
    <mc:AlternateContent xmlns:mc="http://schemas.openxmlformats.org/markup-compatibility/2006">
      <mc:Choice Requires="x14">
        <control shapeId="9225" r:id="rId10" name="CommandButton1">
          <controlPr defaultSize="0" autoLine="0" r:id="rId11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D1" zoomScale="85" zoomScaleNormal="85" workbookViewId="0">
      <selection activeCell="A2" sqref="A2:A15"/>
    </sheetView>
  </sheetViews>
  <sheetFormatPr defaultRowHeight="15" x14ac:dyDescent="0.25"/>
  <cols>
    <col min="1" max="1" width="64.28515625" bestFit="1" customWidth="1"/>
    <col min="2" max="2" width="24.85546875" bestFit="1" customWidth="1"/>
    <col min="3" max="3" width="24.5703125" bestFit="1" customWidth="1"/>
    <col min="4" max="4" width="26.7109375" bestFit="1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 x14ac:dyDescent="0.3">
      <c r="A1" s="13" t="s">
        <v>340</v>
      </c>
      <c r="B1" s="10" t="s">
        <v>174</v>
      </c>
      <c r="C1" s="10" t="s">
        <v>1</v>
      </c>
      <c r="D1" s="10" t="s">
        <v>2</v>
      </c>
      <c r="E1" s="10" t="s">
        <v>3</v>
      </c>
      <c r="F1" s="10" t="s">
        <v>4</v>
      </c>
      <c r="G1" s="13" t="s">
        <v>176</v>
      </c>
      <c r="H1" s="13" t="s">
        <v>338</v>
      </c>
      <c r="I1" s="13" t="s">
        <v>212</v>
      </c>
      <c r="J1" s="13" t="s">
        <v>212</v>
      </c>
      <c r="K1" s="13" t="s">
        <v>212</v>
      </c>
      <c r="L1" s="13" t="s">
        <v>212</v>
      </c>
      <c r="M1" s="13" t="s">
        <v>212</v>
      </c>
      <c r="N1" s="13" t="s">
        <v>212</v>
      </c>
      <c r="O1" s="13" t="s">
        <v>212</v>
      </c>
      <c r="P1" s="13" t="s">
        <v>212</v>
      </c>
      <c r="Q1" s="13" t="s">
        <v>212</v>
      </c>
      <c r="R1" s="13" t="s">
        <v>212</v>
      </c>
      <c r="S1" s="13" t="s">
        <v>212</v>
      </c>
      <c r="T1" s="13" t="s">
        <v>212</v>
      </c>
      <c r="U1" s="13" t="s">
        <v>212</v>
      </c>
      <c r="V1" s="13" t="s">
        <v>212</v>
      </c>
      <c r="W1" s="13" t="s">
        <v>212</v>
      </c>
      <c r="X1" s="13" t="s">
        <v>360</v>
      </c>
      <c r="Y1" s="13" t="s">
        <v>361</v>
      </c>
      <c r="Z1" s="13" t="s">
        <v>359</v>
      </c>
    </row>
    <row r="2" spans="1:26" x14ac:dyDescent="0.25">
      <c r="A2" t="s">
        <v>341</v>
      </c>
      <c r="B2" t="s">
        <v>10</v>
      </c>
      <c r="C2" t="s">
        <v>21</v>
      </c>
      <c r="D2" t="s">
        <v>22</v>
      </c>
      <c r="E2" t="s">
        <v>13</v>
      </c>
      <c r="G2" t="s">
        <v>185</v>
      </c>
      <c r="H2" t="s">
        <v>339</v>
      </c>
      <c r="Z2" t="s">
        <v>339</v>
      </c>
    </row>
    <row r="3" spans="1:26" x14ac:dyDescent="0.25">
      <c r="A3" t="s">
        <v>342</v>
      </c>
      <c r="B3" t="s">
        <v>67</v>
      </c>
      <c r="C3" t="s">
        <v>21</v>
      </c>
      <c r="D3" t="s">
        <v>140</v>
      </c>
      <c r="E3" t="s">
        <v>13</v>
      </c>
      <c r="G3" t="s">
        <v>185</v>
      </c>
      <c r="H3" t="s">
        <v>335</v>
      </c>
    </row>
    <row r="4" spans="1:26" x14ac:dyDescent="0.25">
      <c r="A4" t="s">
        <v>343</v>
      </c>
      <c r="B4" t="s">
        <v>67</v>
      </c>
      <c r="C4" t="s">
        <v>21</v>
      </c>
      <c r="D4" t="s">
        <v>123</v>
      </c>
      <c r="E4" t="s">
        <v>13</v>
      </c>
      <c r="G4" t="s">
        <v>185</v>
      </c>
      <c r="H4" t="s">
        <v>336</v>
      </c>
    </row>
    <row r="5" spans="1:26" x14ac:dyDescent="0.25">
      <c r="A5" t="s">
        <v>344</v>
      </c>
      <c r="B5" t="s">
        <v>326</v>
      </c>
      <c r="C5" t="s">
        <v>21</v>
      </c>
      <c r="D5" t="s">
        <v>152</v>
      </c>
      <c r="E5" t="s">
        <v>24</v>
      </c>
      <c r="G5" t="s">
        <v>187</v>
      </c>
      <c r="H5" t="s">
        <v>337</v>
      </c>
    </row>
    <row r="6" spans="1:26" x14ac:dyDescent="0.25">
      <c r="A6" t="s">
        <v>345</v>
      </c>
      <c r="B6" t="s">
        <v>326</v>
      </c>
      <c r="C6" t="s">
        <v>21</v>
      </c>
      <c r="D6" t="s">
        <v>152</v>
      </c>
      <c r="E6" t="s">
        <v>15</v>
      </c>
      <c r="G6" t="s">
        <v>186</v>
      </c>
      <c r="H6" t="s">
        <v>337</v>
      </c>
    </row>
    <row r="7" spans="1:26" x14ac:dyDescent="0.25">
      <c r="A7" t="s">
        <v>346</v>
      </c>
      <c r="B7" t="s">
        <v>67</v>
      </c>
      <c r="C7" t="s">
        <v>21</v>
      </c>
      <c r="D7" t="s">
        <v>123</v>
      </c>
      <c r="E7" t="s">
        <v>24</v>
      </c>
      <c r="G7" t="s">
        <v>187</v>
      </c>
      <c r="H7" t="s">
        <v>336</v>
      </c>
    </row>
    <row r="8" spans="1:26" x14ac:dyDescent="0.25">
      <c r="A8" t="s">
        <v>347</v>
      </c>
      <c r="B8" t="s">
        <v>67</v>
      </c>
      <c r="C8" t="s">
        <v>21</v>
      </c>
      <c r="D8" t="s">
        <v>123</v>
      </c>
      <c r="E8" t="s">
        <v>15</v>
      </c>
      <c r="G8" t="s">
        <v>186</v>
      </c>
      <c r="H8" t="s">
        <v>336</v>
      </c>
    </row>
    <row r="9" spans="1:26" x14ac:dyDescent="0.25">
      <c r="A9" t="s">
        <v>348</v>
      </c>
      <c r="B9" t="s">
        <v>67</v>
      </c>
      <c r="C9" t="s">
        <v>21</v>
      </c>
      <c r="D9" t="s">
        <v>123</v>
      </c>
      <c r="E9" t="s">
        <v>101</v>
      </c>
      <c r="G9" t="s">
        <v>184</v>
      </c>
      <c r="H9" t="s">
        <v>336</v>
      </c>
    </row>
    <row r="10" spans="1:26" x14ac:dyDescent="0.25">
      <c r="A10" t="s">
        <v>349</v>
      </c>
      <c r="B10" t="s">
        <v>10</v>
      </c>
      <c r="C10" t="s">
        <v>21</v>
      </c>
      <c r="D10" t="s">
        <v>22</v>
      </c>
      <c r="E10" t="s">
        <v>24</v>
      </c>
      <c r="G10" t="s">
        <v>187</v>
      </c>
      <c r="H10" t="s">
        <v>339</v>
      </c>
      <c r="Z10" t="s">
        <v>339</v>
      </c>
    </row>
    <row r="11" spans="1:26" x14ac:dyDescent="0.25">
      <c r="A11" t="s">
        <v>350</v>
      </c>
      <c r="B11" t="s">
        <v>10</v>
      </c>
      <c r="C11" t="s">
        <v>21</v>
      </c>
      <c r="D11" t="s">
        <v>22</v>
      </c>
      <c r="E11" t="s">
        <v>15</v>
      </c>
      <c r="G11" t="s">
        <v>186</v>
      </c>
      <c r="H11" t="s">
        <v>339</v>
      </c>
      <c r="Z11" t="s">
        <v>339</v>
      </c>
    </row>
    <row r="12" spans="1:26" x14ac:dyDescent="0.25">
      <c r="A12" t="s">
        <v>362</v>
      </c>
      <c r="B12" t="s">
        <v>67</v>
      </c>
      <c r="C12" t="s">
        <v>154</v>
      </c>
      <c r="D12" t="s">
        <v>84</v>
      </c>
      <c r="E12" t="s">
        <v>13</v>
      </c>
      <c r="F12" t="s">
        <v>75</v>
      </c>
      <c r="G12" t="s">
        <v>227</v>
      </c>
      <c r="N12" s="33"/>
      <c r="X12" t="s">
        <v>356</v>
      </c>
      <c r="Y12">
        <v>38</v>
      </c>
      <c r="Z12" t="s">
        <v>357</v>
      </c>
    </row>
    <row r="13" spans="1:26" x14ac:dyDescent="0.25">
      <c r="A13" t="s">
        <v>363</v>
      </c>
      <c r="B13" t="s">
        <v>67</v>
      </c>
      <c r="C13" t="s">
        <v>154</v>
      </c>
      <c r="D13" t="s">
        <v>83</v>
      </c>
      <c r="E13" t="s">
        <v>13</v>
      </c>
      <c r="F13" t="s">
        <v>75</v>
      </c>
      <c r="G13" t="s">
        <v>227</v>
      </c>
      <c r="X13" t="s">
        <v>356</v>
      </c>
      <c r="Y13">
        <v>38</v>
      </c>
      <c r="Z13" t="s">
        <v>358</v>
      </c>
    </row>
    <row r="14" spans="1:26" x14ac:dyDescent="0.25">
      <c r="A14" t="s">
        <v>364</v>
      </c>
      <c r="B14" t="s">
        <v>36</v>
      </c>
      <c r="C14" t="s">
        <v>37</v>
      </c>
      <c r="D14" t="s">
        <v>38</v>
      </c>
      <c r="E14" t="s">
        <v>13</v>
      </c>
      <c r="F14" t="s">
        <v>39</v>
      </c>
      <c r="G14" t="s">
        <v>217</v>
      </c>
      <c r="X14" t="s">
        <v>38</v>
      </c>
      <c r="Y14">
        <v>1</v>
      </c>
      <c r="Z14" t="s">
        <v>339</v>
      </c>
    </row>
    <row r="15" spans="1:26" x14ac:dyDescent="0.25">
      <c r="A15" t="s">
        <v>365</v>
      </c>
      <c r="B15" t="s">
        <v>36</v>
      </c>
      <c r="C15" t="s">
        <v>37</v>
      </c>
      <c r="D15" t="s">
        <v>41</v>
      </c>
      <c r="E15" t="s">
        <v>13</v>
      </c>
      <c r="F15" t="s">
        <v>42</v>
      </c>
      <c r="G15" t="s">
        <v>217</v>
      </c>
      <c r="X15" t="s">
        <v>41</v>
      </c>
      <c r="Y15">
        <v>1</v>
      </c>
      <c r="Z15" t="s">
        <v>339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164"/>
  <sheetViews>
    <sheetView tabSelected="1" zoomScale="85" zoomScaleNormal="85" workbookViewId="0">
      <pane xSplit="2" ySplit="5" topLeftCell="M6" activePane="bottomRight" state="frozen"/>
      <selection pane="topRight" activeCell="C1" sqref="C1"/>
      <selection pane="bottomLeft" activeCell="A6" sqref="A6"/>
      <selection pane="bottomRight" activeCell="R13" sqref="R13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32.42578125" style="1" customWidth="1"/>
    <col min="4" max="4" width="17" style="2" customWidth="1"/>
    <col min="5" max="5" width="12.28515625" style="2" bestFit="1" customWidth="1"/>
    <col min="6" max="6" width="16.85546875" style="1" customWidth="1"/>
    <col min="7" max="7" width="24.7109375" style="6" bestFit="1" customWidth="1"/>
    <col min="8" max="12" width="22.7109375" style="6" customWidth="1"/>
    <col min="13" max="13" width="17.140625" style="6" bestFit="1" customWidth="1"/>
    <col min="14" max="14" width="16.28515625" style="4" customWidth="1"/>
    <col min="15" max="15" width="24.28515625" style="4" customWidth="1"/>
    <col min="16" max="16" width="30.42578125" style="1" bestFit="1" customWidth="1"/>
    <col min="17" max="17" width="23.85546875" style="1" customWidth="1"/>
    <col min="18" max="18" width="23.7109375" style="1" customWidth="1"/>
    <col min="19" max="19" width="19.28515625" style="32" bestFit="1" customWidth="1"/>
    <col min="20" max="16384" width="16.28515625" style="1"/>
  </cols>
  <sheetData>
    <row r="2" spans="1:19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69"/>
      <c r="H2" s="66"/>
      <c r="I2" s="66"/>
      <c r="J2" s="66"/>
      <c r="K2" s="66"/>
      <c r="L2" s="66"/>
      <c r="M2" s="69"/>
      <c r="N2" s="30"/>
      <c r="O2" s="30"/>
      <c r="P2" s="8"/>
      <c r="Q2" s="8"/>
      <c r="R2" s="8"/>
    </row>
    <row r="3" spans="1:19" ht="18.75" customHeight="1" x14ac:dyDescent="0.3">
      <c r="A3" s="57" t="s">
        <v>174</v>
      </c>
      <c r="B3" s="57" t="s">
        <v>1</v>
      </c>
      <c r="C3" s="62" t="s">
        <v>2</v>
      </c>
      <c r="D3" s="62" t="s">
        <v>3</v>
      </c>
      <c r="E3" s="62" t="s">
        <v>4</v>
      </c>
      <c r="F3" s="62" t="s">
        <v>5</v>
      </c>
      <c r="G3" s="70" t="s">
        <v>6</v>
      </c>
      <c r="H3" s="71" t="s">
        <v>7</v>
      </c>
      <c r="I3" s="71"/>
      <c r="J3" s="71"/>
      <c r="K3" s="71"/>
      <c r="L3" s="71"/>
      <c r="M3" s="70" t="s">
        <v>193</v>
      </c>
      <c r="N3" s="64" t="s">
        <v>8</v>
      </c>
      <c r="O3" s="64" t="s">
        <v>9</v>
      </c>
      <c r="P3" s="65" t="s">
        <v>176</v>
      </c>
      <c r="Q3" s="65" t="s">
        <v>317</v>
      </c>
      <c r="R3" s="65" t="s">
        <v>318</v>
      </c>
      <c r="S3" s="64" t="s">
        <v>334</v>
      </c>
    </row>
    <row r="4" spans="1:19" s="60" customFormat="1" ht="18.75" x14ac:dyDescent="0.25">
      <c r="A4" s="57"/>
      <c r="B4" s="57"/>
      <c r="C4" s="63"/>
      <c r="D4" s="63"/>
      <c r="E4" s="63"/>
      <c r="F4" s="63"/>
      <c r="G4" s="70"/>
      <c r="H4" s="67" t="s">
        <v>369</v>
      </c>
      <c r="I4" s="67" t="s">
        <v>370</v>
      </c>
      <c r="J4" s="67" t="s">
        <v>371</v>
      </c>
      <c r="K4" s="67" t="s">
        <v>372</v>
      </c>
      <c r="L4" s="67" t="s">
        <v>373</v>
      </c>
      <c r="M4" s="70"/>
      <c r="N4" s="64"/>
      <c r="O4" s="64"/>
      <c r="P4" s="65"/>
      <c r="Q4" s="65"/>
      <c r="R4" s="65"/>
      <c r="S4" s="64"/>
    </row>
    <row r="5" spans="1:19" s="61" customFormat="1" ht="10.5" customHeight="1" x14ac:dyDescent="0.25">
      <c r="A5" s="58" t="s">
        <v>212</v>
      </c>
      <c r="B5" s="58" t="s">
        <v>212</v>
      </c>
      <c r="C5" s="58" t="s">
        <v>212</v>
      </c>
      <c r="D5" s="58" t="s">
        <v>212</v>
      </c>
      <c r="E5" s="58" t="s">
        <v>212</v>
      </c>
      <c r="F5" s="58" t="s">
        <v>212</v>
      </c>
      <c r="G5" s="68" t="s">
        <v>212</v>
      </c>
      <c r="H5" s="68" t="s">
        <v>212</v>
      </c>
      <c r="I5" s="68" t="s">
        <v>212</v>
      </c>
      <c r="J5" s="68" t="s">
        <v>212</v>
      </c>
      <c r="K5" s="68" t="s">
        <v>212</v>
      </c>
      <c r="L5" s="68" t="s">
        <v>212</v>
      </c>
      <c r="M5" s="68" t="s">
        <v>212</v>
      </c>
      <c r="N5" s="59" t="s">
        <v>212</v>
      </c>
      <c r="O5" s="59" t="s">
        <v>212</v>
      </c>
      <c r="P5" s="58" t="s">
        <v>212</v>
      </c>
      <c r="Q5" s="58" t="s">
        <v>212</v>
      </c>
      <c r="R5" s="58" t="s">
        <v>212</v>
      </c>
      <c r="S5" s="59" t="s">
        <v>212</v>
      </c>
    </row>
    <row r="6" spans="1:19" x14ac:dyDescent="0.25">
      <c r="A6" s="1" t="s">
        <v>10</v>
      </c>
      <c r="B6" s="31" t="s">
        <v>11</v>
      </c>
      <c r="C6" s="1" t="s">
        <v>12</v>
      </c>
      <c r="D6" s="2" t="s">
        <v>13</v>
      </c>
      <c r="E6" s="2" t="s">
        <v>14</v>
      </c>
      <c r="G6" s="6">
        <v>10000</v>
      </c>
      <c r="M6" s="6">
        <f t="shared" ref="M6:M37" si="0">G6-(H6+I6+J6+K6+L6)</f>
        <v>10000</v>
      </c>
      <c r="N6" s="4">
        <f>G6/VLOOKUP(A6,RESUME!$G$3:$I$10,3,FALSE)</f>
        <v>0.14728026373771388</v>
      </c>
      <c r="O6" s="4" t="str">
        <f t="shared" ref="O6:O37" si="1">IFERROR((G6/H6)*N6,"")</f>
        <v/>
      </c>
      <c r="P6" s="1" t="str">
        <f>_xlfn.IFNA(VLOOKUP(A6&amp;"-"&amp;B6&amp;"-"&amp;D6,Ref_Account!$A:$F,6,FALSE),"ACCOUNT TIDAK DITEMUKAN")</f>
        <v>1201.720400</v>
      </c>
      <c r="R6" s="1">
        <f t="shared" ref="R6:R37" si="2">IF(P6="ACCOUNT TIDAK DITEMUKAN","9999",COUNTIF($P$6:$P$164,P6))</f>
        <v>1</v>
      </c>
      <c r="S6" s="32" t="str">
        <f t="shared" ref="S6:S37" si="3">IF(M6&gt;0,"OK","OVER")</f>
        <v>OK</v>
      </c>
    </row>
    <row r="7" spans="1:19" x14ac:dyDescent="0.25">
      <c r="A7" s="1" t="s">
        <v>10</v>
      </c>
      <c r="B7" t="s">
        <v>11</v>
      </c>
      <c r="C7" s="1" t="s">
        <v>12</v>
      </c>
      <c r="D7" s="2" t="s">
        <v>15</v>
      </c>
      <c r="E7" s="2" t="s">
        <v>16</v>
      </c>
      <c r="G7" s="6">
        <v>10000</v>
      </c>
      <c r="M7" s="6">
        <f t="shared" si="0"/>
        <v>10000</v>
      </c>
      <c r="N7" s="4">
        <f>G7/VLOOKUP(A7,RESUME!$G$3:$I$10,3,FALSE)</f>
        <v>0.14728026373771388</v>
      </c>
      <c r="O7" s="4" t="str">
        <f t="shared" si="1"/>
        <v/>
      </c>
      <c r="P7" s="1" t="str">
        <f>_xlfn.IFNA(VLOOKUP(A7&amp;"-"&amp;B7&amp;"-"&amp;D7,Ref_Account!$A:$F,6,FALSE),"ACCOUNT TIDAK DITEMUKAN")</f>
        <v>1204.720400</v>
      </c>
      <c r="R7" s="1">
        <f t="shared" si="2"/>
        <v>1</v>
      </c>
      <c r="S7" s="32" t="str">
        <f t="shared" si="3"/>
        <v>OK</v>
      </c>
    </row>
    <row r="8" spans="1:19" x14ac:dyDescent="0.25">
      <c r="A8" s="1" t="s">
        <v>10</v>
      </c>
      <c r="B8" t="s">
        <v>17</v>
      </c>
      <c r="C8" s="1" t="s">
        <v>18</v>
      </c>
      <c r="D8" s="2" t="s">
        <v>13</v>
      </c>
      <c r="E8" s="2" t="s">
        <v>19</v>
      </c>
      <c r="G8" s="6">
        <v>1987.05</v>
      </c>
      <c r="M8" s="6">
        <f t="shared" si="0"/>
        <v>1987.05</v>
      </c>
      <c r="N8" s="4">
        <f>G8/VLOOKUP(A8,RESUME!$G$3:$I$10,3,FALSE)</f>
        <v>2.9265324806002437E-2</v>
      </c>
      <c r="O8" s="4" t="str">
        <f t="shared" si="1"/>
        <v/>
      </c>
      <c r="P8" s="1" t="str">
        <f>_xlfn.IFNA(VLOOKUP(A8&amp;"-"&amp;B8&amp;"-"&amp;D8,Ref_Account!$A:$F,6,FALSE),"ACCOUNT TIDAK DITEMUKAN")</f>
        <v>1201.816110</v>
      </c>
      <c r="R8" s="1">
        <f t="shared" si="2"/>
        <v>1</v>
      </c>
      <c r="S8" s="32" t="str">
        <f t="shared" si="3"/>
        <v>OK</v>
      </c>
    </row>
    <row r="9" spans="1:19" x14ac:dyDescent="0.25">
      <c r="A9" s="1" t="s">
        <v>10</v>
      </c>
      <c r="B9" t="s">
        <v>17</v>
      </c>
      <c r="C9" s="1" t="s">
        <v>18</v>
      </c>
      <c r="D9" s="2" t="s">
        <v>15</v>
      </c>
      <c r="E9" s="2" t="s">
        <v>20</v>
      </c>
      <c r="G9" s="6">
        <v>326</v>
      </c>
      <c r="M9" s="6">
        <f t="shared" si="0"/>
        <v>326</v>
      </c>
      <c r="N9" s="4">
        <f>G9/VLOOKUP(A9,RESUME!$G$3:$I$10,3,FALSE)</f>
        <v>4.8013365978494729E-3</v>
      </c>
      <c r="O9" s="4" t="str">
        <f t="shared" si="1"/>
        <v/>
      </c>
      <c r="P9" s="1" t="str">
        <f>_xlfn.IFNA(VLOOKUP(A9&amp;"-"&amp;B9&amp;"-"&amp;D9,Ref_Account!$A:$F,6,FALSE),"ACCOUNT TIDAK DITEMUKAN")</f>
        <v>1204.816110</v>
      </c>
      <c r="R9" s="1">
        <f t="shared" si="2"/>
        <v>1</v>
      </c>
      <c r="S9" s="32" t="str">
        <f t="shared" si="3"/>
        <v>OK</v>
      </c>
    </row>
    <row r="10" spans="1:19" x14ac:dyDescent="0.25">
      <c r="A10" s="1" t="s">
        <v>10</v>
      </c>
      <c r="B10" t="s">
        <v>21</v>
      </c>
      <c r="C10" s="1" t="s">
        <v>22</v>
      </c>
      <c r="D10" s="2" t="s">
        <v>13</v>
      </c>
      <c r="E10" s="2" t="s">
        <v>23</v>
      </c>
      <c r="G10" s="6">
        <v>15015.099999999999</v>
      </c>
      <c r="M10" s="6">
        <f t="shared" si="0"/>
        <v>15015.099999999999</v>
      </c>
      <c r="N10" s="4">
        <f>G10/VLOOKUP(A10,RESUME!$G$3:$I$10,3,FALSE)</f>
        <v>0.22114278880481478</v>
      </c>
      <c r="O10" s="4" t="str">
        <f t="shared" si="1"/>
        <v/>
      </c>
      <c r="P10" s="1" t="str">
        <f>_xlfn.IFNA(VLOOKUP(A10&amp;"-"&amp;B10&amp;"-"&amp;D10,Ref_Account!$A:$F,6,FALSE),"ACCOUNT TIDAK DITEMUKAN")</f>
        <v>1201.631100</v>
      </c>
      <c r="R10" s="1">
        <f t="shared" si="2"/>
        <v>3</v>
      </c>
      <c r="S10" s="32" t="str">
        <f t="shared" si="3"/>
        <v>OK</v>
      </c>
    </row>
    <row r="11" spans="1:19" x14ac:dyDescent="0.25">
      <c r="A11" s="1" t="s">
        <v>10</v>
      </c>
      <c r="B11" t="s">
        <v>21</v>
      </c>
      <c r="C11" s="1" t="s">
        <v>22</v>
      </c>
      <c r="D11" s="2" t="s">
        <v>24</v>
      </c>
      <c r="E11" s="2" t="s">
        <v>25</v>
      </c>
      <c r="G11" s="6">
        <v>26.7199999999998</v>
      </c>
      <c r="M11" s="6">
        <f t="shared" si="0"/>
        <v>26.7199999999998</v>
      </c>
      <c r="N11" s="4">
        <f>G11/VLOOKUP(A11,RESUME!$G$3:$I$10,3,FALSE)</f>
        <v>3.9353286470716859E-4</v>
      </c>
      <c r="O11" s="4" t="str">
        <f t="shared" si="1"/>
        <v/>
      </c>
      <c r="P11" s="1" t="str">
        <f>_xlfn.IFNA(VLOOKUP(A11&amp;"-"&amp;B11&amp;"-"&amp;D11,Ref_Account!$A:$F,6,FALSE),"ACCOUNT TIDAK DITEMUKAN")</f>
        <v>1205.631100</v>
      </c>
      <c r="R11" s="1">
        <f t="shared" si="2"/>
        <v>3</v>
      </c>
      <c r="S11" s="32" t="str">
        <f t="shared" si="3"/>
        <v>OK</v>
      </c>
    </row>
    <row r="12" spans="1:19" x14ac:dyDescent="0.25">
      <c r="A12" s="1" t="s">
        <v>10</v>
      </c>
      <c r="B12" t="s">
        <v>21</v>
      </c>
      <c r="C12" s="1" t="s">
        <v>22</v>
      </c>
      <c r="D12" s="2" t="s">
        <v>15</v>
      </c>
      <c r="E12" s="2" t="s">
        <v>25</v>
      </c>
      <c r="G12" s="6">
        <v>15124.89</v>
      </c>
      <c r="M12" s="6">
        <f t="shared" si="0"/>
        <v>15124.89</v>
      </c>
      <c r="N12" s="4">
        <f>G12/VLOOKUP(A12,RESUME!$G$3:$I$10,3,FALSE)</f>
        <v>0.22275977882039114</v>
      </c>
      <c r="O12" s="4" t="str">
        <f t="shared" si="1"/>
        <v/>
      </c>
      <c r="P12" s="1" t="str">
        <f>_xlfn.IFNA(VLOOKUP(A12&amp;"-"&amp;B12&amp;"-"&amp;D12,Ref_Account!$A:$F,6,FALSE),"ACCOUNT TIDAK DITEMUKAN")</f>
        <v>1204.631100</v>
      </c>
      <c r="R12" s="1">
        <f t="shared" si="2"/>
        <v>3</v>
      </c>
      <c r="S12" s="32" t="str">
        <f t="shared" si="3"/>
        <v>OK</v>
      </c>
    </row>
    <row r="13" spans="1:19" x14ac:dyDescent="0.25">
      <c r="A13" s="1" t="s">
        <v>10</v>
      </c>
      <c r="B13" t="s">
        <v>26</v>
      </c>
      <c r="C13" s="1" t="s">
        <v>27</v>
      </c>
      <c r="D13" s="2" t="s">
        <v>13</v>
      </c>
      <c r="E13" s="2" t="s">
        <v>28</v>
      </c>
      <c r="G13" s="6">
        <v>639</v>
      </c>
      <c r="M13" s="6">
        <f t="shared" si="0"/>
        <v>639</v>
      </c>
      <c r="N13" s="4">
        <f>G13/VLOOKUP(A13,RESUME!$G$3:$I$10,3,FALSE)</f>
        <v>9.4112088528399175E-3</v>
      </c>
      <c r="O13" s="4" t="str">
        <f t="shared" si="1"/>
        <v/>
      </c>
      <c r="P13" s="1" t="str">
        <f>_xlfn.IFNA(VLOOKUP(A13&amp;"-"&amp;B13&amp;"-"&amp;D13,Ref_Account!$A:$F,6,FALSE),"ACCOUNT TIDAK DITEMUKAN")</f>
        <v>1201.631180</v>
      </c>
      <c r="R13" s="1">
        <f t="shared" si="2"/>
        <v>1</v>
      </c>
      <c r="S13" s="32" t="str">
        <f t="shared" si="3"/>
        <v>OK</v>
      </c>
    </row>
    <row r="14" spans="1:19" x14ac:dyDescent="0.25">
      <c r="A14" s="1" t="s">
        <v>10</v>
      </c>
      <c r="B14" t="s">
        <v>26</v>
      </c>
      <c r="C14" s="1" t="s">
        <v>27</v>
      </c>
      <c r="D14" s="2" t="s">
        <v>24</v>
      </c>
      <c r="E14" s="2" t="s">
        <v>29</v>
      </c>
      <c r="G14" s="6">
        <v>1265</v>
      </c>
      <c r="M14" s="6">
        <f t="shared" si="0"/>
        <v>1265</v>
      </c>
      <c r="N14" s="4">
        <f>G14/VLOOKUP(A14,RESUME!$G$3:$I$10,3,FALSE)</f>
        <v>1.8630953362820807E-2</v>
      </c>
      <c r="O14" s="4" t="str">
        <f t="shared" si="1"/>
        <v/>
      </c>
      <c r="P14" s="1" t="str">
        <f>_xlfn.IFNA(VLOOKUP(A14&amp;"-"&amp;B14&amp;"-"&amp;D14,Ref_Account!$A:$F,6,FALSE),"ACCOUNT TIDAK DITEMUKAN")</f>
        <v>1204.631180</v>
      </c>
      <c r="R14" s="1">
        <f t="shared" si="2"/>
        <v>1</v>
      </c>
      <c r="S14" s="34" t="str">
        <f t="shared" si="3"/>
        <v>OK</v>
      </c>
    </row>
    <row r="15" spans="1:19" x14ac:dyDescent="0.25">
      <c r="A15" s="1" t="s">
        <v>10</v>
      </c>
      <c r="B15" t="s">
        <v>26</v>
      </c>
      <c r="C15" s="1" t="s">
        <v>27</v>
      </c>
      <c r="D15" s="2" t="s">
        <v>15</v>
      </c>
      <c r="E15" s="2" t="s">
        <v>29</v>
      </c>
      <c r="G15" s="6">
        <v>2489</v>
      </c>
      <c r="M15" s="6">
        <f t="shared" si="0"/>
        <v>2489</v>
      </c>
      <c r="N15" s="4">
        <f>G15/VLOOKUP(A15,RESUME!$G$3:$I$10,3,FALSE)</f>
        <v>3.6658057644316989E-2</v>
      </c>
      <c r="O15" s="4" t="str">
        <f t="shared" si="1"/>
        <v/>
      </c>
      <c r="P15" s="1" t="str">
        <f>_xlfn.IFNA(VLOOKUP(A15&amp;"-"&amp;B15&amp;"-"&amp;D15,Ref_Account!$A:$F,6,FALSE),"ACCOUNT TIDAK DITEMUKAN")</f>
        <v>1205.631180</v>
      </c>
      <c r="R15" s="1">
        <f t="shared" si="2"/>
        <v>1</v>
      </c>
      <c r="S15" s="32" t="str">
        <f t="shared" si="3"/>
        <v>OK</v>
      </c>
    </row>
    <row r="16" spans="1:19" x14ac:dyDescent="0.25">
      <c r="A16" s="1" t="s">
        <v>10</v>
      </c>
      <c r="B16" t="s">
        <v>30</v>
      </c>
      <c r="C16" s="1" t="s">
        <v>31</v>
      </c>
      <c r="D16" s="2" t="s">
        <v>13</v>
      </c>
      <c r="E16" s="2" t="s">
        <v>28</v>
      </c>
      <c r="G16" s="6">
        <v>1025</v>
      </c>
      <c r="M16" s="6">
        <f t="shared" si="0"/>
        <v>1025</v>
      </c>
      <c r="N16" s="4">
        <f>G16/VLOOKUP(A16,RESUME!$G$3:$I$10,3,FALSE)</f>
        <v>1.5096227033115674E-2</v>
      </c>
      <c r="O16" s="4" t="str">
        <f t="shared" si="1"/>
        <v/>
      </c>
      <c r="P16" s="1" t="str">
        <f>_xlfn.IFNA(VLOOKUP(A16&amp;"-"&amp;B16&amp;"-"&amp;D16,Ref_Account!$A:$F,6,FALSE),"ACCOUNT TIDAK DITEMUKAN")</f>
        <v>1201.631150</v>
      </c>
      <c r="R16" s="1">
        <f t="shared" si="2"/>
        <v>1</v>
      </c>
      <c r="S16" s="32" t="str">
        <f t="shared" si="3"/>
        <v>OK</v>
      </c>
    </row>
    <row r="17" spans="1:19" x14ac:dyDescent="0.25">
      <c r="A17" s="1" t="s">
        <v>10</v>
      </c>
      <c r="B17" t="s">
        <v>32</v>
      </c>
      <c r="C17" s="1" t="s">
        <v>33</v>
      </c>
      <c r="D17" s="2" t="s">
        <v>13</v>
      </c>
      <c r="E17" s="2" t="s">
        <v>34</v>
      </c>
      <c r="G17" s="6">
        <v>8000</v>
      </c>
      <c r="M17" s="6">
        <f t="shared" si="0"/>
        <v>8000</v>
      </c>
      <c r="N17" s="4">
        <f>G17/VLOOKUP(A17,RESUME!$G$3:$I$10,3,FALSE)</f>
        <v>0.11782421099017111</v>
      </c>
      <c r="O17" s="4" t="str">
        <f t="shared" si="1"/>
        <v/>
      </c>
      <c r="P17" s="1" t="str">
        <f>_xlfn.IFNA(VLOOKUP(A17&amp;"-"&amp;B17&amp;"-"&amp;D17,Ref_Account!$A:$F,6,FALSE),"ACCOUNT TIDAK DITEMUKAN")</f>
        <v>1201.720100</v>
      </c>
      <c r="R17" s="1">
        <f t="shared" si="2"/>
        <v>1</v>
      </c>
      <c r="S17" s="32" t="str">
        <f t="shared" si="3"/>
        <v>OK</v>
      </c>
    </row>
    <row r="18" spans="1:19" x14ac:dyDescent="0.25">
      <c r="A18" s="1" t="s">
        <v>10</v>
      </c>
      <c r="B18" t="s">
        <v>32</v>
      </c>
      <c r="C18" s="1" t="s">
        <v>33</v>
      </c>
      <c r="D18" s="2" t="s">
        <v>24</v>
      </c>
      <c r="E18" s="2" t="s">
        <v>34</v>
      </c>
      <c r="G18" s="6">
        <v>1000</v>
      </c>
      <c r="M18" s="6">
        <f t="shared" si="0"/>
        <v>1000</v>
      </c>
      <c r="N18" s="4">
        <f>G18/VLOOKUP(A18,RESUME!$G$3:$I$10,3,FALSE)</f>
        <v>1.4728026373771389E-2</v>
      </c>
      <c r="O18" s="4" t="str">
        <f t="shared" si="1"/>
        <v/>
      </c>
      <c r="P18" s="1" t="str">
        <f>_xlfn.IFNA(VLOOKUP(A18&amp;"-"&amp;B18&amp;"-"&amp;D18,Ref_Account!$A:$F,6,FALSE),"ACCOUNT TIDAK DITEMUKAN")</f>
        <v>1205.720100</v>
      </c>
      <c r="R18" s="1">
        <f t="shared" si="2"/>
        <v>1</v>
      </c>
      <c r="S18" s="32" t="str">
        <f t="shared" si="3"/>
        <v>OK</v>
      </c>
    </row>
    <row r="19" spans="1:19" x14ac:dyDescent="0.25">
      <c r="A19" s="1" t="s">
        <v>10</v>
      </c>
      <c r="B19" t="s">
        <v>32</v>
      </c>
      <c r="C19" s="1" t="s">
        <v>33</v>
      </c>
      <c r="D19" s="2" t="s">
        <v>15</v>
      </c>
      <c r="E19" s="2" t="s">
        <v>34</v>
      </c>
      <c r="G19" s="6">
        <v>1000</v>
      </c>
      <c r="M19" s="6">
        <f t="shared" si="0"/>
        <v>1000</v>
      </c>
      <c r="N19" s="4">
        <f>G19/VLOOKUP(A19,RESUME!$G$3:$I$10,3,FALSE)</f>
        <v>1.4728026373771389E-2</v>
      </c>
      <c r="O19" s="4" t="str">
        <f t="shared" si="1"/>
        <v/>
      </c>
      <c r="P19" s="1" t="str">
        <f>_xlfn.IFNA(VLOOKUP(A19&amp;"-"&amp;B19&amp;"-"&amp;D19,Ref_Account!$A:$F,6,FALSE),"ACCOUNT TIDAK DITEMUKAN")</f>
        <v>1204.720100</v>
      </c>
      <c r="R19" s="1">
        <f t="shared" si="2"/>
        <v>1</v>
      </c>
      <c r="S19" s="32" t="str">
        <f t="shared" si="3"/>
        <v>OK</v>
      </c>
    </row>
    <row r="20" spans="1:19" x14ac:dyDescent="0.25">
      <c r="A20" s="1" t="s">
        <v>36</v>
      </c>
      <c r="B20" t="s">
        <v>37</v>
      </c>
      <c r="C20" s="1" t="s">
        <v>38</v>
      </c>
      <c r="D20" s="2" t="s">
        <v>13</v>
      </c>
      <c r="E20" s="2" t="s">
        <v>39</v>
      </c>
      <c r="G20" s="6">
        <v>151561</v>
      </c>
      <c r="M20" s="6">
        <f t="shared" si="0"/>
        <v>151561</v>
      </c>
      <c r="N20" s="4">
        <f>G20/VLOOKUP(A20,RESUME!$G$3:$I$10,3,FALSE)</f>
        <v>0.65619333139484248</v>
      </c>
      <c r="O20" s="4" t="str">
        <f t="shared" si="1"/>
        <v/>
      </c>
      <c r="P20" s="1" t="str">
        <f>_xlfn.IFNA(VLOOKUP(A20&amp;"-"&amp;B20&amp;"-"&amp;D20,Ref_Account!$A:$F,6,FALSE),"ACCOUNT TIDAK DITEMUKAN")</f>
        <v>1201.630600</v>
      </c>
      <c r="R20" s="1">
        <f t="shared" si="2"/>
        <v>2</v>
      </c>
      <c r="S20" s="32" t="str">
        <f t="shared" si="3"/>
        <v>OK</v>
      </c>
    </row>
    <row r="21" spans="1:19" x14ac:dyDescent="0.25">
      <c r="A21" s="1" t="s">
        <v>36</v>
      </c>
      <c r="B21" t="s">
        <v>37</v>
      </c>
      <c r="C21" s="1" t="s">
        <v>38</v>
      </c>
      <c r="D21" s="2" t="s">
        <v>24</v>
      </c>
      <c r="E21" s="2" t="s">
        <v>39</v>
      </c>
      <c r="G21" s="6">
        <v>26883.15</v>
      </c>
      <c r="M21" s="6">
        <f t="shared" si="0"/>
        <v>26883.15</v>
      </c>
      <c r="N21" s="4">
        <f>G21/VLOOKUP(A21,RESUME!$G$3:$I$10,3,FALSE)</f>
        <v>0.11639236846475848</v>
      </c>
      <c r="O21" s="4" t="str">
        <f t="shared" si="1"/>
        <v/>
      </c>
      <c r="P21" s="1" t="str">
        <f>_xlfn.IFNA(VLOOKUP(A21&amp;"-"&amp;B21&amp;"-"&amp;D21,Ref_Account!$A:$F,6,FALSE),"ACCOUNT TIDAK DITEMUKAN")</f>
        <v>1205.630600</v>
      </c>
      <c r="R21" s="1">
        <f t="shared" si="2"/>
        <v>2</v>
      </c>
      <c r="S21" s="32" t="str">
        <f t="shared" si="3"/>
        <v>OK</v>
      </c>
    </row>
    <row r="22" spans="1:19" x14ac:dyDescent="0.25">
      <c r="A22" s="1" t="s">
        <v>36</v>
      </c>
      <c r="B22" t="s">
        <v>37</v>
      </c>
      <c r="C22" s="1" t="s">
        <v>38</v>
      </c>
      <c r="D22" s="2" t="s">
        <v>15</v>
      </c>
      <c r="E22" s="2" t="s">
        <v>40</v>
      </c>
      <c r="G22" s="6">
        <v>32525.89</v>
      </c>
      <c r="M22" s="6">
        <f t="shared" si="0"/>
        <v>32525.89</v>
      </c>
      <c r="N22" s="4">
        <f>G22/VLOOKUP(A22,RESUME!$G$3:$I$10,3,FALSE)</f>
        <v>0.14082298292886819</v>
      </c>
      <c r="O22" s="4" t="str">
        <f t="shared" si="1"/>
        <v/>
      </c>
      <c r="P22" s="1" t="str">
        <f>_xlfn.IFNA(VLOOKUP(A22&amp;"-"&amp;B22&amp;"-"&amp;D22,Ref_Account!$A:$F,6,FALSE),"ACCOUNT TIDAK DITEMUKAN")</f>
        <v>1204.630600</v>
      </c>
      <c r="R22" s="1">
        <f t="shared" si="2"/>
        <v>2</v>
      </c>
      <c r="S22" s="32" t="str">
        <f t="shared" si="3"/>
        <v>OK</v>
      </c>
    </row>
    <row r="23" spans="1:19" x14ac:dyDescent="0.25">
      <c r="A23" s="1" t="s">
        <v>36</v>
      </c>
      <c r="B23" t="s">
        <v>37</v>
      </c>
      <c r="C23" s="1" t="s">
        <v>41</v>
      </c>
      <c r="D23" s="2" t="s">
        <v>13</v>
      </c>
      <c r="E23" s="2" t="s">
        <v>42</v>
      </c>
      <c r="G23" s="6">
        <v>5000</v>
      </c>
      <c r="M23" s="6">
        <f t="shared" si="0"/>
        <v>5000</v>
      </c>
      <c r="N23" s="4">
        <f>G23/VLOOKUP(A23,RESUME!$G$3:$I$10,3,FALSE)</f>
        <v>2.1647829302882747E-2</v>
      </c>
      <c r="O23" s="4" t="str">
        <f t="shared" si="1"/>
        <v/>
      </c>
      <c r="P23" s="1" t="str">
        <f>_xlfn.IFNA(VLOOKUP(A23&amp;"-"&amp;B23&amp;"-"&amp;D23,Ref_Account!$A:$F,6,FALSE),"ACCOUNT TIDAK DITEMUKAN")</f>
        <v>1201.630600</v>
      </c>
      <c r="R23" s="1">
        <f t="shared" si="2"/>
        <v>2</v>
      </c>
      <c r="S23" s="32" t="str">
        <f t="shared" si="3"/>
        <v>OK</v>
      </c>
    </row>
    <row r="24" spans="1:19" x14ac:dyDescent="0.25">
      <c r="A24" s="1" t="s">
        <v>36</v>
      </c>
      <c r="B24" t="s">
        <v>37</v>
      </c>
      <c r="C24" s="1" t="s">
        <v>38</v>
      </c>
      <c r="D24" s="2" t="s">
        <v>24</v>
      </c>
      <c r="E24" s="2" t="s">
        <v>43</v>
      </c>
      <c r="G24" s="6">
        <v>7500</v>
      </c>
      <c r="M24" s="6">
        <f t="shared" si="0"/>
        <v>7500</v>
      </c>
      <c r="N24" s="4">
        <f>G24/VLOOKUP(A24,RESUME!$G$3:$I$10,3,FALSE)</f>
        <v>3.2471743954324124E-2</v>
      </c>
      <c r="O24" s="4" t="str">
        <f t="shared" si="1"/>
        <v/>
      </c>
      <c r="P24" s="1" t="str">
        <f>_xlfn.IFNA(VLOOKUP(A24&amp;"-"&amp;B24&amp;"-"&amp;D24,Ref_Account!$A:$F,6,FALSE),"ACCOUNT TIDAK DITEMUKAN")</f>
        <v>1205.630600</v>
      </c>
      <c r="R24" s="1">
        <f t="shared" si="2"/>
        <v>2</v>
      </c>
      <c r="S24" s="32" t="str">
        <f t="shared" si="3"/>
        <v>OK</v>
      </c>
    </row>
    <row r="25" spans="1:19" x14ac:dyDescent="0.25">
      <c r="A25" s="1" t="s">
        <v>36</v>
      </c>
      <c r="B25" t="s">
        <v>37</v>
      </c>
      <c r="C25" s="1" t="s">
        <v>38</v>
      </c>
      <c r="D25" s="2" t="s">
        <v>15</v>
      </c>
      <c r="E25" s="2" t="s">
        <v>42</v>
      </c>
      <c r="G25" s="6">
        <v>7500</v>
      </c>
      <c r="M25" s="6">
        <f t="shared" si="0"/>
        <v>7500</v>
      </c>
      <c r="N25" s="4">
        <f>G25/VLOOKUP(A25,RESUME!$G$3:$I$10,3,FALSE)</f>
        <v>3.2471743954324124E-2</v>
      </c>
      <c r="O25" s="4" t="str">
        <f t="shared" si="1"/>
        <v/>
      </c>
      <c r="P25" s="1" t="str">
        <f>_xlfn.IFNA(VLOOKUP(A25&amp;"-"&amp;B25&amp;"-"&amp;D25,Ref_Account!$A:$F,6,FALSE),"ACCOUNT TIDAK DITEMUKAN")</f>
        <v>1204.630600</v>
      </c>
      <c r="R25" s="1">
        <f t="shared" si="2"/>
        <v>2</v>
      </c>
      <c r="S25" s="32" t="str">
        <f t="shared" si="3"/>
        <v>OK</v>
      </c>
    </row>
    <row r="26" spans="1:19" x14ac:dyDescent="0.25">
      <c r="A26" s="1" t="s">
        <v>44</v>
      </c>
      <c r="B26" t="s">
        <v>45</v>
      </c>
      <c r="M26" s="6">
        <f t="shared" si="0"/>
        <v>0</v>
      </c>
      <c r="N26" s="4">
        <f>G26/VLOOKUP(A26,RESUME!$G$3:$I$10,3,FALSE)</f>
        <v>0</v>
      </c>
      <c r="O26" s="4" t="str">
        <f t="shared" si="1"/>
        <v/>
      </c>
      <c r="P26" s="1" t="str">
        <f>_xlfn.IFNA(VLOOKUP(A26&amp;"-"&amp;B26&amp;"-"&amp;D26,Ref_Account!$A:$F,6,FALSE),"ACCOUNT TIDAK DITEMUKAN")</f>
        <v>ACCOUNT TIDAK DITEMUKAN</v>
      </c>
      <c r="R26" s="1" t="str">
        <f t="shared" si="2"/>
        <v>9999</v>
      </c>
      <c r="S26" s="32" t="str">
        <f t="shared" si="3"/>
        <v>OVER</v>
      </c>
    </row>
    <row r="27" spans="1:19" x14ac:dyDescent="0.25">
      <c r="A27" s="1" t="s">
        <v>44</v>
      </c>
      <c r="B27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6">
        <v>450</v>
      </c>
      <c r="M27" s="6">
        <f t="shared" si="0"/>
        <v>450</v>
      </c>
      <c r="N27" s="4">
        <f>G27/VLOOKUP(A27,RESUME!$G$3:$I$10,3,FALSE)</f>
        <v>5.2941176470588235E-2</v>
      </c>
      <c r="O27" s="4" t="str">
        <f t="shared" si="1"/>
        <v/>
      </c>
      <c r="P27" s="1" t="str">
        <f>_xlfn.IFNA(VLOOKUP(A27&amp;"-"&amp;B27&amp;"-"&amp;D27,Ref_Account!$A:$F,6,FALSE),"ACCOUNT TIDAK DITEMUKAN")</f>
        <v>1201.730300</v>
      </c>
      <c r="R27" s="1">
        <f t="shared" si="2"/>
        <v>5</v>
      </c>
      <c r="S27" s="32" t="str">
        <f t="shared" si="3"/>
        <v>OK</v>
      </c>
    </row>
    <row r="28" spans="1:19" x14ac:dyDescent="0.25">
      <c r="A28" s="1" t="s">
        <v>44</v>
      </c>
      <c r="B28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6">
        <v>450</v>
      </c>
      <c r="M28" s="6">
        <f t="shared" si="0"/>
        <v>450</v>
      </c>
      <c r="N28" s="4">
        <f>G28/VLOOKUP(A28,RESUME!$G$3:$I$10,3,FALSE)</f>
        <v>5.2941176470588235E-2</v>
      </c>
      <c r="O28" s="4" t="str">
        <f t="shared" si="1"/>
        <v/>
      </c>
      <c r="P28" s="1" t="str">
        <f>_xlfn.IFNA(VLOOKUP(A28&amp;"-"&amp;B28&amp;"-"&amp;D28,Ref_Account!$A:$F,6,FALSE),"ACCOUNT TIDAK DITEMUKAN")</f>
        <v>1201.730300</v>
      </c>
      <c r="R28" s="1">
        <f t="shared" si="2"/>
        <v>5</v>
      </c>
      <c r="S28" s="32" t="str">
        <f t="shared" si="3"/>
        <v>OK</v>
      </c>
    </row>
    <row r="29" spans="1:19" x14ac:dyDescent="0.25">
      <c r="A29" s="1" t="s">
        <v>44</v>
      </c>
      <c r="B29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6">
        <v>450</v>
      </c>
      <c r="M29" s="6">
        <f t="shared" si="0"/>
        <v>450</v>
      </c>
      <c r="N29" s="4">
        <f>G29/VLOOKUP(A29,RESUME!$G$3:$I$10,3,FALSE)</f>
        <v>5.2941176470588235E-2</v>
      </c>
      <c r="O29" s="4" t="str">
        <f t="shared" si="1"/>
        <v/>
      </c>
      <c r="P29" s="1" t="str">
        <f>_xlfn.IFNA(VLOOKUP(A29&amp;"-"&amp;B29&amp;"-"&amp;D29,Ref_Account!$A:$F,6,FALSE),"ACCOUNT TIDAK DITEMUKAN")</f>
        <v>1201.730300</v>
      </c>
      <c r="R29" s="1">
        <f t="shared" si="2"/>
        <v>5</v>
      </c>
      <c r="S29" s="32" t="str">
        <f t="shared" si="3"/>
        <v>OK</v>
      </c>
    </row>
    <row r="30" spans="1:19" x14ac:dyDescent="0.25">
      <c r="A30" s="1" t="s">
        <v>44</v>
      </c>
      <c r="B30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6">
        <v>450</v>
      </c>
      <c r="M30" s="6">
        <f t="shared" si="0"/>
        <v>450</v>
      </c>
      <c r="N30" s="4">
        <f>G30/VLOOKUP(A30,RESUME!$G$3:$I$10,3,FALSE)</f>
        <v>5.2941176470588235E-2</v>
      </c>
      <c r="O30" s="4" t="str">
        <f t="shared" si="1"/>
        <v/>
      </c>
      <c r="P30" s="1" t="str">
        <f>_xlfn.IFNA(VLOOKUP(A30&amp;"-"&amp;B30&amp;"-"&amp;D30,Ref_Account!$A:$F,6,FALSE),"ACCOUNT TIDAK DITEMUKAN")</f>
        <v>1201.730300</v>
      </c>
      <c r="R30" s="1">
        <f t="shared" si="2"/>
        <v>5</v>
      </c>
      <c r="S30" s="32" t="str">
        <f t="shared" si="3"/>
        <v>OK</v>
      </c>
    </row>
    <row r="31" spans="1:19" x14ac:dyDescent="0.25">
      <c r="A31" s="1" t="s">
        <v>44</v>
      </c>
      <c r="B31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6">
        <v>6300</v>
      </c>
      <c r="M31" s="6">
        <f t="shared" si="0"/>
        <v>6300</v>
      </c>
      <c r="N31" s="4">
        <f>G31/VLOOKUP(A31,RESUME!$G$3:$I$10,3,FALSE)</f>
        <v>0.74117647058823533</v>
      </c>
      <c r="O31" s="4" t="str">
        <f t="shared" si="1"/>
        <v/>
      </c>
      <c r="P31" s="1" t="str">
        <f>_xlfn.IFNA(VLOOKUP(A31&amp;"-"&amp;B31&amp;"-"&amp;D31,Ref_Account!$A:$F,6,FALSE),"ACCOUNT TIDAK DITEMUKAN")</f>
        <v>1201.730200</v>
      </c>
      <c r="R31" s="1">
        <f t="shared" si="2"/>
        <v>2</v>
      </c>
      <c r="S31" s="32" t="str">
        <f t="shared" si="3"/>
        <v>OK</v>
      </c>
    </row>
    <row r="32" spans="1:19" x14ac:dyDescent="0.25">
      <c r="A32" s="1" t="s">
        <v>44</v>
      </c>
      <c r="B32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6">
        <v>100</v>
      </c>
      <c r="M32" s="6">
        <f t="shared" si="0"/>
        <v>100</v>
      </c>
      <c r="N32" s="4">
        <f>G32/VLOOKUP(A32,RESUME!$G$3:$I$10,3,FALSE)</f>
        <v>1.1764705882352941E-2</v>
      </c>
      <c r="O32" s="4" t="str">
        <f t="shared" si="1"/>
        <v/>
      </c>
      <c r="P32" s="1" t="str">
        <f>_xlfn.IFNA(VLOOKUP(A32&amp;"-"&amp;B32&amp;"-"&amp;D32,Ref_Account!$A:$F,6,FALSE),"ACCOUNT TIDAK DITEMUKAN")</f>
        <v>1201.710200</v>
      </c>
      <c r="R32" s="1">
        <f t="shared" si="2"/>
        <v>6</v>
      </c>
      <c r="S32" s="32" t="str">
        <f t="shared" si="3"/>
        <v>OK</v>
      </c>
    </row>
    <row r="33" spans="1:19" x14ac:dyDescent="0.25">
      <c r="A33" s="1" t="s">
        <v>44</v>
      </c>
      <c r="B33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6">
        <v>100</v>
      </c>
      <c r="M33" s="6">
        <f t="shared" si="0"/>
        <v>100</v>
      </c>
      <c r="N33" s="4">
        <f>G33/VLOOKUP(A33,RESUME!$G$3:$I$10,3,FALSE)</f>
        <v>1.1764705882352941E-2</v>
      </c>
      <c r="O33" s="4" t="str">
        <f t="shared" si="1"/>
        <v/>
      </c>
      <c r="P33" s="1" t="str">
        <f>_xlfn.IFNA(VLOOKUP(A33&amp;"-"&amp;B33&amp;"-"&amp;D33,Ref_Account!$A:$F,6,FALSE),"ACCOUNT TIDAK DITEMUKAN")</f>
        <v>1201.710200</v>
      </c>
      <c r="R33" s="1">
        <f t="shared" si="2"/>
        <v>6</v>
      </c>
      <c r="S33" s="32" t="str">
        <f t="shared" si="3"/>
        <v>OK</v>
      </c>
    </row>
    <row r="34" spans="1:19" x14ac:dyDescent="0.25">
      <c r="A34" s="1" t="s">
        <v>44</v>
      </c>
      <c r="B34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6">
        <v>100</v>
      </c>
      <c r="M34" s="6">
        <f t="shared" si="0"/>
        <v>100</v>
      </c>
      <c r="N34" s="4">
        <f>G34/VLOOKUP(A34,RESUME!$G$3:$I$10,3,FALSE)</f>
        <v>1.1764705882352941E-2</v>
      </c>
      <c r="O34" s="4" t="str">
        <f t="shared" si="1"/>
        <v/>
      </c>
      <c r="P34" s="1" t="str">
        <f>_xlfn.IFNA(VLOOKUP(A34&amp;"-"&amp;B34&amp;"-"&amp;D34,Ref_Account!$A:$F,6,FALSE),"ACCOUNT TIDAK DITEMUKAN")</f>
        <v>1201.710200</v>
      </c>
      <c r="R34" s="1">
        <f t="shared" si="2"/>
        <v>6</v>
      </c>
      <c r="S34" s="32" t="str">
        <f t="shared" si="3"/>
        <v>OK</v>
      </c>
    </row>
    <row r="35" spans="1:19" x14ac:dyDescent="0.25">
      <c r="A35" s="1" t="s">
        <v>44</v>
      </c>
      <c r="B35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6">
        <v>100</v>
      </c>
      <c r="M35" s="6">
        <f t="shared" si="0"/>
        <v>100</v>
      </c>
      <c r="N35" s="4">
        <f>G35/VLOOKUP(A35,RESUME!$G$3:$I$10,3,FALSE)</f>
        <v>1.1764705882352941E-2</v>
      </c>
      <c r="O35" s="4" t="str">
        <f t="shared" si="1"/>
        <v/>
      </c>
      <c r="P35" s="1" t="str">
        <f>_xlfn.IFNA(VLOOKUP(A35&amp;"-"&amp;B35&amp;"-"&amp;D35,Ref_Account!$A:$F,6,FALSE),"ACCOUNT TIDAK DITEMUKAN")</f>
        <v>1201.710200</v>
      </c>
      <c r="R35" s="1">
        <f t="shared" si="2"/>
        <v>6</v>
      </c>
      <c r="S35" s="32" t="str">
        <f t="shared" si="3"/>
        <v>OK</v>
      </c>
    </row>
    <row r="36" spans="1:19" x14ac:dyDescent="0.25">
      <c r="A36" s="1" t="s">
        <v>314</v>
      </c>
      <c r="B36" t="s">
        <v>45</v>
      </c>
      <c r="M36" s="6">
        <f t="shared" si="0"/>
        <v>0</v>
      </c>
      <c r="N36" s="4">
        <f>G36/VLOOKUP(A36,RESUME!$G$3:$I$10,3,FALSE)</f>
        <v>0</v>
      </c>
      <c r="O36" s="4" t="str">
        <f t="shared" si="1"/>
        <v/>
      </c>
      <c r="P36" s="1" t="str">
        <f>_xlfn.IFNA(VLOOKUP(A36&amp;"-"&amp;B36&amp;"-"&amp;D36,Ref_Account!$A:$F,6,FALSE),"ACCOUNT TIDAK DITEMUKAN")</f>
        <v>ACCOUNT TIDAK DITEMUKAN</v>
      </c>
      <c r="R36" s="1" t="str">
        <f t="shared" si="2"/>
        <v>9999</v>
      </c>
      <c r="S36" s="32" t="str">
        <f t="shared" si="3"/>
        <v>OVER</v>
      </c>
    </row>
    <row r="37" spans="1:19" x14ac:dyDescent="0.25">
      <c r="A37" s="1" t="s">
        <v>314</v>
      </c>
      <c r="B37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6">
        <v>200</v>
      </c>
      <c r="M37" s="6">
        <f t="shared" si="0"/>
        <v>200</v>
      </c>
      <c r="N37" s="4">
        <f>G37/VLOOKUP(A37,RESUME!$G$3:$I$10,3,FALSE)</f>
        <v>0.2</v>
      </c>
      <c r="O37" s="4" t="str">
        <f t="shared" si="1"/>
        <v/>
      </c>
      <c r="P37" s="1" t="str">
        <f>_xlfn.IFNA(VLOOKUP(A37&amp;"-"&amp;B37&amp;"-"&amp;D37,Ref_Account!$A:$F,6,FALSE),"ACCOUNT TIDAK DITEMUKAN")</f>
        <v>1201.730300</v>
      </c>
      <c r="R37" s="1">
        <f t="shared" si="2"/>
        <v>5</v>
      </c>
      <c r="S37" s="32" t="str">
        <f t="shared" si="3"/>
        <v>OK</v>
      </c>
    </row>
    <row r="38" spans="1:19" x14ac:dyDescent="0.25">
      <c r="A38" s="1" t="s">
        <v>314</v>
      </c>
      <c r="B38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6">
        <v>700</v>
      </c>
      <c r="M38" s="6">
        <f t="shared" ref="M38:M69" si="4">G38-(H38+I38+J38+K38+L38)</f>
        <v>700</v>
      </c>
      <c r="N38" s="4">
        <f>G38/VLOOKUP(A38,RESUME!$G$3:$I$10,3,FALSE)</f>
        <v>0.7</v>
      </c>
      <c r="O38" s="4" t="str">
        <f t="shared" ref="O38:O69" si="5">IFERROR((G38/H38)*N38,"")</f>
        <v/>
      </c>
      <c r="P38" s="1" t="str">
        <f>_xlfn.IFNA(VLOOKUP(A38&amp;"-"&amp;B38&amp;"-"&amp;D38,Ref_Account!$A:$F,6,FALSE),"ACCOUNT TIDAK DITEMUKAN")</f>
        <v>1201.730200</v>
      </c>
      <c r="R38" s="1">
        <f t="shared" ref="R38:R69" si="6">IF(P38="ACCOUNT TIDAK DITEMUKAN","9999",COUNTIF($P$6:$P$164,P38))</f>
        <v>2</v>
      </c>
      <c r="S38" s="32" t="str">
        <f t="shared" ref="S38:S69" si="7">IF(M38&gt;0,"OK","OVER")</f>
        <v>OK</v>
      </c>
    </row>
    <row r="39" spans="1:19" x14ac:dyDescent="0.25">
      <c r="A39" s="1" t="s">
        <v>314</v>
      </c>
      <c r="B39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6">
        <v>50</v>
      </c>
      <c r="M39" s="6">
        <f t="shared" si="4"/>
        <v>50</v>
      </c>
      <c r="N39" s="4">
        <f>G39/VLOOKUP(A39,RESUME!$G$3:$I$10,3,FALSE)</f>
        <v>0.05</v>
      </c>
      <c r="O39" s="4" t="str">
        <f t="shared" si="5"/>
        <v/>
      </c>
      <c r="P39" s="1" t="str">
        <f>_xlfn.IFNA(VLOOKUP(A39&amp;"-"&amp;B39&amp;"-"&amp;D39,Ref_Account!$A:$F,6,FALSE),"ACCOUNT TIDAK DITEMUKAN")</f>
        <v>1201.710200</v>
      </c>
      <c r="R39" s="1">
        <f t="shared" si="6"/>
        <v>6</v>
      </c>
      <c r="S39" s="32" t="str">
        <f t="shared" si="7"/>
        <v>OK</v>
      </c>
    </row>
    <row r="40" spans="1:19" x14ac:dyDescent="0.25">
      <c r="A40" s="1" t="s">
        <v>314</v>
      </c>
      <c r="B40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6">
        <v>50</v>
      </c>
      <c r="M40" s="6">
        <f t="shared" si="4"/>
        <v>50</v>
      </c>
      <c r="N40" s="4">
        <f>G40/VLOOKUP(A40,RESUME!$G$3:$I$10,3,FALSE)</f>
        <v>0.05</v>
      </c>
      <c r="O40" s="4" t="str">
        <f t="shared" si="5"/>
        <v/>
      </c>
      <c r="P40" s="1" t="str">
        <f>_xlfn.IFNA(VLOOKUP(A40&amp;"-"&amp;B40&amp;"-"&amp;D40,Ref_Account!$A:$F,6,FALSE),"ACCOUNT TIDAK DITEMUKAN")</f>
        <v>1201.710200</v>
      </c>
      <c r="R40" s="1">
        <f t="shared" si="6"/>
        <v>6</v>
      </c>
      <c r="S40" s="32" t="str">
        <f t="shared" si="7"/>
        <v>OK</v>
      </c>
    </row>
    <row r="41" spans="1:19" x14ac:dyDescent="0.25">
      <c r="A41" s="1" t="s">
        <v>67</v>
      </c>
      <c r="B41" t="s">
        <v>68</v>
      </c>
      <c r="C41" s="1" t="s">
        <v>69</v>
      </c>
      <c r="D41" s="2" t="s">
        <v>13</v>
      </c>
      <c r="E41" s="2" t="s">
        <v>19</v>
      </c>
      <c r="M41" s="6">
        <f t="shared" si="4"/>
        <v>0</v>
      </c>
      <c r="N41" s="4">
        <f>G41/VLOOKUP(A41,RESUME!$G$3:$I$10,3,FALSE)</f>
        <v>0</v>
      </c>
      <c r="O41" s="4" t="str">
        <f t="shared" si="5"/>
        <v/>
      </c>
      <c r="P41" s="1" t="str">
        <f>_xlfn.IFNA(VLOOKUP(A41&amp;"-"&amp;B41&amp;"-"&amp;D41,Ref_Account!$A:$F,6,FALSE),"ACCOUNT TIDAK DITEMUKAN")</f>
        <v>1201.720500</v>
      </c>
      <c r="R41" s="1">
        <f t="shared" si="6"/>
        <v>1</v>
      </c>
      <c r="S41" s="32" t="str">
        <f t="shared" si="7"/>
        <v>OVER</v>
      </c>
    </row>
    <row r="42" spans="1:19" x14ac:dyDescent="0.25">
      <c r="A42" s="1" t="s">
        <v>67</v>
      </c>
      <c r="B42" t="s">
        <v>70</v>
      </c>
      <c r="C42" s="1" t="s">
        <v>71</v>
      </c>
      <c r="D42" s="2" t="s">
        <v>13</v>
      </c>
      <c r="E42" s="2" t="s">
        <v>72</v>
      </c>
      <c r="G42" s="6">
        <v>4917.96</v>
      </c>
      <c r="M42" s="6">
        <f t="shared" si="4"/>
        <v>4917.96</v>
      </c>
      <c r="N42" s="4">
        <f>G42/VLOOKUP(A42,RESUME!$G$3:$I$10,3,FALSE)</f>
        <v>5.6433869134324049E-2</v>
      </c>
      <c r="O42" s="4" t="str">
        <f t="shared" si="5"/>
        <v/>
      </c>
      <c r="P42" s="1" t="str">
        <f>_xlfn.IFNA(VLOOKUP(A42&amp;"-"&amp;B42&amp;"-"&amp;D42,Ref_Account!$A:$F,6,FALSE),"ACCOUNT TIDAK DITEMUKAN")</f>
        <v>1201.812100</v>
      </c>
      <c r="R42" s="1">
        <f t="shared" si="6"/>
        <v>1</v>
      </c>
      <c r="S42" s="32" t="str">
        <f t="shared" si="7"/>
        <v>OK</v>
      </c>
    </row>
    <row r="43" spans="1:19" x14ac:dyDescent="0.25">
      <c r="A43" s="1" t="s">
        <v>67</v>
      </c>
      <c r="B43" t="s">
        <v>73</v>
      </c>
      <c r="C43" s="1" t="s">
        <v>74</v>
      </c>
      <c r="D43" s="2" t="s">
        <v>13</v>
      </c>
      <c r="E43" s="2" t="s">
        <v>75</v>
      </c>
      <c r="G43" s="6">
        <v>281</v>
      </c>
      <c r="M43" s="6">
        <f t="shared" si="4"/>
        <v>281</v>
      </c>
      <c r="N43" s="4">
        <f>G43/VLOOKUP(A43,RESUME!$G$3:$I$10,3,FALSE)</f>
        <v>3.2244908919033619E-3</v>
      </c>
      <c r="O43" s="4" t="str">
        <f t="shared" si="5"/>
        <v/>
      </c>
      <c r="P43" s="1" t="str">
        <f>_xlfn.IFNA(VLOOKUP(A43&amp;"-"&amp;B43&amp;"-"&amp;D43,Ref_Account!$A:$F,6,FALSE),"ACCOUNT TIDAK DITEMUKAN")</f>
        <v>1201.807100</v>
      </c>
      <c r="R43" s="1">
        <f t="shared" si="6"/>
        <v>1</v>
      </c>
      <c r="S43" s="32" t="str">
        <f t="shared" si="7"/>
        <v>OK</v>
      </c>
    </row>
    <row r="44" spans="1:19" x14ac:dyDescent="0.25">
      <c r="A44" s="1" t="s">
        <v>67</v>
      </c>
      <c r="B44" t="s">
        <v>73</v>
      </c>
      <c r="C44" s="1" t="s">
        <v>74</v>
      </c>
      <c r="D44" s="2" t="s">
        <v>15</v>
      </c>
      <c r="E44" s="2" t="s">
        <v>75</v>
      </c>
      <c r="G44" s="6">
        <v>64.58</v>
      </c>
      <c r="M44" s="6">
        <f t="shared" si="4"/>
        <v>64.58</v>
      </c>
      <c r="N44" s="4">
        <f>G44/VLOOKUP(A44,RESUME!$G$3:$I$10,3,FALSE)</f>
        <v>7.4105915231003239E-4</v>
      </c>
      <c r="O44" s="4" t="str">
        <f t="shared" si="5"/>
        <v/>
      </c>
      <c r="P44" s="1" t="str">
        <f>_xlfn.IFNA(VLOOKUP(A44&amp;"-"&amp;B44&amp;"-"&amp;D44,Ref_Account!$A:$F,6,FALSE),"ACCOUNT TIDAK DITEMUKAN")</f>
        <v>1204.807100</v>
      </c>
      <c r="R44" s="1">
        <f t="shared" si="6"/>
        <v>1</v>
      </c>
      <c r="S44" s="32" t="str">
        <f t="shared" si="7"/>
        <v>OK</v>
      </c>
    </row>
    <row r="45" spans="1:19" x14ac:dyDescent="0.25">
      <c r="A45" s="1" t="s">
        <v>67</v>
      </c>
      <c r="B45" t="s">
        <v>76</v>
      </c>
      <c r="C45" s="1" t="s">
        <v>77</v>
      </c>
      <c r="D45" s="2" t="s">
        <v>13</v>
      </c>
      <c r="E45" s="2" t="s">
        <v>75</v>
      </c>
      <c r="G45" s="6">
        <v>2027.63</v>
      </c>
      <c r="M45" s="6">
        <f t="shared" si="4"/>
        <v>2027.63</v>
      </c>
      <c r="N45" s="4">
        <f>G45/VLOOKUP(A45,RESUME!$G$3:$I$10,3,FALSE)</f>
        <v>2.3267168922242044E-2</v>
      </c>
      <c r="O45" s="4" t="str">
        <f t="shared" si="5"/>
        <v/>
      </c>
      <c r="P45" s="1" t="str">
        <f>_xlfn.IFNA(VLOOKUP(A45&amp;"-"&amp;B45&amp;"-"&amp;D45,Ref_Account!$A:$F,6,FALSE),"ACCOUNT TIDAK DITEMUKAN")</f>
        <v>1201.630400</v>
      </c>
      <c r="R45" s="1">
        <f t="shared" si="6"/>
        <v>1</v>
      </c>
      <c r="S45" s="32" t="str">
        <f t="shared" si="7"/>
        <v>OK</v>
      </c>
    </row>
    <row r="46" spans="1:19" x14ac:dyDescent="0.25">
      <c r="A46" s="1" t="s">
        <v>67</v>
      </c>
      <c r="B46" t="s">
        <v>78</v>
      </c>
      <c r="C46" s="1" t="s">
        <v>79</v>
      </c>
      <c r="D46" s="2" t="s">
        <v>13</v>
      </c>
      <c r="E46" s="2" t="s">
        <v>75</v>
      </c>
      <c r="G46" s="6">
        <v>1453.67</v>
      </c>
      <c r="M46" s="6">
        <f t="shared" si="4"/>
        <v>1453.67</v>
      </c>
      <c r="N46" s="4">
        <f>G46/VLOOKUP(A46,RESUME!$G$3:$I$10,3,FALSE)</f>
        <v>1.6680945462039718E-2</v>
      </c>
      <c r="O46" s="4" t="str">
        <f t="shared" si="5"/>
        <v/>
      </c>
      <c r="P46" s="1" t="str">
        <f>_xlfn.IFNA(VLOOKUP(A46&amp;"-"&amp;B46&amp;"-"&amp;D46,Ref_Account!$A:$F,6,FALSE),"ACCOUNT TIDAK DITEMUKAN")</f>
        <v>1201.813100</v>
      </c>
      <c r="R46" s="1">
        <f t="shared" si="6"/>
        <v>1</v>
      </c>
      <c r="S46" s="32" t="str">
        <f t="shared" si="7"/>
        <v>OK</v>
      </c>
    </row>
    <row r="47" spans="1:19" x14ac:dyDescent="0.25">
      <c r="A47" s="1" t="s">
        <v>67</v>
      </c>
      <c r="B47" t="s">
        <v>80</v>
      </c>
      <c r="C47" s="1" t="s">
        <v>81</v>
      </c>
      <c r="D47" s="2" t="s">
        <v>13</v>
      </c>
      <c r="E47" s="2" t="s">
        <v>82</v>
      </c>
      <c r="G47" s="6">
        <v>531</v>
      </c>
      <c r="M47" s="6">
        <f t="shared" si="4"/>
        <v>531</v>
      </c>
      <c r="N47" s="4">
        <f>G47/VLOOKUP(A47,RESUME!$G$3:$I$10,3,FALSE)</f>
        <v>6.0932550306074208E-3</v>
      </c>
      <c r="O47" s="4" t="str">
        <f t="shared" si="5"/>
        <v/>
      </c>
      <c r="P47" s="1" t="str">
        <f>_xlfn.IFNA(VLOOKUP(A47&amp;"-"&amp;B47&amp;"-"&amp;D47,Ref_Account!$A:$F,6,FALSE),"ACCOUNT TIDAK DITEMUKAN")</f>
        <v>1201.630300</v>
      </c>
      <c r="R47" s="1">
        <f t="shared" si="6"/>
        <v>1</v>
      </c>
      <c r="S47" s="32" t="str">
        <f t="shared" si="7"/>
        <v>OK</v>
      </c>
    </row>
    <row r="48" spans="1:19" x14ac:dyDescent="0.25">
      <c r="A48" s="1" t="s">
        <v>67</v>
      </c>
      <c r="B48" t="s">
        <v>154</v>
      </c>
      <c r="C48" s="1" t="s">
        <v>83</v>
      </c>
      <c r="D48" s="2" t="s">
        <v>13</v>
      </c>
      <c r="E48" s="2" t="s">
        <v>75</v>
      </c>
      <c r="G48" s="6">
        <v>2429</v>
      </c>
      <c r="M48" s="6">
        <f t="shared" si="4"/>
        <v>2429</v>
      </c>
      <c r="N48" s="4">
        <f>G48/VLOOKUP(A48,RESUME!$G$3:$I$10,3,FALSE)</f>
        <v>2.7872912371648635E-2</v>
      </c>
      <c r="O48" s="4" t="str">
        <f t="shared" si="5"/>
        <v/>
      </c>
      <c r="P48" s="1" t="str">
        <f>_xlfn.IFNA(VLOOKUP(A48&amp;"-"&amp;B48&amp;"-"&amp;D48,Ref_Account!$A:$F,6,FALSE),"ACCOUNT TIDAK DITEMUKAN")</f>
        <v>1201.630200</v>
      </c>
      <c r="R48" s="1">
        <f t="shared" si="6"/>
        <v>2</v>
      </c>
      <c r="S48" s="32" t="str">
        <f t="shared" si="7"/>
        <v>OK</v>
      </c>
    </row>
    <row r="49" spans="1:19" x14ac:dyDescent="0.25">
      <c r="A49" s="1" t="s">
        <v>67</v>
      </c>
      <c r="B49" t="s">
        <v>154</v>
      </c>
      <c r="C49" s="1" t="s">
        <v>84</v>
      </c>
      <c r="D49" s="2" t="s">
        <v>13</v>
      </c>
      <c r="E49" s="2" t="s">
        <v>75</v>
      </c>
      <c r="G49" s="6">
        <v>200</v>
      </c>
      <c r="M49" s="6">
        <f t="shared" si="4"/>
        <v>200</v>
      </c>
      <c r="N49" s="4">
        <f>G49/VLOOKUP(A49,RESUME!$G$3:$I$10,3,FALSE)</f>
        <v>2.2950113109632469E-3</v>
      </c>
      <c r="O49" s="4" t="str">
        <f t="shared" si="5"/>
        <v/>
      </c>
      <c r="P49" s="1" t="str">
        <f>_xlfn.IFNA(VLOOKUP(A49&amp;"-"&amp;B49&amp;"-"&amp;D49,Ref_Account!$A:$F,6,FALSE),"ACCOUNT TIDAK DITEMUKAN")</f>
        <v>1201.630200</v>
      </c>
      <c r="R49" s="1">
        <f t="shared" si="6"/>
        <v>2</v>
      </c>
      <c r="S49" s="32" t="str">
        <f t="shared" si="7"/>
        <v>OK</v>
      </c>
    </row>
    <row r="50" spans="1:19" x14ac:dyDescent="0.25">
      <c r="A50" s="1" t="s">
        <v>67</v>
      </c>
      <c r="B50" t="s">
        <v>85</v>
      </c>
      <c r="C50" s="1" t="s">
        <v>86</v>
      </c>
      <c r="D50" s="2" t="s">
        <v>13</v>
      </c>
      <c r="E50" s="2" t="s">
        <v>75</v>
      </c>
      <c r="G50" s="6">
        <v>3004.76</v>
      </c>
      <c r="M50" s="6">
        <f t="shared" si="4"/>
        <v>3004.76</v>
      </c>
      <c r="N50" s="4">
        <f>G50/VLOOKUP(A50,RESUME!$G$3:$I$10,3,FALSE)</f>
        <v>3.4479790933649633E-2</v>
      </c>
      <c r="O50" s="4" t="str">
        <f t="shared" si="5"/>
        <v/>
      </c>
      <c r="P50" s="1" t="str">
        <f>_xlfn.IFNA(VLOOKUP(A50&amp;"-"&amp;B50&amp;"-"&amp;D50,Ref_Account!$A:$F,6,FALSE),"ACCOUNT TIDAK DITEMUKAN")</f>
        <v>1201.630530</v>
      </c>
      <c r="R50" s="1">
        <f t="shared" si="6"/>
        <v>1</v>
      </c>
      <c r="S50" s="32" t="str">
        <f t="shared" si="7"/>
        <v>OK</v>
      </c>
    </row>
    <row r="51" spans="1:19" x14ac:dyDescent="0.25">
      <c r="A51" s="1" t="s">
        <v>67</v>
      </c>
      <c r="B51" t="s">
        <v>85</v>
      </c>
      <c r="C51" s="1" t="s">
        <v>86</v>
      </c>
      <c r="D51" s="2" t="s">
        <v>15</v>
      </c>
      <c r="E51" s="2" t="s">
        <v>75</v>
      </c>
      <c r="G51" s="6">
        <v>1543.55</v>
      </c>
      <c r="M51" s="6">
        <f t="shared" si="4"/>
        <v>1543.55</v>
      </c>
      <c r="N51" s="4">
        <f>G51/VLOOKUP(A51,RESUME!$G$3:$I$10,3,FALSE)</f>
        <v>1.7712323545186599E-2</v>
      </c>
      <c r="O51" s="4" t="str">
        <f t="shared" si="5"/>
        <v/>
      </c>
      <c r="P51" s="1" t="str">
        <f>_xlfn.IFNA(VLOOKUP(A51&amp;"-"&amp;B51&amp;"-"&amp;D51,Ref_Account!$A:$F,6,FALSE),"ACCOUNT TIDAK DITEMUKAN")</f>
        <v>1204.630530</v>
      </c>
      <c r="R51" s="1">
        <f t="shared" si="6"/>
        <v>1</v>
      </c>
      <c r="S51" s="32" t="str">
        <f t="shared" si="7"/>
        <v>OK</v>
      </c>
    </row>
    <row r="52" spans="1:19" x14ac:dyDescent="0.25">
      <c r="A52" s="1" t="s">
        <v>67</v>
      </c>
      <c r="B52" t="s">
        <v>87</v>
      </c>
      <c r="C52" s="1" t="s">
        <v>88</v>
      </c>
      <c r="D52" s="2" t="s">
        <v>13</v>
      </c>
      <c r="E52" s="2" t="s">
        <v>75</v>
      </c>
      <c r="G52" s="6">
        <v>938.47</v>
      </c>
      <c r="M52" s="6">
        <f t="shared" si="4"/>
        <v>938.47</v>
      </c>
      <c r="N52" s="4">
        <f>G52/VLOOKUP(A52,RESUME!$G$3:$I$10,3,FALSE)</f>
        <v>1.0768996324998392E-2</v>
      </c>
      <c r="O52" s="4" t="str">
        <f t="shared" si="5"/>
        <v/>
      </c>
      <c r="P52" s="1" t="str">
        <f>_xlfn.IFNA(VLOOKUP(A52&amp;"-"&amp;B52&amp;"-"&amp;D52,Ref_Account!$A:$F,6,FALSE),"ACCOUNT TIDAK DITEMUKAN")</f>
        <v>1201.808100</v>
      </c>
      <c r="R52" s="1">
        <f t="shared" si="6"/>
        <v>1</v>
      </c>
      <c r="S52" s="32" t="str">
        <f t="shared" si="7"/>
        <v>OK</v>
      </c>
    </row>
    <row r="53" spans="1:19" x14ac:dyDescent="0.25">
      <c r="A53" s="1" t="s">
        <v>67</v>
      </c>
      <c r="B53" t="s">
        <v>87</v>
      </c>
      <c r="C53" s="1" t="s">
        <v>88</v>
      </c>
      <c r="D53" s="2" t="s">
        <v>24</v>
      </c>
      <c r="E53" s="2" t="s">
        <v>75</v>
      </c>
      <c r="G53" s="6">
        <v>175.55</v>
      </c>
      <c r="M53" s="6">
        <f t="shared" si="4"/>
        <v>175.55</v>
      </c>
      <c r="N53" s="4">
        <f>G53/VLOOKUP(A53,RESUME!$G$3:$I$10,3,FALSE)</f>
        <v>2.0144461781979902E-3</v>
      </c>
      <c r="O53" s="4" t="str">
        <f t="shared" si="5"/>
        <v/>
      </c>
      <c r="P53" s="1" t="str">
        <f>_xlfn.IFNA(VLOOKUP(A53&amp;"-"&amp;B53&amp;"-"&amp;D53,Ref_Account!$A:$F,6,FALSE),"ACCOUNT TIDAK DITEMUKAN")</f>
        <v>1205.808100</v>
      </c>
      <c r="R53" s="1">
        <f t="shared" si="6"/>
        <v>1</v>
      </c>
      <c r="S53" s="32" t="str">
        <f t="shared" si="7"/>
        <v>OK</v>
      </c>
    </row>
    <row r="54" spans="1:19" x14ac:dyDescent="0.25">
      <c r="A54" s="1" t="s">
        <v>67</v>
      </c>
      <c r="B54" t="s">
        <v>87</v>
      </c>
      <c r="C54" s="1" t="s">
        <v>88</v>
      </c>
      <c r="D54" s="2" t="s">
        <v>15</v>
      </c>
      <c r="E54" s="2" t="s">
        <v>75</v>
      </c>
      <c r="G54" s="6">
        <v>2294.39</v>
      </c>
      <c r="M54" s="6">
        <f t="shared" si="4"/>
        <v>2294.39</v>
      </c>
      <c r="N54" s="4">
        <f>G54/VLOOKUP(A54,RESUME!$G$3:$I$10,3,FALSE)</f>
        <v>2.632825500880482E-2</v>
      </c>
      <c r="O54" s="4" t="str">
        <f t="shared" si="5"/>
        <v/>
      </c>
      <c r="P54" s="1" t="str">
        <f>_xlfn.IFNA(VLOOKUP(A54&amp;"-"&amp;B54&amp;"-"&amp;D54,Ref_Account!$A:$F,6,FALSE),"ACCOUNT TIDAK DITEMUKAN")</f>
        <v>1204.808100</v>
      </c>
      <c r="R54" s="1">
        <f t="shared" si="6"/>
        <v>1</v>
      </c>
      <c r="S54" s="32" t="str">
        <f t="shared" si="7"/>
        <v>OK</v>
      </c>
    </row>
    <row r="55" spans="1:19" x14ac:dyDescent="0.25">
      <c r="A55" s="1" t="s">
        <v>67</v>
      </c>
      <c r="B55" t="s">
        <v>89</v>
      </c>
      <c r="C55" s="1" t="s">
        <v>90</v>
      </c>
      <c r="D55" s="2" t="s">
        <v>13</v>
      </c>
      <c r="E55" s="2" t="s">
        <v>75</v>
      </c>
      <c r="G55" s="6">
        <v>1987.05</v>
      </c>
      <c r="M55" s="6">
        <f t="shared" si="4"/>
        <v>1987.05</v>
      </c>
      <c r="N55" s="4">
        <f>G55/VLOOKUP(A55,RESUME!$G$3:$I$10,3,FALSE)</f>
        <v>2.2801511127247598E-2</v>
      </c>
      <c r="O55" s="4" t="str">
        <f t="shared" si="5"/>
        <v/>
      </c>
      <c r="P55" s="1" t="str">
        <f>_xlfn.IFNA(VLOOKUP(A55&amp;"-"&amp;B55&amp;"-"&amp;D55,Ref_Account!$A:$F,6,FALSE),"ACCOUNT TIDAK DITEMUKAN")</f>
        <v>1201.630900</v>
      </c>
      <c r="R55" s="1">
        <f t="shared" si="6"/>
        <v>1</v>
      </c>
      <c r="S55" s="32" t="str">
        <f t="shared" si="7"/>
        <v>OK</v>
      </c>
    </row>
    <row r="56" spans="1:19" x14ac:dyDescent="0.25">
      <c r="A56" s="1" t="s">
        <v>67</v>
      </c>
      <c r="B56" t="s">
        <v>89</v>
      </c>
      <c r="C56" s="1" t="s">
        <v>90</v>
      </c>
      <c r="D56" s="2" t="s">
        <v>15</v>
      </c>
      <c r="E56" s="2" t="s">
        <v>75</v>
      </c>
      <c r="G56" s="6">
        <v>1692.67</v>
      </c>
      <c r="M56" s="6">
        <f t="shared" si="4"/>
        <v>1692.67</v>
      </c>
      <c r="N56" s="4">
        <f>G56/VLOOKUP(A56,RESUME!$G$3:$I$10,3,FALSE)</f>
        <v>1.9423483978640799E-2</v>
      </c>
      <c r="O56" s="4" t="str">
        <f t="shared" si="5"/>
        <v/>
      </c>
      <c r="P56" s="1" t="str">
        <f>_xlfn.IFNA(VLOOKUP(A56&amp;"-"&amp;B56&amp;"-"&amp;D56,Ref_Account!$A:$F,6,FALSE),"ACCOUNT TIDAK DITEMUKAN")</f>
        <v>1204.630900</v>
      </c>
      <c r="R56" s="1">
        <f t="shared" si="6"/>
        <v>1</v>
      </c>
      <c r="S56" s="32" t="str">
        <f t="shared" si="7"/>
        <v>OK</v>
      </c>
    </row>
    <row r="57" spans="1:19" x14ac:dyDescent="0.25">
      <c r="A57" s="1" t="s">
        <v>67</v>
      </c>
      <c r="B57" t="s">
        <v>91</v>
      </c>
      <c r="C57" s="1" t="s">
        <v>92</v>
      </c>
      <c r="D57" s="2" t="s">
        <v>13</v>
      </c>
      <c r="E57" s="2" t="s">
        <v>75</v>
      </c>
      <c r="G57" s="6">
        <v>569</v>
      </c>
      <c r="M57" s="6">
        <f t="shared" si="4"/>
        <v>569</v>
      </c>
      <c r="N57" s="4">
        <f>G57/VLOOKUP(A57,RESUME!$G$3:$I$10,3,FALSE)</f>
        <v>6.5293071796904377E-3</v>
      </c>
      <c r="O57" s="4" t="str">
        <f t="shared" si="5"/>
        <v/>
      </c>
      <c r="P57" s="1" t="str">
        <f>_xlfn.IFNA(VLOOKUP(A57&amp;"-"&amp;B57&amp;"-"&amp;D57,Ref_Account!$A:$F,6,FALSE),"ACCOUNT TIDAK DITEMUKAN")</f>
        <v>1201.802140</v>
      </c>
      <c r="R57" s="1">
        <f t="shared" si="6"/>
        <v>1</v>
      </c>
      <c r="S57" s="32" t="str">
        <f t="shared" si="7"/>
        <v>OK</v>
      </c>
    </row>
    <row r="58" spans="1:19" x14ac:dyDescent="0.25">
      <c r="A58" s="1" t="s">
        <v>67</v>
      </c>
      <c r="B58" t="s">
        <v>91</v>
      </c>
      <c r="C58" s="1" t="s">
        <v>92</v>
      </c>
      <c r="D58" s="2" t="s">
        <v>15</v>
      </c>
      <c r="E58" s="2" t="s">
        <v>75</v>
      </c>
      <c r="G58" s="6">
        <v>300</v>
      </c>
      <c r="M58" s="6">
        <f t="shared" si="4"/>
        <v>300</v>
      </c>
      <c r="N58" s="4">
        <f>G58/VLOOKUP(A58,RESUME!$G$3:$I$10,3,FALSE)</f>
        <v>3.4425169664448704E-3</v>
      </c>
      <c r="O58" s="4" t="str">
        <f t="shared" si="5"/>
        <v/>
      </c>
      <c r="P58" s="1" t="str">
        <f>_xlfn.IFNA(VLOOKUP(A58&amp;"-"&amp;B58&amp;"-"&amp;D58,Ref_Account!$A:$F,6,FALSE),"ACCOUNT TIDAK DITEMUKAN")</f>
        <v>1204.802140</v>
      </c>
      <c r="R58" s="1">
        <f t="shared" si="6"/>
        <v>1</v>
      </c>
      <c r="S58" s="32" t="str">
        <f t="shared" si="7"/>
        <v>OK</v>
      </c>
    </row>
    <row r="59" spans="1:19" x14ac:dyDescent="0.25">
      <c r="A59" s="1" t="s">
        <v>67</v>
      </c>
      <c r="B59" t="s">
        <v>93</v>
      </c>
      <c r="C59" s="1" t="s">
        <v>94</v>
      </c>
      <c r="D59" s="2" t="s">
        <v>13</v>
      </c>
      <c r="E59" s="2" t="s">
        <v>95</v>
      </c>
      <c r="G59" s="6">
        <v>2288.86</v>
      </c>
      <c r="M59" s="6">
        <f t="shared" si="4"/>
        <v>2288.86</v>
      </c>
      <c r="N59" s="4">
        <f>G59/VLOOKUP(A59,RESUME!$G$3:$I$10,3,FALSE)</f>
        <v>2.6264797946056691E-2</v>
      </c>
      <c r="O59" s="4" t="str">
        <f t="shared" si="5"/>
        <v/>
      </c>
      <c r="P59" s="1" t="str">
        <f>_xlfn.IFNA(VLOOKUP(A59&amp;"-"&amp;B59&amp;"-"&amp;D59,Ref_Account!$A:$F,6,FALSE),"ACCOUNT TIDAK DITEMUKAN")</f>
        <v>1201.801160</v>
      </c>
      <c r="R59" s="1">
        <f t="shared" si="6"/>
        <v>1</v>
      </c>
      <c r="S59" s="32" t="str">
        <f t="shared" si="7"/>
        <v>OK</v>
      </c>
    </row>
    <row r="60" spans="1:19" x14ac:dyDescent="0.25">
      <c r="A60" s="1" t="s">
        <v>67</v>
      </c>
      <c r="B60" t="s">
        <v>96</v>
      </c>
      <c r="C60" s="1" t="s">
        <v>97</v>
      </c>
      <c r="D60" s="2" t="s">
        <v>13</v>
      </c>
      <c r="E60" s="2" t="s">
        <v>98</v>
      </c>
      <c r="G60" s="6">
        <v>36500.160000000003</v>
      </c>
      <c r="M60" s="6">
        <f t="shared" si="4"/>
        <v>36500.160000000003</v>
      </c>
      <c r="N60" s="4">
        <f>G60/VLOOKUP(A60,RESUME!$G$3:$I$10,3,FALSE)</f>
        <v>0.4188414002598414</v>
      </c>
      <c r="O60" s="4" t="str">
        <f t="shared" si="5"/>
        <v/>
      </c>
      <c r="P60" s="1" t="str">
        <f>_xlfn.IFNA(VLOOKUP(A60&amp;"-"&amp;B60&amp;"-"&amp;D60,Ref_Account!$A:$F,6,FALSE),"ACCOUNT TIDAK DITEMUKAN")</f>
        <v>1201.630110</v>
      </c>
      <c r="R60" s="1">
        <f t="shared" si="6"/>
        <v>1</v>
      </c>
      <c r="S60" s="32" t="str">
        <f t="shared" si="7"/>
        <v>OK</v>
      </c>
    </row>
    <row r="61" spans="1:19" x14ac:dyDescent="0.25">
      <c r="A61" s="1" t="s">
        <v>67</v>
      </c>
      <c r="B61" t="s">
        <v>99</v>
      </c>
      <c r="C61" s="1" t="s">
        <v>100</v>
      </c>
      <c r="D61" s="2" t="s">
        <v>13</v>
      </c>
      <c r="E61" s="2" t="s">
        <v>75</v>
      </c>
      <c r="G61" s="6">
        <v>1440.17</v>
      </c>
      <c r="M61" s="6">
        <f t="shared" si="4"/>
        <v>1440.17</v>
      </c>
      <c r="N61" s="4">
        <f>G61/VLOOKUP(A61,RESUME!$G$3:$I$10,3,FALSE)</f>
        <v>1.6526032198549697E-2</v>
      </c>
      <c r="O61" s="4" t="str">
        <f t="shared" si="5"/>
        <v/>
      </c>
      <c r="P61" s="1" t="str">
        <f>_xlfn.IFNA(VLOOKUP(A61&amp;"-"&amp;B61&amp;"-"&amp;D61,Ref_Account!$A:$F,6,FALSE),"ACCOUNT TIDAK DITEMUKAN")</f>
        <v>1201.809100</v>
      </c>
      <c r="R61" s="1">
        <f t="shared" si="6"/>
        <v>1</v>
      </c>
      <c r="S61" s="32" t="str">
        <f t="shared" si="7"/>
        <v>OK</v>
      </c>
    </row>
    <row r="62" spans="1:19" x14ac:dyDescent="0.25">
      <c r="A62" s="1" t="s">
        <v>67</v>
      </c>
      <c r="B62" t="s">
        <v>99</v>
      </c>
      <c r="C62" s="1" t="s">
        <v>100</v>
      </c>
      <c r="D62" s="2" t="s">
        <v>101</v>
      </c>
      <c r="E62" s="2" t="s">
        <v>75</v>
      </c>
      <c r="G62" s="6">
        <v>14.27</v>
      </c>
      <c r="M62" s="6">
        <f t="shared" si="4"/>
        <v>14.27</v>
      </c>
      <c r="N62" s="4">
        <f>G62/VLOOKUP(A62,RESUME!$G$3:$I$10,3,FALSE)</f>
        <v>1.6374905703722768E-4</v>
      </c>
      <c r="O62" s="4" t="str">
        <f t="shared" si="5"/>
        <v/>
      </c>
      <c r="P62" s="1" t="str">
        <f>_xlfn.IFNA(VLOOKUP(A62&amp;"-"&amp;B62&amp;"-"&amp;D62,Ref_Account!$A:$F,6,FALSE),"ACCOUNT TIDAK DITEMUKAN")</f>
        <v>1206.809100</v>
      </c>
      <c r="R62" s="1">
        <f t="shared" si="6"/>
        <v>1</v>
      </c>
      <c r="S62" s="32" t="str">
        <f t="shared" si="7"/>
        <v>OK</v>
      </c>
    </row>
    <row r="63" spans="1:19" x14ac:dyDescent="0.25">
      <c r="A63" s="1" t="s">
        <v>67</v>
      </c>
      <c r="B63" t="s">
        <v>99</v>
      </c>
      <c r="C63" s="1" t="s">
        <v>100</v>
      </c>
      <c r="D63" s="2" t="s">
        <v>24</v>
      </c>
      <c r="E63" s="2" t="s">
        <v>75</v>
      </c>
      <c r="G63" s="6">
        <v>35.56</v>
      </c>
      <c r="M63" s="6">
        <f t="shared" si="4"/>
        <v>35.56</v>
      </c>
      <c r="N63" s="4">
        <f>G63/VLOOKUP(A63,RESUME!$G$3:$I$10,3,FALSE)</f>
        <v>4.0805301108926532E-4</v>
      </c>
      <c r="O63" s="4" t="str">
        <f t="shared" si="5"/>
        <v/>
      </c>
      <c r="P63" s="1" t="str">
        <f>_xlfn.IFNA(VLOOKUP(A63&amp;"-"&amp;B63&amp;"-"&amp;D63,Ref_Account!$A:$F,6,FALSE),"ACCOUNT TIDAK DITEMUKAN")</f>
        <v>1205.809100</v>
      </c>
      <c r="R63" s="1">
        <f t="shared" si="6"/>
        <v>1</v>
      </c>
      <c r="S63" s="32" t="str">
        <f t="shared" si="7"/>
        <v>OK</v>
      </c>
    </row>
    <row r="64" spans="1:19" x14ac:dyDescent="0.25">
      <c r="A64" s="1" t="s">
        <v>67</v>
      </c>
      <c r="B64" t="s">
        <v>99</v>
      </c>
      <c r="C64" s="1" t="s">
        <v>100</v>
      </c>
      <c r="D64" s="2" t="s">
        <v>15</v>
      </c>
      <c r="E64" s="2" t="s">
        <v>75</v>
      </c>
      <c r="G64" s="6">
        <v>9.69</v>
      </c>
      <c r="M64" s="6">
        <f t="shared" si="4"/>
        <v>9.69</v>
      </c>
      <c r="N64" s="4">
        <f>G64/VLOOKUP(A64,RESUME!$G$3:$I$10,3,FALSE)</f>
        <v>1.1119329801616931E-4</v>
      </c>
      <c r="O64" s="4" t="str">
        <f t="shared" si="5"/>
        <v/>
      </c>
      <c r="P64" s="1" t="str">
        <f>_xlfn.IFNA(VLOOKUP(A64&amp;"-"&amp;B64&amp;"-"&amp;D64,Ref_Account!$A:$F,6,FALSE),"ACCOUNT TIDAK DITEMUKAN")</f>
        <v>1204.809100</v>
      </c>
      <c r="R64" s="1">
        <f t="shared" si="6"/>
        <v>1</v>
      </c>
      <c r="S64" s="32" t="str">
        <f t="shared" si="7"/>
        <v>OK</v>
      </c>
    </row>
    <row r="65" spans="1:19" x14ac:dyDescent="0.25">
      <c r="A65" s="1" t="s">
        <v>67</v>
      </c>
      <c r="B65" t="s">
        <v>102</v>
      </c>
      <c r="C65" s="1" t="s">
        <v>103</v>
      </c>
      <c r="D65" s="2" t="s">
        <v>13</v>
      </c>
      <c r="E65" s="2" t="s">
        <v>75</v>
      </c>
      <c r="G65" s="6">
        <v>400</v>
      </c>
      <c r="M65" s="6">
        <f t="shared" si="4"/>
        <v>400</v>
      </c>
      <c r="N65" s="4">
        <f>G65/VLOOKUP(A65,RESUME!$G$3:$I$10,3,FALSE)</f>
        <v>4.5900226219264938E-3</v>
      </c>
      <c r="O65" s="4" t="str">
        <f t="shared" si="5"/>
        <v/>
      </c>
      <c r="P65" s="1" t="str">
        <f>_xlfn.IFNA(VLOOKUP(A65&amp;"-"&amp;B65&amp;"-"&amp;D65,Ref_Account!$A:$F,6,FALSE),"ACCOUNT TIDAK DITEMUKAN")</f>
        <v>1201.630710</v>
      </c>
      <c r="R65" s="1">
        <f t="shared" si="6"/>
        <v>1</v>
      </c>
      <c r="S65" s="32" t="str">
        <f t="shared" si="7"/>
        <v>OK</v>
      </c>
    </row>
    <row r="66" spans="1:19" x14ac:dyDescent="0.25">
      <c r="A66" s="1" t="s">
        <v>67</v>
      </c>
      <c r="B66" t="s">
        <v>104</v>
      </c>
      <c r="C66" s="1" t="s">
        <v>105</v>
      </c>
      <c r="D66" s="2" t="s">
        <v>13</v>
      </c>
      <c r="E66" s="2" t="s">
        <v>82</v>
      </c>
      <c r="G66" s="6">
        <v>100</v>
      </c>
      <c r="M66" s="6">
        <f t="shared" si="4"/>
        <v>100</v>
      </c>
      <c r="N66" s="4">
        <f>G66/VLOOKUP(A66,RESUME!$G$3:$I$10,3,FALSE)</f>
        <v>1.1475056554816235E-3</v>
      </c>
      <c r="O66" s="4" t="str">
        <f t="shared" si="5"/>
        <v/>
      </c>
      <c r="P66" s="1" t="str">
        <f>_xlfn.IFNA(VLOOKUP(A66&amp;"-"&amp;B66&amp;"-"&amp;D66,Ref_Account!$A:$F,6,FALSE),"ACCOUNT TIDAK DITEMUKAN")</f>
        <v>1201.630770</v>
      </c>
      <c r="R66" s="1">
        <f t="shared" si="6"/>
        <v>1</v>
      </c>
      <c r="S66" s="32" t="str">
        <f t="shared" si="7"/>
        <v>OK</v>
      </c>
    </row>
    <row r="67" spans="1:19" x14ac:dyDescent="0.25">
      <c r="A67" s="1" t="s">
        <v>67</v>
      </c>
      <c r="B67" t="s">
        <v>106</v>
      </c>
      <c r="C67" s="1" t="s">
        <v>107</v>
      </c>
      <c r="D67" s="2" t="s">
        <v>13</v>
      </c>
      <c r="E67" s="2" t="s">
        <v>82</v>
      </c>
      <c r="G67" s="6">
        <v>100</v>
      </c>
      <c r="M67" s="6">
        <f t="shared" si="4"/>
        <v>100</v>
      </c>
      <c r="N67" s="4">
        <f>G67/VLOOKUP(A67,RESUME!$G$3:$I$10,3,FALSE)</f>
        <v>1.1475056554816235E-3</v>
      </c>
      <c r="O67" s="4" t="str">
        <f t="shared" si="5"/>
        <v/>
      </c>
      <c r="P67" s="1" t="str">
        <f>_xlfn.IFNA(VLOOKUP(A67&amp;"-"&amp;B67&amp;"-"&amp;D67,Ref_Account!$A:$F,6,FALSE),"ACCOUNT TIDAK DITEMUKAN")</f>
        <v>1201.630750</v>
      </c>
      <c r="R67" s="1">
        <f t="shared" si="6"/>
        <v>1</v>
      </c>
      <c r="S67" s="32" t="str">
        <f t="shared" si="7"/>
        <v>OK</v>
      </c>
    </row>
    <row r="68" spans="1:19" x14ac:dyDescent="0.25">
      <c r="A68" s="1" t="s">
        <v>67</v>
      </c>
      <c r="B68" t="s">
        <v>108</v>
      </c>
      <c r="C68" s="1" t="s">
        <v>109</v>
      </c>
      <c r="D68" s="2" t="s">
        <v>13</v>
      </c>
      <c r="E68" s="2" t="s">
        <v>82</v>
      </c>
      <c r="G68" s="6">
        <v>100</v>
      </c>
      <c r="M68" s="6">
        <f t="shared" si="4"/>
        <v>100</v>
      </c>
      <c r="N68" s="4">
        <f>G68/VLOOKUP(A68,RESUME!$G$3:$I$10,3,FALSE)</f>
        <v>1.1475056554816235E-3</v>
      </c>
      <c r="O68" s="4" t="str">
        <f t="shared" si="5"/>
        <v/>
      </c>
      <c r="P68" s="1" t="str">
        <f>_xlfn.IFNA(VLOOKUP(A68&amp;"-"&amp;B68&amp;"-"&amp;D68,Ref_Account!$A:$F,6,FALSE),"ACCOUNT TIDAK DITEMUKAN")</f>
        <v>1201.630720</v>
      </c>
      <c r="R68" s="1">
        <f t="shared" si="6"/>
        <v>1</v>
      </c>
      <c r="S68" s="32" t="str">
        <f t="shared" si="7"/>
        <v>OK</v>
      </c>
    </row>
    <row r="69" spans="1:19" x14ac:dyDescent="0.25">
      <c r="A69" s="1" t="s">
        <v>67</v>
      </c>
      <c r="B69" t="s">
        <v>110</v>
      </c>
      <c r="C69" s="1" t="s">
        <v>111</v>
      </c>
      <c r="D69" s="2" t="s">
        <v>13</v>
      </c>
      <c r="E69" s="2" t="s">
        <v>82</v>
      </c>
      <c r="G69" s="6">
        <v>100</v>
      </c>
      <c r="M69" s="6">
        <f t="shared" si="4"/>
        <v>100</v>
      </c>
      <c r="N69" s="4">
        <f>G69/VLOOKUP(A69,RESUME!$G$3:$I$10,3,FALSE)</f>
        <v>1.1475056554816235E-3</v>
      </c>
      <c r="O69" s="4" t="str">
        <f t="shared" si="5"/>
        <v/>
      </c>
      <c r="P69" s="1" t="str">
        <f>_xlfn.IFNA(VLOOKUP(A69&amp;"-"&amp;B69&amp;"-"&amp;D69,Ref_Account!$A:$F,6,FALSE),"ACCOUNT TIDAK DITEMUKAN")</f>
        <v>1201.630760</v>
      </c>
      <c r="R69" s="1">
        <f t="shared" si="6"/>
        <v>1</v>
      </c>
      <c r="S69" s="32" t="str">
        <f t="shared" si="7"/>
        <v>OK</v>
      </c>
    </row>
    <row r="70" spans="1:19" x14ac:dyDescent="0.25">
      <c r="A70" s="1" t="s">
        <v>67</v>
      </c>
      <c r="B70" t="s">
        <v>110</v>
      </c>
      <c r="C70" s="1" t="s">
        <v>111</v>
      </c>
      <c r="D70" s="2" t="s">
        <v>24</v>
      </c>
      <c r="E70" s="2" t="s">
        <v>75</v>
      </c>
      <c r="G70" s="6">
        <v>250</v>
      </c>
      <c r="M70" s="6">
        <f t="shared" ref="M70:M101" si="8">G70-(H70+I70+J70+K70+L70)</f>
        <v>250</v>
      </c>
      <c r="N70" s="4">
        <f>G70/VLOOKUP(A70,RESUME!$G$3:$I$10,3,FALSE)</f>
        <v>2.8687641387040589E-3</v>
      </c>
      <c r="O70" s="4" t="str">
        <f t="shared" ref="O70:O101" si="9">IFERROR((G70/H70)*N70,"")</f>
        <v/>
      </c>
      <c r="P70" s="1" t="str">
        <f>_xlfn.IFNA(VLOOKUP(A70&amp;"-"&amp;B70&amp;"-"&amp;D70,Ref_Account!$A:$F,6,FALSE),"ACCOUNT TIDAK DITEMUKAN")</f>
        <v>1205.630760</v>
      </c>
      <c r="R70" s="1">
        <f t="shared" ref="R70:R101" si="10">IF(P70="ACCOUNT TIDAK DITEMUKAN","9999",COUNTIF($P$6:$P$164,P70))</f>
        <v>1</v>
      </c>
      <c r="S70" s="32" t="str">
        <f t="shared" ref="S70:S101" si="11">IF(M70&gt;0,"OK","OVER")</f>
        <v>OK</v>
      </c>
    </row>
    <row r="71" spans="1:19" x14ac:dyDescent="0.25">
      <c r="A71" s="1" t="s">
        <v>67</v>
      </c>
      <c r="B71" t="s">
        <v>110</v>
      </c>
      <c r="C71" s="1" t="s">
        <v>111</v>
      </c>
      <c r="D71" s="2" t="s">
        <v>15</v>
      </c>
      <c r="E71" s="2" t="s">
        <v>75</v>
      </c>
      <c r="G71" s="6">
        <v>300</v>
      </c>
      <c r="M71" s="6">
        <f t="shared" si="8"/>
        <v>300</v>
      </c>
      <c r="N71" s="4">
        <f>G71/VLOOKUP(A71,RESUME!$G$3:$I$10,3,FALSE)</f>
        <v>3.4425169664448704E-3</v>
      </c>
      <c r="O71" s="4" t="str">
        <f t="shared" si="9"/>
        <v/>
      </c>
      <c r="P71" s="1" t="str">
        <f>_xlfn.IFNA(VLOOKUP(A71&amp;"-"&amp;B71&amp;"-"&amp;D71,Ref_Account!$A:$F,6,FALSE),"ACCOUNT TIDAK DITEMUKAN")</f>
        <v>1204.630760</v>
      </c>
      <c r="R71" s="1">
        <f t="shared" si="10"/>
        <v>1</v>
      </c>
      <c r="S71" s="32" t="str">
        <f t="shared" si="11"/>
        <v>OK</v>
      </c>
    </row>
    <row r="72" spans="1:19" x14ac:dyDescent="0.25">
      <c r="A72" s="1" t="s">
        <v>67</v>
      </c>
      <c r="B72" t="s">
        <v>112</v>
      </c>
      <c r="C72" s="1" t="s">
        <v>113</v>
      </c>
      <c r="D72" s="2" t="s">
        <v>13</v>
      </c>
      <c r="E72" s="2" t="s">
        <v>82</v>
      </c>
      <c r="G72" s="6">
        <v>100</v>
      </c>
      <c r="M72" s="6">
        <f t="shared" si="8"/>
        <v>100</v>
      </c>
      <c r="N72" s="4">
        <f>G72/VLOOKUP(A72,RESUME!$G$3:$I$10,3,FALSE)</f>
        <v>1.1475056554816235E-3</v>
      </c>
      <c r="O72" s="4" t="str">
        <f t="shared" si="9"/>
        <v/>
      </c>
      <c r="P72" s="1" t="str">
        <f>_xlfn.IFNA(VLOOKUP(A72&amp;"-"&amp;B72&amp;"-"&amp;D72,Ref_Account!$A:$F,6,FALSE),"ACCOUNT TIDAK DITEMUKAN")</f>
        <v>1201.630730</v>
      </c>
      <c r="R72" s="1">
        <f t="shared" si="10"/>
        <v>1</v>
      </c>
      <c r="S72" s="32" t="str">
        <f t="shared" si="11"/>
        <v>OK</v>
      </c>
    </row>
    <row r="73" spans="1:19" x14ac:dyDescent="0.25">
      <c r="A73" s="1" t="s">
        <v>67</v>
      </c>
      <c r="B73" t="s">
        <v>114</v>
      </c>
      <c r="C73" s="1" t="s">
        <v>115</v>
      </c>
      <c r="D73" s="2" t="s">
        <v>13</v>
      </c>
      <c r="E73" s="2" t="s">
        <v>82</v>
      </c>
      <c r="G73" s="6">
        <v>100</v>
      </c>
      <c r="M73" s="6">
        <f t="shared" si="8"/>
        <v>100</v>
      </c>
      <c r="N73" s="4">
        <f>G73/VLOOKUP(A73,RESUME!$G$3:$I$10,3,FALSE)</f>
        <v>1.1475056554816235E-3</v>
      </c>
      <c r="O73" s="4" t="str">
        <f t="shared" si="9"/>
        <v/>
      </c>
      <c r="P73" s="1" t="str">
        <f>_xlfn.IFNA(VLOOKUP(A73&amp;"-"&amp;B73&amp;"-"&amp;D73,Ref_Account!$A:$F,6,FALSE),"ACCOUNT TIDAK DITEMUKAN")</f>
        <v>1201.630740</v>
      </c>
      <c r="R73" s="1">
        <f t="shared" si="10"/>
        <v>1</v>
      </c>
      <c r="S73" s="32" t="str">
        <f t="shared" si="11"/>
        <v>OK</v>
      </c>
    </row>
    <row r="74" spans="1:19" x14ac:dyDescent="0.25">
      <c r="A74" s="1" t="s">
        <v>67</v>
      </c>
      <c r="B74" t="s">
        <v>116</v>
      </c>
      <c r="C74" s="1" t="s">
        <v>117</v>
      </c>
      <c r="D74" s="2" t="s">
        <v>13</v>
      </c>
      <c r="E74" s="2" t="s">
        <v>75</v>
      </c>
      <c r="G74" s="6">
        <v>328.75</v>
      </c>
      <c r="M74" s="6">
        <f t="shared" si="8"/>
        <v>328.75</v>
      </c>
      <c r="N74" s="4">
        <f>G74/VLOOKUP(A74,RESUME!$G$3:$I$10,3,FALSE)</f>
        <v>3.7724248423958375E-3</v>
      </c>
      <c r="O74" s="4" t="str">
        <f t="shared" si="9"/>
        <v/>
      </c>
      <c r="P74" s="1" t="str">
        <f>_xlfn.IFNA(VLOOKUP(A74&amp;"-"&amp;B74&amp;"-"&amp;D74,Ref_Account!$A:$F,6,FALSE),"ACCOUNT TIDAK DITEMUKAN")</f>
        <v>1201.810110</v>
      </c>
      <c r="R74" s="1">
        <f t="shared" si="10"/>
        <v>1</v>
      </c>
      <c r="S74" s="32" t="str">
        <f t="shared" si="11"/>
        <v>OK</v>
      </c>
    </row>
    <row r="75" spans="1:19" x14ac:dyDescent="0.25">
      <c r="A75" s="1" t="s">
        <v>67</v>
      </c>
      <c r="B75" t="s">
        <v>116</v>
      </c>
      <c r="C75" s="1" t="s">
        <v>117</v>
      </c>
      <c r="D75" s="2" t="s">
        <v>101</v>
      </c>
      <c r="E75" s="2" t="s">
        <v>75</v>
      </c>
      <c r="G75" s="6">
        <v>109.79</v>
      </c>
      <c r="M75" s="6">
        <f t="shared" si="8"/>
        <v>109.79</v>
      </c>
      <c r="N75" s="4">
        <f>G75/VLOOKUP(A75,RESUME!$G$3:$I$10,3,FALSE)</f>
        <v>1.2598464591532744E-3</v>
      </c>
      <c r="O75" s="4" t="str">
        <f t="shared" si="9"/>
        <v/>
      </c>
      <c r="P75" s="1" t="str">
        <f>_xlfn.IFNA(VLOOKUP(A75&amp;"-"&amp;B75&amp;"-"&amp;D75,Ref_Account!$A:$F,6,FALSE),"ACCOUNT TIDAK DITEMUKAN")</f>
        <v>1206.810110</v>
      </c>
      <c r="R75" s="1">
        <f t="shared" si="10"/>
        <v>1</v>
      </c>
      <c r="S75" s="32" t="str">
        <f t="shared" si="11"/>
        <v>OK</v>
      </c>
    </row>
    <row r="76" spans="1:19" x14ac:dyDescent="0.25">
      <c r="A76" s="1" t="s">
        <v>67</v>
      </c>
      <c r="B76" t="s">
        <v>116</v>
      </c>
      <c r="C76" s="1" t="s">
        <v>117</v>
      </c>
      <c r="D76" s="2" t="s">
        <v>24</v>
      </c>
      <c r="E76" s="2" t="s">
        <v>75</v>
      </c>
      <c r="G76" s="6">
        <v>169.38</v>
      </c>
      <c r="M76" s="6">
        <f t="shared" si="8"/>
        <v>169.38</v>
      </c>
      <c r="N76" s="4">
        <f>G76/VLOOKUP(A76,RESUME!$G$3:$I$10,3,FALSE)</f>
        <v>1.9436450792547739E-3</v>
      </c>
      <c r="O76" s="4" t="str">
        <f t="shared" si="9"/>
        <v/>
      </c>
      <c r="P76" s="1" t="str">
        <f>_xlfn.IFNA(VLOOKUP(A76&amp;"-"&amp;B76&amp;"-"&amp;D76,Ref_Account!$A:$F,6,FALSE),"ACCOUNT TIDAK DITEMUKAN")</f>
        <v>1205.810110</v>
      </c>
      <c r="R76" s="1">
        <f t="shared" si="10"/>
        <v>1</v>
      </c>
      <c r="S76" s="32" t="str">
        <f t="shared" si="11"/>
        <v>OK</v>
      </c>
    </row>
    <row r="77" spans="1:19" x14ac:dyDescent="0.25">
      <c r="A77" s="1" t="s">
        <v>67</v>
      </c>
      <c r="B77" t="s">
        <v>116</v>
      </c>
      <c r="C77" s="1" t="s">
        <v>117</v>
      </c>
      <c r="D77" s="2" t="s">
        <v>15</v>
      </c>
      <c r="E77" s="2" t="s">
        <v>75</v>
      </c>
      <c r="G77" s="6">
        <v>142.08000000000001</v>
      </c>
      <c r="M77" s="6">
        <f t="shared" si="8"/>
        <v>142.08000000000001</v>
      </c>
      <c r="N77" s="4">
        <f>G77/VLOOKUP(A77,RESUME!$G$3:$I$10,3,FALSE)</f>
        <v>1.6303760353082908E-3</v>
      </c>
      <c r="O77" s="4" t="str">
        <f t="shared" si="9"/>
        <v/>
      </c>
      <c r="P77" s="1" t="str">
        <f>_xlfn.IFNA(VLOOKUP(A77&amp;"-"&amp;B77&amp;"-"&amp;D77,Ref_Account!$A:$F,6,FALSE),"ACCOUNT TIDAK DITEMUKAN")</f>
        <v>1204.810110</v>
      </c>
      <c r="R77" s="1">
        <f t="shared" si="10"/>
        <v>1</v>
      </c>
      <c r="S77" s="32" t="str">
        <f t="shared" si="11"/>
        <v>OK</v>
      </c>
    </row>
    <row r="78" spans="1:19" x14ac:dyDescent="0.25">
      <c r="A78" s="1" t="s">
        <v>67</v>
      </c>
      <c r="B78" t="s">
        <v>118</v>
      </c>
      <c r="C78" s="1" t="s">
        <v>119</v>
      </c>
      <c r="D78" s="2" t="s">
        <v>13</v>
      </c>
      <c r="E78" s="2" t="s">
        <v>75</v>
      </c>
      <c r="G78" s="6">
        <v>4300</v>
      </c>
      <c r="M78" s="6">
        <f t="shared" si="8"/>
        <v>4300</v>
      </c>
      <c r="N78" s="4">
        <f>G78/VLOOKUP(A78,RESUME!$G$3:$I$10,3,FALSE)</f>
        <v>4.934274318570981E-2</v>
      </c>
      <c r="O78" s="4" t="str">
        <f t="shared" si="9"/>
        <v/>
      </c>
      <c r="P78" s="1" t="str">
        <f>_xlfn.IFNA(VLOOKUP(A78&amp;"-"&amp;B78&amp;"-"&amp;D78,Ref_Account!$A:$F,6,FALSE),"ACCOUNT TIDAK DITEMUKAN")</f>
        <v>1201.630130</v>
      </c>
      <c r="R78" s="1">
        <f t="shared" si="10"/>
        <v>1</v>
      </c>
      <c r="S78" s="32" t="str">
        <f t="shared" si="11"/>
        <v>OK</v>
      </c>
    </row>
    <row r="79" spans="1:19" x14ac:dyDescent="0.25">
      <c r="A79" s="1" t="s">
        <v>67</v>
      </c>
      <c r="B79" t="s">
        <v>120</v>
      </c>
      <c r="C79" s="1" t="s">
        <v>121</v>
      </c>
      <c r="D79" s="2" t="s">
        <v>13</v>
      </c>
      <c r="E79" s="2" t="s">
        <v>122</v>
      </c>
      <c r="G79" s="6">
        <v>1495.98</v>
      </c>
      <c r="M79" s="6">
        <f t="shared" si="8"/>
        <v>1495.98</v>
      </c>
      <c r="N79" s="4">
        <f>G79/VLOOKUP(A79,RESUME!$G$3:$I$10,3,FALSE)</f>
        <v>1.7166455104873992E-2</v>
      </c>
      <c r="O79" s="4" t="str">
        <f t="shared" si="9"/>
        <v/>
      </c>
      <c r="P79" s="1" t="str">
        <f>_xlfn.IFNA(VLOOKUP(A79&amp;"-"&amp;B79&amp;"-"&amp;D79,Ref_Account!$A:$F,6,FALSE),"ACCOUNT TIDAK DITEMUKAN")</f>
        <v>1201.816130</v>
      </c>
      <c r="R79" s="1">
        <f t="shared" si="10"/>
        <v>1</v>
      </c>
      <c r="S79" s="32" t="str">
        <f t="shared" si="11"/>
        <v>OK</v>
      </c>
    </row>
    <row r="80" spans="1:19" x14ac:dyDescent="0.25">
      <c r="A80" s="1" t="s">
        <v>67</v>
      </c>
      <c r="B80" t="s">
        <v>120</v>
      </c>
      <c r="C80" s="1" t="s">
        <v>121</v>
      </c>
      <c r="D80" s="2" t="s">
        <v>101</v>
      </c>
      <c r="E80" s="2" t="s">
        <v>122</v>
      </c>
      <c r="G80" s="6">
        <v>516.97</v>
      </c>
      <c r="M80" s="6">
        <f t="shared" si="8"/>
        <v>516.97</v>
      </c>
      <c r="N80" s="4">
        <f>G80/VLOOKUP(A80,RESUME!$G$3:$I$10,3,FALSE)</f>
        <v>5.9322599871433493E-3</v>
      </c>
      <c r="O80" s="4" t="str">
        <f t="shared" si="9"/>
        <v/>
      </c>
      <c r="P80" s="1" t="str">
        <f>_xlfn.IFNA(VLOOKUP(A80&amp;"-"&amp;B80&amp;"-"&amp;D80,Ref_Account!$A:$F,6,FALSE),"ACCOUNT TIDAK DITEMUKAN")</f>
        <v>1206.816130</v>
      </c>
      <c r="R80" s="1">
        <f t="shared" si="10"/>
        <v>1</v>
      </c>
      <c r="S80" s="32" t="str">
        <f t="shared" si="11"/>
        <v>OK</v>
      </c>
    </row>
    <row r="81" spans="1:19" x14ac:dyDescent="0.25">
      <c r="A81" s="1" t="s">
        <v>67</v>
      </c>
      <c r="B81" t="s">
        <v>120</v>
      </c>
      <c r="C81" s="1" t="s">
        <v>121</v>
      </c>
      <c r="D81" s="2" t="s">
        <v>24</v>
      </c>
      <c r="E81" s="2" t="s">
        <v>122</v>
      </c>
      <c r="G81" s="6">
        <v>1463.62</v>
      </c>
      <c r="M81" s="6">
        <f t="shared" si="8"/>
        <v>1463.62</v>
      </c>
      <c r="N81" s="4">
        <f>G81/VLOOKUP(A81,RESUME!$G$3:$I$10,3,FALSE)</f>
        <v>1.6795122274760137E-2</v>
      </c>
      <c r="O81" s="4" t="str">
        <f t="shared" si="9"/>
        <v/>
      </c>
      <c r="P81" s="1" t="str">
        <f>_xlfn.IFNA(VLOOKUP(A81&amp;"-"&amp;B81&amp;"-"&amp;D81,Ref_Account!$A:$F,6,FALSE),"ACCOUNT TIDAK DITEMUKAN")</f>
        <v>1205.816130</v>
      </c>
      <c r="R81" s="1">
        <f t="shared" si="10"/>
        <v>1</v>
      </c>
      <c r="S81" s="32" t="str">
        <f t="shared" si="11"/>
        <v>OK</v>
      </c>
    </row>
    <row r="82" spans="1:19" x14ac:dyDescent="0.25">
      <c r="A82" s="1" t="s">
        <v>67</v>
      </c>
      <c r="B82" t="s">
        <v>120</v>
      </c>
      <c r="C82" s="1" t="s">
        <v>121</v>
      </c>
      <c r="D82" s="2" t="s">
        <v>15</v>
      </c>
      <c r="E82" s="2" t="s">
        <v>122</v>
      </c>
      <c r="G82" s="6">
        <v>1779.8599999999997</v>
      </c>
      <c r="M82" s="6">
        <f t="shared" si="8"/>
        <v>1779.8599999999997</v>
      </c>
      <c r="N82" s="4">
        <f>G82/VLOOKUP(A82,RESUME!$G$3:$I$10,3,FALSE)</f>
        <v>2.042399415965522E-2</v>
      </c>
      <c r="O82" s="4" t="str">
        <f t="shared" si="9"/>
        <v/>
      </c>
      <c r="P82" s="1" t="str">
        <f>_xlfn.IFNA(VLOOKUP(A82&amp;"-"&amp;B82&amp;"-"&amp;D82,Ref_Account!$A:$F,6,FALSE),"ACCOUNT TIDAK DITEMUKAN")</f>
        <v>1204.816130</v>
      </c>
      <c r="R82" s="1">
        <f t="shared" si="10"/>
        <v>1</v>
      </c>
      <c r="S82" s="32" t="str">
        <f t="shared" si="11"/>
        <v>OK</v>
      </c>
    </row>
    <row r="83" spans="1:19" x14ac:dyDescent="0.25">
      <c r="A83" s="1" t="s">
        <v>67</v>
      </c>
      <c r="B83" t="s">
        <v>21</v>
      </c>
      <c r="C83" s="1" t="s">
        <v>123</v>
      </c>
      <c r="D83" s="2" t="s">
        <v>101</v>
      </c>
      <c r="E83" s="2" t="s">
        <v>75</v>
      </c>
      <c r="G83" s="6">
        <v>1115.46</v>
      </c>
      <c r="M83" s="6">
        <f t="shared" si="8"/>
        <v>1115.46</v>
      </c>
      <c r="N83" s="4">
        <f>G83/VLOOKUP(A83,RESUME!$G$3:$I$10,3,FALSE)</f>
        <v>1.2799966584635319E-2</v>
      </c>
      <c r="O83" s="4" t="str">
        <f t="shared" si="9"/>
        <v/>
      </c>
      <c r="P83" s="1" t="str">
        <f>_xlfn.IFNA(VLOOKUP(A83&amp;"-"&amp;B83&amp;"-"&amp;D83,Ref_Account!$A:$F,6,FALSE),"ACCOUNT TIDAK DITEMUKAN")</f>
        <v>1206.631100</v>
      </c>
      <c r="R83" s="1">
        <f t="shared" si="10"/>
        <v>1</v>
      </c>
      <c r="S83" s="32" t="str">
        <f t="shared" si="11"/>
        <v>OK</v>
      </c>
    </row>
    <row r="84" spans="1:19" x14ac:dyDescent="0.25">
      <c r="A84" s="1" t="s">
        <v>67</v>
      </c>
      <c r="B84" t="s">
        <v>124</v>
      </c>
      <c r="C84" s="1" t="s">
        <v>125</v>
      </c>
      <c r="D84" s="2" t="s">
        <v>13</v>
      </c>
      <c r="E84" s="2" t="s">
        <v>82</v>
      </c>
      <c r="G84" s="6">
        <v>651</v>
      </c>
      <c r="M84" s="6">
        <f t="shared" si="8"/>
        <v>651</v>
      </c>
      <c r="N84" s="4">
        <f>G84/VLOOKUP(A84,RESUME!$G$3:$I$10,3,FALSE)</f>
        <v>7.4702618171853695E-3</v>
      </c>
      <c r="O84" s="4" t="str">
        <f t="shared" si="9"/>
        <v/>
      </c>
      <c r="P84" s="1" t="str">
        <f>_xlfn.IFNA(VLOOKUP(A84&amp;"-"&amp;B84&amp;"-"&amp;D84,Ref_Account!$A:$F,6,FALSE),"ACCOUNT TIDAK DITEMUKAN")</f>
        <v>1201.631110</v>
      </c>
      <c r="R84" s="1">
        <f t="shared" si="10"/>
        <v>1</v>
      </c>
      <c r="S84" s="32" t="str">
        <f t="shared" si="11"/>
        <v>OK</v>
      </c>
    </row>
    <row r="85" spans="1:19" x14ac:dyDescent="0.25">
      <c r="A85" s="1" t="s">
        <v>67</v>
      </c>
      <c r="B85" t="s">
        <v>126</v>
      </c>
      <c r="C85" s="1" t="s">
        <v>127</v>
      </c>
      <c r="D85" s="2" t="s">
        <v>13</v>
      </c>
      <c r="E85" s="2" t="s">
        <v>82</v>
      </c>
      <c r="G85" s="6">
        <v>466</v>
      </c>
      <c r="M85" s="6">
        <f t="shared" si="8"/>
        <v>466</v>
      </c>
      <c r="N85" s="4">
        <f>G85/VLOOKUP(A85,RESUME!$G$3:$I$10,3,FALSE)</f>
        <v>5.3473763545443653E-3</v>
      </c>
      <c r="O85" s="4" t="str">
        <f t="shared" si="9"/>
        <v/>
      </c>
      <c r="P85" s="1" t="str">
        <f>_xlfn.IFNA(VLOOKUP(A85&amp;"-"&amp;B85&amp;"-"&amp;D85,Ref_Account!$A:$F,6,FALSE),"ACCOUNT TIDAK DITEMUKAN")</f>
        <v>1201.631140</v>
      </c>
      <c r="R85" s="1">
        <f t="shared" si="10"/>
        <v>1</v>
      </c>
      <c r="S85" s="32" t="str">
        <f t="shared" si="11"/>
        <v>OK</v>
      </c>
    </row>
    <row r="86" spans="1:19" x14ac:dyDescent="0.25">
      <c r="A86" s="1" t="s">
        <v>67</v>
      </c>
      <c r="B86" t="s">
        <v>128</v>
      </c>
      <c r="C86" s="1" t="s">
        <v>129</v>
      </c>
      <c r="D86" s="2" t="s">
        <v>13</v>
      </c>
      <c r="E86" s="2" t="s">
        <v>75</v>
      </c>
      <c r="G86" s="6">
        <v>1388.61</v>
      </c>
      <c r="M86" s="6">
        <f t="shared" si="8"/>
        <v>1388.61</v>
      </c>
      <c r="N86" s="4">
        <f>G86/VLOOKUP(A86,RESUME!$G$3:$I$10,3,FALSE)</f>
        <v>1.5934378282583372E-2</v>
      </c>
      <c r="O86" s="4" t="str">
        <f t="shared" si="9"/>
        <v/>
      </c>
      <c r="P86" s="1" t="str">
        <f>_xlfn.IFNA(VLOOKUP(A86&amp;"-"&amp;B86&amp;"-"&amp;D86,Ref_Account!$A:$F,6,FALSE),"ACCOUNT TIDAK DITEMUKAN")</f>
        <v>1201.631000</v>
      </c>
      <c r="R86" s="1">
        <f t="shared" si="10"/>
        <v>1</v>
      </c>
      <c r="S86" s="32" t="str">
        <f t="shared" si="11"/>
        <v>OK</v>
      </c>
    </row>
    <row r="87" spans="1:19" x14ac:dyDescent="0.25">
      <c r="A87" s="1" t="s">
        <v>67</v>
      </c>
      <c r="B87" t="s">
        <v>130</v>
      </c>
      <c r="C87" s="1" t="s">
        <v>131</v>
      </c>
      <c r="D87" s="2" t="s">
        <v>13</v>
      </c>
      <c r="E87" s="2" t="s">
        <v>75</v>
      </c>
      <c r="G87" s="6">
        <v>221.29</v>
      </c>
      <c r="M87" s="6">
        <f t="shared" si="8"/>
        <v>221.29</v>
      </c>
      <c r="N87" s="4">
        <f>G87/VLOOKUP(A87,RESUME!$G$3:$I$10,3,FALSE)</f>
        <v>2.5393152650152848E-3</v>
      </c>
      <c r="O87" s="4" t="str">
        <f t="shared" si="9"/>
        <v/>
      </c>
      <c r="P87" s="1" t="str">
        <f>_xlfn.IFNA(VLOOKUP(A87&amp;"-"&amp;B87&amp;"-"&amp;D87,Ref_Account!$A:$F,6,FALSE),"ACCOUNT TIDAK DITEMUKAN")</f>
        <v>1201.815110</v>
      </c>
      <c r="R87" s="1">
        <f t="shared" si="10"/>
        <v>1</v>
      </c>
      <c r="S87" s="32" t="str">
        <f t="shared" si="11"/>
        <v>OK</v>
      </c>
    </row>
    <row r="88" spans="1:19" x14ac:dyDescent="0.25">
      <c r="A88" s="1" t="s">
        <v>67</v>
      </c>
      <c r="B88" t="s">
        <v>132</v>
      </c>
      <c r="C88" s="1" t="s">
        <v>133</v>
      </c>
      <c r="D88" s="2" t="s">
        <v>13</v>
      </c>
      <c r="E88" s="2" t="s">
        <v>75</v>
      </c>
      <c r="G88" s="6">
        <v>764.4</v>
      </c>
      <c r="M88" s="6">
        <f t="shared" si="8"/>
        <v>764.4</v>
      </c>
      <c r="N88" s="4">
        <f>G88/VLOOKUP(A88,RESUME!$G$3:$I$10,3,FALSE)</f>
        <v>8.7715332305015291E-3</v>
      </c>
      <c r="O88" s="4" t="str">
        <f t="shared" si="9"/>
        <v/>
      </c>
      <c r="P88" s="1" t="str">
        <f>_xlfn.IFNA(VLOOKUP(A88&amp;"-"&amp;B88&amp;"-"&amp;D88,Ref_Account!$A:$F,6,FALSE),"ACCOUNT TIDAK DITEMUKAN")</f>
        <v>1201.815120</v>
      </c>
      <c r="R88" s="1">
        <f t="shared" si="10"/>
        <v>1</v>
      </c>
      <c r="S88" s="32" t="str">
        <f t="shared" si="11"/>
        <v>OK</v>
      </c>
    </row>
    <row r="89" spans="1:19" x14ac:dyDescent="0.25">
      <c r="A89" s="1" t="s">
        <v>67</v>
      </c>
      <c r="B89" t="s">
        <v>134</v>
      </c>
      <c r="C89" s="1" t="s">
        <v>135</v>
      </c>
      <c r="D89" s="2" t="s">
        <v>13</v>
      </c>
      <c r="E89" s="2" t="s">
        <v>75</v>
      </c>
      <c r="G89" s="6">
        <v>255</v>
      </c>
      <c r="M89" s="6">
        <f t="shared" si="8"/>
        <v>255</v>
      </c>
      <c r="N89" s="4">
        <f>G89/VLOOKUP(A89,RESUME!$G$3:$I$10,3,FALSE)</f>
        <v>2.9261394214781401E-3</v>
      </c>
      <c r="O89" s="4" t="str">
        <f t="shared" si="9"/>
        <v/>
      </c>
      <c r="P89" s="1" t="str">
        <f>_xlfn.IFNA(VLOOKUP(A89&amp;"-"&amp;B89&amp;"-"&amp;D89,Ref_Account!$A:$F,6,FALSE),"ACCOUNT TIDAK DITEMUKAN")</f>
        <v>1201.802120</v>
      </c>
      <c r="R89" s="1">
        <f t="shared" si="10"/>
        <v>1</v>
      </c>
      <c r="S89" s="32" t="str">
        <f t="shared" si="11"/>
        <v>OK</v>
      </c>
    </row>
    <row r="90" spans="1:19" x14ac:dyDescent="0.25">
      <c r="A90" s="1" t="s">
        <v>67</v>
      </c>
      <c r="B90" t="s">
        <v>136</v>
      </c>
      <c r="C90" s="1" t="s">
        <v>137</v>
      </c>
      <c r="D90" s="2" t="s">
        <v>13</v>
      </c>
      <c r="E90" s="2" t="s">
        <v>75</v>
      </c>
      <c r="G90" s="6">
        <v>200</v>
      </c>
      <c r="M90" s="6">
        <f t="shared" si="8"/>
        <v>200</v>
      </c>
      <c r="N90" s="4">
        <f>G90/VLOOKUP(A90,RESUME!$G$3:$I$10,3,FALSE)</f>
        <v>2.2950113109632469E-3</v>
      </c>
      <c r="O90" s="4" t="str">
        <f t="shared" si="9"/>
        <v/>
      </c>
      <c r="P90" s="1" t="str">
        <f>_xlfn.IFNA(VLOOKUP(A90&amp;"-"&amp;B90&amp;"-"&amp;D90,Ref_Account!$A:$F,6,FALSE),"ACCOUNT TIDAK DITEMUKAN")</f>
        <v>1201.814110</v>
      </c>
      <c r="R90" s="1">
        <f t="shared" si="10"/>
        <v>1</v>
      </c>
      <c r="S90" s="32" t="str">
        <f t="shared" si="11"/>
        <v>OK</v>
      </c>
    </row>
    <row r="91" spans="1:19" x14ac:dyDescent="0.25">
      <c r="A91" s="1" t="s">
        <v>67</v>
      </c>
      <c r="B91" t="s">
        <v>138</v>
      </c>
      <c r="C91" s="1" t="s">
        <v>139</v>
      </c>
      <c r="D91" s="2" t="s">
        <v>13</v>
      </c>
      <c r="E91" s="2" t="s">
        <v>75</v>
      </c>
      <c r="G91" s="6">
        <v>464.37</v>
      </c>
      <c r="M91" s="6">
        <f t="shared" si="8"/>
        <v>464.37</v>
      </c>
      <c r="N91" s="4">
        <f>G91/VLOOKUP(A91,RESUME!$G$3:$I$10,3,FALSE)</f>
        <v>5.3286720123600154E-3</v>
      </c>
      <c r="O91" s="4" t="str">
        <f t="shared" si="9"/>
        <v/>
      </c>
      <c r="P91" s="1" t="str">
        <f>_xlfn.IFNA(VLOOKUP(A91&amp;"-"&amp;B91&amp;"-"&amp;D91,Ref_Account!$A:$F,6,FALSE),"ACCOUNT TIDAK DITEMUKAN")</f>
        <v>1201.630450</v>
      </c>
      <c r="R91" s="1">
        <f t="shared" si="10"/>
        <v>1</v>
      </c>
      <c r="S91" s="32" t="str">
        <f t="shared" si="11"/>
        <v>OK</v>
      </c>
    </row>
    <row r="92" spans="1:19" x14ac:dyDescent="0.25">
      <c r="A92" s="1" t="s">
        <v>67</v>
      </c>
      <c r="B92" t="s">
        <v>21</v>
      </c>
      <c r="C92" s="1" t="s">
        <v>140</v>
      </c>
      <c r="D92" s="2" t="s">
        <v>13</v>
      </c>
      <c r="E92" s="2" t="s">
        <v>75</v>
      </c>
      <c r="G92" s="6">
        <v>515.79999999999995</v>
      </c>
      <c r="M92" s="6">
        <f t="shared" si="8"/>
        <v>515.79999999999995</v>
      </c>
      <c r="N92" s="4">
        <f>G92/VLOOKUP(A92,RESUME!$G$3:$I$10,3,FALSE)</f>
        <v>5.9188341709742135E-3</v>
      </c>
      <c r="O92" s="4" t="str">
        <f t="shared" si="9"/>
        <v/>
      </c>
      <c r="P92" s="1" t="str">
        <f>_xlfn.IFNA(VLOOKUP(A92&amp;"-"&amp;B92&amp;"-"&amp;D92,Ref_Account!$A:$F,6,FALSE),"ACCOUNT TIDAK DITEMUKAN")</f>
        <v>1201.631100</v>
      </c>
      <c r="R92" s="1">
        <f t="shared" si="10"/>
        <v>3</v>
      </c>
      <c r="S92" s="32" t="str">
        <f t="shared" si="11"/>
        <v>OK</v>
      </c>
    </row>
    <row r="93" spans="1:19" x14ac:dyDescent="0.25">
      <c r="A93" s="1" t="s">
        <v>67</v>
      </c>
      <c r="B93" t="s">
        <v>21</v>
      </c>
      <c r="C93" s="1" t="s">
        <v>123</v>
      </c>
      <c r="D93" s="2" t="s">
        <v>13</v>
      </c>
      <c r="E93" s="2" t="s">
        <v>75</v>
      </c>
      <c r="G93" s="6">
        <v>1891.43</v>
      </c>
      <c r="M93" s="6">
        <f t="shared" si="8"/>
        <v>1891.43</v>
      </c>
      <c r="N93" s="4">
        <f>G93/VLOOKUP(A93,RESUME!$G$3:$I$10,3,FALSE)</f>
        <v>2.1704266219476073E-2</v>
      </c>
      <c r="O93" s="4" t="str">
        <f t="shared" si="9"/>
        <v/>
      </c>
      <c r="P93" s="1" t="str">
        <f>_xlfn.IFNA(VLOOKUP(A93&amp;"-"&amp;B93&amp;"-"&amp;D93,Ref_Account!$A:$F,6,FALSE),"ACCOUNT TIDAK DITEMUKAN")</f>
        <v>1201.631100</v>
      </c>
      <c r="R93" s="1">
        <f t="shared" si="10"/>
        <v>3</v>
      </c>
      <c r="S93" s="32" t="str">
        <f t="shared" si="11"/>
        <v>OK</v>
      </c>
    </row>
    <row r="94" spans="1:19" ht="16.5" customHeight="1" x14ac:dyDescent="0.25">
      <c r="A94" s="1" t="s">
        <v>67</v>
      </c>
      <c r="B94" t="s">
        <v>21</v>
      </c>
      <c r="C94" s="1" t="s">
        <v>123</v>
      </c>
      <c r="D94" s="2" t="s">
        <v>24</v>
      </c>
      <c r="E94" s="2" t="s">
        <v>75</v>
      </c>
      <c r="G94" s="6">
        <v>1328.48</v>
      </c>
      <c r="M94" s="6">
        <f t="shared" si="8"/>
        <v>1328.48</v>
      </c>
      <c r="N94" s="4">
        <f>G94/VLOOKUP(A94,RESUME!$G$3:$I$10,3,FALSE)</f>
        <v>1.5244383131942272E-2</v>
      </c>
      <c r="O94" s="4" t="str">
        <f t="shared" si="9"/>
        <v/>
      </c>
      <c r="P94" s="1" t="str">
        <f>_xlfn.IFNA(VLOOKUP(A94&amp;"-"&amp;B94&amp;"-"&amp;D94,Ref_Account!$A:$F,6,FALSE),"ACCOUNT TIDAK DITEMUKAN")</f>
        <v>1205.631100</v>
      </c>
      <c r="R94" s="1">
        <f t="shared" si="10"/>
        <v>3</v>
      </c>
      <c r="S94" s="32" t="str">
        <f t="shared" si="11"/>
        <v>OK</v>
      </c>
    </row>
    <row r="95" spans="1:19" x14ac:dyDescent="0.25">
      <c r="A95" s="1" t="s">
        <v>67</v>
      </c>
      <c r="B95" t="s">
        <v>21</v>
      </c>
      <c r="C95" s="1" t="s">
        <v>123</v>
      </c>
      <c r="D95" s="2" t="s">
        <v>15</v>
      </c>
      <c r="E95" s="2" t="s">
        <v>75</v>
      </c>
      <c r="G95" s="6">
        <v>1328.28</v>
      </c>
      <c r="M95" s="6">
        <f t="shared" si="8"/>
        <v>1328.28</v>
      </c>
      <c r="N95" s="4">
        <f>G95/VLOOKUP(A95,RESUME!$G$3:$I$10,3,FALSE)</f>
        <v>1.5242088120631308E-2</v>
      </c>
      <c r="O95" s="4" t="str">
        <f t="shared" si="9"/>
        <v/>
      </c>
      <c r="P95" s="1" t="str">
        <f>_xlfn.IFNA(VLOOKUP(A95&amp;"-"&amp;B95&amp;"-"&amp;D95,Ref_Account!$A:$F,6,FALSE),"ACCOUNT TIDAK DITEMUKAN")</f>
        <v>1204.631100</v>
      </c>
      <c r="R95" s="1">
        <f t="shared" si="10"/>
        <v>3</v>
      </c>
      <c r="S95" s="32" t="str">
        <f t="shared" si="11"/>
        <v>OK</v>
      </c>
    </row>
    <row r="96" spans="1:19" x14ac:dyDescent="0.25">
      <c r="A96" s="1" t="s">
        <v>141</v>
      </c>
      <c r="B96" t="s">
        <v>93</v>
      </c>
      <c r="C96" s="1" t="s">
        <v>94</v>
      </c>
      <c r="D96" s="2" t="s">
        <v>101</v>
      </c>
      <c r="E96" s="2" t="s">
        <v>95</v>
      </c>
      <c r="G96" s="6">
        <v>2736.7799999999997</v>
      </c>
      <c r="M96" s="6">
        <f t="shared" si="8"/>
        <v>2736.7799999999997</v>
      </c>
      <c r="N96" s="4">
        <f>G96/VLOOKUP(A96,RESUME!$G$3:$I$10,3,FALSE)</f>
        <v>2.7232510432328692E-2</v>
      </c>
      <c r="O96" s="4" t="str">
        <f t="shared" si="9"/>
        <v/>
      </c>
      <c r="P96" s="1" t="str">
        <f>_xlfn.IFNA(VLOOKUP(A96&amp;"-"&amp;B96&amp;"-"&amp;D96,Ref_Account!$A:$F,6,FALSE),"ACCOUNT TIDAK DITEMUKAN")</f>
        <v>1206.801160</v>
      </c>
      <c r="R96" s="1">
        <f t="shared" si="10"/>
        <v>1</v>
      </c>
      <c r="S96" s="32" t="str">
        <f t="shared" si="11"/>
        <v>OK</v>
      </c>
    </row>
    <row r="97" spans="1:19" x14ac:dyDescent="0.25">
      <c r="A97" s="1" t="s">
        <v>141</v>
      </c>
      <c r="B97" t="s">
        <v>102</v>
      </c>
      <c r="C97" s="1" t="s">
        <v>103</v>
      </c>
      <c r="D97" s="2" t="s">
        <v>101</v>
      </c>
      <c r="E97" s="2" t="s">
        <v>75</v>
      </c>
      <c r="G97" s="6">
        <v>200</v>
      </c>
      <c r="M97" s="6">
        <f t="shared" si="8"/>
        <v>200</v>
      </c>
      <c r="N97" s="4">
        <f>G97/VLOOKUP(A97,RESUME!$G$3:$I$10,3,FALSE)</f>
        <v>1.990113230316554E-3</v>
      </c>
      <c r="O97" s="4" t="str">
        <f t="shared" si="9"/>
        <v/>
      </c>
      <c r="P97" s="1" t="str">
        <f>_xlfn.IFNA(VLOOKUP(A97&amp;"-"&amp;B97&amp;"-"&amp;D97,Ref_Account!$A:$F,6,FALSE),"ACCOUNT TIDAK DITEMUKAN")</f>
        <v>1206.630710</v>
      </c>
      <c r="R97" s="1">
        <f t="shared" si="10"/>
        <v>1</v>
      </c>
      <c r="S97" s="32" t="str">
        <f t="shared" si="11"/>
        <v>OK</v>
      </c>
    </row>
    <row r="98" spans="1:19" x14ac:dyDescent="0.25">
      <c r="A98" s="1" t="s">
        <v>141</v>
      </c>
      <c r="B98" t="s">
        <v>118</v>
      </c>
      <c r="C98" s="1" t="s">
        <v>119</v>
      </c>
      <c r="D98" s="2" t="s">
        <v>101</v>
      </c>
      <c r="E98" s="2" t="s">
        <v>95</v>
      </c>
      <c r="G98" s="6">
        <v>1460</v>
      </c>
      <c r="M98" s="6">
        <f t="shared" si="8"/>
        <v>1460</v>
      </c>
      <c r="N98" s="4">
        <f>G98/VLOOKUP(A98,RESUME!$G$3:$I$10,3,FALSE)</f>
        <v>1.4527826581310844E-2</v>
      </c>
      <c r="O98" s="4" t="str">
        <f t="shared" si="9"/>
        <v/>
      </c>
      <c r="P98" s="1" t="str">
        <f>_xlfn.IFNA(VLOOKUP(A98&amp;"-"&amp;B98&amp;"-"&amp;D98,Ref_Account!$A:$F,6,FALSE),"ACCOUNT TIDAK DITEMUKAN")</f>
        <v>1206.630130</v>
      </c>
      <c r="R98" s="1">
        <f t="shared" si="10"/>
        <v>1</v>
      </c>
      <c r="S98" s="32" t="str">
        <f t="shared" si="11"/>
        <v>OK</v>
      </c>
    </row>
    <row r="99" spans="1:19" x14ac:dyDescent="0.25">
      <c r="A99" s="1" t="s">
        <v>141</v>
      </c>
      <c r="B99" t="s">
        <v>128</v>
      </c>
      <c r="C99" s="1" t="s">
        <v>129</v>
      </c>
      <c r="D99" s="2" t="s">
        <v>101</v>
      </c>
      <c r="E99" s="2" t="s">
        <v>75</v>
      </c>
      <c r="G99" s="6">
        <v>4235.2299999999996</v>
      </c>
      <c r="M99" s="6">
        <f t="shared" si="8"/>
        <v>4235.2299999999996</v>
      </c>
      <c r="N99" s="4">
        <f>G99/VLOOKUP(A99,RESUME!$G$3:$I$10,3,FALSE)</f>
        <v>4.2142936282167892E-2</v>
      </c>
      <c r="O99" s="4" t="str">
        <f t="shared" si="9"/>
        <v/>
      </c>
      <c r="P99" s="1" t="str">
        <f>_xlfn.IFNA(VLOOKUP(A99&amp;"-"&amp;B99&amp;"-"&amp;D99,Ref_Account!$A:$F,6,FALSE),"ACCOUNT TIDAK DITEMUKAN")</f>
        <v>1206.631000</v>
      </c>
      <c r="R99" s="1">
        <f t="shared" si="10"/>
        <v>1</v>
      </c>
      <c r="S99" s="32" t="str">
        <f t="shared" si="11"/>
        <v>OK</v>
      </c>
    </row>
    <row r="100" spans="1:19" x14ac:dyDescent="0.25">
      <c r="A100" s="1" t="s">
        <v>141</v>
      </c>
      <c r="B100" t="s">
        <v>130</v>
      </c>
      <c r="C100" s="1" t="s">
        <v>142</v>
      </c>
      <c r="D100" s="2" t="s">
        <v>101</v>
      </c>
      <c r="E100" s="2" t="s">
        <v>75</v>
      </c>
      <c r="G100" s="6">
        <v>821.62</v>
      </c>
      <c r="M100" s="6">
        <f t="shared" si="8"/>
        <v>821.62</v>
      </c>
      <c r="N100" s="4">
        <f>G100/VLOOKUP(A100,RESUME!$G$3:$I$10,3,FALSE)</f>
        <v>8.175584161463436E-3</v>
      </c>
      <c r="O100" s="4" t="str">
        <f t="shared" si="9"/>
        <v/>
      </c>
      <c r="P100" s="1" t="str">
        <f>_xlfn.IFNA(VLOOKUP(A100&amp;"-"&amp;B100&amp;"-"&amp;D100,Ref_Account!$A:$F,6,FALSE),"ACCOUNT TIDAK DITEMUKAN")</f>
        <v>1206.815110</v>
      </c>
      <c r="R100" s="1">
        <f t="shared" si="10"/>
        <v>1</v>
      </c>
      <c r="S100" s="32" t="str">
        <f t="shared" si="11"/>
        <v>OK</v>
      </c>
    </row>
    <row r="101" spans="1:19" x14ac:dyDescent="0.25">
      <c r="A101" s="1" t="s">
        <v>141</v>
      </c>
      <c r="B101" t="s">
        <v>134</v>
      </c>
      <c r="C101" s="1" t="s">
        <v>135</v>
      </c>
      <c r="D101" s="2" t="s">
        <v>101</v>
      </c>
      <c r="E101" s="2" t="s">
        <v>75</v>
      </c>
      <c r="G101" s="6">
        <v>55</v>
      </c>
      <c r="M101" s="6">
        <f t="shared" si="8"/>
        <v>55</v>
      </c>
      <c r="N101" s="4">
        <f>G101/VLOOKUP(A101,RESUME!$G$3:$I$10,3,FALSE)</f>
        <v>5.4728113833705236E-4</v>
      </c>
      <c r="O101" s="4" t="str">
        <f t="shared" si="9"/>
        <v/>
      </c>
      <c r="P101" s="1" t="str">
        <f>_xlfn.IFNA(VLOOKUP(A101&amp;"-"&amp;B101&amp;"-"&amp;D101,Ref_Account!$A:$F,6,FALSE),"ACCOUNT TIDAK DITEMUKAN")</f>
        <v>1206.802120</v>
      </c>
      <c r="R101" s="1">
        <f t="shared" si="10"/>
        <v>1</v>
      </c>
      <c r="S101" s="32" t="str">
        <f t="shared" si="11"/>
        <v>OK</v>
      </c>
    </row>
    <row r="102" spans="1:19" x14ac:dyDescent="0.25">
      <c r="A102" s="1" t="s">
        <v>141</v>
      </c>
      <c r="B102" t="s">
        <v>138</v>
      </c>
      <c r="C102" s="1" t="s">
        <v>139</v>
      </c>
      <c r="D102" s="2" t="s">
        <v>101</v>
      </c>
      <c r="E102" s="2" t="s">
        <v>75</v>
      </c>
      <c r="G102" s="6">
        <v>20.09</v>
      </c>
      <c r="M102" s="6">
        <f t="shared" ref="M102:M133" si="12">G102-(H102+I102+J102+K102+L102)</f>
        <v>20.09</v>
      </c>
      <c r="N102" s="4">
        <f>G102/VLOOKUP(A102,RESUME!$G$3:$I$10,3,FALSE)</f>
        <v>1.9990687398529784E-4</v>
      </c>
      <c r="O102" s="4" t="str">
        <f t="shared" ref="O102:O133" si="13">IFERROR((G102/H102)*N102,"")</f>
        <v/>
      </c>
      <c r="P102" s="1" t="str">
        <f>_xlfn.IFNA(VLOOKUP(A102&amp;"-"&amp;B102&amp;"-"&amp;D102,Ref_Account!$A:$F,6,FALSE),"ACCOUNT TIDAK DITEMUKAN")</f>
        <v>1206.630450</v>
      </c>
      <c r="R102" s="1">
        <f t="shared" ref="R102:R133" si="14">IF(P102="ACCOUNT TIDAK DITEMUKAN","9999",COUNTIF($P$6:$P$164,P102))</f>
        <v>1</v>
      </c>
      <c r="S102" s="32" t="str">
        <f t="shared" ref="S102:S133" si="15">IF(M102&gt;0,"OK","OVER")</f>
        <v>OK</v>
      </c>
    </row>
    <row r="103" spans="1:19" x14ac:dyDescent="0.25">
      <c r="A103" s="1" t="s">
        <v>141</v>
      </c>
      <c r="B103" t="s">
        <v>80</v>
      </c>
      <c r="C103" s="1" t="s">
        <v>81</v>
      </c>
      <c r="D103" s="2" t="s">
        <v>101</v>
      </c>
      <c r="E103" s="2" t="s">
        <v>143</v>
      </c>
      <c r="G103" s="6">
        <v>563</v>
      </c>
      <c r="M103" s="6">
        <f t="shared" si="12"/>
        <v>563</v>
      </c>
      <c r="N103" s="4">
        <f>G103/VLOOKUP(A103,RESUME!$G$3:$I$10,3,FALSE)</f>
        <v>5.6021687433410999E-3</v>
      </c>
      <c r="O103" s="4" t="str">
        <f t="shared" si="13"/>
        <v/>
      </c>
      <c r="P103" s="1" t="str">
        <f>_xlfn.IFNA(VLOOKUP(A103&amp;"-"&amp;B103&amp;"-"&amp;D103,Ref_Account!$A:$F,6,FALSE),"ACCOUNT TIDAK DITEMUKAN")</f>
        <v>1206.630300</v>
      </c>
      <c r="R103" s="1">
        <f t="shared" si="14"/>
        <v>1</v>
      </c>
      <c r="S103" s="32" t="str">
        <f t="shared" si="15"/>
        <v>OK</v>
      </c>
    </row>
    <row r="104" spans="1:19" x14ac:dyDescent="0.25">
      <c r="A104" s="1" t="s">
        <v>141</v>
      </c>
      <c r="B104" t="s">
        <v>104</v>
      </c>
      <c r="C104" s="1" t="s">
        <v>105</v>
      </c>
      <c r="D104" s="2" t="s">
        <v>101</v>
      </c>
      <c r="E104" s="2" t="s">
        <v>143</v>
      </c>
      <c r="G104" s="6">
        <v>50</v>
      </c>
      <c r="M104" s="6">
        <f t="shared" si="12"/>
        <v>50</v>
      </c>
      <c r="N104" s="4">
        <f>G104/VLOOKUP(A104,RESUME!$G$3:$I$10,3,FALSE)</f>
        <v>4.9752830757913849E-4</v>
      </c>
      <c r="O104" s="4" t="str">
        <f t="shared" si="13"/>
        <v/>
      </c>
      <c r="P104" s="1" t="str">
        <f>_xlfn.IFNA(VLOOKUP(A104&amp;"-"&amp;B104&amp;"-"&amp;D104,Ref_Account!$A:$F,6,FALSE),"ACCOUNT TIDAK DITEMUKAN")</f>
        <v>1206.630770</v>
      </c>
      <c r="R104" s="1">
        <f t="shared" si="14"/>
        <v>1</v>
      </c>
      <c r="S104" s="32" t="str">
        <f t="shared" si="15"/>
        <v>OK</v>
      </c>
    </row>
    <row r="105" spans="1:19" x14ac:dyDescent="0.25">
      <c r="A105" s="1" t="s">
        <v>141</v>
      </c>
      <c r="B105" t="s">
        <v>106</v>
      </c>
      <c r="C105" s="1" t="s">
        <v>107</v>
      </c>
      <c r="D105" s="2" t="s">
        <v>101</v>
      </c>
      <c r="E105" s="2" t="s">
        <v>143</v>
      </c>
      <c r="G105" s="6">
        <v>50</v>
      </c>
      <c r="M105" s="6">
        <f t="shared" si="12"/>
        <v>50</v>
      </c>
      <c r="N105" s="4">
        <f>G105/VLOOKUP(A105,RESUME!$G$3:$I$10,3,FALSE)</f>
        <v>4.9752830757913849E-4</v>
      </c>
      <c r="O105" s="4" t="str">
        <f t="shared" si="13"/>
        <v/>
      </c>
      <c r="P105" s="1" t="str">
        <f>_xlfn.IFNA(VLOOKUP(A105&amp;"-"&amp;B105&amp;"-"&amp;D105,Ref_Account!$A:$F,6,FALSE),"ACCOUNT TIDAK DITEMUKAN")</f>
        <v>1206.630750</v>
      </c>
      <c r="R105" s="1">
        <f t="shared" si="14"/>
        <v>1</v>
      </c>
      <c r="S105" s="32" t="str">
        <f t="shared" si="15"/>
        <v>OK</v>
      </c>
    </row>
    <row r="106" spans="1:19" x14ac:dyDescent="0.25">
      <c r="A106" s="1" t="s">
        <v>141</v>
      </c>
      <c r="B106" t="s">
        <v>108</v>
      </c>
      <c r="C106" s="1" t="s">
        <v>109</v>
      </c>
      <c r="D106" s="2" t="s">
        <v>101</v>
      </c>
      <c r="E106" s="2" t="s">
        <v>143</v>
      </c>
      <c r="G106" s="6">
        <v>50</v>
      </c>
      <c r="M106" s="6">
        <f t="shared" si="12"/>
        <v>50</v>
      </c>
      <c r="N106" s="4">
        <f>G106/VLOOKUP(A106,RESUME!$G$3:$I$10,3,FALSE)</f>
        <v>4.9752830757913849E-4</v>
      </c>
      <c r="O106" s="4" t="str">
        <f t="shared" si="13"/>
        <v/>
      </c>
      <c r="P106" s="1" t="str">
        <f>_xlfn.IFNA(VLOOKUP(A106&amp;"-"&amp;B106&amp;"-"&amp;D106,Ref_Account!$A:$F,6,FALSE),"ACCOUNT TIDAK DITEMUKAN")</f>
        <v>1206.630720</v>
      </c>
      <c r="R106" s="1">
        <f t="shared" si="14"/>
        <v>1</v>
      </c>
      <c r="S106" s="32" t="str">
        <f t="shared" si="15"/>
        <v>OK</v>
      </c>
    </row>
    <row r="107" spans="1:19" x14ac:dyDescent="0.25">
      <c r="A107" s="1" t="s">
        <v>141</v>
      </c>
      <c r="B107" t="s">
        <v>110</v>
      </c>
      <c r="C107" s="1" t="s">
        <v>111</v>
      </c>
      <c r="D107" s="2" t="s">
        <v>101</v>
      </c>
      <c r="E107" s="2" t="s">
        <v>143</v>
      </c>
      <c r="G107" s="6">
        <v>50</v>
      </c>
      <c r="M107" s="6">
        <f t="shared" si="12"/>
        <v>50</v>
      </c>
      <c r="N107" s="4">
        <f>G107/VLOOKUP(A107,RESUME!$G$3:$I$10,3,FALSE)</f>
        <v>4.9752830757913849E-4</v>
      </c>
      <c r="O107" s="4" t="str">
        <f t="shared" si="13"/>
        <v/>
      </c>
      <c r="P107" s="1" t="str">
        <f>_xlfn.IFNA(VLOOKUP(A107&amp;"-"&amp;B107&amp;"-"&amp;D107,Ref_Account!$A:$F,6,FALSE),"ACCOUNT TIDAK DITEMUKAN")</f>
        <v>1206.630760</v>
      </c>
      <c r="R107" s="1">
        <f t="shared" si="14"/>
        <v>1</v>
      </c>
      <c r="S107" s="32" t="str">
        <f t="shared" si="15"/>
        <v>OK</v>
      </c>
    </row>
    <row r="108" spans="1:19" x14ac:dyDescent="0.25">
      <c r="A108" s="1" t="s">
        <v>141</v>
      </c>
      <c r="B108" t="s">
        <v>112</v>
      </c>
      <c r="C108" s="1" t="s">
        <v>113</v>
      </c>
      <c r="D108" s="2" t="s">
        <v>101</v>
      </c>
      <c r="E108" s="2" t="s">
        <v>143</v>
      </c>
      <c r="G108" s="6">
        <v>50</v>
      </c>
      <c r="M108" s="6">
        <f t="shared" si="12"/>
        <v>50</v>
      </c>
      <c r="N108" s="4">
        <f>G108/VLOOKUP(A108,RESUME!$G$3:$I$10,3,FALSE)</f>
        <v>4.9752830757913849E-4</v>
      </c>
      <c r="O108" s="4" t="str">
        <f t="shared" si="13"/>
        <v/>
      </c>
      <c r="P108" s="1" t="str">
        <f>_xlfn.IFNA(VLOOKUP(A108&amp;"-"&amp;B108&amp;"-"&amp;D108,Ref_Account!$A:$F,6,FALSE),"ACCOUNT TIDAK DITEMUKAN")</f>
        <v>1206.630730</v>
      </c>
      <c r="R108" s="1">
        <f t="shared" si="14"/>
        <v>1</v>
      </c>
      <c r="S108" s="32" t="str">
        <f t="shared" si="15"/>
        <v>OK</v>
      </c>
    </row>
    <row r="109" spans="1:19" x14ac:dyDescent="0.25">
      <c r="A109" s="1" t="s">
        <v>141</v>
      </c>
      <c r="B109" t="s">
        <v>114</v>
      </c>
      <c r="C109" s="1" t="s">
        <v>115</v>
      </c>
      <c r="D109" s="2" t="s">
        <v>101</v>
      </c>
      <c r="E109" s="2" t="s">
        <v>143</v>
      </c>
      <c r="G109" s="6">
        <v>50</v>
      </c>
      <c r="M109" s="6">
        <f t="shared" si="12"/>
        <v>50</v>
      </c>
      <c r="N109" s="4">
        <f>G109/VLOOKUP(A109,RESUME!$G$3:$I$10,3,FALSE)</f>
        <v>4.9752830757913849E-4</v>
      </c>
      <c r="O109" s="4" t="str">
        <f t="shared" si="13"/>
        <v/>
      </c>
      <c r="P109" s="1" t="str">
        <f>_xlfn.IFNA(VLOOKUP(A109&amp;"-"&amp;B109&amp;"-"&amp;D109,Ref_Account!$A:$F,6,FALSE),"ACCOUNT TIDAK DITEMUKAN")</f>
        <v>1206.630740</v>
      </c>
      <c r="R109" s="1">
        <f t="shared" si="14"/>
        <v>1</v>
      </c>
      <c r="S109" s="32" t="str">
        <f t="shared" si="15"/>
        <v>OK</v>
      </c>
    </row>
    <row r="110" spans="1:19" x14ac:dyDescent="0.25">
      <c r="A110" s="1" t="s">
        <v>141</v>
      </c>
      <c r="B110" t="s">
        <v>124</v>
      </c>
      <c r="C110" s="1" t="s">
        <v>125</v>
      </c>
      <c r="D110" s="2" t="s">
        <v>101</v>
      </c>
      <c r="E110" s="2" t="s">
        <v>143</v>
      </c>
      <c r="G110" s="6">
        <v>3978</v>
      </c>
      <c r="M110" s="6">
        <f t="shared" si="12"/>
        <v>3978</v>
      </c>
      <c r="N110" s="4">
        <f>G110/VLOOKUP(A110,RESUME!$G$3:$I$10,3,FALSE)</f>
        <v>3.9583352150996259E-2</v>
      </c>
      <c r="O110" s="4" t="str">
        <f t="shared" si="13"/>
        <v/>
      </c>
      <c r="P110" s="1" t="str">
        <f>_xlfn.IFNA(VLOOKUP(A110&amp;"-"&amp;B110&amp;"-"&amp;D110,Ref_Account!$A:$F,6,FALSE),"ACCOUNT TIDAK DITEMUKAN")</f>
        <v>1206.631110</v>
      </c>
      <c r="R110" s="1">
        <f t="shared" si="14"/>
        <v>1</v>
      </c>
      <c r="S110" s="32" t="str">
        <f t="shared" si="15"/>
        <v>OK</v>
      </c>
    </row>
    <row r="111" spans="1:19" x14ac:dyDescent="0.25">
      <c r="A111" s="1" t="s">
        <v>141</v>
      </c>
      <c r="B111" t="s">
        <v>70</v>
      </c>
      <c r="C111" s="1" t="s">
        <v>71</v>
      </c>
      <c r="D111" s="2" t="s">
        <v>101</v>
      </c>
      <c r="E111" s="2" t="s">
        <v>144</v>
      </c>
      <c r="G111" s="6">
        <v>5000</v>
      </c>
      <c r="M111" s="6">
        <f t="shared" si="12"/>
        <v>5000</v>
      </c>
      <c r="N111" s="4">
        <f>G111/VLOOKUP(A111,RESUME!$G$3:$I$10,3,FALSE)</f>
        <v>4.9752830757913848E-2</v>
      </c>
      <c r="O111" s="4" t="str">
        <f t="shared" si="13"/>
        <v/>
      </c>
      <c r="P111" s="1" t="str">
        <f>_xlfn.IFNA(VLOOKUP(A111&amp;"-"&amp;B111&amp;"-"&amp;D111,Ref_Account!$A:$F,6,FALSE),"ACCOUNT TIDAK DITEMUKAN")</f>
        <v>1206.812100</v>
      </c>
      <c r="R111" s="1">
        <f t="shared" si="14"/>
        <v>1</v>
      </c>
      <c r="S111" s="32" t="str">
        <f t="shared" si="15"/>
        <v>OK</v>
      </c>
    </row>
    <row r="112" spans="1:19" x14ac:dyDescent="0.25">
      <c r="A112" s="1" t="s">
        <v>141</v>
      </c>
      <c r="B112" t="s">
        <v>76</v>
      </c>
      <c r="C112" s="1" t="s">
        <v>77</v>
      </c>
      <c r="D112" s="2" t="s">
        <v>101</v>
      </c>
      <c r="E112" s="2" t="s">
        <v>75</v>
      </c>
      <c r="G112" s="6">
        <v>3463.43</v>
      </c>
      <c r="M112" s="6">
        <f t="shared" si="12"/>
        <v>3463.43</v>
      </c>
      <c r="N112" s="4">
        <f>G112/VLOOKUP(A112,RESUME!$G$3:$I$10,3,FALSE)</f>
        <v>3.446308932637631E-2</v>
      </c>
      <c r="O112" s="4" t="str">
        <f t="shared" si="13"/>
        <v/>
      </c>
      <c r="P112" s="1" t="str">
        <f>_xlfn.IFNA(VLOOKUP(A112&amp;"-"&amp;B112&amp;"-"&amp;D112,Ref_Account!$A:$F,6,FALSE),"ACCOUNT TIDAK DITEMUKAN")</f>
        <v>1206.630400</v>
      </c>
      <c r="R112" s="1">
        <f t="shared" si="14"/>
        <v>1</v>
      </c>
      <c r="S112" s="32" t="str">
        <f t="shared" si="15"/>
        <v>OK</v>
      </c>
    </row>
    <row r="113" spans="1:19" x14ac:dyDescent="0.25">
      <c r="A113" s="1" t="s">
        <v>141</v>
      </c>
      <c r="B113" t="s">
        <v>87</v>
      </c>
      <c r="C113" s="1" t="s">
        <v>88</v>
      </c>
      <c r="D113" s="2" t="s">
        <v>101</v>
      </c>
      <c r="E113" s="2" t="s">
        <v>75</v>
      </c>
      <c r="G113" s="6">
        <v>23.95</v>
      </c>
      <c r="M113" s="6">
        <f t="shared" si="12"/>
        <v>23.95</v>
      </c>
      <c r="N113" s="4">
        <f>G113/VLOOKUP(A113,RESUME!$G$3:$I$10,3,FALSE)</f>
        <v>2.3831605933040734E-4</v>
      </c>
      <c r="O113" s="4" t="str">
        <f t="shared" si="13"/>
        <v/>
      </c>
      <c r="P113" s="1" t="str">
        <f>_xlfn.IFNA(VLOOKUP(A113&amp;"-"&amp;B113&amp;"-"&amp;D113,Ref_Account!$A:$F,6,FALSE),"ACCOUNT TIDAK DITEMUKAN")</f>
        <v>1206.808100</v>
      </c>
      <c r="R113" s="1">
        <f t="shared" si="14"/>
        <v>1</v>
      </c>
      <c r="S113" s="32" t="str">
        <f t="shared" si="15"/>
        <v>OK</v>
      </c>
    </row>
    <row r="114" spans="1:19" x14ac:dyDescent="0.25">
      <c r="A114" s="1" t="s">
        <v>141</v>
      </c>
      <c r="B114" t="s">
        <v>96</v>
      </c>
      <c r="C114" s="1" t="s">
        <v>97</v>
      </c>
      <c r="D114" s="2" t="s">
        <v>101</v>
      </c>
      <c r="E114" s="2" t="s">
        <v>145</v>
      </c>
      <c r="G114" s="6">
        <v>47747.46</v>
      </c>
      <c r="M114" s="6">
        <f t="shared" si="12"/>
        <v>47747.46</v>
      </c>
      <c r="N114" s="4">
        <f>G114/VLOOKUP(A114,RESUME!$G$3:$I$10,3,FALSE)</f>
        <v>0.47511425930005224</v>
      </c>
      <c r="O114" s="4" t="str">
        <f t="shared" si="13"/>
        <v/>
      </c>
      <c r="P114" s="1" t="str">
        <f>_xlfn.IFNA(VLOOKUP(A114&amp;"-"&amp;B114&amp;"-"&amp;D114,Ref_Account!$A:$F,6,FALSE),"ACCOUNT TIDAK DITEMUKAN")</f>
        <v>1206.630110</v>
      </c>
      <c r="R114" s="1">
        <f t="shared" si="14"/>
        <v>1</v>
      </c>
      <c r="S114" s="32" t="str">
        <f t="shared" si="15"/>
        <v>OK</v>
      </c>
    </row>
    <row r="115" spans="1:19" x14ac:dyDescent="0.25">
      <c r="A115" s="1" t="s">
        <v>141</v>
      </c>
      <c r="B115" t="s">
        <v>146</v>
      </c>
      <c r="C115" s="1" t="s">
        <v>147</v>
      </c>
      <c r="D115" s="2" t="s">
        <v>101</v>
      </c>
      <c r="E115" s="2" t="s">
        <v>148</v>
      </c>
      <c r="G115" s="6">
        <v>2800</v>
      </c>
      <c r="M115" s="6">
        <f t="shared" si="12"/>
        <v>2800</v>
      </c>
      <c r="N115" s="4">
        <f>G115/VLOOKUP(A115,RESUME!$G$3:$I$10,3,FALSE)</f>
        <v>2.7861585224431756E-2</v>
      </c>
      <c r="O115" s="4" t="str">
        <f t="shared" si="13"/>
        <v/>
      </c>
      <c r="P115" s="1" t="str">
        <f>_xlfn.IFNA(VLOOKUP(A115&amp;"-"&amp;B115&amp;"-"&amp;D115,Ref_Account!$A:$F,6,FALSE),"ACCOUNT TIDAK DITEMUKAN")</f>
        <v>1206.801110</v>
      </c>
      <c r="R115" s="1">
        <f t="shared" si="14"/>
        <v>1</v>
      </c>
      <c r="S115" s="32" t="str">
        <f t="shared" si="15"/>
        <v>OK</v>
      </c>
    </row>
    <row r="116" spans="1:19" x14ac:dyDescent="0.25">
      <c r="A116" s="1" t="s">
        <v>141</v>
      </c>
      <c r="B116" t="s">
        <v>26</v>
      </c>
      <c r="C116" s="1" t="s">
        <v>27</v>
      </c>
      <c r="D116" s="2" t="s">
        <v>101</v>
      </c>
      <c r="E116" s="2" t="s">
        <v>149</v>
      </c>
      <c r="G116" s="6">
        <v>812</v>
      </c>
      <c r="M116" s="6">
        <f t="shared" si="12"/>
        <v>812</v>
      </c>
      <c r="N116" s="4">
        <f>G116/VLOOKUP(A116,RESUME!$G$3:$I$10,3,FALSE)</f>
        <v>8.0798597150852098E-3</v>
      </c>
      <c r="O116" s="4" t="str">
        <f t="shared" si="13"/>
        <v/>
      </c>
      <c r="P116" s="1" t="str">
        <f>_xlfn.IFNA(VLOOKUP(A116&amp;"-"&amp;B116&amp;"-"&amp;D116,Ref_Account!$A:$F,6,FALSE),"ACCOUNT TIDAK DITEMUKAN")</f>
        <v>1206.631180</v>
      </c>
      <c r="R116" s="1">
        <f t="shared" si="14"/>
        <v>1</v>
      </c>
      <c r="S116" s="32" t="str">
        <f t="shared" si="15"/>
        <v>OK</v>
      </c>
    </row>
    <row r="117" spans="1:19" x14ac:dyDescent="0.25">
      <c r="A117" s="1" t="s">
        <v>141</v>
      </c>
      <c r="B117" t="s">
        <v>37</v>
      </c>
      <c r="C117" s="1" t="s">
        <v>38</v>
      </c>
      <c r="D117" s="2" t="s">
        <v>150</v>
      </c>
      <c r="E117" s="2" t="s">
        <v>151</v>
      </c>
      <c r="G117" s="6">
        <v>26280.234329731342</v>
      </c>
      <c r="M117" s="6">
        <f t="shared" si="12"/>
        <v>26280.234329731342</v>
      </c>
      <c r="N117" s="4">
        <f>G117/VLOOKUP(A117,RESUME!$G$3:$I$10,3,FALSE)</f>
        <v>0.26150321017708822</v>
      </c>
      <c r="O117" s="4" t="str">
        <f t="shared" si="13"/>
        <v/>
      </c>
      <c r="P117" s="1" t="str">
        <f>_xlfn.IFNA(VLOOKUP(A117&amp;"-"&amp;B117&amp;"-"&amp;D117,Ref_Account!$A:$F,6,FALSE),"ACCOUNT TIDAK DITEMUKAN")</f>
        <v>1206.630600</v>
      </c>
      <c r="R117" s="1">
        <f t="shared" si="14"/>
        <v>1</v>
      </c>
      <c r="S117" s="32" t="str">
        <f t="shared" si="15"/>
        <v>OK</v>
      </c>
    </row>
    <row r="118" spans="1:19" x14ac:dyDescent="0.25">
      <c r="A118" s="1" t="s">
        <v>326</v>
      </c>
      <c r="B118" t="s">
        <v>78</v>
      </c>
      <c r="C118" s="1" t="s">
        <v>79</v>
      </c>
      <c r="D118" s="2" t="s">
        <v>24</v>
      </c>
      <c r="E118" s="2" t="s">
        <v>72</v>
      </c>
      <c r="G118" s="6">
        <v>137.53</v>
      </c>
      <c r="M118" s="6">
        <f t="shared" si="12"/>
        <v>137.53</v>
      </c>
      <c r="N118" s="4">
        <f>G118/VLOOKUP(A118,RESUME!$G$3:$I$10,3,FALSE)</f>
        <v>5.5495675892985874E-4</v>
      </c>
      <c r="O118" s="4" t="str">
        <f t="shared" si="13"/>
        <v/>
      </c>
      <c r="P118" s="1" t="str">
        <f>_xlfn.IFNA(VLOOKUP(A118&amp;"-"&amp;B118&amp;"-"&amp;D118,Ref_Account!$A:$F,6,FALSE),"ACCOUNT TIDAK DITEMUKAN")</f>
        <v>1205.813100</v>
      </c>
      <c r="R118" s="1">
        <f t="shared" si="14"/>
        <v>1</v>
      </c>
      <c r="S118" s="32" t="str">
        <f t="shared" si="15"/>
        <v>OK</v>
      </c>
    </row>
    <row r="119" spans="1:19" x14ac:dyDescent="0.25">
      <c r="A119" s="1" t="s">
        <v>326</v>
      </c>
      <c r="B119" t="s">
        <v>93</v>
      </c>
      <c r="C119" s="1" t="s">
        <v>94</v>
      </c>
      <c r="D119" s="2" t="s">
        <v>24</v>
      </c>
      <c r="E119" s="2" t="s">
        <v>95</v>
      </c>
      <c r="G119" s="6">
        <v>5157.3999999999996</v>
      </c>
      <c r="M119" s="6">
        <f t="shared" si="12"/>
        <v>5157.3999999999996</v>
      </c>
      <c r="N119" s="4">
        <f>G119/VLOOKUP(A119,RESUME!$G$3:$I$10,3,FALSE)</f>
        <v>2.0810979339088584E-2</v>
      </c>
      <c r="O119" s="4" t="str">
        <f t="shared" si="13"/>
        <v/>
      </c>
      <c r="P119" s="1" t="str">
        <f>_xlfn.IFNA(VLOOKUP(A119&amp;"-"&amp;B119&amp;"-"&amp;D119,Ref_Account!$A:$F,6,FALSE),"ACCOUNT TIDAK DITEMUKAN")</f>
        <v>1205.801160</v>
      </c>
      <c r="R119" s="1">
        <f t="shared" si="14"/>
        <v>1</v>
      </c>
      <c r="S119" s="32" t="str">
        <f t="shared" si="15"/>
        <v>OK</v>
      </c>
    </row>
    <row r="120" spans="1:19" x14ac:dyDescent="0.25">
      <c r="A120" s="1" t="s">
        <v>326</v>
      </c>
      <c r="B120" t="s">
        <v>102</v>
      </c>
      <c r="C120" s="1" t="s">
        <v>103</v>
      </c>
      <c r="D120" s="2" t="s">
        <v>24</v>
      </c>
      <c r="E120" s="2" t="s">
        <v>75</v>
      </c>
      <c r="G120" s="6">
        <v>500</v>
      </c>
      <c r="M120" s="6">
        <f t="shared" si="12"/>
        <v>500</v>
      </c>
      <c r="N120" s="4">
        <f>G120/VLOOKUP(A120,RESUME!$G$3:$I$10,3,FALSE)</f>
        <v>2.0175843776988971E-3</v>
      </c>
      <c r="O120" s="4" t="str">
        <f t="shared" si="13"/>
        <v/>
      </c>
      <c r="P120" s="1" t="str">
        <f>_xlfn.IFNA(VLOOKUP(A120&amp;"-"&amp;B120&amp;"-"&amp;D120,Ref_Account!$A:$F,6,FALSE),"ACCOUNT TIDAK DITEMUKAN")</f>
        <v>1205.630710</v>
      </c>
      <c r="R120" s="1">
        <f t="shared" si="14"/>
        <v>1</v>
      </c>
      <c r="S120" s="32" t="str">
        <f t="shared" si="15"/>
        <v>OK</v>
      </c>
    </row>
    <row r="121" spans="1:19" x14ac:dyDescent="0.25">
      <c r="A121" s="1" t="s">
        <v>326</v>
      </c>
      <c r="B121" t="s">
        <v>114</v>
      </c>
      <c r="C121" s="1" t="s">
        <v>115</v>
      </c>
      <c r="D121" s="2" t="s">
        <v>24</v>
      </c>
      <c r="E121" s="2" t="s">
        <v>75</v>
      </c>
      <c r="G121" s="6">
        <v>250</v>
      </c>
      <c r="M121" s="6">
        <f t="shared" si="12"/>
        <v>250</v>
      </c>
      <c r="N121" s="4">
        <f>G121/VLOOKUP(A121,RESUME!$G$3:$I$10,3,FALSE)</f>
        <v>1.0087921888494486E-3</v>
      </c>
      <c r="O121" s="4" t="str">
        <f t="shared" si="13"/>
        <v/>
      </c>
      <c r="P121" s="1" t="str">
        <f>_xlfn.IFNA(VLOOKUP(A121&amp;"-"&amp;B121&amp;"-"&amp;D121,Ref_Account!$A:$F,6,FALSE),"ACCOUNT TIDAK DITEMUKAN")</f>
        <v>1205.630740</v>
      </c>
      <c r="R121" s="1">
        <f t="shared" si="14"/>
        <v>1</v>
      </c>
      <c r="S121" s="32" t="str">
        <f t="shared" si="15"/>
        <v>OK</v>
      </c>
    </row>
    <row r="122" spans="1:19" x14ac:dyDescent="0.25">
      <c r="A122" s="1" t="s">
        <v>326</v>
      </c>
      <c r="B122" t="s">
        <v>118</v>
      </c>
      <c r="C122" s="1" t="s">
        <v>119</v>
      </c>
      <c r="D122" s="2" t="s">
        <v>24</v>
      </c>
      <c r="E122" s="2" t="s">
        <v>95</v>
      </c>
      <c r="G122" s="6">
        <v>3183.98</v>
      </c>
      <c r="M122" s="6">
        <f t="shared" si="12"/>
        <v>3183.98</v>
      </c>
      <c r="N122" s="4">
        <f>G122/VLOOKUP(A122,RESUME!$G$3:$I$10,3,FALSE)</f>
        <v>1.284789661381147E-2</v>
      </c>
      <c r="O122" s="4" t="str">
        <f t="shared" si="13"/>
        <v/>
      </c>
      <c r="P122" s="1" t="str">
        <f>_xlfn.IFNA(VLOOKUP(A122&amp;"-"&amp;B122&amp;"-"&amp;D122,Ref_Account!$A:$F,6,FALSE),"ACCOUNT TIDAK DITEMUKAN")</f>
        <v>1205.630130</v>
      </c>
      <c r="R122" s="1">
        <f t="shared" si="14"/>
        <v>1</v>
      </c>
      <c r="S122" s="32" t="str">
        <f t="shared" si="15"/>
        <v>OK</v>
      </c>
    </row>
    <row r="123" spans="1:19" x14ac:dyDescent="0.25">
      <c r="A123" s="1" t="s">
        <v>326</v>
      </c>
      <c r="B123" t="s">
        <v>130</v>
      </c>
      <c r="C123" s="1" t="s">
        <v>142</v>
      </c>
      <c r="D123" s="2" t="s">
        <v>24</v>
      </c>
      <c r="E123" s="2" t="s">
        <v>75</v>
      </c>
      <c r="G123" s="6">
        <v>126.99</v>
      </c>
      <c r="M123" s="6">
        <f t="shared" si="12"/>
        <v>126.99</v>
      </c>
      <c r="N123" s="4">
        <f>G123/VLOOKUP(A123,RESUME!$G$3:$I$10,3,FALSE)</f>
        <v>5.124260802479659E-4</v>
      </c>
      <c r="O123" s="4" t="str">
        <f t="shared" si="13"/>
        <v/>
      </c>
      <c r="P123" s="1" t="str">
        <f>_xlfn.IFNA(VLOOKUP(A123&amp;"-"&amp;B123&amp;"-"&amp;D123,Ref_Account!$A:$F,6,FALSE),"ACCOUNT TIDAK DITEMUKAN")</f>
        <v>1205.815110</v>
      </c>
      <c r="R123" s="1">
        <f t="shared" si="14"/>
        <v>1</v>
      </c>
      <c r="S123" s="32" t="str">
        <f t="shared" si="15"/>
        <v>OK</v>
      </c>
    </row>
    <row r="124" spans="1:19" x14ac:dyDescent="0.25">
      <c r="A124" s="1" t="s">
        <v>326</v>
      </c>
      <c r="B124" t="s">
        <v>21</v>
      </c>
      <c r="C124" s="1" t="s">
        <v>152</v>
      </c>
      <c r="D124" s="2" t="s">
        <v>24</v>
      </c>
      <c r="E124" s="2" t="s">
        <v>75</v>
      </c>
      <c r="G124" s="6">
        <v>754.58</v>
      </c>
      <c r="M124" s="6">
        <f t="shared" si="12"/>
        <v>754.58</v>
      </c>
      <c r="N124" s="4">
        <f>G124/VLOOKUP(A124,RESUME!$G$3:$I$10,3,FALSE)</f>
        <v>3.0448576394480681E-3</v>
      </c>
      <c r="O124" s="4" t="str">
        <f t="shared" si="13"/>
        <v/>
      </c>
      <c r="P124" s="1" t="str">
        <f>_xlfn.IFNA(VLOOKUP(A124&amp;"-"&amp;B124&amp;"-"&amp;D124,Ref_Account!$A:$F,6,FALSE),"ACCOUNT TIDAK DITEMUKAN")</f>
        <v>1205.631100</v>
      </c>
      <c r="R124" s="1">
        <f t="shared" si="14"/>
        <v>3</v>
      </c>
      <c r="S124" s="32" t="str">
        <f t="shared" si="15"/>
        <v>OK</v>
      </c>
    </row>
    <row r="125" spans="1:19" x14ac:dyDescent="0.25">
      <c r="A125" s="1" t="s">
        <v>326</v>
      </c>
      <c r="B125" t="s">
        <v>70</v>
      </c>
      <c r="C125" s="1" t="s">
        <v>71</v>
      </c>
      <c r="D125" s="2" t="s">
        <v>24</v>
      </c>
      <c r="E125" s="2" t="s">
        <v>72</v>
      </c>
      <c r="G125" s="6">
        <v>6722.26</v>
      </c>
      <c r="M125" s="6">
        <f t="shared" si="12"/>
        <v>6722.26</v>
      </c>
      <c r="N125" s="4">
        <f>G125/VLOOKUP(A125,RESUME!$G$3:$I$10,3,FALSE)</f>
        <v>2.7125453517660381E-2</v>
      </c>
      <c r="O125" s="4" t="str">
        <f t="shared" si="13"/>
        <v/>
      </c>
      <c r="P125" s="1" t="str">
        <f>_xlfn.IFNA(VLOOKUP(A125&amp;"-"&amp;B125&amp;"-"&amp;D125,Ref_Account!$A:$F,6,FALSE),"ACCOUNT TIDAK DITEMUKAN")</f>
        <v>1205.812100</v>
      </c>
      <c r="R125" s="1">
        <f t="shared" si="14"/>
        <v>1</v>
      </c>
      <c r="S125" s="32" t="str">
        <f t="shared" si="15"/>
        <v>OK</v>
      </c>
    </row>
    <row r="126" spans="1:19" x14ac:dyDescent="0.25">
      <c r="A126" s="1" t="s">
        <v>326</v>
      </c>
      <c r="B126" t="s">
        <v>76</v>
      </c>
      <c r="C126" s="1" t="s">
        <v>77</v>
      </c>
      <c r="D126" s="2" t="s">
        <v>24</v>
      </c>
      <c r="E126" s="2" t="s">
        <v>75</v>
      </c>
      <c r="G126" s="6">
        <v>5152.29</v>
      </c>
      <c r="M126" s="6">
        <f t="shared" si="12"/>
        <v>5152.29</v>
      </c>
      <c r="N126" s="4">
        <f>G126/VLOOKUP(A126,RESUME!$G$3:$I$10,3,FALSE)</f>
        <v>2.0790359626748502E-2</v>
      </c>
      <c r="O126" s="4" t="str">
        <f t="shared" si="13"/>
        <v/>
      </c>
      <c r="P126" s="1" t="str">
        <f>_xlfn.IFNA(VLOOKUP(A126&amp;"-"&amp;B126&amp;"-"&amp;D126,Ref_Account!$A:$F,6,FALSE),"ACCOUNT TIDAK DITEMUKAN")</f>
        <v>1205.630400</v>
      </c>
      <c r="R126" s="1">
        <f t="shared" si="14"/>
        <v>1</v>
      </c>
      <c r="S126" s="32" t="str">
        <f t="shared" si="15"/>
        <v>OK</v>
      </c>
    </row>
    <row r="127" spans="1:19" x14ac:dyDescent="0.25">
      <c r="A127" s="1" t="s">
        <v>326</v>
      </c>
      <c r="B127" t="s">
        <v>80</v>
      </c>
      <c r="C127" s="1" t="s">
        <v>81</v>
      </c>
      <c r="D127" s="2" t="s">
        <v>24</v>
      </c>
      <c r="E127" s="2" t="s">
        <v>153</v>
      </c>
      <c r="G127" s="6">
        <v>3188</v>
      </c>
      <c r="M127" s="6">
        <f t="shared" si="12"/>
        <v>3188</v>
      </c>
      <c r="N127" s="4">
        <f>G127/VLOOKUP(A127,RESUME!$G$3:$I$10,3,FALSE)</f>
        <v>1.2864117992208169E-2</v>
      </c>
      <c r="O127" s="4" t="str">
        <f t="shared" si="13"/>
        <v/>
      </c>
      <c r="P127" s="1" t="str">
        <f>_xlfn.IFNA(VLOOKUP(A127&amp;"-"&amp;B127&amp;"-"&amp;D127,Ref_Account!$A:$F,6,FALSE),"ACCOUNT TIDAK DITEMUKAN")</f>
        <v>1205.630300</v>
      </c>
      <c r="R127" s="1">
        <f t="shared" si="14"/>
        <v>1</v>
      </c>
      <c r="S127" s="32" t="str">
        <f t="shared" si="15"/>
        <v>OK</v>
      </c>
    </row>
    <row r="128" spans="1:19" x14ac:dyDescent="0.25">
      <c r="A128" s="1" t="s">
        <v>326</v>
      </c>
      <c r="B128" t="s">
        <v>154</v>
      </c>
      <c r="C128" s="1" t="s">
        <v>84</v>
      </c>
      <c r="D128" s="2" t="s">
        <v>24</v>
      </c>
      <c r="E128" s="2" t="s">
        <v>75</v>
      </c>
      <c r="G128" s="6">
        <v>2043.4899999999998</v>
      </c>
      <c r="M128" s="6">
        <f t="shared" si="12"/>
        <v>2043.4899999999998</v>
      </c>
      <c r="N128" s="4">
        <f>G128/VLOOKUP(A128,RESUME!$G$3:$I$10,3,FALSE)</f>
        <v>8.2458269999678389E-3</v>
      </c>
      <c r="O128" s="4" t="str">
        <f t="shared" si="13"/>
        <v/>
      </c>
      <c r="P128" s="1" t="str">
        <f>_xlfn.IFNA(VLOOKUP(A128&amp;"-"&amp;B128&amp;"-"&amp;D128,Ref_Account!$A:$F,6,FALSE),"ACCOUNT TIDAK DITEMUKAN")</f>
        <v>1205.630200</v>
      </c>
      <c r="R128" s="1">
        <f t="shared" si="14"/>
        <v>1</v>
      </c>
      <c r="S128" s="32" t="str">
        <f t="shared" si="15"/>
        <v>OK</v>
      </c>
    </row>
    <row r="129" spans="1:19" x14ac:dyDescent="0.25">
      <c r="A129" s="1" t="s">
        <v>326</v>
      </c>
      <c r="B129" t="s">
        <v>96</v>
      </c>
      <c r="C129" s="1" t="s">
        <v>97</v>
      </c>
      <c r="D129" s="2" t="s">
        <v>24</v>
      </c>
      <c r="E129" s="2" t="s">
        <v>155</v>
      </c>
      <c r="G129" s="6">
        <v>78109.679999999993</v>
      </c>
      <c r="M129" s="6">
        <f t="shared" si="12"/>
        <v>78109.679999999993</v>
      </c>
      <c r="N129" s="4">
        <f>G129/VLOOKUP(A129,RESUME!$G$3:$I$10,3,FALSE)</f>
        <v>0.31518574023011997</v>
      </c>
      <c r="O129" s="4" t="str">
        <f t="shared" si="13"/>
        <v/>
      </c>
      <c r="P129" s="1" t="str">
        <f>_xlfn.IFNA(VLOOKUP(A129&amp;"-"&amp;B129&amp;"-"&amp;D129,Ref_Account!$A:$F,6,FALSE),"ACCOUNT TIDAK DITEMUKAN")</f>
        <v>1205.630110</v>
      </c>
      <c r="R129" s="1">
        <f t="shared" si="14"/>
        <v>1</v>
      </c>
      <c r="S129" s="32" t="str">
        <f t="shared" si="15"/>
        <v>OK</v>
      </c>
    </row>
    <row r="130" spans="1:19" x14ac:dyDescent="0.25">
      <c r="A130" s="1" t="s">
        <v>326</v>
      </c>
      <c r="B130" t="s">
        <v>104</v>
      </c>
      <c r="C130" s="1" t="s">
        <v>105</v>
      </c>
      <c r="D130" s="2" t="s">
        <v>24</v>
      </c>
      <c r="E130" s="2" t="s">
        <v>153</v>
      </c>
      <c r="G130" s="6">
        <v>250</v>
      </c>
      <c r="M130" s="6">
        <f t="shared" si="12"/>
        <v>250</v>
      </c>
      <c r="N130" s="4">
        <f>G130/VLOOKUP(A130,RESUME!$G$3:$I$10,3,FALSE)</f>
        <v>1.0087921888494486E-3</v>
      </c>
      <c r="O130" s="4" t="str">
        <f t="shared" si="13"/>
        <v/>
      </c>
      <c r="P130" s="1" t="str">
        <f>_xlfn.IFNA(VLOOKUP(A130&amp;"-"&amp;B130&amp;"-"&amp;D130,Ref_Account!$A:$F,6,FALSE),"ACCOUNT TIDAK DITEMUKAN")</f>
        <v>1205.630770</v>
      </c>
      <c r="R130" s="1">
        <f t="shared" si="14"/>
        <v>1</v>
      </c>
      <c r="S130" s="32" t="str">
        <f t="shared" si="15"/>
        <v>OK</v>
      </c>
    </row>
    <row r="131" spans="1:19" x14ac:dyDescent="0.25">
      <c r="A131" s="1" t="s">
        <v>326</v>
      </c>
      <c r="B131" t="s">
        <v>106</v>
      </c>
      <c r="C131" s="1" t="s">
        <v>107</v>
      </c>
      <c r="D131" s="2" t="s">
        <v>24</v>
      </c>
      <c r="E131" s="2" t="s">
        <v>153</v>
      </c>
      <c r="G131" s="6">
        <v>250</v>
      </c>
      <c r="M131" s="6">
        <f t="shared" si="12"/>
        <v>250</v>
      </c>
      <c r="N131" s="4">
        <f>G131/VLOOKUP(A131,RESUME!$G$3:$I$10,3,FALSE)</f>
        <v>1.0087921888494486E-3</v>
      </c>
      <c r="O131" s="4" t="str">
        <f t="shared" si="13"/>
        <v/>
      </c>
      <c r="P131" s="1" t="str">
        <f>_xlfn.IFNA(VLOOKUP(A131&amp;"-"&amp;B131&amp;"-"&amp;D131,Ref_Account!$A:$F,6,FALSE),"ACCOUNT TIDAK DITEMUKAN")</f>
        <v>1205.630750</v>
      </c>
      <c r="R131" s="1">
        <f t="shared" si="14"/>
        <v>1</v>
      </c>
      <c r="S131" s="32" t="str">
        <f t="shared" si="15"/>
        <v>OK</v>
      </c>
    </row>
    <row r="132" spans="1:19" x14ac:dyDescent="0.25">
      <c r="A132" s="1" t="s">
        <v>326</v>
      </c>
      <c r="B132" t="s">
        <v>108</v>
      </c>
      <c r="C132" s="1" t="s">
        <v>109</v>
      </c>
      <c r="D132" s="2" t="s">
        <v>24</v>
      </c>
      <c r="E132" s="2" t="s">
        <v>153</v>
      </c>
      <c r="G132" s="6">
        <v>250</v>
      </c>
      <c r="M132" s="6">
        <f t="shared" si="12"/>
        <v>250</v>
      </c>
      <c r="N132" s="4">
        <f>G132/VLOOKUP(A132,RESUME!$G$3:$I$10,3,FALSE)</f>
        <v>1.0087921888494486E-3</v>
      </c>
      <c r="O132" s="4" t="str">
        <f t="shared" si="13"/>
        <v/>
      </c>
      <c r="P132" s="1" t="str">
        <f>_xlfn.IFNA(VLOOKUP(A132&amp;"-"&amp;B132&amp;"-"&amp;D132,Ref_Account!$A:$F,6,FALSE),"ACCOUNT TIDAK DITEMUKAN")</f>
        <v>1205.630720</v>
      </c>
      <c r="R132" s="1">
        <f t="shared" si="14"/>
        <v>1</v>
      </c>
      <c r="S132" s="32" t="str">
        <f t="shared" si="15"/>
        <v>OK</v>
      </c>
    </row>
    <row r="133" spans="1:19" x14ac:dyDescent="0.25">
      <c r="A133" s="1" t="s">
        <v>326</v>
      </c>
      <c r="B133" t="s">
        <v>112</v>
      </c>
      <c r="C133" s="1" t="s">
        <v>113</v>
      </c>
      <c r="D133" s="2" t="s">
        <v>24</v>
      </c>
      <c r="E133" s="2" t="s">
        <v>153</v>
      </c>
      <c r="G133" s="6">
        <v>250</v>
      </c>
      <c r="M133" s="6">
        <f t="shared" si="12"/>
        <v>250</v>
      </c>
      <c r="N133" s="4">
        <f>G133/VLOOKUP(A133,RESUME!$G$3:$I$10,3,FALSE)</f>
        <v>1.0087921888494486E-3</v>
      </c>
      <c r="O133" s="4" t="str">
        <f t="shared" si="13"/>
        <v/>
      </c>
      <c r="P133" s="1" t="str">
        <f>_xlfn.IFNA(VLOOKUP(A133&amp;"-"&amp;B133&amp;"-"&amp;D133,Ref_Account!$A:$F,6,FALSE),"ACCOUNT TIDAK DITEMUKAN")</f>
        <v>1205.630730</v>
      </c>
      <c r="R133" s="1">
        <f t="shared" si="14"/>
        <v>1</v>
      </c>
      <c r="S133" s="32" t="str">
        <f t="shared" si="15"/>
        <v>OK</v>
      </c>
    </row>
    <row r="134" spans="1:19" x14ac:dyDescent="0.25">
      <c r="A134" s="1" t="s">
        <v>326</v>
      </c>
      <c r="B134" t="s">
        <v>146</v>
      </c>
      <c r="C134" s="1" t="s">
        <v>147</v>
      </c>
      <c r="D134" s="2" t="s">
        <v>24</v>
      </c>
      <c r="E134" s="2" t="s">
        <v>148</v>
      </c>
      <c r="G134" s="6">
        <v>10800</v>
      </c>
      <c r="M134" s="6">
        <f t="shared" ref="M134:M165" si="16">G134-(H134+I134+J134+K134+L134)</f>
        <v>10800</v>
      </c>
      <c r="N134" s="4">
        <f>G134/VLOOKUP(A134,RESUME!$G$3:$I$10,3,FALSE)</f>
        <v>4.3579822558296184E-2</v>
      </c>
      <c r="O134" s="4" t="str">
        <f t="shared" ref="O134:O165" si="17">IFERROR((G134/H134)*N134,"")</f>
        <v/>
      </c>
      <c r="P134" s="1" t="str">
        <f>_xlfn.IFNA(VLOOKUP(A134&amp;"-"&amp;B134&amp;"-"&amp;D134,Ref_Account!$A:$F,6,FALSE),"ACCOUNT TIDAK DITEMUKAN")</f>
        <v>1205.801110</v>
      </c>
      <c r="R134" s="1">
        <f t="shared" ref="R134:R164" si="18">IF(P134="ACCOUNT TIDAK DITEMUKAN","9999",COUNTIF($P$6:$P$164,P134))</f>
        <v>1</v>
      </c>
      <c r="S134" s="32" t="str">
        <f t="shared" ref="S134:S164" si="19">IF(M134&gt;0,"OK","OVER")</f>
        <v>OK</v>
      </c>
    </row>
    <row r="135" spans="1:19" x14ac:dyDescent="0.25">
      <c r="A135" s="1" t="s">
        <v>326</v>
      </c>
      <c r="B135" t="s">
        <v>124</v>
      </c>
      <c r="C135" s="1" t="s">
        <v>125</v>
      </c>
      <c r="D135" s="2" t="s">
        <v>24</v>
      </c>
      <c r="E135" s="2" t="s">
        <v>153</v>
      </c>
      <c r="G135" s="6">
        <v>1500</v>
      </c>
      <c r="M135" s="6">
        <f t="shared" si="16"/>
        <v>1500</v>
      </c>
      <c r="N135" s="4">
        <f>G135/VLOOKUP(A135,RESUME!$G$3:$I$10,3,FALSE)</f>
        <v>6.0527531330966918E-3</v>
      </c>
      <c r="O135" s="4" t="str">
        <f t="shared" si="17"/>
        <v/>
      </c>
      <c r="P135" s="1" t="str">
        <f>_xlfn.IFNA(VLOOKUP(A135&amp;"-"&amp;B135&amp;"-"&amp;D135,Ref_Account!$A:$F,6,FALSE),"ACCOUNT TIDAK DITEMUKAN")</f>
        <v>1205.631110</v>
      </c>
      <c r="R135" s="1">
        <f t="shared" si="18"/>
        <v>1</v>
      </c>
      <c r="S135" s="32" t="str">
        <f t="shared" si="19"/>
        <v>OK</v>
      </c>
    </row>
    <row r="136" spans="1:19" x14ac:dyDescent="0.25">
      <c r="A136" s="1" t="s">
        <v>326</v>
      </c>
      <c r="B136" t="s">
        <v>78</v>
      </c>
      <c r="C136" s="1" t="s">
        <v>79</v>
      </c>
      <c r="D136" s="2" t="s">
        <v>15</v>
      </c>
      <c r="E136" s="2" t="s">
        <v>72</v>
      </c>
      <c r="G136" s="6">
        <v>504.76</v>
      </c>
      <c r="M136" s="6">
        <f t="shared" si="16"/>
        <v>504.76</v>
      </c>
      <c r="N136" s="4">
        <f>G136/VLOOKUP(A136,RESUME!$G$3:$I$10,3,FALSE)</f>
        <v>2.0367917809745906E-3</v>
      </c>
      <c r="O136" s="4" t="str">
        <f t="shared" si="17"/>
        <v/>
      </c>
      <c r="P136" s="1" t="str">
        <f>_xlfn.IFNA(VLOOKUP(A136&amp;"-"&amp;B136&amp;"-"&amp;D136,Ref_Account!$A:$F,6,FALSE),"ACCOUNT TIDAK DITEMUKAN")</f>
        <v>1204.813100</v>
      </c>
      <c r="R136" s="1">
        <f t="shared" si="18"/>
        <v>1</v>
      </c>
      <c r="S136" s="32" t="str">
        <f t="shared" si="19"/>
        <v>OK</v>
      </c>
    </row>
    <row r="137" spans="1:19" x14ac:dyDescent="0.25">
      <c r="A137" s="1" t="s">
        <v>326</v>
      </c>
      <c r="B137" t="s">
        <v>93</v>
      </c>
      <c r="C137" s="1" t="s">
        <v>94</v>
      </c>
      <c r="D137" s="2" t="s">
        <v>15</v>
      </c>
      <c r="E137" s="2" t="s">
        <v>95</v>
      </c>
      <c r="G137" s="6">
        <v>5702.68</v>
      </c>
      <c r="M137" s="6">
        <f t="shared" si="16"/>
        <v>5702.68</v>
      </c>
      <c r="N137" s="4">
        <f>G137/VLOOKUP(A137,RESUME!$G$3:$I$10,3,FALSE)</f>
        <v>2.3011276158031897E-2</v>
      </c>
      <c r="O137" s="4" t="str">
        <f t="shared" si="17"/>
        <v/>
      </c>
      <c r="P137" s="1" t="str">
        <f>_xlfn.IFNA(VLOOKUP(A137&amp;"-"&amp;B137&amp;"-"&amp;D137,Ref_Account!$A:$F,6,FALSE),"ACCOUNT TIDAK DITEMUKAN")</f>
        <v>1204.801160</v>
      </c>
      <c r="R137" s="1">
        <f t="shared" si="18"/>
        <v>1</v>
      </c>
      <c r="S137" s="32" t="str">
        <f t="shared" si="19"/>
        <v>OK</v>
      </c>
    </row>
    <row r="138" spans="1:19" x14ac:dyDescent="0.25">
      <c r="A138" s="1" t="s">
        <v>326</v>
      </c>
      <c r="B138" t="s">
        <v>102</v>
      </c>
      <c r="C138" s="1" t="s">
        <v>103</v>
      </c>
      <c r="D138" s="2" t="s">
        <v>15</v>
      </c>
      <c r="E138" s="2" t="s">
        <v>75</v>
      </c>
      <c r="G138" s="6">
        <v>700</v>
      </c>
      <c r="M138" s="6">
        <f t="shared" si="16"/>
        <v>700</v>
      </c>
      <c r="N138" s="4">
        <f>G138/VLOOKUP(A138,RESUME!$G$3:$I$10,3,FALSE)</f>
        <v>2.8246181287784563E-3</v>
      </c>
      <c r="O138" s="4" t="str">
        <f t="shared" si="17"/>
        <v/>
      </c>
      <c r="P138" s="1" t="str">
        <f>_xlfn.IFNA(VLOOKUP(A138&amp;"-"&amp;B138&amp;"-"&amp;D138,Ref_Account!$A:$F,6,FALSE),"ACCOUNT TIDAK DITEMUKAN")</f>
        <v>1204.630710</v>
      </c>
      <c r="R138" s="1">
        <f t="shared" si="18"/>
        <v>1</v>
      </c>
      <c r="S138" s="32" t="str">
        <f t="shared" si="19"/>
        <v>OK</v>
      </c>
    </row>
    <row r="139" spans="1:19" x14ac:dyDescent="0.25">
      <c r="A139" s="1" t="s">
        <v>326</v>
      </c>
      <c r="B139" t="s">
        <v>114</v>
      </c>
      <c r="C139" s="1" t="s">
        <v>115</v>
      </c>
      <c r="D139" s="2" t="s">
        <v>15</v>
      </c>
      <c r="E139" s="2" t="s">
        <v>75</v>
      </c>
      <c r="G139" s="6">
        <v>300</v>
      </c>
      <c r="M139" s="6">
        <f t="shared" si="16"/>
        <v>300</v>
      </c>
      <c r="N139" s="4">
        <f>G139/VLOOKUP(A139,RESUME!$G$3:$I$10,3,FALSE)</f>
        <v>1.2105506266193384E-3</v>
      </c>
      <c r="O139" s="4" t="str">
        <f t="shared" si="17"/>
        <v/>
      </c>
      <c r="P139" s="1" t="str">
        <f>_xlfn.IFNA(VLOOKUP(A139&amp;"-"&amp;B139&amp;"-"&amp;D139,Ref_Account!$A:$F,6,FALSE),"ACCOUNT TIDAK DITEMUKAN")</f>
        <v>1204.630740</v>
      </c>
      <c r="R139" s="1">
        <f t="shared" si="18"/>
        <v>1</v>
      </c>
      <c r="S139" s="32" t="str">
        <f t="shared" si="19"/>
        <v>OK</v>
      </c>
    </row>
    <row r="140" spans="1:19" x14ac:dyDescent="0.25">
      <c r="A140" s="1" t="s">
        <v>326</v>
      </c>
      <c r="B140" t="s">
        <v>118</v>
      </c>
      <c r="C140" s="1" t="s">
        <v>119</v>
      </c>
      <c r="D140" s="2" t="s">
        <v>15</v>
      </c>
      <c r="E140" s="2" t="s">
        <v>95</v>
      </c>
      <c r="G140" s="6">
        <v>3500</v>
      </c>
      <c r="M140" s="6">
        <f t="shared" si="16"/>
        <v>3500</v>
      </c>
      <c r="N140" s="4">
        <f>G140/VLOOKUP(A140,RESUME!$G$3:$I$10,3,FALSE)</f>
        <v>1.4123090643892281E-2</v>
      </c>
      <c r="O140" s="4" t="str">
        <f t="shared" si="17"/>
        <v/>
      </c>
      <c r="P140" s="1" t="str">
        <f>_xlfn.IFNA(VLOOKUP(A140&amp;"-"&amp;B140&amp;"-"&amp;D140,Ref_Account!$A:$F,6,FALSE),"ACCOUNT TIDAK DITEMUKAN")</f>
        <v>1204.630130</v>
      </c>
      <c r="R140" s="1">
        <f t="shared" si="18"/>
        <v>1</v>
      </c>
      <c r="S140" s="32" t="str">
        <f t="shared" si="19"/>
        <v>OK</v>
      </c>
    </row>
    <row r="141" spans="1:19" x14ac:dyDescent="0.25">
      <c r="A141" s="1" t="s">
        <v>326</v>
      </c>
      <c r="B141" t="s">
        <v>130</v>
      </c>
      <c r="C141" s="1" t="s">
        <v>156</v>
      </c>
      <c r="D141" s="2" t="s">
        <v>15</v>
      </c>
      <c r="E141" s="2" t="s">
        <v>75</v>
      </c>
      <c r="G141" s="6">
        <v>512.71</v>
      </c>
      <c r="M141" s="6">
        <f t="shared" si="16"/>
        <v>512.71</v>
      </c>
      <c r="N141" s="4">
        <f>G141/VLOOKUP(A141,RESUME!$G$3:$I$10,3,FALSE)</f>
        <v>2.0688713725800032E-3</v>
      </c>
      <c r="O141" s="4" t="str">
        <f t="shared" si="17"/>
        <v/>
      </c>
      <c r="P141" s="1" t="str">
        <f>_xlfn.IFNA(VLOOKUP(A141&amp;"-"&amp;B141&amp;"-"&amp;D141,Ref_Account!$A:$F,6,FALSE),"ACCOUNT TIDAK DITEMUKAN")</f>
        <v>1204.815110</v>
      </c>
      <c r="R141" s="1">
        <f t="shared" si="18"/>
        <v>1</v>
      </c>
      <c r="S141" s="32" t="str">
        <f t="shared" si="19"/>
        <v>OK</v>
      </c>
    </row>
    <row r="142" spans="1:19" x14ac:dyDescent="0.25">
      <c r="A142" s="1" t="s">
        <v>326</v>
      </c>
      <c r="B142" t="s">
        <v>21</v>
      </c>
      <c r="C142" s="1" t="s">
        <v>152</v>
      </c>
      <c r="D142" s="2" t="s">
        <v>15</v>
      </c>
      <c r="E142" s="2" t="s">
        <v>75</v>
      </c>
      <c r="G142" s="6">
        <v>754.58</v>
      </c>
      <c r="M142" s="6">
        <f t="shared" si="16"/>
        <v>754.58</v>
      </c>
      <c r="N142" s="4">
        <f>G142/VLOOKUP(A142,RESUME!$G$3:$I$10,3,FALSE)</f>
        <v>3.0448576394480681E-3</v>
      </c>
      <c r="O142" s="4" t="str">
        <f t="shared" si="17"/>
        <v/>
      </c>
      <c r="P142" s="1" t="str">
        <f>_xlfn.IFNA(VLOOKUP(A142&amp;"-"&amp;B142&amp;"-"&amp;D142,Ref_Account!$A:$F,6,FALSE),"ACCOUNT TIDAK DITEMUKAN")</f>
        <v>1204.631100</v>
      </c>
      <c r="R142" s="1">
        <f t="shared" si="18"/>
        <v>3</v>
      </c>
      <c r="S142" s="32" t="str">
        <f t="shared" si="19"/>
        <v>OK</v>
      </c>
    </row>
    <row r="143" spans="1:19" x14ac:dyDescent="0.25">
      <c r="A143" s="1" t="s">
        <v>326</v>
      </c>
      <c r="B143" t="s">
        <v>68</v>
      </c>
      <c r="C143" s="1" t="s">
        <v>69</v>
      </c>
      <c r="D143" s="2" t="s">
        <v>15</v>
      </c>
      <c r="E143" s="2" t="s">
        <v>157</v>
      </c>
      <c r="M143" s="6">
        <f t="shared" si="16"/>
        <v>0</v>
      </c>
      <c r="N143" s="4">
        <f>G143/VLOOKUP(A143,RESUME!$G$3:$I$10,3,FALSE)</f>
        <v>0</v>
      </c>
      <c r="O143" s="4" t="str">
        <f t="shared" si="17"/>
        <v/>
      </c>
      <c r="P143" s="1" t="str">
        <f>_xlfn.IFNA(VLOOKUP(A143&amp;"-"&amp;B143&amp;"-"&amp;D143,Ref_Account!$A:$F,6,FALSE),"ACCOUNT TIDAK DITEMUKAN")</f>
        <v>1204.720500</v>
      </c>
      <c r="R143" s="1">
        <f t="shared" si="18"/>
        <v>1</v>
      </c>
      <c r="S143" s="32" t="str">
        <f t="shared" si="19"/>
        <v>OVER</v>
      </c>
    </row>
    <row r="144" spans="1:19" x14ac:dyDescent="0.25">
      <c r="A144" s="1" t="s">
        <v>326</v>
      </c>
      <c r="B144" t="s">
        <v>70</v>
      </c>
      <c r="C144" s="1" t="s">
        <v>71</v>
      </c>
      <c r="D144" s="2" t="s">
        <v>15</v>
      </c>
      <c r="E144" s="2" t="s">
        <v>72</v>
      </c>
      <c r="G144" s="6">
        <v>5672.9500000000007</v>
      </c>
      <c r="M144" s="6">
        <f t="shared" si="16"/>
        <v>5672.9500000000007</v>
      </c>
      <c r="N144" s="4">
        <f>G144/VLOOKUP(A144,RESUME!$G$3:$I$10,3,FALSE)</f>
        <v>2.2891310590933921E-2</v>
      </c>
      <c r="O144" s="4" t="str">
        <f t="shared" si="17"/>
        <v/>
      </c>
      <c r="P144" s="1" t="str">
        <f>_xlfn.IFNA(VLOOKUP(A144&amp;"-"&amp;B144&amp;"-"&amp;D144,Ref_Account!$A:$F,6,FALSE),"ACCOUNT TIDAK DITEMUKAN")</f>
        <v>1204.812100</v>
      </c>
      <c r="R144" s="1">
        <f t="shared" si="18"/>
        <v>1</v>
      </c>
      <c r="S144" s="32" t="str">
        <f t="shared" si="19"/>
        <v>OK</v>
      </c>
    </row>
    <row r="145" spans="1:19" x14ac:dyDescent="0.25">
      <c r="A145" s="1" t="s">
        <v>326</v>
      </c>
      <c r="B145" t="s">
        <v>76</v>
      </c>
      <c r="C145" s="1" t="s">
        <v>77</v>
      </c>
      <c r="D145" s="2" t="s">
        <v>15</v>
      </c>
      <c r="E145" s="2" t="s">
        <v>75</v>
      </c>
      <c r="G145" s="6">
        <v>4918.54</v>
      </c>
      <c r="M145" s="6">
        <f t="shared" si="16"/>
        <v>4918.54</v>
      </c>
      <c r="N145" s="4">
        <f>G145/VLOOKUP(A145,RESUME!$G$3:$I$10,3,FALSE)</f>
        <v>1.9847138930174268E-2</v>
      </c>
      <c r="O145" s="4" t="str">
        <f t="shared" si="17"/>
        <v/>
      </c>
      <c r="P145" s="1" t="str">
        <f>_xlfn.IFNA(VLOOKUP(A145&amp;"-"&amp;B145&amp;"-"&amp;D145,Ref_Account!$A:$F,6,FALSE),"ACCOUNT TIDAK DITEMUKAN")</f>
        <v>1204.630400</v>
      </c>
      <c r="R145" s="1">
        <f t="shared" si="18"/>
        <v>1</v>
      </c>
      <c r="S145" s="32" t="str">
        <f t="shared" si="19"/>
        <v>OK</v>
      </c>
    </row>
    <row r="146" spans="1:19" x14ac:dyDescent="0.25">
      <c r="A146" s="1" t="s">
        <v>326</v>
      </c>
      <c r="B146" t="s">
        <v>80</v>
      </c>
      <c r="C146" s="1" t="s">
        <v>81</v>
      </c>
      <c r="D146" s="2" t="s">
        <v>15</v>
      </c>
      <c r="E146" s="2" t="s">
        <v>158</v>
      </c>
      <c r="G146" s="6">
        <v>1600</v>
      </c>
      <c r="M146" s="6">
        <f t="shared" si="16"/>
        <v>1600</v>
      </c>
      <c r="N146" s="4">
        <f>G146/VLOOKUP(A146,RESUME!$G$3:$I$10,3,FALSE)</f>
        <v>6.4562700086364709E-3</v>
      </c>
      <c r="O146" s="4" t="str">
        <f t="shared" si="17"/>
        <v/>
      </c>
      <c r="P146" s="1" t="str">
        <f>_xlfn.IFNA(VLOOKUP(A146&amp;"-"&amp;B146&amp;"-"&amp;D146,Ref_Account!$A:$F,6,FALSE),"ACCOUNT TIDAK DITEMUKAN")</f>
        <v>1204.630300</v>
      </c>
      <c r="R146" s="1">
        <f t="shared" si="18"/>
        <v>1</v>
      </c>
      <c r="S146" s="32" t="str">
        <f t="shared" si="19"/>
        <v>OK</v>
      </c>
    </row>
    <row r="147" spans="1:19" x14ac:dyDescent="0.25">
      <c r="A147" s="1" t="s">
        <v>326</v>
      </c>
      <c r="B147" t="s">
        <v>154</v>
      </c>
      <c r="C147" s="1" t="s">
        <v>84</v>
      </c>
      <c r="D147" s="2" t="s">
        <v>15</v>
      </c>
      <c r="E147" s="2" t="s">
        <v>75</v>
      </c>
      <c r="G147" s="6">
        <v>3106.38</v>
      </c>
      <c r="M147" s="6">
        <f t="shared" si="16"/>
        <v>3106.38</v>
      </c>
      <c r="N147" s="4">
        <f>G147/VLOOKUP(A147,RESUME!$G$3:$I$10,3,FALSE)</f>
        <v>1.2534767518392602E-2</v>
      </c>
      <c r="O147" s="4" t="str">
        <f t="shared" si="17"/>
        <v/>
      </c>
      <c r="P147" s="1" t="str">
        <f>_xlfn.IFNA(VLOOKUP(A147&amp;"-"&amp;B147&amp;"-"&amp;D147,Ref_Account!$A:$F,6,FALSE),"ACCOUNT TIDAK DITEMUKAN")</f>
        <v>1204.630200</v>
      </c>
      <c r="R147" s="1">
        <f t="shared" si="18"/>
        <v>1</v>
      </c>
      <c r="S147" s="32" t="str">
        <f t="shared" si="19"/>
        <v>OK</v>
      </c>
    </row>
    <row r="148" spans="1:19" x14ac:dyDescent="0.25">
      <c r="A148" s="1" t="s">
        <v>326</v>
      </c>
      <c r="B148" t="s">
        <v>96</v>
      </c>
      <c r="C148" s="1" t="s">
        <v>97</v>
      </c>
      <c r="D148" s="2" t="s">
        <v>15</v>
      </c>
      <c r="E148" s="2" t="s">
        <v>157</v>
      </c>
      <c r="G148" s="6">
        <v>97892.700000000012</v>
      </c>
      <c r="M148" s="6">
        <f t="shared" si="16"/>
        <v>97892.700000000012</v>
      </c>
      <c r="N148" s="4">
        <f>G148/VLOOKUP(A148,RESUME!$G$3:$I$10,3,FALSE)</f>
        <v>0.39501356442152974</v>
      </c>
      <c r="O148" s="4" t="str">
        <f t="shared" si="17"/>
        <v/>
      </c>
      <c r="P148" s="1" t="str">
        <f>_xlfn.IFNA(VLOOKUP(A148&amp;"-"&amp;B148&amp;"-"&amp;D148,Ref_Account!$A:$F,6,FALSE),"ACCOUNT TIDAK DITEMUKAN")</f>
        <v>1204.630110</v>
      </c>
      <c r="R148" s="1">
        <f t="shared" si="18"/>
        <v>1</v>
      </c>
      <c r="S148" s="32" t="str">
        <f t="shared" si="19"/>
        <v>OK</v>
      </c>
    </row>
    <row r="149" spans="1:19" x14ac:dyDescent="0.25">
      <c r="A149" s="1" t="s">
        <v>326</v>
      </c>
      <c r="B149" t="s">
        <v>104</v>
      </c>
      <c r="C149" s="1" t="s">
        <v>105</v>
      </c>
      <c r="D149" s="2" t="s">
        <v>15</v>
      </c>
      <c r="E149" s="2" t="s">
        <v>158</v>
      </c>
      <c r="G149" s="6">
        <v>300</v>
      </c>
      <c r="M149" s="6">
        <f t="shared" si="16"/>
        <v>300</v>
      </c>
      <c r="N149" s="4">
        <f>G149/VLOOKUP(A149,RESUME!$G$3:$I$10,3,FALSE)</f>
        <v>1.2105506266193384E-3</v>
      </c>
      <c r="O149" s="4" t="str">
        <f t="shared" si="17"/>
        <v/>
      </c>
      <c r="P149" s="1" t="str">
        <f>_xlfn.IFNA(VLOOKUP(A149&amp;"-"&amp;B149&amp;"-"&amp;D149,Ref_Account!$A:$F,6,FALSE),"ACCOUNT TIDAK DITEMUKAN")</f>
        <v>1204.630770</v>
      </c>
      <c r="R149" s="1">
        <f t="shared" si="18"/>
        <v>1</v>
      </c>
      <c r="S149" s="32" t="str">
        <f t="shared" si="19"/>
        <v>OK</v>
      </c>
    </row>
    <row r="150" spans="1:19" x14ac:dyDescent="0.25">
      <c r="A150" s="1" t="s">
        <v>326</v>
      </c>
      <c r="B150" t="s">
        <v>106</v>
      </c>
      <c r="C150" s="1" t="s">
        <v>107</v>
      </c>
      <c r="D150" s="2" t="s">
        <v>15</v>
      </c>
      <c r="E150" s="2" t="s">
        <v>158</v>
      </c>
      <c r="G150" s="6">
        <v>300</v>
      </c>
      <c r="M150" s="6">
        <f t="shared" si="16"/>
        <v>300</v>
      </c>
      <c r="N150" s="4">
        <f>G150/VLOOKUP(A150,RESUME!$G$3:$I$10,3,FALSE)</f>
        <v>1.2105506266193384E-3</v>
      </c>
      <c r="O150" s="4" t="str">
        <f t="shared" si="17"/>
        <v/>
      </c>
      <c r="P150" s="1" t="str">
        <f>_xlfn.IFNA(VLOOKUP(A150&amp;"-"&amp;B150&amp;"-"&amp;D150,Ref_Account!$A:$F,6,FALSE),"ACCOUNT TIDAK DITEMUKAN")</f>
        <v>1204.630750</v>
      </c>
      <c r="R150" s="1">
        <f t="shared" si="18"/>
        <v>1</v>
      </c>
      <c r="S150" s="32" t="str">
        <f t="shared" si="19"/>
        <v>OK</v>
      </c>
    </row>
    <row r="151" spans="1:19" x14ac:dyDescent="0.25">
      <c r="A151" s="1" t="s">
        <v>326</v>
      </c>
      <c r="B151" t="s">
        <v>108</v>
      </c>
      <c r="C151" s="1" t="s">
        <v>109</v>
      </c>
      <c r="D151" s="2" t="s">
        <v>15</v>
      </c>
      <c r="E151" s="2" t="s">
        <v>158</v>
      </c>
      <c r="G151" s="6">
        <v>300</v>
      </c>
      <c r="M151" s="6">
        <f t="shared" si="16"/>
        <v>300</v>
      </c>
      <c r="N151" s="4">
        <f>G151/VLOOKUP(A151,RESUME!$G$3:$I$10,3,FALSE)</f>
        <v>1.2105506266193384E-3</v>
      </c>
      <c r="O151" s="4" t="str">
        <f t="shared" si="17"/>
        <v/>
      </c>
      <c r="P151" s="1" t="str">
        <f>_xlfn.IFNA(VLOOKUP(A151&amp;"-"&amp;B151&amp;"-"&amp;D151,Ref_Account!$A:$F,6,FALSE),"ACCOUNT TIDAK DITEMUKAN")</f>
        <v>1204.630720</v>
      </c>
      <c r="R151" s="1">
        <f t="shared" si="18"/>
        <v>1</v>
      </c>
      <c r="S151" s="32" t="str">
        <f t="shared" si="19"/>
        <v>OK</v>
      </c>
    </row>
    <row r="152" spans="1:19" x14ac:dyDescent="0.25">
      <c r="A152" s="1" t="s">
        <v>326</v>
      </c>
      <c r="B152" t="s">
        <v>112</v>
      </c>
      <c r="C152" s="1" t="s">
        <v>113</v>
      </c>
      <c r="D152" s="2" t="s">
        <v>15</v>
      </c>
      <c r="E152" s="2" t="s">
        <v>158</v>
      </c>
      <c r="G152" s="6">
        <v>300</v>
      </c>
      <c r="M152" s="6">
        <f t="shared" si="16"/>
        <v>300</v>
      </c>
      <c r="N152" s="4">
        <f>G152/VLOOKUP(A152,RESUME!$G$3:$I$10,3,FALSE)</f>
        <v>1.2105506266193384E-3</v>
      </c>
      <c r="O152" s="4" t="str">
        <f t="shared" si="17"/>
        <v/>
      </c>
      <c r="P152" s="1" t="str">
        <f>_xlfn.IFNA(VLOOKUP(A152&amp;"-"&amp;B152&amp;"-"&amp;D152,Ref_Account!$A:$F,6,FALSE),"ACCOUNT TIDAK DITEMUKAN")</f>
        <v>1204.630730</v>
      </c>
      <c r="R152" s="1">
        <f t="shared" si="18"/>
        <v>1</v>
      </c>
      <c r="S152" s="32" t="str">
        <f t="shared" si="19"/>
        <v>OK</v>
      </c>
    </row>
    <row r="153" spans="1:19" x14ac:dyDescent="0.25">
      <c r="A153" s="1" t="s">
        <v>326</v>
      </c>
      <c r="B153" t="s">
        <v>124</v>
      </c>
      <c r="C153" s="1" t="s">
        <v>125</v>
      </c>
      <c r="D153" s="2" t="s">
        <v>15</v>
      </c>
      <c r="E153" s="2" t="s">
        <v>158</v>
      </c>
      <c r="G153" s="6">
        <v>2346.61</v>
      </c>
      <c r="M153" s="6">
        <f t="shared" si="16"/>
        <v>2346.61</v>
      </c>
      <c r="N153" s="4">
        <f>G153/VLOOKUP(A153,RESUME!$G$3:$I$10,3,FALSE)</f>
        <v>9.46896735310402E-3</v>
      </c>
      <c r="O153" s="4" t="str">
        <f t="shared" si="17"/>
        <v/>
      </c>
      <c r="P153" s="1" t="str">
        <f>_xlfn.IFNA(VLOOKUP(A153&amp;"-"&amp;B153&amp;"-"&amp;D153,Ref_Account!$A:$F,6,FALSE),"ACCOUNT TIDAK DITEMUKAN")</f>
        <v>1204.631110</v>
      </c>
      <c r="R153" s="1">
        <f t="shared" si="18"/>
        <v>1</v>
      </c>
      <c r="S153" s="32" t="str">
        <f t="shared" si="19"/>
        <v>OK</v>
      </c>
    </row>
    <row r="154" spans="1:19" x14ac:dyDescent="0.25">
      <c r="A154" s="1" t="s">
        <v>326</v>
      </c>
      <c r="B154" t="s">
        <v>126</v>
      </c>
      <c r="C154" s="1" t="s">
        <v>127</v>
      </c>
      <c r="D154" s="2" t="s">
        <v>15</v>
      </c>
      <c r="E154" s="2" t="s">
        <v>158</v>
      </c>
      <c r="G154" s="6">
        <v>483</v>
      </c>
      <c r="M154" s="6">
        <f t="shared" si="16"/>
        <v>483</v>
      </c>
      <c r="N154" s="4">
        <f>G154/VLOOKUP(A154,RESUME!$G$3:$I$10,3,FALSE)</f>
        <v>1.9489865088571348E-3</v>
      </c>
      <c r="O154" s="4" t="str">
        <f t="shared" si="17"/>
        <v/>
      </c>
      <c r="P154" s="1" t="str">
        <f>_xlfn.IFNA(VLOOKUP(A154&amp;"-"&amp;B154&amp;"-"&amp;D154,Ref_Account!$A:$F,6,FALSE),"ACCOUNT TIDAK DITEMUKAN")</f>
        <v>1204.631140</v>
      </c>
      <c r="R154" s="1">
        <f t="shared" si="18"/>
        <v>1</v>
      </c>
      <c r="S154" s="32" t="str">
        <f t="shared" si="19"/>
        <v>OK</v>
      </c>
    </row>
    <row r="155" spans="1:19" x14ac:dyDescent="0.25">
      <c r="A155" s="1" t="s">
        <v>159</v>
      </c>
      <c r="B155" t="s">
        <v>160</v>
      </c>
      <c r="C155" s="1" t="s">
        <v>161</v>
      </c>
      <c r="D155" s="2" t="s">
        <v>13</v>
      </c>
      <c r="E155" s="2" t="s">
        <v>75</v>
      </c>
      <c r="G155" s="6">
        <v>943.01</v>
      </c>
      <c r="M155" s="6">
        <f t="shared" si="16"/>
        <v>943.01</v>
      </c>
      <c r="N155" s="4">
        <f>G155/VLOOKUP(A155,RESUME!$G$3:$I$10,3,FALSE)</f>
        <v>1.0674639092355137E-2</v>
      </c>
      <c r="O155" s="4" t="str">
        <f t="shared" si="17"/>
        <v/>
      </c>
      <c r="P155" s="1" t="str">
        <f>_xlfn.IFNA(VLOOKUP(A155&amp;"-"&amp;B155&amp;"-"&amp;D155,Ref_Account!$A:$F,6,FALSE),"ACCOUNT TIDAK DITEMUKAN")</f>
        <v>1201.816120</v>
      </c>
      <c r="R155" s="1">
        <f t="shared" si="18"/>
        <v>1</v>
      </c>
      <c r="S155" s="32" t="str">
        <f t="shared" si="19"/>
        <v>OK</v>
      </c>
    </row>
    <row r="156" spans="1:19" x14ac:dyDescent="0.25">
      <c r="A156" s="1" t="s">
        <v>159</v>
      </c>
      <c r="B156" t="s">
        <v>162</v>
      </c>
      <c r="C156" s="1" t="s">
        <v>163</v>
      </c>
      <c r="D156" s="2" t="s">
        <v>13</v>
      </c>
      <c r="E156" s="2" t="s">
        <v>72</v>
      </c>
      <c r="G156" s="6">
        <v>3000</v>
      </c>
      <c r="M156" s="6">
        <f t="shared" si="16"/>
        <v>3000</v>
      </c>
      <c r="N156" s="4">
        <f>G156/VLOOKUP(A156,RESUME!$G$3:$I$10,3,FALSE)</f>
        <v>3.3959255232781635E-2</v>
      </c>
      <c r="O156" s="4" t="str">
        <f t="shared" si="17"/>
        <v/>
      </c>
      <c r="P156" s="1" t="str">
        <f>_xlfn.IFNA(VLOOKUP(A156&amp;"-"&amp;B156&amp;"-"&amp;D156,Ref_Account!$A:$F,6,FALSE),"ACCOUNT TIDAK DITEMUKAN")</f>
        <v>1201.920410</v>
      </c>
      <c r="R156" s="1">
        <f t="shared" si="18"/>
        <v>1</v>
      </c>
      <c r="S156" s="32" t="str">
        <f t="shared" si="19"/>
        <v>OK</v>
      </c>
    </row>
    <row r="157" spans="1:19" x14ac:dyDescent="0.25">
      <c r="A157" s="1" t="s">
        <v>159</v>
      </c>
      <c r="B157" t="s">
        <v>164</v>
      </c>
      <c r="C157" s="1" t="s">
        <v>165</v>
      </c>
      <c r="D157" s="2" t="s">
        <v>13</v>
      </c>
      <c r="E157" s="2" t="s">
        <v>166</v>
      </c>
      <c r="G157" s="6">
        <v>27000</v>
      </c>
      <c r="M157" s="6">
        <f t="shared" si="16"/>
        <v>27000</v>
      </c>
      <c r="N157" s="4">
        <f>G157/VLOOKUP(A157,RESUME!$G$3:$I$10,3,FALSE)</f>
        <v>0.30563329709503473</v>
      </c>
      <c r="O157" s="4" t="str">
        <f t="shared" si="17"/>
        <v/>
      </c>
      <c r="P157" s="1" t="str">
        <f>_xlfn.IFNA(VLOOKUP(A157&amp;"-"&amp;B157&amp;"-"&amp;D157,Ref_Account!$A:$F,6,FALSE),"ACCOUNT TIDAK DITEMUKAN")</f>
        <v>1201.920120</v>
      </c>
      <c r="R157" s="1">
        <f t="shared" si="18"/>
        <v>1</v>
      </c>
      <c r="S157" s="32" t="str">
        <f t="shared" si="19"/>
        <v>OK</v>
      </c>
    </row>
    <row r="158" spans="1:19" x14ac:dyDescent="0.25">
      <c r="A158" s="1" t="s">
        <v>159</v>
      </c>
      <c r="B158" t="s">
        <v>167</v>
      </c>
      <c r="C158" s="1" t="s">
        <v>168</v>
      </c>
      <c r="D158" s="2" t="s">
        <v>13</v>
      </c>
      <c r="E158" s="2" t="s">
        <v>72</v>
      </c>
      <c r="G158" s="6">
        <v>743.73</v>
      </c>
      <c r="M158" s="6">
        <f t="shared" si="16"/>
        <v>743.73</v>
      </c>
      <c r="N158" s="4">
        <f>G158/VLOOKUP(A158,RESUME!$G$3:$I$10,3,FALSE)</f>
        <v>8.4188389647588957E-3</v>
      </c>
      <c r="O158" s="4" t="str">
        <f t="shared" si="17"/>
        <v/>
      </c>
      <c r="P158" s="1" t="str">
        <f>_xlfn.IFNA(VLOOKUP(A158&amp;"-"&amp;B158&amp;"-"&amp;D158,Ref_Account!$A:$F,6,FALSE),"ACCOUNT TIDAK DITEMUKAN")</f>
        <v>1201.805120</v>
      </c>
      <c r="R158" s="1">
        <f t="shared" si="18"/>
        <v>1</v>
      </c>
      <c r="S158" s="32" t="str">
        <f t="shared" si="19"/>
        <v>OK</v>
      </c>
    </row>
    <row r="159" spans="1:19" x14ac:dyDescent="0.25">
      <c r="A159" s="1" t="s">
        <v>159</v>
      </c>
      <c r="B159" t="s">
        <v>169</v>
      </c>
      <c r="C159" s="1" t="s">
        <v>170</v>
      </c>
      <c r="D159" s="2" t="s">
        <v>13</v>
      </c>
      <c r="E159" s="2" t="s">
        <v>171</v>
      </c>
      <c r="G159" s="6">
        <v>2000</v>
      </c>
      <c r="M159" s="6">
        <f t="shared" si="16"/>
        <v>2000</v>
      </c>
      <c r="N159" s="4">
        <f>G159/VLOOKUP(A159,RESUME!$G$3:$I$10,3,FALSE)</f>
        <v>2.263950348852109E-2</v>
      </c>
      <c r="O159" s="4" t="str">
        <f t="shared" si="17"/>
        <v/>
      </c>
      <c r="P159" s="1" t="str">
        <f>_xlfn.IFNA(VLOOKUP(A159&amp;"-"&amp;B159&amp;"-"&amp;D159,Ref_Account!$A:$F,6,FALSE),"ACCOUNT TIDAK DITEMUKAN")</f>
        <v>1201.920700</v>
      </c>
      <c r="R159" s="1">
        <f t="shared" si="18"/>
        <v>1</v>
      </c>
      <c r="S159" s="32" t="str">
        <f t="shared" si="19"/>
        <v>OK</v>
      </c>
    </row>
    <row r="160" spans="1:19" x14ac:dyDescent="0.25">
      <c r="A160" s="1" t="s">
        <v>159</v>
      </c>
      <c r="B160" t="s">
        <v>169</v>
      </c>
      <c r="C160" s="1" t="s">
        <v>170</v>
      </c>
      <c r="D160" s="2" t="s">
        <v>101</v>
      </c>
      <c r="E160" s="2" t="s">
        <v>171</v>
      </c>
      <c r="G160" s="6">
        <v>1000</v>
      </c>
      <c r="M160" s="6">
        <f t="shared" si="16"/>
        <v>1000</v>
      </c>
      <c r="N160" s="4">
        <f>G160/VLOOKUP(A160,RESUME!$G$3:$I$10,3,FALSE)</f>
        <v>1.1319751744260545E-2</v>
      </c>
      <c r="O160" s="4" t="str">
        <f t="shared" si="17"/>
        <v/>
      </c>
      <c r="P160" s="1" t="str">
        <f>_xlfn.IFNA(VLOOKUP(A160&amp;"-"&amp;B160&amp;"-"&amp;D160,Ref_Account!$A:$F,6,FALSE),"ACCOUNT TIDAK DITEMUKAN")</f>
        <v>1206.920700</v>
      </c>
      <c r="R160" s="1">
        <f t="shared" si="18"/>
        <v>1</v>
      </c>
      <c r="S160" s="32" t="str">
        <f t="shared" si="19"/>
        <v>OK</v>
      </c>
    </row>
    <row r="161" spans="1:19" x14ac:dyDescent="0.25">
      <c r="A161" s="1" t="s">
        <v>159</v>
      </c>
      <c r="B161" t="s">
        <v>169</v>
      </c>
      <c r="C161" s="1" t="s">
        <v>170</v>
      </c>
      <c r="D161" s="2" t="s">
        <v>24</v>
      </c>
      <c r="E161" s="2" t="s">
        <v>171</v>
      </c>
      <c r="G161" s="6">
        <v>1000</v>
      </c>
      <c r="M161" s="6">
        <f t="shared" si="16"/>
        <v>1000</v>
      </c>
      <c r="N161" s="4">
        <f>G161/VLOOKUP(A161,RESUME!$G$3:$I$10,3,FALSE)</f>
        <v>1.1319751744260545E-2</v>
      </c>
      <c r="O161" s="4" t="str">
        <f t="shared" si="17"/>
        <v/>
      </c>
      <c r="P161" s="1" t="str">
        <f>_xlfn.IFNA(VLOOKUP(A161&amp;"-"&amp;B161&amp;"-"&amp;D161,Ref_Account!$A:$F,6,FALSE),"ACCOUNT TIDAK DITEMUKAN")</f>
        <v>1205.920700</v>
      </c>
      <c r="R161" s="1">
        <f t="shared" si="18"/>
        <v>1</v>
      </c>
      <c r="S161" s="32" t="str">
        <f t="shared" si="19"/>
        <v>OK</v>
      </c>
    </row>
    <row r="162" spans="1:19" x14ac:dyDescent="0.25">
      <c r="A162" s="1" t="s">
        <v>159</v>
      </c>
      <c r="B162" t="s">
        <v>169</v>
      </c>
      <c r="C162" s="1" t="s">
        <v>170</v>
      </c>
      <c r="D162" s="2" t="s">
        <v>15</v>
      </c>
      <c r="E162" s="2" t="s">
        <v>171</v>
      </c>
      <c r="G162" s="6">
        <v>1000</v>
      </c>
      <c r="M162" s="6">
        <f t="shared" si="16"/>
        <v>1000</v>
      </c>
      <c r="N162" s="4">
        <f>G162/VLOOKUP(A162,RESUME!$G$3:$I$10,3,FALSE)</f>
        <v>1.1319751744260545E-2</v>
      </c>
      <c r="O162" s="4" t="str">
        <f t="shared" si="17"/>
        <v/>
      </c>
      <c r="P162" s="1" t="str">
        <f>_xlfn.IFNA(VLOOKUP(A162&amp;"-"&amp;B162&amp;"-"&amp;D162,Ref_Account!$A:$F,6,FALSE),"ACCOUNT TIDAK DITEMUKAN")</f>
        <v>1204.920700</v>
      </c>
      <c r="R162" s="1">
        <f t="shared" si="18"/>
        <v>1</v>
      </c>
      <c r="S162" s="32" t="str">
        <f t="shared" si="19"/>
        <v>OK</v>
      </c>
    </row>
    <row r="163" spans="1:19" x14ac:dyDescent="0.25">
      <c r="A163" s="1" t="s">
        <v>159</v>
      </c>
      <c r="B163" t="s">
        <v>146</v>
      </c>
      <c r="C163" s="1" t="s">
        <v>147</v>
      </c>
      <c r="D163" s="2" t="s">
        <v>13</v>
      </c>
      <c r="E163" s="2" t="s">
        <v>148</v>
      </c>
      <c r="G163" s="6">
        <v>45654.420000000006</v>
      </c>
      <c r="M163" s="6">
        <f t="shared" si="16"/>
        <v>45654.420000000006</v>
      </c>
      <c r="N163" s="4">
        <f>G163/VLOOKUP(A163,RESUME!$G$3:$I$10,3,FALSE)</f>
        <v>0.51679670042820358</v>
      </c>
      <c r="O163" s="4" t="str">
        <f t="shared" si="17"/>
        <v/>
      </c>
      <c r="P163" s="1" t="str">
        <f>_xlfn.IFNA(VLOOKUP(A163&amp;"-"&amp;B163&amp;"-"&amp;D163,Ref_Account!$A:$F,6,FALSE),"ACCOUNT TIDAK DITEMUKAN")</f>
        <v>1201.801110</v>
      </c>
      <c r="R163" s="1">
        <f t="shared" si="18"/>
        <v>1</v>
      </c>
      <c r="S163" s="32" t="str">
        <f t="shared" si="19"/>
        <v>OK</v>
      </c>
    </row>
    <row r="164" spans="1:19" x14ac:dyDescent="0.25">
      <c r="A164" s="1" t="s">
        <v>159</v>
      </c>
      <c r="B164" t="s">
        <v>146</v>
      </c>
      <c r="C164" s="1" t="s">
        <v>147</v>
      </c>
      <c r="D164" s="2" t="s">
        <v>15</v>
      </c>
      <c r="E164" s="2" t="s">
        <v>148</v>
      </c>
      <c r="G164" s="6">
        <v>6000</v>
      </c>
      <c r="M164" s="6">
        <f t="shared" si="16"/>
        <v>6000</v>
      </c>
      <c r="N164" s="4">
        <f>G164/VLOOKUP(A164,RESUME!$G$3:$I$10,3,FALSE)</f>
        <v>6.791851046556327E-2</v>
      </c>
      <c r="O164" s="4" t="str">
        <f t="shared" si="17"/>
        <v/>
      </c>
      <c r="P164" s="1" t="str">
        <f>_xlfn.IFNA(VLOOKUP(A164&amp;"-"&amp;B164&amp;"-"&amp;D164,Ref_Account!$A:$F,6,FALSE),"ACCOUNT TIDAK DITEMUKAN")</f>
        <v>1204.801110</v>
      </c>
      <c r="R164" s="1">
        <f t="shared" si="18"/>
        <v>1</v>
      </c>
      <c r="S164" s="32" t="str">
        <f t="shared" si="19"/>
        <v>OK</v>
      </c>
    </row>
  </sheetData>
  <mergeCells count="15">
    <mergeCell ref="P3:P4"/>
    <mergeCell ref="Q3:Q4"/>
    <mergeCell ref="R3:R4"/>
    <mergeCell ref="S3:S4"/>
    <mergeCell ref="H3:L3"/>
    <mergeCell ref="C3:C4"/>
    <mergeCell ref="D3:D4"/>
    <mergeCell ref="E3:E4"/>
    <mergeCell ref="F3:F4"/>
    <mergeCell ref="A3:A4"/>
    <mergeCell ref="B3:B4"/>
    <mergeCell ref="G3:G4"/>
    <mergeCell ref="M3:M4"/>
    <mergeCell ref="N3:N4"/>
    <mergeCell ref="O3:O4"/>
  </mergeCells>
  <conditionalFormatting sqref="S6:S1048576">
    <cfRule type="containsText" dxfId="1" priority="2" operator="containsText" text="OVER">
      <formula>NOT(ISERROR(SEARCH("OVER",S6)))</formula>
    </cfRule>
  </conditionalFormatting>
  <conditionalFormatting sqref="M1:M3 M5:M1048576">
    <cfRule type="cellIs" dxfId="0" priority="1" operator="lessThanOrEqual">
      <formula>0</formula>
    </cfRule>
  </conditionalFormatting>
  <hyperlinks>
    <hyperlink ref="B6" r:id="rId1" xr:uid="{7F3238BC-FF11-4F34-AFEA-BFB078D7FD4B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I3" sqref="I3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0" t="s">
        <v>327</v>
      </c>
      <c r="B1" s="52"/>
      <c r="C1" s="51"/>
      <c r="G1" s="53" t="s">
        <v>351</v>
      </c>
      <c r="H1" s="54"/>
      <c r="I1" s="54"/>
      <c r="J1" s="54"/>
      <c r="K1" s="54"/>
    </row>
    <row r="2" spans="1:12" x14ac:dyDescent="0.25">
      <c r="A2" s="14" t="s">
        <v>0</v>
      </c>
      <c r="B2" s="21" t="s">
        <v>325</v>
      </c>
      <c r="C2" s="23" t="s">
        <v>172</v>
      </c>
      <c r="G2" s="14" t="s">
        <v>324</v>
      </c>
      <c r="H2" s="21" t="s">
        <v>325</v>
      </c>
      <c r="I2" s="23" t="s">
        <v>172</v>
      </c>
      <c r="J2" s="23" t="s">
        <v>333</v>
      </c>
      <c r="K2" s="23" t="s">
        <v>193</v>
      </c>
    </row>
    <row r="3" spans="1:12" x14ac:dyDescent="0.25">
      <c r="A3" t="s">
        <v>10</v>
      </c>
      <c r="B3" s="20">
        <v>8.1590977598792011E-2</v>
      </c>
      <c r="C3" s="22">
        <f>SUMIF('All Costing'!$A$6:$A$1048576,RESUME!A3,'All Costing'!$G$6:$H$1048576)</f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0</v>
      </c>
      <c r="K3" s="22">
        <f t="shared" ref="K3:K10" si="1">I3-J3</f>
        <v>67897.759999999995</v>
      </c>
    </row>
    <row r="4" spans="1:12" x14ac:dyDescent="0.25">
      <c r="A4" t="s">
        <v>36</v>
      </c>
      <c r="B4" s="20">
        <v>0.27755070800026532</v>
      </c>
      <c r="C4" s="22">
        <f>SUMIF('All Costing'!$A$6:$A$1048576,RESUME!A4,'All Costing'!$G$6:$H$1048576)</f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0</v>
      </c>
      <c r="K4" s="22">
        <f t="shared" si="1"/>
        <v>230970.03999999998</v>
      </c>
    </row>
    <row r="5" spans="1:12" x14ac:dyDescent="0.25">
      <c r="A5" t="s">
        <v>44</v>
      </c>
      <c r="B5" s="20">
        <v>1.0214229594462793E-2</v>
      </c>
      <c r="C5" s="22">
        <f>SUMIF('All Costing'!$A$6:$A$1048576,RESUME!A5,'All Costing'!$G$6:$H$1048576)</f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314</v>
      </c>
      <c r="B6" s="20">
        <v>1.2016740699367992E-3</v>
      </c>
      <c r="C6" s="22">
        <f>SUMIF('All Costing'!$A$6:$A$1048576,RESUME!A6,'All Costing'!$G$6:$H$1048576)</f>
        <v>1000</v>
      </c>
      <c r="G6" t="s">
        <v>314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f>SUMIF('All Costing'!$A$6:$A$1048576,RESUME!A7,'All Costing'!$G$6:$H$1048576)</f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0</v>
      </c>
      <c r="K7" s="22">
        <f t="shared" si="1"/>
        <v>87145.539999999964</v>
      </c>
    </row>
    <row r="8" spans="1:12" x14ac:dyDescent="0.25">
      <c r="A8" t="s">
        <v>141</v>
      </c>
      <c r="B8" s="20">
        <v>0.12076439185780972</v>
      </c>
      <c r="C8" s="22">
        <f>SUMIF('All Costing'!$A$6:$A$1048576,RESUME!A8,'All Costing'!$G$6:$H$1048576)</f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0</v>
      </c>
      <c r="K8" s="22">
        <f t="shared" si="1"/>
        <v>100496.79432973135</v>
      </c>
    </row>
    <row r="9" spans="1:12" x14ac:dyDescent="0.25">
      <c r="A9" t="s">
        <v>173</v>
      </c>
      <c r="B9" s="20">
        <v>0.14255002855513671</v>
      </c>
      <c r="C9" s="22">
        <f>SUMIFS('All Costing'!$G$6:$G$1048576,'All Costing'!$D$6:$D$1048576,"MAJA-1",'All Costing'!$A$6:$A$1048576,"Tony Teja")</f>
        <v>118626.19999999998</v>
      </c>
      <c r="G9" t="s">
        <v>326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0</v>
      </c>
      <c r="K9" s="22">
        <f t="shared" si="1"/>
        <v>247821.11000000002</v>
      </c>
      <c r="L9" s="29"/>
    </row>
    <row r="10" spans="1:12" x14ac:dyDescent="0.25">
      <c r="A10" t="s">
        <v>157</v>
      </c>
      <c r="B10" s="20">
        <v>0.1552501733148185</v>
      </c>
      <c r="C10" s="22">
        <f>SUMIFS('All Costing'!$G$6:$G$1048576,'All Costing'!$D$6:$D$1048576,"MAJA-2",'All Costing'!$A$6:$A$1048576,"Tony Teja")</f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0</v>
      </c>
      <c r="K10" s="22">
        <f t="shared" si="1"/>
        <v>88341.16</v>
      </c>
    </row>
    <row r="11" spans="1:12" x14ac:dyDescent="0.25">
      <c r="A11" t="s">
        <v>326</v>
      </c>
      <c r="B11" s="20">
        <v>0.29780020186995526</v>
      </c>
      <c r="C11" s="22">
        <f>SUMIF('All Costing'!$A$6:$A$1048576,RESUME!A11,'All Costing'!$G$6:$H$1048576)</f>
        <v>247821.11000000002</v>
      </c>
      <c r="G11" s="50" t="s">
        <v>35</v>
      </c>
      <c r="H11" s="51"/>
      <c r="I11" s="23">
        <f>SUM(I3:I10)</f>
        <v>832172.40432973136</v>
      </c>
      <c r="J11" s="23">
        <f>SUM(J3:J10)</f>
        <v>0</v>
      </c>
      <c r="K11" s="23"/>
    </row>
    <row r="12" spans="1:12" x14ac:dyDescent="0.25">
      <c r="A12" t="s">
        <v>159</v>
      </c>
      <c r="B12" s="20">
        <v>0.10615728128013797</v>
      </c>
      <c r="C12" s="22">
        <f>SUMIF('All Costing'!$A$6:$A$1048576,RESUME!A12,'All Costing'!$G$6:$H$1048576)</f>
        <v>88341.16</v>
      </c>
      <c r="H12"/>
      <c r="I12"/>
      <c r="J12"/>
      <c r="K12"/>
    </row>
    <row r="13" spans="1:12" x14ac:dyDescent="0.25">
      <c r="A13" s="50" t="s">
        <v>35</v>
      </c>
      <c r="B13" s="51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zoomScale="85" zoomScaleNormal="85" workbookViewId="0">
      <selection activeCell="A7" sqref="A7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328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323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211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214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215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315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216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217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218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219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217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218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219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220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220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220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220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213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221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221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221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221</v>
      </c>
    </row>
    <row r="31" spans="1:6" x14ac:dyDescent="0.25">
      <c r="A31" t="str">
        <f t="shared" si="0"/>
        <v>Fungfung-FABRIC TESTED CHARGES-CLN</v>
      </c>
      <c r="B31" t="s">
        <v>314</v>
      </c>
      <c r="C31" t="s">
        <v>46</v>
      </c>
      <c r="D31" t="s">
        <v>13</v>
      </c>
      <c r="E31">
        <f t="shared" si="1"/>
        <v>1201</v>
      </c>
      <c r="F31" t="s">
        <v>220</v>
      </c>
    </row>
    <row r="32" spans="1:6" x14ac:dyDescent="0.25">
      <c r="A32" t="str">
        <f t="shared" si="0"/>
        <v>Fungfung-SALES COMMISSION-CLN</v>
      </c>
      <c r="B32" t="s">
        <v>314</v>
      </c>
      <c r="C32" t="s">
        <v>56</v>
      </c>
      <c r="D32" t="s">
        <v>13</v>
      </c>
      <c r="E32">
        <f t="shared" si="1"/>
        <v>1201</v>
      </c>
      <c r="F32" t="s">
        <v>213</v>
      </c>
    </row>
    <row r="33" spans="1:6" x14ac:dyDescent="0.25">
      <c r="A33" t="str">
        <f t="shared" si="0"/>
        <v>Fungfung-SAMPLE EXPENSES-CLN</v>
      </c>
      <c r="B33" t="s">
        <v>314</v>
      </c>
      <c r="C33" t="s">
        <v>59</v>
      </c>
      <c r="D33" t="s">
        <v>13</v>
      </c>
      <c r="E33">
        <f t="shared" si="1"/>
        <v>1201</v>
      </c>
      <c r="F33" t="s">
        <v>221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314</v>
      </c>
      <c r="C34" t="s">
        <v>59</v>
      </c>
      <c r="D34" t="s">
        <v>13</v>
      </c>
      <c r="E34">
        <f t="shared" si="1"/>
        <v>1201</v>
      </c>
      <c r="F34" t="s">
        <v>221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222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223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224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225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226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227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227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228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229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230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231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232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233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234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235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236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237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238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239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240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241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242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243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316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244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245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246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247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248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249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250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251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252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253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254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255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256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257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258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259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260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261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262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263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264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265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266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267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268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269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270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271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272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326</v>
      </c>
      <c r="C112" t="s">
        <v>78</v>
      </c>
      <c r="D112" t="s">
        <v>24</v>
      </c>
      <c r="E112">
        <f t="shared" si="4"/>
        <v>1205</v>
      </c>
      <c r="F112" t="s">
        <v>273</v>
      </c>
    </row>
    <row r="113" spans="1:6" x14ac:dyDescent="0.25">
      <c r="A113" t="str">
        <f t="shared" si="5"/>
        <v>Tony Teja-JAMSOSTEK-MAJA-1</v>
      </c>
      <c r="B113" t="s">
        <v>326</v>
      </c>
      <c r="C113" t="s">
        <v>93</v>
      </c>
      <c r="D113" t="s">
        <v>24</v>
      </c>
      <c r="E113">
        <f t="shared" si="4"/>
        <v>1205</v>
      </c>
      <c r="F113" t="s">
        <v>274</v>
      </c>
    </row>
    <row r="114" spans="1:6" x14ac:dyDescent="0.25">
      <c r="A114" t="str">
        <f t="shared" si="5"/>
        <v>Tony Teja-MAINT.&amp;REP.BUILDING-MAJA-1</v>
      </c>
      <c r="B114" t="s">
        <v>326</v>
      </c>
      <c r="C114" t="s">
        <v>102</v>
      </c>
      <c r="D114" t="s">
        <v>24</v>
      </c>
      <c r="E114">
        <f t="shared" si="4"/>
        <v>1205</v>
      </c>
      <c r="F114" t="s">
        <v>275</v>
      </c>
    </row>
    <row r="115" spans="1:6" x14ac:dyDescent="0.25">
      <c r="A115" t="str">
        <f t="shared" si="5"/>
        <v>Tony Teja-MAINT.&amp;REP.WATERINSTL.-MAJA-1</v>
      </c>
      <c r="B115" t="s">
        <v>326</v>
      </c>
      <c r="C115" t="s">
        <v>114</v>
      </c>
      <c r="D115" t="s">
        <v>24</v>
      </c>
      <c r="E115">
        <f t="shared" si="4"/>
        <v>1205</v>
      </c>
      <c r="F115" t="s">
        <v>276</v>
      </c>
    </row>
    <row r="116" spans="1:6" x14ac:dyDescent="0.25">
      <c r="A116" t="str">
        <f t="shared" si="5"/>
        <v>Tony Teja-MEDICAL ALLOWANCE-MAJA-1</v>
      </c>
      <c r="B116" t="s">
        <v>326</v>
      </c>
      <c r="C116" t="s">
        <v>118</v>
      </c>
      <c r="D116" t="s">
        <v>24</v>
      </c>
      <c r="E116">
        <f t="shared" si="4"/>
        <v>1205</v>
      </c>
      <c r="F116" t="s">
        <v>277</v>
      </c>
    </row>
    <row r="117" spans="1:6" x14ac:dyDescent="0.25">
      <c r="A117" t="str">
        <f t="shared" si="5"/>
        <v>Tony Teja-RENT EXPENSES BUILDING-MAJA-1</v>
      </c>
      <c r="B117" t="s">
        <v>326</v>
      </c>
      <c r="C117" t="s">
        <v>130</v>
      </c>
      <c r="D117" t="s">
        <v>24</v>
      </c>
      <c r="E117">
        <f t="shared" si="4"/>
        <v>1205</v>
      </c>
      <c r="F117" t="s">
        <v>278</v>
      </c>
    </row>
    <row r="118" spans="1:6" x14ac:dyDescent="0.25">
      <c r="A118" t="str">
        <f t="shared" si="5"/>
        <v>Tony Teja-OTHER PRODUCTION COST-MAJA-1</v>
      </c>
      <c r="B118" t="s">
        <v>326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326</v>
      </c>
      <c r="C119" t="s">
        <v>70</v>
      </c>
      <c r="D119" t="s">
        <v>24</v>
      </c>
      <c r="E119">
        <f t="shared" si="4"/>
        <v>1205</v>
      </c>
      <c r="F119" t="s">
        <v>279</v>
      </c>
    </row>
    <row r="120" spans="1:6" x14ac:dyDescent="0.25">
      <c r="A120" t="str">
        <f t="shared" si="5"/>
        <v>Tony Teja-ELECTRICITY-MAJA-1</v>
      </c>
      <c r="B120" t="s">
        <v>326</v>
      </c>
      <c r="C120" t="s">
        <v>76</v>
      </c>
      <c r="D120" t="s">
        <v>24</v>
      </c>
      <c r="E120">
        <f t="shared" si="4"/>
        <v>1205</v>
      </c>
      <c r="F120" t="s">
        <v>280</v>
      </c>
    </row>
    <row r="121" spans="1:6" x14ac:dyDescent="0.25">
      <c r="A121" t="str">
        <f t="shared" si="5"/>
        <v>Tony Teja-FACTORY SUPPLIES EXPENSE-MAJA-1</v>
      </c>
      <c r="B121" t="s">
        <v>326</v>
      </c>
      <c r="C121" t="s">
        <v>80</v>
      </c>
      <c r="D121" t="s">
        <v>24</v>
      </c>
      <c r="E121">
        <f t="shared" si="4"/>
        <v>1205</v>
      </c>
      <c r="F121" t="s">
        <v>281</v>
      </c>
    </row>
    <row r="122" spans="1:6" x14ac:dyDescent="0.25">
      <c r="A122" t="str">
        <f t="shared" si="5"/>
        <v>Tony Teja-FARE ALLOWANCE-MAJA-1</v>
      </c>
      <c r="B122" t="s">
        <v>326</v>
      </c>
      <c r="C122" t="s">
        <v>154</v>
      </c>
      <c r="D122" t="s">
        <v>24</v>
      </c>
      <c r="E122">
        <f t="shared" si="4"/>
        <v>1205</v>
      </c>
      <c r="F122" t="s">
        <v>282</v>
      </c>
    </row>
    <row r="123" spans="1:6" x14ac:dyDescent="0.25">
      <c r="A123" t="str">
        <f t="shared" si="5"/>
        <v>Tony Teja-LABOR COST-MAJA-1</v>
      </c>
      <c r="B123" t="s">
        <v>326</v>
      </c>
      <c r="C123" t="s">
        <v>96</v>
      </c>
      <c r="D123" t="s">
        <v>24</v>
      </c>
      <c r="E123">
        <f t="shared" si="4"/>
        <v>1205</v>
      </c>
      <c r="F123" t="s">
        <v>283</v>
      </c>
    </row>
    <row r="124" spans="1:6" x14ac:dyDescent="0.25">
      <c r="A124" t="str">
        <f t="shared" si="5"/>
        <v>Tony Teja-MAINT.&amp;REP.ELECTRICITY-MAJA-1</v>
      </c>
      <c r="B124" t="s">
        <v>326</v>
      </c>
      <c r="C124" t="s">
        <v>104</v>
      </c>
      <c r="D124" t="s">
        <v>24</v>
      </c>
      <c r="E124">
        <f t="shared" si="4"/>
        <v>1205</v>
      </c>
      <c r="F124" t="s">
        <v>284</v>
      </c>
    </row>
    <row r="125" spans="1:6" x14ac:dyDescent="0.25">
      <c r="A125" t="str">
        <f t="shared" si="5"/>
        <v>Tony Teja-MAINT.&amp;REP.GEN&amp;BOILER-MAJA-1</v>
      </c>
      <c r="B125" t="s">
        <v>326</v>
      </c>
      <c r="C125" t="s">
        <v>106</v>
      </c>
      <c r="D125" t="s">
        <v>24</v>
      </c>
      <c r="E125">
        <f t="shared" si="4"/>
        <v>1205</v>
      </c>
      <c r="F125" t="s">
        <v>285</v>
      </c>
    </row>
    <row r="126" spans="1:6" x14ac:dyDescent="0.25">
      <c r="A126" t="str">
        <f t="shared" si="5"/>
        <v>Tony Teja-MAINT.&amp;REP.MACHINERIE-MAJA-1</v>
      </c>
      <c r="B126" t="s">
        <v>326</v>
      </c>
      <c r="C126" t="s">
        <v>108</v>
      </c>
      <c r="D126" t="s">
        <v>24</v>
      </c>
      <c r="E126">
        <f t="shared" si="4"/>
        <v>1205</v>
      </c>
      <c r="F126" t="s">
        <v>286</v>
      </c>
    </row>
    <row r="127" spans="1:6" x14ac:dyDescent="0.25">
      <c r="A127" t="str">
        <f t="shared" si="5"/>
        <v>Tony Teja-MAINT.&amp;REP.PLANTEQUI-MAJA-1</v>
      </c>
      <c r="B127" t="s">
        <v>326</v>
      </c>
      <c r="C127" t="s">
        <v>112</v>
      </c>
      <c r="D127" t="s">
        <v>24</v>
      </c>
      <c r="E127">
        <f t="shared" si="4"/>
        <v>1205</v>
      </c>
      <c r="F127" t="s">
        <v>287</v>
      </c>
    </row>
    <row r="128" spans="1:6" x14ac:dyDescent="0.25">
      <c r="A128" t="str">
        <f t="shared" si="5"/>
        <v>Tony Teja-OFFICER SALARIES-MAJA-1</v>
      </c>
      <c r="B128" t="s">
        <v>326</v>
      </c>
      <c r="C128" t="s">
        <v>146</v>
      </c>
      <c r="D128" t="s">
        <v>24</v>
      </c>
      <c r="E128">
        <f t="shared" si="4"/>
        <v>1205</v>
      </c>
      <c r="F128" t="s">
        <v>288</v>
      </c>
    </row>
    <row r="129" spans="1:6" x14ac:dyDescent="0.25">
      <c r="A129" t="str">
        <f t="shared" si="5"/>
        <v>Tony Teja-PEMAKAIAN SPARE PART-MAJA-1</v>
      </c>
      <c r="B129" t="s">
        <v>326</v>
      </c>
      <c r="C129" t="s">
        <v>124</v>
      </c>
      <c r="D129" t="s">
        <v>24</v>
      </c>
      <c r="E129">
        <f t="shared" si="4"/>
        <v>1205</v>
      </c>
      <c r="F129" t="s">
        <v>289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326</v>
      </c>
      <c r="C130" t="s">
        <v>78</v>
      </c>
      <c r="D130" t="s">
        <v>15</v>
      </c>
      <c r="E130">
        <f t="shared" si="4"/>
        <v>1204</v>
      </c>
      <c r="F130" t="s">
        <v>290</v>
      </c>
    </row>
    <row r="131" spans="1:6" x14ac:dyDescent="0.25">
      <c r="A131" t="str">
        <f t="shared" si="6"/>
        <v>Tony Teja-JAMSOSTEK-MAJA-2</v>
      </c>
      <c r="B131" t="s">
        <v>326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291</v>
      </c>
    </row>
    <row r="132" spans="1:6" x14ac:dyDescent="0.25">
      <c r="A132" t="str">
        <f t="shared" si="6"/>
        <v>Tony Teja-MAINT.&amp;REP.BUILDING-MAJA-2</v>
      </c>
      <c r="B132" t="s">
        <v>326</v>
      </c>
      <c r="C132" t="s">
        <v>102</v>
      </c>
      <c r="D132" t="s">
        <v>15</v>
      </c>
      <c r="E132">
        <f t="shared" si="7"/>
        <v>1204</v>
      </c>
      <c r="F132" t="s">
        <v>292</v>
      </c>
    </row>
    <row r="133" spans="1:6" x14ac:dyDescent="0.25">
      <c r="A133" t="str">
        <f t="shared" si="6"/>
        <v>Tony Teja-MAINT.&amp;REP.WATERINSTL.-MAJA-2</v>
      </c>
      <c r="B133" t="s">
        <v>326</v>
      </c>
      <c r="C133" t="s">
        <v>114</v>
      </c>
      <c r="D133" t="s">
        <v>15</v>
      </c>
      <c r="E133">
        <f t="shared" si="7"/>
        <v>1204</v>
      </c>
      <c r="F133" t="s">
        <v>293</v>
      </c>
    </row>
    <row r="134" spans="1:6" x14ac:dyDescent="0.25">
      <c r="A134" t="str">
        <f t="shared" si="6"/>
        <v>Tony Teja-MEDICAL ALLOWANCE-MAJA-2</v>
      </c>
      <c r="B134" t="s">
        <v>326</v>
      </c>
      <c r="C134" t="s">
        <v>118</v>
      </c>
      <c r="D134" t="s">
        <v>15</v>
      </c>
      <c r="E134">
        <f t="shared" si="7"/>
        <v>1204</v>
      </c>
      <c r="F134" t="s">
        <v>294</v>
      </c>
    </row>
    <row r="135" spans="1:6" x14ac:dyDescent="0.25">
      <c r="A135" t="str">
        <f t="shared" si="6"/>
        <v>Tony Teja-RENT EXPENSES BUILDING-MAJA-2</v>
      </c>
      <c r="B135" t="s">
        <v>326</v>
      </c>
      <c r="C135" t="s">
        <v>130</v>
      </c>
      <c r="D135" t="s">
        <v>15</v>
      </c>
      <c r="E135">
        <f t="shared" si="7"/>
        <v>1204</v>
      </c>
      <c r="F135" t="s">
        <v>295</v>
      </c>
    </row>
    <row r="136" spans="1:6" x14ac:dyDescent="0.25">
      <c r="A136" t="str">
        <f t="shared" si="6"/>
        <v>Tony Teja-OTHER PRODUCTION COST-MAJA-2</v>
      </c>
      <c r="B136" t="s">
        <v>326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326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326</v>
      </c>
      <c r="C138" t="s">
        <v>70</v>
      </c>
      <c r="D138" t="s">
        <v>15</v>
      </c>
      <c r="E138">
        <f t="shared" si="7"/>
        <v>1204</v>
      </c>
      <c r="F138" t="s">
        <v>296</v>
      </c>
    </row>
    <row r="139" spans="1:6" x14ac:dyDescent="0.25">
      <c r="A139" t="str">
        <f t="shared" si="6"/>
        <v>Tony Teja-ELECTRICITY-MAJA-2</v>
      </c>
      <c r="B139" t="s">
        <v>326</v>
      </c>
      <c r="C139" t="s">
        <v>76</v>
      </c>
      <c r="D139" t="s">
        <v>15</v>
      </c>
      <c r="E139">
        <f t="shared" si="7"/>
        <v>1204</v>
      </c>
      <c r="F139" t="s">
        <v>297</v>
      </c>
    </row>
    <row r="140" spans="1:6" x14ac:dyDescent="0.25">
      <c r="A140" t="str">
        <f t="shared" si="6"/>
        <v>Tony Teja-FACTORY SUPPLIES EXPENSE-MAJA-2</v>
      </c>
      <c r="B140" t="s">
        <v>326</v>
      </c>
      <c r="C140" t="s">
        <v>80</v>
      </c>
      <c r="D140" t="s">
        <v>15</v>
      </c>
      <c r="E140">
        <f t="shared" si="7"/>
        <v>1204</v>
      </c>
      <c r="F140" t="s">
        <v>298</v>
      </c>
    </row>
    <row r="141" spans="1:6" x14ac:dyDescent="0.25">
      <c r="A141" t="str">
        <f t="shared" si="6"/>
        <v>Tony Teja-FARE ALLOWANCE-MAJA-2</v>
      </c>
      <c r="B141" t="s">
        <v>326</v>
      </c>
      <c r="C141" t="s">
        <v>154</v>
      </c>
      <c r="D141" t="s">
        <v>15</v>
      </c>
      <c r="E141">
        <f t="shared" si="7"/>
        <v>1204</v>
      </c>
      <c r="F141" t="s">
        <v>299</v>
      </c>
    </row>
    <row r="142" spans="1:6" x14ac:dyDescent="0.25">
      <c r="A142" t="str">
        <f t="shared" si="6"/>
        <v>Tony Teja-LABOR COST-MAJA-2</v>
      </c>
      <c r="B142" t="s">
        <v>326</v>
      </c>
      <c r="C142" t="s">
        <v>96</v>
      </c>
      <c r="D142" t="s">
        <v>15</v>
      </c>
      <c r="E142">
        <f t="shared" si="7"/>
        <v>1204</v>
      </c>
      <c r="F142" t="s">
        <v>300</v>
      </c>
    </row>
    <row r="143" spans="1:6" x14ac:dyDescent="0.25">
      <c r="A143" t="str">
        <f t="shared" si="6"/>
        <v>Tony Teja-MAINT.&amp;REP.ELECTRICITY-MAJA-2</v>
      </c>
      <c r="B143" t="s">
        <v>326</v>
      </c>
      <c r="C143" t="s">
        <v>104</v>
      </c>
      <c r="D143" t="s">
        <v>15</v>
      </c>
      <c r="E143">
        <f t="shared" si="7"/>
        <v>1204</v>
      </c>
      <c r="F143" t="s">
        <v>301</v>
      </c>
    </row>
    <row r="144" spans="1:6" x14ac:dyDescent="0.25">
      <c r="A144" t="str">
        <f t="shared" si="6"/>
        <v>Tony Teja-MAINT.&amp;REP.GEN&amp;BOILER-MAJA-2</v>
      </c>
      <c r="B144" t="s">
        <v>326</v>
      </c>
      <c r="C144" t="s">
        <v>106</v>
      </c>
      <c r="D144" t="s">
        <v>15</v>
      </c>
      <c r="E144">
        <f t="shared" si="7"/>
        <v>1204</v>
      </c>
      <c r="F144" t="s">
        <v>302</v>
      </c>
    </row>
    <row r="145" spans="1:6" x14ac:dyDescent="0.25">
      <c r="A145" t="str">
        <f t="shared" si="6"/>
        <v>Tony Teja-MAINT.&amp;REP.MACHINERIE-MAJA-2</v>
      </c>
      <c r="B145" t="s">
        <v>326</v>
      </c>
      <c r="C145" t="s">
        <v>108</v>
      </c>
      <c r="D145" t="s">
        <v>15</v>
      </c>
      <c r="E145">
        <f t="shared" si="7"/>
        <v>1204</v>
      </c>
      <c r="F145" t="s">
        <v>303</v>
      </c>
    </row>
    <row r="146" spans="1:6" x14ac:dyDescent="0.25">
      <c r="A146" t="str">
        <f t="shared" si="6"/>
        <v>Tony Teja-MAINT.&amp;REP.PLANTEQUI-MAJA-2</v>
      </c>
      <c r="B146" t="s">
        <v>326</v>
      </c>
      <c r="C146" t="s">
        <v>112</v>
      </c>
      <c r="D146" t="s">
        <v>15</v>
      </c>
      <c r="E146">
        <f t="shared" si="7"/>
        <v>1204</v>
      </c>
      <c r="F146" t="s">
        <v>304</v>
      </c>
    </row>
    <row r="147" spans="1:6" x14ac:dyDescent="0.25">
      <c r="A147" t="str">
        <f t="shared" si="6"/>
        <v>Tony Teja-PEMAKAIAN SPARE PART-MAJA-2</v>
      </c>
      <c r="B147" t="s">
        <v>326</v>
      </c>
      <c r="C147" t="s">
        <v>124</v>
      </c>
      <c r="D147" t="s">
        <v>15</v>
      </c>
      <c r="E147">
        <f t="shared" si="7"/>
        <v>1204</v>
      </c>
      <c r="F147" t="s">
        <v>305</v>
      </c>
    </row>
    <row r="148" spans="1:6" x14ac:dyDescent="0.25">
      <c r="A148" t="str">
        <f t="shared" si="6"/>
        <v>Tony Teja-PMKN FUEL &amp; LUBRICANT-MAJA-2</v>
      </c>
      <c r="B148" t="s">
        <v>326</v>
      </c>
      <c r="C148" t="s">
        <v>126</v>
      </c>
      <c r="D148" t="s">
        <v>15</v>
      </c>
      <c r="E148">
        <f t="shared" si="7"/>
        <v>1204</v>
      </c>
      <c r="F148" t="s">
        <v>306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307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308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309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310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311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312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313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 x14ac:dyDescent="0.35">
      <c r="A2" s="55" t="s">
        <v>175</v>
      </c>
      <c r="B2" s="55"/>
      <c r="C2" s="55"/>
      <c r="D2" s="55"/>
      <c r="E2" s="55"/>
      <c r="F2" s="55"/>
      <c r="G2" s="55"/>
      <c r="H2" s="55"/>
      <c r="I2" s="55"/>
      <c r="J2" s="55"/>
    </row>
    <row r="4" spans="1:12" x14ac:dyDescent="0.25">
      <c r="G4" s="3"/>
      <c r="H4" s="3"/>
    </row>
    <row r="5" spans="1:12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334</v>
      </c>
    </row>
    <row r="6" spans="1:12" x14ac:dyDescent="0.25">
      <c r="A6" s="5"/>
      <c r="F6" s="5"/>
      <c r="H6" s="5"/>
    </row>
    <row r="7" spans="1:12" x14ac:dyDescent="0.25">
      <c r="A7" s="5"/>
      <c r="F7" s="5"/>
      <c r="H7" s="5"/>
    </row>
    <row r="8" spans="1:12" x14ac:dyDescent="0.25">
      <c r="A8" s="5"/>
      <c r="F8" s="5"/>
      <c r="H8" s="5"/>
    </row>
    <row r="9" spans="1:12" x14ac:dyDescent="0.25">
      <c r="A9" s="5"/>
      <c r="F9" s="5"/>
      <c r="H9" s="5"/>
    </row>
    <row r="10" spans="1:12" x14ac:dyDescent="0.25">
      <c r="A10" s="5"/>
      <c r="F10" s="5"/>
      <c r="H10" s="5"/>
    </row>
    <row r="11" spans="1:12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29EB-887A-4B65-8E36-D8D6B1DDC84F}">
  <sheetPr codeName="Sheet29"/>
  <dimension ref="A1:A2"/>
  <sheetViews>
    <sheetView workbookViewId="0"/>
  </sheetViews>
  <sheetFormatPr defaultRowHeight="15" x14ac:dyDescent="0.25"/>
  <sheetData>
    <row r="1" spans="1:1" x14ac:dyDescent="0.25">
      <c r="A1" t="s">
        <v>366</v>
      </c>
    </row>
    <row r="2" spans="1:1" x14ac:dyDescent="0.25">
      <c r="A2" t="s">
        <v>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(HOME)</vt:lpstr>
      <vt:lpstr>Ref1</vt:lpstr>
      <vt:lpstr>All Costing</vt:lpstr>
      <vt:lpstr>RESUME</vt:lpstr>
      <vt:lpstr>Ref_Account</vt:lpstr>
      <vt:lpstr>temp_laporan1</vt:lpstr>
      <vt:lpstr>NOT FOUND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2024-02-19T08:57:36Z</dcterms:modified>
</cp:coreProperties>
</file>