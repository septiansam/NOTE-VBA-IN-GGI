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07-02-2024\Macro\New folder (4)\"/>
    </mc:Choice>
  </mc:AlternateContent>
  <xr:revisionPtr revIDLastSave="0" documentId="13_ncr:1_{B9162E1E-985A-4927-B421-35538DF7DFBC}" xr6:coauthVersionLast="47" xr6:coauthVersionMax="47" xr10:uidLastSave="{00000000-0000-0000-0000-000000000000}"/>
  <bookViews>
    <workbookView xWindow="-120" yWindow="-120" windowWidth="20640" windowHeight="11160" xr2:uid="{00000000-000D-0000-FFFF-FFFF00000000}"/>
  </bookViews>
  <sheets>
    <sheet name="(HOME)" sheetId="11" r:id="rId1"/>
    <sheet name="All Costing" sheetId="1" r:id="rId2"/>
    <sheet name="Ref_Account" sheetId="22" r:id="rId3"/>
    <sheet name="RPA_AccountLedger" sheetId="21" r:id="rId4"/>
    <sheet name="RESUME" sheetId="16" r:id="rId5"/>
    <sheet name="temp_laporan1" sheetId="14" r:id="rId6"/>
    <sheet name="Ref1" sheetId="10" state="hidden" r:id="rId7"/>
  </sheets>
  <definedNames>
    <definedName name="_xlnm._FilterDatabase" localSheetId="1" hidden="1">'All Costing'!$A$5:$N$164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1" l="1"/>
  <c r="L6" i="1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L32" i="1"/>
  <c r="L40" i="1"/>
  <c r="L96" i="1"/>
  <c r="L120" i="1"/>
  <c r="L122" i="1"/>
  <c r="L128" i="1"/>
  <c r="L130" i="1"/>
  <c r="L136" i="1"/>
  <c r="L138" i="1"/>
  <c r="L144" i="1"/>
  <c r="L146" i="1"/>
  <c r="L152" i="1"/>
  <c r="L154" i="1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L34" i="1" l="1"/>
  <c r="L26" i="1"/>
  <c r="L153" i="1"/>
  <c r="L145" i="1"/>
  <c r="L137" i="1"/>
  <c r="L129" i="1"/>
  <c r="L121" i="1"/>
  <c r="L41" i="1"/>
  <c r="L33" i="1"/>
  <c r="L151" i="1"/>
  <c r="L143" i="1"/>
  <c r="L135" i="1"/>
  <c r="L127" i="1"/>
  <c r="L119" i="1"/>
  <c r="L39" i="1"/>
  <c r="L31" i="1"/>
  <c r="L150" i="1"/>
  <c r="L142" i="1"/>
  <c r="L134" i="1"/>
  <c r="L126" i="1"/>
  <c r="L118" i="1"/>
  <c r="L38" i="1"/>
  <c r="L30" i="1"/>
  <c r="L149" i="1"/>
  <c r="L141" i="1"/>
  <c r="L133" i="1"/>
  <c r="L125" i="1"/>
  <c r="L37" i="1"/>
  <c r="L29" i="1"/>
  <c r="L148" i="1"/>
  <c r="L140" i="1"/>
  <c r="L132" i="1"/>
  <c r="L124" i="1"/>
  <c r="L36" i="1"/>
  <c r="L28" i="1"/>
  <c r="L20" i="1"/>
  <c r="L155" i="1"/>
  <c r="L147" i="1"/>
  <c r="L139" i="1"/>
  <c r="L131" i="1"/>
  <c r="L123" i="1"/>
  <c r="L35" i="1"/>
  <c r="L27" i="1"/>
  <c r="I164" i="1" l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5" i="1"/>
  <c r="I34" i="1"/>
  <c r="I33" i="1"/>
  <c r="I32" i="1"/>
  <c r="I31" i="1"/>
  <c r="I30" i="1"/>
  <c r="I29" i="1"/>
  <c r="I28" i="1"/>
  <c r="I27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A156" i="1" l="1"/>
  <c r="L156" i="1" s="1"/>
  <c r="A97" i="1"/>
  <c r="L97" i="1" s="1"/>
  <c r="A42" i="1"/>
  <c r="L42" i="1" s="1"/>
  <c r="A21" i="1"/>
  <c r="L21" i="1" s="1"/>
  <c r="A7" i="1" a="1"/>
  <c r="A19" i="1" s="1"/>
  <c r="L19" i="1" s="1"/>
  <c r="A43" i="1" l="1"/>
  <c r="L43" i="1" s="1"/>
  <c r="A157" i="1"/>
  <c r="L157" i="1" s="1"/>
  <c r="A98" i="1"/>
  <c r="L98" i="1" s="1"/>
  <c r="A22" i="1"/>
  <c r="L22" i="1" s="1"/>
  <c r="A11" i="1"/>
  <c r="L11" i="1" s="1"/>
  <c r="A16" i="1"/>
  <c r="L16" i="1" s="1"/>
  <c r="A12" i="1"/>
  <c r="L12" i="1" s="1"/>
  <c r="A8" i="1"/>
  <c r="L8" i="1" s="1"/>
  <c r="A18" i="1"/>
  <c r="L18" i="1" s="1"/>
  <c r="A13" i="1"/>
  <c r="L13" i="1" s="1"/>
  <c r="A7" i="1"/>
  <c r="L7" i="1" s="1"/>
  <c r="A14" i="1"/>
  <c r="L14" i="1" s="1"/>
  <c r="A9" i="1"/>
  <c r="L9" i="1" s="1"/>
  <c r="A15" i="1"/>
  <c r="L15" i="1" s="1"/>
  <c r="A10" i="1"/>
  <c r="L10" i="1" s="1"/>
  <c r="A17" i="1"/>
  <c r="L17" i="1" s="1"/>
  <c r="A23" i="1" l="1"/>
  <c r="L23" i="1" s="1"/>
  <c r="A158" i="1"/>
  <c r="L158" i="1" s="1"/>
  <c r="A99" i="1"/>
  <c r="L99" i="1" s="1"/>
  <c r="A44" i="1"/>
  <c r="L44" i="1" s="1"/>
  <c r="A24" i="1" l="1"/>
  <c r="L24" i="1" s="1"/>
  <c r="A100" i="1"/>
  <c r="L100" i="1" s="1"/>
  <c r="A45" i="1"/>
  <c r="L45" i="1" s="1"/>
  <c r="A159" i="1"/>
  <c r="L159" i="1" s="1"/>
  <c r="A160" i="1" l="1"/>
  <c r="L160" i="1" s="1"/>
  <c r="A101" i="1"/>
  <c r="L101" i="1" s="1"/>
  <c r="A46" i="1"/>
  <c r="L46" i="1" s="1"/>
  <c r="A25" i="1"/>
  <c r="L25" i="1" s="1"/>
  <c r="A102" i="1" l="1"/>
  <c r="L102" i="1" s="1"/>
  <c r="A161" i="1"/>
  <c r="L161" i="1" s="1"/>
  <c r="A47" i="1"/>
  <c r="L47" i="1" s="1"/>
  <c r="A48" i="1" l="1"/>
  <c r="L48" i="1" s="1"/>
  <c r="A162" i="1"/>
  <c r="L162" i="1" s="1"/>
  <c r="A103" i="1"/>
  <c r="L103" i="1" s="1"/>
  <c r="A163" i="1" l="1"/>
  <c r="L163" i="1" s="1"/>
  <c r="A104" i="1"/>
  <c r="L104" i="1" s="1"/>
  <c r="A49" i="1"/>
  <c r="L49" i="1" s="1"/>
  <c r="A105" i="1" l="1"/>
  <c r="L105" i="1" s="1"/>
  <c r="A164" i="1"/>
  <c r="L164" i="1" s="1"/>
  <c r="A50" i="1"/>
  <c r="L50" i="1" s="1"/>
  <c r="A51" i="1" l="1"/>
  <c r="L51" i="1" s="1"/>
  <c r="A106" i="1"/>
  <c r="L106" i="1" s="1"/>
  <c r="A107" i="1" l="1"/>
  <c r="L107" i="1" s="1"/>
  <c r="A52" i="1"/>
  <c r="L52" i="1" s="1"/>
  <c r="A53" i="1" l="1"/>
  <c r="L53" i="1" s="1"/>
  <c r="A108" i="1"/>
  <c r="L108" i="1" s="1"/>
  <c r="A109" i="1" l="1"/>
  <c r="L109" i="1" s="1"/>
  <c r="A54" i="1"/>
  <c r="L54" i="1" s="1"/>
  <c r="A55" i="1" l="1"/>
  <c r="L55" i="1" s="1"/>
  <c r="A110" i="1"/>
  <c r="L110" i="1" s="1"/>
  <c r="A111" i="1" l="1"/>
  <c r="L111" i="1" s="1"/>
  <c r="A56" i="1"/>
  <c r="L56" i="1" s="1"/>
  <c r="A57" i="1" l="1"/>
  <c r="L57" i="1" s="1"/>
  <c r="A112" i="1"/>
  <c r="L112" i="1" s="1"/>
  <c r="A113" i="1" l="1"/>
  <c r="L113" i="1" s="1"/>
  <c r="A58" i="1"/>
  <c r="L58" i="1" s="1"/>
  <c r="A114" i="1" l="1"/>
  <c r="L114" i="1" s="1"/>
  <c r="A59" i="1"/>
  <c r="L59" i="1" s="1"/>
  <c r="A60" i="1" l="1"/>
  <c r="L60" i="1" s="1"/>
  <c r="A115" i="1"/>
  <c r="L115" i="1" s="1"/>
  <c r="A116" i="1" l="1"/>
  <c r="L116" i="1" s="1"/>
  <c r="A61" i="1"/>
  <c r="L61" i="1" s="1"/>
  <c r="A62" i="1" l="1"/>
  <c r="L62" i="1" s="1"/>
  <c r="A117" i="1"/>
  <c r="L117" i="1" s="1"/>
  <c r="A63" i="1" l="1"/>
  <c r="L63" i="1" s="1"/>
  <c r="A64" i="1" l="1"/>
  <c r="L64" i="1" s="1"/>
  <c r="A65" i="1" l="1"/>
  <c r="L65" i="1" s="1"/>
  <c r="A66" i="1" l="1"/>
  <c r="L66" i="1" s="1"/>
  <c r="A67" i="1" l="1"/>
  <c r="L67" i="1" s="1"/>
  <c r="A68" i="1" l="1"/>
  <c r="L68" i="1" s="1"/>
  <c r="A69" i="1" l="1"/>
  <c r="L69" i="1" s="1"/>
  <c r="A70" i="1" l="1"/>
  <c r="L70" i="1" s="1"/>
  <c r="A71" i="1" l="1"/>
  <c r="L71" i="1" s="1"/>
  <c r="A72" i="1" l="1"/>
  <c r="L72" i="1" s="1"/>
  <c r="A73" i="1" l="1"/>
  <c r="L73" i="1" s="1"/>
  <c r="A74" i="1" l="1"/>
  <c r="L74" i="1" s="1"/>
  <c r="A75" i="1" l="1"/>
  <c r="L75" i="1" s="1"/>
  <c r="A76" i="1" l="1"/>
  <c r="L76" i="1" s="1"/>
  <c r="A77" i="1" l="1"/>
  <c r="L77" i="1" s="1"/>
  <c r="A78" i="1" l="1"/>
  <c r="L78" i="1" s="1"/>
  <c r="A79" i="1" l="1"/>
  <c r="L79" i="1" s="1"/>
  <c r="A80" i="1" l="1"/>
  <c r="L80" i="1" s="1"/>
  <c r="A81" i="1" l="1"/>
  <c r="L81" i="1" s="1"/>
  <c r="A82" i="1" l="1"/>
  <c r="L82" i="1" s="1"/>
  <c r="A83" i="1" l="1"/>
  <c r="L83" i="1" s="1"/>
  <c r="A84" i="1" l="1"/>
  <c r="L84" i="1" s="1"/>
  <c r="A85" i="1" l="1"/>
  <c r="L85" i="1" s="1"/>
  <c r="A86" i="1" l="1"/>
  <c r="L86" i="1" s="1"/>
  <c r="A87" i="1" l="1"/>
  <c r="L87" i="1" s="1"/>
  <c r="A88" i="1" l="1"/>
  <c r="L88" i="1" s="1"/>
  <c r="A89" i="1" l="1"/>
  <c r="L89" i="1" s="1"/>
  <c r="A90" i="1" l="1"/>
  <c r="L90" i="1" s="1"/>
  <c r="A91" i="1" l="1"/>
  <c r="L91" i="1" s="1"/>
  <c r="A92" i="1" l="1"/>
  <c r="L92" i="1" s="1"/>
  <c r="A93" i="1" l="1"/>
  <c r="L93" i="1" s="1"/>
  <c r="A94" i="1" l="1"/>
  <c r="L94" i="1" s="1"/>
  <c r="N94" i="1" l="1"/>
  <c r="N92" i="1"/>
  <c r="N90" i="1"/>
  <c r="N88" i="1"/>
  <c r="N86" i="1"/>
  <c r="A95" i="1"/>
  <c r="L95" i="1" s="1"/>
  <c r="N95" i="1" l="1"/>
  <c r="N56" i="1"/>
  <c r="N113" i="1"/>
  <c r="N114" i="1"/>
  <c r="N116" i="1"/>
  <c r="N58" i="1"/>
  <c r="N115" i="1"/>
  <c r="N59" i="1"/>
  <c r="N103" i="1"/>
  <c r="N60" i="1"/>
  <c r="N62" i="1"/>
  <c r="N61" i="1"/>
  <c r="N6" i="1"/>
  <c r="N118" i="1"/>
  <c r="N21" i="1"/>
  <c r="N48" i="1"/>
  <c r="N125" i="1"/>
  <c r="N141" i="1"/>
  <c r="N107" i="1"/>
  <c r="N154" i="1"/>
  <c r="N26" i="1"/>
  <c r="N146" i="1"/>
  <c r="N102" i="1"/>
  <c r="N50" i="1"/>
  <c r="N13" i="1"/>
  <c r="N155" i="1"/>
  <c r="N20" i="1"/>
  <c r="N123" i="1"/>
  <c r="N24" i="1"/>
  <c r="N127" i="1"/>
  <c r="N111" i="1"/>
  <c r="N139" i="1"/>
  <c r="N152" i="1"/>
  <c r="N99" i="1"/>
  <c r="N29" i="1"/>
  <c r="N161" i="1"/>
  <c r="N128" i="1"/>
  <c r="N31" i="1"/>
  <c r="N108" i="1"/>
  <c r="N42" i="1"/>
  <c r="N136" i="1"/>
  <c r="N49" i="1"/>
  <c r="N149" i="1"/>
  <c r="N25" i="1"/>
  <c r="N153" i="1"/>
  <c r="N27" i="1"/>
  <c r="N132" i="1"/>
  <c r="N100" i="1"/>
  <c r="N22" i="1"/>
  <c r="N14" i="1"/>
  <c r="N105" i="1"/>
  <c r="N35" i="1"/>
  <c r="N159" i="1"/>
  <c r="N106" i="1"/>
  <c r="N150" i="1"/>
  <c r="N11" i="1"/>
  <c r="N140" i="1"/>
  <c r="N112" i="1"/>
  <c r="N163" i="1"/>
  <c r="N130" i="1"/>
  <c r="N126" i="1"/>
  <c r="N30" i="1"/>
  <c r="N121" i="1"/>
  <c r="N7" i="1"/>
  <c r="N148" i="1"/>
  <c r="N98" i="1"/>
  <c r="N33" i="1"/>
  <c r="N138" i="1"/>
  <c r="N135" i="1"/>
  <c r="N142" i="1"/>
  <c r="N53" i="1"/>
  <c r="N162" i="1"/>
  <c r="N117" i="1"/>
  <c r="N12" i="1"/>
  <c r="N8" i="1"/>
  <c r="N37" i="1"/>
  <c r="N109" i="1"/>
  <c r="N147" i="1"/>
  <c r="N39" i="1"/>
  <c r="N101" i="1"/>
  <c r="N164" i="1"/>
  <c r="N28" i="1"/>
  <c r="N9" i="1"/>
  <c r="N119" i="1"/>
  <c r="N144" i="1"/>
  <c r="N18" i="1"/>
  <c r="N45" i="1"/>
  <c r="N124" i="1"/>
  <c r="N156" i="1"/>
  <c r="N131" i="1"/>
  <c r="N63" i="1"/>
  <c r="N129" i="1"/>
  <c r="N104" i="1"/>
  <c r="N16" i="1"/>
  <c r="N122" i="1"/>
  <c r="N51" i="1"/>
  <c r="N133" i="1"/>
  <c r="N54" i="1"/>
  <c r="N10" i="1"/>
  <c r="N134" i="1"/>
  <c r="N157" i="1"/>
  <c r="N44" i="1"/>
  <c r="N38" i="1"/>
  <c r="N97" i="1"/>
  <c r="N46" i="1"/>
  <c r="N32" i="1"/>
  <c r="N41" i="1"/>
  <c r="N15" i="1"/>
  <c r="N19" i="1"/>
  <c r="N120" i="1"/>
  <c r="N55" i="1"/>
  <c r="N23" i="1"/>
  <c r="N17" i="1"/>
  <c r="N151" i="1"/>
  <c r="N52" i="1"/>
  <c r="N160" i="1"/>
  <c r="N43" i="1"/>
  <c r="N110" i="1"/>
  <c r="N158" i="1"/>
  <c r="N143" i="1"/>
  <c r="N40" i="1"/>
  <c r="N145" i="1"/>
  <c r="N64" i="1"/>
  <c r="N36" i="1"/>
  <c r="N57" i="1"/>
  <c r="N34" i="1"/>
  <c r="N137" i="1"/>
  <c r="N96" i="1"/>
  <c r="N65" i="1"/>
  <c r="N47" i="1"/>
  <c r="N67" i="1"/>
  <c r="N66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93" i="1"/>
  <c r="N91" i="1"/>
  <c r="N89" i="1"/>
  <c r="N87" i="1"/>
  <c r="N85" i="1"/>
  <c r="I5" i="16"/>
  <c r="I8" i="16"/>
  <c r="I6" i="16"/>
  <c r="I9" i="16"/>
  <c r="I10" i="16"/>
  <c r="I3" i="16"/>
  <c r="I4" i="16"/>
  <c r="I7" i="16"/>
  <c r="J6" i="1" l="1"/>
  <c r="K6" i="1" s="1"/>
  <c r="J20" i="1"/>
  <c r="K20" i="1" s="1"/>
  <c r="J21" i="1"/>
  <c r="K21" i="1" s="1"/>
  <c r="J22" i="1"/>
  <c r="K22" i="1" s="1"/>
  <c r="J23" i="1"/>
  <c r="K23" i="1" s="1"/>
  <c r="J24" i="1"/>
  <c r="K24" i="1" s="1"/>
  <c r="J25" i="1"/>
  <c r="K25" i="1" s="1"/>
  <c r="J19" i="1"/>
  <c r="K19" i="1" s="1"/>
  <c r="J7" i="1"/>
  <c r="K7" i="1" s="1"/>
  <c r="J11" i="1"/>
  <c r="K11" i="1" s="1"/>
  <c r="J15" i="1"/>
  <c r="K15" i="1" s="1"/>
  <c r="J13" i="1"/>
  <c r="K13" i="1" s="1"/>
  <c r="J12" i="1"/>
  <c r="K12" i="1" s="1"/>
  <c r="J18" i="1"/>
  <c r="K18" i="1" s="1"/>
  <c r="J9" i="1"/>
  <c r="K9" i="1" s="1"/>
  <c r="J10" i="1"/>
  <c r="K10" i="1" s="1"/>
  <c r="J8" i="1"/>
  <c r="K8" i="1" s="1"/>
  <c r="J17" i="1"/>
  <c r="K17" i="1" s="1"/>
  <c r="J16" i="1"/>
  <c r="K16" i="1" s="1"/>
  <c r="J14" i="1"/>
  <c r="K14" i="1" s="1"/>
  <c r="J155" i="1"/>
  <c r="K155" i="1" s="1"/>
  <c r="J156" i="1"/>
  <c r="K156" i="1" s="1"/>
  <c r="J157" i="1"/>
  <c r="K157" i="1" s="1"/>
  <c r="J158" i="1"/>
  <c r="K158" i="1" s="1"/>
  <c r="J159" i="1"/>
  <c r="K159" i="1" s="1"/>
  <c r="J160" i="1"/>
  <c r="K160" i="1" s="1"/>
  <c r="J161" i="1"/>
  <c r="K161" i="1" s="1"/>
  <c r="J162" i="1"/>
  <c r="K162" i="1" s="1"/>
  <c r="J163" i="1"/>
  <c r="K163" i="1" s="1"/>
  <c r="J164" i="1"/>
  <c r="K164" i="1" s="1"/>
  <c r="J119" i="1"/>
  <c r="K119" i="1" s="1"/>
  <c r="J127" i="1"/>
  <c r="K127" i="1" s="1"/>
  <c r="J135" i="1"/>
  <c r="K135" i="1" s="1"/>
  <c r="J143" i="1"/>
  <c r="K143" i="1" s="1"/>
  <c r="J151" i="1"/>
  <c r="K151" i="1" s="1"/>
  <c r="J133" i="1"/>
  <c r="K133" i="1" s="1"/>
  <c r="J142" i="1"/>
  <c r="K142" i="1" s="1"/>
  <c r="J120" i="1"/>
  <c r="K120" i="1" s="1"/>
  <c r="J128" i="1"/>
  <c r="K128" i="1" s="1"/>
  <c r="J136" i="1"/>
  <c r="K136" i="1" s="1"/>
  <c r="J144" i="1"/>
  <c r="K144" i="1" s="1"/>
  <c r="J152" i="1"/>
  <c r="K152" i="1" s="1"/>
  <c r="J149" i="1"/>
  <c r="K149" i="1" s="1"/>
  <c r="J118" i="1"/>
  <c r="K118" i="1" s="1"/>
  <c r="J121" i="1"/>
  <c r="K121" i="1" s="1"/>
  <c r="J129" i="1"/>
  <c r="K129" i="1" s="1"/>
  <c r="J137" i="1"/>
  <c r="K137" i="1" s="1"/>
  <c r="J145" i="1"/>
  <c r="K145" i="1" s="1"/>
  <c r="J153" i="1"/>
  <c r="K153" i="1" s="1"/>
  <c r="J150" i="1"/>
  <c r="K150" i="1" s="1"/>
  <c r="J122" i="1"/>
  <c r="K122" i="1" s="1"/>
  <c r="J130" i="1"/>
  <c r="K130" i="1" s="1"/>
  <c r="J138" i="1"/>
  <c r="K138" i="1" s="1"/>
  <c r="J146" i="1"/>
  <c r="K146" i="1" s="1"/>
  <c r="J154" i="1"/>
  <c r="K154" i="1" s="1"/>
  <c r="J134" i="1"/>
  <c r="K134" i="1" s="1"/>
  <c r="J123" i="1"/>
  <c r="K123" i="1" s="1"/>
  <c r="J131" i="1"/>
  <c r="K131" i="1" s="1"/>
  <c r="J139" i="1"/>
  <c r="K139" i="1" s="1"/>
  <c r="J147" i="1"/>
  <c r="K147" i="1" s="1"/>
  <c r="J141" i="1"/>
  <c r="K141" i="1" s="1"/>
  <c r="J124" i="1"/>
  <c r="K124" i="1" s="1"/>
  <c r="J132" i="1"/>
  <c r="K132" i="1" s="1"/>
  <c r="J140" i="1"/>
  <c r="K140" i="1" s="1"/>
  <c r="J148" i="1"/>
  <c r="K148" i="1" s="1"/>
  <c r="J125" i="1"/>
  <c r="K125" i="1" s="1"/>
  <c r="J126" i="1"/>
  <c r="K126" i="1" s="1"/>
  <c r="J39" i="1"/>
  <c r="K39" i="1" s="1"/>
  <c r="J38" i="1"/>
  <c r="K38" i="1" s="1"/>
  <c r="J40" i="1"/>
  <c r="K40" i="1" s="1"/>
  <c r="J37" i="1"/>
  <c r="K37" i="1" s="1"/>
  <c r="J36" i="1"/>
  <c r="K36" i="1" s="1"/>
  <c r="J96" i="1"/>
  <c r="K96" i="1" s="1"/>
  <c r="J97" i="1"/>
  <c r="K97" i="1" s="1"/>
  <c r="J98" i="1"/>
  <c r="K98" i="1" s="1"/>
  <c r="J99" i="1"/>
  <c r="K99" i="1" s="1"/>
  <c r="J100" i="1"/>
  <c r="K100" i="1" s="1"/>
  <c r="J101" i="1"/>
  <c r="K101" i="1" s="1"/>
  <c r="J102" i="1"/>
  <c r="K102" i="1" s="1"/>
  <c r="J103" i="1"/>
  <c r="K103" i="1" s="1"/>
  <c r="J104" i="1"/>
  <c r="K104" i="1" s="1"/>
  <c r="J105" i="1"/>
  <c r="K105" i="1" s="1"/>
  <c r="J106" i="1"/>
  <c r="K106" i="1" s="1"/>
  <c r="J107" i="1"/>
  <c r="K107" i="1" s="1"/>
  <c r="J108" i="1"/>
  <c r="K108" i="1" s="1"/>
  <c r="J109" i="1"/>
  <c r="K109" i="1" s="1"/>
  <c r="J110" i="1"/>
  <c r="K110" i="1" s="1"/>
  <c r="J111" i="1"/>
  <c r="K111" i="1" s="1"/>
  <c r="J112" i="1"/>
  <c r="K112" i="1" s="1"/>
  <c r="J113" i="1"/>
  <c r="K113" i="1" s="1"/>
  <c r="J114" i="1"/>
  <c r="K114" i="1" s="1"/>
  <c r="J115" i="1"/>
  <c r="K115" i="1" s="1"/>
  <c r="J116" i="1"/>
  <c r="K116" i="1" s="1"/>
  <c r="J117" i="1"/>
  <c r="K117" i="1" s="1"/>
  <c r="J31" i="1"/>
  <c r="K31" i="1" s="1"/>
  <c r="J32" i="1"/>
  <c r="K32" i="1" s="1"/>
  <c r="J29" i="1"/>
  <c r="K29" i="1" s="1"/>
  <c r="J33" i="1"/>
  <c r="K33" i="1" s="1"/>
  <c r="J26" i="1"/>
  <c r="K26" i="1" s="1"/>
  <c r="J34" i="1"/>
  <c r="K34" i="1" s="1"/>
  <c r="J27" i="1"/>
  <c r="K27" i="1" s="1"/>
  <c r="J35" i="1"/>
  <c r="K35" i="1" s="1"/>
  <c r="J30" i="1"/>
  <c r="K30" i="1" s="1"/>
  <c r="J28" i="1"/>
  <c r="K28" i="1" s="1"/>
  <c r="J41" i="1"/>
  <c r="K41" i="1" s="1"/>
  <c r="J42" i="1"/>
  <c r="K42" i="1" s="1"/>
  <c r="J43" i="1"/>
  <c r="K43" i="1" s="1"/>
  <c r="J44" i="1"/>
  <c r="K44" i="1" s="1"/>
  <c r="J45" i="1"/>
  <c r="K45" i="1" s="1"/>
  <c r="J46" i="1"/>
  <c r="K46" i="1" s="1"/>
  <c r="J47" i="1"/>
  <c r="K47" i="1" s="1"/>
  <c r="J48" i="1"/>
  <c r="K48" i="1" s="1"/>
  <c r="J49" i="1"/>
  <c r="K49" i="1" s="1"/>
  <c r="J50" i="1"/>
  <c r="K50" i="1" s="1"/>
  <c r="J51" i="1"/>
  <c r="K51" i="1" s="1"/>
  <c r="J52" i="1"/>
  <c r="K52" i="1" s="1"/>
  <c r="J53" i="1"/>
  <c r="K53" i="1" s="1"/>
  <c r="J54" i="1"/>
  <c r="K54" i="1" s="1"/>
  <c r="J55" i="1"/>
  <c r="K55" i="1" s="1"/>
  <c r="J56" i="1"/>
  <c r="K56" i="1" s="1"/>
  <c r="J57" i="1"/>
  <c r="K57" i="1" s="1"/>
  <c r="J58" i="1"/>
  <c r="K58" i="1" s="1"/>
  <c r="J59" i="1"/>
  <c r="K59" i="1" s="1"/>
  <c r="J60" i="1"/>
  <c r="K60" i="1" s="1"/>
  <c r="J61" i="1"/>
  <c r="K61" i="1" s="1"/>
  <c r="J62" i="1"/>
  <c r="K62" i="1" s="1"/>
  <c r="J63" i="1"/>
  <c r="K63" i="1" s="1"/>
  <c r="J64" i="1"/>
  <c r="K64" i="1" s="1"/>
  <c r="J65" i="1"/>
  <c r="K65" i="1" s="1"/>
  <c r="J66" i="1"/>
  <c r="K66" i="1" s="1"/>
  <c r="J67" i="1"/>
  <c r="K67" i="1" s="1"/>
  <c r="J68" i="1"/>
  <c r="K68" i="1" s="1"/>
  <c r="J69" i="1"/>
  <c r="K69" i="1" s="1"/>
  <c r="J70" i="1"/>
  <c r="K70" i="1" s="1"/>
  <c r="J71" i="1"/>
  <c r="K71" i="1" s="1"/>
  <c r="J72" i="1"/>
  <c r="K72" i="1" s="1"/>
  <c r="J73" i="1"/>
  <c r="K73" i="1" s="1"/>
  <c r="J74" i="1"/>
  <c r="K74" i="1" s="1"/>
  <c r="J75" i="1"/>
  <c r="K75" i="1" s="1"/>
  <c r="J76" i="1"/>
  <c r="K76" i="1" s="1"/>
  <c r="J77" i="1"/>
  <c r="K77" i="1" s="1"/>
  <c r="J78" i="1"/>
  <c r="K78" i="1" s="1"/>
  <c r="J79" i="1"/>
  <c r="K79" i="1" s="1"/>
  <c r="J80" i="1"/>
  <c r="K80" i="1" s="1"/>
  <c r="J81" i="1"/>
  <c r="K81" i="1" s="1"/>
  <c r="J82" i="1"/>
  <c r="K82" i="1" s="1"/>
  <c r="J83" i="1"/>
  <c r="K83" i="1" s="1"/>
  <c r="J84" i="1"/>
  <c r="K84" i="1" s="1"/>
  <c r="J85" i="1"/>
  <c r="K85" i="1" s="1"/>
  <c r="J86" i="1"/>
  <c r="K86" i="1" s="1"/>
  <c r="J87" i="1"/>
  <c r="K87" i="1" s="1"/>
  <c r="J88" i="1"/>
  <c r="K88" i="1" s="1"/>
  <c r="J89" i="1"/>
  <c r="K89" i="1" s="1"/>
  <c r="J90" i="1"/>
  <c r="K90" i="1" s="1"/>
  <c r="J91" i="1"/>
  <c r="K91" i="1" s="1"/>
  <c r="J92" i="1"/>
  <c r="K92" i="1" s="1"/>
  <c r="J93" i="1"/>
  <c r="K93" i="1" s="1"/>
  <c r="J94" i="1"/>
  <c r="K94" i="1" s="1"/>
  <c r="J95" i="1"/>
  <c r="K95" i="1" s="1"/>
  <c r="I11" i="16"/>
  <c r="H7" i="16" s="1"/>
  <c r="H10" i="16" l="1"/>
  <c r="H8" i="16"/>
  <c r="H6" i="16"/>
  <c r="H9" i="16"/>
  <c r="H3" i="16"/>
  <c r="H4" i="16"/>
  <c r="H5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C11" authorId="0" shapeId="0" xr:uid="{F38A127E-E86C-4490-AD61-1285433854EF}">
      <text>
        <r>
          <rPr>
            <b/>
            <sz val="9"/>
            <color indexed="81"/>
            <rFont val="Tahoma"/>
            <family val="2"/>
          </rPr>
          <t>Gabungan dari Kiki dan Rudi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3" authorId="0" shapeId="0" xr:uid="{F80E2F80-F0FE-43CD-B2F5-D8294B13BCF3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</commentList>
</comments>
</file>

<file path=xl/sharedStrings.xml><?xml version="1.0" encoding="utf-8"?>
<sst xmlns="http://schemas.openxmlformats.org/spreadsheetml/2006/main" count="1446" uniqueCount="342">
  <si>
    <t>PIC</t>
  </si>
  <si>
    <t>KATEGORI</t>
  </si>
  <si>
    <t>DEFINISI</t>
  </si>
  <si>
    <t>FACTORY</t>
  </si>
  <si>
    <t>PIC-2</t>
  </si>
  <si>
    <t>BUYER</t>
  </si>
  <si>
    <t>PLAN BUDGET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</si>
  <si>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</si>
  <si>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</si>
  <si>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</si>
  <si>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</si>
  <si>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</si>
  <si>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</si>
  <si>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</si>
  <si>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</si>
  <si>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</si>
  <si>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</si>
  <si>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</si>
  <si>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</si>
  <si>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</si>
  <si>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</si>
  <si>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</si>
  <si>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</si>
  <si>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</si>
  <si>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</si>
  <si>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</si>
  <si>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</si>
  <si>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</si>
  <si>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</si>
  <si>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</si>
  <si>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</si>
  <si>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</si>
  <si>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</si>
  <si>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</si>
  <si>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</si>
  <si>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</si>
  <si>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</si>
  <si>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</si>
  <si>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</si>
  <si>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</si>
  <si>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</si>
  <si>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</si>
  <si>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</si>
  <si>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</si>
  <si>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</si>
  <si>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 xml:space="preserve">SALES 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</si>
  <si>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</si>
  <si>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</si>
  <si>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</si>
  <si>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</si>
  <si>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</si>
  <si>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</si>
  <si>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</si>
  <si>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</si>
  <si>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</si>
  <si>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</si>
  <si>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</si>
  <si>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</si>
  <si>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</si>
  <si>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</si>
  <si>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</si>
  <si>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</si>
  <si>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</si>
  <si>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</si>
  <si>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</si>
  <si>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</si>
  <si>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</si>
  <si>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</si>
  <si>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</si>
  <si>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</si>
  <si>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</si>
  <si>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</si>
  <si>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</si>
  <si>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</si>
  <si>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</si>
  <si>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</si>
  <si>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</si>
  <si>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</si>
  <si>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</si>
  <si>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</si>
  <si>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</si>
  <si>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</si>
  <si>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</si>
  <si>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Tunjangan makan Staff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</si>
  <si>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</si>
  <si>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</si>
  <si>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</si>
  <si>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</si>
  <si>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</si>
  <si>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</si>
  <si>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</si>
  <si>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</si>
  <si>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</si>
  <si>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</si>
  <si>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</si>
  <si>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</si>
  <si>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</si>
  <si>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</si>
  <si>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</si>
  <si>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</si>
  <si>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</si>
  <si>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</si>
  <si>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</si>
  <si>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</si>
  <si>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</si>
  <si>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</si>
  <si>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</si>
  <si>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</si>
  <si>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</si>
  <si>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</si>
  <si>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</si>
  <si>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</si>
  <si>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</si>
  <si>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</si>
  <si>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</si>
  <si>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</si>
  <si>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</si>
  <si>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</si>
  <si>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</si>
  <si>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</si>
  <si>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</si>
  <si>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</si>
  <si>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</si>
  <si>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</si>
  <si>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</si>
  <si>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</si>
  <si>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</si>
  <si>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</si>
  <si>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</si>
  <si>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</si>
  <si>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</si>
  <si>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</si>
  <si>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</si>
  <si>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</si>
  <si>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</si>
  <si>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</si>
  <si>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</si>
  <si>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</si>
  <si>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</si>
  <si>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</si>
  <si>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</si>
  <si>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</si>
  <si>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</si>
  <si>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</si>
  <si>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</si>
  <si>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</si>
  <si>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</si>
  <si>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</si>
  <si>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</si>
  <si>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</si>
  <si>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</si>
  <si>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</si>
  <si>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Biaya dokter &amp; Obat</t>
  </si>
  <si>
    <t>Mutia</t>
  </si>
  <si>
    <t>FARE ALLOWANCE</t>
  </si>
  <si>
    <t>Kiki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</si>
  <si>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</si>
  <si>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</si>
  <si>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</si>
  <si>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</si>
  <si>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</si>
  <si>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</si>
  <si>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</si>
  <si>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</si>
  <si>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</si>
  <si>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</si>
  <si>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</si>
  <si>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</si>
  <si>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</si>
  <si>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</si>
  <si>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</si>
  <si>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</si>
  <si>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TOTAL BUDGET</t>
  </si>
  <si>
    <t>Kiki Zulfikar</t>
  </si>
  <si>
    <t>PIC (MANAGER)</t>
  </si>
  <si>
    <t>MONTHLY BUDGET TH 2024</t>
  </si>
  <si>
    <t>Account Ledger</t>
  </si>
  <si>
    <t>q</t>
  </si>
  <si>
    <t>Toni Teja</t>
  </si>
  <si>
    <t>1201.631180</t>
  </si>
  <si>
    <t>1204.631180</t>
  </si>
  <si>
    <t>1205.631180</t>
  </si>
  <si>
    <t>hiraukan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</si>
  <si>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</si>
  <si>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</si>
  <si>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</si>
  <si>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</si>
  <si>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</si>
  <si>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</si>
  <si>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</si>
  <si>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</si>
  <si>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</si>
  <si>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</si>
  <si>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</si>
  <si>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</si>
  <si>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</si>
  <si>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</si>
  <si>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</si>
  <si>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</si>
  <si>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</si>
  <si>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</si>
  <si>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</si>
  <si>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</si>
  <si>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</si>
  <si>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</si>
  <si>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</si>
  <si>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</si>
  <si>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</si>
  <si>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</si>
  <si>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</si>
  <si>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</si>
  <si>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</si>
  <si>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</si>
  <si>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</si>
  <si>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Q</t>
  </si>
  <si>
    <t>MOTHER</t>
  </si>
  <si>
    <t>ADIDAS COCSO PENGGANTI RIJEK</t>
  </si>
  <si>
    <t>1204.720400</t>
  </si>
  <si>
    <t>-</t>
  </si>
  <si>
    <t>1201.730200</t>
  </si>
  <si>
    <t>1201.816110</t>
  </si>
  <si>
    <t>1201.720100</t>
  </si>
  <si>
    <t>1204.720100</t>
  </si>
  <si>
    <t>1201.630600</t>
  </si>
  <si>
    <t>1205.630600</t>
  </si>
  <si>
    <t>1204.630600</t>
  </si>
  <si>
    <t>1201.730300</t>
  </si>
  <si>
    <t>1201.710200</t>
  </si>
  <si>
    <t>1201.812100</t>
  </si>
  <si>
    <t>1201.807100</t>
  </si>
  <si>
    <t>1201.630400</t>
  </si>
  <si>
    <t>1201.813100</t>
  </si>
  <si>
    <t>1201.630300</t>
  </si>
  <si>
    <t>1201.630200</t>
  </si>
  <si>
    <t>1201.630530</t>
  </si>
  <si>
    <t>1201.808100</t>
  </si>
  <si>
    <t>1201.802140</t>
  </si>
  <si>
    <t>1201.801160</t>
  </si>
  <si>
    <t>1201.630110</t>
  </si>
  <si>
    <t>1201.809100</t>
  </si>
  <si>
    <t>1201.630710</t>
  </si>
  <si>
    <t>1201.630770</t>
  </si>
  <si>
    <t>1201.630750</t>
  </si>
  <si>
    <t>1201.630720</t>
  </si>
  <si>
    <t>1201.630760</t>
  </si>
  <si>
    <t>1201.630730</t>
  </si>
  <si>
    <t>1201.630740</t>
  </si>
  <si>
    <t>1201.810110</t>
  </si>
  <si>
    <t>1201.630130</t>
  </si>
  <si>
    <t>1201.816130</t>
  </si>
  <si>
    <t>1201.631110</t>
  </si>
  <si>
    <t>1201.631140</t>
  </si>
  <si>
    <t>1201.631000</t>
  </si>
  <si>
    <t>1201.815110</t>
  </si>
  <si>
    <t>1201.815120</t>
  </si>
  <si>
    <t>1201.802120</t>
  </si>
  <si>
    <t>1201.814110</t>
  </si>
  <si>
    <t>1201.630450</t>
  </si>
  <si>
    <t>1206.801160</t>
  </si>
  <si>
    <t>1206.630710</t>
  </si>
  <si>
    <t>1206.630130</t>
  </si>
  <si>
    <t>1206.631000</t>
  </si>
  <si>
    <t>1206.815110</t>
  </si>
  <si>
    <t>1206.802120</t>
  </si>
  <si>
    <t>1206.630450</t>
  </si>
  <si>
    <t>1206.630300</t>
  </si>
  <si>
    <t>1206.630770</t>
  </si>
  <si>
    <t>1206.630750</t>
  </si>
  <si>
    <t>1206.630720</t>
  </si>
  <si>
    <t>1206.630760</t>
  </si>
  <si>
    <t>1206.630730</t>
  </si>
  <si>
    <t>1206.630740</t>
  </si>
  <si>
    <t>1206.631110</t>
  </si>
  <si>
    <t>1206.812100</t>
  </si>
  <si>
    <t>1206.630400</t>
  </si>
  <si>
    <t>1206.808100</t>
  </si>
  <si>
    <t>1206.630110</t>
  </si>
  <si>
    <t>1206.801110</t>
  </si>
  <si>
    <t>1206.631180</t>
  </si>
  <si>
    <t>1205.813100</t>
  </si>
  <si>
    <t>1205.801160</t>
  </si>
  <si>
    <t>1205.630710</t>
  </si>
  <si>
    <t>1205.630740</t>
  </si>
  <si>
    <t>1205.630130</t>
  </si>
  <si>
    <t>1205.815110</t>
  </si>
  <si>
    <t>1205.812100</t>
  </si>
  <si>
    <t>1205.630400</t>
  </si>
  <si>
    <t>1205.630300</t>
  </si>
  <si>
    <t>1205.630200</t>
  </si>
  <si>
    <t>1205.630110</t>
  </si>
  <si>
    <t>1205.630770</t>
  </si>
  <si>
    <t>1205.630750</t>
  </si>
  <si>
    <t>1205.630720</t>
  </si>
  <si>
    <t>1205.630730</t>
  </si>
  <si>
    <t>1205.801110</t>
  </si>
  <si>
    <t>1205.631110</t>
  </si>
  <si>
    <t>1204.813100</t>
  </si>
  <si>
    <t>1204.801160</t>
  </si>
  <si>
    <t>1204.630710</t>
  </si>
  <si>
    <t>1204.630740</t>
  </si>
  <si>
    <t>1204.630130</t>
  </si>
  <si>
    <t>1204.815110</t>
  </si>
  <si>
    <t>1204.812100</t>
  </si>
  <si>
    <t>1204.630400</t>
  </si>
  <si>
    <t>1204.630300</t>
  </si>
  <si>
    <t>1204.630200</t>
  </si>
  <si>
    <t>1204.630110</t>
  </si>
  <si>
    <t>1204.630770</t>
  </si>
  <si>
    <t>1204.630750</t>
  </si>
  <si>
    <t>1204.630720</t>
  </si>
  <si>
    <t>1204.630730</t>
  </si>
  <si>
    <t>1204.631110</t>
  </si>
  <si>
    <t>1204.631140</t>
  </si>
  <si>
    <t>1201.816120</t>
  </si>
  <si>
    <t>1201.920410</t>
  </si>
  <si>
    <t>1201.920120</t>
  </si>
  <si>
    <t>1201.920700</t>
  </si>
  <si>
    <t>1206.920700</t>
  </si>
  <si>
    <t>1205.920700</t>
  </si>
  <si>
    <t>1204.920700</t>
  </si>
  <si>
    <t>Fungfung</t>
  </si>
  <si>
    <t>1205.720100</t>
  </si>
  <si>
    <t>1205.816130</t>
  </si>
  <si>
    <t>Remark</t>
  </si>
  <si>
    <t>Dummy COUNTIF</t>
  </si>
  <si>
    <t>\\10.8.0.35\rpa$\RPA Excel Template\Accounting Finance\Santy\Profit Loss\07-02-2024\Tarikan JDE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</si>
  <si>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</si>
  <si>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</si>
  <si>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</si>
  <si>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</t>
  </si>
  <si>
    <t>1201.720400</t>
  </si>
  <si>
    <t>PIC MANAGER</t>
  </si>
  <si>
    <t>PORSI %</t>
  </si>
  <si>
    <t>Firawaty/Fungfung</t>
  </si>
  <si>
    <t>Tony Teja</t>
  </si>
  <si>
    <t>RESUME 2</t>
  </si>
  <si>
    <t>RESUME 1</t>
  </si>
  <si>
    <t>Dummy</t>
  </si>
  <si>
    <t>☼☼☼☼☼☼</t>
  </si>
  <si>
    <t>LOKASI FOLDER  (Tarikan JDE)</t>
  </si>
  <si>
    <t>LOKASI FILE  (All Costing - Data PIC Budget)</t>
  </si>
  <si>
    <t>\\10.8.0.35\rpa$\RPA Excel Template\Accounting Finance\Santy\Profit Loss\07-02-2024\NEW of Data PIC Budget Th 2024-3.xlsx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</si>
</sst>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0.0%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2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rgb="FF9A9DA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sz val="18"/>
      <color rgb="FF00B0F0"/>
      <name val="Calibri"/>
      <family val="2"/>
      <scheme val="minor"/>
    </font>
    <font>
      <sz val="150"/>
      <color rgb="FFEFFBFF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2FC9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rgb="FF96E6E7"/>
      </left>
      <right style="thin">
        <color rgb="FF96E6E7"/>
      </right>
      <top style="thin">
        <color rgb="FF96E6E7"/>
      </top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96E6E7"/>
      </left>
      <right/>
      <top style="thin">
        <color rgb="FF96E6E7"/>
      </top>
      <bottom style="thin">
        <color rgb="FF96E6E7"/>
      </bottom>
      <diagonal/>
    </border>
    <border>
      <left/>
      <right style="thin">
        <color rgb="FF96E6E7"/>
      </right>
      <top style="thin">
        <color rgb="FF96E6E7"/>
      </top>
      <bottom style="thin">
        <color rgb="FF96E6E7"/>
      </bottom>
      <diagonal/>
    </border>
    <border>
      <left/>
      <right/>
      <top style="thin">
        <color rgb="FF96E6E7"/>
      </top>
      <bottom style="thin">
        <color rgb="FF96E6E7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63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164" fontId="4" fillId="0" borderId="0" xfId="1" applyNumberFormat="1" applyFont="1"/>
    <xf numFmtId="10" fontId="3" fillId="0" borderId="0" xfId="3" applyNumberFormat="1" applyFont="1"/>
    <xf numFmtId="0" fontId="4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164" fontId="5" fillId="2" borderId="1" xfId="1" applyNumberFormat="1" applyFont="1" applyFill="1" applyBorder="1" applyAlignment="1">
      <alignment horizontal="center"/>
    </xf>
    <xf numFmtId="10" fontId="5" fillId="2" borderId="1" xfId="3" applyNumberFormat="1" applyFont="1" applyFill="1" applyBorder="1" applyAlignment="1">
      <alignment horizontal="center"/>
    </xf>
    <xf numFmtId="0" fontId="4" fillId="0" borderId="0" xfId="0" applyFont="1"/>
    <xf numFmtId="164" fontId="3" fillId="0" borderId="0" xfId="1" applyNumberFormat="1" applyFont="1"/>
    <xf numFmtId="164" fontId="3" fillId="0" borderId="0" xfId="1" applyNumberFormat="1" applyFont="1" applyFill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5" fontId="1" fillId="0" borderId="0" xfId="2" applyNumberFormat="1" applyFont="1" applyAlignment="1">
      <alignment horizontal="center"/>
    </xf>
    <xf numFmtId="0" fontId="4" fillId="0" borderId="1" xfId="0" applyFont="1" applyBorder="1"/>
    <xf numFmtId="166" fontId="3" fillId="0" borderId="0" xfId="3" applyNumberFormat="1" applyFont="1"/>
    <xf numFmtId="0" fontId="2" fillId="0" borderId="0" xfId="0" applyFont="1"/>
    <xf numFmtId="0" fontId="3" fillId="4" borderId="0" xfId="0" applyFont="1" applyFill="1"/>
    <xf numFmtId="0" fontId="3" fillId="0" borderId="0" xfId="3" applyNumberFormat="1" applyFont="1"/>
    <xf numFmtId="0" fontId="4" fillId="0" borderId="0" xfId="1" applyNumberFormat="1" applyFont="1"/>
    <xf numFmtId="0" fontId="3" fillId="0" borderId="0" xfId="1" applyNumberFormat="1" applyFont="1"/>
    <xf numFmtId="0" fontId="1" fillId="0" borderId="0" xfId="2" applyNumberFormat="1" applyFont="1" applyAlignment="1">
      <alignment horizontal="center"/>
    </xf>
    <xf numFmtId="164" fontId="7" fillId="0" borderId="0" xfId="1" applyNumberFormat="1" applyFont="1"/>
    <xf numFmtId="0" fontId="10" fillId="0" borderId="0" xfId="0" applyFont="1"/>
    <xf numFmtId="10" fontId="3" fillId="0" borderId="0" xfId="3" applyNumberFormat="1" applyFont="1" applyFill="1"/>
    <xf numFmtId="0" fontId="15" fillId="2" borderId="1" xfId="0" applyFont="1" applyFill="1" applyBorder="1" applyAlignment="1">
      <alignment horizontal="center"/>
    </xf>
    <xf numFmtId="164" fontId="15" fillId="2" borderId="1" xfId="1" applyNumberFormat="1" applyFont="1" applyFill="1" applyBorder="1" applyAlignment="1">
      <alignment horizontal="center"/>
    </xf>
    <xf numFmtId="10" fontId="15" fillId="2" borderId="1" xfId="3" applyNumberFormat="1" applyFont="1" applyFill="1" applyBorder="1" applyAlignment="1">
      <alignment horizontal="center"/>
    </xf>
    <xf numFmtId="0" fontId="3" fillId="0" borderId="0" xfId="0" quotePrefix="1" applyFont="1"/>
    <xf numFmtId="0" fontId="16" fillId="6" borderId="1" xfId="0" applyFont="1" applyFill="1" applyBorder="1" applyAlignment="1">
      <alignment horizontal="left"/>
    </xf>
    <xf numFmtId="0" fontId="8" fillId="7" borderId="10" xfId="0" applyFont="1" applyFill="1" applyBorder="1" applyAlignment="1">
      <alignment horizontal="center"/>
    </xf>
    <xf numFmtId="0" fontId="14" fillId="7" borderId="11" xfId="0" applyFont="1" applyFill="1" applyBorder="1" applyAlignment="1">
      <alignment horizontal="left" vertical="center"/>
    </xf>
    <xf numFmtId="0" fontId="12" fillId="0" borderId="0" xfId="4" applyFill="1"/>
    <xf numFmtId="0" fontId="14" fillId="7" borderId="11" xfId="0" applyFont="1" applyFill="1" applyBorder="1" applyAlignment="1">
      <alignment vertical="center"/>
    </xf>
    <xf numFmtId="0" fontId="14" fillId="7" borderId="12" xfId="0" applyFont="1" applyFill="1" applyBorder="1" applyAlignment="1">
      <alignment vertical="center"/>
    </xf>
    <xf numFmtId="0" fontId="22" fillId="0" borderId="0" xfId="0" applyFont="1"/>
    <xf numFmtId="9" fontId="0" fillId="0" borderId="0" xfId="3" applyFont="1" applyAlignment="1">
      <alignment horizontal="center" vertical="center"/>
    </xf>
    <xf numFmtId="9" fontId="8" fillId="7" borderId="10" xfId="3" applyFont="1" applyFill="1" applyBorder="1" applyAlignment="1">
      <alignment horizontal="center" vertical="center"/>
    </xf>
    <xf numFmtId="43" fontId="0" fillId="0" borderId="0" xfId="1" applyFont="1"/>
    <xf numFmtId="43" fontId="8" fillId="7" borderId="10" xfId="1" applyFont="1" applyFill="1" applyBorder="1" applyAlignment="1">
      <alignment horizontal="center"/>
    </xf>
    <xf numFmtId="9" fontId="0" fillId="0" borderId="0" xfId="3" applyFont="1" applyAlignment="1">
      <alignment vertical="center"/>
    </xf>
    <xf numFmtId="0" fontId="17" fillId="0" borderId="0" xfId="0" applyFont="1" applyAlignment="1">
      <alignment horizontal="left"/>
    </xf>
    <xf numFmtId="9" fontId="0" fillId="0" borderId="0" xfId="3" applyFont="1"/>
    <xf numFmtId="0" fontId="9" fillId="0" borderId="0" xfId="0" applyFont="1"/>
    <xf numFmtId="0" fontId="0" fillId="7" borderId="0" xfId="0" applyFill="1" applyAlignment="1">
      <alignment horizontal="center"/>
    </xf>
    <xf numFmtId="0" fontId="17" fillId="0" borderId="0" xfId="0" applyFont="1" applyAlignment="1">
      <alignment horizontal="left"/>
    </xf>
    <xf numFmtId="0" fontId="0" fillId="0" borderId="0" xfId="0" applyAlignment="1">
      <alignment horizontal="center"/>
    </xf>
    <xf numFmtId="0" fontId="10" fillId="0" borderId="2" xfId="0" applyFont="1" applyBorder="1" applyAlignment="1">
      <alignment horizontal="left"/>
    </xf>
    <xf numFmtId="0" fontId="23" fillId="5" borderId="3" xfId="0" applyFont="1" applyFill="1" applyBorder="1" applyAlignment="1">
      <alignment horizontal="center" vertical="center"/>
    </xf>
    <xf numFmtId="0" fontId="23" fillId="5" borderId="4" xfId="0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center" vertical="center"/>
    </xf>
    <xf numFmtId="0" fontId="23" fillId="5" borderId="6" xfId="0" applyFont="1" applyFill="1" applyBorder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0" fontId="23" fillId="5" borderId="7" xfId="0" applyFont="1" applyFill="1" applyBorder="1" applyAlignment="1">
      <alignment horizontal="center" vertical="center"/>
    </xf>
    <xf numFmtId="0" fontId="23" fillId="5" borderId="8" xfId="0" applyFont="1" applyFill="1" applyBorder="1" applyAlignment="1">
      <alignment horizontal="center" vertical="center"/>
    </xf>
    <xf numFmtId="0" fontId="23" fillId="5" borderId="2" xfId="0" applyFont="1" applyFill="1" applyBorder="1" applyAlignment="1">
      <alignment horizontal="center" vertical="center"/>
    </xf>
    <xf numFmtId="0" fontId="23" fillId="5" borderId="9" xfId="0" applyFont="1" applyFill="1" applyBorder="1" applyAlignment="1">
      <alignment horizontal="center" vertical="center"/>
    </xf>
    <xf numFmtId="0" fontId="11" fillId="0" borderId="0" xfId="0" applyFont="1" applyAlignment="1">
      <alignment horizontal="left"/>
    </xf>
    <xf numFmtId="0" fontId="8" fillId="3" borderId="13" xfId="0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8" fillId="3" borderId="14" xfId="0" applyFont="1" applyFill="1" applyBorder="1" applyAlignment="1">
      <alignment horizontal="center"/>
    </xf>
    <xf numFmtId="0" fontId="2" fillId="0" borderId="0" xfId="0" applyFont="1" applyAlignment="1">
      <alignment horizontal="center"/>
    </xf>
  </cellXfs>
  <cellStyles count="5">
    <cellStyle name="Comma" xfId="1" builtinId="3"/>
    <cellStyle name="Currency" xfId="2" builtinId="4"/>
    <cellStyle name="Hyperlink" xfId="4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EFFBFF"/>
      <color rgb="FFD5F4FF"/>
      <color rgb="FF2FC9FF"/>
      <color rgb="FFF3F3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2936758</xdr:colOff>
      <xdr:row>9</xdr:row>
      <xdr:rowOff>14654</xdr:rowOff>
    </xdr:from>
    <xdr:to>
      <xdr:col>4</xdr:col>
      <xdr:colOff>3320689</xdr:colOff>
      <xdr:row>9</xdr:row>
      <xdr:rowOff>211753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15" y="1290176"/>
          <a:ext cx="383931" cy="197099"/>
        </a:xfrm>
        <a:prstGeom prst="rect">
          <a:avLst/>
        </a:prstGeom>
      </xdr:spPr>
    </xdr:pic>
    <xdr:clientData/>
  </xdr:twoCellAnchor>
  <xdr:twoCellAnchor>
    <xdr:from>
      <xdr:col>4</xdr:col>
      <xdr:colOff>1385586</xdr:colOff>
      <xdr:row>3</xdr:row>
      <xdr:rowOff>120150</xdr:rowOff>
    </xdr:from>
    <xdr:to>
      <xdr:col>4</xdr:col>
      <xdr:colOff>3056284</xdr:colOff>
      <xdr:row>6</xdr:row>
      <xdr:rowOff>102134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4359043" y="567411"/>
          <a:ext cx="1670698" cy="429245"/>
          <a:chOff x="2984128" y="906998"/>
          <a:chExt cx="1670698" cy="42924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8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8" name="btn_Execute" hidden="1">
                <a:extLst>
                  <a:ext uri="{63B3BB69-23CF-44E3-9099-C40C66FF867C}">
                    <a14:compatExt spid="_x0000_s9218"/>
                  </a:ext>
                  <a:ext uri="{FF2B5EF4-FFF2-40B4-BE49-F238E27FC236}">
                    <a16:creationId xmlns:a16="http://schemas.microsoft.com/office/drawing/2014/main" id="{00000000-0008-0000-0000-000002240000}"/>
                  </a:ext>
                </a:extLst>
              </xdr:cNvPr>
              <xdr:cNvSpPr/>
            </xdr:nvSpPr>
            <xdr:spPr bwMode="auto">
              <a:xfrm>
                <a:off x="3159023" y="987277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31059</xdr:colOff>
      <xdr:row>3</xdr:row>
      <xdr:rowOff>113057</xdr:rowOff>
    </xdr:from>
    <xdr:to>
      <xdr:col>2</xdr:col>
      <xdr:colOff>1707874</xdr:colOff>
      <xdr:row>6</xdr:row>
      <xdr:rowOff>95041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436907" y="560318"/>
          <a:ext cx="1676815" cy="429245"/>
          <a:chOff x="7229474" y="219075"/>
          <a:chExt cx="1676401" cy="43918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4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4" name="btn_UpdateDataAccount" hidden="1">
                <a:extLst>
                  <a:ext uri="{63B3BB69-23CF-44E3-9099-C40C66FF867C}">
                    <a14:compatExt spid="_x0000_s9224"/>
                  </a:ext>
                  <a:ext uri="{FF2B5EF4-FFF2-40B4-BE49-F238E27FC236}">
                    <a16:creationId xmlns:a16="http://schemas.microsoft.com/office/drawing/2014/main" id="{00000000-0008-0000-0000-00000824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2095502</xdr:colOff>
      <xdr:row>3</xdr:row>
      <xdr:rowOff>24849</xdr:rowOff>
    </xdr:from>
    <xdr:to>
      <xdr:col>4</xdr:col>
      <xdr:colOff>1109871</xdr:colOff>
      <xdr:row>5</xdr:row>
      <xdr:rowOff>105711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2501350" y="472110"/>
          <a:ext cx="1581978" cy="379036"/>
          <a:chOff x="-1606825" y="140806"/>
          <a:chExt cx="1805608" cy="379036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1606825" y="140806"/>
            <a:ext cx="1805608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5" name="CommandButton1" hidden="1">
                <a:extLst>
                  <a:ext uri="{63B3BB69-23CF-44E3-9099-C40C66FF867C}">
                    <a14:compatExt spid="_x0000_s9225"/>
                  </a:ext>
                  <a:ext uri="{FF2B5EF4-FFF2-40B4-BE49-F238E27FC236}">
                    <a16:creationId xmlns:a16="http://schemas.microsoft.com/office/drawing/2014/main" id="{00000000-0008-0000-0000-000009240000}"/>
                  </a:ext>
                </a:extLst>
              </xdr:cNvPr>
              <xdr:cNvSpPr/>
            </xdr:nvSpPr>
            <xdr:spPr bwMode="auto">
              <a:xfrm>
                <a:off x="-1431930" y="196235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37791</xdr:colOff>
      <xdr:row>12</xdr:row>
      <xdr:rowOff>28212</xdr:rowOff>
    </xdr:from>
    <xdr:to>
      <xdr:col>5</xdr:col>
      <xdr:colOff>104051</xdr:colOff>
      <xdr:row>12</xdr:row>
      <xdr:rowOff>168345</xdr:rowOff>
    </xdr:to>
    <xdr:sp macro="[0]!BUTTON_CariFile_Budge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419541" y="196893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36634</xdr:colOff>
      <xdr:row>11</xdr:row>
      <xdr:rowOff>21981</xdr:rowOff>
    </xdr:from>
    <xdr:to>
      <xdr:col>5</xdr:col>
      <xdr:colOff>102894</xdr:colOff>
      <xdr:row>11</xdr:row>
      <xdr:rowOff>162114</xdr:rowOff>
    </xdr:to>
    <xdr:sp macro="[0]!BUTTON_CariFolder_TarikanJD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425711" y="1765789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hyperlink" Target="../../Data%20PIC%20Budget%20Th%202024%20(3).xlsx" TargetMode="External"/><Relationship Id="rId1" Type="http://schemas.openxmlformats.org/officeDocument/2006/relationships/hyperlink" Target="../../Tarikan%20JDE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F30EC-A5B0-447E-B5EF-D648CE7BB834}">
  <sheetPr codeName="Sheet11">
    <tabColor rgb="FF00B0F0"/>
  </sheetPr>
  <dimension ref="A1:F29"/>
  <sheetViews>
    <sheetView showGridLines="0" tabSelected="1" zoomScale="115" zoomScaleNormal="115" workbookViewId="0">
      <selection activeCell="E17" sqref="E17"/>
    </sheetView>
  </sheetViews>
  <sheetFormatPr defaultRowHeight="15" x14ac:dyDescent="0.25"/>
  <cols>
    <col min="1" max="1" width="2.42578125" customWidth="1"/>
    <col min="2" max="2" width="3.5703125" customWidth="1"/>
    <col min="3" max="3" width="36.7109375" customWidth="1"/>
    <col min="4" max="4" width="1.7109375" customWidth="1"/>
    <col min="5" max="5" width="51.140625" customWidth="1"/>
    <col min="6" max="6" width="2.140625" customWidth="1"/>
    <col min="7" max="7" width="5.5703125" customWidth="1"/>
  </cols>
  <sheetData>
    <row r="1" spans="1:6" ht="12" customHeight="1" x14ac:dyDescent="0.25">
      <c r="A1" s="47"/>
      <c r="B1" s="47"/>
      <c r="C1" s="48" t="s">
        <v>326</v>
      </c>
      <c r="D1" s="48"/>
      <c r="E1" s="48"/>
      <c r="F1" s="24"/>
    </row>
    <row r="2" spans="1:6" ht="12" customHeight="1" x14ac:dyDescent="0.25">
      <c r="A2" s="47"/>
      <c r="B2" s="47"/>
      <c r="C2" s="49" t="s">
        <v>338</v>
      </c>
      <c r="D2" s="50"/>
      <c r="E2" s="51"/>
      <c r="F2" s="44" t="s">
        <v>218</v>
      </c>
    </row>
    <row r="3" spans="1:6" ht="12" customHeight="1" x14ac:dyDescent="0.25">
      <c r="A3" s="47"/>
      <c r="B3" s="47"/>
      <c r="C3" s="52"/>
      <c r="D3" s="53"/>
      <c r="E3" s="54"/>
      <c r="F3" s="44"/>
    </row>
    <row r="4" spans="1:6" ht="12" customHeight="1" x14ac:dyDescent="0.25">
      <c r="A4" s="47"/>
      <c r="B4" s="47"/>
      <c r="C4" s="52"/>
      <c r="D4" s="53"/>
      <c r="E4" s="54"/>
      <c r="F4" s="44"/>
    </row>
    <row r="5" spans="1:6" ht="12" customHeight="1" x14ac:dyDescent="0.25">
      <c r="A5" s="47"/>
      <c r="B5" s="47"/>
      <c r="C5" s="52"/>
      <c r="D5" s="53"/>
      <c r="E5" s="54"/>
      <c r="F5" s="44"/>
    </row>
    <row r="6" spans="1:6" ht="12" customHeight="1" x14ac:dyDescent="0.25">
      <c r="A6" s="47"/>
      <c r="B6" s="47"/>
      <c r="C6" s="52"/>
      <c r="D6" s="53"/>
      <c r="E6" s="54"/>
      <c r="F6" s="44"/>
    </row>
    <row r="7" spans="1:6" ht="12" customHeight="1" x14ac:dyDescent="0.25">
      <c r="A7" s="47"/>
      <c r="B7" s="47"/>
      <c r="C7" s="52"/>
      <c r="D7" s="53"/>
      <c r="E7" s="54"/>
      <c r="F7" s="44"/>
    </row>
    <row r="8" spans="1:6" ht="12" customHeight="1" x14ac:dyDescent="0.25">
      <c r="A8" s="47"/>
      <c r="B8" s="47"/>
      <c r="C8" s="52"/>
      <c r="D8" s="53"/>
      <c r="E8" s="54"/>
      <c r="F8" s="44"/>
    </row>
    <row r="9" spans="1:6" ht="6.75" customHeight="1" x14ac:dyDescent="0.25">
      <c r="A9" s="47"/>
      <c r="B9" s="47"/>
      <c r="C9" s="55"/>
      <c r="D9" s="56"/>
      <c r="E9" s="57"/>
      <c r="F9" s="44"/>
    </row>
    <row r="10" spans="1:6" ht="18" customHeight="1" x14ac:dyDescent="0.25">
      <c r="A10" s="47"/>
      <c r="B10" s="47"/>
      <c r="C10" s="58" t="s">
        <v>327</v>
      </c>
      <c r="D10" s="58"/>
      <c r="E10" s="58"/>
      <c r="F10" s="44"/>
    </row>
    <row r="11" spans="1:6" ht="15.75" x14ac:dyDescent="0.25">
      <c r="C11" s="34" t="s">
        <v>328</v>
      </c>
      <c r="D11" s="35"/>
      <c r="E11" s="32" t="s">
        <v>329</v>
      </c>
      <c r="F11" s="44"/>
    </row>
    <row r="12" spans="1:6" x14ac:dyDescent="0.25">
      <c r="C12" s="46" t="s">
        <v>339</v>
      </c>
      <c r="D12" s="46"/>
      <c r="E12" s="33" t="s">
        <v>325</v>
      </c>
      <c r="F12" s="44" t="s">
        <v>218</v>
      </c>
    </row>
    <row r="13" spans="1:6" x14ac:dyDescent="0.25">
      <c r="C13" s="42" t="s">
        <v>340</v>
      </c>
      <c r="D13" s="42"/>
      <c r="E13" s="33" t="s">
        <v>341</v>
      </c>
      <c r="F13" s="44" t="s">
        <v>218</v>
      </c>
    </row>
    <row r="14" spans="1:6" x14ac:dyDescent="0.25">
      <c r="C14" s="46"/>
      <c r="D14" s="46"/>
      <c r="E14" s="33"/>
      <c r="F14" s="44" t="s">
        <v>218</v>
      </c>
    </row>
    <row r="15" spans="1:6" ht="1.5" customHeight="1" x14ac:dyDescent="0.25">
      <c r="C15" s="45"/>
      <c r="D15" s="45"/>
      <c r="E15" s="45"/>
      <c r="F15" s="44"/>
    </row>
    <row r="16" spans="1:6" x14ac:dyDescent="0.25">
      <c r="F16" s="44"/>
    </row>
    <row r="17" spans="6:6" x14ac:dyDescent="0.25">
      <c r="F17" s="44"/>
    </row>
    <row r="18" spans="6:6" x14ac:dyDescent="0.25">
      <c r="F18" s="44"/>
    </row>
    <row r="19" spans="6:6" x14ac:dyDescent="0.25">
      <c r="F19" s="44"/>
    </row>
    <row r="20" spans="6:6" x14ac:dyDescent="0.25">
      <c r="F20" s="44"/>
    </row>
    <row r="21" spans="6:6" x14ac:dyDescent="0.25">
      <c r="F21" s="44"/>
    </row>
    <row r="22" spans="6:6" x14ac:dyDescent="0.25">
      <c r="F22" s="44"/>
    </row>
    <row r="23" spans="6:6" x14ac:dyDescent="0.25">
      <c r="F23" s="44"/>
    </row>
    <row r="24" spans="6:6" x14ac:dyDescent="0.25">
      <c r="F24" s="44"/>
    </row>
    <row r="25" spans="6:6" x14ac:dyDescent="0.25">
      <c r="F25" s="44"/>
    </row>
    <row r="26" spans="6:6" x14ac:dyDescent="0.25">
      <c r="F26" s="44"/>
    </row>
    <row r="27" spans="6:6" x14ac:dyDescent="0.25">
      <c r="F27" s="44"/>
    </row>
    <row r="28" spans="6:6" x14ac:dyDescent="0.25">
      <c r="F28" s="44"/>
    </row>
    <row r="29" spans="6:6" x14ac:dyDescent="0.25">
      <c r="F29" s="44"/>
    </row>
  </sheetData>
  <mergeCells count="8">
    <mergeCell ref="C15:E15"/>
    <mergeCell ref="C12:D12"/>
    <mergeCell ref="C14:D14"/>
    <mergeCell ref="A1:B8"/>
    <mergeCell ref="C1:E1"/>
    <mergeCell ref="C2:E9"/>
    <mergeCell ref="A9:B10"/>
    <mergeCell ref="C10:E10"/>
  </mergeCells>
  <hyperlinks>
    <hyperlink ref="E12" r:id="rId1" xr:uid="{0007FD13-BAF9-4905-87BE-19FBE5C13B56}"/>
    <hyperlink ref="E13" r:id="rId2" display="\\10.8.0.35\rpa$\RPA Excel Template\Accounting Finance\Santy\Profit Loss\07-02-2024\Data PIC Budget Th 2024 (3).xlsx" xr:uid="{58532739-2846-43DE-BA69-3C1BC831B3E8}"/>
  </hyperlinks>
  <pageMargins left="0.7" right="0.7" top="0.75" bottom="0.75" header="0.3" footer="0.3"/>
  <drawing r:id="rId3"/>
  <legacyDrawing r:id="rId4"/>
  <controls>
    <mc:AlternateContent xmlns:mc="http://schemas.openxmlformats.org/markup-compatibility/2006">
      <mc:Choice Requires="x14">
        <control shapeId="9225" r:id="rId5" name="CommandButton1">
          <controlPr defaultSize="0" autoLine="0" autoPict="0" r:id="rId6">
            <anchor moveWithCells="1">
              <from>
                <xdr:col>2</xdr:col>
                <xdr:colOff>2247900</xdr:colOff>
                <xdr:row>3</xdr:row>
                <xdr:rowOff>76200</xdr:rowOff>
              </from>
              <to>
                <xdr:col>4</xdr:col>
                <xdr:colOff>952500</xdr:colOff>
                <xdr:row>5</xdr:row>
                <xdr:rowOff>28575</xdr:rowOff>
              </to>
            </anchor>
          </controlPr>
        </control>
      </mc:Choice>
      <mc:Fallback>
        <control shapeId="9225" r:id="rId5" name="CommandButton1"/>
      </mc:Fallback>
    </mc:AlternateContent>
    <mc:AlternateContent xmlns:mc="http://schemas.openxmlformats.org/markup-compatibility/2006">
      <mc:Choice Requires="x14">
        <control shapeId="9218" r:id="rId7" name="btn_Execute">
          <controlPr defaultSize="0" autoLine="0" r:id="rId8">
            <anchor moveWithCells="1">
              <from>
                <xdr:col>4</xdr:col>
                <xdr:colOff>1562100</xdr:colOff>
                <xdr:row>4</xdr:row>
                <xdr:rowOff>47625</xdr:rowOff>
              </from>
              <to>
                <xdr:col>4</xdr:col>
                <xdr:colOff>2895600</xdr:colOff>
                <xdr:row>6</xdr:row>
                <xdr:rowOff>9525</xdr:rowOff>
              </to>
            </anchor>
          </controlPr>
        </control>
      </mc:Choice>
      <mc:Fallback>
        <control shapeId="9218" r:id="rId7" name="btn_Execute"/>
      </mc:Fallback>
    </mc:AlternateContent>
    <mc:AlternateContent xmlns:mc="http://schemas.openxmlformats.org/markup-compatibility/2006">
      <mc:Choice Requires="x14">
        <control shapeId="9224" r:id="rId9" name="btn_UpdateDataAccount">
          <controlPr defaultSize="0" autoLine="0" r:id="rId10">
            <anchor moveWithCells="1">
              <from>
                <xdr:col>2</xdr:col>
                <xdr:colOff>190500</xdr:colOff>
                <xdr:row>4</xdr:row>
                <xdr:rowOff>57150</xdr:rowOff>
              </from>
              <to>
                <xdr:col>2</xdr:col>
                <xdr:colOff>1533525</xdr:colOff>
                <xdr:row>6</xdr:row>
                <xdr:rowOff>0</xdr:rowOff>
              </to>
            </anchor>
          </controlPr>
        </control>
      </mc:Choice>
      <mc:Fallback>
        <control shapeId="9224" r:id="rId9" name="btn_UpdateDataAccoun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N171"/>
  <sheetViews>
    <sheetView zoomScale="85" zoomScaleNormal="85" workbookViewId="0">
      <pane xSplit="2" ySplit="5" topLeftCell="D6" activePane="bottomRight" state="frozen"/>
      <selection pane="topRight" activeCell="C1" sqref="C1"/>
      <selection pane="bottomLeft" activeCell="A6" sqref="A6"/>
      <selection pane="bottomRight" activeCell="J8" sqref="J8"/>
    </sheetView>
  </sheetViews>
  <sheetFormatPr defaultColWidth="16.28515625" defaultRowHeight="15.75" x14ac:dyDescent="0.25"/>
  <cols>
    <col min="1" max="1" width="26.42578125" style="1" customWidth="1"/>
    <col min="2" max="2" width="32.85546875" style="1" customWidth="1"/>
    <col min="3" max="3" width="30.7109375" style="1" customWidth="1"/>
    <col min="4" max="4" width="16.28515625" style="2" customWidth="1"/>
    <col min="5" max="5" width="12.28515625" style="2" bestFit="1" customWidth="1"/>
    <col min="6" max="6" width="16.85546875" style="1" customWidth="1"/>
    <col min="7" max="7" width="24.7109375" style="10" bestFit="1" customWidth="1"/>
    <col min="8" max="8" width="16" style="19" customWidth="1"/>
    <col min="9" max="9" width="17.140625" style="16" bestFit="1" customWidth="1"/>
    <col min="10" max="10" width="16.28515625" style="4"/>
    <col min="11" max="11" width="24.28515625" style="1" bestFit="1" customWidth="1"/>
    <col min="12" max="12" width="24.85546875" style="1" bestFit="1" customWidth="1"/>
    <col min="13" max="13" width="12.5703125" style="1" customWidth="1"/>
    <col min="14" max="14" width="23.7109375" style="1" bestFit="1" customWidth="1"/>
    <col min="15" max="16384" width="16.28515625" style="1"/>
  </cols>
  <sheetData>
    <row r="2" spans="1:14" ht="23.25" x14ac:dyDescent="0.35">
      <c r="A2" s="36" t="s">
        <v>175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</row>
    <row r="3" spans="1:14" ht="5.25" customHeight="1" x14ac:dyDescent="0.25"/>
    <row r="4" spans="1:14" ht="6.75" customHeight="1" x14ac:dyDescent="0.25">
      <c r="G4" s="3"/>
      <c r="H4" s="20" t="s">
        <v>218</v>
      </c>
      <c r="I4" s="3"/>
    </row>
    <row r="5" spans="1:14" s="9" customFormat="1" ht="18.75" x14ac:dyDescent="0.3">
      <c r="A5" s="26" t="s">
        <v>174</v>
      </c>
      <c r="B5" s="26" t="s">
        <v>1</v>
      </c>
      <c r="C5" s="26" t="s">
        <v>2</v>
      </c>
      <c r="D5" s="26" t="s">
        <v>3</v>
      </c>
      <c r="E5" s="26" t="s">
        <v>4</v>
      </c>
      <c r="F5" s="26" t="s">
        <v>5</v>
      </c>
      <c r="G5" s="27" t="s">
        <v>6</v>
      </c>
      <c r="H5" s="26" t="s">
        <v>7</v>
      </c>
      <c r="I5" s="26" t="s">
        <v>196</v>
      </c>
      <c r="J5" s="28" t="s">
        <v>8</v>
      </c>
      <c r="K5" s="26" t="s">
        <v>9</v>
      </c>
      <c r="L5" s="30" t="s">
        <v>176</v>
      </c>
      <c r="M5" s="30" t="s">
        <v>323</v>
      </c>
      <c r="N5" s="30" t="s">
        <v>324</v>
      </c>
    </row>
    <row r="6" spans="1:14" x14ac:dyDescent="0.25">
      <c r="A6" s="9" t="s">
        <v>10</v>
      </c>
      <c r="B6" s="1" t="s">
        <v>11</v>
      </c>
      <c r="C6" s="1" t="s">
        <v>12</v>
      </c>
      <c r="D6" s="2" t="s">
        <v>13</v>
      </c>
      <c r="E6" s="2" t="s">
        <v>14</v>
      </c>
      <c r="F6" s="9"/>
      <c r="G6" s="10">
        <v>10000</v>
      </c>
      <c r="H6" s="21">
        <v>8411.43</v>
      </c>
      <c r="I6" s="10">
        <f>G6-H6</f>
        <v>1588.5699999999997</v>
      </c>
      <c r="J6" s="4">
        <f>G6/VLOOKUP(A6,RESUME!$G$3:$I$10,3,FALSE)</f>
        <v>0.14728026373771388</v>
      </c>
      <c r="K6" s="4">
        <f>IFERROR((G6/H6)*J6,"")</f>
        <v>0.17509539250485812</v>
      </c>
      <c r="L6" s="29" t="str">
        <f>VLOOKUP(A6&amp;"-"&amp;B6&amp;"-"&amp;D6,Ref_Account!$A:$F,6,FALSE)</f>
        <v>1201.720400</v>
      </c>
      <c r="N6" s="1">
        <f t="shared" ref="N6:N37" si="0">COUNTIF($L$6:$L$164,L6)</f>
        <v>1</v>
      </c>
    </row>
    <row r="7" spans="1:14" x14ac:dyDescent="0.25">
      <c r="A7" s="9" t="str">
        <f t="array" ref="A7:A19">A6</f>
        <v>Asep Ridwan Subiana</v>
      </c>
      <c r="B7" s="1" t="s">
        <v>11</v>
      </c>
      <c r="C7" s="1" t="s">
        <v>12</v>
      </c>
      <c r="D7" s="2" t="s">
        <v>15</v>
      </c>
      <c r="E7" s="2" t="s">
        <v>16</v>
      </c>
      <c r="F7" s="9"/>
      <c r="G7" s="10">
        <v>10000</v>
      </c>
      <c r="H7" s="21">
        <v>3143.46</v>
      </c>
      <c r="I7" s="10">
        <f t="shared" ref="I7:I19" si="1">G7-H7</f>
        <v>6856.54</v>
      </c>
      <c r="J7" s="4">
        <f>G7/VLOOKUP(A7,RESUME!$G$3:$I$10,3,FALSE)</f>
        <v>0.14728026373771388</v>
      </c>
      <c r="K7" s="4">
        <f t="shared" ref="K7:K69" si="2">IFERROR((G7/H7)*J7,"")</f>
        <v>0.46852914857422673</v>
      </c>
      <c r="L7" s="29" t="str">
        <f>VLOOKUP(A7&amp;"-"&amp;B7&amp;"-"&amp;D7,Ref_Account!$A:$F,6,FALSE)</f>
        <v>1204.720400</v>
      </c>
      <c r="N7" s="1">
        <f t="shared" si="0"/>
        <v>1</v>
      </c>
    </row>
    <row r="8" spans="1:14" x14ac:dyDescent="0.25">
      <c r="A8" s="9" t="str">
        <v>Asep Ridwan Subiana</v>
      </c>
      <c r="B8" s="1" t="s">
        <v>17</v>
      </c>
      <c r="C8" s="1" t="s">
        <v>18</v>
      </c>
      <c r="D8" s="2" t="s">
        <v>13</v>
      </c>
      <c r="E8" s="2" t="s">
        <v>19</v>
      </c>
      <c r="F8" s="9"/>
      <c r="G8" s="10">
        <v>1987.05</v>
      </c>
      <c r="H8" s="21"/>
      <c r="I8" s="10">
        <f t="shared" si="1"/>
        <v>1987.05</v>
      </c>
      <c r="J8" s="4">
        <f>G8/VLOOKUP(A8,RESUME!$G$3:$I$10,3,FALSE)</f>
        <v>2.9265324806002437E-2</v>
      </c>
      <c r="K8" s="4" t="str">
        <f t="shared" si="2"/>
        <v/>
      </c>
      <c r="L8" s="29" t="str">
        <f>VLOOKUP(A8&amp;"-"&amp;B8&amp;"-"&amp;D8,Ref_Account!$A:$F,6,FALSE)</f>
        <v>1201.816110</v>
      </c>
      <c r="N8" s="1">
        <f t="shared" si="0"/>
        <v>1</v>
      </c>
    </row>
    <row r="9" spans="1:14" x14ac:dyDescent="0.25">
      <c r="A9" s="9" t="str">
        <v>Asep Ridwan Subiana</v>
      </c>
      <c r="B9" s="1" t="s">
        <v>17</v>
      </c>
      <c r="C9" s="1" t="s">
        <v>18</v>
      </c>
      <c r="D9" s="2" t="s">
        <v>15</v>
      </c>
      <c r="E9" s="2" t="s">
        <v>20</v>
      </c>
      <c r="F9" s="9"/>
      <c r="G9" s="10">
        <v>326</v>
      </c>
      <c r="H9" s="21">
        <v>394.88</v>
      </c>
      <c r="I9" s="10">
        <f t="shared" si="1"/>
        <v>-68.88</v>
      </c>
      <c r="J9" s="4">
        <f>G9/VLOOKUP(A9,RESUME!$G$3:$I$10,3,FALSE)</f>
        <v>4.8013365978494729E-3</v>
      </c>
      <c r="K9" s="4">
        <f t="shared" si="2"/>
        <v>3.9638263039377232E-3</v>
      </c>
      <c r="L9" s="29" t="str">
        <f>VLOOKUP(A9&amp;"-"&amp;B9&amp;"-"&amp;D9,Ref_Account!$A:$F,6,FALSE)</f>
        <v>1204.816110</v>
      </c>
      <c r="M9" s="1" t="s">
        <v>214</v>
      </c>
      <c r="N9" s="1">
        <f t="shared" si="0"/>
        <v>1</v>
      </c>
    </row>
    <row r="10" spans="1:14" x14ac:dyDescent="0.25">
      <c r="A10" s="9" t="str">
        <v>Asep Ridwan Subiana</v>
      </c>
      <c r="B10" s="1" t="s">
        <v>21</v>
      </c>
      <c r="C10" s="1" t="s">
        <v>22</v>
      </c>
      <c r="D10" s="2" t="s">
        <v>13</v>
      </c>
      <c r="E10" s="2" t="s">
        <v>23</v>
      </c>
      <c r="F10" s="9"/>
      <c r="G10" s="10">
        <v>15015.099999999999</v>
      </c>
      <c r="H10" s="21"/>
      <c r="I10" s="10">
        <f t="shared" si="1"/>
        <v>15015.099999999999</v>
      </c>
      <c r="J10" s="4">
        <f>G10/VLOOKUP(A10,RESUME!$G$3:$I$10,3,FALSE)</f>
        <v>0.22114278880481478</v>
      </c>
      <c r="K10" s="4" t="str">
        <f t="shared" si="2"/>
        <v/>
      </c>
      <c r="L10" s="29" t="str">
        <f>VLOOKUP(A10&amp;"-"&amp;B10&amp;"-"&amp;D10,Ref_Account!$A:$F,6,FALSE)</f>
        <v>1201.631100</v>
      </c>
      <c r="N10" s="1">
        <f t="shared" si="0"/>
        <v>3</v>
      </c>
    </row>
    <row r="11" spans="1:14" x14ac:dyDescent="0.25">
      <c r="A11" s="9" t="str">
        <v>Asep Ridwan Subiana</v>
      </c>
      <c r="B11" s="1" t="s">
        <v>21</v>
      </c>
      <c r="C11" s="1" t="s">
        <v>22</v>
      </c>
      <c r="D11" s="2" t="s">
        <v>24</v>
      </c>
      <c r="E11" s="2" t="s">
        <v>25</v>
      </c>
      <c r="F11" s="9"/>
      <c r="G11" s="10">
        <v>26.7199999999998</v>
      </c>
      <c r="H11" s="21"/>
      <c r="I11" s="10">
        <f t="shared" si="1"/>
        <v>26.7199999999998</v>
      </c>
      <c r="J11" s="4">
        <f>G11/VLOOKUP(A11,RESUME!$G$3:$I$10,3,FALSE)</f>
        <v>3.9353286470716859E-4</v>
      </c>
      <c r="K11" s="4" t="str">
        <f t="shared" si="2"/>
        <v/>
      </c>
      <c r="L11" s="29" t="str">
        <f>VLOOKUP(A11&amp;"-"&amp;B11&amp;"-"&amp;D11,Ref_Account!$A:$F,6,FALSE)</f>
        <v>1205.631100</v>
      </c>
      <c r="N11" s="1">
        <f t="shared" si="0"/>
        <v>3</v>
      </c>
    </row>
    <row r="12" spans="1:14" x14ac:dyDescent="0.25">
      <c r="A12" s="9" t="str">
        <v>Asep Ridwan Subiana</v>
      </c>
      <c r="B12" s="1" t="s">
        <v>21</v>
      </c>
      <c r="C12" s="1" t="s">
        <v>22</v>
      </c>
      <c r="D12" s="2" t="s">
        <v>15</v>
      </c>
      <c r="E12" s="2" t="s">
        <v>25</v>
      </c>
      <c r="F12" s="9"/>
      <c r="G12" s="10">
        <v>15124.89</v>
      </c>
      <c r="H12" s="21"/>
      <c r="I12" s="10">
        <f t="shared" si="1"/>
        <v>15124.89</v>
      </c>
      <c r="J12" s="4">
        <f>G12/VLOOKUP(A12,RESUME!$G$3:$I$10,3,FALSE)</f>
        <v>0.22275977882039114</v>
      </c>
      <c r="K12" s="4" t="str">
        <f t="shared" si="2"/>
        <v/>
      </c>
      <c r="L12" s="29" t="str">
        <f>VLOOKUP(A12&amp;"-"&amp;B12&amp;"-"&amp;D12,Ref_Account!$A:$F,6,FALSE)</f>
        <v>1204.631100</v>
      </c>
      <c r="N12" s="1">
        <f t="shared" si="0"/>
        <v>3</v>
      </c>
    </row>
    <row r="13" spans="1:14" x14ac:dyDescent="0.25">
      <c r="A13" s="9" t="str">
        <v>Asep Ridwan Subiana</v>
      </c>
      <c r="B13" s="1" t="s">
        <v>26</v>
      </c>
      <c r="C13" s="1" t="s">
        <v>27</v>
      </c>
      <c r="D13" s="2" t="s">
        <v>13</v>
      </c>
      <c r="E13" s="2" t="s">
        <v>28</v>
      </c>
      <c r="F13" s="9"/>
      <c r="G13" s="10">
        <v>639</v>
      </c>
      <c r="H13" s="21">
        <v>4.83</v>
      </c>
      <c r="I13" s="10">
        <f t="shared" si="1"/>
        <v>634.16999999999996</v>
      </c>
      <c r="J13" s="4">
        <f>G13/VLOOKUP(A13,RESUME!$G$3:$I$10,3,FALSE)</f>
        <v>9.4112088528399175E-3</v>
      </c>
      <c r="K13" s="4">
        <f t="shared" si="2"/>
        <v>1.2450853948167095</v>
      </c>
      <c r="L13" s="29" t="str">
        <f>VLOOKUP(A13&amp;"-"&amp;B13&amp;"-"&amp;D13,Ref_Account!$A:$F,6,FALSE)</f>
        <v>1201.631180</v>
      </c>
      <c r="N13" s="1">
        <f t="shared" si="0"/>
        <v>1</v>
      </c>
    </row>
    <row r="14" spans="1:14" x14ac:dyDescent="0.25">
      <c r="A14" s="9" t="str">
        <v>Asep Ridwan Subiana</v>
      </c>
      <c r="B14" s="1" t="s">
        <v>26</v>
      </c>
      <c r="C14" s="1" t="s">
        <v>27</v>
      </c>
      <c r="D14" s="2" t="s">
        <v>24</v>
      </c>
      <c r="E14" s="2" t="s">
        <v>29</v>
      </c>
      <c r="F14" s="9"/>
      <c r="G14" s="10">
        <v>1265</v>
      </c>
      <c r="H14" s="21">
        <v>598.58000000000004</v>
      </c>
      <c r="I14" s="10">
        <f t="shared" si="1"/>
        <v>666.42</v>
      </c>
      <c r="J14" s="4">
        <f>G14/VLOOKUP(A14,RESUME!$G$3:$I$10,3,FALSE)</f>
        <v>1.8630953362820807E-2</v>
      </c>
      <c r="K14" s="4">
        <f t="shared" si="2"/>
        <v>3.9373443823663201E-2</v>
      </c>
      <c r="L14" s="29" t="str">
        <f>VLOOKUP(A14&amp;"-"&amp;B14&amp;"-"&amp;D14,Ref_Account!$A:$F,6,FALSE)</f>
        <v>1204.631180</v>
      </c>
      <c r="N14" s="1">
        <f t="shared" si="0"/>
        <v>1</v>
      </c>
    </row>
    <row r="15" spans="1:14" x14ac:dyDescent="0.25">
      <c r="A15" s="9" t="str">
        <v>Asep Ridwan Subiana</v>
      </c>
      <c r="B15" s="1" t="s">
        <v>26</v>
      </c>
      <c r="C15" s="1" t="s">
        <v>27</v>
      </c>
      <c r="D15" s="2" t="s">
        <v>15</v>
      </c>
      <c r="E15" s="2" t="s">
        <v>29</v>
      </c>
      <c r="F15" s="9"/>
      <c r="G15" s="10">
        <v>2489</v>
      </c>
      <c r="H15" s="21">
        <v>186.36</v>
      </c>
      <c r="I15" s="10">
        <f t="shared" si="1"/>
        <v>2302.64</v>
      </c>
      <c r="J15" s="4">
        <f>G15/VLOOKUP(A15,RESUME!$G$3:$I$10,3,FALSE)</f>
        <v>3.6658057644316989E-2</v>
      </c>
      <c r="K15" s="4">
        <f t="shared" si="2"/>
        <v>0.48960026548993874</v>
      </c>
      <c r="L15" s="29" t="str">
        <f>VLOOKUP(A15&amp;"-"&amp;B15&amp;"-"&amp;D15,Ref_Account!$A:$F,6,FALSE)</f>
        <v>1205.631180</v>
      </c>
      <c r="N15" s="1">
        <f t="shared" si="0"/>
        <v>1</v>
      </c>
    </row>
    <row r="16" spans="1:14" x14ac:dyDescent="0.25">
      <c r="A16" s="9" t="str">
        <v>Asep Ridwan Subiana</v>
      </c>
      <c r="B16" s="1" t="s">
        <v>30</v>
      </c>
      <c r="C16" s="1" t="s">
        <v>31</v>
      </c>
      <c r="D16" s="2" t="s">
        <v>13</v>
      </c>
      <c r="E16" s="2" t="s">
        <v>28</v>
      </c>
      <c r="F16" s="9"/>
      <c r="G16" s="10">
        <v>1025</v>
      </c>
      <c r="H16" s="21"/>
      <c r="I16" s="10">
        <f t="shared" si="1"/>
        <v>1025</v>
      </c>
      <c r="J16" s="4">
        <f>G16/VLOOKUP(A16,RESUME!$G$3:$I$10,3,FALSE)</f>
        <v>1.5096227033115674E-2</v>
      </c>
      <c r="K16" s="4" t="str">
        <f t="shared" si="2"/>
        <v/>
      </c>
      <c r="L16" s="29" t="str">
        <f>VLOOKUP(A16&amp;"-"&amp;B16&amp;"-"&amp;D16,Ref_Account!$A:$F,6,FALSE)</f>
        <v>1201.631150</v>
      </c>
      <c r="N16" s="1">
        <f t="shared" si="0"/>
        <v>1</v>
      </c>
    </row>
    <row r="17" spans="1:14" x14ac:dyDescent="0.25">
      <c r="A17" s="9" t="str">
        <v>Asep Ridwan Subiana</v>
      </c>
      <c r="B17" s="1" t="s">
        <v>32</v>
      </c>
      <c r="C17" s="1" t="s">
        <v>33</v>
      </c>
      <c r="D17" s="2" t="s">
        <v>13</v>
      </c>
      <c r="E17" s="2" t="s">
        <v>34</v>
      </c>
      <c r="F17" s="9"/>
      <c r="G17" s="10">
        <v>8000</v>
      </c>
      <c r="H17" s="21">
        <v>669.9</v>
      </c>
      <c r="I17" s="10">
        <f t="shared" si="1"/>
        <v>7330.1</v>
      </c>
      <c r="J17" s="4">
        <f>G17/VLOOKUP(A17,RESUME!$G$3:$I$10,3,FALSE)</f>
        <v>0.11782421099017111</v>
      </c>
      <c r="K17" s="4">
        <f t="shared" si="2"/>
        <v>1.4070662605185387</v>
      </c>
      <c r="L17" s="29" t="str">
        <f>VLOOKUP(A17&amp;"-"&amp;B17&amp;"-"&amp;D17,Ref_Account!$A:$F,6,FALSE)</f>
        <v>1201.720100</v>
      </c>
      <c r="N17" s="1">
        <f t="shared" si="0"/>
        <v>1</v>
      </c>
    </row>
    <row r="18" spans="1:14" x14ac:dyDescent="0.25">
      <c r="A18" s="9" t="str">
        <v>Asep Ridwan Subiana</v>
      </c>
      <c r="B18" s="1" t="s">
        <v>32</v>
      </c>
      <c r="C18" s="1" t="s">
        <v>33</v>
      </c>
      <c r="D18" s="2" t="s">
        <v>24</v>
      </c>
      <c r="E18" s="2" t="s">
        <v>34</v>
      </c>
      <c r="F18" s="9"/>
      <c r="G18" s="10">
        <v>1000</v>
      </c>
      <c r="H18" s="21">
        <v>2590.0100000000002</v>
      </c>
      <c r="I18" s="23">
        <f t="shared" si="1"/>
        <v>-1590.0100000000002</v>
      </c>
      <c r="J18" s="4">
        <f>G18/VLOOKUP(A18,RESUME!$G$3:$I$10,3,FALSE)</f>
        <v>1.4728026373771389E-2</v>
      </c>
      <c r="K18" s="4">
        <f t="shared" si="2"/>
        <v>5.6864747139089757E-3</v>
      </c>
      <c r="L18" s="29" t="str">
        <f>VLOOKUP(A18&amp;"-"&amp;B18&amp;"-"&amp;D18,Ref_Account!$A:$F,6,FALSE)</f>
        <v>1205.720100</v>
      </c>
      <c r="M18" s="1" t="s">
        <v>214</v>
      </c>
      <c r="N18" s="1">
        <f t="shared" si="0"/>
        <v>1</v>
      </c>
    </row>
    <row r="19" spans="1:14" x14ac:dyDescent="0.25">
      <c r="A19" s="9" t="str">
        <v>Asep Ridwan Subiana</v>
      </c>
      <c r="B19" s="1" t="s">
        <v>32</v>
      </c>
      <c r="C19" s="1" t="s">
        <v>33</v>
      </c>
      <c r="D19" s="2" t="s">
        <v>15</v>
      </c>
      <c r="E19" s="2" t="s">
        <v>34</v>
      </c>
      <c r="F19" s="9"/>
      <c r="G19" s="10">
        <v>1000</v>
      </c>
      <c r="H19" s="21"/>
      <c r="I19" s="10">
        <f t="shared" si="1"/>
        <v>1000</v>
      </c>
      <c r="J19" s="4">
        <f>G19/VLOOKUP(A19,RESUME!$G$3:$I$10,3,FALSE)</f>
        <v>1.4728026373771389E-2</v>
      </c>
      <c r="K19" s="4" t="str">
        <f t="shared" si="2"/>
        <v/>
      </c>
      <c r="L19" s="29" t="str">
        <f>VLOOKUP(A19&amp;"-"&amp;B19&amp;"-"&amp;D19,Ref_Account!$A:$F,6,FALSE)</f>
        <v>1204.720100</v>
      </c>
      <c r="N19" s="1">
        <f t="shared" si="0"/>
        <v>1</v>
      </c>
    </row>
    <row r="20" spans="1:14" x14ac:dyDescent="0.25">
      <c r="A20" s="9" t="s">
        <v>36</v>
      </c>
      <c r="B20" s="1" t="s">
        <v>37</v>
      </c>
      <c r="C20" s="1" t="s">
        <v>38</v>
      </c>
      <c r="D20" s="2" t="s">
        <v>13</v>
      </c>
      <c r="E20" s="2" t="s">
        <v>39</v>
      </c>
      <c r="F20" s="9"/>
      <c r="G20" s="10">
        <v>151561</v>
      </c>
      <c r="H20" s="9"/>
      <c r="I20" s="10">
        <f t="shared" ref="I20:I25" si="3">G20-H20</f>
        <v>151561</v>
      </c>
      <c r="J20" s="4">
        <f>G20/VLOOKUP(A20,RESUME!$G$3:$I$10,3,FALSE)</f>
        <v>0.65619333139484248</v>
      </c>
      <c r="K20" s="4" t="str">
        <f t="shared" si="2"/>
        <v/>
      </c>
      <c r="L20" s="29" t="str">
        <f>VLOOKUP(A20&amp;"-"&amp;B20&amp;"-"&amp;D20,Ref_Account!$A:$F,6,FALSE)</f>
        <v>1201.630600</v>
      </c>
      <c r="N20" s="1">
        <f t="shared" si="0"/>
        <v>2</v>
      </c>
    </row>
    <row r="21" spans="1:14" x14ac:dyDescent="0.25">
      <c r="A21" s="9" t="str">
        <f>A20</f>
        <v>Choeruman</v>
      </c>
      <c r="B21" s="1" t="s">
        <v>37</v>
      </c>
      <c r="C21" s="1" t="s">
        <v>38</v>
      </c>
      <c r="D21" s="2" t="s">
        <v>24</v>
      </c>
      <c r="E21" s="2" t="s">
        <v>39</v>
      </c>
      <c r="F21" s="9"/>
      <c r="G21" s="10">
        <v>26883.15</v>
      </c>
      <c r="H21" s="9"/>
      <c r="I21" s="10">
        <f t="shared" si="3"/>
        <v>26883.15</v>
      </c>
      <c r="J21" s="4">
        <f>G21/VLOOKUP(A21,RESUME!$G$3:$I$10,3,FALSE)</f>
        <v>0.11639236846475848</v>
      </c>
      <c r="K21" s="4" t="str">
        <f t="shared" si="2"/>
        <v/>
      </c>
      <c r="L21" s="29" t="str">
        <f>VLOOKUP(A21&amp;"-"&amp;B21&amp;"-"&amp;D21,Ref_Account!$A:$F,6,FALSE)</f>
        <v>1205.630600</v>
      </c>
      <c r="N21" s="1">
        <f t="shared" si="0"/>
        <v>2</v>
      </c>
    </row>
    <row r="22" spans="1:14" x14ac:dyDescent="0.25">
      <c r="A22" s="9" t="str">
        <f t="shared" ref="A22:A25" si="4">A21</f>
        <v>Choeruman</v>
      </c>
      <c r="B22" s="1" t="s">
        <v>37</v>
      </c>
      <c r="C22" s="1" t="s">
        <v>38</v>
      </c>
      <c r="D22" s="2" t="s">
        <v>15</v>
      </c>
      <c r="E22" s="2" t="s">
        <v>40</v>
      </c>
      <c r="F22" s="9"/>
      <c r="G22" s="10">
        <v>32525.89</v>
      </c>
      <c r="H22" s="9"/>
      <c r="I22" s="10">
        <f t="shared" si="3"/>
        <v>32525.89</v>
      </c>
      <c r="J22" s="4">
        <f>G22/VLOOKUP(A22,RESUME!$G$3:$I$10,3,FALSE)</f>
        <v>0.14082298292886819</v>
      </c>
      <c r="K22" s="4" t="str">
        <f t="shared" si="2"/>
        <v/>
      </c>
      <c r="L22" s="29" t="str">
        <f>VLOOKUP(A22&amp;"-"&amp;B22&amp;"-"&amp;D22,Ref_Account!$A:$F,6,FALSE)</f>
        <v>1204.630600</v>
      </c>
      <c r="N22" s="1">
        <f t="shared" si="0"/>
        <v>2</v>
      </c>
    </row>
    <row r="23" spans="1:14" x14ac:dyDescent="0.25">
      <c r="A23" s="9" t="str">
        <f t="shared" si="4"/>
        <v>Choeruman</v>
      </c>
      <c r="B23" s="1" t="s">
        <v>37</v>
      </c>
      <c r="C23" s="1" t="s">
        <v>41</v>
      </c>
      <c r="D23" s="2" t="s">
        <v>13</v>
      </c>
      <c r="E23" s="2" t="s">
        <v>42</v>
      </c>
      <c r="F23" s="9"/>
      <c r="G23" s="10">
        <v>5000</v>
      </c>
      <c r="H23" s="9"/>
      <c r="I23" s="10">
        <f t="shared" si="3"/>
        <v>5000</v>
      </c>
      <c r="J23" s="4">
        <f>G23/VLOOKUP(A23,RESUME!$G$3:$I$10,3,FALSE)</f>
        <v>2.1647829302882747E-2</v>
      </c>
      <c r="K23" s="4" t="str">
        <f t="shared" si="2"/>
        <v/>
      </c>
      <c r="L23" s="29" t="str">
        <f>VLOOKUP(A23&amp;"-"&amp;B23&amp;"-"&amp;D23,Ref_Account!$A:$F,6,FALSE)</f>
        <v>1201.630600</v>
      </c>
      <c r="N23" s="1">
        <f t="shared" si="0"/>
        <v>2</v>
      </c>
    </row>
    <row r="24" spans="1:14" x14ac:dyDescent="0.25">
      <c r="A24" s="9" t="str">
        <f t="shared" si="4"/>
        <v>Choeruman</v>
      </c>
      <c r="B24" s="1" t="s">
        <v>37</v>
      </c>
      <c r="C24" s="1" t="s">
        <v>38</v>
      </c>
      <c r="D24" s="2" t="s">
        <v>24</v>
      </c>
      <c r="E24" s="2" t="s">
        <v>43</v>
      </c>
      <c r="F24" s="9"/>
      <c r="G24" s="10">
        <v>7500</v>
      </c>
      <c r="H24" s="9"/>
      <c r="I24" s="10">
        <f t="shared" si="3"/>
        <v>7500</v>
      </c>
      <c r="J24" s="4">
        <f>G24/VLOOKUP(A24,RESUME!$G$3:$I$10,3,FALSE)</f>
        <v>3.2471743954324124E-2</v>
      </c>
      <c r="K24" s="4" t="str">
        <f t="shared" si="2"/>
        <v/>
      </c>
      <c r="L24" s="29" t="str">
        <f>VLOOKUP(A24&amp;"-"&amp;B24&amp;"-"&amp;D24,Ref_Account!$A:$F,6,FALSE)</f>
        <v>1205.630600</v>
      </c>
      <c r="N24" s="1">
        <f t="shared" si="0"/>
        <v>2</v>
      </c>
    </row>
    <row r="25" spans="1:14" x14ac:dyDescent="0.25">
      <c r="A25" s="9" t="str">
        <f t="shared" si="4"/>
        <v>Choeruman</v>
      </c>
      <c r="B25" s="1" t="s">
        <v>37</v>
      </c>
      <c r="C25" s="1" t="s">
        <v>38</v>
      </c>
      <c r="D25" s="2" t="s">
        <v>15</v>
      </c>
      <c r="E25" s="2" t="s">
        <v>42</v>
      </c>
      <c r="F25" s="9"/>
      <c r="G25" s="10">
        <v>7500</v>
      </c>
      <c r="H25" s="9"/>
      <c r="I25" s="10">
        <f t="shared" si="3"/>
        <v>7500</v>
      </c>
      <c r="J25" s="4">
        <f>G25/VLOOKUP(A25,RESUME!$G$3:$I$10,3,FALSE)</f>
        <v>3.2471743954324124E-2</v>
      </c>
      <c r="K25" s="4" t="str">
        <f t="shared" si="2"/>
        <v/>
      </c>
      <c r="L25" s="29" t="str">
        <f>VLOOKUP(A25&amp;"-"&amp;B25&amp;"-"&amp;D25,Ref_Account!$A:$F,6,FALSE)</f>
        <v>1204.630600</v>
      </c>
      <c r="N25" s="1">
        <f t="shared" si="0"/>
        <v>2</v>
      </c>
    </row>
    <row r="26" spans="1:14" x14ac:dyDescent="0.25">
      <c r="A26" s="9" t="s">
        <v>44</v>
      </c>
      <c r="B26" s="18" t="s">
        <v>45</v>
      </c>
      <c r="G26" s="11"/>
      <c r="H26" s="1"/>
      <c r="I26" s="1"/>
      <c r="J26" s="4">
        <f>G26/VLOOKUP(A26,RESUME!$G$3:$I$10,3,FALSE)</f>
        <v>0</v>
      </c>
      <c r="K26" s="25" t="str">
        <f t="shared" si="2"/>
        <v/>
      </c>
      <c r="L26" s="29" t="e">
        <f>VLOOKUP(A26&amp;"-"&amp;B26&amp;"-"&amp;D26,Ref_Account!$A:$F,6,FALSE)</f>
        <v>#N/A</v>
      </c>
      <c r="M26" s="1" t="s">
        <v>182</v>
      </c>
      <c r="N26" s="1">
        <f t="shared" si="0"/>
        <v>2</v>
      </c>
    </row>
    <row r="27" spans="1:14" x14ac:dyDescent="0.25">
      <c r="A27" s="9" t="s">
        <v>44</v>
      </c>
      <c r="B27" s="1" t="s">
        <v>46</v>
      </c>
      <c r="C27" s="1" t="s">
        <v>47</v>
      </c>
      <c r="D27" s="2" t="s">
        <v>13</v>
      </c>
      <c r="E27" s="2" t="s">
        <v>48</v>
      </c>
      <c r="F27" s="9" t="s">
        <v>49</v>
      </c>
      <c r="G27" s="10">
        <v>450</v>
      </c>
      <c r="H27" s="9"/>
      <c r="I27" s="10">
        <f t="shared" ref="I27:I35" si="5">G27-H27</f>
        <v>450</v>
      </c>
      <c r="J27" s="4">
        <f>G27/VLOOKUP(A27,RESUME!$G$3:$I$10,3,FALSE)</f>
        <v>5.2941176470588235E-2</v>
      </c>
      <c r="K27" s="4" t="str">
        <f t="shared" si="2"/>
        <v/>
      </c>
      <c r="L27" s="29" t="str">
        <f>VLOOKUP(A27&amp;"-"&amp;B27&amp;"-"&amp;D27,Ref_Account!$A:$F,6,FALSE)</f>
        <v>1201.730300</v>
      </c>
      <c r="N27" s="1">
        <f t="shared" si="0"/>
        <v>5</v>
      </c>
    </row>
    <row r="28" spans="1:14" x14ac:dyDescent="0.25">
      <c r="A28" s="9" t="s">
        <v>44</v>
      </c>
      <c r="B28" s="1" t="s">
        <v>46</v>
      </c>
      <c r="C28" s="1" t="s">
        <v>47</v>
      </c>
      <c r="D28" s="2" t="s">
        <v>13</v>
      </c>
      <c r="E28" s="2" t="s">
        <v>50</v>
      </c>
      <c r="F28" s="9" t="s">
        <v>51</v>
      </c>
      <c r="G28" s="10">
        <v>450</v>
      </c>
      <c r="H28" s="9"/>
      <c r="I28" s="10">
        <f t="shared" si="5"/>
        <v>450</v>
      </c>
      <c r="J28" s="4">
        <f>G28/VLOOKUP(A28,RESUME!$G$3:$I$10,3,FALSE)</f>
        <v>5.2941176470588235E-2</v>
      </c>
      <c r="K28" s="4" t="str">
        <f t="shared" si="2"/>
        <v/>
      </c>
      <c r="L28" s="29" t="str">
        <f>VLOOKUP(A28&amp;"-"&amp;B28&amp;"-"&amp;D28,Ref_Account!$A:$F,6,FALSE)</f>
        <v>1201.730300</v>
      </c>
      <c r="N28" s="1">
        <f t="shared" si="0"/>
        <v>5</v>
      </c>
    </row>
    <row r="29" spans="1:14" x14ac:dyDescent="0.25">
      <c r="A29" s="9" t="s">
        <v>44</v>
      </c>
      <c r="B29" s="1" t="s">
        <v>46</v>
      </c>
      <c r="C29" s="1" t="s">
        <v>47</v>
      </c>
      <c r="D29" s="2" t="s">
        <v>13</v>
      </c>
      <c r="E29" s="2" t="s">
        <v>52</v>
      </c>
      <c r="F29" s="9" t="s">
        <v>53</v>
      </c>
      <c r="G29" s="10">
        <v>450</v>
      </c>
      <c r="H29" s="9"/>
      <c r="I29" s="10">
        <f t="shared" si="5"/>
        <v>450</v>
      </c>
      <c r="J29" s="4">
        <f>G29/VLOOKUP(A29,RESUME!$G$3:$I$10,3,FALSE)</f>
        <v>5.2941176470588235E-2</v>
      </c>
      <c r="K29" s="4" t="str">
        <f t="shared" si="2"/>
        <v/>
      </c>
      <c r="L29" s="29" t="str">
        <f>VLOOKUP(A29&amp;"-"&amp;B29&amp;"-"&amp;D29,Ref_Account!$A:$F,6,FALSE)</f>
        <v>1201.730300</v>
      </c>
      <c r="N29" s="1">
        <f t="shared" si="0"/>
        <v>5</v>
      </c>
    </row>
    <row r="30" spans="1:14" x14ac:dyDescent="0.25">
      <c r="A30" s="9" t="s">
        <v>44</v>
      </c>
      <c r="B30" s="1" t="s">
        <v>46</v>
      </c>
      <c r="C30" s="1" t="s">
        <v>47</v>
      </c>
      <c r="D30" s="2" t="s">
        <v>13</v>
      </c>
      <c r="E30" s="2" t="s">
        <v>54</v>
      </c>
      <c r="F30" s="9" t="s">
        <v>55</v>
      </c>
      <c r="G30" s="10">
        <v>450</v>
      </c>
      <c r="H30" s="9"/>
      <c r="I30" s="10">
        <f t="shared" si="5"/>
        <v>450</v>
      </c>
      <c r="J30" s="4">
        <f>G30/VLOOKUP(A30,RESUME!$G$3:$I$10,3,FALSE)</f>
        <v>5.2941176470588235E-2</v>
      </c>
      <c r="K30" s="4" t="str">
        <f t="shared" si="2"/>
        <v/>
      </c>
      <c r="L30" s="29" t="str">
        <f>VLOOKUP(A30&amp;"-"&amp;B30&amp;"-"&amp;D30,Ref_Account!$A:$F,6,FALSE)</f>
        <v>1201.730300</v>
      </c>
      <c r="N30" s="1">
        <f t="shared" si="0"/>
        <v>5</v>
      </c>
    </row>
    <row r="31" spans="1:14" x14ac:dyDescent="0.25">
      <c r="A31" s="9" t="s">
        <v>44</v>
      </c>
      <c r="B31" s="1" t="s">
        <v>56</v>
      </c>
      <c r="C31" s="1" t="s">
        <v>57</v>
      </c>
      <c r="D31" s="2" t="s">
        <v>13</v>
      </c>
      <c r="E31" s="2" t="s">
        <v>54</v>
      </c>
      <c r="F31" s="9" t="s">
        <v>58</v>
      </c>
      <c r="G31" s="10">
        <v>6300</v>
      </c>
      <c r="H31" s="9"/>
      <c r="I31" s="10">
        <f t="shared" si="5"/>
        <v>6300</v>
      </c>
      <c r="J31" s="4">
        <f>G31/VLOOKUP(A31,RESUME!$G$3:$I$10,3,FALSE)</f>
        <v>0.74117647058823533</v>
      </c>
      <c r="K31" s="4" t="str">
        <f t="shared" si="2"/>
        <v/>
      </c>
      <c r="L31" s="29" t="str">
        <f>VLOOKUP(A31&amp;"-"&amp;B31&amp;"-"&amp;D31,Ref_Account!$A:$F,6,FALSE)</f>
        <v>1201.730200</v>
      </c>
      <c r="N31" s="1">
        <f t="shared" si="0"/>
        <v>2</v>
      </c>
    </row>
    <row r="32" spans="1:14" x14ac:dyDescent="0.25">
      <c r="A32" s="9" t="s">
        <v>44</v>
      </c>
      <c r="B32" s="1" t="s">
        <v>59</v>
      </c>
      <c r="C32" s="1" t="s">
        <v>60</v>
      </c>
      <c r="D32" s="2" t="s">
        <v>13</v>
      </c>
      <c r="E32" s="2" t="s">
        <v>48</v>
      </c>
      <c r="F32" s="9" t="s">
        <v>49</v>
      </c>
      <c r="G32" s="10">
        <v>100</v>
      </c>
      <c r="H32" s="1"/>
      <c r="I32" s="23">
        <f t="shared" si="5"/>
        <v>100</v>
      </c>
      <c r="J32" s="4">
        <f>G32/VLOOKUP(A32,RESUME!$G$3:$I$10,3,FALSE)</f>
        <v>1.1764705882352941E-2</v>
      </c>
      <c r="K32" s="4" t="str">
        <f t="shared" si="2"/>
        <v/>
      </c>
      <c r="L32" s="29" t="str">
        <f>VLOOKUP(A32&amp;"-"&amp;B32&amp;"-"&amp;D32,Ref_Account!$A:$F,6,FALSE)</f>
        <v>1201.710200</v>
      </c>
      <c r="N32" s="1">
        <f t="shared" si="0"/>
        <v>6</v>
      </c>
    </row>
    <row r="33" spans="1:14" x14ac:dyDescent="0.25">
      <c r="A33" s="9" t="s">
        <v>44</v>
      </c>
      <c r="B33" s="1" t="s">
        <v>59</v>
      </c>
      <c r="C33" s="1" t="s">
        <v>60</v>
      </c>
      <c r="D33" s="2" t="s">
        <v>13</v>
      </c>
      <c r="E33" s="2" t="s">
        <v>50</v>
      </c>
      <c r="F33" s="9" t="s">
        <v>51</v>
      </c>
      <c r="G33" s="10">
        <v>100</v>
      </c>
      <c r="H33" s="1"/>
      <c r="I33" s="10">
        <f t="shared" si="5"/>
        <v>100</v>
      </c>
      <c r="J33" s="4">
        <f>G33/VLOOKUP(A33,RESUME!$G$3:$I$10,3,FALSE)</f>
        <v>1.1764705882352941E-2</v>
      </c>
      <c r="K33" s="4" t="str">
        <f t="shared" si="2"/>
        <v/>
      </c>
      <c r="L33" s="29" t="str">
        <f>VLOOKUP(A33&amp;"-"&amp;B33&amp;"-"&amp;D33,Ref_Account!$A:$F,6,FALSE)</f>
        <v>1201.710200</v>
      </c>
      <c r="N33" s="1">
        <f t="shared" si="0"/>
        <v>6</v>
      </c>
    </row>
    <row r="34" spans="1:14" x14ac:dyDescent="0.25">
      <c r="A34" s="9" t="s">
        <v>44</v>
      </c>
      <c r="B34" s="1" t="s">
        <v>59</v>
      </c>
      <c r="C34" s="1" t="s">
        <v>60</v>
      </c>
      <c r="D34" s="2" t="s">
        <v>13</v>
      </c>
      <c r="E34" s="2" t="s">
        <v>52</v>
      </c>
      <c r="F34" s="9" t="s">
        <v>53</v>
      </c>
      <c r="G34" s="10">
        <v>100</v>
      </c>
      <c r="H34" s="9"/>
      <c r="I34" s="10">
        <f t="shared" si="5"/>
        <v>100</v>
      </c>
      <c r="J34" s="4">
        <f>G34/VLOOKUP(A34,RESUME!$G$3:$I$10,3,FALSE)</f>
        <v>1.1764705882352941E-2</v>
      </c>
      <c r="K34" s="4" t="str">
        <f t="shared" si="2"/>
        <v/>
      </c>
      <c r="L34" s="29" t="str">
        <f>VLOOKUP(A34&amp;"-"&amp;B34&amp;"-"&amp;D34,Ref_Account!$A:$F,6,FALSE)</f>
        <v>1201.710200</v>
      </c>
      <c r="N34" s="1">
        <f t="shared" si="0"/>
        <v>6</v>
      </c>
    </row>
    <row r="35" spans="1:14" x14ac:dyDescent="0.25">
      <c r="A35" s="9" t="s">
        <v>44</v>
      </c>
      <c r="B35" s="1" t="s">
        <v>59</v>
      </c>
      <c r="C35" s="1" t="s">
        <v>60</v>
      </c>
      <c r="D35" s="2" t="s">
        <v>13</v>
      </c>
      <c r="E35" s="2" t="s">
        <v>54</v>
      </c>
      <c r="F35" s="9" t="s">
        <v>55</v>
      </c>
      <c r="G35" s="10">
        <v>100</v>
      </c>
      <c r="H35" s="9"/>
      <c r="I35" s="10">
        <f t="shared" si="5"/>
        <v>100</v>
      </c>
      <c r="J35" s="4">
        <f>G35/VLOOKUP(A35,RESUME!$G$3:$I$10,3,FALSE)</f>
        <v>1.1764705882352941E-2</v>
      </c>
      <c r="K35" s="4" t="str">
        <f t="shared" si="2"/>
        <v/>
      </c>
      <c r="L35" s="29" t="str">
        <f>VLOOKUP(A35&amp;"-"&amp;B35&amp;"-"&amp;D35,Ref_Account!$A:$F,6,FALSE)</f>
        <v>1201.710200</v>
      </c>
      <c r="N35" s="1">
        <f t="shared" si="0"/>
        <v>6</v>
      </c>
    </row>
    <row r="36" spans="1:14" x14ac:dyDescent="0.25">
      <c r="A36" s="9" t="s">
        <v>320</v>
      </c>
      <c r="B36" s="18" t="s">
        <v>45</v>
      </c>
      <c r="G36" s="11"/>
      <c r="H36" s="1"/>
      <c r="I36" s="1"/>
      <c r="J36" s="4">
        <f>G36/VLOOKUP(A36,RESUME!$G$3:$I$10,3,FALSE)</f>
        <v>0</v>
      </c>
      <c r="K36" s="25" t="str">
        <f t="shared" si="2"/>
        <v/>
      </c>
      <c r="L36" s="29" t="e">
        <f>VLOOKUP(A36&amp;"-"&amp;B36&amp;"-"&amp;D36,Ref_Account!$A:$F,6,FALSE)</f>
        <v>#N/A</v>
      </c>
      <c r="M36" s="1" t="s">
        <v>182</v>
      </c>
      <c r="N36" s="1">
        <f t="shared" si="0"/>
        <v>2</v>
      </c>
    </row>
    <row r="37" spans="1:14" x14ac:dyDescent="0.25">
      <c r="A37" s="9" t="s">
        <v>320</v>
      </c>
      <c r="B37" s="1" t="s">
        <v>46</v>
      </c>
      <c r="C37" s="1" t="s">
        <v>47</v>
      </c>
      <c r="D37" s="2" t="s">
        <v>13</v>
      </c>
      <c r="E37" s="2" t="s">
        <v>61</v>
      </c>
      <c r="F37" s="9" t="s">
        <v>62</v>
      </c>
      <c r="G37" s="10">
        <v>200</v>
      </c>
      <c r="H37" s="9"/>
      <c r="I37" s="10">
        <f t="shared" ref="I37:I40" si="6">G37-H37</f>
        <v>200</v>
      </c>
      <c r="J37" s="4">
        <f>G37/VLOOKUP(A37,RESUME!$G$3:$I$10,3,FALSE)</f>
        <v>0.2</v>
      </c>
      <c r="K37" s="4" t="str">
        <f t="shared" si="2"/>
        <v/>
      </c>
      <c r="L37" s="29" t="str">
        <f>VLOOKUP(A37&amp;"-"&amp;B37&amp;"-"&amp;D37,Ref_Account!$A:$F,6,FALSE)</f>
        <v>1201.730300</v>
      </c>
      <c r="N37" s="1">
        <f t="shared" si="0"/>
        <v>5</v>
      </c>
    </row>
    <row r="38" spans="1:14" x14ac:dyDescent="0.25">
      <c r="A38" s="9" t="s">
        <v>320</v>
      </c>
      <c r="B38" s="1" t="s">
        <v>56</v>
      </c>
      <c r="C38" s="1" t="s">
        <v>57</v>
      </c>
      <c r="D38" s="2" t="s">
        <v>13</v>
      </c>
      <c r="E38" s="2" t="s">
        <v>63</v>
      </c>
      <c r="F38" s="9" t="s">
        <v>64</v>
      </c>
      <c r="G38" s="10">
        <v>700</v>
      </c>
      <c r="H38" s="9"/>
      <c r="I38" s="10">
        <f t="shared" si="6"/>
        <v>700</v>
      </c>
      <c r="J38" s="4">
        <f>G38/VLOOKUP(A38,RESUME!$G$3:$I$10,3,FALSE)</f>
        <v>0.7</v>
      </c>
      <c r="K38" s="4" t="str">
        <f t="shared" si="2"/>
        <v/>
      </c>
      <c r="L38" s="29" t="str">
        <f>VLOOKUP(A38&amp;"-"&amp;B38&amp;"-"&amp;D38,Ref_Account!$A:$F,6,FALSE)</f>
        <v>1201.730200</v>
      </c>
      <c r="N38" s="1">
        <f t="shared" ref="N38:N69" si="7">COUNTIF($L$6:$L$164,L38)</f>
        <v>2</v>
      </c>
    </row>
    <row r="39" spans="1:14" x14ac:dyDescent="0.25">
      <c r="A39" s="9" t="s">
        <v>320</v>
      </c>
      <c r="B39" s="1" t="s">
        <v>59</v>
      </c>
      <c r="C39" s="1" t="s">
        <v>60</v>
      </c>
      <c r="D39" s="2" t="s">
        <v>13</v>
      </c>
      <c r="E39" s="2" t="s">
        <v>63</v>
      </c>
      <c r="F39" s="9" t="s">
        <v>62</v>
      </c>
      <c r="G39" s="10">
        <v>50</v>
      </c>
      <c r="H39" s="9"/>
      <c r="I39" s="10">
        <f t="shared" si="6"/>
        <v>50</v>
      </c>
      <c r="J39" s="4">
        <f>G39/VLOOKUP(A39,RESUME!$G$3:$I$10,3,FALSE)</f>
        <v>0.05</v>
      </c>
      <c r="K39" s="4" t="str">
        <f t="shared" si="2"/>
        <v/>
      </c>
      <c r="L39" s="29" t="str">
        <f>VLOOKUP(A39&amp;"-"&amp;B39&amp;"-"&amp;D39,Ref_Account!$A:$F,6,FALSE)</f>
        <v>1201.710200</v>
      </c>
      <c r="N39" s="1">
        <f t="shared" si="7"/>
        <v>6</v>
      </c>
    </row>
    <row r="40" spans="1:14" x14ac:dyDescent="0.25">
      <c r="A40" s="9" t="s">
        <v>320</v>
      </c>
      <c r="B40" s="1" t="s">
        <v>59</v>
      </c>
      <c r="C40" s="1" t="s">
        <v>60</v>
      </c>
      <c r="D40" s="2" t="s">
        <v>13</v>
      </c>
      <c r="E40" s="2" t="s">
        <v>65</v>
      </c>
      <c r="F40" s="9" t="s">
        <v>66</v>
      </c>
      <c r="G40" s="10">
        <v>50</v>
      </c>
      <c r="H40" s="9"/>
      <c r="I40" s="10">
        <f t="shared" si="6"/>
        <v>50</v>
      </c>
      <c r="J40" s="4">
        <f>G40/VLOOKUP(A40,RESUME!$G$3:$I$10,3,FALSE)</f>
        <v>0.05</v>
      </c>
      <c r="K40" s="4" t="str">
        <f t="shared" si="2"/>
        <v/>
      </c>
      <c r="L40" s="29" t="str">
        <f>VLOOKUP(A40&amp;"-"&amp;B40&amp;"-"&amp;D40,Ref_Account!$A:$F,6,FALSE)</f>
        <v>1201.710200</v>
      </c>
      <c r="N40" s="1">
        <f t="shared" si="7"/>
        <v>6</v>
      </c>
    </row>
    <row r="41" spans="1:14" x14ac:dyDescent="0.25">
      <c r="A41" s="9" t="s">
        <v>67</v>
      </c>
      <c r="B41" s="1" t="s">
        <v>68</v>
      </c>
      <c r="C41" s="1" t="s">
        <v>69</v>
      </c>
      <c r="D41" s="2" t="s">
        <v>13</v>
      </c>
      <c r="E41" s="2" t="s">
        <v>19</v>
      </c>
      <c r="F41" s="9"/>
      <c r="H41" s="9"/>
      <c r="I41" s="10">
        <f t="shared" ref="I41:I95" si="8">G41-H41</f>
        <v>0</v>
      </c>
      <c r="J41" s="4">
        <f>G41/VLOOKUP(A41,RESUME!$G$3:$I$10,3,FALSE)</f>
        <v>0</v>
      </c>
      <c r="K41" s="4" t="str">
        <f t="shared" si="2"/>
        <v/>
      </c>
      <c r="L41" s="29" t="str">
        <f>VLOOKUP(A41&amp;"-"&amp;B41&amp;"-"&amp;D41,Ref_Account!$A:$F,6,FALSE)</f>
        <v>1201.720500</v>
      </c>
      <c r="N41" s="1">
        <f t="shared" si="7"/>
        <v>1</v>
      </c>
    </row>
    <row r="42" spans="1:14" x14ac:dyDescent="0.25">
      <c r="A42" s="9" t="str">
        <f t="shared" ref="A42:A95" si="9">A41</f>
        <v>Owi Wijaya</v>
      </c>
      <c r="B42" s="1" t="s">
        <v>70</v>
      </c>
      <c r="C42" s="1" t="s">
        <v>71</v>
      </c>
      <c r="D42" s="2" t="s">
        <v>13</v>
      </c>
      <c r="E42" s="2" t="s">
        <v>72</v>
      </c>
      <c r="F42" s="9"/>
      <c r="G42" s="10">
        <v>4917.96</v>
      </c>
      <c r="H42" s="9">
        <v>1790.48</v>
      </c>
      <c r="I42" s="10">
        <f t="shared" si="8"/>
        <v>3127.48</v>
      </c>
      <c r="J42" s="4">
        <f>G42/VLOOKUP(A42,RESUME!$G$3:$I$10,3,FALSE)</f>
        <v>5.6433869134324049E-2</v>
      </c>
      <c r="K42" s="4">
        <f t="shared" si="2"/>
        <v>0.15500843966301792</v>
      </c>
      <c r="L42" s="29" t="str">
        <f>VLOOKUP(A42&amp;"-"&amp;B42&amp;"-"&amp;D42,Ref_Account!$A:$F,6,FALSE)</f>
        <v>1201.812100</v>
      </c>
      <c r="N42" s="1">
        <f t="shared" si="7"/>
        <v>1</v>
      </c>
    </row>
    <row r="43" spans="1:14" x14ac:dyDescent="0.25">
      <c r="A43" s="9" t="str">
        <f t="shared" si="9"/>
        <v>Owi Wijaya</v>
      </c>
      <c r="B43" s="1" t="s">
        <v>73</v>
      </c>
      <c r="C43" s="1" t="s">
        <v>74</v>
      </c>
      <c r="D43" s="2" t="s">
        <v>13</v>
      </c>
      <c r="E43" s="2" t="s">
        <v>75</v>
      </c>
      <c r="F43" s="9"/>
      <c r="G43" s="10">
        <v>281</v>
      </c>
      <c r="H43" s="9"/>
      <c r="I43" s="10">
        <f t="shared" si="8"/>
        <v>281</v>
      </c>
      <c r="J43" s="4">
        <f>G43/VLOOKUP(A43,RESUME!$G$3:$I$10,3,FALSE)</f>
        <v>3.2244908919033619E-3</v>
      </c>
      <c r="K43" s="4" t="str">
        <f t="shared" si="2"/>
        <v/>
      </c>
      <c r="L43" s="29" t="str">
        <f>VLOOKUP(A43&amp;"-"&amp;B43&amp;"-"&amp;D43,Ref_Account!$A:$F,6,FALSE)</f>
        <v>1201.807100</v>
      </c>
      <c r="N43" s="1">
        <f t="shared" si="7"/>
        <v>1</v>
      </c>
    </row>
    <row r="44" spans="1:14" x14ac:dyDescent="0.25">
      <c r="A44" s="9" t="str">
        <f t="shared" si="9"/>
        <v>Owi Wijaya</v>
      </c>
      <c r="B44" s="1" t="s">
        <v>73</v>
      </c>
      <c r="C44" s="1" t="s">
        <v>74</v>
      </c>
      <c r="D44" s="2" t="s">
        <v>15</v>
      </c>
      <c r="E44" s="2" t="s">
        <v>75</v>
      </c>
      <c r="F44" s="9"/>
      <c r="G44" s="10">
        <v>64.58</v>
      </c>
      <c r="H44" s="9"/>
      <c r="I44" s="10">
        <f t="shared" si="8"/>
        <v>64.58</v>
      </c>
      <c r="J44" s="4">
        <f>G44/VLOOKUP(A44,RESUME!$G$3:$I$10,3,FALSE)</f>
        <v>7.4105915231003239E-4</v>
      </c>
      <c r="K44" s="4" t="str">
        <f t="shared" si="2"/>
        <v/>
      </c>
      <c r="L44" s="29" t="str">
        <f>VLOOKUP(A44&amp;"-"&amp;B44&amp;"-"&amp;D44,Ref_Account!$A:$F,6,FALSE)</f>
        <v>1204.807100</v>
      </c>
      <c r="M44" s="1" t="s">
        <v>214</v>
      </c>
      <c r="N44" s="1">
        <f t="shared" si="7"/>
        <v>1</v>
      </c>
    </row>
    <row r="45" spans="1:14" x14ac:dyDescent="0.25">
      <c r="A45" s="9" t="str">
        <f t="shared" si="9"/>
        <v>Owi Wijaya</v>
      </c>
      <c r="B45" s="1" t="s">
        <v>76</v>
      </c>
      <c r="C45" s="1" t="s">
        <v>77</v>
      </c>
      <c r="D45" s="2" t="s">
        <v>13</v>
      </c>
      <c r="E45" s="2" t="s">
        <v>75</v>
      </c>
      <c r="F45" s="9"/>
      <c r="G45" s="10">
        <v>2027.63</v>
      </c>
      <c r="H45" s="9"/>
      <c r="I45" s="10">
        <f t="shared" si="8"/>
        <v>2027.63</v>
      </c>
      <c r="J45" s="4">
        <f>G45/VLOOKUP(A45,RESUME!$G$3:$I$10,3,FALSE)</f>
        <v>2.3267168922242044E-2</v>
      </c>
      <c r="K45" s="4" t="str">
        <f t="shared" si="2"/>
        <v/>
      </c>
      <c r="L45" s="29" t="str">
        <f>VLOOKUP(A45&amp;"-"&amp;B45&amp;"-"&amp;D45,Ref_Account!$A:$F,6,FALSE)</f>
        <v>1201.630400</v>
      </c>
      <c r="N45" s="1">
        <f t="shared" si="7"/>
        <v>1</v>
      </c>
    </row>
    <row r="46" spans="1:14" x14ac:dyDescent="0.25">
      <c r="A46" s="9" t="str">
        <f t="shared" si="9"/>
        <v>Owi Wijaya</v>
      </c>
      <c r="B46" s="1" t="s">
        <v>78</v>
      </c>
      <c r="C46" s="1" t="s">
        <v>79</v>
      </c>
      <c r="D46" s="2" t="s">
        <v>13</v>
      </c>
      <c r="E46" s="2" t="s">
        <v>75</v>
      </c>
      <c r="F46" s="9"/>
      <c r="G46" s="10">
        <v>1453.67</v>
      </c>
      <c r="H46" s="9">
        <v>313.61</v>
      </c>
      <c r="I46" s="10">
        <f t="shared" si="8"/>
        <v>1140.06</v>
      </c>
      <c r="J46" s="4">
        <f>G46/VLOOKUP(A46,RESUME!$G$3:$I$10,3,FALSE)</f>
        <v>1.6680945462039718E-2</v>
      </c>
      <c r="K46" s="4">
        <f t="shared" si="2"/>
        <v>7.7320844328316304E-2</v>
      </c>
      <c r="L46" s="29" t="str">
        <f>VLOOKUP(A46&amp;"-"&amp;B46&amp;"-"&amp;D46,Ref_Account!$A:$F,6,FALSE)</f>
        <v>1201.813100</v>
      </c>
      <c r="N46" s="1">
        <f t="shared" si="7"/>
        <v>1</v>
      </c>
    </row>
    <row r="47" spans="1:14" x14ac:dyDescent="0.25">
      <c r="A47" s="9" t="str">
        <f t="shared" si="9"/>
        <v>Owi Wijaya</v>
      </c>
      <c r="B47" s="1" t="s">
        <v>80</v>
      </c>
      <c r="C47" s="1" t="s">
        <v>81</v>
      </c>
      <c r="D47" s="2" t="s">
        <v>13</v>
      </c>
      <c r="E47" s="2" t="s">
        <v>82</v>
      </c>
      <c r="F47" s="9"/>
      <c r="G47" s="10">
        <v>531</v>
      </c>
      <c r="H47" s="9">
        <v>-10.54</v>
      </c>
      <c r="I47" s="10">
        <f t="shared" si="8"/>
        <v>541.54</v>
      </c>
      <c r="J47" s="4">
        <f>G47/VLOOKUP(A47,RESUME!$G$3:$I$10,3,FALSE)</f>
        <v>6.0932550306074208E-3</v>
      </c>
      <c r="K47" s="4">
        <f t="shared" si="2"/>
        <v>-0.30697518228202475</v>
      </c>
      <c r="L47" s="29" t="str">
        <f>VLOOKUP(A47&amp;"-"&amp;B47&amp;"-"&amp;D47,Ref_Account!$A:$F,6,FALSE)</f>
        <v>1201.630300</v>
      </c>
      <c r="N47" s="1">
        <f t="shared" si="7"/>
        <v>1</v>
      </c>
    </row>
    <row r="48" spans="1:14" x14ac:dyDescent="0.25">
      <c r="A48" s="9" t="str">
        <f t="shared" si="9"/>
        <v>Owi Wijaya</v>
      </c>
      <c r="B48" s="1" t="s">
        <v>154</v>
      </c>
      <c r="C48" s="1" t="s">
        <v>83</v>
      </c>
      <c r="D48" s="2" t="s">
        <v>13</v>
      </c>
      <c r="E48" s="2" t="s">
        <v>75</v>
      </c>
      <c r="F48" s="9"/>
      <c r="G48" s="10">
        <v>2429</v>
      </c>
      <c r="H48" s="9"/>
      <c r="I48" s="10">
        <f t="shared" si="8"/>
        <v>2429</v>
      </c>
      <c r="J48" s="4">
        <f>G48/VLOOKUP(A48,RESUME!$G$3:$I$10,3,FALSE)</f>
        <v>2.7872912371648635E-2</v>
      </c>
      <c r="K48" s="4" t="str">
        <f t="shared" si="2"/>
        <v/>
      </c>
      <c r="L48" s="29" t="str">
        <f>VLOOKUP(A48&amp;"-"&amp;B48&amp;"-"&amp;D48,Ref_Account!$A:$F,6,FALSE)</f>
        <v>1201.630200</v>
      </c>
      <c r="N48" s="1">
        <f t="shared" si="7"/>
        <v>2</v>
      </c>
    </row>
    <row r="49" spans="1:14" x14ac:dyDescent="0.25">
      <c r="A49" s="9" t="str">
        <f t="shared" si="9"/>
        <v>Owi Wijaya</v>
      </c>
      <c r="B49" s="1" t="s">
        <v>154</v>
      </c>
      <c r="C49" s="1" t="s">
        <v>84</v>
      </c>
      <c r="D49" s="2" t="s">
        <v>13</v>
      </c>
      <c r="E49" s="2" t="s">
        <v>75</v>
      </c>
      <c r="F49" s="9"/>
      <c r="G49" s="10">
        <v>200</v>
      </c>
      <c r="H49" s="9"/>
      <c r="I49" s="10">
        <f t="shared" si="8"/>
        <v>200</v>
      </c>
      <c r="J49" s="4">
        <f>G49/VLOOKUP(A49,RESUME!$G$3:$I$10,3,FALSE)</f>
        <v>2.2950113109632469E-3</v>
      </c>
      <c r="K49" s="4" t="str">
        <f t="shared" si="2"/>
        <v/>
      </c>
      <c r="L49" s="29" t="str">
        <f>VLOOKUP(A49&amp;"-"&amp;B49&amp;"-"&amp;D49,Ref_Account!$A:$F,6,FALSE)</f>
        <v>1201.630200</v>
      </c>
      <c r="N49" s="1">
        <f t="shared" si="7"/>
        <v>2</v>
      </c>
    </row>
    <row r="50" spans="1:14" x14ac:dyDescent="0.25">
      <c r="A50" s="9" t="str">
        <f t="shared" si="9"/>
        <v>Owi Wijaya</v>
      </c>
      <c r="B50" s="1" t="s">
        <v>85</v>
      </c>
      <c r="C50" s="1" t="s">
        <v>86</v>
      </c>
      <c r="D50" s="2" t="s">
        <v>13</v>
      </c>
      <c r="E50" s="2" t="s">
        <v>75</v>
      </c>
      <c r="F50" s="9"/>
      <c r="G50" s="10">
        <v>3004.76</v>
      </c>
      <c r="H50" s="9">
        <v>2328.67</v>
      </c>
      <c r="I50" s="10">
        <f t="shared" si="8"/>
        <v>676.09000000000015</v>
      </c>
      <c r="J50" s="4">
        <f>G50/VLOOKUP(A50,RESUME!$G$3:$I$10,3,FALSE)</f>
        <v>3.4479790933649633E-2</v>
      </c>
      <c r="K50" s="4">
        <f t="shared" si="2"/>
        <v>4.4490415819241486E-2</v>
      </c>
      <c r="L50" s="29" t="str">
        <f>VLOOKUP(A50&amp;"-"&amp;B50&amp;"-"&amp;D50,Ref_Account!$A:$F,6,FALSE)</f>
        <v>1201.630530</v>
      </c>
      <c r="N50" s="1">
        <f t="shared" si="7"/>
        <v>1</v>
      </c>
    </row>
    <row r="51" spans="1:14" x14ac:dyDescent="0.25">
      <c r="A51" s="9" t="str">
        <f t="shared" si="9"/>
        <v>Owi Wijaya</v>
      </c>
      <c r="B51" s="1" t="s">
        <v>85</v>
      </c>
      <c r="C51" s="1" t="s">
        <v>86</v>
      </c>
      <c r="D51" s="2" t="s">
        <v>15</v>
      </c>
      <c r="E51" s="2" t="s">
        <v>75</v>
      </c>
      <c r="F51" s="9"/>
      <c r="G51" s="10">
        <v>1543.55</v>
      </c>
      <c r="H51" s="9">
        <v>423.97</v>
      </c>
      <c r="I51" s="10">
        <f t="shared" si="8"/>
        <v>1119.58</v>
      </c>
      <c r="J51" s="4">
        <f>G51/VLOOKUP(A51,RESUME!$G$3:$I$10,3,FALSE)</f>
        <v>1.7712323545186599E-2</v>
      </c>
      <c r="K51" s="4">
        <f t="shared" si="2"/>
        <v>6.4485357473813648E-2</v>
      </c>
      <c r="L51" s="29" t="str">
        <f>VLOOKUP(A51&amp;"-"&amp;B51&amp;"-"&amp;D51,Ref_Account!$A:$F,6,FALSE)</f>
        <v>1204.630530</v>
      </c>
      <c r="M51" s="1" t="s">
        <v>214</v>
      </c>
      <c r="N51" s="1">
        <f t="shared" si="7"/>
        <v>1</v>
      </c>
    </row>
    <row r="52" spans="1:14" x14ac:dyDescent="0.25">
      <c r="A52" s="9" t="str">
        <f t="shared" si="9"/>
        <v>Owi Wijaya</v>
      </c>
      <c r="B52" s="1" t="s">
        <v>87</v>
      </c>
      <c r="C52" s="1" t="s">
        <v>88</v>
      </c>
      <c r="D52" s="2" t="s">
        <v>13</v>
      </c>
      <c r="E52" s="2" t="s">
        <v>75</v>
      </c>
      <c r="F52" s="9"/>
      <c r="G52" s="10">
        <v>938.47</v>
      </c>
      <c r="H52" s="9">
        <v>326.61</v>
      </c>
      <c r="I52" s="10">
        <f t="shared" si="8"/>
        <v>611.86</v>
      </c>
      <c r="J52" s="4">
        <f>G52/VLOOKUP(A52,RESUME!$G$3:$I$10,3,FALSE)</f>
        <v>1.0768996324998392E-2</v>
      </c>
      <c r="K52" s="4">
        <f t="shared" si="2"/>
        <v>3.0943265610732192E-2</v>
      </c>
      <c r="L52" s="29" t="str">
        <f>VLOOKUP(A52&amp;"-"&amp;B52&amp;"-"&amp;D52,Ref_Account!$A:$F,6,FALSE)</f>
        <v>1201.808100</v>
      </c>
      <c r="N52" s="1">
        <f t="shared" si="7"/>
        <v>1</v>
      </c>
    </row>
    <row r="53" spans="1:14" x14ac:dyDescent="0.25">
      <c r="A53" s="9" t="str">
        <f t="shared" si="9"/>
        <v>Owi Wijaya</v>
      </c>
      <c r="B53" s="1" t="s">
        <v>87</v>
      </c>
      <c r="C53" s="1" t="s">
        <v>88</v>
      </c>
      <c r="D53" s="2" t="s">
        <v>24</v>
      </c>
      <c r="E53" s="2" t="s">
        <v>75</v>
      </c>
      <c r="F53" s="9"/>
      <c r="G53" s="10">
        <v>175.55</v>
      </c>
      <c r="H53" s="9"/>
      <c r="I53" s="10">
        <f t="shared" si="8"/>
        <v>175.55</v>
      </c>
      <c r="J53" s="4">
        <f>G53/VLOOKUP(A53,RESUME!$G$3:$I$10,3,FALSE)</f>
        <v>2.0144461781979902E-3</v>
      </c>
      <c r="K53" s="4" t="str">
        <f t="shared" si="2"/>
        <v/>
      </c>
      <c r="L53" s="29" t="str">
        <f>VLOOKUP(A53&amp;"-"&amp;B53&amp;"-"&amp;D53,Ref_Account!$A:$F,6,FALSE)</f>
        <v>1205.808100</v>
      </c>
      <c r="M53" s="1" t="s">
        <v>214</v>
      </c>
      <c r="N53" s="1">
        <f t="shared" si="7"/>
        <v>1</v>
      </c>
    </row>
    <row r="54" spans="1:14" x14ac:dyDescent="0.25">
      <c r="A54" s="9" t="str">
        <f t="shared" si="9"/>
        <v>Owi Wijaya</v>
      </c>
      <c r="B54" s="1" t="s">
        <v>87</v>
      </c>
      <c r="C54" s="1" t="s">
        <v>88</v>
      </c>
      <c r="D54" s="2" t="s">
        <v>15</v>
      </c>
      <c r="E54" s="2" t="s">
        <v>75</v>
      </c>
      <c r="F54" s="9"/>
      <c r="G54" s="10">
        <v>2294.39</v>
      </c>
      <c r="H54" s="9">
        <v>336.64</v>
      </c>
      <c r="I54" s="10">
        <f t="shared" si="8"/>
        <v>1957.75</v>
      </c>
      <c r="J54" s="4">
        <f>G54/VLOOKUP(A54,RESUME!$G$3:$I$10,3,FALSE)</f>
        <v>2.632825500880482E-2</v>
      </c>
      <c r="K54" s="4">
        <f t="shared" si="2"/>
        <v>0.17944179244787217</v>
      </c>
      <c r="L54" s="29" t="str">
        <f>VLOOKUP(A54&amp;"-"&amp;B54&amp;"-"&amp;D54,Ref_Account!$A:$F,6,FALSE)</f>
        <v>1204.808100</v>
      </c>
      <c r="M54" s="1" t="s">
        <v>214</v>
      </c>
      <c r="N54" s="1">
        <f t="shared" si="7"/>
        <v>1</v>
      </c>
    </row>
    <row r="55" spans="1:14" x14ac:dyDescent="0.25">
      <c r="A55" s="9" t="str">
        <f t="shared" si="9"/>
        <v>Owi Wijaya</v>
      </c>
      <c r="B55" s="1" t="s">
        <v>89</v>
      </c>
      <c r="C55" s="1" t="s">
        <v>90</v>
      </c>
      <c r="D55" s="2" t="s">
        <v>13</v>
      </c>
      <c r="E55" s="2" t="s">
        <v>75</v>
      </c>
      <c r="F55" s="9"/>
      <c r="G55" s="10">
        <v>1987.05</v>
      </c>
      <c r="H55" s="9"/>
      <c r="I55" s="10">
        <f t="shared" si="8"/>
        <v>1987.05</v>
      </c>
      <c r="J55" s="4">
        <f>G55/VLOOKUP(A55,RESUME!$G$3:$I$10,3,FALSE)</f>
        <v>2.2801511127247598E-2</v>
      </c>
      <c r="K55" s="4" t="str">
        <f t="shared" si="2"/>
        <v/>
      </c>
      <c r="L55" s="29" t="str">
        <f>VLOOKUP(A55&amp;"-"&amp;B55&amp;"-"&amp;D55,Ref_Account!$A:$F,6,FALSE)</f>
        <v>1201.630900</v>
      </c>
      <c r="M55" s="1" t="s">
        <v>177</v>
      </c>
      <c r="N55" s="1">
        <f t="shared" si="7"/>
        <v>1</v>
      </c>
    </row>
    <row r="56" spans="1:14" x14ac:dyDescent="0.25">
      <c r="A56" s="9" t="str">
        <f t="shared" si="9"/>
        <v>Owi Wijaya</v>
      </c>
      <c r="B56" s="1" t="s">
        <v>89</v>
      </c>
      <c r="C56" s="1" t="s">
        <v>90</v>
      </c>
      <c r="D56" s="2" t="s">
        <v>15</v>
      </c>
      <c r="E56" s="2" t="s">
        <v>75</v>
      </c>
      <c r="F56" s="9"/>
      <c r="G56" s="10">
        <v>1692.67</v>
      </c>
      <c r="H56" s="9"/>
      <c r="I56" s="10">
        <f t="shared" si="8"/>
        <v>1692.67</v>
      </c>
      <c r="J56" s="4">
        <f>G56/VLOOKUP(A56,RESUME!$G$3:$I$10,3,FALSE)</f>
        <v>1.9423483978640799E-2</v>
      </c>
      <c r="K56" s="4" t="str">
        <f t="shared" si="2"/>
        <v/>
      </c>
      <c r="L56" s="29" t="str">
        <f>VLOOKUP(A56&amp;"-"&amp;B56&amp;"-"&amp;D56,Ref_Account!$A:$F,6,FALSE)</f>
        <v>1204.630900</v>
      </c>
      <c r="M56" s="1" t="s">
        <v>177</v>
      </c>
      <c r="N56" s="1">
        <f t="shared" si="7"/>
        <v>1</v>
      </c>
    </row>
    <row r="57" spans="1:14" x14ac:dyDescent="0.25">
      <c r="A57" s="9" t="str">
        <f t="shared" si="9"/>
        <v>Owi Wijaya</v>
      </c>
      <c r="B57" s="1" t="s">
        <v>91</v>
      </c>
      <c r="C57" s="1" t="s">
        <v>92</v>
      </c>
      <c r="D57" s="2" t="s">
        <v>13</v>
      </c>
      <c r="E57" s="2" t="s">
        <v>75</v>
      </c>
      <c r="F57" s="9"/>
      <c r="G57" s="10">
        <v>569</v>
      </c>
      <c r="H57" s="9">
        <v>460.21</v>
      </c>
      <c r="I57" s="10">
        <f t="shared" si="8"/>
        <v>108.79000000000002</v>
      </c>
      <c r="J57" s="4">
        <f>G57/VLOOKUP(A57,RESUME!$G$3:$I$10,3,FALSE)</f>
        <v>6.5293071796904377E-3</v>
      </c>
      <c r="K57" s="4">
        <f t="shared" si="2"/>
        <v>8.0727836971031912E-3</v>
      </c>
      <c r="L57" s="29" t="str">
        <f>VLOOKUP(A57&amp;"-"&amp;B57&amp;"-"&amp;D57,Ref_Account!$A:$F,6,FALSE)</f>
        <v>1201.802140</v>
      </c>
      <c r="N57" s="1">
        <f t="shared" si="7"/>
        <v>1</v>
      </c>
    </row>
    <row r="58" spans="1:14" x14ac:dyDescent="0.25">
      <c r="A58" s="9" t="str">
        <f t="shared" si="9"/>
        <v>Owi Wijaya</v>
      </c>
      <c r="B58" s="1" t="s">
        <v>91</v>
      </c>
      <c r="C58" s="1" t="s">
        <v>92</v>
      </c>
      <c r="D58" s="2" t="s">
        <v>15</v>
      </c>
      <c r="E58" s="2" t="s">
        <v>75</v>
      </c>
      <c r="F58" s="9"/>
      <c r="G58" s="10">
        <v>300</v>
      </c>
      <c r="H58" s="9"/>
      <c r="I58" s="10">
        <f t="shared" si="8"/>
        <v>300</v>
      </c>
      <c r="J58" s="4">
        <f>G58/VLOOKUP(A58,RESUME!$G$3:$I$10,3,FALSE)</f>
        <v>3.4425169664448704E-3</v>
      </c>
      <c r="K58" s="4" t="str">
        <f t="shared" si="2"/>
        <v/>
      </c>
      <c r="L58" s="29" t="str">
        <f>VLOOKUP(A58&amp;"-"&amp;B58&amp;"-"&amp;D58,Ref_Account!$A:$F,6,FALSE)</f>
        <v>1204.802140</v>
      </c>
      <c r="M58" s="1" t="s">
        <v>214</v>
      </c>
      <c r="N58" s="1">
        <f t="shared" si="7"/>
        <v>1</v>
      </c>
    </row>
    <row r="59" spans="1:14" x14ac:dyDescent="0.25">
      <c r="A59" s="9" t="str">
        <f t="shared" si="9"/>
        <v>Owi Wijaya</v>
      </c>
      <c r="B59" s="1" t="s">
        <v>93</v>
      </c>
      <c r="C59" s="1" t="s">
        <v>94</v>
      </c>
      <c r="D59" s="2" t="s">
        <v>13</v>
      </c>
      <c r="E59" s="2" t="s">
        <v>95</v>
      </c>
      <c r="F59" s="9"/>
      <c r="G59" s="10">
        <v>2288.86</v>
      </c>
      <c r="H59" s="9"/>
      <c r="I59" s="10">
        <f t="shared" si="8"/>
        <v>2288.86</v>
      </c>
      <c r="J59" s="4">
        <f>G59/VLOOKUP(A59,RESUME!$G$3:$I$10,3,FALSE)</f>
        <v>2.6264797946056691E-2</v>
      </c>
      <c r="K59" s="4" t="str">
        <f t="shared" si="2"/>
        <v/>
      </c>
      <c r="L59" s="29" t="str">
        <f>VLOOKUP(A59&amp;"-"&amp;B59&amp;"-"&amp;D59,Ref_Account!$A:$F,6,FALSE)</f>
        <v>1201.801160</v>
      </c>
      <c r="N59" s="1">
        <f t="shared" si="7"/>
        <v>1</v>
      </c>
    </row>
    <row r="60" spans="1:14" x14ac:dyDescent="0.25">
      <c r="A60" s="9" t="str">
        <f t="shared" si="9"/>
        <v>Owi Wijaya</v>
      </c>
      <c r="B60" s="1" t="s">
        <v>96</v>
      </c>
      <c r="C60" s="1" t="s">
        <v>97</v>
      </c>
      <c r="D60" s="2" t="s">
        <v>13</v>
      </c>
      <c r="E60" s="2" t="s">
        <v>98</v>
      </c>
      <c r="F60" s="9"/>
      <c r="G60" s="10">
        <v>36500.160000000003</v>
      </c>
      <c r="H60" s="9">
        <v>122.79</v>
      </c>
      <c r="I60" s="10">
        <f t="shared" si="8"/>
        <v>36377.370000000003</v>
      </c>
      <c r="J60" s="4">
        <f>G60/VLOOKUP(A60,RESUME!$G$3:$I$10,3,FALSE)</f>
        <v>0.4188414002598414</v>
      </c>
      <c r="K60" s="4">
        <f t="shared" si="2"/>
        <v>124.5034459166728</v>
      </c>
      <c r="L60" s="29" t="str">
        <f>VLOOKUP(A60&amp;"-"&amp;B60&amp;"-"&amp;D60,Ref_Account!$A:$F,6,FALSE)</f>
        <v>1201.630110</v>
      </c>
      <c r="N60" s="1">
        <f t="shared" si="7"/>
        <v>1</v>
      </c>
    </row>
    <row r="61" spans="1:14" x14ac:dyDescent="0.25">
      <c r="A61" s="9" t="str">
        <f t="shared" si="9"/>
        <v>Owi Wijaya</v>
      </c>
      <c r="B61" s="1" t="s">
        <v>99</v>
      </c>
      <c r="C61" s="1" t="s">
        <v>100</v>
      </c>
      <c r="D61" s="2" t="s">
        <v>13</v>
      </c>
      <c r="E61" s="2" t="s">
        <v>75</v>
      </c>
      <c r="F61" s="9"/>
      <c r="G61" s="10">
        <v>1440.17</v>
      </c>
      <c r="H61" s="9">
        <v>0.63</v>
      </c>
      <c r="I61" s="10">
        <f t="shared" si="8"/>
        <v>1439.54</v>
      </c>
      <c r="J61" s="4">
        <f>G61/VLOOKUP(A61,RESUME!$G$3:$I$10,3,FALSE)</f>
        <v>1.6526032198549697E-2</v>
      </c>
      <c r="K61" s="4">
        <f t="shared" si="2"/>
        <v>37.778247287913203</v>
      </c>
      <c r="L61" s="29" t="str">
        <f>VLOOKUP(A61&amp;"-"&amp;B61&amp;"-"&amp;D61,Ref_Account!$A:$F,6,FALSE)</f>
        <v>1201.809100</v>
      </c>
      <c r="N61" s="1">
        <f t="shared" si="7"/>
        <v>1</v>
      </c>
    </row>
    <row r="62" spans="1:14" x14ac:dyDescent="0.25">
      <c r="A62" s="9" t="str">
        <f t="shared" si="9"/>
        <v>Owi Wijaya</v>
      </c>
      <c r="B62" s="1" t="s">
        <v>99</v>
      </c>
      <c r="C62" s="1" t="s">
        <v>100</v>
      </c>
      <c r="D62" s="2" t="s">
        <v>101</v>
      </c>
      <c r="E62" s="2" t="s">
        <v>75</v>
      </c>
      <c r="F62" s="9"/>
      <c r="G62" s="10">
        <v>14.27</v>
      </c>
      <c r="H62" s="9"/>
      <c r="I62" s="10">
        <f t="shared" si="8"/>
        <v>14.27</v>
      </c>
      <c r="J62" s="4">
        <f>G62/VLOOKUP(A62,RESUME!$G$3:$I$10,3,FALSE)</f>
        <v>1.6374905703722768E-4</v>
      </c>
      <c r="K62" s="4" t="str">
        <f t="shared" si="2"/>
        <v/>
      </c>
      <c r="L62" s="29" t="str">
        <f>VLOOKUP(A62&amp;"-"&amp;B62&amp;"-"&amp;D62,Ref_Account!$A:$F,6,FALSE)</f>
        <v>1206.809100</v>
      </c>
      <c r="M62" s="1" t="s">
        <v>214</v>
      </c>
      <c r="N62" s="1">
        <f t="shared" si="7"/>
        <v>1</v>
      </c>
    </row>
    <row r="63" spans="1:14" x14ac:dyDescent="0.25">
      <c r="A63" s="9" t="str">
        <f t="shared" si="9"/>
        <v>Owi Wijaya</v>
      </c>
      <c r="B63" s="1" t="s">
        <v>99</v>
      </c>
      <c r="C63" s="1" t="s">
        <v>100</v>
      </c>
      <c r="D63" s="2" t="s">
        <v>24</v>
      </c>
      <c r="E63" s="2" t="s">
        <v>75</v>
      </c>
      <c r="F63" s="9"/>
      <c r="G63" s="10">
        <v>35.56</v>
      </c>
      <c r="H63" s="9"/>
      <c r="I63" s="10">
        <f t="shared" si="8"/>
        <v>35.56</v>
      </c>
      <c r="J63" s="4">
        <f>G63/VLOOKUP(A63,RESUME!$G$3:$I$10,3,FALSE)</f>
        <v>4.0805301108926532E-4</v>
      </c>
      <c r="K63" s="4" t="str">
        <f t="shared" si="2"/>
        <v/>
      </c>
      <c r="L63" s="29" t="str">
        <f>VLOOKUP(A63&amp;"-"&amp;B63&amp;"-"&amp;D63,Ref_Account!$A:$F,6,FALSE)</f>
        <v>1205.809100</v>
      </c>
      <c r="M63" s="1" t="s">
        <v>214</v>
      </c>
      <c r="N63" s="1">
        <f t="shared" si="7"/>
        <v>1</v>
      </c>
    </row>
    <row r="64" spans="1:14" x14ac:dyDescent="0.25">
      <c r="A64" s="9" t="str">
        <f t="shared" si="9"/>
        <v>Owi Wijaya</v>
      </c>
      <c r="B64" s="1" t="s">
        <v>99</v>
      </c>
      <c r="C64" s="1" t="s">
        <v>100</v>
      </c>
      <c r="D64" s="2" t="s">
        <v>15</v>
      </c>
      <c r="E64" s="2" t="s">
        <v>75</v>
      </c>
      <c r="F64" s="9"/>
      <c r="G64" s="10">
        <v>9.69</v>
      </c>
      <c r="H64" s="9">
        <v>20.88</v>
      </c>
      <c r="I64" s="10">
        <f t="shared" si="8"/>
        <v>-11.19</v>
      </c>
      <c r="J64" s="4">
        <f>G64/VLOOKUP(A64,RESUME!$G$3:$I$10,3,FALSE)</f>
        <v>1.1119329801616931E-4</v>
      </c>
      <c r="K64" s="4">
        <f t="shared" si="2"/>
        <v>5.1602636866699261E-5</v>
      </c>
      <c r="L64" s="29" t="str">
        <f>VLOOKUP(A64&amp;"-"&amp;B64&amp;"-"&amp;D64,Ref_Account!$A:$F,6,FALSE)</f>
        <v>1204.809100</v>
      </c>
      <c r="M64" s="1" t="s">
        <v>214</v>
      </c>
      <c r="N64" s="1">
        <f t="shared" si="7"/>
        <v>1</v>
      </c>
    </row>
    <row r="65" spans="1:14" x14ac:dyDescent="0.25">
      <c r="A65" s="9" t="str">
        <f t="shared" si="9"/>
        <v>Owi Wijaya</v>
      </c>
      <c r="B65" s="1" t="s">
        <v>102</v>
      </c>
      <c r="C65" s="1" t="s">
        <v>103</v>
      </c>
      <c r="D65" s="2" t="s">
        <v>13</v>
      </c>
      <c r="E65" s="2" t="s">
        <v>75</v>
      </c>
      <c r="F65" s="9"/>
      <c r="G65" s="10">
        <v>400</v>
      </c>
      <c r="H65" s="9">
        <v>878.22</v>
      </c>
      <c r="I65" s="10">
        <f t="shared" si="8"/>
        <v>-478.22</v>
      </c>
      <c r="J65" s="4">
        <f>G65/VLOOKUP(A65,RESUME!$G$3:$I$10,3,FALSE)</f>
        <v>4.5900226219264938E-3</v>
      </c>
      <c r="K65" s="4">
        <f t="shared" si="2"/>
        <v>2.0906026380298759E-3</v>
      </c>
      <c r="L65" s="29" t="str">
        <f>VLOOKUP(A65&amp;"-"&amp;B65&amp;"-"&amp;D65,Ref_Account!$A:$F,6,FALSE)</f>
        <v>1201.630710</v>
      </c>
      <c r="N65" s="1">
        <f t="shared" si="7"/>
        <v>1</v>
      </c>
    </row>
    <row r="66" spans="1:14" x14ac:dyDescent="0.25">
      <c r="A66" s="9" t="str">
        <f t="shared" si="9"/>
        <v>Owi Wijaya</v>
      </c>
      <c r="B66" s="1" t="s">
        <v>104</v>
      </c>
      <c r="C66" s="1" t="s">
        <v>105</v>
      </c>
      <c r="D66" s="2" t="s">
        <v>13</v>
      </c>
      <c r="E66" s="2" t="s">
        <v>82</v>
      </c>
      <c r="F66" s="9"/>
      <c r="G66" s="10">
        <v>100</v>
      </c>
      <c r="H66" s="9"/>
      <c r="I66" s="10">
        <f t="shared" si="8"/>
        <v>100</v>
      </c>
      <c r="J66" s="4">
        <f>G66/VLOOKUP(A66,RESUME!$G$3:$I$10,3,FALSE)</f>
        <v>1.1475056554816235E-3</v>
      </c>
      <c r="K66" s="4" t="str">
        <f t="shared" si="2"/>
        <v/>
      </c>
      <c r="L66" s="29" t="str">
        <f>VLOOKUP(A66&amp;"-"&amp;B66&amp;"-"&amp;D66,Ref_Account!$A:$F,6,FALSE)</f>
        <v>1201.630770</v>
      </c>
      <c r="N66" s="1">
        <f t="shared" si="7"/>
        <v>1</v>
      </c>
    </row>
    <row r="67" spans="1:14" x14ac:dyDescent="0.25">
      <c r="A67" s="9" t="str">
        <f t="shared" si="9"/>
        <v>Owi Wijaya</v>
      </c>
      <c r="B67" s="1" t="s">
        <v>106</v>
      </c>
      <c r="C67" s="1" t="s">
        <v>107</v>
      </c>
      <c r="D67" s="2" t="s">
        <v>13</v>
      </c>
      <c r="E67" s="2" t="s">
        <v>82</v>
      </c>
      <c r="F67" s="9"/>
      <c r="G67" s="10">
        <v>100</v>
      </c>
      <c r="H67" s="9"/>
      <c r="I67" s="10">
        <f t="shared" si="8"/>
        <v>100</v>
      </c>
      <c r="J67" s="4">
        <f>G67/VLOOKUP(A67,RESUME!$G$3:$I$10,3,FALSE)</f>
        <v>1.1475056554816235E-3</v>
      </c>
      <c r="K67" s="4" t="str">
        <f t="shared" si="2"/>
        <v/>
      </c>
      <c r="L67" s="29" t="str">
        <f>VLOOKUP(A67&amp;"-"&amp;B67&amp;"-"&amp;D67,Ref_Account!$A:$F,6,FALSE)</f>
        <v>1201.630750</v>
      </c>
      <c r="N67" s="1">
        <f t="shared" si="7"/>
        <v>1</v>
      </c>
    </row>
    <row r="68" spans="1:14" x14ac:dyDescent="0.25">
      <c r="A68" s="9" t="str">
        <f t="shared" si="9"/>
        <v>Owi Wijaya</v>
      </c>
      <c r="B68" s="1" t="s">
        <v>108</v>
      </c>
      <c r="C68" s="1" t="s">
        <v>109</v>
      </c>
      <c r="D68" s="2" t="s">
        <v>13</v>
      </c>
      <c r="E68" s="2" t="s">
        <v>82</v>
      </c>
      <c r="F68" s="9"/>
      <c r="G68" s="10">
        <v>100</v>
      </c>
      <c r="H68" s="9">
        <v>510.61</v>
      </c>
      <c r="I68" s="10">
        <f t="shared" si="8"/>
        <v>-410.61</v>
      </c>
      <c r="J68" s="4">
        <f>G68/VLOOKUP(A68,RESUME!$G$3:$I$10,3,FALSE)</f>
        <v>1.1475056554816235E-3</v>
      </c>
      <c r="K68" s="4">
        <f t="shared" si="2"/>
        <v>2.2473231144741064E-4</v>
      </c>
      <c r="L68" s="29" t="str">
        <f>VLOOKUP(A68&amp;"-"&amp;B68&amp;"-"&amp;D68,Ref_Account!$A:$F,6,FALSE)</f>
        <v>1201.630720</v>
      </c>
      <c r="N68" s="1">
        <f t="shared" si="7"/>
        <v>1</v>
      </c>
    </row>
    <row r="69" spans="1:14" x14ac:dyDescent="0.25">
      <c r="A69" s="9" t="str">
        <f t="shared" si="9"/>
        <v>Owi Wijaya</v>
      </c>
      <c r="B69" s="1" t="s">
        <v>110</v>
      </c>
      <c r="C69" s="1" t="s">
        <v>111</v>
      </c>
      <c r="D69" s="2" t="s">
        <v>13</v>
      </c>
      <c r="E69" s="2" t="s">
        <v>82</v>
      </c>
      <c r="F69" s="9"/>
      <c r="G69" s="10">
        <v>100</v>
      </c>
      <c r="H69" s="9"/>
      <c r="I69" s="10">
        <f t="shared" si="8"/>
        <v>100</v>
      </c>
      <c r="J69" s="4">
        <f>G69/VLOOKUP(A69,RESUME!$G$3:$I$10,3,FALSE)</f>
        <v>1.1475056554816235E-3</v>
      </c>
      <c r="K69" s="4" t="str">
        <f t="shared" si="2"/>
        <v/>
      </c>
      <c r="L69" s="29" t="str">
        <f>VLOOKUP(A69&amp;"-"&amp;B69&amp;"-"&amp;D69,Ref_Account!$A:$F,6,FALSE)</f>
        <v>1201.630760</v>
      </c>
      <c r="N69" s="1">
        <f t="shared" si="7"/>
        <v>1</v>
      </c>
    </row>
    <row r="70" spans="1:14" x14ac:dyDescent="0.25">
      <c r="A70" s="9" t="str">
        <f t="shared" si="9"/>
        <v>Owi Wijaya</v>
      </c>
      <c r="B70" s="1" t="s">
        <v>110</v>
      </c>
      <c r="C70" s="1" t="s">
        <v>111</v>
      </c>
      <c r="D70" s="2" t="s">
        <v>24</v>
      </c>
      <c r="E70" s="2" t="s">
        <v>75</v>
      </c>
      <c r="F70" s="9"/>
      <c r="G70" s="10">
        <v>250</v>
      </c>
      <c r="H70" s="9"/>
      <c r="I70" s="10">
        <f t="shared" si="8"/>
        <v>250</v>
      </c>
      <c r="J70" s="4">
        <f>G70/VLOOKUP(A70,RESUME!$G$3:$I$10,3,FALSE)</f>
        <v>2.8687641387040589E-3</v>
      </c>
      <c r="K70" s="4" t="str">
        <f t="shared" ref="K70:K133" si="10">IFERROR((G70/H70)*J70,"")</f>
        <v/>
      </c>
      <c r="L70" s="29" t="str">
        <f>VLOOKUP(A70&amp;"-"&amp;B70&amp;"-"&amp;D70,Ref_Account!$A:$F,6,FALSE)</f>
        <v>1205.630760</v>
      </c>
      <c r="M70" s="1" t="s">
        <v>214</v>
      </c>
      <c r="N70" s="1">
        <f t="shared" ref="N70:N101" si="11">COUNTIF($L$6:$L$164,L70)</f>
        <v>1</v>
      </c>
    </row>
    <row r="71" spans="1:14" x14ac:dyDescent="0.25">
      <c r="A71" s="9" t="str">
        <f t="shared" si="9"/>
        <v>Owi Wijaya</v>
      </c>
      <c r="B71" s="1" t="s">
        <v>110</v>
      </c>
      <c r="C71" s="1" t="s">
        <v>111</v>
      </c>
      <c r="D71" s="2" t="s">
        <v>15</v>
      </c>
      <c r="E71" s="2" t="s">
        <v>75</v>
      </c>
      <c r="F71" s="9"/>
      <c r="G71" s="10">
        <v>300</v>
      </c>
      <c r="H71" s="9"/>
      <c r="I71" s="10">
        <f t="shared" si="8"/>
        <v>300</v>
      </c>
      <c r="J71" s="4">
        <f>G71/VLOOKUP(A71,RESUME!$G$3:$I$10,3,FALSE)</f>
        <v>3.4425169664448704E-3</v>
      </c>
      <c r="K71" s="4" t="str">
        <f t="shared" si="10"/>
        <v/>
      </c>
      <c r="L71" s="29" t="str">
        <f>VLOOKUP(A71&amp;"-"&amp;B71&amp;"-"&amp;D71,Ref_Account!$A:$F,6,FALSE)</f>
        <v>1204.630760</v>
      </c>
      <c r="M71" s="1" t="s">
        <v>214</v>
      </c>
      <c r="N71" s="1">
        <f t="shared" si="11"/>
        <v>1</v>
      </c>
    </row>
    <row r="72" spans="1:14" x14ac:dyDescent="0.25">
      <c r="A72" s="9" t="str">
        <f t="shared" si="9"/>
        <v>Owi Wijaya</v>
      </c>
      <c r="B72" s="1" t="s">
        <v>112</v>
      </c>
      <c r="C72" s="1" t="s">
        <v>113</v>
      </c>
      <c r="D72" s="2" t="s">
        <v>13</v>
      </c>
      <c r="E72" s="2" t="s">
        <v>82</v>
      </c>
      <c r="F72" s="9"/>
      <c r="G72" s="10">
        <v>100</v>
      </c>
      <c r="H72" s="9"/>
      <c r="I72" s="10">
        <f t="shared" si="8"/>
        <v>100</v>
      </c>
      <c r="J72" s="4">
        <f>G72/VLOOKUP(A72,RESUME!$G$3:$I$10,3,FALSE)</f>
        <v>1.1475056554816235E-3</v>
      </c>
      <c r="K72" s="4" t="str">
        <f t="shared" si="10"/>
        <v/>
      </c>
      <c r="L72" s="29" t="str">
        <f>VLOOKUP(A72&amp;"-"&amp;B72&amp;"-"&amp;D72,Ref_Account!$A:$F,6,FALSE)</f>
        <v>1201.630730</v>
      </c>
      <c r="N72" s="1">
        <f t="shared" si="11"/>
        <v>1</v>
      </c>
    </row>
    <row r="73" spans="1:14" x14ac:dyDescent="0.25">
      <c r="A73" s="9" t="str">
        <f t="shared" si="9"/>
        <v>Owi Wijaya</v>
      </c>
      <c r="B73" s="1" t="s">
        <v>114</v>
      </c>
      <c r="C73" s="1" t="s">
        <v>115</v>
      </c>
      <c r="D73" s="2" t="s">
        <v>13</v>
      </c>
      <c r="E73" s="2" t="s">
        <v>82</v>
      </c>
      <c r="F73" s="9"/>
      <c r="G73" s="10">
        <v>100</v>
      </c>
      <c r="H73" s="9"/>
      <c r="I73" s="10">
        <f t="shared" si="8"/>
        <v>100</v>
      </c>
      <c r="J73" s="4">
        <f>G73/VLOOKUP(A73,RESUME!$G$3:$I$10,3,FALSE)</f>
        <v>1.1475056554816235E-3</v>
      </c>
      <c r="K73" s="4" t="str">
        <f t="shared" si="10"/>
        <v/>
      </c>
      <c r="L73" s="29" t="str">
        <f>VLOOKUP(A73&amp;"-"&amp;B73&amp;"-"&amp;D73,Ref_Account!$A:$F,6,FALSE)</f>
        <v>1201.630740</v>
      </c>
      <c r="N73" s="1">
        <f t="shared" si="11"/>
        <v>1</v>
      </c>
    </row>
    <row r="74" spans="1:14" x14ac:dyDescent="0.25">
      <c r="A74" s="9" t="str">
        <f t="shared" si="9"/>
        <v>Owi Wijaya</v>
      </c>
      <c r="B74" s="1" t="s">
        <v>116</v>
      </c>
      <c r="C74" s="1" t="s">
        <v>117</v>
      </c>
      <c r="D74" s="2" t="s">
        <v>13</v>
      </c>
      <c r="E74" s="2" t="s">
        <v>75</v>
      </c>
      <c r="F74" s="9"/>
      <c r="G74" s="10">
        <v>328.75</v>
      </c>
      <c r="H74" s="9">
        <v>854.27</v>
      </c>
      <c r="I74" s="10">
        <f t="shared" si="8"/>
        <v>-525.52</v>
      </c>
      <c r="J74" s="4">
        <f>G74/VLOOKUP(A74,RESUME!$G$3:$I$10,3,FALSE)</f>
        <v>3.7724248423958375E-3</v>
      </c>
      <c r="K74" s="4">
        <f t="shared" si="10"/>
        <v>1.4517478864265764E-3</v>
      </c>
      <c r="L74" s="29" t="str">
        <f>VLOOKUP(A74&amp;"-"&amp;B74&amp;"-"&amp;D74,Ref_Account!$A:$F,6,FALSE)</f>
        <v>1201.810110</v>
      </c>
      <c r="N74" s="1">
        <f t="shared" si="11"/>
        <v>1</v>
      </c>
    </row>
    <row r="75" spans="1:14" x14ac:dyDescent="0.25">
      <c r="A75" s="9" t="str">
        <f t="shared" si="9"/>
        <v>Owi Wijaya</v>
      </c>
      <c r="B75" s="1" t="s">
        <v>116</v>
      </c>
      <c r="C75" s="1" t="s">
        <v>117</v>
      </c>
      <c r="D75" s="2" t="s">
        <v>101</v>
      </c>
      <c r="E75" s="2" t="s">
        <v>75</v>
      </c>
      <c r="F75" s="9"/>
      <c r="G75" s="10">
        <v>109.79</v>
      </c>
      <c r="H75" s="9"/>
      <c r="I75" s="10">
        <f t="shared" si="8"/>
        <v>109.79</v>
      </c>
      <c r="J75" s="4">
        <f>G75/VLOOKUP(A75,RESUME!$G$3:$I$10,3,FALSE)</f>
        <v>1.2598464591532744E-3</v>
      </c>
      <c r="K75" s="4" t="str">
        <f t="shared" si="10"/>
        <v/>
      </c>
      <c r="L75" s="29" t="str">
        <f>VLOOKUP(A75&amp;"-"&amp;B75&amp;"-"&amp;D75,Ref_Account!$A:$F,6,FALSE)</f>
        <v>1206.810110</v>
      </c>
      <c r="M75" s="1" t="s">
        <v>214</v>
      </c>
      <c r="N75" s="1">
        <f t="shared" si="11"/>
        <v>1</v>
      </c>
    </row>
    <row r="76" spans="1:14" x14ac:dyDescent="0.25">
      <c r="A76" s="9" t="str">
        <f t="shared" si="9"/>
        <v>Owi Wijaya</v>
      </c>
      <c r="B76" s="1" t="s">
        <v>116</v>
      </c>
      <c r="C76" s="1" t="s">
        <v>117</v>
      </c>
      <c r="D76" s="2" t="s">
        <v>24</v>
      </c>
      <c r="E76" s="2" t="s">
        <v>75</v>
      </c>
      <c r="F76" s="9"/>
      <c r="G76" s="10">
        <v>169.38</v>
      </c>
      <c r="H76" s="9">
        <v>50.62</v>
      </c>
      <c r="I76" s="10">
        <f t="shared" si="8"/>
        <v>118.75999999999999</v>
      </c>
      <c r="J76" s="4">
        <f>G76/VLOOKUP(A76,RESUME!$G$3:$I$10,3,FALSE)</f>
        <v>1.9436450792547739E-3</v>
      </c>
      <c r="K76" s="4">
        <f t="shared" si="10"/>
        <v>6.503646849549064E-3</v>
      </c>
      <c r="L76" s="29" t="str">
        <f>VLOOKUP(A76&amp;"-"&amp;B76&amp;"-"&amp;D76,Ref_Account!$A:$F,6,FALSE)</f>
        <v>1205.810110</v>
      </c>
      <c r="M76" s="1" t="s">
        <v>214</v>
      </c>
      <c r="N76" s="1">
        <f t="shared" si="11"/>
        <v>1</v>
      </c>
    </row>
    <row r="77" spans="1:14" x14ac:dyDescent="0.25">
      <c r="A77" s="9" t="str">
        <f t="shared" si="9"/>
        <v>Owi Wijaya</v>
      </c>
      <c r="B77" s="1" t="s">
        <v>116</v>
      </c>
      <c r="C77" s="1" t="s">
        <v>117</v>
      </c>
      <c r="D77" s="2" t="s">
        <v>15</v>
      </c>
      <c r="E77" s="2" t="s">
        <v>75</v>
      </c>
      <c r="F77" s="9"/>
      <c r="G77" s="10">
        <v>142.08000000000001</v>
      </c>
      <c r="H77" s="9">
        <v>60.12</v>
      </c>
      <c r="I77" s="10">
        <f t="shared" si="8"/>
        <v>81.960000000000008</v>
      </c>
      <c r="J77" s="4">
        <f>G77/VLOOKUP(A77,RESUME!$G$3:$I$10,3,FALSE)</f>
        <v>1.6303760353082908E-3</v>
      </c>
      <c r="K77" s="4">
        <f t="shared" si="10"/>
        <v>3.8530244028044244E-3</v>
      </c>
      <c r="L77" s="29" t="str">
        <f>VLOOKUP(A77&amp;"-"&amp;B77&amp;"-"&amp;D77,Ref_Account!$A:$F,6,FALSE)</f>
        <v>1204.810110</v>
      </c>
      <c r="M77" s="1" t="s">
        <v>214</v>
      </c>
      <c r="N77" s="1">
        <f t="shared" si="11"/>
        <v>1</v>
      </c>
    </row>
    <row r="78" spans="1:14" x14ac:dyDescent="0.25">
      <c r="A78" s="9" t="str">
        <f t="shared" si="9"/>
        <v>Owi Wijaya</v>
      </c>
      <c r="B78" s="1" t="s">
        <v>118</v>
      </c>
      <c r="C78" s="1" t="s">
        <v>119</v>
      </c>
      <c r="D78" s="2" t="s">
        <v>13</v>
      </c>
      <c r="E78" s="2" t="s">
        <v>75</v>
      </c>
      <c r="F78" s="9"/>
      <c r="G78" s="10">
        <v>4300</v>
      </c>
      <c r="H78" s="9">
        <v>2655.51</v>
      </c>
      <c r="I78" s="10">
        <f t="shared" si="8"/>
        <v>1644.4899999999998</v>
      </c>
      <c r="J78" s="4">
        <f>G78/VLOOKUP(A78,RESUME!$G$3:$I$10,3,FALSE)</f>
        <v>4.934274318570981E-2</v>
      </c>
      <c r="K78" s="4">
        <f t="shared" si="10"/>
        <v>7.9899452722283923E-2</v>
      </c>
      <c r="L78" s="29" t="str">
        <f>VLOOKUP(A78&amp;"-"&amp;B78&amp;"-"&amp;D78,Ref_Account!$A:$F,6,FALSE)</f>
        <v>1201.630130</v>
      </c>
      <c r="N78" s="1">
        <f t="shared" si="11"/>
        <v>1</v>
      </c>
    </row>
    <row r="79" spans="1:14" x14ac:dyDescent="0.25">
      <c r="A79" s="9" t="str">
        <f t="shared" si="9"/>
        <v>Owi Wijaya</v>
      </c>
      <c r="B79" s="1" t="s">
        <v>120</v>
      </c>
      <c r="C79" s="1" t="s">
        <v>121</v>
      </c>
      <c r="D79" s="2" t="s">
        <v>13</v>
      </c>
      <c r="E79" s="2" t="s">
        <v>122</v>
      </c>
      <c r="F79" s="9"/>
      <c r="G79" s="10">
        <v>1495.98</v>
      </c>
      <c r="H79" s="9">
        <v>338.65</v>
      </c>
      <c r="I79" s="10">
        <f t="shared" si="8"/>
        <v>1157.33</v>
      </c>
      <c r="J79" s="4">
        <f>G79/VLOOKUP(A79,RESUME!$G$3:$I$10,3,FALSE)</f>
        <v>1.7166455104873992E-2</v>
      </c>
      <c r="K79" s="4">
        <f t="shared" si="10"/>
        <v>7.583249227163559E-2</v>
      </c>
      <c r="L79" s="29" t="str">
        <f>VLOOKUP(A79&amp;"-"&amp;B79&amp;"-"&amp;D79,Ref_Account!$A:$F,6,FALSE)</f>
        <v>1201.816130</v>
      </c>
      <c r="N79" s="1">
        <f t="shared" si="11"/>
        <v>1</v>
      </c>
    </row>
    <row r="80" spans="1:14" x14ac:dyDescent="0.25">
      <c r="A80" s="9" t="str">
        <f t="shared" si="9"/>
        <v>Owi Wijaya</v>
      </c>
      <c r="B80" s="1" t="s">
        <v>120</v>
      </c>
      <c r="C80" s="1" t="s">
        <v>121</v>
      </c>
      <c r="D80" s="2" t="s">
        <v>101</v>
      </c>
      <c r="E80" s="2" t="s">
        <v>122</v>
      </c>
      <c r="F80" s="9"/>
      <c r="G80" s="10">
        <v>516.97</v>
      </c>
      <c r="H80" s="9">
        <v>562.23</v>
      </c>
      <c r="I80" s="10">
        <f t="shared" si="8"/>
        <v>-45.259999999999991</v>
      </c>
      <c r="J80" s="4">
        <f>G80/VLOOKUP(A80,RESUME!$G$3:$I$10,3,FALSE)</f>
        <v>5.9322599871433493E-3</v>
      </c>
      <c r="K80" s="4">
        <f t="shared" si="10"/>
        <v>5.4547079407955773E-3</v>
      </c>
      <c r="L80" s="29" t="str">
        <f>VLOOKUP(A80&amp;"-"&amp;B80&amp;"-"&amp;D80,Ref_Account!$A:$F,6,FALSE)</f>
        <v>1206.816130</v>
      </c>
      <c r="M80" s="1" t="s">
        <v>214</v>
      </c>
      <c r="N80" s="1">
        <f t="shared" si="11"/>
        <v>1</v>
      </c>
    </row>
    <row r="81" spans="1:14" x14ac:dyDescent="0.25">
      <c r="A81" s="9" t="str">
        <f t="shared" si="9"/>
        <v>Owi Wijaya</v>
      </c>
      <c r="B81" s="1" t="s">
        <v>120</v>
      </c>
      <c r="C81" s="1" t="s">
        <v>121</v>
      </c>
      <c r="D81" s="2" t="s">
        <v>24</v>
      </c>
      <c r="E81" s="2" t="s">
        <v>122</v>
      </c>
      <c r="F81" s="9"/>
      <c r="G81" s="10">
        <v>1463.62</v>
      </c>
      <c r="H81" s="9">
        <v>377.46</v>
      </c>
      <c r="I81" s="10">
        <f t="shared" si="8"/>
        <v>1086.1599999999999</v>
      </c>
      <c r="J81" s="4">
        <f>G81/VLOOKUP(A81,RESUME!$G$3:$I$10,3,FALSE)</f>
        <v>1.6795122274760137E-2</v>
      </c>
      <c r="K81" s="4">
        <f t="shared" si="10"/>
        <v>6.5123925353108764E-2</v>
      </c>
      <c r="L81" s="29" t="str">
        <f>VLOOKUP(A81&amp;"-"&amp;B81&amp;"-"&amp;D81,Ref_Account!$A:$F,6,FALSE)</f>
        <v>1205.816130</v>
      </c>
      <c r="M81" s="1" t="s">
        <v>214</v>
      </c>
      <c r="N81" s="1">
        <f t="shared" si="11"/>
        <v>1</v>
      </c>
    </row>
    <row r="82" spans="1:14" x14ac:dyDescent="0.25">
      <c r="A82" s="9" t="str">
        <f t="shared" si="9"/>
        <v>Owi Wijaya</v>
      </c>
      <c r="B82" s="1" t="s">
        <v>120</v>
      </c>
      <c r="C82" s="1" t="s">
        <v>121</v>
      </c>
      <c r="D82" s="2" t="s">
        <v>15</v>
      </c>
      <c r="E82" s="2" t="s">
        <v>122</v>
      </c>
      <c r="F82" s="9"/>
      <c r="G82" s="10">
        <v>1779.8599999999997</v>
      </c>
      <c r="H82" s="9">
        <v>315.92</v>
      </c>
      <c r="I82" s="10">
        <f t="shared" si="8"/>
        <v>1463.9399999999996</v>
      </c>
      <c r="J82" s="4">
        <f>G82/VLOOKUP(A82,RESUME!$G$3:$I$10,3,FALSE)</f>
        <v>2.042399415965522E-2</v>
      </c>
      <c r="K82" s="4">
        <f t="shared" si="10"/>
        <v>0.11506663156813095</v>
      </c>
      <c r="L82" s="29" t="str">
        <f>VLOOKUP(A82&amp;"-"&amp;B82&amp;"-"&amp;D82,Ref_Account!$A:$F,6,FALSE)</f>
        <v>1204.816130</v>
      </c>
      <c r="M82" s="1" t="s">
        <v>214</v>
      </c>
      <c r="N82" s="1">
        <f t="shared" si="11"/>
        <v>1</v>
      </c>
    </row>
    <row r="83" spans="1:14" x14ac:dyDescent="0.25">
      <c r="A83" s="9" t="str">
        <f t="shared" si="9"/>
        <v>Owi Wijaya</v>
      </c>
      <c r="B83" s="1" t="s">
        <v>21</v>
      </c>
      <c r="C83" s="1" t="s">
        <v>123</v>
      </c>
      <c r="D83" s="2" t="s">
        <v>101</v>
      </c>
      <c r="E83" s="2" t="s">
        <v>75</v>
      </c>
      <c r="F83" s="9"/>
      <c r="G83" s="10">
        <v>1115.46</v>
      </c>
      <c r="H83" s="9"/>
      <c r="I83" s="10">
        <f t="shared" si="8"/>
        <v>1115.46</v>
      </c>
      <c r="J83" s="4">
        <f>G83/VLOOKUP(A83,RESUME!$G$3:$I$10,3,FALSE)</f>
        <v>1.2799966584635319E-2</v>
      </c>
      <c r="K83" s="4" t="str">
        <f t="shared" si="10"/>
        <v/>
      </c>
      <c r="L83" s="29" t="str">
        <f>VLOOKUP(A83&amp;"-"&amp;B83&amp;"-"&amp;D83,Ref_Account!$A:$F,6,FALSE)</f>
        <v>1206.631100</v>
      </c>
      <c r="M83" s="1" t="s">
        <v>177</v>
      </c>
      <c r="N83" s="1">
        <f t="shared" si="11"/>
        <v>1</v>
      </c>
    </row>
    <row r="84" spans="1:14" x14ac:dyDescent="0.25">
      <c r="A84" s="9" t="str">
        <f t="shared" si="9"/>
        <v>Owi Wijaya</v>
      </c>
      <c r="B84" s="1" t="s">
        <v>124</v>
      </c>
      <c r="C84" s="1" t="s">
        <v>125</v>
      </c>
      <c r="D84" s="2" t="s">
        <v>13</v>
      </c>
      <c r="E84" s="2" t="s">
        <v>82</v>
      </c>
      <c r="F84" s="9"/>
      <c r="G84" s="10">
        <v>651</v>
      </c>
      <c r="H84" s="9">
        <v>81.39</v>
      </c>
      <c r="I84" s="10">
        <f t="shared" si="8"/>
        <v>569.61</v>
      </c>
      <c r="J84" s="4">
        <f>G84/VLOOKUP(A84,RESUME!$G$3:$I$10,3,FALSE)</f>
        <v>7.4702618171853695E-3</v>
      </c>
      <c r="K84" s="4">
        <f t="shared" si="10"/>
        <v>5.9751080513425182E-2</v>
      </c>
      <c r="L84" s="29" t="str">
        <f>VLOOKUP(A84&amp;"-"&amp;B84&amp;"-"&amp;D84,Ref_Account!$A:$F,6,FALSE)</f>
        <v>1201.631110</v>
      </c>
      <c r="N84" s="1">
        <f t="shared" si="11"/>
        <v>1</v>
      </c>
    </row>
    <row r="85" spans="1:14" x14ac:dyDescent="0.25">
      <c r="A85" s="9" t="str">
        <f t="shared" si="9"/>
        <v>Owi Wijaya</v>
      </c>
      <c r="B85" s="1" t="s">
        <v>126</v>
      </c>
      <c r="C85" s="1" t="s">
        <v>127</v>
      </c>
      <c r="D85" s="2" t="s">
        <v>13</v>
      </c>
      <c r="E85" s="2" t="s">
        <v>82</v>
      </c>
      <c r="F85" s="9"/>
      <c r="G85" s="10">
        <v>466</v>
      </c>
      <c r="H85" s="9"/>
      <c r="I85" s="10">
        <f t="shared" si="8"/>
        <v>466</v>
      </c>
      <c r="J85" s="4">
        <f>G85/VLOOKUP(A85,RESUME!$G$3:$I$10,3,FALSE)</f>
        <v>5.3473763545443653E-3</v>
      </c>
      <c r="K85" s="4" t="str">
        <f t="shared" si="10"/>
        <v/>
      </c>
      <c r="L85" s="29" t="str">
        <f>VLOOKUP(A85&amp;"-"&amp;B85&amp;"-"&amp;D85,Ref_Account!$A:$F,6,FALSE)</f>
        <v>1201.631140</v>
      </c>
      <c r="N85" s="1">
        <f t="shared" si="11"/>
        <v>1</v>
      </c>
    </row>
    <row r="86" spans="1:14" x14ac:dyDescent="0.25">
      <c r="A86" s="9" t="str">
        <f t="shared" si="9"/>
        <v>Owi Wijaya</v>
      </c>
      <c r="B86" s="1" t="s">
        <v>128</v>
      </c>
      <c r="C86" s="1" t="s">
        <v>129</v>
      </c>
      <c r="D86" s="2" t="s">
        <v>13</v>
      </c>
      <c r="E86" s="2" t="s">
        <v>75</v>
      </c>
      <c r="F86" s="9"/>
      <c r="G86" s="10">
        <v>1388.61</v>
      </c>
      <c r="H86" s="9"/>
      <c r="I86" s="10">
        <f t="shared" si="8"/>
        <v>1388.61</v>
      </c>
      <c r="J86" s="4">
        <f>G86/VLOOKUP(A86,RESUME!$G$3:$I$10,3,FALSE)</f>
        <v>1.5934378282583372E-2</v>
      </c>
      <c r="K86" s="4" t="str">
        <f t="shared" si="10"/>
        <v/>
      </c>
      <c r="L86" s="29" t="str">
        <f>VLOOKUP(A86&amp;"-"&amp;B86&amp;"-"&amp;D86,Ref_Account!$A:$F,6,FALSE)</f>
        <v>1201.631000</v>
      </c>
      <c r="N86" s="1">
        <f t="shared" si="11"/>
        <v>1</v>
      </c>
    </row>
    <row r="87" spans="1:14" x14ac:dyDescent="0.25">
      <c r="A87" s="9" t="str">
        <f t="shared" si="9"/>
        <v>Owi Wijaya</v>
      </c>
      <c r="B87" s="1" t="s">
        <v>130</v>
      </c>
      <c r="C87" s="1" t="s">
        <v>131</v>
      </c>
      <c r="D87" s="2" t="s">
        <v>13</v>
      </c>
      <c r="E87" s="2" t="s">
        <v>75</v>
      </c>
      <c r="F87" s="9"/>
      <c r="G87" s="10">
        <v>221.29</v>
      </c>
      <c r="H87" s="9"/>
      <c r="I87" s="10">
        <f t="shared" si="8"/>
        <v>221.29</v>
      </c>
      <c r="J87" s="4">
        <f>G87/VLOOKUP(A87,RESUME!$G$3:$I$10,3,FALSE)</f>
        <v>2.5393152650152848E-3</v>
      </c>
      <c r="K87" s="4" t="str">
        <f t="shared" si="10"/>
        <v/>
      </c>
      <c r="L87" s="29" t="str">
        <f>VLOOKUP(A87&amp;"-"&amp;B87&amp;"-"&amp;D87,Ref_Account!$A:$F,6,FALSE)</f>
        <v>1201.815110</v>
      </c>
      <c r="N87" s="1">
        <f t="shared" si="11"/>
        <v>1</v>
      </c>
    </row>
    <row r="88" spans="1:14" x14ac:dyDescent="0.25">
      <c r="A88" s="9" t="str">
        <f t="shared" si="9"/>
        <v>Owi Wijaya</v>
      </c>
      <c r="B88" s="1" t="s">
        <v>132</v>
      </c>
      <c r="C88" s="1" t="s">
        <v>133</v>
      </c>
      <c r="D88" s="2" t="s">
        <v>13</v>
      </c>
      <c r="E88" s="2" t="s">
        <v>75</v>
      </c>
      <c r="F88" s="9"/>
      <c r="G88" s="10">
        <v>764.4</v>
      </c>
      <c r="H88" s="9"/>
      <c r="I88" s="10">
        <f t="shared" si="8"/>
        <v>764.4</v>
      </c>
      <c r="J88" s="4">
        <f>G88/VLOOKUP(A88,RESUME!$G$3:$I$10,3,FALSE)</f>
        <v>8.7715332305015291E-3</v>
      </c>
      <c r="K88" s="4" t="str">
        <f t="shared" si="10"/>
        <v/>
      </c>
      <c r="L88" s="29" t="str">
        <f>VLOOKUP(A88&amp;"-"&amp;B88&amp;"-"&amp;D88,Ref_Account!$A:$F,6,FALSE)</f>
        <v>1201.815120</v>
      </c>
      <c r="N88" s="1">
        <f t="shared" si="11"/>
        <v>1</v>
      </c>
    </row>
    <row r="89" spans="1:14" x14ac:dyDescent="0.25">
      <c r="A89" s="9" t="str">
        <f t="shared" si="9"/>
        <v>Owi Wijaya</v>
      </c>
      <c r="B89" s="1" t="s">
        <v>134</v>
      </c>
      <c r="C89" s="1" t="s">
        <v>135</v>
      </c>
      <c r="D89" s="2" t="s">
        <v>13</v>
      </c>
      <c r="E89" s="2" t="s">
        <v>75</v>
      </c>
      <c r="F89" s="9"/>
      <c r="G89" s="10">
        <v>255</v>
      </c>
      <c r="H89" s="9"/>
      <c r="I89" s="10">
        <f t="shared" si="8"/>
        <v>255</v>
      </c>
      <c r="J89" s="4">
        <f>G89/VLOOKUP(A89,RESUME!$G$3:$I$10,3,FALSE)</f>
        <v>2.9261394214781401E-3</v>
      </c>
      <c r="K89" s="4" t="str">
        <f t="shared" si="10"/>
        <v/>
      </c>
      <c r="L89" s="29" t="str">
        <f>VLOOKUP(A89&amp;"-"&amp;B89&amp;"-"&amp;D89,Ref_Account!$A:$F,6,FALSE)</f>
        <v>1201.802120</v>
      </c>
      <c r="N89" s="1">
        <f t="shared" si="11"/>
        <v>1</v>
      </c>
    </row>
    <row r="90" spans="1:14" x14ac:dyDescent="0.25">
      <c r="A90" s="9" t="str">
        <f t="shared" si="9"/>
        <v>Owi Wijaya</v>
      </c>
      <c r="B90" s="1" t="s">
        <v>136</v>
      </c>
      <c r="C90" s="1" t="s">
        <v>137</v>
      </c>
      <c r="D90" s="2" t="s">
        <v>13</v>
      </c>
      <c r="E90" s="2" t="s">
        <v>75</v>
      </c>
      <c r="F90" s="9"/>
      <c r="G90" s="10">
        <v>200</v>
      </c>
      <c r="H90" s="9"/>
      <c r="I90" s="10">
        <f t="shared" si="8"/>
        <v>200</v>
      </c>
      <c r="J90" s="4">
        <f>G90/VLOOKUP(A90,RESUME!$G$3:$I$10,3,FALSE)</f>
        <v>2.2950113109632469E-3</v>
      </c>
      <c r="K90" s="4" t="str">
        <f t="shared" si="10"/>
        <v/>
      </c>
      <c r="L90" s="29" t="str">
        <f>VLOOKUP(A90&amp;"-"&amp;B90&amp;"-"&amp;D90,Ref_Account!$A:$F,6,FALSE)</f>
        <v>1201.814110</v>
      </c>
      <c r="N90" s="1">
        <f t="shared" si="11"/>
        <v>1</v>
      </c>
    </row>
    <row r="91" spans="1:14" x14ac:dyDescent="0.25">
      <c r="A91" s="9" t="str">
        <f t="shared" si="9"/>
        <v>Owi Wijaya</v>
      </c>
      <c r="B91" s="1" t="s">
        <v>138</v>
      </c>
      <c r="C91" s="1" t="s">
        <v>139</v>
      </c>
      <c r="D91" s="2" t="s">
        <v>13</v>
      </c>
      <c r="E91" s="2" t="s">
        <v>75</v>
      </c>
      <c r="F91" s="9"/>
      <c r="G91" s="10">
        <v>464.37</v>
      </c>
      <c r="H91" s="9">
        <v>73.55</v>
      </c>
      <c r="I91" s="10">
        <f t="shared" si="8"/>
        <v>390.82</v>
      </c>
      <c r="J91" s="4">
        <f>G91/VLOOKUP(A91,RESUME!$G$3:$I$10,3,FALSE)</f>
        <v>5.3286720123600154E-3</v>
      </c>
      <c r="K91" s="4">
        <f t="shared" si="10"/>
        <v>3.3643445579600549E-2</v>
      </c>
      <c r="L91" s="29" t="str">
        <f>VLOOKUP(A91&amp;"-"&amp;B91&amp;"-"&amp;D91,Ref_Account!$A:$F,6,FALSE)</f>
        <v>1201.630450</v>
      </c>
      <c r="N91" s="1">
        <f t="shared" si="11"/>
        <v>1</v>
      </c>
    </row>
    <row r="92" spans="1:14" x14ac:dyDescent="0.25">
      <c r="A92" s="9" t="str">
        <f t="shared" si="9"/>
        <v>Owi Wijaya</v>
      </c>
      <c r="B92" s="1" t="s">
        <v>21</v>
      </c>
      <c r="C92" s="1" t="s">
        <v>140</v>
      </c>
      <c r="D92" s="2" t="s">
        <v>13</v>
      </c>
      <c r="E92" s="2" t="s">
        <v>75</v>
      </c>
      <c r="F92" s="9"/>
      <c r="G92" s="10">
        <v>515.79999999999995</v>
      </c>
      <c r="H92" s="9"/>
      <c r="I92" s="10">
        <f t="shared" si="8"/>
        <v>515.79999999999995</v>
      </c>
      <c r="J92" s="4">
        <f>G92/VLOOKUP(A92,RESUME!$G$3:$I$10,3,FALSE)</f>
        <v>5.9188341709742135E-3</v>
      </c>
      <c r="K92" s="4" t="str">
        <f t="shared" si="10"/>
        <v/>
      </c>
      <c r="L92" s="29" t="str">
        <f>VLOOKUP(A92&amp;"-"&amp;B92&amp;"-"&amp;D92,Ref_Account!$A:$F,6,FALSE)</f>
        <v>1201.631100</v>
      </c>
      <c r="M92" s="1" t="s">
        <v>177</v>
      </c>
      <c r="N92" s="1">
        <f t="shared" si="11"/>
        <v>3</v>
      </c>
    </row>
    <row r="93" spans="1:14" x14ac:dyDescent="0.25">
      <c r="A93" s="9" t="str">
        <f t="shared" si="9"/>
        <v>Owi Wijaya</v>
      </c>
      <c r="B93" s="1" t="s">
        <v>21</v>
      </c>
      <c r="C93" s="1" t="s">
        <v>123</v>
      </c>
      <c r="D93" s="2" t="s">
        <v>13</v>
      </c>
      <c r="E93" s="2" t="s">
        <v>75</v>
      </c>
      <c r="F93" s="9"/>
      <c r="G93" s="10">
        <v>1891.43</v>
      </c>
      <c r="H93" s="9"/>
      <c r="I93" s="10">
        <f t="shared" si="8"/>
        <v>1891.43</v>
      </c>
      <c r="J93" s="4">
        <f>G93/VLOOKUP(A93,RESUME!$G$3:$I$10,3,FALSE)</f>
        <v>2.1704266219476073E-2</v>
      </c>
      <c r="K93" s="4" t="str">
        <f t="shared" si="10"/>
        <v/>
      </c>
      <c r="L93" s="29" t="str">
        <f>VLOOKUP(A93&amp;"-"&amp;B93&amp;"-"&amp;D93,Ref_Account!$A:$F,6,FALSE)</f>
        <v>1201.631100</v>
      </c>
      <c r="M93" s="1" t="s">
        <v>177</v>
      </c>
      <c r="N93" s="1">
        <f t="shared" si="11"/>
        <v>3</v>
      </c>
    </row>
    <row r="94" spans="1:14" x14ac:dyDescent="0.25">
      <c r="A94" s="9" t="str">
        <f t="shared" si="9"/>
        <v>Owi Wijaya</v>
      </c>
      <c r="B94" s="1" t="s">
        <v>21</v>
      </c>
      <c r="C94" s="1" t="s">
        <v>123</v>
      </c>
      <c r="D94" s="2" t="s">
        <v>24</v>
      </c>
      <c r="E94" s="2" t="s">
        <v>75</v>
      </c>
      <c r="F94" s="9"/>
      <c r="G94" s="10">
        <v>1328.48</v>
      </c>
      <c r="H94" s="9"/>
      <c r="I94" s="10">
        <f t="shared" si="8"/>
        <v>1328.48</v>
      </c>
      <c r="J94" s="4">
        <f>G94/VLOOKUP(A94,RESUME!$G$3:$I$10,3,FALSE)</f>
        <v>1.5244383131942272E-2</v>
      </c>
      <c r="K94" s="4" t="str">
        <f t="shared" si="10"/>
        <v/>
      </c>
      <c r="L94" s="29" t="str">
        <f>VLOOKUP(A94&amp;"-"&amp;B94&amp;"-"&amp;D94,Ref_Account!$A:$F,6,FALSE)</f>
        <v>1205.631100</v>
      </c>
      <c r="M94" s="1" t="s">
        <v>177</v>
      </c>
      <c r="N94" s="1">
        <f t="shared" si="11"/>
        <v>3</v>
      </c>
    </row>
    <row r="95" spans="1:14" x14ac:dyDescent="0.25">
      <c r="A95" s="9" t="str">
        <f t="shared" si="9"/>
        <v>Owi Wijaya</v>
      </c>
      <c r="B95" s="1" t="s">
        <v>21</v>
      </c>
      <c r="C95" s="1" t="s">
        <v>123</v>
      </c>
      <c r="D95" s="2" t="s">
        <v>15</v>
      </c>
      <c r="E95" s="2" t="s">
        <v>75</v>
      </c>
      <c r="F95" s="9"/>
      <c r="G95" s="10">
        <v>1328.28</v>
      </c>
      <c r="H95" s="9"/>
      <c r="I95" s="10">
        <f t="shared" si="8"/>
        <v>1328.28</v>
      </c>
      <c r="J95" s="4">
        <f>G95/VLOOKUP(A95,RESUME!$G$3:$I$10,3,FALSE)</f>
        <v>1.5242088120631308E-2</v>
      </c>
      <c r="K95" s="4" t="str">
        <f t="shared" si="10"/>
        <v/>
      </c>
      <c r="L95" s="29" t="str">
        <f>VLOOKUP(A95&amp;"-"&amp;B95&amp;"-"&amp;D95,Ref_Account!$A:$F,6,FALSE)</f>
        <v>1204.631100</v>
      </c>
      <c r="M95" s="1" t="s">
        <v>177</v>
      </c>
      <c r="N95" s="1">
        <f t="shared" si="11"/>
        <v>3</v>
      </c>
    </row>
    <row r="96" spans="1:14" x14ac:dyDescent="0.25">
      <c r="A96" s="9" t="s">
        <v>141</v>
      </c>
      <c r="B96" s="1" t="s">
        <v>93</v>
      </c>
      <c r="C96" s="1" t="s">
        <v>94</v>
      </c>
      <c r="D96" s="2" t="s">
        <v>101</v>
      </c>
      <c r="E96" s="2" t="s">
        <v>95</v>
      </c>
      <c r="F96" s="9"/>
      <c r="G96" s="10">
        <v>2736.7799999999997</v>
      </c>
      <c r="H96" s="9"/>
      <c r="I96" s="10">
        <f t="shared" ref="I96:I117" si="12">G96-H96</f>
        <v>2736.7799999999997</v>
      </c>
      <c r="J96" s="4">
        <f>G96/VLOOKUP(A96,RESUME!$G$3:$I$10,3,FALSE)</f>
        <v>2.7232510432328692E-2</v>
      </c>
      <c r="K96" s="4" t="str">
        <f t="shared" si="10"/>
        <v/>
      </c>
      <c r="L96" s="29" t="str">
        <f>VLOOKUP(A96&amp;"-"&amp;B96&amp;"-"&amp;D96,Ref_Account!$A:$F,6,FALSE)</f>
        <v>1206.801160</v>
      </c>
      <c r="N96" s="1">
        <f t="shared" si="11"/>
        <v>1</v>
      </c>
    </row>
    <row r="97" spans="1:14" x14ac:dyDescent="0.25">
      <c r="A97" s="9" t="str">
        <f t="shared" ref="A97:A117" si="13">A96</f>
        <v>Wawan Iskandar</v>
      </c>
      <c r="B97" s="1" t="s">
        <v>102</v>
      </c>
      <c r="C97" s="1" t="s">
        <v>103</v>
      </c>
      <c r="D97" s="2" t="s">
        <v>101</v>
      </c>
      <c r="E97" s="2" t="s">
        <v>75</v>
      </c>
      <c r="F97" s="9"/>
      <c r="G97" s="10">
        <v>200</v>
      </c>
      <c r="H97" s="9"/>
      <c r="I97" s="10">
        <f t="shared" si="12"/>
        <v>200</v>
      </c>
      <c r="J97" s="4">
        <f>G97/VLOOKUP(A97,RESUME!$G$3:$I$10,3,FALSE)</f>
        <v>1.990113230316554E-3</v>
      </c>
      <c r="K97" s="4" t="str">
        <f t="shared" si="10"/>
        <v/>
      </c>
      <c r="L97" s="29" t="str">
        <f>VLOOKUP(A97&amp;"-"&amp;B97&amp;"-"&amp;D97,Ref_Account!$A:$F,6,FALSE)</f>
        <v>1206.630710</v>
      </c>
      <c r="N97" s="1">
        <f t="shared" si="11"/>
        <v>1</v>
      </c>
    </row>
    <row r="98" spans="1:14" x14ac:dyDescent="0.25">
      <c r="A98" s="9" t="str">
        <f t="shared" si="13"/>
        <v>Wawan Iskandar</v>
      </c>
      <c r="B98" s="1" t="s">
        <v>118</v>
      </c>
      <c r="C98" s="1" t="s">
        <v>119</v>
      </c>
      <c r="D98" s="2" t="s">
        <v>101</v>
      </c>
      <c r="E98" s="2" t="s">
        <v>95</v>
      </c>
      <c r="F98" s="9"/>
      <c r="G98" s="10">
        <v>1460</v>
      </c>
      <c r="H98" s="9">
        <v>2181.4299999999998</v>
      </c>
      <c r="I98" s="10">
        <f t="shared" si="12"/>
        <v>-721.42999999999984</v>
      </c>
      <c r="J98" s="4">
        <f>G98/VLOOKUP(A98,RESUME!$G$3:$I$10,3,FALSE)</f>
        <v>1.4527826581310844E-2</v>
      </c>
      <c r="K98" s="4">
        <f t="shared" si="10"/>
        <v>9.7232672186198209E-3</v>
      </c>
      <c r="L98" s="29" t="str">
        <f>VLOOKUP(A98&amp;"-"&amp;B98&amp;"-"&amp;D98,Ref_Account!$A:$F,6,FALSE)</f>
        <v>1206.630130</v>
      </c>
      <c r="N98" s="1">
        <f t="shared" si="11"/>
        <v>1</v>
      </c>
    </row>
    <row r="99" spans="1:14" x14ac:dyDescent="0.25">
      <c r="A99" s="9" t="str">
        <f t="shared" si="13"/>
        <v>Wawan Iskandar</v>
      </c>
      <c r="B99" s="1" t="s">
        <v>128</v>
      </c>
      <c r="C99" s="1" t="s">
        <v>129</v>
      </c>
      <c r="D99" s="2" t="s">
        <v>101</v>
      </c>
      <c r="E99" s="2" t="s">
        <v>75</v>
      </c>
      <c r="F99" s="9"/>
      <c r="G99" s="10">
        <v>4235.2299999999996</v>
      </c>
      <c r="H99" s="9"/>
      <c r="I99" s="10">
        <f t="shared" si="12"/>
        <v>4235.2299999999996</v>
      </c>
      <c r="J99" s="4">
        <f>G99/VLOOKUP(A99,RESUME!$G$3:$I$10,3,FALSE)</f>
        <v>4.2142936282167892E-2</v>
      </c>
      <c r="K99" s="4" t="str">
        <f t="shared" si="10"/>
        <v/>
      </c>
      <c r="L99" s="29" t="str">
        <f>VLOOKUP(A99&amp;"-"&amp;B99&amp;"-"&amp;D99,Ref_Account!$A:$F,6,FALSE)</f>
        <v>1206.631000</v>
      </c>
      <c r="N99" s="1">
        <f t="shared" si="11"/>
        <v>1</v>
      </c>
    </row>
    <row r="100" spans="1:14" x14ac:dyDescent="0.25">
      <c r="A100" s="9" t="str">
        <f t="shared" si="13"/>
        <v>Wawan Iskandar</v>
      </c>
      <c r="B100" s="1" t="s">
        <v>130</v>
      </c>
      <c r="C100" s="1" t="s">
        <v>142</v>
      </c>
      <c r="D100" s="2" t="s">
        <v>101</v>
      </c>
      <c r="E100" s="2" t="s">
        <v>75</v>
      </c>
      <c r="F100" s="9"/>
      <c r="G100" s="10">
        <v>821.62</v>
      </c>
      <c r="H100" s="9"/>
      <c r="I100" s="10">
        <f t="shared" si="12"/>
        <v>821.62</v>
      </c>
      <c r="J100" s="4">
        <f>G100/VLOOKUP(A100,RESUME!$G$3:$I$10,3,FALSE)</f>
        <v>8.175584161463436E-3</v>
      </c>
      <c r="K100" s="4" t="str">
        <f t="shared" si="10"/>
        <v/>
      </c>
      <c r="L100" s="29" t="str">
        <f>VLOOKUP(A100&amp;"-"&amp;B100&amp;"-"&amp;D100,Ref_Account!$A:$F,6,FALSE)</f>
        <v>1206.815110</v>
      </c>
      <c r="N100" s="1">
        <f t="shared" si="11"/>
        <v>1</v>
      </c>
    </row>
    <row r="101" spans="1:14" x14ac:dyDescent="0.25">
      <c r="A101" s="9" t="str">
        <f t="shared" si="13"/>
        <v>Wawan Iskandar</v>
      </c>
      <c r="B101" s="1" t="s">
        <v>134</v>
      </c>
      <c r="C101" s="1" t="s">
        <v>135</v>
      </c>
      <c r="D101" s="2" t="s">
        <v>101</v>
      </c>
      <c r="E101" s="2" t="s">
        <v>75</v>
      </c>
      <c r="F101" s="9"/>
      <c r="G101" s="10">
        <v>55</v>
      </c>
      <c r="H101" s="9"/>
      <c r="I101" s="10">
        <f t="shared" si="12"/>
        <v>55</v>
      </c>
      <c r="J101" s="4">
        <f>G101/VLOOKUP(A101,RESUME!$G$3:$I$10,3,FALSE)</f>
        <v>5.4728113833705236E-4</v>
      </c>
      <c r="K101" s="4" t="str">
        <f t="shared" si="10"/>
        <v/>
      </c>
      <c r="L101" s="29" t="str">
        <f>VLOOKUP(A101&amp;"-"&amp;B101&amp;"-"&amp;D101,Ref_Account!$A:$F,6,FALSE)</f>
        <v>1206.802120</v>
      </c>
      <c r="N101" s="1">
        <f t="shared" si="11"/>
        <v>1</v>
      </c>
    </row>
    <row r="102" spans="1:14" x14ac:dyDescent="0.25">
      <c r="A102" s="9" t="str">
        <f t="shared" si="13"/>
        <v>Wawan Iskandar</v>
      </c>
      <c r="B102" s="1" t="s">
        <v>138</v>
      </c>
      <c r="C102" s="1" t="s">
        <v>139</v>
      </c>
      <c r="D102" s="2" t="s">
        <v>101</v>
      </c>
      <c r="E102" s="2" t="s">
        <v>75</v>
      </c>
      <c r="F102" s="9"/>
      <c r="G102" s="10">
        <v>20.09</v>
      </c>
      <c r="H102" s="9"/>
      <c r="I102" s="10">
        <f t="shared" si="12"/>
        <v>20.09</v>
      </c>
      <c r="J102" s="4">
        <f>G102/VLOOKUP(A102,RESUME!$G$3:$I$10,3,FALSE)</f>
        <v>1.9990687398529784E-4</v>
      </c>
      <c r="K102" s="4" t="str">
        <f t="shared" si="10"/>
        <v/>
      </c>
      <c r="L102" s="29" t="str">
        <f>VLOOKUP(A102&amp;"-"&amp;B102&amp;"-"&amp;D102,Ref_Account!$A:$F,6,FALSE)</f>
        <v>1206.630450</v>
      </c>
      <c r="N102" s="1">
        <f t="shared" ref="N102:N133" si="14">COUNTIF($L$6:$L$164,L102)</f>
        <v>1</v>
      </c>
    </row>
    <row r="103" spans="1:14" x14ac:dyDescent="0.25">
      <c r="A103" s="9" t="str">
        <f t="shared" si="13"/>
        <v>Wawan Iskandar</v>
      </c>
      <c r="B103" s="1" t="s">
        <v>80</v>
      </c>
      <c r="C103" s="1" t="s">
        <v>81</v>
      </c>
      <c r="D103" s="2" t="s">
        <v>101</v>
      </c>
      <c r="E103" s="2" t="s">
        <v>143</v>
      </c>
      <c r="F103" s="9"/>
      <c r="G103" s="10">
        <v>563</v>
      </c>
      <c r="H103" s="9">
        <v>84.77</v>
      </c>
      <c r="I103" s="10">
        <f t="shared" si="12"/>
        <v>478.23</v>
      </c>
      <c r="J103" s="4">
        <f>G103/VLOOKUP(A103,RESUME!$G$3:$I$10,3,FALSE)</f>
        <v>5.6021687433410999E-3</v>
      </c>
      <c r="K103" s="4">
        <f t="shared" si="10"/>
        <v>3.7206806682800984E-2</v>
      </c>
      <c r="L103" s="29" t="str">
        <f>VLOOKUP(A103&amp;"-"&amp;B103&amp;"-"&amp;D103,Ref_Account!$A:$F,6,FALSE)</f>
        <v>1206.630300</v>
      </c>
      <c r="N103" s="1">
        <f t="shared" si="14"/>
        <v>1</v>
      </c>
    </row>
    <row r="104" spans="1:14" x14ac:dyDescent="0.25">
      <c r="A104" s="9" t="str">
        <f t="shared" si="13"/>
        <v>Wawan Iskandar</v>
      </c>
      <c r="B104" s="1" t="s">
        <v>104</v>
      </c>
      <c r="C104" s="1" t="s">
        <v>105</v>
      </c>
      <c r="D104" s="2" t="s">
        <v>101</v>
      </c>
      <c r="E104" s="2" t="s">
        <v>143</v>
      </c>
      <c r="F104" s="9"/>
      <c r="G104" s="10">
        <v>50</v>
      </c>
      <c r="H104" s="9"/>
      <c r="I104" s="10">
        <f t="shared" si="12"/>
        <v>50</v>
      </c>
      <c r="J104" s="4">
        <f>G104/VLOOKUP(A104,RESUME!$G$3:$I$10,3,FALSE)</f>
        <v>4.9752830757913849E-4</v>
      </c>
      <c r="K104" s="4" t="str">
        <f t="shared" si="10"/>
        <v/>
      </c>
      <c r="L104" s="29" t="str">
        <f>VLOOKUP(A104&amp;"-"&amp;B104&amp;"-"&amp;D104,Ref_Account!$A:$F,6,FALSE)</f>
        <v>1206.630770</v>
      </c>
      <c r="N104" s="1">
        <f t="shared" si="14"/>
        <v>1</v>
      </c>
    </row>
    <row r="105" spans="1:14" x14ac:dyDescent="0.25">
      <c r="A105" s="9" t="str">
        <f t="shared" si="13"/>
        <v>Wawan Iskandar</v>
      </c>
      <c r="B105" s="1" t="s">
        <v>106</v>
      </c>
      <c r="C105" s="1" t="s">
        <v>107</v>
      </c>
      <c r="D105" s="2" t="s">
        <v>101</v>
      </c>
      <c r="E105" s="2" t="s">
        <v>143</v>
      </c>
      <c r="F105" s="9"/>
      <c r="G105" s="10">
        <v>50</v>
      </c>
      <c r="H105" s="9"/>
      <c r="I105" s="10">
        <f t="shared" si="12"/>
        <v>50</v>
      </c>
      <c r="J105" s="4">
        <f>G105/VLOOKUP(A105,RESUME!$G$3:$I$10,3,FALSE)</f>
        <v>4.9752830757913849E-4</v>
      </c>
      <c r="K105" s="4" t="str">
        <f t="shared" si="10"/>
        <v/>
      </c>
      <c r="L105" s="29" t="str">
        <f>VLOOKUP(A105&amp;"-"&amp;B105&amp;"-"&amp;D105,Ref_Account!$A:$F,6,FALSE)</f>
        <v>1206.630750</v>
      </c>
      <c r="N105" s="1">
        <f t="shared" si="14"/>
        <v>1</v>
      </c>
    </row>
    <row r="106" spans="1:14" x14ac:dyDescent="0.25">
      <c r="A106" s="9" t="str">
        <f t="shared" si="13"/>
        <v>Wawan Iskandar</v>
      </c>
      <c r="B106" s="1" t="s">
        <v>108</v>
      </c>
      <c r="C106" s="1" t="s">
        <v>109</v>
      </c>
      <c r="D106" s="2" t="s">
        <v>101</v>
      </c>
      <c r="E106" s="2" t="s">
        <v>143</v>
      </c>
      <c r="F106" s="9"/>
      <c r="G106" s="10">
        <v>50</v>
      </c>
      <c r="H106" s="9"/>
      <c r="I106" s="10">
        <f t="shared" si="12"/>
        <v>50</v>
      </c>
      <c r="J106" s="4">
        <f>G106/VLOOKUP(A106,RESUME!$G$3:$I$10,3,FALSE)</f>
        <v>4.9752830757913849E-4</v>
      </c>
      <c r="K106" s="4" t="str">
        <f t="shared" si="10"/>
        <v/>
      </c>
      <c r="L106" s="29" t="str">
        <f>VLOOKUP(A106&amp;"-"&amp;B106&amp;"-"&amp;D106,Ref_Account!$A:$F,6,FALSE)</f>
        <v>1206.630720</v>
      </c>
      <c r="N106" s="1">
        <f t="shared" si="14"/>
        <v>1</v>
      </c>
    </row>
    <row r="107" spans="1:14" x14ac:dyDescent="0.25">
      <c r="A107" s="9" t="str">
        <f t="shared" si="13"/>
        <v>Wawan Iskandar</v>
      </c>
      <c r="B107" s="1" t="s">
        <v>110</v>
      </c>
      <c r="C107" s="1" t="s">
        <v>111</v>
      </c>
      <c r="D107" s="2" t="s">
        <v>101</v>
      </c>
      <c r="E107" s="2" t="s">
        <v>143</v>
      </c>
      <c r="F107" s="9"/>
      <c r="G107" s="10">
        <v>50</v>
      </c>
      <c r="H107" s="9"/>
      <c r="I107" s="10">
        <f t="shared" si="12"/>
        <v>50</v>
      </c>
      <c r="J107" s="4">
        <f>G107/VLOOKUP(A107,RESUME!$G$3:$I$10,3,FALSE)</f>
        <v>4.9752830757913849E-4</v>
      </c>
      <c r="K107" s="4" t="str">
        <f t="shared" si="10"/>
        <v/>
      </c>
      <c r="L107" s="29" t="str">
        <f>VLOOKUP(A107&amp;"-"&amp;B107&amp;"-"&amp;D107,Ref_Account!$A:$F,6,FALSE)</f>
        <v>1206.630760</v>
      </c>
      <c r="N107" s="1">
        <f t="shared" si="14"/>
        <v>1</v>
      </c>
    </row>
    <row r="108" spans="1:14" x14ac:dyDescent="0.25">
      <c r="A108" s="9" t="str">
        <f t="shared" si="13"/>
        <v>Wawan Iskandar</v>
      </c>
      <c r="B108" s="1" t="s">
        <v>112</v>
      </c>
      <c r="C108" s="1" t="s">
        <v>113</v>
      </c>
      <c r="D108" s="2" t="s">
        <v>101</v>
      </c>
      <c r="E108" s="2" t="s">
        <v>143</v>
      </c>
      <c r="F108" s="9"/>
      <c r="G108" s="10">
        <v>50</v>
      </c>
      <c r="H108" s="9"/>
      <c r="I108" s="10">
        <f t="shared" si="12"/>
        <v>50</v>
      </c>
      <c r="J108" s="4">
        <f>G108/VLOOKUP(A108,RESUME!$G$3:$I$10,3,FALSE)</f>
        <v>4.9752830757913849E-4</v>
      </c>
      <c r="K108" s="4" t="str">
        <f t="shared" si="10"/>
        <v/>
      </c>
      <c r="L108" s="29" t="str">
        <f>VLOOKUP(A108&amp;"-"&amp;B108&amp;"-"&amp;D108,Ref_Account!$A:$F,6,FALSE)</f>
        <v>1206.630730</v>
      </c>
      <c r="N108" s="1">
        <f t="shared" si="14"/>
        <v>1</v>
      </c>
    </row>
    <row r="109" spans="1:14" x14ac:dyDescent="0.25">
      <c r="A109" s="9" t="str">
        <f t="shared" si="13"/>
        <v>Wawan Iskandar</v>
      </c>
      <c r="B109" s="1" t="s">
        <v>114</v>
      </c>
      <c r="C109" s="1" t="s">
        <v>115</v>
      </c>
      <c r="D109" s="2" t="s">
        <v>101</v>
      </c>
      <c r="E109" s="2" t="s">
        <v>143</v>
      </c>
      <c r="F109" s="9"/>
      <c r="G109" s="10">
        <v>50</v>
      </c>
      <c r="H109" s="9"/>
      <c r="I109" s="10">
        <f t="shared" si="12"/>
        <v>50</v>
      </c>
      <c r="J109" s="4">
        <f>G109/VLOOKUP(A109,RESUME!$G$3:$I$10,3,FALSE)</f>
        <v>4.9752830757913849E-4</v>
      </c>
      <c r="K109" s="4" t="str">
        <f t="shared" si="10"/>
        <v/>
      </c>
      <c r="L109" s="29" t="str">
        <f>VLOOKUP(A109&amp;"-"&amp;B109&amp;"-"&amp;D109,Ref_Account!$A:$F,6,FALSE)</f>
        <v>1206.630740</v>
      </c>
      <c r="N109" s="1">
        <f t="shared" si="14"/>
        <v>1</v>
      </c>
    </row>
    <row r="110" spans="1:14" x14ac:dyDescent="0.25">
      <c r="A110" s="9" t="str">
        <f t="shared" si="13"/>
        <v>Wawan Iskandar</v>
      </c>
      <c r="B110" s="1" t="s">
        <v>124</v>
      </c>
      <c r="C110" s="1" t="s">
        <v>125</v>
      </c>
      <c r="D110" s="2" t="s">
        <v>101</v>
      </c>
      <c r="E110" s="2" t="s">
        <v>143</v>
      </c>
      <c r="F110" s="9"/>
      <c r="G110" s="10">
        <v>3978</v>
      </c>
      <c r="H110" s="9">
        <v>2031.21</v>
      </c>
      <c r="I110" s="10">
        <f t="shared" si="12"/>
        <v>1946.79</v>
      </c>
      <c r="J110" s="4">
        <f>G110/VLOOKUP(A110,RESUME!$G$3:$I$10,3,FALSE)</f>
        <v>3.9583352150996259E-2</v>
      </c>
      <c r="K110" s="4">
        <f t="shared" si="10"/>
        <v>7.7521563430990939E-2</v>
      </c>
      <c r="L110" s="29" t="str">
        <f>VLOOKUP(A110&amp;"-"&amp;B110&amp;"-"&amp;D110,Ref_Account!$A:$F,6,FALSE)</f>
        <v>1206.631110</v>
      </c>
      <c r="N110" s="1">
        <f t="shared" si="14"/>
        <v>1</v>
      </c>
    </row>
    <row r="111" spans="1:14" x14ac:dyDescent="0.25">
      <c r="A111" s="9" t="str">
        <f t="shared" si="13"/>
        <v>Wawan Iskandar</v>
      </c>
      <c r="B111" s="1" t="s">
        <v>70</v>
      </c>
      <c r="C111" s="1" t="s">
        <v>71</v>
      </c>
      <c r="D111" s="2" t="s">
        <v>101</v>
      </c>
      <c r="E111" s="2" t="s">
        <v>144</v>
      </c>
      <c r="F111" s="9"/>
      <c r="G111" s="10">
        <v>5000</v>
      </c>
      <c r="H111" s="9">
        <v>1567.14</v>
      </c>
      <c r="I111" s="10">
        <f t="shared" si="12"/>
        <v>3432.8599999999997</v>
      </c>
      <c r="J111" s="4">
        <f>G111/VLOOKUP(A111,RESUME!$G$3:$I$10,3,FALSE)</f>
        <v>4.9752830757913848E-2</v>
      </c>
      <c r="K111" s="4">
        <f t="shared" si="10"/>
        <v>0.15873767103741163</v>
      </c>
      <c r="L111" s="29" t="str">
        <f>VLOOKUP(A111&amp;"-"&amp;B111&amp;"-"&amp;D111,Ref_Account!$A:$F,6,FALSE)</f>
        <v>1206.812100</v>
      </c>
      <c r="N111" s="1">
        <f t="shared" si="14"/>
        <v>1</v>
      </c>
    </row>
    <row r="112" spans="1:14" x14ac:dyDescent="0.25">
      <c r="A112" s="9" t="str">
        <f t="shared" si="13"/>
        <v>Wawan Iskandar</v>
      </c>
      <c r="B112" s="1" t="s">
        <v>76</v>
      </c>
      <c r="C112" s="1" t="s">
        <v>77</v>
      </c>
      <c r="D112" s="2" t="s">
        <v>101</v>
      </c>
      <c r="E112" s="2" t="s">
        <v>75</v>
      </c>
      <c r="F112" s="9"/>
      <c r="G112" s="10">
        <v>3463.43</v>
      </c>
      <c r="H112" s="9"/>
      <c r="I112" s="10">
        <f t="shared" si="12"/>
        <v>3463.43</v>
      </c>
      <c r="J112" s="4">
        <f>G112/VLOOKUP(A112,RESUME!$G$3:$I$10,3,FALSE)</f>
        <v>3.446308932637631E-2</v>
      </c>
      <c r="K112" s="4" t="str">
        <f t="shared" si="10"/>
        <v/>
      </c>
      <c r="L112" s="29" t="str">
        <f>VLOOKUP(A112&amp;"-"&amp;B112&amp;"-"&amp;D112,Ref_Account!$A:$F,6,FALSE)</f>
        <v>1206.630400</v>
      </c>
      <c r="N112" s="1">
        <f t="shared" si="14"/>
        <v>1</v>
      </c>
    </row>
    <row r="113" spans="1:14" x14ac:dyDescent="0.25">
      <c r="A113" s="9" t="str">
        <f t="shared" si="13"/>
        <v>Wawan Iskandar</v>
      </c>
      <c r="B113" s="1" t="s">
        <v>87</v>
      </c>
      <c r="C113" s="1" t="s">
        <v>88</v>
      </c>
      <c r="D113" s="2" t="s">
        <v>101</v>
      </c>
      <c r="E113" s="2" t="s">
        <v>75</v>
      </c>
      <c r="F113" s="9"/>
      <c r="G113" s="10">
        <v>23.95</v>
      </c>
      <c r="H113" s="9"/>
      <c r="I113" s="10">
        <f t="shared" si="12"/>
        <v>23.95</v>
      </c>
      <c r="J113" s="4">
        <f>G113/VLOOKUP(A113,RESUME!$G$3:$I$10,3,FALSE)</f>
        <v>2.3831605933040734E-4</v>
      </c>
      <c r="K113" s="4" t="str">
        <f t="shared" si="10"/>
        <v/>
      </c>
      <c r="L113" s="29" t="str">
        <f>VLOOKUP(A113&amp;"-"&amp;B113&amp;"-"&amp;D113,Ref_Account!$A:$F,6,FALSE)</f>
        <v>1206.808100</v>
      </c>
      <c r="N113" s="1">
        <f t="shared" si="14"/>
        <v>1</v>
      </c>
    </row>
    <row r="114" spans="1:14" x14ac:dyDescent="0.25">
      <c r="A114" s="9" t="str">
        <f t="shared" si="13"/>
        <v>Wawan Iskandar</v>
      </c>
      <c r="B114" s="1" t="s">
        <v>96</v>
      </c>
      <c r="C114" s="1" t="s">
        <v>97</v>
      </c>
      <c r="D114" s="2" t="s">
        <v>101</v>
      </c>
      <c r="E114" s="2" t="s">
        <v>145</v>
      </c>
      <c r="F114" s="9"/>
      <c r="G114" s="10">
        <v>47747.46</v>
      </c>
      <c r="H114" s="9"/>
      <c r="I114" s="10">
        <f t="shared" si="12"/>
        <v>47747.46</v>
      </c>
      <c r="J114" s="4">
        <f>G114/VLOOKUP(A114,RESUME!$G$3:$I$10,3,FALSE)</f>
        <v>0.47511425930005224</v>
      </c>
      <c r="K114" s="4" t="str">
        <f t="shared" si="10"/>
        <v/>
      </c>
      <c r="L114" s="29" t="str">
        <f>VLOOKUP(A114&amp;"-"&amp;B114&amp;"-"&amp;D114,Ref_Account!$A:$F,6,FALSE)</f>
        <v>1206.630110</v>
      </c>
      <c r="N114" s="1">
        <f t="shared" si="14"/>
        <v>1</v>
      </c>
    </row>
    <row r="115" spans="1:14" x14ac:dyDescent="0.25">
      <c r="A115" s="9" t="str">
        <f t="shared" si="13"/>
        <v>Wawan Iskandar</v>
      </c>
      <c r="B115" s="1" t="s">
        <v>146</v>
      </c>
      <c r="C115" s="1" t="s">
        <v>147</v>
      </c>
      <c r="D115" s="2" t="s">
        <v>101</v>
      </c>
      <c r="E115" s="2" t="s">
        <v>148</v>
      </c>
      <c r="F115" s="9"/>
      <c r="G115" s="10">
        <v>2800</v>
      </c>
      <c r="H115" s="9"/>
      <c r="I115" s="10">
        <f t="shared" si="12"/>
        <v>2800</v>
      </c>
      <c r="J115" s="4">
        <f>G115/VLOOKUP(A115,RESUME!$G$3:$I$10,3,FALSE)</f>
        <v>2.7861585224431756E-2</v>
      </c>
      <c r="K115" s="4" t="str">
        <f t="shared" si="10"/>
        <v/>
      </c>
      <c r="L115" s="29" t="str">
        <f>VLOOKUP(A115&amp;"-"&amp;B115&amp;"-"&amp;D115,Ref_Account!$A:$F,6,FALSE)</f>
        <v>1206.801110</v>
      </c>
      <c r="N115" s="1">
        <f t="shared" si="14"/>
        <v>1</v>
      </c>
    </row>
    <row r="116" spans="1:14" x14ac:dyDescent="0.25">
      <c r="A116" s="9" t="str">
        <f t="shared" si="13"/>
        <v>Wawan Iskandar</v>
      </c>
      <c r="B116" s="1" t="s">
        <v>26</v>
      </c>
      <c r="C116" s="1" t="s">
        <v>27</v>
      </c>
      <c r="D116" s="2" t="s">
        <v>101</v>
      </c>
      <c r="E116" s="2" t="s">
        <v>149</v>
      </c>
      <c r="F116" s="9"/>
      <c r="G116" s="10">
        <v>812</v>
      </c>
      <c r="H116" s="9">
        <v>337.14</v>
      </c>
      <c r="I116" s="10">
        <f t="shared" si="12"/>
        <v>474.86</v>
      </c>
      <c r="J116" s="4">
        <f>G116/VLOOKUP(A116,RESUME!$G$3:$I$10,3,FALSE)</f>
        <v>8.0798597150852098E-3</v>
      </c>
      <c r="K116" s="4">
        <f t="shared" si="10"/>
        <v>1.9460301621430833E-2</v>
      </c>
      <c r="L116" s="29" t="str">
        <f>VLOOKUP(A116&amp;"-"&amp;B116&amp;"-"&amp;D116,Ref_Account!$A:$F,6,FALSE)</f>
        <v>1206.631180</v>
      </c>
      <c r="N116" s="1">
        <f t="shared" si="14"/>
        <v>1</v>
      </c>
    </row>
    <row r="117" spans="1:14" x14ac:dyDescent="0.25">
      <c r="A117" s="9" t="str">
        <f t="shared" si="13"/>
        <v>Wawan Iskandar</v>
      </c>
      <c r="B117" s="1" t="s">
        <v>37</v>
      </c>
      <c r="C117" s="1" t="s">
        <v>38</v>
      </c>
      <c r="D117" s="2" t="s">
        <v>150</v>
      </c>
      <c r="E117" s="2" t="s">
        <v>151</v>
      </c>
      <c r="F117" s="9"/>
      <c r="G117" s="10">
        <v>26280.234329731342</v>
      </c>
      <c r="H117" s="9"/>
      <c r="I117" s="10">
        <f t="shared" si="12"/>
        <v>26280.234329731342</v>
      </c>
      <c r="J117" s="4">
        <f>G117/VLOOKUP(A117,RESUME!$G$3:$I$10,3,FALSE)</f>
        <v>0.26150321017708822</v>
      </c>
      <c r="K117" s="4" t="str">
        <f t="shared" si="10"/>
        <v/>
      </c>
      <c r="L117" s="29" t="str">
        <f>VLOOKUP(A117&amp;"-"&amp;B117&amp;"-"&amp;D117,Ref_Account!$A:$F,6,FALSE)</f>
        <v>1206.630600</v>
      </c>
      <c r="M117" s="1" t="s">
        <v>177</v>
      </c>
      <c r="N117" s="1">
        <f t="shared" si="14"/>
        <v>1</v>
      </c>
    </row>
    <row r="118" spans="1:14" x14ac:dyDescent="0.25">
      <c r="A118" s="9" t="s">
        <v>178</v>
      </c>
      <c r="B118" s="1" t="s">
        <v>78</v>
      </c>
      <c r="C118" s="1" t="s">
        <v>79</v>
      </c>
      <c r="D118" s="2" t="s">
        <v>24</v>
      </c>
      <c r="E118" s="2" t="s">
        <v>72</v>
      </c>
      <c r="F118" s="9"/>
      <c r="G118" s="10">
        <v>137.53</v>
      </c>
      <c r="H118" s="9"/>
      <c r="I118" s="10">
        <f t="shared" ref="I118:I154" si="15">G118-H118</f>
        <v>137.53</v>
      </c>
      <c r="J118" s="4">
        <f>G118/VLOOKUP(A118,RESUME!$G$3:$I$10,3,FALSE)</f>
        <v>5.5495675892985874E-4</v>
      </c>
      <c r="K118" s="4" t="str">
        <f t="shared" si="10"/>
        <v/>
      </c>
      <c r="L118" s="29" t="str">
        <f>VLOOKUP(A118&amp;"-"&amp;B118&amp;"-"&amp;D118,Ref_Account!$A:$F,6,FALSE)</f>
        <v>1205.813100</v>
      </c>
      <c r="N118" s="1">
        <f t="shared" si="14"/>
        <v>1</v>
      </c>
    </row>
    <row r="119" spans="1:14" x14ac:dyDescent="0.25">
      <c r="A119" s="9" t="s">
        <v>178</v>
      </c>
      <c r="B119" s="1" t="s">
        <v>93</v>
      </c>
      <c r="C119" s="1" t="s">
        <v>94</v>
      </c>
      <c r="D119" s="2" t="s">
        <v>24</v>
      </c>
      <c r="E119" s="2" t="s">
        <v>95</v>
      </c>
      <c r="F119" s="9"/>
      <c r="G119" s="10">
        <v>5157.3999999999996</v>
      </c>
      <c r="H119" s="9"/>
      <c r="I119" s="10">
        <f t="shared" si="15"/>
        <v>5157.3999999999996</v>
      </c>
      <c r="J119" s="4">
        <f>G119/VLOOKUP(A119,RESUME!$G$3:$I$10,3,FALSE)</f>
        <v>2.0810979339088584E-2</v>
      </c>
      <c r="K119" s="4" t="str">
        <f t="shared" si="10"/>
        <v/>
      </c>
      <c r="L119" s="29" t="str">
        <f>VLOOKUP(A119&amp;"-"&amp;B119&amp;"-"&amp;D119,Ref_Account!$A:$F,6,FALSE)</f>
        <v>1205.801160</v>
      </c>
      <c r="N119" s="1">
        <f t="shared" si="14"/>
        <v>1</v>
      </c>
    </row>
    <row r="120" spans="1:14" x14ac:dyDescent="0.25">
      <c r="A120" s="9" t="s">
        <v>178</v>
      </c>
      <c r="B120" s="1" t="s">
        <v>102</v>
      </c>
      <c r="C120" s="1" t="s">
        <v>103</v>
      </c>
      <c r="D120" s="2" t="s">
        <v>24</v>
      </c>
      <c r="E120" s="2" t="s">
        <v>75</v>
      </c>
      <c r="F120" s="9"/>
      <c r="G120" s="10">
        <v>500</v>
      </c>
      <c r="H120" s="9"/>
      <c r="I120" s="10">
        <f t="shared" si="15"/>
        <v>500</v>
      </c>
      <c r="J120" s="4">
        <f>G120/VLOOKUP(A120,RESUME!$G$3:$I$10,3,FALSE)</f>
        <v>2.0175843776988971E-3</v>
      </c>
      <c r="K120" s="4" t="str">
        <f t="shared" si="10"/>
        <v/>
      </c>
      <c r="L120" s="29" t="str">
        <f>VLOOKUP(A120&amp;"-"&amp;B120&amp;"-"&amp;D120,Ref_Account!$A:$F,6,FALSE)</f>
        <v>1205.630710</v>
      </c>
      <c r="N120" s="1">
        <f t="shared" si="14"/>
        <v>1</v>
      </c>
    </row>
    <row r="121" spans="1:14" x14ac:dyDescent="0.25">
      <c r="A121" s="9" t="s">
        <v>178</v>
      </c>
      <c r="B121" s="1" t="s">
        <v>114</v>
      </c>
      <c r="C121" s="1" t="s">
        <v>115</v>
      </c>
      <c r="D121" s="2" t="s">
        <v>24</v>
      </c>
      <c r="E121" s="2" t="s">
        <v>75</v>
      </c>
      <c r="F121" s="9"/>
      <c r="G121" s="10">
        <v>250</v>
      </c>
      <c r="H121" s="9"/>
      <c r="I121" s="10">
        <f t="shared" si="15"/>
        <v>250</v>
      </c>
      <c r="J121" s="4">
        <f>G121/VLOOKUP(A121,RESUME!$G$3:$I$10,3,FALSE)</f>
        <v>1.0087921888494486E-3</v>
      </c>
      <c r="K121" s="4" t="str">
        <f t="shared" si="10"/>
        <v/>
      </c>
      <c r="L121" s="29" t="str">
        <f>VLOOKUP(A121&amp;"-"&amp;B121&amp;"-"&amp;D121,Ref_Account!$A:$F,6,FALSE)</f>
        <v>1205.630740</v>
      </c>
      <c r="N121" s="1">
        <f t="shared" si="14"/>
        <v>1</v>
      </c>
    </row>
    <row r="122" spans="1:14" x14ac:dyDescent="0.25">
      <c r="A122" s="9" t="s">
        <v>178</v>
      </c>
      <c r="B122" s="1" t="s">
        <v>118</v>
      </c>
      <c r="C122" s="1" t="s">
        <v>119</v>
      </c>
      <c r="D122" s="2" t="s">
        <v>24</v>
      </c>
      <c r="E122" s="2" t="s">
        <v>95</v>
      </c>
      <c r="F122" s="9"/>
      <c r="G122" s="10">
        <v>3183.98</v>
      </c>
      <c r="H122" s="9">
        <v>3929.89</v>
      </c>
      <c r="I122" s="10">
        <f t="shared" si="15"/>
        <v>-745.90999999999985</v>
      </c>
      <c r="J122" s="4">
        <f>G122/VLOOKUP(A122,RESUME!$G$3:$I$10,3,FALSE)</f>
        <v>1.284789661381147E-2</v>
      </c>
      <c r="K122" s="4">
        <f t="shared" si="10"/>
        <v>1.040931065766305E-2</v>
      </c>
      <c r="L122" s="29" t="str">
        <f>VLOOKUP(A122&amp;"-"&amp;B122&amp;"-"&amp;D122,Ref_Account!$A:$F,6,FALSE)</f>
        <v>1205.630130</v>
      </c>
      <c r="N122" s="1">
        <f t="shared" si="14"/>
        <v>1</v>
      </c>
    </row>
    <row r="123" spans="1:14" x14ac:dyDescent="0.25">
      <c r="A123" s="9" t="s">
        <v>178</v>
      </c>
      <c r="B123" s="1" t="s">
        <v>130</v>
      </c>
      <c r="C123" s="1" t="s">
        <v>142</v>
      </c>
      <c r="D123" s="2" t="s">
        <v>24</v>
      </c>
      <c r="E123" s="2" t="s">
        <v>75</v>
      </c>
      <c r="F123" s="9"/>
      <c r="G123" s="10">
        <v>126.99</v>
      </c>
      <c r="H123" s="9"/>
      <c r="I123" s="10">
        <f t="shared" si="15"/>
        <v>126.99</v>
      </c>
      <c r="J123" s="4">
        <f>G123/VLOOKUP(A123,RESUME!$G$3:$I$10,3,FALSE)</f>
        <v>5.124260802479659E-4</v>
      </c>
      <c r="K123" s="4" t="str">
        <f t="shared" si="10"/>
        <v/>
      </c>
      <c r="L123" s="29" t="str">
        <f>VLOOKUP(A123&amp;"-"&amp;B123&amp;"-"&amp;D123,Ref_Account!$A:$F,6,FALSE)</f>
        <v>1205.815110</v>
      </c>
      <c r="N123" s="1">
        <f t="shared" si="14"/>
        <v>1</v>
      </c>
    </row>
    <row r="124" spans="1:14" x14ac:dyDescent="0.25">
      <c r="A124" s="9" t="s">
        <v>178</v>
      </c>
      <c r="B124" s="1" t="s">
        <v>21</v>
      </c>
      <c r="C124" s="1" t="s">
        <v>152</v>
      </c>
      <c r="D124" s="2" t="s">
        <v>24</v>
      </c>
      <c r="E124" s="2" t="s">
        <v>75</v>
      </c>
      <c r="F124" s="9"/>
      <c r="G124" s="10">
        <v>754.58</v>
      </c>
      <c r="H124" s="9"/>
      <c r="I124" s="10">
        <f t="shared" si="15"/>
        <v>754.58</v>
      </c>
      <c r="J124" s="4">
        <f>G124/VLOOKUP(A124,RESUME!$G$3:$I$10,3,FALSE)</f>
        <v>3.0448576394480681E-3</v>
      </c>
      <c r="K124" s="4" t="str">
        <f t="shared" si="10"/>
        <v/>
      </c>
      <c r="L124" s="29" t="str">
        <f>VLOOKUP(A124&amp;"-"&amp;B124&amp;"-"&amp;D124,Ref_Account!$A:$F,6,FALSE)</f>
        <v>1205.631100</v>
      </c>
      <c r="M124" s="1" t="s">
        <v>177</v>
      </c>
      <c r="N124" s="1">
        <f t="shared" si="14"/>
        <v>3</v>
      </c>
    </row>
    <row r="125" spans="1:14" x14ac:dyDescent="0.25">
      <c r="A125" s="9" t="s">
        <v>178</v>
      </c>
      <c r="B125" s="1" t="s">
        <v>70</v>
      </c>
      <c r="C125" s="1" t="s">
        <v>71</v>
      </c>
      <c r="D125" s="2" t="s">
        <v>24</v>
      </c>
      <c r="E125" s="2" t="s">
        <v>72</v>
      </c>
      <c r="F125" s="9"/>
      <c r="G125" s="10">
        <v>6722.26</v>
      </c>
      <c r="H125" s="9">
        <v>1992.25</v>
      </c>
      <c r="I125" s="10">
        <f t="shared" si="15"/>
        <v>4730.01</v>
      </c>
      <c r="J125" s="4">
        <f>G125/VLOOKUP(A125,RESUME!$G$3:$I$10,3,FALSE)</f>
        <v>2.7125453517660381E-2</v>
      </c>
      <c r="K125" s="4">
        <f t="shared" si="10"/>
        <v>9.1526842094931699E-2</v>
      </c>
      <c r="L125" s="29" t="str">
        <f>VLOOKUP(A125&amp;"-"&amp;B125&amp;"-"&amp;D125,Ref_Account!$A:$F,6,FALSE)</f>
        <v>1205.812100</v>
      </c>
      <c r="N125" s="1">
        <f t="shared" si="14"/>
        <v>1</v>
      </c>
    </row>
    <row r="126" spans="1:14" x14ac:dyDescent="0.25">
      <c r="A126" s="9" t="s">
        <v>178</v>
      </c>
      <c r="B126" s="1" t="s">
        <v>76</v>
      </c>
      <c r="C126" s="1" t="s">
        <v>77</v>
      </c>
      <c r="D126" s="2" t="s">
        <v>24</v>
      </c>
      <c r="E126" s="2" t="s">
        <v>75</v>
      </c>
      <c r="F126" s="9"/>
      <c r="G126" s="10">
        <v>5152.29</v>
      </c>
      <c r="H126" s="9"/>
      <c r="I126" s="10">
        <f t="shared" si="15"/>
        <v>5152.29</v>
      </c>
      <c r="J126" s="4">
        <f>G126/VLOOKUP(A126,RESUME!$G$3:$I$10,3,FALSE)</f>
        <v>2.0790359626748502E-2</v>
      </c>
      <c r="K126" s="4" t="str">
        <f t="shared" si="10"/>
        <v/>
      </c>
      <c r="L126" s="29" t="str">
        <f>VLOOKUP(A126&amp;"-"&amp;B126&amp;"-"&amp;D126,Ref_Account!$A:$F,6,FALSE)</f>
        <v>1205.630400</v>
      </c>
      <c r="N126" s="1">
        <f t="shared" si="14"/>
        <v>1</v>
      </c>
    </row>
    <row r="127" spans="1:14" x14ac:dyDescent="0.25">
      <c r="A127" s="9" t="s">
        <v>178</v>
      </c>
      <c r="B127" s="1" t="s">
        <v>80</v>
      </c>
      <c r="C127" s="1" t="s">
        <v>81</v>
      </c>
      <c r="D127" s="2" t="s">
        <v>24</v>
      </c>
      <c r="E127" s="2" t="s">
        <v>153</v>
      </c>
      <c r="F127" s="9"/>
      <c r="G127" s="10">
        <v>3188</v>
      </c>
      <c r="H127" s="9">
        <v>602.05999999999995</v>
      </c>
      <c r="I127" s="10">
        <f t="shared" si="15"/>
        <v>2585.94</v>
      </c>
      <c r="J127" s="4">
        <f>G127/VLOOKUP(A127,RESUME!$G$3:$I$10,3,FALSE)</f>
        <v>1.2864117992208169E-2</v>
      </c>
      <c r="K127" s="4">
        <f t="shared" si="10"/>
        <v>6.8117476927813919E-2</v>
      </c>
      <c r="L127" s="29" t="str">
        <f>VLOOKUP(A127&amp;"-"&amp;B127&amp;"-"&amp;D127,Ref_Account!$A:$F,6,FALSE)</f>
        <v>1205.630300</v>
      </c>
      <c r="N127" s="1">
        <f t="shared" si="14"/>
        <v>1</v>
      </c>
    </row>
    <row r="128" spans="1:14" x14ac:dyDescent="0.25">
      <c r="A128" s="9" t="s">
        <v>178</v>
      </c>
      <c r="B128" s="1" t="s">
        <v>154</v>
      </c>
      <c r="C128" s="1" t="s">
        <v>84</v>
      </c>
      <c r="D128" s="2" t="s">
        <v>24</v>
      </c>
      <c r="E128" s="2" t="s">
        <v>75</v>
      </c>
      <c r="F128" s="9"/>
      <c r="G128" s="10">
        <v>2043.4899999999998</v>
      </c>
      <c r="H128" s="9"/>
      <c r="I128" s="10">
        <f t="shared" si="15"/>
        <v>2043.4899999999998</v>
      </c>
      <c r="J128" s="4">
        <f>G128/VLOOKUP(A128,RESUME!$G$3:$I$10,3,FALSE)</f>
        <v>8.2458269999678389E-3</v>
      </c>
      <c r="K128" s="4" t="str">
        <f t="shared" si="10"/>
        <v/>
      </c>
      <c r="L128" s="29" t="str">
        <f>VLOOKUP(A128&amp;"-"&amp;B128&amp;"-"&amp;D128,Ref_Account!$A:$F,6,FALSE)</f>
        <v>1205.630200</v>
      </c>
      <c r="N128" s="1">
        <f t="shared" si="14"/>
        <v>1</v>
      </c>
    </row>
    <row r="129" spans="1:14" x14ac:dyDescent="0.25">
      <c r="A129" s="9" t="s">
        <v>178</v>
      </c>
      <c r="B129" s="1" t="s">
        <v>96</v>
      </c>
      <c r="C129" s="1" t="s">
        <v>97</v>
      </c>
      <c r="D129" s="2" t="s">
        <v>24</v>
      </c>
      <c r="E129" s="2" t="s">
        <v>155</v>
      </c>
      <c r="F129" s="9"/>
      <c r="G129" s="10">
        <v>78109.679999999993</v>
      </c>
      <c r="H129" s="9">
        <v>901.67</v>
      </c>
      <c r="I129" s="10">
        <f t="shared" si="15"/>
        <v>77208.009999999995</v>
      </c>
      <c r="J129" s="4">
        <f>G129/VLOOKUP(A129,RESUME!$G$3:$I$10,3,FALSE)</f>
        <v>0.31518574023011997</v>
      </c>
      <c r="K129" s="4">
        <f t="shared" si="10"/>
        <v>27.303844322133148</v>
      </c>
      <c r="L129" s="29" t="str">
        <f>VLOOKUP(A129&amp;"-"&amp;B129&amp;"-"&amp;D129,Ref_Account!$A:$F,6,FALSE)</f>
        <v>1205.630110</v>
      </c>
      <c r="N129" s="1">
        <f t="shared" si="14"/>
        <v>1</v>
      </c>
    </row>
    <row r="130" spans="1:14" x14ac:dyDescent="0.25">
      <c r="A130" s="9" t="s">
        <v>178</v>
      </c>
      <c r="B130" s="1" t="s">
        <v>104</v>
      </c>
      <c r="C130" s="1" t="s">
        <v>105</v>
      </c>
      <c r="D130" s="2" t="s">
        <v>24</v>
      </c>
      <c r="E130" s="2" t="s">
        <v>153</v>
      </c>
      <c r="F130" s="9"/>
      <c r="G130" s="10">
        <v>250</v>
      </c>
      <c r="H130" s="9"/>
      <c r="I130" s="10">
        <f t="shared" si="15"/>
        <v>250</v>
      </c>
      <c r="J130" s="4">
        <f>G130/VLOOKUP(A130,RESUME!$G$3:$I$10,3,FALSE)</f>
        <v>1.0087921888494486E-3</v>
      </c>
      <c r="K130" s="4" t="str">
        <f t="shared" si="10"/>
        <v/>
      </c>
      <c r="L130" s="29" t="str">
        <f>VLOOKUP(A130&amp;"-"&amp;B130&amp;"-"&amp;D130,Ref_Account!$A:$F,6,FALSE)</f>
        <v>1205.630770</v>
      </c>
      <c r="N130" s="1">
        <f t="shared" si="14"/>
        <v>1</v>
      </c>
    </row>
    <row r="131" spans="1:14" x14ac:dyDescent="0.25">
      <c r="A131" s="9" t="s">
        <v>178</v>
      </c>
      <c r="B131" s="1" t="s">
        <v>106</v>
      </c>
      <c r="C131" s="1" t="s">
        <v>107</v>
      </c>
      <c r="D131" s="2" t="s">
        <v>24</v>
      </c>
      <c r="E131" s="2" t="s">
        <v>153</v>
      </c>
      <c r="F131" s="9"/>
      <c r="G131" s="10">
        <v>250</v>
      </c>
      <c r="H131" s="9"/>
      <c r="I131" s="10">
        <f t="shared" si="15"/>
        <v>250</v>
      </c>
      <c r="J131" s="4">
        <f>G131/VLOOKUP(A131,RESUME!$G$3:$I$10,3,FALSE)</f>
        <v>1.0087921888494486E-3</v>
      </c>
      <c r="K131" s="4" t="str">
        <f t="shared" si="10"/>
        <v/>
      </c>
      <c r="L131" s="29" t="str">
        <f>VLOOKUP(A131&amp;"-"&amp;B131&amp;"-"&amp;D131,Ref_Account!$A:$F,6,FALSE)</f>
        <v>1205.630750</v>
      </c>
      <c r="N131" s="1">
        <f t="shared" si="14"/>
        <v>1</v>
      </c>
    </row>
    <row r="132" spans="1:14" x14ac:dyDescent="0.25">
      <c r="A132" s="9" t="s">
        <v>178</v>
      </c>
      <c r="B132" s="1" t="s">
        <v>108</v>
      </c>
      <c r="C132" s="1" t="s">
        <v>109</v>
      </c>
      <c r="D132" s="2" t="s">
        <v>24</v>
      </c>
      <c r="E132" s="2" t="s">
        <v>153</v>
      </c>
      <c r="F132" s="9"/>
      <c r="G132" s="10">
        <v>250</v>
      </c>
      <c r="H132" s="9"/>
      <c r="I132" s="10">
        <f t="shared" si="15"/>
        <v>250</v>
      </c>
      <c r="J132" s="4">
        <f>G132/VLOOKUP(A132,RESUME!$G$3:$I$10,3,FALSE)</f>
        <v>1.0087921888494486E-3</v>
      </c>
      <c r="K132" s="4" t="str">
        <f t="shared" si="10"/>
        <v/>
      </c>
      <c r="L132" s="29" t="str">
        <f>VLOOKUP(A132&amp;"-"&amp;B132&amp;"-"&amp;D132,Ref_Account!$A:$F,6,FALSE)</f>
        <v>1205.630720</v>
      </c>
      <c r="N132" s="1">
        <f t="shared" si="14"/>
        <v>1</v>
      </c>
    </row>
    <row r="133" spans="1:14" x14ac:dyDescent="0.25">
      <c r="A133" s="9" t="s">
        <v>178</v>
      </c>
      <c r="B133" s="1" t="s">
        <v>112</v>
      </c>
      <c r="C133" s="1" t="s">
        <v>113</v>
      </c>
      <c r="D133" s="2" t="s">
        <v>24</v>
      </c>
      <c r="E133" s="2" t="s">
        <v>153</v>
      </c>
      <c r="F133" s="9"/>
      <c r="G133" s="10">
        <v>250</v>
      </c>
      <c r="H133" s="9"/>
      <c r="I133" s="10">
        <f t="shared" si="15"/>
        <v>250</v>
      </c>
      <c r="J133" s="4">
        <f>G133/VLOOKUP(A133,RESUME!$G$3:$I$10,3,FALSE)</f>
        <v>1.0087921888494486E-3</v>
      </c>
      <c r="K133" s="4" t="str">
        <f t="shared" si="10"/>
        <v/>
      </c>
      <c r="L133" s="29" t="str">
        <f>VLOOKUP(A133&amp;"-"&amp;B133&amp;"-"&amp;D133,Ref_Account!$A:$F,6,FALSE)</f>
        <v>1205.630730</v>
      </c>
      <c r="N133" s="1">
        <f t="shared" si="14"/>
        <v>1</v>
      </c>
    </row>
    <row r="134" spans="1:14" x14ac:dyDescent="0.25">
      <c r="A134" s="9" t="s">
        <v>178</v>
      </c>
      <c r="B134" s="1" t="s">
        <v>146</v>
      </c>
      <c r="C134" s="1" t="s">
        <v>147</v>
      </c>
      <c r="D134" s="2" t="s">
        <v>24</v>
      </c>
      <c r="E134" s="2" t="s">
        <v>148</v>
      </c>
      <c r="F134" s="9"/>
      <c r="G134" s="10">
        <v>10800</v>
      </c>
      <c r="H134" s="9"/>
      <c r="I134" s="10">
        <f t="shared" si="15"/>
        <v>10800</v>
      </c>
      <c r="J134" s="4">
        <f>G134/VLOOKUP(A134,RESUME!$G$3:$I$10,3,FALSE)</f>
        <v>4.3579822558296184E-2</v>
      </c>
      <c r="K134" s="4" t="str">
        <f t="shared" ref="K134:K164" si="16">IFERROR((G134/H134)*J134,"")</f>
        <v/>
      </c>
      <c r="L134" s="29" t="str">
        <f>VLOOKUP(A134&amp;"-"&amp;B134&amp;"-"&amp;D134,Ref_Account!$A:$F,6,FALSE)</f>
        <v>1205.801110</v>
      </c>
      <c r="N134" s="1">
        <f t="shared" ref="N134:N164" si="17">COUNTIF($L$6:$L$164,L134)</f>
        <v>1</v>
      </c>
    </row>
    <row r="135" spans="1:14" x14ac:dyDescent="0.25">
      <c r="A135" s="9" t="s">
        <v>178</v>
      </c>
      <c r="B135" s="1" t="s">
        <v>124</v>
      </c>
      <c r="C135" s="1" t="s">
        <v>125</v>
      </c>
      <c r="D135" s="2" t="s">
        <v>24</v>
      </c>
      <c r="E135" s="2" t="s">
        <v>153</v>
      </c>
      <c r="F135" s="9"/>
      <c r="G135" s="10">
        <v>1500</v>
      </c>
      <c r="H135" s="9">
        <v>1779.64</v>
      </c>
      <c r="I135" s="10">
        <f t="shared" si="15"/>
        <v>-279.6400000000001</v>
      </c>
      <c r="J135" s="4">
        <f>G135/VLOOKUP(A135,RESUME!$G$3:$I$10,3,FALSE)</f>
        <v>6.0527531330966918E-3</v>
      </c>
      <c r="K135" s="4">
        <f t="shared" si="16"/>
        <v>5.1016664604330297E-3</v>
      </c>
      <c r="L135" s="29" t="str">
        <f>VLOOKUP(A135&amp;"-"&amp;B135&amp;"-"&amp;D135,Ref_Account!$A:$F,6,FALSE)</f>
        <v>1205.631110</v>
      </c>
      <c r="N135" s="1">
        <f t="shared" si="17"/>
        <v>1</v>
      </c>
    </row>
    <row r="136" spans="1:14" x14ac:dyDescent="0.25">
      <c r="A136" s="9" t="s">
        <v>178</v>
      </c>
      <c r="B136" s="1" t="s">
        <v>78</v>
      </c>
      <c r="C136" s="1" t="s">
        <v>79</v>
      </c>
      <c r="D136" s="2" t="s">
        <v>15</v>
      </c>
      <c r="E136" s="2" t="s">
        <v>72</v>
      </c>
      <c r="F136" s="9"/>
      <c r="G136" s="10">
        <v>504.76</v>
      </c>
      <c r="H136" s="9"/>
      <c r="I136" s="10">
        <f t="shared" si="15"/>
        <v>504.76</v>
      </c>
      <c r="J136" s="4">
        <f>G136/VLOOKUP(A136,RESUME!$G$3:$I$10,3,FALSE)</f>
        <v>2.0367917809745906E-3</v>
      </c>
      <c r="K136" s="4" t="str">
        <f t="shared" si="16"/>
        <v/>
      </c>
      <c r="L136" s="29" t="str">
        <f>VLOOKUP(A136&amp;"-"&amp;B136&amp;"-"&amp;D136,Ref_Account!$A:$F,6,FALSE)</f>
        <v>1204.813100</v>
      </c>
      <c r="N136" s="1">
        <f t="shared" si="17"/>
        <v>1</v>
      </c>
    </row>
    <row r="137" spans="1:14" x14ac:dyDescent="0.25">
      <c r="A137" s="9" t="s">
        <v>178</v>
      </c>
      <c r="B137" s="1" t="s">
        <v>93</v>
      </c>
      <c r="C137" s="1" t="s">
        <v>94</v>
      </c>
      <c r="D137" s="2" t="s">
        <v>15</v>
      </c>
      <c r="E137" s="2" t="s">
        <v>95</v>
      </c>
      <c r="F137" s="9"/>
      <c r="G137" s="10">
        <v>5702.68</v>
      </c>
      <c r="H137" s="9"/>
      <c r="I137" s="10">
        <f t="shared" si="15"/>
        <v>5702.68</v>
      </c>
      <c r="J137" s="4">
        <f>G137/VLOOKUP(A137,RESUME!$G$3:$I$10,3,FALSE)</f>
        <v>2.3011276158031897E-2</v>
      </c>
      <c r="K137" s="4" t="str">
        <f t="shared" si="16"/>
        <v/>
      </c>
      <c r="L137" s="29" t="str">
        <f>VLOOKUP(A137&amp;"-"&amp;B137&amp;"-"&amp;D137,Ref_Account!$A:$F,6,FALSE)</f>
        <v>1204.801160</v>
      </c>
      <c r="N137" s="1">
        <f t="shared" si="17"/>
        <v>1</v>
      </c>
    </row>
    <row r="138" spans="1:14" x14ac:dyDescent="0.25">
      <c r="A138" s="9" t="s">
        <v>178</v>
      </c>
      <c r="B138" s="1" t="s">
        <v>102</v>
      </c>
      <c r="C138" s="1" t="s">
        <v>103</v>
      </c>
      <c r="D138" s="2" t="s">
        <v>15</v>
      </c>
      <c r="E138" s="2" t="s">
        <v>75</v>
      </c>
      <c r="F138" s="9"/>
      <c r="G138" s="10">
        <v>700</v>
      </c>
      <c r="H138" s="9"/>
      <c r="I138" s="10">
        <f t="shared" si="15"/>
        <v>700</v>
      </c>
      <c r="J138" s="4">
        <f>G138/VLOOKUP(A138,RESUME!$G$3:$I$10,3,FALSE)</f>
        <v>2.8246181287784563E-3</v>
      </c>
      <c r="K138" s="4" t="str">
        <f t="shared" si="16"/>
        <v/>
      </c>
      <c r="L138" s="29" t="str">
        <f>VLOOKUP(A138&amp;"-"&amp;B138&amp;"-"&amp;D138,Ref_Account!$A:$F,6,FALSE)</f>
        <v>1204.630710</v>
      </c>
      <c r="N138" s="1">
        <f t="shared" si="17"/>
        <v>1</v>
      </c>
    </row>
    <row r="139" spans="1:14" x14ac:dyDescent="0.25">
      <c r="A139" s="9" t="s">
        <v>178</v>
      </c>
      <c r="B139" s="1" t="s">
        <v>114</v>
      </c>
      <c r="C139" s="1" t="s">
        <v>115</v>
      </c>
      <c r="D139" s="2" t="s">
        <v>15</v>
      </c>
      <c r="E139" s="2" t="s">
        <v>75</v>
      </c>
      <c r="F139" s="9"/>
      <c r="G139" s="10">
        <v>300</v>
      </c>
      <c r="H139" s="9"/>
      <c r="I139" s="10">
        <f t="shared" si="15"/>
        <v>300</v>
      </c>
      <c r="J139" s="4">
        <f>G139/VLOOKUP(A139,RESUME!$G$3:$I$10,3,FALSE)</f>
        <v>1.2105506266193384E-3</v>
      </c>
      <c r="K139" s="4" t="str">
        <f t="shared" si="16"/>
        <v/>
      </c>
      <c r="L139" s="29" t="str">
        <f>VLOOKUP(A139&amp;"-"&amp;B139&amp;"-"&amp;D139,Ref_Account!$A:$F,6,FALSE)</f>
        <v>1204.630740</v>
      </c>
      <c r="N139" s="1">
        <f t="shared" si="17"/>
        <v>1</v>
      </c>
    </row>
    <row r="140" spans="1:14" x14ac:dyDescent="0.25">
      <c r="A140" s="9" t="s">
        <v>178</v>
      </c>
      <c r="B140" s="1" t="s">
        <v>118</v>
      </c>
      <c r="C140" s="1" t="s">
        <v>119</v>
      </c>
      <c r="D140" s="2" t="s">
        <v>15</v>
      </c>
      <c r="E140" s="2" t="s">
        <v>95</v>
      </c>
      <c r="F140" s="9"/>
      <c r="G140" s="10">
        <v>3500</v>
      </c>
      <c r="H140" s="9">
        <v>4436.3599999999997</v>
      </c>
      <c r="I140" s="10">
        <f t="shared" si="15"/>
        <v>-936.35999999999967</v>
      </c>
      <c r="J140" s="4">
        <f>G140/VLOOKUP(A140,RESUME!$G$3:$I$10,3,FALSE)</f>
        <v>1.4123090643892281E-2</v>
      </c>
      <c r="K140" s="4">
        <f t="shared" si="16"/>
        <v>1.114220154667858E-2</v>
      </c>
      <c r="L140" s="29" t="str">
        <f>VLOOKUP(A140&amp;"-"&amp;B140&amp;"-"&amp;D140,Ref_Account!$A:$F,6,FALSE)</f>
        <v>1204.630130</v>
      </c>
      <c r="N140" s="1">
        <f t="shared" si="17"/>
        <v>1</v>
      </c>
    </row>
    <row r="141" spans="1:14" x14ac:dyDescent="0.25">
      <c r="A141" s="9" t="s">
        <v>178</v>
      </c>
      <c r="B141" s="1" t="s">
        <v>130</v>
      </c>
      <c r="C141" s="1" t="s">
        <v>156</v>
      </c>
      <c r="D141" s="2" t="s">
        <v>15</v>
      </c>
      <c r="E141" s="2" t="s">
        <v>75</v>
      </c>
      <c r="F141" s="9"/>
      <c r="G141" s="10">
        <v>512.71</v>
      </c>
      <c r="H141" s="9"/>
      <c r="I141" s="10">
        <f t="shared" si="15"/>
        <v>512.71</v>
      </c>
      <c r="J141" s="4">
        <f>G141/VLOOKUP(A141,RESUME!$G$3:$I$10,3,FALSE)</f>
        <v>2.0688713725800032E-3</v>
      </c>
      <c r="K141" s="4" t="str">
        <f t="shared" si="16"/>
        <v/>
      </c>
      <c r="L141" s="29" t="str">
        <f>VLOOKUP(A141&amp;"-"&amp;B141&amp;"-"&amp;D141,Ref_Account!$A:$F,6,FALSE)</f>
        <v>1204.815110</v>
      </c>
      <c r="N141" s="1">
        <f t="shared" si="17"/>
        <v>1</v>
      </c>
    </row>
    <row r="142" spans="1:14" x14ac:dyDescent="0.25">
      <c r="A142" s="9" t="s">
        <v>178</v>
      </c>
      <c r="B142" s="1" t="s">
        <v>21</v>
      </c>
      <c r="C142" s="1" t="s">
        <v>152</v>
      </c>
      <c r="D142" s="2" t="s">
        <v>15</v>
      </c>
      <c r="E142" s="2" t="s">
        <v>75</v>
      </c>
      <c r="F142" s="9"/>
      <c r="G142" s="10">
        <v>754.58</v>
      </c>
      <c r="H142" s="9"/>
      <c r="I142" s="10">
        <f t="shared" si="15"/>
        <v>754.58</v>
      </c>
      <c r="J142" s="4">
        <f>G142/VLOOKUP(A142,RESUME!$G$3:$I$10,3,FALSE)</f>
        <v>3.0448576394480681E-3</v>
      </c>
      <c r="K142" s="4" t="str">
        <f t="shared" si="16"/>
        <v/>
      </c>
      <c r="L142" s="29" t="str">
        <f>VLOOKUP(A142&amp;"-"&amp;B142&amp;"-"&amp;D142,Ref_Account!$A:$F,6,FALSE)</f>
        <v>1204.631100</v>
      </c>
      <c r="M142" s="1" t="s">
        <v>177</v>
      </c>
      <c r="N142" s="1">
        <f t="shared" si="17"/>
        <v>3</v>
      </c>
    </row>
    <row r="143" spans="1:14" x14ac:dyDescent="0.25">
      <c r="A143" s="9" t="s">
        <v>178</v>
      </c>
      <c r="B143" s="1" t="s">
        <v>68</v>
      </c>
      <c r="C143" s="1" t="s">
        <v>69</v>
      </c>
      <c r="D143" s="2" t="s">
        <v>15</v>
      </c>
      <c r="E143" s="2" t="s">
        <v>157</v>
      </c>
      <c r="F143" s="9"/>
      <c r="H143" s="9"/>
      <c r="I143" s="10">
        <f t="shared" si="15"/>
        <v>0</v>
      </c>
      <c r="J143" s="4">
        <f>G143/VLOOKUP(A143,RESUME!$G$3:$I$10,3,FALSE)</f>
        <v>0</v>
      </c>
      <c r="K143" s="4" t="str">
        <f t="shared" si="16"/>
        <v/>
      </c>
      <c r="L143" s="29" t="str">
        <f>VLOOKUP(A143&amp;"-"&amp;B143&amp;"-"&amp;D143,Ref_Account!$A:$F,6,FALSE)</f>
        <v>1204.720500</v>
      </c>
      <c r="N143" s="1">
        <f t="shared" si="17"/>
        <v>1</v>
      </c>
    </row>
    <row r="144" spans="1:14" x14ac:dyDescent="0.25">
      <c r="A144" s="9" t="s">
        <v>178</v>
      </c>
      <c r="B144" s="1" t="s">
        <v>70</v>
      </c>
      <c r="C144" s="1" t="s">
        <v>71</v>
      </c>
      <c r="D144" s="2" t="s">
        <v>15</v>
      </c>
      <c r="E144" s="2" t="s">
        <v>72</v>
      </c>
      <c r="F144" s="9"/>
      <c r="G144" s="10">
        <v>5672.9500000000007</v>
      </c>
      <c r="H144" s="9">
        <v>1396.57</v>
      </c>
      <c r="I144" s="10">
        <f t="shared" si="15"/>
        <v>4276.380000000001</v>
      </c>
      <c r="J144" s="4">
        <f>G144/VLOOKUP(A144,RESUME!$G$3:$I$10,3,FALSE)</f>
        <v>2.2891310590933921E-2</v>
      </c>
      <c r="K144" s="4">
        <f t="shared" si="16"/>
        <v>9.2985858508229893E-2</v>
      </c>
      <c r="L144" s="29" t="str">
        <f>VLOOKUP(A144&amp;"-"&amp;B144&amp;"-"&amp;D144,Ref_Account!$A:$F,6,FALSE)</f>
        <v>1204.812100</v>
      </c>
      <c r="N144" s="1">
        <f t="shared" si="17"/>
        <v>1</v>
      </c>
    </row>
    <row r="145" spans="1:14" x14ac:dyDescent="0.25">
      <c r="A145" s="9" t="s">
        <v>178</v>
      </c>
      <c r="B145" s="1" t="s">
        <v>76</v>
      </c>
      <c r="C145" s="1" t="s">
        <v>77</v>
      </c>
      <c r="D145" s="2" t="s">
        <v>15</v>
      </c>
      <c r="E145" s="2" t="s">
        <v>75</v>
      </c>
      <c r="F145" s="9"/>
      <c r="G145" s="10">
        <v>4918.54</v>
      </c>
      <c r="H145" s="9"/>
      <c r="I145" s="10">
        <f t="shared" si="15"/>
        <v>4918.54</v>
      </c>
      <c r="J145" s="4">
        <f>G145/VLOOKUP(A145,RESUME!$G$3:$I$10,3,FALSE)</f>
        <v>1.9847138930174268E-2</v>
      </c>
      <c r="K145" s="4" t="str">
        <f t="shared" si="16"/>
        <v/>
      </c>
      <c r="L145" s="29" t="str">
        <f>VLOOKUP(A145&amp;"-"&amp;B145&amp;"-"&amp;D145,Ref_Account!$A:$F,6,FALSE)</f>
        <v>1204.630400</v>
      </c>
      <c r="N145" s="1">
        <f t="shared" si="17"/>
        <v>1</v>
      </c>
    </row>
    <row r="146" spans="1:14" x14ac:dyDescent="0.25">
      <c r="A146" s="9" t="s">
        <v>178</v>
      </c>
      <c r="B146" s="1" t="s">
        <v>80</v>
      </c>
      <c r="C146" s="1" t="s">
        <v>81</v>
      </c>
      <c r="D146" s="2" t="s">
        <v>15</v>
      </c>
      <c r="E146" s="2" t="s">
        <v>158</v>
      </c>
      <c r="F146" s="9"/>
      <c r="G146" s="10">
        <v>1600</v>
      </c>
      <c r="H146" s="9">
        <v>253.19</v>
      </c>
      <c r="I146" s="10">
        <f t="shared" si="15"/>
        <v>1346.81</v>
      </c>
      <c r="J146" s="4">
        <f>G146/VLOOKUP(A146,RESUME!$G$3:$I$10,3,FALSE)</f>
        <v>6.4562700086364709E-3</v>
      </c>
      <c r="K146" s="4">
        <f t="shared" si="16"/>
        <v>4.0799526102209223E-2</v>
      </c>
      <c r="L146" s="29" t="str">
        <f>VLOOKUP(A146&amp;"-"&amp;B146&amp;"-"&amp;D146,Ref_Account!$A:$F,6,FALSE)</f>
        <v>1204.630300</v>
      </c>
      <c r="N146" s="1">
        <f t="shared" si="17"/>
        <v>1</v>
      </c>
    </row>
    <row r="147" spans="1:14" x14ac:dyDescent="0.25">
      <c r="A147" s="9" t="s">
        <v>178</v>
      </c>
      <c r="B147" s="1" t="s">
        <v>154</v>
      </c>
      <c r="C147" s="1" t="s">
        <v>84</v>
      </c>
      <c r="D147" s="2" t="s">
        <v>15</v>
      </c>
      <c r="E147" s="2" t="s">
        <v>75</v>
      </c>
      <c r="F147" s="9"/>
      <c r="G147" s="10">
        <v>3106.38</v>
      </c>
      <c r="H147" s="9">
        <v>39.229999999999997</v>
      </c>
      <c r="I147" s="10">
        <f t="shared" si="15"/>
        <v>3067.15</v>
      </c>
      <c r="J147" s="4">
        <f>G147/VLOOKUP(A147,RESUME!$G$3:$I$10,3,FALSE)</f>
        <v>1.2534767518392602E-2</v>
      </c>
      <c r="K147" s="4">
        <f t="shared" si="16"/>
        <v>0.99255037277044145</v>
      </c>
      <c r="L147" s="29" t="str">
        <f>VLOOKUP(A147&amp;"-"&amp;B147&amp;"-"&amp;D147,Ref_Account!$A:$F,6,FALSE)</f>
        <v>1204.630200</v>
      </c>
      <c r="N147" s="1">
        <f t="shared" si="17"/>
        <v>1</v>
      </c>
    </row>
    <row r="148" spans="1:14" x14ac:dyDescent="0.25">
      <c r="A148" s="9" t="s">
        <v>178</v>
      </c>
      <c r="B148" s="1" t="s">
        <v>96</v>
      </c>
      <c r="C148" s="1" t="s">
        <v>97</v>
      </c>
      <c r="D148" s="2" t="s">
        <v>15</v>
      </c>
      <c r="E148" s="2" t="s">
        <v>157</v>
      </c>
      <c r="F148" s="9"/>
      <c r="G148" s="10">
        <v>97892.700000000012</v>
      </c>
      <c r="H148" s="9">
        <v>901.66</v>
      </c>
      <c r="I148" s="10">
        <f t="shared" si="15"/>
        <v>96991.040000000008</v>
      </c>
      <c r="J148" s="4">
        <f>G148/VLOOKUP(A148,RESUME!$G$3:$I$10,3,FALSE)</f>
        <v>0.39501356442152974</v>
      </c>
      <c r="K148" s="4">
        <f t="shared" si="16"/>
        <v>42.886392163174023</v>
      </c>
      <c r="L148" s="29" t="str">
        <f>VLOOKUP(A148&amp;"-"&amp;B148&amp;"-"&amp;D148,Ref_Account!$A:$F,6,FALSE)</f>
        <v>1204.630110</v>
      </c>
      <c r="N148" s="1">
        <f t="shared" si="17"/>
        <v>1</v>
      </c>
    </row>
    <row r="149" spans="1:14" x14ac:dyDescent="0.25">
      <c r="A149" s="9" t="s">
        <v>178</v>
      </c>
      <c r="B149" s="1" t="s">
        <v>104</v>
      </c>
      <c r="C149" s="1" t="s">
        <v>105</v>
      </c>
      <c r="D149" s="2" t="s">
        <v>15</v>
      </c>
      <c r="E149" s="2" t="s">
        <v>158</v>
      </c>
      <c r="F149" s="9"/>
      <c r="G149" s="10">
        <v>300</v>
      </c>
      <c r="H149" s="9"/>
      <c r="I149" s="10">
        <f t="shared" si="15"/>
        <v>300</v>
      </c>
      <c r="J149" s="4">
        <f>G149/VLOOKUP(A149,RESUME!$G$3:$I$10,3,FALSE)</f>
        <v>1.2105506266193384E-3</v>
      </c>
      <c r="K149" s="4" t="str">
        <f t="shared" si="16"/>
        <v/>
      </c>
      <c r="L149" s="29" t="str">
        <f>VLOOKUP(A149&amp;"-"&amp;B149&amp;"-"&amp;D149,Ref_Account!$A:$F,6,FALSE)</f>
        <v>1204.630770</v>
      </c>
      <c r="N149" s="1">
        <f t="shared" si="17"/>
        <v>1</v>
      </c>
    </row>
    <row r="150" spans="1:14" x14ac:dyDescent="0.25">
      <c r="A150" s="9" t="s">
        <v>178</v>
      </c>
      <c r="B150" s="1" t="s">
        <v>106</v>
      </c>
      <c r="C150" s="1" t="s">
        <v>107</v>
      </c>
      <c r="D150" s="2" t="s">
        <v>15</v>
      </c>
      <c r="E150" s="2" t="s">
        <v>158</v>
      </c>
      <c r="F150" s="9"/>
      <c r="G150" s="10">
        <v>300</v>
      </c>
      <c r="H150" s="9"/>
      <c r="I150" s="10">
        <f t="shared" si="15"/>
        <v>300</v>
      </c>
      <c r="J150" s="4">
        <f>G150/VLOOKUP(A150,RESUME!$G$3:$I$10,3,FALSE)</f>
        <v>1.2105506266193384E-3</v>
      </c>
      <c r="K150" s="4" t="str">
        <f t="shared" si="16"/>
        <v/>
      </c>
      <c r="L150" s="29" t="str">
        <f>VLOOKUP(A150&amp;"-"&amp;B150&amp;"-"&amp;D150,Ref_Account!$A:$F,6,FALSE)</f>
        <v>1204.630750</v>
      </c>
      <c r="N150" s="1">
        <f t="shared" si="17"/>
        <v>1</v>
      </c>
    </row>
    <row r="151" spans="1:14" x14ac:dyDescent="0.25">
      <c r="A151" s="9" t="s">
        <v>178</v>
      </c>
      <c r="B151" s="1" t="s">
        <v>108</v>
      </c>
      <c r="C151" s="1" t="s">
        <v>109</v>
      </c>
      <c r="D151" s="2" t="s">
        <v>15</v>
      </c>
      <c r="E151" s="2" t="s">
        <v>158</v>
      </c>
      <c r="F151" s="9"/>
      <c r="G151" s="10">
        <v>300</v>
      </c>
      <c r="H151" s="9">
        <v>110.74</v>
      </c>
      <c r="I151" s="10">
        <f t="shared" si="15"/>
        <v>189.26</v>
      </c>
      <c r="J151" s="4">
        <f>G151/VLOOKUP(A151,RESUME!$G$3:$I$10,3,FALSE)</f>
        <v>1.2105506266193384E-3</v>
      </c>
      <c r="K151" s="4">
        <f t="shared" si="16"/>
        <v>3.2794400215441712E-3</v>
      </c>
      <c r="L151" s="29" t="str">
        <f>VLOOKUP(A151&amp;"-"&amp;B151&amp;"-"&amp;D151,Ref_Account!$A:$F,6,FALSE)</f>
        <v>1204.630720</v>
      </c>
      <c r="N151" s="1">
        <f t="shared" si="17"/>
        <v>1</v>
      </c>
    </row>
    <row r="152" spans="1:14" x14ac:dyDescent="0.25">
      <c r="A152" s="9" t="s">
        <v>178</v>
      </c>
      <c r="B152" s="1" t="s">
        <v>112</v>
      </c>
      <c r="C152" s="1" t="s">
        <v>113</v>
      </c>
      <c r="D152" s="2" t="s">
        <v>15</v>
      </c>
      <c r="E152" s="2" t="s">
        <v>158</v>
      </c>
      <c r="F152" s="9"/>
      <c r="G152" s="10">
        <v>300</v>
      </c>
      <c r="H152" s="9"/>
      <c r="I152" s="10">
        <f t="shared" si="15"/>
        <v>300</v>
      </c>
      <c r="J152" s="4">
        <f>G152/VLOOKUP(A152,RESUME!$G$3:$I$10,3,FALSE)</f>
        <v>1.2105506266193384E-3</v>
      </c>
      <c r="K152" s="4" t="str">
        <f t="shared" si="16"/>
        <v/>
      </c>
      <c r="L152" s="29" t="str">
        <f>VLOOKUP(A152&amp;"-"&amp;B152&amp;"-"&amp;D152,Ref_Account!$A:$F,6,FALSE)</f>
        <v>1204.630730</v>
      </c>
      <c r="N152" s="1">
        <f t="shared" si="17"/>
        <v>1</v>
      </c>
    </row>
    <row r="153" spans="1:14" x14ac:dyDescent="0.25">
      <c r="A153" s="9" t="s">
        <v>178</v>
      </c>
      <c r="B153" s="1" t="s">
        <v>124</v>
      </c>
      <c r="C153" s="1" t="s">
        <v>125</v>
      </c>
      <c r="D153" s="2" t="s">
        <v>15</v>
      </c>
      <c r="E153" s="2" t="s">
        <v>158</v>
      </c>
      <c r="F153" s="9"/>
      <c r="G153" s="10">
        <v>2346.61</v>
      </c>
      <c r="H153" s="9">
        <v>1562.37</v>
      </c>
      <c r="I153" s="10">
        <f t="shared" si="15"/>
        <v>784.24000000000024</v>
      </c>
      <c r="J153" s="4">
        <f>G153/VLOOKUP(A153,RESUME!$G$3:$I$10,3,FALSE)</f>
        <v>9.46896735310402E-3</v>
      </c>
      <c r="K153" s="4">
        <f t="shared" si="16"/>
        <v>1.4221966295094906E-2</v>
      </c>
      <c r="L153" s="29" t="str">
        <f>VLOOKUP(A153&amp;"-"&amp;B153&amp;"-"&amp;D153,Ref_Account!$A:$F,6,FALSE)</f>
        <v>1204.631110</v>
      </c>
      <c r="N153" s="1">
        <f t="shared" si="17"/>
        <v>1</v>
      </c>
    </row>
    <row r="154" spans="1:14" x14ac:dyDescent="0.25">
      <c r="A154" s="9" t="s">
        <v>178</v>
      </c>
      <c r="B154" s="1" t="s">
        <v>126</v>
      </c>
      <c r="C154" s="1" t="s">
        <v>127</v>
      </c>
      <c r="D154" s="2" t="s">
        <v>15</v>
      </c>
      <c r="E154" s="2" t="s">
        <v>158</v>
      </c>
      <c r="F154" s="9"/>
      <c r="G154" s="10">
        <v>483</v>
      </c>
      <c r="H154" s="9"/>
      <c r="I154" s="10">
        <f t="shared" si="15"/>
        <v>483</v>
      </c>
      <c r="J154" s="4">
        <f>G154/VLOOKUP(A154,RESUME!$G$3:$I$10,3,FALSE)</f>
        <v>1.9489865088571348E-3</v>
      </c>
      <c r="K154" s="4" t="str">
        <f t="shared" si="16"/>
        <v/>
      </c>
      <c r="L154" s="29" t="str">
        <f>VLOOKUP(A154&amp;"-"&amp;B154&amp;"-"&amp;D154,Ref_Account!$A:$F,6,FALSE)</f>
        <v>1204.631140</v>
      </c>
      <c r="N154" s="1">
        <f t="shared" si="17"/>
        <v>1</v>
      </c>
    </row>
    <row r="155" spans="1:14" x14ac:dyDescent="0.25">
      <c r="A155" s="9" t="s">
        <v>159</v>
      </c>
      <c r="B155" s="1" t="s">
        <v>160</v>
      </c>
      <c r="C155" s="1" t="s">
        <v>161</v>
      </c>
      <c r="D155" s="2" t="s">
        <v>13</v>
      </c>
      <c r="E155" s="2" t="s">
        <v>75</v>
      </c>
      <c r="F155" s="9"/>
      <c r="G155" s="10">
        <v>943.01</v>
      </c>
      <c r="H155" s="9"/>
      <c r="I155" s="10">
        <f t="shared" ref="I155:I164" si="18">G155-H155</f>
        <v>943.01</v>
      </c>
      <c r="J155" s="4">
        <f>G155/VLOOKUP(A155,RESUME!$G$3:$I$10,3,FALSE)</f>
        <v>1.0674639092355137E-2</v>
      </c>
      <c r="K155" s="4" t="str">
        <f t="shared" si="16"/>
        <v/>
      </c>
      <c r="L155" s="29" t="str">
        <f>VLOOKUP(A155&amp;"-"&amp;B155&amp;"-"&amp;D155,Ref_Account!$A:$F,6,FALSE)</f>
        <v>1201.816120</v>
      </c>
      <c r="N155" s="1">
        <f t="shared" si="17"/>
        <v>1</v>
      </c>
    </row>
    <row r="156" spans="1:14" x14ac:dyDescent="0.25">
      <c r="A156" s="9" t="str">
        <f t="shared" ref="A156:A164" si="19">A155</f>
        <v>Santy Silalahi</v>
      </c>
      <c r="B156" s="1" t="s">
        <v>162</v>
      </c>
      <c r="C156" s="1" t="s">
        <v>163</v>
      </c>
      <c r="D156" s="2" t="s">
        <v>13</v>
      </c>
      <c r="E156" s="2" t="s">
        <v>72</v>
      </c>
      <c r="F156" s="9"/>
      <c r="G156" s="10">
        <v>3000</v>
      </c>
      <c r="H156" s="9">
        <v>7.64</v>
      </c>
      <c r="I156" s="10">
        <f t="shared" si="18"/>
        <v>2992.36</v>
      </c>
      <c r="J156" s="4">
        <f>G156/VLOOKUP(A156,RESUME!$G$3:$I$10,3,FALSE)</f>
        <v>3.3959255232781635E-2</v>
      </c>
      <c r="K156" s="4">
        <f t="shared" si="16"/>
        <v>13.3347860861708</v>
      </c>
      <c r="L156" s="29" t="str">
        <f>VLOOKUP(A156&amp;"-"&amp;B156&amp;"-"&amp;D156,Ref_Account!$A:$F,6,FALSE)</f>
        <v>1201.920410</v>
      </c>
      <c r="N156" s="1">
        <f t="shared" si="17"/>
        <v>1</v>
      </c>
    </row>
    <row r="157" spans="1:14" x14ac:dyDescent="0.25">
      <c r="A157" s="9" t="str">
        <f t="shared" si="19"/>
        <v>Santy Silalahi</v>
      </c>
      <c r="B157" s="1" t="s">
        <v>164</v>
      </c>
      <c r="C157" s="1" t="s">
        <v>165</v>
      </c>
      <c r="D157" s="2" t="s">
        <v>13</v>
      </c>
      <c r="E157" s="2" t="s">
        <v>166</v>
      </c>
      <c r="F157" s="9"/>
      <c r="G157" s="10">
        <v>27000</v>
      </c>
      <c r="H157" s="9">
        <v>-0.2</v>
      </c>
      <c r="I157" s="10">
        <f t="shared" si="18"/>
        <v>27000.2</v>
      </c>
      <c r="J157" s="4">
        <f>G157/VLOOKUP(A157,RESUME!$G$3:$I$10,3,FALSE)</f>
        <v>0.30563329709503473</v>
      </c>
      <c r="K157" s="4">
        <f t="shared" si="16"/>
        <v>-41260.495107829687</v>
      </c>
      <c r="L157" s="29" t="str">
        <f>VLOOKUP(A157&amp;"-"&amp;B157&amp;"-"&amp;D157,Ref_Account!$A:$F,6,FALSE)</f>
        <v>1201.920120</v>
      </c>
      <c r="N157" s="1">
        <f t="shared" si="17"/>
        <v>1</v>
      </c>
    </row>
    <row r="158" spans="1:14" x14ac:dyDescent="0.25">
      <c r="A158" s="9" t="str">
        <f t="shared" si="19"/>
        <v>Santy Silalahi</v>
      </c>
      <c r="B158" s="1" t="s">
        <v>167</v>
      </c>
      <c r="C158" s="1" t="s">
        <v>168</v>
      </c>
      <c r="D158" s="2" t="s">
        <v>13</v>
      </c>
      <c r="E158" s="2" t="s">
        <v>72</v>
      </c>
      <c r="F158" s="9"/>
      <c r="G158" s="10">
        <v>743.73</v>
      </c>
      <c r="H158" s="9"/>
      <c r="I158" s="10">
        <f t="shared" si="18"/>
        <v>743.73</v>
      </c>
      <c r="J158" s="4">
        <f>G158/VLOOKUP(A158,RESUME!$G$3:$I$10,3,FALSE)</f>
        <v>8.4188389647588957E-3</v>
      </c>
      <c r="K158" s="4" t="str">
        <f t="shared" si="16"/>
        <v/>
      </c>
      <c r="L158" s="29" t="str">
        <f>VLOOKUP(A158&amp;"-"&amp;B158&amp;"-"&amp;D158,Ref_Account!$A:$F,6,FALSE)</f>
        <v>1201.805120</v>
      </c>
      <c r="M158" s="1" t="s">
        <v>177</v>
      </c>
      <c r="N158" s="1">
        <f t="shared" si="17"/>
        <v>1</v>
      </c>
    </row>
    <row r="159" spans="1:14" x14ac:dyDescent="0.25">
      <c r="A159" s="9" t="str">
        <f t="shared" si="19"/>
        <v>Santy Silalahi</v>
      </c>
      <c r="B159" s="1" t="s">
        <v>169</v>
      </c>
      <c r="C159" s="1" t="s">
        <v>170</v>
      </c>
      <c r="D159" s="2" t="s">
        <v>13</v>
      </c>
      <c r="E159" s="2" t="s">
        <v>171</v>
      </c>
      <c r="F159" s="9"/>
      <c r="G159" s="10">
        <v>2000</v>
      </c>
      <c r="H159" s="9">
        <v>19.190000000000001</v>
      </c>
      <c r="I159" s="10">
        <f t="shared" si="18"/>
        <v>1980.81</v>
      </c>
      <c r="J159" s="4">
        <f>G159/VLOOKUP(A159,RESUME!$G$3:$I$10,3,FALSE)</f>
        <v>2.263950348852109E-2</v>
      </c>
      <c r="K159" s="4">
        <f t="shared" si="16"/>
        <v>2.3595105251194464</v>
      </c>
      <c r="L159" s="29" t="str">
        <f>VLOOKUP(A159&amp;"-"&amp;B159&amp;"-"&amp;D159,Ref_Account!$A:$F,6,FALSE)</f>
        <v>1201.920700</v>
      </c>
      <c r="N159" s="1">
        <f t="shared" si="17"/>
        <v>1</v>
      </c>
    </row>
    <row r="160" spans="1:14" x14ac:dyDescent="0.25">
      <c r="A160" s="9" t="str">
        <f t="shared" si="19"/>
        <v>Santy Silalahi</v>
      </c>
      <c r="B160" s="1" t="s">
        <v>169</v>
      </c>
      <c r="C160" s="1" t="s">
        <v>170</v>
      </c>
      <c r="D160" s="2" t="s">
        <v>101</v>
      </c>
      <c r="E160" s="2" t="s">
        <v>171</v>
      </c>
      <c r="F160" s="9"/>
      <c r="G160" s="10">
        <v>1000</v>
      </c>
      <c r="H160" s="9"/>
      <c r="I160" s="10">
        <f t="shared" si="18"/>
        <v>1000</v>
      </c>
      <c r="J160" s="4">
        <f>G160/VLOOKUP(A160,RESUME!$G$3:$I$10,3,FALSE)</f>
        <v>1.1319751744260545E-2</v>
      </c>
      <c r="K160" s="4" t="str">
        <f t="shared" si="16"/>
        <v/>
      </c>
      <c r="L160" s="29" t="str">
        <f>VLOOKUP(A160&amp;"-"&amp;B160&amp;"-"&amp;D160,Ref_Account!$A:$F,6,FALSE)</f>
        <v>1206.920700</v>
      </c>
      <c r="N160" s="1">
        <f t="shared" si="17"/>
        <v>1</v>
      </c>
    </row>
    <row r="161" spans="1:14" x14ac:dyDescent="0.25">
      <c r="A161" s="9" t="str">
        <f t="shared" si="19"/>
        <v>Santy Silalahi</v>
      </c>
      <c r="B161" s="1" t="s">
        <v>169</v>
      </c>
      <c r="C161" s="1" t="s">
        <v>170</v>
      </c>
      <c r="D161" s="2" t="s">
        <v>24</v>
      </c>
      <c r="E161" s="2" t="s">
        <v>171</v>
      </c>
      <c r="F161" s="9"/>
      <c r="G161" s="10">
        <v>1000</v>
      </c>
      <c r="H161" s="9">
        <v>192.92</v>
      </c>
      <c r="I161" s="10">
        <f t="shared" si="18"/>
        <v>807.08</v>
      </c>
      <c r="J161" s="4">
        <f>G161/VLOOKUP(A161,RESUME!$G$3:$I$10,3,FALSE)</f>
        <v>1.1319751744260545E-2</v>
      </c>
      <c r="K161" s="4">
        <f t="shared" si="16"/>
        <v>5.8675885052148796E-2</v>
      </c>
      <c r="L161" s="29" t="str">
        <f>VLOOKUP(A161&amp;"-"&amp;B161&amp;"-"&amp;D161,Ref_Account!$A:$F,6,FALSE)</f>
        <v>1205.920700</v>
      </c>
      <c r="N161" s="1">
        <f t="shared" si="17"/>
        <v>1</v>
      </c>
    </row>
    <row r="162" spans="1:14" x14ac:dyDescent="0.25">
      <c r="A162" s="9" t="str">
        <f t="shared" si="19"/>
        <v>Santy Silalahi</v>
      </c>
      <c r="B162" s="1" t="s">
        <v>169</v>
      </c>
      <c r="C162" s="1" t="s">
        <v>170</v>
      </c>
      <c r="D162" s="2" t="s">
        <v>15</v>
      </c>
      <c r="E162" s="2" t="s">
        <v>171</v>
      </c>
      <c r="F162" s="9"/>
      <c r="G162" s="10">
        <v>1000</v>
      </c>
      <c r="H162" s="9">
        <v>9.34</v>
      </c>
      <c r="I162" s="10">
        <f t="shared" si="18"/>
        <v>990.66</v>
      </c>
      <c r="J162" s="4">
        <f>G162/VLOOKUP(A162,RESUME!$G$3:$I$10,3,FALSE)</f>
        <v>1.1319751744260545E-2</v>
      </c>
      <c r="K162" s="4">
        <f t="shared" si="16"/>
        <v>1.2119648548458828</v>
      </c>
      <c r="L162" s="29" t="str">
        <f>VLOOKUP(A162&amp;"-"&amp;B162&amp;"-"&amp;D162,Ref_Account!$A:$F,6,FALSE)</f>
        <v>1204.920700</v>
      </c>
      <c r="N162" s="1">
        <f t="shared" si="17"/>
        <v>1</v>
      </c>
    </row>
    <row r="163" spans="1:14" x14ac:dyDescent="0.25">
      <c r="A163" s="9" t="str">
        <f t="shared" si="19"/>
        <v>Santy Silalahi</v>
      </c>
      <c r="B163" s="1" t="s">
        <v>146</v>
      </c>
      <c r="C163" s="1" t="s">
        <v>147</v>
      </c>
      <c r="D163" s="2" t="s">
        <v>13</v>
      </c>
      <c r="E163" s="2" t="s">
        <v>148</v>
      </c>
      <c r="F163" s="9"/>
      <c r="G163" s="10">
        <v>45654.420000000006</v>
      </c>
      <c r="H163" s="9"/>
      <c r="I163" s="10">
        <f t="shared" si="18"/>
        <v>45654.420000000006</v>
      </c>
      <c r="J163" s="4">
        <f>G163/VLOOKUP(A163,RESUME!$G$3:$I$10,3,FALSE)</f>
        <v>0.51679670042820358</v>
      </c>
      <c r="K163" s="4" t="str">
        <f t="shared" si="16"/>
        <v/>
      </c>
      <c r="L163" s="29" t="str">
        <f>VLOOKUP(A163&amp;"-"&amp;B163&amp;"-"&amp;D163,Ref_Account!$A:$F,6,FALSE)</f>
        <v>1201.801110</v>
      </c>
      <c r="M163" s="1" t="s">
        <v>177</v>
      </c>
      <c r="N163" s="1">
        <f t="shared" si="17"/>
        <v>1</v>
      </c>
    </row>
    <row r="164" spans="1:14" x14ac:dyDescent="0.25">
      <c r="A164" s="9" t="str">
        <f t="shared" si="19"/>
        <v>Santy Silalahi</v>
      </c>
      <c r="B164" s="1" t="s">
        <v>146</v>
      </c>
      <c r="C164" s="1" t="s">
        <v>147</v>
      </c>
      <c r="D164" s="2" t="s">
        <v>15</v>
      </c>
      <c r="E164" s="2" t="s">
        <v>148</v>
      </c>
      <c r="F164" s="9"/>
      <c r="G164" s="10">
        <v>6000</v>
      </c>
      <c r="H164" s="9"/>
      <c r="I164" s="10">
        <f t="shared" si="18"/>
        <v>6000</v>
      </c>
      <c r="J164" s="4">
        <f>G164/VLOOKUP(A164,RESUME!$G$3:$I$10,3,FALSE)</f>
        <v>6.791851046556327E-2</v>
      </c>
      <c r="K164" s="4" t="str">
        <f t="shared" si="16"/>
        <v/>
      </c>
      <c r="L164" s="29" t="str">
        <f>VLOOKUP(A164&amp;"-"&amp;B164&amp;"-"&amp;D164,Ref_Account!$A:$F,6,FALSE)</f>
        <v>1204.801110</v>
      </c>
      <c r="M164" s="1" t="s">
        <v>177</v>
      </c>
      <c r="N164" s="1">
        <f t="shared" si="17"/>
        <v>1</v>
      </c>
    </row>
    <row r="165" spans="1:14" x14ac:dyDescent="0.25">
      <c r="A165" s="9"/>
      <c r="F165" s="9"/>
      <c r="H165" s="9"/>
      <c r="I165" s="9"/>
    </row>
    <row r="166" spans="1:14" x14ac:dyDescent="0.25">
      <c r="A166" s="9"/>
      <c r="B166"/>
      <c r="C166"/>
      <c r="D166" s="12"/>
      <c r="E166" s="12"/>
      <c r="F166" s="13"/>
      <c r="G166" s="13"/>
      <c r="H166" s="22"/>
      <c r="I166" s="14"/>
      <c r="L166"/>
      <c r="M166"/>
      <c r="N166"/>
    </row>
    <row r="167" spans="1:14" x14ac:dyDescent="0.25">
      <c r="A167" s="9"/>
      <c r="B167"/>
      <c r="C167"/>
      <c r="D167" s="12"/>
      <c r="E167" s="12"/>
      <c r="F167" s="13"/>
      <c r="G167" s="13"/>
      <c r="H167" s="22"/>
      <c r="I167" s="14"/>
      <c r="L167"/>
      <c r="M167"/>
      <c r="N167"/>
    </row>
    <row r="168" spans="1:14" x14ac:dyDescent="0.25">
      <c r="A168" s="15"/>
      <c r="B168"/>
      <c r="C168"/>
      <c r="D168" s="12"/>
      <c r="E168" s="12"/>
      <c r="F168" s="13"/>
      <c r="G168" s="13"/>
      <c r="H168" s="22"/>
      <c r="I168" s="14"/>
      <c r="L168"/>
      <c r="M168"/>
      <c r="N168"/>
    </row>
    <row r="169" spans="1:14" x14ac:dyDescent="0.25">
      <c r="B169"/>
      <c r="C169"/>
      <c r="D169" s="12"/>
      <c r="E169" s="12"/>
      <c r="F169" s="13"/>
      <c r="G169" s="13"/>
      <c r="H169" s="22"/>
      <c r="I169" s="14"/>
      <c r="L169"/>
      <c r="M169"/>
      <c r="N169"/>
    </row>
    <row r="170" spans="1:14" x14ac:dyDescent="0.25">
      <c r="B170"/>
      <c r="C170"/>
      <c r="D170" s="12"/>
      <c r="E170" s="12"/>
      <c r="F170" s="13"/>
      <c r="G170" s="13"/>
      <c r="H170" s="22"/>
      <c r="I170" s="14"/>
      <c r="L170"/>
      <c r="M170"/>
      <c r="N170"/>
    </row>
    <row r="171" spans="1:14" x14ac:dyDescent="0.25">
      <c r="B171"/>
      <c r="C171"/>
      <c r="D171" s="12"/>
      <c r="E171" s="12"/>
      <c r="F171" s="13"/>
      <c r="G171" s="13"/>
      <c r="H171" s="22"/>
      <c r="I171" s="14"/>
      <c r="L171"/>
      <c r="M171"/>
      <c r="N171"/>
    </row>
  </sheetData>
  <autoFilter ref="A5:N164" xr:uid="{00000000-0001-0000-0000-000000000000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17894-9E3F-4779-950A-A9AB48B28DFB}">
  <sheetPr codeName="Sheet9"/>
  <dimension ref="A1:M158"/>
  <sheetViews>
    <sheetView zoomScale="85" zoomScaleNormal="85" workbookViewId="0">
      <selection activeCell="A3" sqref="A3"/>
    </sheetView>
  </sheetViews>
  <sheetFormatPr defaultRowHeight="15" x14ac:dyDescent="0.25"/>
  <cols>
    <col min="1" max="1" width="49.7109375" bestFit="1" customWidth="1"/>
    <col min="2" max="2" width="21.42578125" bestFit="1" customWidth="1"/>
    <col min="3" max="3" width="32.28515625" bestFit="1" customWidth="1"/>
    <col min="4" max="4" width="19.7109375" customWidth="1"/>
    <col min="5" max="5" width="20" customWidth="1"/>
    <col min="6" max="6" width="19.140625" bestFit="1" customWidth="1"/>
    <col min="12" max="12" width="11" bestFit="1" customWidth="1"/>
    <col min="13" max="13" width="14.42578125" bestFit="1" customWidth="1"/>
  </cols>
  <sheetData>
    <row r="1" spans="1:13" ht="18.75" x14ac:dyDescent="0.3">
      <c r="A1" s="26" t="s">
        <v>337</v>
      </c>
      <c r="B1" s="26" t="s">
        <v>174</v>
      </c>
      <c r="C1" s="26" t="s">
        <v>1</v>
      </c>
      <c r="D1" s="26" t="s">
        <v>3</v>
      </c>
      <c r="E1" s="26" t="s">
        <v>197</v>
      </c>
      <c r="F1" s="26" t="s">
        <v>176</v>
      </c>
      <c r="L1" t="s">
        <v>3</v>
      </c>
      <c r="M1" t="s">
        <v>197</v>
      </c>
    </row>
    <row r="2" spans="1:13" x14ac:dyDescent="0.25">
      <c r="A2" t="str">
        <f>B2&amp;"-"&amp;C2&amp;"-"&amp;D2</f>
        <v>Asep Ridwan Subiana-EXPEDITION/SEA FREIGHT-CLN</v>
      </c>
      <c r="B2" t="s">
        <v>10</v>
      </c>
      <c r="C2" t="s">
        <v>11</v>
      </c>
      <c r="D2" t="s">
        <v>13</v>
      </c>
      <c r="E2">
        <f>VLOOKUP(D2,$L$2:$M$6,2,FALSE)</f>
        <v>1201</v>
      </c>
      <c r="F2" t="s">
        <v>330</v>
      </c>
      <c r="L2" t="s">
        <v>13</v>
      </c>
      <c r="M2">
        <v>1201</v>
      </c>
    </row>
    <row r="3" spans="1:13" x14ac:dyDescent="0.25">
      <c r="A3" t="str">
        <f t="shared" ref="A3:A66" si="0">B3&amp;"-"&amp;C3&amp;"-"&amp;D3</f>
        <v>Asep Ridwan Subiana-EXPEDITION/SEA FREIGHT-MAJA-2</v>
      </c>
      <c r="B3" t="s">
        <v>10</v>
      </c>
      <c r="C3" t="s">
        <v>11</v>
      </c>
      <c r="D3" t="s">
        <v>15</v>
      </c>
      <c r="E3">
        <f t="shared" ref="E3:E66" si="1">VLOOKUP(D3,$L$2:$M$6,2,FALSE)</f>
        <v>1204</v>
      </c>
      <c r="F3" t="s">
        <v>217</v>
      </c>
      <c r="L3" t="s">
        <v>15</v>
      </c>
      <c r="M3">
        <v>1204</v>
      </c>
    </row>
    <row r="4" spans="1:13" x14ac:dyDescent="0.25">
      <c r="A4" t="str">
        <f t="shared" si="0"/>
        <v>Asep Ridwan Subiana-INSURANCE EXPENSES-CLN</v>
      </c>
      <c r="B4" t="s">
        <v>10</v>
      </c>
      <c r="C4" t="s">
        <v>17</v>
      </c>
      <c r="D4" t="s">
        <v>13</v>
      </c>
      <c r="E4">
        <f t="shared" si="1"/>
        <v>1201</v>
      </c>
      <c r="F4" t="s">
        <v>220</v>
      </c>
      <c r="L4" t="s">
        <v>24</v>
      </c>
      <c r="M4">
        <v>1205</v>
      </c>
    </row>
    <row r="5" spans="1:13" x14ac:dyDescent="0.25">
      <c r="A5" t="str">
        <f t="shared" si="0"/>
        <v>Asep Ridwan Subiana-INSURANCE EXPENSES-MAJA-2</v>
      </c>
      <c r="B5" t="s">
        <v>10</v>
      </c>
      <c r="C5" t="s">
        <v>17</v>
      </c>
      <c r="D5" t="s">
        <v>15</v>
      </c>
      <c r="E5">
        <f t="shared" si="1"/>
        <v>1204</v>
      </c>
      <c r="F5" t="s">
        <v>198</v>
      </c>
      <c r="L5" t="s">
        <v>101</v>
      </c>
      <c r="M5">
        <v>1206</v>
      </c>
    </row>
    <row r="6" spans="1:13" x14ac:dyDescent="0.25">
      <c r="A6" t="str">
        <f t="shared" si="0"/>
        <v>Asep Ridwan Subiana-OTHER PRODUCTION COST-CLN</v>
      </c>
      <c r="B6" t="s">
        <v>10</v>
      </c>
      <c r="C6" t="s">
        <v>21</v>
      </c>
      <c r="D6" t="s">
        <v>13</v>
      </c>
      <c r="E6">
        <f t="shared" si="1"/>
        <v>1201</v>
      </c>
      <c r="F6" t="s">
        <v>188</v>
      </c>
      <c r="L6" t="s">
        <v>150</v>
      </c>
      <c r="M6">
        <v>1206</v>
      </c>
    </row>
    <row r="7" spans="1:13" x14ac:dyDescent="0.25">
      <c r="A7" t="str">
        <f t="shared" si="0"/>
        <v>Asep Ridwan Subiana-OTHER PRODUCTION COST-MAJA-1</v>
      </c>
      <c r="B7" t="s">
        <v>10</v>
      </c>
      <c r="C7" t="s">
        <v>21</v>
      </c>
      <c r="D7" t="s">
        <v>24</v>
      </c>
      <c r="E7">
        <f t="shared" si="1"/>
        <v>1205</v>
      </c>
      <c r="F7" t="s">
        <v>190</v>
      </c>
    </row>
    <row r="8" spans="1:13" x14ac:dyDescent="0.25">
      <c r="A8" t="str">
        <f t="shared" si="0"/>
        <v>Asep Ridwan Subiana-OTHER PRODUCTION COST-MAJA-2</v>
      </c>
      <c r="B8" t="s">
        <v>10</v>
      </c>
      <c r="C8" t="s">
        <v>21</v>
      </c>
      <c r="D8" t="s">
        <v>15</v>
      </c>
      <c r="E8">
        <f t="shared" si="1"/>
        <v>1204</v>
      </c>
      <c r="F8" t="s">
        <v>189</v>
      </c>
    </row>
    <row r="9" spans="1:13" x14ac:dyDescent="0.25">
      <c r="A9" t="str">
        <f t="shared" si="0"/>
        <v>Asep Ridwan Subiana-PEMAKAIAN GENERAL MATERIAL-CLN</v>
      </c>
      <c r="B9" t="s">
        <v>10</v>
      </c>
      <c r="C9" t="s">
        <v>26</v>
      </c>
      <c r="D9" t="s">
        <v>13</v>
      </c>
      <c r="E9">
        <f t="shared" si="1"/>
        <v>1201</v>
      </c>
      <c r="F9" t="s">
        <v>179</v>
      </c>
    </row>
    <row r="10" spans="1:13" x14ac:dyDescent="0.25">
      <c r="A10" t="str">
        <f t="shared" si="0"/>
        <v>Asep Ridwan Subiana-PEMAKAIAN GENERAL MATERIAL-MAJA-1</v>
      </c>
      <c r="B10" t="s">
        <v>10</v>
      </c>
      <c r="C10" t="s">
        <v>26</v>
      </c>
      <c r="D10" t="s">
        <v>24</v>
      </c>
      <c r="E10">
        <f t="shared" si="1"/>
        <v>1205</v>
      </c>
      <c r="F10" t="s">
        <v>180</v>
      </c>
    </row>
    <row r="11" spans="1:13" x14ac:dyDescent="0.25">
      <c r="A11" t="str">
        <f t="shared" si="0"/>
        <v>Asep Ridwan Subiana-PEMAKAIAN GENERAL MATERIAL-MAJA-2</v>
      </c>
      <c r="B11" t="s">
        <v>10</v>
      </c>
      <c r="C11" t="s">
        <v>26</v>
      </c>
      <c r="D11" t="s">
        <v>15</v>
      </c>
      <c r="E11">
        <f t="shared" si="1"/>
        <v>1204</v>
      </c>
      <c r="F11" t="s">
        <v>181</v>
      </c>
    </row>
    <row r="12" spans="1:13" x14ac:dyDescent="0.25">
      <c r="A12" t="str">
        <f t="shared" si="0"/>
        <v>Asep Ridwan Subiana-PEMAKAIAN PACKING-CLN</v>
      </c>
      <c r="B12" t="s">
        <v>10</v>
      </c>
      <c r="C12" t="s">
        <v>30</v>
      </c>
      <c r="D12" t="s">
        <v>13</v>
      </c>
      <c r="E12">
        <f t="shared" si="1"/>
        <v>1201</v>
      </c>
      <c r="F12" t="s">
        <v>195</v>
      </c>
    </row>
    <row r="13" spans="1:13" x14ac:dyDescent="0.25">
      <c r="A13" t="str">
        <f t="shared" si="0"/>
        <v>Asep Ridwan Subiana-TRUCKING EXPENSES-CLN</v>
      </c>
      <c r="B13" t="s">
        <v>10</v>
      </c>
      <c r="C13" t="s">
        <v>32</v>
      </c>
      <c r="D13" t="s">
        <v>13</v>
      </c>
      <c r="E13">
        <f t="shared" si="1"/>
        <v>1201</v>
      </c>
      <c r="F13" t="s">
        <v>221</v>
      </c>
    </row>
    <row r="14" spans="1:13" x14ac:dyDescent="0.25">
      <c r="A14" t="str">
        <f t="shared" si="0"/>
        <v>Asep Ridwan Subiana-TRUCKING EXPENSES-MAJA-1</v>
      </c>
      <c r="B14" t="s">
        <v>10</v>
      </c>
      <c r="C14" t="s">
        <v>32</v>
      </c>
      <c r="D14" t="s">
        <v>24</v>
      </c>
      <c r="E14">
        <f t="shared" si="1"/>
        <v>1205</v>
      </c>
      <c r="F14" t="s">
        <v>321</v>
      </c>
    </row>
    <row r="15" spans="1:13" x14ac:dyDescent="0.25">
      <c r="A15" t="str">
        <f t="shared" si="0"/>
        <v>Asep Ridwan Subiana-TRUCKING EXPENSES-MAJA-2</v>
      </c>
      <c r="B15" t="s">
        <v>10</v>
      </c>
      <c r="C15" t="s">
        <v>32</v>
      </c>
      <c r="D15" t="s">
        <v>15</v>
      </c>
      <c r="E15">
        <f t="shared" si="1"/>
        <v>1204</v>
      </c>
      <c r="F15" t="s">
        <v>222</v>
      </c>
    </row>
    <row r="16" spans="1:13" x14ac:dyDescent="0.25">
      <c r="A16" t="str">
        <f t="shared" si="0"/>
        <v>Choeruman-VENDOR EXPENSES-CLN</v>
      </c>
      <c r="B16" t="s">
        <v>36</v>
      </c>
      <c r="C16" t="s">
        <v>37</v>
      </c>
      <c r="D16" t="s">
        <v>13</v>
      </c>
      <c r="E16">
        <f t="shared" si="1"/>
        <v>1201</v>
      </c>
      <c r="F16" t="s">
        <v>223</v>
      </c>
    </row>
    <row r="17" spans="1:6" x14ac:dyDescent="0.25">
      <c r="A17" t="str">
        <f t="shared" si="0"/>
        <v>Choeruman-VENDOR EXPENSES-MAJA-1</v>
      </c>
      <c r="B17" t="s">
        <v>36</v>
      </c>
      <c r="C17" t="s">
        <v>37</v>
      </c>
      <c r="D17" t="s">
        <v>24</v>
      </c>
      <c r="E17">
        <f t="shared" si="1"/>
        <v>1205</v>
      </c>
      <c r="F17" t="s">
        <v>224</v>
      </c>
    </row>
    <row r="18" spans="1:6" x14ac:dyDescent="0.25">
      <c r="A18" t="str">
        <f t="shared" si="0"/>
        <v>Choeruman-VENDOR EXPENSES-MAJA-2</v>
      </c>
      <c r="B18" t="s">
        <v>36</v>
      </c>
      <c r="C18" t="s">
        <v>37</v>
      </c>
      <c r="D18" t="s">
        <v>15</v>
      </c>
      <c r="E18">
        <f t="shared" si="1"/>
        <v>1204</v>
      </c>
      <c r="F18" t="s">
        <v>225</v>
      </c>
    </row>
    <row r="19" spans="1:6" x14ac:dyDescent="0.25">
      <c r="A19" t="str">
        <f t="shared" si="0"/>
        <v>Choeruman-VENDOR EXPENSES-CLN</v>
      </c>
      <c r="B19" t="s">
        <v>36</v>
      </c>
      <c r="C19" t="s">
        <v>37</v>
      </c>
      <c r="D19" t="s">
        <v>13</v>
      </c>
      <c r="E19">
        <f t="shared" si="1"/>
        <v>1201</v>
      </c>
      <c r="F19" t="s">
        <v>223</v>
      </c>
    </row>
    <row r="20" spans="1:6" x14ac:dyDescent="0.25">
      <c r="A20" t="str">
        <f t="shared" si="0"/>
        <v>Choeruman-VENDOR EXPENSES-MAJA-1</v>
      </c>
      <c r="B20" t="s">
        <v>36</v>
      </c>
      <c r="C20" t="s">
        <v>37</v>
      </c>
      <c r="D20" t="s">
        <v>24</v>
      </c>
      <c r="E20">
        <f t="shared" si="1"/>
        <v>1205</v>
      </c>
      <c r="F20" t="s">
        <v>224</v>
      </c>
    </row>
    <row r="21" spans="1:6" x14ac:dyDescent="0.25">
      <c r="A21" t="str">
        <f t="shared" si="0"/>
        <v>Choeruman-VENDOR EXPENSES-MAJA-2</v>
      </c>
      <c r="B21" t="s">
        <v>36</v>
      </c>
      <c r="C21" t="s">
        <v>37</v>
      </c>
      <c r="D21" t="s">
        <v>15</v>
      </c>
      <c r="E21">
        <f t="shared" si="1"/>
        <v>1204</v>
      </c>
      <c r="F21" t="s">
        <v>225</v>
      </c>
    </row>
    <row r="22" spans="1:6" x14ac:dyDescent="0.25">
      <c r="A22" t="str">
        <f t="shared" si="0"/>
        <v>Firawaty-FABRIC TESTED CHARGES-CLN</v>
      </c>
      <c r="B22" t="s">
        <v>44</v>
      </c>
      <c r="C22" t="s">
        <v>46</v>
      </c>
      <c r="D22" t="s">
        <v>13</v>
      </c>
      <c r="E22">
        <f t="shared" si="1"/>
        <v>1201</v>
      </c>
      <c r="F22" t="s">
        <v>226</v>
      </c>
    </row>
    <row r="23" spans="1:6" x14ac:dyDescent="0.25">
      <c r="A23" t="str">
        <f t="shared" si="0"/>
        <v>Firawaty-FABRIC TESTED CHARGES-CLN</v>
      </c>
      <c r="B23" t="s">
        <v>44</v>
      </c>
      <c r="C23" t="s">
        <v>46</v>
      </c>
      <c r="D23" t="s">
        <v>13</v>
      </c>
      <c r="E23">
        <f t="shared" si="1"/>
        <v>1201</v>
      </c>
      <c r="F23" t="s">
        <v>226</v>
      </c>
    </row>
    <row r="24" spans="1:6" x14ac:dyDescent="0.25">
      <c r="A24" t="str">
        <f t="shared" si="0"/>
        <v>Firawaty-FABRIC TESTED CHARGES-CLN</v>
      </c>
      <c r="B24" t="s">
        <v>44</v>
      </c>
      <c r="C24" t="s">
        <v>46</v>
      </c>
      <c r="D24" t="s">
        <v>13</v>
      </c>
      <c r="E24">
        <f t="shared" si="1"/>
        <v>1201</v>
      </c>
      <c r="F24" t="s">
        <v>226</v>
      </c>
    </row>
    <row r="25" spans="1:6" x14ac:dyDescent="0.25">
      <c r="A25" t="str">
        <f t="shared" si="0"/>
        <v>Firawaty-FABRIC TESTED CHARGES-CLN</v>
      </c>
      <c r="B25" t="s">
        <v>44</v>
      </c>
      <c r="C25" t="s">
        <v>46</v>
      </c>
      <c r="D25" t="s">
        <v>13</v>
      </c>
      <c r="E25">
        <f t="shared" si="1"/>
        <v>1201</v>
      </c>
      <c r="F25" t="s">
        <v>226</v>
      </c>
    </row>
    <row r="26" spans="1:6" x14ac:dyDescent="0.25">
      <c r="A26" t="str">
        <f t="shared" si="0"/>
        <v>Firawaty-SALES COMMISSION-CLN</v>
      </c>
      <c r="B26" t="s">
        <v>44</v>
      </c>
      <c r="C26" t="s">
        <v>56</v>
      </c>
      <c r="D26" t="s">
        <v>13</v>
      </c>
      <c r="E26">
        <f t="shared" si="1"/>
        <v>1201</v>
      </c>
      <c r="F26" t="s">
        <v>219</v>
      </c>
    </row>
    <row r="27" spans="1:6" x14ac:dyDescent="0.25">
      <c r="A27" t="str">
        <f t="shared" si="0"/>
        <v>Firawaty-SAMPLE EXPENSES-CLN</v>
      </c>
      <c r="B27" t="s">
        <v>44</v>
      </c>
      <c r="C27" t="s">
        <v>59</v>
      </c>
      <c r="D27" t="s">
        <v>13</v>
      </c>
      <c r="E27">
        <f t="shared" si="1"/>
        <v>1201</v>
      </c>
      <c r="F27" t="s">
        <v>227</v>
      </c>
    </row>
    <row r="28" spans="1:6" x14ac:dyDescent="0.25">
      <c r="A28" t="str">
        <f t="shared" si="0"/>
        <v>Firawaty-SAMPLE EXPENSES-CLN</v>
      </c>
      <c r="B28" t="s">
        <v>44</v>
      </c>
      <c r="C28" t="s">
        <v>59</v>
      </c>
      <c r="D28" t="s">
        <v>13</v>
      </c>
      <c r="E28">
        <f t="shared" si="1"/>
        <v>1201</v>
      </c>
      <c r="F28" t="s">
        <v>227</v>
      </c>
    </row>
    <row r="29" spans="1:6" x14ac:dyDescent="0.25">
      <c r="A29" t="str">
        <f t="shared" si="0"/>
        <v>Firawaty-SAMPLE EXPENSES-CLN</v>
      </c>
      <c r="B29" t="s">
        <v>44</v>
      </c>
      <c r="C29" t="s">
        <v>59</v>
      </c>
      <c r="D29" t="s">
        <v>13</v>
      </c>
      <c r="E29">
        <f t="shared" si="1"/>
        <v>1201</v>
      </c>
      <c r="F29" t="s">
        <v>227</v>
      </c>
    </row>
    <row r="30" spans="1:6" x14ac:dyDescent="0.25">
      <c r="A30" t="str">
        <f t="shared" si="0"/>
        <v>Firawaty-SAMPLE EXPENSES-CLN</v>
      </c>
      <c r="B30" t="s">
        <v>44</v>
      </c>
      <c r="C30" t="s">
        <v>59</v>
      </c>
      <c r="D30" t="s">
        <v>13</v>
      </c>
      <c r="E30">
        <f t="shared" si="1"/>
        <v>1201</v>
      </c>
      <c r="F30" t="s">
        <v>227</v>
      </c>
    </row>
    <row r="31" spans="1:6" x14ac:dyDescent="0.25">
      <c r="A31" t="str">
        <f t="shared" si="0"/>
        <v>Fungfung-FABRIC TESTED CHARGES-CLN</v>
      </c>
      <c r="B31" t="s">
        <v>320</v>
      </c>
      <c r="C31" t="s">
        <v>46</v>
      </c>
      <c r="D31" t="s">
        <v>13</v>
      </c>
      <c r="E31">
        <f t="shared" si="1"/>
        <v>1201</v>
      </c>
      <c r="F31" t="s">
        <v>226</v>
      </c>
    </row>
    <row r="32" spans="1:6" x14ac:dyDescent="0.25">
      <c r="A32" t="str">
        <f t="shared" si="0"/>
        <v>Fungfung-SALES COMMISSION-CLN</v>
      </c>
      <c r="B32" t="s">
        <v>320</v>
      </c>
      <c r="C32" t="s">
        <v>56</v>
      </c>
      <c r="D32" t="s">
        <v>13</v>
      </c>
      <c r="E32">
        <f t="shared" si="1"/>
        <v>1201</v>
      </c>
      <c r="F32" t="s">
        <v>219</v>
      </c>
    </row>
    <row r="33" spans="1:6" x14ac:dyDescent="0.25">
      <c r="A33" t="str">
        <f t="shared" si="0"/>
        <v>Fungfung-SAMPLE EXPENSES-CLN</v>
      </c>
      <c r="B33" t="s">
        <v>320</v>
      </c>
      <c r="C33" t="s">
        <v>59</v>
      </c>
      <c r="D33" t="s">
        <v>13</v>
      </c>
      <c r="E33">
        <f t="shared" si="1"/>
        <v>1201</v>
      </c>
      <c r="F33" t="s">
        <v>227</v>
      </c>
    </row>
    <row r="34" spans="1:6" x14ac:dyDescent="0.25">
      <c r="A34" t="str">
        <f t="shared" si="0"/>
        <v>Fungfung-SAMPLE EXPENSES-CLN</v>
      </c>
      <c r="B34" t="s">
        <v>320</v>
      </c>
      <c r="C34" t="s">
        <v>59</v>
      </c>
      <c r="D34" t="s">
        <v>13</v>
      </c>
      <c r="E34">
        <f t="shared" si="1"/>
        <v>1201</v>
      </c>
      <c r="F34" t="s">
        <v>227</v>
      </c>
    </row>
    <row r="35" spans="1:6" x14ac:dyDescent="0.25">
      <c r="A35" t="str">
        <f t="shared" si="0"/>
        <v>Owi Wijaya-AIR FREIGHT-CLN</v>
      </c>
      <c r="B35" t="s">
        <v>67</v>
      </c>
      <c r="C35" t="s">
        <v>68</v>
      </c>
      <c r="D35" t="s">
        <v>13</v>
      </c>
      <c r="E35">
        <f t="shared" si="1"/>
        <v>1201</v>
      </c>
      <c r="F35" t="s">
        <v>183</v>
      </c>
    </row>
    <row r="36" spans="1:6" x14ac:dyDescent="0.25">
      <c r="A36" t="str">
        <f t="shared" si="0"/>
        <v>Owi Wijaya-BUSINESS TRIP EXPENSES-CLN</v>
      </c>
      <c r="B36" t="s">
        <v>67</v>
      </c>
      <c r="C36" t="s">
        <v>70</v>
      </c>
      <c r="D36" t="s">
        <v>13</v>
      </c>
      <c r="E36">
        <f t="shared" si="1"/>
        <v>1201</v>
      </c>
      <c r="F36" t="s">
        <v>228</v>
      </c>
    </row>
    <row r="37" spans="1:6" x14ac:dyDescent="0.25">
      <c r="A37" t="str">
        <f t="shared" si="0"/>
        <v>Owi Wijaya-CONTRIBUTION COST-CLN</v>
      </c>
      <c r="B37" t="s">
        <v>67</v>
      </c>
      <c r="C37" t="s">
        <v>73</v>
      </c>
      <c r="D37" t="s">
        <v>13</v>
      </c>
      <c r="E37">
        <f t="shared" si="1"/>
        <v>1201</v>
      </c>
      <c r="F37" t="s">
        <v>229</v>
      </c>
    </row>
    <row r="38" spans="1:6" x14ac:dyDescent="0.25">
      <c r="A38" t="str">
        <f t="shared" si="0"/>
        <v>Owi Wijaya-CONTRIBUTION COST-MAJA-2</v>
      </c>
      <c r="B38" t="s">
        <v>67</v>
      </c>
      <c r="C38" t="s">
        <v>73</v>
      </c>
      <c r="D38" t="s">
        <v>15</v>
      </c>
      <c r="E38">
        <f t="shared" si="1"/>
        <v>1204</v>
      </c>
      <c r="F38" t="s">
        <v>199</v>
      </c>
    </row>
    <row r="39" spans="1:6" x14ac:dyDescent="0.25">
      <c r="A39" t="str">
        <f t="shared" si="0"/>
        <v>Owi Wijaya-ELECTRICITY-CLN</v>
      </c>
      <c r="B39" t="s">
        <v>67</v>
      </c>
      <c r="C39" t="s">
        <v>76</v>
      </c>
      <c r="D39" t="s">
        <v>13</v>
      </c>
      <c r="E39">
        <f t="shared" si="1"/>
        <v>1201</v>
      </c>
      <c r="F39" t="s">
        <v>230</v>
      </c>
    </row>
    <row r="40" spans="1:6" x14ac:dyDescent="0.25">
      <c r="A40" t="str">
        <f t="shared" si="0"/>
        <v>Owi Wijaya-ENTERTAINMENT-CLN</v>
      </c>
      <c r="B40" t="s">
        <v>67</v>
      </c>
      <c r="C40" t="s">
        <v>78</v>
      </c>
      <c r="D40" t="s">
        <v>13</v>
      </c>
      <c r="E40">
        <f t="shared" si="1"/>
        <v>1201</v>
      </c>
      <c r="F40" t="s">
        <v>231</v>
      </c>
    </row>
    <row r="41" spans="1:6" x14ac:dyDescent="0.25">
      <c r="A41" t="str">
        <f t="shared" si="0"/>
        <v>Owi Wijaya-FACTORY SUPPLIES EXPENSE-CLN</v>
      </c>
      <c r="B41" t="s">
        <v>67</v>
      </c>
      <c r="C41" t="s">
        <v>80</v>
      </c>
      <c r="D41" t="s">
        <v>13</v>
      </c>
      <c r="E41">
        <f t="shared" si="1"/>
        <v>1201</v>
      </c>
      <c r="F41" t="s">
        <v>232</v>
      </c>
    </row>
    <row r="42" spans="1:6" x14ac:dyDescent="0.25">
      <c r="A42" t="str">
        <f t="shared" si="0"/>
        <v>Owi Wijaya-FARE ALLOWANCE-CLN</v>
      </c>
      <c r="B42" t="s">
        <v>67</v>
      </c>
      <c r="C42" t="s">
        <v>154</v>
      </c>
      <c r="D42" t="s">
        <v>13</v>
      </c>
      <c r="E42">
        <f t="shared" si="1"/>
        <v>1201</v>
      </c>
      <c r="F42" t="s">
        <v>233</v>
      </c>
    </row>
    <row r="43" spans="1:6" x14ac:dyDescent="0.25">
      <c r="A43" t="str">
        <f t="shared" si="0"/>
        <v>Owi Wijaya-FARE ALLOWANCE-CLN</v>
      </c>
      <c r="B43" t="s">
        <v>67</v>
      </c>
      <c r="C43" t="s">
        <v>154</v>
      </c>
      <c r="D43" t="s">
        <v>13</v>
      </c>
      <c r="E43">
        <f t="shared" si="1"/>
        <v>1201</v>
      </c>
      <c r="F43" t="s">
        <v>233</v>
      </c>
    </row>
    <row r="44" spans="1:6" x14ac:dyDescent="0.25">
      <c r="A44" t="str">
        <f t="shared" si="0"/>
        <v>Owi Wijaya-FREIGHT IN-CLN</v>
      </c>
      <c r="B44" t="s">
        <v>67</v>
      </c>
      <c r="C44" t="s">
        <v>85</v>
      </c>
      <c r="D44" t="s">
        <v>13</v>
      </c>
      <c r="E44">
        <f t="shared" si="1"/>
        <v>1201</v>
      </c>
      <c r="F44" t="s">
        <v>234</v>
      </c>
    </row>
    <row r="45" spans="1:6" x14ac:dyDescent="0.25">
      <c r="A45" t="str">
        <f t="shared" si="0"/>
        <v>Owi Wijaya-FREIGHT IN-MAJA-2</v>
      </c>
      <c r="B45" t="s">
        <v>67</v>
      </c>
      <c r="C45" t="s">
        <v>85</v>
      </c>
      <c r="D45" t="s">
        <v>15</v>
      </c>
      <c r="E45">
        <f t="shared" si="1"/>
        <v>1204</v>
      </c>
      <c r="F45" t="s">
        <v>200</v>
      </c>
    </row>
    <row r="46" spans="1:6" x14ac:dyDescent="0.25">
      <c r="A46" t="str">
        <f t="shared" si="0"/>
        <v>Owi Wijaya-FUEL FOR MOTOR VEHICLE-CLN</v>
      </c>
      <c r="B46" t="s">
        <v>67</v>
      </c>
      <c r="C46" t="s">
        <v>87</v>
      </c>
      <c r="D46" t="s">
        <v>13</v>
      </c>
      <c r="E46">
        <f t="shared" si="1"/>
        <v>1201</v>
      </c>
      <c r="F46" t="s">
        <v>235</v>
      </c>
    </row>
    <row r="47" spans="1:6" x14ac:dyDescent="0.25">
      <c r="A47" t="str">
        <f t="shared" si="0"/>
        <v>Owi Wijaya-FUEL FOR MOTOR VEHICLE-MAJA-1</v>
      </c>
      <c r="B47" t="s">
        <v>67</v>
      </c>
      <c r="C47" t="s">
        <v>87</v>
      </c>
      <c r="D47" t="s">
        <v>24</v>
      </c>
      <c r="E47">
        <f t="shared" si="1"/>
        <v>1205</v>
      </c>
      <c r="F47" t="s">
        <v>201</v>
      </c>
    </row>
    <row r="48" spans="1:6" x14ac:dyDescent="0.25">
      <c r="A48" t="str">
        <f t="shared" si="0"/>
        <v>Owi Wijaya-FUEL FOR MOTOR VEHICLE-MAJA-2</v>
      </c>
      <c r="B48" t="s">
        <v>67</v>
      </c>
      <c r="C48" t="s">
        <v>87</v>
      </c>
      <c r="D48" t="s">
        <v>15</v>
      </c>
      <c r="E48">
        <f t="shared" si="1"/>
        <v>1204</v>
      </c>
      <c r="F48" t="s">
        <v>202</v>
      </c>
    </row>
    <row r="49" spans="1:6" x14ac:dyDescent="0.25">
      <c r="A49" t="str">
        <f t="shared" si="0"/>
        <v>Owi Wijaya-INSURANCEEXP.OFBUILD.&amp;-CLN</v>
      </c>
      <c r="B49" t="s">
        <v>67</v>
      </c>
      <c r="C49" t="s">
        <v>89</v>
      </c>
      <c r="D49" t="s">
        <v>13</v>
      </c>
      <c r="E49">
        <f t="shared" si="1"/>
        <v>1201</v>
      </c>
      <c r="F49" t="s">
        <v>185</v>
      </c>
    </row>
    <row r="50" spans="1:6" x14ac:dyDescent="0.25">
      <c r="A50" t="str">
        <f t="shared" si="0"/>
        <v>Owi Wijaya-INSURANCEEXP.OFBUILD.&amp;-MAJA-2</v>
      </c>
      <c r="B50" t="s">
        <v>67</v>
      </c>
      <c r="C50" t="s">
        <v>89</v>
      </c>
      <c r="D50" t="s">
        <v>15</v>
      </c>
      <c r="E50">
        <f t="shared" si="1"/>
        <v>1204</v>
      </c>
      <c r="F50" t="s">
        <v>186</v>
      </c>
    </row>
    <row r="51" spans="1:6" x14ac:dyDescent="0.25">
      <c r="A51" t="str">
        <f t="shared" si="0"/>
        <v>Owi Wijaya-INTERNET EXPENSES-CLN</v>
      </c>
      <c r="B51" t="s">
        <v>67</v>
      </c>
      <c r="C51" t="s">
        <v>91</v>
      </c>
      <c r="D51" t="s">
        <v>13</v>
      </c>
      <c r="E51">
        <f t="shared" si="1"/>
        <v>1201</v>
      </c>
      <c r="F51" t="s">
        <v>236</v>
      </c>
    </row>
    <row r="52" spans="1:6" x14ac:dyDescent="0.25">
      <c r="A52" t="str">
        <f t="shared" si="0"/>
        <v>Owi Wijaya-INTERNET EXPENSES-MAJA-2</v>
      </c>
      <c r="B52" t="s">
        <v>67</v>
      </c>
      <c r="C52" t="s">
        <v>91</v>
      </c>
      <c r="D52" t="s">
        <v>15</v>
      </c>
      <c r="E52">
        <f t="shared" si="1"/>
        <v>1204</v>
      </c>
      <c r="F52" t="s">
        <v>203</v>
      </c>
    </row>
    <row r="53" spans="1:6" x14ac:dyDescent="0.25">
      <c r="A53" t="str">
        <f t="shared" si="0"/>
        <v>Owi Wijaya-JAMSOSTEK-CLN</v>
      </c>
      <c r="B53" t="s">
        <v>67</v>
      </c>
      <c r="C53" t="s">
        <v>93</v>
      </c>
      <c r="D53" t="s">
        <v>13</v>
      </c>
      <c r="E53">
        <f t="shared" si="1"/>
        <v>1201</v>
      </c>
      <c r="F53" t="s">
        <v>237</v>
      </c>
    </row>
    <row r="54" spans="1:6" x14ac:dyDescent="0.25">
      <c r="A54" t="str">
        <f t="shared" si="0"/>
        <v>Owi Wijaya-LABOR COST-CLN</v>
      </c>
      <c r="B54" t="s">
        <v>67</v>
      </c>
      <c r="C54" t="s">
        <v>96</v>
      </c>
      <c r="D54" t="s">
        <v>13</v>
      </c>
      <c r="E54">
        <f t="shared" si="1"/>
        <v>1201</v>
      </c>
      <c r="F54" t="s">
        <v>238</v>
      </c>
    </row>
    <row r="55" spans="1:6" x14ac:dyDescent="0.25">
      <c r="A55" t="str">
        <f t="shared" si="0"/>
        <v>Owi Wijaya-LEGAL EXPENSES-CLN</v>
      </c>
      <c r="B55" t="s">
        <v>67</v>
      </c>
      <c r="C55" t="s">
        <v>99</v>
      </c>
      <c r="D55" t="s">
        <v>13</v>
      </c>
      <c r="E55">
        <f t="shared" si="1"/>
        <v>1201</v>
      </c>
      <c r="F55" t="s">
        <v>239</v>
      </c>
    </row>
    <row r="56" spans="1:6" x14ac:dyDescent="0.25">
      <c r="A56" t="str">
        <f t="shared" si="0"/>
        <v>Owi Wijaya-LEGAL EXPENSES-KALIBENDA</v>
      </c>
      <c r="B56" t="s">
        <v>67</v>
      </c>
      <c r="C56" t="s">
        <v>99</v>
      </c>
      <c r="D56" t="s">
        <v>101</v>
      </c>
      <c r="E56">
        <f t="shared" si="1"/>
        <v>1206</v>
      </c>
      <c r="F56" t="s">
        <v>204</v>
      </c>
    </row>
    <row r="57" spans="1:6" x14ac:dyDescent="0.25">
      <c r="A57" t="str">
        <f t="shared" si="0"/>
        <v>Owi Wijaya-LEGAL EXPENSES-MAJA-1</v>
      </c>
      <c r="B57" t="s">
        <v>67</v>
      </c>
      <c r="C57" t="s">
        <v>99</v>
      </c>
      <c r="D57" t="s">
        <v>24</v>
      </c>
      <c r="E57">
        <f t="shared" si="1"/>
        <v>1205</v>
      </c>
      <c r="F57" t="s">
        <v>205</v>
      </c>
    </row>
    <row r="58" spans="1:6" x14ac:dyDescent="0.25">
      <c r="A58" t="str">
        <f t="shared" si="0"/>
        <v>Owi Wijaya-LEGAL EXPENSES-MAJA-2</v>
      </c>
      <c r="B58" t="s">
        <v>67</v>
      </c>
      <c r="C58" t="s">
        <v>99</v>
      </c>
      <c r="D58" t="s">
        <v>15</v>
      </c>
      <c r="E58">
        <f t="shared" si="1"/>
        <v>1204</v>
      </c>
      <c r="F58" t="s">
        <v>206</v>
      </c>
    </row>
    <row r="59" spans="1:6" x14ac:dyDescent="0.25">
      <c r="A59" t="str">
        <f t="shared" si="0"/>
        <v>Owi Wijaya-MAINT.&amp;REP.BUILDING-CLN</v>
      </c>
      <c r="B59" t="s">
        <v>67</v>
      </c>
      <c r="C59" t="s">
        <v>102</v>
      </c>
      <c r="D59" t="s">
        <v>13</v>
      </c>
      <c r="E59">
        <f t="shared" si="1"/>
        <v>1201</v>
      </c>
      <c r="F59" t="s">
        <v>240</v>
      </c>
    </row>
    <row r="60" spans="1:6" x14ac:dyDescent="0.25">
      <c r="A60" t="str">
        <f t="shared" si="0"/>
        <v>Owi Wijaya-MAINT.&amp;REP.ELECTRICITY-CLN</v>
      </c>
      <c r="B60" t="s">
        <v>67</v>
      </c>
      <c r="C60" t="s">
        <v>104</v>
      </c>
      <c r="D60" t="s">
        <v>13</v>
      </c>
      <c r="E60">
        <f t="shared" si="1"/>
        <v>1201</v>
      </c>
      <c r="F60" t="s">
        <v>241</v>
      </c>
    </row>
    <row r="61" spans="1:6" x14ac:dyDescent="0.25">
      <c r="A61" t="str">
        <f t="shared" si="0"/>
        <v>Owi Wijaya-MAINT.&amp;REP.GEN&amp;BOILER-CLN</v>
      </c>
      <c r="B61" t="s">
        <v>67</v>
      </c>
      <c r="C61" t="s">
        <v>106</v>
      </c>
      <c r="D61" t="s">
        <v>13</v>
      </c>
      <c r="E61">
        <f t="shared" si="1"/>
        <v>1201</v>
      </c>
      <c r="F61" t="s">
        <v>242</v>
      </c>
    </row>
    <row r="62" spans="1:6" x14ac:dyDescent="0.25">
      <c r="A62" t="str">
        <f t="shared" si="0"/>
        <v>Owi Wijaya-MAINT.&amp;REP.MACHINERIE-CLN</v>
      </c>
      <c r="B62" t="s">
        <v>67</v>
      </c>
      <c r="C62" t="s">
        <v>108</v>
      </c>
      <c r="D62" t="s">
        <v>13</v>
      </c>
      <c r="E62">
        <f t="shared" si="1"/>
        <v>1201</v>
      </c>
      <c r="F62" t="s">
        <v>243</v>
      </c>
    </row>
    <row r="63" spans="1:6" x14ac:dyDescent="0.25">
      <c r="A63" t="str">
        <f t="shared" si="0"/>
        <v>Owi Wijaya-MAINT.&amp;REP.MOTORVEHICLE-CLN</v>
      </c>
      <c r="B63" t="s">
        <v>67</v>
      </c>
      <c r="C63" t="s">
        <v>110</v>
      </c>
      <c r="D63" t="s">
        <v>13</v>
      </c>
      <c r="E63">
        <f t="shared" si="1"/>
        <v>1201</v>
      </c>
      <c r="F63" t="s">
        <v>244</v>
      </c>
    </row>
    <row r="64" spans="1:6" x14ac:dyDescent="0.25">
      <c r="A64" t="str">
        <f t="shared" si="0"/>
        <v>Owi Wijaya-MAINT.&amp;REP.MOTORVEHICLE-MAJA-1</v>
      </c>
      <c r="B64" t="s">
        <v>67</v>
      </c>
      <c r="C64" t="s">
        <v>110</v>
      </c>
      <c r="D64" t="s">
        <v>24</v>
      </c>
      <c r="E64">
        <f t="shared" si="1"/>
        <v>1205</v>
      </c>
      <c r="F64" t="s">
        <v>207</v>
      </c>
    </row>
    <row r="65" spans="1:6" x14ac:dyDescent="0.25">
      <c r="A65" t="str">
        <f t="shared" si="0"/>
        <v>Owi Wijaya-MAINT.&amp;REP.MOTORVEHICLE-MAJA-2</v>
      </c>
      <c r="B65" t="s">
        <v>67</v>
      </c>
      <c r="C65" t="s">
        <v>110</v>
      </c>
      <c r="D65" t="s">
        <v>15</v>
      </c>
      <c r="E65">
        <f t="shared" si="1"/>
        <v>1204</v>
      </c>
      <c r="F65" t="s">
        <v>208</v>
      </c>
    </row>
    <row r="66" spans="1:6" x14ac:dyDescent="0.25">
      <c r="A66" t="str">
        <f t="shared" si="0"/>
        <v>Owi Wijaya-MAINT.&amp;REP.PLANTEQUI-CLN</v>
      </c>
      <c r="B66" t="s">
        <v>67</v>
      </c>
      <c r="C66" t="s">
        <v>112</v>
      </c>
      <c r="D66" t="s">
        <v>13</v>
      </c>
      <c r="E66">
        <f t="shared" si="1"/>
        <v>1201</v>
      </c>
      <c r="F66" t="s">
        <v>245</v>
      </c>
    </row>
    <row r="67" spans="1:6" x14ac:dyDescent="0.25">
      <c r="A67" t="str">
        <f t="shared" ref="A67:A130" si="2">B67&amp;"-"&amp;C67&amp;"-"&amp;D67</f>
        <v>Owi Wijaya-MAINT.&amp;REP.WATERINSTL.-CLN</v>
      </c>
      <c r="B67" t="s">
        <v>67</v>
      </c>
      <c r="C67" t="s">
        <v>114</v>
      </c>
      <c r="D67" t="s">
        <v>13</v>
      </c>
      <c r="E67">
        <f t="shared" ref="E67:E130" si="3">VLOOKUP(D67,$L$2:$M$6,2,FALSE)</f>
        <v>1201</v>
      </c>
      <c r="F67" t="s">
        <v>246</v>
      </c>
    </row>
    <row r="68" spans="1:6" x14ac:dyDescent="0.25">
      <c r="A68" t="str">
        <f t="shared" si="2"/>
        <v>Owi Wijaya-MAINT.OFFICEEQUIP.-CLN</v>
      </c>
      <c r="B68" t="s">
        <v>67</v>
      </c>
      <c r="C68" t="s">
        <v>116</v>
      </c>
      <c r="D68" t="s">
        <v>13</v>
      </c>
      <c r="E68">
        <f t="shared" si="3"/>
        <v>1201</v>
      </c>
      <c r="F68" t="s">
        <v>247</v>
      </c>
    </row>
    <row r="69" spans="1:6" x14ac:dyDescent="0.25">
      <c r="A69" t="str">
        <f t="shared" si="2"/>
        <v>Owi Wijaya-MAINT.OFFICEEQUIP.-KALIBENDA</v>
      </c>
      <c r="B69" t="s">
        <v>67</v>
      </c>
      <c r="C69" t="s">
        <v>116</v>
      </c>
      <c r="D69" t="s">
        <v>101</v>
      </c>
      <c r="E69">
        <f t="shared" si="3"/>
        <v>1206</v>
      </c>
      <c r="F69" t="s">
        <v>209</v>
      </c>
    </row>
    <row r="70" spans="1:6" x14ac:dyDescent="0.25">
      <c r="A70" t="str">
        <f t="shared" si="2"/>
        <v>Owi Wijaya-MAINT.OFFICEEQUIP.-MAJA-1</v>
      </c>
      <c r="B70" t="s">
        <v>67</v>
      </c>
      <c r="C70" t="s">
        <v>116</v>
      </c>
      <c r="D70" t="s">
        <v>24</v>
      </c>
      <c r="E70">
        <f t="shared" si="3"/>
        <v>1205</v>
      </c>
      <c r="F70" t="s">
        <v>210</v>
      </c>
    </row>
    <row r="71" spans="1:6" x14ac:dyDescent="0.25">
      <c r="A71" t="str">
        <f t="shared" si="2"/>
        <v>Owi Wijaya-MAINT.OFFICEEQUIP.-MAJA-2</v>
      </c>
      <c r="B71" t="s">
        <v>67</v>
      </c>
      <c r="C71" t="s">
        <v>116</v>
      </c>
      <c r="D71" t="s">
        <v>15</v>
      </c>
      <c r="E71">
        <f t="shared" si="3"/>
        <v>1204</v>
      </c>
      <c r="F71" t="s">
        <v>211</v>
      </c>
    </row>
    <row r="72" spans="1:6" x14ac:dyDescent="0.25">
      <c r="A72" t="str">
        <f t="shared" si="2"/>
        <v>Owi Wijaya-MEDICAL ALLOWANCE-CLN</v>
      </c>
      <c r="B72" t="s">
        <v>67</v>
      </c>
      <c r="C72" t="s">
        <v>118</v>
      </c>
      <c r="D72" t="s">
        <v>13</v>
      </c>
      <c r="E72">
        <f t="shared" si="3"/>
        <v>1201</v>
      </c>
      <c r="F72" t="s">
        <v>248</v>
      </c>
    </row>
    <row r="73" spans="1:6" x14ac:dyDescent="0.25">
      <c r="A73" t="str">
        <f t="shared" si="2"/>
        <v>Owi Wijaya-OFFICE SUPPLIES EXPENSES-CLN</v>
      </c>
      <c r="B73" t="s">
        <v>67</v>
      </c>
      <c r="C73" t="s">
        <v>120</v>
      </c>
      <c r="D73" t="s">
        <v>13</v>
      </c>
      <c r="E73">
        <f t="shared" si="3"/>
        <v>1201</v>
      </c>
      <c r="F73" t="s">
        <v>249</v>
      </c>
    </row>
    <row r="74" spans="1:6" x14ac:dyDescent="0.25">
      <c r="A74" t="str">
        <f t="shared" si="2"/>
        <v>Owi Wijaya-OFFICE SUPPLIES EXPENSES-KALIBENDA</v>
      </c>
      <c r="B74" t="s">
        <v>67</v>
      </c>
      <c r="C74" t="s">
        <v>120</v>
      </c>
      <c r="D74" t="s">
        <v>101</v>
      </c>
      <c r="E74">
        <f t="shared" si="3"/>
        <v>1206</v>
      </c>
      <c r="F74" t="s">
        <v>212</v>
      </c>
    </row>
    <row r="75" spans="1:6" x14ac:dyDescent="0.25">
      <c r="A75" t="str">
        <f t="shared" si="2"/>
        <v>Owi Wijaya-OFFICE SUPPLIES EXPENSES-MAJA-1</v>
      </c>
      <c r="B75" t="s">
        <v>67</v>
      </c>
      <c r="C75" t="s">
        <v>120</v>
      </c>
      <c r="D75" t="s">
        <v>24</v>
      </c>
      <c r="E75">
        <f t="shared" si="3"/>
        <v>1205</v>
      </c>
      <c r="F75" t="s">
        <v>322</v>
      </c>
    </row>
    <row r="76" spans="1:6" x14ac:dyDescent="0.25">
      <c r="A76" t="str">
        <f t="shared" si="2"/>
        <v>Owi Wijaya-OFFICE SUPPLIES EXPENSES-MAJA-2</v>
      </c>
      <c r="B76" t="s">
        <v>67</v>
      </c>
      <c r="C76" t="s">
        <v>120</v>
      </c>
      <c r="D76" t="s">
        <v>15</v>
      </c>
      <c r="E76">
        <f t="shared" si="3"/>
        <v>1204</v>
      </c>
      <c r="F76" t="s">
        <v>213</v>
      </c>
    </row>
    <row r="77" spans="1:6" x14ac:dyDescent="0.25">
      <c r="A77" t="str">
        <f t="shared" si="2"/>
        <v>Owi Wijaya-OTHER PRODUCTION COST-KALIBENDA</v>
      </c>
      <c r="B77" t="s">
        <v>67</v>
      </c>
      <c r="C77" t="s">
        <v>21</v>
      </c>
      <c r="D77" t="s">
        <v>101</v>
      </c>
      <c r="E77">
        <f t="shared" si="3"/>
        <v>1206</v>
      </c>
      <c r="F77" t="s">
        <v>187</v>
      </c>
    </row>
    <row r="78" spans="1:6" x14ac:dyDescent="0.25">
      <c r="A78" t="str">
        <f t="shared" si="2"/>
        <v>Owi Wijaya-PEMAKAIAN SPARE PART-CLN</v>
      </c>
      <c r="B78" t="s">
        <v>67</v>
      </c>
      <c r="C78" t="s">
        <v>124</v>
      </c>
      <c r="D78" t="s">
        <v>13</v>
      </c>
      <c r="E78">
        <f t="shared" si="3"/>
        <v>1201</v>
      </c>
      <c r="F78" t="s">
        <v>250</v>
      </c>
    </row>
    <row r="79" spans="1:6" x14ac:dyDescent="0.25">
      <c r="A79" t="str">
        <f t="shared" si="2"/>
        <v>Owi Wijaya-PMKN FUEL &amp; LUBRICANT-CLN</v>
      </c>
      <c r="B79" t="s">
        <v>67</v>
      </c>
      <c r="C79" t="s">
        <v>126</v>
      </c>
      <c r="D79" t="s">
        <v>13</v>
      </c>
      <c r="E79">
        <f t="shared" si="3"/>
        <v>1201</v>
      </c>
      <c r="F79" t="s">
        <v>251</v>
      </c>
    </row>
    <row r="80" spans="1:6" x14ac:dyDescent="0.25">
      <c r="A80" t="str">
        <f t="shared" si="2"/>
        <v>Owi Wijaya-RENT EXPENSES-CLN</v>
      </c>
      <c r="B80" t="s">
        <v>67</v>
      </c>
      <c r="C80" t="s">
        <v>128</v>
      </c>
      <c r="D80" t="s">
        <v>13</v>
      </c>
      <c r="E80">
        <f t="shared" si="3"/>
        <v>1201</v>
      </c>
      <c r="F80" t="s">
        <v>252</v>
      </c>
    </row>
    <row r="81" spans="1:6" x14ac:dyDescent="0.25">
      <c r="A81" t="str">
        <f t="shared" si="2"/>
        <v>Owi Wijaya-RENT EXPENSES BUILDING-CLN</v>
      </c>
      <c r="B81" t="s">
        <v>67</v>
      </c>
      <c r="C81" t="s">
        <v>130</v>
      </c>
      <c r="D81" t="s">
        <v>13</v>
      </c>
      <c r="E81">
        <f t="shared" si="3"/>
        <v>1201</v>
      </c>
      <c r="F81" t="s">
        <v>253</v>
      </c>
    </row>
    <row r="82" spans="1:6" x14ac:dyDescent="0.25">
      <c r="A82" t="str">
        <f t="shared" si="2"/>
        <v>Owi Wijaya-RENT EXPENSES LAND-CLN</v>
      </c>
      <c r="B82" t="s">
        <v>67</v>
      </c>
      <c r="C82" t="s">
        <v>132</v>
      </c>
      <c r="D82" t="s">
        <v>13</v>
      </c>
      <c r="E82">
        <f t="shared" si="3"/>
        <v>1201</v>
      </c>
      <c r="F82" t="s">
        <v>254</v>
      </c>
    </row>
    <row r="83" spans="1:6" x14ac:dyDescent="0.25">
      <c r="A83" t="str">
        <f t="shared" si="2"/>
        <v>Owi Wijaya-TELEPHONE EXPENSES-CLN</v>
      </c>
      <c r="B83" t="s">
        <v>67</v>
      </c>
      <c r="C83" t="s">
        <v>134</v>
      </c>
      <c r="D83" t="s">
        <v>13</v>
      </c>
      <c r="E83">
        <f t="shared" si="3"/>
        <v>1201</v>
      </c>
      <c r="F83" t="s">
        <v>255</v>
      </c>
    </row>
    <row r="84" spans="1:6" x14ac:dyDescent="0.25">
      <c r="A84" t="str">
        <f t="shared" si="2"/>
        <v>Owi Wijaya-TRAINING BY EMPLOYEE-CLN</v>
      </c>
      <c r="B84" t="s">
        <v>67</v>
      </c>
      <c r="C84" t="s">
        <v>136</v>
      </c>
      <c r="D84" t="s">
        <v>13</v>
      </c>
      <c r="E84">
        <f t="shared" si="3"/>
        <v>1201</v>
      </c>
      <c r="F84" t="s">
        <v>256</v>
      </c>
    </row>
    <row r="85" spans="1:6" x14ac:dyDescent="0.25">
      <c r="A85" t="str">
        <f t="shared" si="2"/>
        <v>Owi Wijaya-WATER-CLN</v>
      </c>
      <c r="B85" t="s">
        <v>67</v>
      </c>
      <c r="C85" t="s">
        <v>138</v>
      </c>
      <c r="D85" t="s">
        <v>13</v>
      </c>
      <c r="E85">
        <f t="shared" si="3"/>
        <v>1201</v>
      </c>
      <c r="F85" t="s">
        <v>257</v>
      </c>
    </row>
    <row r="86" spans="1:6" x14ac:dyDescent="0.25">
      <c r="A86" t="str">
        <f t="shared" si="2"/>
        <v>Owi Wijaya-OTHER PRODUCTION COST-CLN</v>
      </c>
      <c r="B86" t="s">
        <v>67</v>
      </c>
      <c r="C86" t="s">
        <v>21</v>
      </c>
      <c r="D86" t="s">
        <v>13</v>
      </c>
      <c r="E86">
        <f t="shared" si="3"/>
        <v>1201</v>
      </c>
      <c r="F86" t="s">
        <v>188</v>
      </c>
    </row>
    <row r="87" spans="1:6" x14ac:dyDescent="0.25">
      <c r="A87" t="str">
        <f t="shared" si="2"/>
        <v>Owi Wijaya-OTHER PRODUCTION COST-CLN</v>
      </c>
      <c r="B87" t="s">
        <v>67</v>
      </c>
      <c r="C87" t="s">
        <v>21</v>
      </c>
      <c r="D87" t="s">
        <v>13</v>
      </c>
      <c r="E87">
        <f t="shared" si="3"/>
        <v>1201</v>
      </c>
      <c r="F87" t="s">
        <v>188</v>
      </c>
    </row>
    <row r="88" spans="1:6" x14ac:dyDescent="0.25">
      <c r="A88" t="str">
        <f t="shared" si="2"/>
        <v>Owi Wijaya-OTHER PRODUCTION COST-MAJA-1</v>
      </c>
      <c r="B88" t="s">
        <v>67</v>
      </c>
      <c r="C88" t="s">
        <v>21</v>
      </c>
      <c r="D88" t="s">
        <v>24</v>
      </c>
      <c r="E88">
        <f t="shared" si="3"/>
        <v>1205</v>
      </c>
      <c r="F88" t="s">
        <v>190</v>
      </c>
    </row>
    <row r="89" spans="1:6" x14ac:dyDescent="0.25">
      <c r="A89" t="str">
        <f t="shared" si="2"/>
        <v>Owi Wijaya-OTHER PRODUCTION COST-MAJA-2</v>
      </c>
      <c r="B89" t="s">
        <v>67</v>
      </c>
      <c r="C89" t="s">
        <v>21</v>
      </c>
      <c r="D89" t="s">
        <v>15</v>
      </c>
      <c r="E89">
        <f t="shared" si="3"/>
        <v>1204</v>
      </c>
      <c r="F89" t="s">
        <v>189</v>
      </c>
    </row>
    <row r="90" spans="1:6" x14ac:dyDescent="0.25">
      <c r="A90" t="str">
        <f t="shared" si="2"/>
        <v>Wawan Iskandar-JAMSOSTEK-KALIBENDA</v>
      </c>
      <c r="B90" t="s">
        <v>141</v>
      </c>
      <c r="C90" t="s">
        <v>93</v>
      </c>
      <c r="D90" t="s">
        <v>101</v>
      </c>
      <c r="E90">
        <f t="shared" si="3"/>
        <v>1206</v>
      </c>
      <c r="F90" t="s">
        <v>258</v>
      </c>
    </row>
    <row r="91" spans="1:6" x14ac:dyDescent="0.25">
      <c r="A91" t="str">
        <f t="shared" si="2"/>
        <v>Wawan Iskandar-MAINT.&amp;REP.BUILDING-KALIBENDA</v>
      </c>
      <c r="B91" t="s">
        <v>141</v>
      </c>
      <c r="C91" t="s">
        <v>102</v>
      </c>
      <c r="D91" t="s">
        <v>101</v>
      </c>
      <c r="E91">
        <f t="shared" si="3"/>
        <v>1206</v>
      </c>
      <c r="F91" t="s">
        <v>259</v>
      </c>
    </row>
    <row r="92" spans="1:6" x14ac:dyDescent="0.25">
      <c r="A92" t="str">
        <f t="shared" si="2"/>
        <v>Wawan Iskandar-MEDICAL ALLOWANCE-KALIBENDA</v>
      </c>
      <c r="B92" t="s">
        <v>141</v>
      </c>
      <c r="C92" t="s">
        <v>118</v>
      </c>
      <c r="D92" t="s">
        <v>101</v>
      </c>
      <c r="E92">
        <f t="shared" si="3"/>
        <v>1206</v>
      </c>
      <c r="F92" t="s">
        <v>260</v>
      </c>
    </row>
    <row r="93" spans="1:6" x14ac:dyDescent="0.25">
      <c r="A93" t="str">
        <f t="shared" si="2"/>
        <v>Wawan Iskandar-RENT EXPENSES-KALIBENDA</v>
      </c>
      <c r="B93" t="s">
        <v>141</v>
      </c>
      <c r="C93" t="s">
        <v>128</v>
      </c>
      <c r="D93" t="s">
        <v>101</v>
      </c>
      <c r="E93">
        <f t="shared" si="3"/>
        <v>1206</v>
      </c>
      <c r="F93" t="s">
        <v>261</v>
      </c>
    </row>
    <row r="94" spans="1:6" x14ac:dyDescent="0.25">
      <c r="A94" t="str">
        <f t="shared" si="2"/>
        <v>Wawan Iskandar-RENT EXPENSES BUILDING-KALIBENDA</v>
      </c>
      <c r="B94" t="s">
        <v>141</v>
      </c>
      <c r="C94" t="s">
        <v>130</v>
      </c>
      <c r="D94" t="s">
        <v>101</v>
      </c>
      <c r="E94">
        <f t="shared" si="3"/>
        <v>1206</v>
      </c>
      <c r="F94" t="s">
        <v>262</v>
      </c>
    </row>
    <row r="95" spans="1:6" x14ac:dyDescent="0.25">
      <c r="A95" t="str">
        <f t="shared" si="2"/>
        <v>Wawan Iskandar-TELEPHONE EXPENSES-KALIBENDA</v>
      </c>
      <c r="B95" t="s">
        <v>141</v>
      </c>
      <c r="C95" t="s">
        <v>134</v>
      </c>
      <c r="D95" t="s">
        <v>101</v>
      </c>
      <c r="E95">
        <f t="shared" si="3"/>
        <v>1206</v>
      </c>
      <c r="F95" t="s">
        <v>263</v>
      </c>
    </row>
    <row r="96" spans="1:6" x14ac:dyDescent="0.25">
      <c r="A96" t="str">
        <f t="shared" si="2"/>
        <v>Wawan Iskandar-WATER-KALIBENDA</v>
      </c>
      <c r="B96" t="s">
        <v>141</v>
      </c>
      <c r="C96" t="s">
        <v>138</v>
      </c>
      <c r="D96" t="s">
        <v>101</v>
      </c>
      <c r="E96">
        <f t="shared" si="3"/>
        <v>1206</v>
      </c>
      <c r="F96" t="s">
        <v>264</v>
      </c>
    </row>
    <row r="97" spans="1:6" x14ac:dyDescent="0.25">
      <c r="A97" t="str">
        <f t="shared" si="2"/>
        <v>Wawan Iskandar-FACTORY SUPPLIES EXPENSE-KALIBENDA</v>
      </c>
      <c r="B97" t="s">
        <v>141</v>
      </c>
      <c r="C97" t="s">
        <v>80</v>
      </c>
      <c r="D97" t="s">
        <v>101</v>
      </c>
      <c r="E97">
        <f t="shared" si="3"/>
        <v>1206</v>
      </c>
      <c r="F97" t="s">
        <v>265</v>
      </c>
    </row>
    <row r="98" spans="1:6" x14ac:dyDescent="0.25">
      <c r="A98" t="str">
        <f t="shared" si="2"/>
        <v>Wawan Iskandar-MAINT.&amp;REP.ELECTRICITY-KALIBENDA</v>
      </c>
      <c r="B98" t="s">
        <v>141</v>
      </c>
      <c r="C98" t="s">
        <v>104</v>
      </c>
      <c r="D98" t="s">
        <v>101</v>
      </c>
      <c r="E98">
        <f t="shared" si="3"/>
        <v>1206</v>
      </c>
      <c r="F98" t="s">
        <v>266</v>
      </c>
    </row>
    <row r="99" spans="1:6" x14ac:dyDescent="0.25">
      <c r="A99" t="str">
        <f t="shared" si="2"/>
        <v>Wawan Iskandar-MAINT.&amp;REP.GEN&amp;BOILER-KALIBENDA</v>
      </c>
      <c r="B99" t="s">
        <v>141</v>
      </c>
      <c r="C99" t="s">
        <v>106</v>
      </c>
      <c r="D99" t="s">
        <v>101</v>
      </c>
      <c r="E99">
        <f t="shared" si="3"/>
        <v>1206</v>
      </c>
      <c r="F99" t="s">
        <v>267</v>
      </c>
    </row>
    <row r="100" spans="1:6" x14ac:dyDescent="0.25">
      <c r="A100" t="str">
        <f t="shared" si="2"/>
        <v>Wawan Iskandar-MAINT.&amp;REP.MACHINERIE-KALIBENDA</v>
      </c>
      <c r="B100" t="s">
        <v>141</v>
      </c>
      <c r="C100" t="s">
        <v>108</v>
      </c>
      <c r="D100" t="s">
        <v>101</v>
      </c>
      <c r="E100">
        <f t="shared" si="3"/>
        <v>1206</v>
      </c>
      <c r="F100" t="s">
        <v>268</v>
      </c>
    </row>
    <row r="101" spans="1:6" x14ac:dyDescent="0.25">
      <c r="A101" t="str">
        <f t="shared" si="2"/>
        <v>Wawan Iskandar-MAINT.&amp;REP.MOTORVEHICLE-KALIBENDA</v>
      </c>
      <c r="B101" t="s">
        <v>141</v>
      </c>
      <c r="C101" t="s">
        <v>110</v>
      </c>
      <c r="D101" t="s">
        <v>101</v>
      </c>
      <c r="E101">
        <f t="shared" si="3"/>
        <v>1206</v>
      </c>
      <c r="F101" t="s">
        <v>269</v>
      </c>
    </row>
    <row r="102" spans="1:6" x14ac:dyDescent="0.25">
      <c r="A102" t="str">
        <f t="shared" si="2"/>
        <v>Wawan Iskandar-MAINT.&amp;REP.PLANTEQUI-KALIBENDA</v>
      </c>
      <c r="B102" t="s">
        <v>141</v>
      </c>
      <c r="C102" t="s">
        <v>112</v>
      </c>
      <c r="D102" t="s">
        <v>101</v>
      </c>
      <c r="E102">
        <f t="shared" si="3"/>
        <v>1206</v>
      </c>
      <c r="F102" t="s">
        <v>270</v>
      </c>
    </row>
    <row r="103" spans="1:6" x14ac:dyDescent="0.25">
      <c r="A103" t="str">
        <f t="shared" si="2"/>
        <v>Wawan Iskandar-MAINT.&amp;REP.WATERINSTL.-KALIBENDA</v>
      </c>
      <c r="B103" t="s">
        <v>141</v>
      </c>
      <c r="C103" t="s">
        <v>114</v>
      </c>
      <c r="D103" t="s">
        <v>101</v>
      </c>
      <c r="E103">
        <f t="shared" si="3"/>
        <v>1206</v>
      </c>
      <c r="F103" t="s">
        <v>271</v>
      </c>
    </row>
    <row r="104" spans="1:6" x14ac:dyDescent="0.25">
      <c r="A104" t="str">
        <f t="shared" si="2"/>
        <v>Wawan Iskandar-PEMAKAIAN SPARE PART-KALIBENDA</v>
      </c>
      <c r="B104" t="s">
        <v>141</v>
      </c>
      <c r="C104" t="s">
        <v>124</v>
      </c>
      <c r="D104" t="s">
        <v>101</v>
      </c>
      <c r="E104">
        <f t="shared" si="3"/>
        <v>1206</v>
      </c>
      <c r="F104" t="s">
        <v>272</v>
      </c>
    </row>
    <row r="105" spans="1:6" x14ac:dyDescent="0.25">
      <c r="A105" t="str">
        <f t="shared" si="2"/>
        <v>Wawan Iskandar-BUSINESS TRIP EXPENSES-KALIBENDA</v>
      </c>
      <c r="B105" t="s">
        <v>141</v>
      </c>
      <c r="C105" t="s">
        <v>70</v>
      </c>
      <c r="D105" t="s">
        <v>101</v>
      </c>
      <c r="E105">
        <f t="shared" si="3"/>
        <v>1206</v>
      </c>
      <c r="F105" t="s">
        <v>273</v>
      </c>
    </row>
    <row r="106" spans="1:6" x14ac:dyDescent="0.25">
      <c r="A106" t="str">
        <f t="shared" si="2"/>
        <v>Wawan Iskandar-ELECTRICITY-KALIBENDA</v>
      </c>
      <c r="B106" t="s">
        <v>141</v>
      </c>
      <c r="C106" t="s">
        <v>76</v>
      </c>
      <c r="D106" t="s">
        <v>101</v>
      </c>
      <c r="E106">
        <f t="shared" si="3"/>
        <v>1206</v>
      </c>
      <c r="F106" t="s">
        <v>274</v>
      </c>
    </row>
    <row r="107" spans="1:6" x14ac:dyDescent="0.25">
      <c r="A107" t="str">
        <f t="shared" si="2"/>
        <v>Wawan Iskandar-FUEL FOR MOTOR VEHICLE-KALIBENDA</v>
      </c>
      <c r="B107" t="s">
        <v>141</v>
      </c>
      <c r="C107" t="s">
        <v>87</v>
      </c>
      <c r="D107" t="s">
        <v>101</v>
      </c>
      <c r="E107">
        <f t="shared" si="3"/>
        <v>1206</v>
      </c>
      <c r="F107" t="s">
        <v>275</v>
      </c>
    </row>
    <row r="108" spans="1:6" x14ac:dyDescent="0.25">
      <c r="A108" t="str">
        <f t="shared" si="2"/>
        <v>Wawan Iskandar-LABOR COST-KALIBENDA</v>
      </c>
      <c r="B108" t="s">
        <v>141</v>
      </c>
      <c r="C108" t="s">
        <v>96</v>
      </c>
      <c r="D108" t="s">
        <v>101</v>
      </c>
      <c r="E108">
        <f t="shared" si="3"/>
        <v>1206</v>
      </c>
      <c r="F108" t="s">
        <v>276</v>
      </c>
    </row>
    <row r="109" spans="1:6" x14ac:dyDescent="0.25">
      <c r="A109" t="str">
        <f t="shared" si="2"/>
        <v>Wawan Iskandar-OFFICER SALARIES-KALIBENDA</v>
      </c>
      <c r="B109" t="s">
        <v>141</v>
      </c>
      <c r="C109" t="s">
        <v>146</v>
      </c>
      <c r="D109" t="s">
        <v>101</v>
      </c>
      <c r="E109">
        <f t="shared" si="3"/>
        <v>1206</v>
      </c>
      <c r="F109" t="s">
        <v>277</v>
      </c>
    </row>
    <row r="110" spans="1:6" x14ac:dyDescent="0.25">
      <c r="A110" t="str">
        <f t="shared" si="2"/>
        <v>Wawan Iskandar-PEMAKAIAN GENERAL MATERIAL-KALIBENDA</v>
      </c>
      <c r="B110" t="s">
        <v>141</v>
      </c>
      <c r="C110" t="s">
        <v>26</v>
      </c>
      <c r="D110" t="s">
        <v>101</v>
      </c>
      <c r="E110">
        <f t="shared" si="3"/>
        <v>1206</v>
      </c>
      <c r="F110" t="s">
        <v>278</v>
      </c>
    </row>
    <row r="111" spans="1:6" x14ac:dyDescent="0.25">
      <c r="A111" t="str">
        <f t="shared" si="2"/>
        <v>Wawan Iskandar-VENDOR EXPENSES-CHW</v>
      </c>
      <c r="B111" t="s">
        <v>141</v>
      </c>
      <c r="C111" t="s">
        <v>37</v>
      </c>
      <c r="D111" t="s">
        <v>150</v>
      </c>
      <c r="E111">
        <f t="shared" si="3"/>
        <v>1206</v>
      </c>
      <c r="F111" t="s">
        <v>191</v>
      </c>
    </row>
    <row r="112" spans="1:6" x14ac:dyDescent="0.25">
      <c r="A112" t="str">
        <f t="shared" si="2"/>
        <v>Toni Teja-ENTERTAINMENT-MAJA-1</v>
      </c>
      <c r="B112" t="s">
        <v>178</v>
      </c>
      <c r="C112" t="s">
        <v>78</v>
      </c>
      <c r="D112" t="s">
        <v>24</v>
      </c>
      <c r="E112">
        <f t="shared" si="3"/>
        <v>1205</v>
      </c>
      <c r="F112" t="s">
        <v>279</v>
      </c>
    </row>
    <row r="113" spans="1:6" x14ac:dyDescent="0.25">
      <c r="A113" t="str">
        <f t="shared" si="2"/>
        <v>Toni Teja-JAMSOSTEK-MAJA-1</v>
      </c>
      <c r="B113" t="s">
        <v>178</v>
      </c>
      <c r="C113" t="s">
        <v>93</v>
      </c>
      <c r="D113" t="s">
        <v>24</v>
      </c>
      <c r="E113">
        <f t="shared" si="3"/>
        <v>1205</v>
      </c>
      <c r="F113" t="s">
        <v>280</v>
      </c>
    </row>
    <row r="114" spans="1:6" x14ac:dyDescent="0.25">
      <c r="A114" t="str">
        <f t="shared" si="2"/>
        <v>Toni Teja-MAINT.&amp;REP.BUILDING-MAJA-1</v>
      </c>
      <c r="B114" t="s">
        <v>178</v>
      </c>
      <c r="C114" t="s">
        <v>102</v>
      </c>
      <c r="D114" t="s">
        <v>24</v>
      </c>
      <c r="E114">
        <f t="shared" si="3"/>
        <v>1205</v>
      </c>
      <c r="F114" t="s">
        <v>281</v>
      </c>
    </row>
    <row r="115" spans="1:6" x14ac:dyDescent="0.25">
      <c r="A115" t="str">
        <f t="shared" si="2"/>
        <v>Toni Teja-MAINT.&amp;REP.WATERINSTL.-MAJA-1</v>
      </c>
      <c r="B115" t="s">
        <v>178</v>
      </c>
      <c r="C115" t="s">
        <v>114</v>
      </c>
      <c r="D115" t="s">
        <v>24</v>
      </c>
      <c r="E115">
        <f t="shared" si="3"/>
        <v>1205</v>
      </c>
      <c r="F115" t="s">
        <v>282</v>
      </c>
    </row>
    <row r="116" spans="1:6" x14ac:dyDescent="0.25">
      <c r="A116" t="str">
        <f t="shared" si="2"/>
        <v>Toni Teja-MEDICAL ALLOWANCE-MAJA-1</v>
      </c>
      <c r="B116" t="s">
        <v>178</v>
      </c>
      <c r="C116" t="s">
        <v>118</v>
      </c>
      <c r="D116" t="s">
        <v>24</v>
      </c>
      <c r="E116">
        <f t="shared" si="3"/>
        <v>1205</v>
      </c>
      <c r="F116" t="s">
        <v>283</v>
      </c>
    </row>
    <row r="117" spans="1:6" x14ac:dyDescent="0.25">
      <c r="A117" t="str">
        <f t="shared" si="2"/>
        <v>Toni Teja-RENT EXPENSES BUILDING-MAJA-1</v>
      </c>
      <c r="B117" t="s">
        <v>178</v>
      </c>
      <c r="C117" t="s">
        <v>130</v>
      </c>
      <c r="D117" t="s">
        <v>24</v>
      </c>
      <c r="E117">
        <f t="shared" si="3"/>
        <v>1205</v>
      </c>
      <c r="F117" t="s">
        <v>284</v>
      </c>
    </row>
    <row r="118" spans="1:6" x14ac:dyDescent="0.25">
      <c r="A118" t="str">
        <f t="shared" si="2"/>
        <v>Toni Teja-OTHER PRODUCTION COST-MAJA-1</v>
      </c>
      <c r="B118" t="s">
        <v>178</v>
      </c>
      <c r="C118" t="s">
        <v>21</v>
      </c>
      <c r="D118" t="s">
        <v>24</v>
      </c>
      <c r="E118">
        <f t="shared" si="3"/>
        <v>1205</v>
      </c>
      <c r="F118" t="s">
        <v>190</v>
      </c>
    </row>
    <row r="119" spans="1:6" x14ac:dyDescent="0.25">
      <c r="A119" t="str">
        <f t="shared" si="2"/>
        <v>Toni Teja-BUSINESS TRIP EXPENSES-MAJA-1</v>
      </c>
      <c r="B119" t="s">
        <v>178</v>
      </c>
      <c r="C119" t="s">
        <v>70</v>
      </c>
      <c r="D119" t="s">
        <v>24</v>
      </c>
      <c r="E119">
        <f t="shared" si="3"/>
        <v>1205</v>
      </c>
      <c r="F119" t="s">
        <v>285</v>
      </c>
    </row>
    <row r="120" spans="1:6" x14ac:dyDescent="0.25">
      <c r="A120" t="str">
        <f t="shared" si="2"/>
        <v>Toni Teja-ELECTRICITY-MAJA-1</v>
      </c>
      <c r="B120" t="s">
        <v>178</v>
      </c>
      <c r="C120" t="s">
        <v>76</v>
      </c>
      <c r="D120" t="s">
        <v>24</v>
      </c>
      <c r="E120">
        <f t="shared" si="3"/>
        <v>1205</v>
      </c>
      <c r="F120" t="s">
        <v>286</v>
      </c>
    </row>
    <row r="121" spans="1:6" x14ac:dyDescent="0.25">
      <c r="A121" t="str">
        <f t="shared" si="2"/>
        <v>Toni Teja-FACTORY SUPPLIES EXPENSE-MAJA-1</v>
      </c>
      <c r="B121" t="s">
        <v>178</v>
      </c>
      <c r="C121" t="s">
        <v>80</v>
      </c>
      <c r="D121" t="s">
        <v>24</v>
      </c>
      <c r="E121">
        <f t="shared" si="3"/>
        <v>1205</v>
      </c>
      <c r="F121" t="s">
        <v>287</v>
      </c>
    </row>
    <row r="122" spans="1:6" x14ac:dyDescent="0.25">
      <c r="A122" t="str">
        <f t="shared" si="2"/>
        <v>Toni Teja-FARE ALLOWANCE-MAJA-1</v>
      </c>
      <c r="B122" t="s">
        <v>178</v>
      </c>
      <c r="C122" t="s">
        <v>154</v>
      </c>
      <c r="D122" t="s">
        <v>24</v>
      </c>
      <c r="E122">
        <f t="shared" si="3"/>
        <v>1205</v>
      </c>
      <c r="F122" t="s">
        <v>288</v>
      </c>
    </row>
    <row r="123" spans="1:6" x14ac:dyDescent="0.25">
      <c r="A123" t="str">
        <f t="shared" si="2"/>
        <v>Toni Teja-LABOR COST-MAJA-1</v>
      </c>
      <c r="B123" t="s">
        <v>178</v>
      </c>
      <c r="C123" t="s">
        <v>96</v>
      </c>
      <c r="D123" t="s">
        <v>24</v>
      </c>
      <c r="E123">
        <f t="shared" si="3"/>
        <v>1205</v>
      </c>
      <c r="F123" t="s">
        <v>289</v>
      </c>
    </row>
    <row r="124" spans="1:6" x14ac:dyDescent="0.25">
      <c r="A124" t="str">
        <f t="shared" si="2"/>
        <v>Toni Teja-MAINT.&amp;REP.ELECTRICITY-MAJA-1</v>
      </c>
      <c r="B124" t="s">
        <v>178</v>
      </c>
      <c r="C124" t="s">
        <v>104</v>
      </c>
      <c r="D124" t="s">
        <v>24</v>
      </c>
      <c r="E124">
        <f t="shared" si="3"/>
        <v>1205</v>
      </c>
      <c r="F124" t="s">
        <v>290</v>
      </c>
    </row>
    <row r="125" spans="1:6" x14ac:dyDescent="0.25">
      <c r="A125" t="str">
        <f t="shared" si="2"/>
        <v>Toni Teja-MAINT.&amp;REP.GEN&amp;BOILER-MAJA-1</v>
      </c>
      <c r="B125" t="s">
        <v>178</v>
      </c>
      <c r="C125" t="s">
        <v>106</v>
      </c>
      <c r="D125" t="s">
        <v>24</v>
      </c>
      <c r="E125">
        <f t="shared" si="3"/>
        <v>1205</v>
      </c>
      <c r="F125" t="s">
        <v>291</v>
      </c>
    </row>
    <row r="126" spans="1:6" x14ac:dyDescent="0.25">
      <c r="A126" t="str">
        <f t="shared" si="2"/>
        <v>Toni Teja-MAINT.&amp;REP.MACHINERIE-MAJA-1</v>
      </c>
      <c r="B126" t="s">
        <v>178</v>
      </c>
      <c r="C126" t="s">
        <v>108</v>
      </c>
      <c r="D126" t="s">
        <v>24</v>
      </c>
      <c r="E126">
        <f t="shared" si="3"/>
        <v>1205</v>
      </c>
      <c r="F126" t="s">
        <v>292</v>
      </c>
    </row>
    <row r="127" spans="1:6" x14ac:dyDescent="0.25">
      <c r="A127" t="str">
        <f t="shared" si="2"/>
        <v>Toni Teja-MAINT.&amp;REP.PLANTEQUI-MAJA-1</v>
      </c>
      <c r="B127" t="s">
        <v>178</v>
      </c>
      <c r="C127" t="s">
        <v>112</v>
      </c>
      <c r="D127" t="s">
        <v>24</v>
      </c>
      <c r="E127">
        <f t="shared" si="3"/>
        <v>1205</v>
      </c>
      <c r="F127" t="s">
        <v>293</v>
      </c>
    </row>
    <row r="128" spans="1:6" x14ac:dyDescent="0.25">
      <c r="A128" t="str">
        <f t="shared" si="2"/>
        <v>Toni Teja-OFFICER SALARIES-MAJA-1</v>
      </c>
      <c r="B128" t="s">
        <v>178</v>
      </c>
      <c r="C128" t="s">
        <v>146</v>
      </c>
      <c r="D128" t="s">
        <v>24</v>
      </c>
      <c r="E128">
        <f t="shared" si="3"/>
        <v>1205</v>
      </c>
      <c r="F128" t="s">
        <v>294</v>
      </c>
    </row>
    <row r="129" spans="1:6" x14ac:dyDescent="0.25">
      <c r="A129" t="str">
        <f t="shared" si="2"/>
        <v>Toni Teja-PEMAKAIAN SPARE PART-MAJA-1</v>
      </c>
      <c r="B129" t="s">
        <v>178</v>
      </c>
      <c r="C129" t="s">
        <v>124</v>
      </c>
      <c r="D129" t="s">
        <v>24</v>
      </c>
      <c r="E129">
        <f t="shared" si="3"/>
        <v>1205</v>
      </c>
      <c r="F129" t="s">
        <v>295</v>
      </c>
    </row>
    <row r="130" spans="1:6" x14ac:dyDescent="0.25">
      <c r="A130" t="str">
        <f t="shared" si="2"/>
        <v>Toni Teja-ENTERTAINMENT-MAJA-2</v>
      </c>
      <c r="B130" t="s">
        <v>178</v>
      </c>
      <c r="C130" t="s">
        <v>78</v>
      </c>
      <c r="D130" t="s">
        <v>15</v>
      </c>
      <c r="E130">
        <f t="shared" si="3"/>
        <v>1204</v>
      </c>
      <c r="F130" t="s">
        <v>296</v>
      </c>
    </row>
    <row r="131" spans="1:6" x14ac:dyDescent="0.25">
      <c r="A131" t="str">
        <f t="shared" ref="A131:A158" si="4">B131&amp;"-"&amp;C131&amp;"-"&amp;D131</f>
        <v>Toni Teja-JAMSOSTEK-MAJA-2</v>
      </c>
      <c r="B131" t="s">
        <v>178</v>
      </c>
      <c r="C131" t="s">
        <v>93</v>
      </c>
      <c r="D131" t="s">
        <v>15</v>
      </c>
      <c r="E131">
        <f t="shared" ref="E131:E158" si="5">VLOOKUP(D131,$L$2:$M$6,2,FALSE)</f>
        <v>1204</v>
      </c>
      <c r="F131" t="s">
        <v>297</v>
      </c>
    </row>
    <row r="132" spans="1:6" x14ac:dyDescent="0.25">
      <c r="A132" t="str">
        <f t="shared" si="4"/>
        <v>Toni Teja-MAINT.&amp;REP.BUILDING-MAJA-2</v>
      </c>
      <c r="B132" t="s">
        <v>178</v>
      </c>
      <c r="C132" t="s">
        <v>102</v>
      </c>
      <c r="D132" t="s">
        <v>15</v>
      </c>
      <c r="E132">
        <f t="shared" si="5"/>
        <v>1204</v>
      </c>
      <c r="F132" t="s">
        <v>298</v>
      </c>
    </row>
    <row r="133" spans="1:6" x14ac:dyDescent="0.25">
      <c r="A133" t="str">
        <f t="shared" si="4"/>
        <v>Toni Teja-MAINT.&amp;REP.WATERINSTL.-MAJA-2</v>
      </c>
      <c r="B133" t="s">
        <v>178</v>
      </c>
      <c r="C133" t="s">
        <v>114</v>
      </c>
      <c r="D133" t="s">
        <v>15</v>
      </c>
      <c r="E133">
        <f t="shared" si="5"/>
        <v>1204</v>
      </c>
      <c r="F133" t="s">
        <v>299</v>
      </c>
    </row>
    <row r="134" spans="1:6" x14ac:dyDescent="0.25">
      <c r="A134" t="str">
        <f t="shared" si="4"/>
        <v>Toni Teja-MEDICAL ALLOWANCE-MAJA-2</v>
      </c>
      <c r="B134" t="s">
        <v>178</v>
      </c>
      <c r="C134" t="s">
        <v>118</v>
      </c>
      <c r="D134" t="s">
        <v>15</v>
      </c>
      <c r="E134">
        <f t="shared" si="5"/>
        <v>1204</v>
      </c>
      <c r="F134" t="s">
        <v>300</v>
      </c>
    </row>
    <row r="135" spans="1:6" x14ac:dyDescent="0.25">
      <c r="A135" t="str">
        <f t="shared" si="4"/>
        <v>Toni Teja-RENT EXPENSES BUILDING-MAJA-2</v>
      </c>
      <c r="B135" t="s">
        <v>178</v>
      </c>
      <c r="C135" t="s">
        <v>130</v>
      </c>
      <c r="D135" t="s">
        <v>15</v>
      </c>
      <c r="E135">
        <f t="shared" si="5"/>
        <v>1204</v>
      </c>
      <c r="F135" t="s">
        <v>301</v>
      </c>
    </row>
    <row r="136" spans="1:6" x14ac:dyDescent="0.25">
      <c r="A136" t="str">
        <f t="shared" si="4"/>
        <v>Toni Teja-OTHER PRODUCTION COST-MAJA-2</v>
      </c>
      <c r="B136" t="s">
        <v>178</v>
      </c>
      <c r="C136" t="s">
        <v>21</v>
      </c>
      <c r="D136" t="s">
        <v>15</v>
      </c>
      <c r="E136">
        <f t="shared" si="5"/>
        <v>1204</v>
      </c>
      <c r="F136" t="s">
        <v>189</v>
      </c>
    </row>
    <row r="137" spans="1:6" x14ac:dyDescent="0.25">
      <c r="A137" t="str">
        <f t="shared" si="4"/>
        <v>Toni Teja-AIR FREIGHT-MAJA-2</v>
      </c>
      <c r="B137" t="s">
        <v>178</v>
      </c>
      <c r="C137" t="s">
        <v>68</v>
      </c>
      <c r="D137" t="s">
        <v>15</v>
      </c>
      <c r="E137">
        <f t="shared" si="5"/>
        <v>1204</v>
      </c>
      <c r="F137" t="s">
        <v>184</v>
      </c>
    </row>
    <row r="138" spans="1:6" x14ac:dyDescent="0.25">
      <c r="A138" t="str">
        <f t="shared" si="4"/>
        <v>Toni Teja-BUSINESS TRIP EXPENSES-MAJA-2</v>
      </c>
      <c r="B138" t="s">
        <v>178</v>
      </c>
      <c r="C138" t="s">
        <v>70</v>
      </c>
      <c r="D138" t="s">
        <v>15</v>
      </c>
      <c r="E138">
        <f t="shared" si="5"/>
        <v>1204</v>
      </c>
      <c r="F138" t="s">
        <v>302</v>
      </c>
    </row>
    <row r="139" spans="1:6" x14ac:dyDescent="0.25">
      <c r="A139" t="str">
        <f t="shared" si="4"/>
        <v>Toni Teja-ELECTRICITY-MAJA-2</v>
      </c>
      <c r="B139" t="s">
        <v>178</v>
      </c>
      <c r="C139" t="s">
        <v>76</v>
      </c>
      <c r="D139" t="s">
        <v>15</v>
      </c>
      <c r="E139">
        <f t="shared" si="5"/>
        <v>1204</v>
      </c>
      <c r="F139" t="s">
        <v>303</v>
      </c>
    </row>
    <row r="140" spans="1:6" x14ac:dyDescent="0.25">
      <c r="A140" t="str">
        <f t="shared" si="4"/>
        <v>Toni Teja-FACTORY SUPPLIES EXPENSE-MAJA-2</v>
      </c>
      <c r="B140" t="s">
        <v>178</v>
      </c>
      <c r="C140" t="s">
        <v>80</v>
      </c>
      <c r="D140" t="s">
        <v>15</v>
      </c>
      <c r="E140">
        <f t="shared" si="5"/>
        <v>1204</v>
      </c>
      <c r="F140" t="s">
        <v>304</v>
      </c>
    </row>
    <row r="141" spans="1:6" x14ac:dyDescent="0.25">
      <c r="A141" t="str">
        <f t="shared" si="4"/>
        <v>Toni Teja-FARE ALLOWANCE-MAJA-2</v>
      </c>
      <c r="B141" t="s">
        <v>178</v>
      </c>
      <c r="C141" t="s">
        <v>154</v>
      </c>
      <c r="D141" t="s">
        <v>15</v>
      </c>
      <c r="E141">
        <f t="shared" si="5"/>
        <v>1204</v>
      </c>
      <c r="F141" t="s">
        <v>305</v>
      </c>
    </row>
    <row r="142" spans="1:6" x14ac:dyDescent="0.25">
      <c r="A142" t="str">
        <f t="shared" si="4"/>
        <v>Toni Teja-LABOR COST-MAJA-2</v>
      </c>
      <c r="B142" t="s">
        <v>178</v>
      </c>
      <c r="C142" t="s">
        <v>96</v>
      </c>
      <c r="D142" t="s">
        <v>15</v>
      </c>
      <c r="E142">
        <f t="shared" si="5"/>
        <v>1204</v>
      </c>
      <c r="F142" t="s">
        <v>306</v>
      </c>
    </row>
    <row r="143" spans="1:6" x14ac:dyDescent="0.25">
      <c r="A143" t="str">
        <f t="shared" si="4"/>
        <v>Toni Teja-MAINT.&amp;REP.ELECTRICITY-MAJA-2</v>
      </c>
      <c r="B143" t="s">
        <v>178</v>
      </c>
      <c r="C143" t="s">
        <v>104</v>
      </c>
      <c r="D143" t="s">
        <v>15</v>
      </c>
      <c r="E143">
        <f t="shared" si="5"/>
        <v>1204</v>
      </c>
      <c r="F143" t="s">
        <v>307</v>
      </c>
    </row>
    <row r="144" spans="1:6" x14ac:dyDescent="0.25">
      <c r="A144" t="str">
        <f t="shared" si="4"/>
        <v>Toni Teja-MAINT.&amp;REP.GEN&amp;BOILER-MAJA-2</v>
      </c>
      <c r="B144" t="s">
        <v>178</v>
      </c>
      <c r="C144" t="s">
        <v>106</v>
      </c>
      <c r="D144" t="s">
        <v>15</v>
      </c>
      <c r="E144">
        <f t="shared" si="5"/>
        <v>1204</v>
      </c>
      <c r="F144" t="s">
        <v>308</v>
      </c>
    </row>
    <row r="145" spans="1:6" x14ac:dyDescent="0.25">
      <c r="A145" t="str">
        <f t="shared" si="4"/>
        <v>Toni Teja-MAINT.&amp;REP.MACHINERIE-MAJA-2</v>
      </c>
      <c r="B145" t="s">
        <v>178</v>
      </c>
      <c r="C145" t="s">
        <v>108</v>
      </c>
      <c r="D145" t="s">
        <v>15</v>
      </c>
      <c r="E145">
        <f t="shared" si="5"/>
        <v>1204</v>
      </c>
      <c r="F145" t="s">
        <v>309</v>
      </c>
    </row>
    <row r="146" spans="1:6" x14ac:dyDescent="0.25">
      <c r="A146" t="str">
        <f t="shared" si="4"/>
        <v>Toni Teja-MAINT.&amp;REP.PLANTEQUI-MAJA-2</v>
      </c>
      <c r="B146" t="s">
        <v>178</v>
      </c>
      <c r="C146" t="s">
        <v>112</v>
      </c>
      <c r="D146" t="s">
        <v>15</v>
      </c>
      <c r="E146">
        <f t="shared" si="5"/>
        <v>1204</v>
      </c>
      <c r="F146" t="s">
        <v>310</v>
      </c>
    </row>
    <row r="147" spans="1:6" x14ac:dyDescent="0.25">
      <c r="A147" t="str">
        <f t="shared" si="4"/>
        <v>Toni Teja-PEMAKAIAN SPARE PART-MAJA-2</v>
      </c>
      <c r="B147" t="s">
        <v>178</v>
      </c>
      <c r="C147" t="s">
        <v>124</v>
      </c>
      <c r="D147" t="s">
        <v>15</v>
      </c>
      <c r="E147">
        <f t="shared" si="5"/>
        <v>1204</v>
      </c>
      <c r="F147" t="s">
        <v>311</v>
      </c>
    </row>
    <row r="148" spans="1:6" x14ac:dyDescent="0.25">
      <c r="A148" t="str">
        <f t="shared" si="4"/>
        <v>Toni Teja-PMKN FUEL &amp; LUBRICANT-MAJA-2</v>
      </c>
      <c r="B148" t="s">
        <v>178</v>
      </c>
      <c r="C148" t="s">
        <v>126</v>
      </c>
      <c r="D148" t="s">
        <v>15</v>
      </c>
      <c r="E148">
        <f t="shared" si="5"/>
        <v>1204</v>
      </c>
      <c r="F148" t="s">
        <v>312</v>
      </c>
    </row>
    <row r="149" spans="1:6" x14ac:dyDescent="0.25">
      <c r="A149" t="str">
        <f t="shared" si="4"/>
        <v>Santy Silalahi-ACCOUNTING&amp;TAX ADVISORY EXP.-CLN</v>
      </c>
      <c r="B149" t="s">
        <v>159</v>
      </c>
      <c r="C149" t="s">
        <v>160</v>
      </c>
      <c r="D149" t="s">
        <v>13</v>
      </c>
      <c r="E149">
        <f t="shared" si="5"/>
        <v>1201</v>
      </c>
      <c r="F149" t="s">
        <v>313</v>
      </c>
    </row>
    <row r="150" spans="1:6" x14ac:dyDescent="0.25">
      <c r="A150" t="str">
        <f t="shared" si="4"/>
        <v>Santy Silalahi-BANK CHARGES-CLN</v>
      </c>
      <c r="B150" t="s">
        <v>159</v>
      </c>
      <c r="C150" t="s">
        <v>162</v>
      </c>
      <c r="D150" t="s">
        <v>13</v>
      </c>
      <c r="E150">
        <f t="shared" si="5"/>
        <v>1201</v>
      </c>
      <c r="F150" t="s">
        <v>314</v>
      </c>
    </row>
    <row r="151" spans="1:6" x14ac:dyDescent="0.25">
      <c r="A151" t="str">
        <f t="shared" si="4"/>
        <v>Santy Silalahi-INTEREST EXP OF DOMESTIC-CLN</v>
      </c>
      <c r="B151" t="s">
        <v>159</v>
      </c>
      <c r="C151" t="s">
        <v>164</v>
      </c>
      <c r="D151" t="s">
        <v>13</v>
      </c>
      <c r="E151">
        <f t="shared" si="5"/>
        <v>1201</v>
      </c>
      <c r="F151" t="s">
        <v>315</v>
      </c>
    </row>
    <row r="152" spans="1:6" x14ac:dyDescent="0.25">
      <c r="A152" t="str">
        <f t="shared" si="4"/>
        <v>Santy Silalahi-PREMIUM COST-CLN</v>
      </c>
      <c r="B152" t="s">
        <v>159</v>
      </c>
      <c r="C152" t="s">
        <v>167</v>
      </c>
      <c r="D152" t="s">
        <v>13</v>
      </c>
      <c r="E152">
        <f t="shared" si="5"/>
        <v>1201</v>
      </c>
      <c r="F152" t="s">
        <v>192</v>
      </c>
    </row>
    <row r="153" spans="1:6" x14ac:dyDescent="0.25">
      <c r="A153" t="str">
        <f t="shared" si="4"/>
        <v>Santy Silalahi-TAXES-CLN</v>
      </c>
      <c r="B153" t="s">
        <v>159</v>
      </c>
      <c r="C153" t="s">
        <v>169</v>
      </c>
      <c r="D153" t="s">
        <v>13</v>
      </c>
      <c r="E153">
        <f t="shared" si="5"/>
        <v>1201</v>
      </c>
      <c r="F153" t="s">
        <v>316</v>
      </c>
    </row>
    <row r="154" spans="1:6" x14ac:dyDescent="0.25">
      <c r="A154" t="str">
        <f t="shared" si="4"/>
        <v>Santy Silalahi-TAXES-KALIBENDA</v>
      </c>
      <c r="B154" t="s">
        <v>159</v>
      </c>
      <c r="C154" t="s">
        <v>169</v>
      </c>
      <c r="D154" t="s">
        <v>101</v>
      </c>
      <c r="E154">
        <f t="shared" si="5"/>
        <v>1206</v>
      </c>
      <c r="F154" t="s">
        <v>317</v>
      </c>
    </row>
    <row r="155" spans="1:6" x14ac:dyDescent="0.25">
      <c r="A155" t="str">
        <f t="shared" si="4"/>
        <v>Santy Silalahi-TAXES-MAJA-1</v>
      </c>
      <c r="B155" t="s">
        <v>159</v>
      </c>
      <c r="C155" t="s">
        <v>169</v>
      </c>
      <c r="D155" t="s">
        <v>24</v>
      </c>
      <c r="E155">
        <f t="shared" si="5"/>
        <v>1205</v>
      </c>
      <c r="F155" t="s">
        <v>318</v>
      </c>
    </row>
    <row r="156" spans="1:6" x14ac:dyDescent="0.25">
      <c r="A156" t="str">
        <f t="shared" si="4"/>
        <v>Santy Silalahi-TAXES-MAJA-2</v>
      </c>
      <c r="B156" t="s">
        <v>159</v>
      </c>
      <c r="C156" t="s">
        <v>169</v>
      </c>
      <c r="D156" t="s">
        <v>15</v>
      </c>
      <c r="E156">
        <f t="shared" si="5"/>
        <v>1204</v>
      </c>
      <c r="F156" t="s">
        <v>319</v>
      </c>
    </row>
    <row r="157" spans="1:6" x14ac:dyDescent="0.25">
      <c r="A157" t="str">
        <f t="shared" si="4"/>
        <v>Santy Silalahi-OFFICER SALARIES-CLN</v>
      </c>
      <c r="B157" t="s">
        <v>159</v>
      </c>
      <c r="C157" t="s">
        <v>146</v>
      </c>
      <c r="D157" t="s">
        <v>13</v>
      </c>
      <c r="E157">
        <f t="shared" si="5"/>
        <v>1201</v>
      </c>
      <c r="F157" t="s">
        <v>193</v>
      </c>
    </row>
    <row r="158" spans="1:6" x14ac:dyDescent="0.25">
      <c r="A158" t="str">
        <f t="shared" si="4"/>
        <v>Santy Silalahi-OFFICER SALARIES-MAJA-2</v>
      </c>
      <c r="B158" t="s">
        <v>159</v>
      </c>
      <c r="C158" t="s">
        <v>146</v>
      </c>
      <c r="D158" t="s">
        <v>15</v>
      </c>
      <c r="E158">
        <f t="shared" si="5"/>
        <v>1204</v>
      </c>
      <c r="F158" t="s">
        <v>194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A3057-DC0D-4D93-8B16-95CA58371316}">
  <sheetPr codeName="Sheet8"/>
  <dimension ref="A1"/>
  <sheetViews>
    <sheetView workbookViewId="0">
      <selection activeCell="I17" sqref="I17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3145C-0D81-4802-B41D-9AFF8863B58A}">
  <sheetPr codeName="Sheet16"/>
  <dimension ref="A1:I16"/>
  <sheetViews>
    <sheetView workbookViewId="0">
      <selection activeCell="M7" sqref="M7"/>
    </sheetView>
  </sheetViews>
  <sheetFormatPr defaultRowHeight="15" x14ac:dyDescent="0.25"/>
  <cols>
    <col min="1" max="1" width="20.140625" bestFit="1" customWidth="1"/>
    <col min="2" max="2" width="8.28515625" style="37" bestFit="1" customWidth="1"/>
    <col min="3" max="3" width="15.85546875" style="39" bestFit="1" customWidth="1"/>
    <col min="4" max="4" width="3.28515625" customWidth="1"/>
    <col min="5" max="5" width="6.42578125" customWidth="1"/>
    <col min="6" max="6" width="2.5703125" customWidth="1"/>
    <col min="7" max="7" width="20.140625" bestFit="1" customWidth="1"/>
    <col min="8" max="8" width="12" style="41" bestFit="1" customWidth="1"/>
    <col min="9" max="9" width="15.85546875" style="39" bestFit="1" customWidth="1"/>
  </cols>
  <sheetData>
    <row r="1" spans="1:9" x14ac:dyDescent="0.25">
      <c r="A1" s="59" t="s">
        <v>336</v>
      </c>
      <c r="B1" s="60"/>
      <c r="C1" s="61"/>
      <c r="G1" s="59" t="s">
        <v>335</v>
      </c>
      <c r="H1" s="60"/>
      <c r="I1" s="61"/>
    </row>
    <row r="2" spans="1:9" x14ac:dyDescent="0.25">
      <c r="A2" s="31" t="s">
        <v>0</v>
      </c>
      <c r="B2" s="38" t="s">
        <v>332</v>
      </c>
      <c r="C2" s="40" t="s">
        <v>172</v>
      </c>
      <c r="G2" s="31" t="s">
        <v>331</v>
      </c>
      <c r="H2" s="38" t="s">
        <v>332</v>
      </c>
      <c r="I2" s="40" t="s">
        <v>172</v>
      </c>
    </row>
    <row r="3" spans="1:9" x14ac:dyDescent="0.25">
      <c r="A3" t="s">
        <v>10</v>
      </c>
      <c r="B3" s="37">
        <v>8.1590977598792011E-2</v>
      </c>
      <c r="C3" s="39">
        <v>67897.759999999995</v>
      </c>
      <c r="G3" t="s">
        <v>10</v>
      </c>
      <c r="H3" s="43">
        <f t="shared" ref="H3:H10" si="0">I3/$I$11</f>
        <v>8.1590977598792011E-2</v>
      </c>
      <c r="I3" s="39">
        <f>SUMIF('All Costing'!$A$6:$A$1048576,RESUME!G3,'All Costing'!$G$6:$G$1048576)</f>
        <v>67897.759999999995</v>
      </c>
    </row>
    <row r="4" spans="1:9" x14ac:dyDescent="0.25">
      <c r="A4" t="s">
        <v>36</v>
      </c>
      <c r="B4" s="37">
        <v>0.27755070800026532</v>
      </c>
      <c r="C4" s="39">
        <v>230970.03999999998</v>
      </c>
      <c r="G4" t="s">
        <v>36</v>
      </c>
      <c r="H4" s="43">
        <f t="shared" si="0"/>
        <v>0.27755070800026532</v>
      </c>
      <c r="I4" s="39">
        <f>SUMIF('All Costing'!$A$6:$A$1048576,RESUME!G4,'All Costing'!$G$6:$G$1048576)</f>
        <v>230970.03999999998</v>
      </c>
    </row>
    <row r="5" spans="1:9" x14ac:dyDescent="0.25">
      <c r="A5" t="s">
        <v>333</v>
      </c>
      <c r="B5" s="37">
        <v>1.0214229594462793E-2</v>
      </c>
      <c r="C5" s="39">
        <v>8500</v>
      </c>
      <c r="G5" t="s">
        <v>44</v>
      </c>
      <c r="H5" s="43">
        <f t="shared" si="0"/>
        <v>1.0214229594462793E-2</v>
      </c>
      <c r="I5" s="39">
        <f>SUMIF('All Costing'!$A$6:$A$1048576,RESUME!G5,'All Costing'!$G$6:$G$1048576)</f>
        <v>8500</v>
      </c>
    </row>
    <row r="6" spans="1:9" x14ac:dyDescent="0.25">
      <c r="A6" t="s">
        <v>333</v>
      </c>
      <c r="B6" s="37">
        <v>1.2016740699367992E-3</v>
      </c>
      <c r="C6" s="39">
        <v>1000</v>
      </c>
      <c r="G6" t="s">
        <v>320</v>
      </c>
      <c r="H6" s="43">
        <f t="shared" si="0"/>
        <v>1.2016740699367992E-3</v>
      </c>
      <c r="I6" s="39">
        <f>SUMIF('All Costing'!$A$6:$A$1048576,RESUME!G6,'All Costing'!$G$6:$G$1048576)</f>
        <v>1000</v>
      </c>
    </row>
    <row r="7" spans="1:9" x14ac:dyDescent="0.25">
      <c r="A7" t="s">
        <v>67</v>
      </c>
      <c r="B7" s="37">
        <v>0.1047205357286401</v>
      </c>
      <c r="C7" s="39">
        <v>87145.539999999964</v>
      </c>
      <c r="G7" t="s">
        <v>67</v>
      </c>
      <c r="H7" s="43">
        <f t="shared" si="0"/>
        <v>0.1047205357286401</v>
      </c>
      <c r="I7" s="39">
        <f>SUMIF('All Costing'!$A$6:$A$1048576,RESUME!G7,'All Costing'!$G$6:$G$1048576)</f>
        <v>87145.539999999964</v>
      </c>
    </row>
    <row r="8" spans="1:9" x14ac:dyDescent="0.25">
      <c r="A8" t="s">
        <v>141</v>
      </c>
      <c r="B8" s="37">
        <v>0.12076439185780972</v>
      </c>
      <c r="C8" s="39">
        <v>100496.79432973135</v>
      </c>
      <c r="G8" t="s">
        <v>141</v>
      </c>
      <c r="H8" s="43">
        <f t="shared" si="0"/>
        <v>0.12076439185780972</v>
      </c>
      <c r="I8" s="39">
        <f>SUMIF('All Costing'!$A$6:$A$1048576,RESUME!G8,'All Costing'!$G$6:$G$1048576)</f>
        <v>100496.79432973135</v>
      </c>
    </row>
    <row r="9" spans="1:9" x14ac:dyDescent="0.25">
      <c r="A9" t="s">
        <v>173</v>
      </c>
      <c r="B9" s="37">
        <v>0.14255002855513671</v>
      </c>
      <c r="C9" s="39">
        <v>118626.19999999998</v>
      </c>
      <c r="G9" t="s">
        <v>178</v>
      </c>
      <c r="H9" s="43">
        <f t="shared" si="0"/>
        <v>0.29780020186995526</v>
      </c>
      <c r="I9" s="39">
        <f>SUMIF('All Costing'!$A$6:$A$1048576,RESUME!G9,'All Costing'!$G$6:$G$1048576)</f>
        <v>247821.11000000002</v>
      </c>
    </row>
    <row r="10" spans="1:9" x14ac:dyDescent="0.25">
      <c r="A10" t="s">
        <v>157</v>
      </c>
      <c r="B10" s="37">
        <v>0.1552501733148185</v>
      </c>
      <c r="C10" s="39">
        <v>129194.91000000002</v>
      </c>
      <c r="G10" t="s">
        <v>159</v>
      </c>
      <c r="H10" s="43">
        <f t="shared" si="0"/>
        <v>0.10615728128013797</v>
      </c>
      <c r="I10" s="39">
        <f>SUMIF('All Costing'!$A$6:$A$1048576,RESUME!G10,'All Costing'!$G$6:$G$1048576)</f>
        <v>88341.16</v>
      </c>
    </row>
    <row r="11" spans="1:9" x14ac:dyDescent="0.25">
      <c r="A11" t="s">
        <v>334</v>
      </c>
      <c r="B11" s="37">
        <v>0.29780020186995526</v>
      </c>
      <c r="C11" s="39">
        <v>247821.11000000002</v>
      </c>
      <c r="G11" s="59" t="s">
        <v>35</v>
      </c>
      <c r="H11" s="61"/>
      <c r="I11" s="40">
        <f>SUM(I3:I10)</f>
        <v>832172.40432973136</v>
      </c>
    </row>
    <row r="12" spans="1:9" x14ac:dyDescent="0.25">
      <c r="A12" t="s">
        <v>159</v>
      </c>
      <c r="B12" s="37">
        <v>0.10615728128013797</v>
      </c>
      <c r="C12" s="39">
        <v>88341.16</v>
      </c>
      <c r="H12"/>
      <c r="I12"/>
    </row>
    <row r="13" spans="1:9" x14ac:dyDescent="0.25">
      <c r="A13" s="59" t="s">
        <v>35</v>
      </c>
      <c r="B13" s="61"/>
      <c r="C13" s="40"/>
      <c r="H13"/>
      <c r="I13"/>
    </row>
    <row r="14" spans="1:9" x14ac:dyDescent="0.25">
      <c r="H14"/>
      <c r="I14"/>
    </row>
    <row r="15" spans="1:9" x14ac:dyDescent="0.25">
      <c r="H15"/>
      <c r="I15"/>
    </row>
    <row r="16" spans="1:9" x14ac:dyDescent="0.25">
      <c r="H16"/>
      <c r="I16"/>
    </row>
  </sheetData>
  <mergeCells count="4">
    <mergeCell ref="G1:I1"/>
    <mergeCell ref="A13:B13"/>
    <mergeCell ref="A1:C1"/>
    <mergeCell ref="G11:H11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AB9DF-4CA1-4FDF-99F3-5043E9798012}">
  <sheetPr codeName="Sheet14"/>
  <dimension ref="A2:J11"/>
  <sheetViews>
    <sheetView topLeftCell="A4" zoomScale="85" zoomScaleNormal="85" workbookViewId="0">
      <pane xSplit="1" ySplit="2" topLeftCell="B6" activePane="bottomRight" state="frozen"/>
      <selection activeCell="A4" sqref="A4"/>
      <selection pane="topRight" activeCell="B4" sqref="B4"/>
      <selection pane="bottomLeft" activeCell="A6" sqref="A6"/>
      <selection pane="bottomRight" activeCell="B6" sqref="B6"/>
    </sheetView>
  </sheetViews>
  <sheetFormatPr defaultColWidth="16.28515625" defaultRowHeight="15.75" x14ac:dyDescent="0.2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hidden="1" customWidth="1"/>
    <col min="7" max="7" width="18.85546875" style="10" customWidth="1"/>
    <col min="8" max="8" width="16" style="16" customWidth="1"/>
    <col min="9" max="9" width="16.28515625" style="4"/>
    <col min="10" max="10" width="19" style="1" customWidth="1"/>
    <col min="11" max="16384" width="16.28515625" style="1"/>
  </cols>
  <sheetData>
    <row r="2" spans="1:10" ht="23.25" x14ac:dyDescent="0.35">
      <c r="A2" s="62" t="s">
        <v>175</v>
      </c>
      <c r="B2" s="62"/>
      <c r="C2" s="62"/>
      <c r="D2" s="62"/>
      <c r="E2" s="62"/>
      <c r="F2" s="62"/>
      <c r="G2" s="62"/>
      <c r="H2" s="62"/>
      <c r="I2" s="62"/>
      <c r="J2" s="62"/>
    </row>
    <row r="4" spans="1:10" x14ac:dyDescent="0.25">
      <c r="G4" s="3"/>
      <c r="H4" s="3"/>
    </row>
    <row r="5" spans="1:10" s="9" customFormat="1" ht="18.75" x14ac:dyDescent="0.3">
      <c r="A5" s="5" t="s">
        <v>174</v>
      </c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7" t="s">
        <v>6</v>
      </c>
      <c r="H5" s="6" t="s">
        <v>7</v>
      </c>
      <c r="I5" s="8" t="s">
        <v>8</v>
      </c>
      <c r="J5" s="6" t="s">
        <v>9</v>
      </c>
    </row>
    <row r="6" spans="1:10" x14ac:dyDescent="0.25">
      <c r="A6" s="9"/>
      <c r="F6" s="9"/>
      <c r="H6" s="9"/>
    </row>
    <row r="7" spans="1:10" x14ac:dyDescent="0.25">
      <c r="A7" s="9"/>
      <c r="F7" s="9"/>
      <c r="H7" s="9"/>
    </row>
    <row r="8" spans="1:10" x14ac:dyDescent="0.25">
      <c r="A8" s="9"/>
      <c r="F8" s="9"/>
      <c r="H8" s="9"/>
    </row>
    <row r="9" spans="1:10" x14ac:dyDescent="0.25">
      <c r="A9" s="9"/>
      <c r="F9" s="9"/>
      <c r="H9" s="9"/>
    </row>
    <row r="10" spans="1:10" x14ac:dyDescent="0.25">
      <c r="A10" s="9"/>
      <c r="F10" s="9"/>
      <c r="H10" s="9"/>
    </row>
    <row r="11" spans="1:10" x14ac:dyDescent="0.25">
      <c r="A11" s="9"/>
      <c r="F11" s="9"/>
      <c r="H11" s="9"/>
    </row>
  </sheetData>
  <mergeCells count="1">
    <mergeCell ref="A2:J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C74F-AAE5-4ABC-A8E0-E1680F2165A1}">
  <sheetPr codeName="Sheet2"/>
  <dimension ref="B2:C3"/>
  <sheetViews>
    <sheetView workbookViewId="0">
      <selection activeCell="E18" sqref="E18"/>
    </sheetView>
  </sheetViews>
  <sheetFormatPr defaultRowHeight="15" x14ac:dyDescent="0.25"/>
  <cols>
    <col min="2" max="2" width="30.85546875" bestFit="1" customWidth="1"/>
  </cols>
  <sheetData>
    <row r="2" spans="2:3" x14ac:dyDescent="0.25">
      <c r="B2" t="s">
        <v>216</v>
      </c>
      <c r="C2" t="s">
        <v>48</v>
      </c>
    </row>
    <row r="3" spans="2:3" x14ac:dyDescent="0.25">
      <c r="B3" t="s">
        <v>215</v>
      </c>
      <c r="C3" t="s">
        <v>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(HOME)</vt:lpstr>
      <vt:lpstr>All Costing</vt:lpstr>
      <vt:lpstr>Ref_Account</vt:lpstr>
      <vt:lpstr>RPA_AccountLedger</vt:lpstr>
      <vt:lpstr>RESUME</vt:lpstr>
      <vt:lpstr>temp_laporan1</vt:lpstr>
      <vt:lpstr>Ref1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hadi</cp:lastModifiedBy>
  <dcterms:created xsi:type="dcterms:W3CDTF">2024-02-06T01:47:57Z</dcterms:created>
  <dcterms:modified xsi:type="dcterms:W3CDTF">2024-02-15T04:16:35Z</dcterms:modified>
</cp:coreProperties>
</file>