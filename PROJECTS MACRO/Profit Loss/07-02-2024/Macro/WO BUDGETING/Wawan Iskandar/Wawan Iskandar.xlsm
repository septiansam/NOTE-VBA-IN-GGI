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WO BUDGETING\Wawan Iskandar\"/>
    </mc:Choice>
  </mc:AlternateContent>
  <xr:revisionPtr revIDLastSave="0" documentId="13_ncr:1_{9A0939B2-F278-4F5D-8F46-CE90A4206EFB}" xr6:coauthVersionLast="47" xr6:coauthVersionMax="47" xr10:uidLastSave="{00000000-0000-0000-0000-000000000000}"/>
  <bookViews>
    <workbookView xWindow="-120" yWindow="-120" windowWidth="20640" windowHeight="11160" xr2:uid="{B3D00170-FA64-4EBB-9C93-B38F391C4CB7}"/>
  </bookViews>
  <sheets>
    <sheet name="All Costing" sheetId="1" r:id="rId1"/>
  </sheets>
  <externalReferences>
    <externalReference r:id="rId2"/>
  </externalReferences>
  <definedNames>
    <definedName name="_xlnm._FilterDatabase" localSheetId="0" hidden="1">'All Costing'!$A$5:$Q$27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7" i="1" l="1"/>
  <c r="O27" i="1" s="1"/>
  <c r="L27" i="1"/>
  <c r="M27" i="1" s="1"/>
  <c r="K27" i="1"/>
  <c r="J27" i="1"/>
  <c r="I27" i="1"/>
  <c r="P27" i="1" s="1"/>
  <c r="N26" i="1"/>
  <c r="O26" i="1" s="1"/>
  <c r="L26" i="1"/>
  <c r="M26" i="1" s="1"/>
  <c r="K26" i="1"/>
  <c r="J26" i="1"/>
  <c r="I26" i="1"/>
  <c r="P26" i="1" s="1"/>
  <c r="N25" i="1"/>
  <c r="O25" i="1" s="1"/>
  <c r="L25" i="1"/>
  <c r="M25" i="1" s="1"/>
  <c r="K25" i="1"/>
  <c r="J25" i="1"/>
  <c r="I25" i="1"/>
  <c r="P25" i="1" s="1"/>
  <c r="N24" i="1"/>
  <c r="O24" i="1" s="1"/>
  <c r="L24" i="1"/>
  <c r="M24" i="1" s="1"/>
  <c r="K24" i="1"/>
  <c r="J24" i="1"/>
  <c r="I24" i="1"/>
  <c r="P24" i="1" s="1"/>
  <c r="N23" i="1"/>
  <c r="O23" i="1" s="1"/>
  <c r="L23" i="1"/>
  <c r="M23" i="1" s="1"/>
  <c r="K23" i="1"/>
  <c r="J23" i="1"/>
  <c r="I23" i="1"/>
  <c r="P23" i="1" s="1"/>
  <c r="N22" i="1"/>
  <c r="O22" i="1" s="1"/>
  <c r="L22" i="1"/>
  <c r="M22" i="1" s="1"/>
  <c r="K22" i="1"/>
  <c r="J22" i="1"/>
  <c r="I22" i="1"/>
  <c r="P22" i="1" s="1"/>
  <c r="N21" i="1"/>
  <c r="O21" i="1" s="1"/>
  <c r="L21" i="1"/>
  <c r="M21" i="1" s="1"/>
  <c r="K21" i="1"/>
  <c r="J21" i="1"/>
  <c r="I21" i="1"/>
  <c r="P21" i="1" s="1"/>
  <c r="N20" i="1"/>
  <c r="O20" i="1" s="1"/>
  <c r="L20" i="1"/>
  <c r="M20" i="1" s="1"/>
  <c r="K20" i="1"/>
  <c r="J20" i="1"/>
  <c r="I20" i="1"/>
  <c r="P20" i="1" s="1"/>
  <c r="N19" i="1"/>
  <c r="O19" i="1" s="1"/>
  <c r="L19" i="1"/>
  <c r="M19" i="1" s="1"/>
  <c r="K19" i="1"/>
  <c r="J19" i="1"/>
  <c r="I19" i="1"/>
  <c r="P19" i="1" s="1"/>
  <c r="N18" i="1"/>
  <c r="O18" i="1" s="1"/>
  <c r="L18" i="1"/>
  <c r="M18" i="1" s="1"/>
  <c r="K18" i="1"/>
  <c r="J18" i="1"/>
  <c r="I18" i="1"/>
  <c r="P18" i="1" s="1"/>
  <c r="N17" i="1"/>
  <c r="O17" i="1" s="1"/>
  <c r="L17" i="1"/>
  <c r="M17" i="1" s="1"/>
  <c r="K17" i="1"/>
  <c r="J17" i="1"/>
  <c r="I17" i="1"/>
  <c r="P17" i="1" s="1"/>
  <c r="N16" i="1"/>
  <c r="O16" i="1" s="1"/>
  <c r="L16" i="1"/>
  <c r="M16" i="1" s="1"/>
  <c r="K16" i="1"/>
  <c r="J16" i="1"/>
  <c r="I16" i="1"/>
  <c r="P16" i="1" s="1"/>
  <c r="N15" i="1"/>
  <c r="O15" i="1" s="1"/>
  <c r="L15" i="1"/>
  <c r="M15" i="1" s="1"/>
  <c r="K15" i="1"/>
  <c r="J15" i="1"/>
  <c r="I15" i="1"/>
  <c r="P15" i="1" s="1"/>
  <c r="N14" i="1"/>
  <c r="O14" i="1" s="1"/>
  <c r="L14" i="1"/>
  <c r="M14" i="1" s="1"/>
  <c r="K14" i="1"/>
  <c r="J14" i="1"/>
  <c r="I14" i="1"/>
  <c r="P14" i="1" s="1"/>
  <c r="N13" i="1"/>
  <c r="O13" i="1" s="1"/>
  <c r="L13" i="1"/>
  <c r="M13" i="1" s="1"/>
  <c r="K13" i="1"/>
  <c r="J13" i="1"/>
  <c r="I13" i="1"/>
  <c r="P13" i="1" s="1"/>
  <c r="N12" i="1"/>
  <c r="O12" i="1" s="1"/>
  <c r="L12" i="1"/>
  <c r="M12" i="1" s="1"/>
  <c r="K12" i="1"/>
  <c r="J12" i="1"/>
  <c r="I12" i="1"/>
  <c r="P12" i="1" s="1"/>
  <c r="N11" i="1"/>
  <c r="O11" i="1" s="1"/>
  <c r="L11" i="1"/>
  <c r="M11" i="1" s="1"/>
  <c r="K11" i="1"/>
  <c r="J11" i="1"/>
  <c r="I11" i="1"/>
  <c r="P11" i="1" s="1"/>
  <c r="N10" i="1"/>
  <c r="O10" i="1" s="1"/>
  <c r="L10" i="1"/>
  <c r="M10" i="1" s="1"/>
  <c r="K10" i="1"/>
  <c r="J10" i="1"/>
  <c r="I10" i="1"/>
  <c r="P10" i="1" s="1"/>
  <c r="N9" i="1"/>
  <c r="O9" i="1" s="1"/>
  <c r="L9" i="1"/>
  <c r="M9" i="1" s="1"/>
  <c r="K9" i="1"/>
  <c r="J9" i="1"/>
  <c r="I9" i="1"/>
  <c r="P9" i="1" s="1"/>
  <c r="N8" i="1"/>
  <c r="O8" i="1" s="1"/>
  <c r="L8" i="1"/>
  <c r="M8" i="1" s="1"/>
  <c r="K8" i="1"/>
  <c r="J8" i="1"/>
  <c r="I8" i="1"/>
  <c r="P8" i="1" s="1"/>
  <c r="N7" i="1"/>
  <c r="O7" i="1" s="1"/>
  <c r="L7" i="1"/>
  <c r="M7" i="1" s="1"/>
  <c r="K7" i="1"/>
  <c r="J7" i="1"/>
  <c r="I7" i="1"/>
  <c r="P7" i="1" s="1"/>
  <c r="N6" i="1"/>
  <c r="O6" i="1" s="1"/>
  <c r="L6" i="1"/>
  <c r="M6" i="1" s="1"/>
  <c r="K6" i="1"/>
  <c r="J6" i="1"/>
  <c r="I6" i="1"/>
  <c r="P6" i="1" s="1"/>
  <c r="A3" i="1"/>
  <c r="A1" i="1"/>
</calcChain>
</file>

<file path=xl/sharedStrings.xml><?xml version="1.0" encoding="utf-8"?>
<sst xmlns="http://schemas.openxmlformats.org/spreadsheetml/2006/main" count="150" uniqueCount="74">
  <si>
    <t>PIC (MANAGER)</t>
  </si>
  <si>
    <t>CATEGORY</t>
  </si>
  <si>
    <t>DEFINITION</t>
  </si>
  <si>
    <t>FACTORY</t>
  </si>
  <si>
    <t>PIC-2</t>
  </si>
  <si>
    <t>BUYER</t>
  </si>
  <si>
    <t>BUDGET PLAN</t>
  </si>
  <si>
    <t>ACTUAL</t>
  </si>
  <si>
    <t>BALANCE</t>
  </si>
  <si>
    <t>BOBOT</t>
  </si>
  <si>
    <t>BEST</t>
  </si>
  <si>
    <t>ONTRACK</t>
  </si>
  <si>
    <t>PERFORMANCE</t>
  </si>
  <si>
    <t>STATUS</t>
  </si>
  <si>
    <t>REMARKS</t>
  </si>
  <si>
    <t>PEMAKAIAN GENERAL MATERIAL</t>
  </si>
  <si>
    <t>issue nashua, double tape, karton tebal,numbering, kertas gelar, tinta numbering, kertas marker.</t>
  </si>
  <si>
    <t>VENDOR EXPENSES</t>
  </si>
  <si>
    <t xml:space="preserve">Biaya Makloon </t>
  </si>
  <si>
    <t>Akomodasi dari tugas luar</t>
  </si>
  <si>
    <t>Rini</t>
  </si>
  <si>
    <t>Biaya Listrik PLN</t>
  </si>
  <si>
    <t>Kebutuhan Produksi (KABEL, SEWA MESIN, AMPLAS, BATTERY CHARGER, PILOX, CIPUT)</t>
  </si>
  <si>
    <t>Bahan bakar untuk kendaraan</t>
  </si>
  <si>
    <t>Biaya BPJS Tenaga Kerja</t>
  </si>
  <si>
    <t>Siska</t>
  </si>
  <si>
    <t>Upah Produksi</t>
  </si>
  <si>
    <t>KALIBENDA</t>
  </si>
  <si>
    <t>pemeliharaan gedung</t>
  </si>
  <si>
    <t>pemeliharaan instalasi listrik</t>
  </si>
  <si>
    <t>Pemeliharaan Generator</t>
  </si>
  <si>
    <t>pemeliharaan mesin</t>
  </si>
  <si>
    <t>pemeliharaan kendaraan</t>
  </si>
  <si>
    <t>pemeliharaan peralatan produksi</t>
  </si>
  <si>
    <t>pemeliharaan instalasi air</t>
  </si>
  <si>
    <t>BPJS kesehatan Produksi</t>
  </si>
  <si>
    <t>issue jarum , baud, dll</t>
  </si>
  <si>
    <t>Biaya Sewa</t>
  </si>
  <si>
    <t>biaya Telkom</t>
  </si>
  <si>
    <t>Tagihan Pajak Air Tanah</t>
  </si>
  <si>
    <t>Wawan Iskandar</t>
  </si>
  <si>
    <t>Sewa Kontrakan/pabrk banjarnegara</t>
  </si>
  <si>
    <t>Alivia</t>
  </si>
  <si>
    <t>Wawan</t>
  </si>
  <si>
    <t>Parsikin</t>
  </si>
  <si>
    <t>Upah Staff</t>
  </si>
  <si>
    <t>Ceria</t>
  </si>
  <si>
    <t>Risa</t>
  </si>
  <si>
    <t>CHW</t>
  </si>
  <si>
    <t>Galang</t>
  </si>
  <si>
    <t>JAMSOSTEK</t>
  </si>
  <si>
    <t>MAINT.&amp;REP.BUILDING</t>
  </si>
  <si>
    <t>MEDICAL ALLOWANCE</t>
  </si>
  <si>
    <t>RENT EXPENSES</t>
  </si>
  <si>
    <t>RENT EXPENSES BUILDING</t>
  </si>
  <si>
    <t>TELEPHONE EXPENSES</t>
  </si>
  <si>
    <t>WATER</t>
  </si>
  <si>
    <t>FACTORY SUPPLIES EXPENSE</t>
  </si>
  <si>
    <t>MAINT.&amp;REP.ELECTRICITY</t>
  </si>
  <si>
    <t>MAINT.&amp;REP.GEN&amp;BOILER</t>
  </si>
  <si>
    <t>MAINT.&amp;REP.MACHINERIE</t>
  </si>
  <si>
    <t>MAINT.&amp;REP.MOTORVEHICLE</t>
  </si>
  <si>
    <t>MAINT.&amp;REP.PLANTEQUI</t>
  </si>
  <si>
    <t>MAINT.&amp;REP.WATERINSTL.</t>
  </si>
  <si>
    <t>PEMAKAIAN SPARE PART</t>
  </si>
  <si>
    <t>BUSINESS TRIP EXPENSES</t>
  </si>
  <si>
    <t>ELECTRICITY</t>
  </si>
  <si>
    <t>FUEL FOR MOTOR VEHICLE</t>
  </si>
  <si>
    <t>LABOR COST</t>
  </si>
  <si>
    <t>OFFICER SALARIES</t>
  </si>
  <si>
    <t/>
  </si>
  <si>
    <t>Account Ledger</t>
  </si>
  <si>
    <t>Dummy COUNTIF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</si>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</sst>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entury Gothic"/>
      <family val="2"/>
    </font>
    <font>
      <sz val="12"/>
      <color theme="1"/>
      <name val="Calibri"/>
      <family val="2"/>
      <scheme val="minor"/>
    </font>
    <font>
      <sz val="12"/>
      <color rgb="FFFF0000"/>
      <name val="Century Gothic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2"/>
      <color theme="8" tint="-0.499984740745262"/>
      <name val="Century Gothic"/>
      <family val="2"/>
    </font>
    <font>
      <b/>
      <sz val="11"/>
      <color theme="0"/>
      <name val="Verdana"/>
      <family val="2"/>
    </font>
    <font>
      <b/>
      <sz val="12"/>
      <color theme="1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1"/>
      <color theme="5" tint="-0.499984740745262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4F929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7">
    <xf numFmtId="0" fontId="0" fillId="0" borderId="0" xfId="0"/>
    <xf numFmtId="0" fontId="3" fillId="3" borderId="0" xfId="0" applyFont="1" applyFill="1"/>
    <xf numFmtId="0" fontId="3" fillId="0" borderId="0" xfId="0" applyFont="1"/>
    <xf numFmtId="0" fontId="4" fillId="4" borderId="0" xfId="0" applyFont="1" applyFill="1" applyAlignment="1">
      <alignment horizontal="left"/>
    </xf>
    <xf numFmtId="0" fontId="5" fillId="4" borderId="0" xfId="0" applyFont="1" applyFill="1" applyAlignment="1">
      <alignment horizontal="left"/>
    </xf>
    <xf numFmtId="0" fontId="5" fillId="4" borderId="0" xfId="0" applyFont="1" applyFill="1" applyAlignment="1">
      <alignment horizontal="center"/>
    </xf>
    <xf numFmtId="43" fontId="5" fillId="4" borderId="0" xfId="1" applyFont="1" applyFill="1" applyAlignment="1">
      <alignment horizontal="center"/>
    </xf>
    <xf numFmtId="10" fontId="5" fillId="4" borderId="0" xfId="2" applyNumberFormat="1" applyFont="1" applyFill="1" applyAlignment="1">
      <alignment horizontal="center"/>
    </xf>
    <xf numFmtId="0" fontId="5" fillId="4" borderId="0" xfId="2" applyNumberFormat="1" applyFont="1" applyFill="1" applyAlignment="1">
      <alignment horizontal="center"/>
    </xf>
    <xf numFmtId="0" fontId="6" fillId="3" borderId="0" xfId="0" applyFont="1" applyFill="1"/>
    <xf numFmtId="0" fontId="6" fillId="0" borderId="0" xfId="0" applyFont="1"/>
    <xf numFmtId="43" fontId="7" fillId="4" borderId="0" xfId="1" applyFont="1" applyFill="1" applyAlignment="1">
      <alignment horizontal="center"/>
    </xf>
    <xf numFmtId="9" fontId="8" fillId="4" borderId="0" xfId="2" applyFont="1" applyFill="1" applyAlignment="1">
      <alignment horizontal="center"/>
    </xf>
    <xf numFmtId="9" fontId="6" fillId="4" borderId="0" xfId="2" applyFont="1" applyFill="1" applyAlignment="1">
      <alignment horizontal="center"/>
    </xf>
    <xf numFmtId="0" fontId="9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43" fontId="9" fillId="5" borderId="1" xfId="1" applyFont="1" applyFill="1" applyBorder="1" applyAlignment="1">
      <alignment horizontal="right" vertical="center"/>
    </xf>
    <xf numFmtId="10" fontId="9" fillId="5" borderId="1" xfId="2" applyNumberFormat="1" applyFont="1" applyFill="1" applyBorder="1" applyAlignment="1">
      <alignment horizontal="center" vertical="center"/>
    </xf>
    <xf numFmtId="0" fontId="9" fillId="5" borderId="1" xfId="2" applyNumberFormat="1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1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/>
    </xf>
    <xf numFmtId="10" fontId="11" fillId="3" borderId="0" xfId="2" applyNumberFormat="1" applyFont="1" applyFill="1" applyAlignment="1">
      <alignment horizontal="center"/>
    </xf>
    <xf numFmtId="9" fontId="11" fillId="3" borderId="0" xfId="2" applyFont="1" applyFill="1" applyAlignment="1">
      <alignment horizontal="center"/>
    </xf>
    <xf numFmtId="0" fontId="11" fillId="4" borderId="0" xfId="0" applyFont="1" applyFill="1" applyAlignment="1">
      <alignment horizontal="left"/>
    </xf>
    <xf numFmtId="0" fontId="11" fillId="4" borderId="0" xfId="0" applyFont="1" applyFill="1" applyAlignment="1">
      <alignment horizontal="center"/>
    </xf>
    <xf numFmtId="9" fontId="11" fillId="4" borderId="0" xfId="2" applyFont="1" applyFill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43" fontId="11" fillId="0" borderId="0" xfId="1" applyFont="1" applyAlignment="1">
      <alignment horizontal="center"/>
    </xf>
    <xf numFmtId="10" fontId="11" fillId="0" borderId="0" xfId="2" applyNumberFormat="1" applyFont="1" applyAlignment="1">
      <alignment horizontal="center"/>
    </xf>
    <xf numFmtId="0" fontId="11" fillId="0" borderId="0" xfId="2" applyNumberFormat="1" applyFont="1" applyAlignment="1">
      <alignment horizontal="center"/>
    </xf>
    <xf numFmtId="0" fontId="11" fillId="0" borderId="0" xfId="0" applyFont="1"/>
    <xf numFmtId="0" fontId="12" fillId="0" borderId="0" xfId="3"/>
    <xf numFmtId="0" fontId="13" fillId="5" borderId="1" xfId="0" applyFont="1" applyFill="1" applyBorder="1" applyAlignment="1">
      <alignment horizontal="left" vertical="center"/>
    </xf>
    <xf numFmtId="43" fontId="9" fillId="5" borderId="1" xfId="1" applyFont="1" applyFill="1" applyBorder="1" applyAlignment="1">
      <alignment horizontal="center" vertical="center"/>
    </xf>
    <xf numFmtId="164" fontId="11" fillId="3" borderId="0" xfId="1" applyNumberFormat="1" applyFont="1" applyFill="1" applyAlignment="1">
      <alignment horizontal="center"/>
    </xf>
    <xf numFmtId="164" fontId="11" fillId="4" borderId="0" xfId="1" applyNumberFormat="1" applyFont="1" applyFill="1" applyAlignment="1">
      <alignment horizontal="center"/>
    </xf>
    <xf numFmtId="0" fontId="3" fillId="4" borderId="0" xfId="0" applyFont="1" applyFill="1"/>
    <xf numFmtId="0" fontId="5" fillId="4" borderId="0" xfId="0" applyFont="1" applyFill="1"/>
    <xf numFmtId="0" fontId="14" fillId="6" borderId="1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 vertical="center"/>
    </xf>
    <xf numFmtId="0" fontId="11" fillId="3" borderId="0" xfId="0" applyFont="1" applyFill="1"/>
    <xf numFmtId="0" fontId="11" fillId="4" borderId="0" xfId="0" applyFont="1" applyFill="1"/>
    <xf numFmtId="0" fontId="2" fillId="2" borderId="0" xfId="0" applyFont="1" applyFill="1" applyAlignment="1">
      <alignment horizontal="left" vertical="top"/>
    </xf>
    <xf numFmtId="10" fontId="11" fillId="4" borderId="0" xfId="2" applyNumberFormat="1" applyFont="1" applyFill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6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Macro\Macro%20-%20Laporan%20PIC%20Budget%20Costing.xlsm" TargetMode="External"/><Relationship Id="rId1" Type="http://schemas.openxmlformats.org/officeDocument/2006/relationships/externalLinkPath" Target="/RPA%20Excel%20Template/Accounting%20Finance/Santy/Profit%20Loss/Macro/Macro%20-%20Laporan%20PIC%20Budget%20Co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(HOME)"/>
      <sheetName val="Ref1"/>
      <sheetName val="RESUME"/>
      <sheetName val="Ref_Account"/>
      <sheetName val="temp_laporan1"/>
      <sheetName val="All Costing"/>
      <sheetName val="Material_Cost"/>
      <sheetName val="Production_Cost"/>
      <sheetName val="Ref_ProdCost"/>
      <sheetName val="Wawan Iskandar"/>
    </sheetNames>
    <sheetDataSet>
      <sheetData sheetId="0">
        <row r="14">
          <cell r="E14" t="str">
            <v>02</v>
          </cell>
        </row>
        <row r="15">
          <cell r="E15" t="str">
            <v>2024</v>
          </cell>
        </row>
      </sheetData>
      <sheetData sheetId="1"/>
      <sheetData sheetId="2">
        <row r="3">
          <cell r="G3" t="str">
            <v>Asep Ridwan Subiana</v>
          </cell>
          <cell r="H3">
            <v>8.1590977598792011E-2</v>
          </cell>
          <cell r="I3">
            <v>67897.759999999995</v>
          </cell>
        </row>
        <row r="4">
          <cell r="G4" t="str">
            <v>Choeruman</v>
          </cell>
          <cell r="H4">
            <v>0.27755070800026532</v>
          </cell>
          <cell r="I4">
            <v>230970.03999999998</v>
          </cell>
        </row>
        <row r="5">
          <cell r="G5" t="str">
            <v>Firawaty</v>
          </cell>
          <cell r="H5">
            <v>1.0214229594462793E-2</v>
          </cell>
          <cell r="I5">
            <v>8500</v>
          </cell>
        </row>
        <row r="6">
          <cell r="G6" t="str">
            <v>Fungfung</v>
          </cell>
          <cell r="H6">
            <v>1.2016740699367992E-3</v>
          </cell>
          <cell r="I6">
            <v>1000</v>
          </cell>
        </row>
        <row r="7">
          <cell r="G7" t="str">
            <v>Owi Wijaya</v>
          </cell>
          <cell r="H7">
            <v>0.1047205357286401</v>
          </cell>
          <cell r="I7">
            <v>87145.539999999964</v>
          </cell>
        </row>
        <row r="8">
          <cell r="G8" t="str">
            <v>Wawan Iskandar</v>
          </cell>
          <cell r="H8">
            <v>0.12076439185780972</v>
          </cell>
          <cell r="I8">
            <v>100496.79432973135</v>
          </cell>
        </row>
        <row r="9">
          <cell r="G9" t="str">
            <v>Tony Teja</v>
          </cell>
          <cell r="H9">
            <v>0.29780020186995526</v>
          </cell>
          <cell r="I9">
            <v>247821.11000000002</v>
          </cell>
        </row>
        <row r="10">
          <cell r="G10" t="str">
            <v>Santy Silalahi</v>
          </cell>
          <cell r="H10">
            <v>0.10615728128013797</v>
          </cell>
          <cell r="I10">
            <v>88341.16</v>
          </cell>
        </row>
      </sheetData>
      <sheetData sheetId="3">
        <row r="1">
          <cell r="A1" t="str">
            <v>Dummy</v>
          </cell>
          <cell r="B1" t="str">
            <v>PIC (MANAGER)</v>
          </cell>
          <cell r="C1" t="str">
            <v>KATEGORI</v>
          </cell>
          <cell r="D1" t="str">
            <v>FACTORY</v>
          </cell>
          <cell r="E1" t="str">
            <v>KODE FACTORY</v>
          </cell>
          <cell r="F1" t="str">
            <v>Account Ledger</v>
          </cell>
        </row>
        <row r="2">
          <cell r="A2" t="str">
            <v>Asep Ridwan Subiana-EXPEDITION/SEA FREIGHT-CLN</v>
          </cell>
          <cell r="B2" t="str">
            <v>Asep Ridwan Subiana</v>
          </cell>
          <cell r="C2" t="str">
            <v>EXPEDITION/SEA FREIGHT</v>
          </cell>
          <cell r="D2" t="str">
            <v>CLN</v>
          </cell>
          <cell r="E2">
            <v>1201</v>
          </cell>
          <cell r="F2" t="str">
            <v>1201.720400</v>
          </cell>
        </row>
        <row r="3">
          <cell r="A3" t="str">
            <v>Asep Ridwan Subiana-EXPEDITION/SEA FREIGHT-MAJA-2</v>
          </cell>
          <cell r="B3" t="str">
            <v>Asep Ridwan Subiana</v>
          </cell>
          <cell r="C3" t="str">
            <v>EXPEDITION/SEA FREIGHT</v>
          </cell>
          <cell r="D3" t="str">
            <v>MAJA-2</v>
          </cell>
          <cell r="E3">
            <v>1204</v>
          </cell>
          <cell r="F3" t="str">
            <v>1204.720400</v>
          </cell>
        </row>
        <row r="4">
          <cell r="A4" t="str">
            <v>Asep Ridwan Subiana-INSURANCE EXPENSES-CLN</v>
          </cell>
          <cell r="B4" t="str">
            <v>Asep Ridwan Subiana</v>
          </cell>
          <cell r="C4" t="str">
            <v>INSURANCE EXPENSES</v>
          </cell>
          <cell r="D4" t="str">
            <v>CLN</v>
          </cell>
          <cell r="E4">
            <v>1201</v>
          </cell>
          <cell r="F4" t="str">
            <v>1201.816110</v>
          </cell>
        </row>
        <row r="5">
          <cell r="A5" t="str">
            <v>Asep Ridwan Subiana-INSURANCE EXPENSES-MAJA-2</v>
          </cell>
          <cell r="B5" t="str">
            <v>Asep Ridwan Subiana</v>
          </cell>
          <cell r="C5" t="str">
            <v>INSURANCE EXPENSES</v>
          </cell>
          <cell r="D5" t="str">
            <v>MAJA-2</v>
          </cell>
          <cell r="E5">
            <v>1204</v>
          </cell>
          <cell r="F5" t="str">
            <v>1204.816110</v>
          </cell>
        </row>
        <row r="6">
          <cell r="A6" t="str">
            <v>Asep Ridwan Subiana-OTHER PRODUCTION COST-CLN</v>
          </cell>
          <cell r="B6" t="str">
            <v>Asep Ridwan Subiana</v>
          </cell>
          <cell r="C6" t="str">
            <v>OTHER PRODUCTION COST</v>
          </cell>
          <cell r="D6" t="str">
            <v>CLN</v>
          </cell>
          <cell r="E6">
            <v>1201</v>
          </cell>
          <cell r="F6" t="str">
            <v>1201.631100</v>
          </cell>
        </row>
        <row r="7">
          <cell r="A7" t="str">
            <v>Asep Ridwan Subiana-OTHER PRODUCTION COST-MAJA-1</v>
          </cell>
          <cell r="B7" t="str">
            <v>Asep Ridwan Subiana</v>
          </cell>
          <cell r="C7" t="str">
            <v>OTHER PRODUCTION COST</v>
          </cell>
          <cell r="D7" t="str">
            <v>MAJA-1</v>
          </cell>
          <cell r="E7">
            <v>1205</v>
          </cell>
          <cell r="F7" t="str">
            <v>1205.631100</v>
          </cell>
        </row>
        <row r="8">
          <cell r="A8" t="str">
            <v>Asep Ridwan Subiana-OTHER PRODUCTION COST-MAJA-2</v>
          </cell>
          <cell r="B8" t="str">
            <v>Asep Ridwan Subiana</v>
          </cell>
          <cell r="C8" t="str">
            <v>OTHER PRODUCTION COST</v>
          </cell>
          <cell r="D8" t="str">
            <v>MAJA-2</v>
          </cell>
          <cell r="E8">
            <v>1204</v>
          </cell>
          <cell r="F8" t="str">
            <v>1204.631100</v>
          </cell>
        </row>
        <row r="9">
          <cell r="A9" t="str">
            <v>Asep Ridwan Subiana-PEMAKAIAN GENERAL MATERIAL-CLN</v>
          </cell>
          <cell r="B9" t="str">
            <v>Asep Ridwan Subiana</v>
          </cell>
          <cell r="C9" t="str">
            <v>PEMAKAIAN GENERAL MATERIAL</v>
          </cell>
          <cell r="D9" t="str">
            <v>CLN</v>
          </cell>
          <cell r="E9">
            <v>1201</v>
          </cell>
          <cell r="F9" t="str">
            <v>1201.631180</v>
          </cell>
        </row>
        <row r="10">
          <cell r="A10" t="str">
            <v>Asep Ridwan Subiana-PEMAKAIAN GENERAL MATERIAL-MAJA-1</v>
          </cell>
          <cell r="B10" t="str">
            <v>Asep Ridwan Subiana</v>
          </cell>
          <cell r="C10" t="str">
            <v>PEMAKAIAN GENERAL MATERIAL</v>
          </cell>
          <cell r="D10" t="str">
            <v>MAJA-1</v>
          </cell>
          <cell r="E10">
            <v>1205</v>
          </cell>
          <cell r="F10" t="str">
            <v>1204.631180</v>
          </cell>
        </row>
        <row r="11">
          <cell r="A11" t="str">
            <v>Asep Ridwan Subiana-PEMAKAIAN GENERAL MATERIAL-MAJA-2</v>
          </cell>
          <cell r="B11" t="str">
            <v>Asep Ridwan Subiana</v>
          </cell>
          <cell r="C11" t="str">
            <v>PEMAKAIAN GENERAL MATERIAL</v>
          </cell>
          <cell r="D11" t="str">
            <v>MAJA-2</v>
          </cell>
          <cell r="E11">
            <v>1204</v>
          </cell>
          <cell r="F11" t="str">
            <v>1205.631180</v>
          </cell>
        </row>
        <row r="12">
          <cell r="A12" t="str">
            <v>Asep Ridwan Subiana-PEMAKAIAN PACKING-CLN</v>
          </cell>
          <cell r="B12" t="str">
            <v>Asep Ridwan Subiana</v>
          </cell>
          <cell r="C12" t="str">
            <v>PEMAKAIAN PACKING</v>
          </cell>
          <cell r="D12" t="str">
            <v>CLN</v>
          </cell>
          <cell r="E12">
            <v>1201</v>
          </cell>
          <cell r="F12" t="str">
            <v>1201.631150</v>
          </cell>
        </row>
        <row r="13">
          <cell r="A13" t="str">
            <v>Asep Ridwan Subiana-TRUCKING EXPENSES-CLN</v>
          </cell>
          <cell r="B13" t="str">
            <v>Asep Ridwan Subiana</v>
          </cell>
          <cell r="C13" t="str">
            <v>TRUCKING EXPENSES</v>
          </cell>
          <cell r="D13" t="str">
            <v>CLN</v>
          </cell>
          <cell r="E13">
            <v>1201</v>
          </cell>
          <cell r="F13" t="str">
            <v>1201.720100</v>
          </cell>
        </row>
        <row r="14">
          <cell r="A14" t="str">
            <v>Asep Ridwan Subiana-TRUCKING EXPENSES-MAJA-1</v>
          </cell>
          <cell r="B14" t="str">
            <v>Asep Ridwan Subiana</v>
          </cell>
          <cell r="C14" t="str">
            <v>TRUCKING EXPENSES</v>
          </cell>
          <cell r="D14" t="str">
            <v>MAJA-1</v>
          </cell>
          <cell r="E14">
            <v>1205</v>
          </cell>
          <cell r="F14" t="str">
            <v>1205.720100</v>
          </cell>
        </row>
        <row r="15">
          <cell r="A15" t="str">
            <v>Asep Ridwan Subiana-TRUCKING EXPENSES-MAJA-2</v>
          </cell>
          <cell r="B15" t="str">
            <v>Asep Ridwan Subiana</v>
          </cell>
          <cell r="C15" t="str">
            <v>TRUCKING EXPENSES</v>
          </cell>
          <cell r="D15" t="str">
            <v>MAJA-2</v>
          </cell>
          <cell r="E15">
            <v>1204</v>
          </cell>
          <cell r="F15" t="str">
            <v>1204.720100</v>
          </cell>
        </row>
        <row r="16">
          <cell r="A16" t="str">
            <v>Choeruman-VENDOR EXPENSES-CLN</v>
          </cell>
          <cell r="B16" t="str">
            <v>Choeruman</v>
          </cell>
          <cell r="C16" t="str">
            <v>VENDOR EXPENSES</v>
          </cell>
          <cell r="D16" t="str">
            <v>CLN</v>
          </cell>
          <cell r="E16">
            <v>1201</v>
          </cell>
          <cell r="F16" t="str">
            <v>1201.630600</v>
          </cell>
        </row>
        <row r="17">
          <cell r="A17" t="str">
            <v>Choeruman-VENDOR EXPENSES-MAJA-1</v>
          </cell>
          <cell r="B17" t="str">
            <v>Choeruman</v>
          </cell>
          <cell r="C17" t="str">
            <v>VENDOR EXPENSES</v>
          </cell>
          <cell r="D17" t="str">
            <v>MAJA-1</v>
          </cell>
          <cell r="E17">
            <v>1205</v>
          </cell>
          <cell r="F17" t="str">
            <v>1205.630600</v>
          </cell>
        </row>
        <row r="18">
          <cell r="A18" t="str">
            <v>Choeruman-VENDOR EXPENSES-MAJA-2</v>
          </cell>
          <cell r="B18" t="str">
            <v>Choeruman</v>
          </cell>
          <cell r="C18" t="str">
            <v>VENDOR EXPENSES</v>
          </cell>
          <cell r="D18" t="str">
            <v>MAJA-2</v>
          </cell>
          <cell r="E18">
            <v>1204</v>
          </cell>
          <cell r="F18" t="str">
            <v>1204.630600</v>
          </cell>
        </row>
        <row r="19">
          <cell r="A19" t="str">
            <v>Choeruman-VENDOR EXPENSES-CLN</v>
          </cell>
          <cell r="B19" t="str">
            <v>Choeruman</v>
          </cell>
          <cell r="C19" t="str">
            <v>VENDOR EXPENSES</v>
          </cell>
          <cell r="D19" t="str">
            <v>CLN</v>
          </cell>
          <cell r="E19">
            <v>1201</v>
          </cell>
          <cell r="F19" t="str">
            <v>1201.630600</v>
          </cell>
        </row>
        <row r="20">
          <cell r="A20" t="str">
            <v>Choeruman-VENDOR EXPENSES-MAJA-1</v>
          </cell>
          <cell r="B20" t="str">
            <v>Choeruman</v>
          </cell>
          <cell r="C20" t="str">
            <v>VENDOR EXPENSES</v>
          </cell>
          <cell r="D20" t="str">
            <v>MAJA-1</v>
          </cell>
          <cell r="E20">
            <v>1205</v>
          </cell>
          <cell r="F20" t="str">
            <v>1205.630600</v>
          </cell>
        </row>
        <row r="21">
          <cell r="A21" t="str">
            <v>Choeruman-VENDOR EXPENSES-MAJA-2</v>
          </cell>
          <cell r="B21" t="str">
            <v>Choeruman</v>
          </cell>
          <cell r="C21" t="str">
            <v>VENDOR EXPENSES</v>
          </cell>
          <cell r="D21" t="str">
            <v>MAJA-2</v>
          </cell>
          <cell r="E21">
            <v>1204</v>
          </cell>
          <cell r="F21" t="str">
            <v>1204.630600</v>
          </cell>
        </row>
        <row r="22">
          <cell r="A22" t="str">
            <v>Firawaty-FABRIC TESTED CHARGES-CLN</v>
          </cell>
          <cell r="B22" t="str">
            <v>Firawaty</v>
          </cell>
          <cell r="C22" t="str">
            <v>FABRIC TESTED CHARGES</v>
          </cell>
          <cell r="D22" t="str">
            <v>CLN</v>
          </cell>
          <cell r="E22">
            <v>1201</v>
          </cell>
          <cell r="F22" t="str">
            <v>1201.730300</v>
          </cell>
        </row>
        <row r="23">
          <cell r="A23" t="str">
            <v>Firawaty-FABRIC TESTED CHARGES-CLN</v>
          </cell>
          <cell r="B23" t="str">
            <v>Firawaty</v>
          </cell>
          <cell r="C23" t="str">
            <v>FABRIC TESTED CHARGES</v>
          </cell>
          <cell r="D23" t="str">
            <v>CLN</v>
          </cell>
          <cell r="E23">
            <v>1201</v>
          </cell>
          <cell r="F23" t="str">
            <v>1201.730300</v>
          </cell>
        </row>
        <row r="24">
          <cell r="A24" t="str">
            <v>Firawaty-FABRIC TESTED CHARGES-CLN</v>
          </cell>
          <cell r="B24" t="str">
            <v>Firawaty</v>
          </cell>
          <cell r="C24" t="str">
            <v>FABRIC TESTED CHARGES</v>
          </cell>
          <cell r="D24" t="str">
            <v>CLN</v>
          </cell>
          <cell r="E24">
            <v>1201</v>
          </cell>
          <cell r="F24" t="str">
            <v>1201.730300</v>
          </cell>
        </row>
        <row r="25">
          <cell r="A25" t="str">
            <v>Firawaty-FABRIC TESTED CHARGES-CLN</v>
          </cell>
          <cell r="B25" t="str">
            <v>Firawaty</v>
          </cell>
          <cell r="C25" t="str">
            <v>FABRIC TESTED CHARGES</v>
          </cell>
          <cell r="D25" t="str">
            <v>CLN</v>
          </cell>
          <cell r="E25">
            <v>1201</v>
          </cell>
          <cell r="F25" t="str">
            <v>1201.730300</v>
          </cell>
        </row>
        <row r="26">
          <cell r="A26" t="str">
            <v>Firawaty-SALES COMMISSION-CLN</v>
          </cell>
          <cell r="B26" t="str">
            <v>Firawaty</v>
          </cell>
          <cell r="C26" t="str">
            <v>SALES COMMISSION</v>
          </cell>
          <cell r="D26" t="str">
            <v>CLN</v>
          </cell>
          <cell r="E26">
            <v>1201</v>
          </cell>
          <cell r="F26" t="str">
            <v>1201.730200</v>
          </cell>
        </row>
        <row r="27">
          <cell r="A27" t="str">
            <v>Firawaty-SAMPLE EXPENSES-CLN</v>
          </cell>
          <cell r="B27" t="str">
            <v>Firawaty</v>
          </cell>
          <cell r="C27" t="str">
            <v>SAMPLE EXPENSES</v>
          </cell>
          <cell r="D27" t="str">
            <v>CLN</v>
          </cell>
          <cell r="E27">
            <v>1201</v>
          </cell>
          <cell r="F27" t="str">
            <v>1201.710200</v>
          </cell>
        </row>
        <row r="28">
          <cell r="A28" t="str">
            <v>Firawaty-SAMPLE EXPENSES-CLN</v>
          </cell>
          <cell r="B28" t="str">
            <v>Firawaty</v>
          </cell>
          <cell r="C28" t="str">
            <v>SAMPLE EXPENSES</v>
          </cell>
          <cell r="D28" t="str">
            <v>CLN</v>
          </cell>
          <cell r="E28">
            <v>1201</v>
          </cell>
          <cell r="F28" t="str">
            <v>1201.710200</v>
          </cell>
        </row>
        <row r="29">
          <cell r="A29" t="str">
            <v>Firawaty-SAMPLE EXPENSES-CLN</v>
          </cell>
          <cell r="B29" t="str">
            <v>Firawaty</v>
          </cell>
          <cell r="C29" t="str">
            <v>SAMPLE EXPENSES</v>
          </cell>
          <cell r="D29" t="str">
            <v>CLN</v>
          </cell>
          <cell r="E29">
            <v>1201</v>
          </cell>
          <cell r="F29" t="str">
            <v>1201.710200</v>
          </cell>
        </row>
        <row r="30">
          <cell r="A30" t="str">
            <v>Firawaty-SAMPLE EXPENSES-CLN</v>
          </cell>
          <cell r="B30" t="str">
            <v>Firawaty</v>
          </cell>
          <cell r="C30" t="str">
            <v>SAMPLE EXPENSES</v>
          </cell>
          <cell r="D30" t="str">
            <v>CLN</v>
          </cell>
          <cell r="E30">
            <v>1201</v>
          </cell>
          <cell r="F30" t="str">
            <v>1201.710200</v>
          </cell>
        </row>
        <row r="31">
          <cell r="A31" t="str">
            <v>Fungfung-FABRIC TESTED CHARGES-CLN</v>
          </cell>
          <cell r="B31" t="str">
            <v>Fungfung</v>
          </cell>
          <cell r="C31" t="str">
            <v>FABRIC TESTED CHARGES</v>
          </cell>
          <cell r="D31" t="str">
            <v>CLN</v>
          </cell>
          <cell r="E31">
            <v>1201</v>
          </cell>
          <cell r="F31" t="str">
            <v>1201.730300</v>
          </cell>
        </row>
        <row r="32">
          <cell r="A32" t="str">
            <v>Fungfung-SALES COMMISSION-CLN</v>
          </cell>
          <cell r="B32" t="str">
            <v>Fungfung</v>
          </cell>
          <cell r="C32" t="str">
            <v>SALES COMMISSION</v>
          </cell>
          <cell r="D32" t="str">
            <v>CLN</v>
          </cell>
          <cell r="E32">
            <v>1201</v>
          </cell>
          <cell r="F32" t="str">
            <v>1201.730200</v>
          </cell>
        </row>
        <row r="33">
          <cell r="A33" t="str">
            <v>Fungfung-SAMPLE EXPENSES-CLN</v>
          </cell>
          <cell r="B33" t="str">
            <v>Fungfung</v>
          </cell>
          <cell r="C33" t="str">
            <v>SAMPLE EXPENSES</v>
          </cell>
          <cell r="D33" t="str">
            <v>CLN</v>
          </cell>
          <cell r="E33">
            <v>1201</v>
          </cell>
          <cell r="F33" t="str">
            <v>1201.710200</v>
          </cell>
        </row>
        <row r="34">
          <cell r="A34" t="str">
            <v>Fungfung-SAMPLE EXPENSES-CLN</v>
          </cell>
          <cell r="B34" t="str">
            <v>Fungfung</v>
          </cell>
          <cell r="C34" t="str">
            <v>SAMPLE EXPENSES</v>
          </cell>
          <cell r="D34" t="str">
            <v>CLN</v>
          </cell>
          <cell r="E34">
            <v>1201</v>
          </cell>
          <cell r="F34" t="str">
            <v>1201.710200</v>
          </cell>
        </row>
        <row r="35">
          <cell r="A35" t="str">
            <v>Owi Wijaya-AIR FREIGHT-CLN</v>
          </cell>
          <cell r="B35" t="str">
            <v>Owi Wijaya</v>
          </cell>
          <cell r="C35" t="str">
            <v>AIR FREIGHT</v>
          </cell>
          <cell r="D35" t="str">
            <v>CLN</v>
          </cell>
          <cell r="E35">
            <v>1201</v>
          </cell>
          <cell r="F35" t="str">
            <v>1201.720500</v>
          </cell>
        </row>
        <row r="36">
          <cell r="A36" t="str">
            <v>Owi Wijaya-BUSINESS TRIP EXPENSES-CLN</v>
          </cell>
          <cell r="B36" t="str">
            <v>Owi Wijaya</v>
          </cell>
          <cell r="C36" t="str">
            <v>BUSINESS TRIP EXPENSES</v>
          </cell>
          <cell r="D36" t="str">
            <v>CLN</v>
          </cell>
          <cell r="E36">
            <v>1201</v>
          </cell>
          <cell r="F36" t="str">
            <v>1201.812100</v>
          </cell>
        </row>
        <row r="37">
          <cell r="A37" t="str">
            <v>Owi Wijaya-CONTRIBUTION COST-CLN</v>
          </cell>
          <cell r="B37" t="str">
            <v>Owi Wijaya</v>
          </cell>
          <cell r="C37" t="str">
            <v>CONTRIBUTION COST</v>
          </cell>
          <cell r="D37" t="str">
            <v>CLN</v>
          </cell>
          <cell r="E37">
            <v>1201</v>
          </cell>
          <cell r="F37" t="str">
            <v>1201.807100</v>
          </cell>
        </row>
        <row r="38">
          <cell r="A38" t="str">
            <v>Owi Wijaya-CONTRIBUTION COST-MAJA-2</v>
          </cell>
          <cell r="B38" t="str">
            <v>Owi Wijaya</v>
          </cell>
          <cell r="C38" t="str">
            <v>CONTRIBUTION COST</v>
          </cell>
          <cell r="D38" t="str">
            <v>MAJA-2</v>
          </cell>
          <cell r="E38">
            <v>1204</v>
          </cell>
          <cell r="F38" t="str">
            <v>1204.807100</v>
          </cell>
        </row>
        <row r="39">
          <cell r="A39" t="str">
            <v>Owi Wijaya-ELECTRICITY-CLN</v>
          </cell>
          <cell r="B39" t="str">
            <v>Owi Wijaya</v>
          </cell>
          <cell r="C39" t="str">
            <v>ELECTRICITY</v>
          </cell>
          <cell r="D39" t="str">
            <v>CLN</v>
          </cell>
          <cell r="E39">
            <v>1201</v>
          </cell>
          <cell r="F39" t="str">
            <v>1201.630400</v>
          </cell>
        </row>
        <row r="40">
          <cell r="A40" t="str">
            <v>Owi Wijaya-ENTERTAINMENT-CLN</v>
          </cell>
          <cell r="B40" t="str">
            <v>Owi Wijaya</v>
          </cell>
          <cell r="C40" t="str">
            <v>ENTERTAINMENT</v>
          </cell>
          <cell r="D40" t="str">
            <v>CLN</v>
          </cell>
          <cell r="E40">
            <v>1201</v>
          </cell>
          <cell r="F40" t="str">
            <v>1201.813100</v>
          </cell>
        </row>
        <row r="41">
          <cell r="A41" t="str">
            <v>Owi Wijaya-FACTORY SUPPLIES EXPENSE-CLN</v>
          </cell>
          <cell r="B41" t="str">
            <v>Owi Wijaya</v>
          </cell>
          <cell r="C41" t="str">
            <v>FACTORY SUPPLIES EXPENSE</v>
          </cell>
          <cell r="D41" t="str">
            <v>CLN</v>
          </cell>
          <cell r="E41">
            <v>1201</v>
          </cell>
          <cell r="F41" t="str">
            <v>1201.630300</v>
          </cell>
        </row>
        <row r="42">
          <cell r="A42" t="str">
            <v>Owi Wijaya-FARE ALLOWANCE-CLN</v>
          </cell>
          <cell r="B42" t="str">
            <v>Owi Wijaya</v>
          </cell>
          <cell r="C42" t="str">
            <v>FARE ALLOWANCE</v>
          </cell>
          <cell r="D42" t="str">
            <v>CLN</v>
          </cell>
          <cell r="E42">
            <v>1201</v>
          </cell>
          <cell r="F42" t="str">
            <v>1201.630200</v>
          </cell>
        </row>
        <row r="43">
          <cell r="A43" t="str">
            <v>Owi Wijaya-FARE ALLOWANCE-CLN</v>
          </cell>
          <cell r="B43" t="str">
            <v>Owi Wijaya</v>
          </cell>
          <cell r="C43" t="str">
            <v>FARE ALLOWANCE</v>
          </cell>
          <cell r="D43" t="str">
            <v>CLN</v>
          </cell>
          <cell r="E43">
            <v>1201</v>
          </cell>
          <cell r="F43" t="str">
            <v>1201.630200</v>
          </cell>
        </row>
        <row r="44">
          <cell r="A44" t="str">
            <v>Owi Wijaya-FREIGHT IN-CLN</v>
          </cell>
          <cell r="B44" t="str">
            <v>Owi Wijaya</v>
          </cell>
          <cell r="C44" t="str">
            <v>FREIGHT IN</v>
          </cell>
          <cell r="D44" t="str">
            <v>CLN</v>
          </cell>
          <cell r="E44">
            <v>1201</v>
          </cell>
          <cell r="F44" t="str">
            <v>1201.630530</v>
          </cell>
        </row>
        <row r="45">
          <cell r="A45" t="str">
            <v>Owi Wijaya-FREIGHT IN-MAJA-2</v>
          </cell>
          <cell r="B45" t="str">
            <v>Owi Wijaya</v>
          </cell>
          <cell r="C45" t="str">
            <v>FREIGHT IN</v>
          </cell>
          <cell r="D45" t="str">
            <v>MAJA-2</v>
          </cell>
          <cell r="E45">
            <v>1204</v>
          </cell>
          <cell r="F45" t="str">
            <v>1204.630530</v>
          </cell>
        </row>
        <row r="46">
          <cell r="A46" t="str">
            <v>Owi Wijaya-FUEL FOR MOTOR VEHICLE-CLN</v>
          </cell>
          <cell r="B46" t="str">
            <v>Owi Wijaya</v>
          </cell>
          <cell r="C46" t="str">
            <v>FUEL FOR MOTOR VEHICLE</v>
          </cell>
          <cell r="D46" t="str">
            <v>CLN</v>
          </cell>
          <cell r="E46">
            <v>1201</v>
          </cell>
          <cell r="F46" t="str">
            <v>1201.808100</v>
          </cell>
        </row>
        <row r="47">
          <cell r="A47" t="str">
            <v>Owi Wijaya-FUEL FOR MOTOR VEHICLE-MAJA-1</v>
          </cell>
          <cell r="B47" t="str">
            <v>Owi Wijaya</v>
          </cell>
          <cell r="C47" t="str">
            <v>FUEL FOR MOTOR VEHICLE</v>
          </cell>
          <cell r="D47" t="str">
            <v>MAJA-1</v>
          </cell>
          <cell r="E47">
            <v>1205</v>
          </cell>
          <cell r="F47" t="str">
            <v>1205.808100</v>
          </cell>
        </row>
        <row r="48">
          <cell r="A48" t="str">
            <v>Owi Wijaya-FUEL FOR MOTOR VEHICLE-MAJA-2</v>
          </cell>
          <cell r="B48" t="str">
            <v>Owi Wijaya</v>
          </cell>
          <cell r="C48" t="str">
            <v>FUEL FOR MOTOR VEHICLE</v>
          </cell>
          <cell r="D48" t="str">
            <v>MAJA-2</v>
          </cell>
          <cell r="E48">
            <v>1204</v>
          </cell>
          <cell r="F48" t="str">
            <v>1204.808100</v>
          </cell>
        </row>
        <row r="49">
          <cell r="A49" t="str">
            <v>Owi Wijaya-INSURANCEEXP.OFBUILD.&amp;-CLN</v>
          </cell>
          <cell r="B49" t="str">
            <v>Owi Wijaya</v>
          </cell>
          <cell r="C49" t="str">
            <v>INSURANCEEXP.OFBUILD.&amp;</v>
          </cell>
          <cell r="D49" t="str">
            <v>CLN</v>
          </cell>
          <cell r="E49">
            <v>1201</v>
          </cell>
          <cell r="F49" t="str">
            <v>1201.630900</v>
          </cell>
        </row>
        <row r="50">
          <cell r="A50" t="str">
            <v>Owi Wijaya-INSURANCEEXP.OFBUILD.&amp;-MAJA-2</v>
          </cell>
          <cell r="B50" t="str">
            <v>Owi Wijaya</v>
          </cell>
          <cell r="C50" t="str">
            <v>INSURANCEEXP.OFBUILD.&amp;</v>
          </cell>
          <cell r="D50" t="str">
            <v>MAJA-2</v>
          </cell>
          <cell r="E50">
            <v>1204</v>
          </cell>
          <cell r="F50" t="str">
            <v>1204.630900</v>
          </cell>
        </row>
        <row r="51">
          <cell r="A51" t="str">
            <v>Owi Wijaya-INTERNET EXPENSES-CLN</v>
          </cell>
          <cell r="B51" t="str">
            <v>Owi Wijaya</v>
          </cell>
          <cell r="C51" t="str">
            <v>INTERNET EXPENSES</v>
          </cell>
          <cell r="D51" t="str">
            <v>CLN</v>
          </cell>
          <cell r="E51">
            <v>1201</v>
          </cell>
          <cell r="F51" t="str">
            <v>1201.802140</v>
          </cell>
        </row>
        <row r="52">
          <cell r="A52" t="str">
            <v>Owi Wijaya-INTERNET EXPENSES-MAJA-2</v>
          </cell>
          <cell r="B52" t="str">
            <v>Owi Wijaya</v>
          </cell>
          <cell r="C52" t="str">
            <v>INTERNET EXPENSES</v>
          </cell>
          <cell r="D52" t="str">
            <v>MAJA-2</v>
          </cell>
          <cell r="E52">
            <v>1204</v>
          </cell>
          <cell r="F52" t="str">
            <v>1204.802140</v>
          </cell>
        </row>
        <row r="53">
          <cell r="A53" t="str">
            <v>Owi Wijaya-JAMSOSTEK-CLN</v>
          </cell>
          <cell r="B53" t="str">
            <v>Owi Wijaya</v>
          </cell>
          <cell r="C53" t="str">
            <v>JAMSOSTEK</v>
          </cell>
          <cell r="D53" t="str">
            <v>CLN</v>
          </cell>
          <cell r="E53">
            <v>1201</v>
          </cell>
          <cell r="F53" t="str">
            <v>1201.801160</v>
          </cell>
        </row>
        <row r="54">
          <cell r="A54" t="str">
            <v>Owi Wijaya-LABOR COST-CLN</v>
          </cell>
          <cell r="B54" t="str">
            <v>Owi Wijaya</v>
          </cell>
          <cell r="C54" t="str">
            <v>LABOR COST</v>
          </cell>
          <cell r="D54" t="str">
            <v>CLN</v>
          </cell>
          <cell r="E54">
            <v>1201</v>
          </cell>
          <cell r="F54" t="str">
            <v>1201.630110</v>
          </cell>
        </row>
        <row r="55">
          <cell r="A55" t="str">
            <v>Owi Wijaya-LEGAL EXPENSES-CLN</v>
          </cell>
          <cell r="B55" t="str">
            <v>Owi Wijaya</v>
          </cell>
          <cell r="C55" t="str">
            <v>LEGAL EXPENSES</v>
          </cell>
          <cell r="D55" t="str">
            <v>CLN</v>
          </cell>
          <cell r="E55">
            <v>1201</v>
          </cell>
          <cell r="F55" t="str">
            <v>1201.809100</v>
          </cell>
        </row>
        <row r="56">
          <cell r="A56" t="str">
            <v>Owi Wijaya-LEGAL EXPENSES-KALIBENDA</v>
          </cell>
          <cell r="B56" t="str">
            <v>Owi Wijaya</v>
          </cell>
          <cell r="C56" t="str">
            <v>LEGAL EXPENSES</v>
          </cell>
          <cell r="D56" t="str">
            <v>KALIBENDA</v>
          </cell>
          <cell r="E56">
            <v>1206</v>
          </cell>
          <cell r="F56" t="str">
            <v>1206.809100</v>
          </cell>
        </row>
        <row r="57">
          <cell r="A57" t="str">
            <v>Owi Wijaya-LEGAL EXPENSES-MAJA-1</v>
          </cell>
          <cell r="B57" t="str">
            <v>Owi Wijaya</v>
          </cell>
          <cell r="C57" t="str">
            <v>LEGAL EXPENSES</v>
          </cell>
          <cell r="D57" t="str">
            <v>MAJA-1</v>
          </cell>
          <cell r="E57">
            <v>1205</v>
          </cell>
          <cell r="F57" t="str">
            <v>1205.809100</v>
          </cell>
        </row>
        <row r="58">
          <cell r="A58" t="str">
            <v>Owi Wijaya-LEGAL EXPENSES-MAJA-2</v>
          </cell>
          <cell r="B58" t="str">
            <v>Owi Wijaya</v>
          </cell>
          <cell r="C58" t="str">
            <v>LEGAL EXPENSES</v>
          </cell>
          <cell r="D58" t="str">
            <v>MAJA-2</v>
          </cell>
          <cell r="E58">
            <v>1204</v>
          </cell>
          <cell r="F58" t="str">
            <v>1204.809100</v>
          </cell>
        </row>
        <row r="59">
          <cell r="A59" t="str">
            <v>Owi Wijaya-MAINT.&amp;REP.BUILDING-CLN</v>
          </cell>
          <cell r="B59" t="str">
            <v>Owi Wijaya</v>
          </cell>
          <cell r="C59" t="str">
            <v>MAINT.&amp;REP.BUILDING</v>
          </cell>
          <cell r="D59" t="str">
            <v>CLN</v>
          </cell>
          <cell r="E59">
            <v>1201</v>
          </cell>
          <cell r="F59" t="str">
            <v>1201.630710</v>
          </cell>
        </row>
        <row r="60">
          <cell r="A60" t="str">
            <v>Owi Wijaya-MAINT.&amp;REP.ELECTRICITY-CLN</v>
          </cell>
          <cell r="B60" t="str">
            <v>Owi Wijaya</v>
          </cell>
          <cell r="C60" t="str">
            <v>MAINT.&amp;REP.ELECTRICITY</v>
          </cell>
          <cell r="D60" t="str">
            <v>CLN</v>
          </cell>
          <cell r="E60">
            <v>1201</v>
          </cell>
          <cell r="F60" t="str">
            <v>1201.630770</v>
          </cell>
        </row>
        <row r="61">
          <cell r="A61" t="str">
            <v>Owi Wijaya-MAINT.&amp;REP.GEN&amp;BOILER-CLN</v>
          </cell>
          <cell r="B61" t="str">
            <v>Owi Wijaya</v>
          </cell>
          <cell r="C61" t="str">
            <v>MAINT.&amp;REP.GEN&amp;BOILER</v>
          </cell>
          <cell r="D61" t="str">
            <v>CLN</v>
          </cell>
          <cell r="E61">
            <v>1201</v>
          </cell>
          <cell r="F61" t="str">
            <v>1201.630750</v>
          </cell>
        </row>
        <row r="62">
          <cell r="A62" t="str">
            <v>Owi Wijaya-MAINT.&amp;REP.MACHINERIE-CLN</v>
          </cell>
          <cell r="B62" t="str">
            <v>Owi Wijaya</v>
          </cell>
          <cell r="C62" t="str">
            <v>MAINT.&amp;REP.MACHINERIE</v>
          </cell>
          <cell r="D62" t="str">
            <v>CLN</v>
          </cell>
          <cell r="E62">
            <v>1201</v>
          </cell>
          <cell r="F62" t="str">
            <v>1201.630720</v>
          </cell>
        </row>
        <row r="63">
          <cell r="A63" t="str">
            <v>Owi Wijaya-MAINT.&amp;REP.MOTORVEHICLE-CLN</v>
          </cell>
          <cell r="B63" t="str">
            <v>Owi Wijaya</v>
          </cell>
          <cell r="C63" t="str">
            <v>MAINT.&amp;REP.MOTORVEHICLE</v>
          </cell>
          <cell r="D63" t="str">
            <v>CLN</v>
          </cell>
          <cell r="E63">
            <v>1201</v>
          </cell>
          <cell r="F63" t="str">
            <v>1201.630760</v>
          </cell>
        </row>
        <row r="64">
          <cell r="A64" t="str">
            <v>Owi Wijaya-MAINT.&amp;REP.MOTORVEHICLE-MAJA-1</v>
          </cell>
          <cell r="B64" t="str">
            <v>Owi Wijaya</v>
          </cell>
          <cell r="C64" t="str">
            <v>MAINT.&amp;REP.MOTORVEHICLE</v>
          </cell>
          <cell r="D64" t="str">
            <v>MAJA-1</v>
          </cell>
          <cell r="E64">
            <v>1205</v>
          </cell>
          <cell r="F64" t="str">
            <v>1205.630760</v>
          </cell>
        </row>
        <row r="65">
          <cell r="A65" t="str">
            <v>Owi Wijaya-MAINT.&amp;REP.MOTORVEHICLE-MAJA-2</v>
          </cell>
          <cell r="B65" t="str">
            <v>Owi Wijaya</v>
          </cell>
          <cell r="C65" t="str">
            <v>MAINT.&amp;REP.MOTORVEHICLE</v>
          </cell>
          <cell r="D65" t="str">
            <v>MAJA-2</v>
          </cell>
          <cell r="E65">
            <v>1204</v>
          </cell>
          <cell r="F65" t="str">
            <v>1204.630760</v>
          </cell>
        </row>
        <row r="66">
          <cell r="A66" t="str">
            <v>Owi Wijaya-MAINT.&amp;REP.PLANTEQUI-CLN</v>
          </cell>
          <cell r="B66" t="str">
            <v>Owi Wijaya</v>
          </cell>
          <cell r="C66" t="str">
            <v>MAINT.&amp;REP.PLANTEQUI</v>
          </cell>
          <cell r="D66" t="str">
            <v>CLN</v>
          </cell>
          <cell r="E66">
            <v>1201</v>
          </cell>
          <cell r="F66" t="str">
            <v>1201.630730</v>
          </cell>
        </row>
        <row r="67">
          <cell r="A67" t="str">
            <v>Owi Wijaya-MAINT.&amp;REP.WATERINSTL.-CLN</v>
          </cell>
          <cell r="B67" t="str">
            <v>Owi Wijaya</v>
          </cell>
          <cell r="C67" t="str">
            <v>MAINT.&amp;REP.WATERINSTL.</v>
          </cell>
          <cell r="D67" t="str">
            <v>CLN</v>
          </cell>
          <cell r="E67">
            <v>1201</v>
          </cell>
          <cell r="F67" t="str">
            <v>1201.630740</v>
          </cell>
        </row>
        <row r="68">
          <cell r="A68" t="str">
            <v>Owi Wijaya-MAINT.OFFICEEQUIP.-CLN</v>
          </cell>
          <cell r="B68" t="str">
            <v>Owi Wijaya</v>
          </cell>
          <cell r="C68" t="str">
            <v>MAINT.OFFICEEQUIP.</v>
          </cell>
          <cell r="D68" t="str">
            <v>CLN</v>
          </cell>
          <cell r="E68">
            <v>1201</v>
          </cell>
          <cell r="F68" t="str">
            <v>1201.810110</v>
          </cell>
        </row>
        <row r="69">
          <cell r="A69" t="str">
            <v>Owi Wijaya-MAINT.OFFICEEQUIP.-KALIBENDA</v>
          </cell>
          <cell r="B69" t="str">
            <v>Owi Wijaya</v>
          </cell>
          <cell r="C69" t="str">
            <v>MAINT.OFFICEEQUIP.</v>
          </cell>
          <cell r="D69" t="str">
            <v>KALIBENDA</v>
          </cell>
          <cell r="E69">
            <v>1206</v>
          </cell>
          <cell r="F69" t="str">
            <v>1206.810110</v>
          </cell>
        </row>
        <row r="70">
          <cell r="A70" t="str">
            <v>Owi Wijaya-MAINT.OFFICEEQUIP.-MAJA-1</v>
          </cell>
          <cell r="B70" t="str">
            <v>Owi Wijaya</v>
          </cell>
          <cell r="C70" t="str">
            <v>MAINT.OFFICEEQUIP.</v>
          </cell>
          <cell r="D70" t="str">
            <v>MAJA-1</v>
          </cell>
          <cell r="E70">
            <v>1205</v>
          </cell>
          <cell r="F70" t="str">
            <v>1205.810110</v>
          </cell>
        </row>
        <row r="71">
          <cell r="A71" t="str">
            <v>Owi Wijaya-MAINT.OFFICEEQUIP.-MAJA-2</v>
          </cell>
          <cell r="B71" t="str">
            <v>Owi Wijaya</v>
          </cell>
          <cell r="C71" t="str">
            <v>MAINT.OFFICEEQUIP.</v>
          </cell>
          <cell r="D71" t="str">
            <v>MAJA-2</v>
          </cell>
          <cell r="E71">
            <v>1204</v>
          </cell>
          <cell r="F71" t="str">
            <v>1204.810110</v>
          </cell>
        </row>
        <row r="72">
          <cell r="A72" t="str">
            <v>Owi Wijaya-MEDICAL ALLOWANCE-CLN</v>
          </cell>
          <cell r="B72" t="str">
            <v>Owi Wijaya</v>
          </cell>
          <cell r="C72" t="str">
            <v>MEDICAL ALLOWANCE</v>
          </cell>
          <cell r="D72" t="str">
            <v>CLN</v>
          </cell>
          <cell r="E72">
            <v>1201</v>
          </cell>
          <cell r="F72" t="str">
            <v>1201.630130</v>
          </cell>
        </row>
        <row r="73">
          <cell r="A73" t="str">
            <v>Owi Wijaya-OFFICE SUPPLIES EXPENSES-CLN</v>
          </cell>
          <cell r="B73" t="str">
            <v>Owi Wijaya</v>
          </cell>
          <cell r="C73" t="str">
            <v>OFFICE SUPPLIES EXPENSES</v>
          </cell>
          <cell r="D73" t="str">
            <v>CLN</v>
          </cell>
          <cell r="E73">
            <v>1201</v>
          </cell>
          <cell r="F73" t="str">
            <v>1201.816130</v>
          </cell>
        </row>
        <row r="74">
          <cell r="A74" t="str">
            <v>Owi Wijaya-OFFICE SUPPLIES EXPENSES-KALIBENDA</v>
          </cell>
          <cell r="B74" t="str">
            <v>Owi Wijaya</v>
          </cell>
          <cell r="C74" t="str">
            <v>OFFICE SUPPLIES EXPENSES</v>
          </cell>
          <cell r="D74" t="str">
            <v>KALIBENDA</v>
          </cell>
          <cell r="E74">
            <v>1206</v>
          </cell>
          <cell r="F74" t="str">
            <v>1206.816130</v>
          </cell>
        </row>
        <row r="75">
          <cell r="A75" t="str">
            <v>Owi Wijaya-OFFICE SUPPLIES EXPENSES-MAJA-1</v>
          </cell>
          <cell r="B75" t="str">
            <v>Owi Wijaya</v>
          </cell>
          <cell r="C75" t="str">
            <v>OFFICE SUPPLIES EXPENSES</v>
          </cell>
          <cell r="D75" t="str">
            <v>MAJA-1</v>
          </cell>
          <cell r="E75">
            <v>1205</v>
          </cell>
          <cell r="F75" t="str">
            <v>1205.816130</v>
          </cell>
        </row>
        <row r="76">
          <cell r="A76" t="str">
            <v>Owi Wijaya-OFFICE SUPPLIES EXPENSES-MAJA-2</v>
          </cell>
          <cell r="B76" t="str">
            <v>Owi Wijaya</v>
          </cell>
          <cell r="C76" t="str">
            <v>OFFICE SUPPLIES EXPENSES</v>
          </cell>
          <cell r="D76" t="str">
            <v>MAJA-2</v>
          </cell>
          <cell r="E76">
            <v>1204</v>
          </cell>
          <cell r="F76" t="str">
            <v>1204.816130</v>
          </cell>
        </row>
        <row r="77">
          <cell r="A77" t="str">
            <v>Owi Wijaya-OTHER PRODUCTION COST-KALIBENDA</v>
          </cell>
          <cell r="B77" t="str">
            <v>Owi Wijaya</v>
          </cell>
          <cell r="C77" t="str">
            <v>OTHER PRODUCTION COST</v>
          </cell>
          <cell r="D77" t="str">
            <v>KALIBENDA</v>
          </cell>
          <cell r="E77">
            <v>1206</v>
          </cell>
          <cell r="F77" t="str">
            <v>1206.631100</v>
          </cell>
        </row>
        <row r="78">
          <cell r="A78" t="str">
            <v>Owi Wijaya-PEMAKAIAN SPARE PART-CLN</v>
          </cell>
          <cell r="B78" t="str">
            <v>Owi Wijaya</v>
          </cell>
          <cell r="C78" t="str">
            <v>PEMAKAIAN SPARE PART</v>
          </cell>
          <cell r="D78" t="str">
            <v>CLN</v>
          </cell>
          <cell r="E78">
            <v>1201</v>
          </cell>
          <cell r="F78" t="str">
            <v>1201.631110</v>
          </cell>
        </row>
        <row r="79">
          <cell r="A79" t="str">
            <v>Owi Wijaya-PMKN FUEL &amp; LUBRICANT-CLN</v>
          </cell>
          <cell r="B79" t="str">
            <v>Owi Wijaya</v>
          </cell>
          <cell r="C79" t="str">
            <v>PMKN FUEL &amp; LUBRICANT</v>
          </cell>
          <cell r="D79" t="str">
            <v>CLN</v>
          </cell>
          <cell r="E79">
            <v>1201</v>
          </cell>
          <cell r="F79" t="str">
            <v>1201.631140</v>
          </cell>
        </row>
        <row r="80">
          <cell r="A80" t="str">
            <v>Owi Wijaya-RENT EXPENSES-CLN</v>
          </cell>
          <cell r="B80" t="str">
            <v>Owi Wijaya</v>
          </cell>
          <cell r="C80" t="str">
            <v>RENT EXPENSES</v>
          </cell>
          <cell r="D80" t="str">
            <v>CLN</v>
          </cell>
          <cell r="E80">
            <v>1201</v>
          </cell>
          <cell r="F80" t="str">
            <v>1201.631000</v>
          </cell>
        </row>
        <row r="81">
          <cell r="A81" t="str">
            <v>Owi Wijaya-RENT EXPENSES BUILDING-CLN</v>
          </cell>
          <cell r="B81" t="str">
            <v>Owi Wijaya</v>
          </cell>
          <cell r="C81" t="str">
            <v>RENT EXPENSES BUILDING</v>
          </cell>
          <cell r="D81" t="str">
            <v>CLN</v>
          </cell>
          <cell r="E81">
            <v>1201</v>
          </cell>
          <cell r="F81" t="str">
            <v>1201.815110</v>
          </cell>
        </row>
        <row r="82">
          <cell r="A82" t="str">
            <v>Owi Wijaya-RENT EXPENSES LAND-CLN</v>
          </cell>
          <cell r="B82" t="str">
            <v>Owi Wijaya</v>
          </cell>
          <cell r="C82" t="str">
            <v>RENT EXPENSES LAND</v>
          </cell>
          <cell r="D82" t="str">
            <v>CLN</v>
          </cell>
          <cell r="E82">
            <v>1201</v>
          </cell>
          <cell r="F82" t="str">
            <v>1201.815120</v>
          </cell>
        </row>
        <row r="83">
          <cell r="A83" t="str">
            <v>Owi Wijaya-TELEPHONE EXPENSES-CLN</v>
          </cell>
          <cell r="B83" t="str">
            <v>Owi Wijaya</v>
          </cell>
          <cell r="C83" t="str">
            <v>TELEPHONE EXPENSES</v>
          </cell>
          <cell r="D83" t="str">
            <v>CLN</v>
          </cell>
          <cell r="E83">
            <v>1201</v>
          </cell>
          <cell r="F83" t="str">
            <v>1201.802120</v>
          </cell>
        </row>
        <row r="84">
          <cell r="A84" t="str">
            <v>Owi Wijaya-TRAINING BY EMPLOYEE-CLN</v>
          </cell>
          <cell r="B84" t="str">
            <v>Owi Wijaya</v>
          </cell>
          <cell r="C84" t="str">
            <v>TRAINING BY EMPLOYEE</v>
          </cell>
          <cell r="D84" t="str">
            <v>CLN</v>
          </cell>
          <cell r="E84">
            <v>1201</v>
          </cell>
          <cell r="F84" t="str">
            <v>1201.814110</v>
          </cell>
        </row>
        <row r="85">
          <cell r="A85" t="str">
            <v>Owi Wijaya-WATER-CLN</v>
          </cell>
          <cell r="B85" t="str">
            <v>Owi Wijaya</v>
          </cell>
          <cell r="C85" t="str">
            <v>WATER</v>
          </cell>
          <cell r="D85" t="str">
            <v>CLN</v>
          </cell>
          <cell r="E85">
            <v>1201</v>
          </cell>
          <cell r="F85" t="str">
            <v>1201.630450</v>
          </cell>
        </row>
        <row r="86">
          <cell r="A86" t="str">
            <v>Owi Wijaya-OTHER PRODUCTION COST-CLN</v>
          </cell>
          <cell r="B86" t="str">
            <v>Owi Wijaya</v>
          </cell>
          <cell r="C86" t="str">
            <v>OTHER PRODUCTION COST</v>
          </cell>
          <cell r="D86" t="str">
            <v>CLN</v>
          </cell>
          <cell r="E86">
            <v>1201</v>
          </cell>
          <cell r="F86" t="str">
            <v>1201.631100</v>
          </cell>
        </row>
        <row r="87">
          <cell r="A87" t="str">
            <v>Owi Wijaya-OTHER PRODUCTION COST-CLN</v>
          </cell>
          <cell r="B87" t="str">
            <v>Owi Wijaya</v>
          </cell>
          <cell r="C87" t="str">
            <v>OTHER PRODUCTION COST</v>
          </cell>
          <cell r="D87" t="str">
            <v>CLN</v>
          </cell>
          <cell r="E87">
            <v>1201</v>
          </cell>
          <cell r="F87" t="str">
            <v>1201.631100</v>
          </cell>
        </row>
        <row r="88">
          <cell r="A88" t="str">
            <v>Owi Wijaya-OTHER PRODUCTION COST-MAJA-1</v>
          </cell>
          <cell r="B88" t="str">
            <v>Owi Wijaya</v>
          </cell>
          <cell r="C88" t="str">
            <v>OTHER PRODUCTION COST</v>
          </cell>
          <cell r="D88" t="str">
            <v>MAJA-1</v>
          </cell>
          <cell r="E88">
            <v>1205</v>
          </cell>
          <cell r="F88" t="str">
            <v>1205.631100</v>
          </cell>
        </row>
        <row r="89">
          <cell r="A89" t="str">
            <v>Owi Wijaya-OTHER PRODUCTION COST-MAJA-2</v>
          </cell>
          <cell r="B89" t="str">
            <v>Owi Wijaya</v>
          </cell>
          <cell r="C89" t="str">
            <v>OTHER PRODUCTION COST</v>
          </cell>
          <cell r="D89" t="str">
            <v>MAJA-2</v>
          </cell>
          <cell r="E89">
            <v>1204</v>
          </cell>
          <cell r="F89" t="str">
            <v>1204.631100</v>
          </cell>
        </row>
        <row r="90">
          <cell r="A90" t="str">
            <v>Wawan Iskandar-JAMSOSTEK-KALIBENDA</v>
          </cell>
          <cell r="B90" t="str">
            <v>Wawan Iskandar</v>
          </cell>
          <cell r="C90" t="str">
            <v>JAMSOSTEK</v>
          </cell>
          <cell r="D90" t="str">
            <v>KALIBENDA</v>
          </cell>
          <cell r="E90">
            <v>1206</v>
          </cell>
          <cell r="F90" t="str">
            <v>1206.801160</v>
          </cell>
        </row>
        <row r="91">
          <cell r="A91" t="str">
            <v>Wawan Iskandar-MAINT.&amp;REP.BUILDING-KALIBENDA</v>
          </cell>
          <cell r="B91" t="str">
            <v>Wawan Iskandar</v>
          </cell>
          <cell r="C91" t="str">
            <v>MAINT.&amp;REP.BUILDING</v>
          </cell>
          <cell r="D91" t="str">
            <v>KALIBENDA</v>
          </cell>
          <cell r="E91">
            <v>1206</v>
          </cell>
          <cell r="F91" t="str">
            <v>1206.630710</v>
          </cell>
        </row>
        <row r="92">
          <cell r="A92" t="str">
            <v>Wawan Iskandar-MEDICAL ALLOWANCE-KALIBENDA</v>
          </cell>
          <cell r="B92" t="str">
            <v>Wawan Iskandar</v>
          </cell>
          <cell r="C92" t="str">
            <v>MEDICAL ALLOWANCE</v>
          </cell>
          <cell r="D92" t="str">
            <v>KALIBENDA</v>
          </cell>
          <cell r="E92">
            <v>1206</v>
          </cell>
          <cell r="F92" t="str">
            <v>1206.630130</v>
          </cell>
        </row>
        <row r="93">
          <cell r="A93" t="str">
            <v>Wawan Iskandar-RENT EXPENSES-KALIBENDA</v>
          </cell>
          <cell r="B93" t="str">
            <v>Wawan Iskandar</v>
          </cell>
          <cell r="C93" t="str">
            <v>RENT EXPENSES</v>
          </cell>
          <cell r="D93" t="str">
            <v>KALIBENDA</v>
          </cell>
          <cell r="E93">
            <v>1206</v>
          </cell>
          <cell r="F93" t="str">
            <v>1206.631000</v>
          </cell>
        </row>
        <row r="94">
          <cell r="A94" t="str">
            <v>Wawan Iskandar-RENT EXPENSES BUILDING-KALIBENDA</v>
          </cell>
          <cell r="B94" t="str">
            <v>Wawan Iskandar</v>
          </cell>
          <cell r="C94" t="str">
            <v>RENT EXPENSES BUILDING</v>
          </cell>
          <cell r="D94" t="str">
            <v>KALIBENDA</v>
          </cell>
          <cell r="E94">
            <v>1206</v>
          </cell>
          <cell r="F94" t="str">
            <v>1206.815110</v>
          </cell>
        </row>
        <row r="95">
          <cell r="A95" t="str">
            <v>Wawan Iskandar-TELEPHONE EXPENSES-KALIBENDA</v>
          </cell>
          <cell r="B95" t="str">
            <v>Wawan Iskandar</v>
          </cell>
          <cell r="C95" t="str">
            <v>TELEPHONE EXPENSES</v>
          </cell>
          <cell r="D95" t="str">
            <v>KALIBENDA</v>
          </cell>
          <cell r="E95">
            <v>1206</v>
          </cell>
          <cell r="F95" t="str">
            <v>1206.802120</v>
          </cell>
        </row>
        <row r="96">
          <cell r="A96" t="str">
            <v>Wawan Iskandar-WATER-KALIBENDA</v>
          </cell>
          <cell r="B96" t="str">
            <v>Wawan Iskandar</v>
          </cell>
          <cell r="C96" t="str">
            <v>WATER</v>
          </cell>
          <cell r="D96" t="str">
            <v>KALIBENDA</v>
          </cell>
          <cell r="E96">
            <v>1206</v>
          </cell>
          <cell r="F96" t="str">
            <v>1206.630450</v>
          </cell>
        </row>
        <row r="97">
          <cell r="A97" t="str">
            <v>Wawan Iskandar-FACTORY SUPPLIES EXPENSE-KALIBENDA</v>
          </cell>
          <cell r="B97" t="str">
            <v>Wawan Iskandar</v>
          </cell>
          <cell r="C97" t="str">
            <v>FACTORY SUPPLIES EXPENSE</v>
          </cell>
          <cell r="D97" t="str">
            <v>KALIBENDA</v>
          </cell>
          <cell r="E97">
            <v>1206</v>
          </cell>
          <cell r="F97" t="str">
            <v>1206.630300</v>
          </cell>
        </row>
        <row r="98">
          <cell r="A98" t="str">
            <v>Wawan Iskandar-MAINT.&amp;REP.ELECTRICITY-KALIBENDA</v>
          </cell>
          <cell r="B98" t="str">
            <v>Wawan Iskandar</v>
          </cell>
          <cell r="C98" t="str">
            <v>MAINT.&amp;REP.ELECTRICITY</v>
          </cell>
          <cell r="D98" t="str">
            <v>KALIBENDA</v>
          </cell>
          <cell r="E98">
            <v>1206</v>
          </cell>
          <cell r="F98" t="str">
            <v>1206.630770</v>
          </cell>
        </row>
        <row r="99">
          <cell r="A99" t="str">
            <v>Wawan Iskandar-MAINT.&amp;REP.GEN&amp;BOILER-KALIBENDA</v>
          </cell>
          <cell r="B99" t="str">
            <v>Wawan Iskandar</v>
          </cell>
          <cell r="C99" t="str">
            <v>MAINT.&amp;REP.GEN&amp;BOILER</v>
          </cell>
          <cell r="D99" t="str">
            <v>KALIBENDA</v>
          </cell>
          <cell r="E99">
            <v>1206</v>
          </cell>
          <cell r="F99" t="str">
            <v>1206.630750</v>
          </cell>
        </row>
        <row r="100">
          <cell r="A100" t="str">
            <v>Wawan Iskandar-MAINT.&amp;REP.MACHINERIE-KALIBENDA</v>
          </cell>
          <cell r="B100" t="str">
            <v>Wawan Iskandar</v>
          </cell>
          <cell r="C100" t="str">
            <v>MAINT.&amp;REP.MACHINERIE</v>
          </cell>
          <cell r="D100" t="str">
            <v>KALIBENDA</v>
          </cell>
          <cell r="E100">
            <v>1206</v>
          </cell>
          <cell r="F100" t="str">
            <v>1206.630720</v>
          </cell>
        </row>
        <row r="101">
          <cell r="A101" t="str">
            <v>Wawan Iskandar-MAINT.&amp;REP.MOTORVEHICLE-KALIBENDA</v>
          </cell>
          <cell r="B101" t="str">
            <v>Wawan Iskandar</v>
          </cell>
          <cell r="C101" t="str">
            <v>MAINT.&amp;REP.MOTORVEHICLE</v>
          </cell>
          <cell r="D101" t="str">
            <v>KALIBENDA</v>
          </cell>
          <cell r="E101">
            <v>1206</v>
          </cell>
          <cell r="F101" t="str">
            <v>1206.630760</v>
          </cell>
        </row>
        <row r="102">
          <cell r="A102" t="str">
            <v>Wawan Iskandar-MAINT.&amp;REP.PLANTEQUI-KALIBENDA</v>
          </cell>
          <cell r="B102" t="str">
            <v>Wawan Iskandar</v>
          </cell>
          <cell r="C102" t="str">
            <v>MAINT.&amp;REP.PLANTEQUI</v>
          </cell>
          <cell r="D102" t="str">
            <v>KALIBENDA</v>
          </cell>
          <cell r="E102">
            <v>1206</v>
          </cell>
          <cell r="F102" t="str">
            <v>1206.630730</v>
          </cell>
        </row>
        <row r="103">
          <cell r="A103" t="str">
            <v>Wawan Iskandar-MAINT.&amp;REP.WATERINSTL.-KALIBENDA</v>
          </cell>
          <cell r="B103" t="str">
            <v>Wawan Iskandar</v>
          </cell>
          <cell r="C103" t="str">
            <v>MAINT.&amp;REP.WATERINSTL.</v>
          </cell>
          <cell r="D103" t="str">
            <v>KALIBENDA</v>
          </cell>
          <cell r="E103">
            <v>1206</v>
          </cell>
          <cell r="F103" t="str">
            <v>1206.630740</v>
          </cell>
        </row>
        <row r="104">
          <cell r="A104" t="str">
            <v>Wawan Iskandar-PEMAKAIAN SPARE PART-KALIBENDA</v>
          </cell>
          <cell r="B104" t="str">
            <v>Wawan Iskandar</v>
          </cell>
          <cell r="C104" t="str">
            <v>PEMAKAIAN SPARE PART</v>
          </cell>
          <cell r="D104" t="str">
            <v>KALIBENDA</v>
          </cell>
          <cell r="E104">
            <v>1206</v>
          </cell>
          <cell r="F104" t="str">
            <v>1206.631110</v>
          </cell>
        </row>
        <row r="105">
          <cell r="A105" t="str">
            <v>Wawan Iskandar-BUSINESS TRIP EXPENSES-KALIBENDA</v>
          </cell>
          <cell r="B105" t="str">
            <v>Wawan Iskandar</v>
          </cell>
          <cell r="C105" t="str">
            <v>BUSINESS TRIP EXPENSES</v>
          </cell>
          <cell r="D105" t="str">
            <v>KALIBENDA</v>
          </cell>
          <cell r="E105">
            <v>1206</v>
          </cell>
          <cell r="F105" t="str">
            <v>1206.812100</v>
          </cell>
        </row>
        <row r="106">
          <cell r="A106" t="str">
            <v>Wawan Iskandar-ELECTRICITY-KALIBENDA</v>
          </cell>
          <cell r="B106" t="str">
            <v>Wawan Iskandar</v>
          </cell>
          <cell r="C106" t="str">
            <v>ELECTRICITY</v>
          </cell>
          <cell r="D106" t="str">
            <v>KALIBENDA</v>
          </cell>
          <cell r="E106">
            <v>1206</v>
          </cell>
          <cell r="F106" t="str">
            <v>1206.630400</v>
          </cell>
        </row>
        <row r="107">
          <cell r="A107" t="str">
            <v>Wawan Iskandar-FUEL FOR MOTOR VEHICLE-KALIBENDA</v>
          </cell>
          <cell r="B107" t="str">
            <v>Wawan Iskandar</v>
          </cell>
          <cell r="C107" t="str">
            <v>FUEL FOR MOTOR VEHICLE</v>
          </cell>
          <cell r="D107" t="str">
            <v>KALIBENDA</v>
          </cell>
          <cell r="E107">
            <v>1206</v>
          </cell>
          <cell r="F107" t="str">
            <v>1206.808100</v>
          </cell>
        </row>
        <row r="108">
          <cell r="A108" t="str">
            <v>Wawan Iskandar-LABOR COST-KALIBENDA</v>
          </cell>
          <cell r="B108" t="str">
            <v>Wawan Iskandar</v>
          </cell>
          <cell r="C108" t="str">
            <v>LABOR COST</v>
          </cell>
          <cell r="D108" t="str">
            <v>KALIBENDA</v>
          </cell>
          <cell r="E108">
            <v>1206</v>
          </cell>
          <cell r="F108" t="str">
            <v>1206.630110</v>
          </cell>
        </row>
        <row r="109">
          <cell r="A109" t="str">
            <v>Wawan Iskandar-OFFICER SALARIES-KALIBENDA</v>
          </cell>
          <cell r="B109" t="str">
            <v>Wawan Iskandar</v>
          </cell>
          <cell r="C109" t="str">
            <v>OFFICER SALARIES</v>
          </cell>
          <cell r="D109" t="str">
            <v>KALIBENDA</v>
          </cell>
          <cell r="E109">
            <v>1206</v>
          </cell>
          <cell r="F109" t="str">
            <v>1206.801110</v>
          </cell>
        </row>
        <row r="110">
          <cell r="A110" t="str">
            <v>Wawan Iskandar-PEMAKAIAN GENERAL MATERIAL-KALIBENDA</v>
          </cell>
          <cell r="B110" t="str">
            <v>Wawan Iskandar</v>
          </cell>
          <cell r="C110" t="str">
            <v>PEMAKAIAN GENERAL MATERIAL</v>
          </cell>
          <cell r="D110" t="str">
            <v>KALIBENDA</v>
          </cell>
          <cell r="E110">
            <v>1206</v>
          </cell>
          <cell r="F110" t="str">
            <v>1206.631180</v>
          </cell>
        </row>
        <row r="111">
          <cell r="A111" t="str">
            <v>Wawan Iskandar-VENDOR EXPENSES-CHW</v>
          </cell>
          <cell r="B111" t="str">
            <v>Wawan Iskandar</v>
          </cell>
          <cell r="C111" t="str">
            <v>VENDOR EXPENSES</v>
          </cell>
          <cell r="D111" t="str">
            <v>CHW</v>
          </cell>
          <cell r="E111">
            <v>1206</v>
          </cell>
          <cell r="F111" t="str">
            <v>1206.630600</v>
          </cell>
        </row>
        <row r="112">
          <cell r="A112" t="str">
            <v>Tony Teja-ENTERTAINMENT-MAJA-1</v>
          </cell>
          <cell r="B112" t="str">
            <v>Tony Teja</v>
          </cell>
          <cell r="C112" t="str">
            <v>ENTERTAINMENT</v>
          </cell>
          <cell r="D112" t="str">
            <v>MAJA-1</v>
          </cell>
          <cell r="E112">
            <v>1205</v>
          </cell>
          <cell r="F112" t="str">
            <v>1205.813100</v>
          </cell>
        </row>
        <row r="113">
          <cell r="A113" t="str">
            <v>Tony Teja-JAMSOSTEK-MAJA-1</v>
          </cell>
          <cell r="B113" t="str">
            <v>Tony Teja</v>
          </cell>
          <cell r="C113" t="str">
            <v>JAMSOSTEK</v>
          </cell>
          <cell r="D113" t="str">
            <v>MAJA-1</v>
          </cell>
          <cell r="E113">
            <v>1205</v>
          </cell>
          <cell r="F113" t="str">
            <v>1205.801160</v>
          </cell>
        </row>
        <row r="114">
          <cell r="A114" t="str">
            <v>Tony Teja-MAINT.&amp;REP.BUILDING-MAJA-1</v>
          </cell>
          <cell r="B114" t="str">
            <v>Tony Teja</v>
          </cell>
          <cell r="C114" t="str">
            <v>MAINT.&amp;REP.BUILDING</v>
          </cell>
          <cell r="D114" t="str">
            <v>MAJA-1</v>
          </cell>
          <cell r="E114">
            <v>1205</v>
          </cell>
          <cell r="F114" t="str">
            <v>1205.630710</v>
          </cell>
        </row>
        <row r="115">
          <cell r="A115" t="str">
            <v>Tony Teja-MAINT.&amp;REP.WATERINSTL.-MAJA-1</v>
          </cell>
          <cell r="B115" t="str">
            <v>Tony Teja</v>
          </cell>
          <cell r="C115" t="str">
            <v>MAINT.&amp;REP.WATERINSTL.</v>
          </cell>
          <cell r="D115" t="str">
            <v>MAJA-1</v>
          </cell>
          <cell r="E115">
            <v>1205</v>
          </cell>
          <cell r="F115" t="str">
            <v>1205.630740</v>
          </cell>
        </row>
        <row r="116">
          <cell r="A116" t="str">
            <v>Tony Teja-MEDICAL ALLOWANCE-MAJA-1</v>
          </cell>
          <cell r="B116" t="str">
            <v>Tony Teja</v>
          </cell>
          <cell r="C116" t="str">
            <v>MEDICAL ALLOWANCE</v>
          </cell>
          <cell r="D116" t="str">
            <v>MAJA-1</v>
          </cell>
          <cell r="E116">
            <v>1205</v>
          </cell>
          <cell r="F116" t="str">
            <v>1205.630130</v>
          </cell>
        </row>
        <row r="117">
          <cell r="A117" t="str">
            <v>Tony Teja-RENT EXPENSES BUILDING-MAJA-1</v>
          </cell>
          <cell r="B117" t="str">
            <v>Tony Teja</v>
          </cell>
          <cell r="C117" t="str">
            <v>RENT EXPENSES BUILDING</v>
          </cell>
          <cell r="D117" t="str">
            <v>MAJA-1</v>
          </cell>
          <cell r="E117">
            <v>1205</v>
          </cell>
          <cell r="F117" t="str">
            <v>1205.815110</v>
          </cell>
        </row>
        <row r="118">
          <cell r="A118" t="str">
            <v>Tony Teja-OTHER PRODUCTION COST-MAJA-1</v>
          </cell>
          <cell r="B118" t="str">
            <v>Tony Teja</v>
          </cell>
          <cell r="C118" t="str">
            <v>OTHER PRODUCTION COST</v>
          </cell>
          <cell r="D118" t="str">
            <v>MAJA-1</v>
          </cell>
          <cell r="E118">
            <v>1205</v>
          </cell>
          <cell r="F118" t="str">
            <v>1205.631100</v>
          </cell>
        </row>
        <row r="119">
          <cell r="A119" t="str">
            <v>Tony Teja-BUSINESS TRIP EXPENSES-MAJA-1</v>
          </cell>
          <cell r="B119" t="str">
            <v>Tony Teja</v>
          </cell>
          <cell r="C119" t="str">
            <v>BUSINESS TRIP EXPENSES</v>
          </cell>
          <cell r="D119" t="str">
            <v>MAJA-1</v>
          </cell>
          <cell r="E119">
            <v>1205</v>
          </cell>
          <cell r="F119" t="str">
            <v>1205.812100</v>
          </cell>
        </row>
        <row r="120">
          <cell r="A120" t="str">
            <v>Tony Teja-ELECTRICITY-MAJA-1</v>
          </cell>
          <cell r="B120" t="str">
            <v>Tony Teja</v>
          </cell>
          <cell r="C120" t="str">
            <v>ELECTRICITY</v>
          </cell>
          <cell r="D120" t="str">
            <v>MAJA-1</v>
          </cell>
          <cell r="E120">
            <v>1205</v>
          </cell>
          <cell r="F120" t="str">
            <v>1205.630400</v>
          </cell>
        </row>
        <row r="121">
          <cell r="A121" t="str">
            <v>Tony Teja-FACTORY SUPPLIES EXPENSE-MAJA-1</v>
          </cell>
          <cell r="B121" t="str">
            <v>Tony Teja</v>
          </cell>
          <cell r="C121" t="str">
            <v>FACTORY SUPPLIES EXPENSE</v>
          </cell>
          <cell r="D121" t="str">
            <v>MAJA-1</v>
          </cell>
          <cell r="E121">
            <v>1205</v>
          </cell>
          <cell r="F121" t="str">
            <v>1205.630300</v>
          </cell>
        </row>
        <row r="122">
          <cell r="A122" t="str">
            <v>Tony Teja-FARE ALLOWANCE-MAJA-1</v>
          </cell>
          <cell r="B122" t="str">
            <v>Tony Teja</v>
          </cell>
          <cell r="C122" t="str">
            <v>FARE ALLOWANCE</v>
          </cell>
          <cell r="D122" t="str">
            <v>MAJA-1</v>
          </cell>
          <cell r="E122">
            <v>1205</v>
          </cell>
          <cell r="F122" t="str">
            <v>1205.630200</v>
          </cell>
        </row>
        <row r="123">
          <cell r="A123" t="str">
            <v>Tony Teja-LABOR COST-MAJA-1</v>
          </cell>
          <cell r="B123" t="str">
            <v>Tony Teja</v>
          </cell>
          <cell r="C123" t="str">
            <v>LABOR COST</v>
          </cell>
          <cell r="D123" t="str">
            <v>MAJA-1</v>
          </cell>
          <cell r="E123">
            <v>1205</v>
          </cell>
          <cell r="F123" t="str">
            <v>1205.630110</v>
          </cell>
        </row>
        <row r="124">
          <cell r="A124" t="str">
            <v>Tony Teja-MAINT.&amp;REP.ELECTRICITY-MAJA-1</v>
          </cell>
          <cell r="B124" t="str">
            <v>Tony Teja</v>
          </cell>
          <cell r="C124" t="str">
            <v>MAINT.&amp;REP.ELECTRICITY</v>
          </cell>
          <cell r="D124" t="str">
            <v>MAJA-1</v>
          </cell>
          <cell r="E124">
            <v>1205</v>
          </cell>
          <cell r="F124" t="str">
            <v>1205.630770</v>
          </cell>
        </row>
        <row r="125">
          <cell r="A125" t="str">
            <v>Tony Teja-MAINT.&amp;REP.GEN&amp;BOILER-MAJA-1</v>
          </cell>
          <cell r="B125" t="str">
            <v>Tony Teja</v>
          </cell>
          <cell r="C125" t="str">
            <v>MAINT.&amp;REP.GEN&amp;BOILER</v>
          </cell>
          <cell r="D125" t="str">
            <v>MAJA-1</v>
          </cell>
          <cell r="E125">
            <v>1205</v>
          </cell>
          <cell r="F125" t="str">
            <v>1205.630750</v>
          </cell>
        </row>
        <row r="126">
          <cell r="A126" t="str">
            <v>Tony Teja-MAINT.&amp;REP.MACHINERIE-MAJA-1</v>
          </cell>
          <cell r="B126" t="str">
            <v>Tony Teja</v>
          </cell>
          <cell r="C126" t="str">
            <v>MAINT.&amp;REP.MACHINERIE</v>
          </cell>
          <cell r="D126" t="str">
            <v>MAJA-1</v>
          </cell>
          <cell r="E126">
            <v>1205</v>
          </cell>
          <cell r="F126" t="str">
            <v>1205.630720</v>
          </cell>
        </row>
        <row r="127">
          <cell r="A127" t="str">
            <v>Tony Teja-MAINT.&amp;REP.PLANTEQUI-MAJA-1</v>
          </cell>
          <cell r="B127" t="str">
            <v>Tony Teja</v>
          </cell>
          <cell r="C127" t="str">
            <v>MAINT.&amp;REP.PLANTEQUI</v>
          </cell>
          <cell r="D127" t="str">
            <v>MAJA-1</v>
          </cell>
          <cell r="E127">
            <v>1205</v>
          </cell>
          <cell r="F127" t="str">
            <v>1205.630730</v>
          </cell>
        </row>
        <row r="128">
          <cell r="A128" t="str">
            <v>Tony Teja-OFFICER SALARIES-MAJA-1</v>
          </cell>
          <cell r="B128" t="str">
            <v>Tony Teja</v>
          </cell>
          <cell r="C128" t="str">
            <v>OFFICER SALARIES</v>
          </cell>
          <cell r="D128" t="str">
            <v>MAJA-1</v>
          </cell>
          <cell r="E128">
            <v>1205</v>
          </cell>
          <cell r="F128" t="str">
            <v>1205.801110</v>
          </cell>
        </row>
        <row r="129">
          <cell r="A129" t="str">
            <v>Tony Teja-PEMAKAIAN SPARE PART-MAJA-1</v>
          </cell>
          <cell r="B129" t="str">
            <v>Tony Teja</v>
          </cell>
          <cell r="C129" t="str">
            <v>PEMAKAIAN SPARE PART</v>
          </cell>
          <cell r="D129" t="str">
            <v>MAJA-1</v>
          </cell>
          <cell r="E129">
            <v>1205</v>
          </cell>
          <cell r="F129" t="str">
            <v>1205.631110</v>
          </cell>
        </row>
        <row r="130">
          <cell r="A130" t="str">
            <v>Tony Teja-ENTERTAINMENT-MAJA-2</v>
          </cell>
          <cell r="B130" t="str">
            <v>Tony Teja</v>
          </cell>
          <cell r="C130" t="str">
            <v>ENTERTAINMENT</v>
          </cell>
          <cell r="D130" t="str">
            <v>MAJA-2</v>
          </cell>
          <cell r="E130">
            <v>1204</v>
          </cell>
          <cell r="F130" t="str">
            <v>1204.813100</v>
          </cell>
        </row>
        <row r="131">
          <cell r="A131" t="str">
            <v>Tony Teja-JAMSOSTEK-MAJA-2</v>
          </cell>
          <cell r="B131" t="str">
            <v>Tony Teja</v>
          </cell>
          <cell r="C131" t="str">
            <v>JAMSOSTEK</v>
          </cell>
          <cell r="D131" t="str">
            <v>MAJA-2</v>
          </cell>
          <cell r="E131">
            <v>1204</v>
          </cell>
          <cell r="F131" t="str">
            <v>1204.801160</v>
          </cell>
        </row>
        <row r="132">
          <cell r="A132" t="str">
            <v>Tony Teja-MAINT.&amp;REP.BUILDING-MAJA-2</v>
          </cell>
          <cell r="B132" t="str">
            <v>Tony Teja</v>
          </cell>
          <cell r="C132" t="str">
            <v>MAINT.&amp;REP.BUILDING</v>
          </cell>
          <cell r="D132" t="str">
            <v>MAJA-2</v>
          </cell>
          <cell r="E132">
            <v>1204</v>
          </cell>
          <cell r="F132" t="str">
            <v>1204.630710</v>
          </cell>
        </row>
        <row r="133">
          <cell r="A133" t="str">
            <v>Tony Teja-MAINT.&amp;REP.WATERINSTL.-MAJA-2</v>
          </cell>
          <cell r="B133" t="str">
            <v>Tony Teja</v>
          </cell>
          <cell r="C133" t="str">
            <v>MAINT.&amp;REP.WATERINSTL.</v>
          </cell>
          <cell r="D133" t="str">
            <v>MAJA-2</v>
          </cell>
          <cell r="E133">
            <v>1204</v>
          </cell>
          <cell r="F133" t="str">
            <v>1204.630740</v>
          </cell>
        </row>
        <row r="134">
          <cell r="A134" t="str">
            <v>Tony Teja-MEDICAL ALLOWANCE-MAJA-2</v>
          </cell>
          <cell r="B134" t="str">
            <v>Tony Teja</v>
          </cell>
          <cell r="C134" t="str">
            <v>MEDICAL ALLOWANCE</v>
          </cell>
          <cell r="D134" t="str">
            <v>MAJA-2</v>
          </cell>
          <cell r="E134">
            <v>1204</v>
          </cell>
          <cell r="F134" t="str">
            <v>1204.630130</v>
          </cell>
        </row>
        <row r="135">
          <cell r="A135" t="str">
            <v>Tony Teja-RENT EXPENSES BUILDING-MAJA-2</v>
          </cell>
          <cell r="B135" t="str">
            <v>Tony Teja</v>
          </cell>
          <cell r="C135" t="str">
            <v>RENT EXPENSES BUILDING</v>
          </cell>
          <cell r="D135" t="str">
            <v>MAJA-2</v>
          </cell>
          <cell r="E135">
            <v>1204</v>
          </cell>
          <cell r="F135" t="str">
            <v>1204.815110</v>
          </cell>
        </row>
        <row r="136">
          <cell r="A136" t="str">
            <v>Tony Teja-OTHER PRODUCTION COST-MAJA-2</v>
          </cell>
          <cell r="B136" t="str">
            <v>Tony Teja</v>
          </cell>
          <cell r="C136" t="str">
            <v>OTHER PRODUCTION COST</v>
          </cell>
          <cell r="D136" t="str">
            <v>MAJA-2</v>
          </cell>
          <cell r="E136">
            <v>1204</v>
          </cell>
          <cell r="F136" t="str">
            <v>1204.631100</v>
          </cell>
        </row>
        <row r="137">
          <cell r="A137" t="str">
            <v>Tony Teja-AIR FREIGHT-MAJA-2</v>
          </cell>
          <cell r="B137" t="str">
            <v>Tony Teja</v>
          </cell>
          <cell r="C137" t="str">
            <v>AIR FREIGHT</v>
          </cell>
          <cell r="D137" t="str">
            <v>MAJA-2</v>
          </cell>
          <cell r="E137">
            <v>1204</v>
          </cell>
          <cell r="F137" t="str">
            <v>1204.720500</v>
          </cell>
        </row>
        <row r="138">
          <cell r="A138" t="str">
            <v>Tony Teja-BUSINESS TRIP EXPENSES-MAJA-2</v>
          </cell>
          <cell r="B138" t="str">
            <v>Tony Teja</v>
          </cell>
          <cell r="C138" t="str">
            <v>BUSINESS TRIP EXPENSES</v>
          </cell>
          <cell r="D138" t="str">
            <v>MAJA-2</v>
          </cell>
          <cell r="E138">
            <v>1204</v>
          </cell>
          <cell r="F138" t="str">
            <v>1204.812100</v>
          </cell>
        </row>
        <row r="139">
          <cell r="A139" t="str">
            <v>Tony Teja-ELECTRICITY-MAJA-2</v>
          </cell>
          <cell r="B139" t="str">
            <v>Tony Teja</v>
          </cell>
          <cell r="C139" t="str">
            <v>ELECTRICITY</v>
          </cell>
          <cell r="D139" t="str">
            <v>MAJA-2</v>
          </cell>
          <cell r="E139">
            <v>1204</v>
          </cell>
          <cell r="F139" t="str">
            <v>1204.630400</v>
          </cell>
        </row>
        <row r="140">
          <cell r="A140" t="str">
            <v>Tony Teja-FACTORY SUPPLIES EXPENSE-MAJA-2</v>
          </cell>
          <cell r="B140" t="str">
            <v>Tony Teja</v>
          </cell>
          <cell r="C140" t="str">
            <v>FACTORY SUPPLIES EXPENSE</v>
          </cell>
          <cell r="D140" t="str">
            <v>MAJA-2</v>
          </cell>
          <cell r="E140">
            <v>1204</v>
          </cell>
          <cell r="F140" t="str">
            <v>1204.630300</v>
          </cell>
        </row>
        <row r="141">
          <cell r="A141" t="str">
            <v>Tony Teja-FARE ALLOWANCE-MAJA-2</v>
          </cell>
          <cell r="B141" t="str">
            <v>Tony Teja</v>
          </cell>
          <cell r="C141" t="str">
            <v>FARE ALLOWANCE</v>
          </cell>
          <cell r="D141" t="str">
            <v>MAJA-2</v>
          </cell>
          <cell r="E141">
            <v>1204</v>
          </cell>
          <cell r="F141" t="str">
            <v>1204.630200</v>
          </cell>
        </row>
        <row r="142">
          <cell r="A142" t="str">
            <v>Tony Teja-LABOR COST-MAJA-2</v>
          </cell>
          <cell r="B142" t="str">
            <v>Tony Teja</v>
          </cell>
          <cell r="C142" t="str">
            <v>LABOR COST</v>
          </cell>
          <cell r="D142" t="str">
            <v>MAJA-2</v>
          </cell>
          <cell r="E142">
            <v>1204</v>
          </cell>
          <cell r="F142" t="str">
            <v>1204.630110</v>
          </cell>
        </row>
        <row r="143">
          <cell r="A143" t="str">
            <v>Tony Teja-MAINT.&amp;REP.ELECTRICITY-MAJA-2</v>
          </cell>
          <cell r="B143" t="str">
            <v>Tony Teja</v>
          </cell>
          <cell r="C143" t="str">
            <v>MAINT.&amp;REP.ELECTRICITY</v>
          </cell>
          <cell r="D143" t="str">
            <v>MAJA-2</v>
          </cell>
          <cell r="E143">
            <v>1204</v>
          </cell>
          <cell r="F143" t="str">
            <v>1204.630770</v>
          </cell>
        </row>
        <row r="144">
          <cell r="A144" t="str">
            <v>Tony Teja-MAINT.&amp;REP.GEN&amp;BOILER-MAJA-2</v>
          </cell>
          <cell r="B144" t="str">
            <v>Tony Teja</v>
          </cell>
          <cell r="C144" t="str">
            <v>MAINT.&amp;REP.GEN&amp;BOILER</v>
          </cell>
          <cell r="D144" t="str">
            <v>MAJA-2</v>
          </cell>
          <cell r="E144">
            <v>1204</v>
          </cell>
          <cell r="F144" t="str">
            <v>1204.630750</v>
          </cell>
        </row>
        <row r="145">
          <cell r="A145" t="str">
            <v>Tony Teja-MAINT.&amp;REP.MACHINERIE-MAJA-2</v>
          </cell>
          <cell r="B145" t="str">
            <v>Tony Teja</v>
          </cell>
          <cell r="C145" t="str">
            <v>MAINT.&amp;REP.MACHINERIE</v>
          </cell>
          <cell r="D145" t="str">
            <v>MAJA-2</v>
          </cell>
          <cell r="E145">
            <v>1204</v>
          </cell>
          <cell r="F145" t="str">
            <v>1204.630720</v>
          </cell>
        </row>
        <row r="146">
          <cell r="A146" t="str">
            <v>Tony Teja-MAINT.&amp;REP.PLANTEQUI-MAJA-2</v>
          </cell>
          <cell r="B146" t="str">
            <v>Tony Teja</v>
          </cell>
          <cell r="C146" t="str">
            <v>MAINT.&amp;REP.PLANTEQUI</v>
          </cell>
          <cell r="D146" t="str">
            <v>MAJA-2</v>
          </cell>
          <cell r="E146">
            <v>1204</v>
          </cell>
          <cell r="F146" t="str">
            <v>1204.630730</v>
          </cell>
        </row>
        <row r="147">
          <cell r="A147" t="str">
            <v>Tony Teja-PEMAKAIAN SPARE PART-MAJA-2</v>
          </cell>
          <cell r="B147" t="str">
            <v>Tony Teja</v>
          </cell>
          <cell r="C147" t="str">
            <v>PEMAKAIAN SPARE PART</v>
          </cell>
          <cell r="D147" t="str">
            <v>MAJA-2</v>
          </cell>
          <cell r="E147">
            <v>1204</v>
          </cell>
          <cell r="F147" t="str">
            <v>1204.631110</v>
          </cell>
        </row>
        <row r="148">
          <cell r="A148" t="str">
            <v>Tony Teja-PMKN FUEL &amp; LUBRICANT-MAJA-2</v>
          </cell>
          <cell r="B148" t="str">
            <v>Tony Teja</v>
          </cell>
          <cell r="C148" t="str">
            <v>PMKN FUEL &amp; LUBRICANT</v>
          </cell>
          <cell r="D148" t="str">
            <v>MAJA-2</v>
          </cell>
          <cell r="E148">
            <v>1204</v>
          </cell>
          <cell r="F148" t="str">
            <v>1204.631140</v>
          </cell>
        </row>
        <row r="149">
          <cell r="A149" t="str">
            <v>Santy Silalahi-ACCOUNTING&amp;TAX ADVISORY EXP.-CLN</v>
          </cell>
          <cell r="B149" t="str">
            <v>Santy Silalahi</v>
          </cell>
          <cell r="C149" t="str">
            <v>ACCOUNTING&amp;TAX ADVISORY EXP.</v>
          </cell>
          <cell r="D149" t="str">
            <v>CLN</v>
          </cell>
          <cell r="E149">
            <v>1201</v>
          </cell>
          <cell r="F149" t="str">
            <v>1201.816120</v>
          </cell>
        </row>
        <row r="150">
          <cell r="A150" t="str">
            <v>Santy Silalahi-BANK CHARGES-CLN</v>
          </cell>
          <cell r="B150" t="str">
            <v>Santy Silalahi</v>
          </cell>
          <cell r="C150" t="str">
            <v>BANK CHARGES</v>
          </cell>
          <cell r="D150" t="str">
            <v>CLN</v>
          </cell>
          <cell r="E150">
            <v>1201</v>
          </cell>
          <cell r="F150" t="str">
            <v>1201.920410</v>
          </cell>
        </row>
        <row r="151">
          <cell r="A151" t="str">
            <v>Santy Silalahi-INTEREST EXP OF DOMESTIC-CLN</v>
          </cell>
          <cell r="B151" t="str">
            <v>Santy Silalahi</v>
          </cell>
          <cell r="C151" t="str">
            <v>INTEREST EXP OF DOMESTIC</v>
          </cell>
          <cell r="D151" t="str">
            <v>CLN</v>
          </cell>
          <cell r="E151">
            <v>1201</v>
          </cell>
          <cell r="F151" t="str">
            <v>1201.920120</v>
          </cell>
        </row>
        <row r="152">
          <cell r="A152" t="str">
            <v>Santy Silalahi-PREMIUM COST-CLN</v>
          </cell>
          <cell r="B152" t="str">
            <v>Santy Silalahi</v>
          </cell>
          <cell r="C152" t="str">
            <v>PREMIUM COST</v>
          </cell>
          <cell r="D152" t="str">
            <v>CLN</v>
          </cell>
          <cell r="E152">
            <v>1201</v>
          </cell>
          <cell r="F152" t="str">
            <v>1201.805120</v>
          </cell>
        </row>
        <row r="153">
          <cell r="A153" t="str">
            <v>Santy Silalahi-TAXES-CLN</v>
          </cell>
          <cell r="B153" t="str">
            <v>Santy Silalahi</v>
          </cell>
          <cell r="C153" t="str">
            <v>TAXES</v>
          </cell>
          <cell r="D153" t="str">
            <v>CLN</v>
          </cell>
          <cell r="E153">
            <v>1201</v>
          </cell>
          <cell r="F153" t="str">
            <v>1201.920700</v>
          </cell>
        </row>
        <row r="154">
          <cell r="A154" t="str">
            <v>Santy Silalahi-TAXES-KALIBENDA</v>
          </cell>
          <cell r="B154" t="str">
            <v>Santy Silalahi</v>
          </cell>
          <cell r="C154" t="str">
            <v>TAXES</v>
          </cell>
          <cell r="D154" t="str">
            <v>KALIBENDA</v>
          </cell>
          <cell r="E154">
            <v>1206</v>
          </cell>
          <cell r="F154" t="str">
            <v>1206.920700</v>
          </cell>
        </row>
        <row r="155">
          <cell r="A155" t="str">
            <v>Santy Silalahi-TAXES-MAJA-1</v>
          </cell>
          <cell r="B155" t="str">
            <v>Santy Silalahi</v>
          </cell>
          <cell r="C155" t="str">
            <v>TAXES</v>
          </cell>
          <cell r="D155" t="str">
            <v>MAJA-1</v>
          </cell>
          <cell r="E155">
            <v>1205</v>
          </cell>
          <cell r="F155" t="str">
            <v>1205.920700</v>
          </cell>
        </row>
        <row r="156">
          <cell r="A156" t="str">
            <v>Santy Silalahi-TAXES-MAJA-2</v>
          </cell>
          <cell r="B156" t="str">
            <v>Santy Silalahi</v>
          </cell>
          <cell r="C156" t="str">
            <v>TAXES</v>
          </cell>
          <cell r="D156" t="str">
            <v>MAJA-2</v>
          </cell>
          <cell r="E156">
            <v>1204</v>
          </cell>
          <cell r="F156" t="str">
            <v>1204.920700</v>
          </cell>
        </row>
        <row r="157">
          <cell r="A157" t="str">
            <v>Santy Silalahi-OFFICER SALARIES-CLN</v>
          </cell>
          <cell r="B157" t="str">
            <v>Santy Silalahi</v>
          </cell>
          <cell r="C157" t="str">
            <v>OFFICER SALARIES</v>
          </cell>
          <cell r="D157" t="str">
            <v>CLN</v>
          </cell>
          <cell r="E157">
            <v>1201</v>
          </cell>
          <cell r="F157" t="str">
            <v>1201.801110</v>
          </cell>
        </row>
        <row r="158">
          <cell r="A158" t="str">
            <v>Santy Silalahi-OFFICER SALARIES-MAJA-2</v>
          </cell>
          <cell r="B158" t="str">
            <v>Santy Silalahi</v>
          </cell>
          <cell r="C158" t="str">
            <v>OFFICER SALARIES</v>
          </cell>
          <cell r="D158" t="str">
            <v>MAJA-2</v>
          </cell>
          <cell r="E158">
            <v>1204</v>
          </cell>
          <cell r="F158" t="str">
            <v>1204.801110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../../RPA%20Excel%20Template/Accounting%20Finance/Santy/Profit%20Loss/Tarikan%20JDE/1206.630300.xlsx" TargetMode="External"/><Relationship Id="rId13" Type="http://schemas.openxmlformats.org/officeDocument/2006/relationships/hyperlink" Target="../../RPA%20Excel%20Template/Accounting%20Finance/Santy/Profit%20Loss/Tarikan%20JDE/1206.630730.xlsx" TargetMode="External"/><Relationship Id="rId18" Type="http://schemas.openxmlformats.org/officeDocument/2006/relationships/hyperlink" Target="../../RPA%20Excel%20Template/Accounting%20Finance/Santy/Profit%20Loss/Tarikan%20JDE/1206.808100.xlsx" TargetMode="External"/><Relationship Id="rId3" Type="http://schemas.openxmlformats.org/officeDocument/2006/relationships/hyperlink" Target="../../RPA%20Excel%20Template/Accounting%20Finance/Santy/Profit%20Loss/Tarikan%20JDE/1206.630130.xlsx" TargetMode="External"/><Relationship Id="rId21" Type="http://schemas.openxmlformats.org/officeDocument/2006/relationships/hyperlink" Target="../../RPA%20Excel%20Template/Accounting%20Finance/Santy/Profit%20Loss/Tarikan%20JDE/1206.631180.xlsx" TargetMode="External"/><Relationship Id="rId7" Type="http://schemas.openxmlformats.org/officeDocument/2006/relationships/hyperlink" Target="../../RPA%20Excel%20Template/Accounting%20Finance/Santy/Profit%20Loss/Tarikan%20JDE/1206.630450.xlsx" TargetMode="External"/><Relationship Id="rId12" Type="http://schemas.openxmlformats.org/officeDocument/2006/relationships/hyperlink" Target="../../RPA%20Excel%20Template/Accounting%20Finance/Santy/Profit%20Loss/Tarikan%20JDE/1206.630760.xlsx" TargetMode="External"/><Relationship Id="rId17" Type="http://schemas.openxmlformats.org/officeDocument/2006/relationships/hyperlink" Target="../../RPA%20Excel%20Template/Accounting%20Finance/Santy/Profit%20Loss/Tarikan%20JDE/1206.630400.xlsx" TargetMode="External"/><Relationship Id="rId2" Type="http://schemas.openxmlformats.org/officeDocument/2006/relationships/hyperlink" Target="../../RPA%20Excel%20Template/Accounting%20Finance/Santy/Profit%20Loss/Tarikan%20JDE/1206.630710.xlsx" TargetMode="External"/><Relationship Id="rId16" Type="http://schemas.openxmlformats.org/officeDocument/2006/relationships/hyperlink" Target="../../RPA%20Excel%20Template/Accounting%20Finance/Santy/Profit%20Loss/Tarikan%20JDE/1206.812100.xlsx" TargetMode="External"/><Relationship Id="rId20" Type="http://schemas.openxmlformats.org/officeDocument/2006/relationships/hyperlink" Target="../../RPA%20Excel%20Template/Accounting%20Finance/Santy/Profit%20Loss/Tarikan%20JDE/1206.801110.xlsx" TargetMode="External"/><Relationship Id="rId1" Type="http://schemas.openxmlformats.org/officeDocument/2006/relationships/hyperlink" Target="../../RPA%20Excel%20Template/Accounting%20Finance/Santy/Profit%20Loss/Tarikan%20JDE/1206.801160.xlsx" TargetMode="External"/><Relationship Id="rId6" Type="http://schemas.openxmlformats.org/officeDocument/2006/relationships/hyperlink" Target="../../RPA%20Excel%20Template/Accounting%20Finance/Santy/Profit%20Loss/Tarikan%20JDE/1206.802120.xlsx" TargetMode="External"/><Relationship Id="rId11" Type="http://schemas.openxmlformats.org/officeDocument/2006/relationships/hyperlink" Target="../../RPA%20Excel%20Template/Accounting%20Finance/Santy/Profit%20Loss/Tarikan%20JDE/1206.630720.xlsx" TargetMode="External"/><Relationship Id="rId5" Type="http://schemas.openxmlformats.org/officeDocument/2006/relationships/hyperlink" Target="../../RPA%20Excel%20Template/Accounting%20Finance/Santy/Profit%20Loss/Tarikan%20JDE/1206.815110.xlsx" TargetMode="External"/><Relationship Id="rId15" Type="http://schemas.openxmlformats.org/officeDocument/2006/relationships/hyperlink" Target="../../RPA%20Excel%20Template/Accounting%20Finance/Santy/Profit%20Loss/Tarikan%20JDE/1206.631110.xlsx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../../RPA%20Excel%20Template/Accounting%20Finance/Santy/Profit%20Loss/Tarikan%20JDE/1206.630750.xlsx" TargetMode="External"/><Relationship Id="rId19" Type="http://schemas.openxmlformats.org/officeDocument/2006/relationships/hyperlink" Target="../../RPA%20Excel%20Template/Accounting%20Finance/Santy/Profit%20Loss/Tarikan%20JDE/1206.630110.xlsx" TargetMode="External"/><Relationship Id="rId4" Type="http://schemas.openxmlformats.org/officeDocument/2006/relationships/hyperlink" Target="../../RPA%20Excel%20Template/Accounting%20Finance/Santy/Profit%20Loss/Tarikan%20JDE/1206.631000.xlsx" TargetMode="External"/><Relationship Id="rId9" Type="http://schemas.openxmlformats.org/officeDocument/2006/relationships/hyperlink" Target="../../RPA%20Excel%20Template/Accounting%20Finance/Santy/Profit%20Loss/Tarikan%20JDE/1206.630770.xlsx" TargetMode="External"/><Relationship Id="rId14" Type="http://schemas.openxmlformats.org/officeDocument/2006/relationships/hyperlink" Target="../../RPA%20Excel%20Template/Accounting%20Finance/Santy/Profit%20Loss/Tarikan%20JDE/1206.630740.xlsx" TargetMode="External"/><Relationship Id="rId22" Type="http://schemas.openxmlformats.org/officeDocument/2006/relationships/hyperlink" Target="../../RPA%20Excel%20Template/Accounting%20Finance/Santy/Profit%20Loss/Tarikan%20JDE/1206.630600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2A936-4D17-46F9-A901-8DB780C2C20C}">
  <sheetPr codeName="Sheet1"/>
  <dimension ref="A1:XFD27"/>
  <sheetViews>
    <sheetView tabSelected="1" zoomScale="85" zoomScaleNormal="85" workbookViewId="0">
      <pane xSplit="2" ySplit="5" topLeftCell="C14" activePane="bottomRight" state="frozen"/>
      <selection pane="topRight" activeCell="C1" sqref="C1"/>
      <selection pane="bottomLeft" activeCell="A6" sqref="A6"/>
      <selection pane="bottomRight" activeCell="B27" sqref="B27"/>
    </sheetView>
  </sheetViews>
  <sheetFormatPr defaultColWidth="16.28515625" defaultRowHeight="15.75" x14ac:dyDescent="0.25"/>
  <cols>
    <col min="1" max="1" width="29" style="28" bestFit="1" customWidth="1"/>
    <col min="2" max="2" width="30.28515625" style="28" bestFit="1" customWidth="1"/>
    <col min="3" max="3" width="108.5703125" style="28" bestFit="1" customWidth="1"/>
    <col min="4" max="4" width="13.42578125" style="29" bestFit="1" customWidth="1"/>
    <col min="5" max="5" width="9.42578125" style="29" bestFit="1" customWidth="1"/>
    <col min="6" max="6" width="9.28515625" style="29" bestFit="1" customWidth="1"/>
    <col min="7" max="7" width="20.5703125" style="30" bestFit="1" customWidth="1"/>
    <col min="8" max="8" width="13.140625" style="30" bestFit="1" customWidth="1"/>
    <col min="9" max="9" width="14.85546875" style="30" bestFit="1" customWidth="1"/>
    <col min="10" max="10" width="10" style="31" bestFit="1" customWidth="1"/>
    <col min="11" max="11" width="11.140625" style="32" hidden="1" customWidth="1"/>
    <col min="12" max="12" width="13" style="32" hidden="1" customWidth="1"/>
    <col min="13" max="13" width="19.7109375" style="32" hidden="1" customWidth="1"/>
    <col min="14" max="14" width="19.7109375" style="33" hidden="1" customWidth="1"/>
    <col min="15" max="15" width="22.42578125" style="29" hidden="1" customWidth="1"/>
    <col min="16" max="16" width="10.7109375" style="29" bestFit="1" customWidth="1"/>
    <col min="17" max="17" width="13.140625" style="2" bestFit="1" customWidth="1"/>
    <col min="18" max="18" width="7.7109375" style="2" customWidth="1"/>
    <col min="19" max="16383" width="16.28515625" style="2"/>
    <col min="16384" max="16384" width="2.28515625" style="2" bestFit="1" customWidth="1"/>
  </cols>
  <sheetData>
    <row r="1" spans="1:18 16384:16384" ht="15.75" customHeight="1" x14ac:dyDescent="0.25">
      <c r="A1" s="45" t="str">
        <f ca="1">"MONTHLY BUDGET TH "&amp;YEAR(TODAY())</f>
        <v>MONTHLY BUDGET TH 2024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1"/>
      <c r="XFD1" s="2">
        <v>1</v>
      </c>
    </row>
    <row r="2" spans="1:18 16384:16384" ht="28.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1"/>
    </row>
    <row r="3" spans="1:18 16384:16384" s="10" customFormat="1" ht="17.25" customHeight="1" x14ac:dyDescent="0.3">
      <c r="A3" s="3" t="str">
        <f>"Periode : " &amp; TEXT(DATE('[1](HOME)'!E15, '[1](HOME)'!E14, 1), "mmmm-yyyy")</f>
        <v>Periode : February-2024</v>
      </c>
      <c r="B3" s="4"/>
      <c r="C3" s="4"/>
      <c r="D3" s="5"/>
      <c r="E3" s="5"/>
      <c r="F3" s="5"/>
      <c r="G3" s="6"/>
      <c r="H3" s="6"/>
      <c r="I3" s="6"/>
      <c r="J3" s="7"/>
      <c r="K3" s="7"/>
      <c r="L3" s="8"/>
      <c r="M3" s="8"/>
      <c r="N3" s="40"/>
      <c r="O3" s="5"/>
      <c r="P3" s="5"/>
      <c r="Q3" s="4"/>
      <c r="R3" s="9"/>
    </row>
    <row r="4" spans="1:18 16384:16384" s="10" customFormat="1" ht="16.5" customHeight="1" x14ac:dyDescent="0.3">
      <c r="A4" s="4"/>
      <c r="B4" s="4"/>
      <c r="C4" s="4"/>
      <c r="D4" s="5"/>
      <c r="E4" s="5"/>
      <c r="F4" s="5"/>
      <c r="G4" s="11"/>
      <c r="H4" s="6" t="s">
        <v>73</v>
      </c>
      <c r="I4" s="11"/>
      <c r="J4" s="7"/>
      <c r="K4" s="12">
        <v>0.8</v>
      </c>
      <c r="L4" s="12">
        <v>1</v>
      </c>
      <c r="M4" s="13"/>
      <c r="N4" s="40"/>
      <c r="O4" s="5"/>
      <c r="P4" s="5"/>
      <c r="Q4" s="5"/>
      <c r="R4" s="9"/>
    </row>
    <row r="5" spans="1:18 16384:16384" s="20" customFormat="1" ht="28.5" customHeight="1" x14ac:dyDescent="0.25">
      <c r="A5" s="14" t="s">
        <v>0</v>
      </c>
      <c r="B5" s="35" t="s">
        <v>1</v>
      </c>
      <c r="C5" s="14" t="s">
        <v>2</v>
      </c>
      <c r="D5" s="15" t="s">
        <v>3</v>
      </c>
      <c r="E5" s="15" t="s">
        <v>4</v>
      </c>
      <c r="F5" s="15" t="s">
        <v>5</v>
      </c>
      <c r="G5" s="16" t="s">
        <v>6</v>
      </c>
      <c r="H5" s="36" t="s">
        <v>7</v>
      </c>
      <c r="I5" s="36" t="s">
        <v>8</v>
      </c>
      <c r="J5" s="17" t="s">
        <v>9</v>
      </c>
      <c r="K5" s="17" t="s">
        <v>10</v>
      </c>
      <c r="L5" s="18" t="s">
        <v>11</v>
      </c>
      <c r="M5" s="18" t="s">
        <v>12</v>
      </c>
      <c r="N5" s="41" t="s">
        <v>71</v>
      </c>
      <c r="O5" s="42" t="s">
        <v>72</v>
      </c>
      <c r="P5" s="17" t="s">
        <v>13</v>
      </c>
      <c r="Q5" s="17" t="s">
        <v>14</v>
      </c>
      <c r="R5" s="19"/>
    </row>
    <row r="6" spans="1:18 16384:16384" x14ac:dyDescent="0.25">
      <c r="A6" s="21" t="s">
        <v>40</v>
      </c>
      <c r="B6" s="34" t="s">
        <v>50</v>
      </c>
      <c r="C6" s="21" t="s">
        <v>24</v>
      </c>
      <c r="D6" s="22" t="s">
        <v>27</v>
      </c>
      <c r="E6" s="22" t="s">
        <v>25</v>
      </c>
      <c r="F6" s="22"/>
      <c r="G6" s="37">
        <v>2736.7799999999997</v>
      </c>
      <c r="H6" s="37"/>
      <c r="I6" s="37">
        <f t="shared" ref="I6:I27" si="0">G6-H6</f>
        <v>2736.7799999999997</v>
      </c>
      <c r="J6" s="23">
        <f>G6/VLOOKUP(A6,[1]RESUME!$G$3:$I$10,3,FALSE)</f>
        <v>2.7232510432328692E-2</v>
      </c>
      <c r="K6" s="37">
        <f t="shared" ref="K6:K27" si="1">G6*$K$4</f>
        <v>2189.424</v>
      </c>
      <c r="L6" s="37">
        <f t="shared" ref="L6:L27" si="2">G6*$L$4</f>
        <v>2736.7799999999997</v>
      </c>
      <c r="M6" s="24">
        <f t="shared" ref="M6:M27" si="3">IF(L6=0,0,IF(H6&gt;L6,0,L6/IF(H6&gt;=K6,H6,K6)*J6))</f>
        <v>3.4040638040410867E-2</v>
      </c>
      <c r="N6" s="43" t="str">
        <f>_xlfn.IFNA(VLOOKUP(A6&amp;"-"&amp;B6&amp;"-"&amp;D6,[1]Ref_Account!$A:$F,6,FALSE),"ACCOUNT TIDAK DITEMUKAN")</f>
        <v>1206.801160</v>
      </c>
      <c r="O6" s="22">
        <f t="shared" ref="O6:O27" si="4">IF(N6="ACCOUNT TIDAK DITEMUKAN","9999",COUNTIF($N$6:$N$164,N6))</f>
        <v>1</v>
      </c>
      <c r="P6" s="22" t="str">
        <f t="shared" ref="P6:P27" si="5">IF(I6&gt;0,"OK","OVER")</f>
        <v>OK</v>
      </c>
      <c r="Q6" s="1" t="s">
        <v>70</v>
      </c>
      <c r="R6" s="1"/>
    </row>
    <row r="7" spans="1:18 16384:16384" x14ac:dyDescent="0.25">
      <c r="A7" s="25" t="s">
        <v>40</v>
      </c>
      <c r="B7" s="34" t="s">
        <v>51</v>
      </c>
      <c r="C7" s="25" t="s">
        <v>28</v>
      </c>
      <c r="D7" s="26" t="s">
        <v>27</v>
      </c>
      <c r="E7" s="26" t="s">
        <v>20</v>
      </c>
      <c r="F7" s="26"/>
      <c r="G7" s="38">
        <v>200</v>
      </c>
      <c r="H7" s="38"/>
      <c r="I7" s="38">
        <f t="shared" si="0"/>
        <v>200</v>
      </c>
      <c r="J7" s="46">
        <f>G7/VLOOKUP(A7,[1]RESUME!$G$3:$I$10,3,FALSE)</f>
        <v>1.990113230316554E-3</v>
      </c>
      <c r="K7" s="38">
        <f t="shared" si="1"/>
        <v>160</v>
      </c>
      <c r="L7" s="38">
        <f t="shared" si="2"/>
        <v>200</v>
      </c>
      <c r="M7" s="27">
        <f t="shared" si="3"/>
        <v>2.4876415378956925E-3</v>
      </c>
      <c r="N7" s="44" t="str">
        <f>_xlfn.IFNA(VLOOKUP(A7&amp;"-"&amp;B7&amp;"-"&amp;D7,[1]Ref_Account!$A:$F,6,FALSE),"ACCOUNT TIDAK DITEMUKAN")</f>
        <v>1206.630710</v>
      </c>
      <c r="O7" s="26">
        <f t="shared" si="4"/>
        <v>1</v>
      </c>
      <c r="P7" s="26" t="str">
        <f t="shared" si="5"/>
        <v>OK</v>
      </c>
      <c r="Q7" s="39" t="s">
        <v>70</v>
      </c>
      <c r="R7" s="1"/>
    </row>
    <row r="8" spans="1:18 16384:16384" x14ac:dyDescent="0.25">
      <c r="A8" s="21" t="s">
        <v>40</v>
      </c>
      <c r="B8" s="34" t="s">
        <v>52</v>
      </c>
      <c r="C8" s="21" t="s">
        <v>35</v>
      </c>
      <c r="D8" s="22" t="s">
        <v>27</v>
      </c>
      <c r="E8" s="22" t="s">
        <v>25</v>
      </c>
      <c r="F8" s="22"/>
      <c r="G8" s="37">
        <v>1460</v>
      </c>
      <c r="H8" s="37">
        <v>2181.4299999999998</v>
      </c>
      <c r="I8" s="37">
        <f t="shared" si="0"/>
        <v>-721.42999999999984</v>
      </c>
      <c r="J8" s="23">
        <f>G8/VLOOKUP(A8,[1]RESUME!$G$3:$I$10,3,FALSE)</f>
        <v>1.4527826581310844E-2</v>
      </c>
      <c r="K8" s="37">
        <f t="shared" si="1"/>
        <v>1168</v>
      </c>
      <c r="L8" s="37">
        <f t="shared" si="2"/>
        <v>1460</v>
      </c>
      <c r="M8" s="24">
        <f t="shared" si="3"/>
        <v>0</v>
      </c>
      <c r="N8" s="43" t="str">
        <f>_xlfn.IFNA(VLOOKUP(A8&amp;"-"&amp;B8&amp;"-"&amp;D8,[1]Ref_Account!$A:$F,6,FALSE),"ACCOUNT TIDAK DITEMUKAN")</f>
        <v>1206.630130</v>
      </c>
      <c r="O8" s="22">
        <f t="shared" si="4"/>
        <v>1</v>
      </c>
      <c r="P8" s="22" t="str">
        <f t="shared" si="5"/>
        <v>OVER</v>
      </c>
      <c r="Q8" s="1" t="s">
        <v>70</v>
      </c>
      <c r="R8" s="1"/>
    </row>
    <row r="9" spans="1:18 16384:16384" x14ac:dyDescent="0.25">
      <c r="A9" s="25" t="s">
        <v>40</v>
      </c>
      <c r="B9" s="34" t="s">
        <v>53</v>
      </c>
      <c r="C9" s="25" t="s">
        <v>37</v>
      </c>
      <c r="D9" s="26" t="s">
        <v>27</v>
      </c>
      <c r="E9" s="26" t="s">
        <v>20</v>
      </c>
      <c r="F9" s="26"/>
      <c r="G9" s="38">
        <v>4235.2299999999996</v>
      </c>
      <c r="H9" s="38"/>
      <c r="I9" s="38">
        <f t="shared" si="0"/>
        <v>4235.2299999999996</v>
      </c>
      <c r="J9" s="46">
        <f>G9/VLOOKUP(A9,[1]RESUME!$G$3:$I$10,3,FALSE)</f>
        <v>4.2142936282167892E-2</v>
      </c>
      <c r="K9" s="38">
        <f t="shared" si="1"/>
        <v>3388.1839999999997</v>
      </c>
      <c r="L9" s="38">
        <f t="shared" si="2"/>
        <v>4235.2299999999996</v>
      </c>
      <c r="M9" s="27">
        <f t="shared" si="3"/>
        <v>5.2678670352709865E-2</v>
      </c>
      <c r="N9" s="44" t="str">
        <f>_xlfn.IFNA(VLOOKUP(A9&amp;"-"&amp;B9&amp;"-"&amp;D9,[1]Ref_Account!$A:$F,6,FALSE),"ACCOUNT TIDAK DITEMUKAN")</f>
        <v>1206.631000</v>
      </c>
      <c r="O9" s="26">
        <f t="shared" si="4"/>
        <v>1</v>
      </c>
      <c r="P9" s="26" t="str">
        <f t="shared" si="5"/>
        <v>OK</v>
      </c>
      <c r="Q9" s="39" t="s">
        <v>70</v>
      </c>
      <c r="R9" s="1"/>
    </row>
    <row r="10" spans="1:18 16384:16384" x14ac:dyDescent="0.25">
      <c r="A10" s="21" t="s">
        <v>40</v>
      </c>
      <c r="B10" s="34" t="s">
        <v>54</v>
      </c>
      <c r="C10" s="21" t="s">
        <v>41</v>
      </c>
      <c r="D10" s="22" t="s">
        <v>27</v>
      </c>
      <c r="E10" s="22" t="s">
        <v>20</v>
      </c>
      <c r="F10" s="22"/>
      <c r="G10" s="37">
        <v>821.62</v>
      </c>
      <c r="H10" s="37"/>
      <c r="I10" s="37">
        <f t="shared" si="0"/>
        <v>821.62</v>
      </c>
      <c r="J10" s="23">
        <f>G10/VLOOKUP(A10,[1]RESUME!$G$3:$I$10,3,FALSE)</f>
        <v>8.175584161463436E-3</v>
      </c>
      <c r="K10" s="37">
        <f t="shared" si="1"/>
        <v>657.29600000000005</v>
      </c>
      <c r="L10" s="37">
        <f t="shared" si="2"/>
        <v>821.62</v>
      </c>
      <c r="M10" s="24">
        <f t="shared" si="3"/>
        <v>1.0219480201829296E-2</v>
      </c>
      <c r="N10" s="43" t="str">
        <f>_xlfn.IFNA(VLOOKUP(A10&amp;"-"&amp;B10&amp;"-"&amp;D10,[1]Ref_Account!$A:$F,6,FALSE),"ACCOUNT TIDAK DITEMUKAN")</f>
        <v>1206.815110</v>
      </c>
      <c r="O10" s="22">
        <f t="shared" si="4"/>
        <v>1</v>
      </c>
      <c r="P10" s="22" t="str">
        <f t="shared" si="5"/>
        <v>OK</v>
      </c>
      <c r="Q10" s="1" t="s">
        <v>70</v>
      </c>
      <c r="R10" s="1"/>
    </row>
    <row r="11" spans="1:18 16384:16384" x14ac:dyDescent="0.25">
      <c r="A11" s="25" t="s">
        <v>40</v>
      </c>
      <c r="B11" s="34" t="s">
        <v>55</v>
      </c>
      <c r="C11" s="25" t="s">
        <v>38</v>
      </c>
      <c r="D11" s="26" t="s">
        <v>27</v>
      </c>
      <c r="E11" s="26" t="s">
        <v>20</v>
      </c>
      <c r="F11" s="26"/>
      <c r="G11" s="38">
        <v>55</v>
      </c>
      <c r="H11" s="38"/>
      <c r="I11" s="38">
        <f t="shared" si="0"/>
        <v>55</v>
      </c>
      <c r="J11" s="46">
        <f>G11/VLOOKUP(A11,[1]RESUME!$G$3:$I$10,3,FALSE)</f>
        <v>5.4728113833705236E-4</v>
      </c>
      <c r="K11" s="38">
        <f t="shared" si="1"/>
        <v>44</v>
      </c>
      <c r="L11" s="38">
        <f t="shared" si="2"/>
        <v>55</v>
      </c>
      <c r="M11" s="27">
        <f t="shared" si="3"/>
        <v>6.8410142292131548E-4</v>
      </c>
      <c r="N11" s="44" t="str">
        <f>_xlfn.IFNA(VLOOKUP(A11&amp;"-"&amp;B11&amp;"-"&amp;D11,[1]Ref_Account!$A:$F,6,FALSE),"ACCOUNT TIDAK DITEMUKAN")</f>
        <v>1206.802120</v>
      </c>
      <c r="O11" s="26">
        <f t="shared" si="4"/>
        <v>1</v>
      </c>
      <c r="P11" s="26" t="str">
        <f t="shared" si="5"/>
        <v>OK</v>
      </c>
      <c r="Q11" s="39" t="s">
        <v>70</v>
      </c>
      <c r="R11" s="1"/>
    </row>
    <row r="12" spans="1:18 16384:16384" x14ac:dyDescent="0.25">
      <c r="A12" s="21" t="s">
        <v>40</v>
      </c>
      <c r="B12" s="34" t="s">
        <v>56</v>
      </c>
      <c r="C12" s="21" t="s">
        <v>39</v>
      </c>
      <c r="D12" s="22" t="s">
        <v>27</v>
      </c>
      <c r="E12" s="22" t="s">
        <v>20</v>
      </c>
      <c r="F12" s="22"/>
      <c r="G12" s="37">
        <v>20.09</v>
      </c>
      <c r="H12" s="37"/>
      <c r="I12" s="37">
        <f t="shared" si="0"/>
        <v>20.09</v>
      </c>
      <c r="J12" s="23">
        <f>G12/VLOOKUP(A12,[1]RESUME!$G$3:$I$10,3,FALSE)</f>
        <v>1.9990687398529784E-4</v>
      </c>
      <c r="K12" s="37">
        <f t="shared" si="1"/>
        <v>16.071999999999999</v>
      </c>
      <c r="L12" s="37">
        <f t="shared" si="2"/>
        <v>20.09</v>
      </c>
      <c r="M12" s="24">
        <f t="shared" si="3"/>
        <v>2.4988359248162231E-4</v>
      </c>
      <c r="N12" s="43" t="str">
        <f>_xlfn.IFNA(VLOOKUP(A12&amp;"-"&amp;B12&amp;"-"&amp;D12,[1]Ref_Account!$A:$F,6,FALSE),"ACCOUNT TIDAK DITEMUKAN")</f>
        <v>1206.630450</v>
      </c>
      <c r="O12" s="22">
        <f t="shared" si="4"/>
        <v>1</v>
      </c>
      <c r="P12" s="22" t="str">
        <f t="shared" si="5"/>
        <v>OK</v>
      </c>
      <c r="Q12" s="1" t="s">
        <v>70</v>
      </c>
      <c r="R12" s="1"/>
    </row>
    <row r="13" spans="1:18 16384:16384" x14ac:dyDescent="0.25">
      <c r="A13" s="25" t="s">
        <v>40</v>
      </c>
      <c r="B13" s="34" t="s">
        <v>57</v>
      </c>
      <c r="C13" s="25" t="s">
        <v>22</v>
      </c>
      <c r="D13" s="26" t="s">
        <v>27</v>
      </c>
      <c r="E13" s="26" t="s">
        <v>42</v>
      </c>
      <c r="F13" s="26"/>
      <c r="G13" s="38">
        <v>563</v>
      </c>
      <c r="H13" s="38">
        <v>84.77</v>
      </c>
      <c r="I13" s="38">
        <f t="shared" si="0"/>
        <v>478.23</v>
      </c>
      <c r="J13" s="46">
        <f>G13/VLOOKUP(A13,[1]RESUME!$G$3:$I$10,3,FALSE)</f>
        <v>5.6021687433410999E-3</v>
      </c>
      <c r="K13" s="38">
        <f t="shared" si="1"/>
        <v>450.40000000000003</v>
      </c>
      <c r="L13" s="38">
        <f t="shared" si="2"/>
        <v>563</v>
      </c>
      <c r="M13" s="27">
        <f t="shared" si="3"/>
        <v>7.0027109291763753E-3</v>
      </c>
      <c r="N13" s="44" t="str">
        <f>_xlfn.IFNA(VLOOKUP(A13&amp;"-"&amp;B13&amp;"-"&amp;D13,[1]Ref_Account!$A:$F,6,FALSE),"ACCOUNT TIDAK DITEMUKAN")</f>
        <v>1206.630300</v>
      </c>
      <c r="O13" s="26">
        <f t="shared" si="4"/>
        <v>1</v>
      </c>
      <c r="P13" s="26" t="str">
        <f t="shared" si="5"/>
        <v>OK</v>
      </c>
      <c r="Q13" s="39" t="s">
        <v>70</v>
      </c>
      <c r="R13" s="1"/>
    </row>
    <row r="14" spans="1:18 16384:16384" x14ac:dyDescent="0.25">
      <c r="A14" s="21" t="s">
        <v>40</v>
      </c>
      <c r="B14" s="34" t="s">
        <v>58</v>
      </c>
      <c r="C14" s="21" t="s">
        <v>29</v>
      </c>
      <c r="D14" s="22" t="s">
        <v>27</v>
      </c>
      <c r="E14" s="22" t="s">
        <v>42</v>
      </c>
      <c r="F14" s="22"/>
      <c r="G14" s="37">
        <v>50</v>
      </c>
      <c r="H14" s="37"/>
      <c r="I14" s="37">
        <f t="shared" si="0"/>
        <v>50</v>
      </c>
      <c r="J14" s="23">
        <f>G14/VLOOKUP(A14,[1]RESUME!$G$3:$I$10,3,FALSE)</f>
        <v>4.9752830757913849E-4</v>
      </c>
      <c r="K14" s="37">
        <f t="shared" si="1"/>
        <v>40</v>
      </c>
      <c r="L14" s="37">
        <f t="shared" si="2"/>
        <v>50</v>
      </c>
      <c r="M14" s="24">
        <f t="shared" si="3"/>
        <v>6.2191038447392312E-4</v>
      </c>
      <c r="N14" s="43" t="str">
        <f>_xlfn.IFNA(VLOOKUP(A14&amp;"-"&amp;B14&amp;"-"&amp;D14,[1]Ref_Account!$A:$F,6,FALSE),"ACCOUNT TIDAK DITEMUKAN")</f>
        <v>1206.630770</v>
      </c>
      <c r="O14" s="22">
        <f t="shared" si="4"/>
        <v>1</v>
      </c>
      <c r="P14" s="22" t="str">
        <f t="shared" si="5"/>
        <v>OK</v>
      </c>
      <c r="Q14" s="1" t="s">
        <v>70</v>
      </c>
      <c r="R14" s="1"/>
    </row>
    <row r="15" spans="1:18 16384:16384" x14ac:dyDescent="0.25">
      <c r="A15" s="25" t="s">
        <v>40</v>
      </c>
      <c r="B15" s="34" t="s">
        <v>59</v>
      </c>
      <c r="C15" s="25" t="s">
        <v>30</v>
      </c>
      <c r="D15" s="26" t="s">
        <v>27</v>
      </c>
      <c r="E15" s="26" t="s">
        <v>42</v>
      </c>
      <c r="F15" s="26"/>
      <c r="G15" s="38">
        <v>50</v>
      </c>
      <c r="H15" s="38"/>
      <c r="I15" s="38">
        <f t="shared" si="0"/>
        <v>50</v>
      </c>
      <c r="J15" s="46">
        <f>G15/VLOOKUP(A15,[1]RESUME!$G$3:$I$10,3,FALSE)</f>
        <v>4.9752830757913849E-4</v>
      </c>
      <c r="K15" s="38">
        <f t="shared" si="1"/>
        <v>40</v>
      </c>
      <c r="L15" s="38">
        <f t="shared" si="2"/>
        <v>50</v>
      </c>
      <c r="M15" s="27">
        <f t="shared" si="3"/>
        <v>6.2191038447392312E-4</v>
      </c>
      <c r="N15" s="44" t="str">
        <f>_xlfn.IFNA(VLOOKUP(A15&amp;"-"&amp;B15&amp;"-"&amp;D15,[1]Ref_Account!$A:$F,6,FALSE),"ACCOUNT TIDAK DITEMUKAN")</f>
        <v>1206.630750</v>
      </c>
      <c r="O15" s="26">
        <f t="shared" si="4"/>
        <v>1</v>
      </c>
      <c r="P15" s="26" t="str">
        <f t="shared" si="5"/>
        <v>OK</v>
      </c>
      <c r="Q15" s="39" t="s">
        <v>70</v>
      </c>
      <c r="R15" s="1"/>
    </row>
    <row r="16" spans="1:18 16384:16384" x14ac:dyDescent="0.25">
      <c r="A16" s="21" t="s">
        <v>40</v>
      </c>
      <c r="B16" s="34" t="s">
        <v>60</v>
      </c>
      <c r="C16" s="21" t="s">
        <v>31</v>
      </c>
      <c r="D16" s="22" t="s">
        <v>27</v>
      </c>
      <c r="E16" s="22" t="s">
        <v>42</v>
      </c>
      <c r="F16" s="22"/>
      <c r="G16" s="37">
        <v>50</v>
      </c>
      <c r="H16" s="37">
        <v>1313.04</v>
      </c>
      <c r="I16" s="37">
        <f t="shared" si="0"/>
        <v>-1263.04</v>
      </c>
      <c r="J16" s="23">
        <f>G16/VLOOKUP(A16,[1]RESUME!$G$3:$I$10,3,FALSE)</f>
        <v>4.9752830757913849E-4</v>
      </c>
      <c r="K16" s="37">
        <f t="shared" si="1"/>
        <v>40</v>
      </c>
      <c r="L16" s="37">
        <f t="shared" si="2"/>
        <v>50</v>
      </c>
      <c r="M16" s="24">
        <f t="shared" si="3"/>
        <v>0</v>
      </c>
      <c r="N16" s="43" t="str">
        <f>_xlfn.IFNA(VLOOKUP(A16&amp;"-"&amp;B16&amp;"-"&amp;D16,[1]Ref_Account!$A:$F,6,FALSE),"ACCOUNT TIDAK DITEMUKAN")</f>
        <v>1206.630720</v>
      </c>
      <c r="O16" s="22">
        <f t="shared" si="4"/>
        <v>1</v>
      </c>
      <c r="P16" s="22" t="str">
        <f t="shared" si="5"/>
        <v>OVER</v>
      </c>
      <c r="Q16" s="1" t="s">
        <v>70</v>
      </c>
      <c r="R16" s="1"/>
    </row>
    <row r="17" spans="1:18" x14ac:dyDescent="0.25">
      <c r="A17" s="25" t="s">
        <v>40</v>
      </c>
      <c r="B17" s="34" t="s">
        <v>61</v>
      </c>
      <c r="C17" s="25" t="s">
        <v>32</v>
      </c>
      <c r="D17" s="26" t="s">
        <v>27</v>
      </c>
      <c r="E17" s="26" t="s">
        <v>42</v>
      </c>
      <c r="F17" s="26"/>
      <c r="G17" s="38">
        <v>50</v>
      </c>
      <c r="H17" s="38"/>
      <c r="I17" s="38">
        <f t="shared" si="0"/>
        <v>50</v>
      </c>
      <c r="J17" s="46">
        <f>G17/VLOOKUP(A17,[1]RESUME!$G$3:$I$10,3,FALSE)</f>
        <v>4.9752830757913849E-4</v>
      </c>
      <c r="K17" s="38">
        <f t="shared" si="1"/>
        <v>40</v>
      </c>
      <c r="L17" s="38">
        <f t="shared" si="2"/>
        <v>50</v>
      </c>
      <c r="M17" s="27">
        <f t="shared" si="3"/>
        <v>6.2191038447392312E-4</v>
      </c>
      <c r="N17" s="44" t="str">
        <f>_xlfn.IFNA(VLOOKUP(A17&amp;"-"&amp;B17&amp;"-"&amp;D17,[1]Ref_Account!$A:$F,6,FALSE),"ACCOUNT TIDAK DITEMUKAN")</f>
        <v>1206.630760</v>
      </c>
      <c r="O17" s="26">
        <f t="shared" si="4"/>
        <v>1</v>
      </c>
      <c r="P17" s="26" t="str">
        <f t="shared" si="5"/>
        <v>OK</v>
      </c>
      <c r="Q17" s="39" t="s">
        <v>70</v>
      </c>
      <c r="R17" s="1"/>
    </row>
    <row r="18" spans="1:18" x14ac:dyDescent="0.25">
      <c r="A18" s="21" t="s">
        <v>40</v>
      </c>
      <c r="B18" s="34" t="s">
        <v>62</v>
      </c>
      <c r="C18" s="21" t="s">
        <v>33</v>
      </c>
      <c r="D18" s="22" t="s">
        <v>27</v>
      </c>
      <c r="E18" s="22" t="s">
        <v>42</v>
      </c>
      <c r="F18" s="22"/>
      <c r="G18" s="37">
        <v>50</v>
      </c>
      <c r="H18" s="37"/>
      <c r="I18" s="37">
        <f t="shared" si="0"/>
        <v>50</v>
      </c>
      <c r="J18" s="23">
        <f>G18/VLOOKUP(A18,[1]RESUME!$G$3:$I$10,3,FALSE)</f>
        <v>4.9752830757913849E-4</v>
      </c>
      <c r="K18" s="37">
        <f t="shared" si="1"/>
        <v>40</v>
      </c>
      <c r="L18" s="37">
        <f t="shared" si="2"/>
        <v>50</v>
      </c>
      <c r="M18" s="24">
        <f t="shared" si="3"/>
        <v>6.2191038447392312E-4</v>
      </c>
      <c r="N18" s="43" t="str">
        <f>_xlfn.IFNA(VLOOKUP(A18&amp;"-"&amp;B18&amp;"-"&amp;D18,[1]Ref_Account!$A:$F,6,FALSE),"ACCOUNT TIDAK DITEMUKAN")</f>
        <v>1206.630730</v>
      </c>
      <c r="O18" s="22">
        <f t="shared" si="4"/>
        <v>1</v>
      </c>
      <c r="P18" s="22" t="str">
        <f t="shared" si="5"/>
        <v>OK</v>
      </c>
      <c r="Q18" s="1" t="s">
        <v>70</v>
      </c>
      <c r="R18" s="1"/>
    </row>
    <row r="19" spans="1:18" x14ac:dyDescent="0.25">
      <c r="A19" s="25" t="s">
        <v>40</v>
      </c>
      <c r="B19" s="34" t="s">
        <v>63</v>
      </c>
      <c r="C19" s="25" t="s">
        <v>34</v>
      </c>
      <c r="D19" s="26" t="s">
        <v>27</v>
      </c>
      <c r="E19" s="26" t="s">
        <v>42</v>
      </c>
      <c r="F19" s="26"/>
      <c r="G19" s="38">
        <v>50</v>
      </c>
      <c r="H19" s="38"/>
      <c r="I19" s="38">
        <f t="shared" si="0"/>
        <v>50</v>
      </c>
      <c r="J19" s="46">
        <f>G19/VLOOKUP(A19,[1]RESUME!$G$3:$I$10,3,FALSE)</f>
        <v>4.9752830757913849E-4</v>
      </c>
      <c r="K19" s="38">
        <f t="shared" si="1"/>
        <v>40</v>
      </c>
      <c r="L19" s="38">
        <f t="shared" si="2"/>
        <v>50</v>
      </c>
      <c r="M19" s="27">
        <f t="shared" si="3"/>
        <v>6.2191038447392312E-4</v>
      </c>
      <c r="N19" s="44" t="str">
        <f>_xlfn.IFNA(VLOOKUP(A19&amp;"-"&amp;B19&amp;"-"&amp;D19,[1]Ref_Account!$A:$F,6,FALSE),"ACCOUNT TIDAK DITEMUKAN")</f>
        <v>1206.630740</v>
      </c>
      <c r="O19" s="26">
        <f t="shared" si="4"/>
        <v>1</v>
      </c>
      <c r="P19" s="26" t="str">
        <f t="shared" si="5"/>
        <v>OK</v>
      </c>
      <c r="Q19" s="39" t="s">
        <v>70</v>
      </c>
      <c r="R19" s="1"/>
    </row>
    <row r="20" spans="1:18" x14ac:dyDescent="0.25">
      <c r="A20" s="21" t="s">
        <v>40</v>
      </c>
      <c r="B20" s="34" t="s">
        <v>64</v>
      </c>
      <c r="C20" s="21" t="s">
        <v>36</v>
      </c>
      <c r="D20" s="22" t="s">
        <v>27</v>
      </c>
      <c r="E20" s="22" t="s">
        <v>42</v>
      </c>
      <c r="F20" s="22"/>
      <c r="G20" s="37">
        <v>3978</v>
      </c>
      <c r="H20" s="37">
        <v>4309.0600000000004</v>
      </c>
      <c r="I20" s="37">
        <f t="shared" si="0"/>
        <v>-331.0600000000004</v>
      </c>
      <c r="J20" s="23">
        <f>G20/VLOOKUP(A20,[1]RESUME!$G$3:$I$10,3,FALSE)</f>
        <v>3.9583352150996259E-2</v>
      </c>
      <c r="K20" s="37">
        <f t="shared" si="1"/>
        <v>3182.4</v>
      </c>
      <c r="L20" s="37">
        <f t="shared" si="2"/>
        <v>3978</v>
      </c>
      <c r="M20" s="24">
        <f t="shared" si="3"/>
        <v>0</v>
      </c>
      <c r="N20" s="43" t="str">
        <f>_xlfn.IFNA(VLOOKUP(A20&amp;"-"&amp;B20&amp;"-"&amp;D20,[1]Ref_Account!$A:$F,6,FALSE),"ACCOUNT TIDAK DITEMUKAN")</f>
        <v>1206.631110</v>
      </c>
      <c r="O20" s="22">
        <f t="shared" si="4"/>
        <v>1</v>
      </c>
      <c r="P20" s="22" t="str">
        <f t="shared" si="5"/>
        <v>OVER</v>
      </c>
      <c r="Q20" s="1" t="s">
        <v>70</v>
      </c>
      <c r="R20" s="1"/>
    </row>
    <row r="21" spans="1:18" x14ac:dyDescent="0.25">
      <c r="A21" s="25" t="s">
        <v>40</v>
      </c>
      <c r="B21" s="34" t="s">
        <v>65</v>
      </c>
      <c r="C21" s="25" t="s">
        <v>19</v>
      </c>
      <c r="D21" s="26" t="s">
        <v>27</v>
      </c>
      <c r="E21" s="26" t="s">
        <v>43</v>
      </c>
      <c r="F21" s="26"/>
      <c r="G21" s="38">
        <v>5000</v>
      </c>
      <c r="H21" s="38">
        <v>3055.97</v>
      </c>
      <c r="I21" s="38">
        <f t="shared" si="0"/>
        <v>1944.0300000000002</v>
      </c>
      <c r="J21" s="46">
        <f>G21/VLOOKUP(A21,[1]RESUME!$G$3:$I$10,3,FALSE)</f>
        <v>4.9752830757913848E-2</v>
      </c>
      <c r="K21" s="38">
        <f t="shared" si="1"/>
        <v>4000</v>
      </c>
      <c r="L21" s="38">
        <f t="shared" si="2"/>
        <v>5000</v>
      </c>
      <c r="M21" s="27">
        <f t="shared" si="3"/>
        <v>6.2191038447392308E-2</v>
      </c>
      <c r="N21" s="44" t="str">
        <f>_xlfn.IFNA(VLOOKUP(A21&amp;"-"&amp;B21&amp;"-"&amp;D21,[1]Ref_Account!$A:$F,6,FALSE),"ACCOUNT TIDAK DITEMUKAN")</f>
        <v>1206.812100</v>
      </c>
      <c r="O21" s="26">
        <f t="shared" si="4"/>
        <v>1</v>
      </c>
      <c r="P21" s="26" t="str">
        <f t="shared" si="5"/>
        <v>OK</v>
      </c>
      <c r="Q21" s="39" t="s">
        <v>70</v>
      </c>
      <c r="R21" s="1"/>
    </row>
    <row r="22" spans="1:18" x14ac:dyDescent="0.25">
      <c r="A22" s="21" t="s">
        <v>40</v>
      </c>
      <c r="B22" s="34" t="s">
        <v>66</v>
      </c>
      <c r="C22" s="21" t="s">
        <v>21</v>
      </c>
      <c r="D22" s="22" t="s">
        <v>27</v>
      </c>
      <c r="E22" s="22" t="s">
        <v>20</v>
      </c>
      <c r="F22" s="22"/>
      <c r="G22" s="37">
        <v>3463.43</v>
      </c>
      <c r="H22" s="37">
        <v>3779.14</v>
      </c>
      <c r="I22" s="37">
        <f t="shared" si="0"/>
        <v>-315.71000000000004</v>
      </c>
      <c r="J22" s="23">
        <f>G22/VLOOKUP(A22,[1]RESUME!$G$3:$I$10,3,FALSE)</f>
        <v>3.446308932637631E-2</v>
      </c>
      <c r="K22" s="37">
        <f t="shared" si="1"/>
        <v>2770.7440000000001</v>
      </c>
      <c r="L22" s="37">
        <f t="shared" si="2"/>
        <v>3463.43</v>
      </c>
      <c r="M22" s="24">
        <f t="shared" si="3"/>
        <v>0</v>
      </c>
      <c r="N22" s="43" t="str">
        <f>_xlfn.IFNA(VLOOKUP(A22&amp;"-"&amp;B22&amp;"-"&amp;D22,[1]Ref_Account!$A:$F,6,FALSE),"ACCOUNT TIDAK DITEMUKAN")</f>
        <v>1206.630400</v>
      </c>
      <c r="O22" s="22">
        <f t="shared" si="4"/>
        <v>1</v>
      </c>
      <c r="P22" s="22" t="str">
        <f t="shared" si="5"/>
        <v>OVER</v>
      </c>
      <c r="Q22" s="1" t="s">
        <v>70</v>
      </c>
      <c r="R22" s="1"/>
    </row>
    <row r="23" spans="1:18" x14ac:dyDescent="0.25">
      <c r="A23" s="25" t="s">
        <v>40</v>
      </c>
      <c r="B23" s="34" t="s">
        <v>67</v>
      </c>
      <c r="C23" s="25" t="s">
        <v>23</v>
      </c>
      <c r="D23" s="26" t="s">
        <v>27</v>
      </c>
      <c r="E23" s="26" t="s">
        <v>20</v>
      </c>
      <c r="F23" s="26"/>
      <c r="G23" s="38">
        <v>23.95</v>
      </c>
      <c r="H23" s="38"/>
      <c r="I23" s="38">
        <f t="shared" si="0"/>
        <v>23.95</v>
      </c>
      <c r="J23" s="46">
        <f>G23/VLOOKUP(A23,[1]RESUME!$G$3:$I$10,3,FALSE)</f>
        <v>2.3831605933040734E-4</v>
      </c>
      <c r="K23" s="38">
        <f t="shared" si="1"/>
        <v>19.16</v>
      </c>
      <c r="L23" s="38">
        <f t="shared" si="2"/>
        <v>23.95</v>
      </c>
      <c r="M23" s="27">
        <f t="shared" si="3"/>
        <v>2.9789507416300918E-4</v>
      </c>
      <c r="N23" s="44" t="str">
        <f>_xlfn.IFNA(VLOOKUP(A23&amp;"-"&amp;B23&amp;"-"&amp;D23,[1]Ref_Account!$A:$F,6,FALSE),"ACCOUNT TIDAK DITEMUKAN")</f>
        <v>1206.808100</v>
      </c>
      <c r="O23" s="26">
        <f t="shared" si="4"/>
        <v>1</v>
      </c>
      <c r="P23" s="26" t="str">
        <f t="shared" si="5"/>
        <v>OK</v>
      </c>
      <c r="Q23" s="39" t="s">
        <v>70</v>
      </c>
      <c r="R23" s="1"/>
    </row>
    <row r="24" spans="1:18" x14ac:dyDescent="0.25">
      <c r="A24" s="21" t="s">
        <v>40</v>
      </c>
      <c r="B24" s="34" t="s">
        <v>68</v>
      </c>
      <c r="C24" s="21" t="s">
        <v>26</v>
      </c>
      <c r="D24" s="22" t="s">
        <v>27</v>
      </c>
      <c r="E24" s="22" t="s">
        <v>44</v>
      </c>
      <c r="F24" s="22"/>
      <c r="G24" s="37">
        <v>47747.46</v>
      </c>
      <c r="H24" s="37"/>
      <c r="I24" s="37">
        <f t="shared" si="0"/>
        <v>47747.46</v>
      </c>
      <c r="J24" s="23">
        <f>G24/VLOOKUP(A24,[1]RESUME!$G$3:$I$10,3,FALSE)</f>
        <v>0.47511425930005224</v>
      </c>
      <c r="K24" s="37">
        <f t="shared" si="1"/>
        <v>38197.968000000001</v>
      </c>
      <c r="L24" s="37">
        <f t="shared" si="2"/>
        <v>47747.46</v>
      </c>
      <c r="M24" s="24">
        <f t="shared" si="3"/>
        <v>0.59389282412506528</v>
      </c>
      <c r="N24" s="43" t="str">
        <f>_xlfn.IFNA(VLOOKUP(A24&amp;"-"&amp;B24&amp;"-"&amp;D24,[1]Ref_Account!$A:$F,6,FALSE),"ACCOUNT TIDAK DITEMUKAN")</f>
        <v>1206.630110</v>
      </c>
      <c r="O24" s="22">
        <f t="shared" si="4"/>
        <v>1</v>
      </c>
      <c r="P24" s="22" t="str">
        <f t="shared" si="5"/>
        <v>OK</v>
      </c>
      <c r="Q24" s="1" t="s">
        <v>70</v>
      </c>
      <c r="R24" s="1"/>
    </row>
    <row r="25" spans="1:18" x14ac:dyDescent="0.25">
      <c r="A25" s="25" t="s">
        <v>40</v>
      </c>
      <c r="B25" s="34" t="s">
        <v>69</v>
      </c>
      <c r="C25" s="25" t="s">
        <v>45</v>
      </c>
      <c r="D25" s="26" t="s">
        <v>27</v>
      </c>
      <c r="E25" s="26" t="s">
        <v>46</v>
      </c>
      <c r="F25" s="26"/>
      <c r="G25" s="38">
        <v>2800</v>
      </c>
      <c r="H25" s="38"/>
      <c r="I25" s="38">
        <f t="shared" si="0"/>
        <v>2800</v>
      </c>
      <c r="J25" s="46">
        <f>G25/VLOOKUP(A25,[1]RESUME!$G$3:$I$10,3,FALSE)</f>
        <v>2.7861585224431756E-2</v>
      </c>
      <c r="K25" s="38">
        <f t="shared" si="1"/>
        <v>2240</v>
      </c>
      <c r="L25" s="38">
        <f t="shared" si="2"/>
        <v>2800</v>
      </c>
      <c r="M25" s="27">
        <f t="shared" si="3"/>
        <v>3.4826981530539695E-2</v>
      </c>
      <c r="N25" s="44" t="str">
        <f>_xlfn.IFNA(VLOOKUP(A25&amp;"-"&amp;B25&amp;"-"&amp;D25,[1]Ref_Account!$A:$F,6,FALSE),"ACCOUNT TIDAK DITEMUKAN")</f>
        <v>1206.801110</v>
      </c>
      <c r="O25" s="26">
        <f t="shared" si="4"/>
        <v>1</v>
      </c>
      <c r="P25" s="26" t="str">
        <f t="shared" si="5"/>
        <v>OK</v>
      </c>
      <c r="Q25" s="39" t="s">
        <v>70</v>
      </c>
      <c r="R25" s="1"/>
    </row>
    <row r="26" spans="1:18" x14ac:dyDescent="0.25">
      <c r="A26" s="21" t="s">
        <v>40</v>
      </c>
      <c r="B26" s="34" t="s">
        <v>15</v>
      </c>
      <c r="C26" s="21" t="s">
        <v>16</v>
      </c>
      <c r="D26" s="22" t="s">
        <v>27</v>
      </c>
      <c r="E26" s="22" t="s">
        <v>47</v>
      </c>
      <c r="F26" s="22"/>
      <c r="G26" s="37">
        <v>812</v>
      </c>
      <c r="H26" s="37">
        <v>676.87</v>
      </c>
      <c r="I26" s="37">
        <f t="shared" si="0"/>
        <v>135.13</v>
      </c>
      <c r="J26" s="23">
        <f>G26/VLOOKUP(A26,[1]RESUME!$G$3:$I$10,3,FALSE)</f>
        <v>8.0798597150852098E-3</v>
      </c>
      <c r="K26" s="37">
        <f t="shared" si="1"/>
        <v>649.6</v>
      </c>
      <c r="L26" s="37">
        <f t="shared" si="2"/>
        <v>812</v>
      </c>
      <c r="M26" s="24">
        <f t="shared" si="3"/>
        <v>9.6929190075630348E-3</v>
      </c>
      <c r="N26" s="43" t="str">
        <f>_xlfn.IFNA(VLOOKUP(A26&amp;"-"&amp;B26&amp;"-"&amp;D26,[1]Ref_Account!$A:$F,6,FALSE),"ACCOUNT TIDAK DITEMUKAN")</f>
        <v>1206.631180</v>
      </c>
      <c r="O26" s="22">
        <f t="shared" si="4"/>
        <v>1</v>
      </c>
      <c r="P26" s="22" t="str">
        <f t="shared" si="5"/>
        <v>OK</v>
      </c>
      <c r="Q26" s="1" t="s">
        <v>70</v>
      </c>
      <c r="R26" s="1"/>
    </row>
    <row r="27" spans="1:18" x14ac:dyDescent="0.25">
      <c r="A27" s="25" t="s">
        <v>40</v>
      </c>
      <c r="B27" s="34" t="s">
        <v>17</v>
      </c>
      <c r="C27" s="25" t="s">
        <v>18</v>
      </c>
      <c r="D27" s="26" t="s">
        <v>48</v>
      </c>
      <c r="E27" s="26" t="s">
        <v>49</v>
      </c>
      <c r="F27" s="26"/>
      <c r="G27" s="38">
        <v>26280.234329731342</v>
      </c>
      <c r="H27" s="38"/>
      <c r="I27" s="38">
        <f t="shared" si="0"/>
        <v>26280.234329731342</v>
      </c>
      <c r="J27" s="46">
        <f>G27/VLOOKUP(A27,[1]RESUME!$G$3:$I$10,3,FALSE)</f>
        <v>0.26150321017708822</v>
      </c>
      <c r="K27" s="38">
        <f t="shared" si="1"/>
        <v>21024.187463785074</v>
      </c>
      <c r="L27" s="38">
        <f t="shared" si="2"/>
        <v>26280.234329731342</v>
      </c>
      <c r="M27" s="27">
        <f t="shared" si="3"/>
        <v>0.32687901272136027</v>
      </c>
      <c r="N27" s="44" t="str">
        <f>_xlfn.IFNA(VLOOKUP(A27&amp;"-"&amp;B27&amp;"-"&amp;D27,[1]Ref_Account!$A:$F,6,FALSE),"ACCOUNT TIDAK DITEMUKAN")</f>
        <v>1206.630600</v>
      </c>
      <c r="O27" s="26">
        <f t="shared" si="4"/>
        <v>1</v>
      </c>
      <c r="P27" s="26" t="str">
        <f t="shared" si="5"/>
        <v>OK</v>
      </c>
      <c r="Q27" s="39" t="s">
        <v>70</v>
      </c>
      <c r="R27" s="1"/>
    </row>
  </sheetData>
  <mergeCells count="1">
    <mergeCell ref="A1:Q2"/>
  </mergeCells>
  <conditionalFormatting sqref="P28:P1048576">
    <cfRule type="containsText" dxfId="5" priority="36" operator="containsText" text="OVER">
      <formula>NOT(ISERROR(SEARCH("OVER",P28)))</formula>
    </cfRule>
  </conditionalFormatting>
  <conditionalFormatting sqref="I28:I1048576">
    <cfRule type="cellIs" dxfId="4" priority="35" operator="lessThanOrEqual">
      <formula>0</formula>
    </cfRule>
  </conditionalFormatting>
  <conditionalFormatting sqref="I3:I27">
    <cfRule type="cellIs" dxfId="1" priority="2" operator="lessThanOrEqual">
      <formula>0</formula>
    </cfRule>
  </conditionalFormatting>
  <conditionalFormatting sqref="P6:P27">
    <cfRule type="containsText" dxfId="0" priority="1" operator="containsText" text="OVER">
      <formula>NOT(ISERROR(SEARCH("OVER",P6)))</formula>
    </cfRule>
  </conditionalFormatting>
  <hyperlinks>
    <hyperlink ref="B6" r:id="rId1" xr:uid="{F04E7B30-B560-4448-8104-77EC88D3F0D3}"/>
    <hyperlink ref="B7" r:id="rId2" xr:uid="{F303A508-438B-45B0-87E1-620E113F2BE0}"/>
    <hyperlink ref="B8" r:id="rId3" xr:uid="{7B784B4B-9B1F-457B-8423-58114C4DEB8B}"/>
    <hyperlink ref="B9" r:id="rId4" xr:uid="{90765745-9291-468A-9F54-6F1D4D63125E}"/>
    <hyperlink ref="B10" r:id="rId5" xr:uid="{BC568A18-5D86-4BBC-8C41-70CA4CD9D2F9}"/>
    <hyperlink ref="B11" r:id="rId6" xr:uid="{2AA3F57D-D35F-4FAE-929C-ED9B06D6ED60}"/>
    <hyperlink ref="B12" r:id="rId7" xr:uid="{A2B9E5F8-FCE7-4643-87F1-F70A0042C6E5}"/>
    <hyperlink ref="B13" r:id="rId8" xr:uid="{3280E43F-4573-443F-B01E-113E29D9E40E}"/>
    <hyperlink ref="B14" r:id="rId9" xr:uid="{45290481-9EFD-43BE-817A-715CA90FE227}"/>
    <hyperlink ref="B15" r:id="rId10" xr:uid="{0210687C-2FF4-4AEB-853F-0E234D2C81CD}"/>
    <hyperlink ref="B16" r:id="rId11" xr:uid="{07220DF0-694F-4A4F-AAA5-4F812B0A017F}"/>
    <hyperlink ref="B17" r:id="rId12" xr:uid="{1D9278DE-1660-42E8-B869-4D3532091E73}"/>
    <hyperlink ref="B18" r:id="rId13" xr:uid="{4140589C-64CD-4160-95A6-BCBA2B2ED58A}"/>
    <hyperlink ref="B19" r:id="rId14" xr:uid="{93FFD3D1-3219-447C-B7BB-66A589F100E3}"/>
    <hyperlink ref="B20" r:id="rId15" xr:uid="{BD18743A-ACA1-4785-9414-E23D1F8B54B0}"/>
    <hyperlink ref="B21" r:id="rId16" xr:uid="{F2FF548B-1F91-4C80-8F8D-5DFE29A88BC9}"/>
    <hyperlink ref="B22" r:id="rId17" xr:uid="{B86B35EA-A11C-4253-A203-592C8A0F8899}"/>
    <hyperlink ref="B23" r:id="rId18" xr:uid="{01EB0206-7664-4BEF-88C4-59B1A3EFD640}"/>
    <hyperlink ref="B24" r:id="rId19" xr:uid="{C7F229B0-EF4C-433F-AA8B-FE8E4F99B493}"/>
    <hyperlink ref="B25" r:id="rId20" xr:uid="{E0CB2B30-7AC7-40C4-9B2E-B00DBE03EFF3}"/>
    <hyperlink ref="B26" r:id="rId21" xr:uid="{24871804-9A0D-441F-92A3-438C2D9E2849}"/>
    <hyperlink ref="B27" r:id="rId22" xr:uid="{97F5E784-CCED-439C-B04E-A097EAD1E9B9}"/>
  </hyperlinks>
  <pageMargins left="0.7" right="0.7" top="0.75" bottom="0.75" header="0.3" footer="0.3"/>
  <pageSetup paperSize="9" orientation="portrait" r:id="rId2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 Costing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dcterms:created xsi:type="dcterms:W3CDTF">2024-02-21T01:47:30Z</dcterms:created>
  <dcterms:modified xsi:type="dcterms:W3CDTF">2024-02-26T03:46:36Z</dcterms:modified>
</cp:coreProperties>
</file>