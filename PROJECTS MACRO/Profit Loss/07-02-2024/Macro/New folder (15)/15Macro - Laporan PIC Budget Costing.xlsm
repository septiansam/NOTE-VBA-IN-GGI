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5)\"/>
    </mc:Choice>
  </mc:AlternateContent>
  <xr:revisionPtr revIDLastSave="0" documentId="13_ncr:1_{6A9ECE06-1D23-400F-80BC-E24521A74F65}" xr6:coauthVersionLast="47" xr6:coauthVersionMax="47" xr10:uidLastSave="{00000000-0000-0000-0000-000000000000}"/>
  <bookViews>
    <workbookView xWindow="-120" yWindow="-120" windowWidth="20640" windowHeight="11160" activeTab="5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Production_Cost!$A$4:$Q$140</definedName>
    <definedName name="_xlnm._FilterDatabase" localSheetId="8" hidden="1">Ref_ProdCost!$A$1:$B$33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6" i="133" l="1"/>
  <c r="AB7" i="133"/>
  <c r="AB8" i="133"/>
  <c r="AB9" i="133"/>
  <c r="AB10" i="133"/>
  <c r="AB11" i="133"/>
  <c r="AB12" i="133"/>
  <c r="AB13" i="133"/>
  <c r="AB14" i="133"/>
  <c r="AB15" i="133"/>
  <c r="AB16" i="133"/>
  <c r="AB17" i="133"/>
  <c r="AB18" i="133"/>
  <c r="AB19" i="133"/>
  <c r="AB20" i="133"/>
  <c r="AB21" i="133"/>
  <c r="AB22" i="133"/>
  <c r="AB23" i="133"/>
  <c r="AB24" i="133"/>
  <c r="AB25" i="133"/>
  <c r="AB26" i="133"/>
  <c r="AB27" i="133"/>
  <c r="AB28" i="133"/>
  <c r="AB29" i="133"/>
  <c r="AB30" i="133"/>
  <c r="AB31" i="133"/>
  <c r="AB32" i="133"/>
  <c r="AA6" i="133"/>
  <c r="AA7" i="133"/>
  <c r="AA8" i="133"/>
  <c r="AA9" i="133"/>
  <c r="AA10" i="133"/>
  <c r="AA11" i="133"/>
  <c r="AA12" i="133"/>
  <c r="AA13" i="133"/>
  <c r="AA14" i="133"/>
  <c r="AA15" i="133"/>
  <c r="AA16" i="133"/>
  <c r="AA17" i="133"/>
  <c r="AA18" i="133"/>
  <c r="AA19" i="133"/>
  <c r="AA20" i="133"/>
  <c r="AA21" i="133"/>
  <c r="AA22" i="133"/>
  <c r="AA23" i="133"/>
  <c r="AA24" i="133"/>
  <c r="AA25" i="133"/>
  <c r="AA26" i="133"/>
  <c r="AA27" i="133"/>
  <c r="AA28" i="133"/>
  <c r="AA29" i="133"/>
  <c r="AA30" i="133"/>
  <c r="AA31" i="133"/>
  <c r="AA32" i="133"/>
  <c r="I6" i="1"/>
  <c r="AB5" i="133"/>
  <c r="AA5" i="133"/>
  <c r="R4" i="133"/>
  <c r="A3" i="133" l="1"/>
  <c r="A1" i="133"/>
  <c r="A3" i="1" l="1"/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6" i="108"/>
  <c r="E136" i="108"/>
  <c r="D136" i="108"/>
  <c r="C136" i="108"/>
  <c r="B136" i="108"/>
  <c r="H135" i="108"/>
  <c r="I135" i="108" s="1"/>
  <c r="H134" i="108"/>
  <c r="H133" i="108"/>
  <c r="H132" i="108"/>
  <c r="I132" i="108" s="1"/>
  <c r="H131" i="108"/>
  <c r="I131" i="108" s="1"/>
  <c r="H130" i="108"/>
  <c r="I130" i="108" s="1"/>
  <c r="H129" i="108"/>
  <c r="I129" i="108" s="1"/>
  <c r="H128" i="108"/>
  <c r="H127" i="108"/>
  <c r="I127" i="108" s="1"/>
  <c r="H126" i="108"/>
  <c r="H125" i="108"/>
  <c r="I125" i="108" s="1"/>
  <c r="H124" i="108"/>
  <c r="I124" i="108" s="1"/>
  <c r="H123" i="108"/>
  <c r="I123" i="108" s="1"/>
  <c r="H122" i="108"/>
  <c r="I122" i="108" s="1"/>
  <c r="H121" i="108"/>
  <c r="I121" i="108" s="1"/>
  <c r="H120" i="108"/>
  <c r="H119" i="108"/>
  <c r="I119" i="108" s="1"/>
  <c r="H118" i="108"/>
  <c r="I118" i="108" s="1"/>
  <c r="I117" i="108"/>
  <c r="I116" i="108"/>
  <c r="F115" i="108"/>
  <c r="E115" i="108"/>
  <c r="D115" i="108"/>
  <c r="C115" i="108"/>
  <c r="B115" i="108"/>
  <c r="H114" i="108"/>
  <c r="I114" i="108" s="1"/>
  <c r="H113" i="108"/>
  <c r="I113" i="108" s="1"/>
  <c r="H112" i="108"/>
  <c r="H111" i="108"/>
  <c r="I111" i="108" s="1"/>
  <c r="H110" i="108"/>
  <c r="I110" i="108" s="1"/>
  <c r="H109" i="108"/>
  <c r="I109" i="108" s="1"/>
  <c r="H108" i="108"/>
  <c r="I108" i="108" s="1"/>
  <c r="H107" i="108"/>
  <c r="H106" i="108"/>
  <c r="I106" i="108" s="1"/>
  <c r="H105" i="108"/>
  <c r="H104" i="108"/>
  <c r="H103" i="108"/>
  <c r="I103" i="108" s="1"/>
  <c r="I102" i="108"/>
  <c r="I101" i="108"/>
  <c r="I100" i="108"/>
  <c r="F98" i="108"/>
  <c r="E98" i="108"/>
  <c r="D98" i="108"/>
  <c r="C98" i="108"/>
  <c r="B98" i="108"/>
  <c r="H97" i="108"/>
  <c r="I97" i="108" s="1"/>
  <c r="H96" i="108"/>
  <c r="I96" i="108" s="1"/>
  <c r="H95" i="108"/>
  <c r="H94" i="108"/>
  <c r="I94" i="108" s="1"/>
  <c r="H93" i="108"/>
  <c r="I93" i="108" s="1"/>
  <c r="H92" i="108"/>
  <c r="H91" i="108"/>
  <c r="I91" i="108" s="1"/>
  <c r="H90" i="108"/>
  <c r="I90" i="108" s="1"/>
  <c r="H89" i="108"/>
  <c r="I89" i="108" s="1"/>
  <c r="H88" i="108"/>
  <c r="I88" i="108" s="1"/>
  <c r="H87" i="108"/>
  <c r="H86" i="108"/>
  <c r="I86" i="108" s="1"/>
  <c r="H85" i="108"/>
  <c r="H84" i="108"/>
  <c r="H83" i="108"/>
  <c r="I83" i="108" s="1"/>
  <c r="H82" i="108"/>
  <c r="I82" i="108" s="1"/>
  <c r="H81" i="108"/>
  <c r="I81" i="108" s="1"/>
  <c r="H80" i="108"/>
  <c r="I80" i="108" s="1"/>
  <c r="H79" i="108"/>
  <c r="H78" i="108"/>
  <c r="I78" i="108" s="1"/>
  <c r="H77" i="108"/>
  <c r="H76" i="108"/>
  <c r="H75" i="108"/>
  <c r="I75" i="108" s="1"/>
  <c r="H74" i="108"/>
  <c r="I74" i="108" s="1"/>
  <c r="H73" i="108"/>
  <c r="I73" i="108" s="1"/>
  <c r="H72" i="108"/>
  <c r="I72" i="108" s="1"/>
  <c r="H70" i="108"/>
  <c r="I70" i="108" s="1"/>
  <c r="H69" i="108"/>
  <c r="I69" i="108" s="1"/>
  <c r="H68" i="108"/>
  <c r="I68" i="108" s="1"/>
  <c r="H67" i="108"/>
  <c r="I67" i="108" s="1"/>
  <c r="H66" i="108"/>
  <c r="I66" i="108" s="1"/>
  <c r="H65" i="108"/>
  <c r="I65" i="108" s="1"/>
  <c r="H64" i="108"/>
  <c r="I64" i="108" s="1"/>
  <c r="H63" i="108"/>
  <c r="I62" i="108"/>
  <c r="I61" i="108"/>
  <c r="I60" i="108"/>
  <c r="F59" i="108"/>
  <c r="E59" i="108"/>
  <c r="D59" i="108"/>
  <c r="C59" i="108"/>
  <c r="B59" i="108"/>
  <c r="H58" i="108"/>
  <c r="I58" i="108" s="1"/>
  <c r="H57" i="108"/>
  <c r="H56" i="108"/>
  <c r="I56" i="108" s="1"/>
  <c r="H55" i="108"/>
  <c r="I55" i="108" s="1"/>
  <c r="H54" i="108"/>
  <c r="H53" i="108"/>
  <c r="I53" i="108" s="1"/>
  <c r="H52" i="108"/>
  <c r="H51" i="108"/>
  <c r="I51" i="108" s="1"/>
  <c r="H50" i="108"/>
  <c r="I50" i="108" s="1"/>
  <c r="H49" i="108"/>
  <c r="H48" i="108"/>
  <c r="I48" i="108" s="1"/>
  <c r="H47" i="108"/>
  <c r="I47" i="108" s="1"/>
  <c r="H46" i="108"/>
  <c r="I46" i="108" s="1"/>
  <c r="I45" i="108"/>
  <c r="I44" i="108"/>
  <c r="I43" i="108"/>
  <c r="I42" i="108"/>
  <c r="I40" i="108"/>
  <c r="B38" i="108"/>
  <c r="H37" i="108"/>
  <c r="I37" i="108" s="1"/>
  <c r="H36" i="108"/>
  <c r="I36" i="108" s="1"/>
  <c r="H35" i="108"/>
  <c r="I35" i="108" s="1"/>
  <c r="H34" i="108"/>
  <c r="I34" i="108" s="1"/>
  <c r="H33" i="108"/>
  <c r="I33" i="108" s="1"/>
  <c r="H32" i="108"/>
  <c r="I32" i="108" s="1"/>
  <c r="H31" i="108"/>
  <c r="I31" i="108" s="1"/>
  <c r="H30" i="108"/>
  <c r="H28" i="108"/>
  <c r="I28" i="108" s="1"/>
  <c r="H27" i="108"/>
  <c r="I27" i="108" s="1"/>
  <c r="I26" i="108"/>
  <c r="I25" i="108"/>
  <c r="F24" i="108"/>
  <c r="E24" i="108"/>
  <c r="D24" i="108"/>
  <c r="C24" i="108"/>
  <c r="B24" i="108"/>
  <c r="H23" i="108"/>
  <c r="H22" i="108"/>
  <c r="I22" i="108" s="1"/>
  <c r="H21" i="108"/>
  <c r="H20" i="108"/>
  <c r="I20" i="108" s="1"/>
  <c r="H19" i="108"/>
  <c r="I19" i="108" s="1"/>
  <c r="H18" i="108"/>
  <c r="H17" i="108"/>
  <c r="I17" i="108" s="1"/>
  <c r="H16" i="108"/>
  <c r="F10" i="108"/>
  <c r="E10" i="108"/>
  <c r="D10" i="108"/>
  <c r="C10" i="108"/>
  <c r="H9" i="108"/>
  <c r="H8" i="108"/>
  <c r="H7" i="108"/>
  <c r="H29" i="108" l="1"/>
  <c r="I29" i="108" s="1"/>
  <c r="D38" i="108"/>
  <c r="F38" i="108"/>
  <c r="E38" i="108"/>
  <c r="H10" i="108"/>
  <c r="G103" i="108" s="1"/>
  <c r="I54" i="108"/>
  <c r="I92" i="108"/>
  <c r="I112" i="108"/>
  <c r="I49" i="108"/>
  <c r="H98" i="108"/>
  <c r="I126" i="108"/>
  <c r="H136" i="108"/>
  <c r="I136" i="108" s="1"/>
  <c r="I23" i="108"/>
  <c r="H24" i="108"/>
  <c r="I24" i="108" s="1"/>
  <c r="E14" i="108"/>
  <c r="H59" i="108"/>
  <c r="I59" i="108" s="1"/>
  <c r="I84" i="108"/>
  <c r="E99" i="108"/>
  <c r="I104" i="108"/>
  <c r="I18" i="108"/>
  <c r="I77" i="108"/>
  <c r="F14" i="108"/>
  <c r="F99" i="108"/>
  <c r="B137" i="108"/>
  <c r="I133" i="108"/>
  <c r="E137" i="108"/>
  <c r="I57" i="108"/>
  <c r="I85" i="108"/>
  <c r="I105" i="108"/>
  <c r="H115" i="108"/>
  <c r="I115" i="108" s="1"/>
  <c r="F137" i="108"/>
  <c r="D14" i="108"/>
  <c r="D99" i="108"/>
  <c r="I76" i="108"/>
  <c r="D137" i="108"/>
  <c r="I134" i="108"/>
  <c r="B99" i="108"/>
  <c r="B39" i="108"/>
  <c r="I21" i="108"/>
  <c r="I30" i="108"/>
  <c r="C38" i="108"/>
  <c r="I52" i="108"/>
  <c r="I63" i="108"/>
  <c r="I71" i="108"/>
  <c r="I79" i="108"/>
  <c r="I87" i="108"/>
  <c r="I95" i="108"/>
  <c r="C99" i="108"/>
  <c r="I107" i="108"/>
  <c r="I120" i="108"/>
  <c r="I128" i="108"/>
  <c r="C137" i="108"/>
  <c r="D39" i="108" l="1"/>
  <c r="G17" i="108"/>
  <c r="G10" i="108"/>
  <c r="G36" i="108"/>
  <c r="G76" i="108"/>
  <c r="G65" i="108"/>
  <c r="G46" i="108"/>
  <c r="G119" i="108"/>
  <c r="G108" i="108"/>
  <c r="G74" i="108"/>
  <c r="G19" i="108"/>
  <c r="G58" i="108"/>
  <c r="G69" i="108"/>
  <c r="G85" i="108"/>
  <c r="G34" i="108"/>
  <c r="G127" i="108"/>
  <c r="G98" i="108"/>
  <c r="G132" i="108"/>
  <c r="G75" i="108"/>
  <c r="G106" i="108"/>
  <c r="G88" i="108"/>
  <c r="G47" i="108"/>
  <c r="G8" i="108"/>
  <c r="G35" i="108"/>
  <c r="G37" i="108"/>
  <c r="G126" i="108"/>
  <c r="G122" i="108"/>
  <c r="G86" i="108"/>
  <c r="G72" i="108"/>
  <c r="G82" i="108"/>
  <c r="G91" i="108"/>
  <c r="G29" i="108"/>
  <c r="G128" i="108"/>
  <c r="G121" i="108"/>
  <c r="G31" i="108"/>
  <c r="G67" i="108"/>
  <c r="G131" i="108"/>
  <c r="G89" i="108"/>
  <c r="G51" i="108"/>
  <c r="G55" i="108"/>
  <c r="G81" i="108"/>
  <c r="G20" i="108"/>
  <c r="G27" i="108"/>
  <c r="G125" i="108"/>
  <c r="I98" i="108"/>
  <c r="G109" i="108"/>
  <c r="G83" i="108"/>
  <c r="G78" i="108"/>
  <c r="G9" i="108"/>
  <c r="G64" i="108"/>
  <c r="G123" i="108"/>
  <c r="G24" i="108"/>
  <c r="G79" i="108"/>
  <c r="G115" i="108"/>
  <c r="F39" i="108"/>
  <c r="G104" i="108"/>
  <c r="G113" i="108"/>
  <c r="G97" i="108"/>
  <c r="G135" i="108"/>
  <c r="G70" i="108"/>
  <c r="G129" i="108"/>
  <c r="G53" i="108"/>
  <c r="G90" i="108"/>
  <c r="G59" i="108"/>
  <c r="G50" i="108"/>
  <c r="G21" i="108"/>
  <c r="G105" i="108"/>
  <c r="G84" i="108"/>
  <c r="G93" i="108"/>
  <c r="G92" i="108"/>
  <c r="G111" i="108"/>
  <c r="G73" i="108"/>
  <c r="G114" i="108"/>
  <c r="G48" i="108"/>
  <c r="G96" i="108"/>
  <c r="G22" i="108"/>
  <c r="G110" i="108"/>
  <c r="G63" i="108"/>
  <c r="G68" i="108"/>
  <c r="G95" i="108"/>
  <c r="G133" i="108"/>
  <c r="G77" i="108"/>
  <c r="G28" i="108"/>
  <c r="G54" i="108"/>
  <c r="G130" i="108"/>
  <c r="G124" i="108"/>
  <c r="G94" i="108"/>
  <c r="G56" i="108"/>
  <c r="G80" i="108"/>
  <c r="G66" i="108"/>
  <c r="G120" i="108"/>
  <c r="G134" i="108"/>
  <c r="G52" i="108"/>
  <c r="G57" i="108"/>
  <c r="G118" i="108"/>
  <c r="G7" i="108"/>
  <c r="G18" i="108"/>
  <c r="E39" i="108"/>
  <c r="G23" i="108"/>
  <c r="G107" i="108"/>
  <c r="G49" i="108"/>
  <c r="G30" i="108"/>
  <c r="G33" i="108"/>
  <c r="G32" i="108"/>
  <c r="G87" i="108"/>
  <c r="G112" i="108"/>
  <c r="D41" i="108"/>
  <c r="H13" i="108"/>
  <c r="H14" i="108" s="1"/>
  <c r="C14" i="108"/>
  <c r="G136" i="108"/>
  <c r="H137" i="108"/>
  <c r="I137" i="108" s="1"/>
  <c r="H38" i="108"/>
  <c r="I38" i="108" s="1"/>
  <c r="H99" i="108"/>
  <c r="G99" i="108" s="1"/>
  <c r="C39" i="108"/>
  <c r="F41" i="108" l="1"/>
  <c r="D139" i="108"/>
  <c r="D140" i="108" s="1"/>
  <c r="F139" i="108"/>
  <c r="E139" i="108"/>
  <c r="E41" i="108"/>
  <c r="G13" i="108"/>
  <c r="G137" i="108"/>
  <c r="I99" i="108"/>
  <c r="G38" i="108"/>
  <c r="C139" i="108"/>
  <c r="H39" i="108"/>
  <c r="C41" i="108"/>
  <c r="G14" i="108"/>
  <c r="E140" i="108" l="1"/>
  <c r="F140" i="108"/>
  <c r="C140" i="108"/>
  <c r="H41" i="108"/>
  <c r="G41" i="108" s="1"/>
  <c r="I39" i="108"/>
  <c r="G39" i="108"/>
  <c r="H139" i="108"/>
  <c r="G139" i="108" l="1"/>
  <c r="H140" i="108"/>
  <c r="H3" i="108" l="1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M18" i="107"/>
  <c r="K18" i="107"/>
  <c r="J18" i="107"/>
  <c r="I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L6" i="107"/>
  <c r="G6" i="107"/>
  <c r="H6" i="107" s="1"/>
  <c r="L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I59" i="107"/>
  <c r="N6" i="1"/>
  <c r="N162" i="1"/>
  <c r="M59" i="107"/>
  <c r="K59" i="107"/>
  <c r="H37" i="107"/>
  <c r="B13" i="108" s="1"/>
  <c r="B14" i="108" s="1"/>
  <c r="B139" i="108" s="1"/>
  <c r="H58" i="107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J127" i="1"/>
  <c r="J135" i="1"/>
  <c r="J143" i="1"/>
  <c r="J151" i="1"/>
  <c r="J142" i="1"/>
  <c r="J120" i="1"/>
  <c r="J128" i="1"/>
  <c r="M128" i="1" s="1"/>
  <c r="J136" i="1"/>
  <c r="J144" i="1"/>
  <c r="J152" i="1"/>
  <c r="J139" i="1"/>
  <c r="J133" i="1"/>
  <c r="J118" i="1"/>
  <c r="M118" i="1" s="1"/>
  <c r="J121" i="1"/>
  <c r="J129" i="1"/>
  <c r="M129" i="1" s="1"/>
  <c r="J137" i="1"/>
  <c r="J145" i="1"/>
  <c r="J122" i="1"/>
  <c r="J130" i="1"/>
  <c r="J138" i="1"/>
  <c r="J146" i="1"/>
  <c r="J131" i="1"/>
  <c r="J117" i="1"/>
  <c r="J149" i="1"/>
  <c r="J134" i="1"/>
  <c r="J123" i="1"/>
  <c r="J147" i="1"/>
  <c r="J125" i="1"/>
  <c r="J126" i="1"/>
  <c r="J116" i="1"/>
  <c r="M116" i="1" s="1"/>
  <c r="J124" i="1"/>
  <c r="J132" i="1"/>
  <c r="J140" i="1"/>
  <c r="J148" i="1"/>
  <c r="J141" i="1"/>
  <c r="J150" i="1"/>
  <c r="J159" i="1"/>
  <c r="J160" i="1"/>
  <c r="J158" i="1"/>
  <c r="J153" i="1"/>
  <c r="J161" i="1"/>
  <c r="J157" i="1"/>
  <c r="J154" i="1"/>
  <c r="J162" i="1"/>
  <c r="J155" i="1"/>
  <c r="J156" i="1"/>
  <c r="M156" i="1" s="1"/>
  <c r="J95" i="1"/>
  <c r="M95" i="1" s="1"/>
  <c r="J103" i="1"/>
  <c r="J111" i="1"/>
  <c r="J94" i="1"/>
  <c r="J96" i="1"/>
  <c r="J104" i="1"/>
  <c r="J112" i="1"/>
  <c r="J97" i="1"/>
  <c r="J105" i="1"/>
  <c r="M105" i="1" s="1"/>
  <c r="J113" i="1"/>
  <c r="J109" i="1"/>
  <c r="J110" i="1"/>
  <c r="J98" i="1"/>
  <c r="J106" i="1"/>
  <c r="M106" i="1" s="1"/>
  <c r="J114" i="1"/>
  <c r="M114" i="1" s="1"/>
  <c r="J99" i="1"/>
  <c r="J115" i="1"/>
  <c r="J107" i="1"/>
  <c r="J100" i="1"/>
  <c r="J108" i="1"/>
  <c r="J101" i="1"/>
  <c r="J102" i="1"/>
  <c r="J39" i="1"/>
  <c r="J47" i="1"/>
  <c r="M47" i="1" s="1"/>
  <c r="J55" i="1"/>
  <c r="M55" i="1" s="1"/>
  <c r="J63" i="1"/>
  <c r="J71" i="1"/>
  <c r="J79" i="1"/>
  <c r="J87" i="1"/>
  <c r="J54" i="1"/>
  <c r="J40" i="1"/>
  <c r="J48" i="1"/>
  <c r="J56" i="1"/>
  <c r="J64" i="1"/>
  <c r="J72" i="1"/>
  <c r="J80" i="1"/>
  <c r="J88" i="1"/>
  <c r="J61" i="1"/>
  <c r="J93" i="1"/>
  <c r="J78" i="1"/>
  <c r="J41" i="1"/>
  <c r="J49" i="1"/>
  <c r="J57" i="1"/>
  <c r="J65" i="1"/>
  <c r="J73" i="1"/>
  <c r="J81" i="1"/>
  <c r="J89" i="1"/>
  <c r="J46" i="1"/>
  <c r="J42" i="1"/>
  <c r="J50" i="1"/>
  <c r="J58" i="1"/>
  <c r="J66" i="1"/>
  <c r="J74" i="1"/>
  <c r="J82" i="1"/>
  <c r="M82" i="1" s="1"/>
  <c r="J90" i="1"/>
  <c r="J77" i="1"/>
  <c r="J86" i="1"/>
  <c r="J43" i="1"/>
  <c r="J51" i="1"/>
  <c r="J59" i="1"/>
  <c r="M59" i="1" s="1"/>
  <c r="J67" i="1"/>
  <c r="J75" i="1"/>
  <c r="J83" i="1"/>
  <c r="M83" i="1" s="1"/>
  <c r="J91" i="1"/>
  <c r="M91" i="1" s="1"/>
  <c r="J53" i="1"/>
  <c r="M53" i="1" s="1"/>
  <c r="J85" i="1"/>
  <c r="J70" i="1"/>
  <c r="J44" i="1"/>
  <c r="M44" i="1" s="1"/>
  <c r="J52" i="1"/>
  <c r="J60" i="1"/>
  <c r="J68" i="1"/>
  <c r="M68" i="1" s="1"/>
  <c r="J76" i="1"/>
  <c r="J84" i="1"/>
  <c r="J92" i="1"/>
  <c r="J45" i="1"/>
  <c r="J69" i="1"/>
  <c r="M69" i="1" s="1"/>
  <c r="J62" i="1"/>
  <c r="J37" i="1"/>
  <c r="J35" i="1"/>
  <c r="J36" i="1"/>
  <c r="J38" i="1"/>
  <c r="J25" i="1"/>
  <c r="J24" i="1"/>
  <c r="J23" i="1"/>
  <c r="J22" i="1"/>
  <c r="J21" i="1"/>
  <c r="J20" i="1"/>
  <c r="M20" i="1" s="1"/>
  <c r="J31" i="1"/>
  <c r="J32" i="1"/>
  <c r="J30" i="1"/>
  <c r="J33" i="1"/>
  <c r="J26" i="1"/>
  <c r="J34" i="1"/>
  <c r="J29" i="1"/>
  <c r="J27" i="1"/>
  <c r="J28" i="1"/>
  <c r="M6" i="1"/>
  <c r="J6" i="1"/>
  <c r="J18" i="1"/>
  <c r="J10" i="1"/>
  <c r="M10" i="1" s="1"/>
  <c r="J17" i="1"/>
  <c r="J9" i="1"/>
  <c r="M9" i="1" s="1"/>
  <c r="J12" i="1"/>
  <c r="M12" i="1" s="1"/>
  <c r="J16" i="1"/>
  <c r="M16" i="1" s="1"/>
  <c r="J8" i="1"/>
  <c r="J15" i="1"/>
  <c r="J7" i="1"/>
  <c r="J11" i="1"/>
  <c r="J14" i="1"/>
  <c r="J19" i="1"/>
  <c r="J13" i="1"/>
  <c r="M13" i="1" s="1"/>
  <c r="H59" i="107"/>
  <c r="B140" i="108"/>
  <c r="I139" i="108"/>
  <c r="B41" i="108"/>
  <c r="I41" i="108" s="1"/>
  <c r="M154" i="1"/>
  <c r="M94" i="1"/>
  <c r="M40" i="1"/>
  <c r="M29" i="1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9" i="1"/>
  <c r="M153" i="1"/>
  <c r="M147" i="1"/>
  <c r="M135" i="1"/>
  <c r="M123" i="1"/>
  <c r="M117" i="1"/>
  <c r="M111" i="1"/>
  <c r="M99" i="1"/>
  <c r="M93" i="1"/>
  <c r="M87" i="1"/>
  <c r="M81" i="1"/>
  <c r="M75" i="1"/>
  <c r="M63" i="1"/>
  <c r="M57" i="1"/>
  <c r="M51" i="1"/>
  <c r="M45" i="1"/>
  <c r="M34" i="1"/>
  <c r="M28" i="1"/>
  <c r="M23" i="1"/>
  <c r="M17" i="1"/>
  <c r="M11" i="1"/>
  <c r="K6" i="16"/>
  <c r="M158" i="1"/>
  <c r="M152" i="1"/>
  <c r="M146" i="1"/>
  <c r="M140" i="1"/>
  <c r="M134" i="1"/>
  <c r="M122" i="1"/>
  <c r="M110" i="1"/>
  <c r="M104" i="1"/>
  <c r="M98" i="1"/>
  <c r="M92" i="1"/>
  <c r="M86" i="1"/>
  <c r="M80" i="1"/>
  <c r="M74" i="1"/>
  <c r="M62" i="1"/>
  <c r="M56" i="1"/>
  <c r="M50" i="1"/>
  <c r="M38" i="1"/>
  <c r="M33" i="1"/>
  <c r="M27" i="1"/>
  <c r="M22" i="1"/>
  <c r="M157" i="1"/>
  <c r="M151" i="1"/>
  <c r="M145" i="1"/>
  <c r="M139" i="1"/>
  <c r="M133" i="1"/>
  <c r="M127" i="1"/>
  <c r="M121" i="1"/>
  <c r="M115" i="1"/>
  <c r="M109" i="1"/>
  <c r="M103" i="1"/>
  <c r="M97" i="1"/>
  <c r="M85" i="1"/>
  <c r="M79" i="1"/>
  <c r="M73" i="1"/>
  <c r="M67" i="1"/>
  <c r="M61" i="1"/>
  <c r="M49" i="1"/>
  <c r="M43" i="1"/>
  <c r="M37" i="1"/>
  <c r="M32" i="1"/>
  <c r="M26" i="1"/>
  <c r="M21" i="1"/>
  <c r="M15" i="1"/>
  <c r="K10" i="16"/>
  <c r="K4" i="16"/>
  <c r="M162" i="1"/>
  <c r="M150" i="1"/>
  <c r="M144" i="1"/>
  <c r="M138" i="1"/>
  <c r="M132" i="1"/>
  <c r="M126" i="1"/>
  <c r="M120" i="1"/>
  <c r="M108" i="1"/>
  <c r="M102" i="1"/>
  <c r="M96" i="1"/>
  <c r="M90" i="1"/>
  <c r="M84" i="1"/>
  <c r="M78" i="1"/>
  <c r="M72" i="1"/>
  <c r="M66" i="1"/>
  <c r="M60" i="1"/>
  <c r="M54" i="1"/>
  <c r="M48" i="1"/>
  <c r="M42" i="1"/>
  <c r="M36" i="1"/>
  <c r="M31" i="1"/>
  <c r="M14" i="1"/>
  <c r="M8" i="1"/>
  <c r="I11" i="16"/>
  <c r="H10" i="16" s="1"/>
  <c r="K9" i="16"/>
  <c r="K3" i="16"/>
  <c r="M161" i="1"/>
  <c r="M155" i="1"/>
  <c r="M149" i="1"/>
  <c r="M143" i="1"/>
  <c r="M137" i="1"/>
  <c r="M131" i="1"/>
  <c r="M125" i="1"/>
  <c r="M119" i="1"/>
  <c r="M113" i="1"/>
  <c r="M107" i="1"/>
  <c r="M101" i="1"/>
  <c r="M89" i="1"/>
  <c r="M77" i="1"/>
  <c r="M71" i="1"/>
  <c r="M65" i="1"/>
  <c r="M41" i="1"/>
  <c r="M35" i="1"/>
  <c r="M30" i="1"/>
  <c r="M25" i="1"/>
  <c r="M19" i="1"/>
  <c r="M7" i="1"/>
  <c r="K5" i="16"/>
  <c r="K8" i="16"/>
  <c r="M160" i="1"/>
  <c r="M148" i="1"/>
  <c r="M142" i="1"/>
  <c r="M136" i="1"/>
  <c r="M130" i="1"/>
  <c r="M124" i="1"/>
  <c r="M112" i="1"/>
  <c r="M100" i="1"/>
  <c r="M88" i="1"/>
  <c r="M76" i="1"/>
  <c r="M70" i="1"/>
  <c r="M64" i="1"/>
  <c r="M58" i="1"/>
  <c r="M52" i="1"/>
  <c r="M46" i="1"/>
  <c r="M18" i="1"/>
  <c r="A1" i="1"/>
  <c r="B3" i="108" l="1"/>
  <c r="I140" i="108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6" authorId="0" shapeId="0" xr:uid="{33782ECB-BE60-45C0-B308-6D5252EF5E20}">
      <text>
        <r>
          <rPr>
            <b/>
            <sz val="9"/>
            <color indexed="81"/>
            <rFont val="Tahoma"/>
            <family val="2"/>
          </rPr>
          <t xml:space="preserve">Dikarena ada WO baru yg belum approve
</t>
        </r>
      </text>
    </comment>
    <comment ref="H6" authorId="0" shapeId="0" xr:uid="{3C231A74-8260-4EF2-BC93-87D8EA52D670}">
      <text>
        <r>
          <rPr>
            <b/>
            <sz val="9"/>
            <color indexed="81"/>
            <rFont val="Tahoma"/>
            <family val="2"/>
          </rPr>
          <t xml:space="preserve">Kain telat Datang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<sst xmlns="http://schemas.openxmlformats.org/spreadsheetml/2006/main" count="2812" uniqueCount="572">
  <si>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</si>
  <si>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</si>
  <si>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</si>
  <si>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</si>
  <si>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</si>
  <si>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</si>
  <si>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</si>
  <si>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</si>
  <si>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</si>
  <si>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</si>
  <si>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</si>
  <si>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</si>
  <si>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</si>
  <si>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</si>
  <si>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</si>
  <si>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</si>
  <si>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</si>
  <si>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</si>
  <si>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</si>
  <si>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</si>
  <si>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</si>
  <si>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</si>
  <si>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</si>
  <si>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</si>
  <si>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</si>
  <si>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</si>
  <si>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</si>
  <si>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</si>
  <si>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</si>
  <si>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</si>
  <si>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</si>
  <si>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</si>
  <si>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</si>
  <si>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</si>
  <si>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</si>
  <si>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</si>
  <si>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</si>
  <si>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</si>
  <si>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</si>
  <si>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</si>
  <si>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</si>
  <si>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</si>
  <si>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</si>
  <si>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</si>
  <si>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</si>
  <si>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</si>
  <si>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</si>
  <si>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</si>
  <si>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</si>
  <si>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</si>
  <si>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</si>
  <si>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</si>
  <si>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</si>
  <si>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</si>
  <si>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</si>
  <si>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</si>
  <si>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</si>
  <si>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</si>
  <si>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</si>
  <si>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</si>
  <si>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</si>
  <si>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</si>
  <si>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</si>
  <si>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</si>
  <si>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</si>
  <si>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</si>
  <si>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</si>
  <si>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</si>
  <si>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</si>
  <si>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</si>
  <si>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</si>
  <si>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</si>
  <si>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</si>
  <si>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</si>
  <si>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</si>
  <si>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</si>
  <si>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</si>
  <si>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</si>
  <si>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</si>
  <si>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</si>
  <si>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</si>
  <si>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</si>
  <si>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</si>
  <si>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</si>
  <si>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</si>
  <si>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</si>
  <si>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</si>
  <si>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</si>
  <si>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</si>
  <si>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</si>
  <si>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</si>
  <si>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</si>
  <si>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</si>
  <si>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</si>
  <si>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</si>
  <si>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</si>
  <si>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</si>
  <si>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</si>
  <si>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</si>
  <si>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</si>
  <si>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</si>
  <si>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</si>
  <si>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</si>
  <si>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</si>
  <si>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</si>
  <si>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</si>
  <si>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</si>
  <si>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</si>
  <si>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</si>
  <si>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</si>
  <si>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</si>
  <si>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</si>
  <si>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</si>
  <si>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</si>
  <si>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</si>
  <si>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</si>
  <si>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</si>
  <si>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</si>
  <si>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</si>
  <si>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</si>
  <si>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</si>
  <si>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</si>
  <si>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</si>
  <si>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</si>
  <si>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</si>
  <si>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</si>
  <si>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</si>
  <si>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</si>
  <si>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</si>
  <si>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</si>
  <si>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</si>
  <si>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</si>
  <si>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</si>
  <si>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</si>
  <si>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</si>
  <si>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</si>
  <si>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</si>
  <si>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</si>
  <si>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</si>
  <si>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</si>
  <si>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</si>
  <si>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</si>
  <si>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</si>
  <si>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</si>
  <si>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</si>
  <si>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</si>
  <si>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</si>
  <si>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</si>
  <si>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</si>
  <si>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</si>
  <si>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</si>
  <si>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</si>
  <si>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</si>
  <si>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</si>
  <si>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</si>
  <si>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</si>
  <si>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</si>
  <si>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</si>
  <si>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</si>
  <si>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</si>
  <si>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</si>
  <si>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</si>
  <si>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</si>
  <si>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</si>
  <si>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</si>
  <si>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</si>
  <si>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</si>
  <si>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</si>
  <si>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</si>
  <si>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</si>
  <si>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</si>
  <si>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</si>
  <si>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</si>
  <si>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</si>
  <si>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</si>
  <si>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</si>
  <si>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</si>
  <si>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</si>
  <si>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</si>
  <si>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</si>
  <si>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</si>
  <si>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</si>
  <si>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</si>
  <si>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</si>
  <si>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</si>
  <si>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</si>
  <si>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</si>
  <si>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</si>
  <si>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</si>
  <si>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</si>
  <si>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</si>
  <si>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</si>
  <si>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</si>
  <si>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</si>
  <si>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</si>
  <si>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</si>
  <si>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</si>
  <si>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</si>
  <si>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</si>
  <si>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</si>
  <si>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</si>
  <si>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</si>
  <si>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</si>
  <si>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</si>
  <si>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</si>
  <si>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</si>
  <si>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</si>
  <si>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</si>
  <si>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</si>
  <si>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</si>
  <si>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</si>
  <si>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</si>
  <si>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</si>
  <si>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</si>
  <si>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</si>
  <si>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</si>
  <si>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</si>
  <si>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</si>
  <si>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</si>
  <si>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</si>
  <si>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</si>
  <si>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</si>
  <si>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</si>
  <si>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</si>
  <si>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</si>
  <si>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</si>
  <si>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</si>
  <si>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</si>
  <si>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</si>
  <si>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</si>
  <si>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</si>
  <si>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</si>
  <si>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</si>
  <si>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</si>
  <si>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</si>
  <si>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</si>
  <si>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</si>
  <si>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</si>
  <si>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</si>
  <si>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</si>
  <si>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</si>
  <si>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</si>
  <si>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</si>
  <si>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</si>
  <si>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</si>
  <si>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</si>
  <si>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</si>
  <si>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</si>
  <si>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</si>
  <si>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</si>
  <si>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</si>
  <si>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</si>
  <si>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</si>
  <si>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</si>
  <si>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</si>
  <si>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</si>
  <si>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</si>
  <si>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</si>
  <si>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</si>
  <si>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</si>
  <si>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</si>
  <si>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</si>
  <si>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</si>
  <si>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</si>
  <si>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</si>
  <si>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</si>
  <si>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</si>
  <si>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</si>
  <si>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</si>
  <si>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</si>
  <si>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</si>
  <si>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</si>
  <si>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</si>
  <si>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</si>
  <si>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</si>
  <si>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</si>
  <si>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</si>
  <si>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</si>
  <si>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</si>
  <si>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</si>
  <si>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</si>
  <si>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</si>
  <si>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</si>
  <si>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</si>
  <si>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</si>
  <si>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</si>
  <si>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</si>
  <si>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</si>
  <si>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</si>
  <si>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</si>
  <si>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</si>
  <si>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</si>
  <si>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</si>
  <si>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</si>
  <si>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</si>
  <si>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</si>
  <si>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</si>
  <si>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</si>
  <si>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</si>
  <si>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</si>
  <si>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</si>
  <si>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</si>
  <si>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</si>
  <si>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</si>
  <si>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</si>
  <si>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</si>
  <si>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</si>
  <si>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</si>
  <si>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</si>
  <si>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</si>
  <si>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</si>
  <si>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</si>
  <si>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</si>
  <si>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</si>
  <si>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</si>
  <si>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</si>
  <si>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</si>
  <si>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</si>
  <si>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</si>
  <si>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</si>
  <si>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</si>
  <si>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</si>
  <si>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</si>
  <si>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</si>
  <si>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</si>
  <si>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</si>
  <si>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</si>
  <si>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</si>
  <si>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</si>
  <si>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</si>
  <si>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</si>
  <si>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</si>
  <si>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</si>
  <si>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</si>
  <si>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</si>
  <si>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</si>
  <si>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</si>
  <si>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</si>
  <si>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</si>
  <si>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</si>
  <si>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</si>
  <si>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</si>
  <si>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</si>
  <si>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</si>
  <si>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</si>
  <si>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</si>
  <si>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</si>
  <si>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</si>
  <si>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</si>
  <si>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</si>
  <si>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</si>
  <si>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</si>
  <si>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</si>
  <si>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</si>
  <si>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</si>
  <si>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</si>
  <si>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</si>
  <si>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</si>
  <si>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</si>
  <si>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</si>
  <si>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</si>
  <si>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</si>
  <si>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</si>
  <si>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</si>
  <si>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</si>
  <si>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</si>
  <si>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</si>
  <si>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</si>
  <si>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</si>
  <si>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</si>
  <si>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</si>
  <si>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</si>
  <si>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</si>
  <si>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</si>
  <si>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</si>
  <si>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</si>
  <si>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</si>
  <si>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</si>
  <si>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</si>
  <si>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</si>
  <si>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</si>
  <si>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</si>
  <si>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</si>
  <si>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</si>
  <si>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</si>
  <si>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</si>
  <si>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</si>
  <si>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</si>
  <si>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</si>
  <si>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</si>
  <si>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</si>
  <si>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</si>
  <si>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</si>
  <si>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</si>
  <si>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</si>
  <si>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</si>
  <si>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</si>
  <si>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</si>
  <si>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</si>
  <si>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</si>
  <si>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</si>
  <si>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</si>
  <si>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</si>
  <si>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</si>
  <si>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</si>
  <si>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</si>
  <si>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</si>
  <si>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</si>
  <si>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</si>
  <si>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</si>
  <si>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</si>
  <si>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</si>
  <si>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</si>
  <si>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</si>
  <si>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</si>
  <si>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</si>
  <si>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</si>
  <si>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</si>
  <si>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</si>
  <si>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</si>
  <si>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</si>
  <si>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</si>
  <si>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</si>
  <si>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</si>
  <si>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</si>
  <si>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</si>
  <si>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</si>
  <si>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</si>
  <si>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</si>
  <si>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</si>
  <si>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</si>
  <si>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</si>
  <si>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</si>
  <si>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</si>
  <si>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</si>
  <si>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</si>
  <si>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</si>
  <si>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</si>
  <si>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</si>
  <si>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</si>
  <si>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</si>
  <si>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</si>
  <si>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</si>
  <si>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</si>
  <si>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</si>
  <si>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</si>
  <si>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</si>
  <si>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</si>
  <si>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</si>
  <si>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</si>
  <si>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</si>
  <si>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</si>
  <si>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</si>
  <si>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</si>
  <si>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</si>
  <si>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</si>
  <si>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</si>
  <si>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</si>
  <si>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</si>
  <si>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</si>
  <si>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</si>
  <si>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</si>
  <si>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</si>
  <si>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</si>
  <si>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</si>
  <si>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</si>
  <si>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</si>
  <si>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</si>
  <si>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</si>
  <si>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</si>
  <si>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</si>
  <si>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</si>
  <si>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</si>
  <si>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</si>
  <si>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</si>
  <si>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</si>
  <si>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</si>
  <si>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</si>
  <si>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</si>
  <si>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</si>
  <si>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</si>
  <si>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</si>
  <si>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</si>
  <si>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</si>
  <si>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</si>
  <si>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</si>
  <si>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</si>
  <si>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</si>
  <si>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</si>
  <si>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</si>
  <si>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</si>
  <si>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</si>
  <si>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</si>
  <si>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</si>
  <si>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</si>
  <si>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</si>
  <si>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</si>
  <si>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</si>
  <si>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</si>
  <si>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</si>
  <si>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</si>
  <si>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</si>
  <si>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</si>
  <si>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</si>
  <si>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</si>
  <si>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</si>
  <si>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</si>
  <si>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</si>
  <si>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</si>
  <si>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</si>
  <si>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</si>
  <si>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</si>
  <si>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</si>
  <si>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</si>
  <si>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</si>
  <si>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</si>
  <si>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</si>
  <si>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</si>
  <si>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</si>
  <si>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</si>
  <si>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</si>
  <si>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</si>
  <si>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</si>
  <si>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</si>
  <si>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</si>
  <si>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</si>
  <si>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</si>
  <si>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</si>
  <si>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</si>
  <si>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>\\10.8.0.35\rpa$\WO BUDGETING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</si>
  <si>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</si>
  <si>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</si>
  <si>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</si>
  <si>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</si>
  <si>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</si>
  <si>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</si>
  <si>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</si>
  <si>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</si>
  <si>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Loss\Remarks History\Remark History.xlsx</t>
  </si>
  <si>
    <t>LOKASI FILE  (Remark History)</t>
  </si>
  <si>
    <t>OK</t>
  </si>
  <si>
    <t>CATEGORY ACCOUNT</t>
  </si>
  <si>
    <t>Row @Production_Cost</t>
  </si>
  <si>
    <t>WEEK 1</t>
  </si>
  <si>
    <t>WEEK 2</t>
  </si>
  <si>
    <t>WEEK 3</t>
  </si>
  <si>
    <t>WEEK 4</t>
  </si>
  <si>
    <t>WEEK 5</t>
  </si>
  <si>
    <t>OVER</t>
  </si>
  <si>
    <t>A1</t>
  </si>
  <si>
    <t>A2</t>
  </si>
  <si>
    <t>A3</t>
  </si>
  <si>
    <t>A4</t>
  </si>
  <si>
    <t>A5</t>
  </si>
  <si>
    <t>A6</t>
  </si>
  <si>
    <t>A7</t>
  </si>
  <si>
    <t>A MID</t>
  </si>
  <si>
    <t>A LAST</t>
  </si>
  <si>
    <t>W1</t>
  </si>
  <si>
    <t>W2</t>
  </si>
  <si>
    <t>W3</t>
  </si>
  <si>
    <t>W MID</t>
  </si>
  <si>
    <t>W LAST</t>
  </si>
  <si>
    <t>S1</t>
  </si>
  <si>
    <t>S2</t>
  </si>
  <si>
    <t>S3</t>
  </si>
  <si>
    <t>S4</t>
  </si>
  <si>
    <t>S5</t>
  </si>
  <si>
    <t>S6</t>
  </si>
  <si>
    <t>S7</t>
  </si>
  <si>
    <t>S8</t>
  </si>
  <si>
    <t>S9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</si>
</sst>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sz val="72"/>
      <color theme="0" tint="-4.9989318521683403E-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sz val="11"/>
      <color rgb="FFFF0000"/>
      <name val="Verdana"/>
      <family val="2"/>
    </font>
    <font>
      <b/>
      <sz val="12"/>
      <color rgb="FFFF0000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18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2" borderId="0" xfId="3" applyFill="1"/>
    <xf numFmtId="0" fontId="9" fillId="10" borderId="0" xfId="3" applyFill="1"/>
    <xf numFmtId="0" fontId="29" fillId="11" borderId="1" xfId="0" applyFont="1" applyFill="1" applyBorder="1" applyAlignment="1">
      <alignment horizontal="center" vertical="center"/>
    </xf>
    <xf numFmtId="10" fontId="29" fillId="11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2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31" fillId="12" borderId="0" xfId="0" applyFont="1" applyFill="1"/>
    <xf numFmtId="10" fontId="31" fillId="12" borderId="0" xfId="2" applyNumberFormat="1" applyFont="1" applyFill="1" applyAlignment="1">
      <alignment horizontal="center"/>
    </xf>
    <xf numFmtId="0" fontId="31" fillId="10" borderId="0" xfId="0" applyFont="1" applyFill="1"/>
    <xf numFmtId="43" fontId="31" fillId="0" borderId="0" xfId="1" applyFont="1" applyAlignment="1">
      <alignment horizontal="center"/>
    </xf>
    <xf numFmtId="0" fontId="32" fillId="10" borderId="0" xfId="0" applyFont="1" applyFill="1" applyAlignment="1">
      <alignment horizontal="center"/>
    </xf>
    <xf numFmtId="43" fontId="32" fillId="10" borderId="0" xfId="1" applyFont="1" applyFill="1" applyAlignment="1">
      <alignment horizontal="center"/>
    </xf>
    <xf numFmtId="10" fontId="32" fillId="10" borderId="0" xfId="2" applyNumberFormat="1" applyFont="1" applyFill="1" applyAlignment="1">
      <alignment horizontal="center"/>
    </xf>
    <xf numFmtId="0" fontId="32" fillId="10" borderId="0" xfId="0" applyFont="1" applyFill="1"/>
    <xf numFmtId="0" fontId="33" fillId="0" borderId="0" xfId="0" applyFont="1"/>
    <xf numFmtId="43" fontId="34" fillId="10" borderId="0" xfId="1" applyFont="1" applyFill="1" applyAlignment="1">
      <alignment horizontal="center"/>
    </xf>
    <xf numFmtId="0" fontId="32" fillId="10" borderId="0" xfId="0" applyFont="1" applyFill="1" applyAlignment="1">
      <alignment horizontal="left"/>
    </xf>
    <xf numFmtId="0" fontId="29" fillId="11" borderId="1" xfId="0" applyFont="1" applyFill="1" applyBorder="1" applyAlignment="1">
      <alignment horizontal="left" vertical="center"/>
    </xf>
    <xf numFmtId="0" fontId="31" fillId="12" borderId="0" xfId="0" applyFont="1" applyFill="1" applyAlignment="1">
      <alignment horizontal="left"/>
    </xf>
    <xf numFmtId="0" fontId="31" fillId="10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43" fontId="29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10" borderId="0" xfId="0" applyFont="1" applyFill="1"/>
    <xf numFmtId="43" fontId="39" fillId="10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10" borderId="0" xfId="0" applyNumberFormat="1" applyFont="1" applyFill="1" applyAlignment="1">
      <alignment horizontal="center" vertical="center"/>
    </xf>
    <xf numFmtId="43" fontId="39" fillId="8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2" borderId="0" xfId="0" applyFont="1" applyFill="1"/>
    <xf numFmtId="43" fontId="39" fillId="12" borderId="0" xfId="1" applyFont="1" applyFill="1" applyBorder="1"/>
    <xf numFmtId="10" fontId="36" fillId="12" borderId="0" xfId="0" applyNumberFormat="1" applyFont="1" applyFill="1" applyAlignment="1">
      <alignment horizontal="center" vertical="center"/>
    </xf>
    <xf numFmtId="9" fontId="36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0" fontId="43" fillId="15" borderId="0" xfId="0" applyFont="1" applyFill="1"/>
    <xf numFmtId="43" fontId="43" fillId="15" borderId="0" xfId="1" applyFont="1" applyFill="1" applyBorder="1"/>
    <xf numFmtId="0" fontId="43" fillId="16" borderId="0" xfId="0" applyFont="1" applyFill="1"/>
    <xf numFmtId="43" fontId="43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10" borderId="0" xfId="0" applyNumberFormat="1" applyFont="1" applyFill="1" applyAlignment="1">
      <alignment horizontal="center"/>
    </xf>
    <xf numFmtId="10" fontId="39" fillId="12" borderId="0" xfId="0" applyNumberFormat="1" applyFont="1" applyFill="1" applyAlignment="1">
      <alignment horizontal="center"/>
    </xf>
    <xf numFmtId="0" fontId="43" fillId="15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6" borderId="0" xfId="0" applyFont="1" applyFill="1" applyAlignment="1">
      <alignment horizontal="center"/>
    </xf>
    <xf numFmtId="0" fontId="44" fillId="15" borderId="10" xfId="0" applyFont="1" applyFill="1" applyBorder="1" applyAlignment="1">
      <alignment horizontal="center" vertical="center"/>
    </xf>
    <xf numFmtId="9" fontId="44" fillId="15" borderId="10" xfId="2" applyFont="1" applyFill="1" applyBorder="1" applyAlignment="1">
      <alignment horizontal="center" vertical="center"/>
    </xf>
    <xf numFmtId="43" fontId="44" fillId="15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2" borderId="0" xfId="0" applyFont="1" applyFill="1" applyAlignment="1">
      <alignment vertical="center"/>
    </xf>
    <xf numFmtId="43" fontId="44" fillId="16" borderId="10" xfId="1" applyFont="1" applyFill="1" applyBorder="1" applyAlignment="1">
      <alignment horizontal="center"/>
    </xf>
    <xf numFmtId="43" fontId="5" fillId="16" borderId="10" xfId="1" applyFont="1" applyFill="1" applyBorder="1" applyAlignment="1">
      <alignment horizontal="center"/>
    </xf>
    <xf numFmtId="3" fontId="46" fillId="12" borderId="16" xfId="5" applyNumberFormat="1" applyFont="1" applyFill="1" applyBorder="1"/>
    <xf numFmtId="0" fontId="49" fillId="15" borderId="0" xfId="5" applyFont="1" applyFill="1" applyAlignment="1">
      <alignment horizontal="center" vertical="center"/>
    </xf>
    <xf numFmtId="10" fontId="49" fillId="15" borderId="0" xfId="5" applyNumberFormat="1" applyFont="1" applyFill="1" applyAlignment="1">
      <alignment horizontal="center" vertical="center"/>
    </xf>
    <xf numFmtId="0" fontId="29" fillId="9" borderId="0" xfId="5" applyFont="1" applyFill="1" applyAlignment="1">
      <alignment horizontal="center"/>
    </xf>
    <xf numFmtId="4" fontId="29" fillId="9" borderId="0" xfId="5" applyNumberFormat="1" applyFont="1" applyFill="1" applyAlignment="1">
      <alignment horizontal="right"/>
    </xf>
    <xf numFmtId="10" fontId="50" fillId="9" borderId="0" xfId="5" applyNumberFormat="1" applyFont="1" applyFill="1" applyAlignment="1">
      <alignment horizontal="right"/>
    </xf>
    <xf numFmtId="0" fontId="29" fillId="15" borderId="0" xfId="5" applyFont="1" applyFill="1" applyAlignment="1">
      <alignment horizontal="center"/>
    </xf>
    <xf numFmtId="4" fontId="29" fillId="15" borderId="0" xfId="5" applyNumberFormat="1" applyFont="1" applyFill="1" applyAlignment="1">
      <alignment horizontal="right"/>
    </xf>
    <xf numFmtId="10" fontId="50" fillId="15" borderId="0" xfId="5" applyNumberFormat="1" applyFont="1" applyFill="1" applyAlignment="1">
      <alignment horizontal="right"/>
    </xf>
    <xf numFmtId="4" fontId="49" fillId="15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7" borderId="21" xfId="0" applyNumberFormat="1" applyFont="1" applyFill="1" applyBorder="1"/>
    <xf numFmtId="10" fontId="52" fillId="7" borderId="21" xfId="5" applyNumberFormat="1" applyFont="1" applyFill="1" applyBorder="1" applyAlignment="1">
      <alignment horizontal="righ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7" borderId="21" xfId="5" applyNumberFormat="1" applyFont="1" applyFill="1" applyBorder="1" applyAlignment="1">
      <alignment horizontal="righ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2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10" borderId="0" xfId="2" applyNumberFormat="1" applyFont="1" applyFill="1" applyAlignment="1">
      <alignment horizontal="center"/>
    </xf>
    <xf numFmtId="0" fontId="29" fillId="11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10" borderId="0" xfId="2" applyFont="1" applyFill="1" applyAlignment="1">
      <alignment horizontal="center"/>
    </xf>
    <xf numFmtId="9" fontId="31" fillId="12" borderId="0" xfId="2" applyFont="1" applyFill="1" applyAlignment="1">
      <alignment horizontal="center"/>
    </xf>
    <xf numFmtId="9" fontId="59" fillId="10" borderId="0" xfId="2" applyFont="1" applyFill="1" applyAlignment="1">
      <alignment horizontal="center"/>
    </xf>
    <xf numFmtId="9" fontId="31" fillId="10" borderId="0" xfId="2" applyFont="1" applyFill="1" applyAlignment="1">
      <alignment horizontal="center"/>
    </xf>
    <xf numFmtId="9" fontId="39" fillId="10" borderId="0" xfId="2" applyFont="1" applyFill="1" applyBorder="1" applyAlignment="1">
      <alignment horizontal="center"/>
    </xf>
    <xf numFmtId="9" fontId="39" fillId="12" borderId="0" xfId="2" applyFont="1" applyFill="1" applyBorder="1" applyAlignment="1">
      <alignment horizontal="center"/>
    </xf>
    <xf numFmtId="0" fontId="2" fillId="12" borderId="0" xfId="0" applyFont="1" applyFill="1"/>
    <xf numFmtId="0" fontId="33" fillId="12" borderId="0" xfId="0" applyFont="1" applyFill="1"/>
    <xf numFmtId="0" fontId="3" fillId="12" borderId="0" xfId="0" applyFont="1" applyFill="1" applyAlignment="1">
      <alignment vertical="center"/>
    </xf>
    <xf numFmtId="0" fontId="61" fillId="10" borderId="0" xfId="0" applyFont="1" applyFill="1" applyAlignment="1">
      <alignment horizontal="left"/>
    </xf>
    <xf numFmtId="164" fontId="31" fillId="12" borderId="0" xfId="1" applyNumberFormat="1" applyFont="1" applyFill="1" applyAlignment="1">
      <alignment horizontal="center"/>
    </xf>
    <xf numFmtId="164" fontId="31" fillId="10" borderId="0" xfId="1" applyNumberFormat="1" applyFont="1" applyFill="1" applyAlignment="1">
      <alignment horizontal="center"/>
    </xf>
    <xf numFmtId="0" fontId="28" fillId="9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10" borderId="0" xfId="0" applyFont="1" applyFill="1"/>
    <xf numFmtId="0" fontId="64" fillId="11" borderId="1" xfId="0" applyFont="1" applyFill="1" applyBorder="1" applyAlignment="1">
      <alignment horizontal="left" vertical="center"/>
    </xf>
    <xf numFmtId="43" fontId="29" fillId="11" borderId="1" xfId="1" applyFont="1" applyFill="1" applyBorder="1" applyAlignment="1">
      <alignment horizontal="center" vertical="center"/>
    </xf>
    <xf numFmtId="0" fontId="65" fillId="9" borderId="0" xfId="0" applyFont="1" applyFill="1" applyAlignment="1">
      <alignment vertical="top"/>
    </xf>
    <xf numFmtId="43" fontId="2" fillId="12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7" borderId="0" xfId="0" applyFont="1" applyFill="1"/>
    <xf numFmtId="2" fontId="2" fillId="0" borderId="0" xfId="0" applyNumberFormat="1" applyFont="1"/>
    <xf numFmtId="164" fontId="32" fillId="10" borderId="0" xfId="1" applyNumberFormat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43" fontId="66" fillId="0" borderId="0" xfId="1" applyFont="1" applyFill="1" applyAlignment="1">
      <alignment horizontal="center"/>
    </xf>
    <xf numFmtId="164" fontId="66" fillId="0" borderId="0" xfId="1" applyNumberFormat="1" applyFont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66" fillId="0" borderId="0" xfId="1" applyNumberFormat="1" applyFont="1" applyFill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7" fillId="10" borderId="0" xfId="1" applyFont="1" applyFill="1" applyAlignment="1">
      <alignment horizontal="center"/>
    </xf>
    <xf numFmtId="0" fontId="61" fillId="10" borderId="0" xfId="1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2" fillId="3" borderId="6" xfId="0" applyFont="1" applyFill="1" applyBorder="1" applyAlignment="1">
      <alignment horizontal="center" vertical="center"/>
    </xf>
    <xf numFmtId="0" fontId="62" fillId="3" borderId="0" xfId="0" applyFont="1" applyFill="1" applyAlignment="1">
      <alignment horizontal="center" vertical="center"/>
    </xf>
    <xf numFmtId="0" fontId="62" fillId="3" borderId="7" xfId="0" applyFont="1" applyFill="1" applyBorder="1" applyAlignment="1">
      <alignment horizontal="center" vertical="center"/>
    </xf>
    <xf numFmtId="0" fontId="62" fillId="3" borderId="8" xfId="0" applyFont="1" applyFill="1" applyBorder="1" applyAlignment="1">
      <alignment horizontal="center" vertical="center"/>
    </xf>
    <xf numFmtId="0" fontId="62" fillId="3" borderId="2" xfId="0" applyFont="1" applyFill="1" applyBorder="1" applyAlignment="1">
      <alignment horizontal="center" vertical="center"/>
    </xf>
    <xf numFmtId="0" fontId="62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6" borderId="13" xfId="0" applyFont="1" applyFill="1" applyBorder="1" applyAlignment="1">
      <alignment horizontal="center"/>
    </xf>
    <xf numFmtId="0" fontId="44" fillId="16" borderId="14" xfId="0" applyFont="1" applyFill="1" applyBorder="1" applyAlignment="1">
      <alignment horizontal="center"/>
    </xf>
    <xf numFmtId="0" fontId="40" fillId="9" borderId="13" xfId="0" applyFont="1" applyFill="1" applyBorder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40" fillId="9" borderId="14" xfId="0" applyFont="1" applyFill="1" applyBorder="1" applyAlignment="1">
      <alignment horizontal="center" vertical="center"/>
    </xf>
    <xf numFmtId="0" fontId="40" fillId="9" borderId="6" xfId="0" applyFont="1" applyFill="1" applyBorder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65" fillId="9" borderId="0" xfId="0" applyFont="1" applyFill="1" applyAlignment="1">
      <alignment horizontal="left" vertical="top"/>
    </xf>
    <xf numFmtId="0" fontId="60" fillId="13" borderId="1" xfId="0" applyFont="1" applyFill="1" applyBorder="1" applyAlignment="1">
      <alignment horizontal="center" vertical="center"/>
    </xf>
    <xf numFmtId="0" fontId="60" fillId="14" borderId="1" xfId="0" applyFont="1" applyFill="1" applyBorder="1" applyAlignment="1">
      <alignment horizontal="center" vertical="center"/>
    </xf>
    <xf numFmtId="0" fontId="42" fillId="9" borderId="0" xfId="0" applyFont="1" applyFill="1" applyAlignment="1">
      <alignment horizontal="left" vertical="top"/>
    </xf>
    <xf numFmtId="0" fontId="35" fillId="9" borderId="0" xfId="0" applyFont="1" applyFill="1" applyAlignment="1">
      <alignment horizontal="center"/>
    </xf>
    <xf numFmtId="0" fontId="45" fillId="9" borderId="0" xfId="4" applyFont="1" applyFill="1" applyAlignment="1">
      <alignment horizontal="left"/>
    </xf>
    <xf numFmtId="0" fontId="41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2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E4F0F1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819978</xdr:colOff>
      <xdr:row>0</xdr:row>
      <xdr:rowOff>122581</xdr:rowOff>
    </xdr:from>
    <xdr:to>
      <xdr:col>4</xdr:col>
      <xdr:colOff>2317473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601403" y="122581"/>
          <a:ext cx="1497495" cy="518493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2175428</xdr:colOff>
      <xdr:row>0</xdr:row>
      <xdr:rowOff>122582</xdr:rowOff>
    </xdr:from>
    <xdr:to>
      <xdr:col>5</xdr:col>
      <xdr:colOff>45554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1128" y="122582"/>
          <a:ext cx="1499151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2324100</xdr:colOff>
          <xdr:row>1</xdr:row>
          <xdr:rowOff>38100</xdr:rowOff>
        </xdr:from>
        <xdr:to>
          <xdr:col>4</xdr:col>
          <xdr:colOff>3676650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" Type="http://schemas.openxmlformats.org/officeDocument/2006/relationships/hyperlink" Target="../../NEW%20of%20Data%20PIC%20Budget%20Th%202024-3.xlsx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../Untuk%20Di%20Share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\..\..\Remarks%20History\Remark%20History.xlsx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\..\..\..\..\..\..\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19" Type="http://schemas.openxmlformats.org/officeDocument/2006/relationships/image" Target="../media/image6.emf"/><Relationship Id="rId4" Type="http://schemas.openxmlformats.org/officeDocument/2006/relationships/hyperlink" Target="..\..\..\Tarikan%20JDE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../Tarikan%20JDE/1205.631100.xlsx" TargetMode="External"/><Relationship Id="rId21" Type="http://schemas.openxmlformats.org/officeDocument/2006/relationships/hyperlink" Target="../../../Tarikan%20JDE/1201.730300.xlsx" TargetMode="External"/><Relationship Id="rId42" Type="http://schemas.openxmlformats.org/officeDocument/2006/relationships/hyperlink" Target="../../../Tarikan%20JDE/1201.630200.xlsx" TargetMode="External"/><Relationship Id="rId63" Type="http://schemas.openxmlformats.org/officeDocument/2006/relationships/hyperlink" Target="../../../Tarikan%20JDE/1205.630760.xlsx" TargetMode="External"/><Relationship Id="rId84" Type="http://schemas.openxmlformats.org/officeDocument/2006/relationships/hyperlink" Target="../../../Tarikan%20JDE/1201.630450.xlsx" TargetMode="External"/><Relationship Id="rId138" Type="http://schemas.openxmlformats.org/officeDocument/2006/relationships/hyperlink" Target="../../../Tarikan%20JDE/1204.630400.xlsx" TargetMode="External"/><Relationship Id="rId107" Type="http://schemas.openxmlformats.org/officeDocument/2006/relationships/hyperlink" Target="../../../Tarikan%20JDE/1206.630110.xlsx" TargetMode="External"/><Relationship Id="rId11" Type="http://schemas.openxmlformats.org/officeDocument/2006/relationships/hyperlink" Target="../../../Tarikan%20JDE/1201.631150.xlsx" TargetMode="External"/><Relationship Id="rId32" Type="http://schemas.openxmlformats.org/officeDocument/2006/relationships/hyperlink" Target="../../../Tarikan%20JDE/1201.710200.xlsx" TargetMode="External"/><Relationship Id="rId53" Type="http://schemas.openxmlformats.org/officeDocument/2006/relationships/hyperlink" Target="../../../Tarikan%20JDE/1201.630110.xlsx" TargetMode="External"/><Relationship Id="rId74" Type="http://schemas.openxmlformats.org/officeDocument/2006/relationships/hyperlink" Target="../../../Tarikan%20JDE/1205.816130.xlsx" TargetMode="External"/><Relationship Id="rId128" Type="http://schemas.openxmlformats.org/officeDocument/2006/relationships/hyperlink" Target="../../../Tarikan%20JDE/1205.631110.xlsx" TargetMode="External"/><Relationship Id="rId149" Type="http://schemas.openxmlformats.org/officeDocument/2006/relationships/hyperlink" Target="../../../Tarikan%20JDE/1201.920410.xlsx" TargetMode="External"/><Relationship Id="rId5" Type="http://schemas.openxmlformats.org/officeDocument/2006/relationships/hyperlink" Target="../../../Tarikan%20JDE/1201.631100.xlsx" TargetMode="External"/><Relationship Id="rId95" Type="http://schemas.openxmlformats.org/officeDocument/2006/relationships/hyperlink" Target="../../../Tarikan%20JDE/1206.630450.xlsx" TargetMode="External"/><Relationship Id="rId22" Type="http://schemas.openxmlformats.org/officeDocument/2006/relationships/hyperlink" Target="../../../Tarikan%20JDE/1201.730300.xlsx" TargetMode="External"/><Relationship Id="rId43" Type="http://schemas.openxmlformats.org/officeDocument/2006/relationships/hyperlink" Target="../../../Tarikan%20JDE/1201.630530.xlsx" TargetMode="External"/><Relationship Id="rId64" Type="http://schemas.openxmlformats.org/officeDocument/2006/relationships/hyperlink" Target="../../../Tarikan%20JDE/1204.630760.xlsx" TargetMode="External"/><Relationship Id="rId118" Type="http://schemas.openxmlformats.org/officeDocument/2006/relationships/hyperlink" Target="../../../Tarikan%20JDE/1205.812100.xlsx" TargetMode="External"/><Relationship Id="rId139" Type="http://schemas.openxmlformats.org/officeDocument/2006/relationships/hyperlink" Target="../../../Tarikan%20JDE/1204.630300.xlsx" TargetMode="External"/><Relationship Id="rId80" Type="http://schemas.openxmlformats.org/officeDocument/2006/relationships/hyperlink" Target="../../../Tarikan%20JDE/1201.815110.xlsx" TargetMode="External"/><Relationship Id="rId85" Type="http://schemas.openxmlformats.org/officeDocument/2006/relationships/hyperlink" Target="../../../Tarikan%20JDE/1201.631100.xlsx" TargetMode="External"/><Relationship Id="rId150" Type="http://schemas.openxmlformats.org/officeDocument/2006/relationships/hyperlink" Target="../../../Tarikan%20JDE/1201.920120.xlsx" TargetMode="External"/><Relationship Id="rId155" Type="http://schemas.openxmlformats.org/officeDocument/2006/relationships/hyperlink" Target="../../../Tarikan%20JDE/1204.920700.xlsx" TargetMode="External"/><Relationship Id="rId12" Type="http://schemas.openxmlformats.org/officeDocument/2006/relationships/hyperlink" Target="../../../Tarikan%20JDE/1201.720100.xlsx" TargetMode="External"/><Relationship Id="rId17" Type="http://schemas.openxmlformats.org/officeDocument/2006/relationships/hyperlink" Target="../../../Tarikan%20JDE/1204.630600.xlsx" TargetMode="External"/><Relationship Id="rId33" Type="http://schemas.openxmlformats.org/officeDocument/2006/relationships/hyperlink" Target="../../../Tarikan%20JDE/1201.710200.xlsx" TargetMode="External"/><Relationship Id="rId38" Type="http://schemas.openxmlformats.org/officeDocument/2006/relationships/hyperlink" Target="../../../Tarikan%20JDE/1201.630400.xlsx" TargetMode="External"/><Relationship Id="rId59" Type="http://schemas.openxmlformats.org/officeDocument/2006/relationships/hyperlink" Target="../../../Tarikan%20JDE/1201.630770.xlsx" TargetMode="External"/><Relationship Id="rId103" Type="http://schemas.openxmlformats.org/officeDocument/2006/relationships/hyperlink" Target="../../../Tarikan%20JDE/1206.631110.xlsx" TargetMode="External"/><Relationship Id="rId108" Type="http://schemas.openxmlformats.org/officeDocument/2006/relationships/hyperlink" Target="../../../Tarikan%20JDE/1206.801110.xlsx" TargetMode="External"/><Relationship Id="rId124" Type="http://schemas.openxmlformats.org/officeDocument/2006/relationships/hyperlink" Target="../../../Tarikan%20JDE/1205.630750.xlsx" TargetMode="External"/><Relationship Id="rId129" Type="http://schemas.openxmlformats.org/officeDocument/2006/relationships/hyperlink" Target="../../../Tarikan%20JDE/1204.813100.xlsx" TargetMode="External"/><Relationship Id="rId54" Type="http://schemas.openxmlformats.org/officeDocument/2006/relationships/hyperlink" Target="../../../Tarikan%20JDE/1201.809100.xlsx" TargetMode="External"/><Relationship Id="rId70" Type="http://schemas.openxmlformats.org/officeDocument/2006/relationships/hyperlink" Target="../../../Tarikan%20JDE/1204.810110.xlsx" TargetMode="External"/><Relationship Id="rId75" Type="http://schemas.openxmlformats.org/officeDocument/2006/relationships/hyperlink" Target="../../../Tarikan%20JDE/1204.816130.xlsx" TargetMode="External"/><Relationship Id="rId91" Type="http://schemas.openxmlformats.org/officeDocument/2006/relationships/hyperlink" Target="../../../Tarikan%20JDE/1206.630130.xlsx" TargetMode="External"/><Relationship Id="rId96" Type="http://schemas.openxmlformats.org/officeDocument/2006/relationships/hyperlink" Target="../../../Tarikan%20JDE/1206.630300.xlsx" TargetMode="External"/><Relationship Id="rId140" Type="http://schemas.openxmlformats.org/officeDocument/2006/relationships/hyperlink" Target="../../../Tarikan%20JDE/1204.630200.xlsx" TargetMode="External"/><Relationship Id="rId145" Type="http://schemas.openxmlformats.org/officeDocument/2006/relationships/hyperlink" Target="../../../Tarikan%20JDE/1204.63073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1100.xlsx" TargetMode="External"/><Relationship Id="rId23" Type="http://schemas.openxmlformats.org/officeDocument/2006/relationships/hyperlink" Target="../../../Tarikan%20JDE/1201.730300.xlsx" TargetMode="External"/><Relationship Id="rId28" Type="http://schemas.openxmlformats.org/officeDocument/2006/relationships/hyperlink" Target="../../../Tarikan%20JDE/1201.710200.xlsx" TargetMode="External"/><Relationship Id="rId49" Type="http://schemas.openxmlformats.org/officeDocument/2006/relationships/hyperlink" Target="../../../Tarikan%20JDE/1204.630900.xlsx" TargetMode="External"/><Relationship Id="rId114" Type="http://schemas.openxmlformats.org/officeDocument/2006/relationships/hyperlink" Target="../../../Tarikan%20JDE/1205.630740.xlsx" TargetMode="External"/><Relationship Id="rId119" Type="http://schemas.openxmlformats.org/officeDocument/2006/relationships/hyperlink" Target="../../../Tarikan%20JDE/1205.630400.xlsx" TargetMode="External"/><Relationship Id="rId44" Type="http://schemas.openxmlformats.org/officeDocument/2006/relationships/hyperlink" Target="../../../Tarikan%20JDE/1204.630530.xlsx" TargetMode="External"/><Relationship Id="rId60" Type="http://schemas.openxmlformats.org/officeDocument/2006/relationships/hyperlink" Target="../../../Tarikan%20JDE/1201.630750.xlsx" TargetMode="External"/><Relationship Id="rId65" Type="http://schemas.openxmlformats.org/officeDocument/2006/relationships/hyperlink" Target="../../../Tarikan%20JDE/1201.630730.xlsx" TargetMode="External"/><Relationship Id="rId81" Type="http://schemas.openxmlformats.org/officeDocument/2006/relationships/hyperlink" Target="../../../Tarikan%20JDE/1201.815120.xlsx" TargetMode="External"/><Relationship Id="rId86" Type="http://schemas.openxmlformats.org/officeDocument/2006/relationships/hyperlink" Target="../../../Tarikan%20JDE/1201.631100.xlsx" TargetMode="External"/><Relationship Id="rId130" Type="http://schemas.openxmlformats.org/officeDocument/2006/relationships/hyperlink" Target="../../../Tarikan%20JDE/1204.801160.xlsx" TargetMode="External"/><Relationship Id="rId135" Type="http://schemas.openxmlformats.org/officeDocument/2006/relationships/hyperlink" Target="../../../Tarikan%20JDE/1204.631100.xlsx" TargetMode="External"/><Relationship Id="rId151" Type="http://schemas.openxmlformats.org/officeDocument/2006/relationships/hyperlink" Target="../../../Tarikan%20JDE/1201.805120.xlsx" TargetMode="External"/><Relationship Id="rId156" Type="http://schemas.openxmlformats.org/officeDocument/2006/relationships/hyperlink" Target="../../../Tarikan%20JDE/1201.801110.xlsx" TargetMode="External"/><Relationship Id="rId13" Type="http://schemas.openxmlformats.org/officeDocument/2006/relationships/hyperlink" Target="../../../Tarikan%20JDE/1205.720100.xlsx" TargetMode="External"/><Relationship Id="rId18" Type="http://schemas.openxmlformats.org/officeDocument/2006/relationships/hyperlink" Target="../../../Tarikan%20JDE/1201.630600.xlsx" TargetMode="External"/><Relationship Id="rId39" Type="http://schemas.openxmlformats.org/officeDocument/2006/relationships/hyperlink" Target="../../../Tarikan%20JDE/1201.813100.xlsx" TargetMode="External"/><Relationship Id="rId109" Type="http://schemas.openxmlformats.org/officeDocument/2006/relationships/hyperlink" Target="../../../Tarikan%20JDE/1206.631180.xlsx" TargetMode="External"/><Relationship Id="rId34" Type="http://schemas.openxmlformats.org/officeDocument/2006/relationships/hyperlink" Target="../../../Tarikan%20JDE/1201.720500.xlsx" TargetMode="External"/><Relationship Id="rId50" Type="http://schemas.openxmlformats.org/officeDocument/2006/relationships/hyperlink" Target="../../../Tarikan%20JDE/1201.802140.xlsx" TargetMode="External"/><Relationship Id="rId55" Type="http://schemas.openxmlformats.org/officeDocument/2006/relationships/hyperlink" Target="../../../Tarikan%20JDE/1206.809100.xlsx" TargetMode="External"/><Relationship Id="rId76" Type="http://schemas.openxmlformats.org/officeDocument/2006/relationships/hyperlink" Target="../../../Tarikan%20JDE/1206.631100.xlsx" TargetMode="External"/><Relationship Id="rId97" Type="http://schemas.openxmlformats.org/officeDocument/2006/relationships/hyperlink" Target="../../../Tarikan%20JDE/1206.630770.xlsx" TargetMode="External"/><Relationship Id="rId104" Type="http://schemas.openxmlformats.org/officeDocument/2006/relationships/hyperlink" Target="../../../Tarikan%20JDE/1206.812100.xlsx" TargetMode="External"/><Relationship Id="rId120" Type="http://schemas.openxmlformats.org/officeDocument/2006/relationships/hyperlink" Target="../../../Tarikan%20JDE/1205.630300.xlsx" TargetMode="External"/><Relationship Id="rId125" Type="http://schemas.openxmlformats.org/officeDocument/2006/relationships/hyperlink" Target="../../../Tarikan%20JDE/1205.630720.xlsx" TargetMode="External"/><Relationship Id="rId141" Type="http://schemas.openxmlformats.org/officeDocument/2006/relationships/hyperlink" Target="../../../Tarikan%20JDE/1204.630110.xlsx" TargetMode="External"/><Relationship Id="rId146" Type="http://schemas.openxmlformats.org/officeDocument/2006/relationships/hyperlink" Target="../../../Tarikan%20JDE/1204.631110.xlsx" TargetMode="External"/><Relationship Id="rId7" Type="http://schemas.openxmlformats.org/officeDocument/2006/relationships/hyperlink" Target="../../../Tarikan%20JDE/1204.631100.xlsx" TargetMode="External"/><Relationship Id="rId71" Type="http://schemas.openxmlformats.org/officeDocument/2006/relationships/hyperlink" Target="../../../Tarikan%20JDE/1201.630130.xlsx" TargetMode="External"/><Relationship Id="rId92" Type="http://schemas.openxmlformats.org/officeDocument/2006/relationships/hyperlink" Target="../../../Tarikan%20JDE/1206.631000.xlsx" TargetMode="External"/><Relationship Id="rId2" Type="http://schemas.openxmlformats.org/officeDocument/2006/relationships/hyperlink" Target="../../../Tarikan%20JDE/1204.720400.xlsx" TargetMode="External"/><Relationship Id="rId29" Type="http://schemas.openxmlformats.org/officeDocument/2006/relationships/hyperlink" Target="../../../Tarikan%20JDE/1201.710200.xlsx" TargetMode="External"/><Relationship Id="rId24" Type="http://schemas.openxmlformats.org/officeDocument/2006/relationships/hyperlink" Target="../../../Tarikan%20JDE/1201.730300.xlsx" TargetMode="External"/><Relationship Id="rId40" Type="http://schemas.openxmlformats.org/officeDocument/2006/relationships/hyperlink" Target="../../../Tarikan%20JDE/1201.630300.xlsx" TargetMode="External"/><Relationship Id="rId45" Type="http://schemas.openxmlformats.org/officeDocument/2006/relationships/hyperlink" Target="../../../Tarikan%20JDE/1201.808100.xlsx" TargetMode="External"/><Relationship Id="rId66" Type="http://schemas.openxmlformats.org/officeDocument/2006/relationships/hyperlink" Target="../../../Tarikan%20JDE/1201.630740.xlsx" TargetMode="External"/><Relationship Id="rId87" Type="http://schemas.openxmlformats.org/officeDocument/2006/relationships/hyperlink" Target="../../../Tarikan%20JDE/1205.631100.xlsx" TargetMode="External"/><Relationship Id="rId110" Type="http://schemas.openxmlformats.org/officeDocument/2006/relationships/hyperlink" Target="../../../Tarikan%20JDE/1206.630600.xlsx" TargetMode="External"/><Relationship Id="rId115" Type="http://schemas.openxmlformats.org/officeDocument/2006/relationships/hyperlink" Target="../../../Tarikan%20JDE/1205.630130.xlsx" TargetMode="External"/><Relationship Id="rId131" Type="http://schemas.openxmlformats.org/officeDocument/2006/relationships/hyperlink" Target="../../../Tarikan%20JDE/1204.630710.xlsx" TargetMode="External"/><Relationship Id="rId136" Type="http://schemas.openxmlformats.org/officeDocument/2006/relationships/hyperlink" Target="../../../Tarikan%20JDE/1204.720500.xlsx" TargetMode="External"/><Relationship Id="rId157" Type="http://schemas.openxmlformats.org/officeDocument/2006/relationships/hyperlink" Target="../../../Tarikan%20JDE/1204.801110.xlsx" TargetMode="External"/><Relationship Id="rId61" Type="http://schemas.openxmlformats.org/officeDocument/2006/relationships/hyperlink" Target="../../../Tarikan%20JDE/1201.630720.xlsx" TargetMode="External"/><Relationship Id="rId82" Type="http://schemas.openxmlformats.org/officeDocument/2006/relationships/hyperlink" Target="../../../Tarikan%20JDE/1201.802120.xlsx" TargetMode="External"/><Relationship Id="rId152" Type="http://schemas.openxmlformats.org/officeDocument/2006/relationships/hyperlink" Target="../../../Tarikan%20JDE/1201.920700.xlsx" TargetMode="External"/><Relationship Id="rId19" Type="http://schemas.openxmlformats.org/officeDocument/2006/relationships/hyperlink" Target="../../../Tarikan%20JDE/1205.630600.xlsx" TargetMode="External"/><Relationship Id="rId14" Type="http://schemas.openxmlformats.org/officeDocument/2006/relationships/hyperlink" Target="../../../Tarikan%20JDE/1204.720100.xlsx" TargetMode="External"/><Relationship Id="rId30" Type="http://schemas.openxmlformats.org/officeDocument/2006/relationships/hyperlink" Target="../../../Tarikan%20JDE/1201.730300.xlsx" TargetMode="External"/><Relationship Id="rId35" Type="http://schemas.openxmlformats.org/officeDocument/2006/relationships/hyperlink" Target="../../../Tarikan%20JDE/1201.812100.xlsx" TargetMode="External"/><Relationship Id="rId56" Type="http://schemas.openxmlformats.org/officeDocument/2006/relationships/hyperlink" Target="../../../Tarikan%20JDE/1205.809100.xlsx" TargetMode="External"/><Relationship Id="rId77" Type="http://schemas.openxmlformats.org/officeDocument/2006/relationships/hyperlink" Target="../../../Tarikan%20JDE/1201.631110.xlsx" TargetMode="External"/><Relationship Id="rId100" Type="http://schemas.openxmlformats.org/officeDocument/2006/relationships/hyperlink" Target="../../../Tarikan%20JDE/1206.630760.xlsx" TargetMode="External"/><Relationship Id="rId105" Type="http://schemas.openxmlformats.org/officeDocument/2006/relationships/hyperlink" Target="../../../Tarikan%20JDE/1206.630400.xlsx" TargetMode="External"/><Relationship Id="rId126" Type="http://schemas.openxmlformats.org/officeDocument/2006/relationships/hyperlink" Target="../../../Tarikan%20JDE/1205.630730.xlsx" TargetMode="External"/><Relationship Id="rId147" Type="http://schemas.openxmlformats.org/officeDocument/2006/relationships/hyperlink" Target="../../../Tarikan%20JDE/1204.631140.xlsx" TargetMode="External"/><Relationship Id="rId8" Type="http://schemas.openxmlformats.org/officeDocument/2006/relationships/hyperlink" Target="../../../Tarikan%20JDE/1201.631180.xlsx" TargetMode="External"/><Relationship Id="rId51" Type="http://schemas.openxmlformats.org/officeDocument/2006/relationships/hyperlink" Target="../../../Tarikan%20JDE/1204.802140.xlsx" TargetMode="External"/><Relationship Id="rId72" Type="http://schemas.openxmlformats.org/officeDocument/2006/relationships/hyperlink" Target="../../../Tarikan%20JDE/1201.816130.xlsx" TargetMode="External"/><Relationship Id="rId93" Type="http://schemas.openxmlformats.org/officeDocument/2006/relationships/hyperlink" Target="../../../Tarikan%20JDE/1206.815110.xlsx" TargetMode="External"/><Relationship Id="rId98" Type="http://schemas.openxmlformats.org/officeDocument/2006/relationships/hyperlink" Target="../../../Tarikan%20JDE/1206.630750.xlsx" TargetMode="External"/><Relationship Id="rId121" Type="http://schemas.openxmlformats.org/officeDocument/2006/relationships/hyperlink" Target="../../../Tarikan%20JDE/1205.630200.xlsx" TargetMode="External"/><Relationship Id="rId142" Type="http://schemas.openxmlformats.org/officeDocument/2006/relationships/hyperlink" Target="../../../Tarikan%20JDE/1204.630770.xlsx" TargetMode="External"/><Relationship Id="rId3" Type="http://schemas.openxmlformats.org/officeDocument/2006/relationships/hyperlink" Target="../../../Tarikan%20JDE/1201.816110.xlsx" TargetMode="External"/><Relationship Id="rId25" Type="http://schemas.openxmlformats.org/officeDocument/2006/relationships/hyperlink" Target="../../../Tarikan%20JDE/1201.730200.xlsx" TargetMode="External"/><Relationship Id="rId46" Type="http://schemas.openxmlformats.org/officeDocument/2006/relationships/hyperlink" Target="../../../Tarikan%20JDE/1205.808100.xlsx" TargetMode="External"/><Relationship Id="rId67" Type="http://schemas.openxmlformats.org/officeDocument/2006/relationships/hyperlink" Target="../../../Tarikan%20JDE/1201.810110.xlsx" TargetMode="External"/><Relationship Id="rId116" Type="http://schemas.openxmlformats.org/officeDocument/2006/relationships/hyperlink" Target="../../../Tarikan%20JDE/1205.815110.xlsx" TargetMode="External"/><Relationship Id="rId137" Type="http://schemas.openxmlformats.org/officeDocument/2006/relationships/hyperlink" Target="../../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../../Tarikan%20JDE/1204.630600.xlsx" TargetMode="External"/><Relationship Id="rId41" Type="http://schemas.openxmlformats.org/officeDocument/2006/relationships/hyperlink" Target="../../../Tarikan%20JDE/1201.630200.xlsx" TargetMode="External"/><Relationship Id="rId62" Type="http://schemas.openxmlformats.org/officeDocument/2006/relationships/hyperlink" Target="../../../Tarikan%20JDE/1201.630760.xlsx" TargetMode="External"/><Relationship Id="rId83" Type="http://schemas.openxmlformats.org/officeDocument/2006/relationships/hyperlink" Target="../../../Tarikan%20JDE/1201.814110.xlsx" TargetMode="External"/><Relationship Id="rId88" Type="http://schemas.openxmlformats.org/officeDocument/2006/relationships/hyperlink" Target="../../../Tarikan%20JDE/1204.631100.xlsx" TargetMode="External"/><Relationship Id="rId111" Type="http://schemas.openxmlformats.org/officeDocument/2006/relationships/hyperlink" Target="../../../Tarikan%20JDE/1205.813100.xlsx" TargetMode="External"/><Relationship Id="rId132" Type="http://schemas.openxmlformats.org/officeDocument/2006/relationships/hyperlink" Target="../../../Tarikan%20JDE/1204.630740.xlsx" TargetMode="External"/><Relationship Id="rId153" Type="http://schemas.openxmlformats.org/officeDocument/2006/relationships/hyperlink" Target="../../../Tarikan%20JDE/1206.920700.xlsx" TargetMode="External"/><Relationship Id="rId15" Type="http://schemas.openxmlformats.org/officeDocument/2006/relationships/hyperlink" Target="../../../Tarikan%20JDE/1201.630600.xlsx" TargetMode="External"/><Relationship Id="rId36" Type="http://schemas.openxmlformats.org/officeDocument/2006/relationships/hyperlink" Target="../../../Tarikan%20JDE/1201.807100.xlsx" TargetMode="External"/><Relationship Id="rId57" Type="http://schemas.openxmlformats.org/officeDocument/2006/relationships/hyperlink" Target="../../../Tarikan%20JDE/1204.809100.xlsx" TargetMode="External"/><Relationship Id="rId106" Type="http://schemas.openxmlformats.org/officeDocument/2006/relationships/hyperlink" Target="../../../Tarikan%20JDE/1206.808100.xlsx" TargetMode="External"/><Relationship Id="rId127" Type="http://schemas.openxmlformats.org/officeDocument/2006/relationships/hyperlink" Target="../../../Tarikan%20JDE/1205.801110.xlsx" TargetMode="External"/><Relationship Id="rId10" Type="http://schemas.openxmlformats.org/officeDocument/2006/relationships/hyperlink" Target="../../../Tarikan%20JDE/1205.631180.xlsx" TargetMode="External"/><Relationship Id="rId31" Type="http://schemas.openxmlformats.org/officeDocument/2006/relationships/hyperlink" Target="../../../Tarikan%20JDE/1201.730200.xlsx" TargetMode="External"/><Relationship Id="rId52" Type="http://schemas.openxmlformats.org/officeDocument/2006/relationships/hyperlink" Target="../../../Tarikan%20JDE/1201.801160.xlsx" TargetMode="External"/><Relationship Id="rId73" Type="http://schemas.openxmlformats.org/officeDocument/2006/relationships/hyperlink" Target="../../../Tarikan%20JDE/1206.816130.xlsx" TargetMode="External"/><Relationship Id="rId78" Type="http://schemas.openxmlformats.org/officeDocument/2006/relationships/hyperlink" Target="../../../Tarikan%20JDE/1201.631140.xlsx" TargetMode="External"/><Relationship Id="rId94" Type="http://schemas.openxmlformats.org/officeDocument/2006/relationships/hyperlink" Target="../../../Tarikan%20JDE/1206.802120.xlsx" TargetMode="External"/><Relationship Id="rId99" Type="http://schemas.openxmlformats.org/officeDocument/2006/relationships/hyperlink" Target="../../../Tarikan%20JDE/1206.630720.xlsx" TargetMode="External"/><Relationship Id="rId101" Type="http://schemas.openxmlformats.org/officeDocument/2006/relationships/hyperlink" Target="../../../Tarikan%20JDE/1206.630730.xlsx" TargetMode="External"/><Relationship Id="rId122" Type="http://schemas.openxmlformats.org/officeDocument/2006/relationships/hyperlink" Target="../../../Tarikan%20JDE/1205.630110.xlsx" TargetMode="External"/><Relationship Id="rId143" Type="http://schemas.openxmlformats.org/officeDocument/2006/relationships/hyperlink" Target="../../../Tarikan%20JDE/1204.630750.xlsx" TargetMode="External"/><Relationship Id="rId148" Type="http://schemas.openxmlformats.org/officeDocument/2006/relationships/hyperlink" Target="../../../Tarikan%20JDE/1201.816120.xlsx" TargetMode="External"/><Relationship Id="rId4" Type="http://schemas.openxmlformats.org/officeDocument/2006/relationships/hyperlink" Target="../../../Tarikan%20JDE/1204.816110.xlsx" TargetMode="External"/><Relationship Id="rId9" Type="http://schemas.openxmlformats.org/officeDocument/2006/relationships/hyperlink" Target="../../../Tarikan%20JDE/1204.631180.xlsx" TargetMode="External"/><Relationship Id="rId26" Type="http://schemas.openxmlformats.org/officeDocument/2006/relationships/hyperlink" Target="../../../Tarikan%20JDE/1201.710200.xlsx" TargetMode="External"/><Relationship Id="rId47" Type="http://schemas.openxmlformats.org/officeDocument/2006/relationships/hyperlink" Target="../../../Tarikan%20JDE/1204.808100.xlsx" TargetMode="External"/><Relationship Id="rId68" Type="http://schemas.openxmlformats.org/officeDocument/2006/relationships/hyperlink" Target="../../../Tarikan%20JDE/1206.810110.xlsx" TargetMode="External"/><Relationship Id="rId89" Type="http://schemas.openxmlformats.org/officeDocument/2006/relationships/hyperlink" Target="../../../Tarikan%20JDE/1206.801160.xlsx" TargetMode="External"/><Relationship Id="rId112" Type="http://schemas.openxmlformats.org/officeDocument/2006/relationships/hyperlink" Target="../../../Tarikan%20JDE/1205.801160.xlsx" TargetMode="External"/><Relationship Id="rId133" Type="http://schemas.openxmlformats.org/officeDocument/2006/relationships/hyperlink" Target="../../../Tarikan%20JDE/1204.630130.xlsx" TargetMode="External"/><Relationship Id="rId154" Type="http://schemas.openxmlformats.org/officeDocument/2006/relationships/hyperlink" Target="../../../Tarikan%20JDE/1205.920700.xlsx" TargetMode="External"/><Relationship Id="rId16" Type="http://schemas.openxmlformats.org/officeDocument/2006/relationships/hyperlink" Target="../../../Tarikan%20JDE/1205.630600.xlsx" TargetMode="External"/><Relationship Id="rId37" Type="http://schemas.openxmlformats.org/officeDocument/2006/relationships/hyperlink" Target="../../../Tarikan%20JDE/1204.807100.xlsx" TargetMode="External"/><Relationship Id="rId58" Type="http://schemas.openxmlformats.org/officeDocument/2006/relationships/hyperlink" Target="../../../Tarikan%20JDE/1201.630710.xlsx" TargetMode="External"/><Relationship Id="rId79" Type="http://schemas.openxmlformats.org/officeDocument/2006/relationships/hyperlink" Target="../../../Tarikan%20JDE/1201.631000.xlsx" TargetMode="External"/><Relationship Id="rId102" Type="http://schemas.openxmlformats.org/officeDocument/2006/relationships/hyperlink" Target="../../../Tarikan%20JDE/1206.630740.xlsx" TargetMode="External"/><Relationship Id="rId123" Type="http://schemas.openxmlformats.org/officeDocument/2006/relationships/hyperlink" Target="../../../Tarikan%20JDE/1205.630770.xlsx" TargetMode="External"/><Relationship Id="rId144" Type="http://schemas.openxmlformats.org/officeDocument/2006/relationships/hyperlink" Target="../../../Tarikan%20JDE/1204.630720.xlsx" TargetMode="External"/><Relationship Id="rId90" Type="http://schemas.openxmlformats.org/officeDocument/2006/relationships/hyperlink" Target="../../../Tarikan%20JDE/1206.630710.xlsx" TargetMode="External"/><Relationship Id="rId27" Type="http://schemas.openxmlformats.org/officeDocument/2006/relationships/hyperlink" Target="../../../Tarikan%20JDE/1201.710200.xlsx" TargetMode="External"/><Relationship Id="rId48" Type="http://schemas.openxmlformats.org/officeDocument/2006/relationships/hyperlink" Target="../../../Tarikan%20JDE/1201.630900.xlsx" TargetMode="External"/><Relationship Id="rId69" Type="http://schemas.openxmlformats.org/officeDocument/2006/relationships/hyperlink" Target="../../../Tarikan%20JDE/1205.810110.xlsx" TargetMode="External"/><Relationship Id="rId113" Type="http://schemas.openxmlformats.org/officeDocument/2006/relationships/hyperlink" Target="../../../Tarikan%20JDE/1205.630710.xlsx" TargetMode="External"/><Relationship Id="rId134" Type="http://schemas.openxmlformats.org/officeDocument/2006/relationships/hyperlink" Target="../../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F34"/>
  <sheetViews>
    <sheetView showGridLines="0" zoomScaleNormal="100" workbookViewId="0">
      <selection activeCell="J7" sqref="J7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</cols>
  <sheetData>
    <row r="1" spans="1:6" ht="12" customHeight="1">
      <c r="C1" s="186" t="s">
        <v>315</v>
      </c>
      <c r="D1" s="186"/>
      <c r="E1" s="186"/>
      <c r="F1" s="2"/>
    </row>
    <row r="2" spans="1:6" ht="33" customHeight="1">
      <c r="C2" s="195" t="s">
        <v>325</v>
      </c>
      <c r="D2" s="196"/>
      <c r="E2" s="197"/>
      <c r="F2" s="12" t="s">
        <v>209</v>
      </c>
    </row>
    <row r="3" spans="1:6" ht="12" customHeight="1">
      <c r="C3" s="198"/>
      <c r="D3" s="199"/>
      <c r="E3" s="200"/>
      <c r="F3" s="12"/>
    </row>
    <row r="4" spans="1:6" ht="12" customHeight="1">
      <c r="C4" s="198"/>
      <c r="D4" s="199"/>
      <c r="E4" s="200"/>
      <c r="F4" s="12"/>
    </row>
    <row r="5" spans="1:6" ht="12" customHeight="1">
      <c r="B5" s="162"/>
      <c r="C5" s="198"/>
      <c r="D5" s="199"/>
      <c r="E5" s="200"/>
      <c r="F5" s="161"/>
    </row>
    <row r="6" spans="1:6" ht="5.25" customHeight="1">
      <c r="B6" s="187"/>
      <c r="C6" s="187"/>
      <c r="D6" s="187"/>
      <c r="E6" s="187"/>
      <c r="F6" s="187"/>
    </row>
    <row r="7" spans="1:6" ht="18" customHeight="1">
      <c r="B7" s="159"/>
      <c r="C7" s="189" t="s">
        <v>531</v>
      </c>
      <c r="D7" s="190"/>
      <c r="E7" s="191"/>
      <c r="F7" s="160"/>
    </row>
    <row r="8" spans="1:6" ht="12" customHeight="1">
      <c r="C8" s="189"/>
      <c r="D8" s="190"/>
      <c r="E8" s="191"/>
      <c r="F8" s="12"/>
    </row>
    <row r="9" spans="1:6" ht="6.75" customHeight="1">
      <c r="A9" s="187"/>
      <c r="B9" s="187"/>
      <c r="C9" s="192"/>
      <c r="D9" s="193"/>
      <c r="E9" s="194"/>
      <c r="F9" s="12"/>
    </row>
    <row r="10" spans="1:6" ht="18" customHeight="1">
      <c r="A10" s="187"/>
      <c r="B10" s="187"/>
      <c r="C10" s="188" t="s">
        <v>316</v>
      </c>
      <c r="D10" s="188"/>
      <c r="E10" s="188"/>
      <c r="F10" s="12"/>
    </row>
    <row r="11" spans="1:6" ht="15.75">
      <c r="C11" s="7" t="s">
        <v>317</v>
      </c>
      <c r="D11" s="8"/>
      <c r="E11" s="5" t="s">
        <v>318</v>
      </c>
      <c r="F11" s="12"/>
    </row>
    <row r="12" spans="1:6">
      <c r="C12" s="185" t="s">
        <v>535</v>
      </c>
      <c r="D12" s="185"/>
      <c r="E12" s="6" t="s">
        <v>359</v>
      </c>
      <c r="F12" s="12" t="s">
        <v>209</v>
      </c>
    </row>
    <row r="13" spans="1:6">
      <c r="C13" s="11" t="s">
        <v>534</v>
      </c>
      <c r="D13" s="11"/>
      <c r="E13" s="6" t="s">
        <v>326</v>
      </c>
      <c r="F13" s="12" t="s">
        <v>209</v>
      </c>
    </row>
    <row r="14" spans="1:6">
      <c r="C14" s="185" t="s">
        <v>532</v>
      </c>
      <c r="D14" s="185"/>
      <c r="E14" s="15" t="s">
        <v>346</v>
      </c>
      <c r="F14" s="12" t="s">
        <v>209</v>
      </c>
    </row>
    <row r="15" spans="1:6">
      <c r="C15" s="11" t="s">
        <v>533</v>
      </c>
      <c r="D15" s="11"/>
      <c r="E15" s="15" t="s">
        <v>347</v>
      </c>
      <c r="F15" s="12" t="s">
        <v>209</v>
      </c>
    </row>
    <row r="16" spans="1:6">
      <c r="C16" s="11" t="s">
        <v>536</v>
      </c>
      <c r="D16" s="11"/>
      <c r="E16" s="17" t="s">
        <v>358</v>
      </c>
      <c r="F16" s="12" t="s">
        <v>209</v>
      </c>
    </row>
    <row r="17" spans="3:6">
      <c r="C17" s="11" t="s">
        <v>537</v>
      </c>
      <c r="D17" s="11"/>
      <c r="E17" s="17" t="s">
        <v>529</v>
      </c>
      <c r="F17" s="12" t="s">
        <v>209</v>
      </c>
    </row>
    <row r="18" spans="3:6">
      <c r="C18" s="11" t="s">
        <v>539</v>
      </c>
      <c r="D18" s="11"/>
      <c r="E18" s="163" t="s">
        <v>538</v>
      </c>
      <c r="F18" s="12" t="s">
        <v>209</v>
      </c>
    </row>
    <row r="19" spans="3:6">
      <c r="C19" s="11"/>
      <c r="D19" s="11"/>
      <c r="E19" s="163"/>
      <c r="F19" s="12"/>
    </row>
    <row r="20" spans="3:6" ht="1.5" customHeight="1">
      <c r="C20" s="184"/>
      <c r="D20" s="184"/>
      <c r="E20" s="184"/>
      <c r="F20" s="12"/>
    </row>
    <row r="21" spans="3:6">
      <c r="F21" s="12"/>
    </row>
    <row r="22" spans="3:6">
      <c r="F22" s="12"/>
    </row>
    <row r="23" spans="3:6">
      <c r="F23" s="12"/>
    </row>
    <row r="24" spans="3:6">
      <c r="F24" s="12"/>
    </row>
    <row r="25" spans="3:6">
      <c r="F25" s="12"/>
    </row>
    <row r="26" spans="3:6">
      <c r="F26" s="12"/>
    </row>
    <row r="27" spans="3:6">
      <c r="F27" s="12"/>
    </row>
    <row r="28" spans="3:6">
      <c r="F28" s="12"/>
    </row>
    <row r="29" spans="3:6">
      <c r="F29" s="12"/>
    </row>
    <row r="30" spans="3:6">
      <c r="F30" s="12"/>
    </row>
    <row r="31" spans="3:6">
      <c r="F31" s="12"/>
    </row>
    <row r="32" spans="3:6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8" r:id="rId1" xr:uid="{EFF1BF30-25F2-435D-BF36-04D0579FFDF5}"/>
    <hyperlink ref="E16" r:id="rId2" xr:uid="{19AF7C83-3009-4B4C-9FB7-4BFC6E3435A0}"/>
    <hyperlink ref="E13" r:id="rId3" xr:uid="{24514AAD-1976-4895-9499-8629E57746EE}"/>
    <hyperlink ref="E12" r:id="rId4" xr:uid="{0007FD13-BAF9-4905-87BE-19FBE5C13B56}"/>
    <hyperlink ref="E17" r:id="rId5" xr:uid="{8B4B8F8C-C0F2-4376-9ECD-F490D178679B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8" r:id="rId8" name="btn_ActualCost">
          <controlPr defaultSize="0" autoLine="0" r:id="rId9">
            <anchor moveWithCells="1">
              <from>
                <xdr:col>4</xdr:col>
                <xdr:colOff>2324100</xdr:colOff>
                <xdr:row>1</xdr:row>
                <xdr:rowOff>38100</xdr:rowOff>
              </from>
              <to>
                <xdr:col>4</xdr:col>
                <xdr:colOff>3676650</xdr:colOff>
                <xdr:row>1</xdr:row>
                <xdr:rowOff>371475</xdr:rowOff>
              </to>
            </anchor>
          </controlPr>
        </control>
      </mc:Choice>
      <mc:Fallback>
        <control shapeId="9228" r:id="rId8" name="btn_ActualCost"/>
      </mc:Fallback>
    </mc:AlternateContent>
    <mc:AlternateContent xmlns:mc="http://schemas.openxmlformats.org/markup-compatibility/2006">
      <mc:Choice Requires="x14">
        <control shapeId="9226" r:id="rId10" name="btn_UpdateRemark">
          <controlPr defaultSize="0" autoLine="0" r:id="rId11">
            <anchor moveWithCells="1">
              <from>
                <xdr:col>4</xdr:col>
                <xdr:colOff>962025</xdr:colOff>
                <xdr:row>1</xdr:row>
                <xdr:rowOff>47625</xdr:rowOff>
              </from>
              <to>
                <xdr:col>4</xdr:col>
                <xdr:colOff>2162175</xdr:colOff>
                <xdr:row>1</xdr:row>
                <xdr:rowOff>381000</xdr:rowOff>
              </to>
            </anchor>
          </controlPr>
        </control>
      </mc:Choice>
      <mc:Fallback>
        <control shapeId="9226" r:id="rId10" name="btn_UpdateRemark"/>
      </mc:Fallback>
    </mc:AlternateContent>
    <mc:AlternateContent xmlns:mc="http://schemas.openxmlformats.org/markup-compatibility/2006">
      <mc:Choice Requires="x14">
        <control shapeId="9225" r:id="rId12" name="btn_RPA_AccLedger">
          <controlPr defaultSize="0" autoLine="0" autoPict="0" r:id="rId13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2" name="btn_RPA_AccLedger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4" r:id="rId16" name="btn_UpdateDataAccount">
          <controlPr defaultSize="0" autoLine="0" r:id="rId17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6" name="btn_UpdateDataAccount"/>
      </mc:Fallback>
    </mc:AlternateContent>
    <mc:AlternateContent xmlns:mc="http://schemas.openxmlformats.org/markup-compatibility/2006">
      <mc:Choice Requires="x14">
        <control shapeId="9230" r:id="rId18" name="btn_ShareDataCosting">
          <controlPr defaultSize="0" autoLine="0" autoPict="0" r:id="rId19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8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81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81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H13" sqref="H13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03" t="s">
        <v>323</v>
      </c>
      <c r="B1" s="204"/>
      <c r="C1" s="205"/>
      <c r="D1" s="83"/>
      <c r="E1" s="83"/>
      <c r="F1" s="83"/>
      <c r="G1" s="206" t="s">
        <v>345</v>
      </c>
      <c r="H1" s="207"/>
      <c r="I1" s="207"/>
      <c r="J1" s="207"/>
      <c r="K1" s="207"/>
    </row>
    <row r="2" spans="1:12" s="95" customFormat="1" ht="21" customHeight="1">
      <c r="A2" s="92" t="s">
        <v>0</v>
      </c>
      <c r="B2" s="93" t="s">
        <v>321</v>
      </c>
      <c r="C2" s="94" t="s">
        <v>170</v>
      </c>
      <c r="D2" s="99"/>
      <c r="E2" s="99"/>
      <c r="F2" s="99"/>
      <c r="G2" s="92" t="s">
        <v>320</v>
      </c>
      <c r="H2" s="93" t="s">
        <v>321</v>
      </c>
      <c r="I2" s="94" t="s">
        <v>170</v>
      </c>
      <c r="J2" s="94" t="s">
        <v>327</v>
      </c>
      <c r="K2" s="94" t="s">
        <v>190</v>
      </c>
    </row>
    <row r="3" spans="1:12">
      <c r="A3" s="63" t="s">
        <v>9</v>
      </c>
      <c r="B3" s="96">
        <v>8.1590977598792011E-2</v>
      </c>
      <c r="C3" s="97">
        <f>SUMIF('All Costing'!$A$6:$A$1048576,RESUME!A3,'All Costing'!$G$6:$H$1048576)</f>
        <v>50973.33</v>
      </c>
      <c r="D3" s="82"/>
      <c r="E3" s="82"/>
      <c r="F3" s="82"/>
      <c r="G3" s="63" t="s">
        <v>9</v>
      </c>
      <c r="H3" s="98">
        <f t="shared" ref="H3:H10" si="0">I3/$I$11</f>
        <v>0.54339585832973991</v>
      </c>
      <c r="I3" s="97">
        <f>SUMIF('All Costing'!$A$6:$A$1048576,RESUME!G3,'All Costing'!$G$6:$H$1048576)</f>
        <v>50973.33</v>
      </c>
      <c r="J3" s="97">
        <f>SUMIF('All Costing'!$A$6:$A$1048576,RESUME!G3,'All Costing'!$H$6:$H$1048576)</f>
        <v>49040.840000000033</v>
      </c>
      <c r="K3" s="97">
        <f t="shared" ref="K3:K10" si="1">I3-J3</f>
        <v>1932.4899999999689</v>
      </c>
    </row>
    <row r="4" spans="1:12">
      <c r="A4" s="63" t="s">
        <v>35</v>
      </c>
      <c r="B4" s="96">
        <v>0.27755070800026532</v>
      </c>
      <c r="C4" s="97">
        <f>SUMIF('All Costing'!$A$6:$A$1048576,RESUME!A4,'All Costing'!$G$6:$H$1048576)</f>
        <v>398.66</v>
      </c>
      <c r="D4" s="82"/>
      <c r="E4" s="82"/>
      <c r="F4" s="82"/>
      <c r="G4" s="63" t="s">
        <v>35</v>
      </c>
      <c r="H4" s="98">
        <f t="shared" si="0"/>
        <v>4.2498732745483592E-3</v>
      </c>
      <c r="I4" s="97">
        <f>SUMIF('All Costing'!$A$6:$A$1048576,RESUME!G4,'All Costing'!$G$6:$H$1048576)</f>
        <v>398.66</v>
      </c>
      <c r="J4" s="97">
        <f>SUMIF('All Costing'!$A$6:$A$1048576,RESUME!G4,'All Costing'!$H$6:$H$1048576)</f>
        <v>846.53999999999951</v>
      </c>
      <c r="K4" s="97">
        <f t="shared" si="1"/>
        <v>-447.87999999999948</v>
      </c>
    </row>
    <row r="5" spans="1:12">
      <c r="A5" s="63" t="s">
        <v>43</v>
      </c>
      <c r="B5" s="96">
        <v>1.0214229594462793E-2</v>
      </c>
      <c r="C5" s="97">
        <f>SUMIF('All Costing'!$A$6:$A$1048576,RESUME!A5,'All Costing'!$G$6:$H$1048576)</f>
        <v>0</v>
      </c>
      <c r="D5" s="82"/>
      <c r="E5" s="82"/>
      <c r="F5" s="82"/>
      <c r="G5" s="63" t="s">
        <v>43</v>
      </c>
      <c r="H5" s="98">
        <f t="shared" si="0"/>
        <v>0</v>
      </c>
      <c r="I5" s="97">
        <f>SUMIF('All Costing'!$A$6:$A$1048576,RESUME!G5,'All Costing'!$G$6:$H$1048576)</f>
        <v>0</v>
      </c>
      <c r="J5" s="97">
        <f>SUMIF('All Costing'!$A$6:$A$1048576,RESUME!G5,'All Costing'!$H$6:$H$1048576)</f>
        <v>0</v>
      </c>
      <c r="K5" s="97">
        <f t="shared" si="1"/>
        <v>0</v>
      </c>
    </row>
    <row r="6" spans="1:12">
      <c r="A6" s="63" t="s">
        <v>311</v>
      </c>
      <c r="B6" s="96">
        <v>1.2016740699367992E-3</v>
      </c>
      <c r="C6" s="97">
        <f>SUMIF('All Costing'!$A$6:$A$1048576,RESUME!A6,'All Costing'!$G$6:$H$1048576)</f>
        <v>0</v>
      </c>
      <c r="D6" s="82"/>
      <c r="E6" s="82"/>
      <c r="F6" s="82"/>
      <c r="G6" s="63" t="s">
        <v>311</v>
      </c>
      <c r="H6" s="98">
        <f t="shared" si="0"/>
        <v>0</v>
      </c>
      <c r="I6" s="97">
        <f>SUMIF('All Costing'!$A$6:$A$1048576,RESUME!G6,'All Costing'!$G$6:$H$1048576)</f>
        <v>0</v>
      </c>
      <c r="J6" s="97">
        <f>SUMIF('All Costing'!$A$6:$A$1048576,RESUME!G6,'All Costing'!$H$6:$H$1048576)</f>
        <v>0</v>
      </c>
      <c r="K6" s="97">
        <f t="shared" si="1"/>
        <v>0</v>
      </c>
    </row>
    <row r="7" spans="1:12">
      <c r="A7" s="63" t="s">
        <v>65</v>
      </c>
      <c r="B7" s="96">
        <v>0.1047205357286401</v>
      </c>
      <c r="C7" s="97">
        <f>SUMIF('All Costing'!$A$6:$A$1048576,RESUME!A7,'All Costing'!$G$6:$H$1048576)</f>
        <v>25968.37</v>
      </c>
      <c r="D7" s="82"/>
      <c r="E7" s="82"/>
      <c r="F7" s="82"/>
      <c r="G7" s="63" t="s">
        <v>65</v>
      </c>
      <c r="H7" s="98">
        <f t="shared" si="0"/>
        <v>0.27683309498465702</v>
      </c>
      <c r="I7" s="97">
        <f>SUMIF('All Costing'!$A$6:$A$1048576,RESUME!G7,'All Costing'!$G$6:$H$1048576)</f>
        <v>25968.37</v>
      </c>
      <c r="J7" s="97">
        <f>SUMIF('All Costing'!$A$6:$A$1048576,RESUME!G7,'All Costing'!$H$6:$H$1048576)</f>
        <v>32771.61</v>
      </c>
      <c r="K7" s="97">
        <f t="shared" si="1"/>
        <v>-6803.2400000000016</v>
      </c>
    </row>
    <row r="8" spans="1:12">
      <c r="A8" s="63" t="s">
        <v>139</v>
      </c>
      <c r="B8" s="96">
        <v>0.12076439185780972</v>
      </c>
      <c r="C8" s="97">
        <f>SUMIF('All Costing'!$A$6:$A$1048576,RESUME!A8,'All Costing'!$G$6:$H$1048576)</f>
        <v>5290</v>
      </c>
      <c r="D8" s="82"/>
      <c r="E8" s="82"/>
      <c r="F8" s="82"/>
      <c r="G8" s="63" t="s">
        <v>139</v>
      </c>
      <c r="H8" s="98">
        <f t="shared" si="0"/>
        <v>5.6393492254956157E-2</v>
      </c>
      <c r="I8" s="97">
        <f>SUMIF('All Costing'!$A$6:$A$1048576,RESUME!G8,'All Costing'!$G$6:$H$1048576)</f>
        <v>5290</v>
      </c>
      <c r="J8" s="97">
        <f>SUMIF('All Costing'!$A$6:$A$1048576,RESUME!G8,'All Costing'!$H$6:$H$1048576)</f>
        <v>15400.28</v>
      </c>
      <c r="K8" s="97">
        <f t="shared" si="1"/>
        <v>-10110.280000000001</v>
      </c>
    </row>
    <row r="9" spans="1:12">
      <c r="A9" s="63" t="s">
        <v>171</v>
      </c>
      <c r="B9" s="96">
        <v>0.14255002855513671</v>
      </c>
      <c r="C9" s="97">
        <f>SUMIFS('All Costing'!$G$6:$G$1048576,'All Costing'!$D$6:$D$1048576,"MAJA-1",'All Costing'!$A$6:$A$1048576,"Tony Teja")</f>
        <v>4142.1100000000006</v>
      </c>
      <c r="D9" s="82"/>
      <c r="E9" s="82"/>
      <c r="F9" s="82"/>
      <c r="G9" s="63" t="s">
        <v>322</v>
      </c>
      <c r="H9" s="98">
        <f t="shared" si="0"/>
        <v>0.11119922520245426</v>
      </c>
      <c r="I9" s="97">
        <f>SUMIF('All Costing'!$A$6:$A$1048576,RESUME!G9,'All Costing'!$G$6:$H$1048576)</f>
        <v>10431.060000000001</v>
      </c>
      <c r="J9" s="97">
        <f>SUMIF('All Costing'!$A$6:$A$1048576,RESUME!G9,'All Costing'!$H$6:$H$1048576)</f>
        <v>38261.370000000003</v>
      </c>
      <c r="K9" s="97">
        <f t="shared" si="1"/>
        <v>-27830.31</v>
      </c>
      <c r="L9" s="13"/>
    </row>
    <row r="10" spans="1:12">
      <c r="A10" s="63" t="s">
        <v>155</v>
      </c>
      <c r="B10" s="96">
        <v>0.1552501733148185</v>
      </c>
      <c r="C10" s="97">
        <f>SUMIFS('All Costing'!$G$6:$G$1048576,'All Costing'!$D$6:$D$1048576,"MAJA-2",'All Costing'!$A$6:$A$1048576,"Tony Teja")</f>
        <v>6288.9500000000007</v>
      </c>
      <c r="D10" s="82"/>
      <c r="E10" s="82"/>
      <c r="F10" s="82"/>
      <c r="G10" s="63" t="s">
        <v>157</v>
      </c>
      <c r="H10" s="98">
        <f t="shared" si="0"/>
        <v>7.9284559536443363E-3</v>
      </c>
      <c r="I10" s="97">
        <f>SUMIF('All Costing'!$A$6:$A$1048576,RESUME!G10,'All Costing'!$G$6:$H$1048576)</f>
        <v>743.73</v>
      </c>
      <c r="J10" s="97">
        <f>SUMIF('All Costing'!$A$6:$A$1048576,RESUME!G10,'All Costing'!$H$6:$H$1048576)</f>
        <v>6677.2400000000007</v>
      </c>
      <c r="K10" s="97">
        <f t="shared" si="1"/>
        <v>-5933.51</v>
      </c>
    </row>
    <row r="11" spans="1:12">
      <c r="A11" s="63" t="s">
        <v>322</v>
      </c>
      <c r="B11" s="96">
        <v>0.29780020186995526</v>
      </c>
      <c r="C11" s="97">
        <f>SUMIF('All Costing'!$A$6:$A$1048576,RESUME!A11,'All Costing'!$G$6:$H$1048576)</f>
        <v>10431.060000000001</v>
      </c>
      <c r="D11" s="82"/>
      <c r="E11" s="82"/>
      <c r="F11" s="82"/>
      <c r="G11" s="201" t="s">
        <v>34</v>
      </c>
      <c r="H11" s="202"/>
      <c r="I11" s="100">
        <f>SUM(I3:I10)</f>
        <v>93805.15</v>
      </c>
      <c r="J11" s="100">
        <f>SUM(J3:J10)</f>
        <v>142997.88000000003</v>
      </c>
      <c r="K11" s="100"/>
    </row>
    <row r="12" spans="1:12">
      <c r="A12" s="63" t="s">
        <v>157</v>
      </c>
      <c r="B12" s="96">
        <v>0.10615728128013797</v>
      </c>
      <c r="C12" s="97">
        <f>SUMIF('All Costing'!$A$6:$A$1048576,RESUME!A12,'All Costing'!$G$6:$H$1048576)</f>
        <v>743.73</v>
      </c>
      <c r="D12" s="82"/>
      <c r="E12" s="82"/>
      <c r="F12" s="82"/>
      <c r="H12" s="16"/>
      <c r="I12"/>
      <c r="J12"/>
      <c r="K12"/>
    </row>
    <row r="13" spans="1:12">
      <c r="A13" s="201" t="s">
        <v>34</v>
      </c>
      <c r="B13" s="202"/>
      <c r="C13" s="101"/>
      <c r="D13" s="82"/>
      <c r="E13" s="82"/>
      <c r="F13" s="82"/>
      <c r="H13" s="16"/>
      <c r="I13"/>
      <c r="J13"/>
      <c r="K13"/>
    </row>
    <row r="14" spans="1:12">
      <c r="D14" s="82"/>
      <c r="E14" s="82"/>
      <c r="F14" s="82"/>
      <c r="H14" s="16"/>
      <c r="I14"/>
      <c r="J14"/>
      <c r="K14"/>
    </row>
    <row r="15" spans="1:12">
      <c r="D15" s="82"/>
      <c r="E15" s="82"/>
      <c r="F15" s="82"/>
      <c r="H15" s="16"/>
      <c r="I15"/>
      <c r="J15"/>
      <c r="K15"/>
    </row>
    <row r="16" spans="1:12">
      <c r="D16" s="82"/>
      <c r="E16" s="82"/>
      <c r="F16" s="82"/>
      <c r="H16" s="16"/>
      <c r="I16"/>
      <c r="J16"/>
      <c r="K16"/>
    </row>
    <row r="17" spans="4:9">
      <c r="D17" s="82"/>
      <c r="E17" s="82"/>
      <c r="F17" s="82"/>
      <c r="H17" s="16"/>
      <c r="I17"/>
    </row>
    <row r="18" spans="4:9">
      <c r="D18" s="82"/>
      <c r="E18" s="82"/>
      <c r="F18" s="82"/>
    </row>
    <row r="19" spans="4:9">
      <c r="D19" s="82"/>
      <c r="E19" s="82"/>
      <c r="F19" s="82"/>
    </row>
    <row r="20" spans="4:9">
      <c r="D20" s="82"/>
      <c r="E20" s="82"/>
      <c r="F20" s="82"/>
    </row>
    <row r="21" spans="4:9">
      <c r="D21" s="82"/>
      <c r="E21" s="82"/>
      <c r="F21" s="82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A162"/>
  <sheetViews>
    <sheetView zoomScale="70" zoomScaleNormal="70" workbookViewId="0">
      <pane xSplit="2" ySplit="5" topLeftCell="K6" activePane="bottomRight" state="frozen"/>
      <selection pane="topRight" activeCell="C1" sqref="C1"/>
      <selection pane="bottomLeft" activeCell="A6" sqref="A6"/>
      <selection pane="bottomRight" activeCell="Q5" sqref="Q5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5703125" style="44" bestFit="1" customWidth="1"/>
    <col min="8" max="8" width="22.7109375" style="44" customWidth="1"/>
    <col min="9" max="9" width="24.5703125" style="44" customWidth="1"/>
    <col min="10" max="10" width="16.28515625" style="37" customWidth="1"/>
    <col min="11" max="11" width="24.28515625" style="145" customWidth="1"/>
    <col min="12" max="12" width="21.28515625" style="145" customWidth="1"/>
    <col min="13" max="13" width="26.28515625" style="145" bestFit="1" customWidth="1"/>
    <col min="14" max="14" width="23.42578125" style="36" customWidth="1"/>
    <col min="15" max="15" width="27.28515625" style="38" customWidth="1"/>
    <col min="16" max="16" width="19.28515625" style="38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67" t="str">
        <f ca="1">"MONTHLY BUDGET TH "&amp;YEAR(TODAY())</f>
        <v>MONTHLY BUDGET TH 2024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58"/>
      <c r="O1" s="158"/>
      <c r="P1" s="167"/>
      <c r="Q1" s="167"/>
      <c r="R1" s="152"/>
    </row>
    <row r="2" spans="1:27" ht="15.75" customHeight="1">
      <c r="A2" s="167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58"/>
      <c r="O2" s="158"/>
      <c r="P2" s="167"/>
      <c r="Q2" s="167"/>
      <c r="R2" s="152"/>
    </row>
    <row r="3" spans="1:27" s="49" customFormat="1" ht="17.25" customHeight="1">
      <c r="A3" s="155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43"/>
      <c r="M3" s="143"/>
      <c r="N3" s="48"/>
      <c r="O3" s="45"/>
      <c r="P3" s="45"/>
      <c r="Q3" s="51"/>
      <c r="R3" s="153"/>
    </row>
    <row r="4" spans="1:27" s="49" customFormat="1" ht="16.5" customHeight="1">
      <c r="A4" s="51"/>
      <c r="B4" s="51"/>
      <c r="C4" s="51"/>
      <c r="D4" s="45"/>
      <c r="E4" s="45"/>
      <c r="F4" s="45"/>
      <c r="G4" s="182"/>
      <c r="H4" s="183"/>
      <c r="I4" s="50"/>
      <c r="J4" s="47"/>
      <c r="K4" s="148">
        <v>0.8</v>
      </c>
      <c r="L4" s="148">
        <v>1</v>
      </c>
      <c r="M4" s="146"/>
      <c r="N4" s="48"/>
      <c r="O4" s="45"/>
      <c r="P4" s="45"/>
      <c r="Q4" s="45"/>
      <c r="R4" s="153"/>
    </row>
    <row r="5" spans="1:27" s="35" customFormat="1" ht="28.5" customHeight="1">
      <c r="A5" s="52" t="s">
        <v>172</v>
      </c>
      <c r="B5" s="165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6" t="s">
        <v>6</v>
      </c>
      <c r="I5" s="166" t="s">
        <v>190</v>
      </c>
      <c r="J5" s="33" t="s">
        <v>7</v>
      </c>
      <c r="K5" s="33" t="s">
        <v>526</v>
      </c>
      <c r="L5" s="144" t="s">
        <v>527</v>
      </c>
      <c r="M5" s="144" t="s">
        <v>8</v>
      </c>
      <c r="N5" s="34" t="s">
        <v>173</v>
      </c>
      <c r="O5" s="142" t="s">
        <v>314</v>
      </c>
      <c r="P5" s="33" t="s">
        <v>328</v>
      </c>
      <c r="Q5" s="33" t="s">
        <v>528</v>
      </c>
      <c r="R5" s="154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6">
        <v>8590.3700000000008</v>
      </c>
      <c r="H6" s="156">
        <v>15169.11</v>
      </c>
      <c r="I6" s="156">
        <f t="shared" ref="I6:I37" si="0">G6-H6</f>
        <v>-6578.74</v>
      </c>
      <c r="J6" s="42">
        <f>IFERROR(G6/VLOOKUP(A6,RESUME!$G$3:$I$10,3,FALSE),0)</f>
        <v>0.16852675703156927</v>
      </c>
      <c r="K6" s="156">
        <f>G6*$K$4</f>
        <v>6872.2960000000012</v>
      </c>
      <c r="L6" s="156">
        <f>G6*$L$4</f>
        <v>8590.3700000000008</v>
      </c>
      <c r="M6" s="147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52" t="s">
        <v>549</v>
      </c>
      <c r="R6" s="168"/>
      <c r="AA6" s="171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7">
        <v>3143.46</v>
      </c>
      <c r="H7" s="157">
        <v>7555.56</v>
      </c>
      <c r="I7" s="157">
        <f t="shared" si="0"/>
        <v>-4412.1000000000004</v>
      </c>
      <c r="J7" s="42">
        <f>IFERROR(G7/VLOOKUP(A7,RESUME!$G$3:$I$10,3,FALSE),0)</f>
        <v>6.1668719701067201E-2</v>
      </c>
      <c r="K7" s="157">
        <f t="shared" ref="K7:K70" si="3">G7*$K$4</f>
        <v>2514.768</v>
      </c>
      <c r="L7" s="157">
        <f t="shared" ref="L7:L70" si="4">G7*$L$4</f>
        <v>3143.46</v>
      </c>
      <c r="M7" s="149">
        <f t="shared" ref="M7:M69" si="5">IF(L7=0,0,IF(H7&gt;L7,0,L7/IF(H7&gt;=K7,H7,K7)*J7))</f>
        <v>0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OVER</v>
      </c>
      <c r="Q7" s="164" t="s">
        <v>550</v>
      </c>
      <c r="R7" s="168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6">
        <v>0</v>
      </c>
      <c r="H8" s="156">
        <v>2284</v>
      </c>
      <c r="I8" s="156">
        <f t="shared" si="0"/>
        <v>-2284</v>
      </c>
      <c r="J8" s="42">
        <f>IFERROR(G8/VLOOKUP(A8,RESUME!$G$3:$I$10,3,FALSE),0)</f>
        <v>0</v>
      </c>
      <c r="K8" s="156">
        <f t="shared" si="3"/>
        <v>0</v>
      </c>
      <c r="L8" s="156">
        <f t="shared" si="4"/>
        <v>0</v>
      </c>
      <c r="M8" s="147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52" t="s">
        <v>551</v>
      </c>
      <c r="R8" s="168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7">
        <v>394.88</v>
      </c>
      <c r="H9" s="157">
        <v>394.88</v>
      </c>
      <c r="I9" s="157">
        <f t="shared" si="0"/>
        <v>0</v>
      </c>
      <c r="J9" s="42">
        <f>IFERROR(G9/VLOOKUP(A9,RESUME!$G$3:$I$10,3,FALSE),0)</f>
        <v>7.746796216766689E-3</v>
      </c>
      <c r="K9" s="157">
        <f t="shared" si="3"/>
        <v>315.904</v>
      </c>
      <c r="L9" s="157">
        <f t="shared" si="4"/>
        <v>394.88</v>
      </c>
      <c r="M9" s="149">
        <f t="shared" si="5"/>
        <v>7.746796216766689E-3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4" t="s">
        <v>530</v>
      </c>
      <c r="R9" s="168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6">
        <v>15015.099999999999</v>
      </c>
      <c r="H10" s="156">
        <v>5880.0999999999985</v>
      </c>
      <c r="I10" s="156">
        <f t="shared" si="0"/>
        <v>9135</v>
      </c>
      <c r="J10" s="42">
        <f>IFERROR(G10/VLOOKUP(A10,RESUME!$G$3:$I$10,3,FALSE),0)</f>
        <v>0.2945677671048762</v>
      </c>
      <c r="K10" s="156">
        <f t="shared" si="3"/>
        <v>12012.08</v>
      </c>
      <c r="L10" s="156">
        <f t="shared" si="4"/>
        <v>15015.099999999999</v>
      </c>
      <c r="M10" s="147">
        <f t="shared" si="5"/>
        <v>0.36820970888109517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52" t="s">
        <v>530</v>
      </c>
      <c r="R10" s="168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7">
        <v>26.7199999999998</v>
      </c>
      <c r="H11" s="157">
        <v>706.3</v>
      </c>
      <c r="I11" s="157">
        <f t="shared" si="0"/>
        <v>-679.58000000000015</v>
      </c>
      <c r="J11" s="42">
        <f>IFERROR(G11/VLOOKUP(A11,RESUME!$G$3:$I$10,3,FALSE),0)</f>
        <v>5.2419569213939525E-4</v>
      </c>
      <c r="K11" s="157">
        <f t="shared" si="3"/>
        <v>21.375999999999841</v>
      </c>
      <c r="L11" s="157">
        <f t="shared" si="4"/>
        <v>26.7199999999998</v>
      </c>
      <c r="M11" s="149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4" t="s">
        <v>552</v>
      </c>
      <c r="R11" s="168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6">
        <v>15124.89</v>
      </c>
      <c r="H12" s="156">
        <v>5170.79000000003</v>
      </c>
      <c r="I12" s="156">
        <f t="shared" si="0"/>
        <v>9954.0999999999694</v>
      </c>
      <c r="J12" s="42">
        <f>IFERROR(G12/VLOOKUP(A12,RESUME!$G$3:$I$10,3,FALSE),0)</f>
        <v>0.29672163855098338</v>
      </c>
      <c r="K12" s="156">
        <f t="shared" si="3"/>
        <v>12099.912</v>
      </c>
      <c r="L12" s="156">
        <f t="shared" si="4"/>
        <v>15124.89</v>
      </c>
      <c r="M12" s="147">
        <f t="shared" si="5"/>
        <v>0.37090204818872924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52" t="s">
        <v>530</v>
      </c>
      <c r="R12" s="168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7">
        <v>639</v>
      </c>
      <c r="H13" s="157">
        <v>513.23</v>
      </c>
      <c r="I13" s="157">
        <f t="shared" si="0"/>
        <v>125.76999999999998</v>
      </c>
      <c r="J13" s="42">
        <f>IFERROR(G13/VLOOKUP(A13,RESUME!$G$3:$I$10,3,FALSE),0)</f>
        <v>1.2535967338213924E-2</v>
      </c>
      <c r="K13" s="157">
        <f t="shared" si="3"/>
        <v>511.20000000000005</v>
      </c>
      <c r="L13" s="157">
        <f t="shared" si="4"/>
        <v>639</v>
      </c>
      <c r="M13" s="149">
        <f t="shared" si="5"/>
        <v>1.5607979130445799E-2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4" t="s">
        <v>530</v>
      </c>
      <c r="R13" s="168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6">
        <v>1265</v>
      </c>
      <c r="H14" s="156">
        <v>839.63</v>
      </c>
      <c r="I14" s="156">
        <f t="shared" si="0"/>
        <v>425.37</v>
      </c>
      <c r="J14" s="42">
        <f>IFERROR(G14/VLOOKUP(A14,RESUME!$G$3:$I$10,3,FALSE),0)</f>
        <v>2.4816899347168412E-2</v>
      </c>
      <c r="K14" s="156">
        <f t="shared" si="3"/>
        <v>1012</v>
      </c>
      <c r="L14" s="156">
        <f t="shared" si="4"/>
        <v>1265</v>
      </c>
      <c r="M14" s="147">
        <f t="shared" si="5"/>
        <v>3.1021124183960514E-2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52" t="s">
        <v>530</v>
      </c>
      <c r="R14" s="168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7">
        <v>2489</v>
      </c>
      <c r="H15" s="157">
        <v>457.93</v>
      </c>
      <c r="I15" s="157">
        <f t="shared" si="0"/>
        <v>2031.07</v>
      </c>
      <c r="J15" s="42">
        <f>IFERROR(G15/VLOOKUP(A15,RESUME!$G$3:$I$10,3,FALSE),0)</f>
        <v>4.8829456502057056E-2</v>
      </c>
      <c r="K15" s="157">
        <f t="shared" si="3"/>
        <v>1991.2</v>
      </c>
      <c r="L15" s="157">
        <f t="shared" si="4"/>
        <v>2489</v>
      </c>
      <c r="M15" s="149">
        <f t="shared" si="5"/>
        <v>6.103682062757132E-2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4" t="s">
        <v>530</v>
      </c>
      <c r="R15" s="168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6">
        <v>1025</v>
      </c>
      <c r="H16" s="156">
        <v>29</v>
      </c>
      <c r="I16" s="156">
        <f t="shared" si="0"/>
        <v>996</v>
      </c>
      <c r="J16" s="42">
        <f>IFERROR(G16/VLOOKUP(A16,RESUME!$G$3:$I$10,3,FALSE),0)</f>
        <v>2.0108554806994167E-2</v>
      </c>
      <c r="K16" s="156">
        <f t="shared" si="3"/>
        <v>820</v>
      </c>
      <c r="L16" s="156">
        <f t="shared" si="4"/>
        <v>1025</v>
      </c>
      <c r="M16" s="147">
        <f t="shared" si="5"/>
        <v>2.5135693508742708E-2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52" t="s">
        <v>530</v>
      </c>
      <c r="R16" s="168"/>
    </row>
    <row r="17" spans="1:18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7">
        <v>669.9</v>
      </c>
      <c r="H17" s="157">
        <v>7427.99</v>
      </c>
      <c r="I17" s="157">
        <f t="shared" si="0"/>
        <v>-6758.09</v>
      </c>
      <c r="J17" s="42">
        <f>IFERROR(G17/VLOOKUP(A17,RESUME!$G$3:$I$10,3,FALSE),0)</f>
        <v>1.3142166697761358E-2</v>
      </c>
      <c r="K17" s="157">
        <f t="shared" si="3"/>
        <v>535.91999999999996</v>
      </c>
      <c r="L17" s="157">
        <f t="shared" si="4"/>
        <v>669.9</v>
      </c>
      <c r="M17" s="149">
        <f t="shared" si="5"/>
        <v>0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OVER</v>
      </c>
      <c r="Q17" s="164" t="s">
        <v>553</v>
      </c>
      <c r="R17" s="168"/>
    </row>
    <row r="18" spans="1:18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6">
        <v>2590.0100000000002</v>
      </c>
      <c r="H18" s="156">
        <v>2612.3200000000002</v>
      </c>
      <c r="I18" s="156">
        <f t="shared" si="0"/>
        <v>-22.309999999999945</v>
      </c>
      <c r="J18" s="42">
        <f>IFERROR(G18/VLOOKUP(A18,RESUME!$G$3:$I$10,3,FALSE),0)</f>
        <v>5.0811081010402895E-2</v>
      </c>
      <c r="K18" s="156">
        <f t="shared" si="3"/>
        <v>2072.0080000000003</v>
      </c>
      <c r="L18" s="156">
        <f t="shared" si="4"/>
        <v>2590.0100000000002</v>
      </c>
      <c r="M18" s="147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52" t="s">
        <v>554</v>
      </c>
      <c r="R18" s="168"/>
    </row>
    <row r="19" spans="1:18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7">
        <v>0</v>
      </c>
      <c r="H19" s="157"/>
      <c r="I19" s="157">
        <f t="shared" si="0"/>
        <v>0</v>
      </c>
      <c r="J19" s="42">
        <f>IFERROR(G19/VLOOKUP(A19,RESUME!$G$3:$I$10,3,FALSE),0)</f>
        <v>0</v>
      </c>
      <c r="K19" s="157">
        <f t="shared" si="3"/>
        <v>0</v>
      </c>
      <c r="L19" s="157">
        <f t="shared" si="4"/>
        <v>0</v>
      </c>
      <c r="M19" s="149">
        <f t="shared" si="5"/>
        <v>0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OVER</v>
      </c>
      <c r="Q19" s="164" t="s">
        <v>555</v>
      </c>
      <c r="R19" s="168"/>
    </row>
    <row r="20" spans="1:18" hidden="1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6">
        <v>199.33</v>
      </c>
      <c r="H20" s="156">
        <v>199.33</v>
      </c>
      <c r="I20" s="156">
        <f t="shared" si="0"/>
        <v>0</v>
      </c>
      <c r="J20" s="42">
        <f>IFERROR(G20/VLOOKUP(A20,RESUME!$G$3:$I$10,3,FALSE),0)</f>
        <v>0.5</v>
      </c>
      <c r="K20" s="156">
        <f t="shared" si="3"/>
        <v>159.46400000000003</v>
      </c>
      <c r="L20" s="156">
        <f t="shared" si="4"/>
        <v>199.33</v>
      </c>
      <c r="M20" s="147">
        <f t="shared" si="5"/>
        <v>0.5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OVER</v>
      </c>
      <c r="Q20" s="152" t="s">
        <v>530</v>
      </c>
      <c r="R20" s="168"/>
    </row>
    <row r="21" spans="1:18" hidden="1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7">
        <v>0</v>
      </c>
      <c r="H21" s="157"/>
      <c r="I21" s="157">
        <f t="shared" si="0"/>
        <v>0</v>
      </c>
      <c r="J21" s="42">
        <f>IFERROR(G21/VLOOKUP(A21,RESUME!$G$3:$I$10,3,FALSE),0)</f>
        <v>0</v>
      </c>
      <c r="K21" s="157">
        <f t="shared" si="3"/>
        <v>0</v>
      </c>
      <c r="L21" s="157">
        <f t="shared" si="4"/>
        <v>0</v>
      </c>
      <c r="M21" s="149">
        <f t="shared" si="5"/>
        <v>0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OVER</v>
      </c>
      <c r="Q21" s="164" t="s">
        <v>530</v>
      </c>
      <c r="R21" s="168"/>
    </row>
    <row r="22" spans="1:18" hidden="1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6">
        <v>0</v>
      </c>
      <c r="H22" s="156"/>
      <c r="I22" s="156">
        <f t="shared" si="0"/>
        <v>0</v>
      </c>
      <c r="J22" s="42">
        <f>IFERROR(G22/VLOOKUP(A22,RESUME!$G$3:$I$10,3,FALSE),0)</f>
        <v>0</v>
      </c>
      <c r="K22" s="156">
        <f t="shared" si="3"/>
        <v>0</v>
      </c>
      <c r="L22" s="156">
        <f t="shared" si="4"/>
        <v>0</v>
      </c>
      <c r="M22" s="147">
        <f t="shared" si="5"/>
        <v>0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OVER</v>
      </c>
      <c r="Q22" s="152" t="s">
        <v>530</v>
      </c>
      <c r="R22" s="168"/>
    </row>
    <row r="23" spans="1:18" hidden="1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7">
        <v>199.33</v>
      </c>
      <c r="H23" s="157">
        <v>647.20999999999947</v>
      </c>
      <c r="I23" s="157">
        <f t="shared" si="0"/>
        <v>-447.87999999999943</v>
      </c>
      <c r="J23" s="42">
        <f>IFERROR(G23/VLOOKUP(A23,RESUME!$G$3:$I$10,3,FALSE),0)</f>
        <v>0.5</v>
      </c>
      <c r="K23" s="157">
        <f t="shared" si="3"/>
        <v>159.46400000000003</v>
      </c>
      <c r="L23" s="157">
        <f t="shared" si="4"/>
        <v>199.33</v>
      </c>
      <c r="M23" s="149">
        <f t="shared" si="5"/>
        <v>0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OVER</v>
      </c>
      <c r="Q23" s="164" t="s">
        <v>530</v>
      </c>
      <c r="R23" s="168"/>
    </row>
    <row r="24" spans="1:18" hidden="1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6">
        <v>0</v>
      </c>
      <c r="H24" s="156"/>
      <c r="I24" s="156">
        <f t="shared" si="0"/>
        <v>0</v>
      </c>
      <c r="J24" s="42">
        <f>IFERROR(G24/VLOOKUP(A24,RESUME!$G$3:$I$10,3,FALSE),0)</f>
        <v>0</v>
      </c>
      <c r="K24" s="156">
        <f t="shared" si="3"/>
        <v>0</v>
      </c>
      <c r="L24" s="156">
        <f t="shared" si="4"/>
        <v>0</v>
      </c>
      <c r="M24" s="147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52" t="s">
        <v>530</v>
      </c>
      <c r="R24" s="168"/>
    </row>
    <row r="25" spans="1:18" hidden="1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7">
        <v>0</v>
      </c>
      <c r="H25" s="157"/>
      <c r="I25" s="157">
        <f t="shared" si="0"/>
        <v>0</v>
      </c>
      <c r="J25" s="42">
        <f>IFERROR(G25/VLOOKUP(A25,RESUME!$G$3:$I$10,3,FALSE),0)</f>
        <v>0</v>
      </c>
      <c r="K25" s="157">
        <f t="shared" si="3"/>
        <v>0</v>
      </c>
      <c r="L25" s="157">
        <f t="shared" si="4"/>
        <v>0</v>
      </c>
      <c r="M25" s="149">
        <f t="shared" si="5"/>
        <v>0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OVER</v>
      </c>
      <c r="Q25" s="164" t="s">
        <v>530</v>
      </c>
      <c r="R25" s="168"/>
    </row>
    <row r="26" spans="1:18" hidden="1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6">
        <v>0</v>
      </c>
      <c r="H26" s="156"/>
      <c r="I26" s="156">
        <f t="shared" si="0"/>
        <v>0</v>
      </c>
      <c r="J26" s="42">
        <f>IFERROR(G26/VLOOKUP(A26,RESUME!$G$3:$I$10,3,FALSE),0)</f>
        <v>0</v>
      </c>
      <c r="K26" s="156">
        <f t="shared" si="3"/>
        <v>0</v>
      </c>
      <c r="L26" s="156">
        <f t="shared" si="4"/>
        <v>0</v>
      </c>
      <c r="M26" s="147">
        <f t="shared" si="5"/>
        <v>0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OVER</v>
      </c>
      <c r="Q26" s="152" t="s">
        <v>530</v>
      </c>
      <c r="R26" s="168"/>
    </row>
    <row r="27" spans="1:18" hidden="1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7">
        <v>0</v>
      </c>
      <c r="H27" s="157"/>
      <c r="I27" s="157">
        <f t="shared" si="0"/>
        <v>0</v>
      </c>
      <c r="J27" s="42">
        <f>IFERROR(G27/VLOOKUP(A27,RESUME!$G$3:$I$10,3,FALSE),0)</f>
        <v>0</v>
      </c>
      <c r="K27" s="157">
        <f t="shared" si="3"/>
        <v>0</v>
      </c>
      <c r="L27" s="157">
        <f t="shared" si="4"/>
        <v>0</v>
      </c>
      <c r="M27" s="149">
        <f t="shared" si="5"/>
        <v>0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OVER</v>
      </c>
      <c r="Q27" s="164" t="s">
        <v>530</v>
      </c>
      <c r="R27" s="168"/>
    </row>
    <row r="28" spans="1:18" hidden="1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6">
        <v>0</v>
      </c>
      <c r="H28" s="156"/>
      <c r="I28" s="156">
        <f t="shared" si="0"/>
        <v>0</v>
      </c>
      <c r="J28" s="42">
        <f>IFERROR(G28/VLOOKUP(A28,RESUME!$G$3:$I$10,3,FALSE),0)</f>
        <v>0</v>
      </c>
      <c r="K28" s="156">
        <f t="shared" si="3"/>
        <v>0</v>
      </c>
      <c r="L28" s="156">
        <f t="shared" si="4"/>
        <v>0</v>
      </c>
      <c r="M28" s="147">
        <f t="shared" si="5"/>
        <v>0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OVER</v>
      </c>
      <c r="Q28" s="152" t="s">
        <v>530</v>
      </c>
      <c r="R28" s="168"/>
    </row>
    <row r="29" spans="1:18" hidden="1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7">
        <v>0</v>
      </c>
      <c r="H29" s="157"/>
      <c r="I29" s="157">
        <f t="shared" si="0"/>
        <v>0</v>
      </c>
      <c r="J29" s="42">
        <f>IFERROR(G29/VLOOKUP(A29,RESUME!$G$3:$I$10,3,FALSE),0)</f>
        <v>0</v>
      </c>
      <c r="K29" s="157">
        <f t="shared" si="3"/>
        <v>0</v>
      </c>
      <c r="L29" s="157">
        <f t="shared" si="4"/>
        <v>0</v>
      </c>
      <c r="M29" s="149">
        <f t="shared" si="5"/>
        <v>0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OVER</v>
      </c>
      <c r="Q29" s="164" t="s">
        <v>530</v>
      </c>
      <c r="R29" s="168"/>
    </row>
    <row r="30" spans="1:18" hidden="1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6">
        <v>0</v>
      </c>
      <c r="H30" s="156"/>
      <c r="I30" s="156">
        <f t="shared" si="0"/>
        <v>0</v>
      </c>
      <c r="J30" s="42">
        <f>IFERROR(G30/VLOOKUP(A30,RESUME!$G$3:$I$10,3,FALSE),0)</f>
        <v>0</v>
      </c>
      <c r="K30" s="156">
        <f t="shared" si="3"/>
        <v>0</v>
      </c>
      <c r="L30" s="156">
        <f t="shared" si="4"/>
        <v>0</v>
      </c>
      <c r="M30" s="147">
        <f t="shared" si="5"/>
        <v>0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OVER</v>
      </c>
      <c r="Q30" s="152" t="s">
        <v>530</v>
      </c>
      <c r="R30" s="168"/>
    </row>
    <row r="31" spans="1:18" hidden="1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7">
        <v>0</v>
      </c>
      <c r="H31" s="157"/>
      <c r="I31" s="157">
        <f t="shared" si="0"/>
        <v>0</v>
      </c>
      <c r="J31" s="42">
        <f>IFERROR(G31/VLOOKUP(A31,RESUME!$G$3:$I$10,3,FALSE),0)</f>
        <v>0</v>
      </c>
      <c r="K31" s="157">
        <f t="shared" si="3"/>
        <v>0</v>
      </c>
      <c r="L31" s="157">
        <f t="shared" si="4"/>
        <v>0</v>
      </c>
      <c r="M31" s="149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4" t="s">
        <v>530</v>
      </c>
      <c r="R31" s="168"/>
    </row>
    <row r="32" spans="1:18" hidden="1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6">
        <v>0</v>
      </c>
      <c r="H32" s="156"/>
      <c r="I32" s="156">
        <f t="shared" si="0"/>
        <v>0</v>
      </c>
      <c r="J32" s="42">
        <f>IFERROR(G32/VLOOKUP(A32,RESUME!$G$3:$I$10,3,FALSE),0)</f>
        <v>0</v>
      </c>
      <c r="K32" s="156">
        <f t="shared" si="3"/>
        <v>0</v>
      </c>
      <c r="L32" s="156">
        <f t="shared" si="4"/>
        <v>0</v>
      </c>
      <c r="M32" s="147">
        <f t="shared" si="5"/>
        <v>0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OVER</v>
      </c>
      <c r="Q32" s="152" t="s">
        <v>530</v>
      </c>
      <c r="R32" s="168"/>
    </row>
    <row r="33" spans="1:18" hidden="1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7">
        <v>0</v>
      </c>
      <c r="H33" s="157"/>
      <c r="I33" s="157">
        <f t="shared" si="0"/>
        <v>0</v>
      </c>
      <c r="J33" s="42">
        <f>IFERROR(G33/VLOOKUP(A33,RESUME!$G$3:$I$10,3,FALSE),0)</f>
        <v>0</v>
      </c>
      <c r="K33" s="157">
        <f t="shared" si="3"/>
        <v>0</v>
      </c>
      <c r="L33" s="157">
        <f t="shared" si="4"/>
        <v>0</v>
      </c>
      <c r="M33" s="149">
        <f t="shared" si="5"/>
        <v>0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OVER</v>
      </c>
      <c r="Q33" s="164" t="s">
        <v>530</v>
      </c>
      <c r="R33" s="168"/>
    </row>
    <row r="34" spans="1:18" hidden="1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6">
        <v>0</v>
      </c>
      <c r="H34" s="156"/>
      <c r="I34" s="156">
        <f t="shared" si="0"/>
        <v>0</v>
      </c>
      <c r="J34" s="42">
        <f>IFERROR(G34/VLOOKUP(A34,RESUME!$G$3:$I$10,3,FALSE),0)</f>
        <v>0</v>
      </c>
      <c r="K34" s="156">
        <f t="shared" si="3"/>
        <v>0</v>
      </c>
      <c r="L34" s="156">
        <f t="shared" si="4"/>
        <v>0</v>
      </c>
      <c r="M34" s="147">
        <f t="shared" si="5"/>
        <v>0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OVER</v>
      </c>
      <c r="Q34" s="152" t="s">
        <v>530</v>
      </c>
      <c r="R34" s="168"/>
    </row>
    <row r="35" spans="1:18" hidden="1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7">
        <v>0</v>
      </c>
      <c r="H35" s="157"/>
      <c r="I35" s="157">
        <f t="shared" si="0"/>
        <v>0</v>
      </c>
      <c r="J35" s="42">
        <f>IFERROR(G35/VLOOKUP(A35,RESUME!$G$3:$I$10,3,FALSE),0)</f>
        <v>0</v>
      </c>
      <c r="K35" s="157">
        <f t="shared" si="3"/>
        <v>0</v>
      </c>
      <c r="L35" s="157">
        <f t="shared" si="4"/>
        <v>0</v>
      </c>
      <c r="M35" s="149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4" t="s">
        <v>530</v>
      </c>
      <c r="R35" s="168"/>
    </row>
    <row r="36" spans="1:18" hidden="1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6">
        <v>0</v>
      </c>
      <c r="H36" s="156"/>
      <c r="I36" s="156">
        <f t="shared" si="0"/>
        <v>0</v>
      </c>
      <c r="J36" s="42">
        <f>IFERROR(G36/VLOOKUP(A36,RESUME!$G$3:$I$10,3,FALSE),0)</f>
        <v>0</v>
      </c>
      <c r="K36" s="156">
        <f t="shared" si="3"/>
        <v>0</v>
      </c>
      <c r="L36" s="156">
        <f t="shared" si="4"/>
        <v>0</v>
      </c>
      <c r="M36" s="147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52" t="s">
        <v>530</v>
      </c>
      <c r="R36" s="168"/>
    </row>
    <row r="37" spans="1:18" hidden="1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7">
        <v>0</v>
      </c>
      <c r="H37" s="157"/>
      <c r="I37" s="157">
        <f t="shared" si="0"/>
        <v>0</v>
      </c>
      <c r="J37" s="42">
        <f>IFERROR(G37/VLOOKUP(A37,RESUME!$G$3:$I$10,3,FALSE),0)</f>
        <v>0</v>
      </c>
      <c r="K37" s="157">
        <f t="shared" si="3"/>
        <v>0</v>
      </c>
      <c r="L37" s="157">
        <f t="shared" si="4"/>
        <v>0</v>
      </c>
      <c r="M37" s="149">
        <f t="shared" si="5"/>
        <v>0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OVER</v>
      </c>
      <c r="Q37" s="164" t="s">
        <v>530</v>
      </c>
      <c r="R37" s="168"/>
    </row>
    <row r="38" spans="1:18" hidden="1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6">
        <v>0</v>
      </c>
      <c r="H38" s="156"/>
      <c r="I38" s="156">
        <f t="shared" ref="I38:I69" si="6">G38-H38</f>
        <v>0</v>
      </c>
      <c r="J38" s="42">
        <f>IFERROR(G38/VLOOKUP(A38,RESUME!$G$3:$I$10,3,FALSE),0)</f>
        <v>0</v>
      </c>
      <c r="K38" s="156">
        <f t="shared" si="3"/>
        <v>0</v>
      </c>
      <c r="L38" s="156">
        <f t="shared" si="4"/>
        <v>0</v>
      </c>
      <c r="M38" s="147">
        <f t="shared" si="5"/>
        <v>0</v>
      </c>
      <c r="N38" s="41" t="str">
        <f>_xlfn.IFNA(VLOOKUP(A38&amp;"-"&amp;B38&amp;"-"&amp;D38,Ref_Account!$A:$F,6,FALSE),"ACCOUNT TIDAK DITEMUKAN")</f>
        <v>1201.710200</v>
      </c>
      <c r="O38" s="39">
        <f t="shared" ref="O38:O69" si="7">IF(N38="ACCOUNT TIDAK DITEMUKAN","9999",COUNTIF($N$6:$N$164,N38))</f>
        <v>6</v>
      </c>
      <c r="P38" s="39" t="str">
        <f t="shared" si="2"/>
        <v>OVER</v>
      </c>
      <c r="Q38" s="152" t="s">
        <v>530</v>
      </c>
      <c r="R38" s="168"/>
    </row>
    <row r="39" spans="1:18" hidden="1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7">
        <v>0</v>
      </c>
      <c r="H39" s="157">
        <v>165.91</v>
      </c>
      <c r="I39" s="157">
        <f t="shared" si="6"/>
        <v>-165.91</v>
      </c>
      <c r="J39" s="42">
        <f>IFERROR(G39/VLOOKUP(A39,RESUME!$G$3:$I$10,3,FALSE),0)</f>
        <v>0</v>
      </c>
      <c r="K39" s="157">
        <f t="shared" si="3"/>
        <v>0</v>
      </c>
      <c r="L39" s="157">
        <f t="shared" si="4"/>
        <v>0</v>
      </c>
      <c r="M39" s="149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7"/>
        <v>1</v>
      </c>
      <c r="P39" s="40" t="str">
        <f t="shared" si="2"/>
        <v>OVER</v>
      </c>
      <c r="Q39" s="164" t="s">
        <v>549</v>
      </c>
      <c r="R39" s="168"/>
    </row>
    <row r="40" spans="1:18" hidden="1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6">
        <v>2288.77</v>
      </c>
      <c r="H40" s="156">
        <v>2781.48</v>
      </c>
      <c r="I40" s="156">
        <f t="shared" si="6"/>
        <v>-492.71000000000004</v>
      </c>
      <c r="J40" s="42">
        <f>IFERROR(G40/VLOOKUP(A40,RESUME!$G$3:$I$10,3,FALSE),0)</f>
        <v>8.8136837236992546E-2</v>
      </c>
      <c r="K40" s="156">
        <f t="shared" si="3"/>
        <v>1831.0160000000001</v>
      </c>
      <c r="L40" s="156">
        <f t="shared" si="4"/>
        <v>2288.77</v>
      </c>
      <c r="M40" s="147">
        <f t="shared" si="5"/>
        <v>0</v>
      </c>
      <c r="N40" s="41" t="str">
        <f>_xlfn.IFNA(VLOOKUP(A40&amp;"-"&amp;B40&amp;"-"&amp;D40,Ref_Account!$A:$F,6,FALSE),"ACCOUNT TIDAK DITEMUKAN")</f>
        <v>1201.812100</v>
      </c>
      <c r="O40" s="39">
        <f t="shared" si="7"/>
        <v>1</v>
      </c>
      <c r="P40" s="39" t="str">
        <f t="shared" si="2"/>
        <v>OVER</v>
      </c>
      <c r="Q40" s="152" t="s">
        <v>530</v>
      </c>
      <c r="R40" s="168"/>
    </row>
    <row r="41" spans="1:18" hidden="1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7">
        <v>0</v>
      </c>
      <c r="H41" s="157">
        <v>158.19999999999999</v>
      </c>
      <c r="I41" s="157">
        <f t="shared" si="6"/>
        <v>-158.19999999999999</v>
      </c>
      <c r="J41" s="42">
        <f>IFERROR(G41/VLOOKUP(A41,RESUME!$G$3:$I$10,3,FALSE),0)</f>
        <v>0</v>
      </c>
      <c r="K41" s="157">
        <f t="shared" si="3"/>
        <v>0</v>
      </c>
      <c r="L41" s="157">
        <f t="shared" si="4"/>
        <v>0</v>
      </c>
      <c r="M41" s="149">
        <f t="shared" si="5"/>
        <v>0</v>
      </c>
      <c r="N41" s="43" t="str">
        <f>_xlfn.IFNA(VLOOKUP(A41&amp;"-"&amp;B41&amp;"-"&amp;D41,Ref_Account!$A:$F,6,FALSE),"ACCOUNT TIDAK DITEMUKAN")</f>
        <v>1201.807100</v>
      </c>
      <c r="O41" s="40">
        <f t="shared" si="7"/>
        <v>1</v>
      </c>
      <c r="P41" s="40" t="str">
        <f t="shared" si="2"/>
        <v>OVER</v>
      </c>
      <c r="Q41" s="164" t="s">
        <v>530</v>
      </c>
      <c r="R41" s="168"/>
    </row>
    <row r="42" spans="1:18" hidden="1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6">
        <v>0</v>
      </c>
      <c r="H42" s="156">
        <v>63.28</v>
      </c>
      <c r="I42" s="156">
        <f t="shared" si="6"/>
        <v>-63.28</v>
      </c>
      <c r="J42" s="42">
        <f>IFERROR(G42/VLOOKUP(A42,RESUME!$G$3:$I$10,3,FALSE),0)</f>
        <v>0</v>
      </c>
      <c r="K42" s="156">
        <f t="shared" si="3"/>
        <v>0</v>
      </c>
      <c r="L42" s="156">
        <f t="shared" si="4"/>
        <v>0</v>
      </c>
      <c r="M42" s="147">
        <f t="shared" si="5"/>
        <v>0</v>
      </c>
      <c r="N42" s="41" t="str">
        <f>_xlfn.IFNA(VLOOKUP(A42&amp;"-"&amp;B42&amp;"-"&amp;D42,Ref_Account!$A:$F,6,FALSE),"ACCOUNT TIDAK DITEMUKAN")</f>
        <v>1204.807100</v>
      </c>
      <c r="O42" s="39">
        <f t="shared" si="7"/>
        <v>1</v>
      </c>
      <c r="P42" s="39" t="s">
        <v>540</v>
      </c>
      <c r="Q42" s="152" t="s">
        <v>530</v>
      </c>
      <c r="R42" s="168"/>
    </row>
    <row r="43" spans="1:18" hidden="1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7">
        <v>1863.9</v>
      </c>
      <c r="H43" s="157">
        <v>1863.9</v>
      </c>
      <c r="I43" s="157">
        <f t="shared" si="6"/>
        <v>0</v>
      </c>
      <c r="J43" s="42">
        <f>IFERROR(G43/VLOOKUP(A43,RESUME!$G$3:$I$10,3,FALSE),0)</f>
        <v>7.1775779534872616E-2</v>
      </c>
      <c r="K43" s="157">
        <f t="shared" si="3"/>
        <v>1491.1200000000001</v>
      </c>
      <c r="L43" s="157">
        <f t="shared" si="4"/>
        <v>1863.9</v>
      </c>
      <c r="M43" s="149">
        <f t="shared" si="5"/>
        <v>7.1775779534872616E-2</v>
      </c>
      <c r="N43" s="43" t="str">
        <f>_xlfn.IFNA(VLOOKUP(A43&amp;"-"&amp;B43&amp;"-"&amp;D43,Ref_Account!$A:$F,6,FALSE),"ACCOUNT TIDAK DITEMUKAN")</f>
        <v>1201.630400</v>
      </c>
      <c r="O43" s="40">
        <f t="shared" si="7"/>
        <v>1</v>
      </c>
      <c r="P43" s="40" t="str">
        <f t="shared" si="2"/>
        <v>OVER</v>
      </c>
      <c r="Q43" s="164" t="s">
        <v>530</v>
      </c>
      <c r="R43" s="168"/>
    </row>
    <row r="44" spans="1:18" hidden="1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6">
        <v>1453.67</v>
      </c>
      <c r="H44" s="156">
        <v>922.87</v>
      </c>
      <c r="I44" s="156">
        <f t="shared" si="6"/>
        <v>530.80000000000007</v>
      </c>
      <c r="J44" s="42">
        <f>IFERROR(G44/VLOOKUP(A44,RESUME!$G$3:$I$10,3,FALSE),0)</f>
        <v>5.5978484594912968E-2</v>
      </c>
      <c r="K44" s="156">
        <f t="shared" si="3"/>
        <v>1162.9360000000001</v>
      </c>
      <c r="L44" s="156">
        <f t="shared" si="4"/>
        <v>1453.67</v>
      </c>
      <c r="M44" s="147">
        <f t="shared" si="5"/>
        <v>6.9973105743641212E-2</v>
      </c>
      <c r="N44" s="41" t="str">
        <f>_xlfn.IFNA(VLOOKUP(A44&amp;"-"&amp;B44&amp;"-"&amp;D44,Ref_Account!$A:$F,6,FALSE),"ACCOUNT TIDAK DITEMUKAN")</f>
        <v>1201.813100</v>
      </c>
      <c r="O44" s="39">
        <f t="shared" si="7"/>
        <v>1</v>
      </c>
      <c r="P44" s="39" t="str">
        <f t="shared" si="2"/>
        <v>OK</v>
      </c>
      <c r="Q44" s="152" t="s">
        <v>530</v>
      </c>
      <c r="R44" s="168"/>
    </row>
    <row r="45" spans="1:18" hidden="1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7">
        <v>76.62</v>
      </c>
      <c r="H45" s="157">
        <v>156.87</v>
      </c>
      <c r="I45" s="157">
        <f t="shared" si="6"/>
        <v>-80.25</v>
      </c>
      <c r="J45" s="42">
        <f>IFERROR(G45/VLOOKUP(A45,RESUME!$G$3:$I$10,3,FALSE),0)</f>
        <v>2.9505124888470091E-3</v>
      </c>
      <c r="K45" s="157">
        <f t="shared" si="3"/>
        <v>61.296000000000006</v>
      </c>
      <c r="L45" s="157">
        <f t="shared" si="4"/>
        <v>76.62</v>
      </c>
      <c r="M45" s="149">
        <f t="shared" si="5"/>
        <v>0</v>
      </c>
      <c r="N45" s="43" t="str">
        <f>_xlfn.IFNA(VLOOKUP(A45&amp;"-"&amp;B45&amp;"-"&amp;D45,Ref_Account!$A:$F,6,FALSE),"ACCOUNT TIDAK DITEMUKAN")</f>
        <v>1201.630300</v>
      </c>
      <c r="O45" s="40">
        <f t="shared" si="7"/>
        <v>1</v>
      </c>
      <c r="P45" s="40" t="str">
        <f t="shared" si="2"/>
        <v>OVER</v>
      </c>
      <c r="Q45" s="164" t="s">
        <v>530</v>
      </c>
      <c r="R45" s="168"/>
    </row>
    <row r="46" spans="1:18" hidden="1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6">
        <v>126.88</v>
      </c>
      <c r="H46" s="156">
        <v>162.32</v>
      </c>
      <c r="I46" s="156">
        <f t="shared" si="6"/>
        <v>-35.44</v>
      </c>
      <c r="J46" s="42">
        <f>IFERROR(G46/VLOOKUP(A46,RESUME!$G$3:$I$10,3,FALSE),0)</f>
        <v>4.8859439387223761E-3</v>
      </c>
      <c r="K46" s="156">
        <f t="shared" si="3"/>
        <v>101.504</v>
      </c>
      <c r="L46" s="156">
        <f t="shared" si="4"/>
        <v>126.88</v>
      </c>
      <c r="M46" s="147">
        <f t="shared" si="5"/>
        <v>0</v>
      </c>
      <c r="N46" s="41" t="str">
        <f>_xlfn.IFNA(VLOOKUP(A46&amp;"-"&amp;B46&amp;"-"&amp;D46,Ref_Account!$A:$F,6,FALSE),"ACCOUNT TIDAK DITEMUKAN")</f>
        <v>1201.630200</v>
      </c>
      <c r="O46" s="39">
        <f t="shared" si="7"/>
        <v>2</v>
      </c>
      <c r="P46" s="39" t="str">
        <f t="shared" si="2"/>
        <v>OVER</v>
      </c>
      <c r="Q46" s="152" t="s">
        <v>530</v>
      </c>
      <c r="R46" s="168"/>
    </row>
    <row r="47" spans="1:18" hidden="1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7">
        <v>126.88</v>
      </c>
      <c r="H47" s="157"/>
      <c r="I47" s="157">
        <f t="shared" si="6"/>
        <v>126.88</v>
      </c>
      <c r="J47" s="42">
        <f>IFERROR(G47/VLOOKUP(A47,RESUME!$G$3:$I$10,3,FALSE),0)</f>
        <v>4.8859439387223761E-3</v>
      </c>
      <c r="K47" s="157">
        <f t="shared" si="3"/>
        <v>101.504</v>
      </c>
      <c r="L47" s="157">
        <f t="shared" si="4"/>
        <v>126.88</v>
      </c>
      <c r="M47" s="149">
        <f t="shared" si="5"/>
        <v>6.1074299234029697E-3</v>
      </c>
      <c r="N47" s="43" t="str">
        <f>_xlfn.IFNA(VLOOKUP(A47&amp;"-"&amp;B47&amp;"-"&amp;D47,Ref_Account!$A:$F,6,FALSE),"ACCOUNT TIDAK DITEMUKAN")</f>
        <v>1201.630200</v>
      </c>
      <c r="O47" s="40">
        <f t="shared" si="7"/>
        <v>2</v>
      </c>
      <c r="P47" s="40" t="str">
        <f t="shared" si="2"/>
        <v>OK</v>
      </c>
      <c r="Q47" s="164" t="s">
        <v>530</v>
      </c>
      <c r="R47" s="168"/>
    </row>
    <row r="48" spans="1:18" hidden="1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6">
        <v>3004.76</v>
      </c>
      <c r="H48" s="156">
        <v>8323.4</v>
      </c>
      <c r="I48" s="156">
        <f t="shared" si="6"/>
        <v>-5318.6399999999994</v>
      </c>
      <c r="J48" s="42">
        <f>IFERROR(G48/VLOOKUP(A48,RESUME!$G$3:$I$10,3,FALSE),0)</f>
        <v>0.11570845609485694</v>
      </c>
      <c r="K48" s="156">
        <f t="shared" si="3"/>
        <v>2403.8080000000004</v>
      </c>
      <c r="L48" s="156">
        <f t="shared" si="4"/>
        <v>3004.76</v>
      </c>
      <c r="M48" s="147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7"/>
        <v>1</v>
      </c>
      <c r="P48" s="39" t="str">
        <f t="shared" si="2"/>
        <v>OVER</v>
      </c>
      <c r="Q48" s="152" t="s">
        <v>530</v>
      </c>
      <c r="R48" s="168"/>
    </row>
    <row r="49" spans="1:18" hidden="1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7">
        <v>1543.55</v>
      </c>
      <c r="H49" s="157"/>
      <c r="I49" s="157">
        <f t="shared" si="6"/>
        <v>1543.55</v>
      </c>
      <c r="J49" s="42">
        <f>IFERROR(G49/VLOOKUP(A49,RESUME!$G$3:$I$10,3,FALSE),0)</f>
        <v>5.9439618274077274E-2</v>
      </c>
      <c r="K49" s="157">
        <f t="shared" si="3"/>
        <v>1234.8400000000001</v>
      </c>
      <c r="L49" s="157">
        <f t="shared" si="4"/>
        <v>1543.55</v>
      </c>
      <c r="M49" s="149">
        <f t="shared" si="5"/>
        <v>7.4299522842596583E-2</v>
      </c>
      <c r="N49" s="43" t="str">
        <f>_xlfn.IFNA(VLOOKUP(A49&amp;"-"&amp;B49&amp;"-"&amp;D49,Ref_Account!$A:$F,6,FALSE),"ACCOUNT TIDAK DITEMUKAN")</f>
        <v>1204.630530</v>
      </c>
      <c r="O49" s="40">
        <f t="shared" si="7"/>
        <v>1</v>
      </c>
      <c r="P49" s="40" t="str">
        <f t="shared" si="2"/>
        <v>OK</v>
      </c>
      <c r="Q49" s="164" t="s">
        <v>530</v>
      </c>
      <c r="R49" s="168"/>
    </row>
    <row r="50" spans="1:18" hidden="1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6">
        <v>527.75</v>
      </c>
      <c r="H50" s="156">
        <v>634.54999999999995</v>
      </c>
      <c r="I50" s="156">
        <f t="shared" si="6"/>
        <v>-106.79999999999995</v>
      </c>
      <c r="J50" s="42">
        <f>IFERROR(G50/VLOOKUP(A50,RESUME!$G$3:$I$10,3,FALSE),0)</f>
        <v>2.0322800391399231E-2</v>
      </c>
      <c r="K50" s="156">
        <f t="shared" si="3"/>
        <v>422.20000000000005</v>
      </c>
      <c r="L50" s="156">
        <f t="shared" si="4"/>
        <v>527.75</v>
      </c>
      <c r="M50" s="147">
        <f t="shared" si="5"/>
        <v>0</v>
      </c>
      <c r="N50" s="41" t="str">
        <f>_xlfn.IFNA(VLOOKUP(A50&amp;"-"&amp;B50&amp;"-"&amp;D50,Ref_Account!$A:$F,6,FALSE),"ACCOUNT TIDAK DITEMUKAN")</f>
        <v>1201.808100</v>
      </c>
      <c r="O50" s="39">
        <f t="shared" si="7"/>
        <v>1</v>
      </c>
      <c r="P50" s="39" t="str">
        <f t="shared" si="2"/>
        <v>OVER</v>
      </c>
      <c r="Q50" s="152" t="s">
        <v>530</v>
      </c>
      <c r="R50" s="168"/>
    </row>
    <row r="51" spans="1:18" hidden="1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7">
        <v>0</v>
      </c>
      <c r="H51" s="157"/>
      <c r="I51" s="157">
        <f t="shared" si="6"/>
        <v>0</v>
      </c>
      <c r="J51" s="42">
        <f>IFERROR(G51/VLOOKUP(A51,RESUME!$G$3:$I$10,3,FALSE),0)</f>
        <v>0</v>
      </c>
      <c r="K51" s="157">
        <f t="shared" si="3"/>
        <v>0</v>
      </c>
      <c r="L51" s="157">
        <f t="shared" si="4"/>
        <v>0</v>
      </c>
      <c r="M51" s="149">
        <f t="shared" si="5"/>
        <v>0</v>
      </c>
      <c r="N51" s="43" t="str">
        <f>_xlfn.IFNA(VLOOKUP(A51&amp;"-"&amp;B51&amp;"-"&amp;D51,Ref_Account!$A:$F,6,FALSE),"ACCOUNT TIDAK DITEMUKAN")</f>
        <v>1205.808100</v>
      </c>
      <c r="O51" s="40">
        <f t="shared" si="7"/>
        <v>1</v>
      </c>
      <c r="P51" s="40" t="str">
        <f t="shared" si="2"/>
        <v>OVER</v>
      </c>
      <c r="Q51" s="164" t="s">
        <v>530</v>
      </c>
      <c r="R51" s="168"/>
    </row>
    <row r="52" spans="1:18" hidden="1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6">
        <v>1074.9100000000001</v>
      </c>
      <c r="H52" s="156">
        <v>1371.93</v>
      </c>
      <c r="I52" s="156">
        <f t="shared" si="6"/>
        <v>-297.02</v>
      </c>
      <c r="J52" s="42">
        <f>IFERROR(G52/VLOOKUP(A52,RESUME!$G$3:$I$10,3,FALSE),0)</f>
        <v>4.139304854328555E-2</v>
      </c>
      <c r="K52" s="156">
        <f t="shared" si="3"/>
        <v>859.92800000000011</v>
      </c>
      <c r="L52" s="156">
        <f t="shared" si="4"/>
        <v>1074.9100000000001</v>
      </c>
      <c r="M52" s="147">
        <f t="shared" si="5"/>
        <v>0</v>
      </c>
      <c r="N52" s="41" t="str">
        <f>_xlfn.IFNA(VLOOKUP(A52&amp;"-"&amp;B52&amp;"-"&amp;D52,Ref_Account!$A:$F,6,FALSE),"ACCOUNT TIDAK DITEMUKAN")</f>
        <v>1204.808100</v>
      </c>
      <c r="O52" s="39">
        <f t="shared" si="7"/>
        <v>1</v>
      </c>
      <c r="P52" s="39" t="str">
        <f t="shared" si="2"/>
        <v>OVER</v>
      </c>
      <c r="Q52" s="152" t="s">
        <v>530</v>
      </c>
      <c r="R52" s="168"/>
    </row>
    <row r="53" spans="1:18" hidden="1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7">
        <v>1987.05</v>
      </c>
      <c r="H53" s="157"/>
      <c r="I53" s="157">
        <f t="shared" si="6"/>
        <v>1987.05</v>
      </c>
      <c r="J53" s="42">
        <f>IFERROR(G53/VLOOKUP(A53,RESUME!$G$3:$I$10,3,FALSE),0)</f>
        <v>7.6518087196077389E-2</v>
      </c>
      <c r="K53" s="157">
        <f t="shared" si="3"/>
        <v>1589.64</v>
      </c>
      <c r="L53" s="157">
        <f t="shared" si="4"/>
        <v>1987.05</v>
      </c>
      <c r="M53" s="149">
        <f t="shared" si="5"/>
        <v>9.5647608995096736E-2</v>
      </c>
      <c r="N53" s="43" t="str">
        <f>_xlfn.IFNA(VLOOKUP(A53&amp;"-"&amp;B53&amp;"-"&amp;D53,Ref_Account!$A:$F,6,FALSE),"ACCOUNT TIDAK DITEMUKAN")</f>
        <v>1201.630900</v>
      </c>
      <c r="O53" s="40">
        <f t="shared" si="7"/>
        <v>1</v>
      </c>
      <c r="P53" s="40" t="str">
        <f t="shared" si="2"/>
        <v>OK</v>
      </c>
      <c r="Q53" s="164" t="s">
        <v>530</v>
      </c>
      <c r="R53" s="168"/>
    </row>
    <row r="54" spans="1:18" hidden="1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6">
        <v>1692.67</v>
      </c>
      <c r="H54" s="156"/>
      <c r="I54" s="156">
        <f t="shared" si="6"/>
        <v>1692.67</v>
      </c>
      <c r="J54" s="42">
        <f>IFERROR(G54/VLOOKUP(A54,RESUME!$G$3:$I$10,3,FALSE),0)</f>
        <v>6.5181988703950228E-2</v>
      </c>
      <c r="K54" s="156">
        <f t="shared" si="3"/>
        <v>1354.1360000000002</v>
      </c>
      <c r="L54" s="156">
        <f t="shared" si="4"/>
        <v>1692.67</v>
      </c>
      <c r="M54" s="147">
        <f t="shared" si="5"/>
        <v>8.1477485879937764E-2</v>
      </c>
      <c r="N54" s="41" t="str">
        <f>_xlfn.IFNA(VLOOKUP(A54&amp;"-"&amp;B54&amp;"-"&amp;D54,Ref_Account!$A:$F,6,FALSE),"ACCOUNT TIDAK DITEMUKAN")</f>
        <v>1204.630900</v>
      </c>
      <c r="O54" s="39">
        <f t="shared" si="7"/>
        <v>1</v>
      </c>
      <c r="P54" s="39" t="str">
        <f t="shared" si="2"/>
        <v>OK</v>
      </c>
      <c r="Q54" s="152" t="s">
        <v>530</v>
      </c>
      <c r="R54" s="168"/>
    </row>
    <row r="55" spans="1:18" hidden="1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7">
        <v>460.21</v>
      </c>
      <c r="H55" s="157">
        <v>460.21</v>
      </c>
      <c r="I55" s="157">
        <f t="shared" si="6"/>
        <v>0</v>
      </c>
      <c r="J55" s="42">
        <f>IFERROR(G55/VLOOKUP(A55,RESUME!$G$3:$I$10,3,FALSE),0)</f>
        <v>1.7721944041924849E-2</v>
      </c>
      <c r="K55" s="157">
        <f t="shared" si="3"/>
        <v>368.16800000000001</v>
      </c>
      <c r="L55" s="157">
        <f t="shared" si="4"/>
        <v>460.21</v>
      </c>
      <c r="M55" s="149">
        <f t="shared" si="5"/>
        <v>1.7721944041924849E-2</v>
      </c>
      <c r="N55" s="43" t="str">
        <f>_xlfn.IFNA(VLOOKUP(A55&amp;"-"&amp;B55&amp;"-"&amp;D55,Ref_Account!$A:$F,6,FALSE),"ACCOUNT TIDAK DITEMUKAN")</f>
        <v>1201.802140</v>
      </c>
      <c r="O55" s="40">
        <f t="shared" si="7"/>
        <v>1</v>
      </c>
      <c r="P55" s="40" t="str">
        <f t="shared" si="2"/>
        <v>OVER</v>
      </c>
      <c r="Q55" s="164" t="s">
        <v>530</v>
      </c>
      <c r="R55" s="168"/>
    </row>
    <row r="56" spans="1:18" hidden="1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6">
        <v>0</v>
      </c>
      <c r="H56" s="156"/>
      <c r="I56" s="156">
        <f t="shared" si="6"/>
        <v>0</v>
      </c>
      <c r="J56" s="42">
        <f>IFERROR(G56/VLOOKUP(A56,RESUME!$G$3:$I$10,3,FALSE),0)</f>
        <v>0</v>
      </c>
      <c r="K56" s="156">
        <f t="shared" si="3"/>
        <v>0</v>
      </c>
      <c r="L56" s="156">
        <f t="shared" si="4"/>
        <v>0</v>
      </c>
      <c r="M56" s="147">
        <f t="shared" si="5"/>
        <v>0</v>
      </c>
      <c r="N56" s="41" t="str">
        <f>_xlfn.IFNA(VLOOKUP(A56&amp;"-"&amp;B56&amp;"-"&amp;D56,Ref_Account!$A:$F,6,FALSE),"ACCOUNT TIDAK DITEMUKAN")</f>
        <v>1204.802140</v>
      </c>
      <c r="O56" s="39">
        <f t="shared" si="7"/>
        <v>1</v>
      </c>
      <c r="P56" s="39" t="str">
        <f t="shared" si="2"/>
        <v>OVER</v>
      </c>
      <c r="Q56" s="152" t="s">
        <v>530</v>
      </c>
      <c r="R56" s="168"/>
    </row>
    <row r="57" spans="1:18" hidden="1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7">
        <v>0</v>
      </c>
      <c r="H57" s="157"/>
      <c r="I57" s="157">
        <f t="shared" si="6"/>
        <v>0</v>
      </c>
      <c r="J57" s="42">
        <f>IFERROR(G57/VLOOKUP(A57,RESUME!$G$3:$I$10,3,FALSE),0)</f>
        <v>0</v>
      </c>
      <c r="K57" s="157">
        <f t="shared" si="3"/>
        <v>0</v>
      </c>
      <c r="L57" s="157">
        <f t="shared" si="4"/>
        <v>0</v>
      </c>
      <c r="M57" s="149">
        <f t="shared" si="5"/>
        <v>0</v>
      </c>
      <c r="N57" s="43" t="str">
        <f>_xlfn.IFNA(VLOOKUP(A57&amp;"-"&amp;B57&amp;"-"&amp;D57,Ref_Account!$A:$F,6,FALSE),"ACCOUNT TIDAK DITEMUKAN")</f>
        <v>1201.801160</v>
      </c>
      <c r="O57" s="40">
        <f t="shared" si="7"/>
        <v>1</v>
      </c>
      <c r="P57" s="40" t="str">
        <f t="shared" si="2"/>
        <v>OVER</v>
      </c>
      <c r="Q57" s="164" t="s">
        <v>530</v>
      </c>
      <c r="R57" s="168"/>
    </row>
    <row r="58" spans="1:18" hidden="1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6">
        <v>122.79</v>
      </c>
      <c r="H58" s="156">
        <v>122.79</v>
      </c>
      <c r="I58" s="156">
        <f t="shared" si="6"/>
        <v>0</v>
      </c>
      <c r="J58" s="42">
        <f>IFERROR(G58/VLOOKUP(A58,RESUME!$G$3:$I$10,3,FALSE),0)</f>
        <v>4.7284446424631201E-3</v>
      </c>
      <c r="K58" s="156">
        <f t="shared" si="3"/>
        <v>98.232000000000014</v>
      </c>
      <c r="L58" s="156">
        <f t="shared" si="4"/>
        <v>122.79</v>
      </c>
      <c r="M58" s="147">
        <f t="shared" si="5"/>
        <v>4.7284446424631201E-3</v>
      </c>
      <c r="N58" s="41" t="str">
        <f>_xlfn.IFNA(VLOOKUP(A58&amp;"-"&amp;B58&amp;"-"&amp;D58,Ref_Account!$A:$F,6,FALSE),"ACCOUNT TIDAK DITEMUKAN")</f>
        <v>1201.630110</v>
      </c>
      <c r="O58" s="39">
        <f t="shared" si="7"/>
        <v>1</v>
      </c>
      <c r="P58" s="39" t="str">
        <f t="shared" si="2"/>
        <v>OVER</v>
      </c>
      <c r="Q58" s="152" t="s">
        <v>530</v>
      </c>
      <c r="R58" s="168"/>
    </row>
    <row r="59" spans="1:18" hidden="1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7">
        <v>0.63</v>
      </c>
      <c r="H59" s="157">
        <v>0.63</v>
      </c>
      <c r="I59" s="157">
        <f t="shared" si="6"/>
        <v>0</v>
      </c>
      <c r="J59" s="42">
        <f>IFERROR(G59/VLOOKUP(A59,RESUME!$G$3:$I$10,3,FALSE),0)</f>
        <v>2.4260282797880655E-5</v>
      </c>
      <c r="K59" s="157">
        <f t="shared" si="3"/>
        <v>0.504</v>
      </c>
      <c r="L59" s="157">
        <f t="shared" si="4"/>
        <v>0.63</v>
      </c>
      <c r="M59" s="149">
        <f t="shared" si="5"/>
        <v>2.4260282797880655E-5</v>
      </c>
      <c r="N59" s="43" t="str">
        <f>_xlfn.IFNA(VLOOKUP(A59&amp;"-"&amp;B59&amp;"-"&amp;D59,Ref_Account!$A:$F,6,FALSE),"ACCOUNT TIDAK DITEMUKAN")</f>
        <v>1201.809100</v>
      </c>
      <c r="O59" s="40">
        <f t="shared" si="7"/>
        <v>1</v>
      </c>
      <c r="P59" s="40" t="str">
        <f t="shared" si="2"/>
        <v>OVER</v>
      </c>
      <c r="Q59" s="164" t="s">
        <v>530</v>
      </c>
      <c r="R59" s="168"/>
    </row>
    <row r="60" spans="1:18" hidden="1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6">
        <v>0</v>
      </c>
      <c r="H60" s="156"/>
      <c r="I60" s="156">
        <f t="shared" si="6"/>
        <v>0</v>
      </c>
      <c r="J60" s="42">
        <f>IFERROR(G60/VLOOKUP(A60,RESUME!$G$3:$I$10,3,FALSE),0)</f>
        <v>0</v>
      </c>
      <c r="K60" s="156">
        <f t="shared" si="3"/>
        <v>0</v>
      </c>
      <c r="L60" s="156">
        <f t="shared" si="4"/>
        <v>0</v>
      </c>
      <c r="M60" s="147">
        <f t="shared" si="5"/>
        <v>0</v>
      </c>
      <c r="N60" s="41" t="str">
        <f>_xlfn.IFNA(VLOOKUP(A60&amp;"-"&amp;B60&amp;"-"&amp;D60,Ref_Account!$A:$F,6,FALSE),"ACCOUNT TIDAK DITEMUKAN")</f>
        <v>1206.809100</v>
      </c>
      <c r="O60" s="39">
        <f t="shared" si="7"/>
        <v>1</v>
      </c>
      <c r="P60" s="39" t="str">
        <f t="shared" si="2"/>
        <v>OVER</v>
      </c>
      <c r="Q60" s="152" t="s">
        <v>530</v>
      </c>
      <c r="R60" s="168"/>
    </row>
    <row r="61" spans="1:18" hidden="1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7">
        <v>0</v>
      </c>
      <c r="H61" s="157"/>
      <c r="I61" s="157">
        <f t="shared" si="6"/>
        <v>0</v>
      </c>
      <c r="J61" s="42">
        <f>IFERROR(G61/VLOOKUP(A61,RESUME!$G$3:$I$10,3,FALSE),0)</f>
        <v>0</v>
      </c>
      <c r="K61" s="157">
        <f t="shared" si="3"/>
        <v>0</v>
      </c>
      <c r="L61" s="157">
        <f t="shared" si="4"/>
        <v>0</v>
      </c>
      <c r="M61" s="149">
        <f t="shared" si="5"/>
        <v>0</v>
      </c>
      <c r="N61" s="43" t="str">
        <f>_xlfn.IFNA(VLOOKUP(A61&amp;"-"&amp;B61&amp;"-"&amp;D61,Ref_Account!$A:$F,6,FALSE),"ACCOUNT TIDAK DITEMUKAN")</f>
        <v>1205.809100</v>
      </c>
      <c r="O61" s="40">
        <f t="shared" si="7"/>
        <v>1</v>
      </c>
      <c r="P61" s="40" t="str">
        <f t="shared" si="2"/>
        <v>OVER</v>
      </c>
      <c r="Q61" s="164" t="s">
        <v>530</v>
      </c>
      <c r="R61" s="168"/>
    </row>
    <row r="62" spans="1:18" hidden="1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6">
        <v>20.88</v>
      </c>
      <c r="H62" s="156">
        <v>20.88</v>
      </c>
      <c r="I62" s="156">
        <f t="shared" si="6"/>
        <v>0</v>
      </c>
      <c r="J62" s="42">
        <f>IFERROR(G62/VLOOKUP(A62,RESUME!$G$3:$I$10,3,FALSE),0)</f>
        <v>8.0405508701547309E-4</v>
      </c>
      <c r="K62" s="156">
        <f t="shared" si="3"/>
        <v>16.704000000000001</v>
      </c>
      <c r="L62" s="156">
        <f t="shared" si="4"/>
        <v>20.88</v>
      </c>
      <c r="M62" s="147">
        <f t="shared" si="5"/>
        <v>8.0405508701547309E-4</v>
      </c>
      <c r="N62" s="41" t="str">
        <f>_xlfn.IFNA(VLOOKUP(A62&amp;"-"&amp;B62&amp;"-"&amp;D62,Ref_Account!$A:$F,6,FALSE),"ACCOUNT TIDAK DITEMUKAN")</f>
        <v>1204.809100</v>
      </c>
      <c r="O62" s="39">
        <f t="shared" si="7"/>
        <v>1</v>
      </c>
      <c r="P62" s="39" t="str">
        <f t="shared" si="2"/>
        <v>OVER</v>
      </c>
      <c r="Q62" s="152" t="s">
        <v>530</v>
      </c>
      <c r="R62" s="168"/>
    </row>
    <row r="63" spans="1:18" hidden="1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7">
        <v>400</v>
      </c>
      <c r="H63" s="157">
        <v>1454.06</v>
      </c>
      <c r="I63" s="157">
        <f t="shared" si="6"/>
        <v>-1054.06</v>
      </c>
      <c r="J63" s="42">
        <f>IFERROR(G63/VLOOKUP(A63,RESUME!$G$3:$I$10,3,FALSE),0)</f>
        <v>1.5403354157384542E-2</v>
      </c>
      <c r="K63" s="157">
        <f t="shared" si="3"/>
        <v>320</v>
      </c>
      <c r="L63" s="157">
        <f t="shared" si="4"/>
        <v>400</v>
      </c>
      <c r="M63" s="149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7"/>
        <v>1</v>
      </c>
      <c r="P63" s="40" t="str">
        <f t="shared" si="2"/>
        <v>OVER</v>
      </c>
      <c r="Q63" s="164" t="s">
        <v>556</v>
      </c>
      <c r="R63" s="168"/>
    </row>
    <row r="64" spans="1:18" hidden="1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6">
        <v>100</v>
      </c>
      <c r="H64" s="156"/>
      <c r="I64" s="156">
        <f t="shared" si="6"/>
        <v>100</v>
      </c>
      <c r="J64" s="42">
        <f>IFERROR(G64/VLOOKUP(A64,RESUME!$G$3:$I$10,3,FALSE),0)</f>
        <v>3.8508385393461356E-3</v>
      </c>
      <c r="K64" s="156">
        <f t="shared" si="3"/>
        <v>80</v>
      </c>
      <c r="L64" s="156">
        <f t="shared" si="4"/>
        <v>100</v>
      </c>
      <c r="M64" s="147">
        <f t="shared" si="5"/>
        <v>4.8135481741826691E-3</v>
      </c>
      <c r="N64" s="41" t="str">
        <f>_xlfn.IFNA(VLOOKUP(A64&amp;"-"&amp;B64&amp;"-"&amp;D64,Ref_Account!$A:$F,6,FALSE),"ACCOUNT TIDAK DITEMUKAN")</f>
        <v>1201.630770</v>
      </c>
      <c r="O64" s="39">
        <f t="shared" si="7"/>
        <v>1</v>
      </c>
      <c r="P64" s="39" t="str">
        <f t="shared" si="2"/>
        <v>OK</v>
      </c>
      <c r="Q64" s="152" t="s">
        <v>530</v>
      </c>
      <c r="R64" s="168"/>
    </row>
    <row r="65" spans="1:18" hidden="1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7">
        <v>100</v>
      </c>
      <c r="H65" s="157"/>
      <c r="I65" s="157">
        <f t="shared" si="6"/>
        <v>100</v>
      </c>
      <c r="J65" s="42">
        <f>IFERROR(G65/VLOOKUP(A65,RESUME!$G$3:$I$10,3,FALSE),0)</f>
        <v>3.8508385393461356E-3</v>
      </c>
      <c r="K65" s="157">
        <f t="shared" si="3"/>
        <v>80</v>
      </c>
      <c r="L65" s="157">
        <f t="shared" si="4"/>
        <v>100</v>
      </c>
      <c r="M65" s="149">
        <f t="shared" si="5"/>
        <v>4.8135481741826691E-3</v>
      </c>
      <c r="N65" s="43" t="str">
        <f>_xlfn.IFNA(VLOOKUP(A65&amp;"-"&amp;B65&amp;"-"&amp;D65,Ref_Account!$A:$F,6,FALSE),"ACCOUNT TIDAK DITEMUKAN")</f>
        <v>1201.630750</v>
      </c>
      <c r="O65" s="40">
        <f t="shared" si="7"/>
        <v>1</v>
      </c>
      <c r="P65" s="40" t="str">
        <f t="shared" si="2"/>
        <v>OK</v>
      </c>
      <c r="Q65" s="164" t="s">
        <v>530</v>
      </c>
      <c r="R65" s="168"/>
    </row>
    <row r="66" spans="1:18" hidden="1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6">
        <v>100</v>
      </c>
      <c r="H66" s="156">
        <v>510.61</v>
      </c>
      <c r="I66" s="156">
        <f t="shared" si="6"/>
        <v>-410.61</v>
      </c>
      <c r="J66" s="42">
        <f>IFERROR(G66/VLOOKUP(A66,RESUME!$G$3:$I$10,3,FALSE),0)</f>
        <v>3.8508385393461356E-3</v>
      </c>
      <c r="K66" s="156">
        <f t="shared" si="3"/>
        <v>80</v>
      </c>
      <c r="L66" s="156">
        <f t="shared" si="4"/>
        <v>100</v>
      </c>
      <c r="M66" s="147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7"/>
        <v>1</v>
      </c>
      <c r="P66" s="39" t="str">
        <f t="shared" si="2"/>
        <v>OVER</v>
      </c>
      <c r="Q66" s="152" t="s">
        <v>530</v>
      </c>
      <c r="R66" s="168"/>
    </row>
    <row r="67" spans="1:18" hidden="1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7">
        <v>100</v>
      </c>
      <c r="H67" s="157"/>
      <c r="I67" s="157">
        <f t="shared" si="6"/>
        <v>100</v>
      </c>
      <c r="J67" s="42">
        <f>IFERROR(G67/VLOOKUP(A67,RESUME!$G$3:$I$10,3,FALSE),0)</f>
        <v>3.8508385393461356E-3</v>
      </c>
      <c r="K67" s="157">
        <f t="shared" si="3"/>
        <v>80</v>
      </c>
      <c r="L67" s="157">
        <f t="shared" si="4"/>
        <v>100</v>
      </c>
      <c r="M67" s="149">
        <f t="shared" si="5"/>
        <v>4.8135481741826691E-3</v>
      </c>
      <c r="N67" s="43" t="str">
        <f>_xlfn.IFNA(VLOOKUP(A67&amp;"-"&amp;B67&amp;"-"&amp;D67,Ref_Account!$A:$F,6,FALSE),"ACCOUNT TIDAK DITEMUKAN")</f>
        <v>1201.630760</v>
      </c>
      <c r="O67" s="40">
        <f t="shared" si="7"/>
        <v>1</v>
      </c>
      <c r="P67" s="40" t="str">
        <f t="shared" si="2"/>
        <v>OK</v>
      </c>
      <c r="Q67" s="164" t="s">
        <v>530</v>
      </c>
      <c r="R67" s="168"/>
    </row>
    <row r="68" spans="1:18" hidden="1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6">
        <v>250</v>
      </c>
      <c r="H68" s="156"/>
      <c r="I68" s="156">
        <f t="shared" si="6"/>
        <v>250</v>
      </c>
      <c r="J68" s="42">
        <f>IFERROR(G68/VLOOKUP(A68,RESUME!$G$3:$I$10,3,FALSE),0)</f>
        <v>9.6270963483653382E-3</v>
      </c>
      <c r="K68" s="156">
        <f t="shared" si="3"/>
        <v>200</v>
      </c>
      <c r="L68" s="156">
        <f t="shared" si="4"/>
        <v>250</v>
      </c>
      <c r="M68" s="147">
        <f t="shared" si="5"/>
        <v>1.2033870435456673E-2</v>
      </c>
      <c r="N68" s="41" t="str">
        <f>_xlfn.IFNA(VLOOKUP(A68&amp;"-"&amp;B68&amp;"-"&amp;D68,Ref_Account!$A:$F,6,FALSE),"ACCOUNT TIDAK DITEMUKAN")</f>
        <v>1205.630760</v>
      </c>
      <c r="O68" s="39">
        <f t="shared" si="7"/>
        <v>1</v>
      </c>
      <c r="P68" s="39" t="str">
        <f t="shared" si="2"/>
        <v>OK</v>
      </c>
      <c r="Q68" s="152" t="s">
        <v>530</v>
      </c>
      <c r="R68" s="168"/>
    </row>
    <row r="69" spans="1:18" hidden="1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7">
        <v>300</v>
      </c>
      <c r="H69" s="157"/>
      <c r="I69" s="157">
        <f t="shared" si="6"/>
        <v>300</v>
      </c>
      <c r="J69" s="42">
        <f>IFERROR(G69/VLOOKUP(A69,RESUME!$G$3:$I$10,3,FALSE),0)</f>
        <v>1.1552515618038406E-2</v>
      </c>
      <c r="K69" s="157">
        <f t="shared" si="3"/>
        <v>240</v>
      </c>
      <c r="L69" s="157">
        <f t="shared" si="4"/>
        <v>300</v>
      </c>
      <c r="M69" s="149">
        <f t="shared" si="5"/>
        <v>1.4440644522548007E-2</v>
      </c>
      <c r="N69" s="43" t="str">
        <f>_xlfn.IFNA(VLOOKUP(A69&amp;"-"&amp;B69&amp;"-"&amp;D69,Ref_Account!$A:$F,6,FALSE),"ACCOUNT TIDAK DITEMUKAN")</f>
        <v>1204.630760</v>
      </c>
      <c r="O69" s="40">
        <f t="shared" si="7"/>
        <v>1</v>
      </c>
      <c r="P69" s="40" t="str">
        <f t="shared" si="2"/>
        <v>OK</v>
      </c>
      <c r="Q69" s="164" t="s">
        <v>530</v>
      </c>
      <c r="R69" s="168"/>
    </row>
    <row r="70" spans="1:18" hidden="1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6">
        <v>100</v>
      </c>
      <c r="H70" s="156"/>
      <c r="I70" s="156">
        <f t="shared" ref="I70:I101" si="8">G70-H70</f>
        <v>100</v>
      </c>
      <c r="J70" s="42">
        <f>IFERROR(G70/VLOOKUP(A70,RESUME!$G$3:$I$10,3,FALSE),0)</f>
        <v>3.8508385393461356E-3</v>
      </c>
      <c r="K70" s="156">
        <f t="shared" si="3"/>
        <v>80</v>
      </c>
      <c r="L70" s="156">
        <f t="shared" si="4"/>
        <v>100</v>
      </c>
      <c r="M70" s="147">
        <f t="shared" ref="M70:M133" si="9">IF(L70=0,0,IF(H70&gt;L70,0,L70/IF(H70&gt;=K70,H70,K70)*J70))</f>
        <v>4.8135481741826691E-3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10">IF(N70="ACCOUNT TIDAK DITEMUKAN","9999",COUNTIF($N$6:$N$164,N70))</f>
        <v>1</v>
      </c>
      <c r="P70" s="39" t="str">
        <f t="shared" ref="P70:P133" si="11">IF(I70&gt;0,"OK","OVER")</f>
        <v>OK</v>
      </c>
      <c r="Q70" s="152" t="s">
        <v>530</v>
      </c>
      <c r="R70" s="168"/>
    </row>
    <row r="71" spans="1:18" hidden="1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7">
        <v>100</v>
      </c>
      <c r="H71" s="157"/>
      <c r="I71" s="157">
        <f t="shared" si="8"/>
        <v>100</v>
      </c>
      <c r="J71" s="42">
        <f>IFERROR(G71/VLOOKUP(A71,RESUME!$G$3:$I$10,3,FALSE),0)</f>
        <v>3.8508385393461356E-3</v>
      </c>
      <c r="K71" s="157">
        <f t="shared" ref="K71:K134" si="12">G71*$K$4</f>
        <v>80</v>
      </c>
      <c r="L71" s="157">
        <f t="shared" ref="L71:L134" si="13">G71*$L$4</f>
        <v>100</v>
      </c>
      <c r="M71" s="149">
        <f t="shared" si="9"/>
        <v>4.8135481741826691E-3</v>
      </c>
      <c r="N71" s="43" t="str">
        <f>_xlfn.IFNA(VLOOKUP(A71&amp;"-"&amp;B71&amp;"-"&amp;D71,Ref_Account!$A:$F,6,FALSE),"ACCOUNT TIDAK DITEMUKAN")</f>
        <v>1201.630740</v>
      </c>
      <c r="O71" s="40">
        <f t="shared" si="10"/>
        <v>1</v>
      </c>
      <c r="P71" s="40" t="str">
        <f t="shared" si="11"/>
        <v>OK</v>
      </c>
      <c r="Q71" s="164" t="s">
        <v>530</v>
      </c>
      <c r="R71" s="168"/>
    </row>
    <row r="72" spans="1:18" hidden="1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6">
        <v>328.75</v>
      </c>
      <c r="H72" s="156">
        <v>854.27</v>
      </c>
      <c r="I72" s="156">
        <f t="shared" si="8"/>
        <v>-525.52</v>
      </c>
      <c r="J72" s="42">
        <f>IFERROR(G72/VLOOKUP(A72,RESUME!$G$3:$I$10,3,FALSE),0)</f>
        <v>1.2659631698100421E-2</v>
      </c>
      <c r="K72" s="156">
        <f t="shared" si="12"/>
        <v>263</v>
      </c>
      <c r="L72" s="156">
        <f t="shared" si="13"/>
        <v>328.75</v>
      </c>
      <c r="M72" s="147">
        <f t="shared" si="9"/>
        <v>0</v>
      </c>
      <c r="N72" s="41" t="str">
        <f>_xlfn.IFNA(VLOOKUP(A72&amp;"-"&amp;B72&amp;"-"&amp;D72,Ref_Account!$A:$F,6,FALSE),"ACCOUNT TIDAK DITEMUKAN")</f>
        <v>1201.810110</v>
      </c>
      <c r="O72" s="39">
        <f t="shared" si="10"/>
        <v>1</v>
      </c>
      <c r="P72" s="39" t="str">
        <f t="shared" si="11"/>
        <v>OVER</v>
      </c>
      <c r="Q72" s="152" t="s">
        <v>530</v>
      </c>
      <c r="R72" s="168"/>
    </row>
    <row r="73" spans="1:18" hidden="1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7">
        <v>109.79</v>
      </c>
      <c r="H73" s="157"/>
      <c r="I73" s="157">
        <f t="shared" si="8"/>
        <v>109.79</v>
      </c>
      <c r="J73" s="42">
        <f>IFERROR(G73/VLOOKUP(A73,RESUME!$G$3:$I$10,3,FALSE),0)</f>
        <v>4.2278356323481227E-3</v>
      </c>
      <c r="K73" s="157">
        <f t="shared" si="12"/>
        <v>87.832000000000008</v>
      </c>
      <c r="L73" s="157">
        <f t="shared" si="13"/>
        <v>109.79</v>
      </c>
      <c r="M73" s="149">
        <f t="shared" si="9"/>
        <v>5.2847945404351539E-3</v>
      </c>
      <c r="N73" s="43" t="str">
        <f>_xlfn.IFNA(VLOOKUP(A73&amp;"-"&amp;B73&amp;"-"&amp;D73,Ref_Account!$A:$F,6,FALSE),"ACCOUNT TIDAK DITEMUKAN")</f>
        <v>1206.810110</v>
      </c>
      <c r="O73" s="40">
        <f t="shared" si="10"/>
        <v>1</v>
      </c>
      <c r="P73" s="40" t="str">
        <f t="shared" si="11"/>
        <v>OK</v>
      </c>
      <c r="Q73" s="164" t="s">
        <v>530</v>
      </c>
      <c r="R73" s="168"/>
    </row>
    <row r="74" spans="1:18" hidden="1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6">
        <v>169.38</v>
      </c>
      <c r="H74" s="156">
        <v>50.62</v>
      </c>
      <c r="I74" s="156">
        <f t="shared" si="8"/>
        <v>118.75999999999999</v>
      </c>
      <c r="J74" s="42">
        <f>IFERROR(G74/VLOOKUP(A74,RESUME!$G$3:$I$10,3,FALSE),0)</f>
        <v>6.5225503179444843E-3</v>
      </c>
      <c r="K74" s="156">
        <f t="shared" si="12"/>
        <v>135.50399999999999</v>
      </c>
      <c r="L74" s="156">
        <f t="shared" si="13"/>
        <v>169.38</v>
      </c>
      <c r="M74" s="147">
        <f t="shared" si="9"/>
        <v>8.1531878974306048E-3</v>
      </c>
      <c r="N74" s="41" t="str">
        <f>_xlfn.IFNA(VLOOKUP(A74&amp;"-"&amp;B74&amp;"-"&amp;D74,Ref_Account!$A:$F,6,FALSE),"ACCOUNT TIDAK DITEMUKAN")</f>
        <v>1205.810110</v>
      </c>
      <c r="O74" s="39">
        <f t="shared" si="10"/>
        <v>1</v>
      </c>
      <c r="P74" s="39" t="str">
        <f t="shared" si="11"/>
        <v>OK</v>
      </c>
      <c r="Q74" s="152" t="s">
        <v>530</v>
      </c>
      <c r="R74" s="168"/>
    </row>
    <row r="75" spans="1:18" hidden="1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7">
        <v>142.08000000000001</v>
      </c>
      <c r="H75" s="157">
        <v>60.12</v>
      </c>
      <c r="I75" s="157">
        <f t="shared" si="8"/>
        <v>81.960000000000008</v>
      </c>
      <c r="J75" s="42">
        <f>IFERROR(G75/VLOOKUP(A75,RESUME!$G$3:$I$10,3,FALSE),0)</f>
        <v>5.4712713967029897E-3</v>
      </c>
      <c r="K75" s="157">
        <f t="shared" si="12"/>
        <v>113.66400000000002</v>
      </c>
      <c r="L75" s="157">
        <f t="shared" si="13"/>
        <v>142.08000000000001</v>
      </c>
      <c r="M75" s="149">
        <f t="shared" si="9"/>
        <v>6.8390892458787371E-3</v>
      </c>
      <c r="N75" s="43" t="str">
        <f>_xlfn.IFNA(VLOOKUP(A75&amp;"-"&amp;B75&amp;"-"&amp;D75,Ref_Account!$A:$F,6,FALSE),"ACCOUNT TIDAK DITEMUKAN")</f>
        <v>1204.810110</v>
      </c>
      <c r="O75" s="40">
        <f t="shared" si="10"/>
        <v>1</v>
      </c>
      <c r="P75" s="40" t="str">
        <f t="shared" si="11"/>
        <v>OK</v>
      </c>
      <c r="Q75" s="164" t="s">
        <v>530</v>
      </c>
      <c r="R75" s="168"/>
    </row>
    <row r="76" spans="1:18" hidden="1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6">
        <v>0</v>
      </c>
      <c r="H76" s="156">
        <v>2655.51</v>
      </c>
      <c r="I76" s="156">
        <f t="shared" si="8"/>
        <v>-2655.51</v>
      </c>
      <c r="J76" s="42">
        <f>IFERROR(G76/VLOOKUP(A76,RESUME!$G$3:$I$10,3,FALSE),0)</f>
        <v>0</v>
      </c>
      <c r="K76" s="156">
        <f t="shared" si="12"/>
        <v>0</v>
      </c>
      <c r="L76" s="156">
        <f t="shared" si="13"/>
        <v>0</v>
      </c>
      <c r="M76" s="147">
        <f t="shared" si="9"/>
        <v>0</v>
      </c>
      <c r="N76" s="41" t="str">
        <f>_xlfn.IFNA(VLOOKUP(A76&amp;"-"&amp;B76&amp;"-"&amp;D76,Ref_Account!$A:$F,6,FALSE),"ACCOUNT TIDAK DITEMUKAN")</f>
        <v>1201.630130</v>
      </c>
      <c r="O76" s="39">
        <f t="shared" si="10"/>
        <v>1</v>
      </c>
      <c r="P76" s="39" t="str">
        <f t="shared" si="11"/>
        <v>OVER</v>
      </c>
      <c r="Q76" s="152" t="s">
        <v>530</v>
      </c>
      <c r="R76" s="168"/>
    </row>
    <row r="77" spans="1:18" hidden="1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7">
        <v>0</v>
      </c>
      <c r="H77" s="157">
        <v>402.21</v>
      </c>
      <c r="I77" s="157">
        <f t="shared" si="8"/>
        <v>-402.21</v>
      </c>
      <c r="J77" s="42">
        <f>IFERROR(G77/VLOOKUP(A77,RESUME!$G$3:$I$10,3,FALSE),0)</f>
        <v>0</v>
      </c>
      <c r="K77" s="157">
        <f t="shared" si="12"/>
        <v>0</v>
      </c>
      <c r="L77" s="157">
        <f t="shared" si="13"/>
        <v>0</v>
      </c>
      <c r="M77" s="149">
        <f t="shared" si="9"/>
        <v>0</v>
      </c>
      <c r="N77" s="43" t="str">
        <f>_xlfn.IFNA(VLOOKUP(A77&amp;"-"&amp;B77&amp;"-"&amp;D77,Ref_Account!$A:$F,6,FALSE),"ACCOUNT TIDAK DITEMUKAN")</f>
        <v>1201.816130</v>
      </c>
      <c r="O77" s="40">
        <f t="shared" si="10"/>
        <v>1</v>
      </c>
      <c r="P77" s="40" t="str">
        <f t="shared" si="11"/>
        <v>OVER</v>
      </c>
      <c r="Q77" s="164" t="s">
        <v>530</v>
      </c>
      <c r="R77" s="168"/>
    </row>
    <row r="78" spans="1:18" hidden="1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6">
        <v>0</v>
      </c>
      <c r="H78" s="156">
        <v>562.23</v>
      </c>
      <c r="I78" s="156">
        <f t="shared" si="8"/>
        <v>-562.23</v>
      </c>
      <c r="J78" s="42">
        <f>IFERROR(G78/VLOOKUP(A78,RESUME!$G$3:$I$10,3,FALSE),0)</f>
        <v>0</v>
      </c>
      <c r="K78" s="156">
        <f t="shared" si="12"/>
        <v>0</v>
      </c>
      <c r="L78" s="156">
        <f t="shared" si="13"/>
        <v>0</v>
      </c>
      <c r="M78" s="147">
        <f t="shared" si="9"/>
        <v>0</v>
      </c>
      <c r="N78" s="41" t="str">
        <f>_xlfn.IFNA(VLOOKUP(A78&amp;"-"&amp;B78&amp;"-"&amp;D78,Ref_Account!$A:$F,6,FALSE),"ACCOUNT TIDAK DITEMUKAN")</f>
        <v>1206.816130</v>
      </c>
      <c r="O78" s="39">
        <f t="shared" si="10"/>
        <v>1</v>
      </c>
      <c r="P78" s="39" t="str">
        <f t="shared" si="11"/>
        <v>OVER</v>
      </c>
      <c r="Q78" s="152" t="s">
        <v>530</v>
      </c>
      <c r="R78" s="168"/>
    </row>
    <row r="79" spans="1:18" hidden="1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7">
        <v>0</v>
      </c>
      <c r="H79" s="157">
        <v>1068.93</v>
      </c>
      <c r="I79" s="157">
        <f t="shared" si="8"/>
        <v>-1068.93</v>
      </c>
      <c r="J79" s="42">
        <f>IFERROR(G79/VLOOKUP(A79,RESUME!$G$3:$I$10,3,FALSE),0)</f>
        <v>0</v>
      </c>
      <c r="K79" s="157">
        <f t="shared" si="12"/>
        <v>0</v>
      </c>
      <c r="L79" s="157">
        <f t="shared" si="13"/>
        <v>0</v>
      </c>
      <c r="M79" s="149">
        <f t="shared" si="9"/>
        <v>0</v>
      </c>
      <c r="N79" s="43" t="str">
        <f>_xlfn.IFNA(VLOOKUP(A79&amp;"-"&amp;B79&amp;"-"&amp;D79,Ref_Account!$A:$F,6,FALSE),"ACCOUNT TIDAK DITEMUKAN")</f>
        <v>1205.816130</v>
      </c>
      <c r="O79" s="40">
        <f t="shared" si="10"/>
        <v>1</v>
      </c>
      <c r="P79" s="40" t="str">
        <f t="shared" si="11"/>
        <v>OVER</v>
      </c>
      <c r="Q79" s="164" t="s">
        <v>530</v>
      </c>
      <c r="R79" s="168"/>
    </row>
    <row r="80" spans="1:18" hidden="1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6">
        <v>0</v>
      </c>
      <c r="H80" s="156">
        <v>1304.79</v>
      </c>
      <c r="I80" s="156">
        <f t="shared" si="8"/>
        <v>-1304.79</v>
      </c>
      <c r="J80" s="42">
        <f>IFERROR(G80/VLOOKUP(A80,RESUME!$G$3:$I$10,3,FALSE),0)</f>
        <v>0</v>
      </c>
      <c r="K80" s="156">
        <f t="shared" si="12"/>
        <v>0</v>
      </c>
      <c r="L80" s="156">
        <f t="shared" si="13"/>
        <v>0</v>
      </c>
      <c r="M80" s="147">
        <f t="shared" si="9"/>
        <v>0</v>
      </c>
      <c r="N80" s="41" t="str">
        <f>_xlfn.IFNA(VLOOKUP(A80&amp;"-"&amp;B80&amp;"-"&amp;D80,Ref_Account!$A:$F,6,FALSE),"ACCOUNT TIDAK DITEMUKAN")</f>
        <v>1204.816130</v>
      </c>
      <c r="O80" s="39">
        <f t="shared" si="10"/>
        <v>1</v>
      </c>
      <c r="P80" s="39" t="str">
        <f t="shared" si="11"/>
        <v>OVER</v>
      </c>
      <c r="Q80" s="152" t="s">
        <v>530</v>
      </c>
      <c r="R80" s="168"/>
    </row>
    <row r="81" spans="1:18" hidden="1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7">
        <v>1115.46</v>
      </c>
      <c r="H81" s="157">
        <v>1165.8</v>
      </c>
      <c r="I81" s="157">
        <f t="shared" si="8"/>
        <v>-50.339999999999918</v>
      </c>
      <c r="J81" s="42">
        <f>IFERROR(G81/VLOOKUP(A81,RESUME!$G$3:$I$10,3,FALSE),0)</f>
        <v>4.2954563570990402E-2</v>
      </c>
      <c r="K81" s="157">
        <f t="shared" si="12"/>
        <v>892.36800000000005</v>
      </c>
      <c r="L81" s="157">
        <f t="shared" si="13"/>
        <v>1115.46</v>
      </c>
      <c r="M81" s="149">
        <f t="shared" si="9"/>
        <v>0</v>
      </c>
      <c r="N81" s="43" t="str">
        <f>_xlfn.IFNA(VLOOKUP(A81&amp;"-"&amp;B81&amp;"-"&amp;D81,Ref_Account!$A:$F,6,FALSE),"ACCOUNT TIDAK DITEMUKAN")</f>
        <v>1206.631100</v>
      </c>
      <c r="O81" s="40">
        <f t="shared" si="10"/>
        <v>1</v>
      </c>
      <c r="P81" s="40" t="str">
        <f t="shared" si="11"/>
        <v>OVER</v>
      </c>
      <c r="Q81" s="164" t="s">
        <v>530</v>
      </c>
      <c r="R81" s="168"/>
    </row>
    <row r="82" spans="1:18" hidden="1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6">
        <v>651</v>
      </c>
      <c r="H82" s="156">
        <v>121.46</v>
      </c>
      <c r="I82" s="156">
        <f t="shared" si="8"/>
        <v>529.54</v>
      </c>
      <c r="J82" s="42">
        <f>IFERROR(G82/VLOOKUP(A82,RESUME!$G$3:$I$10,3,FALSE),0)</f>
        <v>2.5068958891143342E-2</v>
      </c>
      <c r="K82" s="156">
        <f t="shared" si="12"/>
        <v>520.80000000000007</v>
      </c>
      <c r="L82" s="156">
        <f t="shared" si="13"/>
        <v>651</v>
      </c>
      <c r="M82" s="147">
        <f t="shared" si="9"/>
        <v>3.1336198613929174E-2</v>
      </c>
      <c r="N82" s="41" t="str">
        <f>_xlfn.IFNA(VLOOKUP(A82&amp;"-"&amp;B82&amp;"-"&amp;D82,Ref_Account!$A:$F,6,FALSE),"ACCOUNT TIDAK DITEMUKAN")</f>
        <v>1201.631110</v>
      </c>
      <c r="O82" s="39">
        <f t="shared" si="10"/>
        <v>1</v>
      </c>
      <c r="P82" s="39" t="str">
        <f t="shared" si="11"/>
        <v>OK</v>
      </c>
      <c r="Q82" s="152" t="s">
        <v>530</v>
      </c>
      <c r="R82" s="168"/>
    </row>
    <row r="83" spans="1:18" hidden="1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7">
        <v>466</v>
      </c>
      <c r="H83" s="157"/>
      <c r="I83" s="157">
        <f t="shared" si="8"/>
        <v>466</v>
      </c>
      <c r="J83" s="42">
        <f>IFERROR(G83/VLOOKUP(A83,RESUME!$G$3:$I$10,3,FALSE),0)</f>
        <v>1.7944907593352991E-2</v>
      </c>
      <c r="K83" s="157">
        <f t="shared" si="12"/>
        <v>372.8</v>
      </c>
      <c r="L83" s="157">
        <f t="shared" si="13"/>
        <v>466</v>
      </c>
      <c r="M83" s="149">
        <f t="shared" si="9"/>
        <v>2.2431134491691238E-2</v>
      </c>
      <c r="N83" s="43" t="str">
        <f>_xlfn.IFNA(VLOOKUP(A83&amp;"-"&amp;B83&amp;"-"&amp;D83,Ref_Account!$A:$F,6,FALSE),"ACCOUNT TIDAK DITEMUKAN")</f>
        <v>1201.631140</v>
      </c>
      <c r="O83" s="40">
        <f t="shared" si="10"/>
        <v>1</v>
      </c>
      <c r="P83" s="40" t="str">
        <f t="shared" si="11"/>
        <v>OK</v>
      </c>
      <c r="Q83" s="164" t="s">
        <v>530</v>
      </c>
      <c r="R83" s="168"/>
    </row>
    <row r="84" spans="1:18" hidden="1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6">
        <v>0</v>
      </c>
      <c r="H84" s="156"/>
      <c r="I84" s="156">
        <f t="shared" si="8"/>
        <v>0</v>
      </c>
      <c r="J84" s="42">
        <f>IFERROR(G84/VLOOKUP(A84,RESUME!$G$3:$I$10,3,FALSE),0)</f>
        <v>0</v>
      </c>
      <c r="K84" s="156">
        <f t="shared" si="12"/>
        <v>0</v>
      </c>
      <c r="L84" s="156">
        <f t="shared" si="13"/>
        <v>0</v>
      </c>
      <c r="M84" s="147">
        <f t="shared" si="9"/>
        <v>0</v>
      </c>
      <c r="N84" s="41" t="str">
        <f>_xlfn.IFNA(VLOOKUP(A84&amp;"-"&amp;B84&amp;"-"&amp;D84,Ref_Account!$A:$F,6,FALSE),"ACCOUNT TIDAK DITEMUKAN")</f>
        <v>1201.631000</v>
      </c>
      <c r="O84" s="39">
        <f t="shared" si="10"/>
        <v>1</v>
      </c>
      <c r="P84" s="39" t="str">
        <f t="shared" si="11"/>
        <v>OVER</v>
      </c>
      <c r="Q84" s="152" t="s">
        <v>530</v>
      </c>
      <c r="R84" s="168"/>
    </row>
    <row r="85" spans="1:18" hidden="1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7">
        <v>0</v>
      </c>
      <c r="H85" s="157"/>
      <c r="I85" s="157">
        <f t="shared" si="8"/>
        <v>0</v>
      </c>
      <c r="J85" s="42">
        <f>IFERROR(G85/VLOOKUP(A85,RESUME!$G$3:$I$10,3,FALSE),0)</f>
        <v>0</v>
      </c>
      <c r="K85" s="157">
        <f t="shared" si="12"/>
        <v>0</v>
      </c>
      <c r="L85" s="157">
        <f t="shared" si="13"/>
        <v>0</v>
      </c>
      <c r="M85" s="149">
        <f t="shared" si="9"/>
        <v>0</v>
      </c>
      <c r="N85" s="43" t="str">
        <f>_xlfn.IFNA(VLOOKUP(A85&amp;"-"&amp;B85&amp;"-"&amp;D85,Ref_Account!$A:$F,6,FALSE),"ACCOUNT TIDAK DITEMUKAN")</f>
        <v>1201.815110</v>
      </c>
      <c r="O85" s="40">
        <f t="shared" si="10"/>
        <v>1</v>
      </c>
      <c r="P85" s="40" t="str">
        <f t="shared" si="11"/>
        <v>OVER</v>
      </c>
      <c r="Q85" s="164" t="s">
        <v>530</v>
      </c>
      <c r="R85" s="168"/>
    </row>
    <row r="86" spans="1:18" hidden="1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6">
        <v>0</v>
      </c>
      <c r="H86" s="156"/>
      <c r="I86" s="156">
        <f t="shared" si="8"/>
        <v>0</v>
      </c>
      <c r="J86" s="42">
        <f>IFERROR(G86/VLOOKUP(A86,RESUME!$G$3:$I$10,3,FALSE),0)</f>
        <v>0</v>
      </c>
      <c r="K86" s="156">
        <f t="shared" si="12"/>
        <v>0</v>
      </c>
      <c r="L86" s="156">
        <f t="shared" si="13"/>
        <v>0</v>
      </c>
      <c r="M86" s="147">
        <f t="shared" si="9"/>
        <v>0</v>
      </c>
      <c r="N86" s="41" t="str">
        <f>_xlfn.IFNA(VLOOKUP(A86&amp;"-"&amp;B86&amp;"-"&amp;D86,Ref_Account!$A:$F,6,FALSE),"ACCOUNT TIDAK DITEMUKAN")</f>
        <v>1201.815120</v>
      </c>
      <c r="O86" s="39">
        <f t="shared" si="10"/>
        <v>1</v>
      </c>
      <c r="P86" s="39" t="str">
        <f t="shared" si="11"/>
        <v>OVER</v>
      </c>
      <c r="Q86" s="152" t="s">
        <v>530</v>
      </c>
      <c r="R86" s="168"/>
    </row>
    <row r="87" spans="1:18" hidden="1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7">
        <v>0</v>
      </c>
      <c r="H87" s="157">
        <v>139.61000000000001</v>
      </c>
      <c r="I87" s="157">
        <f t="shared" si="8"/>
        <v>-139.61000000000001</v>
      </c>
      <c r="J87" s="42">
        <f>IFERROR(G87/VLOOKUP(A87,RESUME!$G$3:$I$10,3,FALSE),0)</f>
        <v>0</v>
      </c>
      <c r="K87" s="157">
        <f t="shared" si="12"/>
        <v>0</v>
      </c>
      <c r="L87" s="157">
        <f t="shared" si="13"/>
        <v>0</v>
      </c>
      <c r="M87" s="149">
        <f t="shared" si="9"/>
        <v>0</v>
      </c>
      <c r="N87" s="43" t="str">
        <f>_xlfn.IFNA(VLOOKUP(A87&amp;"-"&amp;B87&amp;"-"&amp;D87,Ref_Account!$A:$F,6,FALSE),"ACCOUNT TIDAK DITEMUKAN")</f>
        <v>1201.802120</v>
      </c>
      <c r="O87" s="40">
        <f t="shared" si="10"/>
        <v>1</v>
      </c>
      <c r="P87" s="40" t="str">
        <f t="shared" si="11"/>
        <v>OVER</v>
      </c>
      <c r="Q87" s="164" t="s">
        <v>530</v>
      </c>
      <c r="R87" s="168"/>
    </row>
    <row r="88" spans="1:18" hidden="1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6">
        <v>0</v>
      </c>
      <c r="H88" s="156"/>
      <c r="I88" s="156">
        <f t="shared" si="8"/>
        <v>0</v>
      </c>
      <c r="J88" s="42">
        <f>IFERROR(G88/VLOOKUP(A88,RESUME!$G$3:$I$10,3,FALSE),0)</f>
        <v>0</v>
      </c>
      <c r="K88" s="156">
        <f t="shared" si="12"/>
        <v>0</v>
      </c>
      <c r="L88" s="156">
        <f t="shared" si="13"/>
        <v>0</v>
      </c>
      <c r="M88" s="147">
        <f t="shared" si="9"/>
        <v>0</v>
      </c>
      <c r="N88" s="41" t="str">
        <f>_xlfn.IFNA(VLOOKUP(A88&amp;"-"&amp;B88&amp;"-"&amp;D88,Ref_Account!$A:$F,6,FALSE),"ACCOUNT TIDAK DITEMUKAN")</f>
        <v>1201.814110</v>
      </c>
      <c r="O88" s="39">
        <f t="shared" si="10"/>
        <v>1</v>
      </c>
      <c r="P88" s="39" t="str">
        <f t="shared" si="11"/>
        <v>OVER</v>
      </c>
      <c r="Q88" s="152" t="s">
        <v>530</v>
      </c>
      <c r="R88" s="168"/>
    </row>
    <row r="89" spans="1:18" hidden="1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7">
        <v>0</v>
      </c>
      <c r="H89" s="157">
        <v>73.55</v>
      </c>
      <c r="I89" s="157">
        <f t="shared" si="8"/>
        <v>-73.55</v>
      </c>
      <c r="J89" s="42">
        <f>IFERROR(G89/VLOOKUP(A89,RESUME!$G$3:$I$10,3,FALSE),0)</f>
        <v>0</v>
      </c>
      <c r="K89" s="157">
        <f t="shared" si="12"/>
        <v>0</v>
      </c>
      <c r="L89" s="157">
        <f t="shared" si="13"/>
        <v>0</v>
      </c>
      <c r="M89" s="149">
        <f t="shared" si="9"/>
        <v>0</v>
      </c>
      <c r="N89" s="43" t="str">
        <f>_xlfn.IFNA(VLOOKUP(A89&amp;"-"&amp;B89&amp;"-"&amp;D89,Ref_Account!$A:$F,6,FALSE),"ACCOUNT TIDAK DITEMUKAN")</f>
        <v>1201.630450</v>
      </c>
      <c r="O89" s="40">
        <f t="shared" si="10"/>
        <v>1</v>
      </c>
      <c r="P89" s="40" t="str">
        <f t="shared" si="11"/>
        <v>OVER</v>
      </c>
      <c r="Q89" s="164" t="s">
        <v>530</v>
      </c>
      <c r="R89" s="168"/>
    </row>
    <row r="90" spans="1:18" hidden="1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6">
        <v>515.79999999999995</v>
      </c>
      <c r="H90" s="156">
        <v>442.95</v>
      </c>
      <c r="I90" s="156">
        <f t="shared" si="8"/>
        <v>72.849999999999966</v>
      </c>
      <c r="J90" s="42">
        <f>IFERROR(G90/VLOOKUP(A90,RESUME!$G$3:$I$10,3,FALSE),0)</f>
        <v>1.9862625185947363E-2</v>
      </c>
      <c r="K90" s="156">
        <f t="shared" si="12"/>
        <v>412.64</v>
      </c>
      <c r="L90" s="156">
        <f t="shared" si="13"/>
        <v>515.79999999999995</v>
      </c>
      <c r="M90" s="147">
        <f t="shared" si="9"/>
        <v>2.3129342072269216E-2</v>
      </c>
      <c r="N90" s="41" t="str">
        <f>_xlfn.IFNA(VLOOKUP(A90&amp;"-"&amp;B90&amp;"-"&amp;D90,Ref_Account!$A:$F,6,FALSE),"ACCOUNT TIDAK DITEMUKAN")</f>
        <v>1201.631100</v>
      </c>
      <c r="O90" s="39">
        <f t="shared" si="10"/>
        <v>3</v>
      </c>
      <c r="P90" s="39" t="str">
        <f t="shared" si="11"/>
        <v>OK</v>
      </c>
      <c r="Q90" s="152" t="s">
        <v>530</v>
      </c>
      <c r="R90" s="168"/>
    </row>
    <row r="91" spans="1:18" hidden="1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7">
        <v>1891.43</v>
      </c>
      <c r="H91" s="157">
        <v>1881.2</v>
      </c>
      <c r="I91" s="157">
        <f t="shared" si="8"/>
        <v>10.230000000000018</v>
      </c>
      <c r="J91" s="42">
        <f>IFERROR(G91/VLOOKUP(A91,RESUME!$G$3:$I$10,3,FALSE),0)</f>
        <v>7.2835915384754618E-2</v>
      </c>
      <c r="K91" s="157">
        <f t="shared" si="12"/>
        <v>1513.1440000000002</v>
      </c>
      <c r="L91" s="157">
        <f t="shared" si="13"/>
        <v>1891.43</v>
      </c>
      <c r="M91" s="149">
        <f t="shared" si="9"/>
        <v>7.3231998424509059E-2</v>
      </c>
      <c r="N91" s="43" t="str">
        <f>_xlfn.IFNA(VLOOKUP(A91&amp;"-"&amp;B91&amp;"-"&amp;D91,Ref_Account!$A:$F,6,FALSE),"ACCOUNT TIDAK DITEMUKAN")</f>
        <v>1201.631100</v>
      </c>
      <c r="O91" s="40">
        <f t="shared" si="10"/>
        <v>3</v>
      </c>
      <c r="P91" s="40" t="str">
        <f t="shared" si="11"/>
        <v>OK</v>
      </c>
      <c r="Q91" s="164" t="s">
        <v>530</v>
      </c>
      <c r="R91" s="168"/>
    </row>
    <row r="92" spans="1:18" ht="16.5" hidden="1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6">
        <v>1328.48</v>
      </c>
      <c r="H92" s="156">
        <v>1436.85</v>
      </c>
      <c r="I92" s="156">
        <f t="shared" si="8"/>
        <v>-108.36999999999989</v>
      </c>
      <c r="J92" s="42">
        <f>IFERROR(G92/VLOOKUP(A92,RESUME!$G$3:$I$10,3,FALSE),0)</f>
        <v>5.1157619827505538E-2</v>
      </c>
      <c r="K92" s="156">
        <f t="shared" si="12"/>
        <v>1062.7840000000001</v>
      </c>
      <c r="L92" s="156">
        <f t="shared" si="13"/>
        <v>1328.48</v>
      </c>
      <c r="M92" s="147">
        <f t="shared" si="9"/>
        <v>0</v>
      </c>
      <c r="N92" s="41" t="str">
        <f>_xlfn.IFNA(VLOOKUP(A92&amp;"-"&amp;B92&amp;"-"&amp;D92,Ref_Account!$A:$F,6,FALSE),"ACCOUNT TIDAK DITEMUKAN")</f>
        <v>1205.631100</v>
      </c>
      <c r="O92" s="39">
        <f t="shared" si="10"/>
        <v>3</v>
      </c>
      <c r="P92" s="39" t="str">
        <f t="shared" si="11"/>
        <v>OVER</v>
      </c>
      <c r="Q92" s="152" t="s">
        <v>530</v>
      </c>
      <c r="R92" s="168"/>
    </row>
    <row r="93" spans="1:18" hidden="1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7">
        <v>1328.28</v>
      </c>
      <c r="H93" s="157">
        <v>1377.62</v>
      </c>
      <c r="I93" s="157">
        <f t="shared" si="8"/>
        <v>-49.339999999999918</v>
      </c>
      <c r="J93" s="42">
        <f>IFERROR(G93/VLOOKUP(A93,RESUME!$G$3:$I$10,3,FALSE),0)</f>
        <v>5.1149918150426847E-2</v>
      </c>
      <c r="K93" s="157">
        <f t="shared" si="12"/>
        <v>1062.624</v>
      </c>
      <c r="L93" s="157">
        <f t="shared" si="13"/>
        <v>1328.28</v>
      </c>
      <c r="M93" s="149">
        <f t="shared" si="9"/>
        <v>0</v>
      </c>
      <c r="N93" s="43" t="str">
        <f>_xlfn.IFNA(VLOOKUP(A93&amp;"-"&amp;B93&amp;"-"&amp;D93,Ref_Account!$A:$F,6,FALSE),"ACCOUNT TIDAK DITEMUKAN")</f>
        <v>1204.631100</v>
      </c>
      <c r="O93" s="40">
        <f t="shared" si="10"/>
        <v>3</v>
      </c>
      <c r="P93" s="40" t="str">
        <f t="shared" si="11"/>
        <v>OVER</v>
      </c>
      <c r="Q93" s="164" t="s">
        <v>557</v>
      </c>
      <c r="R93" s="168"/>
    </row>
    <row r="94" spans="1:18" hidden="1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6">
        <v>0</v>
      </c>
      <c r="H94" s="156"/>
      <c r="I94" s="156">
        <f t="shared" si="8"/>
        <v>0</v>
      </c>
      <c r="J94" s="42">
        <f>IFERROR(G94/VLOOKUP(A94,RESUME!$G$3:$I$10,3,FALSE),0)</f>
        <v>0</v>
      </c>
      <c r="K94" s="156">
        <f t="shared" si="12"/>
        <v>0</v>
      </c>
      <c r="L94" s="156">
        <f t="shared" si="13"/>
        <v>0</v>
      </c>
      <c r="M94" s="147">
        <f t="shared" si="9"/>
        <v>0</v>
      </c>
      <c r="N94" s="41" t="str">
        <f>_xlfn.IFNA(VLOOKUP(A94&amp;"-"&amp;B94&amp;"-"&amp;D94,Ref_Account!$A:$F,6,FALSE),"ACCOUNT TIDAK DITEMUKAN")</f>
        <v>1206.801160</v>
      </c>
      <c r="O94" s="39">
        <f t="shared" si="10"/>
        <v>1</v>
      </c>
      <c r="P94" s="39" t="str">
        <f t="shared" si="11"/>
        <v>OVER</v>
      </c>
      <c r="Q94" s="152" t="s">
        <v>558</v>
      </c>
      <c r="R94" s="168"/>
    </row>
    <row r="95" spans="1:18" hidden="1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7">
        <v>200</v>
      </c>
      <c r="H95" s="157"/>
      <c r="I95" s="157">
        <f t="shared" si="8"/>
        <v>200</v>
      </c>
      <c r="J95" s="42">
        <f>IFERROR(G95/VLOOKUP(A95,RESUME!$G$3:$I$10,3,FALSE),0)</f>
        <v>3.780718336483932E-2</v>
      </c>
      <c r="K95" s="157">
        <f t="shared" si="12"/>
        <v>160</v>
      </c>
      <c r="L95" s="157">
        <f t="shared" si="13"/>
        <v>200</v>
      </c>
      <c r="M95" s="149">
        <f t="shared" si="9"/>
        <v>4.725897920604915E-2</v>
      </c>
      <c r="N95" s="43" t="str">
        <f>_xlfn.IFNA(VLOOKUP(A95&amp;"-"&amp;B95&amp;"-"&amp;D95,Ref_Account!$A:$F,6,FALSE),"ACCOUNT TIDAK DITEMUKAN")</f>
        <v>1206.630710</v>
      </c>
      <c r="O95" s="40">
        <f t="shared" si="10"/>
        <v>1</v>
      </c>
      <c r="P95" s="40" t="str">
        <f t="shared" si="11"/>
        <v>OK</v>
      </c>
      <c r="Q95" s="164" t="s">
        <v>530</v>
      </c>
      <c r="R95" s="168"/>
    </row>
    <row r="96" spans="1:18" hidden="1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6">
        <v>0</v>
      </c>
      <c r="H96" s="156">
        <v>2181.4299999999998</v>
      </c>
      <c r="I96" s="156">
        <f t="shared" si="8"/>
        <v>-2181.4299999999998</v>
      </c>
      <c r="J96" s="42">
        <f>IFERROR(G96/VLOOKUP(A96,RESUME!$G$3:$I$10,3,FALSE),0)</f>
        <v>0</v>
      </c>
      <c r="K96" s="156">
        <f t="shared" si="12"/>
        <v>0</v>
      </c>
      <c r="L96" s="156">
        <f t="shared" si="13"/>
        <v>0</v>
      </c>
      <c r="M96" s="147">
        <f t="shared" si="9"/>
        <v>0</v>
      </c>
      <c r="N96" s="41" t="str">
        <f>_xlfn.IFNA(VLOOKUP(A96&amp;"-"&amp;B96&amp;"-"&amp;D96,Ref_Account!$A:$F,6,FALSE),"ACCOUNT TIDAK DITEMUKAN")</f>
        <v>1206.630130</v>
      </c>
      <c r="O96" s="39">
        <f t="shared" si="10"/>
        <v>1</v>
      </c>
      <c r="P96" s="39" t="str">
        <f t="shared" si="11"/>
        <v>OVER</v>
      </c>
      <c r="Q96" s="152" t="s">
        <v>559</v>
      </c>
      <c r="R96" s="168"/>
    </row>
    <row r="97" spans="1:18" hidden="1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7">
        <v>0</v>
      </c>
      <c r="H97" s="157"/>
      <c r="I97" s="157">
        <f t="shared" si="8"/>
        <v>0</v>
      </c>
      <c r="J97" s="42">
        <f>IFERROR(G97/VLOOKUP(A97,RESUME!$G$3:$I$10,3,FALSE),0)</f>
        <v>0</v>
      </c>
      <c r="K97" s="157">
        <f t="shared" si="12"/>
        <v>0</v>
      </c>
      <c r="L97" s="157">
        <f t="shared" si="13"/>
        <v>0</v>
      </c>
      <c r="M97" s="149">
        <f t="shared" si="9"/>
        <v>0</v>
      </c>
      <c r="N97" s="43" t="str">
        <f>_xlfn.IFNA(VLOOKUP(A97&amp;"-"&amp;B97&amp;"-"&amp;D97,Ref_Account!$A:$F,6,FALSE),"ACCOUNT TIDAK DITEMUKAN")</f>
        <v>1206.631000</v>
      </c>
      <c r="O97" s="40">
        <f t="shared" si="10"/>
        <v>1</v>
      </c>
      <c r="P97" s="40" t="str">
        <f t="shared" si="11"/>
        <v>OVER</v>
      </c>
      <c r="Q97" s="164" t="s">
        <v>560</v>
      </c>
      <c r="R97" s="168"/>
    </row>
    <row r="98" spans="1:18" hidden="1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6">
        <v>0</v>
      </c>
      <c r="H98" s="156"/>
      <c r="I98" s="156">
        <f t="shared" si="8"/>
        <v>0</v>
      </c>
      <c r="J98" s="42">
        <f>IFERROR(G98/VLOOKUP(A98,RESUME!$G$3:$I$10,3,FALSE),0)</f>
        <v>0</v>
      </c>
      <c r="K98" s="156">
        <f t="shared" si="12"/>
        <v>0</v>
      </c>
      <c r="L98" s="156">
        <f t="shared" si="13"/>
        <v>0</v>
      </c>
      <c r="M98" s="147">
        <f t="shared" si="9"/>
        <v>0</v>
      </c>
      <c r="N98" s="41" t="str">
        <f>_xlfn.IFNA(VLOOKUP(A98&amp;"-"&amp;B98&amp;"-"&amp;D98,Ref_Account!$A:$F,6,FALSE),"ACCOUNT TIDAK DITEMUKAN")</f>
        <v>1206.815110</v>
      </c>
      <c r="O98" s="39">
        <f t="shared" si="10"/>
        <v>1</v>
      </c>
      <c r="P98" s="39" t="str">
        <f t="shared" si="11"/>
        <v>OVER</v>
      </c>
      <c r="Q98" s="152" t="s">
        <v>530</v>
      </c>
      <c r="R98" s="168"/>
    </row>
    <row r="99" spans="1:18" hidden="1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7">
        <v>0</v>
      </c>
      <c r="H99" s="157"/>
      <c r="I99" s="157">
        <f t="shared" si="8"/>
        <v>0</v>
      </c>
      <c r="J99" s="42">
        <f>IFERROR(G99/VLOOKUP(A99,RESUME!$G$3:$I$10,3,FALSE),0)</f>
        <v>0</v>
      </c>
      <c r="K99" s="157">
        <f t="shared" si="12"/>
        <v>0</v>
      </c>
      <c r="L99" s="157">
        <f t="shared" si="13"/>
        <v>0</v>
      </c>
      <c r="M99" s="149">
        <f t="shared" si="9"/>
        <v>0</v>
      </c>
      <c r="N99" s="43" t="str">
        <f>_xlfn.IFNA(VLOOKUP(A99&amp;"-"&amp;B99&amp;"-"&amp;D99,Ref_Account!$A:$F,6,FALSE),"ACCOUNT TIDAK DITEMUKAN")</f>
        <v>1206.802120</v>
      </c>
      <c r="O99" s="40">
        <f t="shared" si="10"/>
        <v>1</v>
      </c>
      <c r="P99" s="40" t="str">
        <f t="shared" si="11"/>
        <v>OVER</v>
      </c>
      <c r="Q99" s="164" t="s">
        <v>530</v>
      </c>
      <c r="R99" s="168"/>
    </row>
    <row r="100" spans="1:18" hidden="1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6">
        <v>0</v>
      </c>
      <c r="H100" s="156"/>
      <c r="I100" s="156">
        <f t="shared" si="8"/>
        <v>0</v>
      </c>
      <c r="J100" s="42">
        <f>IFERROR(G100/VLOOKUP(A100,RESUME!$G$3:$I$10,3,FALSE),0)</f>
        <v>0</v>
      </c>
      <c r="K100" s="156">
        <f t="shared" si="12"/>
        <v>0</v>
      </c>
      <c r="L100" s="156">
        <f t="shared" si="13"/>
        <v>0</v>
      </c>
      <c r="M100" s="147">
        <f t="shared" si="9"/>
        <v>0</v>
      </c>
      <c r="N100" s="41" t="str">
        <f>_xlfn.IFNA(VLOOKUP(A100&amp;"-"&amp;B100&amp;"-"&amp;D100,Ref_Account!$A:$F,6,FALSE),"ACCOUNT TIDAK DITEMUKAN")</f>
        <v>1206.630450</v>
      </c>
      <c r="O100" s="39">
        <f t="shared" si="10"/>
        <v>1</v>
      </c>
      <c r="P100" s="39" t="str">
        <f t="shared" si="11"/>
        <v>OVER</v>
      </c>
      <c r="Q100" s="152" t="s">
        <v>530</v>
      </c>
      <c r="R100" s="168"/>
    </row>
    <row r="101" spans="1:18" hidden="1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7">
        <v>0</v>
      </c>
      <c r="H101" s="157">
        <v>84.77</v>
      </c>
      <c r="I101" s="157">
        <f t="shared" si="8"/>
        <v>-84.77</v>
      </c>
      <c r="J101" s="42">
        <f>IFERROR(G101/VLOOKUP(A101,RESUME!$G$3:$I$10,3,FALSE),0)</f>
        <v>0</v>
      </c>
      <c r="K101" s="157">
        <f t="shared" si="12"/>
        <v>0</v>
      </c>
      <c r="L101" s="157">
        <f t="shared" si="13"/>
        <v>0</v>
      </c>
      <c r="M101" s="149">
        <f t="shared" si="9"/>
        <v>0</v>
      </c>
      <c r="N101" s="43" t="str">
        <f>_xlfn.IFNA(VLOOKUP(A101&amp;"-"&amp;B101&amp;"-"&amp;D101,Ref_Account!$A:$F,6,FALSE),"ACCOUNT TIDAK DITEMUKAN")</f>
        <v>1206.630300</v>
      </c>
      <c r="O101" s="40">
        <f t="shared" si="10"/>
        <v>1</v>
      </c>
      <c r="P101" s="40" t="str">
        <f t="shared" si="11"/>
        <v>OVER</v>
      </c>
      <c r="Q101" s="164" t="s">
        <v>530</v>
      </c>
      <c r="R101" s="168"/>
    </row>
    <row r="102" spans="1:18" hidden="1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6">
        <v>50</v>
      </c>
      <c r="H102" s="156"/>
      <c r="I102" s="156">
        <f t="shared" ref="I102:I133" si="14">G102-H102</f>
        <v>50</v>
      </c>
      <c r="J102" s="42">
        <f>IFERROR(G102/VLOOKUP(A102,RESUME!$G$3:$I$10,3,FALSE),0)</f>
        <v>9.4517958412098299E-3</v>
      </c>
      <c r="K102" s="156">
        <f t="shared" si="12"/>
        <v>40</v>
      </c>
      <c r="L102" s="156">
        <f t="shared" si="13"/>
        <v>50</v>
      </c>
      <c r="M102" s="147">
        <f t="shared" si="9"/>
        <v>1.1814744801512287E-2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5">IF(N102="ACCOUNT TIDAK DITEMUKAN","9999",COUNTIF($N$6:$N$164,N102))</f>
        <v>1</v>
      </c>
      <c r="P102" s="39" t="str">
        <f t="shared" si="11"/>
        <v>OK</v>
      </c>
      <c r="Q102" s="152" t="s">
        <v>530</v>
      </c>
      <c r="R102" s="168"/>
    </row>
    <row r="103" spans="1:18" hidden="1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7">
        <v>50</v>
      </c>
      <c r="H103" s="157"/>
      <c r="I103" s="157">
        <f t="shared" si="14"/>
        <v>50</v>
      </c>
      <c r="J103" s="42">
        <f>IFERROR(G103/VLOOKUP(A103,RESUME!$G$3:$I$10,3,FALSE),0)</f>
        <v>9.4517958412098299E-3</v>
      </c>
      <c r="K103" s="157">
        <f t="shared" si="12"/>
        <v>40</v>
      </c>
      <c r="L103" s="157">
        <f t="shared" si="13"/>
        <v>50</v>
      </c>
      <c r="M103" s="149">
        <f t="shared" si="9"/>
        <v>1.1814744801512287E-2</v>
      </c>
      <c r="N103" s="43" t="str">
        <f>_xlfn.IFNA(VLOOKUP(A103&amp;"-"&amp;B103&amp;"-"&amp;D103,Ref_Account!$A:$F,6,FALSE),"ACCOUNT TIDAK DITEMUKAN")</f>
        <v>1206.630750</v>
      </c>
      <c r="O103" s="40">
        <f t="shared" si="15"/>
        <v>1</v>
      </c>
      <c r="P103" s="40" t="str">
        <f t="shared" si="11"/>
        <v>OK</v>
      </c>
      <c r="Q103" s="164" t="s">
        <v>530</v>
      </c>
      <c r="R103" s="168"/>
    </row>
    <row r="104" spans="1:18" hidden="1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6">
        <v>50</v>
      </c>
      <c r="H104" s="156">
        <v>1313.04</v>
      </c>
      <c r="I104" s="156">
        <f t="shared" si="14"/>
        <v>-1263.04</v>
      </c>
      <c r="J104" s="42">
        <f>IFERROR(G104/VLOOKUP(A104,RESUME!$G$3:$I$10,3,FALSE),0)</f>
        <v>9.4517958412098299E-3</v>
      </c>
      <c r="K104" s="156">
        <f t="shared" si="12"/>
        <v>40</v>
      </c>
      <c r="L104" s="156">
        <f t="shared" si="13"/>
        <v>50</v>
      </c>
      <c r="M104" s="147">
        <f t="shared" si="9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5"/>
        <v>1</v>
      </c>
      <c r="P104" s="39" t="str">
        <f t="shared" si="11"/>
        <v>OVER</v>
      </c>
      <c r="Q104" s="152" t="s">
        <v>561</v>
      </c>
      <c r="R104" s="168"/>
    </row>
    <row r="105" spans="1:18" hidden="1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7">
        <v>50</v>
      </c>
      <c r="H105" s="157"/>
      <c r="I105" s="157">
        <f t="shared" si="14"/>
        <v>50</v>
      </c>
      <c r="J105" s="42">
        <f>IFERROR(G105/VLOOKUP(A105,RESUME!$G$3:$I$10,3,FALSE),0)</f>
        <v>9.4517958412098299E-3</v>
      </c>
      <c r="K105" s="157">
        <f t="shared" si="12"/>
        <v>40</v>
      </c>
      <c r="L105" s="157">
        <f t="shared" si="13"/>
        <v>50</v>
      </c>
      <c r="M105" s="149">
        <f t="shared" si="9"/>
        <v>1.1814744801512287E-2</v>
      </c>
      <c r="N105" s="43" t="str">
        <f>_xlfn.IFNA(VLOOKUP(A105&amp;"-"&amp;B105&amp;"-"&amp;D105,Ref_Account!$A:$F,6,FALSE),"ACCOUNT TIDAK DITEMUKAN")</f>
        <v>1206.630760</v>
      </c>
      <c r="O105" s="40">
        <f t="shared" si="15"/>
        <v>1</v>
      </c>
      <c r="P105" s="40" t="str">
        <f t="shared" si="11"/>
        <v>OK</v>
      </c>
      <c r="Q105" s="164" t="s">
        <v>530</v>
      </c>
      <c r="R105" s="168"/>
    </row>
    <row r="106" spans="1:18" hidden="1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6">
        <v>50</v>
      </c>
      <c r="H106" s="156"/>
      <c r="I106" s="156">
        <f t="shared" si="14"/>
        <v>50</v>
      </c>
      <c r="J106" s="42">
        <f>IFERROR(G106/VLOOKUP(A106,RESUME!$G$3:$I$10,3,FALSE),0)</f>
        <v>9.4517958412098299E-3</v>
      </c>
      <c r="K106" s="156">
        <f t="shared" si="12"/>
        <v>40</v>
      </c>
      <c r="L106" s="156">
        <f t="shared" si="13"/>
        <v>50</v>
      </c>
      <c r="M106" s="147">
        <f t="shared" si="9"/>
        <v>1.1814744801512287E-2</v>
      </c>
      <c r="N106" s="41" t="str">
        <f>_xlfn.IFNA(VLOOKUP(A106&amp;"-"&amp;B106&amp;"-"&amp;D106,Ref_Account!$A:$F,6,FALSE),"ACCOUNT TIDAK DITEMUKAN")</f>
        <v>1206.630730</v>
      </c>
      <c r="O106" s="39">
        <f t="shared" si="15"/>
        <v>1</v>
      </c>
      <c r="P106" s="39" t="str">
        <f t="shared" si="11"/>
        <v>OK</v>
      </c>
      <c r="Q106" s="152" t="s">
        <v>530</v>
      </c>
      <c r="R106" s="168"/>
    </row>
    <row r="107" spans="1:18" hidden="1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7">
        <v>50</v>
      </c>
      <c r="H107" s="157"/>
      <c r="I107" s="157">
        <f t="shared" si="14"/>
        <v>50</v>
      </c>
      <c r="J107" s="42">
        <f>IFERROR(G107/VLOOKUP(A107,RESUME!$G$3:$I$10,3,FALSE),0)</f>
        <v>9.4517958412098299E-3</v>
      </c>
      <c r="K107" s="157">
        <f t="shared" si="12"/>
        <v>40</v>
      </c>
      <c r="L107" s="157">
        <f t="shared" si="13"/>
        <v>50</v>
      </c>
      <c r="M107" s="149">
        <f t="shared" si="9"/>
        <v>1.1814744801512287E-2</v>
      </c>
      <c r="N107" s="43" t="str">
        <f>_xlfn.IFNA(VLOOKUP(A107&amp;"-"&amp;B107&amp;"-"&amp;D107,Ref_Account!$A:$F,6,FALSE),"ACCOUNT TIDAK DITEMUKAN")</f>
        <v>1206.630740</v>
      </c>
      <c r="O107" s="40">
        <f t="shared" si="15"/>
        <v>1</v>
      </c>
      <c r="P107" s="40" t="str">
        <f t="shared" si="11"/>
        <v>OK</v>
      </c>
      <c r="Q107" s="164" t="s">
        <v>530</v>
      </c>
      <c r="R107" s="168"/>
    </row>
    <row r="108" spans="1:18" hidden="1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6">
        <v>3978</v>
      </c>
      <c r="H108" s="156">
        <v>4309.0600000000004</v>
      </c>
      <c r="I108" s="156">
        <f t="shared" si="14"/>
        <v>-331.0600000000004</v>
      </c>
      <c r="J108" s="42">
        <f>IFERROR(G108/VLOOKUP(A108,RESUME!$G$3:$I$10,3,FALSE),0)</f>
        <v>0.75198487712665407</v>
      </c>
      <c r="K108" s="156">
        <f t="shared" si="12"/>
        <v>3182.4</v>
      </c>
      <c r="L108" s="156">
        <f t="shared" si="13"/>
        <v>3978</v>
      </c>
      <c r="M108" s="147">
        <f t="shared" si="9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5"/>
        <v>1</v>
      </c>
      <c r="P108" s="39" t="str">
        <f t="shared" si="11"/>
        <v>OVER</v>
      </c>
      <c r="Q108" s="152" t="s">
        <v>530</v>
      </c>
      <c r="R108" s="168"/>
    </row>
    <row r="109" spans="1:18" hidden="1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7">
        <v>0</v>
      </c>
      <c r="H109" s="157">
        <v>3055.97</v>
      </c>
      <c r="I109" s="157">
        <f t="shared" si="14"/>
        <v>-3055.97</v>
      </c>
      <c r="J109" s="42">
        <f>IFERROR(G109/VLOOKUP(A109,RESUME!$G$3:$I$10,3,FALSE),0)</f>
        <v>0</v>
      </c>
      <c r="K109" s="157">
        <f t="shared" si="12"/>
        <v>0</v>
      </c>
      <c r="L109" s="157">
        <f t="shared" si="13"/>
        <v>0</v>
      </c>
      <c r="M109" s="149">
        <f t="shared" si="9"/>
        <v>0</v>
      </c>
      <c r="N109" s="43" t="str">
        <f>_xlfn.IFNA(VLOOKUP(A109&amp;"-"&amp;B109&amp;"-"&amp;D109,Ref_Account!$A:$F,6,FALSE),"ACCOUNT TIDAK DITEMUKAN")</f>
        <v>1206.812100</v>
      </c>
      <c r="O109" s="40">
        <f t="shared" si="15"/>
        <v>1</v>
      </c>
      <c r="P109" s="40" t="str">
        <f t="shared" si="11"/>
        <v>OVER</v>
      </c>
      <c r="Q109" s="164" t="s">
        <v>530</v>
      </c>
      <c r="R109" s="168"/>
    </row>
    <row r="110" spans="1:18" hidden="1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6">
        <v>0</v>
      </c>
      <c r="H110" s="156">
        <v>3779.14</v>
      </c>
      <c r="I110" s="156">
        <f t="shared" si="14"/>
        <v>-3779.14</v>
      </c>
      <c r="J110" s="42">
        <f>IFERROR(G110/VLOOKUP(A110,RESUME!$G$3:$I$10,3,FALSE),0)</f>
        <v>0</v>
      </c>
      <c r="K110" s="156">
        <f t="shared" si="12"/>
        <v>0</v>
      </c>
      <c r="L110" s="156">
        <f t="shared" si="13"/>
        <v>0</v>
      </c>
      <c r="M110" s="147">
        <f t="shared" si="9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5"/>
        <v>1</v>
      </c>
      <c r="P110" s="39" t="str">
        <f t="shared" si="11"/>
        <v>OVER</v>
      </c>
      <c r="Q110" s="152" t="s">
        <v>530</v>
      </c>
      <c r="R110" s="168"/>
    </row>
    <row r="111" spans="1:18" hidden="1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7">
        <v>0</v>
      </c>
      <c r="H111" s="157"/>
      <c r="I111" s="157">
        <f t="shared" si="14"/>
        <v>0</v>
      </c>
      <c r="J111" s="42">
        <f>IFERROR(G111/VLOOKUP(A111,RESUME!$G$3:$I$10,3,FALSE),0)</f>
        <v>0</v>
      </c>
      <c r="K111" s="157">
        <f t="shared" si="12"/>
        <v>0</v>
      </c>
      <c r="L111" s="157">
        <f t="shared" si="13"/>
        <v>0</v>
      </c>
      <c r="M111" s="149">
        <f t="shared" si="9"/>
        <v>0</v>
      </c>
      <c r="N111" s="43" t="str">
        <f>_xlfn.IFNA(VLOOKUP(A111&amp;"-"&amp;B111&amp;"-"&amp;D111,Ref_Account!$A:$F,6,FALSE),"ACCOUNT TIDAK DITEMUKAN")</f>
        <v>1206.808100</v>
      </c>
      <c r="O111" s="40">
        <f t="shared" si="15"/>
        <v>1</v>
      </c>
      <c r="P111" s="40" t="str">
        <f t="shared" si="11"/>
        <v>OVER</v>
      </c>
      <c r="Q111" s="164" t="s">
        <v>530</v>
      </c>
      <c r="R111" s="168"/>
    </row>
    <row r="112" spans="1:18" hidden="1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6">
        <v>0</v>
      </c>
      <c r="H112" s="156"/>
      <c r="I112" s="156">
        <f t="shared" si="14"/>
        <v>0</v>
      </c>
      <c r="J112" s="42">
        <f>IFERROR(G112/VLOOKUP(A112,RESUME!$G$3:$I$10,3,FALSE),0)</f>
        <v>0</v>
      </c>
      <c r="K112" s="156">
        <f t="shared" si="12"/>
        <v>0</v>
      </c>
      <c r="L112" s="156">
        <f t="shared" si="13"/>
        <v>0</v>
      </c>
      <c r="M112" s="147">
        <f t="shared" si="9"/>
        <v>0</v>
      </c>
      <c r="N112" s="41" t="str">
        <f>_xlfn.IFNA(VLOOKUP(A112&amp;"-"&amp;B112&amp;"-"&amp;D112,Ref_Account!$A:$F,6,FALSE),"ACCOUNT TIDAK DITEMUKAN")</f>
        <v>1206.630110</v>
      </c>
      <c r="O112" s="39">
        <f t="shared" si="15"/>
        <v>1</v>
      </c>
      <c r="P112" s="39" t="str">
        <f t="shared" si="11"/>
        <v>OVER</v>
      </c>
      <c r="Q112" s="152" t="s">
        <v>530</v>
      </c>
      <c r="R112" s="168"/>
    </row>
    <row r="113" spans="1:18" hidden="1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7">
        <v>0</v>
      </c>
      <c r="H113" s="157"/>
      <c r="I113" s="157">
        <f t="shared" si="14"/>
        <v>0</v>
      </c>
      <c r="J113" s="42">
        <f>IFERROR(G113/VLOOKUP(A113,RESUME!$G$3:$I$10,3,FALSE),0)</f>
        <v>0</v>
      </c>
      <c r="K113" s="157">
        <f t="shared" si="12"/>
        <v>0</v>
      </c>
      <c r="L113" s="157">
        <f t="shared" si="13"/>
        <v>0</v>
      </c>
      <c r="M113" s="149">
        <f t="shared" si="9"/>
        <v>0</v>
      </c>
      <c r="N113" s="43" t="str">
        <f>_xlfn.IFNA(VLOOKUP(A113&amp;"-"&amp;B113&amp;"-"&amp;D113,Ref_Account!$A:$F,6,FALSE),"ACCOUNT TIDAK DITEMUKAN")</f>
        <v>1206.801110</v>
      </c>
      <c r="O113" s="40">
        <f t="shared" si="15"/>
        <v>1</v>
      </c>
      <c r="P113" s="40" t="str">
        <f t="shared" si="11"/>
        <v>OVER</v>
      </c>
      <c r="Q113" s="164" t="s">
        <v>530</v>
      </c>
      <c r="R113" s="168"/>
    </row>
    <row r="114" spans="1:18" hidden="1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6">
        <v>812</v>
      </c>
      <c r="H114" s="156">
        <v>676.87</v>
      </c>
      <c r="I114" s="156">
        <f t="shared" si="14"/>
        <v>135.13</v>
      </c>
      <c r="J114" s="42">
        <f>IFERROR(G114/VLOOKUP(A114,RESUME!$G$3:$I$10,3,FALSE),0)</f>
        <v>0.15349716446124764</v>
      </c>
      <c r="K114" s="156">
        <f t="shared" si="12"/>
        <v>649.6</v>
      </c>
      <c r="L114" s="156">
        <f t="shared" si="13"/>
        <v>812</v>
      </c>
      <c r="M114" s="147">
        <f t="shared" si="9"/>
        <v>0.18414126426423552</v>
      </c>
      <c r="N114" s="41" t="str">
        <f>_xlfn.IFNA(VLOOKUP(A114&amp;"-"&amp;B114&amp;"-"&amp;D114,Ref_Account!$A:$F,6,FALSE),"ACCOUNT TIDAK DITEMUKAN")</f>
        <v>1206.631180</v>
      </c>
      <c r="O114" s="39">
        <f t="shared" si="15"/>
        <v>1</v>
      </c>
      <c r="P114" s="39" t="str">
        <f t="shared" si="11"/>
        <v>OK</v>
      </c>
      <c r="Q114" s="152" t="s">
        <v>530</v>
      </c>
      <c r="R114" s="168"/>
    </row>
    <row r="115" spans="1:18" hidden="1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7">
        <v>0</v>
      </c>
      <c r="H115" s="157"/>
      <c r="I115" s="157">
        <f t="shared" si="14"/>
        <v>0</v>
      </c>
      <c r="J115" s="42">
        <f>IFERROR(G115/VLOOKUP(A115,RESUME!$G$3:$I$10,3,FALSE),0)</f>
        <v>0</v>
      </c>
      <c r="K115" s="157">
        <f t="shared" si="12"/>
        <v>0</v>
      </c>
      <c r="L115" s="157">
        <f t="shared" si="13"/>
        <v>0</v>
      </c>
      <c r="M115" s="149">
        <f t="shared" si="9"/>
        <v>0</v>
      </c>
      <c r="N115" s="43" t="str">
        <f>_xlfn.IFNA(VLOOKUP(A115&amp;"-"&amp;B115&amp;"-"&amp;D115,Ref_Account!$A:$F,6,FALSE),"ACCOUNT TIDAK DITEMUKAN")</f>
        <v>1206.630600</v>
      </c>
      <c r="O115" s="40">
        <f t="shared" si="15"/>
        <v>1</v>
      </c>
      <c r="P115" s="40" t="str">
        <f t="shared" si="11"/>
        <v>OVER</v>
      </c>
      <c r="Q115" s="164" t="s">
        <v>562</v>
      </c>
      <c r="R115" s="168"/>
    </row>
    <row r="116" spans="1:18" hidden="1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6">
        <v>137.53</v>
      </c>
      <c r="H116" s="156"/>
      <c r="I116" s="156">
        <f t="shared" si="14"/>
        <v>137.53</v>
      </c>
      <c r="J116" s="42">
        <f>IFERROR(G116/VLOOKUP(A116,RESUME!$G$3:$I$10,3,FALSE),0)</f>
        <v>1.3184661961488093E-2</v>
      </c>
      <c r="K116" s="156">
        <f t="shared" si="12"/>
        <v>110.024</v>
      </c>
      <c r="L116" s="156">
        <f t="shared" si="13"/>
        <v>137.53</v>
      </c>
      <c r="M116" s="147">
        <f t="shared" si="9"/>
        <v>1.6480827451860115E-2</v>
      </c>
      <c r="N116" s="41" t="str">
        <f>_xlfn.IFNA(VLOOKUP(A116&amp;"-"&amp;B116&amp;"-"&amp;D116,Ref_Account!$A:$F,6,FALSE),"ACCOUNT TIDAK DITEMUKAN")</f>
        <v>1205.813100</v>
      </c>
      <c r="O116" s="39">
        <f t="shared" si="15"/>
        <v>1</v>
      </c>
      <c r="P116" s="39" t="str">
        <f t="shared" si="11"/>
        <v>OK</v>
      </c>
      <c r="Q116" s="152" t="s">
        <v>530</v>
      </c>
      <c r="R116" s="168"/>
    </row>
    <row r="117" spans="1:18" hidden="1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7">
        <v>0</v>
      </c>
      <c r="H117" s="157"/>
      <c r="I117" s="157">
        <f t="shared" si="14"/>
        <v>0</v>
      </c>
      <c r="J117" s="42">
        <f>IFERROR(G117/VLOOKUP(A117,RESUME!$G$3:$I$10,3,FALSE),0)</f>
        <v>0</v>
      </c>
      <c r="K117" s="157">
        <f t="shared" si="12"/>
        <v>0</v>
      </c>
      <c r="L117" s="157">
        <f t="shared" si="13"/>
        <v>0</v>
      </c>
      <c r="M117" s="149">
        <f t="shared" si="9"/>
        <v>0</v>
      </c>
      <c r="N117" s="43" t="str">
        <f>_xlfn.IFNA(VLOOKUP(A117&amp;"-"&amp;B117&amp;"-"&amp;D117,Ref_Account!$A:$F,6,FALSE),"ACCOUNT TIDAK DITEMUKAN")</f>
        <v>1205.801160</v>
      </c>
      <c r="O117" s="40">
        <f t="shared" si="15"/>
        <v>1</v>
      </c>
      <c r="P117" s="40" t="str">
        <f t="shared" si="11"/>
        <v>OVER</v>
      </c>
      <c r="Q117" s="164" t="s">
        <v>530</v>
      </c>
      <c r="R117" s="168"/>
    </row>
    <row r="118" spans="1:18" hidden="1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6">
        <v>500</v>
      </c>
      <c r="H118" s="156">
        <v>90.17</v>
      </c>
      <c r="I118" s="156">
        <f t="shared" si="14"/>
        <v>409.83</v>
      </c>
      <c r="J118" s="42">
        <f>IFERROR(G118/VLOOKUP(A118,RESUME!$G$3:$I$10,3,FALSE),0)</f>
        <v>4.793376703805749E-2</v>
      </c>
      <c r="K118" s="156">
        <f t="shared" si="12"/>
        <v>400</v>
      </c>
      <c r="L118" s="156">
        <f t="shared" si="13"/>
        <v>500</v>
      </c>
      <c r="M118" s="147">
        <f t="shared" si="9"/>
        <v>5.9917208797571862E-2</v>
      </c>
      <c r="N118" s="41" t="str">
        <f>_xlfn.IFNA(VLOOKUP(A118&amp;"-"&amp;B118&amp;"-"&amp;D118,Ref_Account!$A:$F,6,FALSE),"ACCOUNT TIDAK DITEMUKAN")</f>
        <v>1205.630710</v>
      </c>
      <c r="O118" s="39">
        <f t="shared" si="15"/>
        <v>1</v>
      </c>
      <c r="P118" s="39" t="str">
        <f t="shared" si="11"/>
        <v>OK</v>
      </c>
      <c r="Q118" s="152" t="s">
        <v>530</v>
      </c>
      <c r="R118" s="168"/>
    </row>
    <row r="119" spans="1:18" hidden="1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7">
        <v>250</v>
      </c>
      <c r="H119" s="157"/>
      <c r="I119" s="157">
        <f t="shared" si="14"/>
        <v>250</v>
      </c>
      <c r="J119" s="42">
        <f>IFERROR(G119/VLOOKUP(A119,RESUME!$G$3:$I$10,3,FALSE),0)</f>
        <v>2.3966883519028745E-2</v>
      </c>
      <c r="K119" s="157">
        <f t="shared" si="12"/>
        <v>200</v>
      </c>
      <c r="L119" s="157">
        <f t="shared" si="13"/>
        <v>250</v>
      </c>
      <c r="M119" s="149">
        <f t="shared" si="9"/>
        <v>2.9958604398785931E-2</v>
      </c>
      <c r="N119" s="43" t="str">
        <f>_xlfn.IFNA(VLOOKUP(A119&amp;"-"&amp;B119&amp;"-"&amp;D119,Ref_Account!$A:$F,6,FALSE),"ACCOUNT TIDAK DITEMUKAN")</f>
        <v>1205.630740</v>
      </c>
      <c r="O119" s="40">
        <f t="shared" si="15"/>
        <v>1</v>
      </c>
      <c r="P119" s="40" t="str">
        <f t="shared" si="11"/>
        <v>OK</v>
      </c>
      <c r="Q119" s="164" t="s">
        <v>530</v>
      </c>
      <c r="R119" s="168"/>
    </row>
    <row r="120" spans="1:18" hidden="1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6">
        <v>0</v>
      </c>
      <c r="H120" s="156">
        <v>3929.89</v>
      </c>
      <c r="I120" s="156">
        <f t="shared" si="14"/>
        <v>-3929.89</v>
      </c>
      <c r="J120" s="42">
        <f>IFERROR(G120/VLOOKUP(A120,RESUME!$G$3:$I$10,3,FALSE),0)</f>
        <v>0</v>
      </c>
      <c r="K120" s="156">
        <f t="shared" si="12"/>
        <v>0</v>
      </c>
      <c r="L120" s="156">
        <f t="shared" si="13"/>
        <v>0</v>
      </c>
      <c r="M120" s="147">
        <f t="shared" si="9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5"/>
        <v>1</v>
      </c>
      <c r="P120" s="39" t="str">
        <f t="shared" si="11"/>
        <v>OVER</v>
      </c>
      <c r="Q120" s="152" t="s">
        <v>530</v>
      </c>
      <c r="R120" s="168"/>
    </row>
    <row r="121" spans="1:18" hidden="1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7">
        <v>0</v>
      </c>
      <c r="H121" s="157"/>
      <c r="I121" s="157">
        <f t="shared" si="14"/>
        <v>0</v>
      </c>
      <c r="J121" s="42">
        <f>IFERROR(G121/VLOOKUP(A121,RESUME!$G$3:$I$10,3,FALSE),0)</f>
        <v>0</v>
      </c>
      <c r="K121" s="157">
        <f t="shared" si="12"/>
        <v>0</v>
      </c>
      <c r="L121" s="157">
        <f t="shared" si="13"/>
        <v>0</v>
      </c>
      <c r="M121" s="149">
        <f t="shared" si="9"/>
        <v>0</v>
      </c>
      <c r="N121" s="43" t="str">
        <f>_xlfn.IFNA(VLOOKUP(A121&amp;"-"&amp;B121&amp;"-"&amp;D121,Ref_Account!$A:$F,6,FALSE),"ACCOUNT TIDAK DITEMUKAN")</f>
        <v>1205.815110</v>
      </c>
      <c r="O121" s="40">
        <f t="shared" si="15"/>
        <v>1</v>
      </c>
      <c r="P121" s="40" t="str">
        <f t="shared" si="11"/>
        <v>OVER</v>
      </c>
      <c r="Q121" s="164" t="s">
        <v>530</v>
      </c>
      <c r="R121" s="168"/>
    </row>
    <row r="122" spans="1:18" hidden="1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6">
        <v>754.58</v>
      </c>
      <c r="H122" s="156">
        <v>182.02</v>
      </c>
      <c r="I122" s="156">
        <f t="shared" si="14"/>
        <v>572.56000000000006</v>
      </c>
      <c r="J122" s="42">
        <f>IFERROR(G122/VLOOKUP(A122,RESUME!$G$3:$I$10,3,FALSE),0)</f>
        <v>7.2339723863154848E-2</v>
      </c>
      <c r="K122" s="156">
        <f t="shared" si="12"/>
        <v>603.6640000000001</v>
      </c>
      <c r="L122" s="156">
        <f t="shared" si="13"/>
        <v>754.58</v>
      </c>
      <c r="M122" s="147">
        <f t="shared" si="9"/>
        <v>9.0424654828943546E-2</v>
      </c>
      <c r="N122" s="41" t="str">
        <f>_xlfn.IFNA(VLOOKUP(A122&amp;"-"&amp;B122&amp;"-"&amp;D122,Ref_Account!$A:$F,6,FALSE),"ACCOUNT TIDAK DITEMUKAN")</f>
        <v>1205.631100</v>
      </c>
      <c r="O122" s="39">
        <f t="shared" si="15"/>
        <v>3</v>
      </c>
      <c r="P122" s="39" t="str">
        <f t="shared" si="11"/>
        <v>OK</v>
      </c>
      <c r="Q122" s="152" t="s">
        <v>530</v>
      </c>
      <c r="R122" s="168"/>
    </row>
    <row r="123" spans="1:18" hidden="1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7">
        <v>0</v>
      </c>
      <c r="H123" s="157">
        <v>3755.27</v>
      </c>
      <c r="I123" s="157">
        <f t="shared" si="14"/>
        <v>-3755.27</v>
      </c>
      <c r="J123" s="42">
        <f>IFERROR(G123/VLOOKUP(A123,RESUME!$G$3:$I$10,3,FALSE),0)</f>
        <v>0</v>
      </c>
      <c r="K123" s="157">
        <f t="shared" si="12"/>
        <v>0</v>
      </c>
      <c r="L123" s="157">
        <f t="shared" si="13"/>
        <v>0</v>
      </c>
      <c r="M123" s="149">
        <f t="shared" si="9"/>
        <v>0</v>
      </c>
      <c r="N123" s="43" t="str">
        <f>_xlfn.IFNA(VLOOKUP(A123&amp;"-"&amp;B123&amp;"-"&amp;D123,Ref_Account!$A:$F,6,FALSE),"ACCOUNT TIDAK DITEMUKAN")</f>
        <v>1205.812100</v>
      </c>
      <c r="O123" s="40">
        <f t="shared" si="15"/>
        <v>1</v>
      </c>
      <c r="P123" s="40" t="str">
        <f t="shared" si="11"/>
        <v>OVER</v>
      </c>
      <c r="Q123" s="164" t="s">
        <v>530</v>
      </c>
      <c r="R123" s="168"/>
    </row>
    <row r="124" spans="1:18" hidden="1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6">
        <v>0</v>
      </c>
      <c r="H124" s="156">
        <v>4098.6000000000004</v>
      </c>
      <c r="I124" s="156">
        <f t="shared" si="14"/>
        <v>-4098.6000000000004</v>
      </c>
      <c r="J124" s="42">
        <f>IFERROR(G124/VLOOKUP(A124,RESUME!$G$3:$I$10,3,FALSE),0)</f>
        <v>0</v>
      </c>
      <c r="K124" s="156">
        <f t="shared" si="12"/>
        <v>0</v>
      </c>
      <c r="L124" s="156">
        <f t="shared" si="13"/>
        <v>0</v>
      </c>
      <c r="M124" s="147">
        <f t="shared" si="9"/>
        <v>0</v>
      </c>
      <c r="N124" s="41" t="str">
        <f>_xlfn.IFNA(VLOOKUP(A124&amp;"-"&amp;B124&amp;"-"&amp;D124,Ref_Account!$A:$F,6,FALSE),"ACCOUNT TIDAK DITEMUKAN")</f>
        <v>1205.630400</v>
      </c>
      <c r="O124" s="39">
        <f t="shared" si="15"/>
        <v>1</v>
      </c>
      <c r="P124" s="39" t="str">
        <f t="shared" si="11"/>
        <v>OVER</v>
      </c>
      <c r="Q124" s="152" t="s">
        <v>530</v>
      </c>
      <c r="R124" s="168"/>
    </row>
    <row r="125" spans="1:18" hidden="1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7">
        <v>0</v>
      </c>
      <c r="H125" s="157">
        <v>827.12</v>
      </c>
      <c r="I125" s="157">
        <f t="shared" si="14"/>
        <v>-827.12</v>
      </c>
      <c r="J125" s="42">
        <f>IFERROR(G125/VLOOKUP(A125,RESUME!$G$3:$I$10,3,FALSE),0)</f>
        <v>0</v>
      </c>
      <c r="K125" s="157">
        <f t="shared" si="12"/>
        <v>0</v>
      </c>
      <c r="L125" s="157">
        <f t="shared" si="13"/>
        <v>0</v>
      </c>
      <c r="M125" s="149">
        <f t="shared" si="9"/>
        <v>0</v>
      </c>
      <c r="N125" s="43" t="str">
        <f>_xlfn.IFNA(VLOOKUP(A125&amp;"-"&amp;B125&amp;"-"&amp;D125,Ref_Account!$A:$F,6,FALSE),"ACCOUNT TIDAK DITEMUKAN")</f>
        <v>1205.630300</v>
      </c>
      <c r="O125" s="40">
        <f t="shared" si="15"/>
        <v>1</v>
      </c>
      <c r="P125" s="40" t="str">
        <f t="shared" si="11"/>
        <v>OVER</v>
      </c>
      <c r="Q125" s="164" t="s">
        <v>530</v>
      </c>
      <c r="R125" s="168"/>
    </row>
    <row r="126" spans="1:18" hidden="1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6">
        <v>0</v>
      </c>
      <c r="H126" s="156"/>
      <c r="I126" s="156">
        <f t="shared" si="14"/>
        <v>0</v>
      </c>
      <c r="J126" s="42">
        <f>IFERROR(G126/VLOOKUP(A126,RESUME!$G$3:$I$10,3,FALSE),0)</f>
        <v>0</v>
      </c>
      <c r="K126" s="156">
        <f t="shared" si="12"/>
        <v>0</v>
      </c>
      <c r="L126" s="156">
        <f t="shared" si="13"/>
        <v>0</v>
      </c>
      <c r="M126" s="147">
        <f t="shared" si="9"/>
        <v>0</v>
      </c>
      <c r="N126" s="41" t="str">
        <f>_xlfn.IFNA(VLOOKUP(A126&amp;"-"&amp;B126&amp;"-"&amp;D126,Ref_Account!$A:$F,6,FALSE),"ACCOUNT TIDAK DITEMUKAN")</f>
        <v>1205.630200</v>
      </c>
      <c r="O126" s="39">
        <f t="shared" si="15"/>
        <v>1</v>
      </c>
      <c r="P126" s="39" t="str">
        <f t="shared" si="11"/>
        <v>OVER</v>
      </c>
      <c r="Q126" s="152" t="s">
        <v>530</v>
      </c>
      <c r="R126" s="168"/>
    </row>
    <row r="127" spans="1:18" hidden="1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7">
        <v>0</v>
      </c>
      <c r="H127" s="157">
        <v>901.67</v>
      </c>
      <c r="I127" s="157">
        <f t="shared" si="14"/>
        <v>-901.67</v>
      </c>
      <c r="J127" s="42">
        <f>IFERROR(G127/VLOOKUP(A127,RESUME!$G$3:$I$10,3,FALSE),0)</f>
        <v>0</v>
      </c>
      <c r="K127" s="157">
        <f t="shared" si="12"/>
        <v>0</v>
      </c>
      <c r="L127" s="157">
        <f t="shared" si="13"/>
        <v>0</v>
      </c>
      <c r="M127" s="149">
        <f t="shared" si="9"/>
        <v>0</v>
      </c>
      <c r="N127" s="43" t="str">
        <f>_xlfn.IFNA(VLOOKUP(A127&amp;"-"&amp;B127&amp;"-"&amp;D127,Ref_Account!$A:$F,6,FALSE),"ACCOUNT TIDAK DITEMUKAN")</f>
        <v>1205.630110</v>
      </c>
      <c r="O127" s="40">
        <f t="shared" si="15"/>
        <v>1</v>
      </c>
      <c r="P127" s="40" t="str">
        <f t="shared" si="11"/>
        <v>OVER</v>
      </c>
      <c r="Q127" s="164" t="s">
        <v>530</v>
      </c>
      <c r="R127" s="168"/>
    </row>
    <row r="128" spans="1:18" hidden="1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6">
        <v>250</v>
      </c>
      <c r="H128" s="156"/>
      <c r="I128" s="156">
        <f t="shared" si="14"/>
        <v>250</v>
      </c>
      <c r="J128" s="42">
        <f>IFERROR(G128/VLOOKUP(A128,RESUME!$G$3:$I$10,3,FALSE),0)</f>
        <v>2.3966883519028745E-2</v>
      </c>
      <c r="K128" s="156">
        <f t="shared" si="12"/>
        <v>200</v>
      </c>
      <c r="L128" s="156">
        <f t="shared" si="13"/>
        <v>250</v>
      </c>
      <c r="M128" s="147">
        <f t="shared" si="9"/>
        <v>2.9958604398785931E-2</v>
      </c>
      <c r="N128" s="41" t="str">
        <f>_xlfn.IFNA(VLOOKUP(A128&amp;"-"&amp;B128&amp;"-"&amp;D128,Ref_Account!$A:$F,6,FALSE),"ACCOUNT TIDAK DITEMUKAN")</f>
        <v>1205.630770</v>
      </c>
      <c r="O128" s="39">
        <f t="shared" si="15"/>
        <v>1</v>
      </c>
      <c r="P128" s="39" t="str">
        <f t="shared" si="11"/>
        <v>OK</v>
      </c>
      <c r="Q128" s="152" t="s">
        <v>530</v>
      </c>
      <c r="R128" s="168"/>
    </row>
    <row r="129" spans="1:18" hidden="1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7">
        <v>250</v>
      </c>
      <c r="H129" s="157"/>
      <c r="I129" s="157">
        <f t="shared" si="14"/>
        <v>250</v>
      </c>
      <c r="J129" s="42">
        <f>IFERROR(G129/VLOOKUP(A129,RESUME!$G$3:$I$10,3,FALSE),0)</f>
        <v>2.3966883519028745E-2</v>
      </c>
      <c r="K129" s="157">
        <f t="shared" si="12"/>
        <v>200</v>
      </c>
      <c r="L129" s="157">
        <f t="shared" si="13"/>
        <v>250</v>
      </c>
      <c r="M129" s="149">
        <f t="shared" si="9"/>
        <v>2.9958604398785931E-2</v>
      </c>
      <c r="N129" s="43" t="str">
        <f>_xlfn.IFNA(VLOOKUP(A129&amp;"-"&amp;B129&amp;"-"&amp;D129,Ref_Account!$A:$F,6,FALSE),"ACCOUNT TIDAK DITEMUKAN")</f>
        <v>1205.630750</v>
      </c>
      <c r="O129" s="40">
        <f t="shared" si="15"/>
        <v>1</v>
      </c>
      <c r="P129" s="40" t="str">
        <f t="shared" si="11"/>
        <v>OK</v>
      </c>
      <c r="Q129" s="164" t="s">
        <v>530</v>
      </c>
      <c r="R129" s="168"/>
    </row>
    <row r="130" spans="1:18" hidden="1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6">
        <v>250</v>
      </c>
      <c r="H130" s="156">
        <v>158.19999999999999</v>
      </c>
      <c r="I130" s="156">
        <f t="shared" si="14"/>
        <v>91.800000000000011</v>
      </c>
      <c r="J130" s="42">
        <f>IFERROR(G130/VLOOKUP(A130,RESUME!$G$3:$I$10,3,FALSE),0)</f>
        <v>2.3966883519028745E-2</v>
      </c>
      <c r="K130" s="156">
        <f t="shared" si="12"/>
        <v>200</v>
      </c>
      <c r="L130" s="156">
        <f t="shared" si="13"/>
        <v>250</v>
      </c>
      <c r="M130" s="147">
        <f t="shared" si="9"/>
        <v>2.9958604398785931E-2</v>
      </c>
      <c r="N130" s="41" t="str">
        <f>_xlfn.IFNA(VLOOKUP(A130&amp;"-"&amp;B130&amp;"-"&amp;D130,Ref_Account!$A:$F,6,FALSE),"ACCOUNT TIDAK DITEMUKAN")</f>
        <v>1205.630720</v>
      </c>
      <c r="O130" s="39">
        <f t="shared" si="15"/>
        <v>1</v>
      </c>
      <c r="P130" s="39" t="str">
        <f t="shared" si="11"/>
        <v>OK</v>
      </c>
      <c r="Q130" s="152" t="s">
        <v>530</v>
      </c>
      <c r="R130" s="168"/>
    </row>
    <row r="131" spans="1:18" hidden="1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7">
        <v>250</v>
      </c>
      <c r="H131" s="157">
        <v>471.43</v>
      </c>
      <c r="I131" s="157">
        <f t="shared" si="14"/>
        <v>-221.43</v>
      </c>
      <c r="J131" s="42">
        <f>IFERROR(G131/VLOOKUP(A131,RESUME!$G$3:$I$10,3,FALSE),0)</f>
        <v>2.3966883519028745E-2</v>
      </c>
      <c r="K131" s="157">
        <f t="shared" si="12"/>
        <v>200</v>
      </c>
      <c r="L131" s="157">
        <f t="shared" si="13"/>
        <v>250</v>
      </c>
      <c r="M131" s="149">
        <f t="shared" si="9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5"/>
        <v>1</v>
      </c>
      <c r="P131" s="40" t="str">
        <f t="shared" si="11"/>
        <v>OVER</v>
      </c>
      <c r="Q131" s="164" t="s">
        <v>530</v>
      </c>
      <c r="R131" s="168"/>
    </row>
    <row r="132" spans="1:18" hidden="1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6">
        <v>0</v>
      </c>
      <c r="H132" s="156"/>
      <c r="I132" s="156">
        <f t="shared" si="14"/>
        <v>0</v>
      </c>
      <c r="J132" s="42">
        <f>IFERROR(G132/VLOOKUP(A132,RESUME!$G$3:$I$10,3,FALSE),0)</f>
        <v>0</v>
      </c>
      <c r="K132" s="156">
        <f t="shared" si="12"/>
        <v>0</v>
      </c>
      <c r="L132" s="156">
        <f t="shared" si="13"/>
        <v>0</v>
      </c>
      <c r="M132" s="147">
        <f t="shared" si="9"/>
        <v>0</v>
      </c>
      <c r="N132" s="41" t="str">
        <f>_xlfn.IFNA(VLOOKUP(A132&amp;"-"&amp;B132&amp;"-"&amp;D132,Ref_Account!$A:$F,6,FALSE),"ACCOUNT TIDAK DITEMUKAN")</f>
        <v>1205.801110</v>
      </c>
      <c r="O132" s="39">
        <f t="shared" si="15"/>
        <v>1</v>
      </c>
      <c r="P132" s="39" t="str">
        <f t="shared" si="11"/>
        <v>OVER</v>
      </c>
      <c r="Q132" s="152" t="s">
        <v>530</v>
      </c>
      <c r="R132" s="168"/>
    </row>
    <row r="133" spans="1:18" hidden="1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7">
        <v>1500</v>
      </c>
      <c r="H133" s="157">
        <v>3525.46</v>
      </c>
      <c r="I133" s="157">
        <f t="shared" si="14"/>
        <v>-2025.46</v>
      </c>
      <c r="J133" s="42">
        <f>IFERROR(G133/VLOOKUP(A133,RESUME!$G$3:$I$10,3,FALSE),0)</f>
        <v>0.14380130111417247</v>
      </c>
      <c r="K133" s="157">
        <f t="shared" si="12"/>
        <v>1200</v>
      </c>
      <c r="L133" s="157">
        <f t="shared" si="13"/>
        <v>1500</v>
      </c>
      <c r="M133" s="149">
        <f t="shared" si="9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5"/>
        <v>1</v>
      </c>
      <c r="P133" s="40" t="str">
        <f t="shared" si="11"/>
        <v>OVER</v>
      </c>
      <c r="Q133" s="164" t="s">
        <v>530</v>
      </c>
      <c r="R133" s="168"/>
    </row>
    <row r="134" spans="1:18" hidden="1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6">
        <v>504.76</v>
      </c>
      <c r="H134" s="156"/>
      <c r="I134" s="156">
        <f t="shared" ref="I134:I162" si="16">G134-H134</f>
        <v>504.76</v>
      </c>
      <c r="J134" s="42">
        <f>IFERROR(G134/VLOOKUP(A134,RESUME!$G$3:$I$10,3,FALSE),0)</f>
        <v>4.8390096500259792E-2</v>
      </c>
      <c r="K134" s="156">
        <f t="shared" si="12"/>
        <v>403.80799999999999</v>
      </c>
      <c r="L134" s="156">
        <f t="shared" si="13"/>
        <v>504.76</v>
      </c>
      <c r="M134" s="147">
        <f t="shared" ref="M134:M162" si="17">IF(L134=0,0,IF(H134&gt;L134,0,L134/IF(H134&gt;=K134,H134,K134)*J134))</f>
        <v>6.0487620625324742E-2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8">IF(N134="ACCOUNT TIDAK DITEMUKAN","9999",COUNTIF($N$6:$N$164,N134))</f>
        <v>1</v>
      </c>
      <c r="P134" s="39" t="str">
        <f t="shared" ref="P134:P162" si="19">IF(I134&gt;0,"OK","OVER")</f>
        <v>OK</v>
      </c>
      <c r="Q134" s="152" t="s">
        <v>530</v>
      </c>
      <c r="R134" s="168"/>
    </row>
    <row r="135" spans="1:18" hidden="1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7">
        <v>0</v>
      </c>
      <c r="H135" s="157"/>
      <c r="I135" s="157">
        <f t="shared" si="16"/>
        <v>0</v>
      </c>
      <c r="J135" s="42">
        <f>IFERROR(G135/VLOOKUP(A135,RESUME!$G$3:$I$10,3,FALSE),0)</f>
        <v>0</v>
      </c>
      <c r="K135" s="157">
        <f t="shared" ref="K135:K162" si="20">G135*$K$4</f>
        <v>0</v>
      </c>
      <c r="L135" s="157">
        <f t="shared" ref="L135:L162" si="21">G135*$L$4</f>
        <v>0</v>
      </c>
      <c r="M135" s="149">
        <f t="shared" si="17"/>
        <v>0</v>
      </c>
      <c r="N135" s="43" t="str">
        <f>_xlfn.IFNA(VLOOKUP(A135&amp;"-"&amp;B135&amp;"-"&amp;D135,Ref_Account!$A:$F,6,FALSE),"ACCOUNT TIDAK DITEMUKAN")</f>
        <v>1204.801160</v>
      </c>
      <c r="O135" s="40">
        <f t="shared" si="18"/>
        <v>1</v>
      </c>
      <c r="P135" s="40" t="str">
        <f t="shared" si="19"/>
        <v>OVER</v>
      </c>
      <c r="Q135" s="164" t="s">
        <v>530</v>
      </c>
      <c r="R135" s="168"/>
    </row>
    <row r="136" spans="1:18" hidden="1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6">
        <v>700</v>
      </c>
      <c r="H136" s="156">
        <v>443.59</v>
      </c>
      <c r="I136" s="156">
        <f t="shared" si="16"/>
        <v>256.41000000000003</v>
      </c>
      <c r="J136" s="42">
        <f>IFERROR(G136/VLOOKUP(A136,RESUME!$G$3:$I$10,3,FALSE),0)</f>
        <v>6.7107273853280483E-2</v>
      </c>
      <c r="K136" s="156">
        <f t="shared" si="20"/>
        <v>560</v>
      </c>
      <c r="L136" s="156">
        <f t="shared" si="21"/>
        <v>700</v>
      </c>
      <c r="M136" s="147">
        <f t="shared" si="17"/>
        <v>8.38840923166006E-2</v>
      </c>
      <c r="N136" s="41" t="str">
        <f>_xlfn.IFNA(VLOOKUP(A136&amp;"-"&amp;B136&amp;"-"&amp;D136,Ref_Account!$A:$F,6,FALSE),"ACCOUNT TIDAK DITEMUKAN")</f>
        <v>1204.630710</v>
      </c>
      <c r="O136" s="39">
        <f t="shared" si="18"/>
        <v>1</v>
      </c>
      <c r="P136" s="39" t="str">
        <f t="shared" si="19"/>
        <v>OK</v>
      </c>
      <c r="Q136" s="152" t="s">
        <v>530</v>
      </c>
      <c r="R136" s="168"/>
    </row>
    <row r="137" spans="1:18" hidden="1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7">
        <v>300</v>
      </c>
      <c r="H137" s="157"/>
      <c r="I137" s="157">
        <f t="shared" si="16"/>
        <v>300</v>
      </c>
      <c r="J137" s="42">
        <f>IFERROR(G137/VLOOKUP(A137,RESUME!$G$3:$I$10,3,FALSE),0)</f>
        <v>2.8760260222834493E-2</v>
      </c>
      <c r="K137" s="157">
        <f t="shared" si="20"/>
        <v>240</v>
      </c>
      <c r="L137" s="157">
        <f t="shared" si="21"/>
        <v>300</v>
      </c>
      <c r="M137" s="149">
        <f t="shared" si="17"/>
        <v>3.5950325278543117E-2</v>
      </c>
      <c r="N137" s="43" t="str">
        <f>_xlfn.IFNA(VLOOKUP(A137&amp;"-"&amp;B137&amp;"-"&amp;D137,Ref_Account!$A:$F,6,FALSE),"ACCOUNT TIDAK DITEMUKAN")</f>
        <v>1204.630740</v>
      </c>
      <c r="O137" s="40">
        <f t="shared" si="18"/>
        <v>1</v>
      </c>
      <c r="P137" s="40" t="str">
        <f t="shared" si="19"/>
        <v>OK</v>
      </c>
      <c r="Q137" s="164" t="s">
        <v>530</v>
      </c>
      <c r="R137" s="168"/>
    </row>
    <row r="138" spans="1:18" hidden="1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6">
        <v>0</v>
      </c>
      <c r="H138" s="156">
        <v>4436.3599999999997</v>
      </c>
      <c r="I138" s="156">
        <f t="shared" si="16"/>
        <v>-4436.3599999999997</v>
      </c>
      <c r="J138" s="42">
        <f>IFERROR(G138/VLOOKUP(A138,RESUME!$G$3:$I$10,3,FALSE),0)</f>
        <v>0</v>
      </c>
      <c r="K138" s="156">
        <f t="shared" si="20"/>
        <v>0</v>
      </c>
      <c r="L138" s="156">
        <f t="shared" si="21"/>
        <v>0</v>
      </c>
      <c r="M138" s="147">
        <f t="shared" si="17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8"/>
        <v>1</v>
      </c>
      <c r="P138" s="39" t="str">
        <f t="shared" si="19"/>
        <v>OVER</v>
      </c>
      <c r="Q138" s="152" t="s">
        <v>530</v>
      </c>
      <c r="R138" s="168"/>
    </row>
    <row r="139" spans="1:18" hidden="1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7">
        <v>0</v>
      </c>
      <c r="H139" s="157"/>
      <c r="I139" s="157">
        <f t="shared" si="16"/>
        <v>0</v>
      </c>
      <c r="J139" s="42">
        <f>IFERROR(G139/VLOOKUP(A139,RESUME!$G$3:$I$10,3,FALSE),0)</f>
        <v>0</v>
      </c>
      <c r="K139" s="157">
        <f t="shared" si="20"/>
        <v>0</v>
      </c>
      <c r="L139" s="157">
        <f t="shared" si="21"/>
        <v>0</v>
      </c>
      <c r="M139" s="149">
        <f t="shared" si="17"/>
        <v>0</v>
      </c>
      <c r="N139" s="43" t="str">
        <f>_xlfn.IFNA(VLOOKUP(A139&amp;"-"&amp;B139&amp;"-"&amp;D139,Ref_Account!$A:$F,6,FALSE),"ACCOUNT TIDAK DITEMUKAN")</f>
        <v>1204.815110</v>
      </c>
      <c r="O139" s="40">
        <f t="shared" si="18"/>
        <v>1</v>
      </c>
      <c r="P139" s="40" t="str">
        <f t="shared" si="19"/>
        <v>OVER</v>
      </c>
      <c r="Q139" s="164" t="s">
        <v>530</v>
      </c>
      <c r="R139" s="168"/>
    </row>
    <row r="140" spans="1:18" hidden="1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6">
        <v>754.58</v>
      </c>
      <c r="H140" s="156">
        <v>729.12999999999988</v>
      </c>
      <c r="I140" s="156">
        <f t="shared" si="16"/>
        <v>25.450000000000159</v>
      </c>
      <c r="J140" s="42">
        <f>IFERROR(G140/VLOOKUP(A140,RESUME!$G$3:$I$10,3,FALSE),0)</f>
        <v>7.2339723863154848E-2</v>
      </c>
      <c r="K140" s="156">
        <f t="shared" si="20"/>
        <v>603.6640000000001</v>
      </c>
      <c r="L140" s="156">
        <f t="shared" si="21"/>
        <v>754.58</v>
      </c>
      <c r="M140" s="147">
        <f t="shared" si="17"/>
        <v>7.4864713881830955E-2</v>
      </c>
      <c r="N140" s="41" t="str">
        <f>_xlfn.IFNA(VLOOKUP(A140&amp;"-"&amp;B140&amp;"-"&amp;D140,Ref_Account!$A:$F,6,FALSE),"ACCOUNT TIDAK DITEMUKAN")</f>
        <v>1204.631100</v>
      </c>
      <c r="O140" s="39">
        <f t="shared" si="18"/>
        <v>3</v>
      </c>
      <c r="P140" s="39" t="str">
        <f t="shared" si="19"/>
        <v>OK</v>
      </c>
      <c r="Q140" s="152" t="s">
        <v>530</v>
      </c>
      <c r="R140" s="168"/>
    </row>
    <row r="141" spans="1:18" hidden="1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7">
        <v>0</v>
      </c>
      <c r="H141" s="157">
        <v>529.23</v>
      </c>
      <c r="I141" s="157">
        <f t="shared" si="16"/>
        <v>-529.23</v>
      </c>
      <c r="J141" s="42">
        <f>IFERROR(G141/VLOOKUP(A141,RESUME!$G$3:$I$10,3,FALSE),0)</f>
        <v>0</v>
      </c>
      <c r="K141" s="157">
        <f t="shared" si="20"/>
        <v>0</v>
      </c>
      <c r="L141" s="157">
        <f t="shared" si="21"/>
        <v>0</v>
      </c>
      <c r="M141" s="149">
        <f t="shared" si="17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8"/>
        <v>1</v>
      </c>
      <c r="P141" s="40" t="str">
        <f t="shared" si="19"/>
        <v>OVER</v>
      </c>
      <c r="Q141" s="164" t="s">
        <v>530</v>
      </c>
      <c r="R141" s="168"/>
    </row>
    <row r="142" spans="1:18" hidden="1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6">
        <v>0</v>
      </c>
      <c r="H142" s="156">
        <v>2872.63</v>
      </c>
      <c r="I142" s="156">
        <f t="shared" si="16"/>
        <v>-2872.63</v>
      </c>
      <c r="J142" s="42">
        <f>IFERROR(G142/VLOOKUP(A142,RESUME!$G$3:$I$10,3,FALSE),0)</f>
        <v>0</v>
      </c>
      <c r="K142" s="156">
        <f t="shared" si="20"/>
        <v>0</v>
      </c>
      <c r="L142" s="156">
        <f t="shared" si="21"/>
        <v>0</v>
      </c>
      <c r="M142" s="147">
        <f t="shared" si="17"/>
        <v>0</v>
      </c>
      <c r="N142" s="41" t="str">
        <f>_xlfn.IFNA(VLOOKUP(A142&amp;"-"&amp;B142&amp;"-"&amp;D142,Ref_Account!$A:$F,6,FALSE),"ACCOUNT TIDAK DITEMUKAN")</f>
        <v>1204.812100</v>
      </c>
      <c r="O142" s="39">
        <f t="shared" si="18"/>
        <v>1</v>
      </c>
      <c r="P142" s="39" t="str">
        <f t="shared" si="19"/>
        <v>OVER</v>
      </c>
      <c r="Q142" s="152" t="s">
        <v>530</v>
      </c>
      <c r="R142" s="168"/>
    </row>
    <row r="143" spans="1:18" hidden="1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7">
        <v>0</v>
      </c>
      <c r="H143" s="157">
        <v>5107.6000000000004</v>
      </c>
      <c r="I143" s="157">
        <f t="shared" si="16"/>
        <v>-5107.6000000000004</v>
      </c>
      <c r="J143" s="42">
        <f>IFERROR(G143/VLOOKUP(A143,RESUME!$G$3:$I$10,3,FALSE),0)</f>
        <v>0</v>
      </c>
      <c r="K143" s="157">
        <f t="shared" si="20"/>
        <v>0</v>
      </c>
      <c r="L143" s="157">
        <f t="shared" si="21"/>
        <v>0</v>
      </c>
      <c r="M143" s="149">
        <f t="shared" si="17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8"/>
        <v>1</v>
      </c>
      <c r="P143" s="40" t="str">
        <f t="shared" si="19"/>
        <v>OVER</v>
      </c>
      <c r="Q143" s="164" t="s">
        <v>530</v>
      </c>
      <c r="R143" s="168"/>
    </row>
    <row r="144" spans="1:18" hidden="1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6">
        <v>0</v>
      </c>
      <c r="H144" s="156">
        <v>436.66</v>
      </c>
      <c r="I144" s="156">
        <f t="shared" si="16"/>
        <v>-436.66</v>
      </c>
      <c r="J144" s="42">
        <f>IFERROR(G144/VLOOKUP(A144,RESUME!$G$3:$I$10,3,FALSE),0)</f>
        <v>0</v>
      </c>
      <c r="K144" s="156">
        <f t="shared" si="20"/>
        <v>0</v>
      </c>
      <c r="L144" s="156">
        <f t="shared" si="21"/>
        <v>0</v>
      </c>
      <c r="M144" s="147">
        <f t="shared" si="17"/>
        <v>0</v>
      </c>
      <c r="N144" s="41" t="str">
        <f>_xlfn.IFNA(VLOOKUP(A144&amp;"-"&amp;B144&amp;"-"&amp;D144,Ref_Account!$A:$F,6,FALSE),"ACCOUNT TIDAK DITEMUKAN")</f>
        <v>1204.630300</v>
      </c>
      <c r="O144" s="39">
        <f t="shared" si="18"/>
        <v>1</v>
      </c>
      <c r="P144" s="39" t="str">
        <f t="shared" si="19"/>
        <v>OVER</v>
      </c>
      <c r="Q144" s="152" t="s">
        <v>530</v>
      </c>
      <c r="R144" s="168"/>
    </row>
    <row r="145" spans="1:18" hidden="1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7">
        <v>0</v>
      </c>
      <c r="H145" s="157">
        <v>160.61000000000001</v>
      </c>
      <c r="I145" s="157">
        <f t="shared" si="16"/>
        <v>-160.61000000000001</v>
      </c>
      <c r="J145" s="42">
        <f>IFERROR(G145/VLOOKUP(A145,RESUME!$G$3:$I$10,3,FALSE),0)</f>
        <v>0</v>
      </c>
      <c r="K145" s="157">
        <f t="shared" si="20"/>
        <v>0</v>
      </c>
      <c r="L145" s="157">
        <f t="shared" si="21"/>
        <v>0</v>
      </c>
      <c r="M145" s="149">
        <f t="shared" si="17"/>
        <v>0</v>
      </c>
      <c r="N145" s="43" t="str">
        <f>_xlfn.IFNA(VLOOKUP(A145&amp;"-"&amp;B145&amp;"-"&amp;D145,Ref_Account!$A:$F,6,FALSE),"ACCOUNT TIDAK DITEMUKAN")</f>
        <v>1204.630200</v>
      </c>
      <c r="O145" s="40">
        <f t="shared" si="18"/>
        <v>1</v>
      </c>
      <c r="P145" s="40" t="str">
        <f t="shared" si="19"/>
        <v>OVER</v>
      </c>
      <c r="Q145" s="164" t="s">
        <v>530</v>
      </c>
      <c r="R145" s="168"/>
    </row>
    <row r="146" spans="1:18" hidden="1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6">
        <v>0</v>
      </c>
      <c r="H146" s="156">
        <v>901.66</v>
      </c>
      <c r="I146" s="156">
        <f t="shared" si="16"/>
        <v>-901.66</v>
      </c>
      <c r="J146" s="42">
        <f>IFERROR(G146/VLOOKUP(A146,RESUME!$G$3:$I$10,3,FALSE),0)</f>
        <v>0</v>
      </c>
      <c r="K146" s="156">
        <f t="shared" si="20"/>
        <v>0</v>
      </c>
      <c r="L146" s="156">
        <f t="shared" si="21"/>
        <v>0</v>
      </c>
      <c r="M146" s="147">
        <f t="shared" si="17"/>
        <v>0</v>
      </c>
      <c r="N146" s="41" t="str">
        <f>_xlfn.IFNA(VLOOKUP(A146&amp;"-"&amp;B146&amp;"-"&amp;D146,Ref_Account!$A:$F,6,FALSE),"ACCOUNT TIDAK DITEMUKAN")</f>
        <v>1204.630110</v>
      </c>
      <c r="O146" s="39">
        <f t="shared" si="18"/>
        <v>1</v>
      </c>
      <c r="P146" s="39" t="str">
        <f t="shared" si="19"/>
        <v>OVER</v>
      </c>
      <c r="Q146" s="152" t="s">
        <v>530</v>
      </c>
      <c r="R146" s="168"/>
    </row>
    <row r="147" spans="1:18" hidden="1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7">
        <v>300</v>
      </c>
      <c r="H147" s="157"/>
      <c r="I147" s="157">
        <f t="shared" si="16"/>
        <v>300</v>
      </c>
      <c r="J147" s="42">
        <f>IFERROR(G147/VLOOKUP(A147,RESUME!$G$3:$I$10,3,FALSE),0)</f>
        <v>2.8760260222834493E-2</v>
      </c>
      <c r="K147" s="157">
        <f t="shared" si="20"/>
        <v>240</v>
      </c>
      <c r="L147" s="157">
        <f t="shared" si="21"/>
        <v>300</v>
      </c>
      <c r="M147" s="149">
        <f t="shared" si="17"/>
        <v>3.5950325278543117E-2</v>
      </c>
      <c r="N147" s="43" t="str">
        <f>_xlfn.IFNA(VLOOKUP(A147&amp;"-"&amp;B147&amp;"-"&amp;D147,Ref_Account!$A:$F,6,FALSE),"ACCOUNT TIDAK DITEMUKAN")</f>
        <v>1204.630770</v>
      </c>
      <c r="O147" s="40">
        <f t="shared" si="18"/>
        <v>1</v>
      </c>
      <c r="P147" s="40" t="str">
        <f t="shared" si="19"/>
        <v>OK</v>
      </c>
      <c r="Q147" s="164" t="s">
        <v>530</v>
      </c>
      <c r="R147" s="168"/>
    </row>
    <row r="148" spans="1:18" hidden="1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6">
        <v>300</v>
      </c>
      <c r="H148" s="156"/>
      <c r="I148" s="156">
        <f t="shared" si="16"/>
        <v>300</v>
      </c>
      <c r="J148" s="42">
        <f>IFERROR(G148/VLOOKUP(A148,RESUME!$G$3:$I$10,3,FALSE),0)</f>
        <v>2.8760260222834493E-2</v>
      </c>
      <c r="K148" s="156">
        <f t="shared" si="20"/>
        <v>240</v>
      </c>
      <c r="L148" s="156">
        <f t="shared" si="21"/>
        <v>300</v>
      </c>
      <c r="M148" s="147">
        <f t="shared" si="17"/>
        <v>3.5950325278543117E-2</v>
      </c>
      <c r="N148" s="41" t="str">
        <f>_xlfn.IFNA(VLOOKUP(A148&amp;"-"&amp;B148&amp;"-"&amp;D148,Ref_Account!$A:$F,6,FALSE),"ACCOUNT TIDAK DITEMUKAN")</f>
        <v>1204.630750</v>
      </c>
      <c r="O148" s="39">
        <f t="shared" si="18"/>
        <v>1</v>
      </c>
      <c r="P148" s="39" t="str">
        <f t="shared" si="19"/>
        <v>OK</v>
      </c>
      <c r="Q148" s="152" t="s">
        <v>530</v>
      </c>
      <c r="R148" s="168"/>
    </row>
    <row r="149" spans="1:18" hidden="1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7">
        <v>300</v>
      </c>
      <c r="H149" s="157">
        <v>538.35</v>
      </c>
      <c r="I149" s="157">
        <f t="shared" si="16"/>
        <v>-238.35000000000002</v>
      </c>
      <c r="J149" s="42">
        <f>IFERROR(G149/VLOOKUP(A149,RESUME!$G$3:$I$10,3,FALSE),0)</f>
        <v>2.8760260222834493E-2</v>
      </c>
      <c r="K149" s="157">
        <f t="shared" si="20"/>
        <v>240</v>
      </c>
      <c r="L149" s="157">
        <f t="shared" si="21"/>
        <v>300</v>
      </c>
      <c r="M149" s="149">
        <f t="shared" si="17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8"/>
        <v>1</v>
      </c>
      <c r="P149" s="40" t="str">
        <f t="shared" si="19"/>
        <v>OVER</v>
      </c>
      <c r="Q149" s="164" t="s">
        <v>530</v>
      </c>
      <c r="R149" s="168"/>
    </row>
    <row r="150" spans="1:18" hidden="1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6">
        <v>300</v>
      </c>
      <c r="H150" s="156">
        <v>120.24</v>
      </c>
      <c r="I150" s="156">
        <f t="shared" si="16"/>
        <v>179.76</v>
      </c>
      <c r="J150" s="42">
        <f>IFERROR(G150/VLOOKUP(A150,RESUME!$G$3:$I$10,3,FALSE),0)</f>
        <v>2.8760260222834493E-2</v>
      </c>
      <c r="K150" s="156">
        <f t="shared" si="20"/>
        <v>240</v>
      </c>
      <c r="L150" s="156">
        <f t="shared" si="21"/>
        <v>300</v>
      </c>
      <c r="M150" s="147">
        <f t="shared" si="17"/>
        <v>3.5950325278543117E-2</v>
      </c>
      <c r="N150" s="41" t="str">
        <f>_xlfn.IFNA(VLOOKUP(A150&amp;"-"&amp;B150&amp;"-"&amp;D150,Ref_Account!$A:$F,6,FALSE),"ACCOUNT TIDAK DITEMUKAN")</f>
        <v>1204.630730</v>
      </c>
      <c r="O150" s="39">
        <f t="shared" si="18"/>
        <v>1</v>
      </c>
      <c r="P150" s="39" t="str">
        <f t="shared" si="19"/>
        <v>OK</v>
      </c>
      <c r="Q150" s="152" t="s">
        <v>530</v>
      </c>
      <c r="R150" s="168"/>
    </row>
    <row r="151" spans="1:18" hidden="1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7">
        <v>2346.61</v>
      </c>
      <c r="H151" s="157">
        <v>4045.48</v>
      </c>
      <c r="I151" s="157">
        <f t="shared" si="16"/>
        <v>-1698.87</v>
      </c>
      <c r="J151" s="42">
        <f>IFERROR(G151/VLOOKUP(A151,RESUME!$G$3:$I$10,3,FALSE),0)</f>
        <v>0.22496371413835217</v>
      </c>
      <c r="K151" s="157">
        <f t="shared" si="20"/>
        <v>1877.2880000000002</v>
      </c>
      <c r="L151" s="157">
        <f t="shared" si="21"/>
        <v>2346.61</v>
      </c>
      <c r="M151" s="149">
        <f t="shared" si="17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8"/>
        <v>1</v>
      </c>
      <c r="P151" s="40" t="str">
        <f t="shared" si="19"/>
        <v>OVER</v>
      </c>
      <c r="Q151" s="164" t="s">
        <v>530</v>
      </c>
      <c r="R151" s="168"/>
    </row>
    <row r="152" spans="1:18" hidden="1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6">
        <v>483</v>
      </c>
      <c r="H152" s="156"/>
      <c r="I152" s="156">
        <f t="shared" si="16"/>
        <v>483</v>
      </c>
      <c r="J152" s="42">
        <f>IFERROR(G152/VLOOKUP(A152,RESUME!$G$3:$I$10,3,FALSE),0)</f>
        <v>4.6304018958763536E-2</v>
      </c>
      <c r="K152" s="156">
        <f t="shared" si="20"/>
        <v>386.40000000000003</v>
      </c>
      <c r="L152" s="156">
        <f t="shared" si="21"/>
        <v>483</v>
      </c>
      <c r="M152" s="147">
        <f t="shared" si="17"/>
        <v>5.7880023698454422E-2</v>
      </c>
      <c r="N152" s="41" t="str">
        <f>_xlfn.IFNA(VLOOKUP(A152&amp;"-"&amp;B152&amp;"-"&amp;D152,Ref_Account!$A:$F,6,FALSE),"ACCOUNT TIDAK DITEMUKAN")</f>
        <v>1204.631140</v>
      </c>
      <c r="O152" s="39">
        <f t="shared" si="18"/>
        <v>1</v>
      </c>
      <c r="P152" s="39" t="str">
        <f t="shared" si="19"/>
        <v>OK</v>
      </c>
      <c r="Q152" s="152" t="s">
        <v>530</v>
      </c>
      <c r="R152" s="168"/>
    </row>
    <row r="153" spans="1:18" hidden="1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7">
        <v>0</v>
      </c>
      <c r="H153" s="157">
        <v>474.59</v>
      </c>
      <c r="I153" s="157">
        <f t="shared" si="16"/>
        <v>-474.59</v>
      </c>
      <c r="J153" s="42">
        <f>IFERROR(G153/VLOOKUP(A153,RESUME!$G$3:$I$10,3,FALSE),0)</f>
        <v>0</v>
      </c>
      <c r="K153" s="157">
        <f t="shared" si="20"/>
        <v>0</v>
      </c>
      <c r="L153" s="157">
        <f t="shared" si="21"/>
        <v>0</v>
      </c>
      <c r="M153" s="149">
        <f t="shared" si="17"/>
        <v>0</v>
      </c>
      <c r="N153" s="43" t="str">
        <f>_xlfn.IFNA(VLOOKUP(A153&amp;"-"&amp;B153&amp;"-"&amp;D153,Ref_Account!$A:$F,6,FALSE),"ACCOUNT TIDAK DITEMUKAN")</f>
        <v>1201.816120</v>
      </c>
      <c r="O153" s="40">
        <f t="shared" si="18"/>
        <v>1</v>
      </c>
      <c r="P153" s="40" t="str">
        <f t="shared" si="19"/>
        <v>OVER</v>
      </c>
      <c r="Q153" s="164" t="s">
        <v>563</v>
      </c>
      <c r="R153" s="168"/>
    </row>
    <row r="154" spans="1:18" hidden="1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6">
        <v>0</v>
      </c>
      <c r="H154" s="156">
        <v>680.2</v>
      </c>
      <c r="I154" s="156">
        <f t="shared" si="16"/>
        <v>-680.2</v>
      </c>
      <c r="J154" s="42">
        <f>IFERROR(G154/VLOOKUP(A154,RESUME!$G$3:$I$10,3,FALSE),0)</f>
        <v>0</v>
      </c>
      <c r="K154" s="156">
        <f t="shared" si="20"/>
        <v>0</v>
      </c>
      <c r="L154" s="156">
        <f t="shared" si="21"/>
        <v>0</v>
      </c>
      <c r="M154" s="147">
        <f t="shared" si="17"/>
        <v>0</v>
      </c>
      <c r="N154" s="41" t="str">
        <f>_xlfn.IFNA(VLOOKUP(A154&amp;"-"&amp;B154&amp;"-"&amp;D154,Ref_Account!$A:$F,6,FALSE),"ACCOUNT TIDAK DITEMUKAN")</f>
        <v>1201.920410</v>
      </c>
      <c r="O154" s="39">
        <f t="shared" si="18"/>
        <v>1</v>
      </c>
      <c r="P154" s="39" t="str">
        <f t="shared" si="19"/>
        <v>OVER</v>
      </c>
      <c r="Q154" s="152" t="s">
        <v>564</v>
      </c>
      <c r="R154" s="168"/>
    </row>
    <row r="155" spans="1:18" hidden="1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7">
        <v>0</v>
      </c>
      <c r="H155" s="157">
        <v>4859.3</v>
      </c>
      <c r="I155" s="157">
        <f t="shared" si="16"/>
        <v>-4859.3</v>
      </c>
      <c r="J155" s="42">
        <f>IFERROR(G155/VLOOKUP(A155,RESUME!$G$3:$I$10,3,FALSE),0)</f>
        <v>0</v>
      </c>
      <c r="K155" s="157">
        <f t="shared" si="20"/>
        <v>0</v>
      </c>
      <c r="L155" s="157">
        <f t="shared" si="21"/>
        <v>0</v>
      </c>
      <c r="M155" s="149">
        <f t="shared" si="17"/>
        <v>0</v>
      </c>
      <c r="N155" s="43" t="str">
        <f>_xlfn.IFNA(VLOOKUP(A155&amp;"-"&amp;B155&amp;"-"&amp;D155,Ref_Account!$A:$F,6,FALSE),"ACCOUNT TIDAK DITEMUKAN")</f>
        <v>1201.920120</v>
      </c>
      <c r="O155" s="40">
        <f t="shared" si="18"/>
        <v>1</v>
      </c>
      <c r="P155" s="40" t="str">
        <f t="shared" si="19"/>
        <v>OVER</v>
      </c>
      <c r="Q155" s="164" t="s">
        <v>565</v>
      </c>
      <c r="R155" s="168"/>
    </row>
    <row r="156" spans="1:18" hidden="1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6">
        <v>743.73</v>
      </c>
      <c r="H156" s="156"/>
      <c r="I156" s="156">
        <f t="shared" si="16"/>
        <v>743.73</v>
      </c>
      <c r="J156" s="42">
        <f>IFERROR(G156/VLOOKUP(A156,RESUME!$G$3:$I$10,3,FALSE),0)</f>
        <v>1</v>
      </c>
      <c r="K156" s="156">
        <f t="shared" si="20"/>
        <v>594.98400000000004</v>
      </c>
      <c r="L156" s="156">
        <f t="shared" si="21"/>
        <v>743.73</v>
      </c>
      <c r="M156" s="147">
        <f t="shared" si="17"/>
        <v>1.25</v>
      </c>
      <c r="N156" s="41" t="str">
        <f>_xlfn.IFNA(VLOOKUP(A156&amp;"-"&amp;B156&amp;"-"&amp;D156,Ref_Account!$A:$F,6,FALSE),"ACCOUNT TIDAK DITEMUKAN")</f>
        <v>1201.805120</v>
      </c>
      <c r="O156" s="39">
        <f t="shared" si="18"/>
        <v>1</v>
      </c>
      <c r="P156" s="39" t="str">
        <f t="shared" si="19"/>
        <v>OK</v>
      </c>
      <c r="Q156" s="152" t="s">
        <v>530</v>
      </c>
      <c r="R156" s="168"/>
    </row>
    <row r="157" spans="1:18" hidden="1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7">
        <v>0</v>
      </c>
      <c r="H157" s="157">
        <v>171.94</v>
      </c>
      <c r="I157" s="157">
        <f t="shared" si="16"/>
        <v>-171.94</v>
      </c>
      <c r="J157" s="42">
        <f>IFERROR(G157/VLOOKUP(A157,RESUME!$G$3:$I$10,3,FALSE),0)</f>
        <v>0</v>
      </c>
      <c r="K157" s="157">
        <f t="shared" si="20"/>
        <v>0</v>
      </c>
      <c r="L157" s="157">
        <f t="shared" si="21"/>
        <v>0</v>
      </c>
      <c r="M157" s="149">
        <f t="shared" si="17"/>
        <v>0</v>
      </c>
      <c r="N157" s="43" t="str">
        <f>_xlfn.IFNA(VLOOKUP(A157&amp;"-"&amp;B157&amp;"-"&amp;D157,Ref_Account!$A:$F,6,FALSE),"ACCOUNT TIDAK DITEMUKAN")</f>
        <v>1201.920700</v>
      </c>
      <c r="O157" s="40">
        <f t="shared" si="18"/>
        <v>1</v>
      </c>
      <c r="P157" s="40" t="str">
        <f t="shared" si="19"/>
        <v>OVER</v>
      </c>
      <c r="Q157" s="164" t="s">
        <v>566</v>
      </c>
      <c r="R157" s="168"/>
    </row>
    <row r="158" spans="1:18" hidden="1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6">
        <v>0</v>
      </c>
      <c r="H158" s="156">
        <v>91.72</v>
      </c>
      <c r="I158" s="156">
        <f t="shared" si="16"/>
        <v>-91.72</v>
      </c>
      <c r="J158" s="42">
        <f>IFERROR(G158/VLOOKUP(A158,RESUME!$G$3:$I$10,3,FALSE),0)</f>
        <v>0</v>
      </c>
      <c r="K158" s="156">
        <f t="shared" si="20"/>
        <v>0</v>
      </c>
      <c r="L158" s="156">
        <f t="shared" si="21"/>
        <v>0</v>
      </c>
      <c r="M158" s="147">
        <f t="shared" si="17"/>
        <v>0</v>
      </c>
      <c r="N158" s="41" t="str">
        <f>_xlfn.IFNA(VLOOKUP(A158&amp;"-"&amp;B158&amp;"-"&amp;D158,Ref_Account!$A:$F,6,FALSE),"ACCOUNT TIDAK DITEMUKAN")</f>
        <v>1206.920700</v>
      </c>
      <c r="O158" s="39">
        <f t="shared" si="18"/>
        <v>1</v>
      </c>
      <c r="P158" s="39" t="str">
        <f t="shared" si="19"/>
        <v>OVER</v>
      </c>
      <c r="Q158" s="152" t="s">
        <v>567</v>
      </c>
      <c r="R158" s="168"/>
    </row>
    <row r="159" spans="1:18" hidden="1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7">
        <v>0</v>
      </c>
      <c r="H159" s="157">
        <v>212.18</v>
      </c>
      <c r="I159" s="157">
        <f t="shared" si="16"/>
        <v>-212.18</v>
      </c>
      <c r="J159" s="42">
        <f>IFERROR(G159/VLOOKUP(A159,RESUME!$G$3:$I$10,3,FALSE),0)</f>
        <v>0</v>
      </c>
      <c r="K159" s="157">
        <f t="shared" si="20"/>
        <v>0</v>
      </c>
      <c r="L159" s="157">
        <f t="shared" si="21"/>
        <v>0</v>
      </c>
      <c r="M159" s="149">
        <f t="shared" si="17"/>
        <v>0</v>
      </c>
      <c r="N159" s="43" t="str">
        <f>_xlfn.IFNA(VLOOKUP(A159&amp;"-"&amp;B159&amp;"-"&amp;D159,Ref_Account!$A:$F,6,FALSE),"ACCOUNT TIDAK DITEMUKAN")</f>
        <v>1205.920700</v>
      </c>
      <c r="O159" s="40">
        <f t="shared" si="18"/>
        <v>1</v>
      </c>
      <c r="P159" s="40" t="str">
        <f t="shared" si="19"/>
        <v>OVER</v>
      </c>
      <c r="Q159" s="164" t="s">
        <v>568</v>
      </c>
      <c r="R159" s="168"/>
    </row>
    <row r="160" spans="1:18" hidden="1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6">
        <v>0</v>
      </c>
      <c r="H160" s="156">
        <v>187.31</v>
      </c>
      <c r="I160" s="156">
        <f t="shared" si="16"/>
        <v>-187.31</v>
      </c>
      <c r="J160" s="42">
        <f>IFERROR(G160/VLOOKUP(A160,RESUME!$G$3:$I$10,3,FALSE),0)</f>
        <v>0</v>
      </c>
      <c r="K160" s="156">
        <f t="shared" si="20"/>
        <v>0</v>
      </c>
      <c r="L160" s="156">
        <f t="shared" si="21"/>
        <v>0</v>
      </c>
      <c r="M160" s="147">
        <f t="shared" si="17"/>
        <v>0</v>
      </c>
      <c r="N160" s="41" t="str">
        <f>_xlfn.IFNA(VLOOKUP(A160&amp;"-"&amp;B160&amp;"-"&amp;D160,Ref_Account!$A:$F,6,FALSE),"ACCOUNT TIDAK DITEMUKAN")</f>
        <v>1204.920700</v>
      </c>
      <c r="O160" s="39">
        <f t="shared" si="18"/>
        <v>1</v>
      </c>
      <c r="P160" s="39" t="str">
        <f t="shared" si="19"/>
        <v>OVER</v>
      </c>
      <c r="Q160" s="152" t="s">
        <v>569</v>
      </c>
      <c r="R160" s="168"/>
    </row>
    <row r="161" spans="1:18" hidden="1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7">
        <v>0</v>
      </c>
      <c r="H161" s="157"/>
      <c r="I161" s="157">
        <f t="shared" si="16"/>
        <v>0</v>
      </c>
      <c r="J161" s="42">
        <f>IFERROR(G161/VLOOKUP(A161,RESUME!$G$3:$I$10,3,FALSE),0)</f>
        <v>0</v>
      </c>
      <c r="K161" s="157">
        <f t="shared" si="20"/>
        <v>0</v>
      </c>
      <c r="L161" s="157">
        <f t="shared" si="21"/>
        <v>0</v>
      </c>
      <c r="M161" s="149">
        <f t="shared" si="17"/>
        <v>0</v>
      </c>
      <c r="N161" s="43" t="str">
        <f>_xlfn.IFNA(VLOOKUP(A161&amp;"-"&amp;B161&amp;"-"&amp;D161,Ref_Account!$A:$F,6,FALSE),"ACCOUNT TIDAK DITEMUKAN")</f>
        <v>1201.801110</v>
      </c>
      <c r="O161" s="40">
        <f t="shared" si="18"/>
        <v>1</v>
      </c>
      <c r="P161" s="40" t="str">
        <f t="shared" si="19"/>
        <v>OVER</v>
      </c>
      <c r="Q161" s="164" t="s">
        <v>570</v>
      </c>
      <c r="R161" s="168"/>
    </row>
    <row r="162" spans="1:18" hidden="1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6">
        <v>0</v>
      </c>
      <c r="H162" s="156"/>
      <c r="I162" s="156">
        <f t="shared" si="16"/>
        <v>0</v>
      </c>
      <c r="J162" s="42">
        <f>IFERROR(G162/VLOOKUP(A162,RESUME!$G$3:$I$10,3,FALSE),0)</f>
        <v>0</v>
      </c>
      <c r="K162" s="156">
        <f t="shared" si="20"/>
        <v>0</v>
      </c>
      <c r="L162" s="156">
        <f t="shared" si="21"/>
        <v>0</v>
      </c>
      <c r="M162" s="147">
        <f t="shared" si="17"/>
        <v>0</v>
      </c>
      <c r="N162" s="41" t="str">
        <f>_xlfn.IFNA(VLOOKUP(A162&amp;"-"&amp;B162&amp;"-"&amp;D162,Ref_Account!$A:$F,6,FALSE),"ACCOUNT TIDAK DITEMUKAN")</f>
        <v>1204.801110</v>
      </c>
      <c r="O162" s="39">
        <f t="shared" si="18"/>
        <v>1</v>
      </c>
      <c r="P162" s="39" t="str">
        <f t="shared" si="19"/>
        <v>OVER</v>
      </c>
      <c r="Q162" s="152" t="s">
        <v>571</v>
      </c>
      <c r="R162" s="168"/>
    </row>
  </sheetData>
  <autoFilter ref="A5:Q162" xr:uid="{00000000-0001-0000-0000-000000000000}">
    <filterColumn colId="0">
      <filters>
        <filter val="Asep Ridwan Subiana"/>
      </filters>
    </filterColumn>
  </autoFilter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hyperlinks>
    <hyperlink ref="B6" r:id="rId1" xr:uid="{3380DD40-5418-4C15-94CC-710491A120BE}"/>
    <hyperlink ref="B7" r:id="rId2" xr:uid="{A1CA42FE-337D-4853-8F18-5EB1CCCDDB84}"/>
    <hyperlink ref="B8" r:id="rId3" xr:uid="{0D8BE01E-8930-4112-B1FA-E06FA291AD0A}"/>
    <hyperlink ref="B9" r:id="rId4" xr:uid="{AC5EB697-FF26-4F0A-8F58-D345694112B7}"/>
    <hyperlink ref="B10" r:id="rId5" xr:uid="{C33772A6-A2B9-4052-AE22-08CCE8617EE8}"/>
    <hyperlink ref="B11" r:id="rId6" xr:uid="{AB1304FF-65F7-449A-B12B-AEF763E46673}"/>
    <hyperlink ref="B12" r:id="rId7" xr:uid="{65AF8CC3-4478-476C-9C33-25172286A08B}"/>
    <hyperlink ref="B13" r:id="rId8" xr:uid="{B1C62272-68E9-4BD6-89C4-C9F964FF697A}"/>
    <hyperlink ref="B14" r:id="rId9" xr:uid="{A43CF310-83C0-4757-98EB-4FFC7C6D51B4}"/>
    <hyperlink ref="B15" r:id="rId10" xr:uid="{3C1B9FDA-39E7-48FA-A761-D977EDF202EA}"/>
    <hyperlink ref="B16" r:id="rId11" xr:uid="{B820A9CB-7831-47CE-BADA-80FE2BB1CD4D}"/>
    <hyperlink ref="B17" r:id="rId12" xr:uid="{5BA5D378-8EC1-4D75-A601-EE63EBBD8E47}"/>
    <hyperlink ref="B18" r:id="rId13" xr:uid="{4AD5A170-3B72-451E-8820-9B3399CA0584}"/>
    <hyperlink ref="B19" r:id="rId14" xr:uid="{964A0DEA-907B-4291-A332-9E14C805E6E4}"/>
    <hyperlink ref="B20" r:id="rId15" xr:uid="{440ED2FC-A65C-4B13-A8AF-362813F897F8}"/>
    <hyperlink ref="B21" r:id="rId16" xr:uid="{094464AF-0D66-4803-852A-EA7ED5BC7B91}"/>
    <hyperlink ref="B22" r:id="rId17" xr:uid="{991735A9-DCA3-4636-8666-4A3A4306B2AF}"/>
    <hyperlink ref="B23" r:id="rId18" xr:uid="{233B0318-BC4C-47E1-8E9D-222CBA8A8876}"/>
    <hyperlink ref="B24" r:id="rId19" xr:uid="{B67D137D-BE41-447A-AAEB-06DE52F0A25E}"/>
    <hyperlink ref="B25" r:id="rId20" xr:uid="{A321D5B5-2AAA-41CF-8BF6-019018F6A274}"/>
    <hyperlink ref="B26" r:id="rId21" xr:uid="{3C55D7FD-CC12-4DEA-8AFA-A602BCC82352}"/>
    <hyperlink ref="B27" r:id="rId22" xr:uid="{9845024B-38CE-420F-AC38-A8B41D78999B}"/>
    <hyperlink ref="B28" r:id="rId23" xr:uid="{BDDB21BB-A40D-456C-A4A5-70968F2A14F6}"/>
    <hyperlink ref="B29" r:id="rId24" xr:uid="{D628648A-0C45-4D3C-B7E6-CB625AB92518}"/>
    <hyperlink ref="B30" r:id="rId25" xr:uid="{50A47F42-38B4-467E-B337-60FBA03F3A2D}"/>
    <hyperlink ref="B31" r:id="rId26" xr:uid="{42880F3C-5840-4102-AADA-5CF1F707BBB0}"/>
    <hyperlink ref="B32" r:id="rId27" xr:uid="{C87DF3BF-475E-4812-9512-9429107DCCBA}"/>
    <hyperlink ref="B33" r:id="rId28" xr:uid="{16536B77-7125-4D98-9B4A-53DCA288575E}"/>
    <hyperlink ref="B34" r:id="rId29" xr:uid="{89C665B6-97A4-4E86-AFE1-EAFE823EDDB8}"/>
    <hyperlink ref="B35" r:id="rId30" xr:uid="{037B5A1B-6E9C-4189-A98B-AF3D8557B22B}"/>
    <hyperlink ref="B36" r:id="rId31" xr:uid="{43789300-210C-4DD5-9F67-6569DF6D0F15}"/>
    <hyperlink ref="B37" r:id="rId32" xr:uid="{FAF3D1B4-F98F-4252-B036-9E6DDDF3CFDE}"/>
    <hyperlink ref="B38" r:id="rId33" xr:uid="{B6D50E91-C71B-47AB-AA56-6A67289F98EA}"/>
    <hyperlink ref="B39" r:id="rId34" xr:uid="{E04583E2-AAD5-4ADD-A90F-C7F80FEB69B7}"/>
    <hyperlink ref="B40" r:id="rId35" xr:uid="{63579392-4A08-4A42-9A2D-48A85BDAEE41}"/>
    <hyperlink ref="B41" r:id="rId36" xr:uid="{9311CE98-B0AB-4D91-A8BF-592C3D083D98}"/>
    <hyperlink ref="B42" r:id="rId37" xr:uid="{B011C284-6D57-4EDA-95FF-D7C238EB651F}"/>
    <hyperlink ref="B43" r:id="rId38" xr:uid="{586A6071-C6BB-4B48-A0B7-79A8C49C0B87}"/>
    <hyperlink ref="B44" r:id="rId39" xr:uid="{7057D45D-15AA-4B0C-A3DC-80EBDA680217}"/>
    <hyperlink ref="B45" r:id="rId40" xr:uid="{9613A0D3-10EA-4E4C-9E69-C8000EBC70D9}"/>
    <hyperlink ref="B46" r:id="rId41" xr:uid="{FD638F94-EA77-4168-96FB-DE17A875F1F8}"/>
    <hyperlink ref="B47" r:id="rId42" xr:uid="{CBD89B53-27DF-41A4-8A8C-F447915314EA}"/>
    <hyperlink ref="B48" r:id="rId43" xr:uid="{53CD03E6-1C6D-4635-A7C2-E17080AA29D8}"/>
    <hyperlink ref="B49" r:id="rId44" xr:uid="{64A4BDB9-AF45-4EC0-947B-1C81FD5B0F14}"/>
    <hyperlink ref="B50" r:id="rId45" xr:uid="{2CB3E7A7-678D-4A3B-A2C0-DD2DCEF39A51}"/>
    <hyperlink ref="B51" r:id="rId46" xr:uid="{B6DB1E18-F84B-46F5-BCA5-8EEE92DEF085}"/>
    <hyperlink ref="B52" r:id="rId47" xr:uid="{2DBFE97C-E1DF-4406-81B9-0E20D6EF0B8D}"/>
    <hyperlink ref="B53" r:id="rId48" xr:uid="{B621E770-9CC9-45DB-BDF7-9DEAA332DF1E}"/>
    <hyperlink ref="B54" r:id="rId49" xr:uid="{49BE3831-434B-45A7-AC54-4B5FF90158D1}"/>
    <hyperlink ref="B55" r:id="rId50" xr:uid="{849B5FD5-8021-40EF-BF81-51537967ABAC}"/>
    <hyperlink ref="B56" r:id="rId51" xr:uid="{709E8FBE-B37F-4C93-9315-6001CFB72D05}"/>
    <hyperlink ref="B57" r:id="rId52" xr:uid="{CDC48454-BB07-4A97-9426-9BE63C94AE2E}"/>
    <hyperlink ref="B58" r:id="rId53" xr:uid="{9395EC79-7959-4AF5-AA92-D1589E8A948D}"/>
    <hyperlink ref="B59" r:id="rId54" xr:uid="{29816A57-DB64-4DA3-B822-D1A83FC810C2}"/>
    <hyperlink ref="B60" r:id="rId55" xr:uid="{FD56398C-B85B-48A2-AACF-6C8B0D46AC2F}"/>
    <hyperlink ref="B61" r:id="rId56" xr:uid="{DE44A81F-0C74-41C6-AEEE-B9C64E503162}"/>
    <hyperlink ref="B62" r:id="rId57" xr:uid="{52D3DC65-0149-4D69-92BB-9A8E1341D5C4}"/>
    <hyperlink ref="B63" r:id="rId58" xr:uid="{551F8307-D6D4-4F89-A56E-F29136F73128}"/>
    <hyperlink ref="B64" r:id="rId59" xr:uid="{68ADEFF9-E75D-437D-BA4C-DF872F45320C}"/>
    <hyperlink ref="B65" r:id="rId60" xr:uid="{0CC2756E-0AC6-48A4-99D2-5061698E31C0}"/>
    <hyperlink ref="B66" r:id="rId61" xr:uid="{7380A840-0CF5-48A3-97F1-005924A4E109}"/>
    <hyperlink ref="B67" r:id="rId62" xr:uid="{3E3B6CC8-6A5A-407A-9CEF-A3FB56A48E03}"/>
    <hyperlink ref="B68" r:id="rId63" xr:uid="{BC7D0198-52C5-4C25-A546-E6665E20111B}"/>
    <hyperlink ref="B69" r:id="rId64" xr:uid="{2C7E8F0D-430D-4246-900E-2C6CDAD0BC2C}"/>
    <hyperlink ref="B70" r:id="rId65" xr:uid="{A67DC3F9-BF53-4195-8796-77CEAD7A705B}"/>
    <hyperlink ref="B71" r:id="rId66" xr:uid="{25E9A92D-CD23-4BA8-8B03-079DC02E705E}"/>
    <hyperlink ref="B72" r:id="rId67" xr:uid="{2A30E04A-E7EF-459E-9370-03CB6A327641}"/>
    <hyperlink ref="B73" r:id="rId68" xr:uid="{BD9D9297-7968-4DD5-834A-D59EBAEBDC01}"/>
    <hyperlink ref="B74" r:id="rId69" xr:uid="{BA8F5F55-601E-478C-9416-382B414CA72B}"/>
    <hyperlink ref="B75" r:id="rId70" xr:uid="{FA28E7E3-9FB8-4336-8D24-81BAC0B2616F}"/>
    <hyperlink ref="B76" r:id="rId71" xr:uid="{0C39286B-FF63-450E-88AE-D03B77EC272A}"/>
    <hyperlink ref="B77" r:id="rId72" xr:uid="{2E831E80-C781-42AE-B317-9E316F65914C}"/>
    <hyperlink ref="B78" r:id="rId73" xr:uid="{0A5A2441-B3F2-451A-AE86-A1B66DEC2F06}"/>
    <hyperlink ref="B79" r:id="rId74" xr:uid="{5AF6AC40-0FC0-4A0A-9EC6-14F1368272C1}"/>
    <hyperlink ref="B80" r:id="rId75" xr:uid="{7F0D4890-E5FE-4A08-888B-C3C50C9712F0}"/>
    <hyperlink ref="B81" r:id="rId76" xr:uid="{DF501B08-93C6-4AD5-B8FF-CFC4E7ECD279}"/>
    <hyperlink ref="B82" r:id="rId77" xr:uid="{77642FD4-BE78-4817-939C-1C64598C498E}"/>
    <hyperlink ref="B83" r:id="rId78" xr:uid="{CDBF1BCC-FEA0-469F-BB8C-BCFD7D03F2FE}"/>
    <hyperlink ref="B84" r:id="rId79" xr:uid="{13D471EF-AECF-4B14-836F-2E9145B5DE2A}"/>
    <hyperlink ref="B85" r:id="rId80" xr:uid="{AFCE3695-D0E3-4C0C-A137-6E392AB30323}"/>
    <hyperlink ref="B86" r:id="rId81" xr:uid="{EEBD5104-1622-4A90-BFA1-1D5D01498EFB}"/>
    <hyperlink ref="B87" r:id="rId82" xr:uid="{420E90B9-518A-4702-AF36-215D05B861AA}"/>
    <hyperlink ref="B88" r:id="rId83" xr:uid="{806039B7-182C-441D-85BF-D2CB2E358BD5}"/>
    <hyperlink ref="B89" r:id="rId84" xr:uid="{3DC058BC-1CEC-4CFB-9F1C-2CD9F2E011A5}"/>
    <hyperlink ref="B90" r:id="rId85" xr:uid="{2B8714EC-04A4-4806-A431-26BA983DF363}"/>
    <hyperlink ref="B91" r:id="rId86" xr:uid="{2BD15CAA-344A-4A26-850C-3D74EAC22820}"/>
    <hyperlink ref="B92" r:id="rId87" xr:uid="{3C04C4A8-EA16-4446-90F7-FC480C2BB1B3}"/>
    <hyperlink ref="B93" r:id="rId88" xr:uid="{C2C4B860-319B-43B9-A265-31D6AAE16D79}"/>
    <hyperlink ref="B94" r:id="rId89" xr:uid="{1F29E640-417F-41A7-8358-A84220ADAE12}"/>
    <hyperlink ref="B95" r:id="rId90" xr:uid="{F3B43C58-19B4-4C4C-B3B1-25983D86C10F}"/>
    <hyperlink ref="B96" r:id="rId91" xr:uid="{D591056B-3AE4-4508-BAFB-84AD3770FF63}"/>
    <hyperlink ref="B97" r:id="rId92" xr:uid="{04496E01-1F72-4BEF-864F-50DE05824D41}"/>
    <hyperlink ref="B98" r:id="rId93" xr:uid="{81A517A8-D32E-4D3B-BB4D-0BCE3ECC65B3}"/>
    <hyperlink ref="B99" r:id="rId94" xr:uid="{77A38561-0E41-4593-81BE-B908C7C42005}"/>
    <hyperlink ref="B100" r:id="rId95" xr:uid="{DC1B2AA6-0D68-4E72-916B-314F3FA59C28}"/>
    <hyperlink ref="B101" r:id="rId96" xr:uid="{069452DA-422F-4BD3-B301-8E77680AC3C2}"/>
    <hyperlink ref="B102" r:id="rId97" xr:uid="{1625400B-6DAC-4C55-BDC1-C667602D36DD}"/>
    <hyperlink ref="B103" r:id="rId98" xr:uid="{DDEEA395-C2AB-4807-964E-6A70339AC48F}"/>
    <hyperlink ref="B104" r:id="rId99" xr:uid="{55BF8399-7423-4BF9-947B-5A65484184B5}"/>
    <hyperlink ref="B105" r:id="rId100" xr:uid="{910AB6F9-9611-4711-9ADB-9E672B86674E}"/>
    <hyperlink ref="B106" r:id="rId101" xr:uid="{DD2DE371-287C-49E1-865E-5851C0CB7104}"/>
    <hyperlink ref="B107" r:id="rId102" xr:uid="{38E947D4-2A0A-4916-9593-932C74A764C2}"/>
    <hyperlink ref="B108" r:id="rId103" xr:uid="{55E0AE7C-A4C8-45A9-9A14-E8586BBCD287}"/>
    <hyperlink ref="B109" r:id="rId104" xr:uid="{F6502CA7-E7DC-487C-9FCA-A811C73F41B3}"/>
    <hyperlink ref="B110" r:id="rId105" xr:uid="{3E55675F-7EDD-4FAA-B356-5DF0AE2034F1}"/>
    <hyperlink ref="B111" r:id="rId106" xr:uid="{3816A1C6-1C32-4A9E-A436-687E6D38032E}"/>
    <hyperlink ref="B112" r:id="rId107" xr:uid="{41BFFAA3-8CA6-42E7-A4A8-31C40A3CC6F3}"/>
    <hyperlink ref="B113" r:id="rId108" xr:uid="{09AEA055-377E-4152-941E-C4AC203EEEEB}"/>
    <hyperlink ref="B114" r:id="rId109" xr:uid="{2BD40575-FA8D-4E3C-882C-0DD52EEBB998}"/>
    <hyperlink ref="B115" r:id="rId110" xr:uid="{37A64D5F-95F0-4F0D-A587-05B701DCE917}"/>
    <hyperlink ref="B116" r:id="rId111" xr:uid="{7661AA27-A748-43DE-A3F6-F1C2ABA337B1}"/>
    <hyperlink ref="B117" r:id="rId112" xr:uid="{E2DF3E91-030E-4822-9A2A-ECDBF77EC25E}"/>
    <hyperlink ref="B118" r:id="rId113" xr:uid="{FA0FF27D-17F7-422C-ADD5-3622B366DD51}"/>
    <hyperlink ref="B119" r:id="rId114" xr:uid="{1973B828-DFBC-4C32-BC5F-A7378CAB90D1}"/>
    <hyperlink ref="B120" r:id="rId115" xr:uid="{AD7F572A-34BF-4D33-9FD7-F26DB18ED1C9}"/>
    <hyperlink ref="B121" r:id="rId116" xr:uid="{704D10BE-5A4C-4A35-AF45-67EC53E7D3A1}"/>
    <hyperlink ref="B122" r:id="rId117" xr:uid="{609EDB9D-26E3-4CE2-8FEE-0A2A953C2BDF}"/>
    <hyperlink ref="B123" r:id="rId118" xr:uid="{588CC727-0149-4C26-A739-9B936768BF84}"/>
    <hyperlink ref="B124" r:id="rId119" xr:uid="{2C8D808F-A76D-4741-BD78-2E533570D057}"/>
    <hyperlink ref="B125" r:id="rId120" xr:uid="{946404D4-FBF8-41C8-A9AA-7FBD083861B6}"/>
    <hyperlink ref="B126" r:id="rId121" xr:uid="{BB3C3BD6-802E-4F48-A119-6A77078A634C}"/>
    <hyperlink ref="B127" r:id="rId122" xr:uid="{89F7613A-C201-4894-ADAF-8364E059F54E}"/>
    <hyperlink ref="B128" r:id="rId123" xr:uid="{F18EA850-007E-402F-99A8-D279C5D32306}"/>
    <hyperlink ref="B129" r:id="rId124" xr:uid="{A89911F5-ABBA-4F2A-A88D-D1243A012BB9}"/>
    <hyperlink ref="B130" r:id="rId125" xr:uid="{C7096B97-6D1A-48CA-AF22-A77935265EC8}"/>
    <hyperlink ref="B131" r:id="rId126" xr:uid="{03BF1060-1613-4E1C-9A83-9B7141579960}"/>
    <hyperlink ref="B132" r:id="rId127" xr:uid="{339BD7EA-9C77-4F78-BA6A-A3EC5B4B7F98}"/>
    <hyperlink ref="B133" r:id="rId128" xr:uid="{18A511FB-A498-4A8C-BDE1-0CCED2C82783}"/>
    <hyperlink ref="B134" r:id="rId129" xr:uid="{2EA37BFD-2D75-4704-A959-A12137CF3E88}"/>
    <hyperlink ref="B135" r:id="rId130" xr:uid="{AEC77F4C-037F-476F-96CB-14662634FEED}"/>
    <hyperlink ref="B136" r:id="rId131" xr:uid="{6FD39EBE-0D9F-4AD9-B4A6-1053F24AF9BA}"/>
    <hyperlink ref="B137" r:id="rId132" xr:uid="{AA7E13E6-028F-45F0-B6E6-22E256238ECA}"/>
    <hyperlink ref="B138" r:id="rId133" xr:uid="{FEAEC051-9D72-4ECD-A9BE-30F9D8CF09AA}"/>
    <hyperlink ref="B139" r:id="rId134" xr:uid="{A7026355-A534-4A1F-94D0-D9C1747785AD}"/>
    <hyperlink ref="B140" r:id="rId135" xr:uid="{C4516D67-CA64-4F6E-B6B3-4ED88B35A5B7}"/>
    <hyperlink ref="B141" r:id="rId136" xr:uid="{345FEE5C-BF67-4A43-8BCB-BDD6EC45ECEB}"/>
    <hyperlink ref="B142" r:id="rId137" xr:uid="{04F4A208-EE68-4508-A801-0049A07FFE2C}"/>
    <hyperlink ref="B143" r:id="rId138" xr:uid="{8F361220-BF0A-4F15-8F6E-897086A98DB1}"/>
    <hyperlink ref="B144" r:id="rId139" xr:uid="{26537646-0728-4A56-8543-D87A10CA0CA8}"/>
    <hyperlink ref="B145" r:id="rId140" xr:uid="{203111A0-5D06-4D51-AB51-EEE145353B97}"/>
    <hyperlink ref="B146" r:id="rId141" xr:uid="{7583DCD4-4C13-4239-975A-7E8A87286FCB}"/>
    <hyperlink ref="B147" r:id="rId142" xr:uid="{1585E717-94FB-44DA-99CD-EB1FA3D5FEC0}"/>
    <hyperlink ref="B148" r:id="rId143" xr:uid="{4586AFA4-4F8A-4A11-A90A-F23450A54D22}"/>
    <hyperlink ref="B149" r:id="rId144" xr:uid="{1687D883-6AE7-4F08-8165-278444C87450}"/>
    <hyperlink ref="B150" r:id="rId145" xr:uid="{8BD1EC00-701A-4B67-A53D-C7CA4CF72252}"/>
    <hyperlink ref="B151" r:id="rId146" xr:uid="{7138E9EB-DF74-45B3-9398-E01311ADE616}"/>
    <hyperlink ref="B152" r:id="rId147" xr:uid="{F11FD40A-B677-446C-801C-BABC5F10BA24}"/>
    <hyperlink ref="B153" r:id="rId148" xr:uid="{BE0D1425-F9BE-4787-9E3F-0180FB58FF87}"/>
    <hyperlink ref="B154" r:id="rId149" xr:uid="{4B4D583A-5F3B-41D5-9CE3-34989E6CD7FC}"/>
    <hyperlink ref="B155" r:id="rId150" xr:uid="{42295265-6906-4614-87C5-6BA638429F45}"/>
    <hyperlink ref="B156" r:id="rId151" xr:uid="{7C5C863E-0C60-450F-AB27-B9FDA5BF916E}"/>
    <hyperlink ref="B157" r:id="rId152" xr:uid="{84059087-5987-4DD2-B811-4E76B57C7A13}"/>
    <hyperlink ref="B158" r:id="rId153" xr:uid="{DBCB17FA-9044-4192-AB0B-8CFD6CD6BB2A}"/>
    <hyperlink ref="B159" r:id="rId154" xr:uid="{49F05445-AFAE-4084-B98A-3CF3A1BB6B45}"/>
    <hyperlink ref="B160" r:id="rId155" xr:uid="{F1734D5B-61CD-4354-8D2D-C1AD2F66DEB5}"/>
    <hyperlink ref="B161" r:id="rId156" xr:uid="{C3419EA8-3ADA-4F1C-96C4-BC59E0DCBD53}"/>
    <hyperlink ref="B162" r:id="rId157" xr:uid="{73DEAD86-443D-47BA-82ED-3EE6EB0DBF2A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AB162"/>
  <sheetViews>
    <sheetView tabSelected="1" zoomScale="70" zoomScaleNormal="70" workbookViewId="0">
      <pane xSplit="2" ySplit="5" topLeftCell="K6" activePane="bottomRight" state="frozen"/>
      <selection pane="topRight" activeCell="C1" sqref="C1"/>
      <selection pane="bottomLeft" activeCell="A6" sqref="A6"/>
      <selection pane="bottomRight" activeCell="O13" sqref="O13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61" style="55" customWidth="1"/>
    <col min="4" max="4" width="17" style="38" customWidth="1"/>
    <col min="5" max="5" width="17.42578125" style="38" customWidth="1"/>
    <col min="6" max="6" width="21" style="38" customWidth="1"/>
    <col min="7" max="7" width="20.5703125" style="44" bestFit="1" customWidth="1"/>
    <col min="8" max="8" width="22.7109375" style="178" customWidth="1"/>
    <col min="9" max="10" width="14.7109375" style="37" customWidth="1"/>
    <col min="11" max="11" width="14.7109375" style="38" customWidth="1"/>
    <col min="12" max="12" width="14.7109375" style="1" customWidth="1"/>
    <col min="13" max="13" width="19.7109375" style="1" bestFit="1" customWidth="1"/>
    <col min="14" max="14" width="20.140625" style="1" bestFit="1" customWidth="1"/>
    <col min="15" max="18" width="14.7109375" style="1" customWidth="1"/>
    <col min="19" max="19" width="14.5703125" style="1" customWidth="1"/>
    <col min="20" max="20" width="13.7109375" style="1" customWidth="1"/>
    <col min="21" max="21" width="15.7109375" style="1" customWidth="1"/>
    <col min="22" max="22" width="14.85546875" style="1" customWidth="1"/>
    <col min="23" max="26" width="16.28515625" style="1"/>
    <col min="27" max="27" width="30.140625" style="1" customWidth="1"/>
    <col min="28" max="16384" width="16.28515625" style="1"/>
  </cols>
  <sheetData>
    <row r="1" spans="1:28" ht="15.75" customHeight="1">
      <c r="A1" s="208" t="str">
        <f ca="1">"MONTHLY BUDGET TH "&amp;YEAR(TODAY())</f>
        <v>MONTHLY BUDGET TH 2024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</row>
    <row r="2" spans="1:28" ht="28.5" customHeight="1">
      <c r="A2" s="208"/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</row>
    <row r="3" spans="1:28" s="49" customFormat="1" ht="17.25" customHeight="1">
      <c r="A3" s="155" t="str">
        <f>'All Costing'!A3</f>
        <v>Periode : February-2024</v>
      </c>
      <c r="B3" s="51"/>
      <c r="C3" s="51"/>
      <c r="D3" s="45"/>
      <c r="E3" s="45"/>
      <c r="F3" s="45"/>
      <c r="G3" s="46"/>
      <c r="H3" s="172"/>
      <c r="I3" s="47"/>
      <c r="J3" s="47"/>
      <c r="K3" s="45"/>
      <c r="L3" s="51"/>
      <c r="M3" s="51"/>
      <c r="N3" s="51"/>
      <c r="O3" s="51"/>
      <c r="P3" s="51"/>
      <c r="Q3" s="51"/>
    </row>
    <row r="4" spans="1:28" s="49" customFormat="1" ht="16.5" customHeight="1">
      <c r="A4" s="51"/>
      <c r="B4" s="51"/>
      <c r="C4" s="51"/>
      <c r="D4" s="45"/>
      <c r="E4" s="45"/>
      <c r="F4" s="45"/>
      <c r="G4" s="50"/>
      <c r="H4" s="172" t="s">
        <v>209</v>
      </c>
      <c r="I4" s="173"/>
      <c r="J4" s="173"/>
      <c r="K4" s="45"/>
      <c r="L4" s="51"/>
      <c r="M4" s="51"/>
      <c r="N4" s="51"/>
      <c r="O4" s="51"/>
      <c r="P4" s="51"/>
      <c r="Q4" s="51"/>
      <c r="R4" s="49">
        <f>COLUMN()</f>
        <v>18</v>
      </c>
    </row>
    <row r="5" spans="1:28" s="35" customFormat="1" ht="28.5" customHeight="1">
      <c r="A5" s="52" t="s">
        <v>172</v>
      </c>
      <c r="B5" s="165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6" t="s">
        <v>6</v>
      </c>
      <c r="I5" s="166" t="s">
        <v>190</v>
      </c>
      <c r="J5" s="33" t="s">
        <v>7</v>
      </c>
      <c r="K5" s="33" t="s">
        <v>526</v>
      </c>
      <c r="L5" s="144" t="s">
        <v>527</v>
      </c>
      <c r="M5" s="144" t="s">
        <v>8</v>
      </c>
      <c r="N5" s="34" t="s">
        <v>173</v>
      </c>
      <c r="O5" s="142" t="s">
        <v>314</v>
      </c>
      <c r="P5" s="33" t="s">
        <v>328</v>
      </c>
      <c r="Q5" s="33" t="s">
        <v>528</v>
      </c>
      <c r="R5" s="33" t="s">
        <v>543</v>
      </c>
      <c r="S5" s="33" t="s">
        <v>544</v>
      </c>
      <c r="T5" s="33" t="s">
        <v>545</v>
      </c>
      <c r="U5" s="33" t="s">
        <v>546</v>
      </c>
      <c r="V5" s="33" t="s">
        <v>547</v>
      </c>
      <c r="AA5" s="35" t="str">
        <f t="shared" ref="AA5" si="0">A5&amp;"-"&amp;B5&amp;"-"&amp;D5&amp;"-"&amp;E5&amp;"-"&amp;N5</f>
        <v>PIC (MANAGER)-CATEGORY-FACTORY-PIC-2-Account Ledger</v>
      </c>
      <c r="AB5" s="35">
        <f>ROW()</f>
        <v>5</v>
      </c>
    </row>
    <row r="6" spans="1:28">
      <c r="A6" s="55" t="s">
        <v>9</v>
      </c>
      <c r="B6" t="s">
        <v>16</v>
      </c>
      <c r="C6" s="55" t="s">
        <v>17</v>
      </c>
      <c r="D6" s="38" t="s">
        <v>14</v>
      </c>
      <c r="E6" s="38" t="s">
        <v>19</v>
      </c>
      <c r="F6" s="179"/>
      <c r="G6" s="174">
        <v>326</v>
      </c>
      <c r="H6" s="175">
        <v>394.88</v>
      </c>
      <c r="I6" s="175">
        <v>-68.88</v>
      </c>
      <c r="J6" s="176">
        <v>4.8013365978494729E-3</v>
      </c>
      <c r="K6" s="38">
        <v>260.8</v>
      </c>
      <c r="L6" s="1">
        <v>326</v>
      </c>
      <c r="M6" s="1">
        <v>0</v>
      </c>
      <c r="N6" s="1" t="s">
        <v>192</v>
      </c>
      <c r="O6" s="1">
        <v>1</v>
      </c>
      <c r="P6" s="1" t="s">
        <v>548</v>
      </c>
      <c r="S6" s="1">
        <v>394.88</v>
      </c>
      <c r="AA6" s="1" t="str">
        <f t="shared" ref="AA6:AA32" si="1">A6&amp;"-"&amp;B6&amp;"-"&amp;D6&amp;"-"&amp;E6&amp;"-"&amp;N6</f>
        <v>Asep Ridwan Subiana-INSURANCE EXPENSES-MAJA-2-Yanto-1204.816110</v>
      </c>
      <c r="AB6" s="1">
        <f>ROW()</f>
        <v>6</v>
      </c>
    </row>
    <row r="7" spans="1:28">
      <c r="A7" s="55" t="s">
        <v>9</v>
      </c>
      <c r="B7" t="s">
        <v>31</v>
      </c>
      <c r="C7" s="55" t="s">
        <v>32</v>
      </c>
      <c r="D7" s="38" t="s">
        <v>23</v>
      </c>
      <c r="E7" s="38" t="s">
        <v>33</v>
      </c>
      <c r="F7" s="180"/>
      <c r="G7" s="177">
        <v>1000</v>
      </c>
      <c r="H7" s="178">
        <v>2590.0100000000002</v>
      </c>
      <c r="I7" s="176">
        <v>-1590.0100000000002</v>
      </c>
      <c r="J7" s="176">
        <v>1.4728026373771389E-2</v>
      </c>
      <c r="K7" s="38">
        <v>800</v>
      </c>
      <c r="L7" s="1">
        <v>1000</v>
      </c>
      <c r="M7" s="1">
        <v>0</v>
      </c>
      <c r="N7" s="1" t="s">
        <v>312</v>
      </c>
      <c r="O7" s="1">
        <v>1</v>
      </c>
      <c r="P7" s="1" t="s">
        <v>548</v>
      </c>
      <c r="S7" s="1">
        <v>2590.0100000000002</v>
      </c>
      <c r="AA7" s="1" t="str">
        <f t="shared" si="1"/>
        <v>Asep Ridwan Subiana-TRUCKING EXPENSES-MAJA-1-Hilman-1205.720100</v>
      </c>
      <c r="AB7" s="1">
        <f>ROW()</f>
        <v>7</v>
      </c>
    </row>
    <row r="8" spans="1:28">
      <c r="A8" s="55" t="s">
        <v>65</v>
      </c>
      <c r="B8" t="s">
        <v>100</v>
      </c>
      <c r="C8" s="55" t="s">
        <v>101</v>
      </c>
      <c r="D8" s="38" t="s">
        <v>12</v>
      </c>
      <c r="E8" s="38" t="s">
        <v>73</v>
      </c>
      <c r="F8" s="180"/>
      <c r="G8" s="177">
        <v>400</v>
      </c>
      <c r="H8" s="178">
        <v>1156.6500000000001</v>
      </c>
      <c r="I8" s="176">
        <v>-756.65000000000009</v>
      </c>
      <c r="J8" s="176">
        <v>1.5403354157384542E-2</v>
      </c>
      <c r="K8" s="38">
        <v>320</v>
      </c>
      <c r="L8" s="1">
        <v>400</v>
      </c>
      <c r="M8" s="1">
        <v>0</v>
      </c>
      <c r="N8" s="1" t="s">
        <v>231</v>
      </c>
      <c r="O8" s="1">
        <v>1</v>
      </c>
      <c r="P8" s="1" t="s">
        <v>548</v>
      </c>
      <c r="R8" s="1">
        <v>335.38</v>
      </c>
      <c r="S8" s="1">
        <v>542.84</v>
      </c>
      <c r="T8" s="1">
        <v>278.43</v>
      </c>
      <c r="AA8" s="1" t="str">
        <f t="shared" si="1"/>
        <v>Owi Wijaya-MAINT.&amp;REP.BUILDING-CLN-Rini-1201.630710</v>
      </c>
      <c r="AB8" s="1">
        <f>ROW()</f>
        <v>8</v>
      </c>
    </row>
    <row r="9" spans="1:28">
      <c r="A9" s="55" t="s">
        <v>65</v>
      </c>
      <c r="B9" t="s">
        <v>106</v>
      </c>
      <c r="C9" s="55" t="s">
        <v>107</v>
      </c>
      <c r="D9" s="38" t="s">
        <v>12</v>
      </c>
      <c r="E9" s="38" t="s">
        <v>80</v>
      </c>
      <c r="F9" s="180"/>
      <c r="G9" s="177">
        <v>100</v>
      </c>
      <c r="H9" s="178">
        <v>510.61</v>
      </c>
      <c r="I9" s="176">
        <v>-410.61</v>
      </c>
      <c r="J9" s="176">
        <v>3.8508385393461356E-3</v>
      </c>
      <c r="K9" s="38">
        <v>80</v>
      </c>
      <c r="L9" s="1">
        <v>100</v>
      </c>
      <c r="M9" s="1">
        <v>0</v>
      </c>
      <c r="N9" s="1" t="s">
        <v>234</v>
      </c>
      <c r="O9" s="1">
        <v>1</v>
      </c>
      <c r="P9" s="1" t="s">
        <v>548</v>
      </c>
      <c r="S9" s="1">
        <v>459.99</v>
      </c>
      <c r="T9" s="1">
        <v>50.62</v>
      </c>
      <c r="AA9" s="1" t="str">
        <f t="shared" si="1"/>
        <v>Owi Wijaya-MAINT.&amp;REP.MACHINERIE-CLN-Wenti-1201.630720</v>
      </c>
      <c r="AB9" s="1">
        <f>ROW()</f>
        <v>9</v>
      </c>
    </row>
    <row r="10" spans="1:28">
      <c r="A10" s="55" t="s">
        <v>65</v>
      </c>
      <c r="B10" t="s">
        <v>114</v>
      </c>
      <c r="C10" s="55" t="s">
        <v>115</v>
      </c>
      <c r="D10" s="38" t="s">
        <v>12</v>
      </c>
      <c r="E10" s="38" t="s">
        <v>73</v>
      </c>
      <c r="F10" s="180"/>
      <c r="G10" s="177">
        <v>328.75</v>
      </c>
      <c r="H10" s="178">
        <v>854.27</v>
      </c>
      <c r="I10" s="176">
        <v>-525.52</v>
      </c>
      <c r="J10" s="176">
        <v>1.2659631698100421E-2</v>
      </c>
      <c r="K10" s="38">
        <v>263</v>
      </c>
      <c r="L10" s="1">
        <v>328.75</v>
      </c>
      <c r="M10" s="1">
        <v>0</v>
      </c>
      <c r="N10" s="1" t="s">
        <v>238</v>
      </c>
      <c r="O10" s="1">
        <v>1</v>
      </c>
      <c r="P10" s="1" t="s">
        <v>548</v>
      </c>
      <c r="S10" s="1">
        <v>132216380.35010999</v>
      </c>
      <c r="AA10" s="1" t="str">
        <f t="shared" si="1"/>
        <v>Owi Wijaya-MAINT.OFFICEEQUIP.-CLN-Rini-1201.810110</v>
      </c>
      <c r="AB10" s="1">
        <f>ROW()</f>
        <v>10</v>
      </c>
    </row>
    <row r="11" spans="1:28">
      <c r="A11" s="55" t="s">
        <v>65</v>
      </c>
      <c r="B11" t="s">
        <v>100</v>
      </c>
      <c r="C11" s="55" t="s">
        <v>101</v>
      </c>
      <c r="D11" s="38" t="s">
        <v>12</v>
      </c>
      <c r="E11" s="38" t="s">
        <v>73</v>
      </c>
      <c r="F11" s="180"/>
      <c r="G11" s="177">
        <v>400</v>
      </c>
      <c r="H11" s="178">
        <v>1156.6500000000001</v>
      </c>
      <c r="I11" s="176">
        <v>-756.65000000000009</v>
      </c>
      <c r="J11" s="176">
        <v>1.5403354157384542E-2</v>
      </c>
      <c r="K11" s="38">
        <v>320</v>
      </c>
      <c r="L11" s="1">
        <v>400</v>
      </c>
      <c r="M11" s="1">
        <v>0</v>
      </c>
      <c r="N11" s="1" t="s">
        <v>231</v>
      </c>
      <c r="O11" s="1">
        <v>1</v>
      </c>
      <c r="P11" s="1" t="s">
        <v>548</v>
      </c>
      <c r="R11" s="1">
        <v>335.38</v>
      </c>
      <c r="S11" s="1">
        <v>542.84</v>
      </c>
      <c r="T11" s="1">
        <v>278.43</v>
      </c>
      <c r="AA11" s="1" t="str">
        <f t="shared" si="1"/>
        <v>Owi Wijaya-MAINT.&amp;REP.BUILDING-CLN-Rini-1201.630710</v>
      </c>
      <c r="AB11" s="1">
        <f>ROW()</f>
        <v>11</v>
      </c>
    </row>
    <row r="12" spans="1:28">
      <c r="A12" s="55" t="s">
        <v>65</v>
      </c>
      <c r="B12" t="s">
        <v>106</v>
      </c>
      <c r="C12" s="55" t="s">
        <v>107</v>
      </c>
      <c r="D12" s="38" t="s">
        <v>12</v>
      </c>
      <c r="E12" s="38" t="s">
        <v>80</v>
      </c>
      <c r="F12" s="180"/>
      <c r="G12" s="177">
        <v>100</v>
      </c>
      <c r="H12" s="178">
        <v>510.61</v>
      </c>
      <c r="I12" s="176">
        <v>-410.61</v>
      </c>
      <c r="J12" s="176">
        <v>3.8508385393461356E-3</v>
      </c>
      <c r="K12" s="38">
        <v>80</v>
      </c>
      <c r="L12" s="1">
        <v>100</v>
      </c>
      <c r="M12" s="1">
        <v>0</v>
      </c>
      <c r="N12" s="1" t="s">
        <v>234</v>
      </c>
      <c r="O12" s="1">
        <v>1</v>
      </c>
      <c r="P12" s="1" t="s">
        <v>548</v>
      </c>
      <c r="S12" s="1">
        <v>459.99</v>
      </c>
      <c r="T12" s="1">
        <v>50.62</v>
      </c>
      <c r="AA12" s="1" t="str">
        <f t="shared" si="1"/>
        <v>Owi Wijaya-MAINT.&amp;REP.MACHINERIE-CLN-Wenti-1201.630720</v>
      </c>
      <c r="AB12" s="1">
        <f>ROW()</f>
        <v>12</v>
      </c>
    </row>
    <row r="13" spans="1:28">
      <c r="A13" s="55" t="s">
        <v>65</v>
      </c>
      <c r="B13" t="s">
        <v>114</v>
      </c>
      <c r="C13" s="55" t="s">
        <v>115</v>
      </c>
      <c r="D13" s="38" t="s">
        <v>12</v>
      </c>
      <c r="E13" s="38" t="s">
        <v>73</v>
      </c>
      <c r="F13" s="180"/>
      <c r="G13" s="177">
        <v>328.75</v>
      </c>
      <c r="H13" s="178">
        <v>854.27</v>
      </c>
      <c r="I13" s="176">
        <v>-525.52</v>
      </c>
      <c r="J13" s="176">
        <v>1.2659631698100421E-2</v>
      </c>
      <c r="K13" s="38">
        <v>263</v>
      </c>
      <c r="L13" s="1">
        <v>328.75</v>
      </c>
      <c r="M13" s="1">
        <v>0</v>
      </c>
      <c r="N13" s="1" t="s">
        <v>238</v>
      </c>
      <c r="O13" s="1">
        <v>1</v>
      </c>
      <c r="P13" s="1" t="s">
        <v>548</v>
      </c>
      <c r="S13" s="1">
        <v>132216380.35010999</v>
      </c>
      <c r="AA13" s="1" t="str">
        <f t="shared" si="1"/>
        <v>Owi Wijaya-MAINT.OFFICEEQUIP.-CLN-Rini-1201.810110</v>
      </c>
      <c r="AB13" s="1">
        <f>ROW()</f>
        <v>13</v>
      </c>
    </row>
    <row r="14" spans="1:28">
      <c r="A14" s="55" t="s">
        <v>65</v>
      </c>
      <c r="B14" t="s">
        <v>116</v>
      </c>
      <c r="C14" s="55" t="s">
        <v>117</v>
      </c>
      <c r="D14" s="38" t="s">
        <v>12</v>
      </c>
      <c r="E14" s="38" t="s">
        <v>73</v>
      </c>
      <c r="F14" s="180"/>
      <c r="G14" s="177">
        <v>0</v>
      </c>
      <c r="H14" s="178">
        <v>2655.51</v>
      </c>
      <c r="I14" s="176">
        <v>-2655.51</v>
      </c>
      <c r="J14" s="176">
        <v>0</v>
      </c>
      <c r="K14" s="38">
        <v>0</v>
      </c>
      <c r="L14" s="1">
        <v>0</v>
      </c>
      <c r="M14" s="1">
        <v>0</v>
      </c>
      <c r="N14" s="1" t="s">
        <v>239</v>
      </c>
      <c r="O14" s="1">
        <v>1</v>
      </c>
      <c r="P14" s="1" t="s">
        <v>548</v>
      </c>
      <c r="S14" s="1">
        <v>190313210.65013</v>
      </c>
      <c r="AA14" s="1" t="str">
        <f t="shared" si="1"/>
        <v>Owi Wijaya-MEDICAL ALLOWANCE-CLN-Rini-1201.630130</v>
      </c>
      <c r="AB14" s="1">
        <f>ROW()</f>
        <v>14</v>
      </c>
    </row>
    <row r="15" spans="1:28">
      <c r="A15" s="55" t="s">
        <v>65</v>
      </c>
      <c r="B15" t="s">
        <v>118</v>
      </c>
      <c r="C15" s="55" t="s">
        <v>119</v>
      </c>
      <c r="D15" s="38" t="s">
        <v>12</v>
      </c>
      <c r="E15" s="38" t="s">
        <v>120</v>
      </c>
      <c r="F15" s="180"/>
      <c r="G15" s="177">
        <v>0</v>
      </c>
      <c r="H15" s="178">
        <v>367.61</v>
      </c>
      <c r="I15" s="176">
        <v>-367.61</v>
      </c>
      <c r="J15" s="176">
        <v>0</v>
      </c>
      <c r="K15" s="38">
        <v>0</v>
      </c>
      <c r="L15" s="1">
        <v>0</v>
      </c>
      <c r="M15" s="1">
        <v>0</v>
      </c>
      <c r="N15" s="1" t="s">
        <v>240</v>
      </c>
      <c r="O15" s="1">
        <v>1</v>
      </c>
      <c r="P15" s="1" t="s">
        <v>548</v>
      </c>
      <c r="S15" s="1">
        <v>174.79000000000002</v>
      </c>
      <c r="T15" s="1">
        <v>192.82000000000002</v>
      </c>
      <c r="AA15" s="1" t="str">
        <f t="shared" si="1"/>
        <v>Owi Wijaya-OFFICE SUPPLIES EXPENSES-CLN-Rizal-1201.816130</v>
      </c>
      <c r="AB15" s="1">
        <f>ROW()</f>
        <v>15</v>
      </c>
    </row>
    <row r="16" spans="1:28">
      <c r="A16" s="55" t="s">
        <v>65</v>
      </c>
      <c r="B16" t="s">
        <v>118</v>
      </c>
      <c r="C16" s="55" t="s">
        <v>119</v>
      </c>
      <c r="D16" s="38" t="s">
        <v>99</v>
      </c>
      <c r="E16" s="38" t="s">
        <v>120</v>
      </c>
      <c r="F16" s="180"/>
      <c r="G16" s="177">
        <v>0</v>
      </c>
      <c r="H16" s="178">
        <v>562.23</v>
      </c>
      <c r="I16" s="176">
        <v>-562.23</v>
      </c>
      <c r="J16" s="176">
        <v>0</v>
      </c>
      <c r="K16" s="38">
        <v>0</v>
      </c>
      <c r="L16" s="1">
        <v>0</v>
      </c>
      <c r="M16" s="1">
        <v>0</v>
      </c>
      <c r="N16" s="1" t="s">
        <v>206</v>
      </c>
      <c r="O16" s="1">
        <v>1</v>
      </c>
      <c r="P16" s="1" t="s">
        <v>548</v>
      </c>
      <c r="S16" s="1">
        <v>508.13</v>
      </c>
      <c r="T16" s="1">
        <v>54.1</v>
      </c>
      <c r="AA16" s="1" t="str">
        <f t="shared" si="1"/>
        <v>Owi Wijaya-OFFICE SUPPLIES EXPENSES-KALIBENDA-Rizal-1206.816130</v>
      </c>
      <c r="AB16" s="1">
        <f>ROW()</f>
        <v>16</v>
      </c>
    </row>
    <row r="17" spans="1:28">
      <c r="A17" s="55" t="s">
        <v>65</v>
      </c>
      <c r="B17" t="s">
        <v>118</v>
      </c>
      <c r="C17" s="55" t="s">
        <v>119</v>
      </c>
      <c r="D17" s="38" t="s">
        <v>23</v>
      </c>
      <c r="E17" s="38" t="s">
        <v>120</v>
      </c>
      <c r="F17" s="180"/>
      <c r="G17" s="177">
        <v>0</v>
      </c>
      <c r="H17" s="178">
        <v>404.5</v>
      </c>
      <c r="I17" s="176">
        <v>-404.5</v>
      </c>
      <c r="J17" s="176">
        <v>0</v>
      </c>
      <c r="K17" s="38">
        <v>0</v>
      </c>
      <c r="L17" s="1">
        <v>0</v>
      </c>
      <c r="M17" s="1">
        <v>0</v>
      </c>
      <c r="N17" s="1" t="s">
        <v>313</v>
      </c>
      <c r="O17" s="1">
        <v>1</v>
      </c>
      <c r="P17" s="1" t="s">
        <v>548</v>
      </c>
      <c r="S17" s="1">
        <v>341.39</v>
      </c>
      <c r="T17" s="1">
        <v>63.11</v>
      </c>
      <c r="AA17" s="1" t="str">
        <f t="shared" si="1"/>
        <v>Owi Wijaya-OFFICE SUPPLIES EXPENSES-MAJA-1-Rizal-1205.816130</v>
      </c>
      <c r="AB17" s="1">
        <f>ROW()</f>
        <v>17</v>
      </c>
    </row>
    <row r="18" spans="1:28">
      <c r="A18" s="55" t="s">
        <v>65</v>
      </c>
      <c r="B18" t="s">
        <v>118</v>
      </c>
      <c r="C18" s="55" t="s">
        <v>119</v>
      </c>
      <c r="D18" s="38" t="s">
        <v>14</v>
      </c>
      <c r="E18" s="38" t="s">
        <v>120</v>
      </c>
      <c r="F18" s="180"/>
      <c r="G18" s="177">
        <v>0</v>
      </c>
      <c r="H18" s="178">
        <v>353.89</v>
      </c>
      <c r="I18" s="176">
        <v>-353.89</v>
      </c>
      <c r="J18" s="176">
        <v>0</v>
      </c>
      <c r="K18" s="38">
        <v>0</v>
      </c>
      <c r="L18" s="1">
        <v>0</v>
      </c>
      <c r="M18" s="1">
        <v>0</v>
      </c>
      <c r="N18" s="1" t="s">
        <v>207</v>
      </c>
      <c r="O18" s="1">
        <v>1</v>
      </c>
      <c r="P18" s="1" t="s">
        <v>548</v>
      </c>
      <c r="R18" s="1">
        <v>167.31</v>
      </c>
      <c r="S18" s="1">
        <v>107.48</v>
      </c>
      <c r="T18" s="1">
        <v>79.099999999999994</v>
      </c>
      <c r="AA18" s="1" t="str">
        <f t="shared" si="1"/>
        <v>Owi Wijaya-OFFICE SUPPLIES EXPENSES-MAJA-2-Rizal-1204.816130</v>
      </c>
      <c r="AB18" s="1">
        <f>ROW()</f>
        <v>18</v>
      </c>
    </row>
    <row r="19" spans="1:28">
      <c r="A19" s="55" t="s">
        <v>65</v>
      </c>
      <c r="B19" t="s">
        <v>132</v>
      </c>
      <c r="C19" s="55" t="s">
        <v>133</v>
      </c>
      <c r="D19" s="38" t="s">
        <v>12</v>
      </c>
      <c r="E19" s="38" t="s">
        <v>73</v>
      </c>
      <c r="F19" s="180"/>
      <c r="G19" s="177">
        <v>0</v>
      </c>
      <c r="H19" s="178">
        <v>139.61000000000001</v>
      </c>
      <c r="I19" s="176">
        <v>-139.61000000000001</v>
      </c>
      <c r="J19" s="176">
        <v>0</v>
      </c>
      <c r="K19" s="38">
        <v>0</v>
      </c>
      <c r="L19" s="1">
        <v>0</v>
      </c>
      <c r="M19" s="1">
        <v>0</v>
      </c>
      <c r="N19" s="1" t="s">
        <v>246</v>
      </c>
      <c r="O19" s="1">
        <v>1</v>
      </c>
      <c r="P19" s="1" t="s">
        <v>548</v>
      </c>
      <c r="S19" s="1">
        <v>139.61000000000001</v>
      </c>
      <c r="AA19" s="1" t="str">
        <f t="shared" si="1"/>
        <v>Owi Wijaya-TELEPHONE EXPENSES-CLN-Rini-1201.802120</v>
      </c>
      <c r="AB19" s="1">
        <f>ROW()</f>
        <v>19</v>
      </c>
    </row>
    <row r="20" spans="1:28">
      <c r="A20" s="55" t="s">
        <v>65</v>
      </c>
      <c r="B20" t="s">
        <v>136</v>
      </c>
      <c r="C20" s="55" t="s">
        <v>137</v>
      </c>
      <c r="D20" s="38" t="s">
        <v>12</v>
      </c>
      <c r="E20" s="38" t="s">
        <v>73</v>
      </c>
      <c r="F20" s="180"/>
      <c r="G20" s="177">
        <v>0</v>
      </c>
      <c r="H20" s="178">
        <v>73.55</v>
      </c>
      <c r="I20" s="176">
        <v>-73.55</v>
      </c>
      <c r="J20" s="176">
        <v>0</v>
      </c>
      <c r="K20" s="38">
        <v>0</v>
      </c>
      <c r="L20" s="1">
        <v>0</v>
      </c>
      <c r="M20" s="1">
        <v>0</v>
      </c>
      <c r="N20" s="1" t="s">
        <v>248</v>
      </c>
      <c r="O20" s="1">
        <v>1</v>
      </c>
      <c r="P20" s="1" t="s">
        <v>548</v>
      </c>
      <c r="S20" s="1">
        <v>29212362.730450001</v>
      </c>
      <c r="AA20" s="1" t="str">
        <f t="shared" si="1"/>
        <v>Owi Wijaya-WATER-CLN-Rini-1201.630450</v>
      </c>
      <c r="AB20" s="1">
        <f>ROW()</f>
        <v>20</v>
      </c>
    </row>
    <row r="21" spans="1:28">
      <c r="A21" s="55" t="s">
        <v>139</v>
      </c>
      <c r="B21" t="s">
        <v>116</v>
      </c>
      <c r="C21" s="55" t="s">
        <v>117</v>
      </c>
      <c r="D21" s="38" t="s">
        <v>99</v>
      </c>
      <c r="E21" s="38" t="s">
        <v>93</v>
      </c>
      <c r="F21" s="180"/>
      <c r="G21" s="177">
        <v>0</v>
      </c>
      <c r="H21" s="178">
        <v>2181.4299999999998</v>
      </c>
      <c r="I21" s="176">
        <v>-2181.4299999999998</v>
      </c>
      <c r="J21" s="176">
        <v>0</v>
      </c>
      <c r="K21" s="38">
        <v>0</v>
      </c>
      <c r="L21" s="1">
        <v>0</v>
      </c>
      <c r="M21" s="1">
        <v>0</v>
      </c>
      <c r="N21" s="1" t="s">
        <v>251</v>
      </c>
      <c r="O21" s="1">
        <v>1</v>
      </c>
      <c r="P21" s="1" t="s">
        <v>548</v>
      </c>
      <c r="S21" s="1">
        <v>175327931.49013001</v>
      </c>
      <c r="AA21" s="1" t="str">
        <f t="shared" si="1"/>
        <v>Wawan Iskandar-MEDICAL ALLOWANCE-KALIBENDA-Siska-1206.630130</v>
      </c>
      <c r="AB21" s="1">
        <f>ROW()</f>
        <v>21</v>
      </c>
    </row>
    <row r="22" spans="1:28">
      <c r="A22" s="55" t="s">
        <v>139</v>
      </c>
      <c r="B22" t="s">
        <v>78</v>
      </c>
      <c r="C22" s="55" t="s">
        <v>79</v>
      </c>
      <c r="D22" s="38" t="s">
        <v>99</v>
      </c>
      <c r="E22" s="38" t="s">
        <v>141</v>
      </c>
      <c r="F22" s="180"/>
      <c r="G22" s="177">
        <v>0</v>
      </c>
      <c r="H22" s="178">
        <v>84.77</v>
      </c>
      <c r="I22" s="176">
        <v>-84.77</v>
      </c>
      <c r="J22" s="176">
        <v>0</v>
      </c>
      <c r="K22" s="38">
        <v>0</v>
      </c>
      <c r="L22" s="1">
        <v>0</v>
      </c>
      <c r="M22" s="1">
        <v>0</v>
      </c>
      <c r="N22" s="1" t="s">
        <v>256</v>
      </c>
      <c r="O22" s="1">
        <v>1</v>
      </c>
      <c r="P22" s="1" t="s">
        <v>548</v>
      </c>
      <c r="R22" s="1">
        <v>69.88</v>
      </c>
      <c r="S22" s="1">
        <v>14.89</v>
      </c>
      <c r="AA22" s="1" t="str">
        <f t="shared" si="1"/>
        <v>Wawan Iskandar-FACTORY SUPPLIES EXPENSE-KALIBENDA-Alivia-1206.630300</v>
      </c>
      <c r="AB22" s="1">
        <f>ROW()</f>
        <v>22</v>
      </c>
    </row>
    <row r="23" spans="1:28">
      <c r="A23" s="55" t="s">
        <v>139</v>
      </c>
      <c r="B23" t="s">
        <v>68</v>
      </c>
      <c r="C23" s="55" t="s">
        <v>69</v>
      </c>
      <c r="D23" s="38" t="s">
        <v>99</v>
      </c>
      <c r="E23" s="38" t="s">
        <v>142</v>
      </c>
      <c r="G23" s="177">
        <v>0</v>
      </c>
      <c r="H23" s="177">
        <v>3055.97</v>
      </c>
      <c r="I23" s="176">
        <v>-3055.97</v>
      </c>
      <c r="J23" s="176">
        <v>0</v>
      </c>
      <c r="K23" s="38">
        <v>0</v>
      </c>
      <c r="L23" s="1">
        <v>0</v>
      </c>
      <c r="M23" s="1">
        <v>0</v>
      </c>
      <c r="N23" s="1" t="s">
        <v>264</v>
      </c>
      <c r="O23" s="1">
        <v>1</v>
      </c>
      <c r="P23" s="1" t="s">
        <v>548</v>
      </c>
      <c r="S23" s="1">
        <v>1567.14</v>
      </c>
      <c r="T23" s="1">
        <v>1488.83</v>
      </c>
      <c r="AA23" s="1" t="str">
        <f t="shared" si="1"/>
        <v>Wawan Iskandar-BUSINESS TRIP EXPENSES-KALIBENDA-Wawan-1206.812100</v>
      </c>
      <c r="AB23" s="1">
        <f>ROW()</f>
        <v>23</v>
      </c>
    </row>
    <row r="24" spans="1:28">
      <c r="A24" s="55" t="s">
        <v>139</v>
      </c>
      <c r="B24" t="s">
        <v>74</v>
      </c>
      <c r="C24" s="55" t="s">
        <v>75</v>
      </c>
      <c r="D24" s="38" t="s">
        <v>99</v>
      </c>
      <c r="E24" s="38" t="s">
        <v>73</v>
      </c>
      <c r="G24" s="177">
        <v>0</v>
      </c>
      <c r="H24" s="177">
        <v>3779.14</v>
      </c>
      <c r="I24" s="176">
        <v>-3779.14</v>
      </c>
      <c r="J24" s="176">
        <v>0</v>
      </c>
      <c r="K24" s="38">
        <v>0</v>
      </c>
      <c r="L24" s="1">
        <v>0</v>
      </c>
      <c r="M24" s="1">
        <v>0</v>
      </c>
      <c r="N24" s="1" t="s">
        <v>265</v>
      </c>
      <c r="O24" s="1">
        <v>1</v>
      </c>
      <c r="P24" s="1" t="s">
        <v>548</v>
      </c>
      <c r="T24" s="1">
        <v>3779.14</v>
      </c>
      <c r="AA24" s="1" t="str">
        <f t="shared" si="1"/>
        <v>Wawan Iskandar-ELECTRICITY-KALIBENDA-Rini-1206.630400</v>
      </c>
      <c r="AB24" s="1">
        <f>ROW()</f>
        <v>24</v>
      </c>
    </row>
    <row r="25" spans="1:28">
      <c r="A25" s="55" t="s">
        <v>322</v>
      </c>
      <c r="B25" t="s">
        <v>116</v>
      </c>
      <c r="C25" s="55" t="s">
        <v>117</v>
      </c>
      <c r="D25" s="38" t="s">
        <v>23</v>
      </c>
      <c r="E25" s="38" t="s">
        <v>93</v>
      </c>
      <c r="G25" s="177">
        <v>0</v>
      </c>
      <c r="H25" s="177">
        <v>3929.89</v>
      </c>
      <c r="I25" s="176">
        <v>-3929.89</v>
      </c>
      <c r="J25" s="176">
        <v>0</v>
      </c>
      <c r="K25" s="38">
        <v>0</v>
      </c>
      <c r="L25" s="1">
        <v>0</v>
      </c>
      <c r="M25" s="1">
        <v>0</v>
      </c>
      <c r="N25" s="1" t="s">
        <v>274</v>
      </c>
      <c r="O25" s="1">
        <v>1</v>
      </c>
      <c r="P25" s="1" t="s">
        <v>548</v>
      </c>
      <c r="S25" s="1">
        <v>230593579.41012999</v>
      </c>
      <c r="AA25" s="1" t="str">
        <f t="shared" si="1"/>
        <v>Tony Teja-MEDICAL ALLOWANCE-MAJA-1-Siska-1205.630130</v>
      </c>
      <c r="AB25" s="1">
        <f>ROW()</f>
        <v>25</v>
      </c>
    </row>
    <row r="26" spans="1:28">
      <c r="A26" s="55" t="s">
        <v>9</v>
      </c>
      <c r="B26" t="s">
        <v>20</v>
      </c>
      <c r="C26" s="55" t="s">
        <v>21</v>
      </c>
      <c r="D26" s="38" t="s">
        <v>23</v>
      </c>
      <c r="E26" s="38" t="s">
        <v>24</v>
      </c>
      <c r="G26" s="177">
        <v>26.7199999999998</v>
      </c>
      <c r="H26" s="177">
        <v>475.78</v>
      </c>
      <c r="I26" s="176">
        <v>-449.06000000000017</v>
      </c>
      <c r="J26" s="176">
        <v>5.2419569213939525E-4</v>
      </c>
      <c r="K26" s="38">
        <v>21.375999999999841</v>
      </c>
      <c r="L26" s="1">
        <v>26.7199999999998</v>
      </c>
      <c r="M26" s="1">
        <v>0</v>
      </c>
      <c r="N26" s="1" t="s">
        <v>184</v>
      </c>
      <c r="O26" s="1">
        <v>3</v>
      </c>
      <c r="P26" s="1" t="s">
        <v>548</v>
      </c>
      <c r="T26" s="1">
        <v>475.78</v>
      </c>
      <c r="AA26" s="1" t="str">
        <f t="shared" si="1"/>
        <v>Asep Ridwan Subiana-OTHER PRODUCTION COST-MAJA-1-Irna-1205.631100</v>
      </c>
      <c r="AB26" s="1">
        <f>ROW()</f>
        <v>26</v>
      </c>
    </row>
    <row r="27" spans="1:28">
      <c r="A27" s="55" t="s">
        <v>9</v>
      </c>
      <c r="B27" t="s">
        <v>20</v>
      </c>
      <c r="C27" s="55" t="s">
        <v>21</v>
      </c>
      <c r="D27" s="38" t="s">
        <v>14</v>
      </c>
      <c r="E27" s="38" t="s">
        <v>24</v>
      </c>
      <c r="G27" s="177">
        <v>15124.89</v>
      </c>
      <c r="H27" s="177">
        <v>1394454.02</v>
      </c>
      <c r="I27" s="176">
        <v>-1379329.1300000001</v>
      </c>
      <c r="J27" s="176">
        <v>0.29672163855098338</v>
      </c>
      <c r="K27" s="38">
        <v>12099.912</v>
      </c>
      <c r="L27" s="1">
        <v>15124.89</v>
      </c>
      <c r="M27" s="1">
        <v>0</v>
      </c>
      <c r="N27" s="1" t="s">
        <v>183</v>
      </c>
      <c r="O27" s="1">
        <v>3</v>
      </c>
      <c r="P27" s="1" t="s">
        <v>548</v>
      </c>
      <c r="S27" s="1">
        <v>18.11</v>
      </c>
      <c r="T27" s="1">
        <v>1394435.91</v>
      </c>
      <c r="AA27" s="1" t="str">
        <f t="shared" si="1"/>
        <v>Asep Ridwan Subiana-OTHER PRODUCTION COST-MAJA-2-Irna-1204.631100</v>
      </c>
      <c r="AB27" s="1">
        <f>ROW()</f>
        <v>27</v>
      </c>
    </row>
    <row r="28" spans="1:28">
      <c r="A28" s="55" t="s">
        <v>9</v>
      </c>
      <c r="B28" t="s">
        <v>20</v>
      </c>
      <c r="C28" s="55" t="s">
        <v>21</v>
      </c>
      <c r="D28" s="38" t="s">
        <v>23</v>
      </c>
      <c r="E28" s="38" t="s">
        <v>24</v>
      </c>
      <c r="G28" s="177">
        <v>26.7199999999998</v>
      </c>
      <c r="H28" s="177">
        <v>475.78</v>
      </c>
      <c r="I28" s="176">
        <v>-449.06000000000017</v>
      </c>
      <c r="J28" s="176">
        <v>5.2419569213939525E-4</v>
      </c>
      <c r="K28" s="38">
        <v>21.375999999999841</v>
      </c>
      <c r="L28" s="1">
        <v>26.7199999999998</v>
      </c>
      <c r="M28" s="1">
        <v>0</v>
      </c>
      <c r="N28" s="1" t="s">
        <v>184</v>
      </c>
      <c r="O28" s="1">
        <v>3</v>
      </c>
      <c r="P28" s="1" t="s">
        <v>548</v>
      </c>
      <c r="T28" s="1">
        <v>475.78</v>
      </c>
      <c r="AA28" s="1" t="str">
        <f t="shared" si="1"/>
        <v>Asep Ridwan Subiana-OTHER PRODUCTION COST-MAJA-1-Irna-1205.631100</v>
      </c>
      <c r="AB28" s="1">
        <f>ROW()</f>
        <v>28</v>
      </c>
    </row>
    <row r="29" spans="1:28">
      <c r="A29" s="55" t="s">
        <v>9</v>
      </c>
      <c r="B29" t="s">
        <v>20</v>
      </c>
      <c r="C29" s="55" t="s">
        <v>21</v>
      </c>
      <c r="D29" s="38" t="s">
        <v>14</v>
      </c>
      <c r="E29" s="38" t="s">
        <v>24</v>
      </c>
      <c r="G29" s="177">
        <v>15124.89</v>
      </c>
      <c r="H29" s="177">
        <v>1394454.02</v>
      </c>
      <c r="I29" s="176">
        <v>-1379329.1300000001</v>
      </c>
      <c r="J29" s="176">
        <v>0.29672163855098338</v>
      </c>
      <c r="K29" s="38">
        <v>12099.912</v>
      </c>
      <c r="L29" s="1">
        <v>15124.89</v>
      </c>
      <c r="M29" s="1">
        <v>0</v>
      </c>
      <c r="N29" s="1" t="s">
        <v>183</v>
      </c>
      <c r="O29" s="1">
        <v>3</v>
      </c>
      <c r="P29" s="1" t="s">
        <v>548</v>
      </c>
      <c r="S29" s="1">
        <v>18.11</v>
      </c>
      <c r="T29" s="1">
        <v>1394435.91</v>
      </c>
      <c r="AA29" s="1" t="str">
        <f t="shared" si="1"/>
        <v>Asep Ridwan Subiana-OTHER PRODUCTION COST-MAJA-2-Irna-1204.631100</v>
      </c>
      <c r="AB29" s="1">
        <f>ROW()</f>
        <v>29</v>
      </c>
    </row>
    <row r="30" spans="1:28">
      <c r="A30" s="55" t="s">
        <v>9</v>
      </c>
      <c r="B30" t="s">
        <v>20</v>
      </c>
      <c r="C30" s="55" t="s">
        <v>21</v>
      </c>
      <c r="D30" s="38" t="s">
        <v>23</v>
      </c>
      <c r="E30" s="38" t="s">
        <v>24</v>
      </c>
      <c r="G30" s="177">
        <v>26.7199999999998</v>
      </c>
      <c r="H30" s="177">
        <v>475.78</v>
      </c>
      <c r="I30" s="176">
        <v>-449.06000000000017</v>
      </c>
      <c r="J30" s="176">
        <v>5.2419569213939525E-4</v>
      </c>
      <c r="K30" s="38">
        <v>21.375999999999841</v>
      </c>
      <c r="L30" s="1">
        <v>26.7199999999998</v>
      </c>
      <c r="M30" s="1">
        <v>0</v>
      </c>
      <c r="N30" s="1" t="s">
        <v>184</v>
      </c>
      <c r="O30" s="1">
        <v>3</v>
      </c>
      <c r="P30" s="1" t="s">
        <v>548</v>
      </c>
      <c r="T30" s="1">
        <v>475.78</v>
      </c>
      <c r="AA30" s="1" t="str">
        <f t="shared" si="1"/>
        <v>Asep Ridwan Subiana-OTHER PRODUCTION COST-MAJA-1-Irna-1205.631100</v>
      </c>
      <c r="AB30" s="1">
        <f>ROW()</f>
        <v>30</v>
      </c>
    </row>
    <row r="31" spans="1:28">
      <c r="A31" s="55" t="s">
        <v>9</v>
      </c>
      <c r="B31" t="s">
        <v>20</v>
      </c>
      <c r="C31" s="55" t="s">
        <v>21</v>
      </c>
      <c r="D31" s="38" t="s">
        <v>14</v>
      </c>
      <c r="E31" s="38" t="s">
        <v>24</v>
      </c>
      <c r="G31" s="177">
        <v>15124.89</v>
      </c>
      <c r="H31" s="177">
        <v>1394454.02</v>
      </c>
      <c r="I31" s="176">
        <v>-1379329.1300000001</v>
      </c>
      <c r="J31" s="176">
        <v>0.29672163855098338</v>
      </c>
      <c r="K31" s="38">
        <v>12099.912</v>
      </c>
      <c r="L31" s="1">
        <v>15124.89</v>
      </c>
      <c r="M31" s="1">
        <v>0</v>
      </c>
      <c r="N31" s="1" t="s">
        <v>183</v>
      </c>
      <c r="O31" s="1">
        <v>3</v>
      </c>
      <c r="P31" s="1" t="s">
        <v>548</v>
      </c>
      <c r="S31" s="1">
        <v>18.11</v>
      </c>
      <c r="T31" s="1">
        <v>1394435.91</v>
      </c>
      <c r="AA31" s="1" t="str">
        <f t="shared" si="1"/>
        <v>Asep Ridwan Subiana-OTHER PRODUCTION COST-MAJA-2-Irna-1204.631100</v>
      </c>
      <c r="AB31" s="1">
        <f>ROW()</f>
        <v>31</v>
      </c>
    </row>
    <row r="32" spans="1:28">
      <c r="A32" s="55" t="s">
        <v>35</v>
      </c>
      <c r="B32" t="s">
        <v>36</v>
      </c>
      <c r="C32" s="55" t="s">
        <v>40</v>
      </c>
      <c r="D32" s="38" t="s">
        <v>12</v>
      </c>
      <c r="E32" s="38" t="s">
        <v>41</v>
      </c>
      <c r="G32" s="177">
        <v>199.33</v>
      </c>
      <c r="H32" s="177">
        <v>470.59999999999991</v>
      </c>
      <c r="I32" s="176">
        <v>-271.26999999999987</v>
      </c>
      <c r="J32" s="176">
        <v>0.5</v>
      </c>
      <c r="K32" s="38">
        <v>159.46400000000003</v>
      </c>
      <c r="L32" s="1">
        <v>199.33</v>
      </c>
      <c r="M32" s="1">
        <v>0</v>
      </c>
      <c r="N32" s="1" t="s">
        <v>214</v>
      </c>
      <c r="O32" s="1">
        <v>2</v>
      </c>
      <c r="P32" s="1" t="s">
        <v>548</v>
      </c>
      <c r="R32" s="1">
        <v>0.24</v>
      </c>
      <c r="S32" s="1">
        <v>199.33</v>
      </c>
      <c r="T32" s="1">
        <v>470.35999999999996</v>
      </c>
      <c r="AA32" s="1" t="str">
        <f t="shared" si="1"/>
        <v>Choeruman-VENDOR EXPENSES-CLN-Irwan-1201.630600</v>
      </c>
      <c r="AB32" s="1">
        <f>ROW()</f>
        <v>32</v>
      </c>
    </row>
    <row r="33" spans="1:21">
      <c r="A33" s="55" t="s">
        <v>9</v>
      </c>
      <c r="B33" t="s">
        <v>10</v>
      </c>
      <c r="C33" s="55" t="s">
        <v>11</v>
      </c>
      <c r="D33" s="38" t="s">
        <v>12</v>
      </c>
      <c r="E33" s="38" t="s">
        <v>13</v>
      </c>
      <c r="G33" s="177">
        <v>8590.3700000000008</v>
      </c>
      <c r="H33" s="177">
        <v>15169.11</v>
      </c>
      <c r="I33" s="176">
        <v>-6578.74</v>
      </c>
      <c r="J33" s="176">
        <v>0.16852675703156927</v>
      </c>
      <c r="K33" s="38">
        <v>6872.2960000000012</v>
      </c>
      <c r="L33" s="1">
        <v>8590.3700000000008</v>
      </c>
      <c r="M33" s="1">
        <v>0</v>
      </c>
      <c r="N33" s="1" t="s">
        <v>319</v>
      </c>
      <c r="O33" s="1">
        <v>1</v>
      </c>
      <c r="P33" s="1" t="s">
        <v>548</v>
      </c>
      <c r="R33" s="1">
        <v>6704.4400000000023</v>
      </c>
      <c r="S33" s="1">
        <v>1706.9900000000002</v>
      </c>
      <c r="T33" s="1">
        <v>178.94</v>
      </c>
      <c r="U33" s="1">
        <v>6578.7400000000007</v>
      </c>
    </row>
    <row r="34" spans="1:21">
      <c r="A34" s="55" t="s">
        <v>9</v>
      </c>
      <c r="B34" t="s">
        <v>10</v>
      </c>
      <c r="C34" s="55" t="s">
        <v>11</v>
      </c>
      <c r="D34" s="38" t="s">
        <v>14</v>
      </c>
      <c r="E34" s="38" t="s">
        <v>15</v>
      </c>
      <c r="G34" s="177">
        <v>3143.46</v>
      </c>
      <c r="H34" s="177">
        <v>7555.56</v>
      </c>
      <c r="I34" s="176">
        <v>-4412.1000000000004</v>
      </c>
      <c r="J34" s="176">
        <v>6.1668719701067201E-2</v>
      </c>
      <c r="K34" s="38">
        <v>2514.768</v>
      </c>
      <c r="L34" s="1">
        <v>3143.46</v>
      </c>
      <c r="M34" s="1">
        <v>0</v>
      </c>
      <c r="N34" s="1" t="s">
        <v>208</v>
      </c>
      <c r="O34" s="1">
        <v>1</v>
      </c>
      <c r="P34" s="1" t="s">
        <v>548</v>
      </c>
      <c r="R34" s="1">
        <v>2521.3000000000006</v>
      </c>
      <c r="S34" s="1">
        <v>622.16</v>
      </c>
      <c r="U34" s="1">
        <v>4412.1000000000013</v>
      </c>
    </row>
    <row r="35" spans="1:21">
      <c r="A35" s="55" t="s">
        <v>9</v>
      </c>
      <c r="B35" t="s">
        <v>16</v>
      </c>
      <c r="C35" s="55" t="s">
        <v>17</v>
      </c>
      <c r="D35" s="38" t="s">
        <v>12</v>
      </c>
      <c r="E35" s="38" t="s">
        <v>18</v>
      </c>
      <c r="G35" s="177">
        <v>0</v>
      </c>
      <c r="H35" s="177">
        <v>2284</v>
      </c>
      <c r="I35" s="176">
        <v>-2284</v>
      </c>
      <c r="J35" s="176">
        <v>0</v>
      </c>
      <c r="K35" s="38">
        <v>0</v>
      </c>
      <c r="L35" s="1">
        <v>0</v>
      </c>
      <c r="M35" s="1">
        <v>0</v>
      </c>
      <c r="N35" s="1" t="s">
        <v>211</v>
      </c>
      <c r="O35" s="1">
        <v>1</v>
      </c>
      <c r="P35" s="1" t="s">
        <v>548</v>
      </c>
      <c r="U35" s="1">
        <v>178597708.81610999</v>
      </c>
    </row>
    <row r="36" spans="1:21">
      <c r="A36" s="55" t="s">
        <v>9</v>
      </c>
      <c r="B36" t="s">
        <v>20</v>
      </c>
      <c r="C36" s="55" t="s">
        <v>21</v>
      </c>
      <c r="D36" s="38" t="s">
        <v>23</v>
      </c>
      <c r="E36" s="38" t="s">
        <v>24</v>
      </c>
      <c r="G36" s="177">
        <v>26.7199999999998</v>
      </c>
      <c r="H36" s="177">
        <v>706.3</v>
      </c>
      <c r="I36" s="176">
        <v>-679.58000000000015</v>
      </c>
      <c r="J36" s="176">
        <v>5.2419569213939525E-4</v>
      </c>
      <c r="K36" s="38">
        <v>21.375999999999841</v>
      </c>
      <c r="L36" s="1">
        <v>26.7199999999998</v>
      </c>
      <c r="M36" s="1">
        <v>0</v>
      </c>
      <c r="N36" s="1" t="s">
        <v>184</v>
      </c>
      <c r="O36" s="1">
        <v>3</v>
      </c>
      <c r="P36" s="1" t="s">
        <v>548</v>
      </c>
      <c r="T36" s="1">
        <v>475.78</v>
      </c>
      <c r="U36" s="1">
        <v>230.52</v>
      </c>
    </row>
    <row r="37" spans="1:21">
      <c r="A37" s="55" t="s">
        <v>9</v>
      </c>
      <c r="B37" t="s">
        <v>31</v>
      </c>
      <c r="C37" s="55" t="s">
        <v>32</v>
      </c>
      <c r="D37" s="38" t="s">
        <v>12</v>
      </c>
      <c r="E37" s="38" t="s">
        <v>33</v>
      </c>
      <c r="G37" s="177">
        <v>669.9</v>
      </c>
      <c r="H37" s="177">
        <v>7427.99</v>
      </c>
      <c r="I37" s="176">
        <v>-6758.09</v>
      </c>
      <c r="J37" s="176">
        <v>1.3142166697761358E-2</v>
      </c>
      <c r="K37" s="38">
        <v>535.91999999999996</v>
      </c>
      <c r="L37" s="1">
        <v>669.9</v>
      </c>
      <c r="M37" s="1">
        <v>0</v>
      </c>
      <c r="N37" s="1" t="s">
        <v>212</v>
      </c>
      <c r="O37" s="1">
        <v>1</v>
      </c>
      <c r="P37" s="1" t="s">
        <v>548</v>
      </c>
      <c r="S37" s="1">
        <v>669.9</v>
      </c>
      <c r="U37" s="1">
        <v>6758.09</v>
      </c>
    </row>
    <row r="38" spans="1:21">
      <c r="A38" s="55" t="s">
        <v>9</v>
      </c>
      <c r="B38" t="s">
        <v>31</v>
      </c>
      <c r="C38" s="55" t="s">
        <v>32</v>
      </c>
      <c r="D38" s="38" t="s">
        <v>23</v>
      </c>
      <c r="E38" s="38" t="s">
        <v>33</v>
      </c>
      <c r="G38" s="177">
        <v>2590.0100000000002</v>
      </c>
      <c r="H38" s="177">
        <v>2612.3200000000002</v>
      </c>
      <c r="I38" s="176">
        <v>-22.309999999999945</v>
      </c>
      <c r="J38" s="176">
        <v>5.0811081010402895E-2</v>
      </c>
      <c r="K38" s="38">
        <v>2072.0080000000003</v>
      </c>
      <c r="L38" s="1">
        <v>2590.0100000000002</v>
      </c>
      <c r="M38" s="1">
        <v>0</v>
      </c>
      <c r="N38" s="1" t="s">
        <v>312</v>
      </c>
      <c r="O38" s="1">
        <v>1</v>
      </c>
      <c r="P38" s="1" t="s">
        <v>548</v>
      </c>
      <c r="S38" s="1">
        <v>2590.0100000000002</v>
      </c>
      <c r="U38" s="1">
        <v>22.31</v>
      </c>
    </row>
    <row r="39" spans="1:21">
      <c r="A39" s="55" t="s">
        <v>35</v>
      </c>
      <c r="B39" t="s">
        <v>36</v>
      </c>
      <c r="C39" s="55" t="s">
        <v>40</v>
      </c>
      <c r="D39" s="38" t="s">
        <v>12</v>
      </c>
      <c r="E39" s="38" t="s">
        <v>41</v>
      </c>
      <c r="G39" s="177">
        <v>199.33</v>
      </c>
      <c r="H39" s="177">
        <v>647.20999999999947</v>
      </c>
      <c r="I39" s="176">
        <v>-447.87999999999943</v>
      </c>
      <c r="J39" s="176">
        <v>0.5</v>
      </c>
      <c r="K39" s="38">
        <v>159.46400000000003</v>
      </c>
      <c r="L39" s="1">
        <v>199.33</v>
      </c>
      <c r="M39" s="1">
        <v>0</v>
      </c>
      <c r="N39" s="1" t="s">
        <v>214</v>
      </c>
      <c r="O39" s="1">
        <v>2</v>
      </c>
      <c r="P39" s="1" t="s">
        <v>548</v>
      </c>
      <c r="R39" s="1">
        <v>0.24</v>
      </c>
      <c r="S39" s="1">
        <v>199.33</v>
      </c>
      <c r="T39" s="1">
        <v>470.35999999999996</v>
      </c>
      <c r="U39" s="1">
        <v>176.60999999999999</v>
      </c>
    </row>
    <row r="40" spans="1:21">
      <c r="A40" s="55" t="s">
        <v>65</v>
      </c>
      <c r="B40" t="s">
        <v>66</v>
      </c>
      <c r="C40" s="55" t="s">
        <v>67</v>
      </c>
      <c r="D40" s="38" t="s">
        <v>12</v>
      </c>
      <c r="E40" s="38" t="s">
        <v>18</v>
      </c>
      <c r="G40" s="177">
        <v>0</v>
      </c>
      <c r="H40" s="177">
        <v>165.91</v>
      </c>
      <c r="I40" s="176">
        <v>-165.91</v>
      </c>
      <c r="J40" s="176">
        <v>0</v>
      </c>
      <c r="K40" s="38">
        <v>0</v>
      </c>
      <c r="L40" s="1">
        <v>0</v>
      </c>
      <c r="M40" s="1">
        <v>0</v>
      </c>
      <c r="N40" s="1" t="s">
        <v>177</v>
      </c>
      <c r="O40" s="1">
        <v>1</v>
      </c>
      <c r="P40" s="1" t="s">
        <v>548</v>
      </c>
      <c r="U40" s="1">
        <v>165.91</v>
      </c>
    </row>
    <row r="41" spans="1:21">
      <c r="A41" s="55" t="s">
        <v>65</v>
      </c>
      <c r="B41" t="s">
        <v>68</v>
      </c>
      <c r="C41" s="55" t="s">
        <v>69</v>
      </c>
      <c r="D41" s="38" t="s">
        <v>12</v>
      </c>
      <c r="E41" s="38" t="s">
        <v>70</v>
      </c>
      <c r="G41" s="177">
        <v>2288.77</v>
      </c>
      <c r="H41" s="177">
        <v>2781.48</v>
      </c>
      <c r="I41" s="176">
        <v>-492.71000000000004</v>
      </c>
      <c r="J41" s="176">
        <v>8.8136837236992546E-2</v>
      </c>
      <c r="K41" s="38">
        <v>1831.0160000000001</v>
      </c>
      <c r="L41" s="1">
        <v>2288.77</v>
      </c>
      <c r="M41" s="1">
        <v>0</v>
      </c>
      <c r="N41" s="1" t="s">
        <v>219</v>
      </c>
      <c r="O41" s="1">
        <v>1</v>
      </c>
      <c r="P41" s="1" t="s">
        <v>548</v>
      </c>
      <c r="R41" s="1">
        <v>1482.94</v>
      </c>
      <c r="S41" s="1">
        <v>307.53999999999996</v>
      </c>
      <c r="T41" s="1">
        <v>498.29</v>
      </c>
      <c r="U41" s="1">
        <v>492.71000000000004</v>
      </c>
    </row>
    <row r="42" spans="1:21">
      <c r="A42" s="55" t="s">
        <v>65</v>
      </c>
      <c r="B42" t="s">
        <v>71</v>
      </c>
      <c r="C42" s="55" t="s">
        <v>72</v>
      </c>
      <c r="D42" s="38" t="s">
        <v>12</v>
      </c>
      <c r="E42" s="38" t="s">
        <v>73</v>
      </c>
      <c r="G42" s="177">
        <v>0</v>
      </c>
      <c r="H42" s="177">
        <v>158.19999999999999</v>
      </c>
      <c r="I42" s="176">
        <v>-158.19999999999999</v>
      </c>
      <c r="J42" s="176">
        <v>0</v>
      </c>
      <c r="K42" s="38">
        <v>0</v>
      </c>
      <c r="L42" s="1">
        <v>0</v>
      </c>
      <c r="M42" s="1">
        <v>0</v>
      </c>
      <c r="N42" s="1" t="s">
        <v>220</v>
      </c>
      <c r="O42" s="1">
        <v>1</v>
      </c>
      <c r="P42" s="1" t="s">
        <v>548</v>
      </c>
      <c r="U42" s="1">
        <v>111488847.2071</v>
      </c>
    </row>
    <row r="43" spans="1:21">
      <c r="A43" s="55" t="s">
        <v>65</v>
      </c>
      <c r="B43" t="s">
        <v>71</v>
      </c>
      <c r="C43" s="55" t="s">
        <v>72</v>
      </c>
      <c r="D43" s="38" t="s">
        <v>14</v>
      </c>
      <c r="E43" s="38" t="s">
        <v>73</v>
      </c>
      <c r="G43" s="177">
        <v>0</v>
      </c>
      <c r="H43" s="177">
        <v>63.28</v>
      </c>
      <c r="I43" s="176">
        <v>-63.28</v>
      </c>
      <c r="J43" s="176">
        <v>0</v>
      </c>
      <c r="K43" s="38">
        <v>0</v>
      </c>
      <c r="L43" s="1">
        <v>0</v>
      </c>
      <c r="M43" s="1">
        <v>0</v>
      </c>
      <c r="N43" s="1" t="s">
        <v>193</v>
      </c>
      <c r="O43" s="1">
        <v>1</v>
      </c>
      <c r="P43" s="1" t="s">
        <v>540</v>
      </c>
      <c r="U43" s="1">
        <v>108489451.3671</v>
      </c>
    </row>
    <row r="44" spans="1:21">
      <c r="A44" s="55" t="s">
        <v>65</v>
      </c>
      <c r="B44" t="s">
        <v>78</v>
      </c>
      <c r="C44" s="55" t="s">
        <v>79</v>
      </c>
      <c r="D44" s="38" t="s">
        <v>12</v>
      </c>
      <c r="E44" s="38" t="s">
        <v>80</v>
      </c>
      <c r="G44" s="177">
        <v>76.62</v>
      </c>
      <c r="H44" s="177">
        <v>156.87</v>
      </c>
      <c r="I44" s="176">
        <v>-80.25</v>
      </c>
      <c r="J44" s="176">
        <v>2.9505124888470091E-3</v>
      </c>
      <c r="K44" s="38">
        <v>61.296000000000006</v>
      </c>
      <c r="L44" s="1">
        <v>76.62</v>
      </c>
      <c r="M44" s="1">
        <v>0</v>
      </c>
      <c r="N44" s="1" t="s">
        <v>223</v>
      </c>
      <c r="O44" s="1">
        <v>1</v>
      </c>
      <c r="P44" s="1" t="s">
        <v>548</v>
      </c>
      <c r="S44" s="1">
        <v>73.66</v>
      </c>
      <c r="T44" s="1">
        <v>2.960000000000008</v>
      </c>
      <c r="U44" s="1">
        <v>80.25</v>
      </c>
    </row>
    <row r="45" spans="1:21">
      <c r="A45" s="55" t="s">
        <v>65</v>
      </c>
      <c r="B45" t="s">
        <v>152</v>
      </c>
      <c r="C45" s="55" t="s">
        <v>81</v>
      </c>
      <c r="D45" s="38" t="s">
        <v>12</v>
      </c>
      <c r="E45" s="38" t="s">
        <v>73</v>
      </c>
      <c r="G45" s="177">
        <v>126.88</v>
      </c>
      <c r="H45" s="177">
        <v>162.32</v>
      </c>
      <c r="I45" s="176">
        <v>-35.44</v>
      </c>
      <c r="J45" s="176">
        <v>4.8859439387223761E-3</v>
      </c>
      <c r="K45" s="38">
        <v>101.504</v>
      </c>
      <c r="L45" s="1">
        <v>126.88</v>
      </c>
      <c r="M45" s="1">
        <v>0</v>
      </c>
      <c r="N45" s="1" t="s">
        <v>224</v>
      </c>
      <c r="O45" s="1">
        <v>2</v>
      </c>
      <c r="P45" s="1" t="s">
        <v>548</v>
      </c>
      <c r="R45" s="1">
        <v>44.3</v>
      </c>
      <c r="S45" s="1">
        <v>47.14</v>
      </c>
      <c r="T45" s="1">
        <v>35.44</v>
      </c>
      <c r="U45" s="1">
        <v>35.44</v>
      </c>
    </row>
    <row r="46" spans="1:21">
      <c r="A46" s="55" t="s">
        <v>65</v>
      </c>
      <c r="B46" t="s">
        <v>83</v>
      </c>
      <c r="C46" s="55" t="s">
        <v>84</v>
      </c>
      <c r="D46" s="38" t="s">
        <v>12</v>
      </c>
      <c r="E46" s="38" t="s">
        <v>73</v>
      </c>
      <c r="G46" s="177">
        <v>3004.76</v>
      </c>
      <c r="H46" s="177">
        <v>8323.4</v>
      </c>
      <c r="I46" s="176">
        <v>-5318.6399999999994</v>
      </c>
      <c r="J46" s="176">
        <v>0.11570845609485694</v>
      </c>
      <c r="K46" s="38">
        <v>2403.8080000000004</v>
      </c>
      <c r="L46" s="1">
        <v>3004.76</v>
      </c>
      <c r="M46" s="1">
        <v>0</v>
      </c>
      <c r="N46" s="1" t="s">
        <v>225</v>
      </c>
      <c r="O46" s="1">
        <v>1</v>
      </c>
      <c r="P46" s="1" t="s">
        <v>548</v>
      </c>
      <c r="T46" s="1">
        <v>783.81999999999994</v>
      </c>
      <c r="U46" s="1">
        <v>7539.58</v>
      </c>
    </row>
    <row r="47" spans="1:21">
      <c r="A47" s="55" t="s">
        <v>65</v>
      </c>
      <c r="B47" t="s">
        <v>85</v>
      </c>
      <c r="C47" s="55" t="s">
        <v>86</v>
      </c>
      <c r="D47" s="38" t="s">
        <v>12</v>
      </c>
      <c r="E47" s="38" t="s">
        <v>73</v>
      </c>
      <c r="G47" s="177">
        <v>527.75</v>
      </c>
      <c r="H47" s="177">
        <v>634.54999999999995</v>
      </c>
      <c r="I47" s="176">
        <v>-106.79999999999995</v>
      </c>
      <c r="J47" s="176">
        <v>2.0322800391399231E-2</v>
      </c>
      <c r="K47" s="38">
        <v>422.20000000000005</v>
      </c>
      <c r="L47" s="1">
        <v>527.75</v>
      </c>
      <c r="M47" s="1">
        <v>0</v>
      </c>
      <c r="N47" s="1" t="s">
        <v>226</v>
      </c>
      <c r="O47" s="1">
        <v>1</v>
      </c>
      <c r="P47" s="1" t="s">
        <v>548</v>
      </c>
      <c r="R47" s="1">
        <v>184.66</v>
      </c>
      <c r="S47" s="1">
        <v>141.94999999999999</v>
      </c>
      <c r="T47" s="1">
        <v>201.14</v>
      </c>
      <c r="U47" s="1">
        <v>106.8</v>
      </c>
    </row>
    <row r="48" spans="1:21">
      <c r="A48" s="55" t="s">
        <v>65</v>
      </c>
      <c r="B48" t="s">
        <v>85</v>
      </c>
      <c r="C48" s="55" t="s">
        <v>86</v>
      </c>
      <c r="D48" s="38" t="s">
        <v>14</v>
      </c>
      <c r="E48" s="38" t="s">
        <v>73</v>
      </c>
      <c r="G48" s="177">
        <v>1074.9100000000001</v>
      </c>
      <c r="H48" s="177">
        <v>1371.93</v>
      </c>
      <c r="I48" s="176">
        <v>-297.02</v>
      </c>
      <c r="J48" s="176">
        <v>4.139304854328555E-2</v>
      </c>
      <c r="K48" s="38">
        <v>859.92800000000011</v>
      </c>
      <c r="L48" s="1">
        <v>1074.9100000000001</v>
      </c>
      <c r="M48" s="1">
        <v>0</v>
      </c>
      <c r="N48" s="1" t="s">
        <v>196</v>
      </c>
      <c r="O48" s="1">
        <v>1</v>
      </c>
      <c r="P48" s="1" t="s">
        <v>548</v>
      </c>
      <c r="R48" s="1">
        <v>336.64</v>
      </c>
      <c r="T48" s="1">
        <v>738.27</v>
      </c>
      <c r="U48" s="1">
        <v>297.02</v>
      </c>
    </row>
    <row r="49" spans="1:21">
      <c r="A49" s="55" t="s">
        <v>65</v>
      </c>
      <c r="B49" t="s">
        <v>100</v>
      </c>
      <c r="C49" s="55" t="s">
        <v>101</v>
      </c>
      <c r="D49" s="38" t="s">
        <v>12</v>
      </c>
      <c r="E49" s="38" t="s">
        <v>73</v>
      </c>
      <c r="G49" s="177">
        <v>400</v>
      </c>
      <c r="H49" s="177">
        <v>1454.06</v>
      </c>
      <c r="I49" s="176">
        <v>-1054.06</v>
      </c>
      <c r="J49" s="176">
        <v>1.5403354157384542E-2</v>
      </c>
      <c r="K49" s="38">
        <v>320</v>
      </c>
      <c r="L49" s="1">
        <v>400</v>
      </c>
      <c r="M49" s="1">
        <v>0</v>
      </c>
      <c r="N49" s="1" t="s">
        <v>231</v>
      </c>
      <c r="O49" s="1">
        <v>1</v>
      </c>
      <c r="P49" s="1" t="s">
        <v>548</v>
      </c>
      <c r="R49" s="1">
        <v>335.38</v>
      </c>
      <c r="S49" s="1">
        <v>542.84</v>
      </c>
      <c r="T49" s="1">
        <v>278.43</v>
      </c>
      <c r="U49" s="1">
        <v>297.41000000000003</v>
      </c>
    </row>
    <row r="50" spans="1:21">
      <c r="A50" s="55" t="s">
        <v>65</v>
      </c>
      <c r="B50" t="s">
        <v>106</v>
      </c>
      <c r="C50" s="55" t="s">
        <v>107</v>
      </c>
      <c r="D50" s="38" t="s">
        <v>12</v>
      </c>
      <c r="E50" s="38" t="s">
        <v>80</v>
      </c>
      <c r="G50" s="177">
        <v>100</v>
      </c>
      <c r="H50" s="177">
        <v>510.61</v>
      </c>
      <c r="I50" s="176">
        <v>-410.61</v>
      </c>
      <c r="J50" s="176">
        <v>3.8508385393461356E-3</v>
      </c>
      <c r="K50" s="38">
        <v>80</v>
      </c>
      <c r="L50" s="1">
        <v>100</v>
      </c>
      <c r="M50" s="1">
        <v>0</v>
      </c>
      <c r="N50" s="1" t="s">
        <v>234</v>
      </c>
      <c r="O50" s="1">
        <v>1</v>
      </c>
      <c r="P50" s="1" t="s">
        <v>548</v>
      </c>
      <c r="S50" s="1">
        <v>459.99</v>
      </c>
      <c r="T50" s="1">
        <v>50.62</v>
      </c>
    </row>
    <row r="51" spans="1:21">
      <c r="A51" s="55" t="s">
        <v>65</v>
      </c>
      <c r="B51" t="s">
        <v>114</v>
      </c>
      <c r="C51" s="55" t="s">
        <v>115</v>
      </c>
      <c r="D51" s="38" t="s">
        <v>12</v>
      </c>
      <c r="E51" s="38" t="s">
        <v>73</v>
      </c>
      <c r="G51" s="177">
        <v>328.75</v>
      </c>
      <c r="H51" s="177">
        <v>854.27</v>
      </c>
      <c r="I51" s="176">
        <v>-525.52</v>
      </c>
      <c r="J51" s="176">
        <v>1.2659631698100421E-2</v>
      </c>
      <c r="K51" s="38">
        <v>263</v>
      </c>
      <c r="L51" s="1">
        <v>328.75</v>
      </c>
      <c r="M51" s="1">
        <v>0</v>
      </c>
      <c r="N51" s="1" t="s">
        <v>238</v>
      </c>
      <c r="O51" s="1">
        <v>1</v>
      </c>
      <c r="P51" s="1" t="s">
        <v>548</v>
      </c>
      <c r="S51" s="1">
        <v>132216380.35010999</v>
      </c>
    </row>
    <row r="52" spans="1:21">
      <c r="A52" s="55" t="s">
        <v>65</v>
      </c>
      <c r="B52" t="s">
        <v>116</v>
      </c>
      <c r="C52" s="55" t="s">
        <v>117</v>
      </c>
      <c r="D52" s="38" t="s">
        <v>12</v>
      </c>
      <c r="E52" s="38" t="s">
        <v>73</v>
      </c>
      <c r="G52" s="177">
        <v>0</v>
      </c>
      <c r="H52" s="177">
        <v>2655.51</v>
      </c>
      <c r="I52" s="176">
        <v>-2655.51</v>
      </c>
      <c r="J52" s="176">
        <v>0</v>
      </c>
      <c r="K52" s="38">
        <v>0</v>
      </c>
      <c r="L52" s="1">
        <v>0</v>
      </c>
      <c r="M52" s="1">
        <v>0</v>
      </c>
      <c r="N52" s="1" t="s">
        <v>239</v>
      </c>
      <c r="O52" s="1">
        <v>1</v>
      </c>
      <c r="P52" s="1" t="s">
        <v>548</v>
      </c>
      <c r="S52" s="1">
        <v>190313210.65013</v>
      </c>
    </row>
    <row r="53" spans="1:21">
      <c r="A53" s="55" t="s">
        <v>65</v>
      </c>
      <c r="B53" t="s">
        <v>118</v>
      </c>
      <c r="C53" s="55" t="s">
        <v>119</v>
      </c>
      <c r="D53" s="38" t="s">
        <v>12</v>
      </c>
      <c r="E53" s="38" t="s">
        <v>120</v>
      </c>
      <c r="G53" s="177">
        <v>0</v>
      </c>
      <c r="H53" s="177">
        <v>402.21</v>
      </c>
      <c r="I53" s="176">
        <v>-402.21</v>
      </c>
      <c r="J53" s="176">
        <v>0</v>
      </c>
      <c r="K53" s="38">
        <v>0</v>
      </c>
      <c r="L53" s="1">
        <v>0</v>
      </c>
      <c r="M53" s="1">
        <v>0</v>
      </c>
      <c r="N53" s="1" t="s">
        <v>240</v>
      </c>
      <c r="O53" s="1">
        <v>1</v>
      </c>
      <c r="P53" s="1" t="s">
        <v>548</v>
      </c>
      <c r="S53" s="1">
        <v>174.79000000000002</v>
      </c>
      <c r="T53" s="1">
        <v>192.82000000000002</v>
      </c>
      <c r="U53" s="1">
        <v>34.6</v>
      </c>
    </row>
    <row r="54" spans="1:21">
      <c r="A54" s="55" t="s">
        <v>65</v>
      </c>
      <c r="B54" t="s">
        <v>118</v>
      </c>
      <c r="C54" s="55" t="s">
        <v>119</v>
      </c>
      <c r="D54" s="38" t="s">
        <v>99</v>
      </c>
      <c r="E54" s="38" t="s">
        <v>120</v>
      </c>
      <c r="G54" s="177">
        <v>0</v>
      </c>
      <c r="H54" s="177">
        <v>562.23</v>
      </c>
      <c r="I54" s="176">
        <v>-562.23</v>
      </c>
      <c r="J54" s="176">
        <v>0</v>
      </c>
      <c r="K54" s="38">
        <v>0</v>
      </c>
      <c r="L54" s="1">
        <v>0</v>
      </c>
      <c r="M54" s="1">
        <v>0</v>
      </c>
      <c r="N54" s="1" t="s">
        <v>206</v>
      </c>
      <c r="O54" s="1">
        <v>1</v>
      </c>
      <c r="P54" s="1" t="s">
        <v>548</v>
      </c>
      <c r="S54" s="1">
        <v>508.13</v>
      </c>
      <c r="T54" s="1">
        <v>54.1</v>
      </c>
    </row>
    <row r="55" spans="1:21">
      <c r="A55" s="55" t="s">
        <v>65</v>
      </c>
      <c r="B55" t="s">
        <v>118</v>
      </c>
      <c r="C55" s="55" t="s">
        <v>119</v>
      </c>
      <c r="D55" s="38" t="s">
        <v>23</v>
      </c>
      <c r="E55" s="38" t="s">
        <v>120</v>
      </c>
      <c r="G55" s="177">
        <v>0</v>
      </c>
      <c r="H55" s="177">
        <v>1068.93</v>
      </c>
      <c r="I55" s="176">
        <v>-1068.93</v>
      </c>
      <c r="J55" s="176">
        <v>0</v>
      </c>
      <c r="K55" s="38">
        <v>0</v>
      </c>
      <c r="L55" s="1">
        <v>0</v>
      </c>
      <c r="M55" s="1">
        <v>0</v>
      </c>
      <c r="N55" s="1" t="s">
        <v>313</v>
      </c>
      <c r="O55" s="1">
        <v>1</v>
      </c>
      <c r="P55" s="1" t="s">
        <v>548</v>
      </c>
      <c r="S55" s="1">
        <v>341.39</v>
      </c>
      <c r="T55" s="1">
        <v>63.11</v>
      </c>
      <c r="U55" s="1">
        <v>664.43</v>
      </c>
    </row>
    <row r="56" spans="1:21">
      <c r="A56" s="55" t="s">
        <v>65</v>
      </c>
      <c r="B56" t="s">
        <v>118</v>
      </c>
      <c r="C56" s="55" t="s">
        <v>119</v>
      </c>
      <c r="D56" s="38" t="s">
        <v>14</v>
      </c>
      <c r="E56" s="38" t="s">
        <v>120</v>
      </c>
      <c r="G56" s="177">
        <v>0</v>
      </c>
      <c r="H56" s="177">
        <v>1304.79</v>
      </c>
      <c r="I56" s="176">
        <v>-1304.79</v>
      </c>
      <c r="J56" s="176">
        <v>0</v>
      </c>
      <c r="K56" s="38">
        <v>0</v>
      </c>
      <c r="L56" s="1">
        <v>0</v>
      </c>
      <c r="M56" s="1">
        <v>0</v>
      </c>
      <c r="N56" s="1" t="s">
        <v>207</v>
      </c>
      <c r="O56" s="1">
        <v>1</v>
      </c>
      <c r="P56" s="1" t="s">
        <v>548</v>
      </c>
      <c r="R56" s="1">
        <v>167.31</v>
      </c>
      <c r="S56" s="1">
        <v>107.48</v>
      </c>
      <c r="T56" s="1">
        <v>79.099999999999994</v>
      </c>
      <c r="U56" s="1">
        <v>950.9000000000002</v>
      </c>
    </row>
    <row r="57" spans="1:21">
      <c r="A57" s="55" t="s">
        <v>65</v>
      </c>
      <c r="B57" t="s">
        <v>20</v>
      </c>
      <c r="C57" s="55" t="s">
        <v>121</v>
      </c>
      <c r="D57" s="38" t="s">
        <v>99</v>
      </c>
      <c r="E57" s="38" t="s">
        <v>73</v>
      </c>
      <c r="G57" s="177">
        <v>1115.46</v>
      </c>
      <c r="H57" s="177">
        <v>1165.8</v>
      </c>
      <c r="I57" s="176">
        <v>-50.339999999999918</v>
      </c>
      <c r="J57" s="176">
        <v>4.2954563570990402E-2</v>
      </c>
      <c r="K57" s="38">
        <v>892.36800000000005</v>
      </c>
      <c r="L57" s="1">
        <v>1115.46</v>
      </c>
      <c r="M57" s="1">
        <v>0</v>
      </c>
      <c r="N57" s="1" t="s">
        <v>181</v>
      </c>
      <c r="O57" s="1">
        <v>1</v>
      </c>
      <c r="P57" s="1" t="s">
        <v>548</v>
      </c>
      <c r="U57" s="1">
        <v>1165.8000000000002</v>
      </c>
    </row>
    <row r="58" spans="1:21">
      <c r="A58" s="55" t="s">
        <v>65</v>
      </c>
      <c r="B58" t="s">
        <v>132</v>
      </c>
      <c r="C58" s="55" t="s">
        <v>133</v>
      </c>
      <c r="D58" s="38" t="s">
        <v>12</v>
      </c>
      <c r="E58" s="38" t="s">
        <v>73</v>
      </c>
      <c r="G58" s="177">
        <v>0</v>
      </c>
      <c r="H58" s="177">
        <v>139.61000000000001</v>
      </c>
      <c r="I58" s="176">
        <v>-139.61000000000001</v>
      </c>
      <c r="J58" s="176">
        <v>0</v>
      </c>
      <c r="K58" s="38">
        <v>0</v>
      </c>
      <c r="L58" s="1">
        <v>0</v>
      </c>
      <c r="M58" s="1">
        <v>0</v>
      </c>
      <c r="N58" s="1" t="s">
        <v>246</v>
      </c>
      <c r="O58" s="1">
        <v>1</v>
      </c>
      <c r="P58" s="1" t="s">
        <v>548</v>
      </c>
      <c r="S58" s="1">
        <v>139.61000000000001</v>
      </c>
    </row>
    <row r="59" spans="1:21">
      <c r="A59" s="55" t="s">
        <v>65</v>
      </c>
      <c r="B59" t="s">
        <v>136</v>
      </c>
      <c r="C59" s="55" t="s">
        <v>137</v>
      </c>
      <c r="D59" s="38" t="s">
        <v>12</v>
      </c>
      <c r="E59" s="38" t="s">
        <v>73</v>
      </c>
      <c r="G59" s="177">
        <v>0</v>
      </c>
      <c r="H59" s="177">
        <v>73.55</v>
      </c>
      <c r="I59" s="176">
        <v>-73.55</v>
      </c>
      <c r="J59" s="176">
        <v>0</v>
      </c>
      <c r="K59" s="38">
        <v>0</v>
      </c>
      <c r="L59" s="1">
        <v>0</v>
      </c>
      <c r="M59" s="1">
        <v>0</v>
      </c>
      <c r="N59" s="1" t="s">
        <v>248</v>
      </c>
      <c r="O59" s="1">
        <v>1</v>
      </c>
      <c r="P59" s="1" t="s">
        <v>548</v>
      </c>
      <c r="S59" s="1">
        <v>29212362.730450001</v>
      </c>
    </row>
    <row r="60" spans="1:21">
      <c r="A60" s="55" t="s">
        <v>65</v>
      </c>
      <c r="B60" t="s">
        <v>20</v>
      </c>
      <c r="C60" s="55" t="s">
        <v>121</v>
      </c>
      <c r="D60" s="38" t="s">
        <v>23</v>
      </c>
      <c r="E60" s="38" t="s">
        <v>73</v>
      </c>
      <c r="G60" s="177">
        <v>1328.48</v>
      </c>
      <c r="H60" s="177">
        <v>1436.85</v>
      </c>
      <c r="I60" s="176">
        <v>-108.36999999999989</v>
      </c>
      <c r="J60" s="176">
        <v>5.1157619827505538E-2</v>
      </c>
      <c r="K60" s="38">
        <v>1062.7840000000001</v>
      </c>
      <c r="L60" s="1">
        <v>1328.48</v>
      </c>
      <c r="M60" s="1">
        <v>0</v>
      </c>
      <c r="N60" s="1" t="s">
        <v>184</v>
      </c>
      <c r="O60" s="1">
        <v>3</v>
      </c>
      <c r="P60" s="1" t="s">
        <v>548</v>
      </c>
      <c r="T60" s="1">
        <v>475.78</v>
      </c>
      <c r="U60" s="1">
        <v>1849.3899999999999</v>
      </c>
    </row>
    <row r="61" spans="1:21">
      <c r="A61" s="55" t="s">
        <v>65</v>
      </c>
      <c r="B61" t="s">
        <v>20</v>
      </c>
      <c r="C61" s="55" t="s">
        <v>121</v>
      </c>
      <c r="D61" s="38" t="s">
        <v>14</v>
      </c>
      <c r="E61" s="38" t="s">
        <v>73</v>
      </c>
      <c r="G61" s="177">
        <v>1328.28</v>
      </c>
      <c r="H61" s="177">
        <v>1377.62</v>
      </c>
      <c r="I61" s="176">
        <v>-49.339999999999918</v>
      </c>
      <c r="J61" s="176">
        <v>5.1149918150426847E-2</v>
      </c>
      <c r="K61" s="38">
        <v>1062.624</v>
      </c>
      <c r="L61" s="1">
        <v>1328.28</v>
      </c>
      <c r="M61" s="1">
        <v>0</v>
      </c>
      <c r="N61" s="1" t="s">
        <v>183</v>
      </c>
      <c r="O61" s="1">
        <v>3</v>
      </c>
      <c r="P61" s="1" t="s">
        <v>548</v>
      </c>
      <c r="S61" s="1">
        <v>18.11</v>
      </c>
      <c r="T61" s="1">
        <v>4939.9099999999262</v>
      </c>
      <c r="U61" s="1">
        <v>2319.5199999999995</v>
      </c>
    </row>
    <row r="62" spans="1:21">
      <c r="A62" s="55" t="s">
        <v>139</v>
      </c>
      <c r="B62" t="s">
        <v>116</v>
      </c>
      <c r="C62" s="55" t="s">
        <v>117</v>
      </c>
      <c r="D62" s="38" t="s">
        <v>99</v>
      </c>
      <c r="E62" s="38" t="s">
        <v>93</v>
      </c>
      <c r="G62" s="177">
        <v>0</v>
      </c>
      <c r="H62" s="177">
        <v>2181.4299999999998</v>
      </c>
      <c r="I62" s="176">
        <v>-2181.4299999999998</v>
      </c>
      <c r="J62" s="176">
        <v>0</v>
      </c>
      <c r="K62" s="38">
        <v>0</v>
      </c>
      <c r="L62" s="1">
        <v>0</v>
      </c>
      <c r="M62" s="1">
        <v>0</v>
      </c>
      <c r="N62" s="1" t="s">
        <v>251</v>
      </c>
      <c r="O62" s="1">
        <v>1</v>
      </c>
      <c r="P62" s="1" t="s">
        <v>548</v>
      </c>
      <c r="S62" s="1">
        <v>175327931.49013001</v>
      </c>
    </row>
    <row r="63" spans="1:21">
      <c r="A63" s="55" t="s">
        <v>139</v>
      </c>
      <c r="B63" t="s">
        <v>78</v>
      </c>
      <c r="C63" s="55" t="s">
        <v>79</v>
      </c>
      <c r="D63" s="38" t="s">
        <v>99</v>
      </c>
      <c r="E63" s="38" t="s">
        <v>141</v>
      </c>
      <c r="G63" s="177">
        <v>0</v>
      </c>
      <c r="H63" s="177">
        <v>84.77</v>
      </c>
      <c r="I63" s="176">
        <v>-84.77</v>
      </c>
      <c r="J63" s="176">
        <v>0</v>
      </c>
      <c r="K63" s="38">
        <v>0</v>
      </c>
      <c r="L63" s="1">
        <v>0</v>
      </c>
      <c r="M63" s="1">
        <v>0</v>
      </c>
      <c r="N63" s="1" t="s">
        <v>256</v>
      </c>
      <c r="O63" s="1">
        <v>1</v>
      </c>
      <c r="P63" s="1" t="s">
        <v>548</v>
      </c>
      <c r="R63" s="1">
        <v>69.88</v>
      </c>
      <c r="S63" s="1">
        <v>14.89</v>
      </c>
    </row>
    <row r="64" spans="1:21">
      <c r="A64" s="55" t="s">
        <v>139</v>
      </c>
      <c r="B64" t="s">
        <v>106</v>
      </c>
      <c r="C64" s="55" t="s">
        <v>107</v>
      </c>
      <c r="D64" s="38" t="s">
        <v>99</v>
      </c>
      <c r="E64" s="38" t="s">
        <v>141</v>
      </c>
      <c r="G64" s="177">
        <v>50</v>
      </c>
      <c r="H64" s="177">
        <v>1313.04</v>
      </c>
      <c r="I64" s="176">
        <v>-1263.04</v>
      </c>
      <c r="J64" s="176">
        <v>9.4517958412098299E-3</v>
      </c>
      <c r="K64" s="38">
        <v>40</v>
      </c>
      <c r="L64" s="1">
        <v>50</v>
      </c>
      <c r="M64" s="1">
        <v>0</v>
      </c>
      <c r="N64" s="1" t="s">
        <v>259</v>
      </c>
      <c r="O64" s="1">
        <v>1</v>
      </c>
      <c r="P64" s="1" t="s">
        <v>548</v>
      </c>
      <c r="U64" s="1">
        <v>148690694.71071997</v>
      </c>
    </row>
    <row r="65" spans="1:21">
      <c r="A65" s="55" t="s">
        <v>139</v>
      </c>
      <c r="B65" t="s">
        <v>122</v>
      </c>
      <c r="C65" s="55" t="s">
        <v>123</v>
      </c>
      <c r="D65" s="38" t="s">
        <v>99</v>
      </c>
      <c r="E65" s="38" t="s">
        <v>141</v>
      </c>
      <c r="G65" s="177">
        <v>3978</v>
      </c>
      <c r="H65" s="177">
        <v>4309.0600000000004</v>
      </c>
      <c r="I65" s="176">
        <v>-331.0600000000004</v>
      </c>
      <c r="J65" s="176">
        <v>0.75198487712665407</v>
      </c>
      <c r="K65" s="38">
        <v>3182.4</v>
      </c>
      <c r="L65" s="1">
        <v>3978</v>
      </c>
      <c r="M65" s="1">
        <v>0</v>
      </c>
      <c r="N65" s="1" t="s">
        <v>263</v>
      </c>
      <c r="O65" s="1">
        <v>1</v>
      </c>
      <c r="P65" s="1" t="s">
        <v>548</v>
      </c>
      <c r="R65" s="1">
        <v>560.26</v>
      </c>
      <c r="S65" s="1">
        <v>1112.7300000000002</v>
      </c>
      <c r="T65" s="1">
        <v>1171.0300000000002</v>
      </c>
      <c r="U65" s="1">
        <v>1465.0399999999995</v>
      </c>
    </row>
    <row r="66" spans="1:21">
      <c r="A66" s="55" t="s">
        <v>139</v>
      </c>
      <c r="B66" t="s">
        <v>68</v>
      </c>
      <c r="C66" s="55" t="s">
        <v>69</v>
      </c>
      <c r="D66" s="38" t="s">
        <v>99</v>
      </c>
      <c r="E66" s="38" t="s">
        <v>142</v>
      </c>
      <c r="G66" s="177">
        <v>0</v>
      </c>
      <c r="H66" s="177">
        <v>3055.97</v>
      </c>
      <c r="I66" s="176">
        <v>-3055.97</v>
      </c>
      <c r="J66" s="176">
        <v>0</v>
      </c>
      <c r="K66" s="38">
        <v>0</v>
      </c>
      <c r="L66" s="1">
        <v>0</v>
      </c>
      <c r="M66" s="1">
        <v>0</v>
      </c>
      <c r="N66" s="1" t="s">
        <v>264</v>
      </c>
      <c r="O66" s="1">
        <v>1</v>
      </c>
      <c r="P66" s="1" t="s">
        <v>548</v>
      </c>
      <c r="S66" s="1">
        <v>1567.14</v>
      </c>
      <c r="T66" s="1">
        <v>1488.83</v>
      </c>
    </row>
    <row r="67" spans="1:21">
      <c r="A67" s="55" t="s">
        <v>139</v>
      </c>
      <c r="B67" t="s">
        <v>74</v>
      </c>
      <c r="C67" s="55" t="s">
        <v>75</v>
      </c>
      <c r="D67" s="38" t="s">
        <v>99</v>
      </c>
      <c r="E67" s="38" t="s">
        <v>73</v>
      </c>
      <c r="G67" s="177">
        <v>0</v>
      </c>
      <c r="H67" s="177">
        <v>3779.14</v>
      </c>
      <c r="I67" s="176">
        <v>-3779.14</v>
      </c>
      <c r="J67" s="176">
        <v>0</v>
      </c>
      <c r="K67" s="38">
        <v>0</v>
      </c>
      <c r="L67" s="1">
        <v>0</v>
      </c>
      <c r="M67" s="1">
        <v>0</v>
      </c>
      <c r="N67" s="1" t="s">
        <v>265</v>
      </c>
      <c r="O67" s="1">
        <v>1</v>
      </c>
      <c r="P67" s="1" t="s">
        <v>548</v>
      </c>
      <c r="T67" s="1">
        <v>3779.14</v>
      </c>
    </row>
    <row r="68" spans="1:21">
      <c r="A68" s="55" t="s">
        <v>322</v>
      </c>
      <c r="B68" t="s">
        <v>116</v>
      </c>
      <c r="C68" s="55" t="s">
        <v>117</v>
      </c>
      <c r="D68" s="38" t="s">
        <v>23</v>
      </c>
      <c r="E68" s="38" t="s">
        <v>93</v>
      </c>
      <c r="G68" s="177">
        <v>0</v>
      </c>
      <c r="H68" s="177">
        <v>3929.89</v>
      </c>
      <c r="I68" s="176">
        <v>-3929.89</v>
      </c>
      <c r="J68" s="176">
        <v>0</v>
      </c>
      <c r="K68" s="38">
        <v>0</v>
      </c>
      <c r="L68" s="1">
        <v>0</v>
      </c>
      <c r="M68" s="1">
        <v>0</v>
      </c>
      <c r="N68" s="1" t="s">
        <v>274</v>
      </c>
      <c r="O68" s="1">
        <v>1</v>
      </c>
      <c r="P68" s="1" t="s">
        <v>548</v>
      </c>
      <c r="S68" s="1">
        <v>230593579.41012999</v>
      </c>
    </row>
    <row r="69" spans="1:21">
      <c r="A69" s="55" t="s">
        <v>322</v>
      </c>
      <c r="B69" t="s">
        <v>68</v>
      </c>
      <c r="C69" s="55" t="s">
        <v>69</v>
      </c>
      <c r="D69" s="38" t="s">
        <v>23</v>
      </c>
      <c r="E69" s="38" t="s">
        <v>70</v>
      </c>
      <c r="G69" s="177">
        <v>0</v>
      </c>
      <c r="H69" s="177">
        <v>3755.27</v>
      </c>
      <c r="I69" s="176">
        <v>-3755.27</v>
      </c>
      <c r="J69" s="176">
        <v>0</v>
      </c>
      <c r="K69" s="38">
        <v>0</v>
      </c>
      <c r="L69" s="1">
        <v>0</v>
      </c>
      <c r="M69" s="1">
        <v>0</v>
      </c>
      <c r="N69" s="1" t="s">
        <v>276</v>
      </c>
      <c r="O69" s="1">
        <v>1</v>
      </c>
      <c r="P69" s="1" t="s">
        <v>548</v>
      </c>
      <c r="R69" s="1">
        <v>5.7</v>
      </c>
      <c r="S69" s="1">
        <v>1986.55</v>
      </c>
      <c r="T69" s="1">
        <v>1763.02</v>
      </c>
    </row>
    <row r="70" spans="1:21">
      <c r="A70" s="55" t="s">
        <v>322</v>
      </c>
      <c r="B70" t="s">
        <v>74</v>
      </c>
      <c r="C70" s="55" t="s">
        <v>75</v>
      </c>
      <c r="D70" s="38" t="s">
        <v>23</v>
      </c>
      <c r="E70" s="38" t="s">
        <v>73</v>
      </c>
      <c r="G70" s="177">
        <v>0</v>
      </c>
      <c r="H70" s="177">
        <v>4098.6000000000004</v>
      </c>
      <c r="I70" s="176">
        <v>-4098.6000000000004</v>
      </c>
      <c r="J70" s="176">
        <v>0</v>
      </c>
      <c r="K70" s="38">
        <v>0</v>
      </c>
      <c r="L70" s="1">
        <v>0</v>
      </c>
      <c r="M70" s="1">
        <v>0</v>
      </c>
      <c r="N70" s="1" t="s">
        <v>277</v>
      </c>
      <c r="O70" s="1">
        <v>1</v>
      </c>
      <c r="P70" s="1" t="s">
        <v>548</v>
      </c>
      <c r="T70" s="1">
        <v>535447682027.83038</v>
      </c>
    </row>
    <row r="71" spans="1:21">
      <c r="A71" s="55" t="s">
        <v>322</v>
      </c>
      <c r="B71" t="s">
        <v>78</v>
      </c>
      <c r="C71" s="55" t="s">
        <v>79</v>
      </c>
      <c r="D71" s="38" t="s">
        <v>23</v>
      </c>
      <c r="E71" s="38" t="s">
        <v>151</v>
      </c>
      <c r="G71" s="177">
        <v>0</v>
      </c>
      <c r="H71" s="177">
        <v>827.12</v>
      </c>
      <c r="I71" s="176">
        <v>-827.12</v>
      </c>
      <c r="J71" s="176">
        <v>0</v>
      </c>
      <c r="K71" s="38">
        <v>0</v>
      </c>
      <c r="L71" s="1">
        <v>0</v>
      </c>
      <c r="M71" s="1">
        <v>0</v>
      </c>
      <c r="N71" s="1" t="s">
        <v>278</v>
      </c>
      <c r="O71" s="1">
        <v>1</v>
      </c>
      <c r="P71" s="1" t="s">
        <v>548</v>
      </c>
      <c r="R71" s="1">
        <v>181.29000000000002</v>
      </c>
      <c r="S71" s="1">
        <v>403.77999999999992</v>
      </c>
      <c r="T71" s="1">
        <v>194.52999999999997</v>
      </c>
      <c r="U71" s="1">
        <v>47.52</v>
      </c>
    </row>
    <row r="72" spans="1:21">
      <c r="A72" s="55" t="s">
        <v>322</v>
      </c>
      <c r="B72" t="s">
        <v>94</v>
      </c>
      <c r="C72" s="55" t="s">
        <v>95</v>
      </c>
      <c r="D72" s="38" t="s">
        <v>23</v>
      </c>
      <c r="E72" s="38" t="s">
        <v>153</v>
      </c>
      <c r="G72" s="177">
        <v>0</v>
      </c>
      <c r="H72" s="177">
        <v>901.67</v>
      </c>
      <c r="I72" s="176">
        <v>-901.67</v>
      </c>
      <c r="J72" s="176">
        <v>0</v>
      </c>
      <c r="K72" s="38">
        <v>0</v>
      </c>
      <c r="L72" s="1">
        <v>0</v>
      </c>
      <c r="M72" s="1">
        <v>0</v>
      </c>
      <c r="N72" s="1" t="s">
        <v>280</v>
      </c>
      <c r="O72" s="1">
        <v>1</v>
      </c>
      <c r="P72" s="1" t="s">
        <v>548</v>
      </c>
      <c r="S72" s="1">
        <v>55387329.970110007</v>
      </c>
    </row>
    <row r="73" spans="1:21">
      <c r="A73" s="55" t="s">
        <v>322</v>
      </c>
      <c r="B73" t="s">
        <v>110</v>
      </c>
      <c r="C73" s="55" t="s">
        <v>111</v>
      </c>
      <c r="D73" s="38" t="s">
        <v>23</v>
      </c>
      <c r="E73" s="38" t="s">
        <v>151</v>
      </c>
      <c r="G73" s="177">
        <v>250</v>
      </c>
      <c r="H73" s="177">
        <v>471.43</v>
      </c>
      <c r="I73" s="176">
        <v>-221.43</v>
      </c>
      <c r="J73" s="176">
        <v>2.3966883519028745E-2</v>
      </c>
      <c r="K73" s="38">
        <v>200</v>
      </c>
      <c r="L73" s="1">
        <v>250</v>
      </c>
      <c r="M73" s="1">
        <v>0</v>
      </c>
      <c r="N73" s="1" t="s">
        <v>284</v>
      </c>
      <c r="O73" s="1">
        <v>1</v>
      </c>
      <c r="P73" s="1" t="s">
        <v>548</v>
      </c>
      <c r="U73" s="1">
        <v>471.43</v>
      </c>
    </row>
    <row r="74" spans="1:21">
      <c r="A74" s="55" t="s">
        <v>322</v>
      </c>
      <c r="B74" t="s">
        <v>122</v>
      </c>
      <c r="C74" s="55" t="s">
        <v>123</v>
      </c>
      <c r="D74" s="38" t="s">
        <v>23</v>
      </c>
      <c r="E74" s="38" t="s">
        <v>151</v>
      </c>
      <c r="G74" s="177">
        <v>1500</v>
      </c>
      <c r="H74" s="177">
        <v>3525.46</v>
      </c>
      <c r="I74" s="176">
        <v>-2025.46</v>
      </c>
      <c r="J74" s="176">
        <v>0.14380130111417247</v>
      </c>
      <c r="K74" s="38">
        <v>1200</v>
      </c>
      <c r="L74" s="1">
        <v>1500</v>
      </c>
      <c r="M74" s="1">
        <v>0</v>
      </c>
      <c r="N74" s="1" t="s">
        <v>286</v>
      </c>
      <c r="O74" s="1">
        <v>1</v>
      </c>
      <c r="P74" s="1" t="s">
        <v>548</v>
      </c>
      <c r="R74" s="1">
        <v>906.59</v>
      </c>
      <c r="S74" s="1">
        <v>487.23999999999978</v>
      </c>
      <c r="T74" s="1">
        <v>1136.3599999999997</v>
      </c>
      <c r="U74" s="1">
        <v>995.27</v>
      </c>
    </row>
    <row r="75" spans="1:21">
      <c r="A75" s="55" t="s">
        <v>322</v>
      </c>
      <c r="B75" t="s">
        <v>116</v>
      </c>
      <c r="C75" s="55" t="s">
        <v>117</v>
      </c>
      <c r="D75" s="38" t="s">
        <v>14</v>
      </c>
      <c r="E75" s="38" t="s">
        <v>93</v>
      </c>
      <c r="G75" s="177">
        <v>0</v>
      </c>
      <c r="H75" s="177">
        <v>4436.3599999999997</v>
      </c>
      <c r="I75" s="176">
        <v>-4436.3599999999997</v>
      </c>
      <c r="J75" s="176">
        <v>0</v>
      </c>
      <c r="K75" s="38">
        <v>0</v>
      </c>
      <c r="L75" s="1">
        <v>0</v>
      </c>
      <c r="M75" s="1">
        <v>0</v>
      </c>
      <c r="N75" s="1" t="s">
        <v>291</v>
      </c>
      <c r="O75" s="1">
        <v>1</v>
      </c>
      <c r="P75" s="1" t="s">
        <v>548</v>
      </c>
      <c r="S75" s="1">
        <v>246602871.35012999</v>
      </c>
    </row>
    <row r="76" spans="1:21">
      <c r="A76" s="55" t="s">
        <v>322</v>
      </c>
      <c r="B76" t="s">
        <v>66</v>
      </c>
      <c r="C76" s="55" t="s">
        <v>67</v>
      </c>
      <c r="D76" s="38" t="s">
        <v>14</v>
      </c>
      <c r="E76" s="38" t="s">
        <v>155</v>
      </c>
      <c r="G76" s="177">
        <v>0</v>
      </c>
      <c r="H76" s="177">
        <v>529.23</v>
      </c>
      <c r="I76" s="176">
        <v>-529.23</v>
      </c>
      <c r="J76" s="176">
        <v>0</v>
      </c>
      <c r="K76" s="38">
        <v>0</v>
      </c>
      <c r="L76" s="1">
        <v>0</v>
      </c>
      <c r="M76" s="1">
        <v>0</v>
      </c>
      <c r="N76" s="1" t="s">
        <v>178</v>
      </c>
      <c r="O76" s="1">
        <v>1</v>
      </c>
      <c r="P76" s="1" t="s">
        <v>548</v>
      </c>
      <c r="U76" s="1">
        <v>125148406.18050002</v>
      </c>
    </row>
    <row r="77" spans="1:21">
      <c r="A77" s="55" t="s">
        <v>322</v>
      </c>
      <c r="B77" t="s">
        <v>68</v>
      </c>
      <c r="C77" s="55" t="s">
        <v>69</v>
      </c>
      <c r="D77" s="38" t="s">
        <v>14</v>
      </c>
      <c r="E77" s="38" t="s">
        <v>70</v>
      </c>
      <c r="G77" s="177">
        <v>0</v>
      </c>
      <c r="H77" s="177">
        <v>2872.63</v>
      </c>
      <c r="I77" s="176">
        <v>-2872.63</v>
      </c>
      <c r="J77" s="176">
        <v>0</v>
      </c>
      <c r="K77" s="38">
        <v>0</v>
      </c>
      <c r="L77" s="1">
        <v>0</v>
      </c>
      <c r="M77" s="1">
        <v>0</v>
      </c>
      <c r="N77" s="1" t="s">
        <v>293</v>
      </c>
      <c r="O77" s="1">
        <v>1</v>
      </c>
      <c r="P77" s="1" t="s">
        <v>548</v>
      </c>
      <c r="S77" s="1">
        <v>1396.57</v>
      </c>
      <c r="T77" s="1">
        <v>1406.1</v>
      </c>
      <c r="U77" s="1">
        <v>69.959999999999994</v>
      </c>
    </row>
    <row r="78" spans="1:21">
      <c r="A78" s="55" t="s">
        <v>322</v>
      </c>
      <c r="B78" t="s">
        <v>74</v>
      </c>
      <c r="C78" s="55" t="s">
        <v>75</v>
      </c>
      <c r="D78" s="38" t="s">
        <v>14</v>
      </c>
      <c r="E78" s="38" t="s">
        <v>73</v>
      </c>
      <c r="G78" s="177">
        <v>0</v>
      </c>
      <c r="H78" s="177">
        <v>5107.6000000000004</v>
      </c>
      <c r="I78" s="176">
        <v>-5107.6000000000004</v>
      </c>
      <c r="J78" s="176">
        <v>0</v>
      </c>
      <c r="K78" s="38">
        <v>0</v>
      </c>
      <c r="L78" s="1">
        <v>0</v>
      </c>
      <c r="M78" s="1">
        <v>0</v>
      </c>
      <c r="N78" s="1" t="s">
        <v>294</v>
      </c>
      <c r="O78" s="1">
        <v>1</v>
      </c>
      <c r="P78" s="1" t="s">
        <v>548</v>
      </c>
      <c r="T78" s="1">
        <v>535479777915.83038</v>
      </c>
    </row>
    <row r="79" spans="1:21">
      <c r="A79" s="55" t="s">
        <v>322</v>
      </c>
      <c r="B79" t="s">
        <v>78</v>
      </c>
      <c r="C79" s="55" t="s">
        <v>79</v>
      </c>
      <c r="D79" s="38" t="s">
        <v>14</v>
      </c>
      <c r="E79" s="38" t="s">
        <v>156</v>
      </c>
      <c r="G79" s="177">
        <v>0</v>
      </c>
      <c r="H79" s="177">
        <v>436.66</v>
      </c>
      <c r="I79" s="176">
        <v>-436.66</v>
      </c>
      <c r="J79" s="176">
        <v>0</v>
      </c>
      <c r="K79" s="38">
        <v>0</v>
      </c>
      <c r="L79" s="1">
        <v>0</v>
      </c>
      <c r="M79" s="1">
        <v>0</v>
      </c>
      <c r="N79" s="1" t="s">
        <v>295</v>
      </c>
      <c r="O79" s="1">
        <v>1</v>
      </c>
      <c r="P79" s="1" t="s">
        <v>548</v>
      </c>
      <c r="R79" s="1">
        <v>7.77</v>
      </c>
      <c r="S79" s="1">
        <v>243.83999999999997</v>
      </c>
      <c r="T79" s="1">
        <v>2.5300000000000002</v>
      </c>
      <c r="U79" s="1">
        <v>182.41</v>
      </c>
    </row>
    <row r="80" spans="1:21">
      <c r="A80" s="55" t="s">
        <v>322</v>
      </c>
      <c r="B80" t="s">
        <v>152</v>
      </c>
      <c r="C80" s="55" t="s">
        <v>82</v>
      </c>
      <c r="D80" s="38" t="s">
        <v>14</v>
      </c>
      <c r="E80" s="38" t="s">
        <v>73</v>
      </c>
      <c r="G80" s="177">
        <v>0</v>
      </c>
      <c r="H80" s="177">
        <v>160.61000000000001</v>
      </c>
      <c r="I80" s="176">
        <v>-160.61000000000001</v>
      </c>
      <c r="J80" s="176">
        <v>0</v>
      </c>
      <c r="K80" s="38">
        <v>0</v>
      </c>
      <c r="L80" s="1">
        <v>0</v>
      </c>
      <c r="M80" s="1">
        <v>0</v>
      </c>
      <c r="N80" s="1" t="s">
        <v>296</v>
      </c>
      <c r="O80" s="1">
        <v>1</v>
      </c>
      <c r="P80" s="1" t="s">
        <v>548</v>
      </c>
      <c r="R80" s="1">
        <v>39.230000000000004</v>
      </c>
      <c r="T80" s="1">
        <v>87.2</v>
      </c>
      <c r="U80" s="1">
        <v>34.18</v>
      </c>
    </row>
    <row r="81" spans="1:21">
      <c r="A81" s="55" t="s">
        <v>322</v>
      </c>
      <c r="B81" t="s">
        <v>94</v>
      </c>
      <c r="C81" s="55" t="s">
        <v>95</v>
      </c>
      <c r="D81" s="38" t="s">
        <v>14</v>
      </c>
      <c r="E81" s="38" t="s">
        <v>155</v>
      </c>
      <c r="G81" s="177">
        <v>0</v>
      </c>
      <c r="H81" s="177">
        <v>901.66</v>
      </c>
      <c r="I81" s="176">
        <v>-901.66</v>
      </c>
      <c r="J81" s="176">
        <v>0</v>
      </c>
      <c r="K81" s="38">
        <v>0</v>
      </c>
      <c r="L81" s="1">
        <v>0</v>
      </c>
      <c r="M81" s="1">
        <v>0</v>
      </c>
      <c r="N81" s="1" t="s">
        <v>297</v>
      </c>
      <c r="O81" s="1">
        <v>1</v>
      </c>
      <c r="P81" s="1" t="s">
        <v>548</v>
      </c>
      <c r="S81" s="1">
        <v>55387326.950110003</v>
      </c>
    </row>
    <row r="82" spans="1:21">
      <c r="A82" s="55" t="s">
        <v>322</v>
      </c>
      <c r="B82" t="s">
        <v>106</v>
      </c>
      <c r="C82" s="55" t="s">
        <v>107</v>
      </c>
      <c r="D82" s="38" t="s">
        <v>14</v>
      </c>
      <c r="E82" s="38" t="s">
        <v>156</v>
      </c>
      <c r="G82" s="177">
        <v>300</v>
      </c>
      <c r="H82" s="177">
        <v>538.35</v>
      </c>
      <c r="I82" s="176">
        <v>-238.35000000000002</v>
      </c>
      <c r="J82" s="176">
        <v>2.8760260222834493E-2</v>
      </c>
      <c r="K82" s="38">
        <v>240</v>
      </c>
      <c r="L82" s="1">
        <v>300</v>
      </c>
      <c r="M82" s="1">
        <v>0</v>
      </c>
      <c r="N82" s="1" t="s">
        <v>300</v>
      </c>
      <c r="O82" s="1">
        <v>1</v>
      </c>
      <c r="P82" s="1" t="s">
        <v>548</v>
      </c>
      <c r="R82" s="1">
        <v>110.74</v>
      </c>
      <c r="U82" s="1">
        <v>427.60999999999996</v>
      </c>
    </row>
    <row r="83" spans="1:21">
      <c r="A83" s="55" t="s">
        <v>322</v>
      </c>
      <c r="B83" t="s">
        <v>122</v>
      </c>
      <c r="C83" s="55" t="s">
        <v>123</v>
      </c>
      <c r="D83" s="38" t="s">
        <v>14</v>
      </c>
      <c r="E83" s="38" t="s">
        <v>156</v>
      </c>
      <c r="G83" s="177">
        <v>2346.61</v>
      </c>
      <c r="H83" s="177">
        <v>4045.48</v>
      </c>
      <c r="I83" s="176">
        <v>-1698.87</v>
      </c>
      <c r="J83" s="176">
        <v>0.22496371413835217</v>
      </c>
      <c r="K83" s="38">
        <v>1877.2880000000002</v>
      </c>
      <c r="L83" s="1">
        <v>2346.61</v>
      </c>
      <c r="M83" s="1">
        <v>0</v>
      </c>
      <c r="N83" s="1" t="s">
        <v>302</v>
      </c>
      <c r="O83" s="1">
        <v>1</v>
      </c>
      <c r="P83" s="1" t="s">
        <v>548</v>
      </c>
      <c r="R83" s="1">
        <v>1024.2</v>
      </c>
      <c r="S83" s="1">
        <v>386.89000000000016</v>
      </c>
      <c r="T83" s="1">
        <v>827.00999999999988</v>
      </c>
      <c r="U83" s="1">
        <v>1807.3799999999997</v>
      </c>
    </row>
    <row r="84" spans="1:21">
      <c r="A84" s="55" t="s">
        <v>157</v>
      </c>
      <c r="B84" t="s">
        <v>158</v>
      </c>
      <c r="C84" s="55" t="s">
        <v>159</v>
      </c>
      <c r="D84" s="38" t="s">
        <v>12</v>
      </c>
      <c r="E84" s="38" t="s">
        <v>73</v>
      </c>
      <c r="G84" s="177">
        <v>0</v>
      </c>
      <c r="H84" s="177">
        <v>474.59</v>
      </c>
      <c r="I84" s="176">
        <v>-474.59</v>
      </c>
      <c r="J84" s="176">
        <v>0</v>
      </c>
      <c r="K84" s="38">
        <v>0</v>
      </c>
      <c r="L84" s="1">
        <v>0</v>
      </c>
      <c r="M84" s="1">
        <v>0</v>
      </c>
      <c r="N84" s="1" t="s">
        <v>304</v>
      </c>
      <c r="O84" s="1">
        <v>1</v>
      </c>
      <c r="P84" s="1" t="s">
        <v>548</v>
      </c>
      <c r="T84" s="1">
        <v>121810714.99612001</v>
      </c>
    </row>
    <row r="85" spans="1:21">
      <c r="A85" s="55" t="s">
        <v>157</v>
      </c>
      <c r="B85" t="s">
        <v>160</v>
      </c>
      <c r="C85" s="55" t="s">
        <v>161</v>
      </c>
      <c r="D85" s="38" t="s">
        <v>12</v>
      </c>
      <c r="E85" s="38" t="s">
        <v>70</v>
      </c>
      <c r="G85" s="177">
        <v>0</v>
      </c>
      <c r="H85" s="177">
        <v>680.2</v>
      </c>
      <c r="I85" s="176">
        <v>-680.2</v>
      </c>
      <c r="J85" s="176">
        <v>0</v>
      </c>
      <c r="K85" s="38">
        <v>0</v>
      </c>
      <c r="L85" s="1">
        <v>0</v>
      </c>
      <c r="M85" s="1">
        <v>0</v>
      </c>
      <c r="N85" s="1" t="s">
        <v>305</v>
      </c>
      <c r="O85" s="1">
        <v>1</v>
      </c>
      <c r="P85" s="1" t="s">
        <v>548</v>
      </c>
      <c r="R85" s="1">
        <v>8.9400000000000013</v>
      </c>
      <c r="S85" s="1">
        <v>163.13</v>
      </c>
      <c r="T85" s="1">
        <v>503.07000000000005</v>
      </c>
      <c r="U85" s="1">
        <v>5.0600000000000005</v>
      </c>
    </row>
    <row r="86" spans="1:21">
      <c r="A86" s="55" t="s">
        <v>157</v>
      </c>
      <c r="B86" t="s">
        <v>162</v>
      </c>
      <c r="C86" s="55" t="s">
        <v>163</v>
      </c>
      <c r="D86" s="38" t="s">
        <v>12</v>
      </c>
      <c r="E86" s="38" t="s">
        <v>164</v>
      </c>
      <c r="G86" s="177">
        <v>0</v>
      </c>
      <c r="H86" s="177">
        <v>4859.3</v>
      </c>
      <c r="I86" s="176">
        <v>-4859.3</v>
      </c>
      <c r="J86" s="176">
        <v>0</v>
      </c>
      <c r="K86" s="38">
        <v>0</v>
      </c>
      <c r="L86" s="1">
        <v>0</v>
      </c>
      <c r="M86" s="1">
        <v>0</v>
      </c>
      <c r="N86" s="1" t="s">
        <v>306</v>
      </c>
      <c r="O86" s="1">
        <v>1</v>
      </c>
      <c r="P86" s="1" t="s">
        <v>548</v>
      </c>
      <c r="R86" s="1">
        <v>4859.2999999999993</v>
      </c>
    </row>
    <row r="87" spans="1:21">
      <c r="A87" s="55" t="s">
        <v>157</v>
      </c>
      <c r="B87" t="s">
        <v>167</v>
      </c>
      <c r="C87" s="55" t="s">
        <v>168</v>
      </c>
      <c r="D87" s="38" t="s">
        <v>12</v>
      </c>
      <c r="E87" s="38" t="s">
        <v>169</v>
      </c>
      <c r="G87" s="177">
        <v>0</v>
      </c>
      <c r="H87" s="177">
        <v>171.94</v>
      </c>
      <c r="I87" s="176">
        <v>-171.94</v>
      </c>
      <c r="J87" s="176">
        <v>0</v>
      </c>
      <c r="K87" s="38">
        <v>0</v>
      </c>
      <c r="L87" s="1">
        <v>0</v>
      </c>
      <c r="M87" s="1">
        <v>0</v>
      </c>
      <c r="N87" s="1" t="s">
        <v>307</v>
      </c>
      <c r="O87" s="1">
        <v>1</v>
      </c>
      <c r="P87" s="1" t="s">
        <v>548</v>
      </c>
      <c r="S87" s="1">
        <v>15.01</v>
      </c>
      <c r="T87" s="1">
        <v>56.370000000000005</v>
      </c>
      <c r="U87" s="1">
        <v>100.56000000000002</v>
      </c>
    </row>
    <row r="88" spans="1:21">
      <c r="A88" s="55" t="s">
        <v>157</v>
      </c>
      <c r="B88" t="s">
        <v>167</v>
      </c>
      <c r="C88" s="55" t="s">
        <v>168</v>
      </c>
      <c r="D88" s="38" t="s">
        <v>99</v>
      </c>
      <c r="E88" s="38" t="s">
        <v>169</v>
      </c>
      <c r="G88" s="177">
        <v>0</v>
      </c>
      <c r="H88" s="177">
        <v>91.72</v>
      </c>
      <c r="I88" s="176">
        <v>-91.72</v>
      </c>
      <c r="J88" s="176">
        <v>0</v>
      </c>
      <c r="K88" s="38">
        <v>0</v>
      </c>
      <c r="L88" s="1">
        <v>0</v>
      </c>
      <c r="M88" s="1">
        <v>0</v>
      </c>
      <c r="N88" s="1" t="s">
        <v>308</v>
      </c>
      <c r="O88" s="1">
        <v>1</v>
      </c>
      <c r="P88" s="1" t="s">
        <v>548</v>
      </c>
      <c r="U88" s="1">
        <v>91.72</v>
      </c>
    </row>
    <row r="89" spans="1:21">
      <c r="A89" s="55" t="s">
        <v>157</v>
      </c>
      <c r="B89" t="s">
        <v>167</v>
      </c>
      <c r="C89" s="55" t="s">
        <v>168</v>
      </c>
      <c r="D89" s="38" t="s">
        <v>23</v>
      </c>
      <c r="E89" s="38" t="s">
        <v>169</v>
      </c>
      <c r="G89" s="177">
        <v>0</v>
      </c>
      <c r="H89" s="177">
        <v>212.18</v>
      </c>
      <c r="I89" s="176">
        <v>-212.18</v>
      </c>
      <c r="J89" s="176">
        <v>0</v>
      </c>
      <c r="K89" s="38">
        <v>0</v>
      </c>
      <c r="L89" s="1">
        <v>0</v>
      </c>
      <c r="M89" s="1">
        <v>0</v>
      </c>
      <c r="N89" s="1" t="s">
        <v>309</v>
      </c>
      <c r="O89" s="1">
        <v>1</v>
      </c>
      <c r="P89" s="1" t="s">
        <v>548</v>
      </c>
      <c r="R89" s="1">
        <v>50.62</v>
      </c>
      <c r="S89" s="1">
        <v>138.33000000000001</v>
      </c>
      <c r="T89" s="1">
        <v>8.86</v>
      </c>
      <c r="U89" s="1">
        <v>14.370000000000001</v>
      </c>
    </row>
    <row r="90" spans="1:21">
      <c r="A90" s="55" t="s">
        <v>157</v>
      </c>
      <c r="B90" t="s">
        <v>167</v>
      </c>
      <c r="C90" s="55" t="s">
        <v>168</v>
      </c>
      <c r="D90" s="38" t="s">
        <v>14</v>
      </c>
      <c r="E90" s="38" t="s">
        <v>169</v>
      </c>
      <c r="G90" s="177">
        <v>0</v>
      </c>
      <c r="H90" s="177">
        <v>187.31</v>
      </c>
      <c r="I90" s="176">
        <v>-187.31</v>
      </c>
      <c r="J90" s="176">
        <v>0</v>
      </c>
      <c r="K90" s="38">
        <v>0</v>
      </c>
      <c r="L90" s="1">
        <v>0</v>
      </c>
      <c r="M90" s="1">
        <v>0</v>
      </c>
      <c r="N90" s="1" t="s">
        <v>310</v>
      </c>
      <c r="O90" s="1">
        <v>1</v>
      </c>
      <c r="P90" s="1" t="s">
        <v>548</v>
      </c>
      <c r="R90" s="1">
        <v>1.6099999999999999</v>
      </c>
      <c r="S90" s="1">
        <v>3.21</v>
      </c>
      <c r="T90" s="1">
        <v>63.66</v>
      </c>
      <c r="U90" s="1">
        <v>118.83000000000001</v>
      </c>
    </row>
    <row r="91" spans="1:21">
      <c r="B91"/>
      <c r="G91" s="177"/>
      <c r="H91" s="177"/>
      <c r="I91" s="176"/>
      <c r="J91" s="176"/>
    </row>
    <row r="92" spans="1:21" ht="16.5" customHeight="1">
      <c r="B92"/>
      <c r="G92" s="177"/>
      <c r="H92" s="177"/>
      <c r="I92" s="176"/>
      <c r="J92" s="176"/>
    </row>
    <row r="93" spans="1:21">
      <c r="B93"/>
      <c r="G93" s="177"/>
      <c r="H93" s="177"/>
      <c r="I93" s="176"/>
      <c r="J93" s="176"/>
    </row>
    <row r="94" spans="1:21">
      <c r="B94"/>
      <c r="G94" s="177"/>
      <c r="H94" s="177"/>
      <c r="I94" s="176"/>
      <c r="J94" s="176"/>
    </row>
    <row r="95" spans="1:21">
      <c r="B95"/>
      <c r="G95" s="177"/>
      <c r="H95" s="177"/>
      <c r="I95" s="176"/>
      <c r="J95" s="176"/>
    </row>
    <row r="96" spans="1:21">
      <c r="B96"/>
      <c r="G96" s="177"/>
      <c r="H96" s="177"/>
      <c r="I96" s="176"/>
      <c r="J96" s="176"/>
    </row>
    <row r="97" spans="2:10">
      <c r="B97"/>
      <c r="G97" s="177"/>
      <c r="H97" s="177"/>
      <c r="I97" s="176"/>
      <c r="J97" s="176"/>
    </row>
    <row r="98" spans="2:10">
      <c r="B98"/>
      <c r="G98" s="177"/>
      <c r="H98" s="177"/>
      <c r="I98" s="176"/>
      <c r="J98" s="176"/>
    </row>
    <row r="99" spans="2:10">
      <c r="B99"/>
      <c r="G99" s="177"/>
      <c r="H99" s="177"/>
      <c r="I99" s="176"/>
      <c r="J99" s="176"/>
    </row>
    <row r="100" spans="2:10">
      <c r="B100"/>
      <c r="G100" s="177"/>
      <c r="H100" s="177"/>
      <c r="I100" s="176"/>
      <c r="J100" s="176"/>
    </row>
    <row r="101" spans="2:10">
      <c r="B101"/>
      <c r="G101" s="177"/>
      <c r="H101" s="177"/>
      <c r="I101" s="176"/>
      <c r="J101" s="176"/>
    </row>
    <row r="102" spans="2:10">
      <c r="B102"/>
      <c r="G102" s="177"/>
      <c r="H102" s="177"/>
      <c r="I102" s="176"/>
      <c r="J102" s="176"/>
    </row>
    <row r="103" spans="2:10">
      <c r="B103"/>
      <c r="G103" s="177"/>
      <c r="H103" s="177"/>
      <c r="I103" s="176"/>
      <c r="J103" s="176"/>
    </row>
    <row r="104" spans="2:10">
      <c r="B104"/>
      <c r="G104" s="177"/>
      <c r="H104" s="177"/>
      <c r="I104" s="176"/>
      <c r="J104" s="176"/>
    </row>
    <row r="105" spans="2:10">
      <c r="B105"/>
      <c r="G105" s="177"/>
      <c r="H105" s="177"/>
      <c r="I105" s="176"/>
      <c r="J105" s="176"/>
    </row>
    <row r="106" spans="2:10">
      <c r="B106"/>
      <c r="G106" s="177"/>
      <c r="H106" s="177"/>
      <c r="I106" s="176"/>
      <c r="J106" s="176"/>
    </row>
    <row r="107" spans="2:10">
      <c r="B107"/>
      <c r="G107" s="177"/>
      <c r="H107" s="177"/>
      <c r="I107" s="176"/>
      <c r="J107" s="176"/>
    </row>
    <row r="108" spans="2:10">
      <c r="B108"/>
      <c r="G108" s="177"/>
      <c r="H108" s="177"/>
      <c r="I108" s="176"/>
      <c r="J108" s="176"/>
    </row>
    <row r="109" spans="2:10">
      <c r="B109"/>
      <c r="G109" s="177"/>
      <c r="H109" s="177"/>
      <c r="I109" s="176"/>
      <c r="J109" s="176"/>
    </row>
    <row r="110" spans="2:10">
      <c r="B110"/>
      <c r="G110" s="177"/>
      <c r="H110" s="177"/>
      <c r="I110" s="176"/>
      <c r="J110" s="176"/>
    </row>
    <row r="111" spans="2:10">
      <c r="B111"/>
      <c r="G111" s="177"/>
      <c r="H111" s="177"/>
      <c r="I111" s="176"/>
      <c r="J111" s="176"/>
    </row>
    <row r="112" spans="2:10">
      <c r="B112"/>
      <c r="G112" s="177"/>
      <c r="H112" s="177"/>
      <c r="I112" s="176"/>
      <c r="J112" s="176"/>
    </row>
    <row r="113" spans="2:10">
      <c r="B113"/>
      <c r="G113" s="177"/>
      <c r="H113" s="177"/>
      <c r="I113" s="176"/>
      <c r="J113" s="176"/>
    </row>
    <row r="114" spans="2:10">
      <c r="B114"/>
      <c r="G114" s="177"/>
      <c r="H114" s="177"/>
      <c r="I114" s="176"/>
      <c r="J114" s="176"/>
    </row>
    <row r="115" spans="2:10">
      <c r="B115"/>
      <c r="G115" s="177"/>
      <c r="H115" s="177"/>
      <c r="I115" s="176"/>
      <c r="J115" s="176"/>
    </row>
    <row r="116" spans="2:10">
      <c r="B116"/>
      <c r="G116" s="177"/>
      <c r="H116" s="177"/>
      <c r="I116" s="176"/>
      <c r="J116" s="176"/>
    </row>
    <row r="117" spans="2:10">
      <c r="B117"/>
      <c r="G117" s="177"/>
      <c r="H117" s="177"/>
      <c r="I117" s="176"/>
      <c r="J117" s="176"/>
    </row>
    <row r="118" spans="2:10">
      <c r="B118"/>
      <c r="G118" s="177"/>
      <c r="H118" s="177"/>
      <c r="I118" s="176"/>
      <c r="J118" s="176"/>
    </row>
    <row r="119" spans="2:10">
      <c r="B119"/>
      <c r="G119" s="177"/>
      <c r="H119" s="177"/>
      <c r="I119" s="176"/>
      <c r="J119" s="176"/>
    </row>
    <row r="120" spans="2:10">
      <c r="B120"/>
      <c r="G120" s="177"/>
      <c r="H120" s="177"/>
      <c r="I120" s="176"/>
      <c r="J120" s="176"/>
    </row>
    <row r="121" spans="2:10">
      <c r="B121"/>
      <c r="G121" s="177"/>
      <c r="H121" s="177"/>
      <c r="I121" s="176"/>
      <c r="J121" s="176"/>
    </row>
    <row r="122" spans="2:10">
      <c r="B122"/>
      <c r="G122" s="177"/>
      <c r="H122" s="177"/>
      <c r="I122" s="176"/>
      <c r="J122" s="176"/>
    </row>
    <row r="123" spans="2:10">
      <c r="B123"/>
      <c r="G123" s="177"/>
      <c r="H123" s="177"/>
      <c r="I123" s="176"/>
      <c r="J123" s="176"/>
    </row>
    <row r="124" spans="2:10">
      <c r="B124"/>
      <c r="G124" s="177"/>
      <c r="H124" s="177"/>
      <c r="I124" s="176"/>
      <c r="J124" s="176"/>
    </row>
    <row r="125" spans="2:10">
      <c r="B125"/>
      <c r="G125" s="177"/>
      <c r="H125" s="177"/>
      <c r="I125" s="176"/>
      <c r="J125" s="176"/>
    </row>
    <row r="126" spans="2:10">
      <c r="B126"/>
      <c r="G126" s="177"/>
      <c r="H126" s="177"/>
      <c r="I126" s="176"/>
      <c r="J126" s="176"/>
    </row>
    <row r="127" spans="2:10">
      <c r="B127"/>
      <c r="G127" s="177"/>
      <c r="H127" s="177"/>
      <c r="I127" s="176"/>
      <c r="J127" s="176"/>
    </row>
    <row r="128" spans="2:10">
      <c r="B128"/>
      <c r="G128" s="177"/>
      <c r="H128" s="177"/>
      <c r="I128" s="176"/>
      <c r="J128" s="176"/>
    </row>
    <row r="129" spans="2:10">
      <c r="B129"/>
      <c r="G129" s="177"/>
      <c r="H129" s="177"/>
      <c r="I129" s="176"/>
      <c r="J129" s="176"/>
    </row>
    <row r="130" spans="2:10">
      <c r="B130"/>
      <c r="G130" s="177"/>
      <c r="H130" s="177"/>
      <c r="I130" s="176"/>
      <c r="J130" s="176"/>
    </row>
    <row r="131" spans="2:10">
      <c r="B131"/>
      <c r="G131" s="177"/>
      <c r="H131" s="177"/>
      <c r="I131" s="176"/>
      <c r="J131" s="176"/>
    </row>
    <row r="132" spans="2:10">
      <c r="B132"/>
      <c r="G132" s="177"/>
      <c r="H132" s="177"/>
      <c r="I132" s="176"/>
      <c r="J132" s="176"/>
    </row>
    <row r="133" spans="2:10">
      <c r="B133"/>
      <c r="G133" s="177"/>
      <c r="H133" s="177"/>
      <c r="I133" s="176"/>
      <c r="J133" s="176"/>
    </row>
    <row r="134" spans="2:10">
      <c r="B134"/>
      <c r="G134" s="177"/>
      <c r="H134" s="177"/>
      <c r="I134" s="176"/>
      <c r="J134" s="176"/>
    </row>
    <row r="135" spans="2:10">
      <c r="B135"/>
      <c r="G135" s="177"/>
      <c r="H135" s="177"/>
      <c r="I135" s="176"/>
      <c r="J135" s="176"/>
    </row>
    <row r="136" spans="2:10">
      <c r="B136"/>
      <c r="G136" s="177"/>
      <c r="H136" s="177"/>
      <c r="I136" s="176"/>
      <c r="J136" s="176"/>
    </row>
    <row r="137" spans="2:10">
      <c r="B137"/>
      <c r="G137" s="177"/>
      <c r="H137" s="177"/>
      <c r="I137" s="176"/>
      <c r="J137" s="176"/>
    </row>
    <row r="138" spans="2:10">
      <c r="B138"/>
      <c r="G138" s="177"/>
      <c r="H138" s="177"/>
      <c r="I138" s="176"/>
      <c r="J138" s="176"/>
    </row>
    <row r="139" spans="2:10">
      <c r="B139"/>
      <c r="G139" s="177"/>
      <c r="H139" s="177"/>
      <c r="I139" s="176"/>
      <c r="J139" s="176"/>
    </row>
    <row r="140" spans="2:10">
      <c r="B140"/>
      <c r="G140" s="177"/>
      <c r="H140" s="177"/>
      <c r="I140" s="176"/>
      <c r="J140" s="176"/>
    </row>
    <row r="141" spans="2:10">
      <c r="B141"/>
      <c r="G141" s="177"/>
      <c r="H141" s="177"/>
      <c r="I141" s="176"/>
      <c r="J141" s="176"/>
    </row>
    <row r="142" spans="2:10">
      <c r="B142"/>
      <c r="G142" s="177"/>
      <c r="H142" s="177"/>
      <c r="I142" s="176"/>
      <c r="J142" s="176"/>
    </row>
    <row r="143" spans="2:10">
      <c r="B143"/>
      <c r="G143" s="177"/>
      <c r="H143" s="177"/>
      <c r="I143" s="176"/>
      <c r="J143" s="176"/>
    </row>
    <row r="144" spans="2:10">
      <c r="B144"/>
      <c r="G144" s="177"/>
      <c r="H144" s="177"/>
      <c r="I144" s="176"/>
      <c r="J144" s="176"/>
    </row>
    <row r="145" spans="2:10">
      <c r="B145"/>
      <c r="G145" s="177"/>
      <c r="H145" s="177"/>
      <c r="I145" s="176"/>
      <c r="J145" s="176"/>
    </row>
    <row r="146" spans="2:10">
      <c r="B146"/>
      <c r="G146" s="177"/>
      <c r="H146" s="177"/>
      <c r="I146" s="176"/>
      <c r="J146" s="176"/>
    </row>
    <row r="147" spans="2:10">
      <c r="B147"/>
      <c r="G147" s="177"/>
      <c r="H147" s="177"/>
      <c r="I147" s="176"/>
      <c r="J147" s="176"/>
    </row>
    <row r="148" spans="2:10">
      <c r="B148"/>
      <c r="G148" s="177"/>
      <c r="H148" s="177"/>
      <c r="I148" s="176"/>
      <c r="J148" s="176"/>
    </row>
    <row r="149" spans="2:10">
      <c r="B149"/>
      <c r="G149" s="177"/>
      <c r="H149" s="177"/>
      <c r="I149" s="176"/>
      <c r="J149" s="176"/>
    </row>
    <row r="150" spans="2:10">
      <c r="B150"/>
      <c r="G150" s="177"/>
      <c r="H150" s="177"/>
      <c r="I150" s="176"/>
      <c r="J150" s="176"/>
    </row>
    <row r="151" spans="2:10">
      <c r="B151"/>
      <c r="G151" s="177"/>
      <c r="H151" s="177"/>
      <c r="I151" s="176"/>
      <c r="J151" s="176"/>
    </row>
    <row r="152" spans="2:10">
      <c r="B152"/>
      <c r="G152" s="177"/>
      <c r="H152" s="177"/>
      <c r="I152" s="176"/>
      <c r="J152" s="176"/>
    </row>
    <row r="153" spans="2:10">
      <c r="B153"/>
      <c r="G153" s="177"/>
      <c r="H153" s="177"/>
      <c r="I153" s="176"/>
      <c r="J153" s="176"/>
    </row>
    <row r="154" spans="2:10">
      <c r="B154"/>
      <c r="G154" s="177"/>
      <c r="H154" s="177"/>
      <c r="I154" s="176"/>
      <c r="J154" s="176"/>
    </row>
    <row r="155" spans="2:10">
      <c r="B155"/>
      <c r="G155" s="177"/>
      <c r="H155" s="177"/>
      <c r="I155" s="176"/>
      <c r="J155" s="176"/>
    </row>
    <row r="156" spans="2:10">
      <c r="B156"/>
      <c r="G156" s="177"/>
      <c r="H156" s="177"/>
      <c r="I156" s="176"/>
      <c r="J156" s="176"/>
    </row>
    <row r="157" spans="2:10">
      <c r="B157"/>
      <c r="G157" s="177"/>
      <c r="H157" s="177"/>
      <c r="I157" s="176"/>
      <c r="J157" s="176"/>
    </row>
    <row r="158" spans="2:10">
      <c r="B158"/>
      <c r="G158" s="177"/>
      <c r="H158" s="177"/>
      <c r="I158" s="176"/>
      <c r="J158" s="176"/>
    </row>
    <row r="159" spans="2:10">
      <c r="B159"/>
      <c r="G159" s="177"/>
      <c r="H159" s="177"/>
      <c r="I159" s="176"/>
      <c r="J159" s="176"/>
    </row>
    <row r="160" spans="2:10">
      <c r="B160"/>
      <c r="G160" s="177"/>
      <c r="H160" s="177"/>
      <c r="I160" s="176"/>
      <c r="J160" s="176"/>
    </row>
    <row r="161" spans="2:10">
      <c r="B161"/>
      <c r="G161" s="177"/>
      <c r="H161" s="177"/>
      <c r="I161" s="176"/>
      <c r="J161" s="176"/>
    </row>
    <row r="162" spans="2:10">
      <c r="B162"/>
      <c r="G162" s="177"/>
      <c r="H162" s="177"/>
      <c r="I162" s="176"/>
      <c r="J162" s="176"/>
    </row>
  </sheetData>
  <mergeCells count="1">
    <mergeCell ref="A1:Q2"/>
  </mergeCells>
  <conditionalFormatting sqref="K6:K1048576">
    <cfRule type="containsText" dxfId="3" priority="3" operator="containsText" text="OVER">
      <formula>NOT(ISERROR(SEARCH("OVER",K6)))</formula>
    </cfRule>
  </conditionalFormatting>
  <conditionalFormatting sqref="I5">
    <cfRule type="cellIs" dxfId="2" priority="1" operator="lessThanOr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E22" activePane="bottomRight" state="frozen"/>
      <selection activeCell="C4" sqref="C4"/>
      <selection pane="topRight" activeCell="C4" sqref="C4"/>
      <selection pane="bottomLeft" activeCell="C4" sqref="C4"/>
      <selection pane="bottomRight" activeCell="F33" sqref="F33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82"/>
      <c r="B1" s="211" t="s">
        <v>480</v>
      </c>
      <c r="C1" s="211"/>
      <c r="D1" s="211"/>
      <c r="E1" s="212"/>
      <c r="F1" s="212"/>
      <c r="G1" s="212"/>
      <c r="H1" s="212"/>
      <c r="I1" s="212"/>
      <c r="J1" s="212"/>
      <c r="K1" s="212"/>
      <c r="L1" s="212"/>
      <c r="M1" s="212"/>
      <c r="N1" s="82"/>
    </row>
    <row r="2" spans="1:14">
      <c r="A2" s="82"/>
      <c r="B2" s="211"/>
      <c r="C2" s="211"/>
      <c r="D2" s="211"/>
      <c r="E2" s="212"/>
      <c r="F2" s="212"/>
      <c r="G2" s="212"/>
      <c r="H2" s="212"/>
      <c r="I2" s="212"/>
      <c r="J2" s="212"/>
      <c r="K2" s="212"/>
      <c r="L2" s="212"/>
      <c r="M2" s="212"/>
      <c r="N2" s="82"/>
    </row>
    <row r="3" spans="1:14">
      <c r="A3" s="82"/>
      <c r="B3" s="211"/>
      <c r="C3" s="211"/>
      <c r="D3" s="211"/>
      <c r="E3" s="209" t="s">
        <v>525</v>
      </c>
      <c r="F3" s="209"/>
      <c r="G3" s="209"/>
      <c r="H3" s="209"/>
      <c r="I3" s="210" t="s">
        <v>6</v>
      </c>
      <c r="J3" s="210"/>
      <c r="K3" s="210"/>
      <c r="L3" s="210"/>
      <c r="M3" s="210"/>
      <c r="N3" s="82"/>
    </row>
    <row r="4" spans="1:14" s="57" customFormat="1" ht="24" customHeight="1">
      <c r="A4" s="83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32" t="s">
        <v>374</v>
      </c>
      <c r="J4" s="32" t="s">
        <v>483</v>
      </c>
      <c r="K4" s="32" t="s">
        <v>484</v>
      </c>
      <c r="L4" s="32" t="s">
        <v>486</v>
      </c>
      <c r="M4" s="32" t="s">
        <v>485</v>
      </c>
      <c r="N4" s="83"/>
    </row>
    <row r="5" spans="1:14" hidden="1">
      <c r="A5" s="82"/>
      <c r="B5" s="21" t="s">
        <v>487</v>
      </c>
      <c r="C5" s="21" t="s">
        <v>488</v>
      </c>
      <c r="D5" s="84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22"/>
      <c r="J5" s="23"/>
      <c r="K5" s="22">
        <v>100</v>
      </c>
      <c r="L5" s="24">
        <f>M5/K5</f>
        <v>0.75</v>
      </c>
      <c r="M5" s="22">
        <v>75</v>
      </c>
      <c r="N5" s="82"/>
    </row>
    <row r="6" spans="1:14" hidden="1">
      <c r="A6" s="82"/>
      <c r="B6" s="21"/>
      <c r="C6" s="21" t="s">
        <v>489</v>
      </c>
      <c r="D6" s="84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22"/>
      <c r="J6" s="23"/>
      <c r="K6" s="22">
        <v>101</v>
      </c>
      <c r="L6" s="25">
        <f>M6/K6</f>
        <v>0.59405940594059403</v>
      </c>
      <c r="M6" s="22">
        <v>60</v>
      </c>
      <c r="N6" s="82"/>
    </row>
    <row r="7" spans="1:14" hidden="1">
      <c r="A7" s="82"/>
      <c r="B7" s="21"/>
      <c r="C7" s="21" t="s">
        <v>490</v>
      </c>
      <c r="D7" s="84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22"/>
      <c r="J7" s="23"/>
      <c r="K7" s="22"/>
      <c r="L7" s="22"/>
      <c r="M7" s="22"/>
      <c r="N7" s="82"/>
    </row>
    <row r="8" spans="1:14" hidden="1">
      <c r="A8" s="82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27"/>
      <c r="J8" s="22"/>
      <c r="K8" s="22"/>
      <c r="L8" s="22"/>
      <c r="M8" s="22"/>
      <c r="N8" s="82"/>
    </row>
    <row r="9" spans="1:14" hidden="1">
      <c r="A9" s="82"/>
      <c r="B9" s="21"/>
      <c r="C9" s="21" t="s">
        <v>492</v>
      </c>
      <c r="D9" s="84">
        <v>0.45</v>
      </c>
      <c r="E9" s="22"/>
      <c r="F9" s="22"/>
      <c r="G9" s="22">
        <f t="shared" si="0"/>
        <v>0</v>
      </c>
      <c r="H9" s="22">
        <f t="shared" si="1"/>
        <v>0</v>
      </c>
      <c r="I9" s="22"/>
      <c r="J9" s="22"/>
      <c r="K9" s="22"/>
      <c r="L9" s="22"/>
      <c r="M9" s="22"/>
      <c r="N9" s="82"/>
    </row>
    <row r="10" spans="1:14" hidden="1">
      <c r="A10" s="82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27"/>
      <c r="J10" s="22"/>
      <c r="K10" s="22"/>
      <c r="L10" s="22"/>
      <c r="M10" s="22"/>
      <c r="N10" s="82"/>
    </row>
    <row r="11" spans="1:14" hidden="1">
      <c r="A11" s="82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27"/>
      <c r="J11" s="22"/>
      <c r="K11" s="22"/>
      <c r="L11" s="22"/>
      <c r="M11" s="22"/>
      <c r="N11" s="82"/>
    </row>
    <row r="12" spans="1:14" hidden="1">
      <c r="A12" s="82"/>
      <c r="B12" s="21"/>
      <c r="C12" s="21" t="s">
        <v>495</v>
      </c>
      <c r="D12" s="84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22"/>
      <c r="J12" s="23"/>
      <c r="K12" s="22"/>
      <c r="L12" s="22"/>
      <c r="M12" s="22"/>
      <c r="N12" s="82"/>
    </row>
    <row r="13" spans="1:14" hidden="1">
      <c r="A13" s="82"/>
      <c r="B13" s="21"/>
      <c r="C13" s="21" t="s">
        <v>496</v>
      </c>
      <c r="D13" s="84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22"/>
      <c r="J13" s="22"/>
      <c r="K13" s="22"/>
      <c r="L13" s="22"/>
      <c r="M13" s="22"/>
      <c r="N13" s="82"/>
    </row>
    <row r="14" spans="1:14" hidden="1">
      <c r="A14" s="82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22"/>
      <c r="J14" s="23"/>
      <c r="K14" s="22"/>
      <c r="L14" s="22"/>
      <c r="M14" s="22"/>
      <c r="N14" s="82"/>
    </row>
    <row r="15" spans="1:14" hidden="1">
      <c r="A15" s="82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22"/>
      <c r="J15" s="23"/>
      <c r="K15" s="22"/>
      <c r="L15" s="22"/>
      <c r="M15" s="22"/>
      <c r="N15" s="82"/>
    </row>
    <row r="16" spans="1:14" hidden="1">
      <c r="A16" s="82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27"/>
      <c r="J16" s="22"/>
      <c r="K16" s="22"/>
      <c r="L16" s="22"/>
      <c r="M16" s="22"/>
      <c r="N16" s="82"/>
    </row>
    <row r="17" spans="1:14" hidden="1">
      <c r="A17" s="82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27"/>
      <c r="J17" s="22"/>
      <c r="K17" s="22"/>
      <c r="L17" s="22"/>
      <c r="M17" s="22"/>
      <c r="N17" s="82"/>
    </row>
    <row r="18" spans="1:14" hidden="1">
      <c r="A18" s="82"/>
      <c r="B18" s="58" t="s">
        <v>501</v>
      </c>
      <c r="C18" s="59"/>
      <c r="D18" s="85"/>
      <c r="E18" s="60">
        <f t="shared" ref="E18:K18" si="2">SUM(E5:E17)</f>
        <v>178564.09</v>
      </c>
      <c r="F18" s="60">
        <f t="shared" si="2"/>
        <v>2582489.3300000005</v>
      </c>
      <c r="G18" s="60">
        <f t="shared" si="2"/>
        <v>2761053.4200000009</v>
      </c>
      <c r="H18" s="60">
        <f t="shared" si="2"/>
        <v>1612298.0089500002</v>
      </c>
      <c r="I18" s="60">
        <f t="shared" si="2"/>
        <v>0</v>
      </c>
      <c r="J18" s="60">
        <f t="shared" si="2"/>
        <v>0</v>
      </c>
      <c r="K18" s="60">
        <f t="shared" si="2"/>
        <v>201</v>
      </c>
      <c r="L18" s="60"/>
      <c r="M18" s="60">
        <f>SUM(M5:M17)</f>
        <v>135</v>
      </c>
      <c r="N18" s="82"/>
    </row>
    <row r="19" spans="1:14">
      <c r="A19" s="82"/>
      <c r="B19" s="61" t="s">
        <v>502</v>
      </c>
      <c r="C19" s="61" t="s">
        <v>488</v>
      </c>
      <c r="D19" s="86">
        <v>0.61</v>
      </c>
      <c r="E19" s="62"/>
      <c r="F19" s="62">
        <v>1450597.52</v>
      </c>
      <c r="G19" s="62">
        <f t="shared" si="0"/>
        <v>1450597.52</v>
      </c>
      <c r="H19" s="62">
        <f t="shared" ref="H19:H57" si="3">D19*G19</f>
        <v>884864.48719999997</v>
      </c>
      <c r="I19" s="62"/>
      <c r="J19" s="62"/>
      <c r="K19" s="62"/>
      <c r="L19" s="150">
        <f>IFERROR(M19/K19,0)</f>
        <v>0</v>
      </c>
      <c r="M19" s="62"/>
      <c r="N19" s="82"/>
    </row>
    <row r="20" spans="1:14">
      <c r="A20" s="82"/>
      <c r="B20" s="73"/>
      <c r="C20" s="73" t="s">
        <v>503</v>
      </c>
      <c r="D20" s="87">
        <v>0.61</v>
      </c>
      <c r="E20" s="74"/>
      <c r="F20" s="74">
        <v>65338.92</v>
      </c>
      <c r="G20" s="74">
        <f t="shared" si="0"/>
        <v>65338.92</v>
      </c>
      <c r="H20" s="74">
        <f>D20*G20</f>
        <v>39856.741199999997</v>
      </c>
      <c r="I20" s="74"/>
      <c r="J20" s="74"/>
      <c r="K20" s="74"/>
      <c r="L20" s="151">
        <f t="shared" ref="L20:L36" si="4">IFERROR(M20/K20,0)</f>
        <v>0</v>
      </c>
      <c r="M20" s="74"/>
      <c r="N20" s="82"/>
    </row>
    <row r="21" spans="1:14">
      <c r="A21" s="82"/>
      <c r="B21" s="61"/>
      <c r="C21" s="61" t="s">
        <v>504</v>
      </c>
      <c r="D21" s="86">
        <v>0.7</v>
      </c>
      <c r="E21" s="62"/>
      <c r="F21" s="62">
        <v>836.76</v>
      </c>
      <c r="G21" s="62">
        <f t="shared" si="0"/>
        <v>836.76</v>
      </c>
      <c r="H21" s="62">
        <f>D21*G21</f>
        <v>585.73199999999997</v>
      </c>
      <c r="I21" s="62"/>
      <c r="J21" s="62"/>
      <c r="K21" s="62"/>
      <c r="L21" s="150">
        <f t="shared" si="4"/>
        <v>0</v>
      </c>
      <c r="M21" s="62"/>
      <c r="N21" s="82"/>
    </row>
    <row r="22" spans="1:14">
      <c r="A22" s="82"/>
      <c r="B22" s="73"/>
      <c r="C22" s="73" t="s">
        <v>505</v>
      </c>
      <c r="D22" s="87">
        <v>0.7</v>
      </c>
      <c r="E22" s="74"/>
      <c r="F22" s="74">
        <v>64138</v>
      </c>
      <c r="G22" s="74">
        <f t="shared" si="0"/>
        <v>64138</v>
      </c>
      <c r="H22" s="74">
        <f t="shared" si="3"/>
        <v>44896.6</v>
      </c>
      <c r="I22" s="74"/>
      <c r="J22" s="74"/>
      <c r="K22" s="74"/>
      <c r="L22" s="151">
        <f t="shared" si="4"/>
        <v>0</v>
      </c>
      <c r="M22" s="74"/>
      <c r="N22" s="82"/>
    </row>
    <row r="23" spans="1:14">
      <c r="A23" s="82"/>
      <c r="B23" s="61"/>
      <c r="C23" s="61" t="s">
        <v>489</v>
      </c>
      <c r="D23" s="86">
        <v>0.7</v>
      </c>
      <c r="E23" s="62"/>
      <c r="F23" s="62">
        <v>70044</v>
      </c>
      <c r="G23" s="62">
        <f t="shared" si="0"/>
        <v>70044</v>
      </c>
      <c r="H23" s="62">
        <f t="shared" si="3"/>
        <v>49030.799999999996</v>
      </c>
      <c r="I23" s="62"/>
      <c r="J23" s="62"/>
      <c r="K23" s="62"/>
      <c r="L23" s="150">
        <f t="shared" si="4"/>
        <v>0</v>
      </c>
      <c r="M23" s="62"/>
      <c r="N23" s="82"/>
    </row>
    <row r="24" spans="1:14">
      <c r="A24" s="82"/>
      <c r="B24" s="73"/>
      <c r="C24" s="73" t="s">
        <v>490</v>
      </c>
      <c r="D24" s="87">
        <v>0.63</v>
      </c>
      <c r="E24" s="74"/>
      <c r="F24" s="74">
        <v>17403.52</v>
      </c>
      <c r="G24" s="74">
        <f t="shared" si="0"/>
        <v>17403.52</v>
      </c>
      <c r="H24" s="74">
        <f t="shared" si="3"/>
        <v>10964.2176</v>
      </c>
      <c r="I24" s="74"/>
      <c r="J24" s="74"/>
      <c r="K24" s="74"/>
      <c r="L24" s="151">
        <f t="shared" si="4"/>
        <v>0</v>
      </c>
      <c r="M24" s="74"/>
      <c r="N24" s="82"/>
    </row>
    <row r="25" spans="1:14">
      <c r="A25" s="82"/>
      <c r="B25" s="61"/>
      <c r="C25" s="61" t="s">
        <v>492</v>
      </c>
      <c r="D25" s="86">
        <v>0.45</v>
      </c>
      <c r="E25" s="62"/>
      <c r="F25" s="62">
        <v>95918.720000000001</v>
      </c>
      <c r="G25" s="62">
        <f t="shared" si="0"/>
        <v>95918.720000000001</v>
      </c>
      <c r="H25" s="62">
        <f t="shared" si="3"/>
        <v>43163.423999999999</v>
      </c>
      <c r="I25" s="62"/>
      <c r="J25" s="62"/>
      <c r="K25" s="62"/>
      <c r="L25" s="150">
        <f t="shared" si="4"/>
        <v>0</v>
      </c>
      <c r="M25" s="62"/>
      <c r="N25" s="82"/>
    </row>
    <row r="26" spans="1:14">
      <c r="A26" s="82"/>
      <c r="B26" s="73"/>
      <c r="C26" s="73" t="s">
        <v>493</v>
      </c>
      <c r="D26" s="75">
        <v>5.5E-2</v>
      </c>
      <c r="E26" s="74">
        <v>30458.5</v>
      </c>
      <c r="F26" s="74"/>
      <c r="G26" s="74">
        <f t="shared" si="0"/>
        <v>30458.5</v>
      </c>
      <c r="H26" s="74">
        <f t="shared" si="3"/>
        <v>1675.2175</v>
      </c>
      <c r="I26" s="74"/>
      <c r="J26" s="74"/>
      <c r="K26" s="74"/>
      <c r="L26" s="151">
        <f t="shared" si="4"/>
        <v>0</v>
      </c>
      <c r="M26" s="74"/>
      <c r="N26" s="82"/>
    </row>
    <row r="27" spans="1:14">
      <c r="A27" s="82"/>
      <c r="B27" s="61"/>
      <c r="C27" s="61" t="s">
        <v>506</v>
      </c>
      <c r="D27" s="66">
        <v>5.5E-2</v>
      </c>
      <c r="E27" s="62"/>
      <c r="F27" s="62"/>
      <c r="G27" s="62">
        <f t="shared" si="0"/>
        <v>0</v>
      </c>
      <c r="H27" s="62">
        <f t="shared" si="3"/>
        <v>0</v>
      </c>
      <c r="I27" s="62"/>
      <c r="J27" s="62"/>
      <c r="K27" s="62"/>
      <c r="L27" s="150">
        <f t="shared" si="4"/>
        <v>0</v>
      </c>
      <c r="M27" s="62"/>
      <c r="N27" s="82"/>
    </row>
    <row r="28" spans="1:14">
      <c r="A28" s="82"/>
      <c r="B28" s="73"/>
      <c r="C28" s="73" t="s">
        <v>494</v>
      </c>
      <c r="D28" s="75">
        <v>5.5E-2</v>
      </c>
      <c r="E28" s="74">
        <v>7793.7</v>
      </c>
      <c r="F28" s="74"/>
      <c r="G28" s="74">
        <f t="shared" si="0"/>
        <v>7793.7</v>
      </c>
      <c r="H28" s="74">
        <f t="shared" si="3"/>
        <v>428.65350000000001</v>
      </c>
      <c r="I28" s="74"/>
      <c r="J28" s="74"/>
      <c r="K28" s="74"/>
      <c r="L28" s="151">
        <f t="shared" si="4"/>
        <v>0</v>
      </c>
      <c r="M28" s="74"/>
      <c r="N28" s="82"/>
    </row>
    <row r="29" spans="1:14">
      <c r="A29" s="82"/>
      <c r="B29" s="61"/>
      <c r="C29" s="61" t="s">
        <v>507</v>
      </c>
      <c r="D29" s="86">
        <v>0.63349999999999995</v>
      </c>
      <c r="E29" s="62"/>
      <c r="F29" s="62">
        <v>262667.52000000002</v>
      </c>
      <c r="G29" s="62">
        <f t="shared" si="0"/>
        <v>262667.52000000002</v>
      </c>
      <c r="H29" s="62">
        <f t="shared" si="3"/>
        <v>166399.87392000001</v>
      </c>
      <c r="I29" s="62"/>
      <c r="J29" s="62"/>
      <c r="K29" s="62"/>
      <c r="L29" s="150">
        <f t="shared" si="4"/>
        <v>0</v>
      </c>
      <c r="M29" s="62"/>
      <c r="N29" s="82"/>
    </row>
    <row r="30" spans="1:14">
      <c r="A30" s="82"/>
      <c r="B30" s="73"/>
      <c r="C30" s="73" t="s">
        <v>508</v>
      </c>
      <c r="D30" s="87"/>
      <c r="E30" s="74"/>
      <c r="F30" s="74"/>
      <c r="G30" s="74">
        <f t="shared" si="0"/>
        <v>0</v>
      </c>
      <c r="H30" s="74"/>
      <c r="I30" s="74"/>
      <c r="J30" s="74"/>
      <c r="K30" s="74"/>
      <c r="L30" s="151">
        <f t="shared" si="4"/>
        <v>0</v>
      </c>
      <c r="M30" s="74"/>
      <c r="N30" s="82"/>
    </row>
    <row r="31" spans="1:14">
      <c r="A31" s="82"/>
      <c r="B31" s="61"/>
      <c r="C31" s="61" t="s">
        <v>509</v>
      </c>
      <c r="D31" s="86">
        <v>0.61</v>
      </c>
      <c r="E31" s="62"/>
      <c r="F31" s="62">
        <v>20103.18</v>
      </c>
      <c r="G31" s="62">
        <f t="shared" si="0"/>
        <v>20103.18</v>
      </c>
      <c r="H31" s="62">
        <f t="shared" si="3"/>
        <v>12262.9398</v>
      </c>
      <c r="I31" s="62"/>
      <c r="J31" s="62"/>
      <c r="K31" s="62"/>
      <c r="L31" s="150">
        <f t="shared" si="4"/>
        <v>0</v>
      </c>
      <c r="M31" s="62"/>
      <c r="N31" s="82"/>
    </row>
    <row r="32" spans="1:14">
      <c r="A32" s="82"/>
      <c r="B32" s="73"/>
      <c r="C32" s="73" t="s">
        <v>510</v>
      </c>
      <c r="D32" s="75">
        <v>0.6</v>
      </c>
      <c r="E32" s="74"/>
      <c r="F32" s="74">
        <v>2760</v>
      </c>
      <c r="G32" s="74">
        <f t="shared" si="0"/>
        <v>2760</v>
      </c>
      <c r="H32" s="74">
        <f t="shared" si="3"/>
        <v>1656</v>
      </c>
      <c r="I32" s="74"/>
      <c r="J32" s="74"/>
      <c r="K32" s="74"/>
      <c r="L32" s="151">
        <f t="shared" si="4"/>
        <v>0</v>
      </c>
      <c r="M32" s="74"/>
      <c r="N32" s="82"/>
    </row>
    <row r="33" spans="1:14">
      <c r="A33" s="82"/>
      <c r="B33" s="61"/>
      <c r="C33" s="61" t="s">
        <v>496</v>
      </c>
      <c r="D33" s="86">
        <v>0.61</v>
      </c>
      <c r="E33" s="62"/>
      <c r="F33" s="62">
        <v>10000</v>
      </c>
      <c r="G33" s="62">
        <f t="shared" si="0"/>
        <v>10000</v>
      </c>
      <c r="H33" s="62">
        <f t="shared" si="3"/>
        <v>6100</v>
      </c>
      <c r="I33" s="62"/>
      <c r="J33" s="62"/>
      <c r="K33" s="62"/>
      <c r="L33" s="150">
        <f t="shared" si="4"/>
        <v>0</v>
      </c>
      <c r="M33" s="62"/>
      <c r="N33" s="82"/>
    </row>
    <row r="34" spans="1:14">
      <c r="A34" s="82"/>
      <c r="B34" s="73"/>
      <c r="C34" s="73" t="s">
        <v>511</v>
      </c>
      <c r="D34" s="76">
        <v>0.35</v>
      </c>
      <c r="E34" s="74"/>
      <c r="F34" s="74"/>
      <c r="G34" s="74">
        <f t="shared" si="0"/>
        <v>0</v>
      </c>
      <c r="H34" s="74">
        <f t="shared" si="3"/>
        <v>0</v>
      </c>
      <c r="I34" s="74"/>
      <c r="J34" s="74"/>
      <c r="K34" s="74"/>
      <c r="L34" s="151">
        <f t="shared" si="4"/>
        <v>0</v>
      </c>
      <c r="M34" s="74"/>
      <c r="N34" s="82"/>
    </row>
    <row r="35" spans="1:14">
      <c r="A35" s="82"/>
      <c r="B35" s="61"/>
      <c r="C35" s="61" t="s">
        <v>499</v>
      </c>
      <c r="D35" s="66">
        <v>2.3E-2</v>
      </c>
      <c r="E35" s="62">
        <v>18573</v>
      </c>
      <c r="F35" s="62"/>
      <c r="G35" s="62">
        <f t="shared" si="0"/>
        <v>18573</v>
      </c>
      <c r="H35" s="62">
        <f t="shared" si="3"/>
        <v>427.17899999999997</v>
      </c>
      <c r="I35" s="62"/>
      <c r="J35" s="62"/>
      <c r="K35" s="62"/>
      <c r="L35" s="150">
        <f t="shared" si="4"/>
        <v>0</v>
      </c>
      <c r="M35" s="62"/>
      <c r="N35" s="82"/>
    </row>
    <row r="36" spans="1:14">
      <c r="A36" s="82"/>
      <c r="B36" s="73"/>
      <c r="C36" s="73" t="s">
        <v>512</v>
      </c>
      <c r="D36" s="77">
        <v>0.7</v>
      </c>
      <c r="E36" s="74"/>
      <c r="F36" s="74"/>
      <c r="G36" s="74">
        <f t="shared" si="0"/>
        <v>0</v>
      </c>
      <c r="H36" s="74">
        <f t="shared" si="3"/>
        <v>0</v>
      </c>
      <c r="I36" s="74"/>
      <c r="J36" s="74"/>
      <c r="K36" s="74"/>
      <c r="L36" s="151">
        <f t="shared" si="4"/>
        <v>0</v>
      </c>
      <c r="M36" s="74"/>
      <c r="N36" s="82"/>
    </row>
    <row r="37" spans="1:14">
      <c r="A37" s="82"/>
      <c r="B37" s="78" t="s">
        <v>513</v>
      </c>
      <c r="C37" s="78"/>
      <c r="D37" s="88"/>
      <c r="E37" s="79">
        <f t="shared" ref="E37:K37" si="5">SUM(E19:E36)</f>
        <v>56825.2</v>
      </c>
      <c r="F37" s="79">
        <f t="shared" si="5"/>
        <v>2059808.14</v>
      </c>
      <c r="G37" s="79">
        <f t="shared" si="5"/>
        <v>2116633.34</v>
      </c>
      <c r="H37" s="79">
        <f t="shared" si="5"/>
        <v>1262311.8657199999</v>
      </c>
      <c r="I37" s="79">
        <f t="shared" si="5"/>
        <v>0</v>
      </c>
      <c r="J37" s="79">
        <f t="shared" si="5"/>
        <v>0</v>
      </c>
      <c r="K37" s="79">
        <f t="shared" si="5"/>
        <v>0</v>
      </c>
      <c r="L37" s="79"/>
      <c r="M37" s="79">
        <f>SUM(M19:M36)</f>
        <v>0</v>
      </c>
      <c r="N37" s="82"/>
    </row>
    <row r="38" spans="1:14" hidden="1">
      <c r="A38" s="82"/>
      <c r="B38" s="63" t="s">
        <v>514</v>
      </c>
      <c r="C38" s="63" t="s">
        <v>488</v>
      </c>
      <c r="D38" s="89">
        <v>0.61</v>
      </c>
      <c r="E38" s="64"/>
      <c r="F38" s="64">
        <v>1457803.8</v>
      </c>
      <c r="G38" s="64">
        <f t="shared" si="0"/>
        <v>1457803.8</v>
      </c>
      <c r="H38" s="64">
        <f t="shared" si="3"/>
        <v>889260.31799999997</v>
      </c>
      <c r="I38" s="64"/>
      <c r="J38" s="64"/>
      <c r="K38" s="64"/>
      <c r="L38" s="64"/>
      <c r="M38" s="64"/>
      <c r="N38" s="82"/>
    </row>
    <row r="39" spans="1:14" hidden="1">
      <c r="A39" s="82"/>
      <c r="B39" s="63"/>
      <c r="C39" s="63" t="s">
        <v>503</v>
      </c>
      <c r="D39" s="89">
        <v>0.61</v>
      </c>
      <c r="E39" s="64"/>
      <c r="F39" s="64">
        <v>73096.56</v>
      </c>
      <c r="G39" s="64">
        <f t="shared" si="0"/>
        <v>73096.56</v>
      </c>
      <c r="H39" s="64">
        <f t="shared" si="3"/>
        <v>44588.901599999997</v>
      </c>
      <c r="I39" s="64"/>
      <c r="J39" s="64"/>
      <c r="K39" s="64"/>
      <c r="L39" s="64"/>
      <c r="M39" s="64"/>
      <c r="N39" s="82"/>
    </row>
    <row r="40" spans="1:14" hidden="1">
      <c r="A40" s="82"/>
      <c r="B40" s="63"/>
      <c r="C40" s="63" t="s">
        <v>505</v>
      </c>
      <c r="D40" s="89">
        <v>0.7</v>
      </c>
      <c r="E40" s="64"/>
      <c r="F40" s="64">
        <v>34122</v>
      </c>
      <c r="G40" s="64">
        <f t="shared" si="0"/>
        <v>34122</v>
      </c>
      <c r="H40" s="64">
        <f t="shared" si="3"/>
        <v>23885.399999999998</v>
      </c>
      <c r="I40" s="64"/>
      <c r="J40" s="64"/>
      <c r="K40" s="64"/>
      <c r="L40" s="64"/>
      <c r="M40" s="64"/>
      <c r="N40" s="82"/>
    </row>
    <row r="41" spans="1:14" hidden="1">
      <c r="A41" s="82"/>
      <c r="B41" s="63"/>
      <c r="C41" s="63" t="s">
        <v>504</v>
      </c>
      <c r="D41" s="69">
        <v>0.7</v>
      </c>
      <c r="E41" s="64"/>
      <c r="F41" s="64">
        <v>425.80645161290323</v>
      </c>
      <c r="G41" s="64">
        <f t="shared" si="0"/>
        <v>425.80645161290323</v>
      </c>
      <c r="H41" s="64">
        <f t="shared" si="3"/>
        <v>298.06451612903226</v>
      </c>
      <c r="I41" s="64"/>
      <c r="J41" s="64"/>
      <c r="K41" s="64"/>
      <c r="L41" s="64"/>
      <c r="M41" s="64"/>
      <c r="N41" s="82"/>
    </row>
    <row r="42" spans="1:14" hidden="1">
      <c r="A42" s="82"/>
      <c r="B42" s="63"/>
      <c r="C42" s="63" t="s">
        <v>515</v>
      </c>
      <c r="D42" s="89">
        <v>0.7</v>
      </c>
      <c r="E42" s="64"/>
      <c r="F42" s="64">
        <v>20873.5</v>
      </c>
      <c r="G42" s="64">
        <f t="shared" si="0"/>
        <v>20873.5</v>
      </c>
      <c r="H42" s="64">
        <f t="shared" si="3"/>
        <v>14611.449999999999</v>
      </c>
      <c r="I42" s="64"/>
      <c r="J42" s="64"/>
      <c r="K42" s="64"/>
      <c r="L42" s="64"/>
      <c r="M42" s="64"/>
      <c r="N42" s="82"/>
    </row>
    <row r="43" spans="1:14" hidden="1">
      <c r="A43" s="82"/>
      <c r="B43" s="63"/>
      <c r="C43" s="63" t="s">
        <v>489</v>
      </c>
      <c r="D43" s="89">
        <v>0.7</v>
      </c>
      <c r="E43" s="64"/>
      <c r="F43" s="64">
        <v>41792</v>
      </c>
      <c r="G43" s="64">
        <f t="shared" si="0"/>
        <v>41792</v>
      </c>
      <c r="H43" s="64">
        <f t="shared" si="3"/>
        <v>29254.399999999998</v>
      </c>
      <c r="I43" s="64"/>
      <c r="J43" s="64"/>
      <c r="K43" s="64"/>
      <c r="L43" s="64"/>
      <c r="M43" s="64"/>
      <c r="N43" s="82"/>
    </row>
    <row r="44" spans="1:14" hidden="1">
      <c r="A44" s="82"/>
      <c r="B44" s="63"/>
      <c r="C44" s="63" t="s">
        <v>516</v>
      </c>
      <c r="D44" s="72">
        <v>0.7</v>
      </c>
      <c r="E44" s="64"/>
      <c r="F44" s="64"/>
      <c r="G44" s="64">
        <f t="shared" si="0"/>
        <v>0</v>
      </c>
      <c r="H44" s="64">
        <f t="shared" si="3"/>
        <v>0</v>
      </c>
      <c r="I44" s="64"/>
      <c r="J44" s="64"/>
      <c r="K44" s="64"/>
      <c r="L44" s="64"/>
      <c r="M44" s="64"/>
      <c r="N44" s="82"/>
    </row>
    <row r="45" spans="1:14" hidden="1">
      <c r="A45" s="82"/>
      <c r="B45" s="63"/>
      <c r="C45" s="63" t="s">
        <v>490</v>
      </c>
      <c r="D45" s="89">
        <v>0.63</v>
      </c>
      <c r="E45" s="64"/>
      <c r="F45" s="64">
        <v>7651.35</v>
      </c>
      <c r="G45" s="64">
        <f t="shared" si="0"/>
        <v>7651.35</v>
      </c>
      <c r="H45" s="64">
        <f t="shared" si="3"/>
        <v>4820.3505000000005</v>
      </c>
      <c r="I45" s="64"/>
      <c r="J45" s="64"/>
      <c r="K45" s="64"/>
      <c r="L45" s="64"/>
      <c r="M45" s="64"/>
      <c r="N45" s="82"/>
    </row>
    <row r="46" spans="1:14" hidden="1">
      <c r="A46" s="82"/>
      <c r="B46" s="63"/>
      <c r="C46" s="63" t="s">
        <v>517</v>
      </c>
      <c r="D46" s="68">
        <v>0.02</v>
      </c>
      <c r="E46" s="67">
        <v>51610</v>
      </c>
      <c r="F46" s="64"/>
      <c r="G46" s="64">
        <f t="shared" si="0"/>
        <v>51610</v>
      </c>
      <c r="H46" s="64">
        <f t="shared" si="3"/>
        <v>1032.2</v>
      </c>
      <c r="I46" s="67"/>
      <c r="J46" s="64"/>
      <c r="K46" s="64"/>
      <c r="L46" s="64"/>
      <c r="M46" s="64"/>
      <c r="N46" s="82"/>
    </row>
    <row r="47" spans="1:14" hidden="1">
      <c r="A47" s="82"/>
      <c r="B47" s="63"/>
      <c r="C47" s="63" t="s">
        <v>507</v>
      </c>
      <c r="D47" s="89">
        <v>0.63349999999999995</v>
      </c>
      <c r="E47" s="67"/>
      <c r="F47" s="64">
        <v>132980</v>
      </c>
      <c r="G47" s="64">
        <f t="shared" si="0"/>
        <v>132980</v>
      </c>
      <c r="H47" s="64">
        <f t="shared" si="3"/>
        <v>84242.829999999987</v>
      </c>
      <c r="I47" s="67"/>
      <c r="J47" s="64"/>
      <c r="K47" s="64"/>
      <c r="L47" s="64"/>
      <c r="M47" s="64"/>
      <c r="N47" s="82"/>
    </row>
    <row r="48" spans="1:14" hidden="1">
      <c r="A48" s="82"/>
      <c r="B48" s="63"/>
      <c r="C48" s="63" t="s">
        <v>493</v>
      </c>
      <c r="D48" s="65">
        <v>5.5E-2</v>
      </c>
      <c r="E48" s="64">
        <v>48912.75</v>
      </c>
      <c r="F48" s="64"/>
      <c r="G48" s="64">
        <f t="shared" si="0"/>
        <v>48912.75</v>
      </c>
      <c r="H48" s="64">
        <f t="shared" si="3"/>
        <v>2690.2012500000001</v>
      </c>
      <c r="I48" s="64"/>
      <c r="J48" s="64"/>
      <c r="K48" s="64"/>
      <c r="L48" s="64"/>
      <c r="M48" s="64"/>
      <c r="N48" s="82"/>
    </row>
    <row r="49" spans="1:14" hidden="1">
      <c r="A49" s="82"/>
      <c r="B49" s="63"/>
      <c r="C49" s="63" t="s">
        <v>494</v>
      </c>
      <c r="D49" s="65">
        <v>5.5E-2</v>
      </c>
      <c r="E49" s="67">
        <v>41747.5</v>
      </c>
      <c r="F49" s="64"/>
      <c r="G49" s="64">
        <f t="shared" si="0"/>
        <v>41747.5</v>
      </c>
      <c r="H49" s="64">
        <f t="shared" si="3"/>
        <v>2296.1125000000002</v>
      </c>
      <c r="I49" s="67"/>
      <c r="J49" s="64"/>
      <c r="K49" s="64"/>
      <c r="L49" s="64"/>
      <c r="M49" s="64"/>
      <c r="N49" s="82"/>
    </row>
    <row r="50" spans="1:14" hidden="1">
      <c r="A50" s="82"/>
      <c r="B50" s="63"/>
      <c r="C50" s="63" t="s">
        <v>518</v>
      </c>
      <c r="D50" s="65">
        <v>5.5E-2</v>
      </c>
      <c r="E50" s="67">
        <v>28000</v>
      </c>
      <c r="F50" s="64"/>
      <c r="G50" s="64">
        <f t="shared" si="0"/>
        <v>28000</v>
      </c>
      <c r="H50" s="64">
        <f t="shared" si="3"/>
        <v>1540</v>
      </c>
      <c r="I50" s="67"/>
      <c r="J50" s="64"/>
      <c r="K50" s="64"/>
      <c r="L50" s="64"/>
      <c r="M50" s="64"/>
      <c r="N50" s="82"/>
    </row>
    <row r="51" spans="1:14" hidden="1">
      <c r="A51" s="82"/>
      <c r="B51" s="63"/>
      <c r="C51" s="63" t="s">
        <v>508</v>
      </c>
      <c r="D51" s="65">
        <v>0.64</v>
      </c>
      <c r="E51" s="64"/>
      <c r="F51" s="64">
        <v>88000</v>
      </c>
      <c r="G51" s="64">
        <f t="shared" si="0"/>
        <v>88000</v>
      </c>
      <c r="H51" s="64">
        <f t="shared" si="3"/>
        <v>56320</v>
      </c>
      <c r="I51" s="64"/>
      <c r="J51" s="64"/>
      <c r="K51" s="64"/>
      <c r="L51" s="64"/>
      <c r="M51" s="64"/>
      <c r="N51" s="82"/>
    </row>
    <row r="52" spans="1:14" hidden="1">
      <c r="A52" s="82"/>
      <c r="B52" s="63"/>
      <c r="C52" s="63" t="s">
        <v>510</v>
      </c>
      <c r="D52" s="69">
        <v>0.6</v>
      </c>
      <c r="E52" s="64"/>
      <c r="F52" s="64">
        <v>17636.55</v>
      </c>
      <c r="G52" s="64">
        <f t="shared" si="0"/>
        <v>17636.55</v>
      </c>
      <c r="H52" s="64">
        <f t="shared" si="3"/>
        <v>10581.929999999998</v>
      </c>
      <c r="I52" s="64"/>
      <c r="J52" s="64"/>
      <c r="K52" s="64"/>
      <c r="L52" s="64"/>
      <c r="M52" s="64"/>
      <c r="N52" s="82"/>
    </row>
    <row r="53" spans="1:14" hidden="1">
      <c r="A53" s="82"/>
      <c r="B53" s="63"/>
      <c r="C53" s="63" t="s">
        <v>509</v>
      </c>
      <c r="D53" s="69">
        <v>0.6</v>
      </c>
      <c r="E53" s="64"/>
      <c r="F53" s="64">
        <v>44129.03</v>
      </c>
      <c r="G53" s="64">
        <f t="shared" si="0"/>
        <v>44129.03</v>
      </c>
      <c r="H53" s="64">
        <f t="shared" si="3"/>
        <v>26477.417999999998</v>
      </c>
      <c r="I53" s="64"/>
      <c r="J53" s="64"/>
      <c r="K53" s="64"/>
      <c r="L53" s="64"/>
      <c r="M53" s="64"/>
      <c r="N53" s="82"/>
    </row>
    <row r="54" spans="1:14" hidden="1">
      <c r="A54" s="82"/>
      <c r="B54" s="63"/>
      <c r="C54" s="63" t="s">
        <v>511</v>
      </c>
      <c r="D54" s="68">
        <v>0.35</v>
      </c>
      <c r="E54" s="67">
        <v>80960</v>
      </c>
      <c r="F54" s="64"/>
      <c r="G54" s="64">
        <f t="shared" si="0"/>
        <v>80960</v>
      </c>
      <c r="H54" s="64">
        <f t="shared" si="3"/>
        <v>28336</v>
      </c>
      <c r="I54" s="67"/>
      <c r="J54" s="64"/>
      <c r="K54" s="64"/>
      <c r="L54" s="64"/>
      <c r="M54" s="64"/>
      <c r="N54" s="82"/>
    </row>
    <row r="55" spans="1:14" hidden="1">
      <c r="A55" s="82"/>
      <c r="B55" s="63"/>
      <c r="C55" s="63" t="s">
        <v>499</v>
      </c>
      <c r="D55" s="65">
        <v>2.3E-2</v>
      </c>
      <c r="E55" s="67">
        <v>9600</v>
      </c>
      <c r="F55" s="64"/>
      <c r="G55" s="64">
        <f t="shared" si="0"/>
        <v>9600</v>
      </c>
      <c r="H55" s="64">
        <f t="shared" si="3"/>
        <v>220.79999999999998</v>
      </c>
      <c r="I55" s="67"/>
      <c r="J55" s="64"/>
      <c r="K55" s="64"/>
      <c r="L55" s="64"/>
      <c r="M55" s="64"/>
      <c r="N55" s="82"/>
    </row>
    <row r="56" spans="1:14" hidden="1">
      <c r="A56" s="82"/>
      <c r="B56" s="63"/>
      <c r="C56" s="63" t="s">
        <v>519</v>
      </c>
      <c r="D56" s="68">
        <v>0.65</v>
      </c>
      <c r="E56" s="64"/>
      <c r="F56" s="64">
        <v>41012.5</v>
      </c>
      <c r="G56" s="64">
        <f t="shared" si="0"/>
        <v>41012.5</v>
      </c>
      <c r="H56" s="64">
        <f t="shared" si="3"/>
        <v>26658.125</v>
      </c>
      <c r="I56" s="64"/>
      <c r="J56" s="64"/>
      <c r="K56" s="64"/>
      <c r="L56" s="64"/>
      <c r="M56" s="64"/>
      <c r="N56" s="82"/>
    </row>
    <row r="57" spans="1:14" hidden="1">
      <c r="A57" s="82"/>
      <c r="B57" s="63"/>
      <c r="C57" s="63" t="s">
        <v>520</v>
      </c>
      <c r="D57" s="72">
        <v>0.05</v>
      </c>
      <c r="E57" s="67">
        <v>48000</v>
      </c>
      <c r="F57" s="64"/>
      <c r="G57" s="64">
        <f t="shared" si="0"/>
        <v>48000</v>
      </c>
      <c r="H57" s="64">
        <f t="shared" si="3"/>
        <v>2400</v>
      </c>
      <c r="I57" s="67"/>
      <c r="J57" s="64"/>
      <c r="K57" s="64"/>
      <c r="L57" s="64"/>
      <c r="M57" s="64"/>
      <c r="N57" s="82"/>
    </row>
    <row r="58" spans="1:14" hidden="1">
      <c r="A58" s="82"/>
      <c r="B58" s="70" t="s">
        <v>521</v>
      </c>
      <c r="C58" s="70"/>
      <c r="D58" s="90"/>
      <c r="E58" s="71">
        <f t="shared" ref="E58:K58" si="6">SUM(E38:E57)</f>
        <v>308830.25</v>
      </c>
      <c r="F58" s="71">
        <f t="shared" si="6"/>
        <v>1959523.0964516131</v>
      </c>
      <c r="G58" s="71">
        <f t="shared" si="6"/>
        <v>2268353.3464516131</v>
      </c>
      <c r="H58" s="71">
        <f t="shared" si="6"/>
        <v>1249514.5013661291</v>
      </c>
      <c r="I58" s="71">
        <f t="shared" si="6"/>
        <v>0</v>
      </c>
      <c r="J58" s="71">
        <f t="shared" si="6"/>
        <v>0</v>
      </c>
      <c r="K58" s="71">
        <f t="shared" si="6"/>
        <v>0</v>
      </c>
      <c r="L58" s="71"/>
      <c r="M58" s="71">
        <f>SUM(M38:M57)</f>
        <v>0</v>
      </c>
      <c r="N58" s="82"/>
    </row>
    <row r="59" spans="1:14">
      <c r="A59" s="82"/>
      <c r="B59" s="80" t="s">
        <v>484</v>
      </c>
      <c r="C59" s="80"/>
      <c r="D59" s="91"/>
      <c r="E59" s="81">
        <f t="shared" ref="E59:K59" si="7">E58+E37+E18</f>
        <v>544219.54</v>
      </c>
      <c r="F59" s="81">
        <f t="shared" si="7"/>
        <v>6601820.5664516129</v>
      </c>
      <c r="G59" s="81">
        <f t="shared" si="7"/>
        <v>7146040.1064516138</v>
      </c>
      <c r="H59" s="81">
        <f t="shared" si="7"/>
        <v>4124124.3760361294</v>
      </c>
      <c r="I59" s="81">
        <f t="shared" si="7"/>
        <v>0</v>
      </c>
      <c r="J59" s="81">
        <f t="shared" si="7"/>
        <v>0</v>
      </c>
      <c r="K59" s="81">
        <f t="shared" si="7"/>
        <v>201</v>
      </c>
      <c r="L59" s="81"/>
      <c r="M59" s="81">
        <f>M58+M37+M18</f>
        <v>135</v>
      </c>
      <c r="N59" s="82"/>
    </row>
    <row r="61" spans="1:14">
      <c r="F61">
        <v>1959523.1</v>
      </c>
      <c r="J61">
        <v>1959523.1</v>
      </c>
    </row>
    <row r="62" spans="1:14">
      <c r="F62" s="13">
        <f>F58-F61</f>
        <v>-3.5483869723975658E-3</v>
      </c>
      <c r="J62" s="13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L5" sqref="L5:L13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11" width="4.5703125" customWidth="1"/>
    <col min="12" max="12" width="24.28515625" customWidth="1"/>
    <col min="13" max="13" width="10.285156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13" t="s">
        <v>360</v>
      </c>
      <c r="B1" s="213"/>
      <c r="C1" s="213"/>
      <c r="D1" s="213"/>
      <c r="E1" s="213"/>
      <c r="F1" s="213"/>
      <c r="G1" s="213"/>
      <c r="H1" s="213"/>
    </row>
    <row r="2" spans="1:18" ht="15.75">
      <c r="A2" s="214" t="s">
        <v>361</v>
      </c>
      <c r="B2" s="214"/>
      <c r="C2" s="214"/>
      <c r="D2" s="214"/>
      <c r="E2" s="214"/>
      <c r="F2" s="214"/>
      <c r="G2" s="214"/>
      <c r="H2" s="214"/>
    </row>
    <row r="3" spans="1:18">
      <c r="A3" s="102" t="s">
        <v>362</v>
      </c>
      <c r="B3" s="141">
        <f>B140</f>
        <v>-58146.039720000234</v>
      </c>
      <c r="C3" s="215"/>
      <c r="D3" s="187"/>
      <c r="E3" s="187"/>
      <c r="F3" s="187"/>
      <c r="G3" s="216"/>
      <c r="H3" s="141">
        <f>H140</f>
        <v>-881945.15800000005</v>
      </c>
    </row>
    <row r="4" spans="1:18" ht="24.75" customHeight="1">
      <c r="A4" s="103" t="s">
        <v>363</v>
      </c>
      <c r="B4" s="111" t="s">
        <v>364</v>
      </c>
      <c r="C4" s="103" t="s">
        <v>365</v>
      </c>
      <c r="D4" s="103" t="s">
        <v>366</v>
      </c>
      <c r="E4" s="103" t="s">
        <v>367</v>
      </c>
      <c r="F4" s="103" t="s">
        <v>368</v>
      </c>
      <c r="G4" s="104" t="s">
        <v>369</v>
      </c>
      <c r="H4" s="111" t="s">
        <v>370</v>
      </c>
      <c r="L4" s="16"/>
      <c r="M4" s="16"/>
      <c r="N4" s="16"/>
      <c r="O4" s="16"/>
      <c r="P4" s="16"/>
      <c r="Q4" s="16"/>
    </row>
    <row r="5" spans="1:18" ht="15.75">
      <c r="A5" s="140" t="s">
        <v>371</v>
      </c>
      <c r="B5" s="115"/>
      <c r="C5" s="116"/>
      <c r="D5" s="116"/>
      <c r="E5" s="116"/>
      <c r="F5" s="112"/>
      <c r="G5" s="112"/>
      <c r="H5" s="116"/>
      <c r="M5" s="18"/>
      <c r="N5" s="18"/>
      <c r="O5" s="18"/>
      <c r="P5" s="18"/>
      <c r="Q5" s="18"/>
      <c r="R5" s="18"/>
    </row>
    <row r="6" spans="1:18">
      <c r="A6" s="117" t="s">
        <v>372</v>
      </c>
      <c r="B6" s="115"/>
      <c r="C6" s="118"/>
      <c r="D6" s="118"/>
      <c r="E6" s="118"/>
      <c r="F6" s="116"/>
      <c r="G6" s="119"/>
      <c r="H6" s="118"/>
      <c r="M6" s="18"/>
      <c r="N6" s="18"/>
      <c r="O6" s="18"/>
      <c r="P6" s="18"/>
      <c r="Q6" s="18"/>
      <c r="R6" s="18"/>
    </row>
    <row r="7" spans="1:18">
      <c r="A7" s="120" t="s">
        <v>373</v>
      </c>
      <c r="B7" s="169">
        <f>Material_Cost!F37</f>
        <v>2059808.14</v>
      </c>
      <c r="C7" s="121">
        <v>386555.96</v>
      </c>
      <c r="D7" s="118">
        <v>386555.96</v>
      </c>
      <c r="E7" s="118">
        <v>386555.96</v>
      </c>
      <c r="F7" s="118">
        <v>386555.96</v>
      </c>
      <c r="G7" s="122">
        <f>H7/$H$10</f>
        <v>0.87158302108948116</v>
      </c>
      <c r="H7" s="121">
        <f>C7</f>
        <v>386555.96</v>
      </c>
      <c r="M7" s="18"/>
      <c r="N7" s="18"/>
      <c r="O7" s="18"/>
      <c r="P7" s="18"/>
      <c r="Q7" s="18"/>
      <c r="R7" s="18"/>
    </row>
    <row r="8" spans="1:18">
      <c r="A8" s="120" t="s">
        <v>374</v>
      </c>
      <c r="B8" s="169">
        <f>Material_Cost!E37</f>
        <v>56825.2</v>
      </c>
      <c r="C8" s="123">
        <v>56954.239999999998</v>
      </c>
      <c r="D8" s="118">
        <v>56954.239999999998</v>
      </c>
      <c r="E8" s="118">
        <v>56954.239999999998</v>
      </c>
      <c r="F8" s="118">
        <v>56954.239999999998</v>
      </c>
      <c r="G8" s="122">
        <f t="shared" ref="G8:G70" si="0">H8/$H$10</f>
        <v>0.12841697891051884</v>
      </c>
      <c r="H8" s="121">
        <f>C8</f>
        <v>56954.239999999998</v>
      </c>
      <c r="M8" s="18"/>
      <c r="N8" s="18"/>
      <c r="O8" s="18"/>
      <c r="P8" s="18"/>
      <c r="Q8" s="18"/>
      <c r="R8" s="18"/>
    </row>
    <row r="9" spans="1:18">
      <c r="A9" s="120" t="s">
        <v>375</v>
      </c>
      <c r="B9" s="124"/>
      <c r="C9" s="125">
        <v>0</v>
      </c>
      <c r="D9" s="118">
        <v>0</v>
      </c>
      <c r="E9" s="118">
        <v>0</v>
      </c>
      <c r="F9" s="118">
        <v>0</v>
      </c>
      <c r="G9" s="122">
        <f t="shared" si="0"/>
        <v>0</v>
      </c>
      <c r="H9" s="121">
        <f>C9</f>
        <v>0</v>
      </c>
      <c r="M9" s="18"/>
      <c r="N9" s="18"/>
      <c r="O9" s="18"/>
      <c r="P9" s="18"/>
      <c r="Q9" s="18"/>
      <c r="R9" s="18"/>
    </row>
    <row r="10" spans="1:18" ht="15.75">
      <c r="A10" s="113" t="s">
        <v>376</v>
      </c>
      <c r="B10" s="127">
        <f t="shared" ref="B10:H10" si="1">B7+B8+B9</f>
        <v>2116633.34</v>
      </c>
      <c r="C10" s="127">
        <f t="shared" si="1"/>
        <v>443510.2</v>
      </c>
      <c r="D10" s="127">
        <f t="shared" si="1"/>
        <v>443510.2</v>
      </c>
      <c r="E10" s="127">
        <f t="shared" si="1"/>
        <v>443510.2</v>
      </c>
      <c r="F10" s="127">
        <f t="shared" si="1"/>
        <v>443510.2</v>
      </c>
      <c r="G10" s="122">
        <f t="shared" si="0"/>
        <v>1</v>
      </c>
      <c r="H10" s="127">
        <f t="shared" si="1"/>
        <v>443510.2</v>
      </c>
      <c r="M10" s="18"/>
      <c r="N10" s="18"/>
      <c r="O10" s="18"/>
      <c r="P10" s="18"/>
      <c r="Q10" s="18"/>
      <c r="R10" s="18"/>
    </row>
    <row r="11" spans="1:18">
      <c r="A11" s="126"/>
      <c r="B11" s="115"/>
      <c r="C11" s="118"/>
      <c r="D11" s="118"/>
      <c r="E11" s="118"/>
      <c r="F11" s="118"/>
      <c r="G11" s="122"/>
      <c r="H11" s="118"/>
      <c r="M11" s="18"/>
      <c r="N11" s="18"/>
      <c r="O11" s="18"/>
      <c r="P11" s="18"/>
      <c r="Q11" s="18"/>
      <c r="R11" s="18"/>
    </row>
    <row r="12" spans="1:18">
      <c r="A12" s="117" t="s">
        <v>377</v>
      </c>
      <c r="B12" s="115"/>
      <c r="C12" s="118"/>
      <c r="D12" s="118"/>
      <c r="E12" s="118"/>
      <c r="F12" s="118"/>
      <c r="G12" s="122"/>
      <c r="H12" s="118"/>
      <c r="M12" s="18"/>
      <c r="N12" s="18"/>
      <c r="O12" s="18"/>
      <c r="P12" s="18"/>
      <c r="Q12" s="18"/>
      <c r="R12" s="18"/>
    </row>
    <row r="13" spans="1:18">
      <c r="A13" s="120" t="s">
        <v>378</v>
      </c>
      <c r="B13" s="115">
        <f>Material_Cost!H37</f>
        <v>1262311.8657199999</v>
      </c>
      <c r="C13" s="115">
        <v>270541.22200000001</v>
      </c>
      <c r="D13" s="115">
        <v>270541.22200000001</v>
      </c>
      <c r="E13" s="115">
        <v>270541.22200000001</v>
      </c>
      <c r="F13" s="115">
        <v>270541.22200000001</v>
      </c>
      <c r="G13" s="122">
        <f t="shared" si="0"/>
        <v>2.44</v>
      </c>
      <c r="H13" s="118">
        <f>SUM(C13:F13)</f>
        <v>1082164.888</v>
      </c>
      <c r="M13" s="18"/>
      <c r="N13" s="18"/>
      <c r="O13" s="18"/>
      <c r="P13" s="18"/>
      <c r="Q13" s="18"/>
      <c r="R13" s="18"/>
    </row>
    <row r="14" spans="1:18">
      <c r="A14" s="126" t="s">
        <v>379</v>
      </c>
      <c r="B14" s="127">
        <f>B13</f>
        <v>1262311.8657199999</v>
      </c>
      <c r="C14" s="127">
        <f>C13</f>
        <v>270541.22200000001</v>
      </c>
      <c r="D14" s="127">
        <f>D13</f>
        <v>270541.22200000001</v>
      </c>
      <c r="E14" s="127">
        <f>E13</f>
        <v>270541.22200000001</v>
      </c>
      <c r="F14" s="127">
        <f>F13</f>
        <v>270541.22200000001</v>
      </c>
      <c r="G14" s="122">
        <f t="shared" si="0"/>
        <v>2.44</v>
      </c>
      <c r="H14" s="127">
        <f>H13</f>
        <v>1082164.888</v>
      </c>
      <c r="M14" s="18"/>
      <c r="N14" s="18"/>
      <c r="O14" s="18"/>
      <c r="P14" s="18"/>
      <c r="Q14" s="18"/>
      <c r="R14" s="18"/>
    </row>
    <row r="15" spans="1:18">
      <c r="A15" s="128"/>
      <c r="B15" s="115"/>
      <c r="C15" s="118"/>
      <c r="D15" s="118"/>
      <c r="E15" s="118"/>
      <c r="F15" s="118"/>
      <c r="G15" s="122"/>
      <c r="H15" s="129"/>
      <c r="M15" s="18"/>
      <c r="N15" s="18"/>
      <c r="O15" s="18"/>
      <c r="P15" s="18"/>
      <c r="Q15" s="18"/>
      <c r="R15" s="18"/>
    </row>
    <row r="16" spans="1:18">
      <c r="A16" s="117" t="s">
        <v>380</v>
      </c>
      <c r="B16" s="115"/>
      <c r="C16" s="118"/>
      <c r="D16" s="118"/>
      <c r="E16" s="118"/>
      <c r="F16" s="118"/>
      <c r="G16" s="122"/>
      <c r="H16" s="118">
        <f t="shared" ref="H16:H79" si="2">SUM(C16:F16)</f>
        <v>0</v>
      </c>
      <c r="M16" s="18"/>
      <c r="N16" s="18"/>
      <c r="O16" s="18"/>
      <c r="P16" s="18"/>
      <c r="Q16" s="18"/>
      <c r="R16" s="18"/>
    </row>
    <row r="17" spans="1:18">
      <c r="A17" s="120" t="s">
        <v>381</v>
      </c>
      <c r="B17" s="125">
        <v>260250</v>
      </c>
      <c r="C17" s="118">
        <v>122.79</v>
      </c>
      <c r="D17" s="118">
        <v>0</v>
      </c>
      <c r="E17" s="118">
        <v>0</v>
      </c>
      <c r="F17" s="118">
        <v>0</v>
      </c>
      <c r="G17" s="122">
        <f t="shared" si="0"/>
        <v>2.7685947245407208E-4</v>
      </c>
      <c r="H17" s="118">
        <f t="shared" si="2"/>
        <v>122.79</v>
      </c>
      <c r="I17" s="18">
        <f>H17-B17</f>
        <v>-260127.21</v>
      </c>
      <c r="M17" s="18"/>
      <c r="N17" s="18"/>
      <c r="O17" s="18"/>
      <c r="P17" s="18"/>
      <c r="Q17" s="18"/>
      <c r="R17" s="18"/>
    </row>
    <row r="18" spans="1:18">
      <c r="A18" s="120" t="s">
        <v>382</v>
      </c>
      <c r="B18" s="125">
        <v>20600</v>
      </c>
      <c r="C18" s="118">
        <v>2700</v>
      </c>
      <c r="D18" s="118">
        <v>2700</v>
      </c>
      <c r="E18" s="118">
        <v>2700</v>
      </c>
      <c r="F18" s="118">
        <v>2700</v>
      </c>
      <c r="G18" s="122">
        <f t="shared" si="0"/>
        <v>2.4351187413502551E-2</v>
      </c>
      <c r="H18" s="118">
        <f t="shared" si="2"/>
        <v>10800</v>
      </c>
      <c r="I18" s="18">
        <f t="shared" ref="I18:I81" si="3">H18-B18</f>
        <v>-9800</v>
      </c>
      <c r="M18" s="18"/>
      <c r="N18" s="18"/>
      <c r="O18" s="18"/>
      <c r="P18" s="18"/>
      <c r="Q18" s="18"/>
      <c r="R18" s="18"/>
    </row>
    <row r="19" spans="1:18">
      <c r="A19" s="120" t="s">
        <v>383</v>
      </c>
      <c r="B19" s="125">
        <v>0</v>
      </c>
      <c r="C19" s="118">
        <v>0</v>
      </c>
      <c r="D19" s="118">
        <v>0</v>
      </c>
      <c r="E19" s="118">
        <v>0</v>
      </c>
      <c r="F19" s="118">
        <v>0</v>
      </c>
      <c r="G19" s="122">
        <f t="shared" si="0"/>
        <v>0</v>
      </c>
      <c r="H19" s="118">
        <f t="shared" si="2"/>
        <v>0</v>
      </c>
      <c r="I19" s="18">
        <f t="shared" si="3"/>
        <v>0</v>
      </c>
      <c r="M19" s="18"/>
      <c r="N19" s="18"/>
      <c r="O19" s="18"/>
      <c r="P19" s="18"/>
      <c r="Q19" s="18"/>
      <c r="R19" s="18"/>
    </row>
    <row r="20" spans="1:18">
      <c r="A20" s="120" t="s">
        <v>384</v>
      </c>
      <c r="B20" s="125">
        <v>0</v>
      </c>
      <c r="C20" s="118">
        <v>0</v>
      </c>
      <c r="D20" s="118">
        <v>0</v>
      </c>
      <c r="E20" s="118">
        <v>0</v>
      </c>
      <c r="F20" s="118">
        <v>0</v>
      </c>
      <c r="G20" s="122">
        <f t="shared" si="0"/>
        <v>0</v>
      </c>
      <c r="H20" s="118">
        <f t="shared" si="2"/>
        <v>0</v>
      </c>
      <c r="I20" s="18">
        <f t="shared" si="3"/>
        <v>0</v>
      </c>
      <c r="J20" s="10"/>
      <c r="M20" s="18"/>
      <c r="N20" s="18"/>
      <c r="O20" s="18"/>
      <c r="P20" s="18"/>
      <c r="Q20" s="18"/>
      <c r="R20" s="18"/>
    </row>
    <row r="21" spans="1:18">
      <c r="A21" s="120" t="s">
        <v>385</v>
      </c>
      <c r="B21" s="125">
        <v>10343.979499999999</v>
      </c>
      <c r="C21" s="118">
        <v>0</v>
      </c>
      <c r="D21" s="118">
        <v>0</v>
      </c>
      <c r="E21" s="118">
        <v>0</v>
      </c>
      <c r="F21" s="118">
        <v>0</v>
      </c>
      <c r="G21" s="122">
        <f t="shared" si="0"/>
        <v>0</v>
      </c>
      <c r="H21" s="118">
        <f t="shared" si="2"/>
        <v>0</v>
      </c>
      <c r="I21" s="18">
        <f t="shared" si="3"/>
        <v>-10343.979499999999</v>
      </c>
      <c r="M21" s="18"/>
      <c r="N21" s="18"/>
      <c r="O21" s="18"/>
      <c r="P21" s="18"/>
      <c r="Q21" s="18"/>
      <c r="R21" s="18"/>
    </row>
    <row r="22" spans="1:18">
      <c r="A22" s="120" t="s">
        <v>386</v>
      </c>
      <c r="B22" s="125">
        <v>0</v>
      </c>
      <c r="C22" s="118">
        <v>0</v>
      </c>
      <c r="D22" s="118">
        <v>0</v>
      </c>
      <c r="E22" s="118">
        <v>0</v>
      </c>
      <c r="F22" s="118">
        <v>0</v>
      </c>
      <c r="G22" s="122">
        <f t="shared" si="0"/>
        <v>0</v>
      </c>
      <c r="H22" s="118">
        <f t="shared" si="2"/>
        <v>0</v>
      </c>
      <c r="I22" s="18">
        <f t="shared" si="3"/>
        <v>0</v>
      </c>
      <c r="M22" s="18"/>
      <c r="N22" s="18"/>
      <c r="O22" s="18"/>
      <c r="P22" s="18"/>
      <c r="Q22" s="18"/>
      <c r="R22" s="18"/>
    </row>
    <row r="23" spans="1:18">
      <c r="A23" s="120" t="s">
        <v>387</v>
      </c>
      <c r="B23" s="125">
        <v>15885.723</v>
      </c>
      <c r="C23" s="118">
        <v>0</v>
      </c>
      <c r="D23" s="118">
        <v>0</v>
      </c>
      <c r="E23" s="118">
        <v>0</v>
      </c>
      <c r="F23" s="118">
        <v>0</v>
      </c>
      <c r="G23" s="122">
        <f t="shared" si="0"/>
        <v>0</v>
      </c>
      <c r="H23" s="118">
        <f t="shared" si="2"/>
        <v>0</v>
      </c>
      <c r="I23" s="18">
        <f t="shared" si="3"/>
        <v>-15885.723</v>
      </c>
      <c r="M23" s="18"/>
      <c r="N23" s="18"/>
      <c r="O23" s="18"/>
      <c r="P23" s="18"/>
      <c r="Q23" s="18"/>
      <c r="R23" s="18"/>
    </row>
    <row r="24" spans="1:18">
      <c r="A24" s="130" t="s">
        <v>388</v>
      </c>
      <c r="B24" s="127">
        <f>SUM(B17:B23)</f>
        <v>307079.70250000001</v>
      </c>
      <c r="C24" s="127">
        <f>SUM(C17:C23)</f>
        <v>2822.79</v>
      </c>
      <c r="D24" s="127">
        <f>SUM(D17:D23)</f>
        <v>2700</v>
      </c>
      <c r="E24" s="127">
        <f>SUM(E17:E23)</f>
        <v>2700</v>
      </c>
      <c r="F24" s="127">
        <f>SUM(F17:F23)</f>
        <v>2700</v>
      </c>
      <c r="G24" s="122">
        <f t="shared" si="0"/>
        <v>2.4628046885956628E-2</v>
      </c>
      <c r="H24" s="116">
        <f t="shared" si="2"/>
        <v>10922.79</v>
      </c>
      <c r="I24" s="18">
        <f t="shared" si="3"/>
        <v>-296156.91250000003</v>
      </c>
      <c r="M24" s="18"/>
      <c r="N24" s="18"/>
      <c r="O24" s="18"/>
      <c r="P24" s="18"/>
      <c r="Q24" s="18"/>
      <c r="R24" s="18"/>
    </row>
    <row r="25" spans="1:18">
      <c r="A25" s="130"/>
      <c r="B25" s="115"/>
      <c r="C25" s="118"/>
      <c r="D25" s="118"/>
      <c r="E25" s="118"/>
      <c r="F25" s="118"/>
      <c r="G25" s="122"/>
      <c r="H25" s="118"/>
      <c r="I25" s="18">
        <f t="shared" si="3"/>
        <v>0</v>
      </c>
      <c r="M25" s="18"/>
      <c r="N25" s="18"/>
      <c r="O25" s="18"/>
      <c r="P25" s="18"/>
      <c r="Q25" s="18"/>
      <c r="R25" s="18"/>
    </row>
    <row r="26" spans="1:18">
      <c r="A26" s="117" t="s">
        <v>389</v>
      </c>
      <c r="B26" s="115"/>
      <c r="C26" s="118"/>
      <c r="D26" s="118"/>
      <c r="E26" s="118"/>
      <c r="F26" s="118"/>
      <c r="G26" s="122"/>
      <c r="H26" s="118"/>
      <c r="I26" s="18">
        <f t="shared" si="3"/>
        <v>0</v>
      </c>
      <c r="M26" s="18"/>
      <c r="N26" s="18"/>
      <c r="O26" s="18"/>
      <c r="P26" s="18"/>
      <c r="Q26" s="18"/>
      <c r="R26" s="18"/>
    </row>
    <row r="27" spans="1:18">
      <c r="A27" s="120" t="s">
        <v>152</v>
      </c>
      <c r="B27" s="125">
        <v>5375.03</v>
      </c>
      <c r="C27" s="118">
        <v>126.88</v>
      </c>
      <c r="D27" s="118">
        <v>0</v>
      </c>
      <c r="E27" s="118">
        <v>0</v>
      </c>
      <c r="F27" s="118">
        <v>126.88</v>
      </c>
      <c r="G27" s="122">
        <f t="shared" si="0"/>
        <v>5.7216271463429703E-4</v>
      </c>
      <c r="H27" s="118">
        <f t="shared" si="2"/>
        <v>253.76</v>
      </c>
      <c r="I27" s="18">
        <f t="shared" si="3"/>
        <v>-5121.2699999999995</v>
      </c>
      <c r="M27" s="18"/>
      <c r="N27" s="18"/>
      <c r="O27" s="18"/>
      <c r="P27" s="18"/>
      <c r="Q27" s="18"/>
      <c r="R27" s="18"/>
    </row>
    <row r="28" spans="1:18">
      <c r="A28" s="120" t="s">
        <v>83</v>
      </c>
      <c r="B28" s="125">
        <v>25000</v>
      </c>
      <c r="C28" s="118">
        <v>7633.95</v>
      </c>
      <c r="D28" s="118">
        <v>7633.95</v>
      </c>
      <c r="E28" s="118">
        <v>7633.95</v>
      </c>
      <c r="F28" s="118">
        <v>7633.95</v>
      </c>
      <c r="G28" s="122">
        <f t="shared" si="0"/>
        <v>6.8850276724188073E-2</v>
      </c>
      <c r="H28" s="118">
        <f t="shared" si="2"/>
        <v>30535.8</v>
      </c>
      <c r="I28" s="18">
        <f t="shared" si="3"/>
        <v>5535.7999999999993</v>
      </c>
      <c r="M28" s="18"/>
      <c r="N28" s="18"/>
      <c r="O28" s="18"/>
      <c r="P28" s="18"/>
      <c r="Q28" s="18"/>
      <c r="R28" s="18"/>
    </row>
    <row r="29" spans="1:18">
      <c r="A29" s="120" t="s">
        <v>78</v>
      </c>
      <c r="B29" s="125">
        <v>21536.61</v>
      </c>
      <c r="C29" s="118">
        <v>76.62</v>
      </c>
      <c r="D29" s="118">
        <v>0</v>
      </c>
      <c r="E29" s="118">
        <v>0</v>
      </c>
      <c r="F29" s="118">
        <v>0</v>
      </c>
      <c r="G29" s="122">
        <f t="shared" si="0"/>
        <v>1.7275814626134867E-4</v>
      </c>
      <c r="H29" s="118">
        <f t="shared" si="2"/>
        <v>76.62</v>
      </c>
      <c r="I29" s="18">
        <f t="shared" si="3"/>
        <v>-21459.99</v>
      </c>
      <c r="M29" s="18"/>
      <c r="N29" s="18"/>
      <c r="O29" s="18"/>
      <c r="P29" s="18"/>
      <c r="Q29" s="18"/>
      <c r="R29" s="18"/>
    </row>
    <row r="30" spans="1:18">
      <c r="A30" s="120" t="s">
        <v>390</v>
      </c>
      <c r="B30" s="125">
        <v>257250</v>
      </c>
      <c r="C30" s="118">
        <v>199.33</v>
      </c>
      <c r="D30" s="118">
        <v>0</v>
      </c>
      <c r="E30" s="118">
        <v>0</v>
      </c>
      <c r="F30" s="118">
        <v>0</v>
      </c>
      <c r="G30" s="122">
        <f t="shared" si="0"/>
        <v>4.4943723954939482E-4</v>
      </c>
      <c r="H30" s="118">
        <f t="shared" si="2"/>
        <v>199.33</v>
      </c>
      <c r="I30" s="18">
        <f t="shared" si="3"/>
        <v>-257050.67</v>
      </c>
      <c r="M30" s="18"/>
      <c r="N30" s="18"/>
      <c r="O30" s="18"/>
      <c r="P30" s="18"/>
      <c r="Q30" s="18"/>
      <c r="R30" s="18"/>
    </row>
    <row r="31" spans="1:18">
      <c r="A31" s="120" t="s">
        <v>74</v>
      </c>
      <c r="B31" s="125">
        <v>15561.89</v>
      </c>
      <c r="C31" s="118">
        <v>1863.9</v>
      </c>
      <c r="D31" s="118">
        <v>0</v>
      </c>
      <c r="E31" s="118">
        <v>0</v>
      </c>
      <c r="F31" s="118">
        <v>0</v>
      </c>
      <c r="G31" s="122">
        <f t="shared" si="0"/>
        <v>4.2026090944469827E-3</v>
      </c>
      <c r="H31" s="118">
        <f t="shared" si="2"/>
        <v>1863.9</v>
      </c>
      <c r="I31" s="18">
        <f t="shared" si="3"/>
        <v>-13697.99</v>
      </c>
      <c r="M31" s="18"/>
      <c r="N31" s="18"/>
      <c r="O31" s="18"/>
      <c r="P31" s="18"/>
      <c r="Q31" s="18"/>
      <c r="R31" s="18"/>
    </row>
    <row r="32" spans="1:18">
      <c r="A32" s="120" t="s">
        <v>391</v>
      </c>
      <c r="B32" s="125">
        <v>6000</v>
      </c>
      <c r="C32" s="118">
        <v>1667.26</v>
      </c>
      <c r="D32" s="118">
        <v>1667.26</v>
      </c>
      <c r="E32" s="118">
        <v>1667.26</v>
      </c>
      <c r="F32" s="118">
        <v>1667.26</v>
      </c>
      <c r="G32" s="122">
        <f t="shared" si="0"/>
        <v>1.5036948417420839E-2</v>
      </c>
      <c r="H32" s="118">
        <f t="shared" si="2"/>
        <v>6669.04</v>
      </c>
      <c r="I32" s="18">
        <f t="shared" si="3"/>
        <v>669.04</v>
      </c>
      <c r="M32" s="18"/>
      <c r="N32" s="18"/>
      <c r="O32" s="18"/>
      <c r="P32" s="18"/>
      <c r="Q32" s="18"/>
      <c r="R32" s="18"/>
    </row>
    <row r="33" spans="1:18">
      <c r="A33" s="131" t="s">
        <v>392</v>
      </c>
      <c r="B33" s="125">
        <v>54459.64</v>
      </c>
      <c r="C33" s="118">
        <v>16128.62</v>
      </c>
      <c r="D33" s="118">
        <v>16128.62</v>
      </c>
      <c r="E33" s="118">
        <v>16128.62</v>
      </c>
      <c r="F33" s="118">
        <v>16128.62</v>
      </c>
      <c r="G33" s="122">
        <f t="shared" si="0"/>
        <v>0.14546335123746873</v>
      </c>
      <c r="H33" s="118">
        <f t="shared" si="2"/>
        <v>64514.48</v>
      </c>
      <c r="I33" s="18">
        <f t="shared" si="3"/>
        <v>10054.840000000004</v>
      </c>
      <c r="M33" s="18"/>
      <c r="N33" s="18"/>
      <c r="O33" s="18"/>
      <c r="P33" s="18"/>
      <c r="Q33" s="18"/>
      <c r="R33" s="18"/>
    </row>
    <row r="34" spans="1:18">
      <c r="A34" s="120" t="s">
        <v>393</v>
      </c>
      <c r="B34" s="125">
        <v>3679.7200000000003</v>
      </c>
      <c r="C34" s="118">
        <v>999.88</v>
      </c>
      <c r="D34" s="118">
        <v>999.88</v>
      </c>
      <c r="E34" s="118">
        <v>999.88</v>
      </c>
      <c r="F34" s="118">
        <v>999.88</v>
      </c>
      <c r="G34" s="122">
        <f t="shared" si="0"/>
        <v>9.0178760263010856E-3</v>
      </c>
      <c r="H34" s="118">
        <f t="shared" si="2"/>
        <v>3999.52</v>
      </c>
      <c r="I34" s="18">
        <f t="shared" si="3"/>
        <v>319.79999999999973</v>
      </c>
      <c r="M34" s="18"/>
      <c r="N34" s="18"/>
      <c r="O34" s="18"/>
      <c r="P34" s="18"/>
      <c r="Q34" s="18"/>
      <c r="R34" s="18"/>
    </row>
    <row r="35" spans="1:18">
      <c r="A35" s="120" t="s">
        <v>394</v>
      </c>
      <c r="B35" s="125">
        <v>5623.8399999999992</v>
      </c>
      <c r="C35" s="118">
        <v>0</v>
      </c>
      <c r="D35" s="118">
        <v>0</v>
      </c>
      <c r="E35" s="118">
        <v>0</v>
      </c>
      <c r="F35" s="118">
        <v>0</v>
      </c>
      <c r="G35" s="122">
        <f t="shared" si="0"/>
        <v>0</v>
      </c>
      <c r="H35" s="118">
        <f t="shared" si="2"/>
        <v>0</v>
      </c>
      <c r="I35" s="18">
        <f t="shared" si="3"/>
        <v>-5623.8399999999992</v>
      </c>
      <c r="M35" s="18"/>
      <c r="N35" s="18"/>
      <c r="O35" s="18"/>
      <c r="P35" s="18"/>
      <c r="Q35" s="18"/>
      <c r="R35" s="18"/>
    </row>
    <row r="36" spans="1:18">
      <c r="A36" s="120" t="s">
        <v>136</v>
      </c>
      <c r="B36" s="125">
        <v>484.46</v>
      </c>
      <c r="C36" s="118">
        <v>0</v>
      </c>
      <c r="D36" s="118">
        <v>73.55</v>
      </c>
      <c r="E36" s="118">
        <v>73.55</v>
      </c>
      <c r="F36" s="118">
        <v>0</v>
      </c>
      <c r="G36" s="122">
        <f t="shared" si="0"/>
        <v>3.3167219153020606E-4</v>
      </c>
      <c r="H36" s="118">
        <f t="shared" si="2"/>
        <v>147.1</v>
      </c>
      <c r="I36" s="18">
        <f t="shared" si="3"/>
        <v>-337.36</v>
      </c>
      <c r="M36" s="18"/>
      <c r="N36" s="18"/>
      <c r="O36" s="18"/>
      <c r="P36" s="18"/>
      <c r="Q36" s="18"/>
      <c r="R36" s="18"/>
    </row>
    <row r="37" spans="1:18">
      <c r="A37" s="120" t="s">
        <v>395</v>
      </c>
      <c r="B37" s="125">
        <v>12855.169999999998</v>
      </c>
      <c r="C37" s="118">
        <v>6137.92</v>
      </c>
      <c r="D37" s="118">
        <v>6137.92</v>
      </c>
      <c r="E37" s="118">
        <v>6137.92</v>
      </c>
      <c r="F37" s="118">
        <v>6137.92</v>
      </c>
      <c r="G37" s="122">
        <f t="shared" si="0"/>
        <v>5.5357644536698364E-2</v>
      </c>
      <c r="H37" s="118">
        <f t="shared" si="2"/>
        <v>24551.68</v>
      </c>
      <c r="I37" s="18">
        <f t="shared" si="3"/>
        <v>11696.510000000002</v>
      </c>
      <c r="M37" s="18"/>
      <c r="N37" s="18"/>
      <c r="O37" s="18"/>
      <c r="P37" s="18"/>
      <c r="Q37" s="18"/>
      <c r="R37" s="18"/>
    </row>
    <row r="38" spans="1:18">
      <c r="A38" s="126" t="s">
        <v>396</v>
      </c>
      <c r="B38" s="127">
        <f>SUM(B27:B37)</f>
        <v>407826.36000000004</v>
      </c>
      <c r="C38" s="127">
        <f>SUM(C27:C37)</f>
        <v>34834.36</v>
      </c>
      <c r="D38" s="127">
        <f>SUM(D27:D37)</f>
        <v>32641.18</v>
      </c>
      <c r="E38" s="127">
        <f>SUM(E27:E37)</f>
        <v>32641.18</v>
      </c>
      <c r="F38" s="127">
        <f>SUM(F27:F37)</f>
        <v>32694.510000000002</v>
      </c>
      <c r="G38" s="122">
        <f t="shared" si="0"/>
        <v>0.29945473632849934</v>
      </c>
      <c r="H38" s="116">
        <f t="shared" si="2"/>
        <v>132811.23000000001</v>
      </c>
      <c r="I38" s="18">
        <f t="shared" si="3"/>
        <v>-275015.13</v>
      </c>
      <c r="M38" s="18"/>
      <c r="N38" s="18"/>
      <c r="O38" s="18"/>
      <c r="P38" s="18"/>
      <c r="Q38" s="18"/>
      <c r="R38" s="18"/>
    </row>
    <row r="39" spans="1:18">
      <c r="A39" s="130" t="s">
        <v>397</v>
      </c>
      <c r="B39" s="127">
        <f>B24+B38</f>
        <v>714906.0625</v>
      </c>
      <c r="C39" s="127">
        <f>C24+C38</f>
        <v>37657.15</v>
      </c>
      <c r="D39" s="127">
        <f>D24+D38</f>
        <v>35341.18</v>
      </c>
      <c r="E39" s="127">
        <f>E24+E38</f>
        <v>35341.18</v>
      </c>
      <c r="F39" s="127">
        <f>F24+F38</f>
        <v>35394.51</v>
      </c>
      <c r="G39" s="122">
        <f t="shared" si="0"/>
        <v>0.32408278321445599</v>
      </c>
      <c r="H39" s="116">
        <f t="shared" si="2"/>
        <v>143734.02000000002</v>
      </c>
      <c r="I39" s="18">
        <f t="shared" si="3"/>
        <v>-571172.04249999998</v>
      </c>
      <c r="M39" s="18"/>
      <c r="N39" s="18"/>
      <c r="O39" s="18"/>
      <c r="P39" s="18"/>
      <c r="Q39" s="18"/>
      <c r="R39" s="18"/>
    </row>
    <row r="40" spans="1:18">
      <c r="A40" s="130"/>
      <c r="B40" s="112"/>
      <c r="C40" s="112"/>
      <c r="D40" s="112"/>
      <c r="E40" s="112"/>
      <c r="F40" s="112"/>
      <c r="G40" s="122"/>
      <c r="H40" s="116"/>
      <c r="I40" s="18">
        <f t="shared" si="3"/>
        <v>0</v>
      </c>
      <c r="M40" s="18"/>
      <c r="N40" s="18"/>
      <c r="O40" s="18"/>
      <c r="P40" s="18"/>
      <c r="Q40" s="18"/>
      <c r="R40" s="18"/>
    </row>
    <row r="41" spans="1:18">
      <c r="A41" s="114" t="s">
        <v>398</v>
      </c>
      <c r="B41" s="127">
        <f>B10-B14-B39</f>
        <v>139415.41177999997</v>
      </c>
      <c r="C41" s="127">
        <f>C10-C14-C39</f>
        <v>135311.82800000001</v>
      </c>
      <c r="D41" s="127">
        <f>D10-D14-D39</f>
        <v>137627.79800000001</v>
      </c>
      <c r="E41" s="127">
        <f>E10-E14-E39</f>
        <v>137627.79800000001</v>
      </c>
      <c r="F41" s="127">
        <f>F10-F14-F39</f>
        <v>137574.46799999999</v>
      </c>
      <c r="G41" s="122">
        <f t="shared" si="0"/>
        <v>1.2359172167855439</v>
      </c>
      <c r="H41" s="116">
        <f t="shared" si="2"/>
        <v>548141.89199999999</v>
      </c>
      <c r="I41" s="18">
        <f t="shared" si="3"/>
        <v>408726.48022000003</v>
      </c>
      <c r="M41" s="18"/>
      <c r="N41" s="18"/>
      <c r="O41" s="18"/>
      <c r="P41" s="18"/>
      <c r="Q41" s="18"/>
      <c r="R41" s="18"/>
    </row>
    <row r="42" spans="1:18">
      <c r="A42" s="130"/>
      <c r="B42" s="115"/>
      <c r="C42" s="118"/>
      <c r="D42" s="118"/>
      <c r="E42" s="118"/>
      <c r="F42" s="118"/>
      <c r="G42" s="122"/>
      <c r="H42" s="118"/>
      <c r="I42" s="18">
        <f t="shared" si="3"/>
        <v>0</v>
      </c>
      <c r="M42" s="18"/>
      <c r="N42" s="18"/>
      <c r="O42" s="18"/>
      <c r="P42" s="18"/>
      <c r="Q42" s="18"/>
      <c r="R42" s="18"/>
    </row>
    <row r="43" spans="1:18">
      <c r="A43" s="114" t="s">
        <v>399</v>
      </c>
      <c r="B43" s="115"/>
      <c r="C43" s="132"/>
      <c r="D43" s="118"/>
      <c r="E43" s="118"/>
      <c r="F43" s="118"/>
      <c r="G43" s="122"/>
      <c r="H43" s="118"/>
      <c r="I43" s="18">
        <f t="shared" si="3"/>
        <v>0</v>
      </c>
      <c r="M43" s="18"/>
      <c r="N43" s="18"/>
      <c r="O43" s="18"/>
      <c r="P43" s="18"/>
      <c r="Q43" s="18"/>
      <c r="R43" s="18"/>
    </row>
    <row r="44" spans="1:18">
      <c r="A44" s="117" t="s">
        <v>400</v>
      </c>
      <c r="B44" s="115"/>
      <c r="C44" s="132"/>
      <c r="D44" s="118"/>
      <c r="E44" s="118"/>
      <c r="F44" s="118"/>
      <c r="G44" s="122"/>
      <c r="H44" s="118"/>
      <c r="I44" s="18">
        <f t="shared" si="3"/>
        <v>0</v>
      </c>
      <c r="M44" s="18"/>
      <c r="N44" s="18"/>
      <c r="O44" s="18"/>
      <c r="P44" s="18"/>
      <c r="Q44" s="18"/>
      <c r="R44" s="18"/>
    </row>
    <row r="45" spans="1:18">
      <c r="A45" s="133" t="s">
        <v>401</v>
      </c>
      <c r="B45" s="115"/>
      <c r="C45" s="132"/>
      <c r="D45" s="118"/>
      <c r="E45" s="118"/>
      <c r="F45" s="118"/>
      <c r="G45" s="122"/>
      <c r="H45" s="118"/>
      <c r="I45" s="18">
        <f t="shared" si="3"/>
        <v>0</v>
      </c>
      <c r="M45" s="18"/>
      <c r="N45" s="18"/>
      <c r="O45" s="18"/>
      <c r="P45" s="18"/>
      <c r="Q45" s="18"/>
      <c r="R45" s="18"/>
    </row>
    <row r="46" spans="1:18">
      <c r="A46" s="120" t="s">
        <v>402</v>
      </c>
      <c r="B46" s="125">
        <v>0</v>
      </c>
      <c r="C46" s="132">
        <v>0</v>
      </c>
      <c r="D46" s="118">
        <v>0</v>
      </c>
      <c r="E46" s="118">
        <v>0</v>
      </c>
      <c r="F46" s="118">
        <v>0</v>
      </c>
      <c r="G46" s="122">
        <f t="shared" si="0"/>
        <v>0</v>
      </c>
      <c r="H46" s="118">
        <f t="shared" si="2"/>
        <v>0</v>
      </c>
      <c r="I46" s="18">
        <f t="shared" si="3"/>
        <v>0</v>
      </c>
      <c r="M46" s="18"/>
      <c r="N46" s="18"/>
      <c r="O46" s="18"/>
      <c r="P46" s="18"/>
      <c r="Q46" s="18"/>
      <c r="R46" s="18"/>
    </row>
    <row r="47" spans="1:18">
      <c r="A47" s="120" t="s">
        <v>403</v>
      </c>
      <c r="B47" s="125">
        <v>500</v>
      </c>
      <c r="C47" s="118">
        <v>0</v>
      </c>
      <c r="D47" s="118">
        <v>0</v>
      </c>
      <c r="E47" s="118">
        <v>0</v>
      </c>
      <c r="F47" s="118">
        <v>0</v>
      </c>
      <c r="G47" s="122">
        <f t="shared" si="0"/>
        <v>0</v>
      </c>
      <c r="H47" s="118">
        <f t="shared" si="2"/>
        <v>0</v>
      </c>
      <c r="I47" s="18">
        <f t="shared" si="3"/>
        <v>-500</v>
      </c>
      <c r="M47" s="18"/>
      <c r="N47" s="18"/>
      <c r="O47" s="18"/>
      <c r="P47" s="18"/>
      <c r="Q47" s="18"/>
      <c r="R47" s="18"/>
    </row>
    <row r="48" spans="1:18">
      <c r="A48" s="133" t="s">
        <v>404</v>
      </c>
      <c r="B48" s="125">
        <v>0</v>
      </c>
      <c r="C48" s="118"/>
      <c r="D48" s="118"/>
      <c r="E48" s="118"/>
      <c r="F48" s="118"/>
      <c r="G48" s="122">
        <f t="shared" si="0"/>
        <v>0</v>
      </c>
      <c r="H48" s="118">
        <f t="shared" si="2"/>
        <v>0</v>
      </c>
      <c r="I48" s="18">
        <f t="shared" si="3"/>
        <v>0</v>
      </c>
      <c r="M48" s="18"/>
      <c r="N48" s="18"/>
      <c r="O48" s="18"/>
      <c r="P48" s="18"/>
      <c r="Q48" s="18"/>
      <c r="R48" s="18"/>
    </row>
    <row r="49" spans="1:18">
      <c r="A49" s="120" t="s">
        <v>405</v>
      </c>
      <c r="B49" s="125">
        <v>10000</v>
      </c>
      <c r="C49" s="118">
        <v>669.9</v>
      </c>
      <c r="D49" s="118">
        <v>0</v>
      </c>
      <c r="E49" s="118">
        <v>2590.0100000000002</v>
      </c>
      <c r="F49" s="118">
        <v>669.9</v>
      </c>
      <c r="G49" s="122">
        <f t="shared" si="0"/>
        <v>8.8606981305052283E-3</v>
      </c>
      <c r="H49" s="118">
        <f t="shared" si="2"/>
        <v>3929.8100000000004</v>
      </c>
      <c r="I49" s="18">
        <f t="shared" si="3"/>
        <v>-6070.19</v>
      </c>
      <c r="M49" s="18"/>
      <c r="N49" s="18"/>
      <c r="O49" s="18"/>
      <c r="P49" s="18"/>
      <c r="Q49" s="18"/>
      <c r="R49" s="18"/>
    </row>
    <row r="50" spans="1:18">
      <c r="A50" s="120" t="s">
        <v>406</v>
      </c>
      <c r="B50" s="125">
        <v>0</v>
      </c>
      <c r="C50" s="118">
        <v>0</v>
      </c>
      <c r="D50" s="118">
        <v>0</v>
      </c>
      <c r="E50" s="118">
        <v>0</v>
      </c>
      <c r="F50" s="118">
        <v>0</v>
      </c>
      <c r="G50" s="122">
        <f t="shared" si="0"/>
        <v>0</v>
      </c>
      <c r="H50" s="118">
        <f t="shared" si="2"/>
        <v>0</v>
      </c>
      <c r="I50" s="18">
        <f t="shared" si="3"/>
        <v>0</v>
      </c>
      <c r="M50" s="18"/>
      <c r="N50" s="18"/>
      <c r="O50" s="18"/>
      <c r="P50" s="18"/>
      <c r="Q50" s="18"/>
      <c r="R50" s="18"/>
    </row>
    <row r="51" spans="1:18">
      <c r="A51" s="120" t="s">
        <v>407</v>
      </c>
      <c r="B51" s="125">
        <v>20000</v>
      </c>
      <c r="C51" s="118">
        <v>8590.3700000000008</v>
      </c>
      <c r="D51" s="118">
        <v>3143.46</v>
      </c>
      <c r="E51" s="118">
        <v>8590.3700000000008</v>
      </c>
      <c r="F51" s="118">
        <v>8590.3700000000008</v>
      </c>
      <c r="G51" s="122">
        <f t="shared" si="0"/>
        <v>6.5194825282485061E-2</v>
      </c>
      <c r="H51" s="118">
        <f t="shared" si="2"/>
        <v>28914.570000000007</v>
      </c>
      <c r="I51" s="18">
        <f t="shared" si="3"/>
        <v>8914.570000000007</v>
      </c>
      <c r="M51" s="18"/>
      <c r="N51" s="18"/>
      <c r="O51" s="18"/>
      <c r="P51" s="18"/>
      <c r="Q51" s="18"/>
      <c r="R51" s="18"/>
    </row>
    <row r="52" spans="1:18">
      <c r="A52" s="120" t="s">
        <v>408</v>
      </c>
      <c r="B52" s="125">
        <v>0</v>
      </c>
      <c r="C52" s="118">
        <v>0</v>
      </c>
      <c r="D52" s="136">
        <v>0</v>
      </c>
      <c r="E52" s="118">
        <v>0</v>
      </c>
      <c r="F52" s="118">
        <v>0</v>
      </c>
      <c r="G52" s="122">
        <f t="shared" si="0"/>
        <v>0</v>
      </c>
      <c r="H52" s="118">
        <f t="shared" si="2"/>
        <v>0</v>
      </c>
      <c r="I52" s="18">
        <f t="shared" si="3"/>
        <v>0</v>
      </c>
      <c r="M52" s="18"/>
      <c r="N52" s="18"/>
      <c r="O52" s="18"/>
      <c r="P52" s="18"/>
      <c r="Q52" s="18"/>
      <c r="R52" s="18"/>
    </row>
    <row r="53" spans="1:18">
      <c r="A53" s="120" t="s">
        <v>409</v>
      </c>
      <c r="B53" s="125">
        <v>0</v>
      </c>
      <c r="C53" s="118">
        <v>0</v>
      </c>
      <c r="D53" s="118">
        <v>0</v>
      </c>
      <c r="E53" s="118">
        <v>0</v>
      </c>
      <c r="F53" s="118">
        <v>0</v>
      </c>
      <c r="G53" s="122">
        <f t="shared" si="0"/>
        <v>0</v>
      </c>
      <c r="H53" s="118">
        <f t="shared" si="2"/>
        <v>0</v>
      </c>
      <c r="I53" s="18">
        <f t="shared" si="3"/>
        <v>0</v>
      </c>
      <c r="M53" s="18"/>
      <c r="N53" s="18"/>
      <c r="O53" s="18"/>
      <c r="P53" s="18"/>
      <c r="Q53" s="18"/>
      <c r="R53" s="18"/>
    </row>
    <row r="54" spans="1:18">
      <c r="A54" s="133" t="s">
        <v>410</v>
      </c>
      <c r="B54" s="125"/>
      <c r="C54" s="118"/>
      <c r="D54" s="118"/>
      <c r="E54" s="118"/>
      <c r="F54" s="118"/>
      <c r="G54" s="122">
        <f t="shared" si="0"/>
        <v>0</v>
      </c>
      <c r="H54" s="118">
        <f t="shared" si="2"/>
        <v>0</v>
      </c>
      <c r="I54" s="18">
        <f t="shared" si="3"/>
        <v>0</v>
      </c>
      <c r="M54" s="18"/>
      <c r="N54" s="18"/>
      <c r="O54" s="18"/>
      <c r="P54" s="18"/>
      <c r="Q54" s="18"/>
      <c r="R54" s="18"/>
    </row>
    <row r="55" spans="1:18">
      <c r="A55" s="120" t="s">
        <v>411</v>
      </c>
      <c r="B55" s="125">
        <v>0</v>
      </c>
      <c r="C55" s="118">
        <v>0</v>
      </c>
      <c r="D55" s="118">
        <v>0</v>
      </c>
      <c r="E55" s="118">
        <v>0</v>
      </c>
      <c r="F55" s="118">
        <v>0</v>
      </c>
      <c r="G55" s="122">
        <f t="shared" si="0"/>
        <v>0</v>
      </c>
      <c r="H55" s="118">
        <f t="shared" si="2"/>
        <v>0</v>
      </c>
      <c r="I55" s="18">
        <f t="shared" si="3"/>
        <v>0</v>
      </c>
      <c r="M55" s="18"/>
      <c r="N55" s="18"/>
      <c r="O55" s="18"/>
      <c r="P55" s="18"/>
      <c r="Q55" s="18"/>
      <c r="R55" s="18"/>
    </row>
    <row r="56" spans="1:18">
      <c r="A56" s="120" t="s">
        <v>412</v>
      </c>
      <c r="B56" s="125">
        <v>7000</v>
      </c>
      <c r="C56" s="118">
        <v>0</v>
      </c>
      <c r="D56" s="118">
        <v>0</v>
      </c>
      <c r="E56" s="118">
        <v>0</v>
      </c>
      <c r="F56" s="118">
        <v>0</v>
      </c>
      <c r="G56" s="122">
        <f t="shared" si="0"/>
        <v>0</v>
      </c>
      <c r="H56" s="118">
        <f t="shared" si="2"/>
        <v>0</v>
      </c>
      <c r="I56" s="18">
        <f t="shared" si="3"/>
        <v>-7000</v>
      </c>
      <c r="M56" s="18"/>
      <c r="N56" s="18"/>
      <c r="O56" s="18"/>
      <c r="P56" s="18"/>
      <c r="Q56" s="18"/>
      <c r="R56" s="18"/>
    </row>
    <row r="57" spans="1:18">
      <c r="A57" s="120" t="s">
        <v>413</v>
      </c>
      <c r="B57" s="125">
        <v>2000</v>
      </c>
      <c r="C57" s="118">
        <v>0</v>
      </c>
      <c r="D57" s="118">
        <v>0</v>
      </c>
      <c r="E57" s="118">
        <v>0</v>
      </c>
      <c r="F57" s="118">
        <v>0</v>
      </c>
      <c r="G57" s="122">
        <f t="shared" si="0"/>
        <v>0</v>
      </c>
      <c r="H57" s="118">
        <f t="shared" si="2"/>
        <v>0</v>
      </c>
      <c r="I57" s="18">
        <f t="shared" si="3"/>
        <v>-2000</v>
      </c>
      <c r="M57" s="18"/>
      <c r="N57" s="18"/>
      <c r="O57" s="18"/>
      <c r="P57" s="18"/>
      <c r="Q57" s="18"/>
      <c r="R57" s="18"/>
    </row>
    <row r="58" spans="1:18">
      <c r="A58" s="120" t="s">
        <v>414</v>
      </c>
      <c r="B58" s="125">
        <v>0</v>
      </c>
      <c r="C58" s="118">
        <v>0</v>
      </c>
      <c r="D58" s="118">
        <v>0</v>
      </c>
      <c r="E58" s="118">
        <v>0</v>
      </c>
      <c r="F58" s="118">
        <v>0</v>
      </c>
      <c r="G58" s="122">
        <f t="shared" si="0"/>
        <v>0</v>
      </c>
      <c r="H58" s="118">
        <f t="shared" si="2"/>
        <v>0</v>
      </c>
      <c r="I58" s="18">
        <f t="shared" si="3"/>
        <v>0</v>
      </c>
      <c r="M58" s="18"/>
      <c r="N58" s="18"/>
      <c r="O58" s="18"/>
      <c r="P58" s="18"/>
      <c r="Q58" s="18"/>
      <c r="R58" s="18"/>
    </row>
    <row r="59" spans="1:18">
      <c r="A59" s="126" t="s">
        <v>415</v>
      </c>
      <c r="B59" s="127">
        <f>SUM(B46:B58)</f>
        <v>39500</v>
      </c>
      <c r="C59" s="127">
        <f>SUM(C46:C58)</f>
        <v>9260.27</v>
      </c>
      <c r="D59" s="127">
        <f>SUM(D46:D58)</f>
        <v>3143.46</v>
      </c>
      <c r="E59" s="127">
        <f>SUM(E46:E58)</f>
        <v>11180.380000000001</v>
      </c>
      <c r="F59" s="127">
        <f>SUM(F46:F58)</f>
        <v>9260.27</v>
      </c>
      <c r="G59" s="122">
        <f t="shared" si="0"/>
        <v>7.4055523412990279E-2</v>
      </c>
      <c r="H59" s="116">
        <f t="shared" si="2"/>
        <v>32844.380000000005</v>
      </c>
      <c r="I59" s="18">
        <f t="shared" si="3"/>
        <v>-6655.6199999999953</v>
      </c>
      <c r="M59" s="18"/>
      <c r="N59" s="18"/>
      <c r="O59" s="18"/>
      <c r="P59" s="18"/>
      <c r="Q59" s="18"/>
      <c r="R59" s="18"/>
    </row>
    <row r="60" spans="1:18">
      <c r="A60" s="130"/>
      <c r="B60" s="115"/>
      <c r="C60" s="118"/>
      <c r="D60" s="118"/>
      <c r="E60" s="118"/>
      <c r="F60" s="118"/>
      <c r="G60" s="122"/>
      <c r="H60" s="118"/>
      <c r="I60" s="18">
        <f t="shared" si="3"/>
        <v>0</v>
      </c>
      <c r="M60" s="18"/>
      <c r="N60" s="18"/>
      <c r="O60" s="18"/>
      <c r="P60" s="18"/>
      <c r="Q60" s="18"/>
      <c r="R60" s="18"/>
    </row>
    <row r="61" spans="1:18">
      <c r="A61" s="117" t="s">
        <v>416</v>
      </c>
      <c r="B61" s="115"/>
      <c r="C61" s="118"/>
      <c r="D61" s="118"/>
      <c r="E61" s="118"/>
      <c r="F61" s="118"/>
      <c r="G61" s="122"/>
      <c r="H61" s="118"/>
      <c r="I61" s="18">
        <f t="shared" si="3"/>
        <v>0</v>
      </c>
      <c r="M61" s="18"/>
      <c r="N61" s="18"/>
      <c r="O61" s="18"/>
      <c r="P61" s="18"/>
      <c r="Q61" s="18"/>
      <c r="R61" s="18"/>
    </row>
    <row r="62" spans="1:18">
      <c r="A62" s="133" t="s">
        <v>417</v>
      </c>
      <c r="B62" s="115"/>
      <c r="C62" s="118"/>
      <c r="D62" s="118"/>
      <c r="E62" s="118"/>
      <c r="F62" s="118"/>
      <c r="G62" s="122"/>
      <c r="H62" s="118"/>
      <c r="I62" s="18">
        <f t="shared" si="3"/>
        <v>0</v>
      </c>
      <c r="M62" s="18"/>
      <c r="N62" s="18"/>
      <c r="O62" s="18"/>
      <c r="P62" s="18"/>
      <c r="Q62" s="18"/>
      <c r="R62" s="18"/>
    </row>
    <row r="63" spans="1:18">
      <c r="A63" s="120" t="s">
        <v>418</v>
      </c>
      <c r="B63" s="125">
        <v>65254.421499999997</v>
      </c>
      <c r="C63" s="118">
        <v>0</v>
      </c>
      <c r="D63" s="118">
        <v>0</v>
      </c>
      <c r="E63" s="118">
        <v>0</v>
      </c>
      <c r="F63" s="118">
        <v>0</v>
      </c>
      <c r="G63" s="122">
        <f t="shared" si="0"/>
        <v>0</v>
      </c>
      <c r="H63" s="118">
        <f t="shared" si="2"/>
        <v>0</v>
      </c>
      <c r="I63" s="18">
        <f t="shared" si="3"/>
        <v>-65254.421499999997</v>
      </c>
      <c r="M63" s="18"/>
      <c r="N63" s="18"/>
      <c r="O63" s="18"/>
      <c r="P63" s="18"/>
      <c r="Q63" s="18"/>
      <c r="R63" s="18"/>
    </row>
    <row r="64" spans="1:18">
      <c r="A64" s="120" t="s">
        <v>382</v>
      </c>
      <c r="B64" s="125">
        <v>3000</v>
      </c>
      <c r="C64" s="118">
        <v>2000</v>
      </c>
      <c r="D64" s="118">
        <v>2000</v>
      </c>
      <c r="E64" s="118">
        <v>2000</v>
      </c>
      <c r="F64" s="118">
        <v>2000</v>
      </c>
      <c r="G64" s="122">
        <f t="shared" si="0"/>
        <v>1.8037916602594482E-2</v>
      </c>
      <c r="H64" s="118">
        <f t="shared" si="2"/>
        <v>8000</v>
      </c>
      <c r="I64" s="18">
        <f t="shared" si="3"/>
        <v>5000</v>
      </c>
      <c r="M64" s="18"/>
      <c r="N64" s="18"/>
      <c r="O64" s="18"/>
      <c r="P64" s="18"/>
      <c r="Q64" s="18"/>
      <c r="R64" s="18"/>
    </row>
    <row r="65" spans="1:18">
      <c r="A65" s="120" t="s">
        <v>383</v>
      </c>
      <c r="B65" s="125">
        <v>0</v>
      </c>
      <c r="C65" s="118">
        <v>0</v>
      </c>
      <c r="D65" s="118">
        <v>0</v>
      </c>
      <c r="E65" s="118">
        <v>0</v>
      </c>
      <c r="F65" s="118">
        <v>0</v>
      </c>
      <c r="G65" s="122">
        <f t="shared" si="0"/>
        <v>0</v>
      </c>
      <c r="H65" s="118">
        <f t="shared" si="2"/>
        <v>0</v>
      </c>
      <c r="I65" s="18">
        <f t="shared" si="3"/>
        <v>0</v>
      </c>
      <c r="M65" s="18"/>
      <c r="N65" s="18"/>
      <c r="O65" s="18"/>
      <c r="P65" s="18"/>
      <c r="Q65" s="18"/>
      <c r="R65" s="18"/>
    </row>
    <row r="66" spans="1:18">
      <c r="A66" s="120" t="s">
        <v>384</v>
      </c>
      <c r="B66" s="125">
        <v>0</v>
      </c>
      <c r="C66" s="118">
        <v>0</v>
      </c>
      <c r="D66" s="118">
        <v>0</v>
      </c>
      <c r="E66" s="118">
        <v>0</v>
      </c>
      <c r="F66" s="118">
        <v>0</v>
      </c>
      <c r="G66" s="122">
        <f t="shared" si="0"/>
        <v>0</v>
      </c>
      <c r="H66" s="118">
        <f t="shared" si="2"/>
        <v>0</v>
      </c>
      <c r="I66" s="18">
        <f t="shared" si="3"/>
        <v>0</v>
      </c>
      <c r="M66" s="18"/>
      <c r="N66" s="18"/>
      <c r="O66" s="18"/>
      <c r="P66" s="18"/>
      <c r="Q66" s="18"/>
      <c r="R66" s="18"/>
    </row>
    <row r="67" spans="1:18">
      <c r="A67" s="120" t="s">
        <v>385</v>
      </c>
      <c r="B67" s="125">
        <v>0</v>
      </c>
      <c r="C67" s="118">
        <v>2297.81</v>
      </c>
      <c r="D67" s="118">
        <v>2297.81</v>
      </c>
      <c r="E67" s="118">
        <v>2297.81</v>
      </c>
      <c r="F67" s="118">
        <v>2297.81</v>
      </c>
      <c r="G67" s="122">
        <f t="shared" si="0"/>
        <v>2.0723852574303814E-2</v>
      </c>
      <c r="H67" s="118">
        <f t="shared" si="2"/>
        <v>9191.24</v>
      </c>
      <c r="I67" s="18">
        <f t="shared" si="3"/>
        <v>9191.24</v>
      </c>
      <c r="M67" s="18"/>
      <c r="N67" s="18"/>
      <c r="O67" s="18"/>
      <c r="P67" s="18"/>
      <c r="Q67" s="18"/>
      <c r="R67" s="18"/>
    </row>
    <row r="68" spans="1:18">
      <c r="A68" s="120" t="s">
        <v>386</v>
      </c>
      <c r="B68" s="125">
        <v>0</v>
      </c>
      <c r="C68" s="112">
        <v>0</v>
      </c>
      <c r="D68" s="118">
        <v>0</v>
      </c>
      <c r="E68" s="118">
        <v>0</v>
      </c>
      <c r="F68" s="118">
        <v>0</v>
      </c>
      <c r="G68" s="122">
        <f t="shared" si="0"/>
        <v>0</v>
      </c>
      <c r="H68" s="118">
        <f t="shared" si="2"/>
        <v>0</v>
      </c>
      <c r="I68" s="18">
        <f t="shared" si="3"/>
        <v>0</v>
      </c>
      <c r="M68" s="18"/>
      <c r="N68" s="18"/>
      <c r="O68" s="18"/>
      <c r="P68" s="18"/>
      <c r="Q68" s="18"/>
      <c r="R68" s="18"/>
    </row>
    <row r="69" spans="1:18">
      <c r="A69" s="120" t="s">
        <v>387</v>
      </c>
      <c r="B69" s="125">
        <v>733.20000000000016</v>
      </c>
      <c r="C69" s="112">
        <v>0</v>
      </c>
      <c r="D69" s="118">
        <v>0</v>
      </c>
      <c r="E69" s="118">
        <v>0</v>
      </c>
      <c r="F69" s="118">
        <v>0</v>
      </c>
      <c r="G69" s="122">
        <f t="shared" si="0"/>
        <v>0</v>
      </c>
      <c r="H69" s="118">
        <f t="shared" si="2"/>
        <v>0</v>
      </c>
      <c r="I69" s="18">
        <f t="shared" si="3"/>
        <v>-733.20000000000016</v>
      </c>
      <c r="M69" s="18"/>
      <c r="N69" s="18"/>
      <c r="O69" s="18"/>
      <c r="P69" s="18"/>
      <c r="Q69" s="18"/>
      <c r="R69" s="18"/>
    </row>
    <row r="70" spans="1:18">
      <c r="A70" s="120" t="s">
        <v>152</v>
      </c>
      <c r="B70" s="125">
        <v>2403.8200000000002</v>
      </c>
      <c r="C70" s="118">
        <v>1683.72</v>
      </c>
      <c r="D70" s="118">
        <v>1683.72</v>
      </c>
      <c r="E70" s="118">
        <v>1683.72</v>
      </c>
      <c r="F70" s="118">
        <v>1683.72</v>
      </c>
      <c r="G70" s="122">
        <f t="shared" si="0"/>
        <v>1.5185400471060193E-2</v>
      </c>
      <c r="H70" s="118">
        <f t="shared" si="2"/>
        <v>6734.88</v>
      </c>
      <c r="I70" s="18">
        <f t="shared" si="3"/>
        <v>4331.0599999999995</v>
      </c>
      <c r="M70" s="18"/>
      <c r="N70" s="18"/>
      <c r="O70" s="18"/>
      <c r="P70" s="18"/>
      <c r="Q70" s="18"/>
      <c r="R70" s="18"/>
    </row>
    <row r="71" spans="1:18">
      <c r="A71" s="133" t="s">
        <v>419</v>
      </c>
      <c r="B71" s="125"/>
      <c r="C71" s="118"/>
      <c r="D71" s="118"/>
      <c r="E71" s="118"/>
      <c r="F71" s="118"/>
      <c r="G71" s="122"/>
      <c r="H71" s="118"/>
      <c r="I71" s="18">
        <f t="shared" si="3"/>
        <v>0</v>
      </c>
      <c r="M71" s="18"/>
      <c r="N71" s="18"/>
      <c r="O71" s="18"/>
      <c r="P71" s="18"/>
      <c r="Q71" s="18"/>
      <c r="R71" s="18"/>
    </row>
    <row r="72" spans="1:18">
      <c r="A72" s="120" t="s">
        <v>420</v>
      </c>
      <c r="B72" s="125">
        <v>0</v>
      </c>
      <c r="C72" s="118">
        <v>0</v>
      </c>
      <c r="D72" s="118">
        <v>0</v>
      </c>
      <c r="E72" s="118">
        <v>0</v>
      </c>
      <c r="F72" s="118">
        <v>0</v>
      </c>
      <c r="G72" s="122">
        <f t="shared" ref="G72:G135" si="4">H72/$H$10</f>
        <v>0</v>
      </c>
      <c r="H72" s="118">
        <f t="shared" si="2"/>
        <v>0</v>
      </c>
      <c r="I72" s="18">
        <f t="shared" si="3"/>
        <v>0</v>
      </c>
      <c r="M72" s="18"/>
      <c r="N72" s="18"/>
      <c r="O72" s="18"/>
      <c r="P72" s="18"/>
      <c r="Q72" s="18"/>
      <c r="R72" s="18"/>
    </row>
    <row r="73" spans="1:18">
      <c r="A73" s="120" t="s">
        <v>421</v>
      </c>
      <c r="B73" s="125">
        <v>309.85000000000002</v>
      </c>
      <c r="C73" s="118">
        <v>0</v>
      </c>
      <c r="D73" s="118">
        <v>139.61000000000001</v>
      </c>
      <c r="E73" s="118">
        <v>139.61000000000001</v>
      </c>
      <c r="F73" s="118">
        <v>0</v>
      </c>
      <c r="G73" s="122">
        <f t="shared" si="4"/>
        <v>6.2956838422205397E-4</v>
      </c>
      <c r="H73" s="118">
        <f t="shared" si="2"/>
        <v>279.22000000000003</v>
      </c>
      <c r="I73" s="18">
        <f t="shared" si="3"/>
        <v>-30.629999999999995</v>
      </c>
      <c r="M73" s="18"/>
      <c r="N73" s="18"/>
      <c r="O73" s="18"/>
      <c r="P73" s="18"/>
      <c r="Q73" s="18"/>
      <c r="R73" s="18"/>
    </row>
    <row r="74" spans="1:18">
      <c r="A74" s="120" t="s">
        <v>422</v>
      </c>
      <c r="B74" s="125">
        <v>0</v>
      </c>
      <c r="C74" s="118">
        <v>0</v>
      </c>
      <c r="D74" s="118">
        <v>0</v>
      </c>
      <c r="E74" s="118">
        <v>0</v>
      </c>
      <c r="F74" s="118">
        <v>0</v>
      </c>
      <c r="G74" s="122">
        <f t="shared" si="4"/>
        <v>0</v>
      </c>
      <c r="H74" s="118">
        <f t="shared" si="2"/>
        <v>0</v>
      </c>
      <c r="I74" s="18">
        <f t="shared" si="3"/>
        <v>0</v>
      </c>
      <c r="M74" s="18"/>
      <c r="N74" s="18"/>
      <c r="O74" s="18"/>
      <c r="P74" s="18"/>
      <c r="Q74" s="18"/>
      <c r="R74" s="18"/>
    </row>
    <row r="75" spans="1:18">
      <c r="A75" s="120" t="s">
        <v>423</v>
      </c>
      <c r="B75" s="125">
        <v>869.23</v>
      </c>
      <c r="C75" s="118">
        <v>460.21</v>
      </c>
      <c r="D75" s="118">
        <v>0</v>
      </c>
      <c r="E75" s="118">
        <v>460.21</v>
      </c>
      <c r="F75" s="118">
        <v>460.21</v>
      </c>
      <c r="G75" s="122">
        <f t="shared" si="4"/>
        <v>3.1129610998800023E-3</v>
      </c>
      <c r="H75" s="118">
        <f t="shared" si="2"/>
        <v>1380.6299999999999</v>
      </c>
      <c r="I75" s="18">
        <f t="shared" si="3"/>
        <v>511.39999999999986</v>
      </c>
      <c r="M75" s="18"/>
      <c r="N75" s="18"/>
      <c r="O75" s="18"/>
      <c r="P75" s="18"/>
      <c r="Q75" s="18"/>
      <c r="R75" s="18"/>
    </row>
    <row r="76" spans="1:18">
      <c r="A76" s="120" t="s">
        <v>424</v>
      </c>
      <c r="B76" s="125">
        <v>0</v>
      </c>
      <c r="C76" s="118">
        <v>0</v>
      </c>
      <c r="D76" s="118">
        <v>0</v>
      </c>
      <c r="E76" s="118">
        <v>0</v>
      </c>
      <c r="F76" s="118">
        <v>0</v>
      </c>
      <c r="G76" s="122">
        <f t="shared" si="4"/>
        <v>0</v>
      </c>
      <c r="H76" s="118">
        <f t="shared" si="2"/>
        <v>0</v>
      </c>
      <c r="I76" s="18">
        <f t="shared" si="3"/>
        <v>0</v>
      </c>
      <c r="M76" s="18"/>
      <c r="N76" s="18"/>
      <c r="O76" s="18"/>
      <c r="P76" s="18"/>
      <c r="Q76" s="18"/>
      <c r="R76" s="18"/>
    </row>
    <row r="77" spans="1:18">
      <c r="A77" s="120" t="s">
        <v>425</v>
      </c>
      <c r="B77" s="125">
        <v>4548.3100000000004</v>
      </c>
      <c r="C77" s="118">
        <v>2328.67</v>
      </c>
      <c r="D77" s="118">
        <v>2328.67</v>
      </c>
      <c r="E77" s="118">
        <v>2328.67</v>
      </c>
      <c r="F77" s="118">
        <v>2328.67</v>
      </c>
      <c r="G77" s="122">
        <f t="shared" si="4"/>
        <v>2.1002177627481848E-2</v>
      </c>
      <c r="H77" s="118">
        <f t="shared" si="2"/>
        <v>9314.68</v>
      </c>
      <c r="I77" s="18">
        <f t="shared" si="3"/>
        <v>4766.37</v>
      </c>
      <c r="M77" s="18"/>
      <c r="N77" s="18"/>
      <c r="O77" s="18"/>
      <c r="P77" s="18"/>
      <c r="Q77" s="18"/>
      <c r="R77" s="18"/>
    </row>
    <row r="78" spans="1:18">
      <c r="A78" s="120" t="s">
        <v>426</v>
      </c>
      <c r="B78" s="125">
        <v>743.73</v>
      </c>
      <c r="C78" s="118">
        <v>0</v>
      </c>
      <c r="D78" s="118">
        <v>0</v>
      </c>
      <c r="E78" s="118">
        <v>0</v>
      </c>
      <c r="F78" s="118">
        <v>0</v>
      </c>
      <c r="G78" s="122">
        <f t="shared" si="4"/>
        <v>0</v>
      </c>
      <c r="H78" s="118">
        <f t="shared" si="2"/>
        <v>0</v>
      </c>
      <c r="I78" s="18">
        <f t="shared" si="3"/>
        <v>-743.73</v>
      </c>
      <c r="M78" s="18"/>
      <c r="N78" s="18"/>
      <c r="O78" s="18"/>
      <c r="P78" s="18"/>
      <c r="Q78" s="18"/>
      <c r="R78" s="18"/>
    </row>
    <row r="79" spans="1:18">
      <c r="A79" s="137" t="s">
        <v>427</v>
      </c>
      <c r="B79" s="125">
        <v>0</v>
      </c>
      <c r="C79" s="118">
        <v>0</v>
      </c>
      <c r="D79" s="118">
        <v>0</v>
      </c>
      <c r="E79" s="118">
        <v>0</v>
      </c>
      <c r="F79" s="118">
        <v>0</v>
      </c>
      <c r="G79" s="122">
        <f t="shared" si="4"/>
        <v>0</v>
      </c>
      <c r="H79" s="118">
        <f t="shared" si="2"/>
        <v>0</v>
      </c>
      <c r="I79" s="18">
        <f t="shared" si="3"/>
        <v>0</v>
      </c>
      <c r="M79" s="18"/>
      <c r="N79" s="18"/>
      <c r="O79" s="18"/>
      <c r="P79" s="18"/>
      <c r="Q79" s="18"/>
      <c r="R79" s="18"/>
    </row>
    <row r="80" spans="1:18">
      <c r="A80" s="137" t="s">
        <v>71</v>
      </c>
      <c r="B80" s="125">
        <v>345.96999999999997</v>
      </c>
      <c r="C80" s="118">
        <v>0</v>
      </c>
      <c r="D80" s="118">
        <v>0</v>
      </c>
      <c r="E80" s="118">
        <v>0</v>
      </c>
      <c r="F80" s="118">
        <v>0</v>
      </c>
      <c r="G80" s="122">
        <f t="shared" si="4"/>
        <v>0</v>
      </c>
      <c r="H80" s="118">
        <f t="shared" ref="H80:H137" si="5">SUM(C80:F80)</f>
        <v>0</v>
      </c>
      <c r="I80" s="18">
        <f t="shared" si="3"/>
        <v>-345.96999999999997</v>
      </c>
      <c r="M80" s="18"/>
      <c r="N80" s="18"/>
      <c r="O80" s="18"/>
      <c r="P80" s="18"/>
      <c r="Q80" s="18"/>
      <c r="R80" s="18"/>
    </row>
    <row r="81" spans="1:18">
      <c r="A81" s="120" t="s">
        <v>85</v>
      </c>
      <c r="B81" s="125">
        <v>3432.3599999999997</v>
      </c>
      <c r="C81" s="118">
        <v>527.75</v>
      </c>
      <c r="D81" s="118">
        <v>1074.9100000000001</v>
      </c>
      <c r="E81" s="118">
        <v>0</v>
      </c>
      <c r="F81" s="118">
        <v>0</v>
      </c>
      <c r="G81" s="122">
        <f t="shared" si="4"/>
        <v>3.6135809277892594E-3</v>
      </c>
      <c r="H81" s="118">
        <f t="shared" si="5"/>
        <v>1602.66</v>
      </c>
      <c r="I81" s="18">
        <f t="shared" si="3"/>
        <v>-1829.6999999999996</v>
      </c>
      <c r="M81" s="18"/>
      <c r="N81" s="18"/>
      <c r="O81" s="18"/>
      <c r="P81" s="18"/>
      <c r="Q81" s="18"/>
      <c r="R81" s="18"/>
    </row>
    <row r="82" spans="1:18">
      <c r="A82" s="120" t="s">
        <v>428</v>
      </c>
      <c r="B82" s="125">
        <v>1499.6899999999998</v>
      </c>
      <c r="C82" s="118">
        <v>0.63</v>
      </c>
      <c r="D82" s="118">
        <v>20.88</v>
      </c>
      <c r="E82" s="118">
        <v>0</v>
      </c>
      <c r="F82" s="118">
        <v>0</v>
      </c>
      <c r="G82" s="122">
        <f t="shared" si="4"/>
        <v>4.8499448265225914E-5</v>
      </c>
      <c r="H82" s="118">
        <f t="shared" si="5"/>
        <v>21.509999999999998</v>
      </c>
      <c r="I82" s="18">
        <f t="shared" ref="I82:I140" si="6">H82-B82</f>
        <v>-1478.1799999999998</v>
      </c>
      <c r="M82" s="18"/>
      <c r="N82" s="18"/>
      <c r="O82" s="18"/>
      <c r="P82" s="18"/>
      <c r="Q82" s="18"/>
      <c r="R82" s="18"/>
    </row>
    <row r="83" spans="1:18">
      <c r="A83" s="120" t="s">
        <v>429</v>
      </c>
      <c r="B83" s="125">
        <v>0</v>
      </c>
      <c r="C83" s="118">
        <v>0</v>
      </c>
      <c r="D83" s="118">
        <v>0</v>
      </c>
      <c r="E83" s="118">
        <v>0</v>
      </c>
      <c r="F83" s="118">
        <v>0</v>
      </c>
      <c r="G83" s="122">
        <f t="shared" si="4"/>
        <v>0</v>
      </c>
      <c r="H83" s="118">
        <f t="shared" si="5"/>
        <v>0</v>
      </c>
      <c r="I83" s="18">
        <f t="shared" si="6"/>
        <v>0</v>
      </c>
      <c r="M83" s="18"/>
      <c r="N83" s="18"/>
      <c r="O83" s="18"/>
      <c r="P83" s="18"/>
      <c r="Q83" s="18"/>
      <c r="R83" s="18"/>
    </row>
    <row r="84" spans="1:18">
      <c r="A84" s="120" t="s">
        <v>430</v>
      </c>
      <c r="B84" s="138">
        <v>750</v>
      </c>
      <c r="C84" s="134">
        <v>854.27</v>
      </c>
      <c r="D84" s="134">
        <v>854.27</v>
      </c>
      <c r="E84" s="134">
        <v>854.27</v>
      </c>
      <c r="F84" s="134">
        <v>854.27</v>
      </c>
      <c r="G84" s="135">
        <f t="shared" si="4"/>
        <v>7.7046255080491944E-3</v>
      </c>
      <c r="H84" s="134">
        <f t="shared" si="5"/>
        <v>3417.08</v>
      </c>
      <c r="I84" s="18">
        <f t="shared" si="6"/>
        <v>2667.08</v>
      </c>
      <c r="M84" s="18"/>
      <c r="N84" s="18"/>
      <c r="O84" s="18"/>
      <c r="P84" s="18"/>
      <c r="Q84" s="18"/>
      <c r="R84" s="18"/>
    </row>
    <row r="85" spans="1:18">
      <c r="A85" s="131" t="s">
        <v>392</v>
      </c>
      <c r="B85" s="125">
        <v>2450.3500000000004</v>
      </c>
      <c r="C85" s="118">
        <v>1368.25</v>
      </c>
      <c r="D85" s="118">
        <v>1368.25</v>
      </c>
      <c r="E85" s="118">
        <v>1368.25</v>
      </c>
      <c r="F85" s="118">
        <v>1368.25</v>
      </c>
      <c r="G85" s="122">
        <f t="shared" si="4"/>
        <v>1.234018969574995E-2</v>
      </c>
      <c r="H85" s="118">
        <f t="shared" si="5"/>
        <v>5473</v>
      </c>
      <c r="I85" s="18">
        <f t="shared" si="6"/>
        <v>3022.6499999999996</v>
      </c>
      <c r="M85" s="18"/>
      <c r="N85" s="18"/>
      <c r="O85" s="18"/>
      <c r="P85" s="18"/>
      <c r="Q85" s="18"/>
      <c r="R85" s="18"/>
    </row>
    <row r="86" spans="1:18">
      <c r="A86" s="120" t="s">
        <v>431</v>
      </c>
      <c r="B86" s="125">
        <v>23465.289999999997</v>
      </c>
      <c r="C86" s="118">
        <v>2288.77</v>
      </c>
      <c r="D86" s="118">
        <v>0</v>
      </c>
      <c r="E86" s="118">
        <v>0</v>
      </c>
      <c r="F86" s="118">
        <v>0</v>
      </c>
      <c r="G86" s="122">
        <f t="shared" si="4"/>
        <v>5.1605802978150223E-3</v>
      </c>
      <c r="H86" s="118">
        <f t="shared" si="5"/>
        <v>2288.77</v>
      </c>
      <c r="I86" s="18">
        <f t="shared" si="6"/>
        <v>-21176.519999999997</v>
      </c>
      <c r="M86" s="18"/>
      <c r="N86" s="18"/>
      <c r="O86" s="18"/>
      <c r="P86" s="18"/>
      <c r="Q86" s="18"/>
      <c r="R86" s="18"/>
    </row>
    <row r="87" spans="1:18">
      <c r="A87" s="137" t="s">
        <v>432</v>
      </c>
      <c r="B87" s="125">
        <v>2095.96</v>
      </c>
      <c r="C87" s="118">
        <v>313.61</v>
      </c>
      <c r="D87" s="118">
        <v>313.61</v>
      </c>
      <c r="E87" s="118">
        <v>313.61</v>
      </c>
      <c r="F87" s="118">
        <v>313.61</v>
      </c>
      <c r="G87" s="122">
        <f t="shared" si="4"/>
        <v>2.828435512869828E-3</v>
      </c>
      <c r="H87" s="118">
        <f t="shared" si="5"/>
        <v>1254.44</v>
      </c>
      <c r="I87" s="18">
        <f t="shared" si="6"/>
        <v>-841.52</v>
      </c>
      <c r="M87" s="18"/>
      <c r="N87" s="18"/>
      <c r="O87" s="18"/>
      <c r="P87" s="18"/>
      <c r="Q87" s="18"/>
      <c r="R87" s="18"/>
    </row>
    <row r="88" spans="1:18">
      <c r="A88" s="137" t="s">
        <v>134</v>
      </c>
      <c r="B88" s="125">
        <v>200</v>
      </c>
      <c r="C88" s="118">
        <v>0</v>
      </c>
      <c r="D88" s="118">
        <v>0</v>
      </c>
      <c r="E88" s="118">
        <v>0</v>
      </c>
      <c r="F88" s="118">
        <v>0</v>
      </c>
      <c r="G88" s="122">
        <f t="shared" si="4"/>
        <v>0</v>
      </c>
      <c r="H88" s="118">
        <f t="shared" si="5"/>
        <v>0</v>
      </c>
      <c r="I88" s="18">
        <f t="shared" si="6"/>
        <v>-200</v>
      </c>
      <c r="M88" s="18"/>
      <c r="N88" s="18"/>
      <c r="O88" s="18"/>
      <c r="P88" s="18"/>
      <c r="Q88" s="18"/>
      <c r="R88" s="18"/>
    </row>
    <row r="89" spans="1:18">
      <c r="A89" s="120" t="s">
        <v>433</v>
      </c>
      <c r="B89" s="125">
        <v>1682.6100000000001</v>
      </c>
      <c r="C89" s="118">
        <v>0</v>
      </c>
      <c r="D89" s="118">
        <v>0</v>
      </c>
      <c r="E89" s="118">
        <v>0</v>
      </c>
      <c r="F89" s="118">
        <v>0</v>
      </c>
      <c r="G89" s="122">
        <f t="shared" si="4"/>
        <v>0</v>
      </c>
      <c r="H89" s="118">
        <f t="shared" si="5"/>
        <v>0</v>
      </c>
      <c r="I89" s="18">
        <f t="shared" si="6"/>
        <v>-1682.6100000000001</v>
      </c>
      <c r="M89" s="18"/>
      <c r="N89" s="18"/>
      <c r="O89" s="18"/>
      <c r="P89" s="18"/>
      <c r="Q89" s="18"/>
      <c r="R89" s="18"/>
    </row>
    <row r="90" spans="1:18">
      <c r="A90" s="120" t="s">
        <v>434</v>
      </c>
      <c r="B90" s="125">
        <v>764.4</v>
      </c>
      <c r="C90" s="118">
        <v>0</v>
      </c>
      <c r="D90" s="118">
        <v>0</v>
      </c>
      <c r="E90" s="118">
        <v>0</v>
      </c>
      <c r="F90" s="118">
        <v>0</v>
      </c>
      <c r="G90" s="122">
        <f t="shared" si="4"/>
        <v>0</v>
      </c>
      <c r="H90" s="118">
        <f t="shared" si="5"/>
        <v>0</v>
      </c>
      <c r="I90" s="18">
        <f t="shared" si="6"/>
        <v>-764.4</v>
      </c>
      <c r="M90" s="18"/>
      <c r="N90" s="18"/>
      <c r="O90" s="18"/>
      <c r="P90" s="18"/>
      <c r="Q90" s="18"/>
      <c r="R90" s="18"/>
    </row>
    <row r="91" spans="1:18">
      <c r="A91" s="120" t="s">
        <v>435</v>
      </c>
      <c r="B91" s="125">
        <v>2312.8199999999997</v>
      </c>
      <c r="C91" s="118">
        <v>0</v>
      </c>
      <c r="D91" s="118">
        <v>394.88</v>
      </c>
      <c r="E91" s="118">
        <v>0</v>
      </c>
      <c r="F91" s="118">
        <v>0</v>
      </c>
      <c r="G91" s="122">
        <f t="shared" si="4"/>
        <v>8.9035156350406367E-4</v>
      </c>
      <c r="H91" s="118">
        <f t="shared" si="5"/>
        <v>394.88</v>
      </c>
      <c r="I91" s="18">
        <f t="shared" si="6"/>
        <v>-1917.9399999999996</v>
      </c>
      <c r="M91" s="18"/>
      <c r="N91" s="18"/>
      <c r="O91" s="18"/>
      <c r="P91" s="18"/>
      <c r="Q91" s="18"/>
      <c r="R91" s="18"/>
    </row>
    <row r="92" spans="1:18">
      <c r="A92" s="120" t="s">
        <v>436</v>
      </c>
      <c r="B92" s="125">
        <v>0</v>
      </c>
      <c r="C92" s="118">
        <v>0</v>
      </c>
      <c r="D92" s="118">
        <v>0</v>
      </c>
      <c r="E92" s="118">
        <v>0</v>
      </c>
      <c r="F92" s="118">
        <v>0</v>
      </c>
      <c r="G92" s="122">
        <f t="shared" si="4"/>
        <v>0</v>
      </c>
      <c r="H92" s="118">
        <f t="shared" si="5"/>
        <v>0</v>
      </c>
      <c r="I92" s="18">
        <f t="shared" si="6"/>
        <v>0</v>
      </c>
      <c r="M92" s="18"/>
      <c r="N92" s="18"/>
      <c r="O92" s="18"/>
      <c r="P92" s="18"/>
      <c r="Q92" s="18"/>
      <c r="R92" s="18"/>
    </row>
    <row r="93" spans="1:18">
      <c r="A93" s="120" t="s">
        <v>437</v>
      </c>
      <c r="B93" s="125">
        <v>0</v>
      </c>
      <c r="C93" s="118">
        <v>0</v>
      </c>
      <c r="D93" s="118">
        <v>0</v>
      </c>
      <c r="E93" s="118">
        <v>0</v>
      </c>
      <c r="F93" s="118">
        <v>0</v>
      </c>
      <c r="G93" s="122">
        <f t="shared" si="4"/>
        <v>0</v>
      </c>
      <c r="H93" s="118">
        <f t="shared" si="5"/>
        <v>0</v>
      </c>
      <c r="I93" s="18">
        <f t="shared" si="6"/>
        <v>0</v>
      </c>
      <c r="M93" s="18"/>
      <c r="N93" s="18"/>
      <c r="O93" s="18"/>
      <c r="P93" s="18"/>
      <c r="Q93" s="18"/>
      <c r="R93" s="18"/>
    </row>
    <row r="94" spans="1:18">
      <c r="A94" s="120" t="s">
        <v>438</v>
      </c>
      <c r="B94" s="125">
        <v>943.01</v>
      </c>
      <c r="C94" s="118">
        <v>0</v>
      </c>
      <c r="D94" s="118">
        <v>474.59</v>
      </c>
      <c r="E94" s="118">
        <v>474.59</v>
      </c>
      <c r="F94" s="118">
        <v>474.59</v>
      </c>
      <c r="G94" s="122">
        <f t="shared" si="4"/>
        <v>3.2102305651594935E-3</v>
      </c>
      <c r="H94" s="118">
        <f t="shared" si="5"/>
        <v>1423.77</v>
      </c>
      <c r="I94" s="18">
        <f t="shared" si="6"/>
        <v>480.76</v>
      </c>
      <c r="M94" s="18"/>
      <c r="N94" s="18"/>
      <c r="O94" s="18"/>
      <c r="P94" s="18"/>
      <c r="Q94" s="18"/>
      <c r="R94" s="18"/>
    </row>
    <row r="95" spans="1:18">
      <c r="A95" s="120" t="s">
        <v>439</v>
      </c>
      <c r="B95" s="125">
        <v>5256.43</v>
      </c>
      <c r="C95" s="118">
        <v>0</v>
      </c>
      <c r="D95" s="118">
        <v>0</v>
      </c>
      <c r="E95" s="118">
        <v>0</v>
      </c>
      <c r="F95" s="118">
        <v>0</v>
      </c>
      <c r="G95" s="122">
        <f t="shared" si="4"/>
        <v>0</v>
      </c>
      <c r="H95" s="118">
        <f t="shared" si="5"/>
        <v>0</v>
      </c>
      <c r="I95" s="18">
        <f t="shared" si="6"/>
        <v>-5256.43</v>
      </c>
      <c r="M95" s="18"/>
      <c r="N95" s="18"/>
      <c r="O95" s="18"/>
      <c r="P95" s="18"/>
      <c r="Q95" s="18"/>
      <c r="R95" s="18"/>
    </row>
    <row r="96" spans="1:18">
      <c r="A96" s="137" t="s">
        <v>440</v>
      </c>
      <c r="B96" s="125">
        <v>0</v>
      </c>
      <c r="C96" s="118">
        <v>0</v>
      </c>
      <c r="D96" s="118">
        <v>0</v>
      </c>
      <c r="E96" s="118">
        <v>0</v>
      </c>
      <c r="F96" s="118">
        <v>0</v>
      </c>
      <c r="G96" s="122">
        <f t="shared" si="4"/>
        <v>0</v>
      </c>
      <c r="H96" s="118">
        <f t="shared" si="5"/>
        <v>0</v>
      </c>
      <c r="I96" s="18">
        <f t="shared" si="6"/>
        <v>0</v>
      </c>
      <c r="M96" s="18"/>
      <c r="N96" s="18"/>
      <c r="O96" s="18"/>
      <c r="P96" s="18"/>
      <c r="Q96" s="18"/>
      <c r="R96" s="18"/>
    </row>
    <row r="97" spans="1:18">
      <c r="A97" s="137" t="s">
        <v>441</v>
      </c>
      <c r="B97" s="125">
        <v>0</v>
      </c>
      <c r="C97" s="118">
        <v>0</v>
      </c>
      <c r="D97" s="118">
        <v>0</v>
      </c>
      <c r="E97" s="118">
        <v>0</v>
      </c>
      <c r="F97" s="118">
        <v>0</v>
      </c>
      <c r="G97" s="122">
        <f t="shared" si="4"/>
        <v>0</v>
      </c>
      <c r="H97" s="118">
        <f t="shared" si="5"/>
        <v>0</v>
      </c>
      <c r="I97" s="18">
        <f t="shared" si="6"/>
        <v>0</v>
      </c>
      <c r="M97" s="18"/>
      <c r="N97" s="18"/>
      <c r="O97" s="18"/>
      <c r="P97" s="18"/>
      <c r="Q97" s="18"/>
      <c r="R97" s="18"/>
    </row>
    <row r="98" spans="1:18">
      <c r="A98" s="126" t="s">
        <v>442</v>
      </c>
      <c r="B98" s="127">
        <f>SUM(B63:B97)</f>
        <v>123061.4515</v>
      </c>
      <c r="C98" s="127">
        <f>SUM(C63:C97)</f>
        <v>14123.69</v>
      </c>
      <c r="D98" s="127">
        <f>SUM(D63:D97)</f>
        <v>12951.199999999999</v>
      </c>
      <c r="E98" s="127">
        <f>SUM(E63:E97)</f>
        <v>11920.740000000002</v>
      </c>
      <c r="F98" s="127">
        <f>SUM(F63:F97)</f>
        <v>11781.130000000001</v>
      </c>
      <c r="G98" s="122">
        <f t="shared" si="4"/>
        <v>0.11448837027874445</v>
      </c>
      <c r="H98" s="116">
        <f>SUM(C98:F98)</f>
        <v>50776.760000000009</v>
      </c>
      <c r="I98" s="18">
        <f t="shared" si="6"/>
        <v>-72284.691499999986</v>
      </c>
      <c r="M98" s="18"/>
      <c r="N98" s="18"/>
      <c r="O98" s="18"/>
      <c r="P98" s="18"/>
      <c r="Q98" s="18"/>
      <c r="R98" s="18"/>
    </row>
    <row r="99" spans="1:18">
      <c r="A99" s="130" t="s">
        <v>443</v>
      </c>
      <c r="B99" s="127">
        <f>B98+B59</f>
        <v>162561.4515</v>
      </c>
      <c r="C99" s="127">
        <f>C98+C59</f>
        <v>23383.96</v>
      </c>
      <c r="D99" s="127">
        <f>D98+D59</f>
        <v>16094.66</v>
      </c>
      <c r="E99" s="127">
        <f>E98+E59</f>
        <v>23101.120000000003</v>
      </c>
      <c r="F99" s="127">
        <f>F98+F59</f>
        <v>21041.4</v>
      </c>
      <c r="G99" s="122">
        <f t="shared" si="4"/>
        <v>0.18854389369173472</v>
      </c>
      <c r="H99" s="116">
        <f>SUM(C99:F99)</f>
        <v>83621.14</v>
      </c>
      <c r="I99" s="18">
        <f t="shared" si="6"/>
        <v>-78940.311499999996</v>
      </c>
      <c r="M99" s="18"/>
      <c r="N99" s="18"/>
      <c r="O99" s="18"/>
      <c r="P99" s="18"/>
      <c r="Q99" s="18"/>
      <c r="R99" s="18"/>
    </row>
    <row r="100" spans="1:18">
      <c r="A100" s="130"/>
      <c r="B100" s="125"/>
      <c r="C100" s="118"/>
      <c r="D100" s="118"/>
      <c r="E100" s="118"/>
      <c r="F100" s="118"/>
      <c r="G100" s="122"/>
      <c r="H100" s="118"/>
      <c r="I100" s="18">
        <f t="shared" si="6"/>
        <v>0</v>
      </c>
      <c r="M100" s="18"/>
      <c r="N100" s="18"/>
      <c r="O100" s="18"/>
      <c r="P100" s="18"/>
      <c r="Q100" s="18"/>
      <c r="R100" s="18"/>
    </row>
    <row r="101" spans="1:18">
      <c r="A101" s="114" t="s">
        <v>444</v>
      </c>
      <c r="B101" s="125"/>
      <c r="C101" s="118"/>
      <c r="D101" s="118"/>
      <c r="E101" s="118"/>
      <c r="F101" s="118"/>
      <c r="G101" s="122"/>
      <c r="H101" s="118"/>
      <c r="I101" s="18">
        <f t="shared" si="6"/>
        <v>0</v>
      </c>
      <c r="M101" s="18"/>
      <c r="N101" s="18"/>
      <c r="O101" s="18"/>
      <c r="P101" s="18"/>
      <c r="Q101" s="18"/>
      <c r="R101" s="18"/>
    </row>
    <row r="102" spans="1:18">
      <c r="A102" s="133" t="s">
        <v>445</v>
      </c>
      <c r="B102" s="125"/>
      <c r="C102" s="118"/>
      <c r="D102" s="118"/>
      <c r="E102" s="118"/>
      <c r="F102" s="118"/>
      <c r="G102" s="122"/>
      <c r="H102" s="118"/>
      <c r="I102" s="18">
        <f t="shared" si="6"/>
        <v>0</v>
      </c>
      <c r="M102" s="18"/>
      <c r="N102" s="18"/>
      <c r="O102" s="18"/>
      <c r="P102" s="18"/>
      <c r="Q102" s="18"/>
      <c r="R102" s="18"/>
    </row>
    <row r="103" spans="1:18">
      <c r="A103" s="120" t="s">
        <v>446</v>
      </c>
      <c r="B103" s="125">
        <v>0</v>
      </c>
      <c r="C103" s="118">
        <v>0</v>
      </c>
      <c r="D103" s="118">
        <v>0</v>
      </c>
      <c r="E103" s="118">
        <v>0</v>
      </c>
      <c r="F103" s="118">
        <v>0</v>
      </c>
      <c r="G103" s="122">
        <f t="shared" si="4"/>
        <v>0</v>
      </c>
      <c r="H103" s="118">
        <f t="shared" si="5"/>
        <v>0</v>
      </c>
      <c r="I103" s="18">
        <f t="shared" si="6"/>
        <v>0</v>
      </c>
      <c r="M103" s="18"/>
      <c r="N103" s="18"/>
      <c r="O103" s="18"/>
      <c r="P103" s="18"/>
      <c r="Q103" s="18"/>
      <c r="R103" s="18"/>
    </row>
    <row r="104" spans="1:18">
      <c r="A104" s="120" t="s">
        <v>447</v>
      </c>
      <c r="B104" s="125">
        <v>0</v>
      </c>
      <c r="C104" s="118">
        <v>0</v>
      </c>
      <c r="D104" s="118">
        <v>0</v>
      </c>
      <c r="E104" s="118">
        <v>0</v>
      </c>
      <c r="F104" s="118">
        <v>0</v>
      </c>
      <c r="G104" s="122">
        <f t="shared" si="4"/>
        <v>0</v>
      </c>
      <c r="H104" s="118">
        <f t="shared" si="5"/>
        <v>0</v>
      </c>
      <c r="I104" s="18">
        <f t="shared" si="6"/>
        <v>0</v>
      </c>
      <c r="M104" s="18"/>
      <c r="N104" s="18"/>
      <c r="O104" s="18"/>
      <c r="P104" s="18"/>
      <c r="Q104" s="18"/>
      <c r="R104" s="18"/>
    </row>
    <row r="105" spans="1:18">
      <c r="A105" s="120" t="s">
        <v>448</v>
      </c>
      <c r="B105" s="125">
        <v>0</v>
      </c>
      <c r="C105" s="118">
        <v>0</v>
      </c>
      <c r="D105" s="118">
        <v>0</v>
      </c>
      <c r="E105" s="118">
        <v>0</v>
      </c>
      <c r="F105" s="118">
        <v>0</v>
      </c>
      <c r="G105" s="122">
        <f t="shared" si="4"/>
        <v>0</v>
      </c>
      <c r="H105" s="118">
        <f t="shared" si="5"/>
        <v>0</v>
      </c>
      <c r="I105" s="18">
        <f t="shared" si="6"/>
        <v>0</v>
      </c>
      <c r="M105" s="18"/>
      <c r="N105" s="18"/>
      <c r="O105" s="18"/>
      <c r="P105" s="18"/>
      <c r="Q105" s="18"/>
      <c r="R105" s="18"/>
    </row>
    <row r="106" spans="1:18">
      <c r="A106" s="120" t="s">
        <v>449</v>
      </c>
      <c r="B106" s="125">
        <v>0</v>
      </c>
      <c r="C106" s="118">
        <v>0</v>
      </c>
      <c r="D106" s="118">
        <v>0</v>
      </c>
      <c r="E106" s="118">
        <v>0</v>
      </c>
      <c r="F106" s="118">
        <v>0</v>
      </c>
      <c r="G106" s="122">
        <f t="shared" si="4"/>
        <v>0</v>
      </c>
      <c r="H106" s="118">
        <f t="shared" si="5"/>
        <v>0</v>
      </c>
      <c r="I106" s="18">
        <f t="shared" si="6"/>
        <v>0</v>
      </c>
      <c r="M106" s="18"/>
      <c r="N106" s="18"/>
      <c r="O106" s="18"/>
      <c r="P106" s="18"/>
      <c r="Q106" s="18"/>
      <c r="R106" s="18"/>
    </row>
    <row r="107" spans="1:18">
      <c r="A107" s="120" t="s">
        <v>450</v>
      </c>
      <c r="B107" s="125">
        <v>0</v>
      </c>
      <c r="C107" s="118">
        <v>0</v>
      </c>
      <c r="D107" s="118">
        <v>0</v>
      </c>
      <c r="E107" s="118">
        <v>0</v>
      </c>
      <c r="F107" s="118">
        <v>0</v>
      </c>
      <c r="G107" s="122">
        <f t="shared" si="4"/>
        <v>0</v>
      </c>
      <c r="H107" s="118">
        <f t="shared" si="5"/>
        <v>0</v>
      </c>
      <c r="I107" s="18">
        <f t="shared" si="6"/>
        <v>0</v>
      </c>
      <c r="M107" s="18"/>
      <c r="N107" s="18"/>
      <c r="O107" s="18"/>
      <c r="P107" s="18"/>
      <c r="Q107" s="18"/>
      <c r="R107" s="18"/>
    </row>
    <row r="108" spans="1:18">
      <c r="A108" s="120" t="s">
        <v>451</v>
      </c>
      <c r="B108" s="125">
        <v>0</v>
      </c>
      <c r="C108" s="118">
        <v>0</v>
      </c>
      <c r="D108" s="118">
        <v>0</v>
      </c>
      <c r="E108" s="118">
        <v>0</v>
      </c>
      <c r="F108" s="118">
        <v>0</v>
      </c>
      <c r="G108" s="122">
        <f t="shared" si="4"/>
        <v>0</v>
      </c>
      <c r="H108" s="118">
        <f t="shared" si="5"/>
        <v>0</v>
      </c>
      <c r="I108" s="18">
        <f t="shared" si="6"/>
        <v>0</v>
      </c>
      <c r="M108" s="18"/>
      <c r="N108" s="18"/>
      <c r="O108" s="18"/>
      <c r="P108" s="18"/>
      <c r="Q108" s="18"/>
      <c r="R108" s="18"/>
    </row>
    <row r="109" spans="1:18">
      <c r="A109" s="120" t="s">
        <v>452</v>
      </c>
      <c r="B109" s="125">
        <v>0</v>
      </c>
      <c r="C109" s="118">
        <v>0</v>
      </c>
      <c r="D109" s="118">
        <v>0</v>
      </c>
      <c r="E109" s="118">
        <v>0</v>
      </c>
      <c r="F109" s="118">
        <v>0</v>
      </c>
      <c r="G109" s="122">
        <f t="shared" si="4"/>
        <v>0</v>
      </c>
      <c r="H109" s="118">
        <f t="shared" si="5"/>
        <v>0</v>
      </c>
      <c r="I109" s="18">
        <f t="shared" si="6"/>
        <v>0</v>
      </c>
      <c r="M109" s="18"/>
      <c r="N109" s="18"/>
      <c r="O109" s="18"/>
      <c r="P109" s="18"/>
      <c r="Q109" s="18"/>
      <c r="R109" s="18"/>
    </row>
    <row r="110" spans="1:18">
      <c r="A110" s="120" t="s">
        <v>453</v>
      </c>
      <c r="B110" s="125">
        <v>0</v>
      </c>
      <c r="C110" s="118">
        <v>0</v>
      </c>
      <c r="D110" s="118">
        <v>0</v>
      </c>
      <c r="E110" s="118">
        <v>0</v>
      </c>
      <c r="F110" s="118">
        <v>0</v>
      </c>
      <c r="G110" s="122">
        <f t="shared" si="4"/>
        <v>0</v>
      </c>
      <c r="H110" s="118">
        <f t="shared" si="5"/>
        <v>0</v>
      </c>
      <c r="I110" s="18">
        <f t="shared" si="6"/>
        <v>0</v>
      </c>
      <c r="M110" s="18"/>
      <c r="N110" s="18"/>
      <c r="O110" s="18"/>
      <c r="P110" s="18"/>
      <c r="Q110" s="18"/>
      <c r="R110" s="18"/>
    </row>
    <row r="111" spans="1:18">
      <c r="A111" s="120" t="s">
        <v>454</v>
      </c>
      <c r="B111" s="125">
        <v>0</v>
      </c>
      <c r="C111" s="118">
        <v>0</v>
      </c>
      <c r="D111" s="118">
        <v>0</v>
      </c>
      <c r="E111" s="118">
        <v>0</v>
      </c>
      <c r="F111" s="118">
        <v>0</v>
      </c>
      <c r="G111" s="122">
        <f t="shared" si="4"/>
        <v>0</v>
      </c>
      <c r="H111" s="118">
        <f t="shared" si="5"/>
        <v>0</v>
      </c>
      <c r="I111" s="18">
        <f t="shared" si="6"/>
        <v>0</v>
      </c>
      <c r="M111" s="18"/>
      <c r="N111" s="18"/>
      <c r="O111" s="18"/>
      <c r="P111" s="18"/>
      <c r="Q111" s="18"/>
      <c r="R111" s="18"/>
    </row>
    <row r="112" spans="1:18">
      <c r="A112" s="120" t="s">
        <v>455</v>
      </c>
      <c r="B112" s="125">
        <v>0</v>
      </c>
      <c r="C112" s="118">
        <v>0</v>
      </c>
      <c r="D112" s="118">
        <v>0</v>
      </c>
      <c r="E112" s="118">
        <v>0</v>
      </c>
      <c r="F112" s="118">
        <v>0</v>
      </c>
      <c r="G112" s="122">
        <f t="shared" si="4"/>
        <v>0</v>
      </c>
      <c r="H112" s="118">
        <f t="shared" si="5"/>
        <v>0</v>
      </c>
      <c r="I112" s="18">
        <f t="shared" si="6"/>
        <v>0</v>
      </c>
      <c r="M112" s="18"/>
      <c r="N112" s="18"/>
      <c r="O112" s="18"/>
      <c r="P112" s="18"/>
      <c r="Q112" s="18"/>
      <c r="R112" s="18"/>
    </row>
    <row r="113" spans="1:18">
      <c r="A113" s="120" t="s">
        <v>456</v>
      </c>
      <c r="B113" s="125">
        <v>0</v>
      </c>
      <c r="C113" s="118">
        <v>0</v>
      </c>
      <c r="D113" s="118">
        <v>0</v>
      </c>
      <c r="E113" s="118">
        <v>0</v>
      </c>
      <c r="F113" s="118">
        <v>0</v>
      </c>
      <c r="G113" s="122">
        <f t="shared" si="4"/>
        <v>0</v>
      </c>
      <c r="H113" s="118">
        <f t="shared" si="5"/>
        <v>0</v>
      </c>
      <c r="I113" s="18">
        <f t="shared" si="6"/>
        <v>0</v>
      </c>
      <c r="M113" s="18"/>
      <c r="N113" s="18"/>
      <c r="O113" s="18"/>
      <c r="P113" s="18"/>
      <c r="Q113" s="18"/>
      <c r="R113" s="18"/>
    </row>
    <row r="114" spans="1:18">
      <c r="A114" s="120" t="s">
        <v>457</v>
      </c>
      <c r="B114" s="125">
        <v>0</v>
      </c>
      <c r="C114" s="118">
        <v>0</v>
      </c>
      <c r="D114" s="118">
        <v>0</v>
      </c>
      <c r="E114" s="118">
        <v>0</v>
      </c>
      <c r="F114" s="118">
        <v>0</v>
      </c>
      <c r="G114" s="122">
        <f t="shared" si="4"/>
        <v>0</v>
      </c>
      <c r="H114" s="118">
        <f t="shared" si="5"/>
        <v>0</v>
      </c>
      <c r="I114" s="18">
        <f t="shared" si="6"/>
        <v>0</v>
      </c>
      <c r="M114" s="18"/>
      <c r="N114" s="18"/>
      <c r="O114" s="18"/>
      <c r="P114" s="18"/>
      <c r="Q114" s="18"/>
      <c r="R114" s="18"/>
    </row>
    <row r="115" spans="1:18">
      <c r="A115" s="126" t="s">
        <v>458</v>
      </c>
      <c r="B115" s="127">
        <f>SUM(B103:B114)</f>
        <v>0</v>
      </c>
      <c r="C115" s="127">
        <f>SUM(C103:C114)</f>
        <v>0</v>
      </c>
      <c r="D115" s="127">
        <f>SUM(D103:D114)</f>
        <v>0</v>
      </c>
      <c r="E115" s="127">
        <f>SUM(E103:E114)</f>
        <v>0</v>
      </c>
      <c r="F115" s="127">
        <f>SUM(F103:F114)</f>
        <v>0</v>
      </c>
      <c r="G115" s="122">
        <f t="shared" si="4"/>
        <v>0</v>
      </c>
      <c r="H115" s="116">
        <f t="shared" si="5"/>
        <v>0</v>
      </c>
      <c r="I115" s="18">
        <f t="shared" si="6"/>
        <v>0</v>
      </c>
      <c r="M115" s="18"/>
      <c r="N115" s="18"/>
      <c r="O115" s="18"/>
      <c r="P115" s="18"/>
      <c r="Q115" s="18"/>
      <c r="R115" s="18"/>
    </row>
    <row r="116" spans="1:18">
      <c r="A116" s="120"/>
      <c r="B116" s="125"/>
      <c r="C116" s="118"/>
      <c r="D116" s="118"/>
      <c r="E116" s="118"/>
      <c r="F116" s="118"/>
      <c r="G116" s="122"/>
      <c r="H116" s="118"/>
      <c r="I116" s="18">
        <f t="shared" si="6"/>
        <v>0</v>
      </c>
      <c r="M116" s="18"/>
      <c r="N116" s="18"/>
      <c r="O116" s="18"/>
      <c r="P116" s="18"/>
      <c r="Q116" s="18"/>
      <c r="R116" s="18"/>
    </row>
    <row r="117" spans="1:18">
      <c r="A117" s="133" t="s">
        <v>459</v>
      </c>
      <c r="B117" s="125"/>
      <c r="C117" s="118"/>
      <c r="D117" s="118"/>
      <c r="E117" s="118"/>
      <c r="F117" s="118"/>
      <c r="G117" s="122"/>
      <c r="H117" s="118"/>
      <c r="I117" s="18">
        <f t="shared" si="6"/>
        <v>0</v>
      </c>
      <c r="M117" s="18"/>
      <c r="N117" s="18"/>
      <c r="O117" s="18"/>
      <c r="P117" s="18"/>
      <c r="Q117" s="18"/>
      <c r="R117" s="18"/>
    </row>
    <row r="118" spans="1:18">
      <c r="A118" s="120" t="s">
        <v>460</v>
      </c>
      <c r="B118" s="125">
        <v>0</v>
      </c>
      <c r="C118" s="118">
        <v>0</v>
      </c>
      <c r="D118" s="118">
        <v>0</v>
      </c>
      <c r="E118" s="118">
        <v>0</v>
      </c>
      <c r="F118" s="118">
        <v>0</v>
      </c>
      <c r="G118" s="122">
        <f t="shared" si="4"/>
        <v>0</v>
      </c>
      <c r="H118" s="118">
        <f t="shared" si="5"/>
        <v>0</v>
      </c>
      <c r="I118" s="18">
        <f t="shared" si="6"/>
        <v>0</v>
      </c>
      <c r="M118" s="18"/>
      <c r="N118" s="18"/>
      <c r="O118" s="18"/>
      <c r="P118" s="18"/>
      <c r="Q118" s="18"/>
      <c r="R118" s="18"/>
    </row>
    <row r="119" spans="1:18">
      <c r="A119" s="120" t="s">
        <v>440</v>
      </c>
      <c r="B119" s="125">
        <v>5000</v>
      </c>
      <c r="C119" s="118">
        <v>0</v>
      </c>
      <c r="D119" s="112">
        <v>0</v>
      </c>
      <c r="E119" s="112">
        <v>0</v>
      </c>
      <c r="F119" s="112">
        <v>0</v>
      </c>
      <c r="G119" s="122">
        <f t="shared" si="4"/>
        <v>0</v>
      </c>
      <c r="H119" s="118">
        <f t="shared" si="5"/>
        <v>0</v>
      </c>
      <c r="I119" s="18">
        <f t="shared" si="6"/>
        <v>-5000</v>
      </c>
      <c r="M119" s="18"/>
      <c r="N119" s="18"/>
      <c r="O119" s="18"/>
      <c r="P119" s="18"/>
      <c r="Q119" s="18"/>
      <c r="R119" s="18"/>
    </row>
    <row r="120" spans="1:18">
      <c r="A120" s="120" t="s">
        <v>461</v>
      </c>
      <c r="B120" s="125">
        <v>0</v>
      </c>
      <c r="C120" s="118">
        <v>0</v>
      </c>
      <c r="D120" s="118">
        <v>0</v>
      </c>
      <c r="E120" s="118">
        <v>0</v>
      </c>
      <c r="F120" s="118">
        <v>0</v>
      </c>
      <c r="G120" s="122">
        <f t="shared" si="4"/>
        <v>0</v>
      </c>
      <c r="H120" s="118">
        <f t="shared" si="5"/>
        <v>0</v>
      </c>
      <c r="I120" s="18">
        <f t="shared" si="6"/>
        <v>0</v>
      </c>
      <c r="M120" s="18"/>
      <c r="N120" s="18"/>
      <c r="O120" s="18"/>
      <c r="P120" s="18"/>
      <c r="Q120" s="18"/>
      <c r="R120" s="18"/>
    </row>
    <row r="121" spans="1:18">
      <c r="A121" s="120" t="s">
        <v>449</v>
      </c>
      <c r="B121" s="125">
        <v>0</v>
      </c>
      <c r="C121" s="118">
        <v>0</v>
      </c>
      <c r="D121" s="118">
        <v>0</v>
      </c>
      <c r="E121" s="118">
        <v>0</v>
      </c>
      <c r="F121" s="118">
        <v>0</v>
      </c>
      <c r="G121" s="122">
        <f t="shared" si="4"/>
        <v>0</v>
      </c>
      <c r="H121" s="118">
        <f t="shared" si="5"/>
        <v>0</v>
      </c>
      <c r="I121" s="18">
        <f t="shared" si="6"/>
        <v>0</v>
      </c>
      <c r="M121" s="18"/>
      <c r="N121" s="18"/>
      <c r="O121" s="18"/>
      <c r="P121" s="18"/>
      <c r="Q121" s="18"/>
      <c r="R121" s="18"/>
    </row>
    <row r="122" spans="1:18">
      <c r="A122" s="120" t="s">
        <v>462</v>
      </c>
      <c r="B122" s="125">
        <v>0</v>
      </c>
      <c r="C122" s="118">
        <v>0</v>
      </c>
      <c r="D122" s="118">
        <v>0</v>
      </c>
      <c r="E122" s="118">
        <v>0</v>
      </c>
      <c r="F122" s="118">
        <v>0</v>
      </c>
      <c r="G122" s="122">
        <f t="shared" si="4"/>
        <v>0</v>
      </c>
      <c r="H122" s="118">
        <f t="shared" si="5"/>
        <v>0</v>
      </c>
      <c r="I122" s="18">
        <f t="shared" si="6"/>
        <v>0</v>
      </c>
      <c r="M122" s="18"/>
      <c r="N122" s="18"/>
      <c r="O122" s="18"/>
      <c r="P122" s="18"/>
      <c r="Q122" s="18"/>
      <c r="R122" s="18"/>
    </row>
    <row r="123" spans="1:18">
      <c r="A123" s="120" t="s">
        <v>463</v>
      </c>
      <c r="B123" s="125">
        <v>0</v>
      </c>
      <c r="C123" s="118">
        <v>0</v>
      </c>
      <c r="D123" s="118">
        <v>0</v>
      </c>
      <c r="E123" s="118">
        <v>0</v>
      </c>
      <c r="F123" s="118">
        <v>0</v>
      </c>
      <c r="G123" s="122">
        <f t="shared" si="4"/>
        <v>0</v>
      </c>
      <c r="H123" s="118">
        <f t="shared" si="5"/>
        <v>0</v>
      </c>
      <c r="I123" s="18">
        <f t="shared" si="6"/>
        <v>0</v>
      </c>
      <c r="M123" s="18"/>
      <c r="N123" s="18"/>
      <c r="O123" s="18"/>
      <c r="P123" s="18"/>
      <c r="Q123" s="18"/>
      <c r="R123" s="18"/>
    </row>
    <row r="124" spans="1:18">
      <c r="A124" s="131" t="s">
        <v>464</v>
      </c>
      <c r="B124" s="125">
        <v>0</v>
      </c>
      <c r="C124" s="118">
        <v>0</v>
      </c>
      <c r="D124" s="118">
        <v>0</v>
      </c>
      <c r="E124" s="118">
        <v>0</v>
      </c>
      <c r="F124" s="118">
        <v>0</v>
      </c>
      <c r="G124" s="122">
        <f t="shared" si="4"/>
        <v>0</v>
      </c>
      <c r="H124" s="118">
        <f t="shared" si="5"/>
        <v>0</v>
      </c>
      <c r="I124" s="18">
        <f t="shared" si="6"/>
        <v>0</v>
      </c>
      <c r="M124" s="18"/>
      <c r="N124" s="18"/>
      <c r="O124" s="18"/>
      <c r="P124" s="18"/>
      <c r="Q124" s="18"/>
      <c r="R124" s="18"/>
    </row>
    <row r="125" spans="1:18">
      <c r="A125" s="131" t="s">
        <v>465</v>
      </c>
      <c r="B125" s="125">
        <v>27000</v>
      </c>
      <c r="C125" s="139">
        <v>0</v>
      </c>
      <c r="D125" s="139">
        <v>4859.3</v>
      </c>
      <c r="E125" s="139">
        <v>4859.3</v>
      </c>
      <c r="F125" s="139">
        <v>4859.3</v>
      </c>
      <c r="G125" s="122">
        <f t="shared" si="4"/>
        <v>3.2869368055120265E-2</v>
      </c>
      <c r="H125" s="118">
        <f t="shared" si="5"/>
        <v>14577.900000000001</v>
      </c>
      <c r="I125" s="18">
        <f t="shared" si="6"/>
        <v>-12422.099999999999</v>
      </c>
      <c r="M125" s="18"/>
      <c r="N125" s="18"/>
      <c r="O125" s="18"/>
      <c r="P125" s="18"/>
      <c r="Q125" s="18"/>
      <c r="R125" s="18"/>
    </row>
    <row r="126" spans="1:18">
      <c r="A126" s="120" t="s">
        <v>466</v>
      </c>
      <c r="B126" s="125">
        <v>0</v>
      </c>
      <c r="C126" s="112">
        <v>0</v>
      </c>
      <c r="D126" s="112">
        <v>0</v>
      </c>
      <c r="E126" s="112">
        <v>0</v>
      </c>
      <c r="F126" s="112">
        <v>0</v>
      </c>
      <c r="G126" s="122">
        <f t="shared" si="4"/>
        <v>0</v>
      </c>
      <c r="H126" s="118">
        <f t="shared" si="5"/>
        <v>0</v>
      </c>
      <c r="I126" s="18">
        <f t="shared" si="6"/>
        <v>0</v>
      </c>
      <c r="M126" s="18"/>
      <c r="N126" s="18"/>
      <c r="O126" s="18"/>
      <c r="P126" s="18"/>
      <c r="Q126" s="18"/>
      <c r="R126" s="18"/>
    </row>
    <row r="127" spans="1:18">
      <c r="A127" s="120" t="s">
        <v>467</v>
      </c>
      <c r="B127" s="125">
        <v>0</v>
      </c>
      <c r="C127" s="118">
        <v>0</v>
      </c>
      <c r="D127" s="118">
        <v>0</v>
      </c>
      <c r="E127" s="118">
        <v>0</v>
      </c>
      <c r="F127" s="118">
        <v>0</v>
      </c>
      <c r="G127" s="122">
        <f t="shared" si="4"/>
        <v>0</v>
      </c>
      <c r="H127" s="118">
        <f t="shared" si="5"/>
        <v>0</v>
      </c>
      <c r="I127" s="18">
        <f t="shared" si="6"/>
        <v>0</v>
      </c>
      <c r="M127" s="18"/>
      <c r="N127" s="18"/>
      <c r="O127" s="18"/>
      <c r="P127" s="18"/>
      <c r="Q127" s="18"/>
      <c r="R127" s="18"/>
    </row>
    <row r="128" spans="1:18">
      <c r="A128" s="120" t="s">
        <v>468</v>
      </c>
      <c r="B128" s="125">
        <v>0</v>
      </c>
      <c r="C128" s="118">
        <v>0</v>
      </c>
      <c r="D128" s="118">
        <v>0</v>
      </c>
      <c r="E128" s="118">
        <v>0</v>
      </c>
      <c r="F128" s="118">
        <v>0</v>
      </c>
      <c r="G128" s="122">
        <f t="shared" si="4"/>
        <v>0</v>
      </c>
      <c r="H128" s="118">
        <f t="shared" si="5"/>
        <v>0</v>
      </c>
      <c r="I128" s="18">
        <f t="shared" si="6"/>
        <v>0</v>
      </c>
      <c r="M128" s="18"/>
      <c r="N128" s="18"/>
      <c r="O128" s="18"/>
      <c r="P128" s="18"/>
      <c r="Q128" s="18"/>
      <c r="R128" s="18"/>
    </row>
    <row r="129" spans="1:18">
      <c r="A129" s="120" t="s">
        <v>469</v>
      </c>
      <c r="B129" s="125">
        <v>0</v>
      </c>
      <c r="C129" s="118">
        <v>0</v>
      </c>
      <c r="D129" s="118">
        <v>0</v>
      </c>
      <c r="E129" s="118">
        <v>0</v>
      </c>
      <c r="F129" s="118">
        <v>0</v>
      </c>
      <c r="G129" s="122">
        <f t="shared" si="4"/>
        <v>0</v>
      </c>
      <c r="H129" s="118">
        <f t="shared" si="5"/>
        <v>0</v>
      </c>
      <c r="I129" s="18">
        <f t="shared" si="6"/>
        <v>0</v>
      </c>
      <c r="M129" s="18"/>
      <c r="N129" s="18"/>
      <c r="O129" s="18"/>
      <c r="P129" s="18"/>
      <c r="Q129" s="18"/>
      <c r="R129" s="18"/>
    </row>
    <row r="130" spans="1:18">
      <c r="A130" s="120" t="s">
        <v>470</v>
      </c>
      <c r="B130" s="125">
        <v>0</v>
      </c>
      <c r="C130" s="139">
        <v>0</v>
      </c>
      <c r="D130" s="139">
        <v>0</v>
      </c>
      <c r="E130" s="139">
        <v>0</v>
      </c>
      <c r="F130" s="139">
        <v>0</v>
      </c>
      <c r="G130" s="122">
        <f t="shared" si="4"/>
        <v>0</v>
      </c>
      <c r="H130" s="118">
        <f t="shared" si="5"/>
        <v>0</v>
      </c>
      <c r="I130" s="18">
        <f t="shared" si="6"/>
        <v>0</v>
      </c>
      <c r="M130" s="18"/>
      <c r="N130" s="18"/>
      <c r="O130" s="18"/>
      <c r="P130" s="18"/>
      <c r="Q130" s="18"/>
      <c r="R130" s="18"/>
    </row>
    <row r="131" spans="1:18">
      <c r="A131" s="120" t="s">
        <v>471</v>
      </c>
      <c r="B131" s="125">
        <v>3000</v>
      </c>
      <c r="C131" s="118">
        <v>0</v>
      </c>
      <c r="D131" s="118">
        <v>452.47</v>
      </c>
      <c r="E131" s="118">
        <v>452.47</v>
      </c>
      <c r="F131" s="118">
        <v>452.47</v>
      </c>
      <c r="G131" s="122">
        <f t="shared" si="4"/>
        <v>3.0606060469409724E-3</v>
      </c>
      <c r="H131" s="118">
        <f t="shared" si="5"/>
        <v>1357.41</v>
      </c>
      <c r="I131" s="18">
        <f t="shared" si="6"/>
        <v>-1642.59</v>
      </c>
      <c r="M131" s="18"/>
      <c r="N131" s="18"/>
      <c r="O131" s="18"/>
      <c r="P131" s="18"/>
      <c r="Q131" s="18"/>
      <c r="R131" s="18"/>
    </row>
    <row r="132" spans="1:18">
      <c r="A132" s="120" t="s">
        <v>472</v>
      </c>
      <c r="B132" s="125">
        <v>0</v>
      </c>
      <c r="C132" s="118">
        <v>0</v>
      </c>
      <c r="D132" s="118">
        <v>0</v>
      </c>
      <c r="E132" s="118">
        <v>0</v>
      </c>
      <c r="F132" s="118">
        <v>0</v>
      </c>
      <c r="G132" s="122">
        <f t="shared" si="4"/>
        <v>0</v>
      </c>
      <c r="H132" s="118">
        <f t="shared" si="5"/>
        <v>0</v>
      </c>
      <c r="I132" s="18">
        <f t="shared" si="6"/>
        <v>0</v>
      </c>
      <c r="M132" s="18"/>
      <c r="N132" s="18"/>
      <c r="O132" s="18"/>
      <c r="P132" s="18"/>
      <c r="Q132" s="18"/>
      <c r="R132" s="18"/>
    </row>
    <row r="133" spans="1:18">
      <c r="A133" s="120" t="s">
        <v>473</v>
      </c>
      <c r="B133" s="125">
        <v>0</v>
      </c>
      <c r="C133" s="118">
        <v>0</v>
      </c>
      <c r="D133" s="118">
        <v>0</v>
      </c>
      <c r="E133" s="118">
        <v>0</v>
      </c>
      <c r="F133" s="118">
        <v>0</v>
      </c>
      <c r="G133" s="122">
        <f t="shared" si="4"/>
        <v>0</v>
      </c>
      <c r="H133" s="118">
        <f t="shared" si="5"/>
        <v>0</v>
      </c>
      <c r="I133" s="18">
        <f t="shared" si="6"/>
        <v>0</v>
      </c>
      <c r="M133" s="18"/>
      <c r="N133" s="18"/>
      <c r="O133" s="18"/>
      <c r="P133" s="18"/>
      <c r="Q133" s="18"/>
      <c r="R133" s="18"/>
    </row>
    <row r="134" spans="1:18">
      <c r="A134" s="120" t="s">
        <v>474</v>
      </c>
      <c r="B134" s="125">
        <v>0</v>
      </c>
      <c r="C134" s="118">
        <v>0</v>
      </c>
      <c r="D134" s="118">
        <v>0</v>
      </c>
      <c r="E134" s="118">
        <v>0</v>
      </c>
      <c r="F134" s="118">
        <v>0</v>
      </c>
      <c r="G134" s="122">
        <f t="shared" si="4"/>
        <v>0</v>
      </c>
      <c r="H134" s="118">
        <f t="shared" si="5"/>
        <v>0</v>
      </c>
      <c r="I134" s="18">
        <f t="shared" si="6"/>
        <v>0</v>
      </c>
      <c r="M134" s="18"/>
      <c r="N134" s="18"/>
      <c r="O134" s="18"/>
      <c r="P134" s="18"/>
      <c r="Q134" s="18"/>
      <c r="R134" s="18"/>
    </row>
    <row r="135" spans="1:18">
      <c r="A135" s="120" t="s">
        <v>475</v>
      </c>
      <c r="B135" s="125">
        <v>0</v>
      </c>
      <c r="C135" s="118">
        <v>0</v>
      </c>
      <c r="D135" s="118">
        <v>0</v>
      </c>
      <c r="E135" s="118">
        <v>0</v>
      </c>
      <c r="F135" s="118">
        <v>0</v>
      </c>
      <c r="G135" s="122">
        <f t="shared" si="4"/>
        <v>0</v>
      </c>
      <c r="H135" s="118">
        <f t="shared" si="5"/>
        <v>0</v>
      </c>
      <c r="I135" s="18">
        <f t="shared" si="6"/>
        <v>0</v>
      </c>
      <c r="M135" s="18"/>
      <c r="N135" s="18"/>
      <c r="O135" s="18"/>
      <c r="P135" s="18"/>
      <c r="Q135" s="18"/>
      <c r="R135" s="18"/>
    </row>
    <row r="136" spans="1:18">
      <c r="A136" s="126" t="s">
        <v>476</v>
      </c>
      <c r="B136" s="127">
        <f>SUM(B118:B135)</f>
        <v>35000</v>
      </c>
      <c r="C136" s="127">
        <f>SUM(C118:C135)</f>
        <v>0</v>
      </c>
      <c r="D136" s="127">
        <f>SUM(D118:D135)</f>
        <v>5311.77</v>
      </c>
      <c r="E136" s="127">
        <f>SUM(E118:E135)</f>
        <v>5311.77</v>
      </c>
      <c r="F136" s="127">
        <f>SUM(F118:F135)</f>
        <v>5311.77</v>
      </c>
      <c r="G136" s="122">
        <f>H136/$H$10</f>
        <v>3.5929974102061238E-2</v>
      </c>
      <c r="H136" s="116">
        <f t="shared" si="5"/>
        <v>15935.310000000001</v>
      </c>
      <c r="I136" s="18">
        <f t="shared" si="6"/>
        <v>-19064.689999999999</v>
      </c>
      <c r="M136" s="18"/>
      <c r="N136" s="18"/>
      <c r="O136" s="18"/>
      <c r="P136" s="18"/>
      <c r="Q136" s="18"/>
      <c r="R136" s="18"/>
    </row>
    <row r="137" spans="1:18">
      <c r="A137" s="130" t="s">
        <v>477</v>
      </c>
      <c r="B137" s="127">
        <f>B115+B136</f>
        <v>35000</v>
      </c>
      <c r="C137" s="127">
        <f>C115+C136</f>
        <v>0</v>
      </c>
      <c r="D137" s="127">
        <f>D115+D136</f>
        <v>5311.77</v>
      </c>
      <c r="E137" s="127">
        <f>E115+E136</f>
        <v>5311.77</v>
      </c>
      <c r="F137" s="127">
        <f>F115+F136</f>
        <v>5311.77</v>
      </c>
      <c r="G137" s="122">
        <f>H137/$H$10</f>
        <v>3.5929974102061238E-2</v>
      </c>
      <c r="H137" s="116">
        <f t="shared" si="5"/>
        <v>15935.310000000001</v>
      </c>
      <c r="I137" s="18">
        <f t="shared" si="6"/>
        <v>-19064.689999999999</v>
      </c>
      <c r="M137" s="18"/>
      <c r="N137" s="18"/>
      <c r="O137" s="18"/>
      <c r="P137" s="18"/>
      <c r="Q137" s="18"/>
      <c r="R137" s="18"/>
    </row>
    <row r="138" spans="1:18" ht="6" customHeight="1">
      <c r="A138" s="217"/>
      <c r="B138" s="217"/>
      <c r="C138" s="217"/>
      <c r="D138" s="217"/>
      <c r="E138" s="217"/>
      <c r="F138" s="217"/>
      <c r="G138" s="217"/>
      <c r="H138" s="217"/>
      <c r="I138" s="18">
        <f t="shared" si="6"/>
        <v>0</v>
      </c>
      <c r="M138" s="18"/>
      <c r="N138" s="18"/>
      <c r="O138" s="18"/>
      <c r="Q138" s="18"/>
      <c r="R138" s="18"/>
    </row>
    <row r="139" spans="1:18">
      <c r="A139" s="108" t="s">
        <v>478</v>
      </c>
      <c r="B139" s="109">
        <f>B14+B39+B99+B137</f>
        <v>2174779.3797200001</v>
      </c>
      <c r="C139" s="109">
        <f>C14+C39+C99+C137</f>
        <v>331582.33200000005</v>
      </c>
      <c r="D139" s="109">
        <f>D14+D39+D99+D137</f>
        <v>327288.83199999999</v>
      </c>
      <c r="E139" s="109">
        <f>E14+E39+E99+E137</f>
        <v>334295.29200000002</v>
      </c>
      <c r="F139" s="109">
        <f>F14+F39+F99+F137</f>
        <v>332288.90200000006</v>
      </c>
      <c r="G139" s="110">
        <f>H139/$H$10</f>
        <v>2.9885566510082517</v>
      </c>
      <c r="H139" s="109">
        <f>H14+H39+H99+H137</f>
        <v>1325455.358</v>
      </c>
      <c r="I139" s="18">
        <f t="shared" si="6"/>
        <v>-849324.02172000008</v>
      </c>
      <c r="M139" s="18"/>
      <c r="N139" s="18"/>
      <c r="O139" s="18"/>
      <c r="Q139" s="18"/>
      <c r="R139" s="18"/>
    </row>
    <row r="140" spans="1:18">
      <c r="A140" s="105" t="s">
        <v>479</v>
      </c>
      <c r="B140" s="106">
        <f>B10-B139</f>
        <v>-58146.039720000234</v>
      </c>
      <c r="C140" s="106">
        <f t="shared" ref="C140:H140" si="7">C10-C139</f>
        <v>111927.86799999996</v>
      </c>
      <c r="D140" s="106">
        <f t="shared" si="7"/>
        <v>116221.36800000002</v>
      </c>
      <c r="E140" s="106">
        <f t="shared" si="7"/>
        <v>109214.908</v>
      </c>
      <c r="F140" s="106">
        <f t="shared" si="7"/>
        <v>111221.29799999995</v>
      </c>
      <c r="G140" s="107">
        <f>H140/$H$10</f>
        <v>-1.988556651008252</v>
      </c>
      <c r="H140" s="106">
        <f t="shared" si="7"/>
        <v>-881945.15800000005</v>
      </c>
      <c r="I140" s="18">
        <f t="shared" si="6"/>
        <v>-823799.11827999982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conditionalFormatting sqref="L1:L1048576">
    <cfRule type="duplicateValues" dxfId="0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/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70" t="s">
        <v>542</v>
      </c>
      <c r="B1" s="170" t="s">
        <v>541</v>
      </c>
    </row>
    <row r="2" spans="1:2">
      <c r="A2">
        <v>5</v>
      </c>
      <c r="B2" t="s">
        <v>530</v>
      </c>
    </row>
    <row r="3" spans="1:2">
      <c r="A3">
        <v>6</v>
      </c>
      <c r="B3" t="s">
        <v>530</v>
      </c>
    </row>
    <row r="4" spans="1:2">
      <c r="A4">
        <v>7</v>
      </c>
      <c r="B4" t="s">
        <v>530</v>
      </c>
    </row>
    <row r="5" spans="1:2">
      <c r="A5">
        <v>8</v>
      </c>
      <c r="B5" t="s">
        <v>530</v>
      </c>
    </row>
    <row r="6" spans="1:2">
      <c r="A6">
        <v>9</v>
      </c>
      <c r="B6" t="s">
        <v>530</v>
      </c>
    </row>
    <row r="7" spans="1:2">
      <c r="A7">
        <v>10</v>
      </c>
      <c r="B7" t="s">
        <v>530</v>
      </c>
    </row>
    <row r="8" spans="1:2">
      <c r="A8">
        <v>11</v>
      </c>
      <c r="B8" t="s">
        <v>530</v>
      </c>
    </row>
    <row r="9" spans="1:2">
      <c r="A9">
        <v>12</v>
      </c>
      <c r="B9" t="s">
        <v>530</v>
      </c>
    </row>
    <row r="10" spans="1:2">
      <c r="A10">
        <v>13</v>
      </c>
      <c r="B10" t="s">
        <v>530</v>
      </c>
    </row>
    <row r="11" spans="1:2">
      <c r="A11">
        <v>14</v>
      </c>
      <c r="B11" t="s">
        <v>530</v>
      </c>
    </row>
    <row r="12" spans="1:2">
      <c r="A12">
        <v>15</v>
      </c>
      <c r="B12" t="s">
        <v>530</v>
      </c>
    </row>
    <row r="13" spans="1:2">
      <c r="A13">
        <v>16</v>
      </c>
      <c r="B13" t="s">
        <v>530</v>
      </c>
    </row>
    <row r="14" spans="1:2">
      <c r="A14">
        <v>17</v>
      </c>
      <c r="B14" t="s">
        <v>94</v>
      </c>
    </row>
    <row r="15" spans="1:2">
      <c r="A15">
        <v>18</v>
      </c>
      <c r="B15" t="s">
        <v>530</v>
      </c>
    </row>
    <row r="16" spans="1:2">
      <c r="A16">
        <v>19</v>
      </c>
      <c r="B16" t="s">
        <v>530</v>
      </c>
    </row>
    <row r="17" spans="1:2">
      <c r="A17">
        <v>20</v>
      </c>
      <c r="B17" t="s">
        <v>530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530</v>
      </c>
    </row>
    <row r="20" spans="1:2">
      <c r="A20">
        <v>23</v>
      </c>
      <c r="B20" t="s">
        <v>91</v>
      </c>
    </row>
    <row r="21" spans="1:2">
      <c r="A21">
        <v>24</v>
      </c>
      <c r="B21" t="s">
        <v>530</v>
      </c>
    </row>
    <row r="22" spans="1:2">
      <c r="A22">
        <v>25</v>
      </c>
      <c r="B22" t="s">
        <v>530</v>
      </c>
    </row>
    <row r="23" spans="1:2">
      <c r="A23">
        <v>26</v>
      </c>
      <c r="B23" t="s">
        <v>530</v>
      </c>
    </row>
    <row r="24" spans="1:2">
      <c r="A24">
        <v>27</v>
      </c>
      <c r="B24" t="s">
        <v>152</v>
      </c>
    </row>
    <row r="25" spans="1:2">
      <c r="A25">
        <v>28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  <c r="B29" t="s">
        <v>530</v>
      </c>
    </row>
    <row r="30" spans="1:2">
      <c r="A30">
        <v>33</v>
      </c>
      <c r="B30" t="s">
        <v>530</v>
      </c>
    </row>
    <row r="31" spans="1:2">
      <c r="A31">
        <v>34</v>
      </c>
      <c r="B31" t="s">
        <v>530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  <c r="B34" t="s">
        <v>530</v>
      </c>
    </row>
    <row r="35" spans="1:2">
      <c r="A35">
        <v>38</v>
      </c>
      <c r="B35" t="s">
        <v>530</v>
      </c>
    </row>
    <row r="36" spans="1:2">
      <c r="A36">
        <v>39</v>
      </c>
      <c r="B36" t="s">
        <v>530</v>
      </c>
    </row>
    <row r="37" spans="1:2">
      <c r="A37">
        <v>40</v>
      </c>
      <c r="B37" t="s">
        <v>530</v>
      </c>
    </row>
    <row r="38" spans="1:2">
      <c r="A38">
        <v>41</v>
      </c>
      <c r="B38" t="s">
        <v>530</v>
      </c>
    </row>
    <row r="39" spans="1:2">
      <c r="A39">
        <v>42</v>
      </c>
      <c r="B39" t="s">
        <v>530</v>
      </c>
    </row>
    <row r="40" spans="1:2">
      <c r="A40">
        <v>43</v>
      </c>
      <c r="B40" t="s">
        <v>530</v>
      </c>
    </row>
    <row r="41" spans="1:2">
      <c r="A41">
        <v>44</v>
      </c>
      <c r="B41" t="s">
        <v>530</v>
      </c>
    </row>
    <row r="42" spans="1:2">
      <c r="A42">
        <v>45</v>
      </c>
      <c r="B42" t="s">
        <v>530</v>
      </c>
    </row>
    <row r="43" spans="1:2">
      <c r="A43">
        <v>46</v>
      </c>
      <c r="B43" t="s">
        <v>530</v>
      </c>
    </row>
    <row r="44" spans="1:2">
      <c r="A44">
        <v>47</v>
      </c>
      <c r="B44" t="s">
        <v>57</v>
      </c>
    </row>
    <row r="45" spans="1:2">
      <c r="A45">
        <v>48</v>
      </c>
      <c r="B45" t="s">
        <v>530</v>
      </c>
    </row>
    <row r="46" spans="1:2">
      <c r="A46">
        <v>49</v>
      </c>
      <c r="B46" t="s">
        <v>31</v>
      </c>
    </row>
    <row r="47" spans="1:2">
      <c r="A47">
        <v>50</v>
      </c>
      <c r="B47" t="s">
        <v>530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530</v>
      </c>
    </row>
    <row r="50" spans="1:2">
      <c r="A50">
        <v>53</v>
      </c>
      <c r="B50" t="s">
        <v>530</v>
      </c>
    </row>
    <row r="51" spans="1:2">
      <c r="A51">
        <v>54</v>
      </c>
      <c r="B51" t="s">
        <v>530</v>
      </c>
    </row>
    <row r="52" spans="1:2">
      <c r="A52">
        <v>55</v>
      </c>
      <c r="B52" t="s">
        <v>530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530</v>
      </c>
    </row>
    <row r="56" spans="1:2">
      <c r="A56">
        <v>59</v>
      </c>
      <c r="B56" t="s">
        <v>530</v>
      </c>
    </row>
    <row r="57" spans="1:2">
      <c r="A57">
        <v>60</v>
      </c>
      <c r="B57" t="s">
        <v>530</v>
      </c>
    </row>
    <row r="58" spans="1:2">
      <c r="A58">
        <v>61</v>
      </c>
      <c r="B58" t="s">
        <v>530</v>
      </c>
    </row>
    <row r="59" spans="1:2">
      <c r="A59">
        <v>62</v>
      </c>
      <c r="B59" t="s">
        <v>530</v>
      </c>
    </row>
    <row r="60" spans="1:2">
      <c r="A60">
        <v>63</v>
      </c>
      <c r="B60" t="s">
        <v>144</v>
      </c>
    </row>
    <row r="61" spans="1:2">
      <c r="A61">
        <v>64</v>
      </c>
      <c r="B61" t="s">
        <v>530</v>
      </c>
    </row>
    <row r="62" spans="1:2">
      <c r="A62">
        <v>65</v>
      </c>
      <c r="B62" t="s">
        <v>530</v>
      </c>
    </row>
    <row r="63" spans="1:2">
      <c r="A63">
        <v>66</v>
      </c>
      <c r="B63" t="s">
        <v>530</v>
      </c>
    </row>
    <row r="64" spans="1:2">
      <c r="A64">
        <v>67</v>
      </c>
    </row>
    <row r="65" spans="1:2">
      <c r="A65">
        <v>68</v>
      </c>
      <c r="B65" t="s">
        <v>530</v>
      </c>
    </row>
    <row r="66" spans="1:2">
      <c r="A66">
        <v>69</v>
      </c>
    </row>
    <row r="67" spans="1:2">
      <c r="A67">
        <v>70</v>
      </c>
    </row>
    <row r="68" spans="1:2">
      <c r="A68">
        <v>71</v>
      </c>
      <c r="B68" t="s">
        <v>530</v>
      </c>
    </row>
    <row r="69" spans="1:2">
      <c r="A69">
        <v>72</v>
      </c>
      <c r="B69" t="s">
        <v>530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530</v>
      </c>
    </row>
    <row r="72" spans="1:2">
      <c r="A72">
        <v>75</v>
      </c>
      <c r="B72" t="s">
        <v>89</v>
      </c>
    </row>
    <row r="73" spans="1:2">
      <c r="A73">
        <v>76</v>
      </c>
      <c r="B73" t="s">
        <v>530</v>
      </c>
    </row>
    <row r="74" spans="1:2">
      <c r="A74">
        <v>77</v>
      </c>
      <c r="B74" t="s">
        <v>530</v>
      </c>
    </row>
    <row r="75" spans="1:2">
      <c r="A75">
        <v>78</v>
      </c>
      <c r="B75" t="s">
        <v>530</v>
      </c>
    </row>
    <row r="76" spans="1:2">
      <c r="A76">
        <v>79</v>
      </c>
      <c r="B76" t="s">
        <v>530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530</v>
      </c>
    </row>
    <row r="81" spans="1:2">
      <c r="A81">
        <v>84</v>
      </c>
      <c r="B81" t="s">
        <v>530</v>
      </c>
    </row>
    <row r="82" spans="1:2">
      <c r="A82">
        <v>85</v>
      </c>
      <c r="B82" t="s">
        <v>530</v>
      </c>
    </row>
    <row r="83" spans="1:2">
      <c r="A83">
        <v>86</v>
      </c>
      <c r="B83" t="s">
        <v>68</v>
      </c>
    </row>
    <row r="84" spans="1:2">
      <c r="A84">
        <v>87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530</v>
      </c>
    </row>
    <row r="90" spans="1:2">
      <c r="A90">
        <v>93</v>
      </c>
      <c r="B90" t="s">
        <v>530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530</v>
      </c>
    </row>
    <row r="95" spans="1:2">
      <c r="A95">
        <v>98</v>
      </c>
      <c r="B95" t="s">
        <v>530</v>
      </c>
    </row>
    <row r="96" spans="1:2">
      <c r="A96">
        <v>99</v>
      </c>
      <c r="B96" t="s">
        <v>530</v>
      </c>
    </row>
    <row r="97" spans="1:2">
      <c r="A97">
        <v>100</v>
      </c>
      <c r="B97" t="s">
        <v>530</v>
      </c>
    </row>
    <row r="98" spans="1:2">
      <c r="A98">
        <v>101</v>
      </c>
      <c r="B98" t="s">
        <v>530</v>
      </c>
    </row>
    <row r="99" spans="1:2">
      <c r="A99">
        <v>102</v>
      </c>
      <c r="B99" t="s">
        <v>530</v>
      </c>
    </row>
    <row r="100" spans="1:2">
      <c r="A100">
        <v>103</v>
      </c>
      <c r="B100" t="s">
        <v>530</v>
      </c>
    </row>
    <row r="101" spans="1:2">
      <c r="A101">
        <v>104</v>
      </c>
      <c r="B101" t="s">
        <v>530</v>
      </c>
    </row>
    <row r="102" spans="1:2">
      <c r="A102">
        <v>105</v>
      </c>
      <c r="B102" t="s">
        <v>530</v>
      </c>
    </row>
    <row r="103" spans="1:2">
      <c r="A103">
        <v>106</v>
      </c>
      <c r="B103" t="s">
        <v>530</v>
      </c>
    </row>
    <row r="104" spans="1:2">
      <c r="A104">
        <v>107</v>
      </c>
      <c r="B104" t="s">
        <v>530</v>
      </c>
    </row>
    <row r="105" spans="1:2">
      <c r="A105">
        <v>108</v>
      </c>
      <c r="B105" t="s">
        <v>530</v>
      </c>
    </row>
    <row r="106" spans="1:2">
      <c r="A106">
        <v>109</v>
      </c>
      <c r="B106" t="s">
        <v>530</v>
      </c>
    </row>
    <row r="107" spans="1:2">
      <c r="A107">
        <v>110</v>
      </c>
      <c r="B107" t="s">
        <v>530</v>
      </c>
    </row>
    <row r="108" spans="1:2">
      <c r="A108">
        <v>111</v>
      </c>
      <c r="B108" t="s">
        <v>530</v>
      </c>
    </row>
    <row r="109" spans="1:2">
      <c r="A109">
        <v>112</v>
      </c>
      <c r="B109" t="s">
        <v>530</v>
      </c>
    </row>
    <row r="110" spans="1:2">
      <c r="A110">
        <v>113</v>
      </c>
      <c r="B110" t="s">
        <v>530</v>
      </c>
    </row>
    <row r="111" spans="1:2">
      <c r="A111">
        <v>114</v>
      </c>
      <c r="B111" t="s">
        <v>530</v>
      </c>
    </row>
    <row r="112" spans="1:2">
      <c r="A112">
        <v>115</v>
      </c>
      <c r="B112" t="s">
        <v>530</v>
      </c>
    </row>
    <row r="113" spans="1:2">
      <c r="A113">
        <v>116</v>
      </c>
      <c r="B113" t="s">
        <v>530</v>
      </c>
    </row>
    <row r="114" spans="1:2">
      <c r="A114">
        <v>117</v>
      </c>
      <c r="B114" t="s">
        <v>530</v>
      </c>
    </row>
    <row r="115" spans="1:2">
      <c r="A115">
        <v>118</v>
      </c>
      <c r="B115" t="s">
        <v>530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530</v>
      </c>
    </row>
    <row r="118" spans="1:2">
      <c r="A118">
        <v>121</v>
      </c>
      <c r="B118" t="s">
        <v>530</v>
      </c>
    </row>
    <row r="119" spans="1:2">
      <c r="A119">
        <v>122</v>
      </c>
      <c r="B119" t="s">
        <v>530</v>
      </c>
    </row>
    <row r="120" spans="1:2">
      <c r="A120">
        <v>123</v>
      </c>
      <c r="B120" t="s">
        <v>530</v>
      </c>
    </row>
    <row r="121" spans="1:2">
      <c r="A121">
        <v>124</v>
      </c>
      <c r="B121" t="s">
        <v>530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530</v>
      </c>
    </row>
    <row r="124" spans="1:2">
      <c r="A124">
        <v>127</v>
      </c>
      <c r="B124" t="s">
        <v>530</v>
      </c>
    </row>
    <row r="125" spans="1:2">
      <c r="A125">
        <v>128</v>
      </c>
      <c r="B125" t="s">
        <v>530</v>
      </c>
    </row>
    <row r="126" spans="1:2">
      <c r="A126">
        <v>129</v>
      </c>
      <c r="B126" t="s">
        <v>530</v>
      </c>
    </row>
    <row r="127" spans="1:2">
      <c r="A127">
        <v>130</v>
      </c>
      <c r="B127" t="s">
        <v>530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530</v>
      </c>
    </row>
    <row r="130" spans="1:2">
      <c r="A130">
        <v>133</v>
      </c>
      <c r="B130" t="s">
        <v>530</v>
      </c>
    </row>
    <row r="131" spans="1:2">
      <c r="A131">
        <v>134</v>
      </c>
      <c r="B131" t="s">
        <v>530</v>
      </c>
    </row>
    <row r="132" spans="1:2">
      <c r="A132">
        <v>135</v>
      </c>
      <c r="B132" t="s">
        <v>530</v>
      </c>
    </row>
    <row r="133" spans="1:2">
      <c r="A133">
        <v>136</v>
      </c>
      <c r="B133" t="s">
        <v>530</v>
      </c>
    </row>
    <row r="134" spans="1:2">
      <c r="A134">
        <v>137</v>
      </c>
      <c r="B134" t="s">
        <v>530</v>
      </c>
    </row>
  </sheetData>
  <autoFilter ref="A1:B33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2024-02-26T02:27:16Z</dcterms:modified>
</cp:coreProperties>
</file>