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Santy\Profit Loss\07-02-2024\"/>
    </mc:Choice>
  </mc:AlternateContent>
  <xr:revisionPtr revIDLastSave="0" documentId="8_{8E71A9D8-9CFB-472F-A005-CA2CC61D7312}" xr6:coauthVersionLast="47" xr6:coauthVersionMax="47" xr10:uidLastSave="{00000000-0000-0000-0000-000000000000}"/>
  <bookViews>
    <workbookView xWindow="-120" yWindow="-120" windowWidth="20730" windowHeight="11160" xr2:uid="{54D09946-E7FE-4E48-AED8-A6C67471F458}"/>
  </bookViews>
  <sheets>
    <sheet name="PETUNJUK" sheetId="2" r:id="rId1"/>
    <sheet name="Sheet1" sheetId="21" r:id="rId2"/>
    <sheet name="BREAKDOWN" sheetId="17" r:id="rId3"/>
    <sheet name="FILE JDE" sheetId="18" r:id="rId4"/>
    <sheet name="TABEL" sheetId="19" r:id="rId5"/>
    <sheet name="RESUME OVER BUDGET" sheetId="20" r:id="rId6"/>
  </sheets>
  <definedNames>
    <definedName name="_xlnm._FilterDatabase" localSheetId="0" hidden="1">PETUNJUK!$I$2:$L$145</definedName>
    <definedName name="_xlnm._FilterDatabase" localSheetId="5" hidden="1">'RESUME OVER BUDGET'!$A$4:$M$205</definedName>
    <definedName name="_xlnm._FilterDatabase" localSheetId="1" hidden="1">Sheet1!$E$1:$F$158</definedName>
    <definedName name="_xlnm._FilterDatabase" localSheetId="4" hidden="1">TABEL!$A$2:$M$204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145" i="2" l="1"/>
  <c r="L144" i="2"/>
  <c r="L143" i="2"/>
  <c r="L142" i="2"/>
  <c r="L141" i="2"/>
  <c r="L140" i="2"/>
  <c r="L139" i="2"/>
  <c r="L138" i="2"/>
  <c r="L137" i="2"/>
  <c r="L136" i="2"/>
  <c r="L135" i="2"/>
  <c r="L134" i="2"/>
  <c r="L133" i="2"/>
  <c r="L132" i="2"/>
  <c r="L131" i="2"/>
  <c r="L130" i="2"/>
  <c r="L129" i="2"/>
  <c r="L128" i="2"/>
  <c r="L127" i="2"/>
  <c r="L126" i="2"/>
  <c r="L125" i="2"/>
  <c r="L124" i="2"/>
  <c r="L123" i="2"/>
  <c r="L122" i="2"/>
  <c r="L121" i="2"/>
  <c r="L120" i="2"/>
  <c r="L119" i="2"/>
  <c r="L118" i="2"/>
  <c r="L117" i="2"/>
  <c r="L116" i="2"/>
  <c r="L115" i="2"/>
  <c r="L114" i="2"/>
  <c r="L113" i="2"/>
  <c r="L112" i="2"/>
  <c r="L111" i="2"/>
  <c r="L110" i="2"/>
  <c r="L109" i="2"/>
  <c r="L108" i="2"/>
  <c r="L107" i="2"/>
  <c r="L106" i="2"/>
  <c r="L105" i="2"/>
  <c r="L104" i="2"/>
  <c r="L103" i="2"/>
  <c r="L102" i="2"/>
  <c r="L101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L5" i="2"/>
  <c r="L4" i="2"/>
  <c r="L3" i="2"/>
  <c r="F158" i="21"/>
  <c r="F157" i="21"/>
  <c r="F156" i="21"/>
  <c r="F155" i="21"/>
  <c r="F154" i="21"/>
  <c r="F153" i="21"/>
  <c r="F152" i="21"/>
  <c r="F151" i="21"/>
  <c r="F150" i="21"/>
  <c r="F149" i="21"/>
  <c r="F148" i="21"/>
  <c r="F147" i="21"/>
  <c r="F146" i="21"/>
  <c r="F145" i="21"/>
  <c r="F144" i="21"/>
  <c r="F143" i="21"/>
  <c r="F142" i="21"/>
  <c r="F141" i="21"/>
  <c r="F140" i="21"/>
  <c r="F139" i="21"/>
  <c r="F138" i="21"/>
  <c r="F137" i="21"/>
  <c r="F136" i="21"/>
  <c r="F135" i="21"/>
  <c r="F134" i="21"/>
  <c r="F133" i="21"/>
  <c r="F132" i="21"/>
  <c r="F131" i="21"/>
  <c r="F130" i="21"/>
  <c r="F129" i="21"/>
  <c r="F128" i="21"/>
  <c r="F127" i="21"/>
  <c r="F126" i="21"/>
  <c r="F125" i="21"/>
  <c r="F124" i="21"/>
  <c r="F123" i="21"/>
  <c r="F122" i="21"/>
  <c r="F121" i="21"/>
  <c r="F120" i="21"/>
  <c r="F119" i="21"/>
  <c r="F118" i="21"/>
  <c r="F117" i="21"/>
  <c r="F116" i="21"/>
  <c r="F115" i="21"/>
  <c r="F114" i="21"/>
  <c r="F113" i="21"/>
  <c r="F112" i="21"/>
  <c r="F111" i="21"/>
  <c r="F110" i="21"/>
  <c r="F109" i="21"/>
  <c r="F108" i="21"/>
  <c r="F107" i="21"/>
  <c r="F106" i="21"/>
  <c r="F105" i="21"/>
  <c r="F104" i="21"/>
  <c r="F103" i="21"/>
  <c r="F102" i="21"/>
  <c r="F101" i="21"/>
  <c r="F100" i="21"/>
  <c r="F99" i="21"/>
  <c r="F98" i="21"/>
  <c r="F97" i="21"/>
  <c r="F96" i="21"/>
  <c r="F95" i="21"/>
  <c r="F94" i="21"/>
  <c r="F93" i="21"/>
  <c r="F92" i="21"/>
  <c r="F91" i="21"/>
  <c r="F90" i="21"/>
  <c r="F89" i="21"/>
  <c r="F88" i="21"/>
  <c r="F87" i="21"/>
  <c r="F86" i="21"/>
  <c r="F85" i="21"/>
  <c r="F84" i="21"/>
  <c r="F83" i="21"/>
  <c r="F82" i="21"/>
  <c r="F81" i="21"/>
  <c r="F80" i="21"/>
  <c r="F79" i="21"/>
  <c r="F78" i="21"/>
  <c r="F77" i="21"/>
  <c r="F76" i="21"/>
  <c r="F75" i="21"/>
  <c r="F74" i="21"/>
  <c r="F73" i="21"/>
  <c r="F72" i="21"/>
  <c r="F71" i="21"/>
  <c r="F70" i="21"/>
  <c r="F69" i="21"/>
  <c r="F68" i="21"/>
  <c r="F67" i="21"/>
  <c r="F66" i="21"/>
  <c r="F65" i="21"/>
  <c r="F64" i="21"/>
  <c r="F63" i="21"/>
  <c r="F62" i="21"/>
  <c r="F61" i="21"/>
  <c r="F60" i="21"/>
  <c r="F59" i="21"/>
  <c r="F58" i="21"/>
  <c r="F57" i="21"/>
  <c r="F56" i="21"/>
  <c r="F55" i="21"/>
  <c r="F54" i="21"/>
  <c r="F53" i="21"/>
  <c r="F52" i="21"/>
  <c r="F51" i="21"/>
  <c r="F50" i="21"/>
  <c r="F49" i="21"/>
  <c r="F48" i="21"/>
  <c r="F47" i="21"/>
  <c r="F46" i="21"/>
  <c r="F45" i="21"/>
  <c r="F44" i="21"/>
  <c r="F43" i="21"/>
  <c r="F42" i="21"/>
  <c r="F41" i="21"/>
  <c r="F40" i="21"/>
  <c r="F39" i="21"/>
  <c r="F38" i="21"/>
  <c r="F37" i="21"/>
  <c r="F36" i="21"/>
  <c r="F35" i="21"/>
  <c r="F34" i="21"/>
  <c r="F33" i="21"/>
  <c r="F32" i="21"/>
  <c r="F31" i="21"/>
  <c r="F30" i="21"/>
  <c r="F29" i="21"/>
  <c r="F28" i="21"/>
  <c r="F27" i="21"/>
  <c r="F26" i="21"/>
  <c r="F25" i="21"/>
  <c r="F24" i="21"/>
  <c r="F23" i="21"/>
  <c r="F22" i="21"/>
  <c r="F21" i="21"/>
  <c r="F20" i="21"/>
  <c r="F19" i="21"/>
  <c r="F18" i="21"/>
  <c r="F17" i="21"/>
  <c r="F16" i="21"/>
  <c r="F15" i="21"/>
  <c r="F14" i="21"/>
  <c r="F13" i="21"/>
  <c r="F12" i="21"/>
  <c r="F11" i="21"/>
  <c r="F10" i="21"/>
  <c r="F9" i="21"/>
  <c r="F8" i="21"/>
  <c r="F7" i="21"/>
  <c r="F6" i="21"/>
  <c r="F5" i="21"/>
  <c r="F4" i="21"/>
  <c r="F3" i="21"/>
  <c r="F2" i="21"/>
  <c r="I210" i="20"/>
  <c r="H210" i="20"/>
  <c r="G210" i="20"/>
  <c r="F210" i="20"/>
  <c r="E210" i="20"/>
  <c r="I209" i="20"/>
  <c r="H209" i="20"/>
  <c r="G209" i="20"/>
  <c r="F209" i="20"/>
  <c r="E209" i="20"/>
  <c r="I208" i="20"/>
  <c r="H208" i="20"/>
  <c r="G208" i="20"/>
  <c r="F208" i="20"/>
  <c r="E208" i="20"/>
  <c r="I207" i="20"/>
  <c r="H207" i="20"/>
  <c r="G207" i="20"/>
  <c r="F207" i="20"/>
  <c r="E207" i="20"/>
  <c r="I205" i="20"/>
  <c r="H205" i="20"/>
  <c r="G205" i="20"/>
  <c r="F205" i="20"/>
  <c r="E205" i="20"/>
  <c r="D205" i="20"/>
  <c r="J204" i="20"/>
  <c r="J203" i="20"/>
  <c r="J202" i="20"/>
  <c r="J201" i="20"/>
  <c r="J200" i="20"/>
  <c r="J199" i="20"/>
  <c r="J198" i="20"/>
  <c r="J197" i="20"/>
  <c r="J196" i="20"/>
  <c r="J195" i="20"/>
  <c r="J194" i="20"/>
  <c r="J193" i="20"/>
  <c r="J192" i="20"/>
  <c r="J191" i="20"/>
  <c r="J190" i="20"/>
  <c r="J189" i="20"/>
  <c r="J188" i="20"/>
  <c r="J187" i="20"/>
  <c r="J186" i="20"/>
  <c r="J185" i="20"/>
  <c r="J184" i="20"/>
  <c r="J183" i="20"/>
  <c r="J182" i="20"/>
  <c r="J181" i="20"/>
  <c r="J180" i="20"/>
  <c r="J179" i="20"/>
  <c r="J178" i="20"/>
  <c r="J177" i="20"/>
  <c r="J176" i="20"/>
  <c r="J175" i="20"/>
  <c r="J174" i="20"/>
  <c r="J173" i="20"/>
  <c r="J172" i="20"/>
  <c r="J171" i="20"/>
  <c r="J170" i="20"/>
  <c r="J169" i="20"/>
  <c r="J168" i="20"/>
  <c r="J167" i="20"/>
  <c r="J166" i="20"/>
  <c r="J165" i="20"/>
  <c r="J164" i="20"/>
  <c r="J163" i="20"/>
  <c r="J162" i="20"/>
  <c r="J161" i="20"/>
  <c r="J160" i="20"/>
  <c r="J159" i="20"/>
  <c r="J158" i="20"/>
  <c r="J157" i="20"/>
  <c r="J156" i="20"/>
  <c r="J155" i="20"/>
  <c r="J154" i="20"/>
  <c r="J153" i="20"/>
  <c r="J152" i="20"/>
  <c r="J151" i="20"/>
  <c r="J150" i="20"/>
  <c r="J149" i="20"/>
  <c r="J148" i="20"/>
  <c r="J147" i="20"/>
  <c r="J146" i="20"/>
  <c r="J145" i="20"/>
  <c r="J144" i="20"/>
  <c r="J143" i="20"/>
  <c r="J142" i="20"/>
  <c r="J141" i="20"/>
  <c r="J140" i="20"/>
  <c r="J139" i="20"/>
  <c r="J138" i="20"/>
  <c r="J137" i="20"/>
  <c r="J136" i="20"/>
  <c r="J135" i="20"/>
  <c r="J134" i="20"/>
  <c r="J133" i="20"/>
  <c r="J132" i="20"/>
  <c r="J131" i="20"/>
  <c r="J130" i="20"/>
  <c r="J129" i="20"/>
  <c r="J128" i="20"/>
  <c r="J127" i="20"/>
  <c r="J126" i="20"/>
  <c r="J125" i="20"/>
  <c r="J124" i="20"/>
  <c r="J123" i="20"/>
  <c r="J122" i="20"/>
  <c r="J121" i="20"/>
  <c r="J120" i="20"/>
  <c r="J119" i="20"/>
  <c r="J118" i="20"/>
  <c r="J117" i="20"/>
  <c r="J116" i="20"/>
  <c r="J115" i="20"/>
  <c r="J114" i="20"/>
  <c r="J113" i="20"/>
  <c r="J112" i="20"/>
  <c r="J111" i="20"/>
  <c r="J110" i="20"/>
  <c r="J109" i="20"/>
  <c r="J108" i="20"/>
  <c r="J107" i="20"/>
  <c r="J106" i="20"/>
  <c r="J105" i="20"/>
  <c r="J104" i="20"/>
  <c r="J103" i="20"/>
  <c r="J102" i="20"/>
  <c r="J101" i="20"/>
  <c r="J100" i="20"/>
  <c r="J99" i="20"/>
  <c r="J98" i="20"/>
  <c r="J97" i="20"/>
  <c r="J96" i="20"/>
  <c r="J95" i="20"/>
  <c r="J94" i="20"/>
  <c r="J93" i="20"/>
  <c r="J92" i="20"/>
  <c r="J91" i="20"/>
  <c r="J90" i="20"/>
  <c r="J89" i="20"/>
  <c r="J88" i="20"/>
  <c r="J87" i="20"/>
  <c r="J86" i="20"/>
  <c r="J85" i="20"/>
  <c r="J84" i="20"/>
  <c r="J83" i="20"/>
  <c r="J82" i="20"/>
  <c r="J81" i="20"/>
  <c r="J80" i="20"/>
  <c r="J79" i="20"/>
  <c r="J78" i="20"/>
  <c r="J77" i="20"/>
  <c r="J76" i="20"/>
  <c r="J75" i="20"/>
  <c r="J74" i="20"/>
  <c r="J73" i="20"/>
  <c r="J72" i="20"/>
  <c r="J71" i="20"/>
  <c r="J70" i="20"/>
  <c r="J69" i="20"/>
  <c r="J68" i="20"/>
  <c r="J67" i="20"/>
  <c r="J66" i="20"/>
  <c r="J65" i="20"/>
  <c r="J64" i="20"/>
  <c r="J63" i="20"/>
  <c r="J62" i="20"/>
  <c r="J61" i="20"/>
  <c r="J60" i="20"/>
  <c r="J59" i="20"/>
  <c r="J58" i="20"/>
  <c r="J57" i="20"/>
  <c r="J56" i="20"/>
  <c r="J55" i="20"/>
  <c r="J54" i="20"/>
  <c r="J53" i="20"/>
  <c r="J52" i="20"/>
  <c r="J51" i="20"/>
  <c r="J50" i="20"/>
  <c r="J49" i="20"/>
  <c r="J48" i="20"/>
  <c r="J47" i="20"/>
  <c r="J46" i="20"/>
  <c r="J45" i="20"/>
  <c r="J44" i="20"/>
  <c r="J43" i="20"/>
  <c r="J42" i="20"/>
  <c r="J41" i="20"/>
  <c r="J40" i="20"/>
  <c r="J39" i="20"/>
  <c r="J38" i="20"/>
  <c r="J37" i="20"/>
  <c r="J36" i="20"/>
  <c r="J35" i="20"/>
  <c r="J34" i="20"/>
  <c r="J33" i="20"/>
  <c r="J32" i="20"/>
  <c r="J31" i="20"/>
  <c r="J30" i="20"/>
  <c r="J29" i="20"/>
  <c r="J28" i="20"/>
  <c r="J27" i="20"/>
  <c r="J26" i="20"/>
  <c r="J25" i="20"/>
  <c r="J24" i="20"/>
  <c r="J23" i="20"/>
  <c r="J22" i="20"/>
  <c r="J21" i="20"/>
  <c r="J20" i="20"/>
  <c r="J19" i="20"/>
  <c r="J18" i="20"/>
  <c r="J17" i="20"/>
  <c r="J16" i="20"/>
  <c r="J15" i="20"/>
  <c r="J14" i="20"/>
  <c r="J13" i="20"/>
  <c r="J12" i="20"/>
  <c r="J11" i="20"/>
  <c r="J10" i="20"/>
  <c r="J9" i="20"/>
  <c r="J8" i="20"/>
  <c r="J7" i="20"/>
  <c r="J209" i="20" s="1"/>
  <c r="J6" i="20"/>
  <c r="J5" i="20"/>
  <c r="E210" i="19"/>
  <c r="J209" i="19"/>
  <c r="I209" i="19"/>
  <c r="I208" i="19"/>
  <c r="I207" i="19"/>
  <c r="I206" i="19"/>
  <c r="I210" i="19" s="1"/>
  <c r="H209" i="19"/>
  <c r="H208" i="19"/>
  <c r="H210" i="19" s="1"/>
  <c r="H207" i="19"/>
  <c r="H206" i="19"/>
  <c r="G209" i="19"/>
  <c r="G208" i="19"/>
  <c r="G207" i="19"/>
  <c r="G206" i="19"/>
  <c r="G210" i="19" s="1"/>
  <c r="F209" i="19"/>
  <c r="F208" i="19"/>
  <c r="F207" i="19"/>
  <c r="F206" i="19"/>
  <c r="F210" i="19" s="1"/>
  <c r="E209" i="19"/>
  <c r="E208" i="19"/>
  <c r="E207" i="19"/>
  <c r="E206" i="19"/>
  <c r="J4" i="19"/>
  <c r="J206" i="19" s="1"/>
  <c r="J5" i="19"/>
  <c r="J207" i="19" s="1"/>
  <c r="J6" i="19"/>
  <c r="J208" i="19" s="1"/>
  <c r="J7" i="19"/>
  <c r="J8" i="19"/>
  <c r="J9" i="19"/>
  <c r="J10" i="19"/>
  <c r="J11" i="19"/>
  <c r="J12" i="19"/>
  <c r="J13" i="19"/>
  <c r="J14" i="19"/>
  <c r="J15" i="19"/>
  <c r="J16" i="19"/>
  <c r="J17" i="19"/>
  <c r="J18" i="19"/>
  <c r="J19" i="19"/>
  <c r="J20" i="19"/>
  <c r="J21" i="19"/>
  <c r="J22" i="19"/>
  <c r="J23" i="19"/>
  <c r="J24" i="19"/>
  <c r="J25" i="19"/>
  <c r="J26" i="19"/>
  <c r="J27" i="19"/>
  <c r="J28" i="19"/>
  <c r="J29" i="19"/>
  <c r="J30" i="19"/>
  <c r="J31" i="19"/>
  <c r="J32" i="19"/>
  <c r="J33" i="19"/>
  <c r="J34" i="19"/>
  <c r="J35" i="19"/>
  <c r="J36" i="19"/>
  <c r="J37" i="19"/>
  <c r="J38" i="19"/>
  <c r="J39" i="19"/>
  <c r="J40" i="19"/>
  <c r="J41" i="19"/>
  <c r="J42" i="19"/>
  <c r="J43" i="19"/>
  <c r="J44" i="19"/>
  <c r="J45" i="19"/>
  <c r="J46" i="19"/>
  <c r="J47" i="19"/>
  <c r="J48" i="19"/>
  <c r="J49" i="19"/>
  <c r="J50" i="19"/>
  <c r="J51" i="19"/>
  <c r="J52" i="19"/>
  <c r="J53" i="19"/>
  <c r="J54" i="19"/>
  <c r="J55" i="19"/>
  <c r="J56" i="19"/>
  <c r="J57" i="19"/>
  <c r="J58" i="19"/>
  <c r="J59" i="19"/>
  <c r="J60" i="19"/>
  <c r="J61" i="19"/>
  <c r="J62" i="19"/>
  <c r="J63" i="19"/>
  <c r="J64" i="19"/>
  <c r="J65" i="19"/>
  <c r="J66" i="19"/>
  <c r="J67" i="19"/>
  <c r="J68" i="19"/>
  <c r="J69" i="19"/>
  <c r="J70" i="19"/>
  <c r="J71" i="19"/>
  <c r="J72" i="19"/>
  <c r="J73" i="19"/>
  <c r="J74" i="19"/>
  <c r="J75" i="19"/>
  <c r="J76" i="19"/>
  <c r="J77" i="19"/>
  <c r="J78" i="19"/>
  <c r="J79" i="19"/>
  <c r="J80" i="19"/>
  <c r="J81" i="19"/>
  <c r="J82" i="19"/>
  <c r="J83" i="19"/>
  <c r="J84" i="19"/>
  <c r="J85" i="19"/>
  <c r="J86" i="19"/>
  <c r="J87" i="19"/>
  <c r="J88" i="19"/>
  <c r="J89" i="19"/>
  <c r="J90" i="19"/>
  <c r="J91" i="19"/>
  <c r="J92" i="19"/>
  <c r="J93" i="19"/>
  <c r="J94" i="19"/>
  <c r="J95" i="19"/>
  <c r="J96" i="19"/>
  <c r="J97" i="19"/>
  <c r="J98" i="19"/>
  <c r="J99" i="19"/>
  <c r="J100" i="19"/>
  <c r="J101" i="19"/>
  <c r="J102" i="19"/>
  <c r="J103" i="19"/>
  <c r="J104" i="19"/>
  <c r="J105" i="19"/>
  <c r="J106" i="19"/>
  <c r="J107" i="19"/>
  <c r="J108" i="19"/>
  <c r="J109" i="19"/>
  <c r="J110" i="19"/>
  <c r="J111" i="19"/>
  <c r="J112" i="19"/>
  <c r="J113" i="19"/>
  <c r="J114" i="19"/>
  <c r="J115" i="19"/>
  <c r="J116" i="19"/>
  <c r="J117" i="19"/>
  <c r="J118" i="19"/>
  <c r="J119" i="19"/>
  <c r="J120" i="19"/>
  <c r="J121" i="19"/>
  <c r="J122" i="19"/>
  <c r="J123" i="19"/>
  <c r="J124" i="19"/>
  <c r="J125" i="19"/>
  <c r="J126" i="19"/>
  <c r="J127" i="19"/>
  <c r="J128" i="19"/>
  <c r="J129" i="19"/>
  <c r="J130" i="19"/>
  <c r="J131" i="19"/>
  <c r="J132" i="19"/>
  <c r="J133" i="19"/>
  <c r="J134" i="19"/>
  <c r="J135" i="19"/>
  <c r="J136" i="19"/>
  <c r="J137" i="19"/>
  <c r="J138" i="19"/>
  <c r="J139" i="19"/>
  <c r="J140" i="19"/>
  <c r="J141" i="19"/>
  <c r="J142" i="19"/>
  <c r="J143" i="19"/>
  <c r="J144" i="19"/>
  <c r="J145" i="19"/>
  <c r="J146" i="19"/>
  <c r="J147" i="19"/>
  <c r="J148" i="19"/>
  <c r="J149" i="19"/>
  <c r="J150" i="19"/>
  <c r="J151" i="19"/>
  <c r="J152" i="19"/>
  <c r="J153" i="19"/>
  <c r="J154" i="19"/>
  <c r="J155" i="19"/>
  <c r="J156" i="19"/>
  <c r="J157" i="19"/>
  <c r="J158" i="19"/>
  <c r="J159" i="19"/>
  <c r="J160" i="19"/>
  <c r="J161" i="19"/>
  <c r="J162" i="19"/>
  <c r="J163" i="19"/>
  <c r="J164" i="19"/>
  <c r="J165" i="19"/>
  <c r="J166" i="19"/>
  <c r="J167" i="19"/>
  <c r="J168" i="19"/>
  <c r="J169" i="19"/>
  <c r="J170" i="19"/>
  <c r="J171" i="19"/>
  <c r="J172" i="19"/>
  <c r="J173" i="19"/>
  <c r="J174" i="19"/>
  <c r="J175" i="19"/>
  <c r="J176" i="19"/>
  <c r="J177" i="19"/>
  <c r="J178" i="19"/>
  <c r="J179" i="19"/>
  <c r="J180" i="19"/>
  <c r="J181" i="19"/>
  <c r="J182" i="19"/>
  <c r="J183" i="19"/>
  <c r="J184" i="19"/>
  <c r="J185" i="19"/>
  <c r="J186" i="19"/>
  <c r="J187" i="19"/>
  <c r="J188" i="19"/>
  <c r="J189" i="19"/>
  <c r="J190" i="19"/>
  <c r="J191" i="19"/>
  <c r="J192" i="19"/>
  <c r="J193" i="19"/>
  <c r="J194" i="19"/>
  <c r="J195" i="19"/>
  <c r="J196" i="19"/>
  <c r="J197" i="19"/>
  <c r="J198" i="19"/>
  <c r="J199" i="19"/>
  <c r="J200" i="19"/>
  <c r="J201" i="19"/>
  <c r="J202" i="19"/>
  <c r="J203" i="19"/>
  <c r="I204" i="19"/>
  <c r="H204" i="19"/>
  <c r="G204" i="19"/>
  <c r="F204" i="19"/>
  <c r="E204" i="19"/>
  <c r="D204" i="19"/>
  <c r="B7" i="2"/>
  <c r="J210" i="19" l="1"/>
  <c r="J207" i="20"/>
  <c r="K200" i="19"/>
  <c r="L200" i="19" s="1"/>
  <c r="J208" i="20"/>
  <c r="E211" i="20"/>
  <c r="I211" i="20"/>
  <c r="J210" i="20"/>
  <c r="F211" i="20"/>
  <c r="K9" i="20"/>
  <c r="M9" i="20" s="1"/>
  <c r="K13" i="20"/>
  <c r="M13" i="20" s="1"/>
  <c r="K17" i="20"/>
  <c r="M17" i="20" s="1"/>
  <c r="K21" i="20"/>
  <c r="M21" i="20" s="1"/>
  <c r="K29" i="20"/>
  <c r="M29" i="20" s="1"/>
  <c r="K33" i="20"/>
  <c r="M33" i="20" s="1"/>
  <c r="K37" i="20"/>
  <c r="M37" i="20" s="1"/>
  <c r="K65" i="20"/>
  <c r="M65" i="20" s="1"/>
  <c r="K69" i="20"/>
  <c r="M69" i="20" s="1"/>
  <c r="K73" i="20"/>
  <c r="M73" i="20" s="1"/>
  <c r="K77" i="20"/>
  <c r="M77" i="20" s="1"/>
  <c r="K81" i="20"/>
  <c r="M81" i="20" s="1"/>
  <c r="K85" i="20"/>
  <c r="M85" i="20" s="1"/>
  <c r="K89" i="20"/>
  <c r="M89" i="20" s="1"/>
  <c r="K93" i="20"/>
  <c r="M93" i="20" s="1"/>
  <c r="K97" i="20"/>
  <c r="M97" i="20" s="1"/>
  <c r="K101" i="20"/>
  <c r="M101" i="20" s="1"/>
  <c r="K105" i="20"/>
  <c r="M105" i="20" s="1"/>
  <c r="K109" i="20"/>
  <c r="M109" i="20" s="1"/>
  <c r="K113" i="20"/>
  <c r="M113" i="20" s="1"/>
  <c r="K117" i="20"/>
  <c r="M117" i="20" s="1"/>
  <c r="K121" i="20"/>
  <c r="M121" i="20" s="1"/>
  <c r="K125" i="20"/>
  <c r="M125" i="20" s="1"/>
  <c r="K129" i="20"/>
  <c r="M129" i="20" s="1"/>
  <c r="K133" i="20"/>
  <c r="M133" i="20" s="1"/>
  <c r="K137" i="20"/>
  <c r="M137" i="20" s="1"/>
  <c r="K149" i="20"/>
  <c r="M149" i="20" s="1"/>
  <c r="K153" i="20"/>
  <c r="M153" i="20" s="1"/>
  <c r="K157" i="20"/>
  <c r="M157" i="20" s="1"/>
  <c r="K161" i="20"/>
  <c r="M161" i="20" s="1"/>
  <c r="K165" i="20"/>
  <c r="M165" i="20" s="1"/>
  <c r="K169" i="20"/>
  <c r="M169" i="20" s="1"/>
  <c r="K173" i="20"/>
  <c r="M173" i="20" s="1"/>
  <c r="K177" i="20"/>
  <c r="M177" i="20" s="1"/>
  <c r="K181" i="20"/>
  <c r="M181" i="20" s="1"/>
  <c r="K185" i="20"/>
  <c r="M185" i="20" s="1"/>
  <c r="K189" i="20"/>
  <c r="M189" i="20" s="1"/>
  <c r="K193" i="20"/>
  <c r="M193" i="20" s="1"/>
  <c r="K197" i="20"/>
  <c r="M197" i="20" s="1"/>
  <c r="K201" i="20"/>
  <c r="M201" i="20" s="1"/>
  <c r="M205" i="20"/>
  <c r="G211" i="20"/>
  <c r="H211" i="20"/>
  <c r="J211" i="20"/>
  <c r="J205" i="20"/>
  <c r="K5" i="20"/>
  <c r="K196" i="19"/>
  <c r="L196" i="19" s="1"/>
  <c r="K192" i="19"/>
  <c r="L192" i="19" s="1"/>
  <c r="K188" i="19"/>
  <c r="L188" i="19" s="1"/>
  <c r="K184" i="19"/>
  <c r="L184" i="19" s="1"/>
  <c r="K180" i="19"/>
  <c r="L180" i="19" s="1"/>
  <c r="K176" i="19"/>
  <c r="L176" i="19" s="1"/>
  <c r="K172" i="19"/>
  <c r="L172" i="19" s="1"/>
  <c r="K168" i="19"/>
  <c r="L168" i="19" s="1"/>
  <c r="K164" i="19"/>
  <c r="L164" i="19" s="1"/>
  <c r="K160" i="19"/>
  <c r="L160" i="19" s="1"/>
  <c r="K156" i="19"/>
  <c r="L156" i="19" s="1"/>
  <c r="K152" i="19"/>
  <c r="L152" i="19" s="1"/>
  <c r="K148" i="19"/>
  <c r="L148" i="19" s="1"/>
  <c r="K136" i="19"/>
  <c r="L136" i="19" s="1"/>
  <c r="K132" i="19"/>
  <c r="L132" i="19" s="1"/>
  <c r="K128" i="19"/>
  <c r="L128" i="19" s="1"/>
  <c r="K124" i="19"/>
  <c r="L124" i="19" s="1"/>
  <c r="K120" i="19"/>
  <c r="L120" i="19" s="1"/>
  <c r="K116" i="19"/>
  <c r="L116" i="19" s="1"/>
  <c r="K112" i="19"/>
  <c r="L112" i="19" s="1"/>
  <c r="K108" i="19"/>
  <c r="L108" i="19" s="1"/>
  <c r="K104" i="19"/>
  <c r="L104" i="19" s="1"/>
  <c r="K100" i="19"/>
  <c r="L100" i="19" s="1"/>
  <c r="K96" i="19"/>
  <c r="L96" i="19" s="1"/>
  <c r="K92" i="19"/>
  <c r="L92" i="19" s="1"/>
  <c r="K88" i="19"/>
  <c r="L88" i="19" s="1"/>
  <c r="K84" i="19"/>
  <c r="L84" i="19" s="1"/>
  <c r="K80" i="19"/>
  <c r="L80" i="19" s="1"/>
  <c r="K76" i="19"/>
  <c r="L76" i="19" s="1"/>
  <c r="K72" i="19"/>
  <c r="L72" i="19" s="1"/>
  <c r="K68" i="19"/>
  <c r="L68" i="19" s="1"/>
  <c r="K64" i="19"/>
  <c r="L64" i="19" s="1"/>
  <c r="K36" i="19"/>
  <c r="L36" i="19" s="1"/>
  <c r="K32" i="19"/>
  <c r="L32" i="19" s="1"/>
  <c r="K28" i="19"/>
  <c r="L28" i="19" s="1"/>
  <c r="K20" i="19"/>
  <c r="L20" i="19" s="1"/>
  <c r="K16" i="19"/>
  <c r="L16" i="19" s="1"/>
  <c r="K12" i="19"/>
  <c r="L12" i="19" s="1"/>
  <c r="K8" i="19"/>
  <c r="L8" i="19" s="1"/>
  <c r="K4" i="19"/>
  <c r="L4" i="19" s="1"/>
  <c r="L204" i="19"/>
  <c r="J204" i="19"/>
  <c r="DH1" i="2"/>
  <c r="M5" i="20" l="1"/>
  <c r="K205" i="20"/>
  <c r="K204" i="19"/>
  <c r="DD32" i="2"/>
  <c r="CT3" i="2"/>
  <c r="DJ1" i="2" s="1"/>
  <c r="DI5" i="2" s="1"/>
  <c r="CX2" i="2"/>
  <c r="DA4" i="2" s="1"/>
  <c r="DH2" i="2"/>
  <c r="CQ1" i="2"/>
  <c r="CT2" i="2" s="1"/>
  <c r="DI1" i="2" l="1"/>
  <c r="DI4" i="2" s="1"/>
  <c r="DH3" i="2"/>
  <c r="DI3" i="2" l="1"/>
  <c r="DI2" i="2"/>
  <c r="DI6" i="2"/>
  <c r="DC31" i="2" l="1"/>
  <c r="DD31" i="2" s="1"/>
  <c r="DC19" i="2"/>
  <c r="DD19" i="2" s="1"/>
  <c r="DC23" i="2"/>
  <c r="DD23" i="2" s="1"/>
  <c r="DC14" i="2"/>
  <c r="DD14" i="2" s="1"/>
  <c r="DC27" i="2"/>
  <c r="DD27" i="2" s="1"/>
  <c r="DC28" i="2"/>
  <c r="DD28" i="2" s="1"/>
  <c r="DC10" i="2"/>
  <c r="DD10" i="2" s="1"/>
  <c r="DC5" i="2"/>
  <c r="DD5" i="2" s="1"/>
  <c r="DC3" i="2"/>
  <c r="DD3" i="2" s="1"/>
  <c r="DC8" i="2"/>
  <c r="DD8" i="2" s="1"/>
  <c r="DC11" i="2"/>
  <c r="DD11" i="2" s="1"/>
  <c r="DC29" i="2"/>
  <c r="DD29" i="2" s="1"/>
  <c r="DC18" i="2"/>
  <c r="DD18" i="2" s="1"/>
  <c r="DC22" i="2"/>
  <c r="DD22" i="2" s="1"/>
  <c r="DC1" i="2"/>
  <c r="DD1" i="2" s="1"/>
  <c r="DC26" i="2"/>
  <c r="DD26" i="2" s="1"/>
  <c r="DC9" i="2"/>
  <c r="DD9" i="2" s="1"/>
  <c r="DC30" i="2"/>
  <c r="DD30" i="2" s="1"/>
  <c r="DC12" i="2"/>
  <c r="DD12" i="2" s="1"/>
  <c r="DC13" i="2"/>
  <c r="DD13" i="2" s="1"/>
  <c r="DC2" i="2"/>
  <c r="DD2" i="2" s="1"/>
  <c r="DC16" i="2"/>
  <c r="DD16" i="2" s="1"/>
  <c r="DC17" i="2"/>
  <c r="DD17" i="2" s="1"/>
  <c r="DC4" i="2"/>
  <c r="DD4" i="2" s="1"/>
  <c r="DC20" i="2"/>
  <c r="DD20" i="2" s="1"/>
  <c r="DC21" i="2"/>
  <c r="DD21" i="2" s="1"/>
  <c r="DC7" i="2"/>
  <c r="DD7" i="2" s="1"/>
  <c r="DC24" i="2"/>
  <c r="DD24" i="2" s="1"/>
  <c r="DC25" i="2"/>
  <c r="DD25" i="2" s="1"/>
  <c r="DC15" i="2"/>
  <c r="DD15" i="2" s="1"/>
  <c r="DC6" i="2"/>
  <c r="DD6" i="2" s="1"/>
  <c r="DL1" i="2" l="1"/>
  <c r="DE2" i="2"/>
  <c r="DE3" i="2" s="1"/>
  <c r="DE4" i="2" s="1"/>
  <c r="DE5" i="2" s="1"/>
  <c r="DE6" i="2" s="1"/>
  <c r="DE7" i="2" s="1"/>
  <c r="DE8" i="2" s="1"/>
  <c r="DE9" i="2" s="1"/>
  <c r="DE10" i="2" s="1"/>
  <c r="DE11" i="2" s="1"/>
  <c r="DE12" i="2" s="1"/>
  <c r="DE13" i="2" s="1"/>
  <c r="DE14" i="2" s="1"/>
  <c r="DE15" i="2" s="1"/>
  <c r="DE16" i="2" s="1"/>
  <c r="DE17" i="2" s="1"/>
  <c r="DE18" i="2" s="1"/>
  <c r="DE19" i="2" s="1"/>
  <c r="DE20" i="2" s="1"/>
  <c r="DE21" i="2" s="1"/>
  <c r="DE22" i="2" s="1"/>
  <c r="DE23" i="2" s="1"/>
  <c r="DE24" i="2" s="1"/>
  <c r="DE25" i="2" s="1"/>
  <c r="DE26" i="2" s="1"/>
  <c r="DE27" i="2" s="1"/>
  <c r="DE28" i="2" s="1"/>
  <c r="DE29" i="2" s="1"/>
  <c r="DE30" i="2" s="1"/>
  <c r="DE31" i="2" s="1"/>
</calcChain>
</file>

<file path=xl/sharedStrings.xml><?xml version="1.0" encoding="utf-8"?>
<sst xmlns="http://schemas.openxmlformats.org/spreadsheetml/2006/main" count="13522" uniqueCount="616">
  <si>
    <t>1201.630110</t>
  </si>
  <si>
    <t>Account</t>
  </si>
  <si>
    <t>No</t>
  </si>
  <si>
    <t>1204.630110</t>
  </si>
  <si>
    <t>630110</t>
  </si>
  <si>
    <t>1205.630110</t>
  </si>
  <si>
    <t>630130</t>
  </si>
  <si>
    <t>1201.630130</t>
  </si>
  <si>
    <t>1206.630110</t>
  </si>
  <si>
    <t>801160</t>
  </si>
  <si>
    <t>1201.801160</t>
  </si>
  <si>
    <t>630200</t>
  </si>
  <si>
    <t>1201.630200</t>
  </si>
  <si>
    <t>1204.630130</t>
  </si>
  <si>
    <t/>
  </si>
  <si>
    <t>630520</t>
  </si>
  <si>
    <t>1201.630520</t>
  </si>
  <si>
    <t>630520;630530</t>
  </si>
  <si>
    <t>1205.630130</t>
  </si>
  <si>
    <t>630530</t>
  </si>
  <si>
    <t>1201.630600</t>
  </si>
  <si>
    <t>630600</t>
  </si>
  <si>
    <t>kategori</t>
  </si>
  <si>
    <t>1206.630130</t>
  </si>
  <si>
    <t>1201.630400</t>
  </si>
  <si>
    <t>630400</t>
  </si>
  <si>
    <t>JAMSOSTEK</t>
  </si>
  <si>
    <t>1201.630710</t>
  </si>
  <si>
    <t>630710;630720;630730;630740;630750;630760;630770</t>
  </si>
  <si>
    <t>1204.801160</t>
  </si>
  <si>
    <t>630710</t>
  </si>
  <si>
    <t>1201.630900</t>
  </si>
  <si>
    <t>630900</t>
  </si>
  <si>
    <t>1205.801160</t>
  </si>
  <si>
    <t>630720</t>
  </si>
  <si>
    <t>1201.631000</t>
  </si>
  <si>
    <t>631000</t>
  </si>
  <si>
    <t>1206.801160</t>
  </si>
  <si>
    <t>630730</t>
  </si>
  <si>
    <t>1201.630450</t>
  </si>
  <si>
    <t>630450</t>
  </si>
  <si>
    <t>630740</t>
  </si>
  <si>
    <t>1201.631100</t>
  </si>
  <si>
    <t>631100</t>
  </si>
  <si>
    <t>1204.630200</t>
  </si>
  <si>
    <t>630750</t>
  </si>
  <si>
    <t>1201.710200</t>
  </si>
  <si>
    <t>710200</t>
  </si>
  <si>
    <t>1205.630200</t>
  </si>
  <si>
    <t>630760</t>
  </si>
  <si>
    <t>1201.720100</t>
  </si>
  <si>
    <t>720100</t>
  </si>
  <si>
    <t>1206.630200</t>
  </si>
  <si>
    <t>630770</t>
  </si>
  <si>
    <t>1201.720400</t>
  </si>
  <si>
    <t>720400</t>
  </si>
  <si>
    <t>1201.720500</t>
  </si>
  <si>
    <t>720500</t>
  </si>
  <si>
    <t>1204.630520</t>
  </si>
  <si>
    <t>1201.730200</t>
  </si>
  <si>
    <t>730200</t>
  </si>
  <si>
    <t>1205.630520</t>
  </si>
  <si>
    <t>1201.730300</t>
  </si>
  <si>
    <t>730300</t>
  </si>
  <si>
    <t>1206.630520</t>
  </si>
  <si>
    <t>1201.801110</t>
  </si>
  <si>
    <t>801110</t>
  </si>
  <si>
    <t>1201.630530</t>
  </si>
  <si>
    <t>1201.801120</t>
  </si>
  <si>
    <t>801120</t>
  </si>
  <si>
    <t>1204.630530</t>
  </si>
  <si>
    <t>1201.802120</t>
  </si>
  <si>
    <t>802120</t>
  </si>
  <si>
    <t>1205.630530</t>
  </si>
  <si>
    <t>1201.802140</t>
  </si>
  <si>
    <t>802140</t>
  </si>
  <si>
    <t>1206.630530</t>
  </si>
  <si>
    <t>1201.805120</t>
  </si>
  <si>
    <t>805120</t>
  </si>
  <si>
    <t>1201.807100</t>
  </si>
  <si>
    <t>807100</t>
  </si>
  <si>
    <t>1204.630600</t>
  </si>
  <si>
    <t>1201.808100</t>
  </si>
  <si>
    <t>808100</t>
  </si>
  <si>
    <t>1205.630600</t>
  </si>
  <si>
    <t>1201.809100</t>
  </si>
  <si>
    <t>809100</t>
  </si>
  <si>
    <t>1206.630600</t>
  </si>
  <si>
    <t>1201.810110</t>
  </si>
  <si>
    <t>810110;810120;810130</t>
  </si>
  <si>
    <t>ELECTRICITY</t>
  </si>
  <si>
    <t>1201.812100</t>
  </si>
  <si>
    <t>812100</t>
  </si>
  <si>
    <t>1204.630400</t>
  </si>
  <si>
    <t>1201.813100</t>
  </si>
  <si>
    <t>813100</t>
  </si>
  <si>
    <t>1205.630400</t>
  </si>
  <si>
    <t>1201.814110</t>
  </si>
  <si>
    <t>814110</t>
  </si>
  <si>
    <t>1206.630400</t>
  </si>
  <si>
    <t>1201.815110</t>
  </si>
  <si>
    <t>815110</t>
  </si>
  <si>
    <t>1201.815120</t>
  </si>
  <si>
    <t>815120</t>
  </si>
  <si>
    <t>1204.630710</t>
  </si>
  <si>
    <t>1201.816110</t>
  </si>
  <si>
    <t>816110</t>
  </si>
  <si>
    <t>1205.630710</t>
  </si>
  <si>
    <t>810110</t>
  </si>
  <si>
    <t>1201.816120</t>
  </si>
  <si>
    <t>816120</t>
  </si>
  <si>
    <t>1206.630710</t>
  </si>
  <si>
    <t>810120</t>
  </si>
  <si>
    <t>1201.816130</t>
  </si>
  <si>
    <t>816130</t>
  </si>
  <si>
    <t>1201.630720</t>
  </si>
  <si>
    <t>810130</t>
  </si>
  <si>
    <t>1201.911000</t>
  </si>
  <si>
    <t>911000</t>
  </si>
  <si>
    <t>1204.630720</t>
  </si>
  <si>
    <t>1201.910100</t>
  </si>
  <si>
    <t>910100</t>
  </si>
  <si>
    <t>1205.630720</t>
  </si>
  <si>
    <t>1201.920600</t>
  </si>
  <si>
    <t>920600</t>
  </si>
  <si>
    <t>1206.630720</t>
  </si>
  <si>
    <t>1201.920700</t>
  </si>
  <si>
    <t>920700</t>
  </si>
  <si>
    <t>1201.630730</t>
  </si>
  <si>
    <t>1201.920120</t>
  </si>
  <si>
    <t>920120</t>
  </si>
  <si>
    <t>1204.630730</t>
  </si>
  <si>
    <t>1201.920410</t>
  </si>
  <si>
    <t>920410</t>
  </si>
  <si>
    <t>1205.630730</t>
  </si>
  <si>
    <t>1206.630730</t>
  </si>
  <si>
    <t>1201.630740</t>
  </si>
  <si>
    <t>1204.630740</t>
  </si>
  <si>
    <t>1205.630740</t>
  </si>
  <si>
    <t>1206.630740</t>
  </si>
  <si>
    <t>1201.630750</t>
  </si>
  <si>
    <t>1204.630750</t>
  </si>
  <si>
    <t>1205.630750</t>
  </si>
  <si>
    <t>1206.630750</t>
  </si>
  <si>
    <t>1201.630760</t>
  </si>
  <si>
    <t>1204.630760</t>
  </si>
  <si>
    <t>1205.630760</t>
  </si>
  <si>
    <t>1206.630760</t>
  </si>
  <si>
    <t>1201.630770</t>
  </si>
  <si>
    <t>1204.630770</t>
  </si>
  <si>
    <t>1205.630770</t>
  </si>
  <si>
    <t>1206.630770</t>
  </si>
  <si>
    <t>1204.630900</t>
  </si>
  <si>
    <t>1205.630900</t>
  </si>
  <si>
    <t>1206.630900</t>
  </si>
  <si>
    <t>1204.631000</t>
  </si>
  <si>
    <t>1205.631000</t>
  </si>
  <si>
    <t>1206.631000</t>
  </si>
  <si>
    <t>WATER</t>
  </si>
  <si>
    <t>1204.630450</t>
  </si>
  <si>
    <t>1205.630450</t>
  </si>
  <si>
    <t>1206.630450</t>
  </si>
  <si>
    <t>1204.631100</t>
  </si>
  <si>
    <t>1205.631100</t>
  </si>
  <si>
    <t>1206.631100</t>
  </si>
  <si>
    <t>1204.710200</t>
  </si>
  <si>
    <t>1205.710200</t>
  </si>
  <si>
    <t>1206.710200</t>
  </si>
  <si>
    <t>1204.720100</t>
  </si>
  <si>
    <t>1205.720100</t>
  </si>
  <si>
    <t>1206.720100</t>
  </si>
  <si>
    <t>1204.720400</t>
  </si>
  <si>
    <t>1205.720400</t>
  </si>
  <si>
    <t>1206.720400</t>
  </si>
  <si>
    <t>1204.720500</t>
  </si>
  <si>
    <t>1205.720500</t>
  </si>
  <si>
    <t>1206.720500</t>
  </si>
  <si>
    <t>1204.730200</t>
  </si>
  <si>
    <t>1205.730200</t>
  </si>
  <si>
    <t>1206.730200</t>
  </si>
  <si>
    <t>1204.730300</t>
  </si>
  <si>
    <t>1205.730300</t>
  </si>
  <si>
    <t>1206.730300</t>
  </si>
  <si>
    <t>1204.801110</t>
  </si>
  <si>
    <t>1205.801110</t>
  </si>
  <si>
    <t>1206.801110</t>
  </si>
  <si>
    <t>1204.801120</t>
  </si>
  <si>
    <t>1205.801120</t>
  </si>
  <si>
    <t>1206.801120</t>
  </si>
  <si>
    <t>1204.802120</t>
  </si>
  <si>
    <t>1205.802120</t>
  </si>
  <si>
    <t>1206.802120</t>
  </si>
  <si>
    <t>1204.802140</t>
  </si>
  <si>
    <t>1205.802140</t>
  </si>
  <si>
    <t>1206.802140</t>
  </si>
  <si>
    <t>1204.805120</t>
  </si>
  <si>
    <t>1205.805120</t>
  </si>
  <si>
    <t>1206.805120</t>
  </si>
  <si>
    <t>1204.807100</t>
  </si>
  <si>
    <t>1205.807100</t>
  </si>
  <si>
    <t>1206.807100</t>
  </si>
  <si>
    <t>1204.808100</t>
  </si>
  <si>
    <t>1205.808100</t>
  </si>
  <si>
    <t>1206.808100</t>
  </si>
  <si>
    <t>1204.809100</t>
  </si>
  <si>
    <t>1205.809100</t>
  </si>
  <si>
    <t>1206.809100</t>
  </si>
  <si>
    <t>1204.810110</t>
  </si>
  <si>
    <t>1205.810110</t>
  </si>
  <si>
    <t>1206.810110</t>
  </si>
  <si>
    <t>1201.810120</t>
  </si>
  <si>
    <t>1204.810120</t>
  </si>
  <si>
    <t>1205.810120</t>
  </si>
  <si>
    <t>1206.810120</t>
  </si>
  <si>
    <t>1201.810130</t>
  </si>
  <si>
    <t>1204.810130</t>
  </si>
  <si>
    <t>1205.810130</t>
  </si>
  <si>
    <t>1206.810130</t>
  </si>
  <si>
    <t>1204.812100</t>
  </si>
  <si>
    <t>1205.812100</t>
  </si>
  <si>
    <t>1206.812100</t>
  </si>
  <si>
    <t>ENTERTAINMENT</t>
  </si>
  <si>
    <t>1204.813100</t>
  </si>
  <si>
    <t>1205.813100</t>
  </si>
  <si>
    <t>1206.813100</t>
  </si>
  <si>
    <t>1204.814110</t>
  </si>
  <si>
    <t>1205.814110</t>
  </si>
  <si>
    <t>1206.814110</t>
  </si>
  <si>
    <t>1204.815110</t>
  </si>
  <si>
    <t>1205.815110</t>
  </si>
  <si>
    <t>1206.815110</t>
  </si>
  <si>
    <t>1204.815120</t>
  </si>
  <si>
    <t>1205.815120</t>
  </si>
  <si>
    <t>1206.815120</t>
  </si>
  <si>
    <t>1204.816110</t>
  </si>
  <si>
    <t>1205.816110</t>
  </si>
  <si>
    <t>1206.816110</t>
  </si>
  <si>
    <t>1204.816120</t>
  </si>
  <si>
    <t>1205.816120</t>
  </si>
  <si>
    <t>1206.816120</t>
  </si>
  <si>
    <t>1204.816130</t>
  </si>
  <si>
    <t>1205.816130</t>
  </si>
  <si>
    <t>1206.816130</t>
  </si>
  <si>
    <t>1204.911000</t>
  </si>
  <si>
    <t>1205.911000</t>
  </si>
  <si>
    <t>1206.911000</t>
  </si>
  <si>
    <t>1204.910100</t>
  </si>
  <si>
    <t>1205.910100</t>
  </si>
  <si>
    <t>1206.910100</t>
  </si>
  <si>
    <t>1204.920600</t>
  </si>
  <si>
    <t>1205.920600</t>
  </si>
  <si>
    <t>1206.920600</t>
  </si>
  <si>
    <t>TAXES</t>
  </si>
  <si>
    <t>1204.920700</t>
  </si>
  <si>
    <t>1205.920700</t>
  </si>
  <si>
    <t>1206.920700</t>
  </si>
  <si>
    <t>1204.920120</t>
  </si>
  <si>
    <t>1205.920120</t>
  </si>
  <si>
    <t>1206.920120</t>
  </si>
  <si>
    <t>1204.920410</t>
  </si>
  <si>
    <t>1205.920410</t>
  </si>
  <si>
    <t>1206.920410</t>
  </si>
  <si>
    <t>Gakepake</t>
  </si>
  <si>
    <t>PlanBudget</t>
  </si>
  <si>
    <t>Tanggalsekarang</t>
  </si>
  <si>
    <t>Tanggalawalbulan</t>
  </si>
  <si>
    <t>LABORCOST</t>
  </si>
  <si>
    <t>kuncibuatidentitasfilter</t>
  </si>
  <si>
    <t>NoAccount</t>
  </si>
  <si>
    <t>kuncifilter</t>
  </si>
  <si>
    <t>FAREALLOWANCE</t>
  </si>
  <si>
    <t>FREIGHTIN</t>
  </si>
  <si>
    <t>OTHERPRODUCTIONCOST</t>
  </si>
  <si>
    <t>SAMPLEEXPENSES</t>
  </si>
  <si>
    <t>OFFICERSALARIES</t>
  </si>
  <si>
    <t>CONTRIBUTIONCOST</t>
  </si>
  <si>
    <t>FUELFORMOTORVEHICLE</t>
  </si>
  <si>
    <t>LEGALEXPENSES</t>
  </si>
  <si>
    <t>OFFICESUPPLIESEXPENSES</t>
  </si>
  <si>
    <t>BANKCHARGES</t>
  </si>
  <si>
    <t>Tanggalakhirbulan</t>
  </si>
  <si>
    <t>Prosesseharisebelumnya</t>
  </si>
  <si>
    <t>MEDICALALLOWANCE</t>
  </si>
  <si>
    <t>MONTH:</t>
  </si>
  <si>
    <t>YEAR:</t>
  </si>
  <si>
    <t>FREIGHTEXPENSES</t>
  </si>
  <si>
    <t>VENDOREXPENSES</t>
  </si>
  <si>
    <t>MAINT.&amp;REP.BUILDING</t>
  </si>
  <si>
    <t>MAINT.&amp;REP.MACHINERIE</t>
  </si>
  <si>
    <t>MAINT.&amp;REP.PLANTEQUI</t>
  </si>
  <si>
    <t>MAINT.&amp;REP.WATERINSTL.</t>
  </si>
  <si>
    <t>MAINT.&amp;REP.GEN&amp;BOILER</t>
  </si>
  <si>
    <t>MAINT.&amp;REP.MOTORVEHICLE</t>
  </si>
  <si>
    <t>MAINT.&amp;REP.ELECTRICITY</t>
  </si>
  <si>
    <t>INSURANCEEXP.OFBUILD.&amp;</t>
  </si>
  <si>
    <t>RENTEXPENSES</t>
  </si>
  <si>
    <t>TRUCKINGEXPENSES</t>
  </si>
  <si>
    <t>EXPEDITION/SEAFREIGHT</t>
  </si>
  <si>
    <t>AIRFREIGHT</t>
  </si>
  <si>
    <t>SALESCOMMISSION</t>
  </si>
  <si>
    <t>FABRICTESTEDCHARGES</t>
  </si>
  <si>
    <t>TELEPHONEEXPENSES</t>
  </si>
  <si>
    <t>INTERNETEXPENSES</t>
  </si>
  <si>
    <t>PREMIUMCOST</t>
  </si>
  <si>
    <t>MAINT.OFFICEEQUIP.</t>
  </si>
  <si>
    <t>MAINT.MOTORVEHICLE</t>
  </si>
  <si>
    <t>MAINTENANCEHOUSE</t>
  </si>
  <si>
    <t>BUSINESSTRIPEXPENSES</t>
  </si>
  <si>
    <t>TRAININGBYEMPLOYEE</t>
  </si>
  <si>
    <t>RENTEXPENSESBUILDING</t>
  </si>
  <si>
    <t>RENTEXPENSESLAND</t>
  </si>
  <si>
    <t>INSURANCEEXPENSES</t>
  </si>
  <si>
    <t>ACCOUNTING&amp;TAXADVISORYEXP.</t>
  </si>
  <si>
    <t>AMENDS/CLAIMSREVENUE</t>
  </si>
  <si>
    <t>INTERESTINCOME</t>
  </si>
  <si>
    <t>WASTE&amp;SCRAPCOST</t>
  </si>
  <si>
    <t>INTERESTEXPOFDOMESTIC</t>
  </si>
  <si>
    <t>1201.630300</t>
  </si>
  <si>
    <t>1201.631110</t>
  </si>
  <si>
    <t>1201.631140</t>
  </si>
  <si>
    <t>1201.631150</t>
  </si>
  <si>
    <t>1201.631180</t>
  </si>
  <si>
    <t>1204.630300</t>
  </si>
  <si>
    <t>1204.631110</t>
  </si>
  <si>
    <t>1204.631140</t>
  </si>
  <si>
    <t>1204.631150</t>
  </si>
  <si>
    <t>1204.631180</t>
  </si>
  <si>
    <t>1205.630300</t>
  </si>
  <si>
    <t>1205.631110</t>
  </si>
  <si>
    <t>1205.631140</t>
  </si>
  <si>
    <t>1205.631150</t>
  </si>
  <si>
    <t>1205.631180</t>
  </si>
  <si>
    <t>1206.630300</t>
  </si>
  <si>
    <t>1206.631110</t>
  </si>
  <si>
    <t>1206.631140</t>
  </si>
  <si>
    <t>1206.631150</t>
  </si>
  <si>
    <t>1206.631180</t>
  </si>
  <si>
    <t>1201.801140</t>
  </si>
  <si>
    <t>-</t>
  </si>
  <si>
    <t>No Account</t>
  </si>
  <si>
    <t>Branch</t>
  </si>
  <si>
    <t>Start</t>
  </si>
  <si>
    <t>To Date</t>
  </si>
  <si>
    <t>Total</t>
  </si>
  <si>
    <t>1201</t>
  </si>
  <si>
    <t>1204</t>
  </si>
  <si>
    <t>1205</t>
  </si>
  <si>
    <t>1206</t>
  </si>
  <si>
    <t>OV</t>
  </si>
  <si>
    <t>PO Receiving</t>
  </si>
  <si>
    <t xml:space="preserve"> CV. KARUNIA ABADI</t>
  </si>
  <si>
    <t>P</t>
  </si>
  <si>
    <t xml:space="preserve"> </t>
  </si>
  <si>
    <t>IDR</t>
  </si>
  <si>
    <t>AA</t>
  </si>
  <si>
    <t>General Ledger</t>
  </si>
  <si>
    <t>O</t>
  </si>
  <si>
    <t>PO/Contract Entries</t>
  </si>
  <si>
    <t>YULI.H@MJL</t>
  </si>
  <si>
    <t>JDE</t>
  </si>
  <si>
    <t xml:space="preserve">            </t>
  </si>
  <si>
    <t>KABEL DUCT UKURAN 5X5 CM</t>
  </si>
  <si>
    <t xml:space="preserve">   .</t>
  </si>
  <si>
    <t>II</t>
  </si>
  <si>
    <t>Inventory Issue</t>
  </si>
  <si>
    <t>PEMAKAIAN SPAREPART</t>
  </si>
  <si>
    <t>USD</t>
  </si>
  <si>
    <t>N</t>
  </si>
  <si>
    <t>Inventory</t>
  </si>
  <si>
    <t>PEMAKAIAN KIMIA</t>
  </si>
  <si>
    <t xml:space="preserve"> PEMAKAIAN JARUM GM2</t>
  </si>
  <si>
    <t>IROSIDAH</t>
  </si>
  <si>
    <t>KERTAS ALAS</t>
  </si>
  <si>
    <t>DIAH@MJL</t>
  </si>
  <si>
    <t>KERTAS MARKER UK. 168 CM</t>
  </si>
  <si>
    <t>PLASTIK HDPE UK. 250 CM</t>
  </si>
  <si>
    <t>STICKER NUMBERING BIASA</t>
  </si>
  <si>
    <t>LAKBAN BENING</t>
  </si>
  <si>
    <t>CV MULIA GRAFIKA</t>
  </si>
  <si>
    <t>RISTHIA</t>
  </si>
  <si>
    <t>BOX - TRUNK SYNTHETIC LP 10414</t>
  </si>
  <si>
    <t>UP CYCLED PLASTIC CLIP LP 7986</t>
  </si>
  <si>
    <t>PT. KEMAS SARANA MULTIGUNA</t>
  </si>
  <si>
    <t>CTN BOX 48.26X48.26X35.56 CM</t>
  </si>
  <si>
    <t>SWATI</t>
  </si>
  <si>
    <t>SELANG TOYOK</t>
  </si>
  <si>
    <t>SALYA</t>
  </si>
  <si>
    <t>PEMAKAIAN CUTTING</t>
  </si>
  <si>
    <t>CV. ASIA PRINT MAKLOON</t>
  </si>
  <si>
    <t>INUR@MJL</t>
  </si>
  <si>
    <t>HANCA</t>
  </si>
  <si>
    <t>PV</t>
  </si>
  <si>
    <t>Voucher</t>
  </si>
  <si>
    <t>PT ARJUNA WIJAYA PERKASA</t>
  </si>
  <si>
    <t>V</t>
  </si>
  <si>
    <t>Voucher Entry</t>
  </si>
  <si>
    <t>2024/1/0006</t>
  </si>
  <si>
    <t>ALFRIEDA</t>
  </si>
  <si>
    <t>PANTS</t>
  </si>
  <si>
    <t>ANNISA NURHASANAH / RIZKY CHRI</t>
  </si>
  <si>
    <t>INV-CA/01-2024/0001</t>
  </si>
  <si>
    <t>Tshirt Short Sleeve â€“ VIC1</t>
  </si>
  <si>
    <t>INV-CA/01-2024/0002</t>
  </si>
  <si>
    <t>PT.KMDI CONTAINER DEPOT</t>
  </si>
  <si>
    <t>NR094/EXP/KIDIA/XII/23</t>
  </si>
  <si>
    <t>LOLO FEE</t>
  </si>
  <si>
    <t>JAKARTA INTERNATIONAL CONTAINE</t>
  </si>
  <si>
    <t>NR007/EXP/KIDIA/I/2024</t>
  </si>
  <si>
    <t>PT. PQC NESIA SENTRAL</t>
  </si>
  <si>
    <t>PQCNS/GGII/2023/12</t>
  </si>
  <si>
    <t>NISHIMATSUYA, ASAHICHO</t>
  </si>
  <si>
    <t>I$</t>
  </si>
  <si>
    <t>Inventory Issue- Sample (expd)</t>
  </si>
  <si>
    <t>ADIDAS COCSO PENGGANTI RIJEK</t>
  </si>
  <si>
    <t>IKA_K</t>
  </si>
  <si>
    <t>SHAOXING YMYSI IMP. &amp; EXP. CO.</t>
  </si>
  <si>
    <t>YM20240131A</t>
  </si>
  <si>
    <t>SAMPLE COST FOR MOTHER CARE</t>
  </si>
  <si>
    <t>PT.KIDIA</t>
  </si>
  <si>
    <t>094/EXP/KIDIA/XII/23</t>
  </si>
  <si>
    <t>CONT COCOS INV 0851, INV 0865</t>
  </si>
  <si>
    <t>PT. MAJU DEPO LOGISTIK</t>
  </si>
  <si>
    <t>TERMINAL PETIKEMAS KOJA TPK.</t>
  </si>
  <si>
    <t>SEGARA PACIFIC MAJU, PT</t>
  </si>
  <si>
    <t>MASAJI TATANAN CONTAINER, PT</t>
  </si>
  <si>
    <t>PT. GFC INDONESIA TERMINAL</t>
  </si>
  <si>
    <t>HERONA EXPRESS</t>
  </si>
  <si>
    <t>E.1915/HEBDG/LN/12/2023</t>
  </si>
  <si>
    <t>BIAYA KIRIM</t>
  </si>
  <si>
    <t>007/EXP/KIDIA/I/2024</t>
  </si>
  <si>
    <t>CONT INV 0009 KAZEN, 0017 COCO</t>
  </si>
  <si>
    <t>PT.BUNGA PLUM LOGISTIK</t>
  </si>
  <si>
    <t>PT.BSA LOGISTICS INDONESIA</t>
  </si>
  <si>
    <t>PT.HONOUR LANE SHIPPING</t>
  </si>
  <si>
    <t>SEJK2401A0074C01</t>
  </si>
  <si>
    <t>ADIDAS INV 0032 QTY 396236 PCS</t>
  </si>
  <si>
    <t>STAMP</t>
  </si>
  <si>
    <t>EXPEDITORS INDONESIA, PT.</t>
  </si>
  <si>
    <t>E832250835</t>
  </si>
  <si>
    <t>RPA</t>
  </si>
  <si>
    <t>H&amp;M INV 0020 QTY 215 PCS, 0,12</t>
  </si>
  <si>
    <t>E832250836</t>
  </si>
  <si>
    <t>H&amp;M INV 0023 QTY 115 PCS, 0,07</t>
  </si>
  <si>
    <t>E832251007</t>
  </si>
  <si>
    <t>H&amp;M INV 0021 QTY 805 PCS, 0,41</t>
  </si>
  <si>
    <t>E832252064</t>
  </si>
  <si>
    <t>H&amp;M INV 0019 QTY 450 PCS, 0,24</t>
  </si>
  <si>
    <t>E832252625</t>
  </si>
  <si>
    <t>H&amp;M INV 0022 QTY 760 PCS, 0,40</t>
  </si>
  <si>
    <t>E832252624</t>
  </si>
  <si>
    <t>H&amp;M INV 0018 QTY 30 PCS, 0,035</t>
  </si>
  <si>
    <t>PT.BAHTERA SATRIA ADHIDAYA TRA</t>
  </si>
  <si>
    <t>PT. PUNINAR YUSEN LOGISTICS IN</t>
  </si>
  <si>
    <t>LIFT ON DEPO INV 0032</t>
  </si>
  <si>
    <t>LIFT OFF,VGM,KARTU PASS,PENUMP</t>
  </si>
  <si>
    <t>SRI  NARTI  HARDANI</t>
  </si>
  <si>
    <t>002/SNGX/I/2024</t>
  </si>
  <si>
    <t>PEMBAYARAN KOMISI</t>
  </si>
  <si>
    <t>TOKO BUKU AA JATINANGOR</t>
  </si>
  <si>
    <t>YUYUN.YH</t>
  </si>
  <si>
    <t>MAP BIOLA KUNING</t>
  </si>
  <si>
    <t>SHOPEE</t>
  </si>
  <si>
    <t>REFIL SPIDOL PERMANEN</t>
  </si>
  <si>
    <t>TOKOPEDIA</t>
  </si>
  <si>
    <t>KABEL HDMI MALE TO MALE 10 M</t>
  </si>
  <si>
    <t>TALI RAPIA MERAH</t>
  </si>
  <si>
    <t>CATRIDGE BACKUP HP P1566 CE278</t>
  </si>
  <si>
    <t>Do Ty</t>
  </si>
  <si>
    <t>Document Type</t>
  </si>
  <si>
    <t>Doc Number</t>
  </si>
  <si>
    <t>Doc Co</t>
  </si>
  <si>
    <t>G/L Date</t>
  </si>
  <si>
    <t>Explanation</t>
  </si>
  <si>
    <t>LT 1 Amount</t>
  </si>
  <si>
    <t>LT 1 Debit</t>
  </si>
  <si>
    <t>P C</t>
  </si>
  <si>
    <t>LT2 PC</t>
  </si>
  <si>
    <t>LT 1 Credit</t>
  </si>
  <si>
    <t>LT 2 Debit</t>
  </si>
  <si>
    <t>LT 2 Credit</t>
  </si>
  <si>
    <t>LT 2 Amount</t>
  </si>
  <si>
    <t>Sub Type</t>
  </si>
  <si>
    <t>Sub ledger Type</t>
  </si>
  <si>
    <t>Sub- ledger</t>
  </si>
  <si>
    <t>Cur Cod</t>
  </si>
  <si>
    <t>Exchange Rate</t>
  </si>
  <si>
    <t>LT</t>
  </si>
  <si>
    <t>Ledger Type</t>
  </si>
  <si>
    <t>Bth Ty</t>
  </si>
  <si>
    <t>Batch Type</t>
  </si>
  <si>
    <t>Batch Number</t>
  </si>
  <si>
    <t>Batch Date</t>
  </si>
  <si>
    <t>Line Extension</t>
  </si>
  <si>
    <t>JE Line Number</t>
  </si>
  <si>
    <t>R ND</t>
  </si>
  <si>
    <t>Reconciled Code</t>
  </si>
  <si>
    <t>Reference 1</t>
  </si>
  <si>
    <t>Reference 2</t>
  </si>
  <si>
    <t>Reference 3</t>
  </si>
  <si>
    <t>Units</t>
  </si>
  <si>
    <t>UM</t>
  </si>
  <si>
    <t>Address Number</t>
  </si>
  <si>
    <t>Address Number Desc</t>
  </si>
  <si>
    <t>Check Cleared</t>
  </si>
  <si>
    <t>Invoice Number</t>
  </si>
  <si>
    <t>Service/ Tax Date</t>
  </si>
  <si>
    <t>Transaction Originator</t>
  </si>
  <si>
    <t>User ID</t>
  </si>
  <si>
    <t>Business Unit</t>
  </si>
  <si>
    <t>Home Business Unit</t>
  </si>
  <si>
    <t>Explanation -Remark-</t>
  </si>
  <si>
    <t>Historical Rate</t>
  </si>
  <si>
    <t>Historical Date</t>
  </si>
  <si>
    <t>Pha se</t>
  </si>
  <si>
    <t>Categories Work Order 01</t>
  </si>
  <si>
    <t>Asset Number</t>
  </si>
  <si>
    <t>Purchase Order</t>
  </si>
  <si>
    <t>Obj Acct</t>
  </si>
  <si>
    <t>AccountNumber</t>
  </si>
  <si>
    <t>Daily Monitoring Account Ledger</t>
  </si>
  <si>
    <t>NO</t>
  </si>
  <si>
    <t>NO ACCOUNT</t>
  </si>
  <si>
    <t>ACCOUNT DESCRIPTION</t>
  </si>
  <si>
    <t>PLAN BUDGET</t>
  </si>
  <si>
    <t>ACTUAL BUDGET</t>
  </si>
  <si>
    <t>Actual</t>
  </si>
  <si>
    <t>Balance</t>
  </si>
  <si>
    <t>TOTAL</t>
  </si>
  <si>
    <t>RESUME OVER BUDGET</t>
  </si>
  <si>
    <t>RESTU BUNDA CATERING</t>
  </si>
  <si>
    <t>TARMILAH</t>
  </si>
  <si>
    <t>MAKAN OP PRODUKSI</t>
  </si>
  <si>
    <t>NIA HERNI CAHNIAWATI (KANTIN I</t>
  </si>
  <si>
    <t>UANG MAKAN LBR MAJA</t>
  </si>
  <si>
    <t>MAKAN LEMBUR MAJA 24,26 &amp; 29-1</t>
  </si>
  <si>
    <t>RININGSIH (KANTIN IBU DEDE)</t>
  </si>
  <si>
    <t>MAKAN LEMBUR MAJA 25 &amp; 27 -01</t>
  </si>
  <si>
    <t>BARANG UMUM U/IT RPA</t>
  </si>
  <si>
    <t>BARANG UMUM U/MD &amp;PURCH</t>
  </si>
  <si>
    <t>SRI.G@MJL</t>
  </si>
  <si>
    <t>KERTAS KRAFT (ALAS) UK. 168CM</t>
  </si>
  <si>
    <t>KERTAS MARKER UK. 168</t>
  </si>
  <si>
    <t>KERTAS MARKER UK. 200 CM</t>
  </si>
  <si>
    <t>PEMAKAIAN JARUM KALIBENDA</t>
  </si>
  <si>
    <t>DELLA_F</t>
  </si>
  <si>
    <t>PEMAKAIAN TERMOPAPER KALIBENDA</t>
  </si>
  <si>
    <t>PEMAKAIAN KAPUR KELINCI</t>
  </si>
  <si>
    <t>RISA_NF</t>
  </si>
  <si>
    <t>PEMAKAIAN NASHUA</t>
  </si>
  <si>
    <t>PEMAKAIAN DOUBLE TAPE</t>
  </si>
  <si>
    <t>PEMAKAIAN LAKBAN</t>
  </si>
  <si>
    <t>GISTEX , PT.</t>
  </si>
  <si>
    <t>RPA11</t>
  </si>
  <si>
    <t>LONG PANTS</t>
  </si>
  <si>
    <t>CV.CAHAYA LESTARI</t>
  </si>
  <si>
    <t>VENDOR EXPENSES</t>
  </si>
  <si>
    <t>DIAN</t>
  </si>
  <si>
    <t>UPAH HARIAN PU 26-01 SD 04-02</t>
  </si>
  <si>
    <t>CV. TIGA SAMPURNA</t>
  </si>
  <si>
    <t>SERVICE KOMPRESSOR ASD 50</t>
  </si>
  <si>
    <t>SAMPLE KAZEN</t>
  </si>
  <si>
    <t>EJAUJIAH</t>
  </si>
  <si>
    <t>SAMPLE ADIDAS</t>
  </si>
  <si>
    <t>SAMPLE HEXAPOLE</t>
  </si>
  <si>
    <t>SAMPLE MIYAMORY</t>
  </si>
  <si>
    <t>Fabric sample</t>
  </si>
  <si>
    <t>RISMA_Y</t>
  </si>
  <si>
    <t>fabric sample</t>
  </si>
  <si>
    <t>OJAT GANDA BUDIMAN</t>
  </si>
  <si>
    <t>BERAS MESS</t>
  </si>
  <si>
    <t>BERAS MAKAN DI MESS</t>
  </si>
  <si>
    <t>MAKAN STAFF PRODUKSI</t>
  </si>
  <si>
    <t>MAKAN STAF MESS</t>
  </si>
  <si>
    <t>MAKAN STAFF DI MESS 15 SD 31-1</t>
  </si>
  <si>
    <t>CV MISUTAMA</t>
  </si>
  <si>
    <t>BENSIN CLN 22 - 01 SD 26 -01</t>
  </si>
  <si>
    <t>SPBU HILDA DAHRIANA</t>
  </si>
  <si>
    <t>BENSIN MAJA</t>
  </si>
  <si>
    <t>BENSIN MAJA 15,23 SD 29 JAN</t>
  </si>
  <si>
    <t>BAROKAH JAYA TEKNIK</t>
  </si>
  <si>
    <t>SERVICE AC RUANG MEKANIK DAN</t>
  </si>
  <si>
    <t>SERVICE BLOWER RUANG ATM GM1</t>
  </si>
  <si>
    <t>DINAS SUPIR CASH</t>
  </si>
  <si>
    <t>DINAS CASH SUPIR</t>
  </si>
  <si>
    <t>DINAS CASH SUPIR 26 -01SD04-2</t>
  </si>
  <si>
    <t>HOTEL HORISON ULTIMA KERTAJATI</t>
  </si>
  <si>
    <t>IV-00002853</t>
  </si>
  <si>
    <t>ZHANG MIN, MS</t>
  </si>
  <si>
    <t>UANG MAKAN LEMBUR MAJA</t>
  </si>
  <si>
    <t>PPH</t>
  </si>
  <si>
    <t>SUNARTI</t>
  </si>
  <si>
    <t>PEMAKAIAN SPARE PART</t>
  </si>
  <si>
    <t>PEMAKAIAN JARUM</t>
  </si>
  <si>
    <t>TAN INDRA PINATA</t>
  </si>
  <si>
    <t>BUSA VACUM TABLE TEBAL 1,5 CM</t>
  </si>
  <si>
    <t>PEMAKAIAN JARUM GM2</t>
  </si>
  <si>
    <t>PEMAKAIAN JARUM GM 1</t>
  </si>
  <si>
    <t>IHIDAYAH</t>
  </si>
  <si>
    <t>LAKBAN</t>
  </si>
  <si>
    <t>AOS KOMARUDIN</t>
  </si>
  <si>
    <t>SERVICE CONTROL BOX L KANCING</t>
  </si>
  <si>
    <t>SAMPLE FABRIC</t>
  </si>
  <si>
    <t>PT. MULTISARANA BAHTERAMANDIRI</t>
  </si>
  <si>
    <t>1IN240100755</t>
  </si>
  <si>
    <t>NISHIMATSUYA INV 0030</t>
  </si>
  <si>
    <t>1IN240100757</t>
  </si>
  <si>
    <t>NISHIMATSUYA INV 0029</t>
  </si>
  <si>
    <t>NISHIMATSUYA INV 0029 STAMP</t>
  </si>
  <si>
    <t>1IN240100759</t>
  </si>
  <si>
    <t>NISHIMATSUYA INV 0028</t>
  </si>
  <si>
    <t>NISHIMATSUYA INV 0028 STAMP</t>
  </si>
  <si>
    <t>PT. BERCA HARDAYA PERKASA JAKA</t>
  </si>
  <si>
    <t>RISWANTI</t>
  </si>
  <si>
    <t>SUPPORT SERVICE  PT. BERCA HAR</t>
  </si>
  <si>
    <t>Account Ledger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</si>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</sst>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$-409]#,##0;[Red][$$-409]#,##0"/>
    <numFmt numFmtId="165" formatCode="[$$-409]#,##0;[Red]&quot;-&quot;[$$-409]#,##0"/>
    <numFmt numFmtId="166" formatCode="&quot;$&quot;#,##0;[Red]&quot;$&quot;#,##0"/>
    <numFmt numFmtId="167" formatCode="0.000000"/>
    <numFmt numFmtId="168" formatCode="_-[$$-409]* #,##0.00_ ;_-[$$-409]* \-#,##0.00\ ;_-[$$-409]* &quot;-&quot;??_ ;_-@_ "/>
    <numFmt numFmtId="169" formatCode="_(&quot;$&quot;* #,##0_);_(&quot;$&quot;* \(#,##0\);_(&quot;$&quot;* &quot;-&quot;??_);_(@_)"/>
    <numFmt numFmtId="170" formatCode="&quot;$&quot;#,##0"/>
  </numFmts>
  <fonts count="1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2"/>
      <name val="Abadi MT Condensed Light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sz val="10"/>
      <name val="Lucida Sans Unicode"/>
      <family val="2"/>
    </font>
    <font>
      <i/>
      <sz val="8"/>
      <color rgb="FF454545"/>
      <name val="Arial"/>
      <family val="2"/>
    </font>
    <font>
      <b/>
      <i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5117038483843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103">
    <xf numFmtId="0" fontId="0" fillId="0" borderId="0" xfId="0"/>
    <xf numFmtId="0" fontId="2" fillId="0" borderId="0" xfId="0" applyFont="1" applyAlignment="1">
      <alignment horizontal="center" vertical="center"/>
    </xf>
    <xf numFmtId="14" fontId="0" fillId="0" borderId="0" xfId="0" applyNumberFormat="1"/>
    <xf numFmtId="49" fontId="2" fillId="0" borderId="0" xfId="1" quotePrefix="1" applyNumberFormat="1" applyFont="1" applyAlignment="1">
      <alignment horizontal="left"/>
    </xf>
    <xf numFmtId="49" fontId="4" fillId="0" borderId="0" xfId="0" applyNumberFormat="1" applyFont="1" applyAlignment="1">
      <alignment vertical="center"/>
    </xf>
    <xf numFmtId="2" fontId="0" fillId="0" borderId="0" xfId="0" applyNumberFormat="1"/>
    <xf numFmtId="0" fontId="5" fillId="2" borderId="1" xfId="0" applyFont="1" applyFill="1" applyBorder="1" applyAlignment="1">
      <alignment horizontal="center" vertical="center"/>
    </xf>
    <xf numFmtId="164" fontId="0" fillId="0" borderId="0" xfId="0" applyNumberFormat="1"/>
    <xf numFmtId="0" fontId="2" fillId="0" borderId="1" xfId="0" applyFont="1" applyBorder="1" applyAlignment="1">
      <alignment horizontal="center" vertical="center"/>
    </xf>
    <xf numFmtId="49" fontId="2" fillId="4" borderId="1" xfId="0" applyNumberFormat="1" applyFon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 wrapText="1"/>
    </xf>
    <xf numFmtId="49" fontId="4" fillId="0" borderId="0" xfId="0" applyNumberFormat="1" applyFont="1"/>
    <xf numFmtId="49" fontId="2" fillId="5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6" fillId="0" borderId="0" xfId="1" quotePrefix="1" applyFont="1" applyAlignment="1">
      <alignment horizontal="left"/>
    </xf>
    <xf numFmtId="0" fontId="7" fillId="0" borderId="0" xfId="0" applyFont="1" applyAlignment="1">
      <alignment vertical="center"/>
    </xf>
    <xf numFmtId="166" fontId="0" fillId="0" borderId="0" xfId="0" applyNumberFormat="1"/>
    <xf numFmtId="0" fontId="7" fillId="0" borderId="0" xfId="0" applyFont="1"/>
    <xf numFmtId="49" fontId="2" fillId="7" borderId="1" xfId="0" applyNumberFormat="1" applyFont="1" applyFill="1" applyBorder="1" applyAlignment="1">
      <alignment horizontal="center" vertical="center"/>
    </xf>
    <xf numFmtId="0" fontId="1" fillId="0" borderId="0" xfId="0" applyFont="1"/>
    <xf numFmtId="167" fontId="6" fillId="0" borderId="0" xfId="1" quotePrefix="1" applyNumberFormat="1" applyFont="1" applyAlignment="1">
      <alignment horizontal="left"/>
    </xf>
    <xf numFmtId="0" fontId="8" fillId="0" borderId="0" xfId="0" applyFont="1"/>
    <xf numFmtId="0" fontId="0" fillId="0" borderId="0" xfId="0" quotePrefix="1"/>
    <xf numFmtId="168" fontId="0" fillId="0" borderId="0" xfId="0" applyNumberFormat="1"/>
    <xf numFmtId="49" fontId="2" fillId="8" borderId="1" xfId="0" applyNumberFormat="1" applyFont="1" applyFill="1" applyBorder="1" applyAlignment="1">
      <alignment horizontal="center" vertical="center"/>
    </xf>
    <xf numFmtId="49" fontId="2" fillId="9" borderId="1" xfId="0" applyNumberFormat="1" applyFont="1" applyFill="1" applyBorder="1" applyAlignment="1">
      <alignment horizontal="center" vertical="center"/>
    </xf>
    <xf numFmtId="49" fontId="2" fillId="3" borderId="1" xfId="0" applyNumberFormat="1" applyFont="1" applyFill="1" applyBorder="1" applyAlignment="1">
      <alignment horizontal="center" vertical="center"/>
    </xf>
    <xf numFmtId="49" fontId="2" fillId="10" borderId="1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 wrapText="1"/>
    </xf>
    <xf numFmtId="49" fontId="2" fillId="11" borderId="1" xfId="0" applyNumberFormat="1" applyFont="1" applyFill="1" applyBorder="1" applyAlignment="1">
      <alignment horizontal="center" vertical="center"/>
    </xf>
    <xf numFmtId="49" fontId="2" fillId="12" borderId="1" xfId="0" applyNumberFormat="1" applyFont="1" applyFill="1" applyBorder="1" applyAlignment="1">
      <alignment horizontal="center" vertical="center"/>
    </xf>
    <xf numFmtId="49" fontId="2" fillId="13" borderId="1" xfId="0" applyNumberFormat="1" applyFont="1" applyFill="1" applyBorder="1" applyAlignment="1">
      <alignment horizontal="center" vertical="center"/>
    </xf>
    <xf numFmtId="49" fontId="2" fillId="14" borderId="1" xfId="0" applyNumberFormat="1" applyFont="1" applyFill="1" applyBorder="1" applyAlignment="1">
      <alignment horizontal="center" vertical="center"/>
    </xf>
    <xf numFmtId="49" fontId="2" fillId="15" borderId="1" xfId="0" applyNumberFormat="1" applyFont="1" applyFill="1" applyBorder="1" applyAlignment="1">
      <alignment horizontal="center" vertical="center"/>
    </xf>
    <xf numFmtId="49" fontId="2" fillId="6" borderId="1" xfId="0" applyNumberFormat="1" applyFont="1" applyFill="1" applyBorder="1" applyAlignment="1">
      <alignment horizontal="center" vertical="center"/>
    </xf>
    <xf numFmtId="49" fontId="2" fillId="16" borderId="1" xfId="0" applyNumberFormat="1" applyFont="1" applyFill="1" applyBorder="1" applyAlignment="1">
      <alignment horizontal="center" vertical="center"/>
    </xf>
    <xf numFmtId="49" fontId="2" fillId="17" borderId="1" xfId="0" applyNumberFormat="1" applyFont="1" applyFill="1" applyBorder="1" applyAlignment="1">
      <alignment horizontal="center" vertical="center"/>
    </xf>
    <xf numFmtId="49" fontId="2" fillId="18" borderId="1" xfId="0" applyNumberFormat="1" applyFont="1" applyFill="1" applyBorder="1" applyAlignment="1">
      <alignment horizontal="center" vertical="center"/>
    </xf>
    <xf numFmtId="49" fontId="2" fillId="19" borderId="1" xfId="0" applyNumberFormat="1" applyFont="1" applyFill="1" applyBorder="1" applyAlignment="1">
      <alignment horizontal="center" vertical="center"/>
    </xf>
    <xf numFmtId="49" fontId="2" fillId="20" borderId="1" xfId="0" applyNumberFormat="1" applyFont="1" applyFill="1" applyBorder="1" applyAlignment="1">
      <alignment horizontal="center" vertical="center"/>
    </xf>
    <xf numFmtId="49" fontId="2" fillId="21" borderId="1" xfId="0" applyNumberFormat="1" applyFont="1" applyFill="1" applyBorder="1" applyAlignment="1">
      <alignment horizontal="center" vertical="center"/>
    </xf>
    <xf numFmtId="49" fontId="2" fillId="22" borderId="1" xfId="0" applyNumberFormat="1" applyFont="1" applyFill="1" applyBorder="1" applyAlignment="1">
      <alignment horizontal="center" vertical="center"/>
    </xf>
    <xf numFmtId="49" fontId="2" fillId="23" borderId="1" xfId="0" applyNumberFormat="1" applyFont="1" applyFill="1" applyBorder="1" applyAlignment="1">
      <alignment horizontal="center" vertical="center"/>
    </xf>
    <xf numFmtId="49" fontId="2" fillId="24" borderId="1" xfId="0" applyNumberFormat="1" applyFont="1" applyFill="1" applyBorder="1" applyAlignment="1">
      <alignment horizontal="center" vertical="center"/>
    </xf>
    <xf numFmtId="49" fontId="2" fillId="25" borderId="1" xfId="0" applyNumberFormat="1" applyFont="1" applyFill="1" applyBorder="1" applyAlignment="1">
      <alignment horizontal="center" vertical="center"/>
    </xf>
    <xf numFmtId="49" fontId="2" fillId="26" borderId="1" xfId="0" applyNumberFormat="1" applyFont="1" applyFill="1" applyBorder="1" applyAlignment="1">
      <alignment horizontal="center" vertical="center"/>
    </xf>
    <xf numFmtId="49" fontId="2" fillId="27" borderId="1" xfId="0" applyNumberFormat="1" applyFont="1" applyFill="1" applyBorder="1" applyAlignment="1">
      <alignment horizontal="center" vertical="center"/>
    </xf>
    <xf numFmtId="49" fontId="2" fillId="28" borderId="1" xfId="0" applyNumberFormat="1" applyFont="1" applyFill="1" applyBorder="1" applyAlignment="1">
      <alignment horizontal="center" vertical="center"/>
    </xf>
    <xf numFmtId="0" fontId="0" fillId="3" borderId="3" xfId="0" applyFill="1" applyBorder="1" applyAlignment="1">
      <alignment horizontal="right"/>
    </xf>
    <xf numFmtId="0" fontId="0" fillId="0" borderId="1" xfId="0" applyBorder="1"/>
    <xf numFmtId="0" fontId="0" fillId="3" borderId="4" xfId="0" applyFill="1" applyBorder="1" applyAlignment="1">
      <alignment horizontal="right"/>
    </xf>
    <xf numFmtId="0" fontId="0" fillId="3" borderId="5" xfId="0" applyFill="1" applyBorder="1"/>
    <xf numFmtId="0" fontId="0" fillId="3" borderId="2" xfId="0" applyFill="1" applyBorder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/>
    <xf numFmtId="0" fontId="2" fillId="0" borderId="6" xfId="0" applyFont="1" applyBorder="1" applyAlignment="1">
      <alignment horizontal="center" vertical="center"/>
    </xf>
    <xf numFmtId="169" fontId="2" fillId="0" borderId="6" xfId="0" applyNumberFormat="1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170" fontId="0" fillId="0" borderId="7" xfId="0" applyNumberFormat="1" applyBorder="1" applyAlignment="1">
      <alignment horizontal="center" vertical="center"/>
    </xf>
    <xf numFmtId="4" fontId="0" fillId="0" borderId="0" xfId="0" applyNumberFormat="1"/>
    <xf numFmtId="14" fontId="5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0" fillId="0" borderId="0" xfId="0" applyFont="1"/>
    <xf numFmtId="169" fontId="10" fillId="29" borderId="7" xfId="0" applyNumberFormat="1" applyFont="1" applyFill="1" applyBorder="1" applyAlignment="1">
      <alignment horizontal="center" vertical="center"/>
    </xf>
    <xf numFmtId="169" fontId="10" fillId="0" borderId="7" xfId="0" applyNumberFormat="1" applyFont="1" applyBorder="1" applyAlignment="1">
      <alignment horizontal="center" vertical="center"/>
    </xf>
    <xf numFmtId="169" fontId="9" fillId="0" borderId="7" xfId="0" applyNumberFormat="1" applyFont="1" applyBorder="1" applyAlignment="1">
      <alignment horizontal="center" vertical="center"/>
    </xf>
    <xf numFmtId="0" fontId="9" fillId="0" borderId="0" xfId="0" applyFont="1"/>
    <xf numFmtId="0" fontId="10" fillId="0" borderId="12" xfId="0" applyFont="1" applyBorder="1"/>
    <xf numFmtId="0" fontId="10" fillId="0" borderId="8" xfId="0" applyFont="1" applyBorder="1"/>
    <xf numFmtId="169" fontId="10" fillId="0" borderId="8" xfId="0" applyNumberFormat="1" applyFont="1" applyBorder="1"/>
    <xf numFmtId="169" fontId="10" fillId="0" borderId="9" xfId="0" applyNumberFormat="1" applyFont="1" applyBorder="1"/>
    <xf numFmtId="0" fontId="10" fillId="0" borderId="11" xfId="0" applyFont="1" applyBorder="1"/>
    <xf numFmtId="169" fontId="10" fillId="0" borderId="0" xfId="0" applyNumberFormat="1" applyFont="1"/>
    <xf numFmtId="169" fontId="10" fillId="0" borderId="10" xfId="0" applyNumberFormat="1" applyFont="1" applyBorder="1"/>
    <xf numFmtId="0" fontId="10" fillId="0" borderId="14" xfId="0" applyFont="1" applyBorder="1"/>
    <xf numFmtId="0" fontId="10" fillId="0" borderId="15" xfId="0" applyFont="1" applyBorder="1"/>
    <xf numFmtId="169" fontId="10" fillId="0" borderId="15" xfId="0" applyNumberFormat="1" applyFont="1" applyBorder="1"/>
    <xf numFmtId="169" fontId="10" fillId="0" borderId="16" xfId="0" applyNumberFormat="1" applyFont="1" applyBorder="1"/>
    <xf numFmtId="0" fontId="5" fillId="0" borderId="17" xfId="0" applyFont="1" applyBorder="1" applyAlignment="1">
      <alignment horizontal="center" vertical="center"/>
    </xf>
    <xf numFmtId="169" fontId="10" fillId="0" borderId="17" xfId="0" applyNumberFormat="1" applyFont="1" applyBorder="1" applyAlignment="1">
      <alignment horizontal="center" vertical="center"/>
    </xf>
    <xf numFmtId="169" fontId="10" fillId="0" borderId="18" xfId="0" applyNumberFormat="1" applyFont="1" applyBorder="1" applyAlignment="1">
      <alignment horizontal="center" vertical="center"/>
    </xf>
    <xf numFmtId="169" fontId="10" fillId="0" borderId="19" xfId="0" applyNumberFormat="1" applyFont="1" applyBorder="1" applyAlignment="1">
      <alignment horizontal="center" vertical="center"/>
    </xf>
    <xf numFmtId="169" fontId="10" fillId="29" borderId="17" xfId="0" applyNumberFormat="1" applyFont="1" applyFill="1" applyBorder="1" applyAlignment="1">
      <alignment horizontal="center" vertical="center"/>
    </xf>
    <xf numFmtId="169" fontId="10" fillId="29" borderId="18" xfId="0" applyNumberFormat="1" applyFont="1" applyFill="1" applyBorder="1" applyAlignment="1">
      <alignment horizontal="center" vertical="center"/>
    </xf>
    <xf numFmtId="169" fontId="10" fillId="29" borderId="19" xfId="0" applyNumberFormat="1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169" fontId="2" fillId="0" borderId="6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169" fontId="10" fillId="0" borderId="17" xfId="0" applyNumberFormat="1" applyFont="1" applyBorder="1" applyAlignment="1">
      <alignment horizontal="center" vertical="center"/>
    </xf>
    <xf numFmtId="169" fontId="10" fillId="0" borderId="18" xfId="0" applyNumberFormat="1" applyFont="1" applyBorder="1" applyAlignment="1">
      <alignment horizontal="center" vertical="center"/>
    </xf>
    <xf numFmtId="169" fontId="10" fillId="0" borderId="19" xfId="0" applyNumberFormat="1" applyFont="1" applyBorder="1" applyAlignment="1">
      <alignment horizontal="center" vertical="center"/>
    </xf>
    <xf numFmtId="169" fontId="10" fillId="29" borderId="17" xfId="0" applyNumberFormat="1" applyFont="1" applyFill="1" applyBorder="1" applyAlignment="1">
      <alignment horizontal="center" vertical="center"/>
    </xf>
    <xf numFmtId="169" fontId="10" fillId="29" borderId="18" xfId="0" applyNumberFormat="1" applyFont="1" applyFill="1" applyBorder="1" applyAlignment="1">
      <alignment horizontal="center" vertical="center"/>
    </xf>
    <xf numFmtId="169" fontId="10" fillId="29" borderId="19" xfId="0" applyNumberFormat="1" applyFont="1" applyFill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</cellXfs>
  <cellStyles count="2">
    <cellStyle name="Normal" xfId="0" builtinId="0"/>
    <cellStyle name="Normal_COSTU-05" xfId="1" xr:uid="{E4AE1FB3-9A28-4C87-BD9B-FAF2A0954E44}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79561</xdr:colOff>
      <xdr:row>10</xdr:row>
      <xdr:rowOff>170890</xdr:rowOff>
    </xdr:from>
    <xdr:to>
      <xdr:col>2</xdr:col>
      <xdr:colOff>459442</xdr:colOff>
      <xdr:row>13</xdr:row>
      <xdr:rowOff>67235</xdr:rowOff>
    </xdr:to>
    <xdr:sp macro="[0]!PROCES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5F44004-A0C5-437B-9DF8-DCE52D0530F5}"/>
            </a:ext>
          </a:extLst>
        </xdr:cNvPr>
        <xdr:cNvSpPr/>
      </xdr:nvSpPr>
      <xdr:spPr>
        <a:xfrm>
          <a:off x="736786" y="2123515"/>
          <a:ext cx="989481" cy="46784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PROCESS</a:t>
          </a:r>
        </a:p>
      </xdr:txBody>
    </xdr:sp>
    <xdr:clientData/>
  </xdr:twoCellAnchor>
  <xdr:twoCellAnchor>
    <xdr:from>
      <xdr:col>4</xdr:col>
      <xdr:colOff>81242</xdr:colOff>
      <xdr:row>15</xdr:row>
      <xdr:rowOff>71718</xdr:rowOff>
    </xdr:from>
    <xdr:to>
      <xdr:col>5</xdr:col>
      <xdr:colOff>537883</xdr:colOff>
      <xdr:row>17</xdr:row>
      <xdr:rowOff>112059</xdr:rowOff>
    </xdr:to>
    <xdr:sp macro="[0]!HAPU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4DC817E-CAB3-48BF-BB1B-02BA25AE216C}"/>
            </a:ext>
          </a:extLst>
        </xdr:cNvPr>
        <xdr:cNvSpPr/>
      </xdr:nvSpPr>
      <xdr:spPr>
        <a:xfrm>
          <a:off x="2119592" y="2976843"/>
          <a:ext cx="1066241" cy="421341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</a:t>
          </a:r>
        </a:p>
      </xdr:txBody>
    </xdr:sp>
    <xdr:clientData/>
  </xdr:twoCellAnchor>
  <xdr:twoCellAnchor>
    <xdr:from>
      <xdr:col>4</xdr:col>
      <xdr:colOff>71718</xdr:colOff>
      <xdr:row>10</xdr:row>
      <xdr:rowOff>156323</xdr:rowOff>
    </xdr:from>
    <xdr:to>
      <xdr:col>5</xdr:col>
      <xdr:colOff>515472</xdr:colOff>
      <xdr:row>13</xdr:row>
      <xdr:rowOff>89647</xdr:rowOff>
    </xdr:to>
    <xdr:sp macro="[0]!RP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886E77B-D3CB-4B2E-B24F-520CB378ECA8}"/>
            </a:ext>
          </a:extLst>
        </xdr:cNvPr>
        <xdr:cNvSpPr/>
      </xdr:nvSpPr>
      <xdr:spPr>
        <a:xfrm>
          <a:off x="2110068" y="2108948"/>
          <a:ext cx="1053354" cy="50482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INPUT</a:t>
          </a:r>
          <a:r>
            <a:rPr lang="en-ID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RPA</a:t>
          </a:r>
          <a:endParaRPr lang="en-ID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414617</xdr:colOff>
      <xdr:row>15</xdr:row>
      <xdr:rowOff>44822</xdr:rowOff>
    </xdr:from>
    <xdr:to>
      <xdr:col>2</xdr:col>
      <xdr:colOff>571499</xdr:colOff>
      <xdr:row>17</xdr:row>
      <xdr:rowOff>100852</xdr:rowOff>
    </xdr:to>
    <xdr:sp macro="[0]!Update_PIC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3B206F5E-0086-4522-9E7B-A8DB31A997B6}"/>
            </a:ext>
          </a:extLst>
        </xdr:cNvPr>
        <xdr:cNvSpPr/>
      </xdr:nvSpPr>
      <xdr:spPr>
        <a:xfrm>
          <a:off x="414617" y="2924734"/>
          <a:ext cx="1423147" cy="43703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UPDATE</a:t>
          </a:r>
          <a:r>
            <a:rPr lang="en-ID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ACCOUNT</a:t>
          </a:r>
          <a:endParaRPr lang="en-ID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F6F50-BF5F-4109-8118-9AEB067B1568}">
  <sheetPr codeName="Sheet2"/>
  <dimension ref="A1:DZ223"/>
  <sheetViews>
    <sheetView tabSelected="1" zoomScale="85" zoomScaleNormal="85" workbookViewId="0">
      <selection activeCell="N14" sqref="N14"/>
    </sheetView>
  </sheetViews>
  <sheetFormatPr defaultRowHeight="15"/>
  <cols>
    <col min="1" max="1" width="9.85546875" bestFit="1" customWidth="1"/>
    <col min="3" max="3" width="9.140625" customWidth="1"/>
    <col min="4" max="4" width="2.42578125" customWidth="1"/>
    <col min="5" max="6" width="9.140625" customWidth="1"/>
    <col min="7" max="8" width="3.85546875" customWidth="1"/>
    <col min="9" max="9" width="4" bestFit="1" customWidth="1"/>
    <col min="10" max="10" width="18.42578125" style="1" bestFit="1" customWidth="1"/>
    <col min="11" max="11" width="17" style="1" bestFit="1" customWidth="1"/>
    <col min="12" max="12" width="11.7109375" hidden="1" customWidth="1"/>
    <col min="13" max="14" width="9.140625" customWidth="1"/>
    <col min="15" max="15" width="18.28515625" bestFit="1" customWidth="1"/>
    <col min="16" max="16" width="83" bestFit="1" customWidth="1"/>
    <col min="17" max="17" width="11.5703125" bestFit="1" customWidth="1"/>
    <col min="18" max="40" width="9.140625" customWidth="1"/>
    <col min="41" max="41" width="25.85546875" customWidth="1"/>
    <col min="42" max="42" width="11.5703125" bestFit="1" customWidth="1"/>
    <col min="43" max="93" width="9.140625" customWidth="1"/>
    <col min="94" max="94" width="16.140625" bestFit="1" customWidth="1"/>
    <col min="95" max="95" width="13.5703125" customWidth="1"/>
    <col min="96" max="96" width="9.140625" customWidth="1"/>
    <col min="97" max="97" width="18" bestFit="1" customWidth="1"/>
    <col min="98" max="104" width="9.140625" customWidth="1"/>
    <col min="105" max="105" width="9.7109375" customWidth="1"/>
    <col min="106" max="106" width="9.140625" customWidth="1"/>
    <col min="107" max="107" width="11.85546875" bestFit="1" customWidth="1"/>
    <col min="108" max="108" width="9.7109375" customWidth="1"/>
    <col min="109" max="109" width="9.140625" customWidth="1"/>
    <col min="110" max="110" width="11.5703125" customWidth="1"/>
    <col min="111" max="111" width="69.28515625" customWidth="1"/>
    <col min="112" max="112" width="26" bestFit="1" customWidth="1"/>
    <col min="113" max="113" width="13.140625" bestFit="1" customWidth="1"/>
    <col min="114" max="114" width="10.7109375" customWidth="1"/>
    <col min="115" max="115" width="9.140625" customWidth="1"/>
    <col min="116" max="117" width="11.85546875" style="2" bestFit="1" customWidth="1"/>
    <col min="120" max="120" width="11.7109375" bestFit="1" customWidth="1"/>
    <col min="125" max="125" width="48" bestFit="1" customWidth="1"/>
    <col min="126" max="126" width="12.140625" bestFit="1" customWidth="1"/>
  </cols>
  <sheetData>
    <row r="1" spans="1:130">
      <c r="AM1" s="89" t="s">
        <v>262</v>
      </c>
      <c r="AN1" t="s">
        <v>22</v>
      </c>
      <c r="AO1" t="s">
        <v>1</v>
      </c>
      <c r="AP1" t="s">
        <v>263</v>
      </c>
      <c r="CP1" t="s">
        <v>264</v>
      </c>
      <c r="CQ1" s="2">
        <f ca="1">TODAY()</f>
        <v>45329</v>
      </c>
      <c r="CS1" t="s">
        <v>265</v>
      </c>
      <c r="CT1">
        <v>1</v>
      </c>
      <c r="CW1">
        <v>1</v>
      </c>
      <c r="CX1">
        <v>31</v>
      </c>
      <c r="CZ1">
        <v>1</v>
      </c>
      <c r="DA1">
        <v>7</v>
      </c>
      <c r="DB1">
        <v>1</v>
      </c>
      <c r="DC1" s="2">
        <f ca="1">IF(DB1&lt;=$DI$2,DATE($DI$4,$DI$3,DB1),"")</f>
        <v>45323</v>
      </c>
      <c r="DD1">
        <f ca="1">IF(DC1&lt;&gt;"",WEEKNUM(DC1,2),"")</f>
        <v>5</v>
      </c>
      <c r="DE1">
        <v>1</v>
      </c>
      <c r="DF1" s="3" t="s">
        <v>0</v>
      </c>
      <c r="DG1" s="4" t="s">
        <v>266</v>
      </c>
      <c r="DH1" s="2">
        <f ca="1">TODAY()-1</f>
        <v>45328</v>
      </c>
      <c r="DI1" s="2" t="str">
        <f ca="1">CONCATENATE(B7,"/",DH2,"/",CT3)</f>
        <v>02/6/2024</v>
      </c>
      <c r="DJ1" s="2" t="str">
        <f ca="1">CONCATENATE(B7,"/",CT1,"/",CT3)</f>
        <v>02/1/2024</v>
      </c>
      <c r="DL1" s="2">
        <f ca="1">DC1</f>
        <v>45323</v>
      </c>
      <c r="DM1" s="2">
        <v>44780</v>
      </c>
      <c r="DN1" t="s">
        <v>267</v>
      </c>
      <c r="DO1" s="5"/>
      <c r="DQ1" t="s">
        <v>268</v>
      </c>
      <c r="DR1" t="s">
        <v>263</v>
      </c>
      <c r="DT1" t="s">
        <v>269</v>
      </c>
      <c r="DU1" t="s">
        <v>1</v>
      </c>
      <c r="DV1" t="s">
        <v>263</v>
      </c>
      <c r="DX1" s="6" t="s">
        <v>2</v>
      </c>
      <c r="DY1" s="6" t="s">
        <v>268</v>
      </c>
      <c r="DZ1" s="6" t="s">
        <v>263</v>
      </c>
    </row>
    <row r="2" spans="1:130">
      <c r="B2" t="s">
        <v>14</v>
      </c>
      <c r="I2" s="6" t="s">
        <v>2</v>
      </c>
      <c r="J2" s="6" t="s">
        <v>268</v>
      </c>
      <c r="K2" s="6" t="s">
        <v>263</v>
      </c>
      <c r="L2" s="102" t="s">
        <v>615</v>
      </c>
      <c r="O2" s="49"/>
      <c r="P2" s="49"/>
      <c r="AM2" s="89"/>
      <c r="AO2" t="s">
        <v>4</v>
      </c>
      <c r="AP2" s="16">
        <v>450000</v>
      </c>
      <c r="CS2" t="s">
        <v>280</v>
      </c>
      <c r="CT2">
        <f ca="1">DAY(EOMONTH(CQ1,0))</f>
        <v>29</v>
      </c>
      <c r="CW2">
        <v>2</v>
      </c>
      <c r="CX2">
        <f>IF(MOD(B8,4)=0,29,28)</f>
        <v>29</v>
      </c>
      <c r="CZ2">
        <v>8</v>
      </c>
      <c r="DA2">
        <v>14</v>
      </c>
      <c r="DB2">
        <v>2</v>
      </c>
      <c r="DC2" s="2">
        <f t="shared" ref="DC2:DC31" ca="1" si="0">IF(DB2&lt;=$DI$2,DATE($DI$4,$DI$3,DB2),"")</f>
        <v>45324</v>
      </c>
      <c r="DD2">
        <f ca="1">IF(DC2&lt;&gt;"",WEEKNUM(DC2,2),"")</f>
        <v>5</v>
      </c>
      <c r="DE2">
        <f ca="1">IF(DD2&lt;&gt;"",IF(DD2=DD1,DE1,DE1+1),"")</f>
        <v>1</v>
      </c>
      <c r="DF2" s="3" t="s">
        <v>3</v>
      </c>
      <c r="DG2" s="4" t="s">
        <v>266</v>
      </c>
      <c r="DH2">
        <f ca="1">DAY(DH1)</f>
        <v>6</v>
      </c>
      <c r="DI2">
        <f ca="1">DAY(DI1)</f>
        <v>6</v>
      </c>
      <c r="DJ2" s="2"/>
      <c r="DL2" s="2">
        <v>44781</v>
      </c>
      <c r="DM2" s="2">
        <v>44787</v>
      </c>
      <c r="DN2" t="s">
        <v>4</v>
      </c>
      <c r="DO2">
        <v>1</v>
      </c>
      <c r="DQ2" t="s">
        <v>0</v>
      </c>
      <c r="DR2" s="7">
        <v>260250</v>
      </c>
      <c r="DT2">
        <v>1</v>
      </c>
      <c r="DU2" t="s">
        <v>4</v>
      </c>
      <c r="DV2" s="7">
        <v>260250</v>
      </c>
      <c r="DW2" s="7"/>
      <c r="DX2" s="8">
        <v>1</v>
      </c>
      <c r="DY2" s="9" t="s">
        <v>0</v>
      </c>
      <c r="DZ2" s="10">
        <v>450000</v>
      </c>
    </row>
    <row r="3" spans="1:130">
      <c r="B3" t="s">
        <v>14</v>
      </c>
      <c r="I3" s="55">
        <v>1</v>
      </c>
      <c r="J3" s="55" t="s">
        <v>0</v>
      </c>
      <c r="K3" s="88">
        <v>260250</v>
      </c>
      <c r="L3" t="str">
        <f>VLOOKUP(J3,Sheet1!$E:$E,1,FALSE)</f>
        <v>1201.630110</v>
      </c>
      <c r="O3" s="49"/>
      <c r="P3" s="49"/>
      <c r="AM3" s="89"/>
      <c r="AO3" t="s">
        <v>6</v>
      </c>
      <c r="AP3" s="16">
        <v>21000</v>
      </c>
      <c r="CT3">
        <f>B8</f>
        <v>2024</v>
      </c>
      <c r="CW3">
        <v>3</v>
      </c>
      <c r="CX3">
        <v>31</v>
      </c>
      <c r="CZ3">
        <v>15</v>
      </c>
      <c r="DA3">
        <v>21</v>
      </c>
      <c r="DB3">
        <v>3</v>
      </c>
      <c r="DC3" s="2">
        <f t="shared" ca="1" si="0"/>
        <v>45325</v>
      </c>
      <c r="DD3">
        <f ca="1">IF(DC3&lt;&gt;"",WEEKNUM(DC3,2),"")</f>
        <v>5</v>
      </c>
      <c r="DE3">
        <f ca="1">IF(DD3&lt;&gt;"",IF(DD3=DD2,DE2,DE2+1),"")</f>
        <v>1</v>
      </c>
      <c r="DF3" s="3" t="s">
        <v>5</v>
      </c>
      <c r="DG3" s="11" t="s">
        <v>266</v>
      </c>
      <c r="DH3">
        <f ca="1">MONTH(DH1)</f>
        <v>2</v>
      </c>
      <c r="DI3">
        <f ca="1">MONTH(DI1)</f>
        <v>2</v>
      </c>
      <c r="DJ3" s="2"/>
      <c r="DL3" s="2">
        <v>44788</v>
      </c>
      <c r="DM3" s="2">
        <v>44794</v>
      </c>
      <c r="DN3" t="s">
        <v>6</v>
      </c>
      <c r="DO3">
        <v>2</v>
      </c>
      <c r="DQ3" t="s">
        <v>7</v>
      </c>
      <c r="DR3" s="7">
        <v>10343.979499999999</v>
      </c>
      <c r="DT3">
        <v>2</v>
      </c>
      <c r="DU3" t="s">
        <v>6</v>
      </c>
      <c r="DV3" s="7">
        <v>10343.979499999999</v>
      </c>
      <c r="DW3" s="7"/>
      <c r="DX3" s="8">
        <v>2</v>
      </c>
      <c r="DY3" s="9" t="s">
        <v>3</v>
      </c>
      <c r="DZ3" s="10">
        <v>0</v>
      </c>
    </row>
    <row r="4" spans="1:130">
      <c r="A4" s="2"/>
      <c r="B4" t="s">
        <v>14</v>
      </c>
      <c r="I4" s="55">
        <v>2</v>
      </c>
      <c r="J4" s="55" t="s">
        <v>3</v>
      </c>
      <c r="K4" s="88"/>
      <c r="L4" t="str">
        <f>VLOOKUP(J4,Sheet1!$E:$E,1,FALSE)</f>
        <v>1204.630110</v>
      </c>
      <c r="O4" s="49"/>
      <c r="P4" s="49"/>
      <c r="AM4" s="89"/>
      <c r="AO4" t="s">
        <v>9</v>
      </c>
      <c r="AP4" s="16">
        <v>28000</v>
      </c>
      <c r="CW4">
        <v>4</v>
      </c>
      <c r="CX4">
        <v>30</v>
      </c>
      <c r="CZ4">
        <v>22</v>
      </c>
      <c r="DA4" t="e">
        <f ca="1">VLOOKUP(B7,CW:CX,2,0)</f>
        <v>#N/A</v>
      </c>
      <c r="DB4">
        <v>4</v>
      </c>
      <c r="DC4" s="2">
        <f t="shared" ca="1" si="0"/>
        <v>45326</v>
      </c>
      <c r="DD4">
        <f t="shared" ref="DD4:DD32" ca="1" si="1">IF(DC4&lt;&gt;"",WEEKNUM(DC4,2),"")</f>
        <v>5</v>
      </c>
      <c r="DE4">
        <f t="shared" ref="DE4:DE31" ca="1" si="2">IF(DD4&lt;&gt;"",IF(DD4=DD3,DE3,DE3+1),"")</f>
        <v>1</v>
      </c>
      <c r="DF4" s="3" t="s">
        <v>8</v>
      </c>
      <c r="DG4" s="4" t="s">
        <v>266</v>
      </c>
      <c r="DH4" t="s">
        <v>281</v>
      </c>
      <c r="DI4">
        <f ca="1">YEAR(DI1)</f>
        <v>2024</v>
      </c>
      <c r="DJ4" s="2"/>
      <c r="DL4" s="2">
        <v>44795</v>
      </c>
      <c r="DM4" s="2">
        <v>44801</v>
      </c>
      <c r="DN4" t="s">
        <v>9</v>
      </c>
      <c r="DO4">
        <v>3</v>
      </c>
      <c r="DQ4" t="s">
        <v>10</v>
      </c>
      <c r="DR4" s="7">
        <v>15885.723</v>
      </c>
      <c r="DT4">
        <v>3</v>
      </c>
      <c r="DU4" t="s">
        <v>9</v>
      </c>
      <c r="DV4" s="7">
        <v>15885.723</v>
      </c>
      <c r="DW4" s="7"/>
      <c r="DX4" s="8">
        <v>3</v>
      </c>
      <c r="DY4" s="9" t="s">
        <v>5</v>
      </c>
      <c r="DZ4" s="10">
        <v>0</v>
      </c>
    </row>
    <row r="5" spans="1:130">
      <c r="B5" t="s">
        <v>14</v>
      </c>
      <c r="I5" s="55">
        <v>3</v>
      </c>
      <c r="J5" s="55" t="s">
        <v>5</v>
      </c>
      <c r="K5" s="88"/>
      <c r="L5" t="str">
        <f>VLOOKUP(J5,Sheet1!$E:$E,1,FALSE)</f>
        <v>1205.630110</v>
      </c>
      <c r="AM5" s="89"/>
      <c r="AO5" t="s">
        <v>11</v>
      </c>
      <c r="AP5" s="16">
        <v>12000</v>
      </c>
      <c r="CW5">
        <v>5</v>
      </c>
      <c r="CX5">
        <v>31</v>
      </c>
      <c r="DB5">
        <v>5</v>
      </c>
      <c r="DC5" s="2">
        <f t="shared" ca="1" si="0"/>
        <v>45327</v>
      </c>
      <c r="DD5">
        <f t="shared" ca="1" si="1"/>
        <v>6</v>
      </c>
      <c r="DE5">
        <f t="shared" ca="1" si="2"/>
        <v>2</v>
      </c>
      <c r="DF5" s="3" t="s">
        <v>7</v>
      </c>
      <c r="DG5" s="4" t="s">
        <v>282</v>
      </c>
      <c r="DI5">
        <f ca="1">DAY(EOMONTH(DJ1,0))</f>
        <v>29</v>
      </c>
      <c r="DL5" s="2">
        <v>44802</v>
      </c>
      <c r="DM5" s="2">
        <v>44802</v>
      </c>
      <c r="DN5" t="s">
        <v>11</v>
      </c>
      <c r="DO5">
        <v>4</v>
      </c>
      <c r="DQ5" t="s">
        <v>12</v>
      </c>
      <c r="DR5" s="7">
        <v>5375.03</v>
      </c>
      <c r="DT5">
        <v>4</v>
      </c>
      <c r="DU5" t="s">
        <v>11</v>
      </c>
      <c r="DV5" s="7">
        <v>5375.03</v>
      </c>
      <c r="DW5" s="7"/>
      <c r="DX5" s="8">
        <v>4</v>
      </c>
      <c r="DY5" s="9" t="s">
        <v>8</v>
      </c>
      <c r="DZ5" s="10">
        <v>0</v>
      </c>
    </row>
    <row r="6" spans="1:130" ht="15.75" thickBot="1">
      <c r="B6" t="s">
        <v>14</v>
      </c>
      <c r="I6" s="55">
        <v>4</v>
      </c>
      <c r="J6" s="55" t="s">
        <v>8</v>
      </c>
      <c r="K6" s="88"/>
      <c r="L6" t="str">
        <f>VLOOKUP(J6,Sheet1!$E:$E,1,FALSE)</f>
        <v>1206.630110</v>
      </c>
      <c r="AM6" s="89"/>
      <c r="AO6" t="s">
        <v>17</v>
      </c>
      <c r="AP6" s="16">
        <v>16000</v>
      </c>
      <c r="CW6">
        <v>6</v>
      </c>
      <c r="CX6">
        <v>30</v>
      </c>
      <c r="DB6">
        <v>6</v>
      </c>
      <c r="DC6" s="2">
        <f t="shared" ca="1" si="0"/>
        <v>45328</v>
      </c>
      <c r="DD6">
        <f t="shared" ca="1" si="1"/>
        <v>6</v>
      </c>
      <c r="DE6">
        <f t="shared" ca="1" si="2"/>
        <v>2</v>
      </c>
      <c r="DF6" s="3" t="s">
        <v>13</v>
      </c>
      <c r="DG6" s="4" t="s">
        <v>282</v>
      </c>
      <c r="DI6" t="str">
        <f ca="1">SUBSTITUTE(DI1,"/","-")</f>
        <v>02-6-2024</v>
      </c>
      <c r="DL6" s="2" t="s">
        <v>14</v>
      </c>
      <c r="DN6" t="s">
        <v>15</v>
      </c>
      <c r="DO6">
        <v>5</v>
      </c>
      <c r="DQ6" t="s">
        <v>67</v>
      </c>
      <c r="DR6" s="7">
        <v>4548.3100000000004</v>
      </c>
      <c r="DT6">
        <v>5</v>
      </c>
      <c r="DU6" t="s">
        <v>17</v>
      </c>
      <c r="DV6" s="7">
        <v>4548.3100000000004</v>
      </c>
      <c r="DW6" s="7"/>
      <c r="DX6" s="8">
        <v>5</v>
      </c>
      <c r="DY6" s="12" t="s">
        <v>7</v>
      </c>
      <c r="DZ6" s="10">
        <v>21000</v>
      </c>
    </row>
    <row r="7" spans="1:130">
      <c r="A7" s="50" t="s">
        <v>283</v>
      </c>
      <c r="B7" s="52" t="str">
        <f ca="1">TEXT(NOW(),"mm")</f>
        <v>02</v>
      </c>
      <c r="I7" s="55">
        <v>5</v>
      </c>
      <c r="J7" s="55" t="s">
        <v>7</v>
      </c>
      <c r="K7" s="88">
        <v>10343.979499999999</v>
      </c>
      <c r="L7" t="str">
        <f>VLOOKUP(J7,Sheet1!$E:$E,1,FALSE)</f>
        <v>1201.630130</v>
      </c>
      <c r="AM7" s="89"/>
      <c r="AO7" t="s">
        <v>21</v>
      </c>
      <c r="AP7" s="16">
        <v>278453</v>
      </c>
      <c r="CW7">
        <v>7</v>
      </c>
      <c r="CX7">
        <v>31</v>
      </c>
      <c r="DA7" s="5"/>
      <c r="DB7">
        <v>7</v>
      </c>
      <c r="DC7" s="2" t="str">
        <f t="shared" ca="1" si="0"/>
        <v/>
      </c>
      <c r="DD7" t="str">
        <f t="shared" ca="1" si="1"/>
        <v/>
      </c>
      <c r="DE7" t="str">
        <f ca="1">IF(DD7&lt;&gt;"",IF(DD7=DD6,DE6,DE6+1),"")</f>
        <v/>
      </c>
      <c r="DF7" s="3" t="s">
        <v>18</v>
      </c>
      <c r="DG7" s="4" t="s">
        <v>282</v>
      </c>
      <c r="DI7" s="13"/>
      <c r="DJ7" s="13"/>
      <c r="DN7" t="s">
        <v>19</v>
      </c>
      <c r="DO7">
        <v>5</v>
      </c>
      <c r="DQ7" t="s">
        <v>317</v>
      </c>
      <c r="DR7" s="7">
        <v>21536.61</v>
      </c>
      <c r="DT7">
        <v>6</v>
      </c>
      <c r="DU7" t="s">
        <v>21</v>
      </c>
      <c r="DV7" s="7">
        <v>21536.61</v>
      </c>
      <c r="DW7" s="7"/>
      <c r="DX7" s="8">
        <v>6</v>
      </c>
      <c r="DY7" s="12" t="s">
        <v>13</v>
      </c>
      <c r="DZ7" s="10">
        <v>0</v>
      </c>
    </row>
    <row r="8" spans="1:130" ht="15.75" thickBot="1">
      <c r="A8" s="48" t="s">
        <v>284</v>
      </c>
      <c r="B8" s="51">
        <v>2024</v>
      </c>
      <c r="I8" s="55">
        <v>6</v>
      </c>
      <c r="J8" s="55" t="s">
        <v>13</v>
      </c>
      <c r="K8" s="88"/>
      <c r="L8" t="str">
        <f>VLOOKUP(J8,Sheet1!$E:$E,1,FALSE)</f>
        <v>1204.630130</v>
      </c>
      <c r="AM8" s="89"/>
      <c r="AO8" t="s">
        <v>25</v>
      </c>
      <c r="AP8" s="16">
        <v>16000</v>
      </c>
      <c r="CW8">
        <v>8</v>
      </c>
      <c r="CX8">
        <v>31</v>
      </c>
      <c r="DB8">
        <v>8</v>
      </c>
      <c r="DC8" s="2" t="str">
        <f t="shared" ca="1" si="0"/>
        <v/>
      </c>
      <c r="DD8" t="str">
        <f t="shared" ca="1" si="1"/>
        <v/>
      </c>
      <c r="DE8" t="str">
        <f t="shared" ca="1" si="2"/>
        <v/>
      </c>
      <c r="DF8" s="3" t="s">
        <v>23</v>
      </c>
      <c r="DG8" s="4" t="s">
        <v>282</v>
      </c>
      <c r="DI8" s="14"/>
      <c r="DJ8" s="15"/>
      <c r="DN8" t="s">
        <v>21</v>
      </c>
      <c r="DO8">
        <v>6</v>
      </c>
      <c r="DQ8" t="s">
        <v>20</v>
      </c>
      <c r="DR8" s="7">
        <v>257250</v>
      </c>
      <c r="DT8">
        <v>7</v>
      </c>
      <c r="DU8" t="s">
        <v>25</v>
      </c>
      <c r="DV8" s="7">
        <v>257250</v>
      </c>
      <c r="DW8" s="7"/>
      <c r="DX8" s="8">
        <v>7</v>
      </c>
      <c r="DY8" s="12" t="s">
        <v>18</v>
      </c>
      <c r="DZ8" s="10">
        <v>0</v>
      </c>
    </row>
    <row r="9" spans="1:130">
      <c r="I9" s="55">
        <v>7</v>
      </c>
      <c r="J9" s="55" t="s">
        <v>18</v>
      </c>
      <c r="K9" s="88"/>
      <c r="L9" t="str">
        <f>VLOOKUP(J9,Sheet1!$E:$E,1,FALSE)</f>
        <v>1205.630130</v>
      </c>
      <c r="AM9" s="89"/>
      <c r="AO9" t="s">
        <v>28</v>
      </c>
      <c r="AP9" s="16">
        <v>8000</v>
      </c>
      <c r="CW9">
        <v>9</v>
      </c>
      <c r="CX9">
        <v>30</v>
      </c>
      <c r="DB9">
        <v>9</v>
      </c>
      <c r="DC9" s="2" t="str">
        <f t="shared" ca="1" si="0"/>
        <v/>
      </c>
      <c r="DD9" t="str">
        <f t="shared" ca="1" si="1"/>
        <v/>
      </c>
      <c r="DE9" t="str">
        <f t="shared" ca="1" si="2"/>
        <v/>
      </c>
      <c r="DF9" s="3" t="s">
        <v>10</v>
      </c>
      <c r="DG9" s="4" t="s">
        <v>26</v>
      </c>
      <c r="DI9" s="14"/>
      <c r="DJ9" s="15"/>
      <c r="DN9" t="s">
        <v>25</v>
      </c>
      <c r="DO9">
        <v>7</v>
      </c>
      <c r="DQ9" t="s">
        <v>24</v>
      </c>
      <c r="DR9" s="7">
        <v>15561.89</v>
      </c>
      <c r="DT9">
        <v>8</v>
      </c>
      <c r="DU9" t="s">
        <v>28</v>
      </c>
      <c r="DV9" s="7">
        <v>15561.89</v>
      </c>
      <c r="DW9" s="7"/>
      <c r="DX9" s="8">
        <v>8</v>
      </c>
      <c r="DY9" s="12" t="s">
        <v>23</v>
      </c>
      <c r="DZ9" s="10">
        <v>0</v>
      </c>
    </row>
    <row r="10" spans="1:130">
      <c r="I10" s="55">
        <v>8</v>
      </c>
      <c r="J10" s="55" t="s">
        <v>23</v>
      </c>
      <c r="K10" s="88"/>
      <c r="L10" t="str">
        <f>VLOOKUP(J10,Sheet1!$E:$E,1,FALSE)</f>
        <v>1206.630130</v>
      </c>
      <c r="AM10" s="89"/>
      <c r="AO10" t="s">
        <v>32</v>
      </c>
      <c r="AP10" s="16">
        <v>4000</v>
      </c>
      <c r="CW10">
        <v>10</v>
      </c>
      <c r="CX10">
        <v>31</v>
      </c>
      <c r="DB10">
        <v>10</v>
      </c>
      <c r="DC10" s="2" t="str">
        <f t="shared" ca="1" si="0"/>
        <v/>
      </c>
      <c r="DD10" t="str">
        <f t="shared" ca="1" si="1"/>
        <v/>
      </c>
      <c r="DE10" t="str">
        <f t="shared" ca="1" si="2"/>
        <v/>
      </c>
      <c r="DF10" s="3" t="s">
        <v>29</v>
      </c>
      <c r="DG10" s="4" t="s">
        <v>26</v>
      </c>
      <c r="DI10" s="14"/>
      <c r="DJ10" s="17"/>
      <c r="DN10" t="s">
        <v>30</v>
      </c>
      <c r="DO10">
        <v>8</v>
      </c>
      <c r="DQ10" t="s">
        <v>27</v>
      </c>
      <c r="DR10" s="7">
        <v>6000</v>
      </c>
      <c r="DT10">
        <v>9</v>
      </c>
      <c r="DU10" t="s">
        <v>32</v>
      </c>
      <c r="DV10" s="7">
        <v>6000</v>
      </c>
      <c r="DW10" s="7"/>
      <c r="DX10" s="8">
        <v>9</v>
      </c>
      <c r="DY10" s="18" t="s">
        <v>10</v>
      </c>
      <c r="DZ10" s="10">
        <v>28000</v>
      </c>
    </row>
    <row r="11" spans="1:130">
      <c r="A11" s="19"/>
      <c r="I11" s="55">
        <v>9</v>
      </c>
      <c r="J11" s="55" t="s">
        <v>10</v>
      </c>
      <c r="K11" s="88">
        <v>15885.723</v>
      </c>
      <c r="L11" t="str">
        <f>VLOOKUP(J11,Sheet1!$E:$E,1,FALSE)</f>
        <v>1201.801160</v>
      </c>
      <c r="AM11" s="89"/>
      <c r="AO11" t="s">
        <v>36</v>
      </c>
      <c r="AP11" s="16">
        <v>22000</v>
      </c>
      <c r="CW11">
        <v>11</v>
      </c>
      <c r="CX11">
        <v>30</v>
      </c>
      <c r="DB11">
        <v>11</v>
      </c>
      <c r="DC11" s="2" t="str">
        <f t="shared" ca="1" si="0"/>
        <v/>
      </c>
      <c r="DD11" t="str">
        <f t="shared" ca="1" si="1"/>
        <v/>
      </c>
      <c r="DE11" t="str">
        <f t="shared" ca="1" si="2"/>
        <v/>
      </c>
      <c r="DF11" s="3" t="s">
        <v>33</v>
      </c>
      <c r="DG11" s="4" t="s">
        <v>26</v>
      </c>
      <c r="DI11" s="14"/>
      <c r="DJ11" s="15"/>
      <c r="DN11" t="s">
        <v>34</v>
      </c>
      <c r="DO11">
        <v>8</v>
      </c>
      <c r="DQ11" t="s">
        <v>31</v>
      </c>
      <c r="DR11" s="7">
        <v>3679.7200000000003</v>
      </c>
      <c r="DT11">
        <v>10</v>
      </c>
      <c r="DU11" t="s">
        <v>36</v>
      </c>
      <c r="DV11" s="7">
        <v>3679.7200000000003</v>
      </c>
      <c r="DW11" s="7"/>
      <c r="DX11" s="8">
        <v>10</v>
      </c>
      <c r="DY11" s="18" t="s">
        <v>29</v>
      </c>
      <c r="DZ11" s="10">
        <v>0</v>
      </c>
    </row>
    <row r="12" spans="1:130">
      <c r="I12" s="55">
        <v>10</v>
      </c>
      <c r="J12" s="55" t="s">
        <v>29</v>
      </c>
      <c r="K12" s="88"/>
      <c r="L12" t="str">
        <f>VLOOKUP(J12,Sheet1!$E:$E,1,FALSE)</f>
        <v>1204.801160</v>
      </c>
      <c r="AM12" s="89"/>
      <c r="AO12" t="s">
        <v>40</v>
      </c>
      <c r="AP12" s="16">
        <v>300</v>
      </c>
      <c r="CW12">
        <v>12</v>
      </c>
      <c r="CX12">
        <v>31</v>
      </c>
      <c r="DB12">
        <v>12</v>
      </c>
      <c r="DC12" s="2" t="str">
        <f t="shared" ca="1" si="0"/>
        <v/>
      </c>
      <c r="DD12" t="str">
        <f t="shared" ca="1" si="1"/>
        <v/>
      </c>
      <c r="DE12" t="str">
        <f t="shared" ca="1" si="2"/>
        <v/>
      </c>
      <c r="DF12" s="3" t="s">
        <v>37</v>
      </c>
      <c r="DG12" s="4" t="s">
        <v>26</v>
      </c>
      <c r="DI12" s="14"/>
      <c r="DJ12" s="15"/>
      <c r="DN12" t="s">
        <v>38</v>
      </c>
      <c r="DO12">
        <v>8</v>
      </c>
      <c r="DQ12" t="s">
        <v>35</v>
      </c>
      <c r="DR12" s="7">
        <v>5623.8399999999992</v>
      </c>
      <c r="DT12">
        <v>11</v>
      </c>
      <c r="DU12" t="s">
        <v>40</v>
      </c>
      <c r="DV12" s="7">
        <v>5623.8399999999992</v>
      </c>
      <c r="DW12" s="7"/>
      <c r="DX12" s="8">
        <v>11</v>
      </c>
      <c r="DY12" s="18" t="s">
        <v>33</v>
      </c>
      <c r="DZ12" s="10">
        <v>0</v>
      </c>
    </row>
    <row r="13" spans="1:130">
      <c r="B13" t="s">
        <v>338</v>
      </c>
      <c r="C13" t="s">
        <v>338</v>
      </c>
      <c r="E13" s="53" t="s">
        <v>338</v>
      </c>
      <c r="F13" t="s">
        <v>338</v>
      </c>
      <c r="I13" s="55">
        <v>11</v>
      </c>
      <c r="J13" s="55" t="s">
        <v>33</v>
      </c>
      <c r="K13" s="88"/>
      <c r="L13" t="str">
        <f>VLOOKUP(J13,Sheet1!$E:$E,1,FALSE)</f>
        <v>1205.801160</v>
      </c>
      <c r="AM13" s="89"/>
      <c r="AO13" t="s">
        <v>43</v>
      </c>
      <c r="AP13" s="16">
        <v>60000</v>
      </c>
      <c r="DB13">
        <v>13</v>
      </c>
      <c r="DC13" s="2" t="str">
        <f t="shared" ca="1" si="0"/>
        <v/>
      </c>
      <c r="DD13" t="str">
        <f t="shared" ca="1" si="1"/>
        <v/>
      </c>
      <c r="DE13" t="str">
        <f t="shared" ca="1" si="2"/>
        <v/>
      </c>
      <c r="DF13" s="3" t="s">
        <v>12</v>
      </c>
      <c r="DG13" s="4" t="s">
        <v>270</v>
      </c>
      <c r="DI13" s="20"/>
      <c r="DJ13" s="15"/>
      <c r="DN13" t="s">
        <v>41</v>
      </c>
      <c r="DO13">
        <v>8</v>
      </c>
      <c r="DQ13" t="s">
        <v>39</v>
      </c>
      <c r="DR13" s="7">
        <v>484.46</v>
      </c>
      <c r="DT13">
        <v>12</v>
      </c>
      <c r="DU13" t="s">
        <v>43</v>
      </c>
      <c r="DV13" s="7">
        <v>484.46</v>
      </c>
      <c r="DW13" s="7"/>
      <c r="DX13" s="8">
        <v>12</v>
      </c>
      <c r="DY13" s="18" t="s">
        <v>37</v>
      </c>
      <c r="DZ13" s="10">
        <v>0</v>
      </c>
    </row>
    <row r="14" spans="1:130">
      <c r="I14" s="55">
        <v>12</v>
      </c>
      <c r="J14" s="55" t="s">
        <v>37</v>
      </c>
      <c r="K14" s="88"/>
      <c r="L14" t="str">
        <f>VLOOKUP(J14,Sheet1!$E:$E,1,FALSE)</f>
        <v>1206.801160</v>
      </c>
      <c r="AM14" s="89"/>
      <c r="AO14" t="s">
        <v>47</v>
      </c>
      <c r="AP14" s="16">
        <v>800</v>
      </c>
      <c r="DB14">
        <v>14</v>
      </c>
      <c r="DC14" s="2" t="str">
        <f t="shared" ca="1" si="0"/>
        <v/>
      </c>
      <c r="DD14" t="str">
        <f t="shared" ca="1" si="1"/>
        <v/>
      </c>
      <c r="DE14" t="str">
        <f t="shared" ca="1" si="2"/>
        <v/>
      </c>
      <c r="DF14" s="3" t="s">
        <v>44</v>
      </c>
      <c r="DG14" s="4" t="s">
        <v>270</v>
      </c>
      <c r="DI14" s="14"/>
      <c r="DJ14" s="15"/>
      <c r="DN14" t="s">
        <v>45</v>
      </c>
      <c r="DO14">
        <v>8</v>
      </c>
      <c r="DQ14" t="s">
        <v>161</v>
      </c>
      <c r="DR14" s="7">
        <v>20.09</v>
      </c>
      <c r="DT14">
        <v>13</v>
      </c>
      <c r="DU14" t="s">
        <v>47</v>
      </c>
      <c r="DV14" s="7">
        <v>20.09</v>
      </c>
      <c r="DW14" s="7"/>
      <c r="DX14" s="8">
        <v>13</v>
      </c>
      <c r="DY14" s="12" t="s">
        <v>12</v>
      </c>
      <c r="DZ14" s="10">
        <v>12000</v>
      </c>
    </row>
    <row r="15" spans="1:130">
      <c r="I15" s="55">
        <v>13</v>
      </c>
      <c r="J15" s="55" t="s">
        <v>12</v>
      </c>
      <c r="K15" s="88">
        <v>5375.03</v>
      </c>
      <c r="L15" t="str">
        <f>VLOOKUP(J15,Sheet1!$E:$E,1,FALSE)</f>
        <v>1201.630200</v>
      </c>
      <c r="AM15" s="89"/>
      <c r="AO15" t="s">
        <v>51</v>
      </c>
      <c r="AP15" s="16">
        <v>15000</v>
      </c>
      <c r="DB15">
        <v>15</v>
      </c>
      <c r="DC15" s="2" t="str">
        <f t="shared" ca="1" si="0"/>
        <v/>
      </c>
      <c r="DD15" t="str">
        <f t="shared" ca="1" si="1"/>
        <v/>
      </c>
      <c r="DE15" t="str">
        <f t="shared" ca="1" si="2"/>
        <v/>
      </c>
      <c r="DF15" s="3" t="s">
        <v>48</v>
      </c>
      <c r="DG15" s="4" t="s">
        <v>270</v>
      </c>
      <c r="DI15" s="14"/>
      <c r="DJ15" s="15"/>
      <c r="DN15" t="s">
        <v>49</v>
      </c>
      <c r="DO15">
        <v>8</v>
      </c>
      <c r="DQ15" t="s">
        <v>42</v>
      </c>
      <c r="DR15" s="7">
        <v>37855.17</v>
      </c>
      <c r="DT15">
        <v>14</v>
      </c>
      <c r="DU15" t="s">
        <v>51</v>
      </c>
      <c r="DV15" s="7">
        <v>37855.17</v>
      </c>
      <c r="DW15" s="7"/>
      <c r="DX15" s="8">
        <v>14</v>
      </c>
      <c r="DY15" s="12" t="s">
        <v>44</v>
      </c>
      <c r="DZ15" s="10">
        <v>0</v>
      </c>
    </row>
    <row r="16" spans="1:130">
      <c r="A16" s="21"/>
      <c r="I16" s="55">
        <v>14</v>
      </c>
      <c r="J16" s="55" t="s">
        <v>44</v>
      </c>
      <c r="K16" s="88"/>
      <c r="L16" t="str">
        <f>VLOOKUP(J16,Sheet1!$E:$E,1,FALSE)</f>
        <v>1204.630200</v>
      </c>
      <c r="AM16" s="89"/>
      <c r="AO16" t="s">
        <v>55</v>
      </c>
      <c r="AP16" s="16">
        <v>30000</v>
      </c>
      <c r="DB16">
        <v>16</v>
      </c>
      <c r="DC16" s="2" t="str">
        <f t="shared" ca="1" si="0"/>
        <v/>
      </c>
      <c r="DD16" t="str">
        <f t="shared" ca="1" si="1"/>
        <v/>
      </c>
      <c r="DE16" t="str">
        <f t="shared" ca="1" si="2"/>
        <v/>
      </c>
      <c r="DF16" s="3" t="s">
        <v>52</v>
      </c>
      <c r="DG16" s="4" t="s">
        <v>270</v>
      </c>
      <c r="DI16" s="14"/>
      <c r="DJ16" s="15"/>
      <c r="DN16" t="s">
        <v>53</v>
      </c>
      <c r="DO16">
        <v>8</v>
      </c>
      <c r="DQ16" t="s">
        <v>46</v>
      </c>
      <c r="DR16" s="7">
        <v>500</v>
      </c>
      <c r="DT16">
        <v>15</v>
      </c>
      <c r="DU16" t="s">
        <v>55</v>
      </c>
      <c r="DV16" s="7">
        <v>500</v>
      </c>
      <c r="DW16" s="7"/>
      <c r="DX16" s="8">
        <v>15</v>
      </c>
      <c r="DY16" s="12" t="s">
        <v>48</v>
      </c>
      <c r="DZ16" s="10">
        <v>0</v>
      </c>
    </row>
    <row r="17" spans="1:130">
      <c r="A17" s="22"/>
      <c r="B17" t="s">
        <v>338</v>
      </c>
      <c r="C17" t="s">
        <v>338</v>
      </c>
      <c r="E17" s="23" t="s">
        <v>338</v>
      </c>
      <c r="F17" t="s">
        <v>338</v>
      </c>
      <c r="I17" s="55">
        <v>15</v>
      </c>
      <c r="J17" s="55" t="s">
        <v>48</v>
      </c>
      <c r="K17" s="88"/>
      <c r="L17" t="str">
        <f>VLOOKUP(J17,Sheet1!$E:$E,1,FALSE)</f>
        <v>1205.630200</v>
      </c>
      <c r="AM17" s="89"/>
      <c r="AO17" t="s">
        <v>57</v>
      </c>
      <c r="AP17" s="16">
        <v>3000</v>
      </c>
      <c r="DB17">
        <v>17</v>
      </c>
      <c r="DC17" s="2" t="str">
        <f t="shared" ca="1" si="0"/>
        <v/>
      </c>
      <c r="DD17" t="str">
        <f t="shared" ca="1" si="1"/>
        <v/>
      </c>
      <c r="DE17" t="str">
        <f t="shared" ca="1" si="2"/>
        <v/>
      </c>
      <c r="DF17" s="3" t="s">
        <v>16</v>
      </c>
      <c r="DG17" s="4" t="s">
        <v>285</v>
      </c>
      <c r="DI17" s="14"/>
      <c r="DJ17" s="15"/>
      <c r="DN17" t="s">
        <v>32</v>
      </c>
      <c r="DO17">
        <v>9</v>
      </c>
      <c r="DQ17" t="s">
        <v>50</v>
      </c>
      <c r="DR17" s="7">
        <v>10000</v>
      </c>
      <c r="DT17">
        <v>16</v>
      </c>
      <c r="DU17" t="s">
        <v>57</v>
      </c>
      <c r="DV17" s="7">
        <v>10000</v>
      </c>
      <c r="DW17" s="7"/>
      <c r="DX17" s="8">
        <v>16</v>
      </c>
      <c r="DY17" s="12" t="s">
        <v>52</v>
      </c>
      <c r="DZ17" s="10">
        <v>0</v>
      </c>
    </row>
    <row r="18" spans="1:130">
      <c r="A18" s="22"/>
      <c r="I18" s="55">
        <v>16</v>
      </c>
      <c r="J18" s="55" t="s">
        <v>67</v>
      </c>
      <c r="K18" s="88">
        <v>4548.3100000000004</v>
      </c>
      <c r="L18" t="str">
        <f>VLOOKUP(J18,Sheet1!$E:$E,1,FALSE)</f>
        <v>1201.630530</v>
      </c>
      <c r="AM18" s="89"/>
      <c r="AO18" t="s">
        <v>60</v>
      </c>
      <c r="AP18" s="16">
        <v>11000</v>
      </c>
      <c r="DB18">
        <v>18</v>
      </c>
      <c r="DC18" s="2" t="str">
        <f t="shared" ca="1" si="0"/>
        <v/>
      </c>
      <c r="DD18" t="str">
        <f t="shared" ca="1" si="1"/>
        <v/>
      </c>
      <c r="DE18" t="str">
        <f t="shared" ca="1" si="2"/>
        <v/>
      </c>
      <c r="DF18" s="3" t="s">
        <v>58</v>
      </c>
      <c r="DG18" s="4" t="s">
        <v>285</v>
      </c>
      <c r="DI18" s="14"/>
      <c r="DJ18" s="15"/>
      <c r="DN18" t="s">
        <v>36</v>
      </c>
      <c r="DO18">
        <v>10</v>
      </c>
      <c r="DQ18" t="s">
        <v>54</v>
      </c>
      <c r="DR18" s="7">
        <v>20000</v>
      </c>
      <c r="DT18">
        <v>17</v>
      </c>
      <c r="DU18" t="s">
        <v>60</v>
      </c>
      <c r="DV18" s="7">
        <v>20000</v>
      </c>
      <c r="DW18" s="7"/>
      <c r="DX18" s="8">
        <v>17</v>
      </c>
      <c r="DY18" s="24" t="s">
        <v>16</v>
      </c>
      <c r="DZ18" s="10">
        <v>16000</v>
      </c>
    </row>
    <row r="19" spans="1:130">
      <c r="I19" s="55">
        <v>17</v>
      </c>
      <c r="J19" s="55" t="s">
        <v>70</v>
      </c>
      <c r="K19" s="88"/>
      <c r="L19" t="str">
        <f>VLOOKUP(J19,Sheet1!$E:$E,1,FALSE)</f>
        <v>1204.630530</v>
      </c>
      <c r="AM19" s="89"/>
      <c r="AO19" t="s">
        <v>63</v>
      </c>
      <c r="AP19" s="16">
        <v>2000</v>
      </c>
      <c r="DB19">
        <v>19</v>
      </c>
      <c r="DC19" s="2" t="str">
        <f t="shared" ca="1" si="0"/>
        <v/>
      </c>
      <c r="DD19" t="str">
        <f t="shared" ca="1" si="1"/>
        <v/>
      </c>
      <c r="DE19" t="str">
        <f t="shared" ca="1" si="2"/>
        <v/>
      </c>
      <c r="DF19" s="3" t="s">
        <v>61</v>
      </c>
      <c r="DG19" s="4" t="s">
        <v>285</v>
      </c>
      <c r="DI19" s="14"/>
      <c r="DJ19" s="15"/>
      <c r="DN19" t="s">
        <v>40</v>
      </c>
      <c r="DO19">
        <v>11</v>
      </c>
      <c r="DQ19" t="s">
        <v>59</v>
      </c>
      <c r="DR19" s="7">
        <v>7000</v>
      </c>
      <c r="DT19">
        <v>18</v>
      </c>
      <c r="DU19" t="s">
        <v>63</v>
      </c>
      <c r="DV19" s="7">
        <v>7000</v>
      </c>
      <c r="DW19" s="7"/>
      <c r="DX19" s="8">
        <v>18</v>
      </c>
      <c r="DY19" s="24" t="s">
        <v>58</v>
      </c>
      <c r="DZ19" s="10">
        <v>0</v>
      </c>
    </row>
    <row r="20" spans="1:130">
      <c r="I20" s="55">
        <v>18</v>
      </c>
      <c r="J20" s="55" t="s">
        <v>317</v>
      </c>
      <c r="K20" s="88">
        <v>21536.61</v>
      </c>
      <c r="L20" t="str">
        <f>VLOOKUP(J20,Sheet1!$E:$E,1,FALSE)</f>
        <v>1201.630300</v>
      </c>
      <c r="AM20" s="89"/>
      <c r="AO20" t="s">
        <v>66</v>
      </c>
      <c r="AP20" s="16">
        <v>68000</v>
      </c>
      <c r="DB20">
        <v>20</v>
      </c>
      <c r="DC20" s="2" t="str">
        <f t="shared" ca="1" si="0"/>
        <v/>
      </c>
      <c r="DD20" t="str">
        <f t="shared" ca="1" si="1"/>
        <v/>
      </c>
      <c r="DE20" t="str">
        <f t="shared" ca="1" si="2"/>
        <v/>
      </c>
      <c r="DF20" s="3" t="s">
        <v>64</v>
      </c>
      <c r="DG20" s="4" t="s">
        <v>285</v>
      </c>
      <c r="DI20" s="14"/>
      <c r="DJ20" s="15"/>
      <c r="DN20" t="s">
        <v>43</v>
      </c>
      <c r="DO20">
        <v>12</v>
      </c>
      <c r="DQ20" t="s">
        <v>62</v>
      </c>
      <c r="DR20" s="7">
        <v>2000</v>
      </c>
      <c r="DT20">
        <v>19</v>
      </c>
      <c r="DU20" t="s">
        <v>66</v>
      </c>
      <c r="DV20" s="7">
        <v>2000</v>
      </c>
      <c r="DW20" s="7"/>
      <c r="DX20" s="8">
        <v>19</v>
      </c>
      <c r="DY20" s="24" t="s">
        <v>61</v>
      </c>
      <c r="DZ20" s="10">
        <v>0</v>
      </c>
    </row>
    <row r="21" spans="1:130">
      <c r="I21" s="55">
        <v>19</v>
      </c>
      <c r="J21" s="55" t="s">
        <v>318</v>
      </c>
      <c r="K21" s="88"/>
      <c r="L21" t="str">
        <f>VLOOKUP(J21,Sheet1!$E:$E,1,FALSE)</f>
        <v>1201.631110</v>
      </c>
      <c r="AM21" s="89"/>
      <c r="AO21" t="s">
        <v>69</v>
      </c>
      <c r="AP21" s="16">
        <v>0</v>
      </c>
      <c r="DB21">
        <v>21</v>
      </c>
      <c r="DC21" s="2" t="str">
        <f t="shared" ca="1" si="0"/>
        <v/>
      </c>
      <c r="DD21" t="str">
        <f t="shared" ca="1" si="1"/>
        <v/>
      </c>
      <c r="DE21" t="str">
        <f t="shared" ca="1" si="2"/>
        <v/>
      </c>
      <c r="DF21" s="3" t="s">
        <v>67</v>
      </c>
      <c r="DG21" s="4" t="s">
        <v>271</v>
      </c>
      <c r="DI21" s="14"/>
      <c r="DJ21" s="15"/>
      <c r="DN21" t="s">
        <v>47</v>
      </c>
      <c r="DO21">
        <v>13</v>
      </c>
      <c r="DQ21" t="s">
        <v>65</v>
      </c>
      <c r="DR21" s="7">
        <v>65254.421499999997</v>
      </c>
      <c r="DT21">
        <v>20</v>
      </c>
      <c r="DU21" t="s">
        <v>69</v>
      </c>
      <c r="DV21" s="7">
        <v>65254.421499999997</v>
      </c>
      <c r="DW21" s="7"/>
      <c r="DX21" s="8">
        <v>20</v>
      </c>
      <c r="DY21" s="24" t="s">
        <v>64</v>
      </c>
      <c r="DZ21" s="10">
        <v>0</v>
      </c>
    </row>
    <row r="22" spans="1:130">
      <c r="I22" s="55">
        <v>20</v>
      </c>
      <c r="J22" s="55" t="s">
        <v>319</v>
      </c>
      <c r="K22" s="88"/>
      <c r="L22" t="str">
        <f>VLOOKUP(J22,Sheet1!$E:$E,1,FALSE)</f>
        <v>1201.631140</v>
      </c>
      <c r="AM22" s="89"/>
      <c r="AO22" t="s">
        <v>72</v>
      </c>
      <c r="AP22" s="16">
        <v>500</v>
      </c>
      <c r="DB22">
        <v>22</v>
      </c>
      <c r="DC22" s="2" t="str">
        <f t="shared" ca="1" si="0"/>
        <v/>
      </c>
      <c r="DD22" t="str">
        <f t="shared" ca="1" si="1"/>
        <v/>
      </c>
      <c r="DE22" t="str">
        <f t="shared" ca="1" si="2"/>
        <v/>
      </c>
      <c r="DF22" s="3" t="s">
        <v>70</v>
      </c>
      <c r="DG22" s="4" t="s">
        <v>271</v>
      </c>
      <c r="DI22" s="14"/>
      <c r="DJ22" s="15"/>
      <c r="DN22" t="s">
        <v>51</v>
      </c>
      <c r="DO22">
        <v>14</v>
      </c>
      <c r="DQ22" t="s">
        <v>68</v>
      </c>
      <c r="DR22" s="7">
        <v>2100</v>
      </c>
      <c r="DT22">
        <v>21</v>
      </c>
      <c r="DU22" t="s">
        <v>72</v>
      </c>
      <c r="DV22" s="7">
        <v>2100</v>
      </c>
      <c r="DW22" s="7"/>
      <c r="DX22" s="8">
        <v>21</v>
      </c>
      <c r="DY22" s="24" t="s">
        <v>67</v>
      </c>
      <c r="DZ22" s="10">
        <v>0</v>
      </c>
    </row>
    <row r="23" spans="1:130">
      <c r="I23" s="55">
        <v>21</v>
      </c>
      <c r="J23" s="55" t="s">
        <v>320</v>
      </c>
      <c r="K23" s="88"/>
      <c r="L23" t="str">
        <f>VLOOKUP(J23,Sheet1!$E:$E,1,FALSE)</f>
        <v>1201.631150</v>
      </c>
      <c r="AM23" s="89"/>
      <c r="AO23" t="s">
        <v>75</v>
      </c>
      <c r="AP23" s="16">
        <v>1000</v>
      </c>
      <c r="DB23">
        <v>23</v>
      </c>
      <c r="DC23" s="2" t="str">
        <f t="shared" ca="1" si="0"/>
        <v/>
      </c>
      <c r="DD23" t="str">
        <f t="shared" ca="1" si="1"/>
        <v/>
      </c>
      <c r="DE23" t="str">
        <f t="shared" ca="1" si="2"/>
        <v/>
      </c>
      <c r="DF23" s="3" t="s">
        <v>73</v>
      </c>
      <c r="DG23" s="4" t="s">
        <v>271</v>
      </c>
      <c r="DI23" s="14"/>
      <c r="DJ23" s="15"/>
      <c r="DN23" t="s">
        <v>55</v>
      </c>
      <c r="DO23">
        <v>15</v>
      </c>
      <c r="DQ23" t="s">
        <v>337</v>
      </c>
      <c r="DR23" s="7">
        <v>2403.8200000000002</v>
      </c>
      <c r="DT23">
        <v>22</v>
      </c>
      <c r="DU23" t="s">
        <v>75</v>
      </c>
      <c r="DV23" s="7">
        <v>2403.8200000000002</v>
      </c>
      <c r="DW23" s="7"/>
      <c r="DX23" s="8">
        <v>22</v>
      </c>
      <c r="DY23" s="24" t="s">
        <v>70</v>
      </c>
      <c r="DZ23" s="10">
        <v>0</v>
      </c>
    </row>
    <row r="24" spans="1:130">
      <c r="I24" s="55">
        <v>22</v>
      </c>
      <c r="J24" s="55" t="s">
        <v>321</v>
      </c>
      <c r="K24" s="88"/>
      <c r="L24" t="str">
        <f>VLOOKUP(J24,Sheet1!$E:$E,1,FALSE)</f>
        <v>1201.631180</v>
      </c>
      <c r="AM24" s="89"/>
      <c r="AO24" t="s">
        <v>78</v>
      </c>
      <c r="AP24" s="16">
        <v>0</v>
      </c>
      <c r="DB24">
        <v>24</v>
      </c>
      <c r="DC24" s="2" t="str">
        <f t="shared" ca="1" si="0"/>
        <v/>
      </c>
      <c r="DD24" t="str">
        <f t="shared" ca="1" si="1"/>
        <v/>
      </c>
      <c r="DE24" t="str">
        <f t="shared" ca="1" si="2"/>
        <v/>
      </c>
      <c r="DF24" s="3" t="s">
        <v>76</v>
      </c>
      <c r="DG24" s="4" t="s">
        <v>271</v>
      </c>
      <c r="DI24" s="14"/>
      <c r="DJ24" s="15"/>
      <c r="DN24" t="s">
        <v>57</v>
      </c>
      <c r="DO24">
        <v>16</v>
      </c>
      <c r="DQ24" t="s">
        <v>71</v>
      </c>
      <c r="DR24" s="7">
        <v>309.85000000000002</v>
      </c>
      <c r="DT24">
        <v>23</v>
      </c>
      <c r="DU24" t="s">
        <v>78</v>
      </c>
      <c r="DV24" s="7">
        <v>309.85000000000002</v>
      </c>
      <c r="DW24" s="7"/>
      <c r="DX24" s="8">
        <v>23</v>
      </c>
      <c r="DY24" s="24" t="s">
        <v>73</v>
      </c>
      <c r="DZ24" s="10">
        <v>0</v>
      </c>
    </row>
    <row r="25" spans="1:130">
      <c r="I25" s="55">
        <v>23</v>
      </c>
      <c r="J25" s="55" t="s">
        <v>322</v>
      </c>
      <c r="K25" s="88"/>
      <c r="L25" t="str">
        <f>VLOOKUP(J25,Sheet1!$E:$E,1,FALSE)</f>
        <v>1204.630300</v>
      </c>
      <c r="AM25" s="89"/>
      <c r="AO25" t="s">
        <v>80</v>
      </c>
      <c r="AP25" s="16">
        <v>1200</v>
      </c>
      <c r="DB25">
        <v>25</v>
      </c>
      <c r="DC25" s="2" t="str">
        <f t="shared" ca="1" si="0"/>
        <v/>
      </c>
      <c r="DD25" t="str">
        <f t="shared" ca="1" si="1"/>
        <v/>
      </c>
      <c r="DE25" t="str">
        <f t="shared" ca="1" si="2"/>
        <v/>
      </c>
      <c r="DF25" s="3" t="s">
        <v>20</v>
      </c>
      <c r="DG25" s="4" t="s">
        <v>286</v>
      </c>
      <c r="DI25" s="14"/>
      <c r="DJ25" s="15"/>
      <c r="DN25" t="s">
        <v>60</v>
      </c>
      <c r="DO25">
        <v>17</v>
      </c>
      <c r="DQ25" t="s">
        <v>74</v>
      </c>
      <c r="DR25" s="7">
        <v>869.23</v>
      </c>
      <c r="DT25">
        <v>24</v>
      </c>
      <c r="DU25" t="s">
        <v>80</v>
      </c>
      <c r="DV25" s="7">
        <v>869.23</v>
      </c>
      <c r="DW25" s="7"/>
      <c r="DX25" s="8">
        <v>24</v>
      </c>
      <c r="DY25" s="24" t="s">
        <v>76</v>
      </c>
      <c r="DZ25" s="10">
        <v>0</v>
      </c>
    </row>
    <row r="26" spans="1:130">
      <c r="I26" s="55">
        <v>24</v>
      </c>
      <c r="J26" s="55" t="s">
        <v>323</v>
      </c>
      <c r="K26" s="88"/>
      <c r="L26" t="str">
        <f>VLOOKUP(J26,Sheet1!$E:$E,1,FALSE)</f>
        <v>1204.631110</v>
      </c>
      <c r="AM26" s="89"/>
      <c r="AO26" t="s">
        <v>83</v>
      </c>
      <c r="AP26" s="16">
        <v>5500</v>
      </c>
      <c r="DB26">
        <v>26</v>
      </c>
      <c r="DC26" s="2" t="str">
        <f t="shared" ca="1" si="0"/>
        <v/>
      </c>
      <c r="DD26" t="str">
        <f t="shared" ca="1" si="1"/>
        <v/>
      </c>
      <c r="DE26" t="str">
        <f t="shared" ca="1" si="2"/>
        <v/>
      </c>
      <c r="DF26" s="3" t="s">
        <v>81</v>
      </c>
      <c r="DG26" s="4" t="s">
        <v>286</v>
      </c>
      <c r="DI26" s="14"/>
      <c r="DJ26" s="15"/>
      <c r="DN26" t="s">
        <v>63</v>
      </c>
      <c r="DO26">
        <v>18</v>
      </c>
      <c r="DQ26" t="s">
        <v>77</v>
      </c>
      <c r="DR26" s="7">
        <v>743.73</v>
      </c>
      <c r="DT26">
        <v>25</v>
      </c>
      <c r="DU26" t="s">
        <v>83</v>
      </c>
      <c r="DV26" s="7">
        <v>743.73</v>
      </c>
      <c r="DW26" s="7"/>
      <c r="DX26" s="8">
        <v>25</v>
      </c>
      <c r="DY26" s="25" t="s">
        <v>20</v>
      </c>
      <c r="DZ26" s="10">
        <v>278453</v>
      </c>
    </row>
    <row r="27" spans="1:130">
      <c r="I27" s="55">
        <v>25</v>
      </c>
      <c r="J27" s="55" t="s">
        <v>324</v>
      </c>
      <c r="K27" s="88"/>
      <c r="L27" t="str">
        <f>VLOOKUP(J27,Sheet1!$E:$E,1,FALSE)</f>
        <v>1204.631140</v>
      </c>
      <c r="AM27" s="89"/>
      <c r="AO27" t="s">
        <v>86</v>
      </c>
      <c r="AP27" s="16">
        <v>3000</v>
      </c>
      <c r="DB27">
        <v>27</v>
      </c>
      <c r="DC27" s="2" t="str">
        <f t="shared" ca="1" si="0"/>
        <v/>
      </c>
      <c r="DD27" t="str">
        <f t="shared" ca="1" si="1"/>
        <v/>
      </c>
      <c r="DE27" t="str">
        <f t="shared" ca="1" si="2"/>
        <v/>
      </c>
      <c r="DF27" s="3" t="s">
        <v>84</v>
      </c>
      <c r="DG27" s="4" t="s">
        <v>286</v>
      </c>
      <c r="DI27" s="14"/>
      <c r="DJ27" s="15"/>
      <c r="DN27" t="s">
        <v>66</v>
      </c>
      <c r="DO27">
        <v>19</v>
      </c>
      <c r="DQ27" t="s">
        <v>79</v>
      </c>
      <c r="DR27" s="7">
        <v>345.96999999999997</v>
      </c>
      <c r="DT27">
        <v>26</v>
      </c>
      <c r="DU27" t="s">
        <v>86</v>
      </c>
      <c r="DV27" s="7">
        <v>345.96999999999997</v>
      </c>
      <c r="DW27" s="7"/>
      <c r="DX27" s="8">
        <v>26</v>
      </c>
      <c r="DY27" s="25" t="s">
        <v>81</v>
      </c>
      <c r="DZ27" s="10">
        <v>0</v>
      </c>
    </row>
    <row r="28" spans="1:130">
      <c r="I28" s="55">
        <v>26</v>
      </c>
      <c r="J28" s="55" t="s">
        <v>325</v>
      </c>
      <c r="K28" s="88"/>
      <c r="L28" t="e">
        <f>VLOOKUP(J28,Sheet1!$E:$E,1,FALSE)</f>
        <v>#N/A</v>
      </c>
      <c r="AM28" s="89"/>
      <c r="AO28" t="s">
        <v>89</v>
      </c>
      <c r="AP28" s="16">
        <v>1000</v>
      </c>
      <c r="DB28">
        <v>28</v>
      </c>
      <c r="DC28" s="2" t="str">
        <f t="shared" ca="1" si="0"/>
        <v/>
      </c>
      <c r="DD28" t="str">
        <f t="shared" ca="1" si="1"/>
        <v/>
      </c>
      <c r="DE28" t="str">
        <f t="shared" ca="1" si="2"/>
        <v/>
      </c>
      <c r="DF28" s="3" t="s">
        <v>87</v>
      </c>
      <c r="DG28" s="4" t="s">
        <v>286</v>
      </c>
      <c r="DI28" s="14"/>
      <c r="DJ28" s="15"/>
      <c r="DN28" t="s">
        <v>69</v>
      </c>
      <c r="DO28">
        <v>20</v>
      </c>
      <c r="DQ28" t="s">
        <v>82</v>
      </c>
      <c r="DR28" s="7">
        <v>3432.3599999999997</v>
      </c>
      <c r="DT28">
        <v>27</v>
      </c>
      <c r="DU28" t="s">
        <v>89</v>
      </c>
      <c r="DV28" s="7">
        <v>3432.3599999999997</v>
      </c>
      <c r="DW28" s="7"/>
      <c r="DX28" s="8">
        <v>27</v>
      </c>
      <c r="DY28" s="25" t="s">
        <v>84</v>
      </c>
      <c r="DZ28" s="10">
        <v>0</v>
      </c>
    </row>
    <row r="29" spans="1:130">
      <c r="I29" s="55">
        <v>27</v>
      </c>
      <c r="J29" s="55" t="s">
        <v>326</v>
      </c>
      <c r="K29" s="88"/>
      <c r="L29" t="str">
        <f>VLOOKUP(J29,Sheet1!$E:$E,1,FALSE)</f>
        <v>1204.631180</v>
      </c>
      <c r="AM29" s="89"/>
      <c r="AO29" t="s">
        <v>92</v>
      </c>
      <c r="AP29" s="16">
        <v>20000</v>
      </c>
      <c r="DB29">
        <v>29</v>
      </c>
      <c r="DC29" s="2" t="str">
        <f t="shared" ca="1" si="0"/>
        <v/>
      </c>
      <c r="DD29" t="str">
        <f t="shared" ca="1" si="1"/>
        <v/>
      </c>
      <c r="DE29" t="str">
        <f t="shared" ca="1" si="2"/>
        <v/>
      </c>
      <c r="DF29" s="3" t="s">
        <v>24</v>
      </c>
      <c r="DG29" s="4" t="s">
        <v>90</v>
      </c>
      <c r="DI29" s="14"/>
      <c r="DJ29" s="15"/>
      <c r="DN29" t="s">
        <v>72</v>
      </c>
      <c r="DO29">
        <v>21</v>
      </c>
      <c r="DQ29" t="s">
        <v>85</v>
      </c>
      <c r="DR29" s="7">
        <v>1499.6899999999998</v>
      </c>
      <c r="DT29">
        <v>28</v>
      </c>
      <c r="DU29" t="s">
        <v>92</v>
      </c>
      <c r="DV29" s="7">
        <v>1499.6899999999998</v>
      </c>
      <c r="DW29" s="7"/>
      <c r="DX29" s="8">
        <v>28</v>
      </c>
      <c r="DY29" s="25" t="s">
        <v>87</v>
      </c>
      <c r="DZ29" s="10">
        <v>0</v>
      </c>
    </row>
    <row r="30" spans="1:130">
      <c r="I30" s="55">
        <v>28</v>
      </c>
      <c r="J30" s="55" t="s">
        <v>327</v>
      </c>
      <c r="K30" s="88"/>
      <c r="L30" t="str">
        <f>VLOOKUP(J30,Sheet1!$E:$E,1,FALSE)</f>
        <v>1205.630300</v>
      </c>
      <c r="AM30" s="89"/>
      <c r="AO30" t="s">
        <v>95</v>
      </c>
      <c r="AP30" s="16">
        <v>3000</v>
      </c>
      <c r="DB30">
        <v>30</v>
      </c>
      <c r="DC30" s="2" t="str">
        <f t="shared" ca="1" si="0"/>
        <v/>
      </c>
      <c r="DD30" t="str">
        <f t="shared" ca="1" si="1"/>
        <v/>
      </c>
      <c r="DE30" t="str">
        <f t="shared" ca="1" si="2"/>
        <v/>
      </c>
      <c r="DF30" s="3" t="s">
        <v>93</v>
      </c>
      <c r="DG30" s="4" t="s">
        <v>90</v>
      </c>
      <c r="DI30" s="14"/>
      <c r="DJ30" s="15"/>
      <c r="DN30" t="s">
        <v>75</v>
      </c>
      <c r="DO30">
        <v>22</v>
      </c>
      <c r="DQ30" t="s">
        <v>88</v>
      </c>
      <c r="DR30" s="7">
        <v>750</v>
      </c>
      <c r="DT30">
        <v>29</v>
      </c>
      <c r="DU30" t="s">
        <v>95</v>
      </c>
      <c r="DV30" s="7">
        <v>750</v>
      </c>
      <c r="DW30" s="7"/>
      <c r="DX30" s="8">
        <v>29</v>
      </c>
      <c r="DY30" s="26" t="s">
        <v>24</v>
      </c>
      <c r="DZ30" s="10">
        <v>16000</v>
      </c>
    </row>
    <row r="31" spans="1:130">
      <c r="I31" s="55">
        <v>29</v>
      </c>
      <c r="J31" s="55" t="s">
        <v>328</v>
      </c>
      <c r="K31" s="88"/>
      <c r="L31" t="str">
        <f>VLOOKUP(J31,Sheet1!$E:$E,1,FALSE)</f>
        <v>1205.631110</v>
      </c>
      <c r="AM31" s="89"/>
      <c r="AO31" t="s">
        <v>98</v>
      </c>
      <c r="AP31" s="16">
        <v>500</v>
      </c>
      <c r="DB31">
        <v>31</v>
      </c>
      <c r="DC31" s="2" t="str">
        <f t="shared" ca="1" si="0"/>
        <v/>
      </c>
      <c r="DD31" t="str">
        <f t="shared" ca="1" si="1"/>
        <v/>
      </c>
      <c r="DE31" t="str">
        <f t="shared" ca="1" si="2"/>
        <v/>
      </c>
      <c r="DF31" s="3" t="s">
        <v>96</v>
      </c>
      <c r="DG31" s="4" t="s">
        <v>90</v>
      </c>
      <c r="DI31" s="14"/>
      <c r="DJ31" s="15"/>
      <c r="DN31" t="s">
        <v>78</v>
      </c>
      <c r="DO31">
        <v>23</v>
      </c>
      <c r="DQ31" t="s">
        <v>91</v>
      </c>
      <c r="DR31" s="7">
        <v>23465.289999999997</v>
      </c>
      <c r="DT31">
        <v>30</v>
      </c>
      <c r="DU31" t="s">
        <v>98</v>
      </c>
      <c r="DV31" s="7">
        <v>23465.289999999997</v>
      </c>
      <c r="DW31" s="7"/>
      <c r="DX31" s="8">
        <v>30</v>
      </c>
      <c r="DY31" s="26" t="s">
        <v>93</v>
      </c>
      <c r="DZ31" s="10">
        <v>0</v>
      </c>
    </row>
    <row r="32" spans="1:130">
      <c r="I32" s="55">
        <v>30</v>
      </c>
      <c r="J32" s="55" t="s">
        <v>329</v>
      </c>
      <c r="K32" s="88"/>
      <c r="L32" t="e">
        <f>VLOOKUP(J32,Sheet1!$E:$E,1,FALSE)</f>
        <v>#N/A</v>
      </c>
      <c r="AM32" s="89"/>
      <c r="AO32" t="s">
        <v>101</v>
      </c>
      <c r="AP32" s="16">
        <v>1800</v>
      </c>
      <c r="DC32" s="2"/>
      <c r="DD32" t="str">
        <f t="shared" si="1"/>
        <v/>
      </c>
      <c r="DF32" s="3" t="s">
        <v>99</v>
      </c>
      <c r="DG32" s="4" t="s">
        <v>90</v>
      </c>
      <c r="DI32" s="14"/>
      <c r="DJ32" s="15"/>
      <c r="DN32" t="s">
        <v>80</v>
      </c>
      <c r="DO32">
        <v>24</v>
      </c>
      <c r="DQ32" t="s">
        <v>94</v>
      </c>
      <c r="DR32" s="7">
        <v>2095.96</v>
      </c>
      <c r="DT32">
        <v>31</v>
      </c>
      <c r="DU32" t="s">
        <v>101</v>
      </c>
      <c r="DV32" s="7">
        <v>2095.96</v>
      </c>
      <c r="DW32" s="7"/>
      <c r="DX32" s="8">
        <v>31</v>
      </c>
      <c r="DY32" s="26" t="s">
        <v>96</v>
      </c>
      <c r="DZ32" s="10">
        <v>0</v>
      </c>
    </row>
    <row r="33" spans="9:130">
      <c r="I33" s="55">
        <v>31</v>
      </c>
      <c r="J33" s="55" t="s">
        <v>330</v>
      </c>
      <c r="K33" s="88"/>
      <c r="L33" t="e">
        <f>VLOOKUP(J33,Sheet1!$E:$E,1,FALSE)</f>
        <v>#N/A</v>
      </c>
      <c r="AM33" s="89"/>
      <c r="AO33" t="s">
        <v>103</v>
      </c>
      <c r="AP33" s="16">
        <v>1000</v>
      </c>
      <c r="DF33" s="3" t="s">
        <v>27</v>
      </c>
      <c r="DG33" s="4" t="s">
        <v>287</v>
      </c>
      <c r="DI33" s="14"/>
      <c r="DJ33" s="15"/>
      <c r="DN33" t="s">
        <v>83</v>
      </c>
      <c r="DO33">
        <v>25</v>
      </c>
      <c r="DQ33" t="s">
        <v>97</v>
      </c>
      <c r="DR33" s="7">
        <v>200</v>
      </c>
      <c r="DT33">
        <v>32</v>
      </c>
      <c r="DU33" t="s">
        <v>103</v>
      </c>
      <c r="DV33" s="7">
        <v>200</v>
      </c>
      <c r="DW33" s="7"/>
      <c r="DX33" s="8">
        <v>32</v>
      </c>
      <c r="DY33" s="26" t="s">
        <v>99</v>
      </c>
      <c r="DZ33" s="10">
        <v>0</v>
      </c>
    </row>
    <row r="34" spans="9:130">
      <c r="I34" s="55">
        <v>32</v>
      </c>
      <c r="J34" s="55" t="s">
        <v>331</v>
      </c>
      <c r="K34" s="88"/>
      <c r="L34" t="str">
        <f>VLOOKUP(J34,Sheet1!$E:$E,1,FALSE)</f>
        <v>1205.631180</v>
      </c>
      <c r="AM34" s="89"/>
      <c r="AO34" t="s">
        <v>106</v>
      </c>
      <c r="AP34" s="16">
        <v>2000</v>
      </c>
      <c r="DF34" s="3" t="s">
        <v>104</v>
      </c>
      <c r="DG34" s="4" t="s">
        <v>287</v>
      </c>
      <c r="DI34" s="14"/>
      <c r="DJ34" s="15"/>
      <c r="DN34" t="s">
        <v>86</v>
      </c>
      <c r="DO34">
        <v>26</v>
      </c>
      <c r="DQ34" t="s">
        <v>100</v>
      </c>
      <c r="DR34" s="7">
        <v>1682.6100000000001</v>
      </c>
      <c r="DT34">
        <v>33</v>
      </c>
      <c r="DU34" t="s">
        <v>106</v>
      </c>
      <c r="DV34" s="7">
        <v>1682.6100000000001</v>
      </c>
      <c r="DW34" s="7"/>
      <c r="DX34" s="8">
        <v>33</v>
      </c>
      <c r="DY34" s="27" t="s">
        <v>27</v>
      </c>
      <c r="DZ34" s="10">
        <v>8000</v>
      </c>
    </row>
    <row r="35" spans="9:130">
      <c r="I35" s="55">
        <v>33</v>
      </c>
      <c r="J35" s="55" t="s">
        <v>332</v>
      </c>
      <c r="K35" s="88"/>
      <c r="L35" t="str">
        <f>VLOOKUP(J35,Sheet1!$E:$E,1,FALSE)</f>
        <v>1206.630300</v>
      </c>
      <c r="AM35" s="89"/>
      <c r="AO35" t="s">
        <v>110</v>
      </c>
      <c r="AP35" s="16">
        <v>2000</v>
      </c>
      <c r="DF35" s="3" t="s">
        <v>107</v>
      </c>
      <c r="DG35" s="4" t="s">
        <v>287</v>
      </c>
      <c r="DI35" s="14"/>
      <c r="DJ35" s="15"/>
      <c r="DN35" t="s">
        <v>108</v>
      </c>
      <c r="DO35">
        <v>27</v>
      </c>
      <c r="DQ35" t="s">
        <v>102</v>
      </c>
      <c r="DR35" s="7">
        <v>764.4</v>
      </c>
      <c r="DT35">
        <v>34</v>
      </c>
      <c r="DU35" t="s">
        <v>110</v>
      </c>
      <c r="DV35" s="7">
        <v>764.4</v>
      </c>
      <c r="DW35" s="7"/>
      <c r="DX35" s="8">
        <v>34</v>
      </c>
      <c r="DY35" s="27" t="s">
        <v>104</v>
      </c>
      <c r="DZ35" s="10">
        <v>0</v>
      </c>
    </row>
    <row r="36" spans="9:130">
      <c r="I36" s="55">
        <v>34</v>
      </c>
      <c r="J36" s="55" t="s">
        <v>333</v>
      </c>
      <c r="K36" s="88"/>
      <c r="L36" t="str">
        <f>VLOOKUP(J36,Sheet1!$E:$E,1,FALSE)</f>
        <v>1206.631110</v>
      </c>
      <c r="AM36" s="89"/>
      <c r="AO36" t="s">
        <v>114</v>
      </c>
      <c r="AP36" s="16">
        <v>8000</v>
      </c>
      <c r="DF36" s="3" t="s">
        <v>111</v>
      </c>
      <c r="DG36" s="4" t="s">
        <v>287</v>
      </c>
      <c r="DI36" s="14"/>
      <c r="DJ36" s="15"/>
      <c r="DN36" t="s">
        <v>112</v>
      </c>
      <c r="DO36">
        <v>27</v>
      </c>
      <c r="DQ36" t="s">
        <v>105</v>
      </c>
      <c r="DR36" s="7">
        <v>2312.8199999999997</v>
      </c>
      <c r="DT36">
        <v>35</v>
      </c>
      <c r="DU36" t="s">
        <v>114</v>
      </c>
      <c r="DV36" s="7">
        <v>2312.8199999999997</v>
      </c>
      <c r="DW36" s="7"/>
      <c r="DX36" s="8">
        <v>35</v>
      </c>
      <c r="DY36" s="27" t="s">
        <v>107</v>
      </c>
      <c r="DZ36" s="10">
        <v>0</v>
      </c>
    </row>
    <row r="37" spans="9:130">
      <c r="I37" s="55">
        <v>35</v>
      </c>
      <c r="J37" s="55" t="s">
        <v>334</v>
      </c>
      <c r="K37" s="88"/>
      <c r="L37" t="e">
        <f>VLOOKUP(J37,Sheet1!$E:$E,1,FALSE)</f>
        <v>#N/A</v>
      </c>
      <c r="AM37" s="89"/>
      <c r="AO37" t="s">
        <v>118</v>
      </c>
      <c r="AP37" s="16">
        <v>0</v>
      </c>
      <c r="DF37" s="3" t="s">
        <v>115</v>
      </c>
      <c r="DG37" s="4" t="s">
        <v>288</v>
      </c>
      <c r="DI37" s="14"/>
      <c r="DJ37" s="15"/>
      <c r="DN37" t="s">
        <v>116</v>
      </c>
      <c r="DO37">
        <v>27</v>
      </c>
      <c r="DQ37" t="s">
        <v>109</v>
      </c>
      <c r="DR37" s="7">
        <v>943.01</v>
      </c>
      <c r="DT37">
        <v>36</v>
      </c>
      <c r="DU37" t="s">
        <v>118</v>
      </c>
      <c r="DV37" s="7">
        <v>943.01</v>
      </c>
      <c r="DW37" s="7"/>
      <c r="DX37" s="8">
        <v>36</v>
      </c>
      <c r="DY37" s="27" t="s">
        <v>111</v>
      </c>
      <c r="DZ37" s="10">
        <v>0</v>
      </c>
    </row>
    <row r="38" spans="9:130">
      <c r="I38" s="55">
        <v>36</v>
      </c>
      <c r="J38" s="55" t="s">
        <v>335</v>
      </c>
      <c r="K38" s="88"/>
      <c r="L38" t="e">
        <f>VLOOKUP(J38,Sheet1!$E:$E,1,FALSE)</f>
        <v>#N/A</v>
      </c>
      <c r="AM38" s="89"/>
      <c r="AO38" t="s">
        <v>121</v>
      </c>
      <c r="AP38" s="16">
        <v>0</v>
      </c>
      <c r="DF38" s="3" t="s">
        <v>119</v>
      </c>
      <c r="DG38" s="4" t="s">
        <v>288</v>
      </c>
      <c r="DI38" s="14"/>
      <c r="DJ38" s="15"/>
      <c r="DN38" t="s">
        <v>92</v>
      </c>
      <c r="DO38">
        <v>28</v>
      </c>
      <c r="DQ38" t="s">
        <v>113</v>
      </c>
      <c r="DR38" s="7">
        <v>5256.43</v>
      </c>
      <c r="DT38">
        <v>37</v>
      </c>
      <c r="DU38" t="s">
        <v>121</v>
      </c>
      <c r="DV38" s="7">
        <v>5256.43</v>
      </c>
      <c r="DW38" s="7"/>
      <c r="DX38" s="8">
        <v>37</v>
      </c>
      <c r="DY38" s="27" t="s">
        <v>115</v>
      </c>
      <c r="DZ38" s="10">
        <v>0</v>
      </c>
    </row>
    <row r="39" spans="9:130">
      <c r="I39" s="55">
        <v>37</v>
      </c>
      <c r="J39" s="55" t="s">
        <v>336</v>
      </c>
      <c r="K39" s="88"/>
      <c r="L39" t="str">
        <f>VLOOKUP(J39,Sheet1!$E:$E,1,FALSE)</f>
        <v>1206.631180</v>
      </c>
      <c r="AM39" s="89"/>
      <c r="AO39" t="s">
        <v>124</v>
      </c>
      <c r="AP39" s="16">
        <v>0</v>
      </c>
      <c r="DF39" s="3" t="s">
        <v>122</v>
      </c>
      <c r="DG39" s="4" t="s">
        <v>288</v>
      </c>
      <c r="DI39" s="14"/>
      <c r="DJ39" s="15"/>
      <c r="DN39" t="s">
        <v>95</v>
      </c>
      <c r="DO39">
        <v>29</v>
      </c>
      <c r="DQ39" t="s">
        <v>126</v>
      </c>
      <c r="DR39" s="7">
        <v>5000</v>
      </c>
      <c r="DT39">
        <v>38</v>
      </c>
      <c r="DU39" t="s">
        <v>124</v>
      </c>
      <c r="DV39" s="7">
        <v>5000</v>
      </c>
      <c r="DW39" s="7"/>
      <c r="DX39" s="8">
        <v>38</v>
      </c>
      <c r="DY39" s="27" t="s">
        <v>119</v>
      </c>
      <c r="DZ39" s="10">
        <v>0</v>
      </c>
    </row>
    <row r="40" spans="9:130">
      <c r="I40" s="55">
        <v>38</v>
      </c>
      <c r="J40" s="55" t="s">
        <v>20</v>
      </c>
      <c r="K40" s="88">
        <v>257250</v>
      </c>
      <c r="L40" t="str">
        <f>VLOOKUP(J40,Sheet1!$E:$E,1,FALSE)</f>
        <v>1201.630600</v>
      </c>
      <c r="AM40" s="89"/>
      <c r="AO40" t="s">
        <v>127</v>
      </c>
      <c r="AP40" s="16">
        <v>5000</v>
      </c>
      <c r="DF40" s="3" t="s">
        <v>125</v>
      </c>
      <c r="DG40" s="4" t="s">
        <v>288</v>
      </c>
      <c r="DI40" s="14"/>
      <c r="DJ40" s="15"/>
      <c r="DN40" t="s">
        <v>98</v>
      </c>
      <c r="DO40">
        <v>30</v>
      </c>
      <c r="DQ40" t="s">
        <v>129</v>
      </c>
      <c r="DR40" s="7">
        <v>27000</v>
      </c>
      <c r="DT40">
        <v>39</v>
      </c>
      <c r="DU40" t="s">
        <v>127</v>
      </c>
      <c r="DV40" s="7">
        <v>27000</v>
      </c>
      <c r="DW40" s="7"/>
      <c r="DX40" s="8">
        <v>39</v>
      </c>
      <c r="DY40" s="27" t="s">
        <v>122</v>
      </c>
      <c r="DZ40" s="10">
        <v>0</v>
      </c>
    </row>
    <row r="41" spans="9:130">
      <c r="I41" s="55">
        <v>39</v>
      </c>
      <c r="J41" s="55" t="s">
        <v>81</v>
      </c>
      <c r="K41" s="88"/>
      <c r="L41" t="str">
        <f>VLOOKUP(J41,Sheet1!$E:$E,1,FALSE)</f>
        <v>1204.630600</v>
      </c>
      <c r="AM41" s="89"/>
      <c r="AO41" t="s">
        <v>130</v>
      </c>
      <c r="AP41" s="16">
        <v>24000</v>
      </c>
      <c r="DF41" s="3" t="s">
        <v>128</v>
      </c>
      <c r="DG41" s="4" t="s">
        <v>289</v>
      </c>
      <c r="DI41" s="14"/>
      <c r="DJ41" s="15"/>
      <c r="DN41" t="s">
        <v>101</v>
      </c>
      <c r="DO41">
        <v>31</v>
      </c>
      <c r="DQ41" t="s">
        <v>132</v>
      </c>
      <c r="DR41" s="7">
        <v>3000</v>
      </c>
      <c r="DT41">
        <v>40</v>
      </c>
      <c r="DU41" t="s">
        <v>130</v>
      </c>
      <c r="DV41" s="7">
        <v>3000</v>
      </c>
      <c r="DW41" s="7"/>
      <c r="DX41" s="8">
        <v>40</v>
      </c>
      <c r="DY41" s="27" t="s">
        <v>125</v>
      </c>
      <c r="DZ41" s="10">
        <v>0</v>
      </c>
    </row>
    <row r="42" spans="9:130">
      <c r="I42" s="55">
        <v>40</v>
      </c>
      <c r="J42" s="55" t="s">
        <v>84</v>
      </c>
      <c r="K42" s="88"/>
      <c r="L42" t="str">
        <f>VLOOKUP(J42,Sheet1!$E:$E,1,FALSE)</f>
        <v>1205.630600</v>
      </c>
      <c r="AM42" s="89"/>
      <c r="AO42" t="s">
        <v>133</v>
      </c>
      <c r="AP42" s="16">
        <v>3000</v>
      </c>
      <c r="DF42" s="3" t="s">
        <v>131</v>
      </c>
      <c r="DG42" s="4" t="s">
        <v>289</v>
      </c>
      <c r="DI42" s="14"/>
      <c r="DJ42" s="15"/>
      <c r="DN42" t="s">
        <v>103</v>
      </c>
      <c r="DO42">
        <v>32</v>
      </c>
      <c r="DT42">
        <v>41</v>
      </c>
      <c r="DU42" t="s">
        <v>133</v>
      </c>
      <c r="DV42" s="7">
        <v>3000</v>
      </c>
      <c r="DW42" s="7"/>
      <c r="DX42" s="8">
        <v>41</v>
      </c>
      <c r="DY42" s="27" t="s">
        <v>128</v>
      </c>
      <c r="DZ42" s="10">
        <v>0</v>
      </c>
    </row>
    <row r="43" spans="9:130">
      <c r="I43" s="55">
        <v>41</v>
      </c>
      <c r="J43" s="55" t="s">
        <v>24</v>
      </c>
      <c r="K43" s="88">
        <v>15561.89</v>
      </c>
      <c r="L43" t="str">
        <f>VLOOKUP(J43,Sheet1!$E:$E,1,FALSE)</f>
        <v>1201.630400</v>
      </c>
      <c r="DF43" s="3" t="s">
        <v>134</v>
      </c>
      <c r="DG43" s="4" t="s">
        <v>289</v>
      </c>
      <c r="DI43" s="14"/>
      <c r="DJ43" s="15"/>
      <c r="DN43" t="s">
        <v>106</v>
      </c>
      <c r="DO43">
        <v>33</v>
      </c>
      <c r="DV43" s="7">
        <v>21536.61</v>
      </c>
      <c r="DX43" s="8">
        <v>42</v>
      </c>
      <c r="DY43" s="27" t="s">
        <v>131</v>
      </c>
      <c r="DZ43" s="10">
        <v>0</v>
      </c>
    </row>
    <row r="44" spans="9:130">
      <c r="I44" s="55">
        <v>42</v>
      </c>
      <c r="J44" s="55" t="s">
        <v>93</v>
      </c>
      <c r="K44" s="88"/>
      <c r="L44" t="str">
        <f>VLOOKUP(J44,Sheet1!$E:$E,1,FALSE)</f>
        <v>1204.630400</v>
      </c>
      <c r="DF44" s="3" t="s">
        <v>135</v>
      </c>
      <c r="DG44" s="4" t="s">
        <v>289</v>
      </c>
      <c r="DI44" s="14"/>
      <c r="DJ44" s="15"/>
      <c r="DN44" t="s">
        <v>110</v>
      </c>
      <c r="DO44">
        <v>34</v>
      </c>
      <c r="DV44" s="7">
        <v>2403.8200000000002</v>
      </c>
      <c r="DX44" s="8">
        <v>43</v>
      </c>
      <c r="DY44" s="27" t="s">
        <v>134</v>
      </c>
      <c r="DZ44" s="10">
        <v>0</v>
      </c>
    </row>
    <row r="45" spans="9:130">
      <c r="I45" s="55">
        <v>43</v>
      </c>
      <c r="J45" s="55" t="s">
        <v>96</v>
      </c>
      <c r="K45" s="88"/>
      <c r="L45" t="str">
        <f>VLOOKUP(J45,Sheet1!$E:$E,1,FALSE)</f>
        <v>1205.630400</v>
      </c>
      <c r="DF45" s="3" t="s">
        <v>136</v>
      </c>
      <c r="DG45" s="4" t="s">
        <v>290</v>
      </c>
      <c r="DI45" s="14"/>
      <c r="DJ45" s="15"/>
      <c r="DN45" t="s">
        <v>114</v>
      </c>
      <c r="DO45">
        <v>35</v>
      </c>
      <c r="DX45" s="8">
        <v>44</v>
      </c>
      <c r="DY45" s="27" t="s">
        <v>135</v>
      </c>
      <c r="DZ45" s="10">
        <v>0</v>
      </c>
    </row>
    <row r="46" spans="9:130">
      <c r="I46" s="55">
        <v>44</v>
      </c>
      <c r="J46" s="55" t="s">
        <v>99</v>
      </c>
      <c r="K46" s="88"/>
      <c r="L46" t="str">
        <f>VLOOKUP(J46,Sheet1!$E:$E,1,FALSE)</f>
        <v>1206.630400</v>
      </c>
      <c r="DF46" s="3" t="s">
        <v>137</v>
      </c>
      <c r="DG46" s="4" t="s">
        <v>290</v>
      </c>
      <c r="DI46" s="14"/>
      <c r="DJ46" s="15"/>
      <c r="DN46" t="s">
        <v>118</v>
      </c>
      <c r="DO46">
        <v>36</v>
      </c>
      <c r="DX46" s="8">
        <v>45</v>
      </c>
      <c r="DY46" s="27" t="s">
        <v>136</v>
      </c>
      <c r="DZ46" s="10">
        <v>0</v>
      </c>
    </row>
    <row r="47" spans="9:130">
      <c r="I47" s="55">
        <v>45</v>
      </c>
      <c r="J47" s="55" t="s">
        <v>27</v>
      </c>
      <c r="K47" s="88">
        <v>6000</v>
      </c>
      <c r="L47" t="str">
        <f>VLOOKUP(J47,Sheet1!$E:$E,1,FALSE)</f>
        <v>1201.630710</v>
      </c>
      <c r="DF47" s="3" t="s">
        <v>138</v>
      </c>
      <c r="DG47" s="4" t="s">
        <v>290</v>
      </c>
      <c r="DI47" s="14"/>
      <c r="DJ47" s="15"/>
      <c r="DN47" t="s">
        <v>121</v>
      </c>
      <c r="DO47">
        <v>37</v>
      </c>
      <c r="DX47" s="8">
        <v>46</v>
      </c>
      <c r="DY47" s="27" t="s">
        <v>137</v>
      </c>
      <c r="DZ47" s="10">
        <v>0</v>
      </c>
    </row>
    <row r="48" spans="9:130">
      <c r="I48" s="55">
        <v>46</v>
      </c>
      <c r="J48" s="55" t="s">
        <v>104</v>
      </c>
      <c r="K48" s="88"/>
      <c r="L48" t="str">
        <f>VLOOKUP(J48,Sheet1!$E:$E,1,FALSE)</f>
        <v>1204.630710</v>
      </c>
      <c r="DF48" s="3" t="s">
        <v>139</v>
      </c>
      <c r="DG48" s="11" t="s">
        <v>290</v>
      </c>
      <c r="DI48" s="14"/>
      <c r="DJ48" s="15"/>
      <c r="DN48" t="s">
        <v>124</v>
      </c>
      <c r="DO48">
        <v>38</v>
      </c>
      <c r="DX48" s="8">
        <v>47</v>
      </c>
      <c r="DY48" s="27" t="s">
        <v>138</v>
      </c>
      <c r="DZ48" s="10">
        <v>0</v>
      </c>
    </row>
    <row r="49" spans="9:130">
      <c r="I49" s="55">
        <v>47</v>
      </c>
      <c r="J49" s="55" t="s">
        <v>107</v>
      </c>
      <c r="K49" s="88"/>
      <c r="L49" t="str">
        <f>VLOOKUP(J49,Sheet1!$E:$E,1,FALSE)</f>
        <v>1205.630710</v>
      </c>
      <c r="DF49" s="3" t="s">
        <v>140</v>
      </c>
      <c r="DG49" s="4" t="s">
        <v>291</v>
      </c>
      <c r="DI49" s="14"/>
      <c r="DJ49" s="15"/>
      <c r="DN49" t="s">
        <v>127</v>
      </c>
      <c r="DO49">
        <v>39</v>
      </c>
      <c r="DX49" s="8">
        <v>48</v>
      </c>
      <c r="DY49" s="27" t="s">
        <v>139</v>
      </c>
      <c r="DZ49" s="10">
        <v>0</v>
      </c>
    </row>
    <row r="50" spans="9:130">
      <c r="I50" s="55">
        <v>48</v>
      </c>
      <c r="J50" s="55" t="s">
        <v>111</v>
      </c>
      <c r="K50" s="88"/>
      <c r="L50" t="str">
        <f>VLOOKUP(J50,Sheet1!$E:$E,1,FALSE)</f>
        <v>1206.630710</v>
      </c>
      <c r="O50" s="28"/>
      <c r="DF50" s="3" t="s">
        <v>141</v>
      </c>
      <c r="DG50" s="4" t="s">
        <v>291</v>
      </c>
      <c r="DI50" s="14"/>
      <c r="DJ50" s="15"/>
      <c r="DN50" t="s">
        <v>130</v>
      </c>
      <c r="DO50">
        <v>40</v>
      </c>
      <c r="DX50" s="8">
        <v>49</v>
      </c>
      <c r="DY50" s="27" t="s">
        <v>140</v>
      </c>
      <c r="DZ50" s="10">
        <v>0</v>
      </c>
    </row>
    <row r="51" spans="9:130">
      <c r="I51" s="55">
        <v>49</v>
      </c>
      <c r="J51" s="55" t="s">
        <v>115</v>
      </c>
      <c r="K51" s="88"/>
      <c r="L51" t="str">
        <f>VLOOKUP(J51,Sheet1!$E:$E,1,FALSE)</f>
        <v>1201.630720</v>
      </c>
      <c r="O51" s="28"/>
      <c r="DF51" s="4" t="s">
        <v>142</v>
      </c>
      <c r="DG51" s="4" t="s">
        <v>291</v>
      </c>
      <c r="DI51" s="14"/>
      <c r="DJ51" s="15"/>
      <c r="DN51" t="s">
        <v>133</v>
      </c>
      <c r="DO51">
        <v>41</v>
      </c>
      <c r="DX51" s="8">
        <v>50</v>
      </c>
      <c r="DY51" s="27" t="s">
        <v>141</v>
      </c>
      <c r="DZ51" s="10">
        <v>0</v>
      </c>
    </row>
    <row r="52" spans="9:130">
      <c r="I52" s="55">
        <v>50</v>
      </c>
      <c r="J52" s="55" t="s">
        <v>119</v>
      </c>
      <c r="K52" s="88"/>
      <c r="L52" t="str">
        <f>VLOOKUP(J52,Sheet1!$E:$E,1,FALSE)</f>
        <v>1204.630720</v>
      </c>
      <c r="O52" s="28"/>
      <c r="DF52" s="4" t="s">
        <v>143</v>
      </c>
      <c r="DG52" s="4" t="s">
        <v>291</v>
      </c>
      <c r="DI52" s="14"/>
      <c r="DJ52" s="15"/>
      <c r="DN52" t="s">
        <v>14</v>
      </c>
      <c r="DX52" s="8">
        <v>51</v>
      </c>
      <c r="DY52" s="27" t="s">
        <v>142</v>
      </c>
      <c r="DZ52" s="10">
        <v>0</v>
      </c>
    </row>
    <row r="53" spans="9:130">
      <c r="I53" s="55">
        <v>51</v>
      </c>
      <c r="J53" s="55" t="s">
        <v>122</v>
      </c>
      <c r="K53" s="88"/>
      <c r="L53" t="str">
        <f>VLOOKUP(J53,Sheet1!$E:$E,1,FALSE)</f>
        <v>1205.630720</v>
      </c>
      <c r="O53" s="28"/>
      <c r="DF53" s="4" t="s">
        <v>144</v>
      </c>
      <c r="DG53" s="11" t="s">
        <v>292</v>
      </c>
      <c r="DI53" s="14"/>
      <c r="DJ53" s="15"/>
      <c r="DX53" s="8">
        <v>52</v>
      </c>
      <c r="DY53" s="27" t="s">
        <v>143</v>
      </c>
      <c r="DZ53" s="10">
        <v>0</v>
      </c>
    </row>
    <row r="54" spans="9:130">
      <c r="I54" s="55">
        <v>52</v>
      </c>
      <c r="J54" s="55" t="s">
        <v>125</v>
      </c>
      <c r="K54" s="88"/>
      <c r="L54" t="str">
        <f>VLOOKUP(J54,Sheet1!$E:$E,1,FALSE)</f>
        <v>1206.630720</v>
      </c>
      <c r="O54" s="28"/>
      <c r="DF54" s="4" t="s">
        <v>145</v>
      </c>
      <c r="DG54" s="4" t="s">
        <v>292</v>
      </c>
      <c r="DI54" s="14"/>
      <c r="DJ54" s="15"/>
      <c r="DX54" s="8">
        <v>53</v>
      </c>
      <c r="DY54" s="27" t="s">
        <v>144</v>
      </c>
      <c r="DZ54" s="10">
        <v>0</v>
      </c>
    </row>
    <row r="55" spans="9:130">
      <c r="I55" s="55">
        <v>53</v>
      </c>
      <c r="J55" s="55" t="s">
        <v>128</v>
      </c>
      <c r="K55" s="88"/>
      <c r="L55" t="str">
        <f>VLOOKUP(J55,Sheet1!$E:$E,1,FALSE)</f>
        <v>1201.630730</v>
      </c>
      <c r="O55" s="28"/>
      <c r="DF55" s="4" t="s">
        <v>146</v>
      </c>
      <c r="DG55" s="4" t="s">
        <v>292</v>
      </c>
      <c r="DI55" s="14"/>
      <c r="DJ55" s="17"/>
      <c r="DX55" s="8">
        <v>54</v>
      </c>
      <c r="DY55" s="27" t="s">
        <v>145</v>
      </c>
      <c r="DZ55" s="10">
        <v>0</v>
      </c>
    </row>
    <row r="56" spans="9:130">
      <c r="I56" s="55">
        <v>54</v>
      </c>
      <c r="J56" s="55" t="s">
        <v>131</v>
      </c>
      <c r="K56" s="88"/>
      <c r="L56" t="str">
        <f>VLOOKUP(J56,Sheet1!$E:$E,1,FALSE)</f>
        <v>1204.630730</v>
      </c>
      <c r="O56" s="28"/>
      <c r="DF56" s="4" t="s">
        <v>147</v>
      </c>
      <c r="DG56" s="4" t="s">
        <v>292</v>
      </c>
      <c r="DI56" s="14"/>
      <c r="DJ56" s="15"/>
      <c r="DX56" s="8">
        <v>55</v>
      </c>
      <c r="DY56" s="27" t="s">
        <v>146</v>
      </c>
      <c r="DZ56" s="10">
        <v>0</v>
      </c>
    </row>
    <row r="57" spans="9:130">
      <c r="I57" s="55">
        <v>55</v>
      </c>
      <c r="J57" s="55" t="s">
        <v>134</v>
      </c>
      <c r="K57" s="88"/>
      <c r="L57" t="str">
        <f>VLOOKUP(J57,Sheet1!$E:$E,1,FALSE)</f>
        <v>1205.630730</v>
      </c>
      <c r="O57" s="28"/>
      <c r="DF57" s="4" t="s">
        <v>148</v>
      </c>
      <c r="DG57" s="4" t="s">
        <v>293</v>
      </c>
      <c r="DI57" s="14"/>
      <c r="DJ57" s="15"/>
      <c r="DX57" s="8">
        <v>56</v>
      </c>
      <c r="DY57" s="27" t="s">
        <v>147</v>
      </c>
      <c r="DZ57" s="10">
        <v>0</v>
      </c>
    </row>
    <row r="58" spans="9:130">
      <c r="I58" s="55">
        <v>56</v>
      </c>
      <c r="J58" s="55" t="s">
        <v>135</v>
      </c>
      <c r="K58" s="88"/>
      <c r="L58" t="str">
        <f>VLOOKUP(J58,Sheet1!$E:$E,1,FALSE)</f>
        <v>1206.630730</v>
      </c>
      <c r="O58" s="28"/>
      <c r="DF58" s="4" t="s">
        <v>149</v>
      </c>
      <c r="DG58" s="4" t="s">
        <v>293</v>
      </c>
      <c r="DX58" s="8">
        <v>57</v>
      </c>
      <c r="DY58" s="27" t="s">
        <v>148</v>
      </c>
      <c r="DZ58" s="10">
        <v>0</v>
      </c>
    </row>
    <row r="59" spans="9:130">
      <c r="I59" s="55">
        <v>57</v>
      </c>
      <c r="J59" s="55" t="s">
        <v>136</v>
      </c>
      <c r="K59" s="88"/>
      <c r="L59" t="str">
        <f>VLOOKUP(J59,Sheet1!$E:$E,1,FALSE)</f>
        <v>1201.630740</v>
      </c>
      <c r="O59" s="28"/>
      <c r="DF59" s="4" t="s">
        <v>150</v>
      </c>
      <c r="DG59" s="4" t="s">
        <v>293</v>
      </c>
      <c r="DX59" s="8">
        <v>58</v>
      </c>
      <c r="DY59" s="27" t="s">
        <v>149</v>
      </c>
      <c r="DZ59" s="10">
        <v>0</v>
      </c>
    </row>
    <row r="60" spans="9:130">
      <c r="I60" s="55">
        <v>58</v>
      </c>
      <c r="J60" s="55" t="s">
        <v>137</v>
      </c>
      <c r="K60" s="88"/>
      <c r="L60" t="str">
        <f>VLOOKUP(J60,Sheet1!$E:$E,1,FALSE)</f>
        <v>1204.630740</v>
      </c>
      <c r="O60" s="28"/>
      <c r="DF60" s="4" t="s">
        <v>151</v>
      </c>
      <c r="DG60" s="4" t="s">
        <v>293</v>
      </c>
      <c r="DX60" s="8">
        <v>59</v>
      </c>
      <c r="DY60" s="27" t="s">
        <v>150</v>
      </c>
      <c r="DZ60" s="10">
        <v>0</v>
      </c>
    </row>
    <row r="61" spans="9:130">
      <c r="I61" s="55">
        <v>59</v>
      </c>
      <c r="J61" s="55" t="s">
        <v>138</v>
      </c>
      <c r="K61" s="88"/>
      <c r="L61" t="str">
        <f>VLOOKUP(J61,Sheet1!$E:$E,1,FALSE)</f>
        <v>1205.630740</v>
      </c>
      <c r="O61" s="28"/>
      <c r="DF61" s="4" t="s">
        <v>31</v>
      </c>
      <c r="DG61" s="4" t="s">
        <v>294</v>
      </c>
      <c r="DX61" s="8">
        <v>60</v>
      </c>
      <c r="DY61" s="27" t="s">
        <v>151</v>
      </c>
      <c r="DZ61" s="10">
        <v>0</v>
      </c>
    </row>
    <row r="62" spans="9:130">
      <c r="I62" s="55">
        <v>60</v>
      </c>
      <c r="J62" s="55" t="s">
        <v>139</v>
      </c>
      <c r="K62" s="88"/>
      <c r="L62" t="str">
        <f>VLOOKUP(J62,Sheet1!$E:$E,1,FALSE)</f>
        <v>1206.630740</v>
      </c>
      <c r="O62" s="28"/>
      <c r="DF62" s="4" t="s">
        <v>152</v>
      </c>
      <c r="DG62" s="4" t="s">
        <v>294</v>
      </c>
      <c r="DX62" s="8">
        <v>61</v>
      </c>
      <c r="DY62" s="29" t="s">
        <v>31</v>
      </c>
      <c r="DZ62" s="10">
        <v>4000</v>
      </c>
    </row>
    <row r="63" spans="9:130">
      <c r="I63" s="55">
        <v>61</v>
      </c>
      <c r="J63" s="55" t="s">
        <v>140</v>
      </c>
      <c r="K63" s="88"/>
      <c r="L63" t="str">
        <f>VLOOKUP(J63,Sheet1!$E:$E,1,FALSE)</f>
        <v>1201.630750</v>
      </c>
      <c r="O63" s="28"/>
      <c r="DF63" s="4" t="s">
        <v>153</v>
      </c>
      <c r="DG63" s="4" t="s">
        <v>294</v>
      </c>
      <c r="DX63" s="8">
        <v>62</v>
      </c>
      <c r="DY63" s="29" t="s">
        <v>152</v>
      </c>
      <c r="DZ63" s="10">
        <v>0</v>
      </c>
    </row>
    <row r="64" spans="9:130">
      <c r="I64" s="55">
        <v>62</v>
      </c>
      <c r="J64" s="55" t="s">
        <v>141</v>
      </c>
      <c r="K64" s="88"/>
      <c r="L64" t="str">
        <f>VLOOKUP(J64,Sheet1!$E:$E,1,FALSE)</f>
        <v>1204.630750</v>
      </c>
      <c r="O64" s="28"/>
      <c r="DF64" s="4" t="s">
        <v>154</v>
      </c>
      <c r="DG64" s="4" t="s">
        <v>294</v>
      </c>
      <c r="DX64" s="8">
        <v>63</v>
      </c>
      <c r="DY64" s="29" t="s">
        <v>153</v>
      </c>
      <c r="DZ64" s="10">
        <v>0</v>
      </c>
    </row>
    <row r="65" spans="9:130">
      <c r="I65" s="55">
        <v>63</v>
      </c>
      <c r="J65" s="55" t="s">
        <v>142</v>
      </c>
      <c r="K65" s="88"/>
      <c r="L65" t="str">
        <f>VLOOKUP(J65,Sheet1!$E:$E,1,FALSE)</f>
        <v>1205.630750</v>
      </c>
      <c r="O65" s="28"/>
      <c r="DF65" s="4" t="s">
        <v>35</v>
      </c>
      <c r="DG65" s="4" t="s">
        <v>295</v>
      </c>
      <c r="DX65" s="8">
        <v>64</v>
      </c>
      <c r="DY65" s="29" t="s">
        <v>154</v>
      </c>
      <c r="DZ65" s="10">
        <v>0</v>
      </c>
    </row>
    <row r="66" spans="9:130">
      <c r="I66" s="55">
        <v>64</v>
      </c>
      <c r="J66" s="55" t="s">
        <v>143</v>
      </c>
      <c r="K66" s="88"/>
      <c r="L66" t="str">
        <f>VLOOKUP(J66,Sheet1!$E:$E,1,FALSE)</f>
        <v>1206.630750</v>
      </c>
      <c r="O66" s="28"/>
      <c r="DF66" s="4" t="s">
        <v>155</v>
      </c>
      <c r="DG66" s="4" t="s">
        <v>295</v>
      </c>
      <c r="DX66" s="8">
        <v>65</v>
      </c>
      <c r="DY66" s="30" t="s">
        <v>35</v>
      </c>
      <c r="DZ66" s="10">
        <v>22000</v>
      </c>
    </row>
    <row r="67" spans="9:130">
      <c r="I67" s="55">
        <v>65</v>
      </c>
      <c r="J67" s="55" t="s">
        <v>144</v>
      </c>
      <c r="K67" s="88"/>
      <c r="L67" t="str">
        <f>VLOOKUP(J67,Sheet1!$E:$E,1,FALSE)</f>
        <v>1201.630760</v>
      </c>
      <c r="O67" s="28"/>
      <c r="DF67" s="4" t="s">
        <v>156</v>
      </c>
      <c r="DG67" s="4" t="s">
        <v>295</v>
      </c>
      <c r="DX67" s="8">
        <v>66</v>
      </c>
      <c r="DY67" s="30" t="s">
        <v>155</v>
      </c>
      <c r="DZ67" s="10">
        <v>0</v>
      </c>
    </row>
    <row r="68" spans="9:130">
      <c r="I68" s="55">
        <v>66</v>
      </c>
      <c r="J68" s="55" t="s">
        <v>145</v>
      </c>
      <c r="K68" s="88"/>
      <c r="L68" t="str">
        <f>VLOOKUP(J68,Sheet1!$E:$E,1,FALSE)</f>
        <v>1204.630760</v>
      </c>
      <c r="O68" s="28"/>
      <c r="DF68" s="4" t="s">
        <v>157</v>
      </c>
      <c r="DG68" s="4" t="s">
        <v>295</v>
      </c>
      <c r="DX68" s="8">
        <v>67</v>
      </c>
      <c r="DY68" s="30" t="s">
        <v>156</v>
      </c>
      <c r="DZ68" s="10">
        <v>0</v>
      </c>
    </row>
    <row r="69" spans="9:130">
      <c r="I69" s="55">
        <v>67</v>
      </c>
      <c r="J69" s="55" t="s">
        <v>146</v>
      </c>
      <c r="K69" s="88"/>
      <c r="L69" t="str">
        <f>VLOOKUP(J69,Sheet1!$E:$E,1,FALSE)</f>
        <v>1205.630760</v>
      </c>
      <c r="O69" s="28"/>
      <c r="DF69" s="4" t="s">
        <v>39</v>
      </c>
      <c r="DG69" s="4" t="s">
        <v>158</v>
      </c>
      <c r="DX69" s="8">
        <v>68</v>
      </c>
      <c r="DY69" s="30" t="s">
        <v>157</v>
      </c>
      <c r="DZ69" s="10">
        <v>0</v>
      </c>
    </row>
    <row r="70" spans="9:130">
      <c r="I70" s="55">
        <v>68</v>
      </c>
      <c r="J70" s="55" t="s">
        <v>147</v>
      </c>
      <c r="K70" s="88"/>
      <c r="L70" t="str">
        <f>VLOOKUP(J70,Sheet1!$E:$E,1,FALSE)</f>
        <v>1206.630760</v>
      </c>
      <c r="O70" s="28"/>
      <c r="DF70" s="4" t="s">
        <v>159</v>
      </c>
      <c r="DG70" s="4" t="s">
        <v>158</v>
      </c>
      <c r="DX70" s="8">
        <v>69</v>
      </c>
      <c r="DY70" s="31" t="s">
        <v>39</v>
      </c>
      <c r="DZ70" s="10">
        <v>300</v>
      </c>
    </row>
    <row r="71" spans="9:130">
      <c r="I71" s="55">
        <v>69</v>
      </c>
      <c r="J71" s="55" t="s">
        <v>148</v>
      </c>
      <c r="K71" s="88"/>
      <c r="L71" t="str">
        <f>VLOOKUP(J71,Sheet1!$E:$E,1,FALSE)</f>
        <v>1201.630770</v>
      </c>
      <c r="O71" s="28"/>
      <c r="DF71" s="4" t="s">
        <v>160</v>
      </c>
      <c r="DG71" s="4" t="s">
        <v>158</v>
      </c>
      <c r="DX71" s="8">
        <v>70</v>
      </c>
      <c r="DY71" s="31" t="s">
        <v>159</v>
      </c>
      <c r="DZ71" s="10">
        <v>0</v>
      </c>
    </row>
    <row r="72" spans="9:130">
      <c r="I72" s="55">
        <v>70</v>
      </c>
      <c r="J72" s="55" t="s">
        <v>149</v>
      </c>
      <c r="K72" s="88"/>
      <c r="L72" t="str">
        <f>VLOOKUP(J72,Sheet1!$E:$E,1,FALSE)</f>
        <v>1204.630770</v>
      </c>
      <c r="O72" s="28"/>
      <c r="DF72" s="4" t="s">
        <v>161</v>
      </c>
      <c r="DG72" s="4" t="s">
        <v>158</v>
      </c>
      <c r="DX72" s="8">
        <v>71</v>
      </c>
      <c r="DY72" s="31" t="s">
        <v>160</v>
      </c>
      <c r="DZ72" s="10">
        <v>0</v>
      </c>
    </row>
    <row r="73" spans="9:130">
      <c r="I73" s="55">
        <v>71</v>
      </c>
      <c r="J73" s="55" t="s">
        <v>150</v>
      </c>
      <c r="K73" s="88"/>
      <c r="L73" t="str">
        <f>VLOOKUP(J73,Sheet1!$E:$E,1,FALSE)</f>
        <v>1205.630770</v>
      </c>
      <c r="O73" s="28"/>
      <c r="DF73" s="4" t="s">
        <v>42</v>
      </c>
      <c r="DG73" s="4" t="s">
        <v>272</v>
      </c>
      <c r="DX73" s="8">
        <v>72</v>
      </c>
      <c r="DY73" s="31" t="s">
        <v>161</v>
      </c>
      <c r="DZ73" s="10">
        <v>0</v>
      </c>
    </row>
    <row r="74" spans="9:130">
      <c r="I74" s="55">
        <v>72</v>
      </c>
      <c r="J74" s="55" t="s">
        <v>151</v>
      </c>
      <c r="K74" s="88"/>
      <c r="L74" t="str">
        <f>VLOOKUP(J74,Sheet1!$E:$E,1,FALSE)</f>
        <v>1206.630770</v>
      </c>
      <c r="O74" s="28"/>
      <c r="DF74" s="4" t="s">
        <v>162</v>
      </c>
      <c r="DG74" s="4" t="s">
        <v>272</v>
      </c>
      <c r="DX74" s="8">
        <v>73</v>
      </c>
      <c r="DY74" s="32" t="s">
        <v>42</v>
      </c>
      <c r="DZ74" s="10">
        <v>60000</v>
      </c>
    </row>
    <row r="75" spans="9:130">
      <c r="I75" s="55">
        <v>73</v>
      </c>
      <c r="J75" s="55" t="s">
        <v>31</v>
      </c>
      <c r="K75" s="88">
        <v>3679.7200000000003</v>
      </c>
      <c r="L75" t="str">
        <f>VLOOKUP(J75,Sheet1!$E:$E,1,FALSE)</f>
        <v>1201.630900</v>
      </c>
      <c r="O75" s="28"/>
      <c r="DF75" s="4" t="s">
        <v>163</v>
      </c>
      <c r="DG75" s="4" t="s">
        <v>272</v>
      </c>
      <c r="DX75" s="8">
        <v>74</v>
      </c>
      <c r="DY75" s="32" t="s">
        <v>162</v>
      </c>
      <c r="DZ75" s="10">
        <v>0</v>
      </c>
    </row>
    <row r="76" spans="9:130">
      <c r="I76" s="55">
        <v>74</v>
      </c>
      <c r="J76" s="55" t="s">
        <v>152</v>
      </c>
      <c r="K76" s="88"/>
      <c r="L76" t="str">
        <f>VLOOKUP(J76,Sheet1!$E:$E,1,FALSE)</f>
        <v>1204.630900</v>
      </c>
      <c r="O76" s="28"/>
      <c r="DF76" s="4" t="s">
        <v>164</v>
      </c>
      <c r="DG76" s="4" t="s">
        <v>272</v>
      </c>
      <c r="DX76" s="8">
        <v>75</v>
      </c>
      <c r="DY76" s="32" t="s">
        <v>163</v>
      </c>
      <c r="DZ76" s="10">
        <v>0</v>
      </c>
    </row>
    <row r="77" spans="9:130">
      <c r="I77" s="55">
        <v>75</v>
      </c>
      <c r="J77" s="55" t="s">
        <v>35</v>
      </c>
      <c r="K77" s="88">
        <v>5623.8399999999992</v>
      </c>
      <c r="L77" t="str">
        <f>VLOOKUP(J77,Sheet1!$E:$E,1,FALSE)</f>
        <v>1201.631000</v>
      </c>
      <c r="O77" s="28"/>
      <c r="DF77" s="4" t="s">
        <v>46</v>
      </c>
      <c r="DG77" s="4" t="s">
        <v>273</v>
      </c>
      <c r="DX77" s="8">
        <v>76</v>
      </c>
      <c r="DY77" s="32" t="s">
        <v>164</v>
      </c>
      <c r="DZ77" s="10">
        <v>0</v>
      </c>
    </row>
    <row r="78" spans="9:130">
      <c r="I78" s="55">
        <v>76</v>
      </c>
      <c r="J78" s="55" t="s">
        <v>157</v>
      </c>
      <c r="K78" s="88"/>
      <c r="L78" t="str">
        <f>VLOOKUP(J78,Sheet1!$E:$E,1,FALSE)</f>
        <v>1206.631000</v>
      </c>
      <c r="O78" s="28"/>
      <c r="DF78" s="4" t="s">
        <v>165</v>
      </c>
      <c r="DG78" s="4" t="s">
        <v>273</v>
      </c>
      <c r="DX78" s="8">
        <v>77</v>
      </c>
      <c r="DY78" s="33" t="s">
        <v>46</v>
      </c>
      <c r="DZ78" s="10">
        <v>800</v>
      </c>
    </row>
    <row r="79" spans="9:130">
      <c r="I79" s="55">
        <v>77</v>
      </c>
      <c r="J79" s="55" t="s">
        <v>39</v>
      </c>
      <c r="K79" s="56">
        <v>484.46</v>
      </c>
      <c r="L79" t="str">
        <f>VLOOKUP(J79,Sheet1!$E:$E,1,FALSE)</f>
        <v>1201.630450</v>
      </c>
      <c r="O79" s="28"/>
      <c r="DF79" s="4" t="s">
        <v>166</v>
      </c>
      <c r="DG79" s="4" t="s">
        <v>273</v>
      </c>
      <c r="DX79" s="8">
        <v>78</v>
      </c>
      <c r="DY79" s="33" t="s">
        <v>165</v>
      </c>
      <c r="DZ79" s="10">
        <v>0</v>
      </c>
    </row>
    <row r="80" spans="9:130">
      <c r="I80" s="55">
        <v>78</v>
      </c>
      <c r="J80" s="55" t="s">
        <v>161</v>
      </c>
      <c r="K80" s="56">
        <v>20.09</v>
      </c>
      <c r="L80" t="str">
        <f>VLOOKUP(J80,Sheet1!$E:$E,1,FALSE)</f>
        <v>1206.630450</v>
      </c>
      <c r="O80" s="28"/>
      <c r="DF80" s="4" t="s">
        <v>167</v>
      </c>
      <c r="DG80" s="4" t="s">
        <v>273</v>
      </c>
      <c r="DX80" s="8">
        <v>79</v>
      </c>
      <c r="DY80" s="33" t="s">
        <v>166</v>
      </c>
      <c r="DZ80" s="10">
        <v>0</v>
      </c>
    </row>
    <row r="81" spans="9:130">
      <c r="I81" s="55">
        <v>79</v>
      </c>
      <c r="J81" s="55" t="s">
        <v>42</v>
      </c>
      <c r="K81" s="88">
        <v>37855.17</v>
      </c>
      <c r="L81" t="str">
        <f>VLOOKUP(J81,Sheet1!$E:$E,1,FALSE)</f>
        <v>1201.631100</v>
      </c>
      <c r="O81" s="28"/>
      <c r="DF81" s="4" t="s">
        <v>50</v>
      </c>
      <c r="DG81" s="4" t="s">
        <v>296</v>
      </c>
      <c r="DX81" s="8">
        <v>80</v>
      </c>
      <c r="DY81" s="33" t="s">
        <v>167</v>
      </c>
      <c r="DZ81" s="10">
        <v>0</v>
      </c>
    </row>
    <row r="82" spans="9:130">
      <c r="I82" s="55">
        <v>80</v>
      </c>
      <c r="J82" s="55" t="s">
        <v>162</v>
      </c>
      <c r="K82" s="88"/>
      <c r="L82" t="str">
        <f>VLOOKUP(J82,Sheet1!$E:$E,1,FALSE)</f>
        <v>1204.631100</v>
      </c>
      <c r="O82" s="28"/>
      <c r="DF82" s="4" t="s">
        <v>168</v>
      </c>
      <c r="DG82" s="4" t="s">
        <v>296</v>
      </c>
      <c r="DX82" s="8">
        <v>81</v>
      </c>
      <c r="DY82" s="34" t="s">
        <v>50</v>
      </c>
      <c r="DZ82" s="10">
        <v>15000</v>
      </c>
    </row>
    <row r="83" spans="9:130">
      <c r="I83" s="55">
        <v>81</v>
      </c>
      <c r="J83" s="55" t="s">
        <v>163</v>
      </c>
      <c r="K83" s="88"/>
      <c r="L83" t="str">
        <f>VLOOKUP(J83,Sheet1!$E:$E,1,FALSE)</f>
        <v>1205.631100</v>
      </c>
      <c r="O83" s="28"/>
      <c r="DF83" s="4" t="s">
        <v>169</v>
      </c>
      <c r="DG83" s="4" t="s">
        <v>296</v>
      </c>
      <c r="DX83" s="8">
        <v>82</v>
      </c>
      <c r="DY83" s="34" t="s">
        <v>168</v>
      </c>
      <c r="DZ83" s="10">
        <v>0</v>
      </c>
    </row>
    <row r="84" spans="9:130">
      <c r="I84" s="55">
        <v>82</v>
      </c>
      <c r="J84" s="55" t="s">
        <v>164</v>
      </c>
      <c r="K84" s="88"/>
      <c r="L84" t="str">
        <f>VLOOKUP(J84,Sheet1!$E:$E,1,FALSE)</f>
        <v>1206.631100</v>
      </c>
      <c r="O84" s="28"/>
      <c r="DF84" s="4" t="s">
        <v>170</v>
      </c>
      <c r="DG84" s="4" t="s">
        <v>296</v>
      </c>
      <c r="DX84" s="8">
        <v>83</v>
      </c>
      <c r="DY84" s="34" t="s">
        <v>169</v>
      </c>
      <c r="DZ84" s="10">
        <v>0</v>
      </c>
    </row>
    <row r="85" spans="9:130">
      <c r="I85" s="55">
        <v>83</v>
      </c>
      <c r="J85" s="55" t="s">
        <v>46</v>
      </c>
      <c r="K85" s="88">
        <v>500</v>
      </c>
      <c r="L85" t="str">
        <f>VLOOKUP(J85,Sheet1!$E:$E,1,FALSE)</f>
        <v>1201.710200</v>
      </c>
      <c r="O85" s="28"/>
      <c r="DF85" s="4" t="s">
        <v>54</v>
      </c>
      <c r="DG85" s="4" t="s">
        <v>297</v>
      </c>
      <c r="DX85" s="8">
        <v>84</v>
      </c>
      <c r="DY85" s="34" t="s">
        <v>170</v>
      </c>
      <c r="DZ85" s="10">
        <v>0</v>
      </c>
    </row>
    <row r="86" spans="9:130">
      <c r="I86" s="55">
        <v>84</v>
      </c>
      <c r="J86" s="55" t="s">
        <v>165</v>
      </c>
      <c r="K86" s="88"/>
      <c r="L86" t="e">
        <f>VLOOKUP(J86,Sheet1!$E:$E,1,FALSE)</f>
        <v>#N/A</v>
      </c>
      <c r="O86" s="28"/>
      <c r="DF86" s="4" t="s">
        <v>171</v>
      </c>
      <c r="DG86" s="4" t="s">
        <v>297</v>
      </c>
      <c r="DX86" s="8">
        <v>85</v>
      </c>
      <c r="DY86" s="35" t="s">
        <v>54</v>
      </c>
      <c r="DZ86" s="10">
        <v>30000</v>
      </c>
    </row>
    <row r="87" spans="9:130">
      <c r="I87" s="55">
        <v>85</v>
      </c>
      <c r="J87" s="55" t="s">
        <v>166</v>
      </c>
      <c r="K87" s="88"/>
      <c r="L87" t="e">
        <f>VLOOKUP(J87,Sheet1!$E:$E,1,FALSE)</f>
        <v>#N/A</v>
      </c>
      <c r="O87" s="28"/>
      <c r="DF87" s="4" t="s">
        <v>172</v>
      </c>
      <c r="DG87" s="4" t="s">
        <v>297</v>
      </c>
      <c r="DX87" s="8">
        <v>86</v>
      </c>
      <c r="DY87" s="35" t="s">
        <v>171</v>
      </c>
      <c r="DZ87" s="10">
        <v>0</v>
      </c>
    </row>
    <row r="88" spans="9:130">
      <c r="I88" s="55">
        <v>86</v>
      </c>
      <c r="J88" s="55" t="s">
        <v>50</v>
      </c>
      <c r="K88" s="88">
        <v>10000</v>
      </c>
      <c r="L88" t="str">
        <f>VLOOKUP(J88,Sheet1!$E:$E,1,FALSE)</f>
        <v>1201.720100</v>
      </c>
      <c r="O88" s="28"/>
      <c r="DF88" s="4" t="s">
        <v>173</v>
      </c>
      <c r="DG88" s="4" t="s">
        <v>297</v>
      </c>
      <c r="DX88" s="8">
        <v>87</v>
      </c>
      <c r="DY88" s="35" t="s">
        <v>172</v>
      </c>
      <c r="DZ88" s="10">
        <v>0</v>
      </c>
    </row>
    <row r="89" spans="9:130">
      <c r="I89" s="55">
        <v>87</v>
      </c>
      <c r="J89" s="55" t="s">
        <v>168</v>
      </c>
      <c r="K89" s="88"/>
      <c r="L89" t="str">
        <f>VLOOKUP(J89,Sheet1!$E:$E,1,FALSE)</f>
        <v>1204.720100</v>
      </c>
      <c r="O89" s="28"/>
      <c r="DF89" s="4" t="s">
        <v>56</v>
      </c>
      <c r="DG89" s="4" t="s">
        <v>298</v>
      </c>
      <c r="DX89" s="8">
        <v>88</v>
      </c>
      <c r="DY89" s="35" t="s">
        <v>173</v>
      </c>
      <c r="DZ89" s="10">
        <v>0</v>
      </c>
    </row>
    <row r="90" spans="9:130">
      <c r="I90" s="55">
        <v>88</v>
      </c>
      <c r="J90" s="55" t="s">
        <v>54</v>
      </c>
      <c r="K90" s="88">
        <v>20000</v>
      </c>
      <c r="L90" t="str">
        <f>VLOOKUP(J90,Sheet1!$E:$E,1,FALSE)</f>
        <v>1201.720400</v>
      </c>
      <c r="O90" s="28"/>
      <c r="DF90" s="4" t="s">
        <v>174</v>
      </c>
      <c r="DG90" s="4" t="s">
        <v>298</v>
      </c>
      <c r="DX90" s="8">
        <v>89</v>
      </c>
      <c r="DY90" s="36" t="s">
        <v>56</v>
      </c>
      <c r="DZ90" s="10">
        <v>3000</v>
      </c>
    </row>
    <row r="91" spans="9:130">
      <c r="I91" s="55">
        <v>89</v>
      </c>
      <c r="J91" s="55" t="s">
        <v>171</v>
      </c>
      <c r="K91" s="88"/>
      <c r="L91" t="str">
        <f>VLOOKUP(J91,Sheet1!$E:$E,1,FALSE)</f>
        <v>1204.720400</v>
      </c>
      <c r="O91" s="28"/>
      <c r="DF91" s="4" t="s">
        <v>175</v>
      </c>
      <c r="DG91" s="4" t="s">
        <v>298</v>
      </c>
      <c r="DX91" s="8">
        <v>90</v>
      </c>
      <c r="DY91" s="36" t="s">
        <v>174</v>
      </c>
      <c r="DZ91" s="10">
        <v>0</v>
      </c>
    </row>
    <row r="92" spans="9:130">
      <c r="I92" s="55">
        <v>90</v>
      </c>
      <c r="J92" s="55" t="s">
        <v>59</v>
      </c>
      <c r="K92" s="56">
        <v>7000</v>
      </c>
      <c r="L92" t="str">
        <f>VLOOKUP(J92,Sheet1!$E:$E,1,FALSE)</f>
        <v>1201.730200</v>
      </c>
      <c r="O92" s="28"/>
      <c r="DF92" s="4" t="s">
        <v>176</v>
      </c>
      <c r="DG92" s="4" t="s">
        <v>298</v>
      </c>
      <c r="DX92" s="8">
        <v>91</v>
      </c>
      <c r="DY92" s="36" t="s">
        <v>175</v>
      </c>
      <c r="DZ92" s="10">
        <v>0</v>
      </c>
    </row>
    <row r="93" spans="9:130">
      <c r="I93" s="55">
        <v>91</v>
      </c>
      <c r="J93" s="55" t="s">
        <v>62</v>
      </c>
      <c r="K93" s="56">
        <v>2000</v>
      </c>
      <c r="L93" t="str">
        <f>VLOOKUP(J93,Sheet1!$E:$E,1,FALSE)</f>
        <v>1201.730300</v>
      </c>
      <c r="O93" s="28"/>
      <c r="DF93" s="4" t="s">
        <v>59</v>
      </c>
      <c r="DG93" s="4" t="s">
        <v>299</v>
      </c>
      <c r="DX93" s="8">
        <v>92</v>
      </c>
      <c r="DY93" s="36" t="s">
        <v>176</v>
      </c>
      <c r="DZ93" s="10">
        <v>0</v>
      </c>
    </row>
    <row r="94" spans="9:130">
      <c r="I94" s="55">
        <v>92</v>
      </c>
      <c r="J94" s="55" t="s">
        <v>65</v>
      </c>
      <c r="K94" s="88">
        <v>65254.421499999997</v>
      </c>
      <c r="L94" t="str">
        <f>VLOOKUP(J94,Sheet1!$E:$E,1,FALSE)</f>
        <v>1201.801110</v>
      </c>
      <c r="O94" s="28"/>
      <c r="DF94" s="4" t="s">
        <v>177</v>
      </c>
      <c r="DG94" s="4" t="s">
        <v>299</v>
      </c>
      <c r="DX94" s="8">
        <v>93</v>
      </c>
      <c r="DY94" s="32" t="s">
        <v>59</v>
      </c>
      <c r="DZ94" s="10">
        <v>11000</v>
      </c>
    </row>
    <row r="95" spans="9:130">
      <c r="I95" s="55">
        <v>93</v>
      </c>
      <c r="J95" s="55" t="s">
        <v>183</v>
      </c>
      <c r="K95" s="88"/>
      <c r="L95" t="str">
        <f>VLOOKUP(J95,Sheet1!$E:$E,1,FALSE)</f>
        <v>1204.801110</v>
      </c>
      <c r="O95" s="28"/>
      <c r="DF95" s="4" t="s">
        <v>178</v>
      </c>
      <c r="DG95" s="4" t="s">
        <v>299</v>
      </c>
      <c r="DX95" s="8">
        <v>94</v>
      </c>
      <c r="DY95" s="32" t="s">
        <v>177</v>
      </c>
      <c r="DZ95" s="10">
        <v>0</v>
      </c>
    </row>
    <row r="96" spans="9:130">
      <c r="I96" s="55">
        <v>94</v>
      </c>
      <c r="J96" s="55" t="s">
        <v>184</v>
      </c>
      <c r="K96" s="88"/>
      <c r="L96" t="str">
        <f>VLOOKUP(J96,Sheet1!$E:$E,1,FALSE)</f>
        <v>1205.801110</v>
      </c>
      <c r="O96" s="28"/>
      <c r="DF96" s="4" t="s">
        <v>179</v>
      </c>
      <c r="DG96" s="4" t="s">
        <v>299</v>
      </c>
      <c r="DX96" s="8">
        <v>95</v>
      </c>
      <c r="DY96" s="32" t="s">
        <v>178</v>
      </c>
      <c r="DZ96" s="10">
        <v>0</v>
      </c>
    </row>
    <row r="97" spans="9:130">
      <c r="I97" s="55">
        <v>95</v>
      </c>
      <c r="J97" s="55" t="s">
        <v>185</v>
      </c>
      <c r="K97" s="88"/>
      <c r="L97" t="str">
        <f>VLOOKUP(J97,Sheet1!$E:$E,1,FALSE)</f>
        <v>1206.801110</v>
      </c>
      <c r="O97" s="28"/>
      <c r="DF97" s="4" t="s">
        <v>62</v>
      </c>
      <c r="DG97" s="4" t="s">
        <v>300</v>
      </c>
      <c r="DX97" s="8">
        <v>96</v>
      </c>
      <c r="DY97" s="32" t="s">
        <v>179</v>
      </c>
      <c r="DZ97" s="10">
        <v>0</v>
      </c>
    </row>
    <row r="98" spans="9:130">
      <c r="I98" s="55">
        <v>96</v>
      </c>
      <c r="J98" s="55" t="s">
        <v>68</v>
      </c>
      <c r="K98" s="56">
        <v>2100</v>
      </c>
      <c r="L98" t="e">
        <f>VLOOKUP(J98,Sheet1!$E:$E,1,FALSE)</f>
        <v>#N/A</v>
      </c>
      <c r="O98" s="28"/>
      <c r="DF98" s="4" t="s">
        <v>180</v>
      </c>
      <c r="DG98" s="11" t="s">
        <v>300</v>
      </c>
      <c r="DX98" s="8">
        <v>97</v>
      </c>
      <c r="DY98" s="37" t="s">
        <v>62</v>
      </c>
      <c r="DZ98" s="10">
        <v>2000</v>
      </c>
    </row>
    <row r="99" spans="9:130">
      <c r="I99" s="55">
        <v>97</v>
      </c>
      <c r="J99" s="55" t="s">
        <v>337</v>
      </c>
      <c r="K99" s="56">
        <v>2403.8200000000002</v>
      </c>
      <c r="L99" t="e">
        <f>VLOOKUP(J99,Sheet1!$E:$E,1,FALSE)</f>
        <v>#N/A</v>
      </c>
      <c r="O99" s="28"/>
      <c r="DF99" s="4" t="s">
        <v>181</v>
      </c>
      <c r="DG99" s="4" t="s">
        <v>300</v>
      </c>
      <c r="DX99" s="8">
        <v>98</v>
      </c>
      <c r="DY99" s="37" t="s">
        <v>180</v>
      </c>
      <c r="DZ99" s="10">
        <v>0</v>
      </c>
    </row>
    <row r="100" spans="9:130">
      <c r="I100" s="55">
        <v>98</v>
      </c>
      <c r="J100" s="55" t="s">
        <v>71</v>
      </c>
      <c r="K100" s="88">
        <v>309.85000000000002</v>
      </c>
      <c r="L100" t="str">
        <f>VLOOKUP(J100,Sheet1!$E:$E,1,FALSE)</f>
        <v>1201.802120</v>
      </c>
      <c r="O100" s="28"/>
      <c r="DF100" s="4" t="s">
        <v>182</v>
      </c>
      <c r="DG100" s="4" t="s">
        <v>300</v>
      </c>
      <c r="DX100" s="8">
        <v>99</v>
      </c>
      <c r="DY100" s="37" t="s">
        <v>181</v>
      </c>
      <c r="DZ100" s="10">
        <v>0</v>
      </c>
    </row>
    <row r="101" spans="9:130">
      <c r="I101" s="55">
        <v>99</v>
      </c>
      <c r="J101" s="55" t="s">
        <v>191</v>
      </c>
      <c r="K101" s="88"/>
      <c r="L101" t="str">
        <f>VLOOKUP(J101,Sheet1!$E:$E,1,FALSE)</f>
        <v>1206.802120</v>
      </c>
      <c r="O101" s="28"/>
      <c r="DF101" s="4" t="s">
        <v>65</v>
      </c>
      <c r="DG101" s="4" t="s">
        <v>274</v>
      </c>
      <c r="DX101" s="8">
        <v>100</v>
      </c>
      <c r="DY101" s="37" t="s">
        <v>182</v>
      </c>
      <c r="DZ101" s="10">
        <v>0</v>
      </c>
    </row>
    <row r="102" spans="9:130">
      <c r="I102" s="55">
        <v>100</v>
      </c>
      <c r="J102" s="55" t="s">
        <v>74</v>
      </c>
      <c r="K102" s="88">
        <v>869.23</v>
      </c>
      <c r="L102" t="str">
        <f>VLOOKUP(J102,Sheet1!$E:$E,1,FALSE)</f>
        <v>1201.802140</v>
      </c>
      <c r="O102" s="28"/>
      <c r="DF102" s="4" t="s">
        <v>183</v>
      </c>
      <c r="DG102" s="4" t="s">
        <v>274</v>
      </c>
      <c r="DX102" s="8">
        <v>101</v>
      </c>
      <c r="DY102" s="27" t="s">
        <v>65</v>
      </c>
      <c r="DZ102" s="10">
        <v>68000</v>
      </c>
    </row>
    <row r="103" spans="9:130">
      <c r="I103" s="55">
        <v>101</v>
      </c>
      <c r="J103" s="55" t="s">
        <v>192</v>
      </c>
      <c r="K103" s="88"/>
      <c r="L103" t="str">
        <f>VLOOKUP(J103,Sheet1!$E:$E,1,FALSE)</f>
        <v>1204.802140</v>
      </c>
      <c r="O103" s="28"/>
      <c r="DF103" s="4" t="s">
        <v>184</v>
      </c>
      <c r="DG103" s="11" t="s">
        <v>274</v>
      </c>
      <c r="DX103" s="8">
        <v>102</v>
      </c>
      <c r="DY103" s="27" t="s">
        <v>183</v>
      </c>
      <c r="DZ103" s="10">
        <v>0</v>
      </c>
    </row>
    <row r="104" spans="9:130">
      <c r="I104" s="55">
        <v>102</v>
      </c>
      <c r="J104" s="55" t="s">
        <v>193</v>
      </c>
      <c r="K104" s="88"/>
      <c r="L104" t="e">
        <f>VLOOKUP(J104,Sheet1!$E:$E,1,FALSE)</f>
        <v>#N/A</v>
      </c>
      <c r="O104" s="28"/>
      <c r="DF104" s="4" t="s">
        <v>185</v>
      </c>
      <c r="DG104" s="4" t="s">
        <v>274</v>
      </c>
      <c r="DX104" s="8">
        <v>103</v>
      </c>
      <c r="DY104" s="27" t="s">
        <v>184</v>
      </c>
      <c r="DZ104" s="10">
        <v>0</v>
      </c>
    </row>
    <row r="105" spans="9:130">
      <c r="I105" s="55">
        <v>103</v>
      </c>
      <c r="J105" s="55" t="s">
        <v>77</v>
      </c>
      <c r="K105" s="56">
        <v>743.73</v>
      </c>
      <c r="L105" t="str">
        <f>VLOOKUP(J105,Sheet1!$E:$E,1,FALSE)</f>
        <v>1201.805120</v>
      </c>
      <c r="O105" s="28"/>
      <c r="DF105" s="4" t="s">
        <v>68</v>
      </c>
      <c r="DG105" s="4" t="s">
        <v>282</v>
      </c>
      <c r="DX105" s="8">
        <v>104</v>
      </c>
      <c r="DY105" s="27" t="s">
        <v>185</v>
      </c>
      <c r="DZ105" s="10">
        <v>0</v>
      </c>
    </row>
    <row r="106" spans="9:130">
      <c r="I106" s="55">
        <v>104</v>
      </c>
      <c r="J106" s="55" t="s">
        <v>79</v>
      </c>
      <c r="K106" s="88">
        <v>345.96999999999997</v>
      </c>
      <c r="L106" t="str">
        <f>VLOOKUP(J106,Sheet1!$E:$E,1,FALSE)</f>
        <v>1201.807100</v>
      </c>
      <c r="O106" s="28"/>
      <c r="DF106" s="4" t="s">
        <v>186</v>
      </c>
      <c r="DG106" s="4" t="s">
        <v>282</v>
      </c>
      <c r="DX106" s="8">
        <v>105</v>
      </c>
      <c r="DY106" s="38" t="s">
        <v>68</v>
      </c>
      <c r="DZ106" s="10">
        <v>0</v>
      </c>
    </row>
    <row r="107" spans="9:130">
      <c r="I107" s="55">
        <v>105</v>
      </c>
      <c r="J107" s="55" t="s">
        <v>198</v>
      </c>
      <c r="K107" s="88"/>
      <c r="L107" t="str">
        <f>VLOOKUP(J107,Sheet1!$E:$E,1,FALSE)</f>
        <v>1204.807100</v>
      </c>
      <c r="O107" s="28"/>
      <c r="DF107" s="4" t="s">
        <v>187</v>
      </c>
      <c r="DG107" s="4" t="s">
        <v>282</v>
      </c>
      <c r="DX107" s="8">
        <v>106</v>
      </c>
      <c r="DY107" s="38" t="s">
        <v>186</v>
      </c>
      <c r="DZ107" s="10">
        <v>0</v>
      </c>
    </row>
    <row r="108" spans="9:130">
      <c r="I108" s="55">
        <v>106</v>
      </c>
      <c r="J108" s="55" t="s">
        <v>199</v>
      </c>
      <c r="K108" s="88"/>
      <c r="L108" t="e">
        <f>VLOOKUP(J108,Sheet1!$E:$E,1,FALSE)</f>
        <v>#N/A</v>
      </c>
      <c r="O108" s="28"/>
      <c r="DF108" s="4" t="s">
        <v>188</v>
      </c>
      <c r="DG108" s="4" t="s">
        <v>282</v>
      </c>
      <c r="DX108" s="8">
        <v>107</v>
      </c>
      <c r="DY108" s="38" t="s">
        <v>187</v>
      </c>
      <c r="DZ108" s="10">
        <v>0</v>
      </c>
    </row>
    <row r="109" spans="9:130">
      <c r="I109" s="55">
        <v>107</v>
      </c>
      <c r="J109" s="55" t="s">
        <v>82</v>
      </c>
      <c r="K109" s="88">
        <v>3432.3599999999997</v>
      </c>
      <c r="L109" t="str">
        <f>VLOOKUP(J109,Sheet1!$E:$E,1,FALSE)</f>
        <v>1201.808100</v>
      </c>
      <c r="O109" s="28"/>
      <c r="DF109" s="4" t="s">
        <v>71</v>
      </c>
      <c r="DG109" s="4" t="s">
        <v>301</v>
      </c>
      <c r="DX109" s="8">
        <v>108</v>
      </c>
      <c r="DY109" s="38" t="s">
        <v>188</v>
      </c>
      <c r="DZ109" s="10">
        <v>0</v>
      </c>
    </row>
    <row r="110" spans="9:130">
      <c r="I110" s="55">
        <v>108</v>
      </c>
      <c r="J110" s="55" t="s">
        <v>201</v>
      </c>
      <c r="K110" s="88"/>
      <c r="L110" t="str">
        <f>VLOOKUP(J110,Sheet1!$E:$E,1,FALSE)</f>
        <v>1204.808100</v>
      </c>
      <c r="O110" s="28"/>
      <c r="DF110" s="4" t="s">
        <v>189</v>
      </c>
      <c r="DG110" s="4" t="s">
        <v>301</v>
      </c>
      <c r="DX110" s="8">
        <v>109</v>
      </c>
      <c r="DY110" s="39" t="s">
        <v>71</v>
      </c>
      <c r="DZ110" s="10">
        <v>500</v>
      </c>
    </row>
    <row r="111" spans="9:130">
      <c r="I111" s="55">
        <v>109</v>
      </c>
      <c r="J111" s="55" t="s">
        <v>202</v>
      </c>
      <c r="K111" s="88"/>
      <c r="L111" t="str">
        <f>VLOOKUP(J111,Sheet1!$E:$E,1,FALSE)</f>
        <v>1205.808100</v>
      </c>
      <c r="O111" s="28"/>
      <c r="DF111" s="4" t="s">
        <v>190</v>
      </c>
      <c r="DG111" s="4" t="s">
        <v>301</v>
      </c>
      <c r="DX111" s="8">
        <v>110</v>
      </c>
      <c r="DY111" s="39" t="s">
        <v>189</v>
      </c>
      <c r="DZ111" s="10">
        <v>0</v>
      </c>
    </row>
    <row r="112" spans="9:130">
      <c r="I112" s="55">
        <v>110</v>
      </c>
      <c r="J112" s="55" t="s">
        <v>203</v>
      </c>
      <c r="K112" s="88"/>
      <c r="L112" t="str">
        <f>VLOOKUP(J112,Sheet1!$E:$E,1,FALSE)</f>
        <v>1206.808100</v>
      </c>
      <c r="O112" s="28"/>
      <c r="DF112" s="4" t="s">
        <v>191</v>
      </c>
      <c r="DG112" s="4" t="s">
        <v>301</v>
      </c>
      <c r="DX112" s="8">
        <v>111</v>
      </c>
      <c r="DY112" s="39" t="s">
        <v>190</v>
      </c>
      <c r="DZ112" s="10">
        <v>0</v>
      </c>
    </row>
    <row r="113" spans="9:130">
      <c r="I113" s="55">
        <v>111</v>
      </c>
      <c r="J113" s="55" t="s">
        <v>85</v>
      </c>
      <c r="K113" s="88">
        <v>1499.6899999999998</v>
      </c>
      <c r="L113" t="str">
        <f>VLOOKUP(J113,Sheet1!$E:$E,1,FALSE)</f>
        <v>1201.809100</v>
      </c>
      <c r="O113" s="28"/>
      <c r="DF113" s="4" t="s">
        <v>74</v>
      </c>
      <c r="DG113" s="4" t="s">
        <v>302</v>
      </c>
      <c r="DX113" s="8">
        <v>112</v>
      </c>
      <c r="DY113" s="39" t="s">
        <v>191</v>
      </c>
      <c r="DZ113" s="10">
        <v>0</v>
      </c>
    </row>
    <row r="114" spans="9:130">
      <c r="I114" s="55">
        <v>112</v>
      </c>
      <c r="J114" s="55" t="s">
        <v>204</v>
      </c>
      <c r="K114" s="88"/>
      <c r="L114" t="str">
        <f>VLOOKUP(J114,Sheet1!$E:$E,1,FALSE)</f>
        <v>1204.809100</v>
      </c>
      <c r="O114" s="28"/>
      <c r="DF114" s="4" t="s">
        <v>192</v>
      </c>
      <c r="DG114" s="4" t="s">
        <v>302</v>
      </c>
      <c r="DX114" s="8">
        <v>113</v>
      </c>
      <c r="DY114" s="40" t="s">
        <v>74</v>
      </c>
      <c r="DZ114" s="10">
        <v>1000</v>
      </c>
    </row>
    <row r="115" spans="9:130">
      <c r="I115" s="55">
        <v>113</v>
      </c>
      <c r="J115" s="55" t="s">
        <v>205</v>
      </c>
      <c r="K115" s="88"/>
      <c r="L115" t="str">
        <f>VLOOKUP(J115,Sheet1!$E:$E,1,FALSE)</f>
        <v>1205.809100</v>
      </c>
      <c r="O115" s="28"/>
      <c r="DF115" s="4" t="s">
        <v>193</v>
      </c>
      <c r="DG115" s="4" t="s">
        <v>302</v>
      </c>
      <c r="DX115" s="8">
        <v>114</v>
      </c>
      <c r="DY115" s="40" t="s">
        <v>192</v>
      </c>
      <c r="DZ115" s="10">
        <v>0</v>
      </c>
    </row>
    <row r="116" spans="9:130">
      <c r="I116" s="55">
        <v>114</v>
      </c>
      <c r="J116" s="55" t="s">
        <v>206</v>
      </c>
      <c r="K116" s="88"/>
      <c r="L116" t="str">
        <f>VLOOKUP(J116,Sheet1!$E:$E,1,FALSE)</f>
        <v>1206.809100</v>
      </c>
      <c r="O116" s="28"/>
      <c r="DF116" s="4" t="s">
        <v>194</v>
      </c>
      <c r="DG116" s="4" t="s">
        <v>302</v>
      </c>
      <c r="DX116" s="8">
        <v>115</v>
      </c>
      <c r="DY116" s="40" t="s">
        <v>193</v>
      </c>
      <c r="DZ116" s="10">
        <v>0</v>
      </c>
    </row>
    <row r="117" spans="9:130">
      <c r="I117" s="55">
        <v>115</v>
      </c>
      <c r="J117" s="55" t="s">
        <v>88</v>
      </c>
      <c r="K117" s="88">
        <v>750</v>
      </c>
      <c r="L117" t="str">
        <f>VLOOKUP(J117,Sheet1!$E:$E,1,FALSE)</f>
        <v>1201.810110</v>
      </c>
      <c r="O117" s="28"/>
      <c r="DF117" s="4" t="s">
        <v>77</v>
      </c>
      <c r="DG117" s="4" t="s">
        <v>303</v>
      </c>
      <c r="DX117" s="8">
        <v>116</v>
      </c>
      <c r="DY117" s="40" t="s">
        <v>194</v>
      </c>
      <c r="DZ117" s="10">
        <v>0</v>
      </c>
    </row>
    <row r="118" spans="9:130">
      <c r="I118" s="55">
        <v>116</v>
      </c>
      <c r="J118" s="55" t="s">
        <v>207</v>
      </c>
      <c r="K118" s="88"/>
      <c r="L118" t="str">
        <f>VLOOKUP(J118,Sheet1!$E:$E,1,FALSE)</f>
        <v>1204.810110</v>
      </c>
      <c r="O118" s="28"/>
      <c r="DF118" s="4" t="s">
        <v>195</v>
      </c>
      <c r="DG118" s="4" t="s">
        <v>303</v>
      </c>
      <c r="DX118" s="8">
        <v>117</v>
      </c>
      <c r="DY118" s="34" t="s">
        <v>77</v>
      </c>
      <c r="DZ118" s="10">
        <v>0</v>
      </c>
    </row>
    <row r="119" spans="9:130">
      <c r="I119" s="55">
        <v>117</v>
      </c>
      <c r="J119" s="55" t="s">
        <v>208</v>
      </c>
      <c r="K119" s="88"/>
      <c r="L119" t="str">
        <f>VLOOKUP(J119,Sheet1!$E:$E,1,FALSE)</f>
        <v>1205.810110</v>
      </c>
      <c r="O119" s="28"/>
      <c r="DF119" s="4" t="s">
        <v>196</v>
      </c>
      <c r="DG119" s="4" t="s">
        <v>303</v>
      </c>
      <c r="DX119" s="8">
        <v>118</v>
      </c>
      <c r="DY119" s="34" t="s">
        <v>195</v>
      </c>
      <c r="DZ119" s="10">
        <v>0</v>
      </c>
    </row>
    <row r="120" spans="9:130">
      <c r="I120" s="55">
        <v>118</v>
      </c>
      <c r="J120" s="55" t="s">
        <v>209</v>
      </c>
      <c r="K120" s="88"/>
      <c r="L120" t="str">
        <f>VLOOKUP(J120,Sheet1!$E:$E,1,FALSE)</f>
        <v>1206.810110</v>
      </c>
      <c r="O120" s="28"/>
      <c r="DF120" s="4" t="s">
        <v>197</v>
      </c>
      <c r="DG120" s="4" t="s">
        <v>303</v>
      </c>
      <c r="DX120" s="8">
        <v>119</v>
      </c>
      <c r="DY120" s="34" t="s">
        <v>196</v>
      </c>
      <c r="DZ120" s="10">
        <v>0</v>
      </c>
    </row>
    <row r="121" spans="9:130">
      <c r="I121" s="55">
        <v>119</v>
      </c>
      <c r="J121" s="55" t="s">
        <v>91</v>
      </c>
      <c r="K121" s="88">
        <v>23465.289999999997</v>
      </c>
      <c r="L121" t="str">
        <f>VLOOKUP(J121,Sheet1!$E:$E,1,FALSE)</f>
        <v>1201.812100</v>
      </c>
      <c r="O121" s="28"/>
      <c r="DF121" s="4" t="s">
        <v>79</v>
      </c>
      <c r="DG121" s="4" t="s">
        <v>275</v>
      </c>
      <c r="DX121" s="8">
        <v>120</v>
      </c>
      <c r="DY121" s="34" t="s">
        <v>197</v>
      </c>
      <c r="DZ121" s="10">
        <v>0</v>
      </c>
    </row>
    <row r="122" spans="9:130">
      <c r="I122" s="55">
        <v>120</v>
      </c>
      <c r="J122" s="55" t="s">
        <v>218</v>
      </c>
      <c r="K122" s="88"/>
      <c r="L122" t="str">
        <f>VLOOKUP(J122,Sheet1!$E:$E,1,FALSE)</f>
        <v>1204.812100</v>
      </c>
      <c r="O122" s="28"/>
      <c r="DF122" s="4" t="s">
        <v>198</v>
      </c>
      <c r="DG122" s="4" t="s">
        <v>275</v>
      </c>
      <c r="DX122" s="8">
        <v>121</v>
      </c>
      <c r="DY122" s="41" t="s">
        <v>79</v>
      </c>
      <c r="DZ122" s="10">
        <v>1200</v>
      </c>
    </row>
    <row r="123" spans="9:130">
      <c r="I123" s="55">
        <v>121</v>
      </c>
      <c r="J123" s="55" t="s">
        <v>219</v>
      </c>
      <c r="K123" s="88"/>
      <c r="L123" t="str">
        <f>VLOOKUP(J123,Sheet1!$E:$E,1,FALSE)</f>
        <v>1205.812100</v>
      </c>
      <c r="O123" s="28"/>
      <c r="DF123" s="4" t="s">
        <v>199</v>
      </c>
      <c r="DG123" s="4" t="s">
        <v>275</v>
      </c>
      <c r="DX123" s="8">
        <v>122</v>
      </c>
      <c r="DY123" s="41" t="s">
        <v>198</v>
      </c>
      <c r="DZ123" s="10">
        <v>0</v>
      </c>
    </row>
    <row r="124" spans="9:130">
      <c r="I124" s="55">
        <v>122</v>
      </c>
      <c r="J124" s="55" t="s">
        <v>220</v>
      </c>
      <c r="K124" s="88"/>
      <c r="L124" t="str">
        <f>VLOOKUP(J124,Sheet1!$E:$E,1,FALSE)</f>
        <v>1206.812100</v>
      </c>
      <c r="O124" s="28"/>
      <c r="DF124" s="4" t="s">
        <v>200</v>
      </c>
      <c r="DG124" s="4" t="s">
        <v>275</v>
      </c>
      <c r="DX124" s="8">
        <v>123</v>
      </c>
      <c r="DY124" s="41" t="s">
        <v>199</v>
      </c>
      <c r="DZ124" s="10">
        <v>0</v>
      </c>
    </row>
    <row r="125" spans="9:130">
      <c r="I125" s="55">
        <v>123</v>
      </c>
      <c r="J125" s="55" t="s">
        <v>94</v>
      </c>
      <c r="K125" s="88">
        <v>2095.96</v>
      </c>
      <c r="L125" t="str">
        <f>VLOOKUP(J125,Sheet1!$E:$E,1,FALSE)</f>
        <v>1201.813100</v>
      </c>
      <c r="O125" s="28"/>
      <c r="DF125" s="4" t="s">
        <v>82</v>
      </c>
      <c r="DG125" s="4" t="s">
        <v>276</v>
      </c>
      <c r="DX125" s="8">
        <v>124</v>
      </c>
      <c r="DY125" s="41" t="s">
        <v>200</v>
      </c>
      <c r="DZ125" s="10">
        <v>0</v>
      </c>
    </row>
    <row r="126" spans="9:130">
      <c r="I126" s="55">
        <v>124</v>
      </c>
      <c r="J126" s="55" t="s">
        <v>222</v>
      </c>
      <c r="K126" s="88"/>
      <c r="L126" t="str">
        <f>VLOOKUP(J126,Sheet1!$E:$E,1,FALSE)</f>
        <v>1204.813100</v>
      </c>
      <c r="O126" s="28"/>
      <c r="DF126" s="4" t="s">
        <v>201</v>
      </c>
      <c r="DG126" s="4" t="s">
        <v>276</v>
      </c>
      <c r="DX126" s="8">
        <v>125</v>
      </c>
      <c r="DY126" s="42" t="s">
        <v>82</v>
      </c>
      <c r="DZ126" s="10">
        <v>5500</v>
      </c>
    </row>
    <row r="127" spans="9:130">
      <c r="I127" s="55">
        <v>125</v>
      </c>
      <c r="J127" s="55" t="s">
        <v>223</v>
      </c>
      <c r="K127" s="88"/>
      <c r="L127" t="str">
        <f>VLOOKUP(J127,Sheet1!$E:$E,1,FALSE)</f>
        <v>1205.813100</v>
      </c>
      <c r="O127" s="28"/>
      <c r="DF127" s="4" t="s">
        <v>202</v>
      </c>
      <c r="DG127" s="4" t="s">
        <v>276</v>
      </c>
      <c r="DX127" s="8">
        <v>126</v>
      </c>
      <c r="DY127" s="42" t="s">
        <v>201</v>
      </c>
      <c r="DZ127" s="10">
        <v>0</v>
      </c>
    </row>
    <row r="128" spans="9:130">
      <c r="I128" s="55">
        <v>126</v>
      </c>
      <c r="J128" s="55" t="s">
        <v>97</v>
      </c>
      <c r="K128" s="56">
        <v>200</v>
      </c>
      <c r="L128" t="str">
        <f>VLOOKUP(J128,Sheet1!$E:$E,1,FALSE)</f>
        <v>1201.814110</v>
      </c>
      <c r="O128" s="28"/>
      <c r="DF128" s="4" t="s">
        <v>203</v>
      </c>
      <c r="DG128" s="4" t="s">
        <v>276</v>
      </c>
      <c r="DX128" s="8">
        <v>127</v>
      </c>
      <c r="DY128" s="42" t="s">
        <v>202</v>
      </c>
      <c r="DZ128" s="10">
        <v>0</v>
      </c>
    </row>
    <row r="129" spans="9:130">
      <c r="I129" s="55">
        <v>127</v>
      </c>
      <c r="J129" s="55" t="s">
        <v>100</v>
      </c>
      <c r="K129" s="88">
        <v>1682.6100000000001</v>
      </c>
      <c r="L129" t="str">
        <f>VLOOKUP(J129,Sheet1!$E:$E,1,FALSE)</f>
        <v>1201.815110</v>
      </c>
      <c r="O129" s="28"/>
      <c r="DF129" s="4" t="s">
        <v>85</v>
      </c>
      <c r="DG129" s="4" t="s">
        <v>277</v>
      </c>
      <c r="DX129" s="8">
        <v>128</v>
      </c>
      <c r="DY129" s="42" t="s">
        <v>203</v>
      </c>
      <c r="DZ129" s="10">
        <v>0</v>
      </c>
    </row>
    <row r="130" spans="9:130">
      <c r="I130" s="55">
        <v>128</v>
      </c>
      <c r="J130" s="55" t="s">
        <v>228</v>
      </c>
      <c r="K130" s="88"/>
      <c r="L130" t="str">
        <f>VLOOKUP(J130,Sheet1!$E:$E,1,FALSE)</f>
        <v>1204.815110</v>
      </c>
      <c r="O130" s="28"/>
      <c r="DF130" s="4" t="s">
        <v>204</v>
      </c>
      <c r="DG130" s="4" t="s">
        <v>277</v>
      </c>
      <c r="DX130" s="8">
        <v>129</v>
      </c>
      <c r="DY130" s="43" t="s">
        <v>85</v>
      </c>
      <c r="DZ130" s="10">
        <v>3000</v>
      </c>
    </row>
    <row r="131" spans="9:130">
      <c r="I131" s="55">
        <v>129</v>
      </c>
      <c r="J131" s="55" t="s">
        <v>229</v>
      </c>
      <c r="K131" s="88"/>
      <c r="L131" t="str">
        <f>VLOOKUP(J131,Sheet1!$E:$E,1,FALSE)</f>
        <v>1205.815110</v>
      </c>
      <c r="O131" s="28"/>
      <c r="DF131" s="4" t="s">
        <v>205</v>
      </c>
      <c r="DG131" s="4" t="s">
        <v>277</v>
      </c>
      <c r="DX131" s="8">
        <v>130</v>
      </c>
      <c r="DY131" s="43" t="s">
        <v>204</v>
      </c>
      <c r="DZ131" s="10">
        <v>0</v>
      </c>
    </row>
    <row r="132" spans="9:130">
      <c r="I132" s="55">
        <v>130</v>
      </c>
      <c r="J132" s="55" t="s">
        <v>230</v>
      </c>
      <c r="K132" s="88"/>
      <c r="L132" t="str">
        <f>VLOOKUP(J132,Sheet1!$E:$E,1,FALSE)</f>
        <v>1206.815110</v>
      </c>
      <c r="O132" s="28"/>
      <c r="DF132" s="4" t="s">
        <v>206</v>
      </c>
      <c r="DG132" s="4" t="s">
        <v>277</v>
      </c>
      <c r="DX132" s="8">
        <v>131</v>
      </c>
      <c r="DY132" s="43" t="s">
        <v>205</v>
      </c>
      <c r="DZ132" s="10">
        <v>0</v>
      </c>
    </row>
    <row r="133" spans="9:130">
      <c r="I133" s="55">
        <v>131</v>
      </c>
      <c r="J133" s="55" t="s">
        <v>102</v>
      </c>
      <c r="K133" s="56">
        <v>764.4</v>
      </c>
      <c r="L133" t="str">
        <f>VLOOKUP(J133,Sheet1!$E:$E,1,FALSE)</f>
        <v>1201.815120</v>
      </c>
      <c r="O133" s="28"/>
      <c r="DF133" s="4" t="s">
        <v>88</v>
      </c>
      <c r="DG133" s="4" t="s">
        <v>304</v>
      </c>
      <c r="DX133" s="8">
        <v>132</v>
      </c>
      <c r="DY133" s="43" t="s">
        <v>206</v>
      </c>
      <c r="DZ133" s="10">
        <v>0</v>
      </c>
    </row>
    <row r="134" spans="9:130">
      <c r="I134" s="55">
        <v>132</v>
      </c>
      <c r="J134" s="55" t="s">
        <v>105</v>
      </c>
      <c r="K134" s="56">
        <v>2312.8199999999997</v>
      </c>
      <c r="L134" t="str">
        <f>VLOOKUP(J134,Sheet1!$E:$E,1,FALSE)</f>
        <v>1201.816110</v>
      </c>
      <c r="O134" s="28"/>
      <c r="DF134" s="4" t="s">
        <v>207</v>
      </c>
      <c r="DG134" s="4" t="s">
        <v>304</v>
      </c>
      <c r="DX134" s="8">
        <v>133</v>
      </c>
      <c r="DY134" s="32" t="s">
        <v>88</v>
      </c>
      <c r="DZ134" s="10">
        <v>1000</v>
      </c>
    </row>
    <row r="135" spans="9:130">
      <c r="I135" s="55">
        <v>133</v>
      </c>
      <c r="J135" s="55" t="s">
        <v>109</v>
      </c>
      <c r="K135" s="56">
        <v>943.01</v>
      </c>
      <c r="L135" t="str">
        <f>VLOOKUP(J135,Sheet1!$E:$E,1,FALSE)</f>
        <v>1201.816120</v>
      </c>
      <c r="O135" s="28"/>
      <c r="DF135" s="4" t="s">
        <v>208</v>
      </c>
      <c r="DG135" s="4" t="s">
        <v>304</v>
      </c>
      <c r="DX135" s="8">
        <v>134</v>
      </c>
      <c r="DY135" s="32" t="s">
        <v>207</v>
      </c>
      <c r="DZ135" s="10">
        <v>0</v>
      </c>
    </row>
    <row r="136" spans="9:130">
      <c r="I136" s="55">
        <v>134</v>
      </c>
      <c r="J136" s="55" t="s">
        <v>113</v>
      </c>
      <c r="K136" s="88">
        <v>5256.43</v>
      </c>
      <c r="L136" t="str">
        <f>VLOOKUP(J136,Sheet1!$E:$E,1,FALSE)</f>
        <v>1201.816130</v>
      </c>
      <c r="O136" s="28"/>
      <c r="DF136" s="4" t="s">
        <v>209</v>
      </c>
      <c r="DG136" s="4" t="s">
        <v>304</v>
      </c>
      <c r="DX136" s="8">
        <v>135</v>
      </c>
      <c r="DY136" s="32" t="s">
        <v>208</v>
      </c>
      <c r="DZ136" s="10">
        <v>0</v>
      </c>
    </row>
    <row r="137" spans="9:130">
      <c r="I137" s="55">
        <v>135</v>
      </c>
      <c r="J137" s="55" t="s">
        <v>240</v>
      </c>
      <c r="K137" s="88"/>
      <c r="L137" t="str">
        <f>VLOOKUP(J137,Sheet1!$E:$E,1,FALSE)</f>
        <v>1204.816130</v>
      </c>
      <c r="O137" s="28"/>
      <c r="DF137" s="4" t="s">
        <v>210</v>
      </c>
      <c r="DG137" s="4" t="s">
        <v>305</v>
      </c>
      <c r="DX137" s="8">
        <v>136</v>
      </c>
      <c r="DY137" s="32" t="s">
        <v>209</v>
      </c>
      <c r="DZ137" s="10">
        <v>0</v>
      </c>
    </row>
    <row r="138" spans="9:130">
      <c r="I138" s="55">
        <v>136</v>
      </c>
      <c r="J138" s="55" t="s">
        <v>241</v>
      </c>
      <c r="K138" s="88"/>
      <c r="L138" t="str">
        <f>VLOOKUP(J138,Sheet1!$E:$E,1,FALSE)</f>
        <v>1205.816130</v>
      </c>
      <c r="O138" s="28"/>
      <c r="DF138" s="4" t="s">
        <v>211</v>
      </c>
      <c r="DG138" s="4" t="s">
        <v>305</v>
      </c>
      <c r="DX138" s="8">
        <v>137</v>
      </c>
      <c r="DY138" s="32" t="s">
        <v>210</v>
      </c>
      <c r="DZ138" s="10">
        <v>0</v>
      </c>
    </row>
    <row r="139" spans="9:130">
      <c r="I139" s="55">
        <v>137</v>
      </c>
      <c r="J139" s="55" t="s">
        <v>242</v>
      </c>
      <c r="K139" s="88"/>
      <c r="L139" t="str">
        <f>VLOOKUP(J139,Sheet1!$E:$E,1,FALSE)</f>
        <v>1206.816130</v>
      </c>
      <c r="O139" s="28"/>
      <c r="DF139" s="4" t="s">
        <v>212</v>
      </c>
      <c r="DG139" s="4" t="s">
        <v>305</v>
      </c>
      <c r="DX139" s="8">
        <v>138</v>
      </c>
      <c r="DY139" s="32" t="s">
        <v>211</v>
      </c>
      <c r="DZ139" s="10">
        <v>0</v>
      </c>
    </row>
    <row r="140" spans="9:130">
      <c r="I140" s="55">
        <v>138</v>
      </c>
      <c r="J140" s="55" t="s">
        <v>126</v>
      </c>
      <c r="K140" s="88">
        <v>5000</v>
      </c>
      <c r="L140" t="str">
        <f>VLOOKUP(J140,Sheet1!$E:$E,1,FALSE)</f>
        <v>1201.920700</v>
      </c>
      <c r="O140" s="28"/>
      <c r="DF140" s="4" t="s">
        <v>213</v>
      </c>
      <c r="DG140" s="4" t="s">
        <v>305</v>
      </c>
      <c r="DX140" s="8">
        <v>139</v>
      </c>
      <c r="DY140" s="32" t="s">
        <v>212</v>
      </c>
      <c r="DZ140" s="10">
        <v>0</v>
      </c>
    </row>
    <row r="141" spans="9:130">
      <c r="I141" s="55">
        <v>139</v>
      </c>
      <c r="J141" s="55" t="s">
        <v>253</v>
      </c>
      <c r="K141" s="88"/>
      <c r="L141" t="str">
        <f>VLOOKUP(J141,Sheet1!$E:$E,1,FALSE)</f>
        <v>1204.920700</v>
      </c>
      <c r="O141" s="28"/>
      <c r="DF141" s="4" t="s">
        <v>214</v>
      </c>
      <c r="DG141" s="4" t="s">
        <v>306</v>
      </c>
      <c r="DX141" s="8">
        <v>140</v>
      </c>
      <c r="DY141" s="32" t="s">
        <v>213</v>
      </c>
      <c r="DZ141" s="10">
        <v>0</v>
      </c>
    </row>
    <row r="142" spans="9:130">
      <c r="I142" s="55">
        <v>140</v>
      </c>
      <c r="J142" s="55" t="s">
        <v>254</v>
      </c>
      <c r="K142" s="88"/>
      <c r="L142" t="str">
        <f>VLOOKUP(J142,Sheet1!$E:$E,1,FALSE)</f>
        <v>1205.920700</v>
      </c>
      <c r="O142" s="28"/>
      <c r="DF142" s="4" t="s">
        <v>215</v>
      </c>
      <c r="DG142" s="4" t="s">
        <v>306</v>
      </c>
      <c r="DX142" s="8">
        <v>141</v>
      </c>
      <c r="DY142" s="32" t="s">
        <v>214</v>
      </c>
      <c r="DZ142" s="10">
        <v>0</v>
      </c>
    </row>
    <row r="143" spans="9:130">
      <c r="I143" s="55">
        <v>141</v>
      </c>
      <c r="J143" s="55" t="s">
        <v>255</v>
      </c>
      <c r="K143" s="88"/>
      <c r="L143" t="str">
        <f>VLOOKUP(J143,Sheet1!$E:$E,1,FALSE)</f>
        <v>1206.920700</v>
      </c>
      <c r="O143" s="28"/>
      <c r="DF143" s="4" t="s">
        <v>216</v>
      </c>
      <c r="DG143" s="4" t="s">
        <v>306</v>
      </c>
      <c r="DX143" s="8">
        <v>142</v>
      </c>
      <c r="DY143" s="32" t="s">
        <v>215</v>
      </c>
      <c r="DZ143" s="10">
        <v>0</v>
      </c>
    </row>
    <row r="144" spans="9:130">
      <c r="I144" s="55">
        <v>142</v>
      </c>
      <c r="J144" s="55" t="s">
        <v>129</v>
      </c>
      <c r="K144" s="56">
        <v>27000</v>
      </c>
      <c r="L144" t="str">
        <f>VLOOKUP(J144,Sheet1!$E:$E,1,FALSE)</f>
        <v>1201.920120</v>
      </c>
      <c r="O144" s="28"/>
      <c r="DF144" s="4" t="s">
        <v>217</v>
      </c>
      <c r="DG144" s="4" t="s">
        <v>306</v>
      </c>
      <c r="DX144" s="8">
        <v>143</v>
      </c>
      <c r="DY144" s="32" t="s">
        <v>216</v>
      </c>
      <c r="DZ144" s="10">
        <v>0</v>
      </c>
    </row>
    <row r="145" spans="9:130">
      <c r="I145" s="55">
        <v>143</v>
      </c>
      <c r="J145" s="55" t="s">
        <v>132</v>
      </c>
      <c r="K145" s="56">
        <v>3000</v>
      </c>
      <c r="L145" t="str">
        <f>VLOOKUP(J145,Sheet1!$E:$E,1,FALSE)</f>
        <v>1201.920410</v>
      </c>
      <c r="O145" s="28"/>
      <c r="DF145" s="4" t="s">
        <v>91</v>
      </c>
      <c r="DG145" s="4" t="s">
        <v>307</v>
      </c>
      <c r="DX145" s="8">
        <v>144</v>
      </c>
      <c r="DY145" s="32" t="s">
        <v>217</v>
      </c>
      <c r="DZ145" s="10">
        <v>0</v>
      </c>
    </row>
    <row r="146" spans="9:130">
      <c r="I146" s="1"/>
      <c r="O146" s="28"/>
      <c r="DF146" s="4" t="s">
        <v>218</v>
      </c>
      <c r="DG146" s="4" t="s">
        <v>307</v>
      </c>
      <c r="DX146" s="8">
        <v>145</v>
      </c>
      <c r="DY146" s="41" t="s">
        <v>91</v>
      </c>
      <c r="DZ146" s="10">
        <v>20000</v>
      </c>
    </row>
    <row r="147" spans="9:130">
      <c r="I147" s="1"/>
      <c r="O147" s="28"/>
      <c r="DF147" s="4" t="s">
        <v>219</v>
      </c>
      <c r="DG147" s="4" t="s">
        <v>307</v>
      </c>
      <c r="DX147" s="8">
        <v>146</v>
      </c>
      <c r="DY147" s="41" t="s">
        <v>218</v>
      </c>
      <c r="DZ147" s="10">
        <v>0</v>
      </c>
    </row>
    <row r="148" spans="9:130">
      <c r="I148" s="1"/>
      <c r="O148" s="28"/>
      <c r="DF148" s="4" t="s">
        <v>220</v>
      </c>
      <c r="DG148" s="11" t="s">
        <v>307</v>
      </c>
      <c r="DX148" s="8">
        <v>147</v>
      </c>
      <c r="DY148" s="41" t="s">
        <v>219</v>
      </c>
      <c r="DZ148" s="10">
        <v>0</v>
      </c>
    </row>
    <row r="149" spans="9:130">
      <c r="I149" s="1"/>
      <c r="O149" s="28"/>
      <c r="DF149" s="4" t="s">
        <v>94</v>
      </c>
      <c r="DG149" s="4" t="s">
        <v>221</v>
      </c>
      <c r="DX149" s="8">
        <v>148</v>
      </c>
      <c r="DY149" s="41" t="s">
        <v>220</v>
      </c>
      <c r="DZ149" s="10">
        <v>0</v>
      </c>
    </row>
    <row r="150" spans="9:130">
      <c r="I150" s="1"/>
      <c r="O150" s="28"/>
      <c r="DF150" s="4" t="s">
        <v>222</v>
      </c>
      <c r="DG150" s="4" t="s">
        <v>221</v>
      </c>
      <c r="DX150" s="8">
        <v>149</v>
      </c>
      <c r="DY150" s="44" t="s">
        <v>94</v>
      </c>
      <c r="DZ150" s="10">
        <v>3000</v>
      </c>
    </row>
    <row r="151" spans="9:130">
      <c r="I151" s="1"/>
      <c r="O151" s="28"/>
      <c r="DF151" s="4" t="s">
        <v>223</v>
      </c>
      <c r="DG151" s="4" t="s">
        <v>221</v>
      </c>
      <c r="DX151" s="8">
        <v>150</v>
      </c>
      <c r="DY151" s="44" t="s">
        <v>222</v>
      </c>
      <c r="DZ151" s="10">
        <v>0</v>
      </c>
    </row>
    <row r="152" spans="9:130">
      <c r="I152" s="1"/>
      <c r="O152" s="28"/>
      <c r="DF152" s="4" t="s">
        <v>224</v>
      </c>
      <c r="DG152" s="4" t="s">
        <v>221</v>
      </c>
      <c r="DX152" s="8">
        <v>151</v>
      </c>
      <c r="DY152" s="44" t="s">
        <v>223</v>
      </c>
      <c r="DZ152" s="10">
        <v>0</v>
      </c>
    </row>
    <row r="153" spans="9:130">
      <c r="I153" s="1"/>
      <c r="O153" s="28"/>
      <c r="DF153" s="4" t="s">
        <v>97</v>
      </c>
      <c r="DG153" s="11" t="s">
        <v>308</v>
      </c>
      <c r="DX153" s="8">
        <v>152</v>
      </c>
      <c r="DY153" s="44" t="s">
        <v>224</v>
      </c>
      <c r="DZ153" s="10">
        <v>0</v>
      </c>
    </row>
    <row r="154" spans="9:130">
      <c r="I154" s="1"/>
      <c r="O154" s="28"/>
      <c r="DF154" s="4" t="s">
        <v>225</v>
      </c>
      <c r="DG154" s="4" t="s">
        <v>308</v>
      </c>
      <c r="DX154" s="8">
        <v>153</v>
      </c>
      <c r="DY154" s="45" t="s">
        <v>97</v>
      </c>
      <c r="DZ154" s="10">
        <v>500</v>
      </c>
    </row>
    <row r="155" spans="9:130">
      <c r="I155" s="1"/>
      <c r="O155" s="28"/>
      <c r="DF155" s="4" t="s">
        <v>226</v>
      </c>
      <c r="DG155" s="4" t="s">
        <v>308</v>
      </c>
      <c r="DX155" s="8">
        <v>154</v>
      </c>
      <c r="DY155" s="45" t="s">
        <v>225</v>
      </c>
      <c r="DZ155" s="10">
        <v>0</v>
      </c>
    </row>
    <row r="156" spans="9:130">
      <c r="I156" s="1"/>
      <c r="O156" s="28"/>
      <c r="DF156" s="4" t="s">
        <v>227</v>
      </c>
      <c r="DG156" s="4" t="s">
        <v>308</v>
      </c>
      <c r="DX156" s="8">
        <v>155</v>
      </c>
      <c r="DY156" s="45" t="s">
        <v>226</v>
      </c>
      <c r="DZ156" s="10">
        <v>0</v>
      </c>
    </row>
    <row r="157" spans="9:130">
      <c r="I157" s="1"/>
      <c r="O157" s="28"/>
      <c r="DF157" s="4" t="s">
        <v>100</v>
      </c>
      <c r="DG157" s="4" t="s">
        <v>309</v>
      </c>
      <c r="DX157" s="8">
        <v>156</v>
      </c>
      <c r="DY157" s="45" t="s">
        <v>227</v>
      </c>
      <c r="DZ157" s="10">
        <v>0</v>
      </c>
    </row>
    <row r="158" spans="9:130">
      <c r="I158" s="1"/>
      <c r="O158" s="28"/>
      <c r="DF158" s="4" t="s">
        <v>228</v>
      </c>
      <c r="DG158" s="4" t="s">
        <v>309</v>
      </c>
      <c r="DX158" s="8">
        <v>157</v>
      </c>
      <c r="DY158" s="46" t="s">
        <v>100</v>
      </c>
      <c r="DZ158" s="10">
        <v>1800</v>
      </c>
    </row>
    <row r="159" spans="9:130">
      <c r="I159" s="1"/>
      <c r="O159" s="28"/>
      <c r="DF159" s="4" t="s">
        <v>229</v>
      </c>
      <c r="DG159" s="4" t="s">
        <v>309</v>
      </c>
      <c r="DX159" s="8">
        <v>158</v>
      </c>
      <c r="DY159" s="46" t="s">
        <v>228</v>
      </c>
      <c r="DZ159" s="10">
        <v>0</v>
      </c>
    </row>
    <row r="160" spans="9:130">
      <c r="I160" s="1"/>
      <c r="O160" s="28"/>
      <c r="DF160" s="4" t="s">
        <v>230</v>
      </c>
      <c r="DG160" s="4" t="s">
        <v>309</v>
      </c>
      <c r="DX160" s="8">
        <v>159</v>
      </c>
      <c r="DY160" s="46" t="s">
        <v>229</v>
      </c>
      <c r="DZ160" s="10">
        <v>0</v>
      </c>
    </row>
    <row r="161" spans="9:130">
      <c r="I161" s="1"/>
      <c r="O161" s="28"/>
      <c r="DF161" s="4" t="s">
        <v>102</v>
      </c>
      <c r="DG161" s="4" t="s">
        <v>310</v>
      </c>
      <c r="DX161" s="8">
        <v>160</v>
      </c>
      <c r="DY161" s="46" t="s">
        <v>230</v>
      </c>
      <c r="DZ161" s="10">
        <v>0</v>
      </c>
    </row>
    <row r="162" spans="9:130">
      <c r="I162" s="1"/>
      <c r="O162" s="28"/>
      <c r="DF162" s="4" t="s">
        <v>231</v>
      </c>
      <c r="DG162" s="4" t="s">
        <v>310</v>
      </c>
      <c r="DX162" s="8">
        <v>161</v>
      </c>
      <c r="DY162" s="41" t="s">
        <v>102</v>
      </c>
      <c r="DZ162" s="10">
        <v>1000</v>
      </c>
    </row>
    <row r="163" spans="9:130">
      <c r="I163" s="1"/>
      <c r="O163" s="28"/>
      <c r="DF163" s="4" t="s">
        <v>232</v>
      </c>
      <c r="DG163" s="4" t="s">
        <v>310</v>
      </c>
      <c r="DX163" s="8">
        <v>162</v>
      </c>
      <c r="DY163" s="41" t="s">
        <v>231</v>
      </c>
      <c r="DZ163" s="10">
        <v>0</v>
      </c>
    </row>
    <row r="164" spans="9:130">
      <c r="I164" s="1"/>
      <c r="O164" s="28"/>
      <c r="DF164" s="4" t="s">
        <v>233</v>
      </c>
      <c r="DG164" s="4" t="s">
        <v>310</v>
      </c>
      <c r="DX164" s="8">
        <v>163</v>
      </c>
      <c r="DY164" s="41" t="s">
        <v>232</v>
      </c>
      <c r="DZ164" s="10">
        <v>0</v>
      </c>
    </row>
    <row r="165" spans="9:130">
      <c r="I165" s="1"/>
      <c r="O165" s="28"/>
      <c r="DF165" s="4" t="s">
        <v>105</v>
      </c>
      <c r="DG165" s="4" t="s">
        <v>311</v>
      </c>
      <c r="DX165" s="8">
        <v>164</v>
      </c>
      <c r="DY165" s="41" t="s">
        <v>233</v>
      </c>
      <c r="DZ165" s="10">
        <v>0</v>
      </c>
    </row>
    <row r="166" spans="9:130">
      <c r="I166" s="1"/>
      <c r="O166" s="28"/>
      <c r="DF166" s="4" t="s">
        <v>234</v>
      </c>
      <c r="DG166" s="4" t="s">
        <v>311</v>
      </c>
      <c r="DX166" s="8">
        <v>165</v>
      </c>
      <c r="DY166" s="32" t="s">
        <v>105</v>
      </c>
      <c r="DZ166" s="10">
        <v>2000</v>
      </c>
    </row>
    <row r="167" spans="9:130">
      <c r="I167" s="1"/>
      <c r="O167" s="28"/>
      <c r="DF167" s="4" t="s">
        <v>235</v>
      </c>
      <c r="DG167" s="4" t="s">
        <v>311</v>
      </c>
      <c r="DX167" s="8">
        <v>166</v>
      </c>
      <c r="DY167" s="32" t="s">
        <v>234</v>
      </c>
      <c r="DZ167" s="10">
        <v>0</v>
      </c>
    </row>
    <row r="168" spans="9:130">
      <c r="I168" s="1"/>
      <c r="O168" s="28"/>
      <c r="DF168" s="4" t="s">
        <v>236</v>
      </c>
      <c r="DG168" s="4" t="s">
        <v>311</v>
      </c>
      <c r="DX168" s="8">
        <v>167</v>
      </c>
      <c r="DY168" s="32" t="s">
        <v>235</v>
      </c>
      <c r="DZ168" s="10">
        <v>0</v>
      </c>
    </row>
    <row r="169" spans="9:130">
      <c r="I169" s="1"/>
      <c r="O169" s="28"/>
      <c r="DF169" s="4" t="s">
        <v>109</v>
      </c>
      <c r="DG169" s="4" t="s">
        <v>312</v>
      </c>
      <c r="DX169" s="8">
        <v>168</v>
      </c>
      <c r="DY169" s="32" t="s">
        <v>236</v>
      </c>
      <c r="DZ169" s="10">
        <v>0</v>
      </c>
    </row>
    <row r="170" spans="9:130">
      <c r="I170" s="1"/>
      <c r="O170" s="28"/>
      <c r="DF170" s="4" t="s">
        <v>237</v>
      </c>
      <c r="DG170" s="4" t="s">
        <v>312</v>
      </c>
      <c r="DX170" s="8">
        <v>169</v>
      </c>
      <c r="DY170" s="29" t="s">
        <v>109</v>
      </c>
      <c r="DZ170" s="10">
        <v>2000</v>
      </c>
    </row>
    <row r="171" spans="9:130">
      <c r="I171" s="1"/>
      <c r="O171" s="28"/>
      <c r="DF171" s="4" t="s">
        <v>238</v>
      </c>
      <c r="DG171" s="4" t="s">
        <v>312</v>
      </c>
      <c r="DX171" s="8">
        <v>170</v>
      </c>
      <c r="DY171" s="29" t="s">
        <v>237</v>
      </c>
      <c r="DZ171" s="10">
        <v>0</v>
      </c>
    </row>
    <row r="172" spans="9:130">
      <c r="I172" s="1"/>
      <c r="O172" s="28"/>
      <c r="DF172" s="4" t="s">
        <v>239</v>
      </c>
      <c r="DG172" s="4" t="s">
        <v>312</v>
      </c>
      <c r="DX172" s="8">
        <v>171</v>
      </c>
      <c r="DY172" s="29" t="s">
        <v>238</v>
      </c>
      <c r="DZ172" s="10">
        <v>0</v>
      </c>
    </row>
    <row r="173" spans="9:130">
      <c r="I173" s="1"/>
      <c r="O173" s="28"/>
      <c r="DF173" s="4" t="s">
        <v>113</v>
      </c>
      <c r="DG173" s="4" t="s">
        <v>278</v>
      </c>
      <c r="DX173" s="8">
        <v>172</v>
      </c>
      <c r="DY173" s="29" t="s">
        <v>239</v>
      </c>
      <c r="DZ173" s="10">
        <v>0</v>
      </c>
    </row>
    <row r="174" spans="9:130">
      <c r="I174" s="1"/>
      <c r="O174" s="28"/>
      <c r="DF174" s="4" t="s">
        <v>240</v>
      </c>
      <c r="DG174" s="4" t="s">
        <v>278</v>
      </c>
      <c r="DX174" s="8">
        <v>173</v>
      </c>
      <c r="DY174" s="25" t="s">
        <v>113</v>
      </c>
      <c r="DZ174" s="10">
        <v>8000</v>
      </c>
    </row>
    <row r="175" spans="9:130">
      <c r="I175" s="1"/>
      <c r="O175" s="28"/>
      <c r="DF175" s="4" t="s">
        <v>241</v>
      </c>
      <c r="DG175" s="4" t="s">
        <v>278</v>
      </c>
      <c r="DX175" s="8">
        <v>174</v>
      </c>
      <c r="DY175" s="25" t="s">
        <v>240</v>
      </c>
      <c r="DZ175" s="10">
        <v>0</v>
      </c>
    </row>
    <row r="176" spans="9:130">
      <c r="I176" s="1"/>
      <c r="O176" s="28"/>
      <c r="DF176" s="4" t="s">
        <v>242</v>
      </c>
      <c r="DG176" s="4" t="s">
        <v>278</v>
      </c>
      <c r="DX176" s="8">
        <v>175</v>
      </c>
      <c r="DY176" s="25" t="s">
        <v>241</v>
      </c>
      <c r="DZ176" s="10">
        <v>0</v>
      </c>
    </row>
    <row r="177" spans="9:130">
      <c r="I177" s="1"/>
      <c r="O177" s="28"/>
      <c r="DF177" s="4" t="s">
        <v>117</v>
      </c>
      <c r="DG177" s="4" t="s">
        <v>313</v>
      </c>
      <c r="DX177" s="8">
        <v>176</v>
      </c>
      <c r="DY177" s="25" t="s">
        <v>242</v>
      </c>
      <c r="DZ177" s="10">
        <v>0</v>
      </c>
    </row>
    <row r="178" spans="9:130">
      <c r="I178" s="1"/>
      <c r="O178" s="28"/>
      <c r="DF178" s="4" t="s">
        <v>243</v>
      </c>
      <c r="DG178" s="4" t="s">
        <v>313</v>
      </c>
      <c r="DX178" s="8">
        <v>177</v>
      </c>
      <c r="DY178" s="43" t="s">
        <v>117</v>
      </c>
      <c r="DZ178" s="10">
        <v>0</v>
      </c>
    </row>
    <row r="179" spans="9:130">
      <c r="I179" s="1"/>
      <c r="O179" s="28"/>
      <c r="DF179" s="4" t="s">
        <v>244</v>
      </c>
      <c r="DG179" s="4" t="s">
        <v>313</v>
      </c>
      <c r="DX179" s="8">
        <v>178</v>
      </c>
      <c r="DY179" s="43" t="s">
        <v>243</v>
      </c>
      <c r="DZ179" s="10">
        <v>0</v>
      </c>
    </row>
    <row r="180" spans="9:130">
      <c r="I180" s="1"/>
      <c r="O180" s="28"/>
      <c r="DF180" s="4" t="s">
        <v>245</v>
      </c>
      <c r="DG180" s="4" t="s">
        <v>313</v>
      </c>
      <c r="DX180" s="8">
        <v>179</v>
      </c>
      <c r="DY180" s="43" t="s">
        <v>244</v>
      </c>
      <c r="DZ180" s="10">
        <v>0</v>
      </c>
    </row>
    <row r="181" spans="9:130">
      <c r="I181" s="1"/>
      <c r="O181" s="28"/>
      <c r="DF181" s="4" t="s">
        <v>120</v>
      </c>
      <c r="DG181" s="4" t="s">
        <v>314</v>
      </c>
      <c r="DX181" s="8">
        <v>180</v>
      </c>
      <c r="DY181" s="43" t="s">
        <v>245</v>
      </c>
      <c r="DZ181" s="10">
        <v>0</v>
      </c>
    </row>
    <row r="182" spans="9:130">
      <c r="I182" s="1"/>
      <c r="O182" s="28"/>
      <c r="DF182" s="4" t="s">
        <v>246</v>
      </c>
      <c r="DG182" s="4" t="s">
        <v>314</v>
      </c>
      <c r="DX182" s="8">
        <v>181</v>
      </c>
      <c r="DY182" s="25" t="s">
        <v>120</v>
      </c>
      <c r="DZ182" s="10">
        <v>0</v>
      </c>
    </row>
    <row r="183" spans="9:130">
      <c r="I183" s="1"/>
      <c r="O183" s="28"/>
      <c r="DF183" s="4" t="s">
        <v>247</v>
      </c>
      <c r="DG183" s="4" t="s">
        <v>314</v>
      </c>
      <c r="DX183" s="8">
        <v>182</v>
      </c>
      <c r="DY183" s="25" t="s">
        <v>246</v>
      </c>
      <c r="DZ183" s="10">
        <v>0</v>
      </c>
    </row>
    <row r="184" spans="9:130">
      <c r="I184" s="1"/>
      <c r="O184" s="28"/>
      <c r="DF184" s="4" t="s">
        <v>248</v>
      </c>
      <c r="DG184" s="4" t="s">
        <v>314</v>
      </c>
      <c r="DX184" s="8">
        <v>183</v>
      </c>
      <c r="DY184" s="25" t="s">
        <v>247</v>
      </c>
      <c r="DZ184" s="10">
        <v>0</v>
      </c>
    </row>
    <row r="185" spans="9:130">
      <c r="I185" s="1"/>
      <c r="O185" s="28"/>
      <c r="DF185" s="4" t="s">
        <v>123</v>
      </c>
      <c r="DG185" s="4" t="s">
        <v>315</v>
      </c>
      <c r="DX185" s="8">
        <v>184</v>
      </c>
      <c r="DY185" s="25" t="s">
        <v>248</v>
      </c>
      <c r="DZ185" s="10">
        <v>0</v>
      </c>
    </row>
    <row r="186" spans="9:130">
      <c r="I186" s="1"/>
      <c r="O186" s="28"/>
      <c r="DF186" s="4" t="s">
        <v>249</v>
      </c>
      <c r="DG186" s="4" t="s">
        <v>315</v>
      </c>
      <c r="DX186" s="8">
        <v>185</v>
      </c>
      <c r="DY186" s="27" t="s">
        <v>123</v>
      </c>
      <c r="DZ186" s="10">
        <v>0</v>
      </c>
    </row>
    <row r="187" spans="9:130">
      <c r="I187" s="1"/>
      <c r="O187" s="28"/>
      <c r="DF187" s="4" t="s">
        <v>250</v>
      </c>
      <c r="DG187" s="4" t="s">
        <v>315</v>
      </c>
      <c r="DX187" s="8">
        <v>186</v>
      </c>
      <c r="DY187" s="27" t="s">
        <v>249</v>
      </c>
      <c r="DZ187" s="10">
        <v>0</v>
      </c>
    </row>
    <row r="188" spans="9:130">
      <c r="I188" s="1"/>
      <c r="O188" s="28"/>
      <c r="DF188" s="4" t="s">
        <v>251</v>
      </c>
      <c r="DG188" s="4" t="s">
        <v>315</v>
      </c>
      <c r="DX188" s="8">
        <v>187</v>
      </c>
      <c r="DY188" s="27" t="s">
        <v>250</v>
      </c>
      <c r="DZ188" s="10">
        <v>0</v>
      </c>
    </row>
    <row r="189" spans="9:130">
      <c r="I189" s="1"/>
      <c r="O189" s="28"/>
      <c r="DF189" s="4" t="s">
        <v>126</v>
      </c>
      <c r="DG189" s="4" t="s">
        <v>252</v>
      </c>
      <c r="DX189" s="8">
        <v>188</v>
      </c>
      <c r="DY189" s="27" t="s">
        <v>251</v>
      </c>
      <c r="DZ189" s="10">
        <v>0</v>
      </c>
    </row>
    <row r="190" spans="9:130">
      <c r="I190" s="1"/>
      <c r="O190" s="28"/>
      <c r="DF190" s="4" t="s">
        <v>253</v>
      </c>
      <c r="DG190" s="4" t="s">
        <v>252</v>
      </c>
      <c r="DX190" s="8">
        <v>189</v>
      </c>
      <c r="DY190" s="47" t="s">
        <v>126</v>
      </c>
      <c r="DZ190" s="10">
        <v>5000</v>
      </c>
    </row>
    <row r="191" spans="9:130">
      <c r="I191" s="1"/>
      <c r="O191" s="28"/>
      <c r="DF191" s="4" t="s">
        <v>254</v>
      </c>
      <c r="DG191" s="4" t="s">
        <v>252</v>
      </c>
      <c r="DX191" s="8">
        <v>190</v>
      </c>
      <c r="DY191" s="47" t="s">
        <v>253</v>
      </c>
      <c r="DZ191" s="10">
        <v>0</v>
      </c>
    </row>
    <row r="192" spans="9:130">
      <c r="I192" s="1"/>
      <c r="O192" s="28"/>
      <c r="DF192" s="4" t="s">
        <v>255</v>
      </c>
      <c r="DG192" s="4" t="s">
        <v>252</v>
      </c>
      <c r="DX192" s="8">
        <v>191</v>
      </c>
      <c r="DY192" s="47" t="s">
        <v>254</v>
      </c>
      <c r="DZ192" s="10">
        <v>0</v>
      </c>
    </row>
    <row r="193" spans="9:130">
      <c r="I193" s="1"/>
      <c r="O193" s="28"/>
      <c r="DF193" s="4" t="s">
        <v>129</v>
      </c>
      <c r="DG193" s="4" t="s">
        <v>316</v>
      </c>
      <c r="DX193" s="8">
        <v>192</v>
      </c>
      <c r="DY193" s="47" t="s">
        <v>255</v>
      </c>
      <c r="DZ193" s="10">
        <v>0</v>
      </c>
    </row>
    <row r="194" spans="9:130">
      <c r="I194" s="1"/>
      <c r="O194" s="28"/>
      <c r="DF194" s="4" t="s">
        <v>256</v>
      </c>
      <c r="DG194" s="4" t="s">
        <v>316</v>
      </c>
      <c r="DX194" s="8">
        <v>193</v>
      </c>
      <c r="DY194" s="24" t="s">
        <v>129</v>
      </c>
      <c r="DZ194" s="10">
        <v>24000</v>
      </c>
    </row>
    <row r="195" spans="9:130">
      <c r="I195" s="1"/>
      <c r="O195" s="28"/>
      <c r="DF195" s="4" t="s">
        <v>257</v>
      </c>
      <c r="DG195" s="4" t="s">
        <v>316</v>
      </c>
      <c r="DX195" s="8">
        <v>194</v>
      </c>
      <c r="DY195" s="24" t="s">
        <v>256</v>
      </c>
      <c r="DZ195" s="10">
        <v>0</v>
      </c>
    </row>
    <row r="196" spans="9:130">
      <c r="I196" s="1"/>
      <c r="O196" s="28"/>
      <c r="DF196" s="4" t="s">
        <v>258</v>
      </c>
      <c r="DG196" s="4" t="s">
        <v>316</v>
      </c>
      <c r="DX196" s="8">
        <v>195</v>
      </c>
      <c r="DY196" s="24" t="s">
        <v>257</v>
      </c>
      <c r="DZ196" s="10">
        <v>0</v>
      </c>
    </row>
    <row r="197" spans="9:130">
      <c r="I197" s="1"/>
      <c r="O197" s="28"/>
      <c r="DF197" s="4" t="s">
        <v>132</v>
      </c>
      <c r="DG197" s="4" t="s">
        <v>279</v>
      </c>
      <c r="DX197" s="8">
        <v>196</v>
      </c>
      <c r="DY197" s="24" t="s">
        <v>258</v>
      </c>
      <c r="DZ197" s="10">
        <v>0</v>
      </c>
    </row>
    <row r="198" spans="9:130">
      <c r="I198" s="1"/>
      <c r="O198" s="28"/>
      <c r="DF198" s="4" t="s">
        <v>259</v>
      </c>
      <c r="DG198" s="11" t="s">
        <v>279</v>
      </c>
      <c r="DX198" s="8">
        <v>197</v>
      </c>
      <c r="DY198" s="29" t="s">
        <v>132</v>
      </c>
      <c r="DZ198" s="10">
        <v>3000</v>
      </c>
    </row>
    <row r="199" spans="9:130">
      <c r="I199" s="1"/>
      <c r="O199" s="28"/>
      <c r="DF199" s="4" t="s">
        <v>260</v>
      </c>
      <c r="DG199" s="4" t="s">
        <v>279</v>
      </c>
      <c r="DX199" s="8">
        <v>198</v>
      </c>
      <c r="DY199" s="29" t="s">
        <v>259</v>
      </c>
      <c r="DZ199" s="10">
        <v>0</v>
      </c>
    </row>
    <row r="200" spans="9:130">
      <c r="I200" s="1"/>
      <c r="O200" s="28"/>
      <c r="DF200" s="4" t="s">
        <v>261</v>
      </c>
      <c r="DG200" s="4" t="s">
        <v>279</v>
      </c>
      <c r="DX200" s="8">
        <v>199</v>
      </c>
      <c r="DY200" s="29" t="s">
        <v>260</v>
      </c>
      <c r="DZ200" s="10">
        <v>0</v>
      </c>
    </row>
    <row r="201" spans="9:130">
      <c r="I201" s="1"/>
      <c r="O201" s="28"/>
      <c r="DX201" s="8">
        <v>200</v>
      </c>
      <c r="DY201" s="29" t="s">
        <v>261</v>
      </c>
      <c r="DZ201" s="10">
        <v>0</v>
      </c>
    </row>
    <row r="202" spans="9:130">
      <c r="I202" s="1"/>
      <c r="O202" s="28"/>
    </row>
    <row r="203" spans="9:130">
      <c r="I203" s="1"/>
      <c r="O203" s="28"/>
    </row>
    <row r="204" spans="9:130">
      <c r="I204" s="1"/>
      <c r="O204" s="28"/>
    </row>
    <row r="205" spans="9:130">
      <c r="I205" s="1"/>
      <c r="O205" s="28"/>
    </row>
    <row r="206" spans="9:130">
      <c r="I206" s="1"/>
      <c r="O206" s="28"/>
    </row>
    <row r="207" spans="9:130">
      <c r="I207" s="1"/>
      <c r="O207" s="28"/>
    </row>
    <row r="208" spans="9:130">
      <c r="I208" s="1"/>
    </row>
    <row r="209" spans="9:9">
      <c r="I209" s="1"/>
    </row>
    <row r="210" spans="9:9">
      <c r="I210" s="1"/>
    </row>
    <row r="211" spans="9:9">
      <c r="I211" s="1"/>
    </row>
    <row r="212" spans="9:9">
      <c r="I212" s="1"/>
    </row>
    <row r="213" spans="9:9">
      <c r="I213" s="1"/>
    </row>
    <row r="214" spans="9:9">
      <c r="I214" s="1"/>
    </row>
    <row r="215" spans="9:9">
      <c r="I215" s="1"/>
    </row>
    <row r="216" spans="9:9">
      <c r="I216" s="1"/>
    </row>
    <row r="217" spans="9:9">
      <c r="I217" s="1"/>
    </row>
    <row r="218" spans="9:9">
      <c r="I218" s="1"/>
    </row>
    <row r="219" spans="9:9">
      <c r="I219" s="1"/>
    </row>
    <row r="220" spans="9:9">
      <c r="I220" s="1"/>
    </row>
    <row r="221" spans="9:9">
      <c r="I221" s="1"/>
    </row>
    <row r="222" spans="9:9">
      <c r="I222" s="1"/>
    </row>
    <row r="223" spans="9:9">
      <c r="I223" s="1"/>
    </row>
  </sheetData>
  <autoFilter ref="I2:L145" xr:uid="{AB9F6F50-BF5F-4109-8118-9AEB067B1568}"/>
  <mergeCells count="28">
    <mergeCell ref="K136:K139"/>
    <mergeCell ref="K140:K143"/>
    <mergeCell ref="AM1:AM42"/>
    <mergeCell ref="K15:K17"/>
    <mergeCell ref="K18:K19"/>
    <mergeCell ref="K3:K6"/>
    <mergeCell ref="K7:K10"/>
    <mergeCell ref="K11:K14"/>
    <mergeCell ref="K113:K116"/>
    <mergeCell ref="K117:K120"/>
    <mergeCell ref="K121:K124"/>
    <mergeCell ref="K125:K127"/>
    <mergeCell ref="K129:K132"/>
    <mergeCell ref="K20:K39"/>
    <mergeCell ref="K40:K42"/>
    <mergeCell ref="K43:K46"/>
    <mergeCell ref="K47:K74"/>
    <mergeCell ref="K75:K76"/>
    <mergeCell ref="K77:K78"/>
    <mergeCell ref="K81:K84"/>
    <mergeCell ref="K85:K87"/>
    <mergeCell ref="K106:K108"/>
    <mergeCell ref="K109:K112"/>
    <mergeCell ref="K88:K89"/>
    <mergeCell ref="K90:K91"/>
    <mergeCell ref="K94:K97"/>
    <mergeCell ref="K100:K101"/>
    <mergeCell ref="K102:K10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5883F-58E9-41BB-AFEF-2E197351534A}">
  <sheetPr filterMode="1"/>
  <dimension ref="E1:F158"/>
  <sheetViews>
    <sheetView workbookViewId="0">
      <selection activeCell="H137" sqref="H137"/>
    </sheetView>
  </sheetViews>
  <sheetFormatPr defaultRowHeight="15"/>
  <cols>
    <col min="5" max="5" width="20.5703125" customWidth="1"/>
  </cols>
  <sheetData>
    <row r="1" spans="5:6">
      <c r="E1" t="s">
        <v>614</v>
      </c>
      <c r="F1" t="s">
        <v>615</v>
      </c>
    </row>
    <row r="2" spans="5:6" hidden="1">
      <c r="E2" t="s">
        <v>54</v>
      </c>
      <c r="F2" t="str">
        <f>VLOOKUP(E2,PETUNJUK!$J$3:$J$145,1,FALSE)</f>
        <v>1201.720400</v>
      </c>
    </row>
    <row r="3" spans="5:6" hidden="1">
      <c r="E3" t="s">
        <v>171</v>
      </c>
      <c r="F3" t="str">
        <f>VLOOKUP(E3,PETUNJUK!$J$3:$J$145,1,FALSE)</f>
        <v>1204.720400</v>
      </c>
    </row>
    <row r="4" spans="5:6" hidden="1">
      <c r="E4" t="s">
        <v>105</v>
      </c>
      <c r="F4" t="str">
        <f>VLOOKUP(E4,PETUNJUK!$J$3:$J$145,1,FALSE)</f>
        <v>1201.816110</v>
      </c>
    </row>
    <row r="5" spans="5:6">
      <c r="E5" t="s">
        <v>234</v>
      </c>
      <c r="F5" t="e">
        <f>VLOOKUP(E5,PETUNJUK!$J$3:$J$145,1,FALSE)</f>
        <v>#N/A</v>
      </c>
    </row>
    <row r="6" spans="5:6" hidden="1">
      <c r="E6" t="s">
        <v>42</v>
      </c>
      <c r="F6" t="str">
        <f>VLOOKUP(E6,PETUNJUK!$J$3:$J$145,1,FALSE)</f>
        <v>1201.631100</v>
      </c>
    </row>
    <row r="7" spans="5:6" hidden="1">
      <c r="E7" t="s">
        <v>163</v>
      </c>
      <c r="F7" t="str">
        <f>VLOOKUP(E7,PETUNJUK!$J$3:$J$145,1,FALSE)</f>
        <v>1205.631100</v>
      </c>
    </row>
    <row r="8" spans="5:6" hidden="1">
      <c r="E8" t="s">
        <v>162</v>
      </c>
      <c r="F8" t="str">
        <f>VLOOKUP(E8,PETUNJUK!$J$3:$J$145,1,FALSE)</f>
        <v>1204.631100</v>
      </c>
    </row>
    <row r="9" spans="5:6" hidden="1">
      <c r="E9" t="s">
        <v>321</v>
      </c>
      <c r="F9" t="str">
        <f>VLOOKUP(E9,PETUNJUK!$J$3:$J$145,1,FALSE)</f>
        <v>1201.631180</v>
      </c>
    </row>
    <row r="10" spans="5:6" hidden="1">
      <c r="E10" t="s">
        <v>326</v>
      </c>
      <c r="F10" t="str">
        <f>VLOOKUP(E10,PETUNJUK!$J$3:$J$145,1,FALSE)</f>
        <v>1204.631180</v>
      </c>
    </row>
    <row r="11" spans="5:6" hidden="1">
      <c r="E11" t="s">
        <v>331</v>
      </c>
      <c r="F11" t="str">
        <f>VLOOKUP(E11,PETUNJUK!$J$3:$J$145,1,FALSE)</f>
        <v>1205.631180</v>
      </c>
    </row>
    <row r="12" spans="5:6" hidden="1">
      <c r="E12" t="s">
        <v>320</v>
      </c>
      <c r="F12" t="str">
        <f>VLOOKUP(E12,PETUNJUK!$J$3:$J$145,1,FALSE)</f>
        <v>1201.631150</v>
      </c>
    </row>
    <row r="13" spans="5:6" hidden="1">
      <c r="E13" t="s">
        <v>50</v>
      </c>
      <c r="F13" t="str">
        <f>VLOOKUP(E13,PETUNJUK!$J$3:$J$145,1,FALSE)</f>
        <v>1201.720100</v>
      </c>
    </row>
    <row r="14" spans="5:6">
      <c r="E14" t="s">
        <v>169</v>
      </c>
      <c r="F14" t="e">
        <f>VLOOKUP(E14,PETUNJUK!$J$3:$J$145,1,FALSE)</f>
        <v>#N/A</v>
      </c>
    </row>
    <row r="15" spans="5:6" hidden="1">
      <c r="E15" t="s">
        <v>168</v>
      </c>
      <c r="F15" t="str">
        <f>VLOOKUP(E15,PETUNJUK!$J$3:$J$145,1,FALSE)</f>
        <v>1204.720100</v>
      </c>
    </row>
    <row r="16" spans="5:6" hidden="1">
      <c r="E16" t="s">
        <v>20</v>
      </c>
      <c r="F16" t="str">
        <f>VLOOKUP(E16,PETUNJUK!$J$3:$J$145,1,FALSE)</f>
        <v>1201.630600</v>
      </c>
    </row>
    <row r="17" spans="5:6" hidden="1">
      <c r="E17" t="s">
        <v>84</v>
      </c>
      <c r="F17" t="str">
        <f>VLOOKUP(E17,PETUNJUK!$J$3:$J$145,1,FALSE)</f>
        <v>1205.630600</v>
      </c>
    </row>
    <row r="18" spans="5:6" hidden="1">
      <c r="E18" t="s">
        <v>81</v>
      </c>
      <c r="F18" t="str">
        <f>VLOOKUP(E18,PETUNJUK!$J$3:$J$145,1,FALSE)</f>
        <v>1204.630600</v>
      </c>
    </row>
    <row r="19" spans="5:6" hidden="1">
      <c r="E19" t="s">
        <v>20</v>
      </c>
      <c r="F19" t="str">
        <f>VLOOKUP(E19,PETUNJUK!$J$3:$J$145,1,FALSE)</f>
        <v>1201.630600</v>
      </c>
    </row>
    <row r="20" spans="5:6" hidden="1">
      <c r="E20" t="s">
        <v>84</v>
      </c>
      <c r="F20" t="str">
        <f>VLOOKUP(E20,PETUNJUK!$J$3:$J$145,1,FALSE)</f>
        <v>1205.630600</v>
      </c>
    </row>
    <row r="21" spans="5:6" hidden="1">
      <c r="E21" t="s">
        <v>81</v>
      </c>
      <c r="F21" t="str">
        <f>VLOOKUP(E21,PETUNJUK!$J$3:$J$145,1,FALSE)</f>
        <v>1204.630600</v>
      </c>
    </row>
    <row r="22" spans="5:6" hidden="1">
      <c r="E22" t="s">
        <v>62</v>
      </c>
      <c r="F22" t="str">
        <f>VLOOKUP(E22,PETUNJUK!$J$3:$J$145,1,FALSE)</f>
        <v>1201.730300</v>
      </c>
    </row>
    <row r="23" spans="5:6" hidden="1">
      <c r="E23" t="s">
        <v>62</v>
      </c>
      <c r="F23" t="str">
        <f>VLOOKUP(E23,PETUNJUK!$J$3:$J$145,1,FALSE)</f>
        <v>1201.730300</v>
      </c>
    </row>
    <row r="24" spans="5:6" hidden="1">
      <c r="E24" t="s">
        <v>62</v>
      </c>
      <c r="F24" t="str">
        <f>VLOOKUP(E24,PETUNJUK!$J$3:$J$145,1,FALSE)</f>
        <v>1201.730300</v>
      </c>
    </row>
    <row r="25" spans="5:6" hidden="1">
      <c r="E25" t="s">
        <v>62</v>
      </c>
      <c r="F25" t="str">
        <f>VLOOKUP(E25,PETUNJUK!$J$3:$J$145,1,FALSE)</f>
        <v>1201.730300</v>
      </c>
    </row>
    <row r="26" spans="5:6" hidden="1">
      <c r="E26" t="s">
        <v>59</v>
      </c>
      <c r="F26" t="str">
        <f>VLOOKUP(E26,PETUNJUK!$J$3:$J$145,1,FALSE)</f>
        <v>1201.730200</v>
      </c>
    </row>
    <row r="27" spans="5:6" hidden="1">
      <c r="E27" t="s">
        <v>46</v>
      </c>
      <c r="F27" t="str">
        <f>VLOOKUP(E27,PETUNJUK!$J$3:$J$145,1,FALSE)</f>
        <v>1201.710200</v>
      </c>
    </row>
    <row r="28" spans="5:6" hidden="1">
      <c r="E28" t="s">
        <v>46</v>
      </c>
      <c r="F28" t="str">
        <f>VLOOKUP(E28,PETUNJUK!$J$3:$J$145,1,FALSE)</f>
        <v>1201.710200</v>
      </c>
    </row>
    <row r="29" spans="5:6" hidden="1">
      <c r="E29" t="s">
        <v>46</v>
      </c>
      <c r="F29" t="str">
        <f>VLOOKUP(E29,PETUNJUK!$J$3:$J$145,1,FALSE)</f>
        <v>1201.710200</v>
      </c>
    </row>
    <row r="30" spans="5:6" hidden="1">
      <c r="E30" t="s">
        <v>46</v>
      </c>
      <c r="F30" t="str">
        <f>VLOOKUP(E30,PETUNJUK!$J$3:$J$145,1,FALSE)</f>
        <v>1201.710200</v>
      </c>
    </row>
    <row r="31" spans="5:6" hidden="1">
      <c r="E31" t="s">
        <v>62</v>
      </c>
      <c r="F31" t="str">
        <f>VLOOKUP(E31,PETUNJUK!$J$3:$J$145,1,FALSE)</f>
        <v>1201.730300</v>
      </c>
    </row>
    <row r="32" spans="5:6" hidden="1">
      <c r="E32" t="s">
        <v>59</v>
      </c>
      <c r="F32" t="str">
        <f>VLOOKUP(E32,PETUNJUK!$J$3:$J$145,1,FALSE)</f>
        <v>1201.730200</v>
      </c>
    </row>
    <row r="33" spans="5:6" hidden="1">
      <c r="E33" t="s">
        <v>46</v>
      </c>
      <c r="F33" t="str">
        <f>VLOOKUP(E33,PETUNJUK!$J$3:$J$145,1,FALSE)</f>
        <v>1201.710200</v>
      </c>
    </row>
    <row r="34" spans="5:6" hidden="1">
      <c r="E34" t="s">
        <v>46</v>
      </c>
      <c r="F34" t="str">
        <f>VLOOKUP(E34,PETUNJUK!$J$3:$J$145,1,FALSE)</f>
        <v>1201.710200</v>
      </c>
    </row>
    <row r="35" spans="5:6">
      <c r="E35" t="s">
        <v>56</v>
      </c>
      <c r="F35" t="e">
        <f>VLOOKUP(E35,PETUNJUK!$J$3:$J$145,1,FALSE)</f>
        <v>#N/A</v>
      </c>
    </row>
    <row r="36" spans="5:6" hidden="1">
      <c r="E36" t="s">
        <v>91</v>
      </c>
      <c r="F36" t="str">
        <f>VLOOKUP(E36,PETUNJUK!$J$3:$J$145,1,FALSE)</f>
        <v>1201.812100</v>
      </c>
    </row>
    <row r="37" spans="5:6" hidden="1">
      <c r="E37" t="s">
        <v>79</v>
      </c>
      <c r="F37" t="str">
        <f>VLOOKUP(E37,PETUNJUK!$J$3:$J$145,1,FALSE)</f>
        <v>1201.807100</v>
      </c>
    </row>
    <row r="38" spans="5:6" hidden="1">
      <c r="E38" t="s">
        <v>198</v>
      </c>
      <c r="F38" t="str">
        <f>VLOOKUP(E38,PETUNJUK!$J$3:$J$145,1,FALSE)</f>
        <v>1204.807100</v>
      </c>
    </row>
    <row r="39" spans="5:6" hidden="1">
      <c r="E39" t="s">
        <v>24</v>
      </c>
      <c r="F39" t="str">
        <f>VLOOKUP(E39,PETUNJUK!$J$3:$J$145,1,FALSE)</f>
        <v>1201.630400</v>
      </c>
    </row>
    <row r="40" spans="5:6" hidden="1">
      <c r="E40" t="s">
        <v>94</v>
      </c>
      <c r="F40" t="str">
        <f>VLOOKUP(E40,PETUNJUK!$J$3:$J$145,1,FALSE)</f>
        <v>1201.813100</v>
      </c>
    </row>
    <row r="41" spans="5:6" hidden="1">
      <c r="E41" t="s">
        <v>317</v>
      </c>
      <c r="F41" t="str">
        <f>VLOOKUP(E41,PETUNJUK!$J$3:$J$145,1,FALSE)</f>
        <v>1201.630300</v>
      </c>
    </row>
    <row r="42" spans="5:6" hidden="1">
      <c r="E42" t="s">
        <v>12</v>
      </c>
      <c r="F42" t="str">
        <f>VLOOKUP(E42,PETUNJUK!$J$3:$J$145,1,FALSE)</f>
        <v>1201.630200</v>
      </c>
    </row>
    <row r="43" spans="5:6" hidden="1">
      <c r="E43" t="s">
        <v>12</v>
      </c>
      <c r="F43" t="str">
        <f>VLOOKUP(E43,PETUNJUK!$J$3:$J$145,1,FALSE)</f>
        <v>1201.630200</v>
      </c>
    </row>
    <row r="44" spans="5:6" hidden="1">
      <c r="E44" t="s">
        <v>67</v>
      </c>
      <c r="F44" t="str">
        <f>VLOOKUP(E44,PETUNJUK!$J$3:$J$145,1,FALSE)</f>
        <v>1201.630530</v>
      </c>
    </row>
    <row r="45" spans="5:6" hidden="1">
      <c r="E45" t="s">
        <v>70</v>
      </c>
      <c r="F45" t="str">
        <f>VLOOKUP(E45,PETUNJUK!$J$3:$J$145,1,FALSE)</f>
        <v>1204.630530</v>
      </c>
    </row>
    <row r="46" spans="5:6" hidden="1">
      <c r="E46" t="s">
        <v>82</v>
      </c>
      <c r="F46" t="str">
        <f>VLOOKUP(E46,PETUNJUK!$J$3:$J$145,1,FALSE)</f>
        <v>1201.808100</v>
      </c>
    </row>
    <row r="47" spans="5:6" hidden="1">
      <c r="E47" t="s">
        <v>202</v>
      </c>
      <c r="F47" t="str">
        <f>VLOOKUP(E47,PETUNJUK!$J$3:$J$145,1,FALSE)</f>
        <v>1205.808100</v>
      </c>
    </row>
    <row r="48" spans="5:6" hidden="1">
      <c r="E48" t="s">
        <v>201</v>
      </c>
      <c r="F48" t="str">
        <f>VLOOKUP(E48,PETUNJUK!$J$3:$J$145,1,FALSE)</f>
        <v>1204.808100</v>
      </c>
    </row>
    <row r="49" spans="5:6" hidden="1">
      <c r="E49" t="s">
        <v>31</v>
      </c>
      <c r="F49" t="str">
        <f>VLOOKUP(E49,PETUNJUK!$J$3:$J$145,1,FALSE)</f>
        <v>1201.630900</v>
      </c>
    </row>
    <row r="50" spans="5:6" hidden="1">
      <c r="E50" t="s">
        <v>152</v>
      </c>
      <c r="F50" t="str">
        <f>VLOOKUP(E50,PETUNJUK!$J$3:$J$145,1,FALSE)</f>
        <v>1204.630900</v>
      </c>
    </row>
    <row r="51" spans="5:6" hidden="1">
      <c r="E51" t="s">
        <v>74</v>
      </c>
      <c r="F51" t="str">
        <f>VLOOKUP(E51,PETUNJUK!$J$3:$J$145,1,FALSE)</f>
        <v>1201.802140</v>
      </c>
    </row>
    <row r="52" spans="5:6" hidden="1">
      <c r="E52" t="s">
        <v>192</v>
      </c>
      <c r="F52" t="str">
        <f>VLOOKUP(E52,PETUNJUK!$J$3:$J$145,1,FALSE)</f>
        <v>1204.802140</v>
      </c>
    </row>
    <row r="53" spans="5:6" hidden="1">
      <c r="E53" t="s">
        <v>10</v>
      </c>
      <c r="F53" t="str">
        <f>VLOOKUP(E53,PETUNJUK!$J$3:$J$145,1,FALSE)</f>
        <v>1201.801160</v>
      </c>
    </row>
    <row r="54" spans="5:6" hidden="1">
      <c r="E54" t="s">
        <v>0</v>
      </c>
      <c r="F54" t="str">
        <f>VLOOKUP(E54,PETUNJUK!$J$3:$J$145,1,FALSE)</f>
        <v>1201.630110</v>
      </c>
    </row>
    <row r="55" spans="5:6" hidden="1">
      <c r="E55" t="s">
        <v>85</v>
      </c>
      <c r="F55" t="str">
        <f>VLOOKUP(E55,PETUNJUK!$J$3:$J$145,1,FALSE)</f>
        <v>1201.809100</v>
      </c>
    </row>
    <row r="56" spans="5:6" hidden="1">
      <c r="E56" t="s">
        <v>206</v>
      </c>
      <c r="F56" t="str">
        <f>VLOOKUP(E56,PETUNJUK!$J$3:$J$145,1,FALSE)</f>
        <v>1206.809100</v>
      </c>
    </row>
    <row r="57" spans="5:6" hidden="1">
      <c r="E57" t="s">
        <v>205</v>
      </c>
      <c r="F57" t="str">
        <f>VLOOKUP(E57,PETUNJUK!$J$3:$J$145,1,FALSE)</f>
        <v>1205.809100</v>
      </c>
    </row>
    <row r="58" spans="5:6" hidden="1">
      <c r="E58" t="s">
        <v>204</v>
      </c>
      <c r="F58" t="str">
        <f>VLOOKUP(E58,PETUNJUK!$J$3:$J$145,1,FALSE)</f>
        <v>1204.809100</v>
      </c>
    </row>
    <row r="59" spans="5:6" hidden="1">
      <c r="E59" t="s">
        <v>27</v>
      </c>
      <c r="F59" t="str">
        <f>VLOOKUP(E59,PETUNJUK!$J$3:$J$145,1,FALSE)</f>
        <v>1201.630710</v>
      </c>
    </row>
    <row r="60" spans="5:6" hidden="1">
      <c r="E60" t="s">
        <v>148</v>
      </c>
      <c r="F60" t="str">
        <f>VLOOKUP(E60,PETUNJUK!$J$3:$J$145,1,FALSE)</f>
        <v>1201.630770</v>
      </c>
    </row>
    <row r="61" spans="5:6" hidden="1">
      <c r="E61" t="s">
        <v>140</v>
      </c>
      <c r="F61" t="str">
        <f>VLOOKUP(E61,PETUNJUK!$J$3:$J$145,1,FALSE)</f>
        <v>1201.630750</v>
      </c>
    </row>
    <row r="62" spans="5:6" hidden="1">
      <c r="E62" t="s">
        <v>115</v>
      </c>
      <c r="F62" t="str">
        <f>VLOOKUP(E62,PETUNJUK!$J$3:$J$145,1,FALSE)</f>
        <v>1201.630720</v>
      </c>
    </row>
    <row r="63" spans="5:6" hidden="1">
      <c r="E63" t="s">
        <v>144</v>
      </c>
      <c r="F63" t="str">
        <f>VLOOKUP(E63,PETUNJUK!$J$3:$J$145,1,FALSE)</f>
        <v>1201.630760</v>
      </c>
    </row>
    <row r="64" spans="5:6" hidden="1">
      <c r="E64" t="s">
        <v>146</v>
      </c>
      <c r="F64" t="str">
        <f>VLOOKUP(E64,PETUNJUK!$J$3:$J$145,1,FALSE)</f>
        <v>1205.630760</v>
      </c>
    </row>
    <row r="65" spans="5:6" hidden="1">
      <c r="E65" t="s">
        <v>145</v>
      </c>
      <c r="F65" t="str">
        <f>VLOOKUP(E65,PETUNJUK!$J$3:$J$145,1,FALSE)</f>
        <v>1204.630760</v>
      </c>
    </row>
    <row r="66" spans="5:6" hidden="1">
      <c r="E66" t="s">
        <v>128</v>
      </c>
      <c r="F66" t="str">
        <f>VLOOKUP(E66,PETUNJUK!$J$3:$J$145,1,FALSE)</f>
        <v>1201.630730</v>
      </c>
    </row>
    <row r="67" spans="5:6" hidden="1">
      <c r="E67" t="s">
        <v>136</v>
      </c>
      <c r="F67" t="str">
        <f>VLOOKUP(E67,PETUNJUK!$J$3:$J$145,1,FALSE)</f>
        <v>1201.630740</v>
      </c>
    </row>
    <row r="68" spans="5:6" hidden="1">
      <c r="E68" t="s">
        <v>88</v>
      </c>
      <c r="F68" t="str">
        <f>VLOOKUP(E68,PETUNJUK!$J$3:$J$145,1,FALSE)</f>
        <v>1201.810110</v>
      </c>
    </row>
    <row r="69" spans="5:6" hidden="1">
      <c r="E69" t="s">
        <v>209</v>
      </c>
      <c r="F69" t="str">
        <f>VLOOKUP(E69,PETUNJUK!$J$3:$J$145,1,FALSE)</f>
        <v>1206.810110</v>
      </c>
    </row>
    <row r="70" spans="5:6" hidden="1">
      <c r="E70" t="s">
        <v>208</v>
      </c>
      <c r="F70" t="str">
        <f>VLOOKUP(E70,PETUNJUK!$J$3:$J$145,1,FALSE)</f>
        <v>1205.810110</v>
      </c>
    </row>
    <row r="71" spans="5:6" hidden="1">
      <c r="E71" t="s">
        <v>207</v>
      </c>
      <c r="F71" t="str">
        <f>VLOOKUP(E71,PETUNJUK!$J$3:$J$145,1,FALSE)</f>
        <v>1204.810110</v>
      </c>
    </row>
    <row r="72" spans="5:6" hidden="1">
      <c r="E72" t="s">
        <v>7</v>
      </c>
      <c r="F72" t="str">
        <f>VLOOKUP(E72,PETUNJUK!$J$3:$J$145,1,FALSE)</f>
        <v>1201.630130</v>
      </c>
    </row>
    <row r="73" spans="5:6" hidden="1">
      <c r="E73" t="s">
        <v>113</v>
      </c>
      <c r="F73" t="str">
        <f>VLOOKUP(E73,PETUNJUK!$J$3:$J$145,1,FALSE)</f>
        <v>1201.816130</v>
      </c>
    </row>
    <row r="74" spans="5:6" hidden="1">
      <c r="E74" t="s">
        <v>242</v>
      </c>
      <c r="F74" t="str">
        <f>VLOOKUP(E74,PETUNJUK!$J$3:$J$145,1,FALSE)</f>
        <v>1206.816130</v>
      </c>
    </row>
    <row r="75" spans="5:6" hidden="1">
      <c r="E75" t="s">
        <v>241</v>
      </c>
      <c r="F75" t="str">
        <f>VLOOKUP(E75,PETUNJUK!$J$3:$J$145,1,FALSE)</f>
        <v>1205.816130</v>
      </c>
    </row>
    <row r="76" spans="5:6" hidden="1">
      <c r="E76" t="s">
        <v>240</v>
      </c>
      <c r="F76" t="str">
        <f>VLOOKUP(E76,PETUNJUK!$J$3:$J$145,1,FALSE)</f>
        <v>1204.816130</v>
      </c>
    </row>
    <row r="77" spans="5:6" hidden="1">
      <c r="E77" t="s">
        <v>164</v>
      </c>
      <c r="F77" t="str">
        <f>VLOOKUP(E77,PETUNJUK!$J$3:$J$145,1,FALSE)</f>
        <v>1206.631100</v>
      </c>
    </row>
    <row r="78" spans="5:6" hidden="1">
      <c r="E78" t="s">
        <v>318</v>
      </c>
      <c r="F78" t="str">
        <f>VLOOKUP(E78,PETUNJUK!$J$3:$J$145,1,FALSE)</f>
        <v>1201.631110</v>
      </c>
    </row>
    <row r="79" spans="5:6" hidden="1">
      <c r="E79" t="s">
        <v>319</v>
      </c>
      <c r="F79" t="str">
        <f>VLOOKUP(E79,PETUNJUK!$J$3:$J$145,1,FALSE)</f>
        <v>1201.631140</v>
      </c>
    </row>
    <row r="80" spans="5:6" hidden="1">
      <c r="E80" t="s">
        <v>35</v>
      </c>
      <c r="F80" t="str">
        <f>VLOOKUP(E80,PETUNJUK!$J$3:$J$145,1,FALSE)</f>
        <v>1201.631000</v>
      </c>
    </row>
    <row r="81" spans="5:6" hidden="1">
      <c r="E81" t="s">
        <v>100</v>
      </c>
      <c r="F81" t="str">
        <f>VLOOKUP(E81,PETUNJUK!$J$3:$J$145,1,FALSE)</f>
        <v>1201.815110</v>
      </c>
    </row>
    <row r="82" spans="5:6" hidden="1">
      <c r="E82" t="s">
        <v>102</v>
      </c>
      <c r="F82" t="str">
        <f>VLOOKUP(E82,PETUNJUK!$J$3:$J$145,1,FALSE)</f>
        <v>1201.815120</v>
      </c>
    </row>
    <row r="83" spans="5:6" hidden="1">
      <c r="E83" t="s">
        <v>71</v>
      </c>
      <c r="F83" t="str">
        <f>VLOOKUP(E83,PETUNJUK!$J$3:$J$145,1,FALSE)</f>
        <v>1201.802120</v>
      </c>
    </row>
    <row r="84" spans="5:6" hidden="1">
      <c r="E84" t="s">
        <v>97</v>
      </c>
      <c r="F84" t="str">
        <f>VLOOKUP(E84,PETUNJUK!$J$3:$J$145,1,FALSE)</f>
        <v>1201.814110</v>
      </c>
    </row>
    <row r="85" spans="5:6" hidden="1">
      <c r="E85" t="s">
        <v>39</v>
      </c>
      <c r="F85" t="str">
        <f>VLOOKUP(E85,PETUNJUK!$J$3:$J$145,1,FALSE)</f>
        <v>1201.630450</v>
      </c>
    </row>
    <row r="86" spans="5:6" hidden="1">
      <c r="E86" t="s">
        <v>42</v>
      </c>
      <c r="F86" t="str">
        <f>VLOOKUP(E86,PETUNJUK!$J$3:$J$145,1,FALSE)</f>
        <v>1201.631100</v>
      </c>
    </row>
    <row r="87" spans="5:6" hidden="1">
      <c r="E87" t="s">
        <v>42</v>
      </c>
      <c r="F87" t="str">
        <f>VLOOKUP(E87,PETUNJUK!$J$3:$J$145,1,FALSE)</f>
        <v>1201.631100</v>
      </c>
    </row>
    <row r="88" spans="5:6" hidden="1">
      <c r="E88" t="s">
        <v>163</v>
      </c>
      <c r="F88" t="str">
        <f>VLOOKUP(E88,PETUNJUK!$J$3:$J$145,1,FALSE)</f>
        <v>1205.631100</v>
      </c>
    </row>
    <row r="89" spans="5:6" hidden="1">
      <c r="E89" t="s">
        <v>162</v>
      </c>
      <c r="F89" t="str">
        <f>VLOOKUP(E89,PETUNJUK!$J$3:$J$145,1,FALSE)</f>
        <v>1204.631100</v>
      </c>
    </row>
    <row r="90" spans="5:6" hidden="1">
      <c r="E90" t="s">
        <v>37</v>
      </c>
      <c r="F90" t="str">
        <f>VLOOKUP(E90,PETUNJUK!$J$3:$J$145,1,FALSE)</f>
        <v>1206.801160</v>
      </c>
    </row>
    <row r="91" spans="5:6" hidden="1">
      <c r="E91" t="s">
        <v>111</v>
      </c>
      <c r="F91" t="str">
        <f>VLOOKUP(E91,PETUNJUK!$J$3:$J$145,1,FALSE)</f>
        <v>1206.630710</v>
      </c>
    </row>
    <row r="92" spans="5:6" hidden="1">
      <c r="E92" t="s">
        <v>23</v>
      </c>
      <c r="F92" t="str">
        <f>VLOOKUP(E92,PETUNJUK!$J$3:$J$145,1,FALSE)</f>
        <v>1206.630130</v>
      </c>
    </row>
    <row r="93" spans="5:6" hidden="1">
      <c r="E93" t="s">
        <v>157</v>
      </c>
      <c r="F93" t="str">
        <f>VLOOKUP(E93,PETUNJUK!$J$3:$J$145,1,FALSE)</f>
        <v>1206.631000</v>
      </c>
    </row>
    <row r="94" spans="5:6" hidden="1">
      <c r="E94" t="s">
        <v>230</v>
      </c>
      <c r="F94" t="str">
        <f>VLOOKUP(E94,PETUNJUK!$J$3:$J$145,1,FALSE)</f>
        <v>1206.815110</v>
      </c>
    </row>
    <row r="95" spans="5:6" hidden="1">
      <c r="E95" t="s">
        <v>191</v>
      </c>
      <c r="F95" t="str">
        <f>VLOOKUP(E95,PETUNJUK!$J$3:$J$145,1,FALSE)</f>
        <v>1206.802120</v>
      </c>
    </row>
    <row r="96" spans="5:6" hidden="1">
      <c r="E96" t="s">
        <v>161</v>
      </c>
      <c r="F96" t="str">
        <f>VLOOKUP(E96,PETUNJUK!$J$3:$J$145,1,FALSE)</f>
        <v>1206.630450</v>
      </c>
    </row>
    <row r="97" spans="5:6" hidden="1">
      <c r="E97" t="s">
        <v>332</v>
      </c>
      <c r="F97" t="str">
        <f>VLOOKUP(E97,PETUNJUK!$J$3:$J$145,1,FALSE)</f>
        <v>1206.630300</v>
      </c>
    </row>
    <row r="98" spans="5:6" hidden="1">
      <c r="E98" t="s">
        <v>151</v>
      </c>
      <c r="F98" t="str">
        <f>VLOOKUP(E98,PETUNJUK!$J$3:$J$145,1,FALSE)</f>
        <v>1206.630770</v>
      </c>
    </row>
    <row r="99" spans="5:6" hidden="1">
      <c r="E99" t="s">
        <v>143</v>
      </c>
      <c r="F99" t="str">
        <f>VLOOKUP(E99,PETUNJUK!$J$3:$J$145,1,FALSE)</f>
        <v>1206.630750</v>
      </c>
    </row>
    <row r="100" spans="5:6" hidden="1">
      <c r="E100" t="s">
        <v>125</v>
      </c>
      <c r="F100" t="str">
        <f>VLOOKUP(E100,PETUNJUK!$J$3:$J$145,1,FALSE)</f>
        <v>1206.630720</v>
      </c>
    </row>
    <row r="101" spans="5:6" hidden="1">
      <c r="E101" t="s">
        <v>147</v>
      </c>
      <c r="F101" t="str">
        <f>VLOOKUP(E101,PETUNJUK!$J$3:$J$145,1,FALSE)</f>
        <v>1206.630760</v>
      </c>
    </row>
    <row r="102" spans="5:6" hidden="1">
      <c r="E102" t="s">
        <v>135</v>
      </c>
      <c r="F102" t="str">
        <f>VLOOKUP(E102,PETUNJUK!$J$3:$J$145,1,FALSE)</f>
        <v>1206.630730</v>
      </c>
    </row>
    <row r="103" spans="5:6" hidden="1">
      <c r="E103" t="s">
        <v>139</v>
      </c>
      <c r="F103" t="str">
        <f>VLOOKUP(E103,PETUNJUK!$J$3:$J$145,1,FALSE)</f>
        <v>1206.630740</v>
      </c>
    </row>
    <row r="104" spans="5:6" hidden="1">
      <c r="E104" t="s">
        <v>333</v>
      </c>
      <c r="F104" t="str">
        <f>VLOOKUP(E104,PETUNJUK!$J$3:$J$145,1,FALSE)</f>
        <v>1206.631110</v>
      </c>
    </row>
    <row r="105" spans="5:6" hidden="1">
      <c r="E105" t="s">
        <v>220</v>
      </c>
      <c r="F105" t="str">
        <f>VLOOKUP(E105,PETUNJUK!$J$3:$J$145,1,FALSE)</f>
        <v>1206.812100</v>
      </c>
    </row>
    <row r="106" spans="5:6" hidden="1">
      <c r="E106" t="s">
        <v>99</v>
      </c>
      <c r="F106" t="str">
        <f>VLOOKUP(E106,PETUNJUK!$J$3:$J$145,1,FALSE)</f>
        <v>1206.630400</v>
      </c>
    </row>
    <row r="107" spans="5:6" hidden="1">
      <c r="E107" t="s">
        <v>203</v>
      </c>
      <c r="F107" t="str">
        <f>VLOOKUP(E107,PETUNJUK!$J$3:$J$145,1,FALSE)</f>
        <v>1206.808100</v>
      </c>
    </row>
    <row r="108" spans="5:6" hidden="1">
      <c r="E108" t="s">
        <v>8</v>
      </c>
      <c r="F108" t="str">
        <f>VLOOKUP(E108,PETUNJUK!$J$3:$J$145,1,FALSE)</f>
        <v>1206.630110</v>
      </c>
    </row>
    <row r="109" spans="5:6" hidden="1">
      <c r="E109" t="s">
        <v>185</v>
      </c>
      <c r="F109" t="str">
        <f>VLOOKUP(E109,PETUNJUK!$J$3:$J$145,1,FALSE)</f>
        <v>1206.801110</v>
      </c>
    </row>
    <row r="110" spans="5:6" hidden="1">
      <c r="E110" t="s">
        <v>336</v>
      </c>
      <c r="F110" t="str">
        <f>VLOOKUP(E110,PETUNJUK!$J$3:$J$145,1,FALSE)</f>
        <v>1206.631180</v>
      </c>
    </row>
    <row r="111" spans="5:6">
      <c r="E111" t="s">
        <v>87</v>
      </c>
      <c r="F111" t="e">
        <f>VLOOKUP(E111,PETUNJUK!$J$3:$J$145,1,FALSE)</f>
        <v>#N/A</v>
      </c>
    </row>
    <row r="112" spans="5:6" hidden="1">
      <c r="E112" t="s">
        <v>223</v>
      </c>
      <c r="F112" t="str">
        <f>VLOOKUP(E112,PETUNJUK!$J$3:$J$145,1,FALSE)</f>
        <v>1205.813100</v>
      </c>
    </row>
    <row r="113" spans="5:6" hidden="1">
      <c r="E113" t="s">
        <v>33</v>
      </c>
      <c r="F113" t="str">
        <f>VLOOKUP(E113,PETUNJUK!$J$3:$J$145,1,FALSE)</f>
        <v>1205.801160</v>
      </c>
    </row>
    <row r="114" spans="5:6" hidden="1">
      <c r="E114" t="s">
        <v>107</v>
      </c>
      <c r="F114" t="str">
        <f>VLOOKUP(E114,PETUNJUK!$J$3:$J$145,1,FALSE)</f>
        <v>1205.630710</v>
      </c>
    </row>
    <row r="115" spans="5:6" hidden="1">
      <c r="E115" t="s">
        <v>138</v>
      </c>
      <c r="F115" t="str">
        <f>VLOOKUP(E115,PETUNJUK!$J$3:$J$145,1,FALSE)</f>
        <v>1205.630740</v>
      </c>
    </row>
    <row r="116" spans="5:6" hidden="1">
      <c r="E116" t="s">
        <v>18</v>
      </c>
      <c r="F116" t="str">
        <f>VLOOKUP(E116,PETUNJUK!$J$3:$J$145,1,FALSE)</f>
        <v>1205.630130</v>
      </c>
    </row>
    <row r="117" spans="5:6" hidden="1">
      <c r="E117" t="s">
        <v>229</v>
      </c>
      <c r="F117" t="str">
        <f>VLOOKUP(E117,PETUNJUK!$J$3:$J$145,1,FALSE)</f>
        <v>1205.815110</v>
      </c>
    </row>
    <row r="118" spans="5:6" hidden="1">
      <c r="E118" t="s">
        <v>163</v>
      </c>
      <c r="F118" t="str">
        <f>VLOOKUP(E118,PETUNJUK!$J$3:$J$145,1,FALSE)</f>
        <v>1205.631100</v>
      </c>
    </row>
    <row r="119" spans="5:6" hidden="1">
      <c r="E119" t="s">
        <v>219</v>
      </c>
      <c r="F119" t="str">
        <f>VLOOKUP(E119,PETUNJUK!$J$3:$J$145,1,FALSE)</f>
        <v>1205.812100</v>
      </c>
    </row>
    <row r="120" spans="5:6" hidden="1">
      <c r="E120" t="s">
        <v>96</v>
      </c>
      <c r="F120" t="str">
        <f>VLOOKUP(E120,PETUNJUK!$J$3:$J$145,1,FALSE)</f>
        <v>1205.630400</v>
      </c>
    </row>
    <row r="121" spans="5:6" hidden="1">
      <c r="E121" t="s">
        <v>327</v>
      </c>
      <c r="F121" t="str">
        <f>VLOOKUP(E121,PETUNJUK!$J$3:$J$145,1,FALSE)</f>
        <v>1205.630300</v>
      </c>
    </row>
    <row r="122" spans="5:6" hidden="1">
      <c r="E122" t="s">
        <v>48</v>
      </c>
      <c r="F122" t="str">
        <f>VLOOKUP(E122,PETUNJUK!$J$3:$J$145,1,FALSE)</f>
        <v>1205.630200</v>
      </c>
    </row>
    <row r="123" spans="5:6" hidden="1">
      <c r="E123" t="s">
        <v>5</v>
      </c>
      <c r="F123" t="str">
        <f>VLOOKUP(E123,PETUNJUK!$J$3:$J$145,1,FALSE)</f>
        <v>1205.630110</v>
      </c>
    </row>
    <row r="124" spans="5:6" hidden="1">
      <c r="E124" t="s">
        <v>150</v>
      </c>
      <c r="F124" t="str">
        <f>VLOOKUP(E124,PETUNJUK!$J$3:$J$145,1,FALSE)</f>
        <v>1205.630770</v>
      </c>
    </row>
    <row r="125" spans="5:6" hidden="1">
      <c r="E125" t="s">
        <v>142</v>
      </c>
      <c r="F125" t="str">
        <f>VLOOKUP(E125,PETUNJUK!$J$3:$J$145,1,FALSE)</f>
        <v>1205.630750</v>
      </c>
    </row>
    <row r="126" spans="5:6" hidden="1">
      <c r="E126" t="s">
        <v>122</v>
      </c>
      <c r="F126" t="str">
        <f>VLOOKUP(E126,PETUNJUK!$J$3:$J$145,1,FALSE)</f>
        <v>1205.630720</v>
      </c>
    </row>
    <row r="127" spans="5:6" hidden="1">
      <c r="E127" t="s">
        <v>134</v>
      </c>
      <c r="F127" t="str">
        <f>VLOOKUP(E127,PETUNJUK!$J$3:$J$145,1,FALSE)</f>
        <v>1205.630730</v>
      </c>
    </row>
    <row r="128" spans="5:6" hidden="1">
      <c r="E128" t="s">
        <v>184</v>
      </c>
      <c r="F128" t="str">
        <f>VLOOKUP(E128,PETUNJUK!$J$3:$J$145,1,FALSE)</f>
        <v>1205.801110</v>
      </c>
    </row>
    <row r="129" spans="5:6" hidden="1">
      <c r="E129" t="s">
        <v>328</v>
      </c>
      <c r="F129" t="str">
        <f>VLOOKUP(E129,PETUNJUK!$J$3:$J$145,1,FALSE)</f>
        <v>1205.631110</v>
      </c>
    </row>
    <row r="130" spans="5:6" hidden="1">
      <c r="E130" t="s">
        <v>222</v>
      </c>
      <c r="F130" t="str">
        <f>VLOOKUP(E130,PETUNJUK!$J$3:$J$145,1,FALSE)</f>
        <v>1204.813100</v>
      </c>
    </row>
    <row r="131" spans="5:6" hidden="1">
      <c r="E131" t="s">
        <v>29</v>
      </c>
      <c r="F131" t="str">
        <f>VLOOKUP(E131,PETUNJUK!$J$3:$J$145,1,FALSE)</f>
        <v>1204.801160</v>
      </c>
    </row>
    <row r="132" spans="5:6" hidden="1">
      <c r="E132" t="s">
        <v>104</v>
      </c>
      <c r="F132" t="str">
        <f>VLOOKUP(E132,PETUNJUK!$J$3:$J$145,1,FALSE)</f>
        <v>1204.630710</v>
      </c>
    </row>
    <row r="133" spans="5:6" hidden="1">
      <c r="E133" t="s">
        <v>137</v>
      </c>
      <c r="F133" t="str">
        <f>VLOOKUP(E133,PETUNJUK!$J$3:$J$145,1,FALSE)</f>
        <v>1204.630740</v>
      </c>
    </row>
    <row r="134" spans="5:6" hidden="1">
      <c r="E134" t="s">
        <v>13</v>
      </c>
      <c r="F134" t="str">
        <f>VLOOKUP(E134,PETUNJUK!$J$3:$J$145,1,FALSE)</f>
        <v>1204.630130</v>
      </c>
    </row>
    <row r="135" spans="5:6" hidden="1">
      <c r="E135" t="s">
        <v>228</v>
      </c>
      <c r="F135" t="str">
        <f>VLOOKUP(E135,PETUNJUK!$J$3:$J$145,1,FALSE)</f>
        <v>1204.815110</v>
      </c>
    </row>
    <row r="136" spans="5:6" hidden="1">
      <c r="E136" t="s">
        <v>162</v>
      </c>
      <c r="F136" t="str">
        <f>VLOOKUP(E136,PETUNJUK!$J$3:$J$145,1,FALSE)</f>
        <v>1204.631100</v>
      </c>
    </row>
    <row r="137" spans="5:6">
      <c r="E137" t="s">
        <v>174</v>
      </c>
      <c r="F137" t="e">
        <f>VLOOKUP(E137,PETUNJUK!$J$3:$J$145,1,FALSE)</f>
        <v>#N/A</v>
      </c>
    </row>
    <row r="138" spans="5:6" hidden="1">
      <c r="E138" t="s">
        <v>218</v>
      </c>
      <c r="F138" t="str">
        <f>VLOOKUP(E138,PETUNJUK!$J$3:$J$145,1,FALSE)</f>
        <v>1204.812100</v>
      </c>
    </row>
    <row r="139" spans="5:6" hidden="1">
      <c r="E139" t="s">
        <v>93</v>
      </c>
      <c r="F139" t="str">
        <f>VLOOKUP(E139,PETUNJUK!$J$3:$J$145,1,FALSE)</f>
        <v>1204.630400</v>
      </c>
    </row>
    <row r="140" spans="5:6" hidden="1">
      <c r="E140" t="s">
        <v>322</v>
      </c>
      <c r="F140" t="str">
        <f>VLOOKUP(E140,PETUNJUK!$J$3:$J$145,1,FALSE)</f>
        <v>1204.630300</v>
      </c>
    </row>
    <row r="141" spans="5:6" hidden="1">
      <c r="E141" t="s">
        <v>44</v>
      </c>
      <c r="F141" t="str">
        <f>VLOOKUP(E141,PETUNJUK!$J$3:$J$145,1,FALSE)</f>
        <v>1204.630200</v>
      </c>
    </row>
    <row r="142" spans="5:6" hidden="1">
      <c r="E142" t="s">
        <v>3</v>
      </c>
      <c r="F142" t="str">
        <f>VLOOKUP(E142,PETUNJUK!$J$3:$J$145,1,FALSE)</f>
        <v>1204.630110</v>
      </c>
    </row>
    <row r="143" spans="5:6" hidden="1">
      <c r="E143" t="s">
        <v>149</v>
      </c>
      <c r="F143" t="str">
        <f>VLOOKUP(E143,PETUNJUK!$J$3:$J$145,1,FALSE)</f>
        <v>1204.630770</v>
      </c>
    </row>
    <row r="144" spans="5:6" hidden="1">
      <c r="E144" t="s">
        <v>141</v>
      </c>
      <c r="F144" t="str">
        <f>VLOOKUP(E144,PETUNJUK!$J$3:$J$145,1,FALSE)</f>
        <v>1204.630750</v>
      </c>
    </row>
    <row r="145" spans="5:6" hidden="1">
      <c r="E145" t="s">
        <v>119</v>
      </c>
      <c r="F145" t="str">
        <f>VLOOKUP(E145,PETUNJUK!$J$3:$J$145,1,FALSE)</f>
        <v>1204.630720</v>
      </c>
    </row>
    <row r="146" spans="5:6" hidden="1">
      <c r="E146" t="s">
        <v>131</v>
      </c>
      <c r="F146" t="str">
        <f>VLOOKUP(E146,PETUNJUK!$J$3:$J$145,1,FALSE)</f>
        <v>1204.630730</v>
      </c>
    </row>
    <row r="147" spans="5:6" hidden="1">
      <c r="E147" t="s">
        <v>323</v>
      </c>
      <c r="F147" t="str">
        <f>VLOOKUP(E147,PETUNJUK!$J$3:$J$145,1,FALSE)</f>
        <v>1204.631110</v>
      </c>
    </row>
    <row r="148" spans="5:6" hidden="1">
      <c r="E148" t="s">
        <v>324</v>
      </c>
      <c r="F148" t="str">
        <f>VLOOKUP(E148,PETUNJUK!$J$3:$J$145,1,FALSE)</f>
        <v>1204.631140</v>
      </c>
    </row>
    <row r="149" spans="5:6" hidden="1">
      <c r="E149" t="s">
        <v>109</v>
      </c>
      <c r="F149" t="str">
        <f>VLOOKUP(E149,PETUNJUK!$J$3:$J$145,1,FALSE)</f>
        <v>1201.816120</v>
      </c>
    </row>
    <row r="150" spans="5:6" hidden="1">
      <c r="E150" t="s">
        <v>132</v>
      </c>
      <c r="F150" t="str">
        <f>VLOOKUP(E150,PETUNJUK!$J$3:$J$145,1,FALSE)</f>
        <v>1201.920410</v>
      </c>
    </row>
    <row r="151" spans="5:6" hidden="1">
      <c r="E151" t="s">
        <v>129</v>
      </c>
      <c r="F151" t="str">
        <f>VLOOKUP(E151,PETUNJUK!$J$3:$J$145,1,FALSE)</f>
        <v>1201.920120</v>
      </c>
    </row>
    <row r="152" spans="5:6" hidden="1">
      <c r="E152" t="s">
        <v>77</v>
      </c>
      <c r="F152" t="str">
        <f>VLOOKUP(E152,PETUNJUK!$J$3:$J$145,1,FALSE)</f>
        <v>1201.805120</v>
      </c>
    </row>
    <row r="153" spans="5:6" hidden="1">
      <c r="E153" t="s">
        <v>126</v>
      </c>
      <c r="F153" t="str">
        <f>VLOOKUP(E153,PETUNJUK!$J$3:$J$145,1,FALSE)</f>
        <v>1201.920700</v>
      </c>
    </row>
    <row r="154" spans="5:6" hidden="1">
      <c r="E154" t="s">
        <v>255</v>
      </c>
      <c r="F154" t="str">
        <f>VLOOKUP(E154,PETUNJUK!$J$3:$J$145,1,FALSE)</f>
        <v>1206.920700</v>
      </c>
    </row>
    <row r="155" spans="5:6" hidden="1">
      <c r="E155" t="s">
        <v>254</v>
      </c>
      <c r="F155" t="str">
        <f>VLOOKUP(E155,PETUNJUK!$J$3:$J$145,1,FALSE)</f>
        <v>1205.920700</v>
      </c>
    </row>
    <row r="156" spans="5:6" hidden="1">
      <c r="E156" t="s">
        <v>253</v>
      </c>
      <c r="F156" t="str">
        <f>VLOOKUP(E156,PETUNJUK!$J$3:$J$145,1,FALSE)</f>
        <v>1204.920700</v>
      </c>
    </row>
    <row r="157" spans="5:6" hidden="1">
      <c r="E157" t="s">
        <v>65</v>
      </c>
      <c r="F157" t="str">
        <f>VLOOKUP(E157,PETUNJUK!$J$3:$J$145,1,FALSE)</f>
        <v>1201.801110</v>
      </c>
    </row>
    <row r="158" spans="5:6" hidden="1">
      <c r="E158" t="s">
        <v>183</v>
      </c>
      <c r="F158" t="str">
        <f>VLOOKUP(E158,PETUNJUK!$J$3:$J$145,1,FALSE)</f>
        <v>1204.801110</v>
      </c>
    </row>
  </sheetData>
  <autoFilter ref="E1:F158" xr:uid="{1B25883F-58E9-41BB-AFEF-2E197351534A}">
    <filterColumn colId="1">
      <filters>
        <filter val="#N/A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72767-3D1C-47F5-9F3D-9D4C819C708C}">
  <dimension ref="A1:E1001"/>
  <sheetViews>
    <sheetView workbookViewId="0"/>
  </sheetViews>
  <sheetFormatPr defaultRowHeight="15"/>
  <cols>
    <col min="1" max="5" width="12.7109375" customWidth="1"/>
  </cols>
  <sheetData>
    <row r="1" spans="1:5" s="19" customFormat="1">
      <c r="A1" s="57" t="s">
        <v>339</v>
      </c>
      <c r="B1" s="57" t="s">
        <v>340</v>
      </c>
      <c r="C1" s="57" t="s">
        <v>341</v>
      </c>
      <c r="D1" s="57" t="s">
        <v>342</v>
      </c>
      <c r="E1" s="57" t="s">
        <v>343</v>
      </c>
    </row>
    <row r="2" spans="1:5">
      <c r="A2" s="58" t="s">
        <v>0</v>
      </c>
      <c r="B2" s="58" t="s">
        <v>344</v>
      </c>
      <c r="C2" s="59">
        <v>45323</v>
      </c>
      <c r="D2" s="59">
        <v>45323</v>
      </c>
      <c r="E2" s="60">
        <v>0</v>
      </c>
    </row>
    <row r="3" spans="1:5">
      <c r="A3" s="58" t="s">
        <v>0</v>
      </c>
      <c r="B3" s="58" t="s">
        <v>344</v>
      </c>
      <c r="C3" s="59">
        <v>45324</v>
      </c>
      <c r="D3" s="59">
        <v>45324</v>
      </c>
      <c r="E3" s="60">
        <v>0</v>
      </c>
    </row>
    <row r="4" spans="1:5">
      <c r="A4" s="58" t="s">
        <v>0</v>
      </c>
      <c r="B4" s="58" t="s">
        <v>344</v>
      </c>
      <c r="C4" s="59">
        <v>45325</v>
      </c>
      <c r="D4" s="59">
        <v>45325</v>
      </c>
      <c r="E4" s="60">
        <v>0</v>
      </c>
    </row>
    <row r="5" spans="1:5">
      <c r="A5" s="58" t="s">
        <v>0</v>
      </c>
      <c r="B5" s="58" t="s">
        <v>344</v>
      </c>
      <c r="C5" s="59">
        <v>45326</v>
      </c>
      <c r="D5" s="59">
        <v>45326</v>
      </c>
      <c r="E5" s="60">
        <v>0</v>
      </c>
    </row>
    <row r="6" spans="1:5">
      <c r="A6" s="58" t="s">
        <v>0</v>
      </c>
      <c r="B6" s="58" t="s">
        <v>344</v>
      </c>
      <c r="C6" s="59">
        <v>45327</v>
      </c>
      <c r="D6" s="59">
        <v>45327</v>
      </c>
      <c r="E6" s="60">
        <v>0</v>
      </c>
    </row>
    <row r="7" spans="1:5">
      <c r="A7" s="58" t="s">
        <v>3</v>
      </c>
      <c r="B7" s="58" t="s">
        <v>345</v>
      </c>
      <c r="C7" s="59">
        <v>45323</v>
      </c>
      <c r="D7" s="59">
        <v>45323</v>
      </c>
      <c r="E7" s="60">
        <v>0</v>
      </c>
    </row>
    <row r="8" spans="1:5">
      <c r="A8" s="58" t="s">
        <v>3</v>
      </c>
      <c r="B8" s="58" t="s">
        <v>345</v>
      </c>
      <c r="C8" s="59">
        <v>45324</v>
      </c>
      <c r="D8" s="59">
        <v>45324</v>
      </c>
      <c r="E8" s="60">
        <v>0</v>
      </c>
    </row>
    <row r="9" spans="1:5">
      <c r="A9" s="58" t="s">
        <v>3</v>
      </c>
      <c r="B9" s="58" t="s">
        <v>345</v>
      </c>
      <c r="C9" s="59">
        <v>45325</v>
      </c>
      <c r="D9" s="59">
        <v>45325</v>
      </c>
      <c r="E9" s="60">
        <v>0</v>
      </c>
    </row>
    <row r="10" spans="1:5">
      <c r="A10" s="58" t="s">
        <v>3</v>
      </c>
      <c r="B10" s="58" t="s">
        <v>345</v>
      </c>
      <c r="C10" s="59">
        <v>45326</v>
      </c>
      <c r="D10" s="59">
        <v>45326</v>
      </c>
      <c r="E10" s="60">
        <v>0</v>
      </c>
    </row>
    <row r="11" spans="1:5">
      <c r="A11" s="58" t="s">
        <v>3</v>
      </c>
      <c r="B11" s="58" t="s">
        <v>345</v>
      </c>
      <c r="C11" s="59">
        <v>45327</v>
      </c>
      <c r="D11" s="59">
        <v>45327</v>
      </c>
      <c r="E11" s="60">
        <v>0</v>
      </c>
    </row>
    <row r="12" spans="1:5">
      <c r="A12" s="58" t="s">
        <v>5</v>
      </c>
      <c r="B12" s="58" t="s">
        <v>346</v>
      </c>
      <c r="C12" s="59">
        <v>45323</v>
      </c>
      <c r="D12" s="59">
        <v>45323</v>
      </c>
      <c r="E12" s="60">
        <v>0</v>
      </c>
    </row>
    <row r="13" spans="1:5">
      <c r="A13" s="58" t="s">
        <v>5</v>
      </c>
      <c r="B13" s="58" t="s">
        <v>346</v>
      </c>
      <c r="C13" s="59">
        <v>45324</v>
      </c>
      <c r="D13" s="59">
        <v>45324</v>
      </c>
      <c r="E13" s="60">
        <v>0</v>
      </c>
    </row>
    <row r="14" spans="1:5">
      <c r="A14" s="58" t="s">
        <v>5</v>
      </c>
      <c r="B14" s="58" t="s">
        <v>346</v>
      </c>
      <c r="C14" s="59">
        <v>45325</v>
      </c>
      <c r="D14" s="59">
        <v>45325</v>
      </c>
      <c r="E14" s="60">
        <v>0</v>
      </c>
    </row>
    <row r="15" spans="1:5">
      <c r="A15" s="58" t="s">
        <v>5</v>
      </c>
      <c r="B15" s="58" t="s">
        <v>346</v>
      </c>
      <c r="C15" s="59">
        <v>45326</v>
      </c>
      <c r="D15" s="59">
        <v>45326</v>
      </c>
      <c r="E15" s="60">
        <v>0</v>
      </c>
    </row>
    <row r="16" spans="1:5">
      <c r="A16" s="58" t="s">
        <v>5</v>
      </c>
      <c r="B16" s="58" t="s">
        <v>346</v>
      </c>
      <c r="C16" s="59">
        <v>45327</v>
      </c>
      <c r="D16" s="59">
        <v>45327</v>
      </c>
      <c r="E16" s="60">
        <v>0</v>
      </c>
    </row>
    <row r="17" spans="1:5">
      <c r="A17" s="58" t="s">
        <v>8</v>
      </c>
      <c r="B17" s="58" t="s">
        <v>347</v>
      </c>
      <c r="C17" s="59">
        <v>45323</v>
      </c>
      <c r="D17" s="59">
        <v>45323</v>
      </c>
      <c r="E17" s="60">
        <v>0</v>
      </c>
    </row>
    <row r="18" spans="1:5">
      <c r="A18" s="58" t="s">
        <v>8</v>
      </c>
      <c r="B18" s="58" t="s">
        <v>347</v>
      </c>
      <c r="C18" s="59">
        <v>45324</v>
      </c>
      <c r="D18" s="59">
        <v>45324</v>
      </c>
      <c r="E18" s="60">
        <v>0</v>
      </c>
    </row>
    <row r="19" spans="1:5">
      <c r="A19" s="58" t="s">
        <v>8</v>
      </c>
      <c r="B19" s="58" t="s">
        <v>347</v>
      </c>
      <c r="C19" s="59">
        <v>45325</v>
      </c>
      <c r="D19" s="59">
        <v>45325</v>
      </c>
      <c r="E19" s="60">
        <v>0</v>
      </c>
    </row>
    <row r="20" spans="1:5">
      <c r="A20" s="58" t="s">
        <v>8</v>
      </c>
      <c r="B20" s="58" t="s">
        <v>347</v>
      </c>
      <c r="C20" s="59">
        <v>45326</v>
      </c>
      <c r="D20" s="59">
        <v>45326</v>
      </c>
      <c r="E20" s="60">
        <v>0</v>
      </c>
    </row>
    <row r="21" spans="1:5">
      <c r="A21" s="58" t="s">
        <v>8</v>
      </c>
      <c r="B21" s="58" t="s">
        <v>347</v>
      </c>
      <c r="C21" s="59">
        <v>45327</v>
      </c>
      <c r="D21" s="59">
        <v>45327</v>
      </c>
      <c r="E21" s="60">
        <v>0</v>
      </c>
    </row>
    <row r="22" spans="1:5">
      <c r="A22" s="58" t="s">
        <v>7</v>
      </c>
      <c r="B22" s="58" t="s">
        <v>344</v>
      </c>
      <c r="C22" s="59">
        <v>45323</v>
      </c>
      <c r="D22" s="59">
        <v>45323</v>
      </c>
      <c r="E22" s="60">
        <v>0</v>
      </c>
    </row>
    <row r="23" spans="1:5">
      <c r="A23" s="58" t="s">
        <v>7</v>
      </c>
      <c r="B23" s="58" t="s">
        <v>344</v>
      </c>
      <c r="C23" s="59">
        <v>45324</v>
      </c>
      <c r="D23" s="59">
        <v>45324</v>
      </c>
      <c r="E23" s="60">
        <v>0</v>
      </c>
    </row>
    <row r="24" spans="1:5">
      <c r="A24" s="58" t="s">
        <v>7</v>
      </c>
      <c r="B24" s="58" t="s">
        <v>344</v>
      </c>
      <c r="C24" s="59">
        <v>45325</v>
      </c>
      <c r="D24" s="59">
        <v>45325</v>
      </c>
      <c r="E24" s="60">
        <v>0</v>
      </c>
    </row>
    <row r="25" spans="1:5">
      <c r="A25" s="58" t="s">
        <v>7</v>
      </c>
      <c r="B25" s="58" t="s">
        <v>344</v>
      </c>
      <c r="C25" s="59">
        <v>45326</v>
      </c>
      <c r="D25" s="59">
        <v>45326</v>
      </c>
      <c r="E25" s="60">
        <v>0</v>
      </c>
    </row>
    <row r="26" spans="1:5">
      <c r="A26" s="58" t="s">
        <v>7</v>
      </c>
      <c r="B26" s="58" t="s">
        <v>344</v>
      </c>
      <c r="C26" s="59">
        <v>45327</v>
      </c>
      <c r="D26" s="59">
        <v>45327</v>
      </c>
      <c r="E26" s="60">
        <v>0</v>
      </c>
    </row>
    <row r="27" spans="1:5">
      <c r="A27" s="58" t="s">
        <v>13</v>
      </c>
      <c r="B27" s="58" t="s">
        <v>345</v>
      </c>
      <c r="C27" s="59">
        <v>45323</v>
      </c>
      <c r="D27" s="59">
        <v>45323</v>
      </c>
      <c r="E27" s="60">
        <v>0</v>
      </c>
    </row>
    <row r="28" spans="1:5">
      <c r="A28" s="58" t="s">
        <v>13</v>
      </c>
      <c r="B28" s="58" t="s">
        <v>345</v>
      </c>
      <c r="C28" s="59">
        <v>45324</v>
      </c>
      <c r="D28" s="59">
        <v>45324</v>
      </c>
      <c r="E28" s="60">
        <v>0</v>
      </c>
    </row>
    <row r="29" spans="1:5">
      <c r="A29" s="58" t="s">
        <v>13</v>
      </c>
      <c r="B29" s="58" t="s">
        <v>345</v>
      </c>
      <c r="C29" s="59">
        <v>45325</v>
      </c>
      <c r="D29" s="59">
        <v>45325</v>
      </c>
      <c r="E29" s="60">
        <v>0</v>
      </c>
    </row>
    <row r="30" spans="1:5">
      <c r="A30" s="58" t="s">
        <v>13</v>
      </c>
      <c r="B30" s="58" t="s">
        <v>345</v>
      </c>
      <c r="C30" s="59">
        <v>45326</v>
      </c>
      <c r="D30" s="59">
        <v>45326</v>
      </c>
      <c r="E30" s="60">
        <v>0</v>
      </c>
    </row>
    <row r="31" spans="1:5">
      <c r="A31" s="58" t="s">
        <v>13</v>
      </c>
      <c r="B31" s="58" t="s">
        <v>345</v>
      </c>
      <c r="C31" s="59">
        <v>45327</v>
      </c>
      <c r="D31" s="59">
        <v>45327</v>
      </c>
      <c r="E31" s="60">
        <v>0</v>
      </c>
    </row>
    <row r="32" spans="1:5">
      <c r="A32" s="58" t="s">
        <v>18</v>
      </c>
      <c r="B32" s="58" t="s">
        <v>346</v>
      </c>
      <c r="C32" s="59">
        <v>45323</v>
      </c>
      <c r="D32" s="59">
        <v>45323</v>
      </c>
      <c r="E32" s="60">
        <v>0</v>
      </c>
    </row>
    <row r="33" spans="1:5">
      <c r="A33" s="58" t="s">
        <v>18</v>
      </c>
      <c r="B33" s="58" t="s">
        <v>346</v>
      </c>
      <c r="C33" s="59">
        <v>45324</v>
      </c>
      <c r="D33" s="59">
        <v>45324</v>
      </c>
      <c r="E33" s="60">
        <v>0</v>
      </c>
    </row>
    <row r="34" spans="1:5">
      <c r="A34" s="58" t="s">
        <v>18</v>
      </c>
      <c r="B34" s="58" t="s">
        <v>346</v>
      </c>
      <c r="C34" s="59">
        <v>45325</v>
      </c>
      <c r="D34" s="59">
        <v>45325</v>
      </c>
      <c r="E34" s="60">
        <v>0</v>
      </c>
    </row>
    <row r="35" spans="1:5">
      <c r="A35" s="58" t="s">
        <v>18</v>
      </c>
      <c r="B35" s="58" t="s">
        <v>346</v>
      </c>
      <c r="C35" s="59">
        <v>45326</v>
      </c>
      <c r="D35" s="59">
        <v>45326</v>
      </c>
      <c r="E35" s="60">
        <v>0</v>
      </c>
    </row>
    <row r="36" spans="1:5">
      <c r="A36" s="58" t="s">
        <v>18</v>
      </c>
      <c r="B36" s="58" t="s">
        <v>346</v>
      </c>
      <c r="C36" s="59">
        <v>45327</v>
      </c>
      <c r="D36" s="59">
        <v>45327</v>
      </c>
      <c r="E36" s="60">
        <v>0</v>
      </c>
    </row>
    <row r="37" spans="1:5">
      <c r="A37" s="58" t="s">
        <v>23</v>
      </c>
      <c r="B37" s="58" t="s">
        <v>347</v>
      </c>
      <c r="C37" s="59">
        <v>45323</v>
      </c>
      <c r="D37" s="59">
        <v>45323</v>
      </c>
      <c r="E37" s="60">
        <v>0</v>
      </c>
    </row>
    <row r="38" spans="1:5">
      <c r="A38" s="58" t="s">
        <v>23</v>
      </c>
      <c r="B38" s="58" t="s">
        <v>347</v>
      </c>
      <c r="C38" s="59">
        <v>45324</v>
      </c>
      <c r="D38" s="59">
        <v>45324</v>
      </c>
      <c r="E38" s="60">
        <v>0</v>
      </c>
    </row>
    <row r="39" spans="1:5">
      <c r="A39" s="58" t="s">
        <v>23</v>
      </c>
      <c r="B39" s="58" t="s">
        <v>347</v>
      </c>
      <c r="C39" s="59">
        <v>45325</v>
      </c>
      <c r="D39" s="59">
        <v>45325</v>
      </c>
      <c r="E39" s="60">
        <v>0</v>
      </c>
    </row>
    <row r="40" spans="1:5">
      <c r="A40" s="58" t="s">
        <v>23</v>
      </c>
      <c r="B40" s="58" t="s">
        <v>347</v>
      </c>
      <c r="C40" s="59">
        <v>45326</v>
      </c>
      <c r="D40" s="59">
        <v>45326</v>
      </c>
      <c r="E40" s="60">
        <v>0</v>
      </c>
    </row>
    <row r="41" spans="1:5">
      <c r="A41" s="58" t="s">
        <v>23</v>
      </c>
      <c r="B41" s="58" t="s">
        <v>347</v>
      </c>
      <c r="C41" s="59">
        <v>45327</v>
      </c>
      <c r="D41" s="59">
        <v>45327</v>
      </c>
      <c r="E41" s="60">
        <v>0</v>
      </c>
    </row>
    <row r="42" spans="1:5">
      <c r="A42" s="58" t="s">
        <v>10</v>
      </c>
      <c r="B42" s="58" t="s">
        <v>344</v>
      </c>
      <c r="C42" s="59">
        <v>45323</v>
      </c>
      <c r="D42" s="59">
        <v>45323</v>
      </c>
      <c r="E42" s="60">
        <v>0</v>
      </c>
    </row>
    <row r="43" spans="1:5">
      <c r="A43" s="58" t="s">
        <v>10</v>
      </c>
      <c r="B43" s="58" t="s">
        <v>344</v>
      </c>
      <c r="C43" s="59">
        <v>45324</v>
      </c>
      <c r="D43" s="59">
        <v>45324</v>
      </c>
      <c r="E43" s="60">
        <v>0</v>
      </c>
    </row>
    <row r="44" spans="1:5">
      <c r="A44" s="58" t="s">
        <v>10</v>
      </c>
      <c r="B44" s="58" t="s">
        <v>344</v>
      </c>
      <c r="C44" s="59">
        <v>45325</v>
      </c>
      <c r="D44" s="59">
        <v>45325</v>
      </c>
      <c r="E44" s="60">
        <v>0</v>
      </c>
    </row>
    <row r="45" spans="1:5">
      <c r="A45" s="58" t="s">
        <v>10</v>
      </c>
      <c r="B45" s="58" t="s">
        <v>344</v>
      </c>
      <c r="C45" s="59">
        <v>45326</v>
      </c>
      <c r="D45" s="59">
        <v>45326</v>
      </c>
      <c r="E45" s="60">
        <v>0</v>
      </c>
    </row>
    <row r="46" spans="1:5">
      <c r="A46" s="58" t="s">
        <v>10</v>
      </c>
      <c r="B46" s="58" t="s">
        <v>344</v>
      </c>
      <c r="C46" s="59">
        <v>45327</v>
      </c>
      <c r="D46" s="59">
        <v>45327</v>
      </c>
      <c r="E46" s="60">
        <v>0</v>
      </c>
    </row>
    <row r="47" spans="1:5">
      <c r="A47" s="58" t="s">
        <v>29</v>
      </c>
      <c r="B47" s="58" t="s">
        <v>345</v>
      </c>
      <c r="C47" s="59">
        <v>45323</v>
      </c>
      <c r="D47" s="59">
        <v>45323</v>
      </c>
      <c r="E47" s="60">
        <v>0</v>
      </c>
    </row>
    <row r="48" spans="1:5">
      <c r="A48" s="58" t="s">
        <v>29</v>
      </c>
      <c r="B48" s="58" t="s">
        <v>345</v>
      </c>
      <c r="C48" s="59">
        <v>45324</v>
      </c>
      <c r="D48" s="59">
        <v>45324</v>
      </c>
      <c r="E48" s="60">
        <v>0</v>
      </c>
    </row>
    <row r="49" spans="1:5">
      <c r="A49" s="58" t="s">
        <v>29</v>
      </c>
      <c r="B49" s="58" t="s">
        <v>345</v>
      </c>
      <c r="C49" s="59">
        <v>45325</v>
      </c>
      <c r="D49" s="59">
        <v>45325</v>
      </c>
      <c r="E49" s="60">
        <v>0</v>
      </c>
    </row>
    <row r="50" spans="1:5">
      <c r="A50" s="58" t="s">
        <v>29</v>
      </c>
      <c r="B50" s="58" t="s">
        <v>345</v>
      </c>
      <c r="C50" s="59">
        <v>45326</v>
      </c>
      <c r="D50" s="59">
        <v>45326</v>
      </c>
      <c r="E50" s="60">
        <v>0</v>
      </c>
    </row>
    <row r="51" spans="1:5">
      <c r="A51" s="58" t="s">
        <v>29</v>
      </c>
      <c r="B51" s="58" t="s">
        <v>345</v>
      </c>
      <c r="C51" s="59">
        <v>45327</v>
      </c>
      <c r="D51" s="59">
        <v>45327</v>
      </c>
      <c r="E51" s="60">
        <v>0</v>
      </c>
    </row>
    <row r="52" spans="1:5">
      <c r="A52" s="58" t="s">
        <v>33</v>
      </c>
      <c r="B52" s="58" t="s">
        <v>346</v>
      </c>
      <c r="C52" s="59">
        <v>45323</v>
      </c>
      <c r="D52" s="59">
        <v>45323</v>
      </c>
      <c r="E52" s="60">
        <v>0</v>
      </c>
    </row>
    <row r="53" spans="1:5">
      <c r="A53" s="58" t="s">
        <v>33</v>
      </c>
      <c r="B53" s="58" t="s">
        <v>346</v>
      </c>
      <c r="C53" s="59">
        <v>45324</v>
      </c>
      <c r="D53" s="59">
        <v>45324</v>
      </c>
      <c r="E53" s="60">
        <v>0</v>
      </c>
    </row>
    <row r="54" spans="1:5">
      <c r="A54" s="58" t="s">
        <v>33</v>
      </c>
      <c r="B54" s="58" t="s">
        <v>346</v>
      </c>
      <c r="C54" s="59">
        <v>45325</v>
      </c>
      <c r="D54" s="59">
        <v>45325</v>
      </c>
      <c r="E54" s="60">
        <v>0</v>
      </c>
    </row>
    <row r="55" spans="1:5">
      <c r="A55" s="58" t="s">
        <v>33</v>
      </c>
      <c r="B55" s="58" t="s">
        <v>346</v>
      </c>
      <c r="C55" s="59">
        <v>45326</v>
      </c>
      <c r="D55" s="59">
        <v>45326</v>
      </c>
      <c r="E55" s="60">
        <v>0</v>
      </c>
    </row>
    <row r="56" spans="1:5">
      <c r="A56" s="58" t="s">
        <v>33</v>
      </c>
      <c r="B56" s="58" t="s">
        <v>346</v>
      </c>
      <c r="C56" s="59">
        <v>45327</v>
      </c>
      <c r="D56" s="59">
        <v>45327</v>
      </c>
      <c r="E56" s="60">
        <v>0</v>
      </c>
    </row>
    <row r="57" spans="1:5">
      <c r="A57" s="58" t="s">
        <v>37</v>
      </c>
      <c r="B57" s="58" t="s">
        <v>347</v>
      </c>
      <c r="C57" s="59">
        <v>45323</v>
      </c>
      <c r="D57" s="59">
        <v>45323</v>
      </c>
      <c r="E57" s="60">
        <v>0</v>
      </c>
    </row>
    <row r="58" spans="1:5">
      <c r="A58" s="58" t="s">
        <v>37</v>
      </c>
      <c r="B58" s="58" t="s">
        <v>347</v>
      </c>
      <c r="C58" s="59">
        <v>45324</v>
      </c>
      <c r="D58" s="59">
        <v>45324</v>
      </c>
      <c r="E58" s="60">
        <v>0</v>
      </c>
    </row>
    <row r="59" spans="1:5">
      <c r="A59" s="58" t="s">
        <v>37</v>
      </c>
      <c r="B59" s="58" t="s">
        <v>347</v>
      </c>
      <c r="C59" s="59">
        <v>45325</v>
      </c>
      <c r="D59" s="59">
        <v>45325</v>
      </c>
      <c r="E59" s="60">
        <v>0</v>
      </c>
    </row>
    <row r="60" spans="1:5">
      <c r="A60" s="58" t="s">
        <v>37</v>
      </c>
      <c r="B60" s="58" t="s">
        <v>347</v>
      </c>
      <c r="C60" s="59">
        <v>45326</v>
      </c>
      <c r="D60" s="59">
        <v>45326</v>
      </c>
      <c r="E60" s="60">
        <v>0</v>
      </c>
    </row>
    <row r="61" spans="1:5">
      <c r="A61" s="58" t="s">
        <v>37</v>
      </c>
      <c r="B61" s="58" t="s">
        <v>347</v>
      </c>
      <c r="C61" s="59">
        <v>45327</v>
      </c>
      <c r="D61" s="59">
        <v>45327</v>
      </c>
      <c r="E61" s="60">
        <v>0</v>
      </c>
    </row>
    <row r="62" spans="1:5">
      <c r="A62" s="58" t="s">
        <v>12</v>
      </c>
      <c r="B62" s="58" t="s">
        <v>344</v>
      </c>
      <c r="C62" s="59">
        <v>45323</v>
      </c>
      <c r="D62" s="59">
        <v>45323</v>
      </c>
      <c r="E62" s="60">
        <v>0</v>
      </c>
    </row>
    <row r="63" spans="1:5">
      <c r="A63" s="58" t="s">
        <v>12</v>
      </c>
      <c r="B63" s="58" t="s">
        <v>344</v>
      </c>
      <c r="C63" s="59">
        <v>45324</v>
      </c>
      <c r="D63" s="59">
        <v>45324</v>
      </c>
      <c r="E63" s="60">
        <v>44.3</v>
      </c>
    </row>
    <row r="64" spans="1:5">
      <c r="A64" s="58" t="s">
        <v>12</v>
      </c>
      <c r="B64" s="58" t="s">
        <v>344</v>
      </c>
      <c r="C64" s="59">
        <v>45325</v>
      </c>
      <c r="D64" s="59">
        <v>45325</v>
      </c>
      <c r="E64" s="60">
        <v>0</v>
      </c>
    </row>
    <row r="65" spans="1:5">
      <c r="A65" s="58" t="s">
        <v>12</v>
      </c>
      <c r="B65" s="58" t="s">
        <v>344</v>
      </c>
      <c r="C65" s="59">
        <v>45326</v>
      </c>
      <c r="D65" s="59">
        <v>45326</v>
      </c>
      <c r="E65" s="60">
        <v>0</v>
      </c>
    </row>
    <row r="66" spans="1:5">
      <c r="A66" s="58" t="s">
        <v>12</v>
      </c>
      <c r="B66" s="58" t="s">
        <v>344</v>
      </c>
      <c r="C66" s="59">
        <v>45327</v>
      </c>
      <c r="D66" s="59">
        <v>45327</v>
      </c>
      <c r="E66" s="60">
        <v>0</v>
      </c>
    </row>
    <row r="67" spans="1:5">
      <c r="A67" s="58" t="s">
        <v>44</v>
      </c>
      <c r="B67" s="58" t="s">
        <v>345</v>
      </c>
      <c r="C67" s="59">
        <v>45323</v>
      </c>
      <c r="D67" s="59">
        <v>45323</v>
      </c>
      <c r="E67" s="60">
        <v>0</v>
      </c>
    </row>
    <row r="68" spans="1:5">
      <c r="A68" s="58" t="s">
        <v>44</v>
      </c>
      <c r="B68" s="58" t="s">
        <v>345</v>
      </c>
      <c r="C68" s="59">
        <v>45324</v>
      </c>
      <c r="D68" s="59">
        <v>45324</v>
      </c>
      <c r="E68" s="60">
        <v>39.230000000000004</v>
      </c>
    </row>
    <row r="69" spans="1:5">
      <c r="A69" s="58" t="s">
        <v>44</v>
      </c>
      <c r="B69" s="58" t="s">
        <v>345</v>
      </c>
      <c r="C69" s="59">
        <v>45325</v>
      </c>
      <c r="D69" s="59">
        <v>45325</v>
      </c>
      <c r="E69" s="60">
        <v>0</v>
      </c>
    </row>
    <row r="70" spans="1:5">
      <c r="A70" s="58" t="s">
        <v>44</v>
      </c>
      <c r="B70" s="58" t="s">
        <v>345</v>
      </c>
      <c r="C70" s="59">
        <v>45326</v>
      </c>
      <c r="D70" s="59">
        <v>45326</v>
      </c>
      <c r="E70" s="60">
        <v>0</v>
      </c>
    </row>
    <row r="71" spans="1:5">
      <c r="A71" s="58" t="s">
        <v>44</v>
      </c>
      <c r="B71" s="58" t="s">
        <v>345</v>
      </c>
      <c r="C71" s="59">
        <v>45327</v>
      </c>
      <c r="D71" s="59">
        <v>45327</v>
      </c>
      <c r="E71" s="60">
        <v>0</v>
      </c>
    </row>
    <row r="72" spans="1:5">
      <c r="A72" s="58" t="s">
        <v>48</v>
      </c>
      <c r="B72" s="58" t="s">
        <v>346</v>
      </c>
      <c r="C72" s="59">
        <v>45323</v>
      </c>
      <c r="D72" s="59">
        <v>45323</v>
      </c>
      <c r="E72" s="60">
        <v>0</v>
      </c>
    </row>
    <row r="73" spans="1:5">
      <c r="A73" s="58" t="s">
        <v>48</v>
      </c>
      <c r="B73" s="58" t="s">
        <v>346</v>
      </c>
      <c r="C73" s="59">
        <v>45324</v>
      </c>
      <c r="D73" s="59">
        <v>45324</v>
      </c>
      <c r="E73" s="60">
        <v>0</v>
      </c>
    </row>
    <row r="74" spans="1:5">
      <c r="A74" s="58" t="s">
        <v>48</v>
      </c>
      <c r="B74" s="58" t="s">
        <v>346</v>
      </c>
      <c r="C74" s="59">
        <v>45325</v>
      </c>
      <c r="D74" s="59">
        <v>45325</v>
      </c>
      <c r="E74" s="60">
        <v>0</v>
      </c>
    </row>
    <row r="75" spans="1:5">
      <c r="A75" s="58" t="s">
        <v>48</v>
      </c>
      <c r="B75" s="58" t="s">
        <v>346</v>
      </c>
      <c r="C75" s="59">
        <v>45326</v>
      </c>
      <c r="D75" s="59">
        <v>45326</v>
      </c>
      <c r="E75" s="60">
        <v>0</v>
      </c>
    </row>
    <row r="76" spans="1:5">
      <c r="A76" s="58" t="s">
        <v>48</v>
      </c>
      <c r="B76" s="58" t="s">
        <v>346</v>
      </c>
      <c r="C76" s="59">
        <v>45327</v>
      </c>
      <c r="D76" s="59">
        <v>45327</v>
      </c>
      <c r="E76" s="60">
        <v>0</v>
      </c>
    </row>
    <row r="77" spans="1:5">
      <c r="A77" s="58" t="s">
        <v>52</v>
      </c>
      <c r="B77" s="58" t="s">
        <v>347</v>
      </c>
      <c r="C77" s="59">
        <v>45323</v>
      </c>
      <c r="D77" s="59">
        <v>45323</v>
      </c>
      <c r="E77" s="60">
        <v>0</v>
      </c>
    </row>
    <row r="78" spans="1:5">
      <c r="A78" s="58" t="s">
        <v>52</v>
      </c>
      <c r="B78" s="58" t="s">
        <v>347</v>
      </c>
      <c r="C78" s="59">
        <v>45324</v>
      </c>
      <c r="D78" s="59">
        <v>45324</v>
      </c>
      <c r="E78" s="60">
        <v>0</v>
      </c>
    </row>
    <row r="79" spans="1:5">
      <c r="A79" s="58" t="s">
        <v>52</v>
      </c>
      <c r="B79" s="58" t="s">
        <v>347</v>
      </c>
      <c r="C79" s="59">
        <v>45325</v>
      </c>
      <c r="D79" s="59">
        <v>45325</v>
      </c>
      <c r="E79" s="60">
        <v>0</v>
      </c>
    </row>
    <row r="80" spans="1:5">
      <c r="A80" s="58" t="s">
        <v>52</v>
      </c>
      <c r="B80" s="58" t="s">
        <v>347</v>
      </c>
      <c r="C80" s="59">
        <v>45326</v>
      </c>
      <c r="D80" s="59">
        <v>45326</v>
      </c>
      <c r="E80" s="60">
        <v>0</v>
      </c>
    </row>
    <row r="81" spans="1:5">
      <c r="A81" s="58" t="s">
        <v>52</v>
      </c>
      <c r="B81" s="58" t="s">
        <v>347</v>
      </c>
      <c r="C81" s="59">
        <v>45327</v>
      </c>
      <c r="D81" s="59">
        <v>45327</v>
      </c>
      <c r="E81" s="60">
        <v>0</v>
      </c>
    </row>
    <row r="82" spans="1:5">
      <c r="A82" s="58" t="s">
        <v>16</v>
      </c>
      <c r="B82" s="58" t="s">
        <v>344</v>
      </c>
      <c r="C82" s="59">
        <v>45323</v>
      </c>
      <c r="D82" s="59">
        <v>45323</v>
      </c>
      <c r="E82" s="60">
        <v>0</v>
      </c>
    </row>
    <row r="83" spans="1:5">
      <c r="A83" s="58" t="s">
        <v>16</v>
      </c>
      <c r="B83" s="58" t="s">
        <v>344</v>
      </c>
      <c r="C83" s="59">
        <v>45324</v>
      </c>
      <c r="D83" s="59">
        <v>45324</v>
      </c>
      <c r="E83" s="60">
        <v>0</v>
      </c>
    </row>
    <row r="84" spans="1:5">
      <c r="A84" s="58" t="s">
        <v>16</v>
      </c>
      <c r="B84" s="58" t="s">
        <v>344</v>
      </c>
      <c r="C84" s="59">
        <v>45325</v>
      </c>
      <c r="D84" s="59">
        <v>45325</v>
      </c>
      <c r="E84" s="60">
        <v>0</v>
      </c>
    </row>
    <row r="85" spans="1:5">
      <c r="A85" s="58" t="s">
        <v>16</v>
      </c>
      <c r="B85" s="58" t="s">
        <v>344</v>
      </c>
      <c r="C85" s="59">
        <v>45326</v>
      </c>
      <c r="D85" s="59">
        <v>45326</v>
      </c>
      <c r="E85" s="60">
        <v>0</v>
      </c>
    </row>
    <row r="86" spans="1:5">
      <c r="A86" s="58" t="s">
        <v>16</v>
      </c>
      <c r="B86" s="58" t="s">
        <v>344</v>
      </c>
      <c r="C86" s="59">
        <v>45327</v>
      </c>
      <c r="D86" s="59">
        <v>45327</v>
      </c>
      <c r="E86" s="60">
        <v>0</v>
      </c>
    </row>
    <row r="87" spans="1:5">
      <c r="A87" s="58" t="s">
        <v>58</v>
      </c>
      <c r="B87" s="58" t="s">
        <v>345</v>
      </c>
      <c r="C87" s="59">
        <v>45323</v>
      </c>
      <c r="D87" s="59">
        <v>45323</v>
      </c>
      <c r="E87" s="60">
        <v>0</v>
      </c>
    </row>
    <row r="88" spans="1:5">
      <c r="A88" s="58" t="s">
        <v>58</v>
      </c>
      <c r="B88" s="58" t="s">
        <v>345</v>
      </c>
      <c r="C88" s="59">
        <v>45324</v>
      </c>
      <c r="D88" s="59">
        <v>45324</v>
      </c>
      <c r="E88" s="60">
        <v>0</v>
      </c>
    </row>
    <row r="89" spans="1:5">
      <c r="A89" s="58" t="s">
        <v>58</v>
      </c>
      <c r="B89" s="58" t="s">
        <v>345</v>
      </c>
      <c r="C89" s="59">
        <v>45325</v>
      </c>
      <c r="D89" s="59">
        <v>45325</v>
      </c>
      <c r="E89" s="60">
        <v>0</v>
      </c>
    </row>
    <row r="90" spans="1:5">
      <c r="A90" s="58" t="s">
        <v>58</v>
      </c>
      <c r="B90" s="58" t="s">
        <v>345</v>
      </c>
      <c r="C90" s="59">
        <v>45326</v>
      </c>
      <c r="D90" s="59">
        <v>45326</v>
      </c>
      <c r="E90" s="60">
        <v>0</v>
      </c>
    </row>
    <row r="91" spans="1:5">
      <c r="A91" s="58" t="s">
        <v>58</v>
      </c>
      <c r="B91" s="58" t="s">
        <v>345</v>
      </c>
      <c r="C91" s="59">
        <v>45327</v>
      </c>
      <c r="D91" s="59">
        <v>45327</v>
      </c>
      <c r="E91" s="60">
        <v>0</v>
      </c>
    </row>
    <row r="92" spans="1:5">
      <c r="A92" s="58" t="s">
        <v>61</v>
      </c>
      <c r="B92" s="58" t="s">
        <v>346</v>
      </c>
      <c r="C92" s="59">
        <v>45323</v>
      </c>
      <c r="D92" s="59">
        <v>45323</v>
      </c>
      <c r="E92" s="60">
        <v>0</v>
      </c>
    </row>
    <row r="93" spans="1:5">
      <c r="A93" s="58" t="s">
        <v>61</v>
      </c>
      <c r="B93" s="58" t="s">
        <v>346</v>
      </c>
      <c r="C93" s="59">
        <v>45324</v>
      </c>
      <c r="D93" s="59">
        <v>45324</v>
      </c>
      <c r="E93" s="60">
        <v>0</v>
      </c>
    </row>
    <row r="94" spans="1:5">
      <c r="A94" s="58" t="s">
        <v>61</v>
      </c>
      <c r="B94" s="58" t="s">
        <v>346</v>
      </c>
      <c r="C94" s="59">
        <v>45325</v>
      </c>
      <c r="D94" s="59">
        <v>45325</v>
      </c>
      <c r="E94" s="60">
        <v>0</v>
      </c>
    </row>
    <row r="95" spans="1:5">
      <c r="A95" s="58" t="s">
        <v>61</v>
      </c>
      <c r="B95" s="58" t="s">
        <v>346</v>
      </c>
      <c r="C95" s="59">
        <v>45326</v>
      </c>
      <c r="D95" s="59">
        <v>45326</v>
      </c>
      <c r="E95" s="60">
        <v>0</v>
      </c>
    </row>
    <row r="96" spans="1:5">
      <c r="A96" s="58" t="s">
        <v>61</v>
      </c>
      <c r="B96" s="58" t="s">
        <v>346</v>
      </c>
      <c r="C96" s="59">
        <v>45327</v>
      </c>
      <c r="D96" s="59">
        <v>45327</v>
      </c>
      <c r="E96" s="60">
        <v>0</v>
      </c>
    </row>
    <row r="97" spans="1:5">
      <c r="A97" s="58" t="s">
        <v>64</v>
      </c>
      <c r="B97" s="58" t="s">
        <v>347</v>
      </c>
      <c r="C97" s="59">
        <v>45323</v>
      </c>
      <c r="D97" s="59">
        <v>45323</v>
      </c>
      <c r="E97" s="60">
        <v>0</v>
      </c>
    </row>
    <row r="98" spans="1:5">
      <c r="A98" s="58" t="s">
        <v>64</v>
      </c>
      <c r="B98" s="58" t="s">
        <v>347</v>
      </c>
      <c r="C98" s="59">
        <v>45324</v>
      </c>
      <c r="D98" s="59">
        <v>45324</v>
      </c>
      <c r="E98" s="60">
        <v>0</v>
      </c>
    </row>
    <row r="99" spans="1:5">
      <c r="A99" s="58" t="s">
        <v>64</v>
      </c>
      <c r="B99" s="58" t="s">
        <v>347</v>
      </c>
      <c r="C99" s="59">
        <v>45325</v>
      </c>
      <c r="D99" s="59">
        <v>45325</v>
      </c>
      <c r="E99" s="60">
        <v>0</v>
      </c>
    </row>
    <row r="100" spans="1:5">
      <c r="A100" s="58" t="s">
        <v>64</v>
      </c>
      <c r="B100" s="58" t="s">
        <v>347</v>
      </c>
      <c r="C100" s="59">
        <v>45326</v>
      </c>
      <c r="D100" s="59">
        <v>45326</v>
      </c>
      <c r="E100" s="60">
        <v>0</v>
      </c>
    </row>
    <row r="101" spans="1:5">
      <c r="A101" s="58" t="s">
        <v>64</v>
      </c>
      <c r="B101" s="58" t="s">
        <v>347</v>
      </c>
      <c r="C101" s="59">
        <v>45327</v>
      </c>
      <c r="D101" s="59">
        <v>45327</v>
      </c>
      <c r="E101" s="60">
        <v>0</v>
      </c>
    </row>
    <row r="102" spans="1:5">
      <c r="A102" s="58" t="s">
        <v>67</v>
      </c>
      <c r="B102" s="58" t="s">
        <v>344</v>
      </c>
      <c r="C102" s="59">
        <v>45323</v>
      </c>
      <c r="D102" s="59">
        <v>45323</v>
      </c>
      <c r="E102" s="60">
        <v>0</v>
      </c>
    </row>
    <row r="103" spans="1:5">
      <c r="A103" s="58" t="s">
        <v>67</v>
      </c>
      <c r="B103" s="58" t="s">
        <v>344</v>
      </c>
      <c r="C103" s="59">
        <v>45324</v>
      </c>
      <c r="D103" s="59">
        <v>45324</v>
      </c>
      <c r="E103" s="60">
        <v>0</v>
      </c>
    </row>
    <row r="104" spans="1:5">
      <c r="A104" s="58" t="s">
        <v>67</v>
      </c>
      <c r="B104" s="58" t="s">
        <v>344</v>
      </c>
      <c r="C104" s="59">
        <v>45325</v>
      </c>
      <c r="D104" s="59">
        <v>45325</v>
      </c>
      <c r="E104" s="60">
        <v>0</v>
      </c>
    </row>
    <row r="105" spans="1:5">
      <c r="A105" s="58" t="s">
        <v>67</v>
      </c>
      <c r="B105" s="58" t="s">
        <v>344</v>
      </c>
      <c r="C105" s="59">
        <v>45326</v>
      </c>
      <c r="D105" s="59">
        <v>45326</v>
      </c>
      <c r="E105" s="60">
        <v>0</v>
      </c>
    </row>
    <row r="106" spans="1:5">
      <c r="A106" s="58" t="s">
        <v>67</v>
      </c>
      <c r="B106" s="58" t="s">
        <v>344</v>
      </c>
      <c r="C106" s="59">
        <v>45327</v>
      </c>
      <c r="D106" s="59">
        <v>45327</v>
      </c>
      <c r="E106" s="60">
        <v>0</v>
      </c>
    </row>
    <row r="107" spans="1:5">
      <c r="A107" s="58" t="s">
        <v>70</v>
      </c>
      <c r="B107" s="58" t="s">
        <v>345</v>
      </c>
      <c r="C107" s="59">
        <v>45323</v>
      </c>
      <c r="D107" s="59">
        <v>45323</v>
      </c>
      <c r="E107" s="60">
        <v>0</v>
      </c>
    </row>
    <row r="108" spans="1:5">
      <c r="A108" s="58" t="s">
        <v>70</v>
      </c>
      <c r="B108" s="58" t="s">
        <v>345</v>
      </c>
      <c r="C108" s="59">
        <v>45324</v>
      </c>
      <c r="D108" s="59">
        <v>45324</v>
      </c>
      <c r="E108" s="60">
        <v>0</v>
      </c>
    </row>
    <row r="109" spans="1:5">
      <c r="A109" s="58" t="s">
        <v>70</v>
      </c>
      <c r="B109" s="58" t="s">
        <v>345</v>
      </c>
      <c r="C109" s="59">
        <v>45325</v>
      </c>
      <c r="D109" s="59">
        <v>45325</v>
      </c>
      <c r="E109" s="60">
        <v>0</v>
      </c>
    </row>
    <row r="110" spans="1:5">
      <c r="A110" s="58" t="s">
        <v>70</v>
      </c>
      <c r="B110" s="58" t="s">
        <v>345</v>
      </c>
      <c r="C110" s="59">
        <v>45326</v>
      </c>
      <c r="D110" s="59">
        <v>45326</v>
      </c>
      <c r="E110" s="60">
        <v>0</v>
      </c>
    </row>
    <row r="111" spans="1:5">
      <c r="A111" s="58" t="s">
        <v>70</v>
      </c>
      <c r="B111" s="58" t="s">
        <v>345</v>
      </c>
      <c r="C111" s="59">
        <v>45327</v>
      </c>
      <c r="D111" s="59">
        <v>45327</v>
      </c>
      <c r="E111" s="60">
        <v>0</v>
      </c>
    </row>
    <row r="112" spans="1:5">
      <c r="A112" s="58" t="s">
        <v>73</v>
      </c>
      <c r="B112" s="58" t="s">
        <v>346</v>
      </c>
      <c r="C112" s="59">
        <v>45323</v>
      </c>
      <c r="D112" s="59">
        <v>45323</v>
      </c>
      <c r="E112" s="60">
        <v>0</v>
      </c>
    </row>
    <row r="113" spans="1:5">
      <c r="A113" s="58" t="s">
        <v>73</v>
      </c>
      <c r="B113" s="58" t="s">
        <v>346</v>
      </c>
      <c r="C113" s="59">
        <v>45324</v>
      </c>
      <c r="D113" s="59">
        <v>45324</v>
      </c>
      <c r="E113" s="60">
        <v>0</v>
      </c>
    </row>
    <row r="114" spans="1:5">
      <c r="A114" s="58" t="s">
        <v>73</v>
      </c>
      <c r="B114" s="58" t="s">
        <v>346</v>
      </c>
      <c r="C114" s="59">
        <v>45325</v>
      </c>
      <c r="D114" s="59">
        <v>45325</v>
      </c>
      <c r="E114" s="60">
        <v>0</v>
      </c>
    </row>
    <row r="115" spans="1:5">
      <c r="A115" s="58" t="s">
        <v>73</v>
      </c>
      <c r="B115" s="58" t="s">
        <v>346</v>
      </c>
      <c r="C115" s="59">
        <v>45326</v>
      </c>
      <c r="D115" s="59">
        <v>45326</v>
      </c>
      <c r="E115" s="60">
        <v>0</v>
      </c>
    </row>
    <row r="116" spans="1:5">
      <c r="A116" s="58" t="s">
        <v>73</v>
      </c>
      <c r="B116" s="58" t="s">
        <v>346</v>
      </c>
      <c r="C116" s="59">
        <v>45327</v>
      </c>
      <c r="D116" s="59">
        <v>45327</v>
      </c>
      <c r="E116" s="60">
        <v>0</v>
      </c>
    </row>
    <row r="117" spans="1:5">
      <c r="A117" s="58" t="s">
        <v>76</v>
      </c>
      <c r="B117" s="58" t="s">
        <v>347</v>
      </c>
      <c r="C117" s="59">
        <v>45323</v>
      </c>
      <c r="D117" s="59">
        <v>45323</v>
      </c>
      <c r="E117" s="60">
        <v>0</v>
      </c>
    </row>
    <row r="118" spans="1:5">
      <c r="A118" s="58" t="s">
        <v>76</v>
      </c>
      <c r="B118" s="58" t="s">
        <v>347</v>
      </c>
      <c r="C118" s="59">
        <v>45324</v>
      </c>
      <c r="D118" s="59">
        <v>45324</v>
      </c>
      <c r="E118" s="60">
        <v>0</v>
      </c>
    </row>
    <row r="119" spans="1:5">
      <c r="A119" s="58" t="s">
        <v>76</v>
      </c>
      <c r="B119" s="58" t="s">
        <v>347</v>
      </c>
      <c r="C119" s="59">
        <v>45325</v>
      </c>
      <c r="D119" s="59">
        <v>45325</v>
      </c>
      <c r="E119" s="60">
        <v>0</v>
      </c>
    </row>
    <row r="120" spans="1:5">
      <c r="A120" s="58" t="s">
        <v>76</v>
      </c>
      <c r="B120" s="58" t="s">
        <v>347</v>
      </c>
      <c r="C120" s="59">
        <v>45326</v>
      </c>
      <c r="D120" s="59">
        <v>45326</v>
      </c>
      <c r="E120" s="60">
        <v>0</v>
      </c>
    </row>
    <row r="121" spans="1:5">
      <c r="A121" s="58" t="s">
        <v>76</v>
      </c>
      <c r="B121" s="58" t="s">
        <v>347</v>
      </c>
      <c r="C121" s="59">
        <v>45327</v>
      </c>
      <c r="D121" s="59">
        <v>45327</v>
      </c>
      <c r="E121" s="60">
        <v>0</v>
      </c>
    </row>
    <row r="122" spans="1:5">
      <c r="A122" s="58" t="s">
        <v>20</v>
      </c>
      <c r="B122" s="58" t="s">
        <v>344</v>
      </c>
      <c r="C122" s="59">
        <v>45323</v>
      </c>
      <c r="D122" s="59">
        <v>45323</v>
      </c>
      <c r="E122" s="60">
        <v>0</v>
      </c>
    </row>
    <row r="123" spans="1:5">
      <c r="A123" s="58" t="s">
        <v>20</v>
      </c>
      <c r="B123" s="58" t="s">
        <v>344</v>
      </c>
      <c r="C123" s="59">
        <v>45324</v>
      </c>
      <c r="D123" s="59">
        <v>45324</v>
      </c>
      <c r="E123" s="60">
        <v>0.24</v>
      </c>
    </row>
    <row r="124" spans="1:5">
      <c r="A124" s="58" t="s">
        <v>20</v>
      </c>
      <c r="B124" s="58" t="s">
        <v>344</v>
      </c>
      <c r="C124" s="59">
        <v>45325</v>
      </c>
      <c r="D124" s="59">
        <v>45325</v>
      </c>
      <c r="E124" s="60">
        <v>0</v>
      </c>
    </row>
    <row r="125" spans="1:5">
      <c r="A125" s="58" t="s">
        <v>20</v>
      </c>
      <c r="B125" s="58" t="s">
        <v>344</v>
      </c>
      <c r="C125" s="59">
        <v>45326</v>
      </c>
      <c r="D125" s="59">
        <v>45326</v>
      </c>
      <c r="E125" s="60">
        <v>0</v>
      </c>
    </row>
    <row r="126" spans="1:5">
      <c r="A126" s="58" t="s">
        <v>20</v>
      </c>
      <c r="B126" s="58" t="s">
        <v>344</v>
      </c>
      <c r="C126" s="59">
        <v>45327</v>
      </c>
      <c r="D126" s="59">
        <v>45327</v>
      </c>
      <c r="E126" s="60">
        <v>0</v>
      </c>
    </row>
    <row r="127" spans="1:5">
      <c r="A127" s="58" t="s">
        <v>81</v>
      </c>
      <c r="B127" s="58" t="s">
        <v>345</v>
      </c>
      <c r="C127" s="59">
        <v>45323</v>
      </c>
      <c r="D127" s="59">
        <v>45323</v>
      </c>
      <c r="E127" s="60">
        <v>0</v>
      </c>
    </row>
    <row r="128" spans="1:5">
      <c r="A128" s="58" t="s">
        <v>81</v>
      </c>
      <c r="B128" s="58" t="s">
        <v>345</v>
      </c>
      <c r="C128" s="59">
        <v>45324</v>
      </c>
      <c r="D128" s="59">
        <v>45324</v>
      </c>
      <c r="E128" s="60">
        <v>0</v>
      </c>
    </row>
    <row r="129" spans="1:5">
      <c r="A129" s="58" t="s">
        <v>81</v>
      </c>
      <c r="B129" s="58" t="s">
        <v>345</v>
      </c>
      <c r="C129" s="59">
        <v>45325</v>
      </c>
      <c r="D129" s="59">
        <v>45325</v>
      </c>
      <c r="E129" s="60">
        <v>0</v>
      </c>
    </row>
    <row r="130" spans="1:5">
      <c r="A130" s="58" t="s">
        <v>81</v>
      </c>
      <c r="B130" s="58" t="s">
        <v>345</v>
      </c>
      <c r="C130" s="59">
        <v>45326</v>
      </c>
      <c r="D130" s="59">
        <v>45326</v>
      </c>
      <c r="E130" s="60">
        <v>0</v>
      </c>
    </row>
    <row r="131" spans="1:5">
      <c r="A131" s="58" t="s">
        <v>81</v>
      </c>
      <c r="B131" s="58" t="s">
        <v>345</v>
      </c>
      <c r="C131" s="59">
        <v>45327</v>
      </c>
      <c r="D131" s="59">
        <v>45327</v>
      </c>
      <c r="E131" s="60">
        <v>0</v>
      </c>
    </row>
    <row r="132" spans="1:5">
      <c r="A132" s="58" t="s">
        <v>84</v>
      </c>
      <c r="B132" s="58" t="s">
        <v>346</v>
      </c>
      <c r="C132" s="59">
        <v>45323</v>
      </c>
      <c r="D132" s="59">
        <v>45323</v>
      </c>
      <c r="E132" s="60">
        <v>587.66</v>
      </c>
    </row>
    <row r="133" spans="1:5">
      <c r="A133" s="58" t="s">
        <v>84</v>
      </c>
      <c r="B133" s="58" t="s">
        <v>346</v>
      </c>
      <c r="C133" s="59">
        <v>45324</v>
      </c>
      <c r="D133" s="59">
        <v>45324</v>
      </c>
      <c r="E133" s="60">
        <v>66.28</v>
      </c>
    </row>
    <row r="134" spans="1:5">
      <c r="A134" s="58" t="s">
        <v>84</v>
      </c>
      <c r="B134" s="58" t="s">
        <v>346</v>
      </c>
      <c r="C134" s="59">
        <v>45325</v>
      </c>
      <c r="D134" s="59">
        <v>45325</v>
      </c>
      <c r="E134" s="60">
        <v>0</v>
      </c>
    </row>
    <row r="135" spans="1:5">
      <c r="A135" s="58" t="s">
        <v>84</v>
      </c>
      <c r="B135" s="58" t="s">
        <v>346</v>
      </c>
      <c r="C135" s="59">
        <v>45326</v>
      </c>
      <c r="D135" s="59">
        <v>45326</v>
      </c>
      <c r="E135" s="60">
        <v>0</v>
      </c>
    </row>
    <row r="136" spans="1:5">
      <c r="A136" s="58" t="s">
        <v>84</v>
      </c>
      <c r="B136" s="58" t="s">
        <v>346</v>
      </c>
      <c r="C136" s="59">
        <v>45327</v>
      </c>
      <c r="D136" s="59">
        <v>45327</v>
      </c>
      <c r="E136" s="60">
        <v>0</v>
      </c>
    </row>
    <row r="137" spans="1:5">
      <c r="A137" s="58" t="s">
        <v>87</v>
      </c>
      <c r="B137" s="58" t="s">
        <v>347</v>
      </c>
      <c r="C137" s="59">
        <v>45323</v>
      </c>
      <c r="D137" s="59">
        <v>45323</v>
      </c>
      <c r="E137" s="60">
        <v>0</v>
      </c>
    </row>
    <row r="138" spans="1:5">
      <c r="A138" s="58" t="s">
        <v>87</v>
      </c>
      <c r="B138" s="58" t="s">
        <v>347</v>
      </c>
      <c r="C138" s="59">
        <v>45324</v>
      </c>
      <c r="D138" s="59">
        <v>45324</v>
      </c>
      <c r="E138" s="60">
        <v>0</v>
      </c>
    </row>
    <row r="139" spans="1:5">
      <c r="A139" s="58" t="s">
        <v>87</v>
      </c>
      <c r="B139" s="58" t="s">
        <v>347</v>
      </c>
      <c r="C139" s="59">
        <v>45325</v>
      </c>
      <c r="D139" s="59">
        <v>45325</v>
      </c>
      <c r="E139" s="60">
        <v>0</v>
      </c>
    </row>
    <row r="140" spans="1:5">
      <c r="A140" s="58" t="s">
        <v>87</v>
      </c>
      <c r="B140" s="58" t="s">
        <v>347</v>
      </c>
      <c r="C140" s="59">
        <v>45326</v>
      </c>
      <c r="D140" s="59">
        <v>45326</v>
      </c>
      <c r="E140" s="60">
        <v>0</v>
      </c>
    </row>
    <row r="141" spans="1:5">
      <c r="A141" s="58" t="s">
        <v>87</v>
      </c>
      <c r="B141" s="58" t="s">
        <v>347</v>
      </c>
      <c r="C141" s="59">
        <v>45327</v>
      </c>
      <c r="D141" s="59">
        <v>45327</v>
      </c>
      <c r="E141" s="60">
        <v>0</v>
      </c>
    </row>
    <row r="142" spans="1:5">
      <c r="A142" s="58" t="s">
        <v>24</v>
      </c>
      <c r="B142" s="58" t="s">
        <v>344</v>
      </c>
      <c r="C142" s="59">
        <v>45323</v>
      </c>
      <c r="D142" s="59">
        <v>45323</v>
      </c>
      <c r="E142" s="60">
        <v>0</v>
      </c>
    </row>
    <row r="143" spans="1:5">
      <c r="A143" s="58" t="s">
        <v>24</v>
      </c>
      <c r="B143" s="58" t="s">
        <v>344</v>
      </c>
      <c r="C143" s="59">
        <v>45324</v>
      </c>
      <c r="D143" s="59">
        <v>45324</v>
      </c>
      <c r="E143" s="60">
        <v>0</v>
      </c>
    </row>
    <row r="144" spans="1:5">
      <c r="A144" s="58" t="s">
        <v>24</v>
      </c>
      <c r="B144" s="58" t="s">
        <v>344</v>
      </c>
      <c r="C144" s="59">
        <v>45325</v>
      </c>
      <c r="D144" s="59">
        <v>45325</v>
      </c>
      <c r="E144" s="60">
        <v>0</v>
      </c>
    </row>
    <row r="145" spans="1:5">
      <c r="A145" s="58" t="s">
        <v>24</v>
      </c>
      <c r="B145" s="58" t="s">
        <v>344</v>
      </c>
      <c r="C145" s="59">
        <v>45326</v>
      </c>
      <c r="D145" s="59">
        <v>45326</v>
      </c>
      <c r="E145" s="60">
        <v>0</v>
      </c>
    </row>
    <row r="146" spans="1:5">
      <c r="A146" s="58" t="s">
        <v>24</v>
      </c>
      <c r="B146" s="58" t="s">
        <v>344</v>
      </c>
      <c r="C146" s="59">
        <v>45327</v>
      </c>
      <c r="D146" s="59">
        <v>45327</v>
      </c>
      <c r="E146" s="60">
        <v>0</v>
      </c>
    </row>
    <row r="147" spans="1:5">
      <c r="A147" s="58" t="s">
        <v>93</v>
      </c>
      <c r="B147" s="58" t="s">
        <v>345</v>
      </c>
      <c r="C147" s="59">
        <v>45323</v>
      </c>
      <c r="D147" s="59">
        <v>45323</v>
      </c>
      <c r="E147" s="60">
        <v>0</v>
      </c>
    </row>
    <row r="148" spans="1:5">
      <c r="A148" s="58" t="s">
        <v>93</v>
      </c>
      <c r="B148" s="58" t="s">
        <v>345</v>
      </c>
      <c r="C148" s="59">
        <v>45324</v>
      </c>
      <c r="D148" s="59">
        <v>45324</v>
      </c>
      <c r="E148" s="60">
        <v>0</v>
      </c>
    </row>
    <row r="149" spans="1:5">
      <c r="A149" s="58" t="s">
        <v>93</v>
      </c>
      <c r="B149" s="58" t="s">
        <v>345</v>
      </c>
      <c r="C149" s="59">
        <v>45325</v>
      </c>
      <c r="D149" s="59">
        <v>45325</v>
      </c>
      <c r="E149" s="60">
        <v>0</v>
      </c>
    </row>
    <row r="150" spans="1:5">
      <c r="A150" s="58" t="s">
        <v>93</v>
      </c>
      <c r="B150" s="58" t="s">
        <v>345</v>
      </c>
      <c r="C150" s="59">
        <v>45326</v>
      </c>
      <c r="D150" s="59">
        <v>45326</v>
      </c>
      <c r="E150" s="60">
        <v>0</v>
      </c>
    </row>
    <row r="151" spans="1:5">
      <c r="A151" s="58" t="s">
        <v>93</v>
      </c>
      <c r="B151" s="58" t="s">
        <v>345</v>
      </c>
      <c r="C151" s="59">
        <v>45327</v>
      </c>
      <c r="D151" s="59">
        <v>45327</v>
      </c>
      <c r="E151" s="60">
        <v>0</v>
      </c>
    </row>
    <row r="152" spans="1:5">
      <c r="A152" s="58" t="s">
        <v>96</v>
      </c>
      <c r="B152" s="58" t="s">
        <v>346</v>
      </c>
      <c r="C152" s="59">
        <v>45323</v>
      </c>
      <c r="D152" s="59">
        <v>45323</v>
      </c>
      <c r="E152" s="60">
        <v>0</v>
      </c>
    </row>
    <row r="153" spans="1:5">
      <c r="A153" s="58" t="s">
        <v>96</v>
      </c>
      <c r="B153" s="58" t="s">
        <v>346</v>
      </c>
      <c r="C153" s="59">
        <v>45324</v>
      </c>
      <c r="D153" s="59">
        <v>45324</v>
      </c>
      <c r="E153" s="60">
        <v>0</v>
      </c>
    </row>
    <row r="154" spans="1:5">
      <c r="A154" s="58" t="s">
        <v>96</v>
      </c>
      <c r="B154" s="58" t="s">
        <v>346</v>
      </c>
      <c r="C154" s="59">
        <v>45325</v>
      </c>
      <c r="D154" s="59">
        <v>45325</v>
      </c>
      <c r="E154" s="60">
        <v>0</v>
      </c>
    </row>
    <row r="155" spans="1:5">
      <c r="A155" s="58" t="s">
        <v>96</v>
      </c>
      <c r="B155" s="58" t="s">
        <v>346</v>
      </c>
      <c r="C155" s="59">
        <v>45326</v>
      </c>
      <c r="D155" s="59">
        <v>45326</v>
      </c>
      <c r="E155" s="60">
        <v>0</v>
      </c>
    </row>
    <row r="156" spans="1:5">
      <c r="A156" s="58" t="s">
        <v>96</v>
      </c>
      <c r="B156" s="58" t="s">
        <v>346</v>
      </c>
      <c r="C156" s="59">
        <v>45327</v>
      </c>
      <c r="D156" s="59">
        <v>45327</v>
      </c>
      <c r="E156" s="60">
        <v>0</v>
      </c>
    </row>
    <row r="157" spans="1:5">
      <c r="A157" s="58" t="s">
        <v>99</v>
      </c>
      <c r="B157" s="58" t="s">
        <v>347</v>
      </c>
      <c r="C157" s="59">
        <v>45323</v>
      </c>
      <c r="D157" s="59">
        <v>45323</v>
      </c>
      <c r="E157" s="60">
        <v>0</v>
      </c>
    </row>
    <row r="158" spans="1:5">
      <c r="A158" s="58" t="s">
        <v>99</v>
      </c>
      <c r="B158" s="58" t="s">
        <v>347</v>
      </c>
      <c r="C158" s="59">
        <v>45324</v>
      </c>
      <c r="D158" s="59">
        <v>45324</v>
      </c>
      <c r="E158" s="60">
        <v>0</v>
      </c>
    </row>
    <row r="159" spans="1:5">
      <c r="A159" s="58" t="s">
        <v>99</v>
      </c>
      <c r="B159" s="58" t="s">
        <v>347</v>
      </c>
      <c r="C159" s="59">
        <v>45325</v>
      </c>
      <c r="D159" s="59">
        <v>45325</v>
      </c>
      <c r="E159" s="60">
        <v>0</v>
      </c>
    </row>
    <row r="160" spans="1:5">
      <c r="A160" s="58" t="s">
        <v>99</v>
      </c>
      <c r="B160" s="58" t="s">
        <v>347</v>
      </c>
      <c r="C160" s="59">
        <v>45326</v>
      </c>
      <c r="D160" s="59">
        <v>45326</v>
      </c>
      <c r="E160" s="60">
        <v>0</v>
      </c>
    </row>
    <row r="161" spans="1:5">
      <c r="A161" s="58" t="s">
        <v>99</v>
      </c>
      <c r="B161" s="58" t="s">
        <v>347</v>
      </c>
      <c r="C161" s="59">
        <v>45327</v>
      </c>
      <c r="D161" s="59">
        <v>45327</v>
      </c>
      <c r="E161" s="60">
        <v>0</v>
      </c>
    </row>
    <row r="162" spans="1:5">
      <c r="A162" s="58" t="s">
        <v>27</v>
      </c>
      <c r="B162" s="58" t="s">
        <v>344</v>
      </c>
      <c r="C162" s="59">
        <v>45323</v>
      </c>
      <c r="D162" s="59">
        <v>45323</v>
      </c>
      <c r="E162" s="60">
        <v>0</v>
      </c>
    </row>
    <row r="163" spans="1:5">
      <c r="A163" s="58" t="s">
        <v>27</v>
      </c>
      <c r="B163" s="58" t="s">
        <v>344</v>
      </c>
      <c r="C163" s="59">
        <v>45324</v>
      </c>
      <c r="D163" s="59">
        <v>45324</v>
      </c>
      <c r="E163" s="60">
        <v>335.38</v>
      </c>
    </row>
    <row r="164" spans="1:5">
      <c r="A164" s="58" t="s">
        <v>27</v>
      </c>
      <c r="B164" s="58" t="s">
        <v>344</v>
      </c>
      <c r="C164" s="59">
        <v>45325</v>
      </c>
      <c r="D164" s="59">
        <v>45325</v>
      </c>
      <c r="E164" s="60">
        <v>0</v>
      </c>
    </row>
    <row r="165" spans="1:5">
      <c r="A165" s="58" t="s">
        <v>27</v>
      </c>
      <c r="B165" s="58" t="s">
        <v>344</v>
      </c>
      <c r="C165" s="59">
        <v>45326</v>
      </c>
      <c r="D165" s="59">
        <v>45326</v>
      </c>
      <c r="E165" s="60">
        <v>0</v>
      </c>
    </row>
    <row r="166" spans="1:5">
      <c r="A166" s="58" t="s">
        <v>27</v>
      </c>
      <c r="B166" s="58" t="s">
        <v>344</v>
      </c>
      <c r="C166" s="59">
        <v>45327</v>
      </c>
      <c r="D166" s="59">
        <v>45327</v>
      </c>
      <c r="E166" s="60">
        <v>0</v>
      </c>
    </row>
    <row r="167" spans="1:5">
      <c r="A167" s="58" t="s">
        <v>104</v>
      </c>
      <c r="B167" s="58" t="s">
        <v>345</v>
      </c>
      <c r="C167" s="59">
        <v>45323</v>
      </c>
      <c r="D167" s="59">
        <v>45323</v>
      </c>
      <c r="E167" s="60">
        <v>0</v>
      </c>
    </row>
    <row r="168" spans="1:5">
      <c r="A168" s="58" t="s">
        <v>104</v>
      </c>
      <c r="B168" s="58" t="s">
        <v>345</v>
      </c>
      <c r="C168" s="59">
        <v>45324</v>
      </c>
      <c r="D168" s="59">
        <v>45324</v>
      </c>
      <c r="E168" s="60">
        <v>0</v>
      </c>
    </row>
    <row r="169" spans="1:5">
      <c r="A169" s="58" t="s">
        <v>104</v>
      </c>
      <c r="B169" s="58" t="s">
        <v>345</v>
      </c>
      <c r="C169" s="59">
        <v>45325</v>
      </c>
      <c r="D169" s="59">
        <v>45325</v>
      </c>
      <c r="E169" s="60">
        <v>0</v>
      </c>
    </row>
    <row r="170" spans="1:5">
      <c r="A170" s="58" t="s">
        <v>104</v>
      </c>
      <c r="B170" s="58" t="s">
        <v>345</v>
      </c>
      <c r="C170" s="59">
        <v>45326</v>
      </c>
      <c r="D170" s="59">
        <v>45326</v>
      </c>
      <c r="E170" s="60">
        <v>0</v>
      </c>
    </row>
    <row r="171" spans="1:5">
      <c r="A171" s="58" t="s">
        <v>104</v>
      </c>
      <c r="B171" s="58" t="s">
        <v>345</v>
      </c>
      <c r="C171" s="59">
        <v>45327</v>
      </c>
      <c r="D171" s="59">
        <v>45327</v>
      </c>
      <c r="E171" s="60">
        <v>0</v>
      </c>
    </row>
    <row r="172" spans="1:5">
      <c r="A172" s="58" t="s">
        <v>107</v>
      </c>
      <c r="B172" s="58" t="s">
        <v>346</v>
      </c>
      <c r="C172" s="59">
        <v>45323</v>
      </c>
      <c r="D172" s="59">
        <v>45323</v>
      </c>
      <c r="E172" s="60">
        <v>0</v>
      </c>
    </row>
    <row r="173" spans="1:5">
      <c r="A173" s="58" t="s">
        <v>107</v>
      </c>
      <c r="B173" s="58" t="s">
        <v>346</v>
      </c>
      <c r="C173" s="59">
        <v>45324</v>
      </c>
      <c r="D173" s="59">
        <v>45324</v>
      </c>
      <c r="E173" s="60">
        <v>0</v>
      </c>
    </row>
    <row r="174" spans="1:5">
      <c r="A174" s="58" t="s">
        <v>107</v>
      </c>
      <c r="B174" s="58" t="s">
        <v>346</v>
      </c>
      <c r="C174" s="59">
        <v>45325</v>
      </c>
      <c r="D174" s="59">
        <v>45325</v>
      </c>
      <c r="E174" s="60">
        <v>0</v>
      </c>
    </row>
    <row r="175" spans="1:5">
      <c r="A175" s="58" t="s">
        <v>107</v>
      </c>
      <c r="B175" s="58" t="s">
        <v>346</v>
      </c>
      <c r="C175" s="59">
        <v>45326</v>
      </c>
      <c r="D175" s="59">
        <v>45326</v>
      </c>
      <c r="E175" s="60">
        <v>0</v>
      </c>
    </row>
    <row r="176" spans="1:5">
      <c r="A176" s="58" t="s">
        <v>107</v>
      </c>
      <c r="B176" s="58" t="s">
        <v>346</v>
      </c>
      <c r="C176" s="59">
        <v>45327</v>
      </c>
      <c r="D176" s="59">
        <v>45327</v>
      </c>
      <c r="E176" s="60">
        <v>0</v>
      </c>
    </row>
    <row r="177" spans="1:5">
      <c r="A177" s="58" t="s">
        <v>111</v>
      </c>
      <c r="B177" s="58" t="s">
        <v>347</v>
      </c>
      <c r="C177" s="59">
        <v>45323</v>
      </c>
      <c r="D177" s="59">
        <v>45323</v>
      </c>
      <c r="E177" s="60">
        <v>0</v>
      </c>
    </row>
    <row r="178" spans="1:5">
      <c r="A178" s="58" t="s">
        <v>111</v>
      </c>
      <c r="B178" s="58" t="s">
        <v>347</v>
      </c>
      <c r="C178" s="59">
        <v>45324</v>
      </c>
      <c r="D178" s="59">
        <v>45324</v>
      </c>
      <c r="E178" s="60">
        <v>0</v>
      </c>
    </row>
    <row r="179" spans="1:5">
      <c r="A179" s="58" t="s">
        <v>111</v>
      </c>
      <c r="B179" s="58" t="s">
        <v>347</v>
      </c>
      <c r="C179" s="59">
        <v>45325</v>
      </c>
      <c r="D179" s="59">
        <v>45325</v>
      </c>
      <c r="E179" s="60">
        <v>0</v>
      </c>
    </row>
    <row r="180" spans="1:5">
      <c r="A180" s="58" t="s">
        <v>111</v>
      </c>
      <c r="B180" s="58" t="s">
        <v>347</v>
      </c>
      <c r="C180" s="59">
        <v>45326</v>
      </c>
      <c r="D180" s="59">
        <v>45326</v>
      </c>
      <c r="E180" s="60">
        <v>0</v>
      </c>
    </row>
    <row r="181" spans="1:5">
      <c r="A181" s="58" t="s">
        <v>111</v>
      </c>
      <c r="B181" s="58" t="s">
        <v>347</v>
      </c>
      <c r="C181" s="59">
        <v>45327</v>
      </c>
      <c r="D181" s="59">
        <v>45327</v>
      </c>
      <c r="E181" s="60">
        <v>0</v>
      </c>
    </row>
    <row r="182" spans="1:5">
      <c r="A182" s="58" t="s">
        <v>115</v>
      </c>
      <c r="B182" s="58" t="s">
        <v>344</v>
      </c>
      <c r="C182" s="59">
        <v>45323</v>
      </c>
      <c r="D182" s="59">
        <v>45323</v>
      </c>
      <c r="E182" s="60">
        <v>0</v>
      </c>
    </row>
    <row r="183" spans="1:5">
      <c r="A183" s="58" t="s">
        <v>115</v>
      </c>
      <c r="B183" s="58" t="s">
        <v>344</v>
      </c>
      <c r="C183" s="59">
        <v>45324</v>
      </c>
      <c r="D183" s="59">
        <v>45324</v>
      </c>
      <c r="E183" s="60">
        <v>0</v>
      </c>
    </row>
    <row r="184" spans="1:5">
      <c r="A184" s="58" t="s">
        <v>115</v>
      </c>
      <c r="B184" s="58" t="s">
        <v>344</v>
      </c>
      <c r="C184" s="59">
        <v>45325</v>
      </c>
      <c r="D184" s="59">
        <v>45325</v>
      </c>
      <c r="E184" s="60">
        <v>0</v>
      </c>
    </row>
    <row r="185" spans="1:5">
      <c r="A185" s="58" t="s">
        <v>115</v>
      </c>
      <c r="B185" s="58" t="s">
        <v>344</v>
      </c>
      <c r="C185" s="59">
        <v>45326</v>
      </c>
      <c r="D185" s="59">
        <v>45326</v>
      </c>
      <c r="E185" s="60">
        <v>0</v>
      </c>
    </row>
    <row r="186" spans="1:5">
      <c r="A186" s="58" t="s">
        <v>115</v>
      </c>
      <c r="B186" s="58" t="s">
        <v>344</v>
      </c>
      <c r="C186" s="59">
        <v>45327</v>
      </c>
      <c r="D186" s="59">
        <v>45327</v>
      </c>
      <c r="E186" s="60">
        <v>468.26</v>
      </c>
    </row>
    <row r="187" spans="1:5">
      <c r="A187" s="58" t="s">
        <v>119</v>
      </c>
      <c r="B187" s="58" t="s">
        <v>345</v>
      </c>
      <c r="C187" s="59">
        <v>45323</v>
      </c>
      <c r="D187" s="59">
        <v>45323</v>
      </c>
      <c r="E187" s="60">
        <v>0</v>
      </c>
    </row>
    <row r="188" spans="1:5">
      <c r="A188" s="58" t="s">
        <v>119</v>
      </c>
      <c r="B188" s="58" t="s">
        <v>345</v>
      </c>
      <c r="C188" s="59">
        <v>45324</v>
      </c>
      <c r="D188" s="59">
        <v>45324</v>
      </c>
      <c r="E188" s="60">
        <v>110.74</v>
      </c>
    </row>
    <row r="189" spans="1:5">
      <c r="A189" s="58" t="s">
        <v>119</v>
      </c>
      <c r="B189" s="58" t="s">
        <v>345</v>
      </c>
      <c r="C189" s="59">
        <v>45325</v>
      </c>
      <c r="D189" s="59">
        <v>45325</v>
      </c>
      <c r="E189" s="60">
        <v>0</v>
      </c>
    </row>
    <row r="190" spans="1:5">
      <c r="A190" s="58" t="s">
        <v>119</v>
      </c>
      <c r="B190" s="58" t="s">
        <v>345</v>
      </c>
      <c r="C190" s="59">
        <v>45326</v>
      </c>
      <c r="D190" s="59">
        <v>45326</v>
      </c>
      <c r="E190" s="60">
        <v>0</v>
      </c>
    </row>
    <row r="191" spans="1:5">
      <c r="A191" s="58" t="s">
        <v>119</v>
      </c>
      <c r="B191" s="58" t="s">
        <v>345</v>
      </c>
      <c r="C191" s="59">
        <v>45327</v>
      </c>
      <c r="D191" s="59">
        <v>45327</v>
      </c>
      <c r="E191" s="60">
        <v>0</v>
      </c>
    </row>
    <row r="192" spans="1:5">
      <c r="A192" s="58" t="s">
        <v>122</v>
      </c>
      <c r="B192" s="58" t="s">
        <v>346</v>
      </c>
      <c r="C192" s="59">
        <v>45323</v>
      </c>
      <c r="D192" s="59">
        <v>45323</v>
      </c>
      <c r="E192" s="60">
        <v>0</v>
      </c>
    </row>
    <row r="193" spans="1:5">
      <c r="A193" s="58" t="s">
        <v>122</v>
      </c>
      <c r="B193" s="58" t="s">
        <v>346</v>
      </c>
      <c r="C193" s="59">
        <v>45324</v>
      </c>
      <c r="D193" s="59">
        <v>45324</v>
      </c>
      <c r="E193" s="60">
        <v>0</v>
      </c>
    </row>
    <row r="194" spans="1:5">
      <c r="A194" s="58" t="s">
        <v>122</v>
      </c>
      <c r="B194" s="58" t="s">
        <v>346</v>
      </c>
      <c r="C194" s="59">
        <v>45325</v>
      </c>
      <c r="D194" s="59">
        <v>45325</v>
      </c>
      <c r="E194" s="60">
        <v>0</v>
      </c>
    </row>
    <row r="195" spans="1:5">
      <c r="A195" s="58" t="s">
        <v>122</v>
      </c>
      <c r="B195" s="58" t="s">
        <v>346</v>
      </c>
      <c r="C195" s="59">
        <v>45326</v>
      </c>
      <c r="D195" s="59">
        <v>45326</v>
      </c>
      <c r="E195" s="60">
        <v>0</v>
      </c>
    </row>
    <row r="196" spans="1:5">
      <c r="A196" s="58" t="s">
        <v>122</v>
      </c>
      <c r="B196" s="58" t="s">
        <v>346</v>
      </c>
      <c r="C196" s="59">
        <v>45327</v>
      </c>
      <c r="D196" s="59">
        <v>45327</v>
      </c>
      <c r="E196" s="60">
        <v>0</v>
      </c>
    </row>
    <row r="197" spans="1:5">
      <c r="A197" s="58" t="s">
        <v>125</v>
      </c>
      <c r="B197" s="58" t="s">
        <v>347</v>
      </c>
      <c r="C197" s="59">
        <v>45323</v>
      </c>
      <c r="D197" s="59">
        <v>45323</v>
      </c>
      <c r="E197" s="60">
        <v>0</v>
      </c>
    </row>
    <row r="198" spans="1:5">
      <c r="A198" s="58" t="s">
        <v>125</v>
      </c>
      <c r="B198" s="58" t="s">
        <v>347</v>
      </c>
      <c r="C198" s="59">
        <v>45324</v>
      </c>
      <c r="D198" s="59">
        <v>45324</v>
      </c>
      <c r="E198" s="60">
        <v>0</v>
      </c>
    </row>
    <row r="199" spans="1:5">
      <c r="A199" s="58" t="s">
        <v>125</v>
      </c>
      <c r="B199" s="58" t="s">
        <v>347</v>
      </c>
      <c r="C199" s="59">
        <v>45325</v>
      </c>
      <c r="D199" s="59">
        <v>45325</v>
      </c>
      <c r="E199" s="60">
        <v>0</v>
      </c>
    </row>
    <row r="200" spans="1:5">
      <c r="A200" s="58" t="s">
        <v>125</v>
      </c>
      <c r="B200" s="58" t="s">
        <v>347</v>
      </c>
      <c r="C200" s="59">
        <v>45326</v>
      </c>
      <c r="D200" s="59">
        <v>45326</v>
      </c>
      <c r="E200" s="60">
        <v>0</v>
      </c>
    </row>
    <row r="201" spans="1:5">
      <c r="A201" s="58" t="s">
        <v>125</v>
      </c>
      <c r="B201" s="58" t="s">
        <v>347</v>
      </c>
      <c r="C201" s="59">
        <v>45327</v>
      </c>
      <c r="D201" s="59">
        <v>45327</v>
      </c>
      <c r="E201" s="60">
        <v>0</v>
      </c>
    </row>
    <row r="202" spans="1:5">
      <c r="A202" s="58" t="s">
        <v>128</v>
      </c>
      <c r="B202" s="58" t="s">
        <v>344</v>
      </c>
      <c r="C202" s="59">
        <v>45323</v>
      </c>
      <c r="D202" s="59">
        <v>45323</v>
      </c>
      <c r="E202" s="60">
        <v>0</v>
      </c>
    </row>
    <row r="203" spans="1:5">
      <c r="A203" s="58" t="s">
        <v>128</v>
      </c>
      <c r="B203" s="58" t="s">
        <v>344</v>
      </c>
      <c r="C203" s="59">
        <v>45324</v>
      </c>
      <c r="D203" s="59">
        <v>45324</v>
      </c>
      <c r="E203" s="60">
        <v>0</v>
      </c>
    </row>
    <row r="204" spans="1:5">
      <c r="A204" s="58" t="s">
        <v>128</v>
      </c>
      <c r="B204" s="58" t="s">
        <v>344</v>
      </c>
      <c r="C204" s="59">
        <v>45325</v>
      </c>
      <c r="D204" s="59">
        <v>45325</v>
      </c>
      <c r="E204" s="60">
        <v>0</v>
      </c>
    </row>
    <row r="205" spans="1:5">
      <c r="A205" s="58" t="s">
        <v>128</v>
      </c>
      <c r="B205" s="58" t="s">
        <v>344</v>
      </c>
      <c r="C205" s="59">
        <v>45326</v>
      </c>
      <c r="D205" s="59">
        <v>45326</v>
      </c>
      <c r="E205" s="60">
        <v>0</v>
      </c>
    </row>
    <row r="206" spans="1:5">
      <c r="A206" s="58" t="s">
        <v>128</v>
      </c>
      <c r="B206" s="58" t="s">
        <v>344</v>
      </c>
      <c r="C206" s="59">
        <v>45327</v>
      </c>
      <c r="D206" s="59">
        <v>45327</v>
      </c>
      <c r="E206" s="60">
        <v>0</v>
      </c>
    </row>
    <row r="207" spans="1:5">
      <c r="A207" s="58" t="s">
        <v>131</v>
      </c>
      <c r="B207" s="58" t="s">
        <v>345</v>
      </c>
      <c r="C207" s="59">
        <v>45323</v>
      </c>
      <c r="D207" s="59">
        <v>45323</v>
      </c>
      <c r="E207" s="60">
        <v>0</v>
      </c>
    </row>
    <row r="208" spans="1:5">
      <c r="A208" s="58" t="s">
        <v>131</v>
      </c>
      <c r="B208" s="58" t="s">
        <v>345</v>
      </c>
      <c r="C208" s="59">
        <v>45324</v>
      </c>
      <c r="D208" s="59">
        <v>45324</v>
      </c>
      <c r="E208" s="60">
        <v>0</v>
      </c>
    </row>
    <row r="209" spans="1:5">
      <c r="A209" s="58" t="s">
        <v>131</v>
      </c>
      <c r="B209" s="58" t="s">
        <v>345</v>
      </c>
      <c r="C209" s="59">
        <v>45325</v>
      </c>
      <c r="D209" s="59">
        <v>45325</v>
      </c>
      <c r="E209" s="60">
        <v>0</v>
      </c>
    </row>
    <row r="210" spans="1:5">
      <c r="A210" s="58" t="s">
        <v>131</v>
      </c>
      <c r="B210" s="58" t="s">
        <v>345</v>
      </c>
      <c r="C210" s="59">
        <v>45326</v>
      </c>
      <c r="D210" s="59">
        <v>45326</v>
      </c>
      <c r="E210" s="60">
        <v>0</v>
      </c>
    </row>
    <row r="211" spans="1:5">
      <c r="A211" s="58" t="s">
        <v>131</v>
      </c>
      <c r="B211" s="58" t="s">
        <v>345</v>
      </c>
      <c r="C211" s="59">
        <v>45327</v>
      </c>
      <c r="D211" s="59">
        <v>45327</v>
      </c>
      <c r="E211" s="60">
        <v>0</v>
      </c>
    </row>
    <row r="212" spans="1:5">
      <c r="A212" s="58" t="s">
        <v>134</v>
      </c>
      <c r="B212" s="58" t="s">
        <v>346</v>
      </c>
      <c r="C212" s="59">
        <v>45323</v>
      </c>
      <c r="D212" s="59">
        <v>45323</v>
      </c>
      <c r="E212" s="60">
        <v>0</v>
      </c>
    </row>
    <row r="213" spans="1:5">
      <c r="A213" s="58" t="s">
        <v>134</v>
      </c>
      <c r="B213" s="58" t="s">
        <v>346</v>
      </c>
      <c r="C213" s="59">
        <v>45324</v>
      </c>
      <c r="D213" s="59">
        <v>45324</v>
      </c>
      <c r="E213" s="60">
        <v>0</v>
      </c>
    </row>
    <row r="214" spans="1:5">
      <c r="A214" s="58" t="s">
        <v>134</v>
      </c>
      <c r="B214" s="58" t="s">
        <v>346</v>
      </c>
      <c r="C214" s="59">
        <v>45325</v>
      </c>
      <c r="D214" s="59">
        <v>45325</v>
      </c>
      <c r="E214" s="60">
        <v>0</v>
      </c>
    </row>
    <row r="215" spans="1:5">
      <c r="A215" s="58" t="s">
        <v>134</v>
      </c>
      <c r="B215" s="58" t="s">
        <v>346</v>
      </c>
      <c r="C215" s="59">
        <v>45326</v>
      </c>
      <c r="D215" s="59">
        <v>45326</v>
      </c>
      <c r="E215" s="60">
        <v>0</v>
      </c>
    </row>
    <row r="216" spans="1:5">
      <c r="A216" s="58" t="s">
        <v>134</v>
      </c>
      <c r="B216" s="58" t="s">
        <v>346</v>
      </c>
      <c r="C216" s="59">
        <v>45327</v>
      </c>
      <c r="D216" s="59">
        <v>45327</v>
      </c>
      <c r="E216" s="60">
        <v>0</v>
      </c>
    </row>
    <row r="217" spans="1:5">
      <c r="A217" s="58" t="s">
        <v>135</v>
      </c>
      <c r="B217" s="58" t="s">
        <v>347</v>
      </c>
      <c r="C217" s="59">
        <v>45323</v>
      </c>
      <c r="D217" s="59">
        <v>45323</v>
      </c>
      <c r="E217" s="60">
        <v>0</v>
      </c>
    </row>
    <row r="218" spans="1:5">
      <c r="A218" s="58" t="s">
        <v>135</v>
      </c>
      <c r="B218" s="58" t="s">
        <v>347</v>
      </c>
      <c r="C218" s="59">
        <v>45324</v>
      </c>
      <c r="D218" s="59">
        <v>45324</v>
      </c>
      <c r="E218" s="60">
        <v>0</v>
      </c>
    </row>
    <row r="219" spans="1:5">
      <c r="A219" s="58" t="s">
        <v>135</v>
      </c>
      <c r="B219" s="58" t="s">
        <v>347</v>
      </c>
      <c r="C219" s="59">
        <v>45325</v>
      </c>
      <c r="D219" s="59">
        <v>45325</v>
      </c>
      <c r="E219" s="60">
        <v>0</v>
      </c>
    </row>
    <row r="220" spans="1:5">
      <c r="A220" s="58" t="s">
        <v>135</v>
      </c>
      <c r="B220" s="58" t="s">
        <v>347</v>
      </c>
      <c r="C220" s="59">
        <v>45326</v>
      </c>
      <c r="D220" s="59">
        <v>45326</v>
      </c>
      <c r="E220" s="60">
        <v>0</v>
      </c>
    </row>
    <row r="221" spans="1:5">
      <c r="A221" s="58" t="s">
        <v>135</v>
      </c>
      <c r="B221" s="58" t="s">
        <v>347</v>
      </c>
      <c r="C221" s="59">
        <v>45327</v>
      </c>
      <c r="D221" s="59">
        <v>45327</v>
      </c>
      <c r="E221" s="60">
        <v>0</v>
      </c>
    </row>
    <row r="222" spans="1:5">
      <c r="A222" s="58" t="s">
        <v>136</v>
      </c>
      <c r="B222" s="58" t="s">
        <v>344</v>
      </c>
      <c r="C222" s="59">
        <v>45323</v>
      </c>
      <c r="D222" s="59">
        <v>45323</v>
      </c>
      <c r="E222" s="60">
        <v>0</v>
      </c>
    </row>
    <row r="223" spans="1:5">
      <c r="A223" s="58" t="s">
        <v>136</v>
      </c>
      <c r="B223" s="58" t="s">
        <v>344</v>
      </c>
      <c r="C223" s="59">
        <v>45324</v>
      </c>
      <c r="D223" s="59">
        <v>45324</v>
      </c>
      <c r="E223" s="60">
        <v>0</v>
      </c>
    </row>
    <row r="224" spans="1:5">
      <c r="A224" s="58" t="s">
        <v>136</v>
      </c>
      <c r="B224" s="58" t="s">
        <v>344</v>
      </c>
      <c r="C224" s="59">
        <v>45325</v>
      </c>
      <c r="D224" s="59">
        <v>45325</v>
      </c>
      <c r="E224" s="60">
        <v>0</v>
      </c>
    </row>
    <row r="225" spans="1:5">
      <c r="A225" s="58" t="s">
        <v>136</v>
      </c>
      <c r="B225" s="58" t="s">
        <v>344</v>
      </c>
      <c r="C225" s="59">
        <v>45326</v>
      </c>
      <c r="D225" s="59">
        <v>45326</v>
      </c>
      <c r="E225" s="60">
        <v>0</v>
      </c>
    </row>
    <row r="226" spans="1:5">
      <c r="A226" s="58" t="s">
        <v>136</v>
      </c>
      <c r="B226" s="58" t="s">
        <v>344</v>
      </c>
      <c r="C226" s="59">
        <v>45327</v>
      </c>
      <c r="D226" s="59">
        <v>45327</v>
      </c>
      <c r="E226" s="60">
        <v>0</v>
      </c>
    </row>
    <row r="227" spans="1:5">
      <c r="A227" s="58" t="s">
        <v>137</v>
      </c>
      <c r="B227" s="58" t="s">
        <v>345</v>
      </c>
      <c r="C227" s="59">
        <v>45323</v>
      </c>
      <c r="D227" s="59">
        <v>45323</v>
      </c>
      <c r="E227" s="60">
        <v>0</v>
      </c>
    </row>
    <row r="228" spans="1:5">
      <c r="A228" s="58" t="s">
        <v>137</v>
      </c>
      <c r="B228" s="58" t="s">
        <v>345</v>
      </c>
      <c r="C228" s="59">
        <v>45324</v>
      </c>
      <c r="D228" s="59">
        <v>45324</v>
      </c>
      <c r="E228" s="60">
        <v>0</v>
      </c>
    </row>
    <row r="229" spans="1:5">
      <c r="A229" s="58" t="s">
        <v>137</v>
      </c>
      <c r="B229" s="58" t="s">
        <v>345</v>
      </c>
      <c r="C229" s="59">
        <v>45325</v>
      </c>
      <c r="D229" s="59">
        <v>45325</v>
      </c>
      <c r="E229" s="60">
        <v>0</v>
      </c>
    </row>
    <row r="230" spans="1:5">
      <c r="A230" s="58" t="s">
        <v>137</v>
      </c>
      <c r="B230" s="58" t="s">
        <v>345</v>
      </c>
      <c r="C230" s="59">
        <v>45326</v>
      </c>
      <c r="D230" s="59">
        <v>45326</v>
      </c>
      <c r="E230" s="60">
        <v>0</v>
      </c>
    </row>
    <row r="231" spans="1:5">
      <c r="A231" s="58" t="s">
        <v>137</v>
      </c>
      <c r="B231" s="58" t="s">
        <v>345</v>
      </c>
      <c r="C231" s="59">
        <v>45327</v>
      </c>
      <c r="D231" s="59">
        <v>45327</v>
      </c>
      <c r="E231" s="60">
        <v>0</v>
      </c>
    </row>
    <row r="232" spans="1:5">
      <c r="A232" s="58" t="s">
        <v>138</v>
      </c>
      <c r="B232" s="58" t="s">
        <v>346</v>
      </c>
      <c r="C232" s="59">
        <v>45323</v>
      </c>
      <c r="D232" s="59">
        <v>45323</v>
      </c>
      <c r="E232" s="60">
        <v>0</v>
      </c>
    </row>
    <row r="233" spans="1:5">
      <c r="A233" s="58" t="s">
        <v>138</v>
      </c>
      <c r="B233" s="58" t="s">
        <v>346</v>
      </c>
      <c r="C233" s="59">
        <v>45324</v>
      </c>
      <c r="D233" s="59">
        <v>45324</v>
      </c>
      <c r="E233" s="60">
        <v>0</v>
      </c>
    </row>
    <row r="234" spans="1:5">
      <c r="A234" s="58" t="s">
        <v>138</v>
      </c>
      <c r="B234" s="58" t="s">
        <v>346</v>
      </c>
      <c r="C234" s="59">
        <v>45325</v>
      </c>
      <c r="D234" s="59">
        <v>45325</v>
      </c>
      <c r="E234" s="60">
        <v>0</v>
      </c>
    </row>
    <row r="235" spans="1:5">
      <c r="A235" s="58" t="s">
        <v>138</v>
      </c>
      <c r="B235" s="58" t="s">
        <v>346</v>
      </c>
      <c r="C235" s="59">
        <v>45326</v>
      </c>
      <c r="D235" s="59">
        <v>45326</v>
      </c>
      <c r="E235" s="60">
        <v>0</v>
      </c>
    </row>
    <row r="236" spans="1:5">
      <c r="A236" s="58" t="s">
        <v>138</v>
      </c>
      <c r="B236" s="58" t="s">
        <v>346</v>
      </c>
      <c r="C236" s="59">
        <v>45327</v>
      </c>
      <c r="D236" s="59">
        <v>45327</v>
      </c>
      <c r="E236" s="60">
        <v>0</v>
      </c>
    </row>
    <row r="237" spans="1:5">
      <c r="A237" s="58" t="s">
        <v>139</v>
      </c>
      <c r="B237" s="58" t="s">
        <v>347</v>
      </c>
      <c r="C237" s="59">
        <v>45323</v>
      </c>
      <c r="D237" s="59">
        <v>45323</v>
      </c>
      <c r="E237" s="60">
        <v>0</v>
      </c>
    </row>
    <row r="238" spans="1:5">
      <c r="A238" s="58" t="s">
        <v>139</v>
      </c>
      <c r="B238" s="58" t="s">
        <v>347</v>
      </c>
      <c r="C238" s="59">
        <v>45324</v>
      </c>
      <c r="D238" s="59">
        <v>45324</v>
      </c>
      <c r="E238" s="60">
        <v>0</v>
      </c>
    </row>
    <row r="239" spans="1:5">
      <c r="A239" s="58" t="s">
        <v>139</v>
      </c>
      <c r="B239" s="58" t="s">
        <v>347</v>
      </c>
      <c r="C239" s="59">
        <v>45325</v>
      </c>
      <c r="D239" s="59">
        <v>45325</v>
      </c>
      <c r="E239" s="60">
        <v>0</v>
      </c>
    </row>
    <row r="240" spans="1:5">
      <c r="A240" s="58" t="s">
        <v>139</v>
      </c>
      <c r="B240" s="58" t="s">
        <v>347</v>
      </c>
      <c r="C240" s="59">
        <v>45326</v>
      </c>
      <c r="D240" s="59">
        <v>45326</v>
      </c>
      <c r="E240" s="60">
        <v>0</v>
      </c>
    </row>
    <row r="241" spans="1:5">
      <c r="A241" s="58" t="s">
        <v>139</v>
      </c>
      <c r="B241" s="58" t="s">
        <v>347</v>
      </c>
      <c r="C241" s="59">
        <v>45327</v>
      </c>
      <c r="D241" s="59">
        <v>45327</v>
      </c>
      <c r="E241" s="60">
        <v>0</v>
      </c>
    </row>
    <row r="242" spans="1:5">
      <c r="A242" s="58" t="s">
        <v>140</v>
      </c>
      <c r="B242" s="58" t="s">
        <v>344</v>
      </c>
      <c r="C242" s="59">
        <v>45323</v>
      </c>
      <c r="D242" s="59">
        <v>45323</v>
      </c>
      <c r="E242" s="60">
        <v>0</v>
      </c>
    </row>
    <row r="243" spans="1:5">
      <c r="A243" s="58" t="s">
        <v>140</v>
      </c>
      <c r="B243" s="58" t="s">
        <v>344</v>
      </c>
      <c r="C243" s="59">
        <v>45324</v>
      </c>
      <c r="D243" s="59">
        <v>45324</v>
      </c>
      <c r="E243" s="60">
        <v>0</v>
      </c>
    </row>
    <row r="244" spans="1:5">
      <c r="A244" s="58" t="s">
        <v>140</v>
      </c>
      <c r="B244" s="58" t="s">
        <v>344</v>
      </c>
      <c r="C244" s="59">
        <v>45325</v>
      </c>
      <c r="D244" s="59">
        <v>45325</v>
      </c>
      <c r="E244" s="60">
        <v>0</v>
      </c>
    </row>
    <row r="245" spans="1:5">
      <c r="A245" s="58" t="s">
        <v>140</v>
      </c>
      <c r="B245" s="58" t="s">
        <v>344</v>
      </c>
      <c r="C245" s="59">
        <v>45326</v>
      </c>
      <c r="D245" s="59">
        <v>45326</v>
      </c>
      <c r="E245" s="60">
        <v>0</v>
      </c>
    </row>
    <row r="246" spans="1:5">
      <c r="A246" s="58" t="s">
        <v>140</v>
      </c>
      <c r="B246" s="58" t="s">
        <v>344</v>
      </c>
      <c r="C246" s="59">
        <v>45327</v>
      </c>
      <c r="D246" s="59">
        <v>45327</v>
      </c>
      <c r="E246" s="60">
        <v>0</v>
      </c>
    </row>
    <row r="247" spans="1:5">
      <c r="A247" s="58" t="s">
        <v>141</v>
      </c>
      <c r="B247" s="58" t="s">
        <v>345</v>
      </c>
      <c r="C247" s="59">
        <v>45323</v>
      </c>
      <c r="D247" s="59">
        <v>45323</v>
      </c>
      <c r="E247" s="60">
        <v>0</v>
      </c>
    </row>
    <row r="248" spans="1:5">
      <c r="A248" s="58" t="s">
        <v>141</v>
      </c>
      <c r="B248" s="58" t="s">
        <v>345</v>
      </c>
      <c r="C248" s="59">
        <v>45324</v>
      </c>
      <c r="D248" s="59">
        <v>45324</v>
      </c>
      <c r="E248" s="60">
        <v>0</v>
      </c>
    </row>
    <row r="249" spans="1:5">
      <c r="A249" s="58" t="s">
        <v>141</v>
      </c>
      <c r="B249" s="58" t="s">
        <v>345</v>
      </c>
      <c r="C249" s="59">
        <v>45325</v>
      </c>
      <c r="D249" s="59">
        <v>45325</v>
      </c>
      <c r="E249" s="60">
        <v>0</v>
      </c>
    </row>
    <row r="250" spans="1:5">
      <c r="A250" s="58" t="s">
        <v>141</v>
      </c>
      <c r="B250" s="58" t="s">
        <v>345</v>
      </c>
      <c r="C250" s="59">
        <v>45326</v>
      </c>
      <c r="D250" s="59">
        <v>45326</v>
      </c>
      <c r="E250" s="60">
        <v>0</v>
      </c>
    </row>
    <row r="251" spans="1:5">
      <c r="A251" s="58" t="s">
        <v>141</v>
      </c>
      <c r="B251" s="58" t="s">
        <v>345</v>
      </c>
      <c r="C251" s="59">
        <v>45327</v>
      </c>
      <c r="D251" s="59">
        <v>45327</v>
      </c>
      <c r="E251" s="60">
        <v>0</v>
      </c>
    </row>
    <row r="252" spans="1:5">
      <c r="A252" s="58" t="s">
        <v>142</v>
      </c>
      <c r="B252" s="58" t="s">
        <v>346</v>
      </c>
      <c r="C252" s="59">
        <v>45323</v>
      </c>
      <c r="D252" s="59">
        <v>45323</v>
      </c>
      <c r="E252" s="60">
        <v>0</v>
      </c>
    </row>
    <row r="253" spans="1:5">
      <c r="A253" s="58" t="s">
        <v>142</v>
      </c>
      <c r="B253" s="58" t="s">
        <v>346</v>
      </c>
      <c r="C253" s="59">
        <v>45324</v>
      </c>
      <c r="D253" s="59">
        <v>45324</v>
      </c>
      <c r="E253" s="60">
        <v>0</v>
      </c>
    </row>
    <row r="254" spans="1:5">
      <c r="A254" s="58" t="s">
        <v>142</v>
      </c>
      <c r="B254" s="58" t="s">
        <v>346</v>
      </c>
      <c r="C254" s="59">
        <v>45325</v>
      </c>
      <c r="D254" s="59">
        <v>45325</v>
      </c>
      <c r="E254" s="60">
        <v>0</v>
      </c>
    </row>
    <row r="255" spans="1:5">
      <c r="A255" s="58" t="s">
        <v>142</v>
      </c>
      <c r="B255" s="58" t="s">
        <v>346</v>
      </c>
      <c r="C255" s="59">
        <v>45326</v>
      </c>
      <c r="D255" s="59">
        <v>45326</v>
      </c>
      <c r="E255" s="60">
        <v>0</v>
      </c>
    </row>
    <row r="256" spans="1:5">
      <c r="A256" s="58" t="s">
        <v>142</v>
      </c>
      <c r="B256" s="58" t="s">
        <v>346</v>
      </c>
      <c r="C256" s="59">
        <v>45327</v>
      </c>
      <c r="D256" s="59">
        <v>45327</v>
      </c>
      <c r="E256" s="60">
        <v>0</v>
      </c>
    </row>
    <row r="257" spans="1:5">
      <c r="A257" s="58" t="s">
        <v>143</v>
      </c>
      <c r="B257" s="58" t="s">
        <v>347</v>
      </c>
      <c r="C257" s="59">
        <v>45323</v>
      </c>
      <c r="D257" s="59">
        <v>45323</v>
      </c>
      <c r="E257" s="60">
        <v>0</v>
      </c>
    </row>
    <row r="258" spans="1:5">
      <c r="A258" s="58" t="s">
        <v>143</v>
      </c>
      <c r="B258" s="58" t="s">
        <v>347</v>
      </c>
      <c r="C258" s="59">
        <v>45324</v>
      </c>
      <c r="D258" s="59">
        <v>45324</v>
      </c>
      <c r="E258" s="60">
        <v>0</v>
      </c>
    </row>
    <row r="259" spans="1:5">
      <c r="A259" s="58" t="s">
        <v>143</v>
      </c>
      <c r="B259" s="58" t="s">
        <v>347</v>
      </c>
      <c r="C259" s="59">
        <v>45325</v>
      </c>
      <c r="D259" s="59">
        <v>45325</v>
      </c>
      <c r="E259" s="60">
        <v>0</v>
      </c>
    </row>
    <row r="260" spans="1:5">
      <c r="A260" s="58" t="s">
        <v>143</v>
      </c>
      <c r="B260" s="58" t="s">
        <v>347</v>
      </c>
      <c r="C260" s="59">
        <v>45326</v>
      </c>
      <c r="D260" s="59">
        <v>45326</v>
      </c>
      <c r="E260" s="60">
        <v>0</v>
      </c>
    </row>
    <row r="261" spans="1:5">
      <c r="A261" s="58" t="s">
        <v>143</v>
      </c>
      <c r="B261" s="58" t="s">
        <v>347</v>
      </c>
      <c r="C261" s="59">
        <v>45327</v>
      </c>
      <c r="D261" s="59">
        <v>45327</v>
      </c>
      <c r="E261" s="60">
        <v>0</v>
      </c>
    </row>
    <row r="262" spans="1:5">
      <c r="A262" s="58" t="s">
        <v>144</v>
      </c>
      <c r="B262" s="58" t="s">
        <v>344</v>
      </c>
      <c r="C262" s="59">
        <v>45323</v>
      </c>
      <c r="D262" s="59">
        <v>45323</v>
      </c>
      <c r="E262" s="60">
        <v>0</v>
      </c>
    </row>
    <row r="263" spans="1:5">
      <c r="A263" s="58" t="s">
        <v>144</v>
      </c>
      <c r="B263" s="58" t="s">
        <v>344</v>
      </c>
      <c r="C263" s="59">
        <v>45324</v>
      </c>
      <c r="D263" s="59">
        <v>45324</v>
      </c>
      <c r="E263" s="60">
        <v>0</v>
      </c>
    </row>
    <row r="264" spans="1:5">
      <c r="A264" s="58" t="s">
        <v>144</v>
      </c>
      <c r="B264" s="58" t="s">
        <v>344</v>
      </c>
      <c r="C264" s="59">
        <v>45325</v>
      </c>
      <c r="D264" s="59">
        <v>45325</v>
      </c>
      <c r="E264" s="60">
        <v>0</v>
      </c>
    </row>
    <row r="265" spans="1:5">
      <c r="A265" s="58" t="s">
        <v>144</v>
      </c>
      <c r="B265" s="58" t="s">
        <v>344</v>
      </c>
      <c r="C265" s="59">
        <v>45326</v>
      </c>
      <c r="D265" s="59">
        <v>45326</v>
      </c>
      <c r="E265" s="60">
        <v>0</v>
      </c>
    </row>
    <row r="266" spans="1:5">
      <c r="A266" s="58" t="s">
        <v>144</v>
      </c>
      <c r="B266" s="58" t="s">
        <v>344</v>
      </c>
      <c r="C266" s="59">
        <v>45327</v>
      </c>
      <c r="D266" s="59">
        <v>45327</v>
      </c>
      <c r="E266" s="60">
        <v>0</v>
      </c>
    </row>
    <row r="267" spans="1:5">
      <c r="A267" s="58" t="s">
        <v>145</v>
      </c>
      <c r="B267" s="58" t="s">
        <v>345</v>
      </c>
      <c r="C267" s="59">
        <v>45323</v>
      </c>
      <c r="D267" s="59">
        <v>45323</v>
      </c>
      <c r="E267" s="60">
        <v>0</v>
      </c>
    </row>
    <row r="268" spans="1:5">
      <c r="A268" s="58" t="s">
        <v>145</v>
      </c>
      <c r="B268" s="58" t="s">
        <v>345</v>
      </c>
      <c r="C268" s="59">
        <v>45324</v>
      </c>
      <c r="D268" s="59">
        <v>45324</v>
      </c>
      <c r="E268" s="60">
        <v>0</v>
      </c>
    </row>
    <row r="269" spans="1:5">
      <c r="A269" s="58" t="s">
        <v>145</v>
      </c>
      <c r="B269" s="58" t="s">
        <v>345</v>
      </c>
      <c r="C269" s="59">
        <v>45325</v>
      </c>
      <c r="D269" s="59">
        <v>45325</v>
      </c>
      <c r="E269" s="60">
        <v>0</v>
      </c>
    </row>
    <row r="270" spans="1:5">
      <c r="A270" s="58" t="s">
        <v>145</v>
      </c>
      <c r="B270" s="58" t="s">
        <v>345</v>
      </c>
      <c r="C270" s="59">
        <v>45326</v>
      </c>
      <c r="D270" s="59">
        <v>45326</v>
      </c>
      <c r="E270" s="60">
        <v>0</v>
      </c>
    </row>
    <row r="271" spans="1:5">
      <c r="A271" s="58" t="s">
        <v>145</v>
      </c>
      <c r="B271" s="58" t="s">
        <v>345</v>
      </c>
      <c r="C271" s="59">
        <v>45327</v>
      </c>
      <c r="D271" s="59">
        <v>45327</v>
      </c>
      <c r="E271" s="60">
        <v>0</v>
      </c>
    </row>
    <row r="272" spans="1:5">
      <c r="A272" s="58" t="s">
        <v>146</v>
      </c>
      <c r="B272" s="58" t="s">
        <v>346</v>
      </c>
      <c r="C272" s="59">
        <v>45323</v>
      </c>
      <c r="D272" s="59">
        <v>45323</v>
      </c>
      <c r="E272" s="60">
        <v>0</v>
      </c>
    </row>
    <row r="273" spans="1:5">
      <c r="A273" s="58" t="s">
        <v>146</v>
      </c>
      <c r="B273" s="58" t="s">
        <v>346</v>
      </c>
      <c r="C273" s="59">
        <v>45324</v>
      </c>
      <c r="D273" s="59">
        <v>45324</v>
      </c>
      <c r="E273" s="60">
        <v>0</v>
      </c>
    </row>
    <row r="274" spans="1:5">
      <c r="A274" s="58" t="s">
        <v>146</v>
      </c>
      <c r="B274" s="58" t="s">
        <v>346</v>
      </c>
      <c r="C274" s="59">
        <v>45325</v>
      </c>
      <c r="D274" s="59">
        <v>45325</v>
      </c>
      <c r="E274" s="60">
        <v>0</v>
      </c>
    </row>
    <row r="275" spans="1:5">
      <c r="A275" s="58" t="s">
        <v>146</v>
      </c>
      <c r="B275" s="58" t="s">
        <v>346</v>
      </c>
      <c r="C275" s="59">
        <v>45326</v>
      </c>
      <c r="D275" s="59">
        <v>45326</v>
      </c>
      <c r="E275" s="60">
        <v>0</v>
      </c>
    </row>
    <row r="276" spans="1:5">
      <c r="A276" s="58" t="s">
        <v>146</v>
      </c>
      <c r="B276" s="58" t="s">
        <v>346</v>
      </c>
      <c r="C276" s="59">
        <v>45327</v>
      </c>
      <c r="D276" s="59">
        <v>45327</v>
      </c>
      <c r="E276" s="60">
        <v>0</v>
      </c>
    </row>
    <row r="277" spans="1:5">
      <c r="A277" s="58" t="s">
        <v>147</v>
      </c>
      <c r="B277" s="58" t="s">
        <v>347</v>
      </c>
      <c r="C277" s="59">
        <v>45323</v>
      </c>
      <c r="D277" s="59">
        <v>45323</v>
      </c>
      <c r="E277" s="60">
        <v>0</v>
      </c>
    </row>
    <row r="278" spans="1:5">
      <c r="A278" s="58" t="s">
        <v>147</v>
      </c>
      <c r="B278" s="58" t="s">
        <v>347</v>
      </c>
      <c r="C278" s="59">
        <v>45324</v>
      </c>
      <c r="D278" s="59">
        <v>45324</v>
      </c>
      <c r="E278" s="60">
        <v>0</v>
      </c>
    </row>
    <row r="279" spans="1:5">
      <c r="A279" s="58" t="s">
        <v>147</v>
      </c>
      <c r="B279" s="58" t="s">
        <v>347</v>
      </c>
      <c r="C279" s="59">
        <v>45325</v>
      </c>
      <c r="D279" s="59">
        <v>45325</v>
      </c>
      <c r="E279" s="60">
        <v>0</v>
      </c>
    </row>
    <row r="280" spans="1:5">
      <c r="A280" s="58" t="s">
        <v>147</v>
      </c>
      <c r="B280" s="58" t="s">
        <v>347</v>
      </c>
      <c r="C280" s="59">
        <v>45326</v>
      </c>
      <c r="D280" s="59">
        <v>45326</v>
      </c>
      <c r="E280" s="60">
        <v>0</v>
      </c>
    </row>
    <row r="281" spans="1:5">
      <c r="A281" s="58" t="s">
        <v>147</v>
      </c>
      <c r="B281" s="58" t="s">
        <v>347</v>
      </c>
      <c r="C281" s="59">
        <v>45327</v>
      </c>
      <c r="D281" s="59">
        <v>45327</v>
      </c>
      <c r="E281" s="60">
        <v>0</v>
      </c>
    </row>
    <row r="282" spans="1:5">
      <c r="A282" s="58" t="s">
        <v>148</v>
      </c>
      <c r="B282" s="58" t="s">
        <v>344</v>
      </c>
      <c r="C282" s="59">
        <v>45323</v>
      </c>
      <c r="D282" s="59">
        <v>45323</v>
      </c>
      <c r="E282" s="60">
        <v>0</v>
      </c>
    </row>
    <row r="283" spans="1:5">
      <c r="A283" s="58" t="s">
        <v>148</v>
      </c>
      <c r="B283" s="58" t="s">
        <v>344</v>
      </c>
      <c r="C283" s="59">
        <v>45324</v>
      </c>
      <c r="D283" s="59">
        <v>45324</v>
      </c>
      <c r="E283" s="60">
        <v>0</v>
      </c>
    </row>
    <row r="284" spans="1:5">
      <c r="A284" s="58" t="s">
        <v>148</v>
      </c>
      <c r="B284" s="58" t="s">
        <v>344</v>
      </c>
      <c r="C284" s="59">
        <v>45325</v>
      </c>
      <c r="D284" s="59">
        <v>45325</v>
      </c>
      <c r="E284" s="60">
        <v>0</v>
      </c>
    </row>
    <row r="285" spans="1:5">
      <c r="A285" s="58" t="s">
        <v>148</v>
      </c>
      <c r="B285" s="58" t="s">
        <v>344</v>
      </c>
      <c r="C285" s="59">
        <v>45326</v>
      </c>
      <c r="D285" s="59">
        <v>45326</v>
      </c>
      <c r="E285" s="60">
        <v>0</v>
      </c>
    </row>
    <row r="286" spans="1:5">
      <c r="A286" s="58" t="s">
        <v>148</v>
      </c>
      <c r="B286" s="58" t="s">
        <v>344</v>
      </c>
      <c r="C286" s="59">
        <v>45327</v>
      </c>
      <c r="D286" s="59">
        <v>45327</v>
      </c>
      <c r="E286" s="60">
        <v>0</v>
      </c>
    </row>
    <row r="287" spans="1:5">
      <c r="A287" s="58" t="s">
        <v>149</v>
      </c>
      <c r="B287" s="58" t="s">
        <v>345</v>
      </c>
      <c r="C287" s="59">
        <v>45323</v>
      </c>
      <c r="D287" s="59">
        <v>45323</v>
      </c>
      <c r="E287" s="60">
        <v>0</v>
      </c>
    </row>
    <row r="288" spans="1:5">
      <c r="A288" s="58" t="s">
        <v>149</v>
      </c>
      <c r="B288" s="58" t="s">
        <v>345</v>
      </c>
      <c r="C288" s="59">
        <v>45324</v>
      </c>
      <c r="D288" s="59">
        <v>45324</v>
      </c>
      <c r="E288" s="60">
        <v>0</v>
      </c>
    </row>
    <row r="289" spans="1:5">
      <c r="A289" s="58" t="s">
        <v>149</v>
      </c>
      <c r="B289" s="58" t="s">
        <v>345</v>
      </c>
      <c r="C289" s="59">
        <v>45325</v>
      </c>
      <c r="D289" s="59">
        <v>45325</v>
      </c>
      <c r="E289" s="60">
        <v>0</v>
      </c>
    </row>
    <row r="290" spans="1:5">
      <c r="A290" s="58" t="s">
        <v>149</v>
      </c>
      <c r="B290" s="58" t="s">
        <v>345</v>
      </c>
      <c r="C290" s="59">
        <v>45326</v>
      </c>
      <c r="D290" s="59">
        <v>45326</v>
      </c>
      <c r="E290" s="60">
        <v>0</v>
      </c>
    </row>
    <row r="291" spans="1:5">
      <c r="A291" s="58" t="s">
        <v>149</v>
      </c>
      <c r="B291" s="58" t="s">
        <v>345</v>
      </c>
      <c r="C291" s="59">
        <v>45327</v>
      </c>
      <c r="D291" s="59">
        <v>45327</v>
      </c>
      <c r="E291" s="60">
        <v>0</v>
      </c>
    </row>
    <row r="292" spans="1:5">
      <c r="A292" s="58" t="s">
        <v>150</v>
      </c>
      <c r="B292" s="58" t="s">
        <v>346</v>
      </c>
      <c r="C292" s="59">
        <v>45323</v>
      </c>
      <c r="D292" s="59">
        <v>45323</v>
      </c>
      <c r="E292" s="60">
        <v>0</v>
      </c>
    </row>
    <row r="293" spans="1:5">
      <c r="A293" s="58" t="s">
        <v>150</v>
      </c>
      <c r="B293" s="58" t="s">
        <v>346</v>
      </c>
      <c r="C293" s="59">
        <v>45324</v>
      </c>
      <c r="D293" s="59">
        <v>45324</v>
      </c>
      <c r="E293" s="60">
        <v>0</v>
      </c>
    </row>
    <row r="294" spans="1:5">
      <c r="A294" s="58" t="s">
        <v>150</v>
      </c>
      <c r="B294" s="58" t="s">
        <v>346</v>
      </c>
      <c r="C294" s="59">
        <v>45325</v>
      </c>
      <c r="D294" s="59">
        <v>45325</v>
      </c>
      <c r="E294" s="60">
        <v>0</v>
      </c>
    </row>
    <row r="295" spans="1:5">
      <c r="A295" s="58" t="s">
        <v>150</v>
      </c>
      <c r="B295" s="58" t="s">
        <v>346</v>
      </c>
      <c r="C295" s="59">
        <v>45326</v>
      </c>
      <c r="D295" s="59">
        <v>45326</v>
      </c>
      <c r="E295" s="60">
        <v>0</v>
      </c>
    </row>
    <row r="296" spans="1:5">
      <c r="A296" s="58" t="s">
        <v>150</v>
      </c>
      <c r="B296" s="58" t="s">
        <v>346</v>
      </c>
      <c r="C296" s="59">
        <v>45327</v>
      </c>
      <c r="D296" s="59">
        <v>45327</v>
      </c>
      <c r="E296" s="60">
        <v>0</v>
      </c>
    </row>
    <row r="297" spans="1:5">
      <c r="A297" s="58" t="s">
        <v>151</v>
      </c>
      <c r="B297" s="58" t="s">
        <v>347</v>
      </c>
      <c r="C297" s="59">
        <v>45323</v>
      </c>
      <c r="D297" s="59">
        <v>45323</v>
      </c>
      <c r="E297" s="60">
        <v>0</v>
      </c>
    </row>
    <row r="298" spans="1:5">
      <c r="A298" s="58" t="s">
        <v>151</v>
      </c>
      <c r="B298" s="58" t="s">
        <v>347</v>
      </c>
      <c r="C298" s="59">
        <v>45324</v>
      </c>
      <c r="D298" s="59">
        <v>45324</v>
      </c>
      <c r="E298" s="60">
        <v>0</v>
      </c>
    </row>
    <row r="299" spans="1:5">
      <c r="A299" s="58" t="s">
        <v>151</v>
      </c>
      <c r="B299" s="58" t="s">
        <v>347</v>
      </c>
      <c r="C299" s="59">
        <v>45325</v>
      </c>
      <c r="D299" s="59">
        <v>45325</v>
      </c>
      <c r="E299" s="60">
        <v>0</v>
      </c>
    </row>
    <row r="300" spans="1:5">
      <c r="A300" s="58" t="s">
        <v>151</v>
      </c>
      <c r="B300" s="58" t="s">
        <v>347</v>
      </c>
      <c r="C300" s="59">
        <v>45326</v>
      </c>
      <c r="D300" s="59">
        <v>45326</v>
      </c>
      <c r="E300" s="60">
        <v>0</v>
      </c>
    </row>
    <row r="301" spans="1:5">
      <c r="A301" s="58" t="s">
        <v>151</v>
      </c>
      <c r="B301" s="58" t="s">
        <v>347</v>
      </c>
      <c r="C301" s="59">
        <v>45327</v>
      </c>
      <c r="D301" s="59">
        <v>45327</v>
      </c>
      <c r="E301" s="60">
        <v>0</v>
      </c>
    </row>
    <row r="302" spans="1:5">
      <c r="A302" s="58" t="s">
        <v>31</v>
      </c>
      <c r="B302" s="58" t="s">
        <v>344</v>
      </c>
      <c r="C302" s="59">
        <v>45323</v>
      </c>
      <c r="D302" s="59">
        <v>45323</v>
      </c>
      <c r="E302" s="60">
        <v>0</v>
      </c>
    </row>
    <row r="303" spans="1:5">
      <c r="A303" s="58" t="s">
        <v>31</v>
      </c>
      <c r="B303" s="58" t="s">
        <v>344</v>
      </c>
      <c r="C303" s="59">
        <v>45324</v>
      </c>
      <c r="D303" s="59">
        <v>45324</v>
      </c>
      <c r="E303" s="60">
        <v>0</v>
      </c>
    </row>
    <row r="304" spans="1:5">
      <c r="A304" s="58" t="s">
        <v>31</v>
      </c>
      <c r="B304" s="58" t="s">
        <v>344</v>
      </c>
      <c r="C304" s="59">
        <v>45325</v>
      </c>
      <c r="D304" s="59">
        <v>45325</v>
      </c>
      <c r="E304" s="60">
        <v>0</v>
      </c>
    </row>
    <row r="305" spans="1:5">
      <c r="A305" s="58" t="s">
        <v>31</v>
      </c>
      <c r="B305" s="58" t="s">
        <v>344</v>
      </c>
      <c r="C305" s="59">
        <v>45326</v>
      </c>
      <c r="D305" s="59">
        <v>45326</v>
      </c>
      <c r="E305" s="60">
        <v>0</v>
      </c>
    </row>
    <row r="306" spans="1:5">
      <c r="A306" s="58" t="s">
        <v>31</v>
      </c>
      <c r="B306" s="58" t="s">
        <v>344</v>
      </c>
      <c r="C306" s="59">
        <v>45327</v>
      </c>
      <c r="D306" s="59">
        <v>45327</v>
      </c>
      <c r="E306" s="60">
        <v>0</v>
      </c>
    </row>
    <row r="307" spans="1:5">
      <c r="A307" s="58" t="s">
        <v>152</v>
      </c>
      <c r="B307" s="58" t="s">
        <v>345</v>
      </c>
      <c r="C307" s="59">
        <v>45323</v>
      </c>
      <c r="D307" s="59">
        <v>45323</v>
      </c>
      <c r="E307" s="60">
        <v>0</v>
      </c>
    </row>
    <row r="308" spans="1:5">
      <c r="A308" s="58" t="s">
        <v>152</v>
      </c>
      <c r="B308" s="58" t="s">
        <v>345</v>
      </c>
      <c r="C308" s="59">
        <v>45324</v>
      </c>
      <c r="D308" s="59">
        <v>45324</v>
      </c>
      <c r="E308" s="60">
        <v>0</v>
      </c>
    </row>
    <row r="309" spans="1:5">
      <c r="A309" s="58" t="s">
        <v>152</v>
      </c>
      <c r="B309" s="58" t="s">
        <v>345</v>
      </c>
      <c r="C309" s="59">
        <v>45325</v>
      </c>
      <c r="D309" s="59">
        <v>45325</v>
      </c>
      <c r="E309" s="60">
        <v>0</v>
      </c>
    </row>
    <row r="310" spans="1:5">
      <c r="A310" s="58" t="s">
        <v>152</v>
      </c>
      <c r="B310" s="58" t="s">
        <v>345</v>
      </c>
      <c r="C310" s="59">
        <v>45326</v>
      </c>
      <c r="D310" s="59">
        <v>45326</v>
      </c>
      <c r="E310" s="60">
        <v>0</v>
      </c>
    </row>
    <row r="311" spans="1:5">
      <c r="A311" s="58" t="s">
        <v>152</v>
      </c>
      <c r="B311" s="58" t="s">
        <v>345</v>
      </c>
      <c r="C311" s="59">
        <v>45327</v>
      </c>
      <c r="D311" s="59">
        <v>45327</v>
      </c>
      <c r="E311" s="60">
        <v>0</v>
      </c>
    </row>
    <row r="312" spans="1:5">
      <c r="A312" s="58" t="s">
        <v>153</v>
      </c>
      <c r="B312" s="58" t="s">
        <v>346</v>
      </c>
      <c r="C312" s="59">
        <v>45323</v>
      </c>
      <c r="D312" s="59">
        <v>45323</v>
      </c>
      <c r="E312" s="60">
        <v>0</v>
      </c>
    </row>
    <row r="313" spans="1:5">
      <c r="A313" s="58" t="s">
        <v>153</v>
      </c>
      <c r="B313" s="58" t="s">
        <v>346</v>
      </c>
      <c r="C313" s="59">
        <v>45324</v>
      </c>
      <c r="D313" s="59">
        <v>45324</v>
      </c>
      <c r="E313" s="60">
        <v>0</v>
      </c>
    </row>
    <row r="314" spans="1:5">
      <c r="A314" s="58" t="s">
        <v>153</v>
      </c>
      <c r="B314" s="58" t="s">
        <v>346</v>
      </c>
      <c r="C314" s="59">
        <v>45325</v>
      </c>
      <c r="D314" s="59">
        <v>45325</v>
      </c>
      <c r="E314" s="60">
        <v>0</v>
      </c>
    </row>
    <row r="315" spans="1:5">
      <c r="A315" s="58" t="s">
        <v>153</v>
      </c>
      <c r="B315" s="58" t="s">
        <v>346</v>
      </c>
      <c r="C315" s="59">
        <v>45326</v>
      </c>
      <c r="D315" s="59">
        <v>45326</v>
      </c>
      <c r="E315" s="60">
        <v>0</v>
      </c>
    </row>
    <row r="316" spans="1:5">
      <c r="A316" s="58" t="s">
        <v>153</v>
      </c>
      <c r="B316" s="58" t="s">
        <v>346</v>
      </c>
      <c r="C316" s="59">
        <v>45327</v>
      </c>
      <c r="D316" s="59">
        <v>45327</v>
      </c>
      <c r="E316" s="60">
        <v>0</v>
      </c>
    </row>
    <row r="317" spans="1:5">
      <c r="A317" s="58" t="s">
        <v>154</v>
      </c>
      <c r="B317" s="58" t="s">
        <v>347</v>
      </c>
      <c r="C317" s="59">
        <v>45323</v>
      </c>
      <c r="D317" s="59">
        <v>45323</v>
      </c>
      <c r="E317" s="60">
        <v>0</v>
      </c>
    </row>
    <row r="318" spans="1:5">
      <c r="A318" s="58" t="s">
        <v>154</v>
      </c>
      <c r="B318" s="58" t="s">
        <v>347</v>
      </c>
      <c r="C318" s="59">
        <v>45324</v>
      </c>
      <c r="D318" s="59">
        <v>45324</v>
      </c>
      <c r="E318" s="60">
        <v>0</v>
      </c>
    </row>
    <row r="319" spans="1:5">
      <c r="A319" s="58" t="s">
        <v>154</v>
      </c>
      <c r="B319" s="58" t="s">
        <v>347</v>
      </c>
      <c r="C319" s="59">
        <v>45325</v>
      </c>
      <c r="D319" s="59">
        <v>45325</v>
      </c>
      <c r="E319" s="60">
        <v>0</v>
      </c>
    </row>
    <row r="320" spans="1:5">
      <c r="A320" s="58" t="s">
        <v>154</v>
      </c>
      <c r="B320" s="58" t="s">
        <v>347</v>
      </c>
      <c r="C320" s="59">
        <v>45326</v>
      </c>
      <c r="D320" s="59">
        <v>45326</v>
      </c>
      <c r="E320" s="60">
        <v>0</v>
      </c>
    </row>
    <row r="321" spans="1:5">
      <c r="A321" s="58" t="s">
        <v>154</v>
      </c>
      <c r="B321" s="58" t="s">
        <v>347</v>
      </c>
      <c r="C321" s="59">
        <v>45327</v>
      </c>
      <c r="D321" s="59">
        <v>45327</v>
      </c>
      <c r="E321" s="60">
        <v>0</v>
      </c>
    </row>
    <row r="322" spans="1:5">
      <c r="A322" s="58" t="s">
        <v>35</v>
      </c>
      <c r="B322" s="58" t="s">
        <v>344</v>
      </c>
      <c r="C322" s="59">
        <v>45323</v>
      </c>
      <c r="D322" s="59">
        <v>45323</v>
      </c>
      <c r="E322" s="60">
        <v>0</v>
      </c>
    </row>
    <row r="323" spans="1:5">
      <c r="A323" s="58" t="s">
        <v>35</v>
      </c>
      <c r="B323" s="58" t="s">
        <v>344</v>
      </c>
      <c r="C323" s="59">
        <v>45324</v>
      </c>
      <c r="D323" s="59">
        <v>45324</v>
      </c>
      <c r="E323" s="60">
        <v>0</v>
      </c>
    </row>
    <row r="324" spans="1:5">
      <c r="A324" s="58" t="s">
        <v>35</v>
      </c>
      <c r="B324" s="58" t="s">
        <v>344</v>
      </c>
      <c r="C324" s="59">
        <v>45325</v>
      </c>
      <c r="D324" s="59">
        <v>45325</v>
      </c>
      <c r="E324" s="60">
        <v>0</v>
      </c>
    </row>
    <row r="325" spans="1:5">
      <c r="A325" s="58" t="s">
        <v>35</v>
      </c>
      <c r="B325" s="58" t="s">
        <v>344</v>
      </c>
      <c r="C325" s="59">
        <v>45326</v>
      </c>
      <c r="D325" s="59">
        <v>45326</v>
      </c>
      <c r="E325" s="60">
        <v>0</v>
      </c>
    </row>
    <row r="326" spans="1:5">
      <c r="A326" s="58" t="s">
        <v>35</v>
      </c>
      <c r="B326" s="58" t="s">
        <v>344</v>
      </c>
      <c r="C326" s="59">
        <v>45327</v>
      </c>
      <c r="D326" s="59">
        <v>45327</v>
      </c>
      <c r="E326" s="60">
        <v>0</v>
      </c>
    </row>
    <row r="327" spans="1:5">
      <c r="A327" s="58" t="s">
        <v>155</v>
      </c>
      <c r="B327" s="58" t="s">
        <v>345</v>
      </c>
      <c r="C327" s="59">
        <v>45323</v>
      </c>
      <c r="D327" s="59">
        <v>45323</v>
      </c>
      <c r="E327" s="60">
        <v>0</v>
      </c>
    </row>
    <row r="328" spans="1:5">
      <c r="A328" s="58" t="s">
        <v>155</v>
      </c>
      <c r="B328" s="58" t="s">
        <v>345</v>
      </c>
      <c r="C328" s="59">
        <v>45324</v>
      </c>
      <c r="D328" s="59">
        <v>45324</v>
      </c>
      <c r="E328" s="60">
        <v>0</v>
      </c>
    </row>
    <row r="329" spans="1:5">
      <c r="A329" s="58" t="s">
        <v>155</v>
      </c>
      <c r="B329" s="58" t="s">
        <v>345</v>
      </c>
      <c r="C329" s="59">
        <v>45325</v>
      </c>
      <c r="D329" s="59">
        <v>45325</v>
      </c>
      <c r="E329" s="60">
        <v>0</v>
      </c>
    </row>
    <row r="330" spans="1:5">
      <c r="A330" s="58" t="s">
        <v>155</v>
      </c>
      <c r="B330" s="58" t="s">
        <v>345</v>
      </c>
      <c r="C330" s="59">
        <v>45326</v>
      </c>
      <c r="D330" s="59">
        <v>45326</v>
      </c>
      <c r="E330" s="60">
        <v>0</v>
      </c>
    </row>
    <row r="331" spans="1:5">
      <c r="A331" s="58" t="s">
        <v>155</v>
      </c>
      <c r="B331" s="58" t="s">
        <v>345</v>
      </c>
      <c r="C331" s="59">
        <v>45327</v>
      </c>
      <c r="D331" s="59">
        <v>45327</v>
      </c>
      <c r="E331" s="60">
        <v>0</v>
      </c>
    </row>
    <row r="332" spans="1:5">
      <c r="A332" s="58" t="s">
        <v>156</v>
      </c>
      <c r="B332" s="58" t="s">
        <v>346</v>
      </c>
      <c r="C332" s="59">
        <v>45323</v>
      </c>
      <c r="D332" s="59">
        <v>45323</v>
      </c>
      <c r="E332" s="60">
        <v>0</v>
      </c>
    </row>
    <row r="333" spans="1:5">
      <c r="A333" s="58" t="s">
        <v>156</v>
      </c>
      <c r="B333" s="58" t="s">
        <v>346</v>
      </c>
      <c r="C333" s="59">
        <v>45324</v>
      </c>
      <c r="D333" s="59">
        <v>45324</v>
      </c>
      <c r="E333" s="60">
        <v>0</v>
      </c>
    </row>
    <row r="334" spans="1:5">
      <c r="A334" s="58" t="s">
        <v>156</v>
      </c>
      <c r="B334" s="58" t="s">
        <v>346</v>
      </c>
      <c r="C334" s="59">
        <v>45325</v>
      </c>
      <c r="D334" s="59">
        <v>45325</v>
      </c>
      <c r="E334" s="60">
        <v>0</v>
      </c>
    </row>
    <row r="335" spans="1:5">
      <c r="A335" s="58" t="s">
        <v>156</v>
      </c>
      <c r="B335" s="58" t="s">
        <v>346</v>
      </c>
      <c r="C335" s="59">
        <v>45326</v>
      </c>
      <c r="D335" s="59">
        <v>45326</v>
      </c>
      <c r="E335" s="60">
        <v>0</v>
      </c>
    </row>
    <row r="336" spans="1:5">
      <c r="A336" s="58" t="s">
        <v>156</v>
      </c>
      <c r="B336" s="58" t="s">
        <v>346</v>
      </c>
      <c r="C336" s="59">
        <v>45327</v>
      </c>
      <c r="D336" s="59">
        <v>45327</v>
      </c>
      <c r="E336" s="60">
        <v>0</v>
      </c>
    </row>
    <row r="337" spans="1:5">
      <c r="A337" s="58" t="s">
        <v>157</v>
      </c>
      <c r="B337" s="58" t="s">
        <v>347</v>
      </c>
      <c r="C337" s="59">
        <v>45323</v>
      </c>
      <c r="D337" s="59">
        <v>45323</v>
      </c>
      <c r="E337" s="60">
        <v>0</v>
      </c>
    </row>
    <row r="338" spans="1:5">
      <c r="A338" s="58" t="s">
        <v>157</v>
      </c>
      <c r="B338" s="58" t="s">
        <v>347</v>
      </c>
      <c r="C338" s="59">
        <v>45324</v>
      </c>
      <c r="D338" s="59">
        <v>45324</v>
      </c>
      <c r="E338" s="60">
        <v>0</v>
      </c>
    </row>
    <row r="339" spans="1:5">
      <c r="A339" s="58" t="s">
        <v>157</v>
      </c>
      <c r="B339" s="58" t="s">
        <v>347</v>
      </c>
      <c r="C339" s="59">
        <v>45325</v>
      </c>
      <c r="D339" s="59">
        <v>45325</v>
      </c>
      <c r="E339" s="60">
        <v>0</v>
      </c>
    </row>
    <row r="340" spans="1:5">
      <c r="A340" s="58" t="s">
        <v>157</v>
      </c>
      <c r="B340" s="58" t="s">
        <v>347</v>
      </c>
      <c r="C340" s="59">
        <v>45326</v>
      </c>
      <c r="D340" s="59">
        <v>45326</v>
      </c>
      <c r="E340" s="60">
        <v>0</v>
      </c>
    </row>
    <row r="341" spans="1:5">
      <c r="A341" s="58" t="s">
        <v>157</v>
      </c>
      <c r="B341" s="58" t="s">
        <v>347</v>
      </c>
      <c r="C341" s="59">
        <v>45327</v>
      </c>
      <c r="D341" s="59">
        <v>45327</v>
      </c>
      <c r="E341" s="60">
        <v>0</v>
      </c>
    </row>
    <row r="342" spans="1:5">
      <c r="A342" s="58" t="s">
        <v>39</v>
      </c>
      <c r="B342" s="58" t="s">
        <v>344</v>
      </c>
      <c r="C342" s="59">
        <v>45323</v>
      </c>
      <c r="D342" s="59">
        <v>45323</v>
      </c>
      <c r="E342" s="60">
        <v>0</v>
      </c>
    </row>
    <row r="343" spans="1:5">
      <c r="A343" s="58" t="s">
        <v>39</v>
      </c>
      <c r="B343" s="58" t="s">
        <v>344</v>
      </c>
      <c r="C343" s="59">
        <v>45324</v>
      </c>
      <c r="D343" s="59">
        <v>45324</v>
      </c>
      <c r="E343" s="60">
        <v>0</v>
      </c>
    </row>
    <row r="344" spans="1:5">
      <c r="A344" s="58" t="s">
        <v>39</v>
      </c>
      <c r="B344" s="58" t="s">
        <v>344</v>
      </c>
      <c r="C344" s="59">
        <v>45325</v>
      </c>
      <c r="D344" s="59">
        <v>45325</v>
      </c>
      <c r="E344" s="60">
        <v>0</v>
      </c>
    </row>
    <row r="345" spans="1:5">
      <c r="A345" s="58" t="s">
        <v>39</v>
      </c>
      <c r="B345" s="58" t="s">
        <v>344</v>
      </c>
      <c r="C345" s="59">
        <v>45326</v>
      </c>
      <c r="D345" s="59">
        <v>45326</v>
      </c>
      <c r="E345" s="60">
        <v>0</v>
      </c>
    </row>
    <row r="346" spans="1:5">
      <c r="A346" s="58" t="s">
        <v>39</v>
      </c>
      <c r="B346" s="58" t="s">
        <v>344</v>
      </c>
      <c r="C346" s="59">
        <v>45327</v>
      </c>
      <c r="D346" s="59">
        <v>45327</v>
      </c>
      <c r="E346" s="60">
        <v>0</v>
      </c>
    </row>
    <row r="347" spans="1:5">
      <c r="A347" s="58" t="s">
        <v>159</v>
      </c>
      <c r="B347" s="58" t="s">
        <v>345</v>
      </c>
      <c r="C347" s="59">
        <v>45323</v>
      </c>
      <c r="D347" s="59">
        <v>45323</v>
      </c>
      <c r="E347" s="60">
        <v>0</v>
      </c>
    </row>
    <row r="348" spans="1:5">
      <c r="A348" s="58" t="s">
        <v>159</v>
      </c>
      <c r="B348" s="58" t="s">
        <v>345</v>
      </c>
      <c r="C348" s="59">
        <v>45324</v>
      </c>
      <c r="D348" s="59">
        <v>45324</v>
      </c>
      <c r="E348" s="60">
        <v>0</v>
      </c>
    </row>
    <row r="349" spans="1:5">
      <c r="A349" s="58" t="s">
        <v>159</v>
      </c>
      <c r="B349" s="58" t="s">
        <v>345</v>
      </c>
      <c r="C349" s="59">
        <v>45325</v>
      </c>
      <c r="D349" s="59">
        <v>45325</v>
      </c>
      <c r="E349" s="60">
        <v>0</v>
      </c>
    </row>
    <row r="350" spans="1:5">
      <c r="A350" s="58" t="s">
        <v>159</v>
      </c>
      <c r="B350" s="58" t="s">
        <v>345</v>
      </c>
      <c r="C350" s="59">
        <v>45326</v>
      </c>
      <c r="D350" s="59">
        <v>45326</v>
      </c>
      <c r="E350" s="60">
        <v>0</v>
      </c>
    </row>
    <row r="351" spans="1:5">
      <c r="A351" s="58" t="s">
        <v>159</v>
      </c>
      <c r="B351" s="58" t="s">
        <v>345</v>
      </c>
      <c r="C351" s="59">
        <v>45327</v>
      </c>
      <c r="D351" s="59">
        <v>45327</v>
      </c>
      <c r="E351" s="60">
        <v>0</v>
      </c>
    </row>
    <row r="352" spans="1:5">
      <c r="A352" s="58" t="s">
        <v>160</v>
      </c>
      <c r="B352" s="58" t="s">
        <v>346</v>
      </c>
      <c r="C352" s="59">
        <v>45323</v>
      </c>
      <c r="D352" s="59">
        <v>45323</v>
      </c>
      <c r="E352" s="60">
        <v>0</v>
      </c>
    </row>
    <row r="353" spans="1:5">
      <c r="A353" s="58" t="s">
        <v>160</v>
      </c>
      <c r="B353" s="58" t="s">
        <v>346</v>
      </c>
      <c r="C353" s="59">
        <v>45324</v>
      </c>
      <c r="D353" s="59">
        <v>45324</v>
      </c>
      <c r="E353" s="60">
        <v>0</v>
      </c>
    </row>
    <row r="354" spans="1:5">
      <c r="A354" s="58" t="s">
        <v>160</v>
      </c>
      <c r="B354" s="58" t="s">
        <v>346</v>
      </c>
      <c r="C354" s="59">
        <v>45325</v>
      </c>
      <c r="D354" s="59">
        <v>45325</v>
      </c>
      <c r="E354" s="60">
        <v>0</v>
      </c>
    </row>
    <row r="355" spans="1:5">
      <c r="A355" s="58" t="s">
        <v>160</v>
      </c>
      <c r="B355" s="58" t="s">
        <v>346</v>
      </c>
      <c r="C355" s="59">
        <v>45326</v>
      </c>
      <c r="D355" s="59">
        <v>45326</v>
      </c>
      <c r="E355" s="60">
        <v>0</v>
      </c>
    </row>
    <row r="356" spans="1:5">
      <c r="A356" s="58" t="s">
        <v>160</v>
      </c>
      <c r="B356" s="58" t="s">
        <v>346</v>
      </c>
      <c r="C356" s="59">
        <v>45327</v>
      </c>
      <c r="D356" s="59">
        <v>45327</v>
      </c>
      <c r="E356" s="60">
        <v>0</v>
      </c>
    </row>
    <row r="357" spans="1:5">
      <c r="A357" s="58" t="s">
        <v>161</v>
      </c>
      <c r="B357" s="58" t="s">
        <v>347</v>
      </c>
      <c r="C357" s="59">
        <v>45323</v>
      </c>
      <c r="D357" s="59">
        <v>45323</v>
      </c>
      <c r="E357" s="60">
        <v>0</v>
      </c>
    </row>
    <row r="358" spans="1:5">
      <c r="A358" s="58" t="s">
        <v>161</v>
      </c>
      <c r="B358" s="58" t="s">
        <v>347</v>
      </c>
      <c r="C358" s="59">
        <v>45324</v>
      </c>
      <c r="D358" s="59">
        <v>45324</v>
      </c>
      <c r="E358" s="60">
        <v>0</v>
      </c>
    </row>
    <row r="359" spans="1:5">
      <c r="A359" s="58" t="s">
        <v>161</v>
      </c>
      <c r="B359" s="58" t="s">
        <v>347</v>
      </c>
      <c r="C359" s="59">
        <v>45325</v>
      </c>
      <c r="D359" s="59">
        <v>45325</v>
      </c>
      <c r="E359" s="60">
        <v>0</v>
      </c>
    </row>
    <row r="360" spans="1:5">
      <c r="A360" s="58" t="s">
        <v>161</v>
      </c>
      <c r="B360" s="58" t="s">
        <v>347</v>
      </c>
      <c r="C360" s="59">
        <v>45326</v>
      </c>
      <c r="D360" s="59">
        <v>45326</v>
      </c>
      <c r="E360" s="60">
        <v>0</v>
      </c>
    </row>
    <row r="361" spans="1:5">
      <c r="A361" s="58" t="s">
        <v>161</v>
      </c>
      <c r="B361" s="58" t="s">
        <v>347</v>
      </c>
      <c r="C361" s="59">
        <v>45327</v>
      </c>
      <c r="D361" s="59">
        <v>45327</v>
      </c>
      <c r="E361" s="60">
        <v>0</v>
      </c>
    </row>
    <row r="362" spans="1:5">
      <c r="A362" s="58" t="s">
        <v>42</v>
      </c>
      <c r="B362" s="58" t="s">
        <v>344</v>
      </c>
      <c r="C362" s="59">
        <v>45323</v>
      </c>
      <c r="D362" s="59">
        <v>45323</v>
      </c>
      <c r="E362" s="60">
        <v>350.62</v>
      </c>
    </row>
    <row r="363" spans="1:5">
      <c r="A363" s="58" t="s">
        <v>42</v>
      </c>
      <c r="B363" s="58" t="s">
        <v>344</v>
      </c>
      <c r="C363" s="59">
        <v>45324</v>
      </c>
      <c r="D363" s="59">
        <v>45324</v>
      </c>
      <c r="E363" s="60">
        <v>0</v>
      </c>
    </row>
    <row r="364" spans="1:5">
      <c r="A364" s="58" t="s">
        <v>42</v>
      </c>
      <c r="B364" s="58" t="s">
        <v>344</v>
      </c>
      <c r="C364" s="59">
        <v>45325</v>
      </c>
      <c r="D364" s="59">
        <v>45325</v>
      </c>
      <c r="E364" s="60">
        <v>0</v>
      </c>
    </row>
    <row r="365" spans="1:5">
      <c r="A365" s="58" t="s">
        <v>42</v>
      </c>
      <c r="B365" s="58" t="s">
        <v>344</v>
      </c>
      <c r="C365" s="59">
        <v>45326</v>
      </c>
      <c r="D365" s="59">
        <v>45326</v>
      </c>
      <c r="E365" s="60">
        <v>0</v>
      </c>
    </row>
    <row r="366" spans="1:5">
      <c r="A366" s="58" t="s">
        <v>42</v>
      </c>
      <c r="B366" s="58" t="s">
        <v>344</v>
      </c>
      <c r="C366" s="59">
        <v>45327</v>
      </c>
      <c r="D366" s="59">
        <v>45327</v>
      </c>
      <c r="E366" s="60">
        <v>0</v>
      </c>
    </row>
    <row r="367" spans="1:5">
      <c r="A367" s="58" t="s">
        <v>162</v>
      </c>
      <c r="B367" s="58" t="s">
        <v>345</v>
      </c>
      <c r="C367" s="59">
        <v>45323</v>
      </c>
      <c r="D367" s="59">
        <v>45323</v>
      </c>
      <c r="E367" s="60">
        <v>0</v>
      </c>
    </row>
    <row r="368" spans="1:5">
      <c r="A368" s="58" t="s">
        <v>162</v>
      </c>
      <c r="B368" s="58" t="s">
        <v>345</v>
      </c>
      <c r="C368" s="59">
        <v>45324</v>
      </c>
      <c r="D368" s="59">
        <v>45324</v>
      </c>
      <c r="E368" s="60">
        <v>0</v>
      </c>
    </row>
    <row r="369" spans="1:5">
      <c r="A369" s="58" t="s">
        <v>162</v>
      </c>
      <c r="B369" s="58" t="s">
        <v>345</v>
      </c>
      <c r="C369" s="59">
        <v>45325</v>
      </c>
      <c r="D369" s="59">
        <v>45325</v>
      </c>
      <c r="E369" s="60">
        <v>0</v>
      </c>
    </row>
    <row r="370" spans="1:5">
      <c r="A370" s="58" t="s">
        <v>162</v>
      </c>
      <c r="B370" s="58" t="s">
        <v>345</v>
      </c>
      <c r="C370" s="59">
        <v>45326</v>
      </c>
      <c r="D370" s="59">
        <v>45326</v>
      </c>
      <c r="E370" s="60">
        <v>0</v>
      </c>
    </row>
    <row r="371" spans="1:5">
      <c r="A371" s="58" t="s">
        <v>162</v>
      </c>
      <c r="B371" s="58" t="s">
        <v>345</v>
      </c>
      <c r="C371" s="59">
        <v>45327</v>
      </c>
      <c r="D371" s="59">
        <v>45327</v>
      </c>
      <c r="E371" s="60">
        <v>0</v>
      </c>
    </row>
    <row r="372" spans="1:5">
      <c r="A372" s="58" t="s">
        <v>163</v>
      </c>
      <c r="B372" s="58" t="s">
        <v>346</v>
      </c>
      <c r="C372" s="59">
        <v>45323</v>
      </c>
      <c r="D372" s="59">
        <v>45323</v>
      </c>
      <c r="E372" s="60">
        <v>0</v>
      </c>
    </row>
    <row r="373" spans="1:5">
      <c r="A373" s="58" t="s">
        <v>163</v>
      </c>
      <c r="B373" s="58" t="s">
        <v>346</v>
      </c>
      <c r="C373" s="59">
        <v>45324</v>
      </c>
      <c r="D373" s="59">
        <v>45324</v>
      </c>
      <c r="E373" s="60">
        <v>0</v>
      </c>
    </row>
    <row r="374" spans="1:5">
      <c r="A374" s="58" t="s">
        <v>163</v>
      </c>
      <c r="B374" s="58" t="s">
        <v>346</v>
      </c>
      <c r="C374" s="59">
        <v>45325</v>
      </c>
      <c r="D374" s="59">
        <v>45325</v>
      </c>
      <c r="E374" s="60">
        <v>0</v>
      </c>
    </row>
    <row r="375" spans="1:5">
      <c r="A375" s="58" t="s">
        <v>163</v>
      </c>
      <c r="B375" s="58" t="s">
        <v>346</v>
      </c>
      <c r="C375" s="59">
        <v>45326</v>
      </c>
      <c r="D375" s="59">
        <v>45326</v>
      </c>
      <c r="E375" s="60">
        <v>0</v>
      </c>
    </row>
    <row r="376" spans="1:5">
      <c r="A376" s="58" t="s">
        <v>163</v>
      </c>
      <c r="B376" s="58" t="s">
        <v>346</v>
      </c>
      <c r="C376" s="59">
        <v>45327</v>
      </c>
      <c r="D376" s="59">
        <v>45327</v>
      </c>
      <c r="E376" s="60">
        <v>0</v>
      </c>
    </row>
    <row r="377" spans="1:5">
      <c r="A377" s="58" t="s">
        <v>164</v>
      </c>
      <c r="B377" s="58" t="s">
        <v>347</v>
      </c>
      <c r="C377" s="59">
        <v>45323</v>
      </c>
      <c r="D377" s="59">
        <v>45323</v>
      </c>
      <c r="E377" s="60">
        <v>0</v>
      </c>
    </row>
    <row r="378" spans="1:5">
      <c r="A378" s="58" t="s">
        <v>164</v>
      </c>
      <c r="B378" s="58" t="s">
        <v>347</v>
      </c>
      <c r="C378" s="59">
        <v>45324</v>
      </c>
      <c r="D378" s="59">
        <v>45324</v>
      </c>
      <c r="E378" s="60">
        <v>0</v>
      </c>
    </row>
    <row r="379" spans="1:5">
      <c r="A379" s="58" t="s">
        <v>164</v>
      </c>
      <c r="B379" s="58" t="s">
        <v>347</v>
      </c>
      <c r="C379" s="59">
        <v>45325</v>
      </c>
      <c r="D379" s="59">
        <v>45325</v>
      </c>
      <c r="E379" s="60">
        <v>0</v>
      </c>
    </row>
    <row r="380" spans="1:5">
      <c r="A380" s="58" t="s">
        <v>164</v>
      </c>
      <c r="B380" s="58" t="s">
        <v>347</v>
      </c>
      <c r="C380" s="59">
        <v>45326</v>
      </c>
      <c r="D380" s="59">
        <v>45326</v>
      </c>
      <c r="E380" s="60">
        <v>0</v>
      </c>
    </row>
    <row r="381" spans="1:5">
      <c r="A381" s="58" t="s">
        <v>164</v>
      </c>
      <c r="B381" s="58" t="s">
        <v>347</v>
      </c>
      <c r="C381" s="59">
        <v>45327</v>
      </c>
      <c r="D381" s="59">
        <v>45327</v>
      </c>
      <c r="E381" s="60">
        <v>0</v>
      </c>
    </row>
    <row r="382" spans="1:5">
      <c r="A382" s="58" t="s">
        <v>46</v>
      </c>
      <c r="B382" s="58" t="s">
        <v>344</v>
      </c>
      <c r="C382" s="59">
        <v>45323</v>
      </c>
      <c r="D382" s="59">
        <v>45323</v>
      </c>
      <c r="E382" s="60">
        <v>380.95000000000005</v>
      </c>
    </row>
    <row r="383" spans="1:5">
      <c r="A383" s="58" t="s">
        <v>46</v>
      </c>
      <c r="B383" s="58" t="s">
        <v>344</v>
      </c>
      <c r="C383" s="59">
        <v>45324</v>
      </c>
      <c r="D383" s="59">
        <v>45324</v>
      </c>
      <c r="E383" s="60">
        <v>0</v>
      </c>
    </row>
    <row r="384" spans="1:5">
      <c r="A384" s="58" t="s">
        <v>46</v>
      </c>
      <c r="B384" s="58" t="s">
        <v>344</v>
      </c>
      <c r="C384" s="59">
        <v>45325</v>
      </c>
      <c r="D384" s="59">
        <v>45325</v>
      </c>
      <c r="E384" s="60">
        <v>0</v>
      </c>
    </row>
    <row r="385" spans="1:5">
      <c r="A385" s="58" t="s">
        <v>46</v>
      </c>
      <c r="B385" s="58" t="s">
        <v>344</v>
      </c>
      <c r="C385" s="59">
        <v>45326</v>
      </c>
      <c r="D385" s="59">
        <v>45326</v>
      </c>
      <c r="E385" s="60">
        <v>0</v>
      </c>
    </row>
    <row r="386" spans="1:5">
      <c r="A386" s="58" t="s">
        <v>46</v>
      </c>
      <c r="B386" s="58" t="s">
        <v>344</v>
      </c>
      <c r="C386" s="59">
        <v>45327</v>
      </c>
      <c r="D386" s="59">
        <v>45327</v>
      </c>
      <c r="E386" s="60">
        <v>0</v>
      </c>
    </row>
    <row r="387" spans="1:5">
      <c r="A387" s="58" t="s">
        <v>165</v>
      </c>
      <c r="B387" s="58" t="s">
        <v>345</v>
      </c>
      <c r="C387" s="59">
        <v>45323</v>
      </c>
      <c r="D387" s="59">
        <v>45323</v>
      </c>
      <c r="E387" s="60">
        <v>0</v>
      </c>
    </row>
    <row r="388" spans="1:5">
      <c r="A388" s="58" t="s">
        <v>165</v>
      </c>
      <c r="B388" s="58" t="s">
        <v>345</v>
      </c>
      <c r="C388" s="59">
        <v>45324</v>
      </c>
      <c r="D388" s="59">
        <v>45324</v>
      </c>
      <c r="E388" s="60">
        <v>0</v>
      </c>
    </row>
    <row r="389" spans="1:5">
      <c r="A389" s="58" t="s">
        <v>165</v>
      </c>
      <c r="B389" s="58" t="s">
        <v>345</v>
      </c>
      <c r="C389" s="59">
        <v>45325</v>
      </c>
      <c r="D389" s="59">
        <v>45325</v>
      </c>
      <c r="E389" s="60">
        <v>0</v>
      </c>
    </row>
    <row r="390" spans="1:5">
      <c r="A390" s="58" t="s">
        <v>165</v>
      </c>
      <c r="B390" s="58" t="s">
        <v>345</v>
      </c>
      <c r="C390" s="59">
        <v>45326</v>
      </c>
      <c r="D390" s="59">
        <v>45326</v>
      </c>
      <c r="E390" s="60">
        <v>0</v>
      </c>
    </row>
    <row r="391" spans="1:5">
      <c r="A391" s="58" t="s">
        <v>165</v>
      </c>
      <c r="B391" s="58" t="s">
        <v>345</v>
      </c>
      <c r="C391" s="59">
        <v>45327</v>
      </c>
      <c r="D391" s="59">
        <v>45327</v>
      </c>
      <c r="E391" s="60">
        <v>0</v>
      </c>
    </row>
    <row r="392" spans="1:5">
      <c r="A392" s="58" t="s">
        <v>166</v>
      </c>
      <c r="B392" s="58" t="s">
        <v>346</v>
      </c>
      <c r="C392" s="59">
        <v>45323</v>
      </c>
      <c r="D392" s="59">
        <v>45323</v>
      </c>
      <c r="E392" s="60">
        <v>0</v>
      </c>
    </row>
    <row r="393" spans="1:5">
      <c r="A393" s="58" t="s">
        <v>166</v>
      </c>
      <c r="B393" s="58" t="s">
        <v>346</v>
      </c>
      <c r="C393" s="59">
        <v>45324</v>
      </c>
      <c r="D393" s="59">
        <v>45324</v>
      </c>
      <c r="E393" s="60">
        <v>35.33</v>
      </c>
    </row>
    <row r="394" spans="1:5">
      <c r="A394" s="58" t="s">
        <v>166</v>
      </c>
      <c r="B394" s="58" t="s">
        <v>346</v>
      </c>
      <c r="C394" s="59">
        <v>45325</v>
      </c>
      <c r="D394" s="59">
        <v>45325</v>
      </c>
      <c r="E394" s="60">
        <v>0</v>
      </c>
    </row>
    <row r="395" spans="1:5">
      <c r="A395" s="58" t="s">
        <v>166</v>
      </c>
      <c r="B395" s="58" t="s">
        <v>346</v>
      </c>
      <c r="C395" s="59">
        <v>45326</v>
      </c>
      <c r="D395" s="59">
        <v>45326</v>
      </c>
      <c r="E395" s="60">
        <v>0</v>
      </c>
    </row>
    <row r="396" spans="1:5">
      <c r="A396" s="58" t="s">
        <v>166</v>
      </c>
      <c r="B396" s="58" t="s">
        <v>346</v>
      </c>
      <c r="C396" s="59">
        <v>45327</v>
      </c>
      <c r="D396" s="59">
        <v>45327</v>
      </c>
      <c r="E396" s="60">
        <v>77.45</v>
      </c>
    </row>
    <row r="397" spans="1:5">
      <c r="A397" s="58" t="s">
        <v>167</v>
      </c>
      <c r="B397" s="58" t="s">
        <v>347</v>
      </c>
      <c r="C397" s="59">
        <v>45323</v>
      </c>
      <c r="D397" s="59">
        <v>45323</v>
      </c>
      <c r="E397" s="60">
        <v>0</v>
      </c>
    </row>
    <row r="398" spans="1:5">
      <c r="A398" s="58" t="s">
        <v>167</v>
      </c>
      <c r="B398" s="58" t="s">
        <v>347</v>
      </c>
      <c r="C398" s="59">
        <v>45324</v>
      </c>
      <c r="D398" s="59">
        <v>45324</v>
      </c>
      <c r="E398" s="60">
        <v>0</v>
      </c>
    </row>
    <row r="399" spans="1:5">
      <c r="A399" s="58" t="s">
        <v>167</v>
      </c>
      <c r="B399" s="58" t="s">
        <v>347</v>
      </c>
      <c r="C399" s="59">
        <v>45325</v>
      </c>
      <c r="D399" s="59">
        <v>45325</v>
      </c>
      <c r="E399" s="60">
        <v>0</v>
      </c>
    </row>
    <row r="400" spans="1:5">
      <c r="A400" s="58" t="s">
        <v>167</v>
      </c>
      <c r="B400" s="58" t="s">
        <v>347</v>
      </c>
      <c r="C400" s="59">
        <v>45326</v>
      </c>
      <c r="D400" s="59">
        <v>45326</v>
      </c>
      <c r="E400" s="60">
        <v>0</v>
      </c>
    </row>
    <row r="401" spans="1:5">
      <c r="A401" s="58" t="s">
        <v>167</v>
      </c>
      <c r="B401" s="58" t="s">
        <v>347</v>
      </c>
      <c r="C401" s="59">
        <v>45327</v>
      </c>
      <c r="D401" s="59">
        <v>45327</v>
      </c>
      <c r="E401" s="60">
        <v>0</v>
      </c>
    </row>
    <row r="402" spans="1:5">
      <c r="A402" s="58" t="s">
        <v>50</v>
      </c>
      <c r="B402" s="58" t="s">
        <v>344</v>
      </c>
      <c r="C402" s="59">
        <v>45323</v>
      </c>
      <c r="D402" s="59">
        <v>45323</v>
      </c>
      <c r="E402" s="60">
        <v>0</v>
      </c>
    </row>
    <row r="403" spans="1:5">
      <c r="A403" s="58" t="s">
        <v>50</v>
      </c>
      <c r="B403" s="58" t="s">
        <v>344</v>
      </c>
      <c r="C403" s="59">
        <v>45324</v>
      </c>
      <c r="D403" s="59">
        <v>45324</v>
      </c>
      <c r="E403" s="60">
        <v>0</v>
      </c>
    </row>
    <row r="404" spans="1:5">
      <c r="A404" s="58" t="s">
        <v>50</v>
      </c>
      <c r="B404" s="58" t="s">
        <v>344</v>
      </c>
      <c r="C404" s="59">
        <v>45325</v>
      </c>
      <c r="D404" s="59">
        <v>45325</v>
      </c>
      <c r="E404" s="60">
        <v>0</v>
      </c>
    </row>
    <row r="405" spans="1:5">
      <c r="A405" s="58" t="s">
        <v>50</v>
      </c>
      <c r="B405" s="58" t="s">
        <v>344</v>
      </c>
      <c r="C405" s="59">
        <v>45326</v>
      </c>
      <c r="D405" s="59">
        <v>45326</v>
      </c>
      <c r="E405" s="60">
        <v>0</v>
      </c>
    </row>
    <row r="406" spans="1:5">
      <c r="A406" s="58" t="s">
        <v>50</v>
      </c>
      <c r="B406" s="58" t="s">
        <v>344</v>
      </c>
      <c r="C406" s="59">
        <v>45327</v>
      </c>
      <c r="D406" s="59">
        <v>45327</v>
      </c>
      <c r="E406" s="60">
        <v>0</v>
      </c>
    </row>
    <row r="407" spans="1:5">
      <c r="A407" s="58" t="s">
        <v>168</v>
      </c>
      <c r="B407" s="58" t="s">
        <v>345</v>
      </c>
      <c r="C407" s="59">
        <v>45323</v>
      </c>
      <c r="D407" s="59">
        <v>45323</v>
      </c>
      <c r="E407" s="60">
        <v>0</v>
      </c>
    </row>
    <row r="408" spans="1:5">
      <c r="A408" s="58" t="s">
        <v>168</v>
      </c>
      <c r="B408" s="58" t="s">
        <v>345</v>
      </c>
      <c r="C408" s="59">
        <v>45324</v>
      </c>
      <c r="D408" s="59">
        <v>45324</v>
      </c>
      <c r="E408" s="60">
        <v>0</v>
      </c>
    </row>
    <row r="409" spans="1:5">
      <c r="A409" s="58" t="s">
        <v>168</v>
      </c>
      <c r="B409" s="58" t="s">
        <v>345</v>
      </c>
      <c r="C409" s="59">
        <v>45325</v>
      </c>
      <c r="D409" s="59">
        <v>45325</v>
      </c>
      <c r="E409" s="60">
        <v>0</v>
      </c>
    </row>
    <row r="410" spans="1:5">
      <c r="A410" s="58" t="s">
        <v>168</v>
      </c>
      <c r="B410" s="58" t="s">
        <v>345</v>
      </c>
      <c r="C410" s="59">
        <v>45326</v>
      </c>
      <c r="D410" s="59">
        <v>45326</v>
      </c>
      <c r="E410" s="60">
        <v>0</v>
      </c>
    </row>
    <row r="411" spans="1:5">
      <c r="A411" s="58" t="s">
        <v>168</v>
      </c>
      <c r="B411" s="58" t="s">
        <v>345</v>
      </c>
      <c r="C411" s="59">
        <v>45327</v>
      </c>
      <c r="D411" s="59">
        <v>45327</v>
      </c>
      <c r="E411" s="60">
        <v>0</v>
      </c>
    </row>
    <row r="412" spans="1:5">
      <c r="A412" s="58" t="s">
        <v>169</v>
      </c>
      <c r="B412" s="58" t="s">
        <v>346</v>
      </c>
      <c r="C412" s="59">
        <v>45323</v>
      </c>
      <c r="D412" s="59">
        <v>45323</v>
      </c>
      <c r="E412" s="60">
        <v>0</v>
      </c>
    </row>
    <row r="413" spans="1:5">
      <c r="A413" s="58" t="s">
        <v>169</v>
      </c>
      <c r="B413" s="58" t="s">
        <v>346</v>
      </c>
      <c r="C413" s="59">
        <v>45324</v>
      </c>
      <c r="D413" s="59">
        <v>45324</v>
      </c>
      <c r="E413" s="60">
        <v>0</v>
      </c>
    </row>
    <row r="414" spans="1:5">
      <c r="A414" s="58" t="s">
        <v>169</v>
      </c>
      <c r="B414" s="58" t="s">
        <v>346</v>
      </c>
      <c r="C414" s="59">
        <v>45325</v>
      </c>
      <c r="D414" s="59">
        <v>45325</v>
      </c>
      <c r="E414" s="60">
        <v>0</v>
      </c>
    </row>
    <row r="415" spans="1:5">
      <c r="A415" s="58" t="s">
        <v>169</v>
      </c>
      <c r="B415" s="58" t="s">
        <v>346</v>
      </c>
      <c r="C415" s="59">
        <v>45326</v>
      </c>
      <c r="D415" s="59">
        <v>45326</v>
      </c>
      <c r="E415" s="60">
        <v>0</v>
      </c>
    </row>
    <row r="416" spans="1:5">
      <c r="A416" s="58" t="s">
        <v>169</v>
      </c>
      <c r="B416" s="58" t="s">
        <v>346</v>
      </c>
      <c r="C416" s="59">
        <v>45327</v>
      </c>
      <c r="D416" s="59">
        <v>45327</v>
      </c>
      <c r="E416" s="60">
        <v>0</v>
      </c>
    </row>
    <row r="417" spans="1:5">
      <c r="A417" s="58" t="s">
        <v>170</v>
      </c>
      <c r="B417" s="58" t="s">
        <v>347</v>
      </c>
      <c r="C417" s="59">
        <v>45323</v>
      </c>
      <c r="D417" s="59">
        <v>45323</v>
      </c>
      <c r="E417" s="60">
        <v>0</v>
      </c>
    </row>
    <row r="418" spans="1:5">
      <c r="A418" s="58" t="s">
        <v>170</v>
      </c>
      <c r="B418" s="58" t="s">
        <v>347</v>
      </c>
      <c r="C418" s="59">
        <v>45324</v>
      </c>
      <c r="D418" s="59">
        <v>45324</v>
      </c>
      <c r="E418" s="60">
        <v>0</v>
      </c>
    </row>
    <row r="419" spans="1:5">
      <c r="A419" s="58" t="s">
        <v>170</v>
      </c>
      <c r="B419" s="58" t="s">
        <v>347</v>
      </c>
      <c r="C419" s="59">
        <v>45325</v>
      </c>
      <c r="D419" s="59">
        <v>45325</v>
      </c>
      <c r="E419" s="60">
        <v>0</v>
      </c>
    </row>
    <row r="420" spans="1:5">
      <c r="A420" s="58" t="s">
        <v>170</v>
      </c>
      <c r="B420" s="58" t="s">
        <v>347</v>
      </c>
      <c r="C420" s="59">
        <v>45326</v>
      </c>
      <c r="D420" s="59">
        <v>45326</v>
      </c>
      <c r="E420" s="60">
        <v>0</v>
      </c>
    </row>
    <row r="421" spans="1:5">
      <c r="A421" s="58" t="s">
        <v>170</v>
      </c>
      <c r="B421" s="58" t="s">
        <v>347</v>
      </c>
      <c r="C421" s="59">
        <v>45327</v>
      </c>
      <c r="D421" s="59">
        <v>45327</v>
      </c>
      <c r="E421" s="60">
        <v>0</v>
      </c>
    </row>
    <row r="422" spans="1:5">
      <c r="A422" s="58" t="s">
        <v>54</v>
      </c>
      <c r="B422" s="58" t="s">
        <v>344</v>
      </c>
      <c r="C422" s="59">
        <v>45323</v>
      </c>
      <c r="D422" s="59">
        <v>45323</v>
      </c>
      <c r="E422" s="60">
        <v>6704.4400000000023</v>
      </c>
    </row>
    <row r="423" spans="1:5">
      <c r="A423" s="58" t="s">
        <v>54</v>
      </c>
      <c r="B423" s="58" t="s">
        <v>344</v>
      </c>
      <c r="C423" s="59">
        <v>45324</v>
      </c>
      <c r="D423" s="59">
        <v>45324</v>
      </c>
      <c r="E423" s="60">
        <v>0</v>
      </c>
    </row>
    <row r="424" spans="1:5">
      <c r="A424" s="58" t="s">
        <v>54</v>
      </c>
      <c r="B424" s="58" t="s">
        <v>344</v>
      </c>
      <c r="C424" s="59">
        <v>45325</v>
      </c>
      <c r="D424" s="59">
        <v>45325</v>
      </c>
      <c r="E424" s="60">
        <v>0</v>
      </c>
    </row>
    <row r="425" spans="1:5">
      <c r="A425" s="58" t="s">
        <v>54</v>
      </c>
      <c r="B425" s="58" t="s">
        <v>344</v>
      </c>
      <c r="C425" s="59">
        <v>45326</v>
      </c>
      <c r="D425" s="59">
        <v>45326</v>
      </c>
      <c r="E425" s="60">
        <v>0</v>
      </c>
    </row>
    <row r="426" spans="1:5">
      <c r="A426" s="58" t="s">
        <v>54</v>
      </c>
      <c r="B426" s="58" t="s">
        <v>344</v>
      </c>
      <c r="C426" s="59">
        <v>45327</v>
      </c>
      <c r="D426" s="59">
        <v>45327</v>
      </c>
      <c r="E426" s="60">
        <v>1228.9000000000001</v>
      </c>
    </row>
    <row r="427" spans="1:5">
      <c r="A427" s="58" t="s">
        <v>171</v>
      </c>
      <c r="B427" s="58" t="s">
        <v>345</v>
      </c>
      <c r="C427" s="59">
        <v>45323</v>
      </c>
      <c r="D427" s="59">
        <v>45323</v>
      </c>
      <c r="E427" s="60">
        <v>2521.3000000000006</v>
      </c>
    </row>
    <row r="428" spans="1:5">
      <c r="A428" s="58" t="s">
        <v>171</v>
      </c>
      <c r="B428" s="58" t="s">
        <v>345</v>
      </c>
      <c r="C428" s="59">
        <v>45324</v>
      </c>
      <c r="D428" s="59">
        <v>45324</v>
      </c>
      <c r="E428" s="60">
        <v>0</v>
      </c>
    </row>
    <row r="429" spans="1:5">
      <c r="A429" s="58" t="s">
        <v>171</v>
      </c>
      <c r="B429" s="58" t="s">
        <v>345</v>
      </c>
      <c r="C429" s="59">
        <v>45325</v>
      </c>
      <c r="D429" s="59">
        <v>45325</v>
      </c>
      <c r="E429" s="60">
        <v>0</v>
      </c>
    </row>
    <row r="430" spans="1:5">
      <c r="A430" s="58" t="s">
        <v>171</v>
      </c>
      <c r="B430" s="58" t="s">
        <v>345</v>
      </c>
      <c r="C430" s="59">
        <v>45326</v>
      </c>
      <c r="D430" s="59">
        <v>45326</v>
      </c>
      <c r="E430" s="60">
        <v>0</v>
      </c>
    </row>
    <row r="431" spans="1:5">
      <c r="A431" s="58" t="s">
        <v>171</v>
      </c>
      <c r="B431" s="58" t="s">
        <v>345</v>
      </c>
      <c r="C431" s="59">
        <v>45327</v>
      </c>
      <c r="D431" s="59">
        <v>45327</v>
      </c>
      <c r="E431" s="60">
        <v>0</v>
      </c>
    </row>
    <row r="432" spans="1:5">
      <c r="A432" s="58" t="s">
        <v>172</v>
      </c>
      <c r="B432" s="58" t="s">
        <v>346</v>
      </c>
      <c r="C432" s="59">
        <v>45323</v>
      </c>
      <c r="D432" s="59">
        <v>45323</v>
      </c>
      <c r="E432" s="60">
        <v>0</v>
      </c>
    </row>
    <row r="433" spans="1:5">
      <c r="A433" s="58" t="s">
        <v>172</v>
      </c>
      <c r="B433" s="58" t="s">
        <v>346</v>
      </c>
      <c r="C433" s="59">
        <v>45324</v>
      </c>
      <c r="D433" s="59">
        <v>45324</v>
      </c>
      <c r="E433" s="60">
        <v>0</v>
      </c>
    </row>
    <row r="434" spans="1:5">
      <c r="A434" s="58" t="s">
        <v>172</v>
      </c>
      <c r="B434" s="58" t="s">
        <v>346</v>
      </c>
      <c r="C434" s="59">
        <v>45325</v>
      </c>
      <c r="D434" s="59">
        <v>45325</v>
      </c>
      <c r="E434" s="60">
        <v>0</v>
      </c>
    </row>
    <row r="435" spans="1:5">
      <c r="A435" s="58" t="s">
        <v>172</v>
      </c>
      <c r="B435" s="58" t="s">
        <v>346</v>
      </c>
      <c r="C435" s="59">
        <v>45326</v>
      </c>
      <c r="D435" s="59">
        <v>45326</v>
      </c>
      <c r="E435" s="60">
        <v>0</v>
      </c>
    </row>
    <row r="436" spans="1:5">
      <c r="A436" s="58" t="s">
        <v>172</v>
      </c>
      <c r="B436" s="58" t="s">
        <v>346</v>
      </c>
      <c r="C436" s="59">
        <v>45327</v>
      </c>
      <c r="D436" s="59">
        <v>45327</v>
      </c>
      <c r="E436" s="60">
        <v>0</v>
      </c>
    </row>
    <row r="437" spans="1:5">
      <c r="A437" s="58" t="s">
        <v>173</v>
      </c>
      <c r="B437" s="58" t="s">
        <v>347</v>
      </c>
      <c r="C437" s="59">
        <v>45323</v>
      </c>
      <c r="D437" s="59">
        <v>45323</v>
      </c>
      <c r="E437" s="60">
        <v>0</v>
      </c>
    </row>
    <row r="438" spans="1:5">
      <c r="A438" s="58" t="s">
        <v>173</v>
      </c>
      <c r="B438" s="58" t="s">
        <v>347</v>
      </c>
      <c r="C438" s="59">
        <v>45324</v>
      </c>
      <c r="D438" s="59">
        <v>45324</v>
      </c>
      <c r="E438" s="60">
        <v>0</v>
      </c>
    </row>
    <row r="439" spans="1:5">
      <c r="A439" s="58" t="s">
        <v>173</v>
      </c>
      <c r="B439" s="58" t="s">
        <v>347</v>
      </c>
      <c r="C439" s="59">
        <v>45325</v>
      </c>
      <c r="D439" s="59">
        <v>45325</v>
      </c>
      <c r="E439" s="60">
        <v>0</v>
      </c>
    </row>
    <row r="440" spans="1:5">
      <c r="A440" s="58" t="s">
        <v>173</v>
      </c>
      <c r="B440" s="58" t="s">
        <v>347</v>
      </c>
      <c r="C440" s="59">
        <v>45326</v>
      </c>
      <c r="D440" s="59">
        <v>45326</v>
      </c>
      <c r="E440" s="60">
        <v>0</v>
      </c>
    </row>
    <row r="441" spans="1:5">
      <c r="A441" s="58" t="s">
        <v>173</v>
      </c>
      <c r="B441" s="58" t="s">
        <v>347</v>
      </c>
      <c r="C441" s="59">
        <v>45327</v>
      </c>
      <c r="D441" s="59">
        <v>45327</v>
      </c>
      <c r="E441" s="60">
        <v>0</v>
      </c>
    </row>
    <row r="442" spans="1:5">
      <c r="A442" s="58" t="s">
        <v>56</v>
      </c>
      <c r="B442" s="58" t="s">
        <v>344</v>
      </c>
      <c r="C442" s="59">
        <v>45323</v>
      </c>
      <c r="D442" s="59">
        <v>45323</v>
      </c>
      <c r="E442" s="60">
        <v>0</v>
      </c>
    </row>
    <row r="443" spans="1:5">
      <c r="A443" s="58" t="s">
        <v>56</v>
      </c>
      <c r="B443" s="58" t="s">
        <v>344</v>
      </c>
      <c r="C443" s="59">
        <v>45324</v>
      </c>
      <c r="D443" s="59">
        <v>45324</v>
      </c>
      <c r="E443" s="60">
        <v>0</v>
      </c>
    </row>
    <row r="444" spans="1:5">
      <c r="A444" s="58" t="s">
        <v>56</v>
      </c>
      <c r="B444" s="58" t="s">
        <v>344</v>
      </c>
      <c r="C444" s="59">
        <v>45325</v>
      </c>
      <c r="D444" s="59">
        <v>45325</v>
      </c>
      <c r="E444" s="60">
        <v>0</v>
      </c>
    </row>
    <row r="445" spans="1:5">
      <c r="A445" s="58" t="s">
        <v>56</v>
      </c>
      <c r="B445" s="58" t="s">
        <v>344</v>
      </c>
      <c r="C445" s="59">
        <v>45326</v>
      </c>
      <c r="D445" s="59">
        <v>45326</v>
      </c>
      <c r="E445" s="60">
        <v>0</v>
      </c>
    </row>
    <row r="446" spans="1:5">
      <c r="A446" s="58" t="s">
        <v>56</v>
      </c>
      <c r="B446" s="58" t="s">
        <v>344</v>
      </c>
      <c r="C446" s="59">
        <v>45327</v>
      </c>
      <c r="D446" s="59">
        <v>45327</v>
      </c>
      <c r="E446" s="60">
        <v>0</v>
      </c>
    </row>
    <row r="447" spans="1:5">
      <c r="A447" s="58" t="s">
        <v>174</v>
      </c>
      <c r="B447" s="58" t="s">
        <v>345</v>
      </c>
      <c r="C447" s="59">
        <v>45323</v>
      </c>
      <c r="D447" s="59">
        <v>45323</v>
      </c>
      <c r="E447" s="60">
        <v>0</v>
      </c>
    </row>
    <row r="448" spans="1:5">
      <c r="A448" s="58" t="s">
        <v>174</v>
      </c>
      <c r="B448" s="58" t="s">
        <v>345</v>
      </c>
      <c r="C448" s="59">
        <v>45324</v>
      </c>
      <c r="D448" s="59">
        <v>45324</v>
      </c>
      <c r="E448" s="60">
        <v>0</v>
      </c>
    </row>
    <row r="449" spans="1:5">
      <c r="A449" s="58" t="s">
        <v>174</v>
      </c>
      <c r="B449" s="58" t="s">
        <v>345</v>
      </c>
      <c r="C449" s="59">
        <v>45325</v>
      </c>
      <c r="D449" s="59">
        <v>45325</v>
      </c>
      <c r="E449" s="60">
        <v>0</v>
      </c>
    </row>
    <row r="450" spans="1:5">
      <c r="A450" s="58" t="s">
        <v>174</v>
      </c>
      <c r="B450" s="58" t="s">
        <v>345</v>
      </c>
      <c r="C450" s="59">
        <v>45326</v>
      </c>
      <c r="D450" s="59">
        <v>45326</v>
      </c>
      <c r="E450" s="60">
        <v>0</v>
      </c>
    </row>
    <row r="451" spans="1:5">
      <c r="A451" s="58" t="s">
        <v>174</v>
      </c>
      <c r="B451" s="58" t="s">
        <v>345</v>
      </c>
      <c r="C451" s="59">
        <v>45327</v>
      </c>
      <c r="D451" s="59">
        <v>45327</v>
      </c>
      <c r="E451" s="60">
        <v>0</v>
      </c>
    </row>
    <row r="452" spans="1:5">
      <c r="A452" s="58" t="s">
        <v>175</v>
      </c>
      <c r="B452" s="58" t="s">
        <v>346</v>
      </c>
      <c r="C452" s="59">
        <v>45323</v>
      </c>
      <c r="D452" s="59">
        <v>45323</v>
      </c>
      <c r="E452" s="60">
        <v>0</v>
      </c>
    </row>
    <row r="453" spans="1:5">
      <c r="A453" s="58" t="s">
        <v>175</v>
      </c>
      <c r="B453" s="58" t="s">
        <v>346</v>
      </c>
      <c r="C453" s="59">
        <v>45324</v>
      </c>
      <c r="D453" s="59">
        <v>45324</v>
      </c>
      <c r="E453" s="60">
        <v>0</v>
      </c>
    </row>
    <row r="454" spans="1:5">
      <c r="A454" s="58" t="s">
        <v>175</v>
      </c>
      <c r="B454" s="58" t="s">
        <v>346</v>
      </c>
      <c r="C454" s="59">
        <v>45325</v>
      </c>
      <c r="D454" s="59">
        <v>45325</v>
      </c>
      <c r="E454" s="60">
        <v>0</v>
      </c>
    </row>
    <row r="455" spans="1:5">
      <c r="A455" s="58" t="s">
        <v>175</v>
      </c>
      <c r="B455" s="58" t="s">
        <v>346</v>
      </c>
      <c r="C455" s="59">
        <v>45326</v>
      </c>
      <c r="D455" s="59">
        <v>45326</v>
      </c>
      <c r="E455" s="60">
        <v>0</v>
      </c>
    </row>
    <row r="456" spans="1:5">
      <c r="A456" s="58" t="s">
        <v>175</v>
      </c>
      <c r="B456" s="58" t="s">
        <v>346</v>
      </c>
      <c r="C456" s="59">
        <v>45327</v>
      </c>
      <c r="D456" s="59">
        <v>45327</v>
      </c>
      <c r="E456" s="60">
        <v>0</v>
      </c>
    </row>
    <row r="457" spans="1:5">
      <c r="A457" s="58" t="s">
        <v>176</v>
      </c>
      <c r="B457" s="58" t="s">
        <v>347</v>
      </c>
      <c r="C457" s="59">
        <v>45323</v>
      </c>
      <c r="D457" s="59">
        <v>45323</v>
      </c>
      <c r="E457" s="60">
        <v>0</v>
      </c>
    </row>
    <row r="458" spans="1:5">
      <c r="A458" s="58" t="s">
        <v>176</v>
      </c>
      <c r="B458" s="58" t="s">
        <v>347</v>
      </c>
      <c r="C458" s="59">
        <v>45324</v>
      </c>
      <c r="D458" s="59">
        <v>45324</v>
      </c>
      <c r="E458" s="60">
        <v>0</v>
      </c>
    </row>
    <row r="459" spans="1:5">
      <c r="A459" s="58" t="s">
        <v>176</v>
      </c>
      <c r="B459" s="58" t="s">
        <v>347</v>
      </c>
      <c r="C459" s="59">
        <v>45325</v>
      </c>
      <c r="D459" s="59">
        <v>45325</v>
      </c>
      <c r="E459" s="60">
        <v>0</v>
      </c>
    </row>
    <row r="460" spans="1:5">
      <c r="A460" s="58" t="s">
        <v>176</v>
      </c>
      <c r="B460" s="58" t="s">
        <v>347</v>
      </c>
      <c r="C460" s="59">
        <v>45326</v>
      </c>
      <c r="D460" s="59">
        <v>45326</v>
      </c>
      <c r="E460" s="60">
        <v>0</v>
      </c>
    </row>
    <row r="461" spans="1:5">
      <c r="A461" s="58" t="s">
        <v>176</v>
      </c>
      <c r="B461" s="58" t="s">
        <v>347</v>
      </c>
      <c r="C461" s="59">
        <v>45327</v>
      </c>
      <c r="D461" s="59">
        <v>45327</v>
      </c>
      <c r="E461" s="60">
        <v>0</v>
      </c>
    </row>
    <row r="462" spans="1:5">
      <c r="A462" s="58" t="s">
        <v>59</v>
      </c>
      <c r="B462" s="58" t="s">
        <v>344</v>
      </c>
      <c r="C462" s="59">
        <v>45323</v>
      </c>
      <c r="D462" s="59">
        <v>45323</v>
      </c>
      <c r="E462" s="60">
        <v>2090.6999999999998</v>
      </c>
    </row>
    <row r="463" spans="1:5">
      <c r="A463" s="58" t="s">
        <v>59</v>
      </c>
      <c r="B463" s="58" t="s">
        <v>344</v>
      </c>
      <c r="C463" s="59">
        <v>45324</v>
      </c>
      <c r="D463" s="59">
        <v>45324</v>
      </c>
      <c r="E463" s="60">
        <v>0</v>
      </c>
    </row>
    <row r="464" spans="1:5">
      <c r="A464" s="58" t="s">
        <v>59</v>
      </c>
      <c r="B464" s="58" t="s">
        <v>344</v>
      </c>
      <c r="C464" s="59">
        <v>45325</v>
      </c>
      <c r="D464" s="59">
        <v>45325</v>
      </c>
      <c r="E464" s="60">
        <v>0</v>
      </c>
    </row>
    <row r="465" spans="1:5">
      <c r="A465" s="58" t="s">
        <v>59</v>
      </c>
      <c r="B465" s="58" t="s">
        <v>344</v>
      </c>
      <c r="C465" s="59">
        <v>45326</v>
      </c>
      <c r="D465" s="59">
        <v>45326</v>
      </c>
      <c r="E465" s="60">
        <v>0</v>
      </c>
    </row>
    <row r="466" spans="1:5">
      <c r="A466" s="58" t="s">
        <v>59</v>
      </c>
      <c r="B466" s="58" t="s">
        <v>344</v>
      </c>
      <c r="C466" s="59">
        <v>45327</v>
      </c>
      <c r="D466" s="59">
        <v>45327</v>
      </c>
      <c r="E466" s="60">
        <v>0</v>
      </c>
    </row>
    <row r="467" spans="1:5">
      <c r="A467" s="58" t="s">
        <v>177</v>
      </c>
      <c r="B467" s="58" t="s">
        <v>345</v>
      </c>
      <c r="C467" s="59">
        <v>45323</v>
      </c>
      <c r="D467" s="59">
        <v>45323</v>
      </c>
      <c r="E467" s="60">
        <v>0</v>
      </c>
    </row>
    <row r="468" spans="1:5">
      <c r="A468" s="58" t="s">
        <v>177</v>
      </c>
      <c r="B468" s="58" t="s">
        <v>345</v>
      </c>
      <c r="C468" s="59">
        <v>45324</v>
      </c>
      <c r="D468" s="59">
        <v>45324</v>
      </c>
      <c r="E468" s="60">
        <v>0</v>
      </c>
    </row>
    <row r="469" spans="1:5">
      <c r="A469" s="58" t="s">
        <v>177</v>
      </c>
      <c r="B469" s="58" t="s">
        <v>345</v>
      </c>
      <c r="C469" s="59">
        <v>45325</v>
      </c>
      <c r="D469" s="59">
        <v>45325</v>
      </c>
      <c r="E469" s="60">
        <v>0</v>
      </c>
    </row>
    <row r="470" spans="1:5">
      <c r="A470" s="58" t="s">
        <v>177</v>
      </c>
      <c r="B470" s="58" t="s">
        <v>345</v>
      </c>
      <c r="C470" s="59">
        <v>45326</v>
      </c>
      <c r="D470" s="59">
        <v>45326</v>
      </c>
      <c r="E470" s="60">
        <v>0</v>
      </c>
    </row>
    <row r="471" spans="1:5">
      <c r="A471" s="58" t="s">
        <v>177</v>
      </c>
      <c r="B471" s="58" t="s">
        <v>345</v>
      </c>
      <c r="C471" s="59">
        <v>45327</v>
      </c>
      <c r="D471" s="59">
        <v>45327</v>
      </c>
      <c r="E471" s="60">
        <v>0</v>
      </c>
    </row>
    <row r="472" spans="1:5">
      <c r="A472" s="58" t="s">
        <v>178</v>
      </c>
      <c r="B472" s="58" t="s">
        <v>346</v>
      </c>
      <c r="C472" s="59">
        <v>45323</v>
      </c>
      <c r="D472" s="59">
        <v>45323</v>
      </c>
      <c r="E472" s="60">
        <v>0</v>
      </c>
    </row>
    <row r="473" spans="1:5">
      <c r="A473" s="58" t="s">
        <v>178</v>
      </c>
      <c r="B473" s="58" t="s">
        <v>346</v>
      </c>
      <c r="C473" s="59">
        <v>45324</v>
      </c>
      <c r="D473" s="59">
        <v>45324</v>
      </c>
      <c r="E473" s="60">
        <v>0</v>
      </c>
    </row>
    <row r="474" spans="1:5">
      <c r="A474" s="58" t="s">
        <v>178</v>
      </c>
      <c r="B474" s="58" t="s">
        <v>346</v>
      </c>
      <c r="C474" s="59">
        <v>45325</v>
      </c>
      <c r="D474" s="59">
        <v>45325</v>
      </c>
      <c r="E474" s="60">
        <v>0</v>
      </c>
    </row>
    <row r="475" spans="1:5">
      <c r="A475" s="58" t="s">
        <v>178</v>
      </c>
      <c r="B475" s="58" t="s">
        <v>346</v>
      </c>
      <c r="C475" s="59">
        <v>45326</v>
      </c>
      <c r="D475" s="59">
        <v>45326</v>
      </c>
      <c r="E475" s="60">
        <v>0</v>
      </c>
    </row>
    <row r="476" spans="1:5">
      <c r="A476" s="58" t="s">
        <v>178</v>
      </c>
      <c r="B476" s="58" t="s">
        <v>346</v>
      </c>
      <c r="C476" s="59">
        <v>45327</v>
      </c>
      <c r="D476" s="59">
        <v>45327</v>
      </c>
      <c r="E476" s="60">
        <v>0</v>
      </c>
    </row>
    <row r="477" spans="1:5">
      <c r="A477" s="58" t="s">
        <v>179</v>
      </c>
      <c r="B477" s="58" t="s">
        <v>347</v>
      </c>
      <c r="C477" s="59">
        <v>45323</v>
      </c>
      <c r="D477" s="59">
        <v>45323</v>
      </c>
      <c r="E477" s="60">
        <v>0</v>
      </c>
    </row>
    <row r="478" spans="1:5">
      <c r="A478" s="58" t="s">
        <v>179</v>
      </c>
      <c r="B478" s="58" t="s">
        <v>347</v>
      </c>
      <c r="C478" s="59">
        <v>45324</v>
      </c>
      <c r="D478" s="59">
        <v>45324</v>
      </c>
      <c r="E478" s="60">
        <v>0</v>
      </c>
    </row>
    <row r="479" spans="1:5">
      <c r="A479" s="58" t="s">
        <v>179</v>
      </c>
      <c r="B479" s="58" t="s">
        <v>347</v>
      </c>
      <c r="C479" s="59">
        <v>45325</v>
      </c>
      <c r="D479" s="59">
        <v>45325</v>
      </c>
      <c r="E479" s="60">
        <v>0</v>
      </c>
    </row>
    <row r="480" spans="1:5">
      <c r="A480" s="58" t="s">
        <v>179</v>
      </c>
      <c r="B480" s="58" t="s">
        <v>347</v>
      </c>
      <c r="C480" s="59">
        <v>45326</v>
      </c>
      <c r="D480" s="59">
        <v>45326</v>
      </c>
      <c r="E480" s="60">
        <v>0</v>
      </c>
    </row>
    <row r="481" spans="1:5">
      <c r="A481" s="58" t="s">
        <v>179</v>
      </c>
      <c r="B481" s="58" t="s">
        <v>347</v>
      </c>
      <c r="C481" s="59">
        <v>45327</v>
      </c>
      <c r="D481" s="59">
        <v>45327</v>
      </c>
      <c r="E481" s="60">
        <v>0</v>
      </c>
    </row>
    <row r="482" spans="1:5">
      <c r="A482" s="58" t="s">
        <v>62</v>
      </c>
      <c r="B482" s="58" t="s">
        <v>344</v>
      </c>
      <c r="C482" s="59">
        <v>45323</v>
      </c>
      <c r="D482" s="59">
        <v>45323</v>
      </c>
      <c r="E482" s="60">
        <v>0</v>
      </c>
    </row>
    <row r="483" spans="1:5">
      <c r="A483" s="58" t="s">
        <v>62</v>
      </c>
      <c r="B483" s="58" t="s">
        <v>344</v>
      </c>
      <c r="C483" s="59">
        <v>45324</v>
      </c>
      <c r="D483" s="59">
        <v>45324</v>
      </c>
      <c r="E483" s="60">
        <v>0</v>
      </c>
    </row>
    <row r="484" spans="1:5">
      <c r="A484" s="58" t="s">
        <v>62</v>
      </c>
      <c r="B484" s="58" t="s">
        <v>344</v>
      </c>
      <c r="C484" s="59">
        <v>45325</v>
      </c>
      <c r="D484" s="59">
        <v>45325</v>
      </c>
      <c r="E484" s="60">
        <v>0</v>
      </c>
    </row>
    <row r="485" spans="1:5">
      <c r="A485" s="58" t="s">
        <v>62</v>
      </c>
      <c r="B485" s="58" t="s">
        <v>344</v>
      </c>
      <c r="C485" s="59">
        <v>45326</v>
      </c>
      <c r="D485" s="59">
        <v>45326</v>
      </c>
      <c r="E485" s="60">
        <v>0</v>
      </c>
    </row>
    <row r="486" spans="1:5">
      <c r="A486" s="58" t="s">
        <v>62</v>
      </c>
      <c r="B486" s="58" t="s">
        <v>344</v>
      </c>
      <c r="C486" s="59">
        <v>45327</v>
      </c>
      <c r="D486" s="59">
        <v>45327</v>
      </c>
      <c r="E486" s="60">
        <v>0</v>
      </c>
    </row>
    <row r="487" spans="1:5">
      <c r="A487" s="58" t="s">
        <v>180</v>
      </c>
      <c r="B487" s="58" t="s">
        <v>345</v>
      </c>
      <c r="C487" s="59">
        <v>45323</v>
      </c>
      <c r="D487" s="59">
        <v>45323</v>
      </c>
      <c r="E487" s="60">
        <v>0</v>
      </c>
    </row>
    <row r="488" spans="1:5">
      <c r="A488" s="58" t="s">
        <v>180</v>
      </c>
      <c r="B488" s="58" t="s">
        <v>345</v>
      </c>
      <c r="C488" s="59">
        <v>45324</v>
      </c>
      <c r="D488" s="59">
        <v>45324</v>
      </c>
      <c r="E488" s="60">
        <v>0</v>
      </c>
    </row>
    <row r="489" spans="1:5">
      <c r="A489" s="58" t="s">
        <v>180</v>
      </c>
      <c r="B489" s="58" t="s">
        <v>345</v>
      </c>
      <c r="C489" s="59">
        <v>45325</v>
      </c>
      <c r="D489" s="59">
        <v>45325</v>
      </c>
      <c r="E489" s="60">
        <v>0</v>
      </c>
    </row>
    <row r="490" spans="1:5">
      <c r="A490" s="58" t="s">
        <v>180</v>
      </c>
      <c r="B490" s="58" t="s">
        <v>345</v>
      </c>
      <c r="C490" s="59">
        <v>45326</v>
      </c>
      <c r="D490" s="59">
        <v>45326</v>
      </c>
      <c r="E490" s="60">
        <v>0</v>
      </c>
    </row>
    <row r="491" spans="1:5">
      <c r="A491" s="58" t="s">
        <v>180</v>
      </c>
      <c r="B491" s="58" t="s">
        <v>345</v>
      </c>
      <c r="C491" s="59">
        <v>45327</v>
      </c>
      <c r="D491" s="59">
        <v>45327</v>
      </c>
      <c r="E491" s="60">
        <v>0</v>
      </c>
    </row>
    <row r="492" spans="1:5">
      <c r="A492" s="58" t="s">
        <v>181</v>
      </c>
      <c r="B492" s="58" t="s">
        <v>346</v>
      </c>
      <c r="C492" s="59">
        <v>45323</v>
      </c>
      <c r="D492" s="59">
        <v>45323</v>
      </c>
      <c r="E492" s="60">
        <v>0</v>
      </c>
    </row>
    <row r="493" spans="1:5">
      <c r="A493" s="58" t="s">
        <v>181</v>
      </c>
      <c r="B493" s="58" t="s">
        <v>346</v>
      </c>
      <c r="C493" s="59">
        <v>45324</v>
      </c>
      <c r="D493" s="59">
        <v>45324</v>
      </c>
      <c r="E493" s="60">
        <v>0</v>
      </c>
    </row>
    <row r="494" spans="1:5">
      <c r="A494" s="58" t="s">
        <v>181</v>
      </c>
      <c r="B494" s="58" t="s">
        <v>346</v>
      </c>
      <c r="C494" s="59">
        <v>45325</v>
      </c>
      <c r="D494" s="59">
        <v>45325</v>
      </c>
      <c r="E494" s="60">
        <v>0</v>
      </c>
    </row>
    <row r="495" spans="1:5">
      <c r="A495" s="58" t="s">
        <v>181</v>
      </c>
      <c r="B495" s="58" t="s">
        <v>346</v>
      </c>
      <c r="C495" s="59">
        <v>45326</v>
      </c>
      <c r="D495" s="59">
        <v>45326</v>
      </c>
      <c r="E495" s="60">
        <v>0</v>
      </c>
    </row>
    <row r="496" spans="1:5">
      <c r="A496" s="58" t="s">
        <v>181</v>
      </c>
      <c r="B496" s="58" t="s">
        <v>346</v>
      </c>
      <c r="C496" s="59">
        <v>45327</v>
      </c>
      <c r="D496" s="59">
        <v>45327</v>
      </c>
      <c r="E496" s="60">
        <v>0</v>
      </c>
    </row>
    <row r="497" spans="1:5">
      <c r="A497" s="58" t="s">
        <v>182</v>
      </c>
      <c r="B497" s="58" t="s">
        <v>347</v>
      </c>
      <c r="C497" s="59">
        <v>45323</v>
      </c>
      <c r="D497" s="59">
        <v>45323</v>
      </c>
      <c r="E497" s="60">
        <v>0</v>
      </c>
    </row>
    <row r="498" spans="1:5">
      <c r="A498" s="58" t="s">
        <v>182</v>
      </c>
      <c r="B498" s="58" t="s">
        <v>347</v>
      </c>
      <c r="C498" s="59">
        <v>45324</v>
      </c>
      <c r="D498" s="59">
        <v>45324</v>
      </c>
      <c r="E498" s="60">
        <v>0</v>
      </c>
    </row>
    <row r="499" spans="1:5">
      <c r="A499" s="58" t="s">
        <v>182</v>
      </c>
      <c r="B499" s="58" t="s">
        <v>347</v>
      </c>
      <c r="C499" s="59">
        <v>45325</v>
      </c>
      <c r="D499" s="59">
        <v>45325</v>
      </c>
      <c r="E499" s="60">
        <v>0</v>
      </c>
    </row>
    <row r="500" spans="1:5">
      <c r="A500" s="58" t="s">
        <v>182</v>
      </c>
      <c r="B500" s="58" t="s">
        <v>347</v>
      </c>
      <c r="C500" s="59">
        <v>45326</v>
      </c>
      <c r="D500" s="59">
        <v>45326</v>
      </c>
      <c r="E500" s="60">
        <v>0</v>
      </c>
    </row>
    <row r="501" spans="1:5">
      <c r="A501" s="58" t="s">
        <v>182</v>
      </c>
      <c r="B501" s="58" t="s">
        <v>347</v>
      </c>
      <c r="C501" s="59">
        <v>45327</v>
      </c>
      <c r="D501" s="59">
        <v>45327</v>
      </c>
      <c r="E501" s="60">
        <v>0</v>
      </c>
    </row>
    <row r="502" spans="1:5">
      <c r="A502" s="58" t="s">
        <v>65</v>
      </c>
      <c r="B502" s="58" t="s">
        <v>344</v>
      </c>
      <c r="C502" s="59">
        <v>45323</v>
      </c>
      <c r="D502" s="59">
        <v>45323</v>
      </c>
      <c r="E502" s="60">
        <v>0</v>
      </c>
    </row>
    <row r="503" spans="1:5">
      <c r="A503" s="58" t="s">
        <v>65</v>
      </c>
      <c r="B503" s="58" t="s">
        <v>344</v>
      </c>
      <c r="C503" s="59">
        <v>45324</v>
      </c>
      <c r="D503" s="59">
        <v>45324</v>
      </c>
      <c r="E503" s="60">
        <v>0</v>
      </c>
    </row>
    <row r="504" spans="1:5">
      <c r="A504" s="58" t="s">
        <v>65</v>
      </c>
      <c r="B504" s="58" t="s">
        <v>344</v>
      </c>
      <c r="C504" s="59">
        <v>45325</v>
      </c>
      <c r="D504" s="59">
        <v>45325</v>
      </c>
      <c r="E504" s="60">
        <v>0</v>
      </c>
    </row>
    <row r="505" spans="1:5">
      <c r="A505" s="58" t="s">
        <v>65</v>
      </c>
      <c r="B505" s="58" t="s">
        <v>344</v>
      </c>
      <c r="C505" s="59">
        <v>45326</v>
      </c>
      <c r="D505" s="59">
        <v>45326</v>
      </c>
      <c r="E505" s="60">
        <v>0</v>
      </c>
    </row>
    <row r="506" spans="1:5">
      <c r="A506" s="58" t="s">
        <v>65</v>
      </c>
      <c r="B506" s="58" t="s">
        <v>344</v>
      </c>
      <c r="C506" s="59">
        <v>45327</v>
      </c>
      <c r="D506" s="59">
        <v>45327</v>
      </c>
      <c r="E506" s="60">
        <v>0</v>
      </c>
    </row>
    <row r="507" spans="1:5">
      <c r="A507" s="58" t="s">
        <v>183</v>
      </c>
      <c r="B507" s="58" t="s">
        <v>345</v>
      </c>
      <c r="C507" s="59">
        <v>45323</v>
      </c>
      <c r="D507" s="59">
        <v>45323</v>
      </c>
      <c r="E507" s="60">
        <v>0</v>
      </c>
    </row>
    <row r="508" spans="1:5">
      <c r="A508" s="58" t="s">
        <v>183</v>
      </c>
      <c r="B508" s="58" t="s">
        <v>345</v>
      </c>
      <c r="C508" s="59">
        <v>45324</v>
      </c>
      <c r="D508" s="59">
        <v>45324</v>
      </c>
      <c r="E508" s="60">
        <v>0</v>
      </c>
    </row>
    <row r="509" spans="1:5">
      <c r="A509" s="58" t="s">
        <v>183</v>
      </c>
      <c r="B509" s="58" t="s">
        <v>345</v>
      </c>
      <c r="C509" s="59">
        <v>45325</v>
      </c>
      <c r="D509" s="59">
        <v>45325</v>
      </c>
      <c r="E509" s="60">
        <v>0</v>
      </c>
    </row>
    <row r="510" spans="1:5">
      <c r="A510" s="58" t="s">
        <v>183</v>
      </c>
      <c r="B510" s="58" t="s">
        <v>345</v>
      </c>
      <c r="C510" s="59">
        <v>45326</v>
      </c>
      <c r="D510" s="59">
        <v>45326</v>
      </c>
      <c r="E510" s="60">
        <v>0</v>
      </c>
    </row>
    <row r="511" spans="1:5">
      <c r="A511" s="58" t="s">
        <v>183</v>
      </c>
      <c r="B511" s="58" t="s">
        <v>345</v>
      </c>
      <c r="C511" s="59">
        <v>45327</v>
      </c>
      <c r="D511" s="59">
        <v>45327</v>
      </c>
      <c r="E511" s="60">
        <v>0</v>
      </c>
    </row>
    <row r="512" spans="1:5">
      <c r="A512" s="58" t="s">
        <v>184</v>
      </c>
      <c r="B512" s="58" t="s">
        <v>346</v>
      </c>
      <c r="C512" s="59">
        <v>45323</v>
      </c>
      <c r="D512" s="59">
        <v>45323</v>
      </c>
      <c r="E512" s="60">
        <v>0</v>
      </c>
    </row>
    <row r="513" spans="1:5">
      <c r="A513" s="58" t="s">
        <v>184</v>
      </c>
      <c r="B513" s="58" t="s">
        <v>346</v>
      </c>
      <c r="C513" s="59">
        <v>45324</v>
      </c>
      <c r="D513" s="59">
        <v>45324</v>
      </c>
      <c r="E513" s="60">
        <v>0</v>
      </c>
    </row>
    <row r="514" spans="1:5">
      <c r="A514" s="58" t="s">
        <v>184</v>
      </c>
      <c r="B514" s="58" t="s">
        <v>346</v>
      </c>
      <c r="C514" s="59">
        <v>45325</v>
      </c>
      <c r="D514" s="59">
        <v>45325</v>
      </c>
      <c r="E514" s="60">
        <v>0</v>
      </c>
    </row>
    <row r="515" spans="1:5">
      <c r="A515" s="58" t="s">
        <v>184</v>
      </c>
      <c r="B515" s="58" t="s">
        <v>346</v>
      </c>
      <c r="C515" s="59">
        <v>45326</v>
      </c>
      <c r="D515" s="59">
        <v>45326</v>
      </c>
      <c r="E515" s="60">
        <v>0</v>
      </c>
    </row>
    <row r="516" spans="1:5">
      <c r="A516" s="58" t="s">
        <v>184</v>
      </c>
      <c r="B516" s="58" t="s">
        <v>346</v>
      </c>
      <c r="C516" s="59">
        <v>45327</v>
      </c>
      <c r="D516" s="59">
        <v>45327</v>
      </c>
      <c r="E516" s="60">
        <v>0</v>
      </c>
    </row>
    <row r="517" spans="1:5">
      <c r="A517" s="58" t="s">
        <v>185</v>
      </c>
      <c r="B517" s="58" t="s">
        <v>347</v>
      </c>
      <c r="C517" s="59">
        <v>45323</v>
      </c>
      <c r="D517" s="59">
        <v>45323</v>
      </c>
      <c r="E517" s="60">
        <v>0</v>
      </c>
    </row>
    <row r="518" spans="1:5">
      <c r="A518" s="58" t="s">
        <v>185</v>
      </c>
      <c r="B518" s="58" t="s">
        <v>347</v>
      </c>
      <c r="C518" s="59">
        <v>45324</v>
      </c>
      <c r="D518" s="59">
        <v>45324</v>
      </c>
      <c r="E518" s="60">
        <v>0</v>
      </c>
    </row>
    <row r="519" spans="1:5">
      <c r="A519" s="58" t="s">
        <v>185</v>
      </c>
      <c r="B519" s="58" t="s">
        <v>347</v>
      </c>
      <c r="C519" s="59">
        <v>45325</v>
      </c>
      <c r="D519" s="59">
        <v>45325</v>
      </c>
      <c r="E519" s="60">
        <v>0</v>
      </c>
    </row>
    <row r="520" spans="1:5">
      <c r="A520" s="58" t="s">
        <v>185</v>
      </c>
      <c r="B520" s="58" t="s">
        <v>347</v>
      </c>
      <c r="C520" s="59">
        <v>45326</v>
      </c>
      <c r="D520" s="59">
        <v>45326</v>
      </c>
      <c r="E520" s="60">
        <v>0</v>
      </c>
    </row>
    <row r="521" spans="1:5">
      <c r="A521" s="58" t="s">
        <v>185</v>
      </c>
      <c r="B521" s="58" t="s">
        <v>347</v>
      </c>
      <c r="C521" s="59">
        <v>45327</v>
      </c>
      <c r="D521" s="59">
        <v>45327</v>
      </c>
      <c r="E521" s="60">
        <v>0</v>
      </c>
    </row>
    <row r="522" spans="1:5">
      <c r="A522" s="58" t="s">
        <v>68</v>
      </c>
      <c r="B522" s="58" t="s">
        <v>344</v>
      </c>
      <c r="C522" s="59">
        <v>45323</v>
      </c>
      <c r="D522" s="59">
        <v>45323</v>
      </c>
      <c r="E522" s="60">
        <v>0</v>
      </c>
    </row>
    <row r="523" spans="1:5">
      <c r="A523" s="58" t="s">
        <v>68</v>
      </c>
      <c r="B523" s="58" t="s">
        <v>344</v>
      </c>
      <c r="C523" s="59">
        <v>45324</v>
      </c>
      <c r="D523" s="59">
        <v>45324</v>
      </c>
      <c r="E523" s="60">
        <v>0</v>
      </c>
    </row>
    <row r="524" spans="1:5">
      <c r="A524" s="58" t="s">
        <v>68</v>
      </c>
      <c r="B524" s="58" t="s">
        <v>344</v>
      </c>
      <c r="C524" s="59">
        <v>45325</v>
      </c>
      <c r="D524" s="59">
        <v>45325</v>
      </c>
      <c r="E524" s="60">
        <v>0</v>
      </c>
    </row>
    <row r="525" spans="1:5">
      <c r="A525" s="58" t="s">
        <v>68</v>
      </c>
      <c r="B525" s="58" t="s">
        <v>344</v>
      </c>
      <c r="C525" s="59">
        <v>45326</v>
      </c>
      <c r="D525" s="59">
        <v>45326</v>
      </c>
      <c r="E525" s="60">
        <v>0</v>
      </c>
    </row>
    <row r="526" spans="1:5">
      <c r="A526" s="58" t="s">
        <v>68</v>
      </c>
      <c r="B526" s="58" t="s">
        <v>344</v>
      </c>
      <c r="C526" s="59">
        <v>45327</v>
      </c>
      <c r="D526" s="59">
        <v>45327</v>
      </c>
      <c r="E526" s="60">
        <v>0</v>
      </c>
    </row>
    <row r="527" spans="1:5">
      <c r="A527" s="58" t="s">
        <v>186</v>
      </c>
      <c r="B527" s="58" t="s">
        <v>345</v>
      </c>
      <c r="C527" s="59">
        <v>45323</v>
      </c>
      <c r="D527" s="59">
        <v>45323</v>
      </c>
      <c r="E527" s="60">
        <v>0</v>
      </c>
    </row>
    <row r="528" spans="1:5">
      <c r="A528" s="58" t="s">
        <v>186</v>
      </c>
      <c r="B528" s="58" t="s">
        <v>345</v>
      </c>
      <c r="C528" s="59">
        <v>45324</v>
      </c>
      <c r="D528" s="59">
        <v>45324</v>
      </c>
      <c r="E528" s="60">
        <v>0</v>
      </c>
    </row>
    <row r="529" spans="1:5">
      <c r="A529" s="58" t="s">
        <v>186</v>
      </c>
      <c r="B529" s="58" t="s">
        <v>345</v>
      </c>
      <c r="C529" s="59">
        <v>45325</v>
      </c>
      <c r="D529" s="59">
        <v>45325</v>
      </c>
      <c r="E529" s="60">
        <v>0</v>
      </c>
    </row>
    <row r="530" spans="1:5">
      <c r="A530" s="58" t="s">
        <v>186</v>
      </c>
      <c r="B530" s="58" t="s">
        <v>345</v>
      </c>
      <c r="C530" s="59">
        <v>45326</v>
      </c>
      <c r="D530" s="59">
        <v>45326</v>
      </c>
      <c r="E530" s="60">
        <v>0</v>
      </c>
    </row>
    <row r="531" spans="1:5">
      <c r="A531" s="58" t="s">
        <v>186</v>
      </c>
      <c r="B531" s="58" t="s">
        <v>345</v>
      </c>
      <c r="C531" s="59">
        <v>45327</v>
      </c>
      <c r="D531" s="59">
        <v>45327</v>
      </c>
      <c r="E531" s="60">
        <v>0</v>
      </c>
    </row>
    <row r="532" spans="1:5">
      <c r="A532" s="58" t="s">
        <v>187</v>
      </c>
      <c r="B532" s="58" t="s">
        <v>346</v>
      </c>
      <c r="C532" s="59">
        <v>45323</v>
      </c>
      <c r="D532" s="59">
        <v>45323</v>
      </c>
      <c r="E532" s="60">
        <v>0</v>
      </c>
    </row>
    <row r="533" spans="1:5">
      <c r="A533" s="58" t="s">
        <v>187</v>
      </c>
      <c r="B533" s="58" t="s">
        <v>346</v>
      </c>
      <c r="C533" s="59">
        <v>45324</v>
      </c>
      <c r="D533" s="59">
        <v>45324</v>
      </c>
      <c r="E533" s="60">
        <v>0</v>
      </c>
    </row>
    <row r="534" spans="1:5">
      <c r="A534" s="58" t="s">
        <v>187</v>
      </c>
      <c r="B534" s="58" t="s">
        <v>346</v>
      </c>
      <c r="C534" s="59">
        <v>45325</v>
      </c>
      <c r="D534" s="59">
        <v>45325</v>
      </c>
      <c r="E534" s="60">
        <v>0</v>
      </c>
    </row>
    <row r="535" spans="1:5">
      <c r="A535" s="58" t="s">
        <v>187</v>
      </c>
      <c r="B535" s="58" t="s">
        <v>346</v>
      </c>
      <c r="C535" s="59">
        <v>45326</v>
      </c>
      <c r="D535" s="59">
        <v>45326</v>
      </c>
      <c r="E535" s="60">
        <v>0</v>
      </c>
    </row>
    <row r="536" spans="1:5">
      <c r="A536" s="58" t="s">
        <v>187</v>
      </c>
      <c r="B536" s="58" t="s">
        <v>346</v>
      </c>
      <c r="C536" s="59">
        <v>45327</v>
      </c>
      <c r="D536" s="59">
        <v>45327</v>
      </c>
      <c r="E536" s="60">
        <v>0</v>
      </c>
    </row>
    <row r="537" spans="1:5">
      <c r="A537" s="58" t="s">
        <v>188</v>
      </c>
      <c r="B537" s="58" t="s">
        <v>347</v>
      </c>
      <c r="C537" s="59">
        <v>45323</v>
      </c>
      <c r="D537" s="59">
        <v>45323</v>
      </c>
      <c r="E537" s="60">
        <v>0</v>
      </c>
    </row>
    <row r="538" spans="1:5">
      <c r="A538" s="58" t="s">
        <v>188</v>
      </c>
      <c r="B538" s="58" t="s">
        <v>347</v>
      </c>
      <c r="C538" s="59">
        <v>45324</v>
      </c>
      <c r="D538" s="59">
        <v>45324</v>
      </c>
      <c r="E538" s="60">
        <v>0</v>
      </c>
    </row>
    <row r="539" spans="1:5">
      <c r="A539" s="58" t="s">
        <v>188</v>
      </c>
      <c r="B539" s="58" t="s">
        <v>347</v>
      </c>
      <c r="C539" s="59">
        <v>45325</v>
      </c>
      <c r="D539" s="59">
        <v>45325</v>
      </c>
      <c r="E539" s="60">
        <v>0</v>
      </c>
    </row>
    <row r="540" spans="1:5">
      <c r="A540" s="58" t="s">
        <v>188</v>
      </c>
      <c r="B540" s="58" t="s">
        <v>347</v>
      </c>
      <c r="C540" s="59">
        <v>45326</v>
      </c>
      <c r="D540" s="59">
        <v>45326</v>
      </c>
      <c r="E540" s="60">
        <v>0</v>
      </c>
    </row>
    <row r="541" spans="1:5">
      <c r="A541" s="58" t="s">
        <v>188</v>
      </c>
      <c r="B541" s="58" t="s">
        <v>347</v>
      </c>
      <c r="C541" s="59">
        <v>45327</v>
      </c>
      <c r="D541" s="59">
        <v>45327</v>
      </c>
      <c r="E541" s="60">
        <v>0</v>
      </c>
    </row>
    <row r="542" spans="1:5">
      <c r="A542" s="58" t="s">
        <v>71</v>
      </c>
      <c r="B542" s="58" t="s">
        <v>344</v>
      </c>
      <c r="C542" s="59">
        <v>45323</v>
      </c>
      <c r="D542" s="59">
        <v>45323</v>
      </c>
      <c r="E542" s="60">
        <v>0</v>
      </c>
    </row>
    <row r="543" spans="1:5">
      <c r="A543" s="58" t="s">
        <v>71</v>
      </c>
      <c r="B543" s="58" t="s">
        <v>344</v>
      </c>
      <c r="C543" s="59">
        <v>45324</v>
      </c>
      <c r="D543" s="59">
        <v>45324</v>
      </c>
      <c r="E543" s="60">
        <v>0</v>
      </c>
    </row>
    <row r="544" spans="1:5">
      <c r="A544" s="58" t="s">
        <v>71</v>
      </c>
      <c r="B544" s="58" t="s">
        <v>344</v>
      </c>
      <c r="C544" s="59">
        <v>45325</v>
      </c>
      <c r="D544" s="59">
        <v>45325</v>
      </c>
      <c r="E544" s="60">
        <v>0</v>
      </c>
    </row>
    <row r="545" spans="1:5">
      <c r="A545" s="58" t="s">
        <v>71</v>
      </c>
      <c r="B545" s="58" t="s">
        <v>344</v>
      </c>
      <c r="C545" s="59">
        <v>45326</v>
      </c>
      <c r="D545" s="59">
        <v>45326</v>
      </c>
      <c r="E545" s="60">
        <v>0</v>
      </c>
    </row>
    <row r="546" spans="1:5">
      <c r="A546" s="58" t="s">
        <v>71</v>
      </c>
      <c r="B546" s="58" t="s">
        <v>344</v>
      </c>
      <c r="C546" s="59">
        <v>45327</v>
      </c>
      <c r="D546" s="59">
        <v>45327</v>
      </c>
      <c r="E546" s="60">
        <v>0</v>
      </c>
    </row>
    <row r="547" spans="1:5">
      <c r="A547" s="58" t="s">
        <v>189</v>
      </c>
      <c r="B547" s="58" t="s">
        <v>345</v>
      </c>
      <c r="C547" s="59">
        <v>45323</v>
      </c>
      <c r="D547" s="59">
        <v>45323</v>
      </c>
      <c r="E547" s="60">
        <v>0</v>
      </c>
    </row>
    <row r="548" spans="1:5">
      <c r="A548" s="58" t="s">
        <v>189</v>
      </c>
      <c r="B548" s="58" t="s">
        <v>345</v>
      </c>
      <c r="C548" s="59">
        <v>45324</v>
      </c>
      <c r="D548" s="59">
        <v>45324</v>
      </c>
      <c r="E548" s="60">
        <v>0</v>
      </c>
    </row>
    <row r="549" spans="1:5">
      <c r="A549" s="58" t="s">
        <v>189</v>
      </c>
      <c r="B549" s="58" t="s">
        <v>345</v>
      </c>
      <c r="C549" s="59">
        <v>45325</v>
      </c>
      <c r="D549" s="59">
        <v>45325</v>
      </c>
      <c r="E549" s="60">
        <v>0</v>
      </c>
    </row>
    <row r="550" spans="1:5">
      <c r="A550" s="58" t="s">
        <v>189</v>
      </c>
      <c r="B550" s="58" t="s">
        <v>345</v>
      </c>
      <c r="C550" s="59">
        <v>45326</v>
      </c>
      <c r="D550" s="59">
        <v>45326</v>
      </c>
      <c r="E550" s="60">
        <v>0</v>
      </c>
    </row>
    <row r="551" spans="1:5">
      <c r="A551" s="58" t="s">
        <v>189</v>
      </c>
      <c r="B551" s="58" t="s">
        <v>345</v>
      </c>
      <c r="C551" s="59">
        <v>45327</v>
      </c>
      <c r="D551" s="59">
        <v>45327</v>
      </c>
      <c r="E551" s="60">
        <v>0</v>
      </c>
    </row>
    <row r="552" spans="1:5">
      <c r="A552" s="58" t="s">
        <v>190</v>
      </c>
      <c r="B552" s="58" t="s">
        <v>346</v>
      </c>
      <c r="C552" s="59">
        <v>45323</v>
      </c>
      <c r="D552" s="59">
        <v>45323</v>
      </c>
      <c r="E552" s="60">
        <v>0</v>
      </c>
    </row>
    <row r="553" spans="1:5">
      <c r="A553" s="58" t="s">
        <v>190</v>
      </c>
      <c r="B553" s="58" t="s">
        <v>346</v>
      </c>
      <c r="C553" s="59">
        <v>45324</v>
      </c>
      <c r="D553" s="59">
        <v>45324</v>
      </c>
      <c r="E553" s="60">
        <v>0</v>
      </c>
    </row>
    <row r="554" spans="1:5">
      <c r="A554" s="58" t="s">
        <v>190</v>
      </c>
      <c r="B554" s="58" t="s">
        <v>346</v>
      </c>
      <c r="C554" s="59">
        <v>45325</v>
      </c>
      <c r="D554" s="59">
        <v>45325</v>
      </c>
      <c r="E554" s="60">
        <v>0</v>
      </c>
    </row>
    <row r="555" spans="1:5">
      <c r="A555" s="58" t="s">
        <v>190</v>
      </c>
      <c r="B555" s="58" t="s">
        <v>346</v>
      </c>
      <c r="C555" s="59">
        <v>45326</v>
      </c>
      <c r="D555" s="59">
        <v>45326</v>
      </c>
      <c r="E555" s="60">
        <v>0</v>
      </c>
    </row>
    <row r="556" spans="1:5">
      <c r="A556" s="58" t="s">
        <v>190</v>
      </c>
      <c r="B556" s="58" t="s">
        <v>346</v>
      </c>
      <c r="C556" s="59">
        <v>45327</v>
      </c>
      <c r="D556" s="59">
        <v>45327</v>
      </c>
      <c r="E556" s="60">
        <v>0</v>
      </c>
    </row>
    <row r="557" spans="1:5">
      <c r="A557" s="58" t="s">
        <v>191</v>
      </c>
      <c r="B557" s="58" t="s">
        <v>347</v>
      </c>
      <c r="C557" s="59">
        <v>45323</v>
      </c>
      <c r="D557" s="59">
        <v>45323</v>
      </c>
      <c r="E557" s="60">
        <v>0</v>
      </c>
    </row>
    <row r="558" spans="1:5">
      <c r="A558" s="58" t="s">
        <v>191</v>
      </c>
      <c r="B558" s="58" t="s">
        <v>347</v>
      </c>
      <c r="C558" s="59">
        <v>45324</v>
      </c>
      <c r="D558" s="59">
        <v>45324</v>
      </c>
      <c r="E558" s="60">
        <v>0</v>
      </c>
    </row>
    <row r="559" spans="1:5">
      <c r="A559" s="58" t="s">
        <v>191</v>
      </c>
      <c r="B559" s="58" t="s">
        <v>347</v>
      </c>
      <c r="C559" s="59">
        <v>45325</v>
      </c>
      <c r="D559" s="59">
        <v>45325</v>
      </c>
      <c r="E559" s="60">
        <v>0</v>
      </c>
    </row>
    <row r="560" spans="1:5">
      <c r="A560" s="58" t="s">
        <v>191</v>
      </c>
      <c r="B560" s="58" t="s">
        <v>347</v>
      </c>
      <c r="C560" s="59">
        <v>45326</v>
      </c>
      <c r="D560" s="59">
        <v>45326</v>
      </c>
      <c r="E560" s="60">
        <v>0</v>
      </c>
    </row>
    <row r="561" spans="1:5">
      <c r="A561" s="58" t="s">
        <v>191</v>
      </c>
      <c r="B561" s="58" t="s">
        <v>347</v>
      </c>
      <c r="C561" s="59">
        <v>45327</v>
      </c>
      <c r="D561" s="59">
        <v>45327</v>
      </c>
      <c r="E561" s="60">
        <v>0</v>
      </c>
    </row>
    <row r="562" spans="1:5">
      <c r="A562" s="58" t="s">
        <v>74</v>
      </c>
      <c r="B562" s="58" t="s">
        <v>344</v>
      </c>
      <c r="C562" s="59">
        <v>45323</v>
      </c>
      <c r="D562" s="59">
        <v>45323</v>
      </c>
      <c r="E562" s="60">
        <v>0</v>
      </c>
    </row>
    <row r="563" spans="1:5">
      <c r="A563" s="58" t="s">
        <v>74</v>
      </c>
      <c r="B563" s="58" t="s">
        <v>344</v>
      </c>
      <c r="C563" s="59">
        <v>45324</v>
      </c>
      <c r="D563" s="59">
        <v>45324</v>
      </c>
      <c r="E563" s="60">
        <v>0</v>
      </c>
    </row>
    <row r="564" spans="1:5">
      <c r="A564" s="58" t="s">
        <v>74</v>
      </c>
      <c r="B564" s="58" t="s">
        <v>344</v>
      </c>
      <c r="C564" s="59">
        <v>45325</v>
      </c>
      <c r="D564" s="59">
        <v>45325</v>
      </c>
      <c r="E564" s="60">
        <v>0</v>
      </c>
    </row>
    <row r="565" spans="1:5">
      <c r="A565" s="58" t="s">
        <v>74</v>
      </c>
      <c r="B565" s="58" t="s">
        <v>344</v>
      </c>
      <c r="C565" s="59">
        <v>45326</v>
      </c>
      <c r="D565" s="59">
        <v>45326</v>
      </c>
      <c r="E565" s="60">
        <v>0</v>
      </c>
    </row>
    <row r="566" spans="1:5">
      <c r="A566" s="58" t="s">
        <v>74</v>
      </c>
      <c r="B566" s="58" t="s">
        <v>344</v>
      </c>
      <c r="C566" s="59">
        <v>45327</v>
      </c>
      <c r="D566" s="59">
        <v>45327</v>
      </c>
      <c r="E566" s="60">
        <v>0</v>
      </c>
    </row>
    <row r="567" spans="1:5">
      <c r="A567" s="58" t="s">
        <v>192</v>
      </c>
      <c r="B567" s="58" t="s">
        <v>345</v>
      </c>
      <c r="C567" s="59">
        <v>45323</v>
      </c>
      <c r="D567" s="59">
        <v>45323</v>
      </c>
      <c r="E567" s="60">
        <v>0</v>
      </c>
    </row>
    <row r="568" spans="1:5">
      <c r="A568" s="58" t="s">
        <v>192</v>
      </c>
      <c r="B568" s="58" t="s">
        <v>345</v>
      </c>
      <c r="C568" s="59">
        <v>45324</v>
      </c>
      <c r="D568" s="59">
        <v>45324</v>
      </c>
      <c r="E568" s="60">
        <v>0</v>
      </c>
    </row>
    <row r="569" spans="1:5">
      <c r="A569" s="58" t="s">
        <v>192</v>
      </c>
      <c r="B569" s="58" t="s">
        <v>345</v>
      </c>
      <c r="C569" s="59">
        <v>45325</v>
      </c>
      <c r="D569" s="59">
        <v>45325</v>
      </c>
      <c r="E569" s="60">
        <v>0</v>
      </c>
    </row>
    <row r="570" spans="1:5">
      <c r="A570" s="58" t="s">
        <v>192</v>
      </c>
      <c r="B570" s="58" t="s">
        <v>345</v>
      </c>
      <c r="C570" s="59">
        <v>45326</v>
      </c>
      <c r="D570" s="59">
        <v>45326</v>
      </c>
      <c r="E570" s="60">
        <v>0</v>
      </c>
    </row>
    <row r="571" spans="1:5">
      <c r="A571" s="58" t="s">
        <v>192</v>
      </c>
      <c r="B571" s="58" t="s">
        <v>345</v>
      </c>
      <c r="C571" s="59">
        <v>45327</v>
      </c>
      <c r="D571" s="59">
        <v>45327</v>
      </c>
      <c r="E571" s="60">
        <v>0</v>
      </c>
    </row>
    <row r="572" spans="1:5">
      <c r="A572" s="58" t="s">
        <v>193</v>
      </c>
      <c r="B572" s="58" t="s">
        <v>346</v>
      </c>
      <c r="C572" s="59">
        <v>45323</v>
      </c>
      <c r="D572" s="59">
        <v>45323</v>
      </c>
      <c r="E572" s="60">
        <v>0</v>
      </c>
    </row>
    <row r="573" spans="1:5">
      <c r="A573" s="58" t="s">
        <v>193</v>
      </c>
      <c r="B573" s="58" t="s">
        <v>346</v>
      </c>
      <c r="C573" s="59">
        <v>45324</v>
      </c>
      <c r="D573" s="59">
        <v>45324</v>
      </c>
      <c r="E573" s="60">
        <v>0</v>
      </c>
    </row>
    <row r="574" spans="1:5">
      <c r="A574" s="58" t="s">
        <v>193</v>
      </c>
      <c r="B574" s="58" t="s">
        <v>346</v>
      </c>
      <c r="C574" s="59">
        <v>45325</v>
      </c>
      <c r="D574" s="59">
        <v>45325</v>
      </c>
      <c r="E574" s="60">
        <v>0</v>
      </c>
    </row>
    <row r="575" spans="1:5">
      <c r="A575" s="58" t="s">
        <v>193</v>
      </c>
      <c r="B575" s="58" t="s">
        <v>346</v>
      </c>
      <c r="C575" s="59">
        <v>45326</v>
      </c>
      <c r="D575" s="59">
        <v>45326</v>
      </c>
      <c r="E575" s="60">
        <v>0</v>
      </c>
    </row>
    <row r="576" spans="1:5">
      <c r="A576" s="58" t="s">
        <v>193</v>
      </c>
      <c r="B576" s="58" t="s">
        <v>346</v>
      </c>
      <c r="C576" s="59">
        <v>45327</v>
      </c>
      <c r="D576" s="59">
        <v>45327</v>
      </c>
      <c r="E576" s="60">
        <v>0</v>
      </c>
    </row>
    <row r="577" spans="1:5">
      <c r="A577" s="58" t="s">
        <v>194</v>
      </c>
      <c r="B577" s="58" t="s">
        <v>347</v>
      </c>
      <c r="C577" s="59">
        <v>45323</v>
      </c>
      <c r="D577" s="59">
        <v>45323</v>
      </c>
      <c r="E577" s="60">
        <v>0</v>
      </c>
    </row>
    <row r="578" spans="1:5">
      <c r="A578" s="58" t="s">
        <v>194</v>
      </c>
      <c r="B578" s="58" t="s">
        <v>347</v>
      </c>
      <c r="C578" s="59">
        <v>45324</v>
      </c>
      <c r="D578" s="59">
        <v>45324</v>
      </c>
      <c r="E578" s="60">
        <v>0</v>
      </c>
    </row>
    <row r="579" spans="1:5">
      <c r="A579" s="58" t="s">
        <v>194</v>
      </c>
      <c r="B579" s="58" t="s">
        <v>347</v>
      </c>
      <c r="C579" s="59">
        <v>45325</v>
      </c>
      <c r="D579" s="59">
        <v>45325</v>
      </c>
      <c r="E579" s="60">
        <v>0</v>
      </c>
    </row>
    <row r="580" spans="1:5">
      <c r="A580" s="58" t="s">
        <v>194</v>
      </c>
      <c r="B580" s="58" t="s">
        <v>347</v>
      </c>
      <c r="C580" s="59">
        <v>45326</v>
      </c>
      <c r="D580" s="59">
        <v>45326</v>
      </c>
      <c r="E580" s="60">
        <v>0</v>
      </c>
    </row>
    <row r="581" spans="1:5">
      <c r="A581" s="58" t="s">
        <v>194</v>
      </c>
      <c r="B581" s="58" t="s">
        <v>347</v>
      </c>
      <c r="C581" s="59">
        <v>45327</v>
      </c>
      <c r="D581" s="59">
        <v>45327</v>
      </c>
      <c r="E581" s="60">
        <v>0</v>
      </c>
    </row>
    <row r="582" spans="1:5">
      <c r="A582" s="58" t="s">
        <v>77</v>
      </c>
      <c r="B582" s="58" t="s">
        <v>344</v>
      </c>
      <c r="C582" s="59">
        <v>45323</v>
      </c>
      <c r="D582" s="59">
        <v>45323</v>
      </c>
      <c r="E582" s="60">
        <v>0</v>
      </c>
    </row>
    <row r="583" spans="1:5">
      <c r="A583" s="58" t="s">
        <v>77</v>
      </c>
      <c r="B583" s="58" t="s">
        <v>344</v>
      </c>
      <c r="C583" s="59">
        <v>45324</v>
      </c>
      <c r="D583" s="59">
        <v>45324</v>
      </c>
      <c r="E583" s="60">
        <v>0</v>
      </c>
    </row>
    <row r="584" spans="1:5">
      <c r="A584" s="58" t="s">
        <v>77</v>
      </c>
      <c r="B584" s="58" t="s">
        <v>344</v>
      </c>
      <c r="C584" s="59">
        <v>45325</v>
      </c>
      <c r="D584" s="59">
        <v>45325</v>
      </c>
      <c r="E584" s="60">
        <v>0</v>
      </c>
    </row>
    <row r="585" spans="1:5">
      <c r="A585" s="58" t="s">
        <v>77</v>
      </c>
      <c r="B585" s="58" t="s">
        <v>344</v>
      </c>
      <c r="C585" s="59">
        <v>45326</v>
      </c>
      <c r="D585" s="59">
        <v>45326</v>
      </c>
      <c r="E585" s="60">
        <v>0</v>
      </c>
    </row>
    <row r="586" spans="1:5">
      <c r="A586" s="58" t="s">
        <v>77</v>
      </c>
      <c r="B586" s="58" t="s">
        <v>344</v>
      </c>
      <c r="C586" s="59">
        <v>45327</v>
      </c>
      <c r="D586" s="59">
        <v>45327</v>
      </c>
      <c r="E586" s="60">
        <v>0</v>
      </c>
    </row>
    <row r="587" spans="1:5">
      <c r="A587" s="58" t="s">
        <v>195</v>
      </c>
      <c r="B587" s="58" t="s">
        <v>345</v>
      </c>
      <c r="C587" s="59">
        <v>45323</v>
      </c>
      <c r="D587" s="59">
        <v>45323</v>
      </c>
      <c r="E587" s="60">
        <v>0</v>
      </c>
    </row>
    <row r="588" spans="1:5">
      <c r="A588" s="58" t="s">
        <v>195</v>
      </c>
      <c r="B588" s="58" t="s">
        <v>345</v>
      </c>
      <c r="C588" s="59">
        <v>45324</v>
      </c>
      <c r="D588" s="59">
        <v>45324</v>
      </c>
      <c r="E588" s="60">
        <v>0</v>
      </c>
    </row>
    <row r="589" spans="1:5">
      <c r="A589" s="58" t="s">
        <v>195</v>
      </c>
      <c r="B589" s="58" t="s">
        <v>345</v>
      </c>
      <c r="C589" s="59">
        <v>45325</v>
      </c>
      <c r="D589" s="59">
        <v>45325</v>
      </c>
      <c r="E589" s="60">
        <v>0</v>
      </c>
    </row>
    <row r="590" spans="1:5">
      <c r="A590" s="58" t="s">
        <v>195</v>
      </c>
      <c r="B590" s="58" t="s">
        <v>345</v>
      </c>
      <c r="C590" s="59">
        <v>45326</v>
      </c>
      <c r="D590" s="59">
        <v>45326</v>
      </c>
      <c r="E590" s="60">
        <v>0</v>
      </c>
    </row>
    <row r="591" spans="1:5">
      <c r="A591" s="58" t="s">
        <v>195</v>
      </c>
      <c r="B591" s="58" t="s">
        <v>345</v>
      </c>
      <c r="C591" s="59">
        <v>45327</v>
      </c>
      <c r="D591" s="59">
        <v>45327</v>
      </c>
      <c r="E591" s="60">
        <v>0</v>
      </c>
    </row>
    <row r="592" spans="1:5">
      <c r="A592" s="58" t="s">
        <v>196</v>
      </c>
      <c r="B592" s="58" t="s">
        <v>346</v>
      </c>
      <c r="C592" s="59">
        <v>45323</v>
      </c>
      <c r="D592" s="59">
        <v>45323</v>
      </c>
      <c r="E592" s="60">
        <v>0</v>
      </c>
    </row>
    <row r="593" spans="1:5">
      <c r="A593" s="58" t="s">
        <v>196</v>
      </c>
      <c r="B593" s="58" t="s">
        <v>346</v>
      </c>
      <c r="C593" s="59">
        <v>45324</v>
      </c>
      <c r="D593" s="59">
        <v>45324</v>
      </c>
      <c r="E593" s="60">
        <v>0</v>
      </c>
    </row>
    <row r="594" spans="1:5">
      <c r="A594" s="58" t="s">
        <v>196</v>
      </c>
      <c r="B594" s="58" t="s">
        <v>346</v>
      </c>
      <c r="C594" s="59">
        <v>45325</v>
      </c>
      <c r="D594" s="59">
        <v>45325</v>
      </c>
      <c r="E594" s="60">
        <v>0</v>
      </c>
    </row>
    <row r="595" spans="1:5">
      <c r="A595" s="58" t="s">
        <v>196</v>
      </c>
      <c r="B595" s="58" t="s">
        <v>346</v>
      </c>
      <c r="C595" s="59">
        <v>45326</v>
      </c>
      <c r="D595" s="59">
        <v>45326</v>
      </c>
      <c r="E595" s="60">
        <v>0</v>
      </c>
    </row>
    <row r="596" spans="1:5">
      <c r="A596" s="58" t="s">
        <v>196</v>
      </c>
      <c r="B596" s="58" t="s">
        <v>346</v>
      </c>
      <c r="C596" s="59">
        <v>45327</v>
      </c>
      <c r="D596" s="59">
        <v>45327</v>
      </c>
      <c r="E596" s="60">
        <v>0</v>
      </c>
    </row>
    <row r="597" spans="1:5">
      <c r="A597" s="58" t="s">
        <v>197</v>
      </c>
      <c r="B597" s="58" t="s">
        <v>347</v>
      </c>
      <c r="C597" s="59">
        <v>45323</v>
      </c>
      <c r="D597" s="59">
        <v>45323</v>
      </c>
      <c r="E597" s="60">
        <v>0</v>
      </c>
    </row>
    <row r="598" spans="1:5">
      <c r="A598" s="58" t="s">
        <v>197</v>
      </c>
      <c r="B598" s="58" t="s">
        <v>347</v>
      </c>
      <c r="C598" s="59">
        <v>45324</v>
      </c>
      <c r="D598" s="59">
        <v>45324</v>
      </c>
      <c r="E598" s="60">
        <v>0</v>
      </c>
    </row>
    <row r="599" spans="1:5">
      <c r="A599" s="58" t="s">
        <v>197</v>
      </c>
      <c r="B599" s="58" t="s">
        <v>347</v>
      </c>
      <c r="C599" s="59">
        <v>45325</v>
      </c>
      <c r="D599" s="59">
        <v>45325</v>
      </c>
      <c r="E599" s="60">
        <v>0</v>
      </c>
    </row>
    <row r="600" spans="1:5">
      <c r="A600" s="58" t="s">
        <v>197</v>
      </c>
      <c r="B600" s="58" t="s">
        <v>347</v>
      </c>
      <c r="C600" s="59">
        <v>45326</v>
      </c>
      <c r="D600" s="59">
        <v>45326</v>
      </c>
      <c r="E600" s="60">
        <v>0</v>
      </c>
    </row>
    <row r="601" spans="1:5">
      <c r="A601" s="58" t="s">
        <v>197</v>
      </c>
      <c r="B601" s="58" t="s">
        <v>347</v>
      </c>
      <c r="C601" s="59">
        <v>45327</v>
      </c>
      <c r="D601" s="59">
        <v>45327</v>
      </c>
      <c r="E601" s="60">
        <v>0</v>
      </c>
    </row>
    <row r="602" spans="1:5">
      <c r="A602" s="58" t="s">
        <v>79</v>
      </c>
      <c r="B602" s="58" t="s">
        <v>344</v>
      </c>
      <c r="C602" s="59">
        <v>45323</v>
      </c>
      <c r="D602" s="59">
        <v>45323</v>
      </c>
      <c r="E602" s="60">
        <v>0</v>
      </c>
    </row>
    <row r="603" spans="1:5">
      <c r="A603" s="58" t="s">
        <v>79</v>
      </c>
      <c r="B603" s="58" t="s">
        <v>344</v>
      </c>
      <c r="C603" s="59">
        <v>45324</v>
      </c>
      <c r="D603" s="59">
        <v>45324</v>
      </c>
      <c r="E603" s="60">
        <v>0</v>
      </c>
    </row>
    <row r="604" spans="1:5">
      <c r="A604" s="58" t="s">
        <v>79</v>
      </c>
      <c r="B604" s="58" t="s">
        <v>344</v>
      </c>
      <c r="C604" s="59">
        <v>45325</v>
      </c>
      <c r="D604" s="59">
        <v>45325</v>
      </c>
      <c r="E604" s="60">
        <v>0</v>
      </c>
    </row>
    <row r="605" spans="1:5">
      <c r="A605" s="58" t="s">
        <v>79</v>
      </c>
      <c r="B605" s="58" t="s">
        <v>344</v>
      </c>
      <c r="C605" s="59">
        <v>45326</v>
      </c>
      <c r="D605" s="59">
        <v>45326</v>
      </c>
      <c r="E605" s="60">
        <v>0</v>
      </c>
    </row>
    <row r="606" spans="1:5">
      <c r="A606" s="58" t="s">
        <v>79</v>
      </c>
      <c r="B606" s="58" t="s">
        <v>344</v>
      </c>
      <c r="C606" s="59">
        <v>45327</v>
      </c>
      <c r="D606" s="59">
        <v>45327</v>
      </c>
      <c r="E606" s="60">
        <v>0</v>
      </c>
    </row>
    <row r="607" spans="1:5">
      <c r="A607" s="58" t="s">
        <v>198</v>
      </c>
      <c r="B607" s="58" t="s">
        <v>345</v>
      </c>
      <c r="C607" s="59">
        <v>45323</v>
      </c>
      <c r="D607" s="59">
        <v>45323</v>
      </c>
      <c r="E607" s="60">
        <v>0</v>
      </c>
    </row>
    <row r="608" spans="1:5">
      <c r="A608" s="58" t="s">
        <v>198</v>
      </c>
      <c r="B608" s="58" t="s">
        <v>345</v>
      </c>
      <c r="C608" s="59">
        <v>45324</v>
      </c>
      <c r="D608" s="59">
        <v>45324</v>
      </c>
      <c r="E608" s="60">
        <v>0</v>
      </c>
    </row>
    <row r="609" spans="1:5">
      <c r="A609" s="58" t="s">
        <v>198</v>
      </c>
      <c r="B609" s="58" t="s">
        <v>345</v>
      </c>
      <c r="C609" s="59">
        <v>45325</v>
      </c>
      <c r="D609" s="59">
        <v>45325</v>
      </c>
      <c r="E609" s="60">
        <v>0</v>
      </c>
    </row>
    <row r="610" spans="1:5">
      <c r="A610" s="58" t="s">
        <v>198</v>
      </c>
      <c r="B610" s="58" t="s">
        <v>345</v>
      </c>
      <c r="C610" s="59">
        <v>45326</v>
      </c>
      <c r="D610" s="59">
        <v>45326</v>
      </c>
      <c r="E610" s="60">
        <v>0</v>
      </c>
    </row>
    <row r="611" spans="1:5">
      <c r="A611" s="58" t="s">
        <v>198</v>
      </c>
      <c r="B611" s="58" t="s">
        <v>345</v>
      </c>
      <c r="C611" s="59">
        <v>45327</v>
      </c>
      <c r="D611" s="59">
        <v>45327</v>
      </c>
      <c r="E611" s="60">
        <v>0</v>
      </c>
    </row>
    <row r="612" spans="1:5">
      <c r="A612" s="58" t="s">
        <v>199</v>
      </c>
      <c r="B612" s="58" t="s">
        <v>346</v>
      </c>
      <c r="C612" s="59">
        <v>45323</v>
      </c>
      <c r="D612" s="59">
        <v>45323</v>
      </c>
      <c r="E612" s="60">
        <v>0</v>
      </c>
    </row>
    <row r="613" spans="1:5">
      <c r="A613" s="58" t="s">
        <v>199</v>
      </c>
      <c r="B613" s="58" t="s">
        <v>346</v>
      </c>
      <c r="C613" s="59">
        <v>45324</v>
      </c>
      <c r="D613" s="59">
        <v>45324</v>
      </c>
      <c r="E613" s="60">
        <v>0</v>
      </c>
    </row>
    <row r="614" spans="1:5">
      <c r="A614" s="58" t="s">
        <v>199</v>
      </c>
      <c r="B614" s="58" t="s">
        <v>346</v>
      </c>
      <c r="C614" s="59">
        <v>45325</v>
      </c>
      <c r="D614" s="59">
        <v>45325</v>
      </c>
      <c r="E614" s="60">
        <v>0</v>
      </c>
    </row>
    <row r="615" spans="1:5">
      <c r="A615" s="58" t="s">
        <v>199</v>
      </c>
      <c r="B615" s="58" t="s">
        <v>346</v>
      </c>
      <c r="C615" s="59">
        <v>45326</v>
      </c>
      <c r="D615" s="59">
        <v>45326</v>
      </c>
      <c r="E615" s="60">
        <v>0</v>
      </c>
    </row>
    <row r="616" spans="1:5">
      <c r="A616" s="58" t="s">
        <v>199</v>
      </c>
      <c r="B616" s="58" t="s">
        <v>346</v>
      </c>
      <c r="C616" s="59">
        <v>45327</v>
      </c>
      <c r="D616" s="59">
        <v>45327</v>
      </c>
      <c r="E616" s="60">
        <v>0</v>
      </c>
    </row>
    <row r="617" spans="1:5">
      <c r="A617" s="58" t="s">
        <v>200</v>
      </c>
      <c r="B617" s="58" t="s">
        <v>347</v>
      </c>
      <c r="C617" s="59">
        <v>45323</v>
      </c>
      <c r="D617" s="59">
        <v>45323</v>
      </c>
      <c r="E617" s="60">
        <v>0</v>
      </c>
    </row>
    <row r="618" spans="1:5">
      <c r="A618" s="58" t="s">
        <v>200</v>
      </c>
      <c r="B618" s="58" t="s">
        <v>347</v>
      </c>
      <c r="C618" s="59">
        <v>45324</v>
      </c>
      <c r="D618" s="59">
        <v>45324</v>
      </c>
      <c r="E618" s="60">
        <v>0</v>
      </c>
    </row>
    <row r="619" spans="1:5">
      <c r="A619" s="58" t="s">
        <v>200</v>
      </c>
      <c r="B619" s="58" t="s">
        <v>347</v>
      </c>
      <c r="C619" s="59">
        <v>45325</v>
      </c>
      <c r="D619" s="59">
        <v>45325</v>
      </c>
      <c r="E619" s="60">
        <v>0</v>
      </c>
    </row>
    <row r="620" spans="1:5">
      <c r="A620" s="58" t="s">
        <v>200</v>
      </c>
      <c r="B620" s="58" t="s">
        <v>347</v>
      </c>
      <c r="C620" s="59">
        <v>45326</v>
      </c>
      <c r="D620" s="59">
        <v>45326</v>
      </c>
      <c r="E620" s="60">
        <v>0</v>
      </c>
    </row>
    <row r="621" spans="1:5">
      <c r="A621" s="58" t="s">
        <v>200</v>
      </c>
      <c r="B621" s="58" t="s">
        <v>347</v>
      </c>
      <c r="C621" s="59">
        <v>45327</v>
      </c>
      <c r="D621" s="59">
        <v>45327</v>
      </c>
      <c r="E621" s="60">
        <v>0</v>
      </c>
    </row>
    <row r="622" spans="1:5">
      <c r="A622" s="58" t="s">
        <v>82</v>
      </c>
      <c r="B622" s="58" t="s">
        <v>344</v>
      </c>
      <c r="C622" s="59">
        <v>45323</v>
      </c>
      <c r="D622" s="59">
        <v>45323</v>
      </c>
      <c r="E622" s="60">
        <v>0</v>
      </c>
    </row>
    <row r="623" spans="1:5">
      <c r="A623" s="58" t="s">
        <v>82</v>
      </c>
      <c r="B623" s="58" t="s">
        <v>344</v>
      </c>
      <c r="C623" s="59">
        <v>45324</v>
      </c>
      <c r="D623" s="59">
        <v>45324</v>
      </c>
      <c r="E623" s="60">
        <v>184.66</v>
      </c>
    </row>
    <row r="624" spans="1:5">
      <c r="A624" s="58" t="s">
        <v>82</v>
      </c>
      <c r="B624" s="58" t="s">
        <v>344</v>
      </c>
      <c r="C624" s="59">
        <v>45325</v>
      </c>
      <c r="D624" s="59">
        <v>45325</v>
      </c>
      <c r="E624" s="60">
        <v>0</v>
      </c>
    </row>
    <row r="625" spans="1:5">
      <c r="A625" s="58" t="s">
        <v>82</v>
      </c>
      <c r="B625" s="58" t="s">
        <v>344</v>
      </c>
      <c r="C625" s="59">
        <v>45326</v>
      </c>
      <c r="D625" s="59">
        <v>45326</v>
      </c>
      <c r="E625" s="60">
        <v>0</v>
      </c>
    </row>
    <row r="626" spans="1:5">
      <c r="A626" s="58" t="s">
        <v>82</v>
      </c>
      <c r="B626" s="58" t="s">
        <v>344</v>
      </c>
      <c r="C626" s="59">
        <v>45327</v>
      </c>
      <c r="D626" s="59">
        <v>45327</v>
      </c>
      <c r="E626" s="60">
        <v>0</v>
      </c>
    </row>
    <row r="627" spans="1:5">
      <c r="A627" s="58" t="s">
        <v>201</v>
      </c>
      <c r="B627" s="58" t="s">
        <v>345</v>
      </c>
      <c r="C627" s="59">
        <v>45323</v>
      </c>
      <c r="D627" s="59">
        <v>45323</v>
      </c>
      <c r="E627" s="60">
        <v>0</v>
      </c>
    </row>
    <row r="628" spans="1:5">
      <c r="A628" s="58" t="s">
        <v>201</v>
      </c>
      <c r="B628" s="58" t="s">
        <v>345</v>
      </c>
      <c r="C628" s="59">
        <v>45324</v>
      </c>
      <c r="D628" s="59">
        <v>45324</v>
      </c>
      <c r="E628" s="60">
        <v>336.64</v>
      </c>
    </row>
    <row r="629" spans="1:5">
      <c r="A629" s="58" t="s">
        <v>201</v>
      </c>
      <c r="B629" s="58" t="s">
        <v>345</v>
      </c>
      <c r="C629" s="59">
        <v>45325</v>
      </c>
      <c r="D629" s="59">
        <v>45325</v>
      </c>
      <c r="E629" s="60">
        <v>0</v>
      </c>
    </row>
    <row r="630" spans="1:5">
      <c r="A630" s="58" t="s">
        <v>201</v>
      </c>
      <c r="B630" s="58" t="s">
        <v>345</v>
      </c>
      <c r="C630" s="59">
        <v>45326</v>
      </c>
      <c r="D630" s="59">
        <v>45326</v>
      </c>
      <c r="E630" s="60">
        <v>0</v>
      </c>
    </row>
    <row r="631" spans="1:5">
      <c r="A631" s="58" t="s">
        <v>201</v>
      </c>
      <c r="B631" s="58" t="s">
        <v>345</v>
      </c>
      <c r="C631" s="59">
        <v>45327</v>
      </c>
      <c r="D631" s="59">
        <v>45327</v>
      </c>
      <c r="E631" s="60">
        <v>0</v>
      </c>
    </row>
    <row r="632" spans="1:5">
      <c r="A632" s="58" t="s">
        <v>202</v>
      </c>
      <c r="B632" s="58" t="s">
        <v>346</v>
      </c>
      <c r="C632" s="59">
        <v>45323</v>
      </c>
      <c r="D632" s="59">
        <v>45323</v>
      </c>
      <c r="E632" s="60">
        <v>0</v>
      </c>
    </row>
    <row r="633" spans="1:5">
      <c r="A633" s="58" t="s">
        <v>202</v>
      </c>
      <c r="B633" s="58" t="s">
        <v>346</v>
      </c>
      <c r="C633" s="59">
        <v>45324</v>
      </c>
      <c r="D633" s="59">
        <v>45324</v>
      </c>
      <c r="E633" s="60">
        <v>0</v>
      </c>
    </row>
    <row r="634" spans="1:5">
      <c r="A634" s="58" t="s">
        <v>202</v>
      </c>
      <c r="B634" s="58" t="s">
        <v>346</v>
      </c>
      <c r="C634" s="59">
        <v>45325</v>
      </c>
      <c r="D634" s="59">
        <v>45325</v>
      </c>
      <c r="E634" s="60">
        <v>0</v>
      </c>
    </row>
    <row r="635" spans="1:5">
      <c r="A635" s="58" t="s">
        <v>202</v>
      </c>
      <c r="B635" s="58" t="s">
        <v>346</v>
      </c>
      <c r="C635" s="59">
        <v>45326</v>
      </c>
      <c r="D635" s="59">
        <v>45326</v>
      </c>
      <c r="E635" s="60">
        <v>0</v>
      </c>
    </row>
    <row r="636" spans="1:5">
      <c r="A636" s="58" t="s">
        <v>202</v>
      </c>
      <c r="B636" s="58" t="s">
        <v>346</v>
      </c>
      <c r="C636" s="59">
        <v>45327</v>
      </c>
      <c r="D636" s="59">
        <v>45327</v>
      </c>
      <c r="E636" s="60">
        <v>0</v>
      </c>
    </row>
    <row r="637" spans="1:5">
      <c r="A637" s="58" t="s">
        <v>203</v>
      </c>
      <c r="B637" s="58" t="s">
        <v>347</v>
      </c>
      <c r="C637" s="59">
        <v>45323</v>
      </c>
      <c r="D637" s="59">
        <v>45323</v>
      </c>
      <c r="E637" s="60">
        <v>0</v>
      </c>
    </row>
    <row r="638" spans="1:5">
      <c r="A638" s="58" t="s">
        <v>203</v>
      </c>
      <c r="B638" s="58" t="s">
        <v>347</v>
      </c>
      <c r="C638" s="59">
        <v>45324</v>
      </c>
      <c r="D638" s="59">
        <v>45324</v>
      </c>
      <c r="E638" s="60">
        <v>0</v>
      </c>
    </row>
    <row r="639" spans="1:5">
      <c r="A639" s="58" t="s">
        <v>203</v>
      </c>
      <c r="B639" s="58" t="s">
        <v>347</v>
      </c>
      <c r="C639" s="59">
        <v>45325</v>
      </c>
      <c r="D639" s="59">
        <v>45325</v>
      </c>
      <c r="E639" s="60">
        <v>0</v>
      </c>
    </row>
    <row r="640" spans="1:5">
      <c r="A640" s="58" t="s">
        <v>203</v>
      </c>
      <c r="B640" s="58" t="s">
        <v>347</v>
      </c>
      <c r="C640" s="59">
        <v>45326</v>
      </c>
      <c r="D640" s="59">
        <v>45326</v>
      </c>
      <c r="E640" s="60">
        <v>0</v>
      </c>
    </row>
    <row r="641" spans="1:5">
      <c r="A641" s="58" t="s">
        <v>203</v>
      </c>
      <c r="B641" s="58" t="s">
        <v>347</v>
      </c>
      <c r="C641" s="59">
        <v>45327</v>
      </c>
      <c r="D641" s="59">
        <v>45327</v>
      </c>
      <c r="E641" s="60">
        <v>0</v>
      </c>
    </row>
    <row r="642" spans="1:5">
      <c r="A642" s="58" t="s">
        <v>85</v>
      </c>
      <c r="B642" s="58" t="s">
        <v>344</v>
      </c>
      <c r="C642" s="59">
        <v>45323</v>
      </c>
      <c r="D642" s="59">
        <v>45323</v>
      </c>
      <c r="E642" s="60">
        <v>0</v>
      </c>
    </row>
    <row r="643" spans="1:5">
      <c r="A643" s="58" t="s">
        <v>85</v>
      </c>
      <c r="B643" s="58" t="s">
        <v>344</v>
      </c>
      <c r="C643" s="59">
        <v>45324</v>
      </c>
      <c r="D643" s="59">
        <v>45324</v>
      </c>
      <c r="E643" s="60">
        <v>0</v>
      </c>
    </row>
    <row r="644" spans="1:5">
      <c r="A644" s="58" t="s">
        <v>85</v>
      </c>
      <c r="B644" s="58" t="s">
        <v>344</v>
      </c>
      <c r="C644" s="59">
        <v>45325</v>
      </c>
      <c r="D644" s="59">
        <v>45325</v>
      </c>
      <c r="E644" s="60">
        <v>0</v>
      </c>
    </row>
    <row r="645" spans="1:5">
      <c r="A645" s="58" t="s">
        <v>85</v>
      </c>
      <c r="B645" s="58" t="s">
        <v>344</v>
      </c>
      <c r="C645" s="59">
        <v>45326</v>
      </c>
      <c r="D645" s="59">
        <v>45326</v>
      </c>
      <c r="E645" s="60">
        <v>0</v>
      </c>
    </row>
    <row r="646" spans="1:5">
      <c r="A646" s="58" t="s">
        <v>85</v>
      </c>
      <c r="B646" s="58" t="s">
        <v>344</v>
      </c>
      <c r="C646" s="59">
        <v>45327</v>
      </c>
      <c r="D646" s="59">
        <v>45327</v>
      </c>
      <c r="E646" s="60">
        <v>0</v>
      </c>
    </row>
    <row r="647" spans="1:5">
      <c r="A647" s="58" t="s">
        <v>204</v>
      </c>
      <c r="B647" s="58" t="s">
        <v>345</v>
      </c>
      <c r="C647" s="59">
        <v>45323</v>
      </c>
      <c r="D647" s="59">
        <v>45323</v>
      </c>
      <c r="E647" s="60">
        <v>0</v>
      </c>
    </row>
    <row r="648" spans="1:5">
      <c r="A648" s="58" t="s">
        <v>204</v>
      </c>
      <c r="B648" s="58" t="s">
        <v>345</v>
      </c>
      <c r="C648" s="59">
        <v>45324</v>
      </c>
      <c r="D648" s="59">
        <v>45324</v>
      </c>
      <c r="E648" s="60">
        <v>0</v>
      </c>
    </row>
    <row r="649" spans="1:5">
      <c r="A649" s="58" t="s">
        <v>204</v>
      </c>
      <c r="B649" s="58" t="s">
        <v>345</v>
      </c>
      <c r="C649" s="59">
        <v>45325</v>
      </c>
      <c r="D649" s="59">
        <v>45325</v>
      </c>
      <c r="E649" s="60">
        <v>0</v>
      </c>
    </row>
    <row r="650" spans="1:5">
      <c r="A650" s="58" t="s">
        <v>204</v>
      </c>
      <c r="B650" s="58" t="s">
        <v>345</v>
      </c>
      <c r="C650" s="59">
        <v>45326</v>
      </c>
      <c r="D650" s="59">
        <v>45326</v>
      </c>
      <c r="E650" s="60">
        <v>0</v>
      </c>
    </row>
    <row r="651" spans="1:5">
      <c r="A651" s="58" t="s">
        <v>204</v>
      </c>
      <c r="B651" s="58" t="s">
        <v>345</v>
      </c>
      <c r="C651" s="59">
        <v>45327</v>
      </c>
      <c r="D651" s="59">
        <v>45327</v>
      </c>
      <c r="E651" s="60">
        <v>0</v>
      </c>
    </row>
    <row r="652" spans="1:5">
      <c r="A652" s="58" t="s">
        <v>205</v>
      </c>
      <c r="B652" s="58" t="s">
        <v>346</v>
      </c>
      <c r="C652" s="59">
        <v>45323</v>
      </c>
      <c r="D652" s="59">
        <v>45323</v>
      </c>
      <c r="E652" s="60">
        <v>0</v>
      </c>
    </row>
    <row r="653" spans="1:5">
      <c r="A653" s="58" t="s">
        <v>205</v>
      </c>
      <c r="B653" s="58" t="s">
        <v>346</v>
      </c>
      <c r="C653" s="59">
        <v>45324</v>
      </c>
      <c r="D653" s="59">
        <v>45324</v>
      </c>
      <c r="E653" s="60">
        <v>0</v>
      </c>
    </row>
    <row r="654" spans="1:5">
      <c r="A654" s="58" t="s">
        <v>205</v>
      </c>
      <c r="B654" s="58" t="s">
        <v>346</v>
      </c>
      <c r="C654" s="59">
        <v>45325</v>
      </c>
      <c r="D654" s="59">
        <v>45325</v>
      </c>
      <c r="E654" s="60">
        <v>0</v>
      </c>
    </row>
    <row r="655" spans="1:5">
      <c r="A655" s="58" t="s">
        <v>205</v>
      </c>
      <c r="B655" s="58" t="s">
        <v>346</v>
      </c>
      <c r="C655" s="59">
        <v>45326</v>
      </c>
      <c r="D655" s="59">
        <v>45326</v>
      </c>
      <c r="E655" s="60">
        <v>0</v>
      </c>
    </row>
    <row r="656" spans="1:5">
      <c r="A656" s="58" t="s">
        <v>205</v>
      </c>
      <c r="B656" s="58" t="s">
        <v>346</v>
      </c>
      <c r="C656" s="59">
        <v>45327</v>
      </c>
      <c r="D656" s="59">
        <v>45327</v>
      </c>
      <c r="E656" s="60">
        <v>0</v>
      </c>
    </row>
    <row r="657" spans="1:5">
      <c r="A657" s="58" t="s">
        <v>206</v>
      </c>
      <c r="B657" s="58" t="s">
        <v>347</v>
      </c>
      <c r="C657" s="59">
        <v>45323</v>
      </c>
      <c r="D657" s="59">
        <v>45323</v>
      </c>
      <c r="E657" s="60">
        <v>0</v>
      </c>
    </row>
    <row r="658" spans="1:5">
      <c r="A658" s="58" t="s">
        <v>206</v>
      </c>
      <c r="B658" s="58" t="s">
        <v>347</v>
      </c>
      <c r="C658" s="59">
        <v>45324</v>
      </c>
      <c r="D658" s="59">
        <v>45324</v>
      </c>
      <c r="E658" s="60">
        <v>0</v>
      </c>
    </row>
    <row r="659" spans="1:5">
      <c r="A659" s="58" t="s">
        <v>206</v>
      </c>
      <c r="B659" s="58" t="s">
        <v>347</v>
      </c>
      <c r="C659" s="59">
        <v>45325</v>
      </c>
      <c r="D659" s="59">
        <v>45325</v>
      </c>
      <c r="E659" s="60">
        <v>0</v>
      </c>
    </row>
    <row r="660" spans="1:5">
      <c r="A660" s="58" t="s">
        <v>206</v>
      </c>
      <c r="B660" s="58" t="s">
        <v>347</v>
      </c>
      <c r="C660" s="59">
        <v>45326</v>
      </c>
      <c r="D660" s="59">
        <v>45326</v>
      </c>
      <c r="E660" s="60">
        <v>0</v>
      </c>
    </row>
    <row r="661" spans="1:5">
      <c r="A661" s="58" t="s">
        <v>206</v>
      </c>
      <c r="B661" s="58" t="s">
        <v>347</v>
      </c>
      <c r="C661" s="59">
        <v>45327</v>
      </c>
      <c r="D661" s="59">
        <v>45327</v>
      </c>
      <c r="E661" s="60">
        <v>0</v>
      </c>
    </row>
    <row r="662" spans="1:5">
      <c r="A662" s="58" t="s">
        <v>88</v>
      </c>
      <c r="B662" s="58" t="s">
        <v>344</v>
      </c>
      <c r="C662" s="59">
        <v>45323</v>
      </c>
      <c r="D662" s="59">
        <v>45323</v>
      </c>
      <c r="E662" s="60">
        <v>0</v>
      </c>
    </row>
    <row r="663" spans="1:5">
      <c r="A663" s="58" t="s">
        <v>88</v>
      </c>
      <c r="B663" s="58" t="s">
        <v>344</v>
      </c>
      <c r="C663" s="59">
        <v>45324</v>
      </c>
      <c r="D663" s="59">
        <v>45324</v>
      </c>
      <c r="E663" s="60">
        <v>0</v>
      </c>
    </row>
    <row r="664" spans="1:5">
      <c r="A664" s="58" t="s">
        <v>88</v>
      </c>
      <c r="B664" s="58" t="s">
        <v>344</v>
      </c>
      <c r="C664" s="59">
        <v>45325</v>
      </c>
      <c r="D664" s="59">
        <v>45325</v>
      </c>
      <c r="E664" s="60">
        <v>0</v>
      </c>
    </row>
    <row r="665" spans="1:5">
      <c r="A665" s="58" t="s">
        <v>88</v>
      </c>
      <c r="B665" s="58" t="s">
        <v>344</v>
      </c>
      <c r="C665" s="59">
        <v>45326</v>
      </c>
      <c r="D665" s="59">
        <v>45326</v>
      </c>
      <c r="E665" s="60">
        <v>0</v>
      </c>
    </row>
    <row r="666" spans="1:5">
      <c r="A666" s="58" t="s">
        <v>88</v>
      </c>
      <c r="B666" s="58" t="s">
        <v>344</v>
      </c>
      <c r="C666" s="59">
        <v>45327</v>
      </c>
      <c r="D666" s="59">
        <v>45327</v>
      </c>
      <c r="E666" s="60">
        <v>854.27</v>
      </c>
    </row>
    <row r="667" spans="1:5">
      <c r="A667" s="58" t="s">
        <v>207</v>
      </c>
      <c r="B667" s="58" t="s">
        <v>345</v>
      </c>
      <c r="C667" s="59">
        <v>45323</v>
      </c>
      <c r="D667" s="59">
        <v>45323</v>
      </c>
      <c r="E667" s="60">
        <v>0</v>
      </c>
    </row>
    <row r="668" spans="1:5">
      <c r="A668" s="58" t="s">
        <v>207</v>
      </c>
      <c r="B668" s="58" t="s">
        <v>345</v>
      </c>
      <c r="C668" s="59">
        <v>45324</v>
      </c>
      <c r="D668" s="59">
        <v>45324</v>
      </c>
      <c r="E668" s="60">
        <v>60.12</v>
      </c>
    </row>
    <row r="669" spans="1:5">
      <c r="A669" s="58" t="s">
        <v>207</v>
      </c>
      <c r="B669" s="58" t="s">
        <v>345</v>
      </c>
      <c r="C669" s="59">
        <v>45325</v>
      </c>
      <c r="D669" s="59">
        <v>45325</v>
      </c>
      <c r="E669" s="60">
        <v>0</v>
      </c>
    </row>
    <row r="670" spans="1:5">
      <c r="A670" s="58" t="s">
        <v>207</v>
      </c>
      <c r="B670" s="58" t="s">
        <v>345</v>
      </c>
      <c r="C670" s="59">
        <v>45326</v>
      </c>
      <c r="D670" s="59">
        <v>45326</v>
      </c>
      <c r="E670" s="60">
        <v>0</v>
      </c>
    </row>
    <row r="671" spans="1:5">
      <c r="A671" s="58" t="s">
        <v>207</v>
      </c>
      <c r="B671" s="58" t="s">
        <v>345</v>
      </c>
      <c r="C671" s="59">
        <v>45327</v>
      </c>
      <c r="D671" s="59">
        <v>45327</v>
      </c>
      <c r="E671" s="60">
        <v>0</v>
      </c>
    </row>
    <row r="672" spans="1:5">
      <c r="A672" s="58" t="s">
        <v>208</v>
      </c>
      <c r="B672" s="58" t="s">
        <v>346</v>
      </c>
      <c r="C672" s="59">
        <v>45323</v>
      </c>
      <c r="D672" s="59">
        <v>45323</v>
      </c>
      <c r="E672" s="60">
        <v>0</v>
      </c>
    </row>
    <row r="673" spans="1:5">
      <c r="A673" s="58" t="s">
        <v>208</v>
      </c>
      <c r="B673" s="58" t="s">
        <v>346</v>
      </c>
      <c r="C673" s="59">
        <v>45324</v>
      </c>
      <c r="D673" s="59">
        <v>45324</v>
      </c>
      <c r="E673" s="60">
        <v>50.62</v>
      </c>
    </row>
    <row r="674" spans="1:5">
      <c r="A674" s="58" t="s">
        <v>208</v>
      </c>
      <c r="B674" s="58" t="s">
        <v>346</v>
      </c>
      <c r="C674" s="59">
        <v>45325</v>
      </c>
      <c r="D674" s="59">
        <v>45325</v>
      </c>
      <c r="E674" s="60">
        <v>0</v>
      </c>
    </row>
    <row r="675" spans="1:5">
      <c r="A675" s="58" t="s">
        <v>208</v>
      </c>
      <c r="B675" s="58" t="s">
        <v>346</v>
      </c>
      <c r="C675" s="59">
        <v>45326</v>
      </c>
      <c r="D675" s="59">
        <v>45326</v>
      </c>
      <c r="E675" s="60">
        <v>0</v>
      </c>
    </row>
    <row r="676" spans="1:5">
      <c r="A676" s="58" t="s">
        <v>208</v>
      </c>
      <c r="B676" s="58" t="s">
        <v>346</v>
      </c>
      <c r="C676" s="59">
        <v>45327</v>
      </c>
      <c r="D676" s="59">
        <v>45327</v>
      </c>
      <c r="E676" s="60">
        <v>0</v>
      </c>
    </row>
    <row r="677" spans="1:5">
      <c r="A677" s="58" t="s">
        <v>209</v>
      </c>
      <c r="B677" s="58" t="s">
        <v>347</v>
      </c>
      <c r="C677" s="59">
        <v>45323</v>
      </c>
      <c r="D677" s="59">
        <v>45323</v>
      </c>
      <c r="E677" s="60">
        <v>0</v>
      </c>
    </row>
    <row r="678" spans="1:5">
      <c r="A678" s="58" t="s">
        <v>209</v>
      </c>
      <c r="B678" s="58" t="s">
        <v>347</v>
      </c>
      <c r="C678" s="59">
        <v>45324</v>
      </c>
      <c r="D678" s="59">
        <v>45324</v>
      </c>
      <c r="E678" s="60">
        <v>0</v>
      </c>
    </row>
    <row r="679" spans="1:5">
      <c r="A679" s="58" t="s">
        <v>209</v>
      </c>
      <c r="B679" s="58" t="s">
        <v>347</v>
      </c>
      <c r="C679" s="59">
        <v>45325</v>
      </c>
      <c r="D679" s="59">
        <v>45325</v>
      </c>
      <c r="E679" s="60">
        <v>0</v>
      </c>
    </row>
    <row r="680" spans="1:5">
      <c r="A680" s="58" t="s">
        <v>209</v>
      </c>
      <c r="B680" s="58" t="s">
        <v>347</v>
      </c>
      <c r="C680" s="59">
        <v>45326</v>
      </c>
      <c r="D680" s="59">
        <v>45326</v>
      </c>
      <c r="E680" s="60">
        <v>0</v>
      </c>
    </row>
    <row r="681" spans="1:5">
      <c r="A681" s="58" t="s">
        <v>209</v>
      </c>
      <c r="B681" s="58" t="s">
        <v>347</v>
      </c>
      <c r="C681" s="59">
        <v>45327</v>
      </c>
      <c r="D681" s="59">
        <v>45327</v>
      </c>
      <c r="E681" s="60">
        <v>0</v>
      </c>
    </row>
    <row r="682" spans="1:5">
      <c r="A682" s="58" t="s">
        <v>210</v>
      </c>
      <c r="B682" s="58" t="s">
        <v>344</v>
      </c>
      <c r="C682" s="59">
        <v>45323</v>
      </c>
      <c r="D682" s="59">
        <v>45323</v>
      </c>
      <c r="E682" s="60">
        <v>0</v>
      </c>
    </row>
    <row r="683" spans="1:5">
      <c r="A683" s="58" t="s">
        <v>210</v>
      </c>
      <c r="B683" s="58" t="s">
        <v>344</v>
      </c>
      <c r="C683" s="59">
        <v>45324</v>
      </c>
      <c r="D683" s="59">
        <v>45324</v>
      </c>
      <c r="E683" s="60">
        <v>0</v>
      </c>
    </row>
    <row r="684" spans="1:5">
      <c r="A684" s="58" t="s">
        <v>210</v>
      </c>
      <c r="B684" s="58" t="s">
        <v>344</v>
      </c>
      <c r="C684" s="59">
        <v>45325</v>
      </c>
      <c r="D684" s="59">
        <v>45325</v>
      </c>
      <c r="E684" s="60">
        <v>0</v>
      </c>
    </row>
    <row r="685" spans="1:5">
      <c r="A685" s="58" t="s">
        <v>210</v>
      </c>
      <c r="B685" s="58" t="s">
        <v>344</v>
      </c>
      <c r="C685" s="59">
        <v>45326</v>
      </c>
      <c r="D685" s="59">
        <v>45326</v>
      </c>
      <c r="E685" s="60">
        <v>0</v>
      </c>
    </row>
    <row r="686" spans="1:5">
      <c r="A686" s="58" t="s">
        <v>210</v>
      </c>
      <c r="B686" s="58" t="s">
        <v>344</v>
      </c>
      <c r="C686" s="59">
        <v>45327</v>
      </c>
      <c r="D686" s="59">
        <v>45327</v>
      </c>
      <c r="E686" s="60">
        <v>0</v>
      </c>
    </row>
    <row r="687" spans="1:5">
      <c r="A687" s="58" t="s">
        <v>211</v>
      </c>
      <c r="B687" s="58" t="s">
        <v>345</v>
      </c>
      <c r="C687" s="59">
        <v>45323</v>
      </c>
      <c r="D687" s="59">
        <v>45323</v>
      </c>
      <c r="E687" s="60">
        <v>0</v>
      </c>
    </row>
    <row r="688" spans="1:5">
      <c r="A688" s="58" t="s">
        <v>211</v>
      </c>
      <c r="B688" s="58" t="s">
        <v>345</v>
      </c>
      <c r="C688" s="59">
        <v>45324</v>
      </c>
      <c r="D688" s="59">
        <v>45324</v>
      </c>
      <c r="E688" s="60">
        <v>0</v>
      </c>
    </row>
    <row r="689" spans="1:5">
      <c r="A689" s="58" t="s">
        <v>211</v>
      </c>
      <c r="B689" s="58" t="s">
        <v>345</v>
      </c>
      <c r="C689" s="59">
        <v>45325</v>
      </c>
      <c r="D689" s="59">
        <v>45325</v>
      </c>
      <c r="E689" s="60">
        <v>0</v>
      </c>
    </row>
    <row r="690" spans="1:5">
      <c r="A690" s="58" t="s">
        <v>211</v>
      </c>
      <c r="B690" s="58" t="s">
        <v>345</v>
      </c>
      <c r="C690" s="59">
        <v>45326</v>
      </c>
      <c r="D690" s="59">
        <v>45326</v>
      </c>
      <c r="E690" s="60">
        <v>0</v>
      </c>
    </row>
    <row r="691" spans="1:5">
      <c r="A691" s="58" t="s">
        <v>211</v>
      </c>
      <c r="B691" s="58" t="s">
        <v>345</v>
      </c>
      <c r="C691" s="59">
        <v>45327</v>
      </c>
      <c r="D691" s="59">
        <v>45327</v>
      </c>
      <c r="E691" s="60">
        <v>0</v>
      </c>
    </row>
    <row r="692" spans="1:5">
      <c r="A692" s="58" t="s">
        <v>212</v>
      </c>
      <c r="B692" s="58" t="s">
        <v>346</v>
      </c>
      <c r="C692" s="59">
        <v>45323</v>
      </c>
      <c r="D692" s="59">
        <v>45323</v>
      </c>
      <c r="E692" s="60">
        <v>0</v>
      </c>
    </row>
    <row r="693" spans="1:5">
      <c r="A693" s="58" t="s">
        <v>212</v>
      </c>
      <c r="B693" s="58" t="s">
        <v>346</v>
      </c>
      <c r="C693" s="59">
        <v>45324</v>
      </c>
      <c r="D693" s="59">
        <v>45324</v>
      </c>
      <c r="E693" s="60">
        <v>0</v>
      </c>
    </row>
    <row r="694" spans="1:5">
      <c r="A694" s="58" t="s">
        <v>212</v>
      </c>
      <c r="B694" s="58" t="s">
        <v>346</v>
      </c>
      <c r="C694" s="59">
        <v>45325</v>
      </c>
      <c r="D694" s="59">
        <v>45325</v>
      </c>
      <c r="E694" s="60">
        <v>0</v>
      </c>
    </row>
    <row r="695" spans="1:5">
      <c r="A695" s="58" t="s">
        <v>212</v>
      </c>
      <c r="B695" s="58" t="s">
        <v>346</v>
      </c>
      <c r="C695" s="59">
        <v>45326</v>
      </c>
      <c r="D695" s="59">
        <v>45326</v>
      </c>
      <c r="E695" s="60">
        <v>0</v>
      </c>
    </row>
    <row r="696" spans="1:5">
      <c r="A696" s="58" t="s">
        <v>212</v>
      </c>
      <c r="B696" s="58" t="s">
        <v>346</v>
      </c>
      <c r="C696" s="59">
        <v>45327</v>
      </c>
      <c r="D696" s="59">
        <v>45327</v>
      </c>
      <c r="E696" s="60">
        <v>0</v>
      </c>
    </row>
    <row r="697" spans="1:5">
      <c r="A697" s="58" t="s">
        <v>213</v>
      </c>
      <c r="B697" s="58" t="s">
        <v>347</v>
      </c>
      <c r="C697" s="59">
        <v>45323</v>
      </c>
      <c r="D697" s="59">
        <v>45323</v>
      </c>
      <c r="E697" s="60">
        <v>0</v>
      </c>
    </row>
    <row r="698" spans="1:5">
      <c r="A698" s="58" t="s">
        <v>213</v>
      </c>
      <c r="B698" s="58" t="s">
        <v>347</v>
      </c>
      <c r="C698" s="59">
        <v>45324</v>
      </c>
      <c r="D698" s="59">
        <v>45324</v>
      </c>
      <c r="E698" s="60">
        <v>0</v>
      </c>
    </row>
    <row r="699" spans="1:5">
      <c r="A699" s="58" t="s">
        <v>213</v>
      </c>
      <c r="B699" s="58" t="s">
        <v>347</v>
      </c>
      <c r="C699" s="59">
        <v>45325</v>
      </c>
      <c r="D699" s="59">
        <v>45325</v>
      </c>
      <c r="E699" s="60">
        <v>0</v>
      </c>
    </row>
    <row r="700" spans="1:5">
      <c r="A700" s="58" t="s">
        <v>213</v>
      </c>
      <c r="B700" s="58" t="s">
        <v>347</v>
      </c>
      <c r="C700" s="59">
        <v>45326</v>
      </c>
      <c r="D700" s="59">
        <v>45326</v>
      </c>
      <c r="E700" s="60">
        <v>0</v>
      </c>
    </row>
    <row r="701" spans="1:5">
      <c r="A701" s="58" t="s">
        <v>213</v>
      </c>
      <c r="B701" s="58" t="s">
        <v>347</v>
      </c>
      <c r="C701" s="59">
        <v>45327</v>
      </c>
      <c r="D701" s="59">
        <v>45327</v>
      </c>
      <c r="E701" s="60">
        <v>0</v>
      </c>
    </row>
    <row r="702" spans="1:5">
      <c r="A702" s="58" t="s">
        <v>214</v>
      </c>
      <c r="B702" s="58" t="s">
        <v>344</v>
      </c>
      <c r="C702" s="59">
        <v>45323</v>
      </c>
      <c r="D702" s="59">
        <v>45323</v>
      </c>
      <c r="E702" s="60">
        <v>0</v>
      </c>
    </row>
    <row r="703" spans="1:5">
      <c r="A703" s="58" t="s">
        <v>214</v>
      </c>
      <c r="B703" s="58" t="s">
        <v>344</v>
      </c>
      <c r="C703" s="59">
        <v>45324</v>
      </c>
      <c r="D703" s="59">
        <v>45324</v>
      </c>
      <c r="E703" s="60">
        <v>0</v>
      </c>
    </row>
    <row r="704" spans="1:5">
      <c r="A704" s="58" t="s">
        <v>214</v>
      </c>
      <c r="B704" s="58" t="s">
        <v>344</v>
      </c>
      <c r="C704" s="59">
        <v>45325</v>
      </c>
      <c r="D704" s="59">
        <v>45325</v>
      </c>
      <c r="E704" s="60">
        <v>0</v>
      </c>
    </row>
    <row r="705" spans="1:5">
      <c r="A705" s="58" t="s">
        <v>214</v>
      </c>
      <c r="B705" s="58" t="s">
        <v>344</v>
      </c>
      <c r="C705" s="59">
        <v>45326</v>
      </c>
      <c r="D705" s="59">
        <v>45326</v>
      </c>
      <c r="E705" s="60">
        <v>0</v>
      </c>
    </row>
    <row r="706" spans="1:5">
      <c r="A706" s="58" t="s">
        <v>214</v>
      </c>
      <c r="B706" s="58" t="s">
        <v>344</v>
      </c>
      <c r="C706" s="59">
        <v>45327</v>
      </c>
      <c r="D706" s="59">
        <v>45327</v>
      </c>
      <c r="E706" s="60">
        <v>0</v>
      </c>
    </row>
    <row r="707" spans="1:5">
      <c r="A707" s="58" t="s">
        <v>215</v>
      </c>
      <c r="B707" s="58" t="s">
        <v>345</v>
      </c>
      <c r="C707" s="59">
        <v>45323</v>
      </c>
      <c r="D707" s="59">
        <v>45323</v>
      </c>
      <c r="E707" s="60">
        <v>0</v>
      </c>
    </row>
    <row r="708" spans="1:5">
      <c r="A708" s="58" t="s">
        <v>215</v>
      </c>
      <c r="B708" s="58" t="s">
        <v>345</v>
      </c>
      <c r="C708" s="59">
        <v>45324</v>
      </c>
      <c r="D708" s="59">
        <v>45324</v>
      </c>
      <c r="E708" s="60">
        <v>0</v>
      </c>
    </row>
    <row r="709" spans="1:5">
      <c r="A709" s="58" t="s">
        <v>215</v>
      </c>
      <c r="B709" s="58" t="s">
        <v>345</v>
      </c>
      <c r="C709" s="59">
        <v>45325</v>
      </c>
      <c r="D709" s="59">
        <v>45325</v>
      </c>
      <c r="E709" s="60">
        <v>0</v>
      </c>
    </row>
    <row r="710" spans="1:5">
      <c r="A710" s="58" t="s">
        <v>215</v>
      </c>
      <c r="B710" s="58" t="s">
        <v>345</v>
      </c>
      <c r="C710" s="59">
        <v>45326</v>
      </c>
      <c r="D710" s="59">
        <v>45326</v>
      </c>
      <c r="E710" s="60">
        <v>0</v>
      </c>
    </row>
    <row r="711" spans="1:5">
      <c r="A711" s="58" t="s">
        <v>215</v>
      </c>
      <c r="B711" s="58" t="s">
        <v>345</v>
      </c>
      <c r="C711" s="59">
        <v>45327</v>
      </c>
      <c r="D711" s="59">
        <v>45327</v>
      </c>
      <c r="E711" s="60">
        <v>0</v>
      </c>
    </row>
    <row r="712" spans="1:5">
      <c r="A712" s="58" t="s">
        <v>216</v>
      </c>
      <c r="B712" s="58" t="s">
        <v>346</v>
      </c>
      <c r="C712" s="59">
        <v>45323</v>
      </c>
      <c r="D712" s="59">
        <v>45323</v>
      </c>
      <c r="E712" s="60">
        <v>0</v>
      </c>
    </row>
    <row r="713" spans="1:5">
      <c r="A713" s="58" t="s">
        <v>216</v>
      </c>
      <c r="B713" s="58" t="s">
        <v>346</v>
      </c>
      <c r="C713" s="59">
        <v>45324</v>
      </c>
      <c r="D713" s="59">
        <v>45324</v>
      </c>
      <c r="E713" s="60">
        <v>0</v>
      </c>
    </row>
    <row r="714" spans="1:5">
      <c r="A714" s="58" t="s">
        <v>216</v>
      </c>
      <c r="B714" s="58" t="s">
        <v>346</v>
      </c>
      <c r="C714" s="59">
        <v>45325</v>
      </c>
      <c r="D714" s="59">
        <v>45325</v>
      </c>
      <c r="E714" s="60">
        <v>0</v>
      </c>
    </row>
    <row r="715" spans="1:5">
      <c r="A715" s="58" t="s">
        <v>216</v>
      </c>
      <c r="B715" s="58" t="s">
        <v>346</v>
      </c>
      <c r="C715" s="59">
        <v>45326</v>
      </c>
      <c r="D715" s="59">
        <v>45326</v>
      </c>
      <c r="E715" s="60">
        <v>0</v>
      </c>
    </row>
    <row r="716" spans="1:5">
      <c r="A716" s="58" t="s">
        <v>216</v>
      </c>
      <c r="B716" s="58" t="s">
        <v>346</v>
      </c>
      <c r="C716" s="59">
        <v>45327</v>
      </c>
      <c r="D716" s="59">
        <v>45327</v>
      </c>
      <c r="E716" s="60">
        <v>0</v>
      </c>
    </row>
    <row r="717" spans="1:5">
      <c r="A717" s="58" t="s">
        <v>217</v>
      </c>
      <c r="B717" s="58" t="s">
        <v>347</v>
      </c>
      <c r="C717" s="59">
        <v>45323</v>
      </c>
      <c r="D717" s="59">
        <v>45323</v>
      </c>
      <c r="E717" s="60">
        <v>0</v>
      </c>
    </row>
    <row r="718" spans="1:5">
      <c r="A718" s="58" t="s">
        <v>217</v>
      </c>
      <c r="B718" s="58" t="s">
        <v>347</v>
      </c>
      <c r="C718" s="59">
        <v>45324</v>
      </c>
      <c r="D718" s="59">
        <v>45324</v>
      </c>
      <c r="E718" s="60">
        <v>0</v>
      </c>
    </row>
    <row r="719" spans="1:5">
      <c r="A719" s="58" t="s">
        <v>217</v>
      </c>
      <c r="B719" s="58" t="s">
        <v>347</v>
      </c>
      <c r="C719" s="59">
        <v>45325</v>
      </c>
      <c r="D719" s="59">
        <v>45325</v>
      </c>
      <c r="E719" s="60">
        <v>0</v>
      </c>
    </row>
    <row r="720" spans="1:5">
      <c r="A720" s="58" t="s">
        <v>217</v>
      </c>
      <c r="B720" s="58" t="s">
        <v>347</v>
      </c>
      <c r="C720" s="59">
        <v>45326</v>
      </c>
      <c r="D720" s="59">
        <v>45326</v>
      </c>
      <c r="E720" s="60">
        <v>0</v>
      </c>
    </row>
    <row r="721" spans="1:5">
      <c r="A721" s="58" t="s">
        <v>217</v>
      </c>
      <c r="B721" s="58" t="s">
        <v>347</v>
      </c>
      <c r="C721" s="59">
        <v>45327</v>
      </c>
      <c r="D721" s="59">
        <v>45327</v>
      </c>
      <c r="E721" s="60">
        <v>0</v>
      </c>
    </row>
    <row r="722" spans="1:5">
      <c r="A722" s="58" t="s">
        <v>91</v>
      </c>
      <c r="B722" s="58" t="s">
        <v>344</v>
      </c>
      <c r="C722" s="59">
        <v>45323</v>
      </c>
      <c r="D722" s="59">
        <v>45323</v>
      </c>
      <c r="E722" s="60">
        <v>0</v>
      </c>
    </row>
    <row r="723" spans="1:5">
      <c r="A723" s="58" t="s">
        <v>91</v>
      </c>
      <c r="B723" s="58" t="s">
        <v>344</v>
      </c>
      <c r="C723" s="59">
        <v>45324</v>
      </c>
      <c r="D723" s="59">
        <v>45324</v>
      </c>
      <c r="E723" s="60">
        <v>1338.35</v>
      </c>
    </row>
    <row r="724" spans="1:5">
      <c r="A724" s="58" t="s">
        <v>91</v>
      </c>
      <c r="B724" s="58" t="s">
        <v>344</v>
      </c>
      <c r="C724" s="59">
        <v>45325</v>
      </c>
      <c r="D724" s="59">
        <v>45325</v>
      </c>
      <c r="E724" s="60">
        <v>0</v>
      </c>
    </row>
    <row r="725" spans="1:5">
      <c r="A725" s="58" t="s">
        <v>91</v>
      </c>
      <c r="B725" s="58" t="s">
        <v>344</v>
      </c>
      <c r="C725" s="59">
        <v>45326</v>
      </c>
      <c r="D725" s="59">
        <v>45326</v>
      </c>
      <c r="E725" s="60">
        <v>0</v>
      </c>
    </row>
    <row r="726" spans="1:5">
      <c r="A726" s="58" t="s">
        <v>91</v>
      </c>
      <c r="B726" s="58" t="s">
        <v>344</v>
      </c>
      <c r="C726" s="59">
        <v>45327</v>
      </c>
      <c r="D726" s="59">
        <v>45327</v>
      </c>
      <c r="E726" s="60">
        <v>0</v>
      </c>
    </row>
    <row r="727" spans="1:5">
      <c r="A727" s="58" t="s">
        <v>218</v>
      </c>
      <c r="B727" s="58" t="s">
        <v>345</v>
      </c>
      <c r="C727" s="59">
        <v>45323</v>
      </c>
      <c r="D727" s="59">
        <v>45323</v>
      </c>
      <c r="E727" s="60">
        <v>0</v>
      </c>
    </row>
    <row r="728" spans="1:5">
      <c r="A728" s="58" t="s">
        <v>218</v>
      </c>
      <c r="B728" s="58" t="s">
        <v>345</v>
      </c>
      <c r="C728" s="59">
        <v>45324</v>
      </c>
      <c r="D728" s="59">
        <v>45324</v>
      </c>
      <c r="E728" s="60">
        <v>0</v>
      </c>
    </row>
    <row r="729" spans="1:5">
      <c r="A729" s="58" t="s">
        <v>218</v>
      </c>
      <c r="B729" s="58" t="s">
        <v>345</v>
      </c>
      <c r="C729" s="59">
        <v>45325</v>
      </c>
      <c r="D729" s="59">
        <v>45325</v>
      </c>
      <c r="E729" s="60">
        <v>0</v>
      </c>
    </row>
    <row r="730" spans="1:5">
      <c r="A730" s="58" t="s">
        <v>218</v>
      </c>
      <c r="B730" s="58" t="s">
        <v>345</v>
      </c>
      <c r="C730" s="59">
        <v>45326</v>
      </c>
      <c r="D730" s="59">
        <v>45326</v>
      </c>
      <c r="E730" s="60">
        <v>0</v>
      </c>
    </row>
    <row r="731" spans="1:5">
      <c r="A731" s="58" t="s">
        <v>218</v>
      </c>
      <c r="B731" s="58" t="s">
        <v>345</v>
      </c>
      <c r="C731" s="59">
        <v>45327</v>
      </c>
      <c r="D731" s="59">
        <v>45327</v>
      </c>
      <c r="E731" s="60">
        <v>0</v>
      </c>
    </row>
    <row r="732" spans="1:5">
      <c r="A732" s="58" t="s">
        <v>219</v>
      </c>
      <c r="B732" s="58" t="s">
        <v>346</v>
      </c>
      <c r="C732" s="59">
        <v>45323</v>
      </c>
      <c r="D732" s="59">
        <v>45323</v>
      </c>
      <c r="E732" s="60">
        <v>0</v>
      </c>
    </row>
    <row r="733" spans="1:5">
      <c r="A733" s="58" t="s">
        <v>219</v>
      </c>
      <c r="B733" s="58" t="s">
        <v>346</v>
      </c>
      <c r="C733" s="59">
        <v>45324</v>
      </c>
      <c r="D733" s="59">
        <v>45324</v>
      </c>
      <c r="E733" s="60">
        <v>0</v>
      </c>
    </row>
    <row r="734" spans="1:5">
      <c r="A734" s="58" t="s">
        <v>219</v>
      </c>
      <c r="B734" s="58" t="s">
        <v>346</v>
      </c>
      <c r="C734" s="59">
        <v>45325</v>
      </c>
      <c r="D734" s="59">
        <v>45325</v>
      </c>
      <c r="E734" s="60">
        <v>0</v>
      </c>
    </row>
    <row r="735" spans="1:5">
      <c r="A735" s="58" t="s">
        <v>219</v>
      </c>
      <c r="B735" s="58" t="s">
        <v>346</v>
      </c>
      <c r="C735" s="59">
        <v>45326</v>
      </c>
      <c r="D735" s="59">
        <v>45326</v>
      </c>
      <c r="E735" s="60">
        <v>0</v>
      </c>
    </row>
    <row r="736" spans="1:5">
      <c r="A736" s="58" t="s">
        <v>219</v>
      </c>
      <c r="B736" s="58" t="s">
        <v>346</v>
      </c>
      <c r="C736" s="59">
        <v>45327</v>
      </c>
      <c r="D736" s="59">
        <v>45327</v>
      </c>
      <c r="E736" s="60">
        <v>0</v>
      </c>
    </row>
    <row r="737" spans="1:5">
      <c r="A737" s="58" t="s">
        <v>220</v>
      </c>
      <c r="B737" s="58" t="s">
        <v>347</v>
      </c>
      <c r="C737" s="59">
        <v>45323</v>
      </c>
      <c r="D737" s="59">
        <v>45323</v>
      </c>
      <c r="E737" s="60">
        <v>0</v>
      </c>
    </row>
    <row r="738" spans="1:5">
      <c r="A738" s="58" t="s">
        <v>220</v>
      </c>
      <c r="B738" s="58" t="s">
        <v>347</v>
      </c>
      <c r="C738" s="59">
        <v>45324</v>
      </c>
      <c r="D738" s="59">
        <v>45324</v>
      </c>
      <c r="E738" s="60">
        <v>0</v>
      </c>
    </row>
    <row r="739" spans="1:5">
      <c r="A739" s="58" t="s">
        <v>220</v>
      </c>
      <c r="B739" s="58" t="s">
        <v>347</v>
      </c>
      <c r="C739" s="59">
        <v>45325</v>
      </c>
      <c r="D739" s="59">
        <v>45325</v>
      </c>
      <c r="E739" s="60">
        <v>0</v>
      </c>
    </row>
    <row r="740" spans="1:5">
      <c r="A740" s="58" t="s">
        <v>220</v>
      </c>
      <c r="B740" s="58" t="s">
        <v>347</v>
      </c>
      <c r="C740" s="59">
        <v>45326</v>
      </c>
      <c r="D740" s="59">
        <v>45326</v>
      </c>
      <c r="E740" s="60">
        <v>0</v>
      </c>
    </row>
    <row r="741" spans="1:5">
      <c r="A741" s="58" t="s">
        <v>220</v>
      </c>
      <c r="B741" s="58" t="s">
        <v>347</v>
      </c>
      <c r="C741" s="59">
        <v>45327</v>
      </c>
      <c r="D741" s="59">
        <v>45327</v>
      </c>
      <c r="E741" s="60">
        <v>0</v>
      </c>
    </row>
    <row r="742" spans="1:5">
      <c r="A742" s="58" t="s">
        <v>94</v>
      </c>
      <c r="B742" s="58" t="s">
        <v>344</v>
      </c>
      <c r="C742" s="59">
        <v>45323</v>
      </c>
      <c r="D742" s="59">
        <v>45323</v>
      </c>
      <c r="E742" s="60">
        <v>0</v>
      </c>
    </row>
    <row r="743" spans="1:5">
      <c r="A743" s="58" t="s">
        <v>94</v>
      </c>
      <c r="B743" s="58" t="s">
        <v>344</v>
      </c>
      <c r="C743" s="59">
        <v>45324</v>
      </c>
      <c r="D743" s="59">
        <v>45324</v>
      </c>
      <c r="E743" s="60">
        <v>0</v>
      </c>
    </row>
    <row r="744" spans="1:5">
      <c r="A744" s="58" t="s">
        <v>94</v>
      </c>
      <c r="B744" s="58" t="s">
        <v>344</v>
      </c>
      <c r="C744" s="59">
        <v>45325</v>
      </c>
      <c r="D744" s="59">
        <v>45325</v>
      </c>
      <c r="E744" s="60">
        <v>0</v>
      </c>
    </row>
    <row r="745" spans="1:5">
      <c r="A745" s="58" t="s">
        <v>94</v>
      </c>
      <c r="B745" s="58" t="s">
        <v>344</v>
      </c>
      <c r="C745" s="59">
        <v>45326</v>
      </c>
      <c r="D745" s="59">
        <v>45326</v>
      </c>
      <c r="E745" s="60">
        <v>0</v>
      </c>
    </row>
    <row r="746" spans="1:5">
      <c r="A746" s="58" t="s">
        <v>94</v>
      </c>
      <c r="B746" s="58" t="s">
        <v>344</v>
      </c>
      <c r="C746" s="59">
        <v>45327</v>
      </c>
      <c r="D746" s="59">
        <v>45327</v>
      </c>
      <c r="E746" s="60">
        <v>0</v>
      </c>
    </row>
    <row r="747" spans="1:5">
      <c r="A747" s="58" t="s">
        <v>222</v>
      </c>
      <c r="B747" s="58" t="s">
        <v>345</v>
      </c>
      <c r="C747" s="59">
        <v>45323</v>
      </c>
      <c r="D747" s="59">
        <v>45323</v>
      </c>
      <c r="E747" s="60">
        <v>0</v>
      </c>
    </row>
    <row r="748" spans="1:5">
      <c r="A748" s="58" t="s">
        <v>222</v>
      </c>
      <c r="B748" s="58" t="s">
        <v>345</v>
      </c>
      <c r="C748" s="59">
        <v>45324</v>
      </c>
      <c r="D748" s="59">
        <v>45324</v>
      </c>
      <c r="E748" s="60">
        <v>0</v>
      </c>
    </row>
    <row r="749" spans="1:5">
      <c r="A749" s="58" t="s">
        <v>222</v>
      </c>
      <c r="B749" s="58" t="s">
        <v>345</v>
      </c>
      <c r="C749" s="59">
        <v>45325</v>
      </c>
      <c r="D749" s="59">
        <v>45325</v>
      </c>
      <c r="E749" s="60">
        <v>0</v>
      </c>
    </row>
    <row r="750" spans="1:5">
      <c r="A750" s="58" t="s">
        <v>222</v>
      </c>
      <c r="B750" s="58" t="s">
        <v>345</v>
      </c>
      <c r="C750" s="59">
        <v>45326</v>
      </c>
      <c r="D750" s="59">
        <v>45326</v>
      </c>
      <c r="E750" s="60">
        <v>0</v>
      </c>
    </row>
    <row r="751" spans="1:5">
      <c r="A751" s="58" t="s">
        <v>222</v>
      </c>
      <c r="B751" s="58" t="s">
        <v>345</v>
      </c>
      <c r="C751" s="59">
        <v>45327</v>
      </c>
      <c r="D751" s="59">
        <v>45327</v>
      </c>
      <c r="E751" s="60">
        <v>0</v>
      </c>
    </row>
    <row r="752" spans="1:5">
      <c r="A752" s="58" t="s">
        <v>223</v>
      </c>
      <c r="B752" s="58" t="s">
        <v>346</v>
      </c>
      <c r="C752" s="59">
        <v>45323</v>
      </c>
      <c r="D752" s="59">
        <v>45323</v>
      </c>
      <c r="E752" s="60">
        <v>0</v>
      </c>
    </row>
    <row r="753" spans="1:5">
      <c r="A753" s="58" t="s">
        <v>223</v>
      </c>
      <c r="B753" s="58" t="s">
        <v>346</v>
      </c>
      <c r="C753" s="59">
        <v>45324</v>
      </c>
      <c r="D753" s="59">
        <v>45324</v>
      </c>
      <c r="E753" s="60">
        <v>0</v>
      </c>
    </row>
    <row r="754" spans="1:5">
      <c r="A754" s="58" t="s">
        <v>223</v>
      </c>
      <c r="B754" s="58" t="s">
        <v>346</v>
      </c>
      <c r="C754" s="59">
        <v>45325</v>
      </c>
      <c r="D754" s="59">
        <v>45325</v>
      </c>
      <c r="E754" s="60">
        <v>0</v>
      </c>
    </row>
    <row r="755" spans="1:5">
      <c r="A755" s="58" t="s">
        <v>223</v>
      </c>
      <c r="B755" s="58" t="s">
        <v>346</v>
      </c>
      <c r="C755" s="59">
        <v>45326</v>
      </c>
      <c r="D755" s="59">
        <v>45326</v>
      </c>
      <c r="E755" s="60">
        <v>0</v>
      </c>
    </row>
    <row r="756" spans="1:5">
      <c r="A756" s="58" t="s">
        <v>223</v>
      </c>
      <c r="B756" s="58" t="s">
        <v>346</v>
      </c>
      <c r="C756" s="59">
        <v>45327</v>
      </c>
      <c r="D756" s="59">
        <v>45327</v>
      </c>
      <c r="E756" s="60">
        <v>0</v>
      </c>
    </row>
    <row r="757" spans="1:5">
      <c r="A757" s="58" t="s">
        <v>224</v>
      </c>
      <c r="B757" s="58" t="s">
        <v>347</v>
      </c>
      <c r="C757" s="59">
        <v>45323</v>
      </c>
      <c r="D757" s="59">
        <v>45323</v>
      </c>
      <c r="E757" s="60">
        <v>0</v>
      </c>
    </row>
    <row r="758" spans="1:5">
      <c r="A758" s="58" t="s">
        <v>224</v>
      </c>
      <c r="B758" s="58" t="s">
        <v>347</v>
      </c>
      <c r="C758" s="59">
        <v>45324</v>
      </c>
      <c r="D758" s="59">
        <v>45324</v>
      </c>
      <c r="E758" s="60">
        <v>0</v>
      </c>
    </row>
    <row r="759" spans="1:5">
      <c r="A759" s="58" t="s">
        <v>224</v>
      </c>
      <c r="B759" s="58" t="s">
        <v>347</v>
      </c>
      <c r="C759" s="59">
        <v>45325</v>
      </c>
      <c r="D759" s="59">
        <v>45325</v>
      </c>
      <c r="E759" s="60">
        <v>0</v>
      </c>
    </row>
    <row r="760" spans="1:5">
      <c r="A760" s="58" t="s">
        <v>224</v>
      </c>
      <c r="B760" s="58" t="s">
        <v>347</v>
      </c>
      <c r="C760" s="59">
        <v>45326</v>
      </c>
      <c r="D760" s="59">
        <v>45326</v>
      </c>
      <c r="E760" s="60">
        <v>0</v>
      </c>
    </row>
    <row r="761" spans="1:5">
      <c r="A761" s="58" t="s">
        <v>224</v>
      </c>
      <c r="B761" s="58" t="s">
        <v>347</v>
      </c>
      <c r="C761" s="59">
        <v>45327</v>
      </c>
      <c r="D761" s="59">
        <v>45327</v>
      </c>
      <c r="E761" s="60">
        <v>0</v>
      </c>
    </row>
    <row r="762" spans="1:5">
      <c r="A762" s="58" t="s">
        <v>97</v>
      </c>
      <c r="B762" s="58" t="s">
        <v>344</v>
      </c>
      <c r="C762" s="59">
        <v>45323</v>
      </c>
      <c r="D762" s="59">
        <v>45323</v>
      </c>
      <c r="E762" s="60">
        <v>0</v>
      </c>
    </row>
    <row r="763" spans="1:5">
      <c r="A763" s="58" t="s">
        <v>97</v>
      </c>
      <c r="B763" s="58" t="s">
        <v>344</v>
      </c>
      <c r="C763" s="59">
        <v>45324</v>
      </c>
      <c r="D763" s="59">
        <v>45324</v>
      </c>
      <c r="E763" s="60">
        <v>0</v>
      </c>
    </row>
    <row r="764" spans="1:5">
      <c r="A764" s="58" t="s">
        <v>97</v>
      </c>
      <c r="B764" s="58" t="s">
        <v>344</v>
      </c>
      <c r="C764" s="59">
        <v>45325</v>
      </c>
      <c r="D764" s="59">
        <v>45325</v>
      </c>
      <c r="E764" s="60">
        <v>0</v>
      </c>
    </row>
    <row r="765" spans="1:5">
      <c r="A765" s="58" t="s">
        <v>97</v>
      </c>
      <c r="B765" s="58" t="s">
        <v>344</v>
      </c>
      <c r="C765" s="59">
        <v>45326</v>
      </c>
      <c r="D765" s="59">
        <v>45326</v>
      </c>
      <c r="E765" s="60">
        <v>0</v>
      </c>
    </row>
    <row r="766" spans="1:5">
      <c r="A766" s="58" t="s">
        <v>97</v>
      </c>
      <c r="B766" s="58" t="s">
        <v>344</v>
      </c>
      <c r="C766" s="59">
        <v>45327</v>
      </c>
      <c r="D766" s="59">
        <v>45327</v>
      </c>
      <c r="E766" s="60">
        <v>0</v>
      </c>
    </row>
    <row r="767" spans="1:5">
      <c r="A767" s="58" t="s">
        <v>225</v>
      </c>
      <c r="B767" s="58" t="s">
        <v>345</v>
      </c>
      <c r="C767" s="59">
        <v>45323</v>
      </c>
      <c r="D767" s="59">
        <v>45323</v>
      </c>
      <c r="E767" s="60">
        <v>0</v>
      </c>
    </row>
    <row r="768" spans="1:5">
      <c r="A768" s="58" t="s">
        <v>225</v>
      </c>
      <c r="B768" s="58" t="s">
        <v>345</v>
      </c>
      <c r="C768" s="59">
        <v>45324</v>
      </c>
      <c r="D768" s="59">
        <v>45324</v>
      </c>
      <c r="E768" s="60">
        <v>0</v>
      </c>
    </row>
    <row r="769" spans="1:5">
      <c r="A769" s="58" t="s">
        <v>225</v>
      </c>
      <c r="B769" s="58" t="s">
        <v>345</v>
      </c>
      <c r="C769" s="59">
        <v>45325</v>
      </c>
      <c r="D769" s="59">
        <v>45325</v>
      </c>
      <c r="E769" s="60">
        <v>0</v>
      </c>
    </row>
    <row r="770" spans="1:5">
      <c r="A770" s="58" t="s">
        <v>225</v>
      </c>
      <c r="B770" s="58" t="s">
        <v>345</v>
      </c>
      <c r="C770" s="59">
        <v>45326</v>
      </c>
      <c r="D770" s="59">
        <v>45326</v>
      </c>
      <c r="E770" s="60">
        <v>0</v>
      </c>
    </row>
    <row r="771" spans="1:5">
      <c r="A771" s="58" t="s">
        <v>225</v>
      </c>
      <c r="B771" s="58" t="s">
        <v>345</v>
      </c>
      <c r="C771" s="59">
        <v>45327</v>
      </c>
      <c r="D771" s="59">
        <v>45327</v>
      </c>
      <c r="E771" s="60">
        <v>0</v>
      </c>
    </row>
    <row r="772" spans="1:5">
      <c r="A772" s="58" t="s">
        <v>226</v>
      </c>
      <c r="B772" s="58" t="s">
        <v>346</v>
      </c>
      <c r="C772" s="59">
        <v>45323</v>
      </c>
      <c r="D772" s="59">
        <v>45323</v>
      </c>
      <c r="E772" s="60">
        <v>0</v>
      </c>
    </row>
    <row r="773" spans="1:5">
      <c r="A773" s="58" t="s">
        <v>226</v>
      </c>
      <c r="B773" s="58" t="s">
        <v>346</v>
      </c>
      <c r="C773" s="59">
        <v>45324</v>
      </c>
      <c r="D773" s="59">
        <v>45324</v>
      </c>
      <c r="E773" s="60">
        <v>0</v>
      </c>
    </row>
    <row r="774" spans="1:5">
      <c r="A774" s="58" t="s">
        <v>226</v>
      </c>
      <c r="B774" s="58" t="s">
        <v>346</v>
      </c>
      <c r="C774" s="59">
        <v>45325</v>
      </c>
      <c r="D774" s="59">
        <v>45325</v>
      </c>
      <c r="E774" s="60">
        <v>0</v>
      </c>
    </row>
    <row r="775" spans="1:5">
      <c r="A775" s="58" t="s">
        <v>226</v>
      </c>
      <c r="B775" s="58" t="s">
        <v>346</v>
      </c>
      <c r="C775" s="59">
        <v>45326</v>
      </c>
      <c r="D775" s="59">
        <v>45326</v>
      </c>
      <c r="E775" s="60">
        <v>0</v>
      </c>
    </row>
    <row r="776" spans="1:5">
      <c r="A776" s="58" t="s">
        <v>226</v>
      </c>
      <c r="B776" s="58" t="s">
        <v>346</v>
      </c>
      <c r="C776" s="59">
        <v>45327</v>
      </c>
      <c r="D776" s="59">
        <v>45327</v>
      </c>
      <c r="E776" s="60">
        <v>0</v>
      </c>
    </row>
    <row r="777" spans="1:5">
      <c r="A777" s="58" t="s">
        <v>227</v>
      </c>
      <c r="B777" s="58" t="s">
        <v>347</v>
      </c>
      <c r="C777" s="59">
        <v>45323</v>
      </c>
      <c r="D777" s="59">
        <v>45323</v>
      </c>
      <c r="E777" s="60">
        <v>0</v>
      </c>
    </row>
    <row r="778" spans="1:5">
      <c r="A778" s="58" t="s">
        <v>227</v>
      </c>
      <c r="B778" s="58" t="s">
        <v>347</v>
      </c>
      <c r="C778" s="59">
        <v>45324</v>
      </c>
      <c r="D778" s="59">
        <v>45324</v>
      </c>
      <c r="E778" s="60">
        <v>0</v>
      </c>
    </row>
    <row r="779" spans="1:5">
      <c r="A779" s="58" t="s">
        <v>227</v>
      </c>
      <c r="B779" s="58" t="s">
        <v>347</v>
      </c>
      <c r="C779" s="59">
        <v>45325</v>
      </c>
      <c r="D779" s="59">
        <v>45325</v>
      </c>
      <c r="E779" s="60">
        <v>0</v>
      </c>
    </row>
    <row r="780" spans="1:5">
      <c r="A780" s="58" t="s">
        <v>227</v>
      </c>
      <c r="B780" s="58" t="s">
        <v>347</v>
      </c>
      <c r="C780" s="59">
        <v>45326</v>
      </c>
      <c r="D780" s="59">
        <v>45326</v>
      </c>
      <c r="E780" s="60">
        <v>0</v>
      </c>
    </row>
    <row r="781" spans="1:5">
      <c r="A781" s="58" t="s">
        <v>227</v>
      </c>
      <c r="B781" s="58" t="s">
        <v>347</v>
      </c>
      <c r="C781" s="59">
        <v>45327</v>
      </c>
      <c r="D781" s="59">
        <v>45327</v>
      </c>
      <c r="E781" s="60">
        <v>0</v>
      </c>
    </row>
    <row r="782" spans="1:5">
      <c r="A782" s="58" t="s">
        <v>100</v>
      </c>
      <c r="B782" s="58" t="s">
        <v>344</v>
      </c>
      <c r="C782" s="59">
        <v>45323</v>
      </c>
      <c r="D782" s="59">
        <v>45323</v>
      </c>
      <c r="E782" s="60">
        <v>0</v>
      </c>
    </row>
    <row r="783" spans="1:5">
      <c r="A783" s="58" t="s">
        <v>100</v>
      </c>
      <c r="B783" s="58" t="s">
        <v>344</v>
      </c>
      <c r="C783" s="59">
        <v>45324</v>
      </c>
      <c r="D783" s="59">
        <v>45324</v>
      </c>
      <c r="E783" s="60">
        <v>0</v>
      </c>
    </row>
    <row r="784" spans="1:5">
      <c r="A784" s="58" t="s">
        <v>100</v>
      </c>
      <c r="B784" s="58" t="s">
        <v>344</v>
      </c>
      <c r="C784" s="59">
        <v>45325</v>
      </c>
      <c r="D784" s="59">
        <v>45325</v>
      </c>
      <c r="E784" s="60">
        <v>0</v>
      </c>
    </row>
    <row r="785" spans="1:5">
      <c r="A785" s="58" t="s">
        <v>100</v>
      </c>
      <c r="B785" s="58" t="s">
        <v>344</v>
      </c>
      <c r="C785" s="59">
        <v>45326</v>
      </c>
      <c r="D785" s="59">
        <v>45326</v>
      </c>
      <c r="E785" s="60">
        <v>0</v>
      </c>
    </row>
    <row r="786" spans="1:5">
      <c r="A786" s="58" t="s">
        <v>100</v>
      </c>
      <c r="B786" s="58" t="s">
        <v>344</v>
      </c>
      <c r="C786" s="59">
        <v>45327</v>
      </c>
      <c r="D786" s="59">
        <v>45327</v>
      </c>
      <c r="E786" s="60">
        <v>0</v>
      </c>
    </row>
    <row r="787" spans="1:5">
      <c r="A787" s="58" t="s">
        <v>228</v>
      </c>
      <c r="B787" s="58" t="s">
        <v>345</v>
      </c>
      <c r="C787" s="59">
        <v>45323</v>
      </c>
      <c r="D787" s="59">
        <v>45323</v>
      </c>
      <c r="E787" s="60">
        <v>0</v>
      </c>
    </row>
    <row r="788" spans="1:5">
      <c r="A788" s="58" t="s">
        <v>228</v>
      </c>
      <c r="B788" s="58" t="s">
        <v>345</v>
      </c>
      <c r="C788" s="59">
        <v>45324</v>
      </c>
      <c r="D788" s="59">
        <v>45324</v>
      </c>
      <c r="E788" s="60">
        <v>0</v>
      </c>
    </row>
    <row r="789" spans="1:5">
      <c r="A789" s="58" t="s">
        <v>228</v>
      </c>
      <c r="B789" s="58" t="s">
        <v>345</v>
      </c>
      <c r="C789" s="59">
        <v>45325</v>
      </c>
      <c r="D789" s="59">
        <v>45325</v>
      </c>
      <c r="E789" s="60">
        <v>0</v>
      </c>
    </row>
    <row r="790" spans="1:5">
      <c r="A790" s="58" t="s">
        <v>228</v>
      </c>
      <c r="B790" s="58" t="s">
        <v>345</v>
      </c>
      <c r="C790" s="59">
        <v>45326</v>
      </c>
      <c r="D790" s="59">
        <v>45326</v>
      </c>
      <c r="E790" s="60">
        <v>0</v>
      </c>
    </row>
    <row r="791" spans="1:5">
      <c r="A791" s="58" t="s">
        <v>228</v>
      </c>
      <c r="B791" s="58" t="s">
        <v>345</v>
      </c>
      <c r="C791" s="59">
        <v>45327</v>
      </c>
      <c r="D791" s="59">
        <v>45327</v>
      </c>
      <c r="E791" s="60">
        <v>0</v>
      </c>
    </row>
    <row r="792" spans="1:5">
      <c r="A792" s="58" t="s">
        <v>229</v>
      </c>
      <c r="B792" s="58" t="s">
        <v>346</v>
      </c>
      <c r="C792" s="59">
        <v>45323</v>
      </c>
      <c r="D792" s="59">
        <v>45323</v>
      </c>
      <c r="E792" s="60">
        <v>0</v>
      </c>
    </row>
    <row r="793" spans="1:5">
      <c r="A793" s="58" t="s">
        <v>229</v>
      </c>
      <c r="B793" s="58" t="s">
        <v>346</v>
      </c>
      <c r="C793" s="59">
        <v>45324</v>
      </c>
      <c r="D793" s="59">
        <v>45324</v>
      </c>
      <c r="E793" s="60">
        <v>0</v>
      </c>
    </row>
    <row r="794" spans="1:5">
      <c r="A794" s="58" t="s">
        <v>229</v>
      </c>
      <c r="B794" s="58" t="s">
        <v>346</v>
      </c>
      <c r="C794" s="59">
        <v>45325</v>
      </c>
      <c r="D794" s="59">
        <v>45325</v>
      </c>
      <c r="E794" s="60">
        <v>0</v>
      </c>
    </row>
    <row r="795" spans="1:5">
      <c r="A795" s="58" t="s">
        <v>229</v>
      </c>
      <c r="B795" s="58" t="s">
        <v>346</v>
      </c>
      <c r="C795" s="59">
        <v>45326</v>
      </c>
      <c r="D795" s="59">
        <v>45326</v>
      </c>
      <c r="E795" s="60">
        <v>0</v>
      </c>
    </row>
    <row r="796" spans="1:5">
      <c r="A796" s="58" t="s">
        <v>229</v>
      </c>
      <c r="B796" s="58" t="s">
        <v>346</v>
      </c>
      <c r="C796" s="59">
        <v>45327</v>
      </c>
      <c r="D796" s="59">
        <v>45327</v>
      </c>
      <c r="E796" s="60">
        <v>0</v>
      </c>
    </row>
    <row r="797" spans="1:5">
      <c r="A797" s="58" t="s">
        <v>230</v>
      </c>
      <c r="B797" s="58" t="s">
        <v>347</v>
      </c>
      <c r="C797" s="59">
        <v>45323</v>
      </c>
      <c r="D797" s="59">
        <v>45323</v>
      </c>
      <c r="E797" s="60">
        <v>0</v>
      </c>
    </row>
    <row r="798" spans="1:5">
      <c r="A798" s="58" t="s">
        <v>230</v>
      </c>
      <c r="B798" s="58" t="s">
        <v>347</v>
      </c>
      <c r="C798" s="59">
        <v>45324</v>
      </c>
      <c r="D798" s="59">
        <v>45324</v>
      </c>
      <c r="E798" s="60">
        <v>0</v>
      </c>
    </row>
    <row r="799" spans="1:5">
      <c r="A799" s="58" t="s">
        <v>230</v>
      </c>
      <c r="B799" s="58" t="s">
        <v>347</v>
      </c>
      <c r="C799" s="59">
        <v>45325</v>
      </c>
      <c r="D799" s="59">
        <v>45325</v>
      </c>
      <c r="E799" s="60">
        <v>0</v>
      </c>
    </row>
    <row r="800" spans="1:5">
      <c r="A800" s="58" t="s">
        <v>230</v>
      </c>
      <c r="B800" s="58" t="s">
        <v>347</v>
      </c>
      <c r="C800" s="59">
        <v>45326</v>
      </c>
      <c r="D800" s="59">
        <v>45326</v>
      </c>
      <c r="E800" s="60">
        <v>0</v>
      </c>
    </row>
    <row r="801" spans="1:5">
      <c r="A801" s="58" t="s">
        <v>230</v>
      </c>
      <c r="B801" s="58" t="s">
        <v>347</v>
      </c>
      <c r="C801" s="59">
        <v>45327</v>
      </c>
      <c r="D801" s="59">
        <v>45327</v>
      </c>
      <c r="E801" s="60">
        <v>0</v>
      </c>
    </row>
    <row r="802" spans="1:5">
      <c r="A802" s="58" t="s">
        <v>102</v>
      </c>
      <c r="B802" s="58" t="s">
        <v>344</v>
      </c>
      <c r="C802" s="59">
        <v>45323</v>
      </c>
      <c r="D802" s="59">
        <v>45323</v>
      </c>
      <c r="E802" s="60">
        <v>0</v>
      </c>
    </row>
    <row r="803" spans="1:5">
      <c r="A803" s="58" t="s">
        <v>102</v>
      </c>
      <c r="B803" s="58" t="s">
        <v>344</v>
      </c>
      <c r="C803" s="59">
        <v>45324</v>
      </c>
      <c r="D803" s="59">
        <v>45324</v>
      </c>
      <c r="E803" s="60">
        <v>0</v>
      </c>
    </row>
    <row r="804" spans="1:5">
      <c r="A804" s="58" t="s">
        <v>102</v>
      </c>
      <c r="B804" s="58" t="s">
        <v>344</v>
      </c>
      <c r="C804" s="59">
        <v>45325</v>
      </c>
      <c r="D804" s="59">
        <v>45325</v>
      </c>
      <c r="E804" s="60">
        <v>0</v>
      </c>
    </row>
    <row r="805" spans="1:5">
      <c r="A805" s="58" t="s">
        <v>102</v>
      </c>
      <c r="B805" s="58" t="s">
        <v>344</v>
      </c>
      <c r="C805" s="59">
        <v>45326</v>
      </c>
      <c r="D805" s="59">
        <v>45326</v>
      </c>
      <c r="E805" s="60">
        <v>0</v>
      </c>
    </row>
    <row r="806" spans="1:5">
      <c r="A806" s="58" t="s">
        <v>102</v>
      </c>
      <c r="B806" s="58" t="s">
        <v>344</v>
      </c>
      <c r="C806" s="59">
        <v>45327</v>
      </c>
      <c r="D806" s="59">
        <v>45327</v>
      </c>
      <c r="E806" s="60">
        <v>0</v>
      </c>
    </row>
    <row r="807" spans="1:5">
      <c r="A807" s="58" t="s">
        <v>231</v>
      </c>
      <c r="B807" s="58" t="s">
        <v>345</v>
      </c>
      <c r="C807" s="59">
        <v>45323</v>
      </c>
      <c r="D807" s="59">
        <v>45323</v>
      </c>
      <c r="E807" s="60">
        <v>0</v>
      </c>
    </row>
    <row r="808" spans="1:5">
      <c r="A808" s="58" t="s">
        <v>231</v>
      </c>
      <c r="B808" s="58" t="s">
        <v>345</v>
      </c>
      <c r="C808" s="59">
        <v>45324</v>
      </c>
      <c r="D808" s="59">
        <v>45324</v>
      </c>
      <c r="E808" s="60">
        <v>0</v>
      </c>
    </row>
    <row r="809" spans="1:5">
      <c r="A809" s="58" t="s">
        <v>231</v>
      </c>
      <c r="B809" s="58" t="s">
        <v>345</v>
      </c>
      <c r="C809" s="59">
        <v>45325</v>
      </c>
      <c r="D809" s="59">
        <v>45325</v>
      </c>
      <c r="E809" s="60">
        <v>0</v>
      </c>
    </row>
    <row r="810" spans="1:5">
      <c r="A810" s="58" t="s">
        <v>231</v>
      </c>
      <c r="B810" s="58" t="s">
        <v>345</v>
      </c>
      <c r="C810" s="59">
        <v>45326</v>
      </c>
      <c r="D810" s="59">
        <v>45326</v>
      </c>
      <c r="E810" s="60">
        <v>0</v>
      </c>
    </row>
    <row r="811" spans="1:5">
      <c r="A811" s="58" t="s">
        <v>231</v>
      </c>
      <c r="B811" s="58" t="s">
        <v>345</v>
      </c>
      <c r="C811" s="59">
        <v>45327</v>
      </c>
      <c r="D811" s="59">
        <v>45327</v>
      </c>
      <c r="E811" s="60">
        <v>0</v>
      </c>
    </row>
    <row r="812" spans="1:5">
      <c r="A812" s="58" t="s">
        <v>232</v>
      </c>
      <c r="B812" s="58" t="s">
        <v>346</v>
      </c>
      <c r="C812" s="59">
        <v>45323</v>
      </c>
      <c r="D812" s="59">
        <v>45323</v>
      </c>
      <c r="E812" s="60">
        <v>0</v>
      </c>
    </row>
    <row r="813" spans="1:5">
      <c r="A813" s="58" t="s">
        <v>232</v>
      </c>
      <c r="B813" s="58" t="s">
        <v>346</v>
      </c>
      <c r="C813" s="59">
        <v>45324</v>
      </c>
      <c r="D813" s="59">
        <v>45324</v>
      </c>
      <c r="E813" s="60">
        <v>0</v>
      </c>
    </row>
    <row r="814" spans="1:5">
      <c r="A814" s="58" t="s">
        <v>232</v>
      </c>
      <c r="B814" s="58" t="s">
        <v>346</v>
      </c>
      <c r="C814" s="59">
        <v>45325</v>
      </c>
      <c r="D814" s="59">
        <v>45325</v>
      </c>
      <c r="E814" s="60">
        <v>0</v>
      </c>
    </row>
    <row r="815" spans="1:5">
      <c r="A815" s="58" t="s">
        <v>232</v>
      </c>
      <c r="B815" s="58" t="s">
        <v>346</v>
      </c>
      <c r="C815" s="59">
        <v>45326</v>
      </c>
      <c r="D815" s="59">
        <v>45326</v>
      </c>
      <c r="E815" s="60">
        <v>0</v>
      </c>
    </row>
    <row r="816" spans="1:5">
      <c r="A816" s="58" t="s">
        <v>232</v>
      </c>
      <c r="B816" s="58" t="s">
        <v>346</v>
      </c>
      <c r="C816" s="59">
        <v>45327</v>
      </c>
      <c r="D816" s="59">
        <v>45327</v>
      </c>
      <c r="E816" s="60">
        <v>0</v>
      </c>
    </row>
    <row r="817" spans="1:5">
      <c r="A817" s="58" t="s">
        <v>233</v>
      </c>
      <c r="B817" s="58" t="s">
        <v>347</v>
      </c>
      <c r="C817" s="59">
        <v>45323</v>
      </c>
      <c r="D817" s="59">
        <v>45323</v>
      </c>
      <c r="E817" s="60">
        <v>0</v>
      </c>
    </row>
    <row r="818" spans="1:5">
      <c r="A818" s="58" t="s">
        <v>233</v>
      </c>
      <c r="B818" s="58" t="s">
        <v>347</v>
      </c>
      <c r="C818" s="59">
        <v>45324</v>
      </c>
      <c r="D818" s="59">
        <v>45324</v>
      </c>
      <c r="E818" s="60">
        <v>0</v>
      </c>
    </row>
    <row r="819" spans="1:5">
      <c r="A819" s="58" t="s">
        <v>233</v>
      </c>
      <c r="B819" s="58" t="s">
        <v>347</v>
      </c>
      <c r="C819" s="59">
        <v>45325</v>
      </c>
      <c r="D819" s="59">
        <v>45325</v>
      </c>
      <c r="E819" s="60">
        <v>0</v>
      </c>
    </row>
    <row r="820" spans="1:5">
      <c r="A820" s="58" t="s">
        <v>233</v>
      </c>
      <c r="B820" s="58" t="s">
        <v>347</v>
      </c>
      <c r="C820" s="59">
        <v>45326</v>
      </c>
      <c r="D820" s="59">
        <v>45326</v>
      </c>
      <c r="E820" s="60">
        <v>0</v>
      </c>
    </row>
    <row r="821" spans="1:5">
      <c r="A821" s="58" t="s">
        <v>233</v>
      </c>
      <c r="B821" s="58" t="s">
        <v>347</v>
      </c>
      <c r="C821" s="59">
        <v>45327</v>
      </c>
      <c r="D821" s="59">
        <v>45327</v>
      </c>
      <c r="E821" s="60">
        <v>0</v>
      </c>
    </row>
    <row r="822" spans="1:5">
      <c r="A822" s="58" t="s">
        <v>105</v>
      </c>
      <c r="B822" s="58" t="s">
        <v>344</v>
      </c>
      <c r="C822" s="59">
        <v>45323</v>
      </c>
      <c r="D822" s="59">
        <v>45323</v>
      </c>
      <c r="E822" s="60">
        <v>0</v>
      </c>
    </row>
    <row r="823" spans="1:5">
      <c r="A823" s="58" t="s">
        <v>105</v>
      </c>
      <c r="B823" s="58" t="s">
        <v>344</v>
      </c>
      <c r="C823" s="59">
        <v>45324</v>
      </c>
      <c r="D823" s="59">
        <v>45324</v>
      </c>
      <c r="E823" s="60">
        <v>0</v>
      </c>
    </row>
    <row r="824" spans="1:5">
      <c r="A824" s="58" t="s">
        <v>105</v>
      </c>
      <c r="B824" s="58" t="s">
        <v>344</v>
      </c>
      <c r="C824" s="59">
        <v>45325</v>
      </c>
      <c r="D824" s="59">
        <v>45325</v>
      </c>
      <c r="E824" s="60">
        <v>0</v>
      </c>
    </row>
    <row r="825" spans="1:5">
      <c r="A825" s="58" t="s">
        <v>105</v>
      </c>
      <c r="B825" s="58" t="s">
        <v>344</v>
      </c>
      <c r="C825" s="59">
        <v>45326</v>
      </c>
      <c r="D825" s="59">
        <v>45326</v>
      </c>
      <c r="E825" s="60">
        <v>0</v>
      </c>
    </row>
    <row r="826" spans="1:5">
      <c r="A826" s="58" t="s">
        <v>105</v>
      </c>
      <c r="B826" s="58" t="s">
        <v>344</v>
      </c>
      <c r="C826" s="59">
        <v>45327</v>
      </c>
      <c r="D826" s="59">
        <v>45327</v>
      </c>
      <c r="E826" s="60">
        <v>0</v>
      </c>
    </row>
    <row r="827" spans="1:5">
      <c r="A827" s="58" t="s">
        <v>234</v>
      </c>
      <c r="B827" s="58" t="s">
        <v>345</v>
      </c>
      <c r="C827" s="59">
        <v>45323</v>
      </c>
      <c r="D827" s="59">
        <v>45323</v>
      </c>
      <c r="E827" s="60">
        <v>0</v>
      </c>
    </row>
    <row r="828" spans="1:5">
      <c r="A828" s="58" t="s">
        <v>234</v>
      </c>
      <c r="B828" s="58" t="s">
        <v>345</v>
      </c>
      <c r="C828" s="59">
        <v>45324</v>
      </c>
      <c r="D828" s="59">
        <v>45324</v>
      </c>
      <c r="E828" s="60">
        <v>0</v>
      </c>
    </row>
    <row r="829" spans="1:5">
      <c r="A829" s="58" t="s">
        <v>234</v>
      </c>
      <c r="B829" s="58" t="s">
        <v>345</v>
      </c>
      <c r="C829" s="59">
        <v>45325</v>
      </c>
      <c r="D829" s="59">
        <v>45325</v>
      </c>
      <c r="E829" s="60">
        <v>0</v>
      </c>
    </row>
    <row r="830" spans="1:5">
      <c r="A830" s="58" t="s">
        <v>234</v>
      </c>
      <c r="B830" s="58" t="s">
        <v>345</v>
      </c>
      <c r="C830" s="59">
        <v>45326</v>
      </c>
      <c r="D830" s="59">
        <v>45326</v>
      </c>
      <c r="E830" s="60">
        <v>0</v>
      </c>
    </row>
    <row r="831" spans="1:5">
      <c r="A831" s="58" t="s">
        <v>234</v>
      </c>
      <c r="B831" s="58" t="s">
        <v>345</v>
      </c>
      <c r="C831" s="59">
        <v>45327</v>
      </c>
      <c r="D831" s="59">
        <v>45327</v>
      </c>
      <c r="E831" s="60">
        <v>0</v>
      </c>
    </row>
    <row r="832" spans="1:5">
      <c r="A832" s="58" t="s">
        <v>235</v>
      </c>
      <c r="B832" s="58" t="s">
        <v>346</v>
      </c>
      <c r="C832" s="59">
        <v>45323</v>
      </c>
      <c r="D832" s="59">
        <v>45323</v>
      </c>
      <c r="E832" s="60">
        <v>0</v>
      </c>
    </row>
    <row r="833" spans="1:5">
      <c r="A833" s="58" t="s">
        <v>235</v>
      </c>
      <c r="B833" s="58" t="s">
        <v>346</v>
      </c>
      <c r="C833" s="59">
        <v>45324</v>
      </c>
      <c r="D833" s="59">
        <v>45324</v>
      </c>
      <c r="E833" s="60">
        <v>0</v>
      </c>
    </row>
    <row r="834" spans="1:5">
      <c r="A834" s="58" t="s">
        <v>235</v>
      </c>
      <c r="B834" s="58" t="s">
        <v>346</v>
      </c>
      <c r="C834" s="59">
        <v>45325</v>
      </c>
      <c r="D834" s="59">
        <v>45325</v>
      </c>
      <c r="E834" s="60">
        <v>0</v>
      </c>
    </row>
    <row r="835" spans="1:5">
      <c r="A835" s="58" t="s">
        <v>235</v>
      </c>
      <c r="B835" s="58" t="s">
        <v>346</v>
      </c>
      <c r="C835" s="59">
        <v>45326</v>
      </c>
      <c r="D835" s="59">
        <v>45326</v>
      </c>
      <c r="E835" s="60">
        <v>0</v>
      </c>
    </row>
    <row r="836" spans="1:5">
      <c r="A836" s="58" t="s">
        <v>235</v>
      </c>
      <c r="B836" s="58" t="s">
        <v>346</v>
      </c>
      <c r="C836" s="59">
        <v>45327</v>
      </c>
      <c r="D836" s="59">
        <v>45327</v>
      </c>
      <c r="E836" s="60">
        <v>0</v>
      </c>
    </row>
    <row r="837" spans="1:5">
      <c r="A837" s="58" t="s">
        <v>236</v>
      </c>
      <c r="B837" s="58" t="s">
        <v>347</v>
      </c>
      <c r="C837" s="59">
        <v>45323</v>
      </c>
      <c r="D837" s="59">
        <v>45323</v>
      </c>
      <c r="E837" s="60">
        <v>0</v>
      </c>
    </row>
    <row r="838" spans="1:5">
      <c r="A838" s="58" t="s">
        <v>236</v>
      </c>
      <c r="B838" s="58" t="s">
        <v>347</v>
      </c>
      <c r="C838" s="59">
        <v>45324</v>
      </c>
      <c r="D838" s="59">
        <v>45324</v>
      </c>
      <c r="E838" s="60">
        <v>0</v>
      </c>
    </row>
    <row r="839" spans="1:5">
      <c r="A839" s="58" t="s">
        <v>236</v>
      </c>
      <c r="B839" s="58" t="s">
        <v>347</v>
      </c>
      <c r="C839" s="59">
        <v>45325</v>
      </c>
      <c r="D839" s="59">
        <v>45325</v>
      </c>
      <c r="E839" s="60">
        <v>0</v>
      </c>
    </row>
    <row r="840" spans="1:5">
      <c r="A840" s="58" t="s">
        <v>236</v>
      </c>
      <c r="B840" s="58" t="s">
        <v>347</v>
      </c>
      <c r="C840" s="59">
        <v>45326</v>
      </c>
      <c r="D840" s="59">
        <v>45326</v>
      </c>
      <c r="E840" s="60">
        <v>0</v>
      </c>
    </row>
    <row r="841" spans="1:5">
      <c r="A841" s="58" t="s">
        <v>236</v>
      </c>
      <c r="B841" s="58" t="s">
        <v>347</v>
      </c>
      <c r="C841" s="59">
        <v>45327</v>
      </c>
      <c r="D841" s="59">
        <v>45327</v>
      </c>
      <c r="E841" s="60">
        <v>0</v>
      </c>
    </row>
    <row r="842" spans="1:5">
      <c r="A842" s="58" t="s">
        <v>109</v>
      </c>
      <c r="B842" s="58" t="s">
        <v>344</v>
      </c>
      <c r="C842" s="59">
        <v>45323</v>
      </c>
      <c r="D842" s="59">
        <v>45323</v>
      </c>
      <c r="E842" s="60">
        <v>0</v>
      </c>
    </row>
    <row r="843" spans="1:5">
      <c r="A843" s="58" t="s">
        <v>109</v>
      </c>
      <c r="B843" s="58" t="s">
        <v>344</v>
      </c>
      <c r="C843" s="59">
        <v>45324</v>
      </c>
      <c r="D843" s="59">
        <v>45324</v>
      </c>
      <c r="E843" s="60">
        <v>0</v>
      </c>
    </row>
    <row r="844" spans="1:5">
      <c r="A844" s="58" t="s">
        <v>109</v>
      </c>
      <c r="B844" s="58" t="s">
        <v>344</v>
      </c>
      <c r="C844" s="59">
        <v>45325</v>
      </c>
      <c r="D844" s="59">
        <v>45325</v>
      </c>
      <c r="E844" s="60">
        <v>0</v>
      </c>
    </row>
    <row r="845" spans="1:5">
      <c r="A845" s="58" t="s">
        <v>109</v>
      </c>
      <c r="B845" s="58" t="s">
        <v>344</v>
      </c>
      <c r="C845" s="59">
        <v>45326</v>
      </c>
      <c r="D845" s="59">
        <v>45326</v>
      </c>
      <c r="E845" s="60">
        <v>0</v>
      </c>
    </row>
    <row r="846" spans="1:5">
      <c r="A846" s="58" t="s">
        <v>109</v>
      </c>
      <c r="B846" s="58" t="s">
        <v>344</v>
      </c>
      <c r="C846" s="59">
        <v>45327</v>
      </c>
      <c r="D846" s="59">
        <v>45327</v>
      </c>
      <c r="E846" s="60">
        <v>0</v>
      </c>
    </row>
    <row r="847" spans="1:5">
      <c r="A847" s="58" t="s">
        <v>237</v>
      </c>
      <c r="B847" s="58" t="s">
        <v>345</v>
      </c>
      <c r="C847" s="59">
        <v>45323</v>
      </c>
      <c r="D847" s="59">
        <v>45323</v>
      </c>
      <c r="E847" s="60">
        <v>0</v>
      </c>
    </row>
    <row r="848" spans="1:5">
      <c r="A848" s="58" t="s">
        <v>237</v>
      </c>
      <c r="B848" s="58" t="s">
        <v>345</v>
      </c>
      <c r="C848" s="59">
        <v>45324</v>
      </c>
      <c r="D848" s="59">
        <v>45324</v>
      </c>
      <c r="E848" s="60">
        <v>0</v>
      </c>
    </row>
    <row r="849" spans="1:5">
      <c r="A849" s="58" t="s">
        <v>237</v>
      </c>
      <c r="B849" s="58" t="s">
        <v>345</v>
      </c>
      <c r="C849" s="59">
        <v>45325</v>
      </c>
      <c r="D849" s="59">
        <v>45325</v>
      </c>
      <c r="E849" s="60">
        <v>0</v>
      </c>
    </row>
    <row r="850" spans="1:5">
      <c r="A850" s="58" t="s">
        <v>237</v>
      </c>
      <c r="B850" s="58" t="s">
        <v>345</v>
      </c>
      <c r="C850" s="59">
        <v>45326</v>
      </c>
      <c r="D850" s="59">
        <v>45326</v>
      </c>
      <c r="E850" s="60">
        <v>0</v>
      </c>
    </row>
    <row r="851" spans="1:5">
      <c r="A851" s="58" t="s">
        <v>237</v>
      </c>
      <c r="B851" s="58" t="s">
        <v>345</v>
      </c>
      <c r="C851" s="59">
        <v>45327</v>
      </c>
      <c r="D851" s="59">
        <v>45327</v>
      </c>
      <c r="E851" s="60">
        <v>0</v>
      </c>
    </row>
    <row r="852" spans="1:5">
      <c r="A852" s="58" t="s">
        <v>238</v>
      </c>
      <c r="B852" s="58" t="s">
        <v>346</v>
      </c>
      <c r="C852" s="59">
        <v>45323</v>
      </c>
      <c r="D852" s="59">
        <v>45323</v>
      </c>
      <c r="E852" s="60">
        <v>0</v>
      </c>
    </row>
    <row r="853" spans="1:5">
      <c r="A853" s="58" t="s">
        <v>238</v>
      </c>
      <c r="B853" s="58" t="s">
        <v>346</v>
      </c>
      <c r="C853" s="59">
        <v>45324</v>
      </c>
      <c r="D853" s="59">
        <v>45324</v>
      </c>
      <c r="E853" s="60">
        <v>0</v>
      </c>
    </row>
    <row r="854" spans="1:5">
      <c r="A854" s="58" t="s">
        <v>238</v>
      </c>
      <c r="B854" s="58" t="s">
        <v>346</v>
      </c>
      <c r="C854" s="59">
        <v>45325</v>
      </c>
      <c r="D854" s="59">
        <v>45325</v>
      </c>
      <c r="E854" s="60">
        <v>0</v>
      </c>
    </row>
    <row r="855" spans="1:5">
      <c r="A855" s="58" t="s">
        <v>238</v>
      </c>
      <c r="B855" s="58" t="s">
        <v>346</v>
      </c>
      <c r="C855" s="59">
        <v>45326</v>
      </c>
      <c r="D855" s="59">
        <v>45326</v>
      </c>
      <c r="E855" s="60">
        <v>0</v>
      </c>
    </row>
    <row r="856" spans="1:5">
      <c r="A856" s="58" t="s">
        <v>238</v>
      </c>
      <c r="B856" s="58" t="s">
        <v>346</v>
      </c>
      <c r="C856" s="59">
        <v>45327</v>
      </c>
      <c r="D856" s="59">
        <v>45327</v>
      </c>
      <c r="E856" s="60">
        <v>0</v>
      </c>
    </row>
    <row r="857" spans="1:5">
      <c r="A857" s="58" t="s">
        <v>239</v>
      </c>
      <c r="B857" s="58" t="s">
        <v>347</v>
      </c>
      <c r="C857" s="59">
        <v>45323</v>
      </c>
      <c r="D857" s="59">
        <v>45323</v>
      </c>
      <c r="E857" s="60">
        <v>0</v>
      </c>
    </row>
    <row r="858" spans="1:5">
      <c r="A858" s="58" t="s">
        <v>239</v>
      </c>
      <c r="B858" s="58" t="s">
        <v>347</v>
      </c>
      <c r="C858" s="59">
        <v>45324</v>
      </c>
      <c r="D858" s="59">
        <v>45324</v>
      </c>
      <c r="E858" s="60">
        <v>0</v>
      </c>
    </row>
    <row r="859" spans="1:5">
      <c r="A859" s="58" t="s">
        <v>239</v>
      </c>
      <c r="B859" s="58" t="s">
        <v>347</v>
      </c>
      <c r="C859" s="59">
        <v>45325</v>
      </c>
      <c r="D859" s="59">
        <v>45325</v>
      </c>
      <c r="E859" s="60">
        <v>0</v>
      </c>
    </row>
    <row r="860" spans="1:5">
      <c r="A860" s="58" t="s">
        <v>239</v>
      </c>
      <c r="B860" s="58" t="s">
        <v>347</v>
      </c>
      <c r="C860" s="59">
        <v>45326</v>
      </c>
      <c r="D860" s="59">
        <v>45326</v>
      </c>
      <c r="E860" s="60">
        <v>0</v>
      </c>
    </row>
    <row r="861" spans="1:5">
      <c r="A861" s="58" t="s">
        <v>239</v>
      </c>
      <c r="B861" s="58" t="s">
        <v>347</v>
      </c>
      <c r="C861" s="59">
        <v>45327</v>
      </c>
      <c r="D861" s="59">
        <v>45327</v>
      </c>
      <c r="E861" s="60">
        <v>0</v>
      </c>
    </row>
    <row r="862" spans="1:5">
      <c r="A862" s="58" t="s">
        <v>113</v>
      </c>
      <c r="B862" s="58" t="s">
        <v>344</v>
      </c>
      <c r="C862" s="59">
        <v>45323</v>
      </c>
      <c r="D862" s="59">
        <v>45323</v>
      </c>
      <c r="E862" s="60">
        <v>0</v>
      </c>
    </row>
    <row r="863" spans="1:5">
      <c r="A863" s="58" t="s">
        <v>113</v>
      </c>
      <c r="B863" s="58" t="s">
        <v>344</v>
      </c>
      <c r="C863" s="59">
        <v>45324</v>
      </c>
      <c r="D863" s="59">
        <v>45324</v>
      </c>
      <c r="E863" s="60">
        <v>0</v>
      </c>
    </row>
    <row r="864" spans="1:5">
      <c r="A864" s="58" t="s">
        <v>113</v>
      </c>
      <c r="B864" s="58" t="s">
        <v>344</v>
      </c>
      <c r="C864" s="59">
        <v>45325</v>
      </c>
      <c r="D864" s="59">
        <v>45325</v>
      </c>
      <c r="E864" s="60">
        <v>0</v>
      </c>
    </row>
    <row r="865" spans="1:5">
      <c r="A865" s="58" t="s">
        <v>113</v>
      </c>
      <c r="B865" s="58" t="s">
        <v>344</v>
      </c>
      <c r="C865" s="59">
        <v>45326</v>
      </c>
      <c r="D865" s="59">
        <v>45326</v>
      </c>
      <c r="E865" s="60">
        <v>0</v>
      </c>
    </row>
    <row r="866" spans="1:5">
      <c r="A866" s="58" t="s">
        <v>113</v>
      </c>
      <c r="B866" s="58" t="s">
        <v>344</v>
      </c>
      <c r="C866" s="59">
        <v>45327</v>
      </c>
      <c r="D866" s="59">
        <v>45327</v>
      </c>
      <c r="E866" s="60">
        <v>0</v>
      </c>
    </row>
    <row r="867" spans="1:5">
      <c r="A867" s="58" t="s">
        <v>240</v>
      </c>
      <c r="B867" s="58" t="s">
        <v>345</v>
      </c>
      <c r="C867" s="59">
        <v>45323</v>
      </c>
      <c r="D867" s="59">
        <v>45323</v>
      </c>
      <c r="E867" s="60">
        <v>167.31</v>
      </c>
    </row>
    <row r="868" spans="1:5">
      <c r="A868" s="58" t="s">
        <v>240</v>
      </c>
      <c r="B868" s="58" t="s">
        <v>345</v>
      </c>
      <c r="C868" s="59">
        <v>45324</v>
      </c>
      <c r="D868" s="59">
        <v>45324</v>
      </c>
      <c r="E868" s="60">
        <v>0</v>
      </c>
    </row>
    <row r="869" spans="1:5">
      <c r="A869" s="58" t="s">
        <v>240</v>
      </c>
      <c r="B869" s="58" t="s">
        <v>345</v>
      </c>
      <c r="C869" s="59">
        <v>45325</v>
      </c>
      <c r="D869" s="59">
        <v>45325</v>
      </c>
      <c r="E869" s="60">
        <v>0</v>
      </c>
    </row>
    <row r="870" spans="1:5">
      <c r="A870" s="58" t="s">
        <v>240</v>
      </c>
      <c r="B870" s="58" t="s">
        <v>345</v>
      </c>
      <c r="C870" s="59">
        <v>45326</v>
      </c>
      <c r="D870" s="59">
        <v>45326</v>
      </c>
      <c r="E870" s="60">
        <v>0</v>
      </c>
    </row>
    <row r="871" spans="1:5">
      <c r="A871" s="58" t="s">
        <v>240</v>
      </c>
      <c r="B871" s="58" t="s">
        <v>345</v>
      </c>
      <c r="C871" s="59">
        <v>45327</v>
      </c>
      <c r="D871" s="59">
        <v>45327</v>
      </c>
      <c r="E871" s="60">
        <v>0</v>
      </c>
    </row>
    <row r="872" spans="1:5">
      <c r="A872" s="58" t="s">
        <v>241</v>
      </c>
      <c r="B872" s="58" t="s">
        <v>346</v>
      </c>
      <c r="C872" s="59">
        <v>45323</v>
      </c>
      <c r="D872" s="59">
        <v>45323</v>
      </c>
      <c r="E872" s="60">
        <v>0</v>
      </c>
    </row>
    <row r="873" spans="1:5">
      <c r="A873" s="58" t="s">
        <v>241</v>
      </c>
      <c r="B873" s="58" t="s">
        <v>346</v>
      </c>
      <c r="C873" s="59">
        <v>45324</v>
      </c>
      <c r="D873" s="59">
        <v>45324</v>
      </c>
      <c r="E873" s="60">
        <v>0</v>
      </c>
    </row>
    <row r="874" spans="1:5">
      <c r="A874" s="58" t="s">
        <v>241</v>
      </c>
      <c r="B874" s="58" t="s">
        <v>346</v>
      </c>
      <c r="C874" s="59">
        <v>45325</v>
      </c>
      <c r="D874" s="59">
        <v>45325</v>
      </c>
      <c r="E874" s="60">
        <v>0</v>
      </c>
    </row>
    <row r="875" spans="1:5">
      <c r="A875" s="58" t="s">
        <v>241</v>
      </c>
      <c r="B875" s="58" t="s">
        <v>346</v>
      </c>
      <c r="C875" s="59">
        <v>45326</v>
      </c>
      <c r="D875" s="59">
        <v>45326</v>
      </c>
      <c r="E875" s="60">
        <v>0</v>
      </c>
    </row>
    <row r="876" spans="1:5">
      <c r="A876" s="58" t="s">
        <v>241</v>
      </c>
      <c r="B876" s="58" t="s">
        <v>346</v>
      </c>
      <c r="C876" s="59">
        <v>45327</v>
      </c>
      <c r="D876" s="59">
        <v>45327</v>
      </c>
      <c r="E876" s="60">
        <v>0</v>
      </c>
    </row>
    <row r="877" spans="1:5">
      <c r="A877" s="58" t="s">
        <v>242</v>
      </c>
      <c r="B877" s="58" t="s">
        <v>347</v>
      </c>
      <c r="C877" s="59">
        <v>45323</v>
      </c>
      <c r="D877" s="59">
        <v>45323</v>
      </c>
      <c r="E877" s="60">
        <v>0</v>
      </c>
    </row>
    <row r="878" spans="1:5">
      <c r="A878" s="58" t="s">
        <v>242</v>
      </c>
      <c r="B878" s="58" t="s">
        <v>347</v>
      </c>
      <c r="C878" s="59">
        <v>45324</v>
      </c>
      <c r="D878" s="59">
        <v>45324</v>
      </c>
      <c r="E878" s="60">
        <v>0</v>
      </c>
    </row>
    <row r="879" spans="1:5">
      <c r="A879" s="58" t="s">
        <v>242</v>
      </c>
      <c r="B879" s="58" t="s">
        <v>347</v>
      </c>
      <c r="C879" s="59">
        <v>45325</v>
      </c>
      <c r="D879" s="59">
        <v>45325</v>
      </c>
      <c r="E879" s="60">
        <v>0</v>
      </c>
    </row>
    <row r="880" spans="1:5">
      <c r="A880" s="58" t="s">
        <v>242</v>
      </c>
      <c r="B880" s="58" t="s">
        <v>347</v>
      </c>
      <c r="C880" s="59">
        <v>45326</v>
      </c>
      <c r="D880" s="59">
        <v>45326</v>
      </c>
      <c r="E880" s="60">
        <v>0</v>
      </c>
    </row>
    <row r="881" spans="1:5">
      <c r="A881" s="58" t="s">
        <v>242</v>
      </c>
      <c r="B881" s="58" t="s">
        <v>347</v>
      </c>
      <c r="C881" s="59">
        <v>45327</v>
      </c>
      <c r="D881" s="59">
        <v>45327</v>
      </c>
      <c r="E881" s="60">
        <v>0</v>
      </c>
    </row>
    <row r="882" spans="1:5">
      <c r="A882" s="58" t="s">
        <v>117</v>
      </c>
      <c r="B882" s="58" t="s">
        <v>344</v>
      </c>
      <c r="C882" s="59">
        <v>45323</v>
      </c>
      <c r="D882" s="59">
        <v>45323</v>
      </c>
      <c r="E882" s="60">
        <v>0</v>
      </c>
    </row>
    <row r="883" spans="1:5">
      <c r="A883" s="58" t="s">
        <v>117</v>
      </c>
      <c r="B883" s="58" t="s">
        <v>344</v>
      </c>
      <c r="C883" s="59">
        <v>45324</v>
      </c>
      <c r="D883" s="59">
        <v>45324</v>
      </c>
      <c r="E883" s="60">
        <v>0</v>
      </c>
    </row>
    <row r="884" spans="1:5">
      <c r="A884" s="58" t="s">
        <v>117</v>
      </c>
      <c r="B884" s="58" t="s">
        <v>344</v>
      </c>
      <c r="C884" s="59">
        <v>45325</v>
      </c>
      <c r="D884" s="59">
        <v>45325</v>
      </c>
      <c r="E884" s="60">
        <v>0</v>
      </c>
    </row>
    <row r="885" spans="1:5">
      <c r="A885" s="58" t="s">
        <v>117</v>
      </c>
      <c r="B885" s="58" t="s">
        <v>344</v>
      </c>
      <c r="C885" s="59">
        <v>45326</v>
      </c>
      <c r="D885" s="59">
        <v>45326</v>
      </c>
      <c r="E885" s="60">
        <v>0</v>
      </c>
    </row>
    <row r="886" spans="1:5">
      <c r="A886" s="58" t="s">
        <v>117</v>
      </c>
      <c r="B886" s="58" t="s">
        <v>344</v>
      </c>
      <c r="C886" s="59">
        <v>45327</v>
      </c>
      <c r="D886" s="59">
        <v>45327</v>
      </c>
      <c r="E886" s="60">
        <v>0</v>
      </c>
    </row>
    <row r="887" spans="1:5">
      <c r="A887" s="58" t="s">
        <v>243</v>
      </c>
      <c r="B887" s="58" t="s">
        <v>345</v>
      </c>
      <c r="C887" s="59">
        <v>45323</v>
      </c>
      <c r="D887" s="59">
        <v>45323</v>
      </c>
      <c r="E887" s="60">
        <v>0</v>
      </c>
    </row>
    <row r="888" spans="1:5">
      <c r="A888" s="58" t="s">
        <v>243</v>
      </c>
      <c r="B888" s="58" t="s">
        <v>345</v>
      </c>
      <c r="C888" s="59">
        <v>45324</v>
      </c>
      <c r="D888" s="59">
        <v>45324</v>
      </c>
      <c r="E888" s="60">
        <v>0</v>
      </c>
    </row>
    <row r="889" spans="1:5">
      <c r="A889" s="58" t="s">
        <v>243</v>
      </c>
      <c r="B889" s="58" t="s">
        <v>345</v>
      </c>
      <c r="C889" s="59">
        <v>45325</v>
      </c>
      <c r="D889" s="59">
        <v>45325</v>
      </c>
      <c r="E889" s="60">
        <v>0</v>
      </c>
    </row>
    <row r="890" spans="1:5">
      <c r="A890" s="58" t="s">
        <v>243</v>
      </c>
      <c r="B890" s="58" t="s">
        <v>345</v>
      </c>
      <c r="C890" s="59">
        <v>45326</v>
      </c>
      <c r="D890" s="59">
        <v>45326</v>
      </c>
      <c r="E890" s="60">
        <v>0</v>
      </c>
    </row>
    <row r="891" spans="1:5">
      <c r="A891" s="58" t="s">
        <v>243</v>
      </c>
      <c r="B891" s="58" t="s">
        <v>345</v>
      </c>
      <c r="C891" s="59">
        <v>45327</v>
      </c>
      <c r="D891" s="59">
        <v>45327</v>
      </c>
      <c r="E891" s="60">
        <v>0</v>
      </c>
    </row>
    <row r="892" spans="1:5">
      <c r="A892" s="58" t="s">
        <v>244</v>
      </c>
      <c r="B892" s="58" t="s">
        <v>346</v>
      </c>
      <c r="C892" s="59">
        <v>45323</v>
      </c>
      <c r="D892" s="59">
        <v>45323</v>
      </c>
      <c r="E892" s="60">
        <v>0</v>
      </c>
    </row>
    <row r="893" spans="1:5">
      <c r="A893" s="58" t="s">
        <v>244</v>
      </c>
      <c r="B893" s="58" t="s">
        <v>346</v>
      </c>
      <c r="C893" s="59">
        <v>45324</v>
      </c>
      <c r="D893" s="59">
        <v>45324</v>
      </c>
      <c r="E893" s="60">
        <v>0</v>
      </c>
    </row>
    <row r="894" spans="1:5">
      <c r="A894" s="58" t="s">
        <v>244</v>
      </c>
      <c r="B894" s="58" t="s">
        <v>346</v>
      </c>
      <c r="C894" s="59">
        <v>45325</v>
      </c>
      <c r="D894" s="59">
        <v>45325</v>
      </c>
      <c r="E894" s="60">
        <v>0</v>
      </c>
    </row>
    <row r="895" spans="1:5">
      <c r="A895" s="58" t="s">
        <v>244</v>
      </c>
      <c r="B895" s="58" t="s">
        <v>346</v>
      </c>
      <c r="C895" s="59">
        <v>45326</v>
      </c>
      <c r="D895" s="59">
        <v>45326</v>
      </c>
      <c r="E895" s="60">
        <v>0</v>
      </c>
    </row>
    <row r="896" spans="1:5">
      <c r="A896" s="58" t="s">
        <v>244</v>
      </c>
      <c r="B896" s="58" t="s">
        <v>346</v>
      </c>
      <c r="C896" s="59">
        <v>45327</v>
      </c>
      <c r="D896" s="59">
        <v>45327</v>
      </c>
      <c r="E896" s="60">
        <v>0</v>
      </c>
    </row>
    <row r="897" spans="1:5">
      <c r="A897" s="58" t="s">
        <v>245</v>
      </c>
      <c r="B897" s="58" t="s">
        <v>347</v>
      </c>
      <c r="C897" s="59">
        <v>45323</v>
      </c>
      <c r="D897" s="59">
        <v>45323</v>
      </c>
      <c r="E897" s="60">
        <v>0</v>
      </c>
    </row>
    <row r="898" spans="1:5">
      <c r="A898" s="58" t="s">
        <v>245</v>
      </c>
      <c r="B898" s="58" t="s">
        <v>347</v>
      </c>
      <c r="C898" s="59">
        <v>45324</v>
      </c>
      <c r="D898" s="59">
        <v>45324</v>
      </c>
      <c r="E898" s="60">
        <v>0</v>
      </c>
    </row>
    <row r="899" spans="1:5">
      <c r="A899" s="58" t="s">
        <v>245</v>
      </c>
      <c r="B899" s="58" t="s">
        <v>347</v>
      </c>
      <c r="C899" s="59">
        <v>45325</v>
      </c>
      <c r="D899" s="59">
        <v>45325</v>
      </c>
      <c r="E899" s="60">
        <v>0</v>
      </c>
    </row>
    <row r="900" spans="1:5">
      <c r="A900" s="58" t="s">
        <v>245</v>
      </c>
      <c r="B900" s="58" t="s">
        <v>347</v>
      </c>
      <c r="C900" s="59">
        <v>45326</v>
      </c>
      <c r="D900" s="59">
        <v>45326</v>
      </c>
      <c r="E900" s="60">
        <v>0</v>
      </c>
    </row>
    <row r="901" spans="1:5">
      <c r="A901" s="58" t="s">
        <v>245</v>
      </c>
      <c r="B901" s="58" t="s">
        <v>347</v>
      </c>
      <c r="C901" s="59">
        <v>45327</v>
      </c>
      <c r="D901" s="59">
        <v>45327</v>
      </c>
      <c r="E901" s="60">
        <v>0</v>
      </c>
    </row>
    <row r="902" spans="1:5">
      <c r="A902" s="58" t="s">
        <v>120</v>
      </c>
      <c r="B902" s="58" t="s">
        <v>344</v>
      </c>
      <c r="C902" s="59">
        <v>45323</v>
      </c>
      <c r="D902" s="59">
        <v>45323</v>
      </c>
      <c r="E902" s="60">
        <v>0</v>
      </c>
    </row>
    <row r="903" spans="1:5">
      <c r="A903" s="58" t="s">
        <v>120</v>
      </c>
      <c r="B903" s="58" t="s">
        <v>344</v>
      </c>
      <c r="C903" s="59">
        <v>45324</v>
      </c>
      <c r="D903" s="59">
        <v>45324</v>
      </c>
      <c r="E903" s="60">
        <v>0</v>
      </c>
    </row>
    <row r="904" spans="1:5">
      <c r="A904" s="58" t="s">
        <v>120</v>
      </c>
      <c r="B904" s="58" t="s">
        <v>344</v>
      </c>
      <c r="C904" s="59">
        <v>45325</v>
      </c>
      <c r="D904" s="59">
        <v>45325</v>
      </c>
      <c r="E904" s="60">
        <v>0</v>
      </c>
    </row>
    <row r="905" spans="1:5">
      <c r="A905" s="58" t="s">
        <v>120</v>
      </c>
      <c r="B905" s="58" t="s">
        <v>344</v>
      </c>
      <c r="C905" s="59">
        <v>45326</v>
      </c>
      <c r="D905" s="59">
        <v>45326</v>
      </c>
      <c r="E905" s="60">
        <v>0</v>
      </c>
    </row>
    <row r="906" spans="1:5">
      <c r="A906" s="58" t="s">
        <v>120</v>
      </c>
      <c r="B906" s="58" t="s">
        <v>344</v>
      </c>
      <c r="C906" s="59">
        <v>45327</v>
      </c>
      <c r="D906" s="59">
        <v>45327</v>
      </c>
      <c r="E906" s="60">
        <v>0</v>
      </c>
    </row>
    <row r="907" spans="1:5">
      <c r="A907" s="58" t="s">
        <v>246</v>
      </c>
      <c r="B907" s="58" t="s">
        <v>345</v>
      </c>
      <c r="C907" s="59">
        <v>45323</v>
      </c>
      <c r="D907" s="59">
        <v>45323</v>
      </c>
      <c r="E907" s="60">
        <v>0</v>
      </c>
    </row>
    <row r="908" spans="1:5">
      <c r="A908" s="58" t="s">
        <v>246</v>
      </c>
      <c r="B908" s="58" t="s">
        <v>345</v>
      </c>
      <c r="C908" s="59">
        <v>45324</v>
      </c>
      <c r="D908" s="59">
        <v>45324</v>
      </c>
      <c r="E908" s="60">
        <v>0</v>
      </c>
    </row>
    <row r="909" spans="1:5">
      <c r="A909" s="58" t="s">
        <v>246</v>
      </c>
      <c r="B909" s="58" t="s">
        <v>345</v>
      </c>
      <c r="C909" s="59">
        <v>45325</v>
      </c>
      <c r="D909" s="59">
        <v>45325</v>
      </c>
      <c r="E909" s="60">
        <v>0</v>
      </c>
    </row>
    <row r="910" spans="1:5">
      <c r="A910" s="58" t="s">
        <v>246</v>
      </c>
      <c r="B910" s="58" t="s">
        <v>345</v>
      </c>
      <c r="C910" s="59">
        <v>45326</v>
      </c>
      <c r="D910" s="59">
        <v>45326</v>
      </c>
      <c r="E910" s="60">
        <v>0</v>
      </c>
    </row>
    <row r="911" spans="1:5">
      <c r="A911" s="58" t="s">
        <v>246</v>
      </c>
      <c r="B911" s="58" t="s">
        <v>345</v>
      </c>
      <c r="C911" s="59">
        <v>45327</v>
      </c>
      <c r="D911" s="59">
        <v>45327</v>
      </c>
      <c r="E911" s="60">
        <v>0</v>
      </c>
    </row>
    <row r="912" spans="1:5">
      <c r="A912" s="58" t="s">
        <v>247</v>
      </c>
      <c r="B912" s="58" t="s">
        <v>346</v>
      </c>
      <c r="C912" s="59">
        <v>45323</v>
      </c>
      <c r="D912" s="59">
        <v>45323</v>
      </c>
      <c r="E912" s="60">
        <v>0</v>
      </c>
    </row>
    <row r="913" spans="1:5">
      <c r="A913" s="58" t="s">
        <v>247</v>
      </c>
      <c r="B913" s="58" t="s">
        <v>346</v>
      </c>
      <c r="C913" s="59">
        <v>45324</v>
      </c>
      <c r="D913" s="59">
        <v>45324</v>
      </c>
      <c r="E913" s="60">
        <v>0</v>
      </c>
    </row>
    <row r="914" spans="1:5">
      <c r="A914" s="58" t="s">
        <v>247</v>
      </c>
      <c r="B914" s="58" t="s">
        <v>346</v>
      </c>
      <c r="C914" s="59">
        <v>45325</v>
      </c>
      <c r="D914" s="59">
        <v>45325</v>
      </c>
      <c r="E914" s="60">
        <v>0</v>
      </c>
    </row>
    <row r="915" spans="1:5">
      <c r="A915" s="58" t="s">
        <v>247</v>
      </c>
      <c r="B915" s="58" t="s">
        <v>346</v>
      </c>
      <c r="C915" s="59">
        <v>45326</v>
      </c>
      <c r="D915" s="59">
        <v>45326</v>
      </c>
      <c r="E915" s="60">
        <v>0</v>
      </c>
    </row>
    <row r="916" spans="1:5">
      <c r="A916" s="58" t="s">
        <v>247</v>
      </c>
      <c r="B916" s="58" t="s">
        <v>346</v>
      </c>
      <c r="C916" s="59">
        <v>45327</v>
      </c>
      <c r="D916" s="59">
        <v>45327</v>
      </c>
      <c r="E916" s="60">
        <v>0</v>
      </c>
    </row>
    <row r="917" spans="1:5">
      <c r="A917" s="58" t="s">
        <v>248</v>
      </c>
      <c r="B917" s="58" t="s">
        <v>347</v>
      </c>
      <c r="C917" s="59">
        <v>45323</v>
      </c>
      <c r="D917" s="59">
        <v>45323</v>
      </c>
      <c r="E917" s="60">
        <v>0</v>
      </c>
    </row>
    <row r="918" spans="1:5">
      <c r="A918" s="58" t="s">
        <v>248</v>
      </c>
      <c r="B918" s="58" t="s">
        <v>347</v>
      </c>
      <c r="C918" s="59">
        <v>45324</v>
      </c>
      <c r="D918" s="59">
        <v>45324</v>
      </c>
      <c r="E918" s="60">
        <v>0</v>
      </c>
    </row>
    <row r="919" spans="1:5">
      <c r="A919" s="58" t="s">
        <v>248</v>
      </c>
      <c r="B919" s="58" t="s">
        <v>347</v>
      </c>
      <c r="C919" s="59">
        <v>45325</v>
      </c>
      <c r="D919" s="59">
        <v>45325</v>
      </c>
      <c r="E919" s="60">
        <v>0</v>
      </c>
    </row>
    <row r="920" spans="1:5">
      <c r="A920" s="58" t="s">
        <v>248</v>
      </c>
      <c r="B920" s="58" t="s">
        <v>347</v>
      </c>
      <c r="C920" s="59">
        <v>45326</v>
      </c>
      <c r="D920" s="59">
        <v>45326</v>
      </c>
      <c r="E920" s="60">
        <v>0</v>
      </c>
    </row>
    <row r="921" spans="1:5">
      <c r="A921" s="58" t="s">
        <v>248</v>
      </c>
      <c r="B921" s="58" t="s">
        <v>347</v>
      </c>
      <c r="C921" s="59">
        <v>45327</v>
      </c>
      <c r="D921" s="59">
        <v>45327</v>
      </c>
      <c r="E921" s="60">
        <v>0</v>
      </c>
    </row>
    <row r="922" spans="1:5">
      <c r="A922" s="58" t="s">
        <v>123</v>
      </c>
      <c r="B922" s="58" t="s">
        <v>344</v>
      </c>
      <c r="C922" s="59">
        <v>45323</v>
      </c>
      <c r="D922" s="59">
        <v>45323</v>
      </c>
      <c r="E922" s="60">
        <v>0</v>
      </c>
    </row>
    <row r="923" spans="1:5">
      <c r="A923" s="58" t="s">
        <v>123</v>
      </c>
      <c r="B923" s="58" t="s">
        <v>344</v>
      </c>
      <c r="C923" s="59">
        <v>45324</v>
      </c>
      <c r="D923" s="59">
        <v>45324</v>
      </c>
      <c r="E923" s="60">
        <v>0</v>
      </c>
    </row>
    <row r="924" spans="1:5">
      <c r="A924" s="58" t="s">
        <v>123</v>
      </c>
      <c r="B924" s="58" t="s">
        <v>344</v>
      </c>
      <c r="C924" s="59">
        <v>45325</v>
      </c>
      <c r="D924" s="59">
        <v>45325</v>
      </c>
      <c r="E924" s="60">
        <v>0</v>
      </c>
    </row>
    <row r="925" spans="1:5">
      <c r="A925" s="58" t="s">
        <v>123</v>
      </c>
      <c r="B925" s="58" t="s">
        <v>344</v>
      </c>
      <c r="C925" s="59">
        <v>45326</v>
      </c>
      <c r="D925" s="59">
        <v>45326</v>
      </c>
      <c r="E925" s="60">
        <v>0</v>
      </c>
    </row>
    <row r="926" spans="1:5">
      <c r="A926" s="58" t="s">
        <v>123</v>
      </c>
      <c r="B926" s="58" t="s">
        <v>344</v>
      </c>
      <c r="C926" s="59">
        <v>45327</v>
      </c>
      <c r="D926" s="59">
        <v>45327</v>
      </c>
      <c r="E926" s="60">
        <v>0</v>
      </c>
    </row>
    <row r="927" spans="1:5">
      <c r="A927" s="58" t="s">
        <v>249</v>
      </c>
      <c r="B927" s="58" t="s">
        <v>345</v>
      </c>
      <c r="C927" s="59">
        <v>45323</v>
      </c>
      <c r="D927" s="59">
        <v>45323</v>
      </c>
      <c r="E927" s="60">
        <v>0</v>
      </c>
    </row>
    <row r="928" spans="1:5">
      <c r="A928" s="58" t="s">
        <v>249</v>
      </c>
      <c r="B928" s="58" t="s">
        <v>345</v>
      </c>
      <c r="C928" s="59">
        <v>45324</v>
      </c>
      <c r="D928" s="59">
        <v>45324</v>
      </c>
      <c r="E928" s="60">
        <v>0</v>
      </c>
    </row>
    <row r="929" spans="1:5">
      <c r="A929" s="58" t="s">
        <v>249</v>
      </c>
      <c r="B929" s="58" t="s">
        <v>345</v>
      </c>
      <c r="C929" s="59">
        <v>45325</v>
      </c>
      <c r="D929" s="59">
        <v>45325</v>
      </c>
      <c r="E929" s="60">
        <v>0</v>
      </c>
    </row>
    <row r="930" spans="1:5">
      <c r="A930" s="58" t="s">
        <v>249</v>
      </c>
      <c r="B930" s="58" t="s">
        <v>345</v>
      </c>
      <c r="C930" s="59">
        <v>45326</v>
      </c>
      <c r="D930" s="59">
        <v>45326</v>
      </c>
      <c r="E930" s="60">
        <v>0</v>
      </c>
    </row>
    <row r="931" spans="1:5">
      <c r="A931" s="58" t="s">
        <v>249</v>
      </c>
      <c r="B931" s="58" t="s">
        <v>345</v>
      </c>
      <c r="C931" s="59">
        <v>45327</v>
      </c>
      <c r="D931" s="59">
        <v>45327</v>
      </c>
      <c r="E931" s="60">
        <v>0</v>
      </c>
    </row>
    <row r="932" spans="1:5">
      <c r="A932" s="58" t="s">
        <v>250</v>
      </c>
      <c r="B932" s="58" t="s">
        <v>346</v>
      </c>
      <c r="C932" s="59">
        <v>45323</v>
      </c>
      <c r="D932" s="59">
        <v>45323</v>
      </c>
      <c r="E932" s="60">
        <v>0</v>
      </c>
    </row>
    <row r="933" spans="1:5">
      <c r="A933" s="58" t="s">
        <v>250</v>
      </c>
      <c r="B933" s="58" t="s">
        <v>346</v>
      </c>
      <c r="C933" s="59">
        <v>45324</v>
      </c>
      <c r="D933" s="59">
        <v>45324</v>
      </c>
      <c r="E933" s="60">
        <v>0</v>
      </c>
    </row>
    <row r="934" spans="1:5">
      <c r="A934" s="58" t="s">
        <v>250</v>
      </c>
      <c r="B934" s="58" t="s">
        <v>346</v>
      </c>
      <c r="C934" s="59">
        <v>45325</v>
      </c>
      <c r="D934" s="59">
        <v>45325</v>
      </c>
      <c r="E934" s="60">
        <v>0</v>
      </c>
    </row>
    <row r="935" spans="1:5">
      <c r="A935" s="58" t="s">
        <v>250</v>
      </c>
      <c r="B935" s="58" t="s">
        <v>346</v>
      </c>
      <c r="C935" s="59">
        <v>45326</v>
      </c>
      <c r="D935" s="59">
        <v>45326</v>
      </c>
      <c r="E935" s="60">
        <v>0</v>
      </c>
    </row>
    <row r="936" spans="1:5">
      <c r="A936" s="58" t="s">
        <v>250</v>
      </c>
      <c r="B936" s="58" t="s">
        <v>346</v>
      </c>
      <c r="C936" s="59">
        <v>45327</v>
      </c>
      <c r="D936" s="59">
        <v>45327</v>
      </c>
      <c r="E936" s="60">
        <v>0</v>
      </c>
    </row>
    <row r="937" spans="1:5">
      <c r="A937" s="58" t="s">
        <v>251</v>
      </c>
      <c r="B937" s="58" t="s">
        <v>347</v>
      </c>
      <c r="C937" s="59">
        <v>45323</v>
      </c>
      <c r="D937" s="59">
        <v>45323</v>
      </c>
      <c r="E937" s="60">
        <v>0</v>
      </c>
    </row>
    <row r="938" spans="1:5">
      <c r="A938" s="58" t="s">
        <v>251</v>
      </c>
      <c r="B938" s="58" t="s">
        <v>347</v>
      </c>
      <c r="C938" s="59">
        <v>45324</v>
      </c>
      <c r="D938" s="59">
        <v>45324</v>
      </c>
      <c r="E938" s="60">
        <v>0</v>
      </c>
    </row>
    <row r="939" spans="1:5">
      <c r="A939" s="58" t="s">
        <v>251</v>
      </c>
      <c r="B939" s="58" t="s">
        <v>347</v>
      </c>
      <c r="C939" s="59">
        <v>45325</v>
      </c>
      <c r="D939" s="59">
        <v>45325</v>
      </c>
      <c r="E939" s="60">
        <v>0</v>
      </c>
    </row>
    <row r="940" spans="1:5">
      <c r="A940" s="58" t="s">
        <v>251</v>
      </c>
      <c r="B940" s="58" t="s">
        <v>347</v>
      </c>
      <c r="C940" s="59">
        <v>45326</v>
      </c>
      <c r="D940" s="59">
        <v>45326</v>
      </c>
      <c r="E940" s="60">
        <v>0</v>
      </c>
    </row>
    <row r="941" spans="1:5">
      <c r="A941" s="58" t="s">
        <v>251</v>
      </c>
      <c r="B941" s="58" t="s">
        <v>347</v>
      </c>
      <c r="C941" s="59">
        <v>45327</v>
      </c>
      <c r="D941" s="59">
        <v>45327</v>
      </c>
      <c r="E941" s="60">
        <v>0</v>
      </c>
    </row>
    <row r="942" spans="1:5">
      <c r="A942" s="58" t="s">
        <v>126</v>
      </c>
      <c r="B942" s="58" t="s">
        <v>344</v>
      </c>
      <c r="C942" s="59">
        <v>45323</v>
      </c>
      <c r="D942" s="59">
        <v>45323</v>
      </c>
      <c r="E942" s="60">
        <v>0</v>
      </c>
    </row>
    <row r="943" spans="1:5">
      <c r="A943" s="58" t="s">
        <v>126</v>
      </c>
      <c r="B943" s="58" t="s">
        <v>344</v>
      </c>
      <c r="C943" s="59">
        <v>45324</v>
      </c>
      <c r="D943" s="59">
        <v>45324</v>
      </c>
      <c r="E943" s="60">
        <v>0</v>
      </c>
    </row>
    <row r="944" spans="1:5">
      <c r="A944" s="58" t="s">
        <v>126</v>
      </c>
      <c r="B944" s="58" t="s">
        <v>344</v>
      </c>
      <c r="C944" s="59">
        <v>45325</v>
      </c>
      <c r="D944" s="59">
        <v>45325</v>
      </c>
      <c r="E944" s="60">
        <v>0</v>
      </c>
    </row>
    <row r="945" spans="1:5">
      <c r="A945" s="58" t="s">
        <v>126</v>
      </c>
      <c r="B945" s="58" t="s">
        <v>344</v>
      </c>
      <c r="C945" s="59">
        <v>45326</v>
      </c>
      <c r="D945" s="59">
        <v>45326</v>
      </c>
      <c r="E945" s="60">
        <v>0</v>
      </c>
    </row>
    <row r="946" spans="1:5">
      <c r="A946" s="58" t="s">
        <v>126</v>
      </c>
      <c r="B946" s="58" t="s">
        <v>344</v>
      </c>
      <c r="C946" s="59">
        <v>45327</v>
      </c>
      <c r="D946" s="59">
        <v>45327</v>
      </c>
      <c r="E946" s="60">
        <v>0</v>
      </c>
    </row>
    <row r="947" spans="1:5">
      <c r="A947" s="58" t="s">
        <v>253</v>
      </c>
      <c r="B947" s="58" t="s">
        <v>345</v>
      </c>
      <c r="C947" s="59">
        <v>45323</v>
      </c>
      <c r="D947" s="59">
        <v>45323</v>
      </c>
      <c r="E947" s="60">
        <v>0</v>
      </c>
    </row>
    <row r="948" spans="1:5">
      <c r="A948" s="58" t="s">
        <v>253</v>
      </c>
      <c r="B948" s="58" t="s">
        <v>345</v>
      </c>
      <c r="C948" s="59">
        <v>45324</v>
      </c>
      <c r="D948" s="59">
        <v>45324</v>
      </c>
      <c r="E948" s="60">
        <v>1.6099999999999999</v>
      </c>
    </row>
    <row r="949" spans="1:5">
      <c r="A949" s="58" t="s">
        <v>253</v>
      </c>
      <c r="B949" s="58" t="s">
        <v>345</v>
      </c>
      <c r="C949" s="59">
        <v>45325</v>
      </c>
      <c r="D949" s="59">
        <v>45325</v>
      </c>
      <c r="E949" s="60">
        <v>0</v>
      </c>
    </row>
    <row r="950" spans="1:5">
      <c r="A950" s="58" t="s">
        <v>253</v>
      </c>
      <c r="B950" s="58" t="s">
        <v>345</v>
      </c>
      <c r="C950" s="59">
        <v>45326</v>
      </c>
      <c r="D950" s="59">
        <v>45326</v>
      </c>
      <c r="E950" s="60">
        <v>0</v>
      </c>
    </row>
    <row r="951" spans="1:5">
      <c r="A951" s="58" t="s">
        <v>253</v>
      </c>
      <c r="B951" s="58" t="s">
        <v>345</v>
      </c>
      <c r="C951" s="59">
        <v>45327</v>
      </c>
      <c r="D951" s="59">
        <v>45327</v>
      </c>
      <c r="E951" s="60">
        <v>0</v>
      </c>
    </row>
    <row r="952" spans="1:5">
      <c r="A952" s="58" t="s">
        <v>254</v>
      </c>
      <c r="B952" s="58" t="s">
        <v>346</v>
      </c>
      <c r="C952" s="59">
        <v>45323</v>
      </c>
      <c r="D952" s="59">
        <v>45323</v>
      </c>
      <c r="E952" s="60">
        <v>0</v>
      </c>
    </row>
    <row r="953" spans="1:5">
      <c r="A953" s="58" t="s">
        <v>254</v>
      </c>
      <c r="B953" s="58" t="s">
        <v>346</v>
      </c>
      <c r="C953" s="59">
        <v>45324</v>
      </c>
      <c r="D953" s="59">
        <v>45324</v>
      </c>
      <c r="E953" s="60">
        <v>0</v>
      </c>
    </row>
    <row r="954" spans="1:5">
      <c r="A954" s="58" t="s">
        <v>254</v>
      </c>
      <c r="B954" s="58" t="s">
        <v>346</v>
      </c>
      <c r="C954" s="59">
        <v>45325</v>
      </c>
      <c r="D954" s="59">
        <v>45325</v>
      </c>
      <c r="E954" s="60">
        <v>0</v>
      </c>
    </row>
    <row r="955" spans="1:5">
      <c r="A955" s="58" t="s">
        <v>254</v>
      </c>
      <c r="B955" s="58" t="s">
        <v>346</v>
      </c>
      <c r="C955" s="59">
        <v>45326</v>
      </c>
      <c r="D955" s="59">
        <v>45326</v>
      </c>
      <c r="E955" s="60">
        <v>0</v>
      </c>
    </row>
    <row r="956" spans="1:5">
      <c r="A956" s="58" t="s">
        <v>254</v>
      </c>
      <c r="B956" s="58" t="s">
        <v>346</v>
      </c>
      <c r="C956" s="59">
        <v>45327</v>
      </c>
      <c r="D956" s="59">
        <v>45327</v>
      </c>
      <c r="E956" s="60">
        <v>0</v>
      </c>
    </row>
    <row r="957" spans="1:5">
      <c r="A957" s="58" t="s">
        <v>255</v>
      </c>
      <c r="B957" s="58" t="s">
        <v>347</v>
      </c>
      <c r="C957" s="59">
        <v>45323</v>
      </c>
      <c r="D957" s="59">
        <v>45323</v>
      </c>
      <c r="E957" s="60">
        <v>0</v>
      </c>
    </row>
    <row r="958" spans="1:5">
      <c r="A958" s="58" t="s">
        <v>255</v>
      </c>
      <c r="B958" s="58" t="s">
        <v>347</v>
      </c>
      <c r="C958" s="59">
        <v>45324</v>
      </c>
      <c r="D958" s="59">
        <v>45324</v>
      </c>
      <c r="E958" s="60">
        <v>0</v>
      </c>
    </row>
    <row r="959" spans="1:5">
      <c r="A959" s="58" t="s">
        <v>255</v>
      </c>
      <c r="B959" s="58" t="s">
        <v>347</v>
      </c>
      <c r="C959" s="59">
        <v>45325</v>
      </c>
      <c r="D959" s="59">
        <v>45325</v>
      </c>
      <c r="E959" s="60">
        <v>0</v>
      </c>
    </row>
    <row r="960" spans="1:5">
      <c r="A960" s="58" t="s">
        <v>255</v>
      </c>
      <c r="B960" s="58" t="s">
        <v>347</v>
      </c>
      <c r="C960" s="59">
        <v>45326</v>
      </c>
      <c r="D960" s="59">
        <v>45326</v>
      </c>
      <c r="E960" s="60">
        <v>0</v>
      </c>
    </row>
    <row r="961" spans="1:5">
      <c r="A961" s="58" t="s">
        <v>255</v>
      </c>
      <c r="B961" s="58" t="s">
        <v>347</v>
      </c>
      <c r="C961" s="59">
        <v>45327</v>
      </c>
      <c r="D961" s="59">
        <v>45327</v>
      </c>
      <c r="E961" s="60">
        <v>0</v>
      </c>
    </row>
    <row r="962" spans="1:5">
      <c r="A962" s="58" t="s">
        <v>129</v>
      </c>
      <c r="B962" s="58" t="s">
        <v>344</v>
      </c>
      <c r="C962" s="59">
        <v>45323</v>
      </c>
      <c r="D962" s="59">
        <v>45323</v>
      </c>
      <c r="E962" s="60">
        <v>0</v>
      </c>
    </row>
    <row r="963" spans="1:5">
      <c r="A963" s="58" t="s">
        <v>129</v>
      </c>
      <c r="B963" s="58" t="s">
        <v>344</v>
      </c>
      <c r="C963" s="59">
        <v>45324</v>
      </c>
      <c r="D963" s="59">
        <v>45324</v>
      </c>
      <c r="E963" s="60">
        <v>0</v>
      </c>
    </row>
    <row r="964" spans="1:5">
      <c r="A964" s="58" t="s">
        <v>129</v>
      </c>
      <c r="B964" s="58" t="s">
        <v>344</v>
      </c>
      <c r="C964" s="59">
        <v>45325</v>
      </c>
      <c r="D964" s="59">
        <v>45325</v>
      </c>
      <c r="E964" s="60">
        <v>0</v>
      </c>
    </row>
    <row r="965" spans="1:5">
      <c r="A965" s="58" t="s">
        <v>129</v>
      </c>
      <c r="B965" s="58" t="s">
        <v>344</v>
      </c>
      <c r="C965" s="59">
        <v>45326</v>
      </c>
      <c r="D965" s="59">
        <v>45326</v>
      </c>
      <c r="E965" s="60">
        <v>0</v>
      </c>
    </row>
    <row r="966" spans="1:5">
      <c r="A966" s="58" t="s">
        <v>129</v>
      </c>
      <c r="B966" s="58" t="s">
        <v>344</v>
      </c>
      <c r="C966" s="59">
        <v>45327</v>
      </c>
      <c r="D966" s="59">
        <v>45327</v>
      </c>
      <c r="E966" s="60">
        <v>0</v>
      </c>
    </row>
    <row r="967" spans="1:5">
      <c r="A967" s="58" t="s">
        <v>256</v>
      </c>
      <c r="B967" s="58" t="s">
        <v>345</v>
      </c>
      <c r="C967" s="59">
        <v>45323</v>
      </c>
      <c r="D967" s="59">
        <v>45323</v>
      </c>
      <c r="E967" s="60">
        <v>0</v>
      </c>
    </row>
    <row r="968" spans="1:5">
      <c r="A968" s="58" t="s">
        <v>256</v>
      </c>
      <c r="B968" s="58" t="s">
        <v>345</v>
      </c>
      <c r="C968" s="59">
        <v>45324</v>
      </c>
      <c r="D968" s="59">
        <v>45324</v>
      </c>
      <c r="E968" s="60">
        <v>0</v>
      </c>
    </row>
    <row r="969" spans="1:5">
      <c r="A969" s="58" t="s">
        <v>256</v>
      </c>
      <c r="B969" s="58" t="s">
        <v>345</v>
      </c>
      <c r="C969" s="59">
        <v>45325</v>
      </c>
      <c r="D969" s="59">
        <v>45325</v>
      </c>
      <c r="E969" s="60">
        <v>0</v>
      </c>
    </row>
    <row r="970" spans="1:5">
      <c r="A970" s="58" t="s">
        <v>256</v>
      </c>
      <c r="B970" s="58" t="s">
        <v>345</v>
      </c>
      <c r="C970" s="59">
        <v>45326</v>
      </c>
      <c r="D970" s="59">
        <v>45326</v>
      </c>
      <c r="E970" s="60">
        <v>0</v>
      </c>
    </row>
    <row r="971" spans="1:5">
      <c r="A971" s="58" t="s">
        <v>256</v>
      </c>
      <c r="B971" s="58" t="s">
        <v>345</v>
      </c>
      <c r="C971" s="59">
        <v>45327</v>
      </c>
      <c r="D971" s="59">
        <v>45327</v>
      </c>
      <c r="E971" s="60">
        <v>0</v>
      </c>
    </row>
    <row r="972" spans="1:5">
      <c r="A972" s="58" t="s">
        <v>257</v>
      </c>
      <c r="B972" s="58" t="s">
        <v>346</v>
      </c>
      <c r="C972" s="59">
        <v>45323</v>
      </c>
      <c r="D972" s="59">
        <v>45323</v>
      </c>
      <c r="E972" s="60">
        <v>0</v>
      </c>
    </row>
    <row r="973" spans="1:5">
      <c r="A973" s="58" t="s">
        <v>257</v>
      </c>
      <c r="B973" s="58" t="s">
        <v>346</v>
      </c>
      <c r="C973" s="59">
        <v>45324</v>
      </c>
      <c r="D973" s="59">
        <v>45324</v>
      </c>
      <c r="E973" s="60">
        <v>0</v>
      </c>
    </row>
    <row r="974" spans="1:5">
      <c r="A974" s="58" t="s">
        <v>257</v>
      </c>
      <c r="B974" s="58" t="s">
        <v>346</v>
      </c>
      <c r="C974" s="59">
        <v>45325</v>
      </c>
      <c r="D974" s="59">
        <v>45325</v>
      </c>
      <c r="E974" s="60">
        <v>0</v>
      </c>
    </row>
    <row r="975" spans="1:5">
      <c r="A975" s="58" t="s">
        <v>257</v>
      </c>
      <c r="B975" s="58" t="s">
        <v>346</v>
      </c>
      <c r="C975" s="59">
        <v>45326</v>
      </c>
      <c r="D975" s="59">
        <v>45326</v>
      </c>
      <c r="E975" s="60">
        <v>0</v>
      </c>
    </row>
    <row r="976" spans="1:5">
      <c r="A976" s="58" t="s">
        <v>257</v>
      </c>
      <c r="B976" s="58" t="s">
        <v>346</v>
      </c>
      <c r="C976" s="59">
        <v>45327</v>
      </c>
      <c r="D976" s="59">
        <v>45327</v>
      </c>
      <c r="E976" s="60">
        <v>0</v>
      </c>
    </row>
    <row r="977" spans="1:5">
      <c r="A977" s="58" t="s">
        <v>258</v>
      </c>
      <c r="B977" s="58" t="s">
        <v>347</v>
      </c>
      <c r="C977" s="59">
        <v>45323</v>
      </c>
      <c r="D977" s="59">
        <v>45323</v>
      </c>
      <c r="E977" s="60">
        <v>0</v>
      </c>
    </row>
    <row r="978" spans="1:5">
      <c r="A978" s="58" t="s">
        <v>258</v>
      </c>
      <c r="B978" s="58" t="s">
        <v>347</v>
      </c>
      <c r="C978" s="59">
        <v>45324</v>
      </c>
      <c r="D978" s="59">
        <v>45324</v>
      </c>
      <c r="E978" s="60">
        <v>0</v>
      </c>
    </row>
    <row r="979" spans="1:5">
      <c r="A979" s="58" t="s">
        <v>258</v>
      </c>
      <c r="B979" s="58" t="s">
        <v>347</v>
      </c>
      <c r="C979" s="59">
        <v>45325</v>
      </c>
      <c r="D979" s="59">
        <v>45325</v>
      </c>
      <c r="E979" s="60">
        <v>0</v>
      </c>
    </row>
    <row r="980" spans="1:5">
      <c r="A980" s="58" t="s">
        <v>258</v>
      </c>
      <c r="B980" s="58" t="s">
        <v>347</v>
      </c>
      <c r="C980" s="59">
        <v>45326</v>
      </c>
      <c r="D980" s="59">
        <v>45326</v>
      </c>
      <c r="E980" s="60">
        <v>0</v>
      </c>
    </row>
    <row r="981" spans="1:5">
      <c r="A981" s="58" t="s">
        <v>258</v>
      </c>
      <c r="B981" s="58" t="s">
        <v>347</v>
      </c>
      <c r="C981" s="59">
        <v>45327</v>
      </c>
      <c r="D981" s="59">
        <v>45327</v>
      </c>
      <c r="E981" s="60">
        <v>0</v>
      </c>
    </row>
    <row r="982" spans="1:5">
      <c r="A982" s="58" t="s">
        <v>132</v>
      </c>
      <c r="B982" s="58" t="s">
        <v>344</v>
      </c>
      <c r="C982" s="59">
        <v>45323</v>
      </c>
      <c r="D982" s="59">
        <v>45323</v>
      </c>
      <c r="E982" s="60">
        <v>0</v>
      </c>
    </row>
    <row r="983" spans="1:5">
      <c r="A983" s="58" t="s">
        <v>132</v>
      </c>
      <c r="B983" s="58" t="s">
        <v>344</v>
      </c>
      <c r="C983" s="59">
        <v>45324</v>
      </c>
      <c r="D983" s="59">
        <v>45324</v>
      </c>
      <c r="E983" s="60">
        <v>0</v>
      </c>
    </row>
    <row r="984" spans="1:5">
      <c r="A984" s="58" t="s">
        <v>132</v>
      </c>
      <c r="B984" s="58" t="s">
        <v>344</v>
      </c>
      <c r="C984" s="59">
        <v>45325</v>
      </c>
      <c r="D984" s="59">
        <v>45325</v>
      </c>
      <c r="E984" s="60">
        <v>0</v>
      </c>
    </row>
    <row r="985" spans="1:5">
      <c r="A985" s="58" t="s">
        <v>132</v>
      </c>
      <c r="B985" s="58" t="s">
        <v>344</v>
      </c>
      <c r="C985" s="59">
        <v>45326</v>
      </c>
      <c r="D985" s="59">
        <v>45326</v>
      </c>
      <c r="E985" s="60">
        <v>0</v>
      </c>
    </row>
    <row r="986" spans="1:5">
      <c r="A986" s="58" t="s">
        <v>132</v>
      </c>
      <c r="B986" s="58" t="s">
        <v>344</v>
      </c>
      <c r="C986" s="59">
        <v>45327</v>
      </c>
      <c r="D986" s="59">
        <v>45327</v>
      </c>
      <c r="E986" s="60">
        <v>0</v>
      </c>
    </row>
    <row r="987" spans="1:5">
      <c r="A987" s="58" t="s">
        <v>259</v>
      </c>
      <c r="B987" s="58" t="s">
        <v>345</v>
      </c>
      <c r="C987" s="59">
        <v>45323</v>
      </c>
      <c r="D987" s="59">
        <v>45323</v>
      </c>
      <c r="E987" s="60">
        <v>0</v>
      </c>
    </row>
    <row r="988" spans="1:5">
      <c r="A988" s="58" t="s">
        <v>259</v>
      </c>
      <c r="B988" s="58" t="s">
        <v>345</v>
      </c>
      <c r="C988" s="59">
        <v>45324</v>
      </c>
      <c r="D988" s="59">
        <v>45324</v>
      </c>
      <c r="E988" s="60">
        <v>0</v>
      </c>
    </row>
    <row r="989" spans="1:5">
      <c r="A989" s="58" t="s">
        <v>259</v>
      </c>
      <c r="B989" s="58" t="s">
        <v>345</v>
      </c>
      <c r="C989" s="59">
        <v>45325</v>
      </c>
      <c r="D989" s="59">
        <v>45325</v>
      </c>
      <c r="E989" s="60">
        <v>0</v>
      </c>
    </row>
    <row r="990" spans="1:5">
      <c r="A990" s="58" t="s">
        <v>259</v>
      </c>
      <c r="B990" s="58" t="s">
        <v>345</v>
      </c>
      <c r="C990" s="59">
        <v>45326</v>
      </c>
      <c r="D990" s="59">
        <v>45326</v>
      </c>
      <c r="E990" s="60">
        <v>0</v>
      </c>
    </row>
    <row r="991" spans="1:5">
      <c r="A991" s="58" t="s">
        <v>259</v>
      </c>
      <c r="B991" s="58" t="s">
        <v>345</v>
      </c>
      <c r="C991" s="59">
        <v>45327</v>
      </c>
      <c r="D991" s="59">
        <v>45327</v>
      </c>
      <c r="E991" s="60">
        <v>0</v>
      </c>
    </row>
    <row r="992" spans="1:5">
      <c r="A992" s="58" t="s">
        <v>260</v>
      </c>
      <c r="B992" s="58" t="s">
        <v>346</v>
      </c>
      <c r="C992" s="59">
        <v>45323</v>
      </c>
      <c r="D992" s="59">
        <v>45323</v>
      </c>
      <c r="E992" s="60">
        <v>0</v>
      </c>
    </row>
    <row r="993" spans="1:5">
      <c r="A993" s="58" t="s">
        <v>260</v>
      </c>
      <c r="B993" s="58" t="s">
        <v>346</v>
      </c>
      <c r="C993" s="59">
        <v>45324</v>
      </c>
      <c r="D993" s="59">
        <v>45324</v>
      </c>
      <c r="E993" s="60">
        <v>0</v>
      </c>
    </row>
    <row r="994" spans="1:5">
      <c r="A994" s="58" t="s">
        <v>260</v>
      </c>
      <c r="B994" s="58" t="s">
        <v>346</v>
      </c>
      <c r="C994" s="59">
        <v>45325</v>
      </c>
      <c r="D994" s="59">
        <v>45325</v>
      </c>
      <c r="E994" s="60">
        <v>0</v>
      </c>
    </row>
    <row r="995" spans="1:5">
      <c r="A995" s="58" t="s">
        <v>260</v>
      </c>
      <c r="B995" s="58" t="s">
        <v>346</v>
      </c>
      <c r="C995" s="59">
        <v>45326</v>
      </c>
      <c r="D995" s="59">
        <v>45326</v>
      </c>
      <c r="E995" s="60">
        <v>0</v>
      </c>
    </row>
    <row r="996" spans="1:5">
      <c r="A996" s="58" t="s">
        <v>260</v>
      </c>
      <c r="B996" s="58" t="s">
        <v>346</v>
      </c>
      <c r="C996" s="59">
        <v>45327</v>
      </c>
      <c r="D996" s="59">
        <v>45327</v>
      </c>
      <c r="E996" s="60">
        <v>0</v>
      </c>
    </row>
    <row r="997" spans="1:5">
      <c r="A997" s="58" t="s">
        <v>261</v>
      </c>
      <c r="B997" s="58" t="s">
        <v>347</v>
      </c>
      <c r="C997" s="59">
        <v>45323</v>
      </c>
      <c r="D997" s="59">
        <v>45323</v>
      </c>
      <c r="E997" s="60">
        <v>0</v>
      </c>
    </row>
    <row r="998" spans="1:5">
      <c r="A998" s="58" t="s">
        <v>261</v>
      </c>
      <c r="B998" s="58" t="s">
        <v>347</v>
      </c>
      <c r="C998" s="59">
        <v>45324</v>
      </c>
      <c r="D998" s="59">
        <v>45324</v>
      </c>
      <c r="E998" s="60">
        <v>0</v>
      </c>
    </row>
    <row r="999" spans="1:5">
      <c r="A999" s="58" t="s">
        <v>261</v>
      </c>
      <c r="B999" s="58" t="s">
        <v>347</v>
      </c>
      <c r="C999" s="59">
        <v>45325</v>
      </c>
      <c r="D999" s="59">
        <v>45325</v>
      </c>
      <c r="E999" s="60">
        <v>0</v>
      </c>
    </row>
    <row r="1000" spans="1:5">
      <c r="A1000" s="58" t="s">
        <v>261</v>
      </c>
      <c r="B1000" s="58" t="s">
        <v>347</v>
      </c>
      <c r="C1000" s="59">
        <v>45326</v>
      </c>
      <c r="D1000" s="59">
        <v>45326</v>
      </c>
      <c r="E1000" s="60">
        <v>0</v>
      </c>
    </row>
    <row r="1001" spans="1:5">
      <c r="A1001" s="58" t="s">
        <v>261</v>
      </c>
      <c r="B1001" s="58" t="s">
        <v>347</v>
      </c>
      <c r="C1001" s="59">
        <v>45327</v>
      </c>
      <c r="D1001" s="59">
        <v>45327</v>
      </c>
      <c r="E1001" s="60"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8D9F0-F1A9-4334-AB16-C9DDFEBE065C}">
  <dimension ref="A1:BA374"/>
  <sheetViews>
    <sheetView topLeftCell="AI28" workbookViewId="0">
      <selection activeCell="BA1" sqref="BA1"/>
    </sheetView>
  </sheetViews>
  <sheetFormatPr defaultRowHeight="15"/>
  <sheetData>
    <row r="1" spans="1:53">
      <c r="A1" t="s">
        <v>467</v>
      </c>
      <c r="B1" t="s">
        <v>468</v>
      </c>
      <c r="C1" t="s">
        <v>469</v>
      </c>
      <c r="D1" t="s">
        <v>470</v>
      </c>
      <c r="E1" t="s">
        <v>471</v>
      </c>
      <c r="F1" t="s">
        <v>472</v>
      </c>
      <c r="G1" t="s">
        <v>473</v>
      </c>
      <c r="H1" t="s">
        <v>474</v>
      </c>
      <c r="I1" t="s">
        <v>475</v>
      </c>
      <c r="J1" t="s">
        <v>476</v>
      </c>
      <c r="K1" t="s">
        <v>477</v>
      </c>
      <c r="L1" t="s">
        <v>478</v>
      </c>
      <c r="M1" t="s">
        <v>479</v>
      </c>
      <c r="N1" t="s">
        <v>480</v>
      </c>
      <c r="O1" t="s">
        <v>481</v>
      </c>
      <c r="P1" t="s">
        <v>482</v>
      </c>
      <c r="Q1" t="s">
        <v>483</v>
      </c>
      <c r="R1" t="s">
        <v>484</v>
      </c>
      <c r="S1" t="s">
        <v>485</v>
      </c>
      <c r="T1" t="s">
        <v>486</v>
      </c>
      <c r="U1" t="s">
        <v>487</v>
      </c>
      <c r="V1" t="s">
        <v>488</v>
      </c>
      <c r="W1" t="s">
        <v>489</v>
      </c>
      <c r="X1" t="s">
        <v>490</v>
      </c>
      <c r="Y1" t="s">
        <v>491</v>
      </c>
      <c r="Z1" t="s">
        <v>492</v>
      </c>
      <c r="AA1" t="s">
        <v>493</v>
      </c>
      <c r="AB1" t="s">
        <v>494</v>
      </c>
      <c r="AC1" t="s">
        <v>495</v>
      </c>
      <c r="AD1" t="s">
        <v>496</v>
      </c>
      <c r="AE1" t="s">
        <v>497</v>
      </c>
      <c r="AF1" t="s">
        <v>498</v>
      </c>
      <c r="AG1" t="s">
        <v>499</v>
      </c>
      <c r="AH1" t="s">
        <v>500</v>
      </c>
      <c r="AI1" t="s">
        <v>501</v>
      </c>
      <c r="AJ1" t="s">
        <v>502</v>
      </c>
      <c r="AK1" t="s">
        <v>503</v>
      </c>
      <c r="AL1" t="s">
        <v>504</v>
      </c>
      <c r="AM1" t="s">
        <v>505</v>
      </c>
      <c r="AN1" t="s">
        <v>506</v>
      </c>
      <c r="AO1" t="s">
        <v>507</v>
      </c>
      <c r="AP1" t="s">
        <v>508</v>
      </c>
      <c r="AQ1" t="s">
        <v>509</v>
      </c>
      <c r="AR1" t="s">
        <v>510</v>
      </c>
      <c r="AS1" t="s">
        <v>511</v>
      </c>
      <c r="AT1" t="s">
        <v>512</v>
      </c>
      <c r="AU1" t="s">
        <v>513</v>
      </c>
      <c r="AV1" t="s">
        <v>514</v>
      </c>
      <c r="AW1" t="s">
        <v>515</v>
      </c>
      <c r="AX1" t="s">
        <v>516</v>
      </c>
      <c r="AY1" t="s">
        <v>517</v>
      </c>
      <c r="AZ1" t="s">
        <v>518</v>
      </c>
      <c r="BA1" t="s">
        <v>339</v>
      </c>
    </row>
    <row r="2" spans="1:53">
      <c r="A2" t="s">
        <v>391</v>
      </c>
      <c r="B2" t="s">
        <v>392</v>
      </c>
      <c r="C2">
        <v>24001372</v>
      </c>
      <c r="D2">
        <v>1201</v>
      </c>
      <c r="E2" s="2">
        <v>45324</v>
      </c>
      <c r="F2" t="s">
        <v>529</v>
      </c>
      <c r="G2">
        <v>44.3</v>
      </c>
      <c r="H2">
        <v>44.3</v>
      </c>
      <c r="I2" t="s">
        <v>351</v>
      </c>
      <c r="J2" t="s">
        <v>351</v>
      </c>
      <c r="L2" s="61">
        <v>700000</v>
      </c>
      <c r="N2" s="61">
        <v>700000</v>
      </c>
      <c r="O2" t="s">
        <v>352</v>
      </c>
      <c r="Q2" t="s">
        <v>352</v>
      </c>
      <c r="R2" t="s">
        <v>353</v>
      </c>
      <c r="S2">
        <v>15803</v>
      </c>
      <c r="T2" t="s">
        <v>354</v>
      </c>
      <c r="U2" t="s">
        <v>355</v>
      </c>
      <c r="V2" t="s">
        <v>394</v>
      </c>
      <c r="W2" t="s">
        <v>395</v>
      </c>
      <c r="X2">
        <v>2097393</v>
      </c>
      <c r="Y2" s="2">
        <v>45324</v>
      </c>
      <c r="Z2" t="s">
        <v>352</v>
      </c>
      <c r="AA2">
        <v>3</v>
      </c>
      <c r="AB2" t="s">
        <v>352</v>
      </c>
      <c r="AD2" t="s">
        <v>352</v>
      </c>
      <c r="AE2" t="s">
        <v>352</v>
      </c>
      <c r="AF2" t="s">
        <v>352</v>
      </c>
      <c r="AG2">
        <v>1</v>
      </c>
      <c r="AH2" t="s">
        <v>352</v>
      </c>
      <c r="AI2">
        <v>55377471</v>
      </c>
      <c r="AJ2" t="s">
        <v>529</v>
      </c>
      <c r="AL2" s="2">
        <v>45310</v>
      </c>
      <c r="AM2" s="2">
        <v>45310</v>
      </c>
      <c r="AN2" t="s">
        <v>530</v>
      </c>
      <c r="AO2" t="s">
        <v>359</v>
      </c>
      <c r="AP2">
        <v>1201</v>
      </c>
      <c r="AQ2" t="s">
        <v>360</v>
      </c>
      <c r="AR2" t="s">
        <v>531</v>
      </c>
      <c r="AU2" t="s">
        <v>352</v>
      </c>
      <c r="AV2" t="s">
        <v>362</v>
      </c>
      <c r="AX2">
        <v>24001152</v>
      </c>
      <c r="AY2">
        <v>630200</v>
      </c>
      <c r="AZ2">
        <v>1201.6302000000001</v>
      </c>
      <c r="BA2" s="54" t="s">
        <v>12</v>
      </c>
    </row>
    <row r="3" spans="1:53">
      <c r="A3" t="s">
        <v>391</v>
      </c>
      <c r="B3" t="s">
        <v>392</v>
      </c>
      <c r="C3">
        <v>24001927</v>
      </c>
      <c r="D3">
        <v>1204</v>
      </c>
      <c r="E3" s="2">
        <v>45324</v>
      </c>
      <c r="F3" t="s">
        <v>532</v>
      </c>
      <c r="G3">
        <v>21.64</v>
      </c>
      <c r="H3">
        <v>21.64</v>
      </c>
      <c r="I3" t="s">
        <v>351</v>
      </c>
      <c r="J3" t="s">
        <v>351</v>
      </c>
      <c r="L3" s="61">
        <v>342000</v>
      </c>
      <c r="N3" s="61">
        <v>342000</v>
      </c>
      <c r="O3" t="s">
        <v>352</v>
      </c>
      <c r="Q3" t="s">
        <v>352</v>
      </c>
      <c r="R3" t="s">
        <v>353</v>
      </c>
      <c r="S3">
        <v>15803</v>
      </c>
      <c r="T3" t="s">
        <v>354</v>
      </c>
      <c r="U3" t="s">
        <v>355</v>
      </c>
      <c r="V3" t="s">
        <v>394</v>
      </c>
      <c r="W3" t="s">
        <v>395</v>
      </c>
      <c r="X3">
        <v>2097385</v>
      </c>
      <c r="Y3" s="2">
        <v>45324</v>
      </c>
      <c r="Z3" t="s">
        <v>352</v>
      </c>
      <c r="AA3">
        <v>1</v>
      </c>
      <c r="AB3" t="s">
        <v>352</v>
      </c>
      <c r="AD3" t="s">
        <v>352</v>
      </c>
      <c r="AE3" t="s">
        <v>352</v>
      </c>
      <c r="AF3" t="s">
        <v>352</v>
      </c>
      <c r="AG3">
        <v>1</v>
      </c>
      <c r="AH3" t="s">
        <v>352</v>
      </c>
      <c r="AI3">
        <v>57341543</v>
      </c>
      <c r="AJ3" t="s">
        <v>532</v>
      </c>
      <c r="AL3" t="s">
        <v>533</v>
      </c>
      <c r="AM3" s="2">
        <v>45320</v>
      </c>
      <c r="AN3" t="s">
        <v>530</v>
      </c>
      <c r="AO3" t="s">
        <v>359</v>
      </c>
      <c r="AP3">
        <v>1204</v>
      </c>
      <c r="AQ3" t="s">
        <v>360</v>
      </c>
      <c r="AR3" t="s">
        <v>534</v>
      </c>
      <c r="AU3" t="s">
        <v>352</v>
      </c>
      <c r="AV3" t="s">
        <v>362</v>
      </c>
      <c r="AX3">
        <v>24001082</v>
      </c>
      <c r="AY3">
        <v>630200</v>
      </c>
      <c r="AZ3">
        <v>1204.6302000000001</v>
      </c>
      <c r="BA3" s="54" t="s">
        <v>44</v>
      </c>
    </row>
    <row r="4" spans="1:53">
      <c r="A4" t="s">
        <v>391</v>
      </c>
      <c r="B4" t="s">
        <v>392</v>
      </c>
      <c r="C4">
        <v>24001929</v>
      </c>
      <c r="D4">
        <v>1204</v>
      </c>
      <c r="E4" s="2">
        <v>45324</v>
      </c>
      <c r="F4" t="s">
        <v>535</v>
      </c>
      <c r="G4">
        <v>17.59</v>
      </c>
      <c r="H4">
        <v>17.59</v>
      </c>
      <c r="I4" t="s">
        <v>351</v>
      </c>
      <c r="J4" t="s">
        <v>351</v>
      </c>
      <c r="L4" s="61">
        <v>278000</v>
      </c>
      <c r="N4" s="61">
        <v>278000</v>
      </c>
      <c r="O4" t="s">
        <v>352</v>
      </c>
      <c r="Q4" t="s">
        <v>352</v>
      </c>
      <c r="R4" t="s">
        <v>353</v>
      </c>
      <c r="S4">
        <v>15803</v>
      </c>
      <c r="T4" t="s">
        <v>354</v>
      </c>
      <c r="U4" t="s">
        <v>355</v>
      </c>
      <c r="V4" t="s">
        <v>394</v>
      </c>
      <c r="W4" t="s">
        <v>395</v>
      </c>
      <c r="X4">
        <v>2097389</v>
      </c>
      <c r="Y4" s="2">
        <v>45324</v>
      </c>
      <c r="Z4" t="s">
        <v>352</v>
      </c>
      <c r="AA4">
        <v>1</v>
      </c>
      <c r="AB4" t="s">
        <v>352</v>
      </c>
      <c r="AD4" t="s">
        <v>352</v>
      </c>
      <c r="AE4" t="s">
        <v>352</v>
      </c>
      <c r="AF4" t="s">
        <v>352</v>
      </c>
      <c r="AG4">
        <v>1</v>
      </c>
      <c r="AH4" t="s">
        <v>352</v>
      </c>
      <c r="AI4">
        <v>57341527</v>
      </c>
      <c r="AJ4" t="s">
        <v>535</v>
      </c>
      <c r="AL4" t="s">
        <v>533</v>
      </c>
      <c r="AM4" s="2">
        <v>45318</v>
      </c>
      <c r="AN4" t="s">
        <v>530</v>
      </c>
      <c r="AO4" t="s">
        <v>359</v>
      </c>
      <c r="AP4">
        <v>1204</v>
      </c>
      <c r="AQ4" t="s">
        <v>360</v>
      </c>
      <c r="AR4" t="s">
        <v>536</v>
      </c>
      <c r="AU4" t="s">
        <v>352</v>
      </c>
      <c r="AV4" t="s">
        <v>362</v>
      </c>
      <c r="AX4">
        <v>24001083</v>
      </c>
      <c r="AY4">
        <v>630200</v>
      </c>
      <c r="AZ4">
        <v>1204.6302000000001</v>
      </c>
      <c r="BA4" s="54" t="s">
        <v>44</v>
      </c>
    </row>
    <row r="5" spans="1:53">
      <c r="A5" t="s">
        <v>363</v>
      </c>
      <c r="B5" t="s">
        <v>364</v>
      </c>
      <c r="C5">
        <v>24001029</v>
      </c>
      <c r="D5">
        <v>1201</v>
      </c>
      <c r="E5" s="2">
        <v>45327</v>
      </c>
      <c r="F5" t="s">
        <v>369</v>
      </c>
      <c r="G5">
        <v>8.39</v>
      </c>
      <c r="H5">
        <v>8.39</v>
      </c>
      <c r="I5" t="s">
        <v>352</v>
      </c>
      <c r="O5" t="s">
        <v>352</v>
      </c>
      <c r="Q5" t="s">
        <v>352</v>
      </c>
      <c r="R5" t="s">
        <v>366</v>
      </c>
      <c r="T5" t="s">
        <v>354</v>
      </c>
      <c r="U5" t="s">
        <v>355</v>
      </c>
      <c r="V5" t="s">
        <v>367</v>
      </c>
      <c r="W5" t="s">
        <v>368</v>
      </c>
      <c r="X5">
        <v>2097875</v>
      </c>
      <c r="Y5" s="2">
        <v>45327</v>
      </c>
      <c r="Z5" t="s">
        <v>352</v>
      </c>
      <c r="AA5">
        <v>2</v>
      </c>
      <c r="AB5" t="s">
        <v>352</v>
      </c>
      <c r="AD5" t="s">
        <v>352</v>
      </c>
      <c r="AE5" t="s">
        <v>352</v>
      </c>
      <c r="AF5" t="s">
        <v>352</v>
      </c>
      <c r="AG5">
        <v>1</v>
      </c>
      <c r="AH5" t="s">
        <v>352</v>
      </c>
      <c r="AL5" t="s">
        <v>352</v>
      </c>
      <c r="AM5" s="2">
        <v>45327</v>
      </c>
      <c r="AN5" t="s">
        <v>590</v>
      </c>
      <c r="AO5" t="s">
        <v>590</v>
      </c>
      <c r="AP5">
        <v>1201</v>
      </c>
      <c r="AQ5" t="s">
        <v>360</v>
      </c>
      <c r="AR5">
        <v>239927</v>
      </c>
      <c r="AU5" t="s">
        <v>352</v>
      </c>
      <c r="AV5" t="s">
        <v>362</v>
      </c>
      <c r="AX5" t="s">
        <v>352</v>
      </c>
      <c r="AY5">
        <v>631110</v>
      </c>
      <c r="AZ5">
        <v>1201.63111</v>
      </c>
      <c r="BA5" s="54" t="s">
        <v>318</v>
      </c>
    </row>
    <row r="6" spans="1:53">
      <c r="A6" t="s">
        <v>363</v>
      </c>
      <c r="B6" t="s">
        <v>364</v>
      </c>
      <c r="C6">
        <v>24001029</v>
      </c>
      <c r="D6">
        <v>1201</v>
      </c>
      <c r="E6" s="2">
        <v>45327</v>
      </c>
      <c r="F6" t="s">
        <v>369</v>
      </c>
      <c r="G6">
        <v>7.55</v>
      </c>
      <c r="H6">
        <v>7.55</v>
      </c>
      <c r="I6" t="s">
        <v>352</v>
      </c>
      <c r="O6" t="s">
        <v>352</v>
      </c>
      <c r="Q6" t="s">
        <v>352</v>
      </c>
      <c r="R6" t="s">
        <v>366</v>
      </c>
      <c r="T6" t="s">
        <v>354</v>
      </c>
      <c r="U6" t="s">
        <v>355</v>
      </c>
      <c r="V6" t="s">
        <v>367</v>
      </c>
      <c r="W6" t="s">
        <v>368</v>
      </c>
      <c r="X6">
        <v>2097875</v>
      </c>
      <c r="Y6" s="2">
        <v>45327</v>
      </c>
      <c r="Z6" t="s">
        <v>352</v>
      </c>
      <c r="AA6">
        <v>4</v>
      </c>
      <c r="AB6" t="s">
        <v>352</v>
      </c>
      <c r="AD6" t="s">
        <v>352</v>
      </c>
      <c r="AE6" t="s">
        <v>352</v>
      </c>
      <c r="AF6" t="s">
        <v>352</v>
      </c>
      <c r="AG6">
        <v>1</v>
      </c>
      <c r="AH6" t="s">
        <v>352</v>
      </c>
      <c r="AL6" t="s">
        <v>352</v>
      </c>
      <c r="AM6" s="2">
        <v>45327</v>
      </c>
      <c r="AN6" t="s">
        <v>590</v>
      </c>
      <c r="AO6" t="s">
        <v>590</v>
      </c>
      <c r="AP6">
        <v>1201</v>
      </c>
      <c r="AQ6" t="s">
        <v>360</v>
      </c>
      <c r="AR6">
        <v>227112</v>
      </c>
      <c r="AU6" t="s">
        <v>352</v>
      </c>
      <c r="AV6" t="s">
        <v>362</v>
      </c>
      <c r="AX6" t="s">
        <v>352</v>
      </c>
      <c r="AY6">
        <v>631110</v>
      </c>
      <c r="AZ6">
        <v>1201.63111</v>
      </c>
      <c r="BA6" s="54" t="s">
        <v>318</v>
      </c>
    </row>
    <row r="7" spans="1:53">
      <c r="A7" t="s">
        <v>363</v>
      </c>
      <c r="B7" t="s">
        <v>364</v>
      </c>
      <c r="C7">
        <v>24001030</v>
      </c>
      <c r="D7">
        <v>1201</v>
      </c>
      <c r="E7" s="2">
        <v>45327</v>
      </c>
      <c r="F7" t="s">
        <v>591</v>
      </c>
      <c r="G7">
        <v>0.61</v>
      </c>
      <c r="H7">
        <v>0.61</v>
      </c>
      <c r="I7" t="s">
        <v>352</v>
      </c>
      <c r="O7" t="s">
        <v>352</v>
      </c>
      <c r="Q7" t="s">
        <v>352</v>
      </c>
      <c r="R7" t="s">
        <v>366</v>
      </c>
      <c r="T7" t="s">
        <v>354</v>
      </c>
      <c r="U7" t="s">
        <v>355</v>
      </c>
      <c r="V7" t="s">
        <v>367</v>
      </c>
      <c r="W7" t="s">
        <v>368</v>
      </c>
      <c r="X7">
        <v>2097875</v>
      </c>
      <c r="Y7" s="2">
        <v>45327</v>
      </c>
      <c r="Z7" t="s">
        <v>352</v>
      </c>
      <c r="AA7">
        <v>2</v>
      </c>
      <c r="AB7" t="s">
        <v>352</v>
      </c>
      <c r="AD7" t="s">
        <v>352</v>
      </c>
      <c r="AE7" t="s">
        <v>352</v>
      </c>
      <c r="AF7" t="s">
        <v>352</v>
      </c>
      <c r="AG7">
        <v>6</v>
      </c>
      <c r="AH7" t="s">
        <v>352</v>
      </c>
      <c r="AL7" t="s">
        <v>352</v>
      </c>
      <c r="AM7" s="2">
        <v>45327</v>
      </c>
      <c r="AN7" t="s">
        <v>590</v>
      </c>
      <c r="AO7" t="s">
        <v>590</v>
      </c>
      <c r="AP7">
        <v>1201</v>
      </c>
      <c r="AQ7" t="s">
        <v>360</v>
      </c>
      <c r="AR7">
        <v>88519</v>
      </c>
      <c r="AU7" t="s">
        <v>352</v>
      </c>
      <c r="AV7" t="s">
        <v>362</v>
      </c>
      <c r="AX7" t="s">
        <v>352</v>
      </c>
      <c r="AY7">
        <v>631110</v>
      </c>
      <c r="AZ7">
        <v>1201.63111</v>
      </c>
      <c r="BA7" s="54" t="s">
        <v>318</v>
      </c>
    </row>
    <row r="8" spans="1:53">
      <c r="A8" t="s">
        <v>363</v>
      </c>
      <c r="B8" t="s">
        <v>364</v>
      </c>
      <c r="C8">
        <v>24001031</v>
      </c>
      <c r="D8">
        <v>1201</v>
      </c>
      <c r="E8" s="2">
        <v>45327</v>
      </c>
      <c r="F8" t="s">
        <v>592</v>
      </c>
      <c r="I8" t="s">
        <v>352</v>
      </c>
      <c r="O8" t="s">
        <v>352</v>
      </c>
      <c r="Q8" t="s">
        <v>352</v>
      </c>
      <c r="R8" t="s">
        <v>366</v>
      </c>
      <c r="T8" t="s">
        <v>354</v>
      </c>
      <c r="U8" t="s">
        <v>355</v>
      </c>
      <c r="V8" t="s">
        <v>367</v>
      </c>
      <c r="W8" t="s">
        <v>368</v>
      </c>
      <c r="X8">
        <v>2097926</v>
      </c>
      <c r="Y8" s="2">
        <v>45327</v>
      </c>
      <c r="Z8" t="s">
        <v>352</v>
      </c>
      <c r="AA8">
        <v>2</v>
      </c>
      <c r="AB8" t="s">
        <v>352</v>
      </c>
      <c r="AD8" t="s">
        <v>352</v>
      </c>
      <c r="AE8" t="s">
        <v>352</v>
      </c>
      <c r="AF8" t="s">
        <v>352</v>
      </c>
      <c r="AG8">
        <v>20</v>
      </c>
      <c r="AH8" t="s">
        <v>352</v>
      </c>
      <c r="AL8" t="s">
        <v>352</v>
      </c>
      <c r="AM8" s="2">
        <v>45327</v>
      </c>
      <c r="AN8" t="s">
        <v>590</v>
      </c>
      <c r="AO8" t="s">
        <v>590</v>
      </c>
      <c r="AP8">
        <v>1201</v>
      </c>
      <c r="AQ8" t="s">
        <v>360</v>
      </c>
      <c r="AR8">
        <v>89745</v>
      </c>
      <c r="AU8" t="s">
        <v>352</v>
      </c>
      <c r="AV8" t="s">
        <v>362</v>
      </c>
      <c r="AX8" t="s">
        <v>352</v>
      </c>
      <c r="AY8">
        <v>631110</v>
      </c>
      <c r="AZ8">
        <v>1201.63111</v>
      </c>
      <c r="BA8" s="54" t="s">
        <v>318</v>
      </c>
    </row>
    <row r="9" spans="1:53">
      <c r="A9" t="s">
        <v>363</v>
      </c>
      <c r="B9" t="s">
        <v>364</v>
      </c>
      <c r="C9">
        <v>24001031</v>
      </c>
      <c r="D9">
        <v>1201</v>
      </c>
      <c r="E9" s="2">
        <v>45327</v>
      </c>
      <c r="F9" t="s">
        <v>592</v>
      </c>
      <c r="I9" t="s">
        <v>352</v>
      </c>
      <c r="O9" t="s">
        <v>352</v>
      </c>
      <c r="Q9" t="s">
        <v>352</v>
      </c>
      <c r="R9" t="s">
        <v>366</v>
      </c>
      <c r="T9" t="s">
        <v>354</v>
      </c>
      <c r="U9" t="s">
        <v>355</v>
      </c>
      <c r="V9" t="s">
        <v>367</v>
      </c>
      <c r="W9" t="s">
        <v>368</v>
      </c>
      <c r="X9">
        <v>2097926</v>
      </c>
      <c r="Y9" s="2">
        <v>45327</v>
      </c>
      <c r="Z9" t="s">
        <v>352</v>
      </c>
      <c r="AA9">
        <v>4</v>
      </c>
      <c r="AB9" t="s">
        <v>352</v>
      </c>
      <c r="AD9" t="s">
        <v>352</v>
      </c>
      <c r="AE9" t="s">
        <v>352</v>
      </c>
      <c r="AF9" t="s">
        <v>352</v>
      </c>
      <c r="AG9">
        <v>10</v>
      </c>
      <c r="AH9" t="s">
        <v>352</v>
      </c>
      <c r="AL9" t="s">
        <v>352</v>
      </c>
      <c r="AM9" s="2">
        <v>45327</v>
      </c>
      <c r="AN9" t="s">
        <v>590</v>
      </c>
      <c r="AO9" t="s">
        <v>590</v>
      </c>
      <c r="AP9">
        <v>1201</v>
      </c>
      <c r="AQ9" t="s">
        <v>360</v>
      </c>
      <c r="AR9">
        <v>90594</v>
      </c>
      <c r="AU9" t="s">
        <v>352</v>
      </c>
      <c r="AV9" t="s">
        <v>362</v>
      </c>
      <c r="AX9" t="s">
        <v>352</v>
      </c>
      <c r="AY9">
        <v>631110</v>
      </c>
      <c r="AZ9">
        <v>1201.63111</v>
      </c>
      <c r="BA9" s="54" t="s">
        <v>318</v>
      </c>
    </row>
    <row r="10" spans="1:53">
      <c r="A10" t="s">
        <v>363</v>
      </c>
      <c r="B10" t="s">
        <v>364</v>
      </c>
      <c r="C10">
        <v>24001031</v>
      </c>
      <c r="D10">
        <v>1201</v>
      </c>
      <c r="E10" s="2">
        <v>45327</v>
      </c>
      <c r="F10" t="s">
        <v>592</v>
      </c>
      <c r="G10">
        <v>2.1800000000000002</v>
      </c>
      <c r="H10">
        <v>2.1800000000000002</v>
      </c>
      <c r="I10" t="s">
        <v>352</v>
      </c>
      <c r="O10" t="s">
        <v>352</v>
      </c>
      <c r="Q10" t="s">
        <v>352</v>
      </c>
      <c r="R10" t="s">
        <v>366</v>
      </c>
      <c r="T10" t="s">
        <v>354</v>
      </c>
      <c r="U10" t="s">
        <v>355</v>
      </c>
      <c r="V10" t="s">
        <v>367</v>
      </c>
      <c r="W10" t="s">
        <v>368</v>
      </c>
      <c r="X10">
        <v>2097926</v>
      </c>
      <c r="Y10" s="2">
        <v>45327</v>
      </c>
      <c r="Z10" t="s">
        <v>352</v>
      </c>
      <c r="AA10">
        <v>6</v>
      </c>
      <c r="AB10" t="s">
        <v>352</v>
      </c>
      <c r="AD10" t="s">
        <v>352</v>
      </c>
      <c r="AE10" t="s">
        <v>352</v>
      </c>
      <c r="AF10" t="s">
        <v>352</v>
      </c>
      <c r="AG10">
        <v>20</v>
      </c>
      <c r="AH10" t="s">
        <v>352</v>
      </c>
      <c r="AL10" t="s">
        <v>352</v>
      </c>
      <c r="AM10" s="2">
        <v>45327</v>
      </c>
      <c r="AN10" t="s">
        <v>590</v>
      </c>
      <c r="AO10" t="s">
        <v>590</v>
      </c>
      <c r="AP10">
        <v>1201</v>
      </c>
      <c r="AQ10" t="s">
        <v>360</v>
      </c>
      <c r="AR10">
        <v>264575</v>
      </c>
      <c r="AU10" t="s">
        <v>352</v>
      </c>
      <c r="AV10" t="s">
        <v>362</v>
      </c>
      <c r="AX10" t="s">
        <v>352</v>
      </c>
      <c r="AY10">
        <v>631110</v>
      </c>
      <c r="AZ10">
        <v>1201.63111</v>
      </c>
      <c r="BA10" s="54" t="s">
        <v>318</v>
      </c>
    </row>
    <row r="11" spans="1:53">
      <c r="A11" t="s">
        <v>363</v>
      </c>
      <c r="B11" t="s">
        <v>364</v>
      </c>
      <c r="C11">
        <v>24001031</v>
      </c>
      <c r="D11">
        <v>1201</v>
      </c>
      <c r="E11" s="2">
        <v>45327</v>
      </c>
      <c r="F11" t="s">
        <v>592</v>
      </c>
      <c r="G11">
        <v>2.23</v>
      </c>
      <c r="H11">
        <v>2.23</v>
      </c>
      <c r="I11" t="s">
        <v>352</v>
      </c>
      <c r="O11" t="s">
        <v>352</v>
      </c>
      <c r="Q11" t="s">
        <v>352</v>
      </c>
      <c r="R11" t="s">
        <v>366</v>
      </c>
      <c r="T11" t="s">
        <v>354</v>
      </c>
      <c r="U11" t="s">
        <v>355</v>
      </c>
      <c r="V11" t="s">
        <v>367</v>
      </c>
      <c r="W11" t="s">
        <v>368</v>
      </c>
      <c r="X11">
        <v>2097926</v>
      </c>
      <c r="Y11" s="2">
        <v>45327</v>
      </c>
      <c r="Z11" t="s">
        <v>352</v>
      </c>
      <c r="AA11">
        <v>8</v>
      </c>
      <c r="AB11" t="s">
        <v>352</v>
      </c>
      <c r="AD11" t="s">
        <v>352</v>
      </c>
      <c r="AE11" t="s">
        <v>352</v>
      </c>
      <c r="AF11" t="s">
        <v>352</v>
      </c>
      <c r="AG11">
        <v>20</v>
      </c>
      <c r="AH11" t="s">
        <v>352</v>
      </c>
      <c r="AL11" t="s">
        <v>352</v>
      </c>
      <c r="AM11" s="2">
        <v>45327</v>
      </c>
      <c r="AN11" t="s">
        <v>590</v>
      </c>
      <c r="AO11" t="s">
        <v>590</v>
      </c>
      <c r="AP11">
        <v>1201</v>
      </c>
      <c r="AQ11" t="s">
        <v>360</v>
      </c>
      <c r="AR11">
        <v>265267</v>
      </c>
      <c r="AU11" t="s">
        <v>352</v>
      </c>
      <c r="AV11" t="s">
        <v>362</v>
      </c>
      <c r="AX11" t="s">
        <v>352</v>
      </c>
      <c r="AY11">
        <v>631110</v>
      </c>
      <c r="AZ11">
        <v>1201.63111</v>
      </c>
      <c r="BA11" s="54" t="s">
        <v>318</v>
      </c>
    </row>
    <row r="12" spans="1:53">
      <c r="A12" t="s">
        <v>363</v>
      </c>
      <c r="B12" t="s">
        <v>364</v>
      </c>
      <c r="C12">
        <v>24001032</v>
      </c>
      <c r="D12">
        <v>1201</v>
      </c>
      <c r="E12" s="2">
        <v>45327</v>
      </c>
      <c r="F12" t="s">
        <v>592</v>
      </c>
      <c r="G12">
        <v>2.2400000000000002</v>
      </c>
      <c r="H12">
        <v>2.2400000000000002</v>
      </c>
      <c r="I12" t="s">
        <v>352</v>
      </c>
      <c r="O12" t="s">
        <v>352</v>
      </c>
      <c r="Q12" t="s">
        <v>352</v>
      </c>
      <c r="R12" t="s">
        <v>366</v>
      </c>
      <c r="T12" t="s">
        <v>354</v>
      </c>
      <c r="U12" t="s">
        <v>355</v>
      </c>
      <c r="V12" t="s">
        <v>367</v>
      </c>
      <c r="W12" t="s">
        <v>368</v>
      </c>
      <c r="X12">
        <v>2097926</v>
      </c>
      <c r="Y12" s="2">
        <v>45327</v>
      </c>
      <c r="Z12" t="s">
        <v>352</v>
      </c>
      <c r="AA12">
        <v>2</v>
      </c>
      <c r="AB12" t="s">
        <v>352</v>
      </c>
      <c r="AD12" t="s">
        <v>352</v>
      </c>
      <c r="AE12" t="s">
        <v>352</v>
      </c>
      <c r="AF12" t="s">
        <v>352</v>
      </c>
      <c r="AG12">
        <v>30</v>
      </c>
      <c r="AH12" t="s">
        <v>352</v>
      </c>
      <c r="AL12" t="s">
        <v>352</v>
      </c>
      <c r="AM12" s="2">
        <v>45327</v>
      </c>
      <c r="AN12" t="s">
        <v>590</v>
      </c>
      <c r="AO12" t="s">
        <v>590</v>
      </c>
      <c r="AP12">
        <v>1201</v>
      </c>
      <c r="AQ12" t="s">
        <v>360</v>
      </c>
      <c r="AR12">
        <v>91479</v>
      </c>
      <c r="AU12" t="s">
        <v>352</v>
      </c>
      <c r="AV12" t="s">
        <v>362</v>
      </c>
      <c r="AX12" t="s">
        <v>352</v>
      </c>
      <c r="AY12">
        <v>631110</v>
      </c>
      <c r="AZ12">
        <v>1201.63111</v>
      </c>
      <c r="BA12" s="54" t="s">
        <v>318</v>
      </c>
    </row>
    <row r="13" spans="1:53">
      <c r="A13" t="s">
        <v>363</v>
      </c>
      <c r="B13" t="s">
        <v>364</v>
      </c>
      <c r="C13">
        <v>24001032</v>
      </c>
      <c r="D13">
        <v>1201</v>
      </c>
      <c r="E13" s="2">
        <v>45327</v>
      </c>
      <c r="F13" t="s">
        <v>592</v>
      </c>
      <c r="G13">
        <v>1.59</v>
      </c>
      <c r="H13">
        <v>1.59</v>
      </c>
      <c r="I13" t="s">
        <v>352</v>
      </c>
      <c r="O13" t="s">
        <v>352</v>
      </c>
      <c r="Q13" t="s">
        <v>352</v>
      </c>
      <c r="R13" t="s">
        <v>366</v>
      </c>
      <c r="T13" t="s">
        <v>354</v>
      </c>
      <c r="U13" t="s">
        <v>355</v>
      </c>
      <c r="V13" t="s">
        <v>367</v>
      </c>
      <c r="W13" t="s">
        <v>368</v>
      </c>
      <c r="X13">
        <v>2097926</v>
      </c>
      <c r="Y13" s="2">
        <v>45327</v>
      </c>
      <c r="Z13" t="s">
        <v>352</v>
      </c>
      <c r="AA13">
        <v>4</v>
      </c>
      <c r="AB13" t="s">
        <v>352</v>
      </c>
      <c r="AD13" t="s">
        <v>352</v>
      </c>
      <c r="AE13" t="s">
        <v>352</v>
      </c>
      <c r="AF13" t="s">
        <v>352</v>
      </c>
      <c r="AG13">
        <v>20</v>
      </c>
      <c r="AH13" t="s">
        <v>352</v>
      </c>
      <c r="AL13" t="s">
        <v>352</v>
      </c>
      <c r="AM13" s="2">
        <v>45327</v>
      </c>
      <c r="AN13" t="s">
        <v>590</v>
      </c>
      <c r="AO13" t="s">
        <v>590</v>
      </c>
      <c r="AP13">
        <v>1201</v>
      </c>
      <c r="AQ13" t="s">
        <v>360</v>
      </c>
      <c r="AR13">
        <v>91480</v>
      </c>
      <c r="AU13" t="s">
        <v>352</v>
      </c>
      <c r="AV13" t="s">
        <v>362</v>
      </c>
      <c r="AX13" t="s">
        <v>352</v>
      </c>
      <c r="AY13">
        <v>631110</v>
      </c>
      <c r="AZ13">
        <v>1201.63111</v>
      </c>
      <c r="BA13" s="54" t="s">
        <v>318</v>
      </c>
    </row>
    <row r="14" spans="1:53">
      <c r="A14" t="s">
        <v>363</v>
      </c>
      <c r="B14" t="s">
        <v>364</v>
      </c>
      <c r="C14">
        <v>24001032</v>
      </c>
      <c r="D14">
        <v>1201</v>
      </c>
      <c r="E14" s="2">
        <v>45327</v>
      </c>
      <c r="F14" t="s">
        <v>592</v>
      </c>
      <c r="G14">
        <v>0.76</v>
      </c>
      <c r="H14">
        <v>0.76</v>
      </c>
      <c r="I14" t="s">
        <v>352</v>
      </c>
      <c r="O14" t="s">
        <v>352</v>
      </c>
      <c r="Q14" t="s">
        <v>352</v>
      </c>
      <c r="R14" t="s">
        <v>366</v>
      </c>
      <c r="T14" t="s">
        <v>354</v>
      </c>
      <c r="U14" t="s">
        <v>355</v>
      </c>
      <c r="V14" t="s">
        <v>367</v>
      </c>
      <c r="W14" t="s">
        <v>368</v>
      </c>
      <c r="X14">
        <v>2097926</v>
      </c>
      <c r="Y14" s="2">
        <v>45327</v>
      </c>
      <c r="Z14" t="s">
        <v>352</v>
      </c>
      <c r="AA14">
        <v>6</v>
      </c>
      <c r="AB14" t="s">
        <v>352</v>
      </c>
      <c r="AD14" t="s">
        <v>352</v>
      </c>
      <c r="AE14" t="s">
        <v>352</v>
      </c>
      <c r="AF14" t="s">
        <v>352</v>
      </c>
      <c r="AG14">
        <v>10</v>
      </c>
      <c r="AH14" t="s">
        <v>352</v>
      </c>
      <c r="AL14" t="s">
        <v>352</v>
      </c>
      <c r="AM14" s="2">
        <v>45327</v>
      </c>
      <c r="AN14" t="s">
        <v>590</v>
      </c>
      <c r="AO14" t="s">
        <v>590</v>
      </c>
      <c r="AP14">
        <v>1201</v>
      </c>
      <c r="AQ14" t="s">
        <v>360</v>
      </c>
      <c r="AR14">
        <v>92908</v>
      </c>
      <c r="AU14" t="s">
        <v>352</v>
      </c>
      <c r="AV14" t="s">
        <v>362</v>
      </c>
      <c r="AX14" t="s">
        <v>352</v>
      </c>
      <c r="AY14">
        <v>631110</v>
      </c>
      <c r="AZ14">
        <v>1201.63111</v>
      </c>
      <c r="BA14" s="54" t="s">
        <v>318</v>
      </c>
    </row>
    <row r="15" spans="1:53">
      <c r="A15" t="s">
        <v>363</v>
      </c>
      <c r="B15" t="s">
        <v>364</v>
      </c>
      <c r="C15">
        <v>24001032</v>
      </c>
      <c r="D15">
        <v>1201</v>
      </c>
      <c r="E15" s="2">
        <v>45327</v>
      </c>
      <c r="F15" t="s">
        <v>592</v>
      </c>
      <c r="I15" t="s">
        <v>352</v>
      </c>
      <c r="O15" t="s">
        <v>352</v>
      </c>
      <c r="Q15" t="s">
        <v>352</v>
      </c>
      <c r="R15" t="s">
        <v>366</v>
      </c>
      <c r="T15" t="s">
        <v>354</v>
      </c>
      <c r="U15" t="s">
        <v>355</v>
      </c>
      <c r="V15" t="s">
        <v>367</v>
      </c>
      <c r="W15" t="s">
        <v>368</v>
      </c>
      <c r="X15">
        <v>2097926</v>
      </c>
      <c r="Y15" s="2">
        <v>45327</v>
      </c>
      <c r="Z15" t="s">
        <v>352</v>
      </c>
      <c r="AA15">
        <v>8</v>
      </c>
      <c r="AB15" t="s">
        <v>352</v>
      </c>
      <c r="AD15" t="s">
        <v>352</v>
      </c>
      <c r="AE15" t="s">
        <v>352</v>
      </c>
      <c r="AF15" t="s">
        <v>352</v>
      </c>
      <c r="AG15">
        <v>10</v>
      </c>
      <c r="AH15" t="s">
        <v>352</v>
      </c>
      <c r="AL15" t="s">
        <v>352</v>
      </c>
      <c r="AM15" s="2">
        <v>45327</v>
      </c>
      <c r="AN15" t="s">
        <v>590</v>
      </c>
      <c r="AO15" t="s">
        <v>590</v>
      </c>
      <c r="AP15">
        <v>1201</v>
      </c>
      <c r="AQ15" t="s">
        <v>360</v>
      </c>
      <c r="AR15">
        <v>93776</v>
      </c>
      <c r="AU15" t="s">
        <v>352</v>
      </c>
      <c r="AV15" t="s">
        <v>362</v>
      </c>
      <c r="AX15" t="s">
        <v>352</v>
      </c>
      <c r="AY15">
        <v>631110</v>
      </c>
      <c r="AZ15">
        <v>1201.63111</v>
      </c>
      <c r="BA15" s="54" t="s">
        <v>318</v>
      </c>
    </row>
    <row r="16" spans="1:53">
      <c r="A16" t="s">
        <v>363</v>
      </c>
      <c r="B16" t="s">
        <v>364</v>
      </c>
      <c r="C16">
        <v>24001032</v>
      </c>
      <c r="D16">
        <v>1201</v>
      </c>
      <c r="E16" s="2">
        <v>45327</v>
      </c>
      <c r="F16" t="s">
        <v>592</v>
      </c>
      <c r="I16" t="s">
        <v>352</v>
      </c>
      <c r="O16" t="s">
        <v>352</v>
      </c>
      <c r="Q16" t="s">
        <v>352</v>
      </c>
      <c r="R16" t="s">
        <v>366</v>
      </c>
      <c r="T16" t="s">
        <v>354</v>
      </c>
      <c r="U16" t="s">
        <v>355</v>
      </c>
      <c r="V16" t="s">
        <v>367</v>
      </c>
      <c r="W16" t="s">
        <v>368</v>
      </c>
      <c r="X16">
        <v>2097926</v>
      </c>
      <c r="Y16" s="2">
        <v>45327</v>
      </c>
      <c r="Z16" t="s">
        <v>352</v>
      </c>
      <c r="AA16">
        <v>10</v>
      </c>
      <c r="AB16" t="s">
        <v>352</v>
      </c>
      <c r="AD16" t="s">
        <v>352</v>
      </c>
      <c r="AE16" t="s">
        <v>352</v>
      </c>
      <c r="AF16" t="s">
        <v>352</v>
      </c>
      <c r="AG16">
        <v>10</v>
      </c>
      <c r="AH16" t="s">
        <v>352</v>
      </c>
      <c r="AL16" t="s">
        <v>352</v>
      </c>
      <c r="AM16" s="2">
        <v>45327</v>
      </c>
      <c r="AN16" t="s">
        <v>590</v>
      </c>
      <c r="AO16" t="s">
        <v>590</v>
      </c>
      <c r="AP16">
        <v>1201</v>
      </c>
      <c r="AQ16" t="s">
        <v>360</v>
      </c>
      <c r="AR16">
        <v>89738</v>
      </c>
      <c r="AU16" t="s">
        <v>352</v>
      </c>
      <c r="AV16" t="s">
        <v>362</v>
      </c>
      <c r="AX16" t="s">
        <v>352</v>
      </c>
      <c r="AY16">
        <v>631110</v>
      </c>
      <c r="AZ16">
        <v>1201.63111</v>
      </c>
      <c r="BA16" s="54" t="s">
        <v>318</v>
      </c>
    </row>
    <row r="17" spans="1:53">
      <c r="A17" t="s">
        <v>363</v>
      </c>
      <c r="B17" t="s">
        <v>364</v>
      </c>
      <c r="C17">
        <v>24001033</v>
      </c>
      <c r="D17">
        <v>1201</v>
      </c>
      <c r="E17" s="2">
        <v>45327</v>
      </c>
      <c r="F17" t="s">
        <v>592</v>
      </c>
      <c r="G17">
        <v>0.16</v>
      </c>
      <c r="H17">
        <v>0.16</v>
      </c>
      <c r="I17" t="s">
        <v>352</v>
      </c>
      <c r="O17" t="s">
        <v>352</v>
      </c>
      <c r="Q17" t="s">
        <v>352</v>
      </c>
      <c r="R17" t="s">
        <v>366</v>
      </c>
      <c r="T17" t="s">
        <v>354</v>
      </c>
      <c r="U17" t="s">
        <v>355</v>
      </c>
      <c r="V17" t="s">
        <v>367</v>
      </c>
      <c r="W17" t="s">
        <v>368</v>
      </c>
      <c r="X17">
        <v>2097926</v>
      </c>
      <c r="Y17" s="2">
        <v>45327</v>
      </c>
      <c r="Z17" t="s">
        <v>352</v>
      </c>
      <c r="AA17">
        <v>2</v>
      </c>
      <c r="AB17" t="s">
        <v>352</v>
      </c>
      <c r="AD17" t="s">
        <v>352</v>
      </c>
      <c r="AE17" t="s">
        <v>352</v>
      </c>
      <c r="AF17" t="s">
        <v>352</v>
      </c>
      <c r="AG17">
        <v>1</v>
      </c>
      <c r="AH17" t="s">
        <v>352</v>
      </c>
      <c r="AL17" t="s">
        <v>352</v>
      </c>
      <c r="AM17" s="2">
        <v>45327</v>
      </c>
      <c r="AN17" t="s">
        <v>590</v>
      </c>
      <c r="AO17" t="s">
        <v>590</v>
      </c>
      <c r="AP17">
        <v>1201</v>
      </c>
      <c r="AQ17" t="s">
        <v>360</v>
      </c>
      <c r="AR17">
        <v>89712</v>
      </c>
      <c r="AU17" t="s">
        <v>352</v>
      </c>
      <c r="AV17" t="s">
        <v>362</v>
      </c>
      <c r="AX17" t="s">
        <v>352</v>
      </c>
      <c r="AY17">
        <v>631110</v>
      </c>
      <c r="AZ17">
        <v>1201.63111</v>
      </c>
      <c r="BA17" s="54" t="s">
        <v>318</v>
      </c>
    </row>
    <row r="18" spans="1:53">
      <c r="A18" t="s">
        <v>363</v>
      </c>
      <c r="B18" t="s">
        <v>364</v>
      </c>
      <c r="C18">
        <v>24001033</v>
      </c>
      <c r="D18">
        <v>1201</v>
      </c>
      <c r="E18" s="2">
        <v>45327</v>
      </c>
      <c r="F18" t="s">
        <v>592</v>
      </c>
      <c r="G18">
        <v>0.96</v>
      </c>
      <c r="H18">
        <v>0.96</v>
      </c>
      <c r="I18" t="s">
        <v>352</v>
      </c>
      <c r="O18" t="s">
        <v>352</v>
      </c>
      <c r="Q18" t="s">
        <v>352</v>
      </c>
      <c r="R18" t="s">
        <v>366</v>
      </c>
      <c r="T18" t="s">
        <v>354</v>
      </c>
      <c r="U18" t="s">
        <v>355</v>
      </c>
      <c r="V18" t="s">
        <v>367</v>
      </c>
      <c r="W18" t="s">
        <v>368</v>
      </c>
      <c r="X18">
        <v>2097926</v>
      </c>
      <c r="Y18" s="2">
        <v>45327</v>
      </c>
      <c r="Z18" t="s">
        <v>352</v>
      </c>
      <c r="AA18">
        <v>4</v>
      </c>
      <c r="AB18" t="s">
        <v>352</v>
      </c>
      <c r="AD18" t="s">
        <v>352</v>
      </c>
      <c r="AE18" t="s">
        <v>352</v>
      </c>
      <c r="AF18" t="s">
        <v>352</v>
      </c>
      <c r="AG18">
        <v>6</v>
      </c>
      <c r="AH18" t="s">
        <v>352</v>
      </c>
      <c r="AL18" t="s">
        <v>352</v>
      </c>
      <c r="AM18" s="2">
        <v>45327</v>
      </c>
      <c r="AN18" t="s">
        <v>590</v>
      </c>
      <c r="AO18" t="s">
        <v>590</v>
      </c>
      <c r="AP18">
        <v>1201</v>
      </c>
      <c r="AQ18" t="s">
        <v>360</v>
      </c>
      <c r="AR18">
        <v>89712</v>
      </c>
      <c r="AU18" t="s">
        <v>352</v>
      </c>
      <c r="AV18" t="s">
        <v>362</v>
      </c>
      <c r="AX18" t="s">
        <v>352</v>
      </c>
      <c r="AY18">
        <v>631110</v>
      </c>
      <c r="AZ18">
        <v>1201.63111</v>
      </c>
      <c r="BA18" s="54" t="s">
        <v>318</v>
      </c>
    </row>
    <row r="19" spans="1:53">
      <c r="A19" t="s">
        <v>363</v>
      </c>
      <c r="B19" t="s">
        <v>364</v>
      </c>
      <c r="C19">
        <v>24001033</v>
      </c>
      <c r="D19">
        <v>1201</v>
      </c>
      <c r="E19" s="2">
        <v>45327</v>
      </c>
      <c r="F19" t="s">
        <v>592</v>
      </c>
      <c r="G19">
        <v>0.16</v>
      </c>
      <c r="H19">
        <v>0.16</v>
      </c>
      <c r="I19" t="s">
        <v>352</v>
      </c>
      <c r="O19" t="s">
        <v>352</v>
      </c>
      <c r="Q19" t="s">
        <v>352</v>
      </c>
      <c r="R19" t="s">
        <v>366</v>
      </c>
      <c r="T19" t="s">
        <v>354</v>
      </c>
      <c r="U19" t="s">
        <v>355</v>
      </c>
      <c r="V19" t="s">
        <v>367</v>
      </c>
      <c r="W19" t="s">
        <v>368</v>
      </c>
      <c r="X19">
        <v>2097926</v>
      </c>
      <c r="Y19" s="2">
        <v>45327</v>
      </c>
      <c r="Z19" t="s">
        <v>352</v>
      </c>
      <c r="AA19">
        <v>6</v>
      </c>
      <c r="AB19" t="s">
        <v>352</v>
      </c>
      <c r="AD19" t="s">
        <v>352</v>
      </c>
      <c r="AE19" t="s">
        <v>352</v>
      </c>
      <c r="AF19" t="s">
        <v>352</v>
      </c>
      <c r="AG19">
        <v>1</v>
      </c>
      <c r="AH19" t="s">
        <v>352</v>
      </c>
      <c r="AL19" t="s">
        <v>352</v>
      </c>
      <c r="AM19" s="2">
        <v>45327</v>
      </c>
      <c r="AN19" t="s">
        <v>590</v>
      </c>
      <c r="AO19" t="s">
        <v>590</v>
      </c>
      <c r="AP19">
        <v>1201</v>
      </c>
      <c r="AQ19" t="s">
        <v>360</v>
      </c>
      <c r="AR19">
        <v>89712</v>
      </c>
      <c r="AU19" t="s">
        <v>352</v>
      </c>
      <c r="AV19" t="s">
        <v>362</v>
      </c>
      <c r="AX19" t="s">
        <v>352</v>
      </c>
      <c r="AY19">
        <v>631110</v>
      </c>
      <c r="AZ19">
        <v>1201.63111</v>
      </c>
      <c r="BA19" s="54" t="s">
        <v>318</v>
      </c>
    </row>
    <row r="20" spans="1:53">
      <c r="A20" t="s">
        <v>363</v>
      </c>
      <c r="B20" t="s">
        <v>364</v>
      </c>
      <c r="C20">
        <v>24001033</v>
      </c>
      <c r="D20">
        <v>1201</v>
      </c>
      <c r="E20" s="2">
        <v>45327</v>
      </c>
      <c r="F20" t="s">
        <v>592</v>
      </c>
      <c r="G20">
        <v>1.85</v>
      </c>
      <c r="H20">
        <v>1.85</v>
      </c>
      <c r="I20" t="s">
        <v>352</v>
      </c>
      <c r="O20" t="s">
        <v>352</v>
      </c>
      <c r="Q20" t="s">
        <v>352</v>
      </c>
      <c r="R20" t="s">
        <v>366</v>
      </c>
      <c r="T20" t="s">
        <v>354</v>
      </c>
      <c r="U20" t="s">
        <v>355</v>
      </c>
      <c r="V20" t="s">
        <v>367</v>
      </c>
      <c r="W20" t="s">
        <v>368</v>
      </c>
      <c r="X20">
        <v>2097926</v>
      </c>
      <c r="Y20" s="2">
        <v>45327</v>
      </c>
      <c r="Z20" t="s">
        <v>352</v>
      </c>
      <c r="AA20">
        <v>8</v>
      </c>
      <c r="AB20" t="s">
        <v>352</v>
      </c>
      <c r="AD20" t="s">
        <v>352</v>
      </c>
      <c r="AE20" t="s">
        <v>352</v>
      </c>
      <c r="AF20" t="s">
        <v>352</v>
      </c>
      <c r="AG20">
        <v>12</v>
      </c>
      <c r="AH20" t="s">
        <v>352</v>
      </c>
      <c r="AL20" t="s">
        <v>352</v>
      </c>
      <c r="AM20" s="2">
        <v>45327</v>
      </c>
      <c r="AN20" t="s">
        <v>590</v>
      </c>
      <c r="AO20" t="s">
        <v>590</v>
      </c>
      <c r="AP20">
        <v>1201</v>
      </c>
      <c r="AQ20" t="s">
        <v>360</v>
      </c>
      <c r="AR20">
        <v>89712</v>
      </c>
      <c r="AU20" t="s">
        <v>352</v>
      </c>
      <c r="AV20" t="s">
        <v>362</v>
      </c>
      <c r="AX20" t="s">
        <v>352</v>
      </c>
      <c r="AY20">
        <v>631110</v>
      </c>
      <c r="AZ20">
        <v>1201.63111</v>
      </c>
      <c r="BA20" s="54" t="s">
        <v>318</v>
      </c>
    </row>
    <row r="21" spans="1:53">
      <c r="A21" t="s">
        <v>363</v>
      </c>
      <c r="B21" t="s">
        <v>364</v>
      </c>
      <c r="C21">
        <v>24001033</v>
      </c>
      <c r="D21">
        <v>1201</v>
      </c>
      <c r="E21" s="2">
        <v>45327</v>
      </c>
      <c r="F21" t="s">
        <v>592</v>
      </c>
      <c r="I21" t="s">
        <v>352</v>
      </c>
      <c r="O21" t="s">
        <v>352</v>
      </c>
      <c r="Q21" t="s">
        <v>352</v>
      </c>
      <c r="R21" t="s">
        <v>366</v>
      </c>
      <c r="T21" t="s">
        <v>354</v>
      </c>
      <c r="U21" t="s">
        <v>355</v>
      </c>
      <c r="V21" t="s">
        <v>367</v>
      </c>
      <c r="W21" t="s">
        <v>368</v>
      </c>
      <c r="X21">
        <v>2097926</v>
      </c>
      <c r="Y21" s="2">
        <v>45327</v>
      </c>
      <c r="Z21" t="s">
        <v>352</v>
      </c>
      <c r="AA21">
        <v>10</v>
      </c>
      <c r="AB21" t="s">
        <v>352</v>
      </c>
      <c r="AD21" t="s">
        <v>352</v>
      </c>
      <c r="AE21" t="s">
        <v>352</v>
      </c>
      <c r="AF21" t="s">
        <v>352</v>
      </c>
      <c r="AG21">
        <v>20</v>
      </c>
      <c r="AH21" t="s">
        <v>352</v>
      </c>
      <c r="AL21" t="s">
        <v>352</v>
      </c>
      <c r="AM21" s="2">
        <v>45327</v>
      </c>
      <c r="AN21" t="s">
        <v>590</v>
      </c>
      <c r="AO21" t="s">
        <v>590</v>
      </c>
      <c r="AP21">
        <v>1201</v>
      </c>
      <c r="AQ21" t="s">
        <v>360</v>
      </c>
      <c r="AR21">
        <v>89719</v>
      </c>
      <c r="AU21" t="s">
        <v>352</v>
      </c>
      <c r="AV21" t="s">
        <v>362</v>
      </c>
      <c r="AX21" t="s">
        <v>352</v>
      </c>
      <c r="AY21">
        <v>631110</v>
      </c>
      <c r="AZ21">
        <v>1201.63111</v>
      </c>
      <c r="BA21" s="54" t="s">
        <v>318</v>
      </c>
    </row>
    <row r="22" spans="1:53">
      <c r="A22" t="s">
        <v>363</v>
      </c>
      <c r="B22" t="s">
        <v>364</v>
      </c>
      <c r="C22">
        <v>24001026</v>
      </c>
      <c r="D22">
        <v>1201</v>
      </c>
      <c r="E22" s="2">
        <v>45323</v>
      </c>
      <c r="F22" t="s">
        <v>537</v>
      </c>
      <c r="G22">
        <v>0.45</v>
      </c>
      <c r="H22">
        <v>0.45</v>
      </c>
      <c r="I22" t="s">
        <v>351</v>
      </c>
      <c r="O22" t="s">
        <v>352</v>
      </c>
      <c r="Q22" t="s">
        <v>352</v>
      </c>
      <c r="R22" t="s">
        <v>366</v>
      </c>
      <c r="T22" t="s">
        <v>354</v>
      </c>
      <c r="U22" t="s">
        <v>355</v>
      </c>
      <c r="V22" t="s">
        <v>367</v>
      </c>
      <c r="W22" t="s">
        <v>368</v>
      </c>
      <c r="X22">
        <v>2097560</v>
      </c>
      <c r="Y22" s="2">
        <v>45324</v>
      </c>
      <c r="Z22" t="s">
        <v>352</v>
      </c>
      <c r="AA22">
        <v>2</v>
      </c>
      <c r="AB22" t="s">
        <v>352</v>
      </c>
      <c r="AD22" t="s">
        <v>352</v>
      </c>
      <c r="AE22" t="s">
        <v>352</v>
      </c>
      <c r="AF22" t="s">
        <v>352</v>
      </c>
      <c r="AG22">
        <v>0.96</v>
      </c>
      <c r="AH22" t="s">
        <v>352</v>
      </c>
      <c r="AL22" t="s">
        <v>352</v>
      </c>
      <c r="AM22" s="2">
        <v>45323</v>
      </c>
      <c r="AN22" t="s">
        <v>414</v>
      </c>
      <c r="AO22" t="s">
        <v>359</v>
      </c>
      <c r="AP22">
        <v>1201</v>
      </c>
      <c r="AQ22" t="s">
        <v>360</v>
      </c>
      <c r="AR22">
        <v>79280</v>
      </c>
      <c r="AU22" t="s">
        <v>352</v>
      </c>
      <c r="AV22" t="s">
        <v>362</v>
      </c>
      <c r="AX22" t="s">
        <v>352</v>
      </c>
      <c r="AY22">
        <v>631180</v>
      </c>
      <c r="AZ22">
        <v>1201.6311800000001</v>
      </c>
      <c r="BA22" s="54" t="s">
        <v>321</v>
      </c>
    </row>
    <row r="23" spans="1:53">
      <c r="A23" t="s">
        <v>363</v>
      </c>
      <c r="B23" t="s">
        <v>364</v>
      </c>
      <c r="C23">
        <v>24001026</v>
      </c>
      <c r="D23">
        <v>1201</v>
      </c>
      <c r="E23" s="2">
        <v>45323</v>
      </c>
      <c r="F23" t="s">
        <v>537</v>
      </c>
      <c r="G23">
        <v>0.09</v>
      </c>
      <c r="H23">
        <v>0.09</v>
      </c>
      <c r="I23" t="s">
        <v>351</v>
      </c>
      <c r="O23" t="s">
        <v>352</v>
      </c>
      <c r="Q23" t="s">
        <v>352</v>
      </c>
      <c r="R23" t="s">
        <v>366</v>
      </c>
      <c r="T23" t="s">
        <v>354</v>
      </c>
      <c r="U23" t="s">
        <v>355</v>
      </c>
      <c r="V23" t="s">
        <v>367</v>
      </c>
      <c r="W23" t="s">
        <v>368</v>
      </c>
      <c r="X23">
        <v>2097560</v>
      </c>
      <c r="Y23" s="2">
        <v>45324</v>
      </c>
      <c r="Z23" t="s">
        <v>352</v>
      </c>
      <c r="AA23">
        <v>4</v>
      </c>
      <c r="AB23" t="s">
        <v>352</v>
      </c>
      <c r="AD23" t="s">
        <v>352</v>
      </c>
      <c r="AE23" t="s">
        <v>352</v>
      </c>
      <c r="AF23" t="s">
        <v>352</v>
      </c>
      <c r="AG23">
        <v>1</v>
      </c>
      <c r="AH23" t="s">
        <v>352</v>
      </c>
      <c r="AL23" t="s">
        <v>352</v>
      </c>
      <c r="AM23" s="2">
        <v>45323</v>
      </c>
      <c r="AN23" t="s">
        <v>414</v>
      </c>
      <c r="AO23" t="s">
        <v>359</v>
      </c>
      <c r="AP23">
        <v>1201</v>
      </c>
      <c r="AQ23" t="s">
        <v>360</v>
      </c>
      <c r="AR23">
        <v>79282</v>
      </c>
      <c r="AU23" t="s">
        <v>352</v>
      </c>
      <c r="AV23" t="s">
        <v>362</v>
      </c>
      <c r="AX23" t="s">
        <v>352</v>
      </c>
      <c r="AY23">
        <v>631180</v>
      </c>
      <c r="AZ23">
        <v>1201.6311800000001</v>
      </c>
      <c r="BA23" s="54" t="s">
        <v>321</v>
      </c>
    </row>
    <row r="24" spans="1:53">
      <c r="A24" t="s">
        <v>363</v>
      </c>
      <c r="B24" t="s">
        <v>364</v>
      </c>
      <c r="C24">
        <v>24001026</v>
      </c>
      <c r="D24">
        <v>1201</v>
      </c>
      <c r="E24" s="2">
        <v>45323</v>
      </c>
      <c r="F24" t="s">
        <v>537</v>
      </c>
      <c r="G24">
        <v>1.55</v>
      </c>
      <c r="H24">
        <v>1.55</v>
      </c>
      <c r="I24" t="s">
        <v>351</v>
      </c>
      <c r="O24" t="s">
        <v>352</v>
      </c>
      <c r="Q24" t="s">
        <v>352</v>
      </c>
      <c r="R24" t="s">
        <v>366</v>
      </c>
      <c r="T24" t="s">
        <v>354</v>
      </c>
      <c r="U24" t="s">
        <v>355</v>
      </c>
      <c r="V24" t="s">
        <v>367</v>
      </c>
      <c r="W24" t="s">
        <v>368</v>
      </c>
      <c r="X24">
        <v>2097560</v>
      </c>
      <c r="Y24" s="2">
        <v>45324</v>
      </c>
      <c r="Z24" t="s">
        <v>352</v>
      </c>
      <c r="AA24">
        <v>6</v>
      </c>
      <c r="AB24" t="s">
        <v>352</v>
      </c>
      <c r="AD24" t="s">
        <v>352</v>
      </c>
      <c r="AE24" t="s">
        <v>352</v>
      </c>
      <c r="AF24" t="s">
        <v>352</v>
      </c>
      <c r="AG24">
        <v>10</v>
      </c>
      <c r="AH24" t="s">
        <v>352</v>
      </c>
      <c r="AL24" t="s">
        <v>352</v>
      </c>
      <c r="AM24" s="2">
        <v>45323</v>
      </c>
      <c r="AN24" t="s">
        <v>414</v>
      </c>
      <c r="AO24" t="s">
        <v>359</v>
      </c>
      <c r="AP24">
        <v>1201</v>
      </c>
      <c r="AQ24" t="s">
        <v>360</v>
      </c>
      <c r="AR24">
        <v>79248</v>
      </c>
      <c r="AU24" t="s">
        <v>352</v>
      </c>
      <c r="AV24" t="s">
        <v>362</v>
      </c>
      <c r="AX24" t="s">
        <v>352</v>
      </c>
      <c r="AY24">
        <v>631180</v>
      </c>
      <c r="AZ24">
        <v>1201.6311800000001</v>
      </c>
      <c r="BA24" s="54" t="s">
        <v>321</v>
      </c>
    </row>
    <row r="25" spans="1:53">
      <c r="A25" t="s">
        <v>363</v>
      </c>
      <c r="B25" t="s">
        <v>364</v>
      </c>
      <c r="C25">
        <v>24001027</v>
      </c>
      <c r="D25">
        <v>1201</v>
      </c>
      <c r="E25" s="2">
        <v>45323</v>
      </c>
      <c r="F25" t="s">
        <v>538</v>
      </c>
      <c r="G25">
        <v>0.93</v>
      </c>
      <c r="H25">
        <v>0.93</v>
      </c>
      <c r="I25" t="s">
        <v>351</v>
      </c>
      <c r="O25" t="s">
        <v>352</v>
      </c>
      <c r="Q25" t="s">
        <v>352</v>
      </c>
      <c r="R25" t="s">
        <v>366</v>
      </c>
      <c r="T25" t="s">
        <v>354</v>
      </c>
      <c r="U25" t="s">
        <v>355</v>
      </c>
      <c r="V25" t="s">
        <v>367</v>
      </c>
      <c r="W25" t="s">
        <v>368</v>
      </c>
      <c r="X25">
        <v>2097560</v>
      </c>
      <c r="Y25" s="2">
        <v>45324</v>
      </c>
      <c r="Z25" t="s">
        <v>352</v>
      </c>
      <c r="AA25">
        <v>2</v>
      </c>
      <c r="AB25" t="s">
        <v>352</v>
      </c>
      <c r="AD25" t="s">
        <v>352</v>
      </c>
      <c r="AE25" t="s">
        <v>352</v>
      </c>
      <c r="AF25" t="s">
        <v>352</v>
      </c>
      <c r="AG25">
        <v>6</v>
      </c>
      <c r="AH25" t="s">
        <v>352</v>
      </c>
      <c r="AL25" t="s">
        <v>352</v>
      </c>
      <c r="AM25" s="2">
        <v>45323</v>
      </c>
      <c r="AN25" t="s">
        <v>414</v>
      </c>
      <c r="AO25" t="s">
        <v>359</v>
      </c>
      <c r="AP25">
        <v>1201</v>
      </c>
      <c r="AQ25" t="s">
        <v>360</v>
      </c>
      <c r="AR25">
        <v>79248</v>
      </c>
      <c r="AU25" t="s">
        <v>352</v>
      </c>
      <c r="AV25" t="s">
        <v>362</v>
      </c>
      <c r="AX25" t="s">
        <v>352</v>
      </c>
      <c r="AY25">
        <v>631180</v>
      </c>
      <c r="AZ25">
        <v>1201.6311800000001</v>
      </c>
      <c r="BA25" s="54" t="s">
        <v>321</v>
      </c>
    </row>
    <row r="26" spans="1:53">
      <c r="A26" t="s">
        <v>363</v>
      </c>
      <c r="B26" t="s">
        <v>364</v>
      </c>
      <c r="C26">
        <v>24001027</v>
      </c>
      <c r="D26">
        <v>1201</v>
      </c>
      <c r="E26" s="2">
        <v>45323</v>
      </c>
      <c r="F26" t="s">
        <v>538</v>
      </c>
      <c r="G26">
        <v>0.37</v>
      </c>
      <c r="H26">
        <v>0.37</v>
      </c>
      <c r="I26" t="s">
        <v>351</v>
      </c>
      <c r="O26" t="s">
        <v>352</v>
      </c>
      <c r="Q26" t="s">
        <v>352</v>
      </c>
      <c r="R26" t="s">
        <v>366</v>
      </c>
      <c r="T26" t="s">
        <v>354</v>
      </c>
      <c r="U26" t="s">
        <v>355</v>
      </c>
      <c r="V26" t="s">
        <v>367</v>
      </c>
      <c r="W26" t="s">
        <v>368</v>
      </c>
      <c r="X26">
        <v>2097560</v>
      </c>
      <c r="Y26" s="2">
        <v>45324</v>
      </c>
      <c r="Z26" t="s">
        <v>352</v>
      </c>
      <c r="AA26">
        <v>4</v>
      </c>
      <c r="AB26" t="s">
        <v>352</v>
      </c>
      <c r="AD26" t="s">
        <v>352</v>
      </c>
      <c r="AE26" t="s">
        <v>352</v>
      </c>
      <c r="AF26" t="s">
        <v>352</v>
      </c>
      <c r="AG26">
        <v>4</v>
      </c>
      <c r="AH26" t="s">
        <v>352</v>
      </c>
      <c r="AL26" t="s">
        <v>352</v>
      </c>
      <c r="AM26" s="2">
        <v>45323</v>
      </c>
      <c r="AN26" t="s">
        <v>414</v>
      </c>
      <c r="AO26" t="s">
        <v>359</v>
      </c>
      <c r="AP26">
        <v>1201</v>
      </c>
      <c r="AQ26" t="s">
        <v>360</v>
      </c>
      <c r="AR26">
        <v>79282</v>
      </c>
      <c r="AU26" t="s">
        <v>352</v>
      </c>
      <c r="AV26" t="s">
        <v>362</v>
      </c>
      <c r="AX26" t="s">
        <v>352</v>
      </c>
      <c r="AY26">
        <v>631180</v>
      </c>
      <c r="AZ26">
        <v>1201.6311800000001</v>
      </c>
      <c r="BA26" s="54" t="s">
        <v>321</v>
      </c>
    </row>
    <row r="27" spans="1:53">
      <c r="A27" t="s">
        <v>363</v>
      </c>
      <c r="B27" t="s">
        <v>364</v>
      </c>
      <c r="C27">
        <v>24001027</v>
      </c>
      <c r="D27">
        <v>1201</v>
      </c>
      <c r="E27" s="2">
        <v>45323</v>
      </c>
      <c r="F27" t="s">
        <v>538</v>
      </c>
      <c r="G27">
        <v>0.53</v>
      </c>
      <c r="H27">
        <v>0.53</v>
      </c>
      <c r="I27" t="s">
        <v>351</v>
      </c>
      <c r="O27" t="s">
        <v>352</v>
      </c>
      <c r="Q27" t="s">
        <v>352</v>
      </c>
      <c r="R27" t="s">
        <v>366</v>
      </c>
      <c r="T27" t="s">
        <v>354</v>
      </c>
      <c r="U27" t="s">
        <v>355</v>
      </c>
      <c r="V27" t="s">
        <v>367</v>
      </c>
      <c r="W27" t="s">
        <v>368</v>
      </c>
      <c r="X27">
        <v>2097560</v>
      </c>
      <c r="Y27" s="2">
        <v>45324</v>
      </c>
      <c r="Z27" t="s">
        <v>352</v>
      </c>
      <c r="AA27">
        <v>6</v>
      </c>
      <c r="AB27" t="s">
        <v>352</v>
      </c>
      <c r="AD27" t="s">
        <v>352</v>
      </c>
      <c r="AE27" t="s">
        <v>352</v>
      </c>
      <c r="AF27" t="s">
        <v>352</v>
      </c>
      <c r="AG27">
        <v>0.97</v>
      </c>
      <c r="AH27" t="s">
        <v>352</v>
      </c>
      <c r="AL27" t="s">
        <v>352</v>
      </c>
      <c r="AM27" s="2">
        <v>45323</v>
      </c>
      <c r="AN27" t="s">
        <v>414</v>
      </c>
      <c r="AO27" t="s">
        <v>359</v>
      </c>
      <c r="AP27">
        <v>1201</v>
      </c>
      <c r="AQ27" t="s">
        <v>360</v>
      </c>
      <c r="AR27">
        <v>79280</v>
      </c>
      <c r="AU27" t="s">
        <v>352</v>
      </c>
      <c r="AV27" t="s">
        <v>362</v>
      </c>
      <c r="AX27" t="s">
        <v>352</v>
      </c>
      <c r="AY27">
        <v>631180</v>
      </c>
      <c r="AZ27">
        <v>1201.6311800000001</v>
      </c>
      <c r="BA27" s="54" t="s">
        <v>321</v>
      </c>
    </row>
    <row r="28" spans="1:53">
      <c r="A28" t="s">
        <v>363</v>
      </c>
      <c r="B28" t="s">
        <v>364</v>
      </c>
      <c r="C28">
        <v>24001028</v>
      </c>
      <c r="D28">
        <v>1201</v>
      </c>
      <c r="E28" s="2">
        <v>45324</v>
      </c>
      <c r="F28" t="s">
        <v>538</v>
      </c>
      <c r="G28">
        <v>0.63</v>
      </c>
      <c r="H28">
        <v>0.63</v>
      </c>
      <c r="I28" t="s">
        <v>351</v>
      </c>
      <c r="O28" t="s">
        <v>352</v>
      </c>
      <c r="Q28" t="s">
        <v>352</v>
      </c>
      <c r="R28" t="s">
        <v>366</v>
      </c>
      <c r="T28" t="s">
        <v>354</v>
      </c>
      <c r="U28" t="s">
        <v>355</v>
      </c>
      <c r="V28" t="s">
        <v>367</v>
      </c>
      <c r="W28" t="s">
        <v>368</v>
      </c>
      <c r="X28">
        <v>2097560</v>
      </c>
      <c r="Y28" s="2">
        <v>45324</v>
      </c>
      <c r="Z28" t="s">
        <v>352</v>
      </c>
      <c r="AA28">
        <v>2</v>
      </c>
      <c r="AB28" t="s">
        <v>352</v>
      </c>
      <c r="AD28" t="s">
        <v>352</v>
      </c>
      <c r="AE28" t="s">
        <v>352</v>
      </c>
      <c r="AF28" t="s">
        <v>352</v>
      </c>
      <c r="AG28">
        <v>2</v>
      </c>
      <c r="AH28" t="s">
        <v>352</v>
      </c>
      <c r="AL28" t="s">
        <v>352</v>
      </c>
      <c r="AM28" s="2">
        <v>45324</v>
      </c>
      <c r="AN28" t="s">
        <v>414</v>
      </c>
      <c r="AO28" t="s">
        <v>359</v>
      </c>
      <c r="AP28">
        <v>1201</v>
      </c>
      <c r="AQ28" t="s">
        <v>360</v>
      </c>
      <c r="AR28">
        <v>79280</v>
      </c>
      <c r="AU28" t="s">
        <v>352</v>
      </c>
      <c r="AV28" t="s">
        <v>362</v>
      </c>
      <c r="AX28" t="s">
        <v>352</v>
      </c>
      <c r="AY28">
        <v>631180</v>
      </c>
      <c r="AZ28">
        <v>1201.6311800000001</v>
      </c>
      <c r="BA28" s="54" t="s">
        <v>321</v>
      </c>
    </row>
    <row r="29" spans="1:53">
      <c r="A29" t="s">
        <v>363</v>
      </c>
      <c r="B29" t="s">
        <v>364</v>
      </c>
      <c r="C29">
        <v>24001028</v>
      </c>
      <c r="D29">
        <v>1201</v>
      </c>
      <c r="E29" s="2">
        <v>45324</v>
      </c>
      <c r="F29" t="s">
        <v>538</v>
      </c>
      <c r="G29">
        <v>0.28000000000000003</v>
      </c>
      <c r="H29">
        <v>0.28000000000000003</v>
      </c>
      <c r="I29" t="s">
        <v>351</v>
      </c>
      <c r="O29" t="s">
        <v>352</v>
      </c>
      <c r="Q29" t="s">
        <v>352</v>
      </c>
      <c r="R29" t="s">
        <v>366</v>
      </c>
      <c r="T29" t="s">
        <v>354</v>
      </c>
      <c r="U29" t="s">
        <v>355</v>
      </c>
      <c r="V29" t="s">
        <v>367</v>
      </c>
      <c r="W29" t="s">
        <v>368</v>
      </c>
      <c r="X29">
        <v>2097560</v>
      </c>
      <c r="Y29" s="2">
        <v>45324</v>
      </c>
      <c r="Z29" t="s">
        <v>352</v>
      </c>
      <c r="AA29">
        <v>4</v>
      </c>
      <c r="AB29" t="s">
        <v>352</v>
      </c>
      <c r="AD29" t="s">
        <v>352</v>
      </c>
      <c r="AE29" t="s">
        <v>352</v>
      </c>
      <c r="AF29" t="s">
        <v>352</v>
      </c>
      <c r="AG29">
        <v>3</v>
      </c>
      <c r="AH29" t="s">
        <v>352</v>
      </c>
      <c r="AL29" t="s">
        <v>352</v>
      </c>
      <c r="AM29" s="2">
        <v>45324</v>
      </c>
      <c r="AN29" t="s">
        <v>414</v>
      </c>
      <c r="AO29" t="s">
        <v>359</v>
      </c>
      <c r="AP29">
        <v>1201</v>
      </c>
      <c r="AQ29" t="s">
        <v>360</v>
      </c>
      <c r="AR29">
        <v>79282</v>
      </c>
      <c r="AU29" t="s">
        <v>352</v>
      </c>
      <c r="AV29" t="s">
        <v>362</v>
      </c>
      <c r="AX29" t="s">
        <v>352</v>
      </c>
      <c r="AY29">
        <v>631180</v>
      </c>
      <c r="AZ29">
        <v>1201.6311800000001</v>
      </c>
      <c r="BA29" s="54" t="s">
        <v>321</v>
      </c>
    </row>
    <row r="30" spans="1:53">
      <c r="A30" t="s">
        <v>348</v>
      </c>
      <c r="B30" t="s">
        <v>349</v>
      </c>
      <c r="C30">
        <v>24001689</v>
      </c>
      <c r="D30">
        <v>1204</v>
      </c>
      <c r="E30" s="2">
        <v>45323</v>
      </c>
      <c r="F30" t="s">
        <v>350</v>
      </c>
      <c r="G30">
        <v>7.77</v>
      </c>
      <c r="H30">
        <v>7.77</v>
      </c>
      <c r="I30" t="s">
        <v>351</v>
      </c>
      <c r="J30" t="s">
        <v>351</v>
      </c>
      <c r="L30" s="61">
        <v>120000</v>
      </c>
      <c r="N30" s="61">
        <v>120000</v>
      </c>
      <c r="O30" t="s">
        <v>352</v>
      </c>
      <c r="Q30" t="s">
        <v>352</v>
      </c>
      <c r="R30" t="s">
        <v>353</v>
      </c>
      <c r="S30">
        <v>15439</v>
      </c>
      <c r="T30" t="s">
        <v>354</v>
      </c>
      <c r="U30" t="s">
        <v>355</v>
      </c>
      <c r="V30" t="s">
        <v>356</v>
      </c>
      <c r="W30" t="s">
        <v>357</v>
      </c>
      <c r="X30">
        <v>2097082</v>
      </c>
      <c r="Y30" s="2">
        <v>45323</v>
      </c>
      <c r="Z30" t="s">
        <v>352</v>
      </c>
      <c r="AA30">
        <v>1</v>
      </c>
      <c r="AB30" t="s">
        <v>352</v>
      </c>
      <c r="AD30" t="s">
        <v>352</v>
      </c>
      <c r="AE30" t="s">
        <v>352</v>
      </c>
      <c r="AF30" t="s">
        <v>352</v>
      </c>
      <c r="AG30">
        <v>2</v>
      </c>
      <c r="AH30" t="s">
        <v>352</v>
      </c>
      <c r="AI30">
        <v>57112450</v>
      </c>
      <c r="AJ30" t="s">
        <v>350</v>
      </c>
      <c r="AL30" t="s">
        <v>352</v>
      </c>
      <c r="AM30" s="2">
        <v>45323</v>
      </c>
      <c r="AN30" t="s">
        <v>358</v>
      </c>
      <c r="AO30" t="s">
        <v>359</v>
      </c>
      <c r="AP30">
        <v>1204</v>
      </c>
      <c r="AQ30" t="s">
        <v>360</v>
      </c>
      <c r="AR30" t="s">
        <v>361</v>
      </c>
      <c r="AU30" t="s">
        <v>352</v>
      </c>
      <c r="AV30" t="s">
        <v>362</v>
      </c>
      <c r="AX30">
        <v>24001063</v>
      </c>
      <c r="AY30">
        <v>630300</v>
      </c>
      <c r="AZ30">
        <v>1204.6303</v>
      </c>
      <c r="BA30" s="54" t="s">
        <v>322</v>
      </c>
    </row>
    <row r="31" spans="1:53">
      <c r="A31" t="s">
        <v>348</v>
      </c>
      <c r="B31" t="s">
        <v>349</v>
      </c>
      <c r="C31">
        <v>24001821</v>
      </c>
      <c r="D31">
        <v>1204</v>
      </c>
      <c r="E31" s="2">
        <v>45327</v>
      </c>
      <c r="F31" t="s">
        <v>593</v>
      </c>
      <c r="G31">
        <v>221.48</v>
      </c>
      <c r="H31">
        <v>221.48</v>
      </c>
      <c r="I31" t="s">
        <v>352</v>
      </c>
      <c r="J31" t="s">
        <v>352</v>
      </c>
      <c r="L31" s="61">
        <v>3500000</v>
      </c>
      <c r="N31" s="61">
        <v>3500000</v>
      </c>
      <c r="O31" t="s">
        <v>352</v>
      </c>
      <c r="Q31" t="s">
        <v>352</v>
      </c>
      <c r="R31" t="s">
        <v>353</v>
      </c>
      <c r="S31">
        <v>15803</v>
      </c>
      <c r="T31" t="s">
        <v>354</v>
      </c>
      <c r="U31" t="s">
        <v>355</v>
      </c>
      <c r="V31" t="s">
        <v>356</v>
      </c>
      <c r="W31" t="s">
        <v>357</v>
      </c>
      <c r="X31">
        <v>2097906</v>
      </c>
      <c r="Y31" s="2">
        <v>45327</v>
      </c>
      <c r="Z31" t="s">
        <v>352</v>
      </c>
      <c r="AA31">
        <v>1</v>
      </c>
      <c r="AB31" t="s">
        <v>352</v>
      </c>
      <c r="AD31" t="s">
        <v>352</v>
      </c>
      <c r="AE31" t="s">
        <v>352</v>
      </c>
      <c r="AF31" t="s">
        <v>352</v>
      </c>
      <c r="AG31">
        <v>10</v>
      </c>
      <c r="AH31" t="s">
        <v>352</v>
      </c>
      <c r="AI31">
        <v>57423557</v>
      </c>
      <c r="AJ31" t="s">
        <v>593</v>
      </c>
      <c r="AL31" t="s">
        <v>352</v>
      </c>
      <c r="AM31" s="2">
        <v>45327</v>
      </c>
      <c r="AN31" t="s">
        <v>358</v>
      </c>
      <c r="AO31" t="s">
        <v>358</v>
      </c>
      <c r="AP31">
        <v>1204</v>
      </c>
      <c r="AQ31" t="s">
        <v>360</v>
      </c>
      <c r="AR31" t="s">
        <v>594</v>
      </c>
      <c r="AU31" t="s">
        <v>352</v>
      </c>
      <c r="AV31" t="s">
        <v>362</v>
      </c>
      <c r="AX31">
        <v>24001073</v>
      </c>
      <c r="AY31">
        <v>630300</v>
      </c>
      <c r="AZ31">
        <v>1204.6303</v>
      </c>
      <c r="BA31" s="54" t="s">
        <v>322</v>
      </c>
    </row>
    <row r="32" spans="1:53">
      <c r="A32" t="s">
        <v>363</v>
      </c>
      <c r="B32" t="s">
        <v>364</v>
      </c>
      <c r="C32">
        <v>24001117</v>
      </c>
      <c r="D32">
        <v>1204</v>
      </c>
      <c r="E32" s="2">
        <v>45323</v>
      </c>
      <c r="F32" t="s">
        <v>365</v>
      </c>
      <c r="G32">
        <v>1.33</v>
      </c>
      <c r="H32">
        <v>1.33</v>
      </c>
      <c r="I32" t="s">
        <v>351</v>
      </c>
      <c r="O32" t="s">
        <v>352</v>
      </c>
      <c r="Q32" t="s">
        <v>352</v>
      </c>
      <c r="R32" t="s">
        <v>366</v>
      </c>
      <c r="T32" t="s">
        <v>354</v>
      </c>
      <c r="U32" t="s">
        <v>355</v>
      </c>
      <c r="V32" t="s">
        <v>367</v>
      </c>
      <c r="W32" t="s">
        <v>368</v>
      </c>
      <c r="X32">
        <v>2097098</v>
      </c>
      <c r="Y32" s="2">
        <v>45323</v>
      </c>
      <c r="Z32" t="s">
        <v>352</v>
      </c>
      <c r="AA32">
        <v>2</v>
      </c>
      <c r="AB32" t="s">
        <v>352</v>
      </c>
      <c r="AD32" t="s">
        <v>352</v>
      </c>
      <c r="AE32" t="s">
        <v>352</v>
      </c>
      <c r="AF32" t="s">
        <v>352</v>
      </c>
      <c r="AG32">
        <v>3</v>
      </c>
      <c r="AH32" t="s">
        <v>352</v>
      </c>
      <c r="AL32" t="s">
        <v>352</v>
      </c>
      <c r="AM32" s="2">
        <v>45323</v>
      </c>
      <c r="AN32" t="s">
        <v>358</v>
      </c>
      <c r="AO32" t="s">
        <v>359</v>
      </c>
      <c r="AP32">
        <v>1204</v>
      </c>
      <c r="AQ32" t="s">
        <v>360</v>
      </c>
      <c r="AR32">
        <v>121863</v>
      </c>
      <c r="AU32" t="s">
        <v>352</v>
      </c>
      <c r="AV32" t="s">
        <v>362</v>
      </c>
      <c r="AX32" t="s">
        <v>352</v>
      </c>
      <c r="AY32">
        <v>631110</v>
      </c>
      <c r="AZ32">
        <v>1204.63111</v>
      </c>
      <c r="BA32" s="54" t="s">
        <v>323</v>
      </c>
    </row>
    <row r="33" spans="1:53">
      <c r="A33" t="s">
        <v>363</v>
      </c>
      <c r="B33" t="s">
        <v>364</v>
      </c>
      <c r="C33">
        <v>24001117</v>
      </c>
      <c r="D33">
        <v>1204</v>
      </c>
      <c r="E33" s="2">
        <v>45323</v>
      </c>
      <c r="F33" t="s">
        <v>365</v>
      </c>
      <c r="G33">
        <v>27.31</v>
      </c>
      <c r="H33">
        <v>27.31</v>
      </c>
      <c r="I33" t="s">
        <v>351</v>
      </c>
      <c r="O33" t="s">
        <v>352</v>
      </c>
      <c r="Q33" t="s">
        <v>352</v>
      </c>
      <c r="R33" t="s">
        <v>366</v>
      </c>
      <c r="T33" t="s">
        <v>354</v>
      </c>
      <c r="U33" t="s">
        <v>355</v>
      </c>
      <c r="V33" t="s">
        <v>367</v>
      </c>
      <c r="W33" t="s">
        <v>368</v>
      </c>
      <c r="X33">
        <v>2097098</v>
      </c>
      <c r="Y33" s="2">
        <v>45323</v>
      </c>
      <c r="Z33" t="s">
        <v>352</v>
      </c>
      <c r="AA33">
        <v>4</v>
      </c>
      <c r="AB33" t="s">
        <v>352</v>
      </c>
      <c r="AD33" t="s">
        <v>352</v>
      </c>
      <c r="AE33" t="s">
        <v>352</v>
      </c>
      <c r="AF33" t="s">
        <v>352</v>
      </c>
      <c r="AG33">
        <v>1</v>
      </c>
      <c r="AH33" t="s">
        <v>352</v>
      </c>
      <c r="AL33" t="s">
        <v>352</v>
      </c>
      <c r="AM33" s="2">
        <v>45323</v>
      </c>
      <c r="AN33" t="s">
        <v>358</v>
      </c>
      <c r="AO33" t="s">
        <v>359</v>
      </c>
      <c r="AP33">
        <v>1204</v>
      </c>
      <c r="AQ33" t="s">
        <v>360</v>
      </c>
      <c r="AR33">
        <v>266020</v>
      </c>
      <c r="AU33" t="s">
        <v>352</v>
      </c>
      <c r="AV33" t="s">
        <v>362</v>
      </c>
      <c r="AX33" t="s">
        <v>352</v>
      </c>
      <c r="AY33">
        <v>631110</v>
      </c>
      <c r="AZ33">
        <v>1204.63111</v>
      </c>
      <c r="BA33" s="54" t="s">
        <v>323</v>
      </c>
    </row>
    <row r="34" spans="1:53">
      <c r="A34" t="s">
        <v>363</v>
      </c>
      <c r="B34" t="s">
        <v>364</v>
      </c>
      <c r="C34">
        <v>24001117</v>
      </c>
      <c r="D34">
        <v>1204</v>
      </c>
      <c r="E34" s="2">
        <v>45323</v>
      </c>
      <c r="F34" t="s">
        <v>365</v>
      </c>
      <c r="G34">
        <v>3.42</v>
      </c>
      <c r="H34">
        <v>3.42</v>
      </c>
      <c r="I34" t="s">
        <v>351</v>
      </c>
      <c r="O34" t="s">
        <v>352</v>
      </c>
      <c r="Q34" t="s">
        <v>352</v>
      </c>
      <c r="R34" t="s">
        <v>366</v>
      </c>
      <c r="T34" t="s">
        <v>354</v>
      </c>
      <c r="U34" t="s">
        <v>355</v>
      </c>
      <c r="V34" t="s">
        <v>367</v>
      </c>
      <c r="W34" t="s">
        <v>368</v>
      </c>
      <c r="X34">
        <v>2097098</v>
      </c>
      <c r="Y34" s="2">
        <v>45323</v>
      </c>
      <c r="Z34" t="s">
        <v>352</v>
      </c>
      <c r="AA34">
        <v>6</v>
      </c>
      <c r="AB34" t="s">
        <v>352</v>
      </c>
      <c r="AD34" t="s">
        <v>352</v>
      </c>
      <c r="AE34" t="s">
        <v>352</v>
      </c>
      <c r="AF34" t="s">
        <v>352</v>
      </c>
      <c r="AG34">
        <v>1</v>
      </c>
      <c r="AH34" t="s">
        <v>352</v>
      </c>
      <c r="AL34" t="s">
        <v>352</v>
      </c>
      <c r="AM34" s="2">
        <v>45323</v>
      </c>
      <c r="AN34" t="s">
        <v>358</v>
      </c>
      <c r="AO34" t="s">
        <v>359</v>
      </c>
      <c r="AP34">
        <v>1204</v>
      </c>
      <c r="AQ34" t="s">
        <v>360</v>
      </c>
      <c r="AR34">
        <v>230640</v>
      </c>
      <c r="AU34" t="s">
        <v>352</v>
      </c>
      <c r="AV34" t="s">
        <v>362</v>
      </c>
      <c r="AX34" t="s">
        <v>352</v>
      </c>
      <c r="AY34">
        <v>631110</v>
      </c>
      <c r="AZ34">
        <v>1204.63111</v>
      </c>
      <c r="BA34" s="54" t="s">
        <v>323</v>
      </c>
    </row>
    <row r="35" spans="1:53">
      <c r="A35" t="s">
        <v>363</v>
      </c>
      <c r="B35" t="s">
        <v>364</v>
      </c>
      <c r="C35">
        <v>24001117</v>
      </c>
      <c r="D35">
        <v>1204</v>
      </c>
      <c r="E35" s="2">
        <v>45323</v>
      </c>
      <c r="F35" t="s">
        <v>365</v>
      </c>
      <c r="G35">
        <v>33.799999999999997</v>
      </c>
      <c r="H35">
        <v>33.799999999999997</v>
      </c>
      <c r="I35" t="s">
        <v>351</v>
      </c>
      <c r="O35" t="s">
        <v>352</v>
      </c>
      <c r="Q35" t="s">
        <v>352</v>
      </c>
      <c r="R35" t="s">
        <v>366</v>
      </c>
      <c r="T35" t="s">
        <v>354</v>
      </c>
      <c r="U35" t="s">
        <v>355</v>
      </c>
      <c r="V35" t="s">
        <v>367</v>
      </c>
      <c r="W35" t="s">
        <v>368</v>
      </c>
      <c r="X35">
        <v>2097098</v>
      </c>
      <c r="Y35" s="2">
        <v>45323</v>
      </c>
      <c r="Z35" t="s">
        <v>352</v>
      </c>
      <c r="AA35">
        <v>8</v>
      </c>
      <c r="AB35" t="s">
        <v>352</v>
      </c>
      <c r="AD35" t="s">
        <v>352</v>
      </c>
      <c r="AE35" t="s">
        <v>352</v>
      </c>
      <c r="AF35" t="s">
        <v>352</v>
      </c>
      <c r="AG35">
        <v>4</v>
      </c>
      <c r="AH35" t="s">
        <v>352</v>
      </c>
      <c r="AL35" t="s">
        <v>352</v>
      </c>
      <c r="AM35" s="2">
        <v>45323</v>
      </c>
      <c r="AN35" t="s">
        <v>358</v>
      </c>
      <c r="AO35" t="s">
        <v>359</v>
      </c>
      <c r="AP35">
        <v>1204</v>
      </c>
      <c r="AQ35" t="s">
        <v>360</v>
      </c>
      <c r="AR35">
        <v>294050</v>
      </c>
      <c r="AU35" t="s">
        <v>352</v>
      </c>
      <c r="AV35" t="s">
        <v>362</v>
      </c>
      <c r="AX35" t="s">
        <v>352</v>
      </c>
      <c r="AY35">
        <v>631110</v>
      </c>
      <c r="AZ35">
        <v>1204.63111</v>
      </c>
      <c r="BA35" s="54" t="s">
        <v>323</v>
      </c>
    </row>
    <row r="36" spans="1:53">
      <c r="A36" t="s">
        <v>363</v>
      </c>
      <c r="B36" t="s">
        <v>364</v>
      </c>
      <c r="C36">
        <v>24001117</v>
      </c>
      <c r="D36">
        <v>1204</v>
      </c>
      <c r="E36" s="2">
        <v>45323</v>
      </c>
      <c r="F36" t="s">
        <v>365</v>
      </c>
      <c r="G36">
        <v>57.32</v>
      </c>
      <c r="H36">
        <v>57.32</v>
      </c>
      <c r="I36" t="s">
        <v>351</v>
      </c>
      <c r="O36" t="s">
        <v>352</v>
      </c>
      <c r="Q36" t="s">
        <v>352</v>
      </c>
      <c r="R36" t="s">
        <v>366</v>
      </c>
      <c r="T36" t="s">
        <v>354</v>
      </c>
      <c r="U36" t="s">
        <v>355</v>
      </c>
      <c r="V36" t="s">
        <v>367</v>
      </c>
      <c r="W36" t="s">
        <v>368</v>
      </c>
      <c r="X36">
        <v>2097098</v>
      </c>
      <c r="Y36" s="2">
        <v>45323</v>
      </c>
      <c r="Z36" t="s">
        <v>352</v>
      </c>
      <c r="AA36">
        <v>10</v>
      </c>
      <c r="AB36" t="s">
        <v>352</v>
      </c>
      <c r="AD36" t="s">
        <v>352</v>
      </c>
      <c r="AE36" t="s">
        <v>352</v>
      </c>
      <c r="AF36" t="s">
        <v>352</v>
      </c>
      <c r="AG36">
        <v>1</v>
      </c>
      <c r="AH36" t="s">
        <v>352</v>
      </c>
      <c r="AL36" t="s">
        <v>352</v>
      </c>
      <c r="AM36" s="2">
        <v>45323</v>
      </c>
      <c r="AN36" t="s">
        <v>358</v>
      </c>
      <c r="AO36" t="s">
        <v>359</v>
      </c>
      <c r="AP36">
        <v>1204</v>
      </c>
      <c r="AQ36" t="s">
        <v>360</v>
      </c>
      <c r="AR36">
        <v>97071</v>
      </c>
      <c r="AU36" t="s">
        <v>352</v>
      </c>
      <c r="AV36" t="s">
        <v>362</v>
      </c>
      <c r="AX36" t="s">
        <v>352</v>
      </c>
      <c r="AY36">
        <v>631110</v>
      </c>
      <c r="AZ36">
        <v>1204.63111</v>
      </c>
      <c r="BA36" s="54" t="s">
        <v>323</v>
      </c>
    </row>
    <row r="37" spans="1:53">
      <c r="A37" t="s">
        <v>363</v>
      </c>
      <c r="B37" t="s">
        <v>364</v>
      </c>
      <c r="C37">
        <v>24001117</v>
      </c>
      <c r="D37">
        <v>1204</v>
      </c>
      <c r="E37" s="2">
        <v>45323</v>
      </c>
      <c r="F37" t="s">
        <v>365</v>
      </c>
      <c r="G37">
        <v>0.32</v>
      </c>
      <c r="H37">
        <v>0.32</v>
      </c>
      <c r="I37" t="s">
        <v>351</v>
      </c>
      <c r="O37" t="s">
        <v>352</v>
      </c>
      <c r="Q37" t="s">
        <v>352</v>
      </c>
      <c r="R37" t="s">
        <v>366</v>
      </c>
      <c r="T37" t="s">
        <v>354</v>
      </c>
      <c r="U37" t="s">
        <v>355</v>
      </c>
      <c r="V37" t="s">
        <v>367</v>
      </c>
      <c r="W37" t="s">
        <v>368</v>
      </c>
      <c r="X37">
        <v>2097098</v>
      </c>
      <c r="Y37" s="2">
        <v>45323</v>
      </c>
      <c r="Z37" t="s">
        <v>352</v>
      </c>
      <c r="AA37">
        <v>12</v>
      </c>
      <c r="AB37" t="s">
        <v>352</v>
      </c>
      <c r="AD37" t="s">
        <v>352</v>
      </c>
      <c r="AE37" t="s">
        <v>352</v>
      </c>
      <c r="AF37" t="s">
        <v>352</v>
      </c>
      <c r="AG37">
        <v>1</v>
      </c>
      <c r="AH37" t="s">
        <v>352</v>
      </c>
      <c r="AL37" t="s">
        <v>352</v>
      </c>
      <c r="AM37" s="2">
        <v>45323</v>
      </c>
      <c r="AN37" t="s">
        <v>358</v>
      </c>
      <c r="AO37" t="s">
        <v>359</v>
      </c>
      <c r="AP37">
        <v>1204</v>
      </c>
      <c r="AQ37" t="s">
        <v>360</v>
      </c>
      <c r="AR37">
        <v>249245</v>
      </c>
      <c r="AU37" t="s">
        <v>352</v>
      </c>
      <c r="AV37" t="s">
        <v>362</v>
      </c>
      <c r="AX37" t="s">
        <v>352</v>
      </c>
      <c r="AY37">
        <v>631110</v>
      </c>
      <c r="AZ37">
        <v>1204.63111</v>
      </c>
      <c r="BA37" s="54" t="s">
        <v>323</v>
      </c>
    </row>
    <row r="38" spans="1:53">
      <c r="A38" t="s">
        <v>363</v>
      </c>
      <c r="B38" t="s">
        <v>364</v>
      </c>
      <c r="C38">
        <v>24001117</v>
      </c>
      <c r="D38">
        <v>1204</v>
      </c>
      <c r="E38" s="2">
        <v>45323</v>
      </c>
      <c r="F38" t="s">
        <v>365</v>
      </c>
      <c r="G38">
        <v>56.61</v>
      </c>
      <c r="H38">
        <v>56.61</v>
      </c>
      <c r="I38" t="s">
        <v>351</v>
      </c>
      <c r="O38" t="s">
        <v>352</v>
      </c>
      <c r="Q38" t="s">
        <v>352</v>
      </c>
      <c r="R38" t="s">
        <v>366</v>
      </c>
      <c r="T38" t="s">
        <v>354</v>
      </c>
      <c r="U38" t="s">
        <v>355</v>
      </c>
      <c r="V38" t="s">
        <v>367</v>
      </c>
      <c r="W38" t="s">
        <v>368</v>
      </c>
      <c r="X38">
        <v>2097098</v>
      </c>
      <c r="Y38" s="2">
        <v>45323</v>
      </c>
      <c r="Z38" t="s">
        <v>352</v>
      </c>
      <c r="AA38">
        <v>18</v>
      </c>
      <c r="AB38" t="s">
        <v>352</v>
      </c>
      <c r="AD38" t="s">
        <v>352</v>
      </c>
      <c r="AE38" t="s">
        <v>352</v>
      </c>
      <c r="AF38" t="s">
        <v>352</v>
      </c>
      <c r="AG38">
        <v>1</v>
      </c>
      <c r="AH38" t="s">
        <v>352</v>
      </c>
      <c r="AL38" t="s">
        <v>352</v>
      </c>
      <c r="AM38" s="2">
        <v>45323</v>
      </c>
      <c r="AN38" t="s">
        <v>358</v>
      </c>
      <c r="AO38" t="s">
        <v>359</v>
      </c>
      <c r="AP38">
        <v>1204</v>
      </c>
      <c r="AQ38" t="s">
        <v>360</v>
      </c>
      <c r="AR38">
        <v>243998</v>
      </c>
      <c r="AU38" t="s">
        <v>352</v>
      </c>
      <c r="AV38" t="s">
        <v>362</v>
      </c>
      <c r="AX38" t="s">
        <v>352</v>
      </c>
      <c r="AY38">
        <v>631110</v>
      </c>
      <c r="AZ38">
        <v>1204.63111</v>
      </c>
      <c r="BA38" s="54" t="s">
        <v>323</v>
      </c>
    </row>
    <row r="39" spans="1:53">
      <c r="A39" t="s">
        <v>363</v>
      </c>
      <c r="B39" t="s">
        <v>364</v>
      </c>
      <c r="C39">
        <v>24001117</v>
      </c>
      <c r="D39">
        <v>1204</v>
      </c>
      <c r="E39" s="2">
        <v>45323</v>
      </c>
      <c r="F39" t="s">
        <v>365</v>
      </c>
      <c r="G39">
        <v>3.65</v>
      </c>
      <c r="H39">
        <v>3.65</v>
      </c>
      <c r="I39" t="s">
        <v>351</v>
      </c>
      <c r="O39" t="s">
        <v>352</v>
      </c>
      <c r="Q39" t="s">
        <v>352</v>
      </c>
      <c r="R39" t="s">
        <v>366</v>
      </c>
      <c r="T39" t="s">
        <v>354</v>
      </c>
      <c r="U39" t="s">
        <v>355</v>
      </c>
      <c r="V39" t="s">
        <v>367</v>
      </c>
      <c r="W39" t="s">
        <v>368</v>
      </c>
      <c r="X39">
        <v>2097098</v>
      </c>
      <c r="Y39" s="2">
        <v>45323</v>
      </c>
      <c r="Z39" t="s">
        <v>352</v>
      </c>
      <c r="AA39">
        <v>20</v>
      </c>
      <c r="AB39" t="s">
        <v>352</v>
      </c>
      <c r="AD39" t="s">
        <v>352</v>
      </c>
      <c r="AE39" t="s">
        <v>352</v>
      </c>
      <c r="AF39" t="s">
        <v>352</v>
      </c>
      <c r="AG39">
        <v>1</v>
      </c>
      <c r="AH39" t="s">
        <v>352</v>
      </c>
      <c r="AL39" t="s">
        <v>352</v>
      </c>
      <c r="AM39" s="2">
        <v>45323</v>
      </c>
      <c r="AN39" t="s">
        <v>358</v>
      </c>
      <c r="AO39" t="s">
        <v>359</v>
      </c>
      <c r="AP39">
        <v>1204</v>
      </c>
      <c r="AQ39" t="s">
        <v>360</v>
      </c>
      <c r="AR39">
        <v>220122</v>
      </c>
      <c r="AU39" t="s">
        <v>352</v>
      </c>
      <c r="AV39" t="s">
        <v>362</v>
      </c>
      <c r="AX39" t="s">
        <v>352</v>
      </c>
      <c r="AY39">
        <v>631110</v>
      </c>
      <c r="AZ39">
        <v>1204.63111</v>
      </c>
      <c r="BA39" s="54" t="s">
        <v>323</v>
      </c>
    </row>
    <row r="40" spans="1:53">
      <c r="A40" t="s">
        <v>363</v>
      </c>
      <c r="B40" t="s">
        <v>364</v>
      </c>
      <c r="C40">
        <v>24001117</v>
      </c>
      <c r="D40">
        <v>1204</v>
      </c>
      <c r="E40" s="2">
        <v>45323</v>
      </c>
      <c r="F40" t="s">
        <v>365</v>
      </c>
      <c r="G40">
        <v>85.05</v>
      </c>
      <c r="H40">
        <v>85.05</v>
      </c>
      <c r="I40" t="s">
        <v>351</v>
      </c>
      <c r="O40" t="s">
        <v>352</v>
      </c>
      <c r="Q40" t="s">
        <v>352</v>
      </c>
      <c r="R40" t="s">
        <v>366</v>
      </c>
      <c r="T40" t="s">
        <v>354</v>
      </c>
      <c r="U40" t="s">
        <v>355</v>
      </c>
      <c r="V40" t="s">
        <v>367</v>
      </c>
      <c r="W40" t="s">
        <v>368</v>
      </c>
      <c r="X40">
        <v>2097098</v>
      </c>
      <c r="Y40" s="2">
        <v>45323</v>
      </c>
      <c r="Z40" t="s">
        <v>352</v>
      </c>
      <c r="AA40">
        <v>22</v>
      </c>
      <c r="AB40" t="s">
        <v>352</v>
      </c>
      <c r="AD40" t="s">
        <v>352</v>
      </c>
      <c r="AE40" t="s">
        <v>352</v>
      </c>
      <c r="AF40" t="s">
        <v>352</v>
      </c>
      <c r="AG40">
        <v>1</v>
      </c>
      <c r="AH40" t="s">
        <v>352</v>
      </c>
      <c r="AL40" t="s">
        <v>352</v>
      </c>
      <c r="AM40" s="2">
        <v>45323</v>
      </c>
      <c r="AN40" t="s">
        <v>358</v>
      </c>
      <c r="AO40" t="s">
        <v>359</v>
      </c>
      <c r="AP40">
        <v>1204</v>
      </c>
      <c r="AQ40" t="s">
        <v>360</v>
      </c>
      <c r="AR40">
        <v>209861</v>
      </c>
      <c r="AU40" t="s">
        <v>352</v>
      </c>
      <c r="AV40" t="s">
        <v>362</v>
      </c>
      <c r="AX40" t="s">
        <v>352</v>
      </c>
      <c r="AY40">
        <v>631110</v>
      </c>
      <c r="AZ40">
        <v>1204.63111</v>
      </c>
      <c r="BA40" s="54" t="s">
        <v>323</v>
      </c>
    </row>
    <row r="41" spans="1:53">
      <c r="A41" t="s">
        <v>363</v>
      </c>
      <c r="B41" t="s">
        <v>364</v>
      </c>
      <c r="C41">
        <v>24001117</v>
      </c>
      <c r="D41">
        <v>1204</v>
      </c>
      <c r="E41" s="2">
        <v>45323</v>
      </c>
      <c r="F41" t="s">
        <v>365</v>
      </c>
      <c r="G41">
        <v>0.57999999999999996</v>
      </c>
      <c r="H41">
        <v>0.57999999999999996</v>
      </c>
      <c r="I41" t="s">
        <v>351</v>
      </c>
      <c r="O41" t="s">
        <v>352</v>
      </c>
      <c r="Q41" t="s">
        <v>352</v>
      </c>
      <c r="R41" t="s">
        <v>366</v>
      </c>
      <c r="T41" t="s">
        <v>354</v>
      </c>
      <c r="U41" t="s">
        <v>355</v>
      </c>
      <c r="V41" t="s">
        <v>367</v>
      </c>
      <c r="W41" t="s">
        <v>368</v>
      </c>
      <c r="X41">
        <v>2097098</v>
      </c>
      <c r="Y41" s="2">
        <v>45323</v>
      </c>
      <c r="Z41" t="s">
        <v>352</v>
      </c>
      <c r="AA41">
        <v>14</v>
      </c>
      <c r="AB41" t="s">
        <v>352</v>
      </c>
      <c r="AD41" t="s">
        <v>352</v>
      </c>
      <c r="AE41" t="s">
        <v>352</v>
      </c>
      <c r="AF41" t="s">
        <v>352</v>
      </c>
      <c r="AG41">
        <v>1</v>
      </c>
      <c r="AH41" t="s">
        <v>352</v>
      </c>
      <c r="AL41" t="s">
        <v>352</v>
      </c>
      <c r="AM41" s="2">
        <v>45323</v>
      </c>
      <c r="AN41" t="s">
        <v>358</v>
      </c>
      <c r="AO41" t="s">
        <v>359</v>
      </c>
      <c r="AP41">
        <v>1204</v>
      </c>
      <c r="AQ41" t="s">
        <v>360</v>
      </c>
      <c r="AR41">
        <v>140249</v>
      </c>
      <c r="AU41" t="s">
        <v>352</v>
      </c>
      <c r="AV41" t="s">
        <v>362</v>
      </c>
      <c r="AX41" t="s">
        <v>352</v>
      </c>
      <c r="AY41">
        <v>631110</v>
      </c>
      <c r="AZ41">
        <v>1204.63111</v>
      </c>
      <c r="BA41" s="54" t="s">
        <v>323</v>
      </c>
    </row>
    <row r="42" spans="1:53">
      <c r="A42" t="s">
        <v>363</v>
      </c>
      <c r="B42" t="s">
        <v>364</v>
      </c>
      <c r="C42">
        <v>24001117</v>
      </c>
      <c r="D42">
        <v>1204</v>
      </c>
      <c r="E42" s="2">
        <v>45323</v>
      </c>
      <c r="F42" t="s">
        <v>365</v>
      </c>
      <c r="G42">
        <v>4.3099999999999996</v>
      </c>
      <c r="H42">
        <v>4.3099999999999996</v>
      </c>
      <c r="I42" t="s">
        <v>351</v>
      </c>
      <c r="O42" t="s">
        <v>352</v>
      </c>
      <c r="Q42" t="s">
        <v>352</v>
      </c>
      <c r="R42" t="s">
        <v>366</v>
      </c>
      <c r="T42" t="s">
        <v>354</v>
      </c>
      <c r="U42" t="s">
        <v>355</v>
      </c>
      <c r="V42" t="s">
        <v>367</v>
      </c>
      <c r="W42" t="s">
        <v>368</v>
      </c>
      <c r="X42">
        <v>2097098</v>
      </c>
      <c r="Y42" s="2">
        <v>45323</v>
      </c>
      <c r="Z42" t="s">
        <v>352</v>
      </c>
      <c r="AA42">
        <v>16</v>
      </c>
      <c r="AB42" t="s">
        <v>352</v>
      </c>
      <c r="AD42" t="s">
        <v>352</v>
      </c>
      <c r="AE42" t="s">
        <v>352</v>
      </c>
      <c r="AF42" t="s">
        <v>352</v>
      </c>
      <c r="AG42">
        <v>1</v>
      </c>
      <c r="AH42" t="s">
        <v>352</v>
      </c>
      <c r="AL42" t="s">
        <v>352</v>
      </c>
      <c r="AM42" s="2">
        <v>45323</v>
      </c>
      <c r="AN42" t="s">
        <v>358</v>
      </c>
      <c r="AO42" t="s">
        <v>359</v>
      </c>
      <c r="AP42">
        <v>1204</v>
      </c>
      <c r="AQ42" t="s">
        <v>360</v>
      </c>
      <c r="AR42">
        <v>279692</v>
      </c>
      <c r="AU42" t="s">
        <v>352</v>
      </c>
      <c r="AV42" t="s">
        <v>362</v>
      </c>
      <c r="AX42" t="s">
        <v>352</v>
      </c>
      <c r="AY42">
        <v>631110</v>
      </c>
      <c r="AZ42">
        <v>1204.63111</v>
      </c>
      <c r="BA42" s="54" t="s">
        <v>323</v>
      </c>
    </row>
    <row r="43" spans="1:53">
      <c r="A43" t="s">
        <v>363</v>
      </c>
      <c r="B43" t="s">
        <v>364</v>
      </c>
      <c r="C43">
        <v>24001117</v>
      </c>
      <c r="D43">
        <v>1204</v>
      </c>
      <c r="E43" s="2">
        <v>45323</v>
      </c>
      <c r="F43" t="s">
        <v>365</v>
      </c>
      <c r="G43">
        <v>0.72</v>
      </c>
      <c r="H43">
        <v>0.72</v>
      </c>
      <c r="I43" t="s">
        <v>351</v>
      </c>
      <c r="O43" t="s">
        <v>352</v>
      </c>
      <c r="Q43" t="s">
        <v>352</v>
      </c>
      <c r="R43" t="s">
        <v>366</v>
      </c>
      <c r="T43" t="s">
        <v>354</v>
      </c>
      <c r="U43" t="s">
        <v>355</v>
      </c>
      <c r="V43" t="s">
        <v>367</v>
      </c>
      <c r="W43" t="s">
        <v>368</v>
      </c>
      <c r="X43">
        <v>2097098</v>
      </c>
      <c r="Y43" s="2">
        <v>45323</v>
      </c>
      <c r="Z43" t="s">
        <v>352</v>
      </c>
      <c r="AA43">
        <v>24</v>
      </c>
      <c r="AB43" t="s">
        <v>352</v>
      </c>
      <c r="AD43" t="s">
        <v>352</v>
      </c>
      <c r="AE43" t="s">
        <v>352</v>
      </c>
      <c r="AF43" t="s">
        <v>352</v>
      </c>
      <c r="AG43">
        <v>1</v>
      </c>
      <c r="AH43" t="s">
        <v>352</v>
      </c>
      <c r="AL43" t="s">
        <v>352</v>
      </c>
      <c r="AM43" s="2">
        <v>45323</v>
      </c>
      <c r="AN43" t="s">
        <v>358</v>
      </c>
      <c r="AO43" t="s">
        <v>359</v>
      </c>
      <c r="AP43">
        <v>1204</v>
      </c>
      <c r="AQ43" t="s">
        <v>360</v>
      </c>
      <c r="AR43">
        <v>220124</v>
      </c>
      <c r="AU43" t="s">
        <v>352</v>
      </c>
      <c r="AV43" t="s">
        <v>362</v>
      </c>
      <c r="AX43" t="s">
        <v>352</v>
      </c>
      <c r="AY43">
        <v>631110</v>
      </c>
      <c r="AZ43">
        <v>1204.63111</v>
      </c>
      <c r="BA43" s="54" t="s">
        <v>323</v>
      </c>
    </row>
    <row r="44" spans="1:53">
      <c r="A44" t="s">
        <v>363</v>
      </c>
      <c r="B44" t="s">
        <v>364</v>
      </c>
      <c r="C44">
        <v>24001117</v>
      </c>
      <c r="D44">
        <v>1204</v>
      </c>
      <c r="E44" s="2">
        <v>45323</v>
      </c>
      <c r="F44" t="s">
        <v>365</v>
      </c>
      <c r="G44">
        <v>1.33</v>
      </c>
      <c r="H44">
        <v>1.33</v>
      </c>
      <c r="I44" t="s">
        <v>351</v>
      </c>
      <c r="O44" t="s">
        <v>352</v>
      </c>
      <c r="Q44" t="s">
        <v>352</v>
      </c>
      <c r="R44" t="s">
        <v>366</v>
      </c>
      <c r="T44" t="s">
        <v>354</v>
      </c>
      <c r="U44" t="s">
        <v>355</v>
      </c>
      <c r="V44" t="s">
        <v>367</v>
      </c>
      <c r="W44" t="s">
        <v>368</v>
      </c>
      <c r="X44">
        <v>2097098</v>
      </c>
      <c r="Y44" s="2">
        <v>45323</v>
      </c>
      <c r="Z44" t="s">
        <v>352</v>
      </c>
      <c r="AA44">
        <v>26</v>
      </c>
      <c r="AB44" t="s">
        <v>352</v>
      </c>
      <c r="AD44" t="s">
        <v>352</v>
      </c>
      <c r="AE44" t="s">
        <v>352</v>
      </c>
      <c r="AF44" t="s">
        <v>352</v>
      </c>
      <c r="AG44">
        <v>1</v>
      </c>
      <c r="AH44" t="s">
        <v>352</v>
      </c>
      <c r="AL44" t="s">
        <v>352</v>
      </c>
      <c r="AM44" s="2">
        <v>45323</v>
      </c>
      <c r="AN44" t="s">
        <v>358</v>
      </c>
      <c r="AO44" t="s">
        <v>359</v>
      </c>
      <c r="AP44">
        <v>1204</v>
      </c>
      <c r="AQ44" t="s">
        <v>360</v>
      </c>
      <c r="AR44">
        <v>221862</v>
      </c>
      <c r="AU44" t="s">
        <v>352</v>
      </c>
      <c r="AV44" t="s">
        <v>362</v>
      </c>
      <c r="AX44" t="s">
        <v>352</v>
      </c>
      <c r="AY44">
        <v>631110</v>
      </c>
      <c r="AZ44">
        <v>1204.63111</v>
      </c>
      <c r="BA44" s="54" t="s">
        <v>323</v>
      </c>
    </row>
    <row r="45" spans="1:53">
      <c r="A45" t="s">
        <v>363</v>
      </c>
      <c r="B45" t="s">
        <v>364</v>
      </c>
      <c r="C45">
        <v>24001118</v>
      </c>
      <c r="D45">
        <v>1204</v>
      </c>
      <c r="E45" s="2">
        <v>45323</v>
      </c>
      <c r="F45" t="s">
        <v>369</v>
      </c>
      <c r="G45">
        <v>6.89</v>
      </c>
      <c r="H45">
        <v>6.89</v>
      </c>
      <c r="I45" t="s">
        <v>351</v>
      </c>
      <c r="O45" t="s">
        <v>352</v>
      </c>
      <c r="Q45" t="s">
        <v>352</v>
      </c>
      <c r="R45" t="s">
        <v>366</v>
      </c>
      <c r="T45" t="s">
        <v>354</v>
      </c>
      <c r="U45" t="s">
        <v>355</v>
      </c>
      <c r="V45" t="s">
        <v>367</v>
      </c>
      <c r="W45" t="s">
        <v>368</v>
      </c>
      <c r="X45">
        <v>2097100</v>
      </c>
      <c r="Y45" s="2">
        <v>45323</v>
      </c>
      <c r="Z45" t="s">
        <v>352</v>
      </c>
      <c r="AA45">
        <v>2</v>
      </c>
      <c r="AB45" t="s">
        <v>352</v>
      </c>
      <c r="AD45" t="s">
        <v>352</v>
      </c>
      <c r="AE45" t="s">
        <v>352</v>
      </c>
      <c r="AF45" t="s">
        <v>352</v>
      </c>
      <c r="AG45">
        <v>1</v>
      </c>
      <c r="AH45" t="s">
        <v>352</v>
      </c>
      <c r="AL45" t="s">
        <v>352</v>
      </c>
      <c r="AM45" s="2">
        <v>45323</v>
      </c>
      <c r="AN45" t="s">
        <v>358</v>
      </c>
      <c r="AO45" t="s">
        <v>359</v>
      </c>
      <c r="AP45">
        <v>1204</v>
      </c>
      <c r="AQ45" t="s">
        <v>360</v>
      </c>
      <c r="AR45">
        <v>279991</v>
      </c>
      <c r="AU45" t="s">
        <v>352</v>
      </c>
      <c r="AV45" t="s">
        <v>362</v>
      </c>
      <c r="AX45" t="s">
        <v>352</v>
      </c>
      <c r="AY45">
        <v>631110</v>
      </c>
      <c r="AZ45">
        <v>1204.63111</v>
      </c>
      <c r="BA45" s="54" t="s">
        <v>323</v>
      </c>
    </row>
    <row r="46" spans="1:53">
      <c r="A46" t="s">
        <v>363</v>
      </c>
      <c r="B46" t="s">
        <v>364</v>
      </c>
      <c r="C46">
        <v>24001118</v>
      </c>
      <c r="D46">
        <v>1204</v>
      </c>
      <c r="E46" s="2">
        <v>45323</v>
      </c>
      <c r="F46" t="s">
        <v>369</v>
      </c>
      <c r="G46">
        <v>15.09</v>
      </c>
      <c r="H46">
        <v>15.09</v>
      </c>
      <c r="I46" t="s">
        <v>351</v>
      </c>
      <c r="O46" t="s">
        <v>352</v>
      </c>
      <c r="Q46" t="s">
        <v>352</v>
      </c>
      <c r="R46" t="s">
        <v>366</v>
      </c>
      <c r="T46" t="s">
        <v>354</v>
      </c>
      <c r="U46" t="s">
        <v>355</v>
      </c>
      <c r="V46" t="s">
        <v>367</v>
      </c>
      <c r="W46" t="s">
        <v>368</v>
      </c>
      <c r="X46">
        <v>2097100</v>
      </c>
      <c r="Y46" s="2">
        <v>45323</v>
      </c>
      <c r="Z46" t="s">
        <v>352</v>
      </c>
      <c r="AA46">
        <v>4</v>
      </c>
      <c r="AB46" t="s">
        <v>352</v>
      </c>
      <c r="AD46" t="s">
        <v>352</v>
      </c>
      <c r="AE46" t="s">
        <v>352</v>
      </c>
      <c r="AF46" t="s">
        <v>352</v>
      </c>
      <c r="AG46">
        <v>2</v>
      </c>
      <c r="AH46" t="s">
        <v>352</v>
      </c>
      <c r="AL46" t="s">
        <v>352</v>
      </c>
      <c r="AM46" s="2">
        <v>45323</v>
      </c>
      <c r="AN46" t="s">
        <v>358</v>
      </c>
      <c r="AO46" t="s">
        <v>359</v>
      </c>
      <c r="AP46">
        <v>1204</v>
      </c>
      <c r="AQ46" t="s">
        <v>360</v>
      </c>
      <c r="AR46">
        <v>227112</v>
      </c>
      <c r="AU46" t="s">
        <v>352</v>
      </c>
      <c r="AV46" t="s">
        <v>362</v>
      </c>
      <c r="AX46" t="s">
        <v>352</v>
      </c>
      <c r="AY46">
        <v>631110</v>
      </c>
      <c r="AZ46">
        <v>1204.63111</v>
      </c>
      <c r="BA46" s="54" t="s">
        <v>323</v>
      </c>
    </row>
    <row r="47" spans="1:53">
      <c r="A47" t="s">
        <v>363</v>
      </c>
      <c r="B47" t="s">
        <v>364</v>
      </c>
      <c r="C47">
        <v>24001124</v>
      </c>
      <c r="D47">
        <v>1204</v>
      </c>
      <c r="E47" s="2">
        <v>45323</v>
      </c>
      <c r="F47" t="s">
        <v>369</v>
      </c>
      <c r="G47">
        <v>516.83000000000004</v>
      </c>
      <c r="H47">
        <v>516.83000000000004</v>
      </c>
      <c r="I47" t="s">
        <v>351</v>
      </c>
      <c r="O47" t="s">
        <v>352</v>
      </c>
      <c r="Q47" t="s">
        <v>352</v>
      </c>
      <c r="R47" t="s">
        <v>366</v>
      </c>
      <c r="T47" t="s">
        <v>354</v>
      </c>
      <c r="U47" t="s">
        <v>355</v>
      </c>
      <c r="V47" t="s">
        <v>367</v>
      </c>
      <c r="W47" t="s">
        <v>368</v>
      </c>
      <c r="X47">
        <v>2097161</v>
      </c>
      <c r="Y47" s="2">
        <v>45323</v>
      </c>
      <c r="Z47" t="s">
        <v>352</v>
      </c>
      <c r="AA47">
        <v>2</v>
      </c>
      <c r="AB47" t="s">
        <v>352</v>
      </c>
      <c r="AD47" t="s">
        <v>352</v>
      </c>
      <c r="AE47" t="s">
        <v>352</v>
      </c>
      <c r="AF47" t="s">
        <v>352</v>
      </c>
      <c r="AG47">
        <v>40</v>
      </c>
      <c r="AH47" t="s">
        <v>352</v>
      </c>
      <c r="AL47" t="s">
        <v>352</v>
      </c>
      <c r="AM47" s="2">
        <v>45323</v>
      </c>
      <c r="AN47" t="s">
        <v>358</v>
      </c>
      <c r="AO47" t="s">
        <v>359</v>
      </c>
      <c r="AP47">
        <v>1204</v>
      </c>
      <c r="AQ47" t="s">
        <v>360</v>
      </c>
      <c r="AR47">
        <v>234831</v>
      </c>
      <c r="AU47" t="s">
        <v>352</v>
      </c>
      <c r="AV47" t="s">
        <v>362</v>
      </c>
      <c r="AX47" t="s">
        <v>352</v>
      </c>
      <c r="AY47">
        <v>631110</v>
      </c>
      <c r="AZ47">
        <v>1204.63111</v>
      </c>
      <c r="BA47" s="54" t="s">
        <v>323</v>
      </c>
    </row>
    <row r="48" spans="1:53">
      <c r="A48" t="s">
        <v>363</v>
      </c>
      <c r="B48" t="s">
        <v>364</v>
      </c>
      <c r="C48">
        <v>24001125</v>
      </c>
      <c r="D48">
        <v>1204</v>
      </c>
      <c r="E48" s="2">
        <v>45323</v>
      </c>
      <c r="F48" t="s">
        <v>370</v>
      </c>
      <c r="G48">
        <v>0.15</v>
      </c>
      <c r="H48">
        <v>0.15</v>
      </c>
      <c r="I48" t="s">
        <v>351</v>
      </c>
      <c r="O48" t="s">
        <v>352</v>
      </c>
      <c r="Q48" t="s">
        <v>352</v>
      </c>
      <c r="R48" t="s">
        <v>366</v>
      </c>
      <c r="T48" t="s">
        <v>354</v>
      </c>
      <c r="U48" t="s">
        <v>355</v>
      </c>
      <c r="V48" t="s">
        <v>367</v>
      </c>
      <c r="W48" t="s">
        <v>368</v>
      </c>
      <c r="X48">
        <v>2097342</v>
      </c>
      <c r="Y48" s="2">
        <v>45323</v>
      </c>
      <c r="Z48" t="s">
        <v>352</v>
      </c>
      <c r="AA48">
        <v>2</v>
      </c>
      <c r="AB48" t="s">
        <v>352</v>
      </c>
      <c r="AD48" t="s">
        <v>352</v>
      </c>
      <c r="AE48" t="s">
        <v>352</v>
      </c>
      <c r="AF48" t="s">
        <v>352</v>
      </c>
      <c r="AG48">
        <v>2</v>
      </c>
      <c r="AH48" t="s">
        <v>352</v>
      </c>
      <c r="AL48" t="s">
        <v>352</v>
      </c>
      <c r="AM48" s="2">
        <v>45323</v>
      </c>
      <c r="AN48" t="s">
        <v>371</v>
      </c>
      <c r="AO48" t="s">
        <v>359</v>
      </c>
      <c r="AP48">
        <v>1204</v>
      </c>
      <c r="AQ48" t="s">
        <v>360</v>
      </c>
      <c r="AR48">
        <v>91479</v>
      </c>
      <c r="AU48" t="s">
        <v>352</v>
      </c>
      <c r="AV48" t="s">
        <v>362</v>
      </c>
      <c r="AX48" t="s">
        <v>352</v>
      </c>
      <c r="AY48">
        <v>631110</v>
      </c>
      <c r="AZ48">
        <v>1204.63111</v>
      </c>
      <c r="BA48" s="54" t="s">
        <v>323</v>
      </c>
    </row>
    <row r="49" spans="1:53">
      <c r="A49" t="s">
        <v>363</v>
      </c>
      <c r="B49" t="s">
        <v>364</v>
      </c>
      <c r="C49">
        <v>24001125</v>
      </c>
      <c r="D49">
        <v>1204</v>
      </c>
      <c r="E49" s="2">
        <v>45323</v>
      </c>
      <c r="F49" t="s">
        <v>370</v>
      </c>
      <c r="G49">
        <v>0.36</v>
      </c>
      <c r="H49">
        <v>0.36</v>
      </c>
      <c r="I49" t="s">
        <v>351</v>
      </c>
      <c r="O49" t="s">
        <v>352</v>
      </c>
      <c r="Q49" t="s">
        <v>352</v>
      </c>
      <c r="R49" t="s">
        <v>366</v>
      </c>
      <c r="T49" t="s">
        <v>354</v>
      </c>
      <c r="U49" t="s">
        <v>355</v>
      </c>
      <c r="V49" t="s">
        <v>367</v>
      </c>
      <c r="W49" t="s">
        <v>368</v>
      </c>
      <c r="X49">
        <v>2097342</v>
      </c>
      <c r="Y49" s="2">
        <v>45323</v>
      </c>
      <c r="Z49" t="s">
        <v>352</v>
      </c>
      <c r="AA49">
        <v>4</v>
      </c>
      <c r="AB49" t="s">
        <v>352</v>
      </c>
      <c r="AD49" t="s">
        <v>352</v>
      </c>
      <c r="AE49" t="s">
        <v>352</v>
      </c>
      <c r="AF49" t="s">
        <v>352</v>
      </c>
      <c r="AG49">
        <v>5</v>
      </c>
      <c r="AH49" t="s">
        <v>352</v>
      </c>
      <c r="AL49" t="s">
        <v>352</v>
      </c>
      <c r="AM49" s="2">
        <v>45323</v>
      </c>
      <c r="AN49" t="s">
        <v>371</v>
      </c>
      <c r="AO49" t="s">
        <v>359</v>
      </c>
      <c r="AP49">
        <v>1204</v>
      </c>
      <c r="AQ49" t="s">
        <v>360</v>
      </c>
      <c r="AR49">
        <v>264585</v>
      </c>
      <c r="AU49" t="s">
        <v>352</v>
      </c>
      <c r="AV49" t="s">
        <v>362</v>
      </c>
      <c r="AX49" t="s">
        <v>352</v>
      </c>
      <c r="AY49">
        <v>631110</v>
      </c>
      <c r="AZ49">
        <v>1204.63111</v>
      </c>
      <c r="BA49" s="54" t="s">
        <v>323</v>
      </c>
    </row>
    <row r="50" spans="1:53">
      <c r="A50" t="s">
        <v>363</v>
      </c>
      <c r="B50" t="s">
        <v>364</v>
      </c>
      <c r="C50">
        <v>24001125</v>
      </c>
      <c r="D50">
        <v>1204</v>
      </c>
      <c r="E50" s="2">
        <v>45323</v>
      </c>
      <c r="F50" t="s">
        <v>370</v>
      </c>
      <c r="G50">
        <v>0.31</v>
      </c>
      <c r="H50">
        <v>0.31</v>
      </c>
      <c r="I50" t="s">
        <v>351</v>
      </c>
      <c r="O50" t="s">
        <v>352</v>
      </c>
      <c r="Q50" t="s">
        <v>352</v>
      </c>
      <c r="R50" t="s">
        <v>366</v>
      </c>
      <c r="T50" t="s">
        <v>354</v>
      </c>
      <c r="U50" t="s">
        <v>355</v>
      </c>
      <c r="V50" t="s">
        <v>367</v>
      </c>
      <c r="W50" t="s">
        <v>368</v>
      </c>
      <c r="X50">
        <v>2097342</v>
      </c>
      <c r="Y50" s="2">
        <v>45323</v>
      </c>
      <c r="Z50" t="s">
        <v>352</v>
      </c>
      <c r="AA50">
        <v>6</v>
      </c>
      <c r="AB50" t="s">
        <v>352</v>
      </c>
      <c r="AD50" t="s">
        <v>352</v>
      </c>
      <c r="AE50" t="s">
        <v>352</v>
      </c>
      <c r="AF50" t="s">
        <v>352</v>
      </c>
      <c r="AG50">
        <v>2</v>
      </c>
      <c r="AH50" t="s">
        <v>352</v>
      </c>
      <c r="AL50" t="s">
        <v>352</v>
      </c>
      <c r="AM50" s="2">
        <v>45323</v>
      </c>
      <c r="AN50" t="s">
        <v>371</v>
      </c>
      <c r="AO50" t="s">
        <v>359</v>
      </c>
      <c r="AP50">
        <v>1204</v>
      </c>
      <c r="AQ50" t="s">
        <v>360</v>
      </c>
      <c r="AR50">
        <v>89712</v>
      </c>
      <c r="AU50" t="s">
        <v>352</v>
      </c>
      <c r="AV50" t="s">
        <v>362</v>
      </c>
      <c r="AX50" t="s">
        <v>352</v>
      </c>
      <c r="AY50">
        <v>631110</v>
      </c>
      <c r="AZ50">
        <v>1204.63111</v>
      </c>
      <c r="BA50" s="54" t="s">
        <v>323</v>
      </c>
    </row>
    <row r="51" spans="1:53">
      <c r="A51" t="s">
        <v>363</v>
      </c>
      <c r="B51" t="s">
        <v>364</v>
      </c>
      <c r="C51">
        <v>24001125</v>
      </c>
      <c r="D51">
        <v>1204</v>
      </c>
      <c r="E51" s="2">
        <v>45323</v>
      </c>
      <c r="F51" t="s">
        <v>370</v>
      </c>
      <c r="G51">
        <v>13.59</v>
      </c>
      <c r="H51">
        <v>13.59</v>
      </c>
      <c r="I51" t="s">
        <v>351</v>
      </c>
      <c r="O51" t="s">
        <v>352</v>
      </c>
      <c r="Q51" t="s">
        <v>352</v>
      </c>
      <c r="R51" t="s">
        <v>366</v>
      </c>
      <c r="T51" t="s">
        <v>354</v>
      </c>
      <c r="U51" t="s">
        <v>355</v>
      </c>
      <c r="V51" t="s">
        <v>367</v>
      </c>
      <c r="W51" t="s">
        <v>368</v>
      </c>
      <c r="X51">
        <v>2097342</v>
      </c>
      <c r="Y51" s="2">
        <v>45323</v>
      </c>
      <c r="Z51" t="s">
        <v>352</v>
      </c>
      <c r="AA51">
        <v>8</v>
      </c>
      <c r="AB51" t="s">
        <v>352</v>
      </c>
      <c r="AD51" t="s">
        <v>352</v>
      </c>
      <c r="AE51" t="s">
        <v>352</v>
      </c>
      <c r="AF51" t="s">
        <v>352</v>
      </c>
      <c r="AG51">
        <v>41</v>
      </c>
      <c r="AH51" t="s">
        <v>352</v>
      </c>
      <c r="AL51" t="s">
        <v>352</v>
      </c>
      <c r="AM51" s="2">
        <v>45323</v>
      </c>
      <c r="AN51" t="s">
        <v>371</v>
      </c>
      <c r="AO51" t="s">
        <v>359</v>
      </c>
      <c r="AP51">
        <v>1204</v>
      </c>
      <c r="AQ51" t="s">
        <v>360</v>
      </c>
      <c r="AR51">
        <v>91011</v>
      </c>
      <c r="AU51" t="s">
        <v>352</v>
      </c>
      <c r="AV51" t="s">
        <v>362</v>
      </c>
      <c r="AX51" t="s">
        <v>352</v>
      </c>
      <c r="AY51">
        <v>631110</v>
      </c>
      <c r="AZ51">
        <v>1204.63111</v>
      </c>
      <c r="BA51" s="54" t="s">
        <v>323</v>
      </c>
    </row>
    <row r="52" spans="1:53">
      <c r="A52" t="s">
        <v>363</v>
      </c>
      <c r="B52" t="s">
        <v>364</v>
      </c>
      <c r="C52">
        <v>24001125</v>
      </c>
      <c r="D52">
        <v>1204</v>
      </c>
      <c r="E52" s="2">
        <v>45323</v>
      </c>
      <c r="F52" t="s">
        <v>370</v>
      </c>
      <c r="G52">
        <v>1.79</v>
      </c>
      <c r="H52">
        <v>1.79</v>
      </c>
      <c r="I52" t="s">
        <v>351</v>
      </c>
      <c r="O52" t="s">
        <v>352</v>
      </c>
      <c r="Q52" t="s">
        <v>352</v>
      </c>
      <c r="R52" t="s">
        <v>366</v>
      </c>
      <c r="T52" t="s">
        <v>354</v>
      </c>
      <c r="U52" t="s">
        <v>355</v>
      </c>
      <c r="V52" t="s">
        <v>367</v>
      </c>
      <c r="W52" t="s">
        <v>368</v>
      </c>
      <c r="X52">
        <v>2097342</v>
      </c>
      <c r="Y52" s="2">
        <v>45323</v>
      </c>
      <c r="Z52" t="s">
        <v>352</v>
      </c>
      <c r="AA52">
        <v>10</v>
      </c>
      <c r="AB52" t="s">
        <v>352</v>
      </c>
      <c r="AD52" t="s">
        <v>352</v>
      </c>
      <c r="AE52" t="s">
        <v>352</v>
      </c>
      <c r="AF52" t="s">
        <v>352</v>
      </c>
      <c r="AG52">
        <v>12</v>
      </c>
      <c r="AH52" t="s">
        <v>352</v>
      </c>
      <c r="AL52" t="s">
        <v>352</v>
      </c>
      <c r="AM52" s="2">
        <v>45323</v>
      </c>
      <c r="AN52" t="s">
        <v>371</v>
      </c>
      <c r="AO52" t="s">
        <v>359</v>
      </c>
      <c r="AP52">
        <v>1204</v>
      </c>
      <c r="AQ52" t="s">
        <v>360</v>
      </c>
      <c r="AR52">
        <v>144854</v>
      </c>
      <c r="AU52" t="s">
        <v>352</v>
      </c>
      <c r="AV52" t="s">
        <v>362</v>
      </c>
      <c r="AX52" t="s">
        <v>352</v>
      </c>
      <c r="AY52">
        <v>631110</v>
      </c>
      <c r="AZ52">
        <v>1204.63111</v>
      </c>
      <c r="BA52" s="54" t="s">
        <v>323</v>
      </c>
    </row>
    <row r="53" spans="1:53">
      <c r="A53" t="s">
        <v>363</v>
      </c>
      <c r="B53" t="s">
        <v>364</v>
      </c>
      <c r="C53">
        <v>24001126</v>
      </c>
      <c r="D53">
        <v>1204</v>
      </c>
      <c r="E53" s="2">
        <v>45323</v>
      </c>
      <c r="F53" t="s">
        <v>370</v>
      </c>
      <c r="G53">
        <v>0.15</v>
      </c>
      <c r="H53">
        <v>0.15</v>
      </c>
      <c r="I53" t="s">
        <v>351</v>
      </c>
      <c r="O53" t="s">
        <v>352</v>
      </c>
      <c r="Q53" t="s">
        <v>352</v>
      </c>
      <c r="R53" t="s">
        <v>366</v>
      </c>
      <c r="T53" t="s">
        <v>354</v>
      </c>
      <c r="U53" t="s">
        <v>355</v>
      </c>
      <c r="V53" t="s">
        <v>367</v>
      </c>
      <c r="W53" t="s">
        <v>368</v>
      </c>
      <c r="X53">
        <v>2097343</v>
      </c>
      <c r="Y53" s="2">
        <v>45323</v>
      </c>
      <c r="Z53" t="s">
        <v>352</v>
      </c>
      <c r="AA53">
        <v>2</v>
      </c>
      <c r="AB53" t="s">
        <v>352</v>
      </c>
      <c r="AD53" t="s">
        <v>352</v>
      </c>
      <c r="AE53" t="s">
        <v>352</v>
      </c>
      <c r="AF53" t="s">
        <v>352</v>
      </c>
      <c r="AG53">
        <v>2</v>
      </c>
      <c r="AH53" t="s">
        <v>352</v>
      </c>
      <c r="AL53" t="s">
        <v>352</v>
      </c>
      <c r="AM53" s="2">
        <v>45323</v>
      </c>
      <c r="AN53" t="s">
        <v>371</v>
      </c>
      <c r="AO53" t="s">
        <v>359</v>
      </c>
      <c r="AP53">
        <v>1204</v>
      </c>
      <c r="AQ53" t="s">
        <v>360</v>
      </c>
      <c r="AR53">
        <v>91479</v>
      </c>
      <c r="AU53" t="s">
        <v>352</v>
      </c>
      <c r="AV53" t="s">
        <v>362</v>
      </c>
      <c r="AX53" t="s">
        <v>352</v>
      </c>
      <c r="AY53">
        <v>631110</v>
      </c>
      <c r="AZ53">
        <v>1204.63111</v>
      </c>
      <c r="BA53" s="54" t="s">
        <v>323</v>
      </c>
    </row>
    <row r="54" spans="1:53">
      <c r="A54" t="s">
        <v>363</v>
      </c>
      <c r="B54" t="s">
        <v>364</v>
      </c>
      <c r="C54">
        <v>24001126</v>
      </c>
      <c r="D54">
        <v>1204</v>
      </c>
      <c r="E54" s="2">
        <v>45323</v>
      </c>
      <c r="F54" t="s">
        <v>370</v>
      </c>
      <c r="G54">
        <v>0.57999999999999996</v>
      </c>
      <c r="H54">
        <v>0.57999999999999996</v>
      </c>
      <c r="I54" t="s">
        <v>351</v>
      </c>
      <c r="O54" t="s">
        <v>352</v>
      </c>
      <c r="Q54" t="s">
        <v>352</v>
      </c>
      <c r="R54" t="s">
        <v>366</v>
      </c>
      <c r="T54" t="s">
        <v>354</v>
      </c>
      <c r="U54" t="s">
        <v>355</v>
      </c>
      <c r="V54" t="s">
        <v>367</v>
      </c>
      <c r="W54" t="s">
        <v>368</v>
      </c>
      <c r="X54">
        <v>2097343</v>
      </c>
      <c r="Y54" s="2">
        <v>45323</v>
      </c>
      <c r="Z54" t="s">
        <v>352</v>
      </c>
      <c r="AA54">
        <v>4</v>
      </c>
      <c r="AB54" t="s">
        <v>352</v>
      </c>
      <c r="AD54" t="s">
        <v>352</v>
      </c>
      <c r="AE54" t="s">
        <v>352</v>
      </c>
      <c r="AF54" t="s">
        <v>352</v>
      </c>
      <c r="AG54">
        <v>8</v>
      </c>
      <c r="AH54" t="s">
        <v>352</v>
      </c>
      <c r="AL54" t="s">
        <v>352</v>
      </c>
      <c r="AM54" s="2">
        <v>45323</v>
      </c>
      <c r="AN54" t="s">
        <v>371</v>
      </c>
      <c r="AO54" t="s">
        <v>359</v>
      </c>
      <c r="AP54">
        <v>1204</v>
      </c>
      <c r="AQ54" t="s">
        <v>360</v>
      </c>
      <c r="AR54">
        <v>264585</v>
      </c>
      <c r="AU54" t="s">
        <v>352</v>
      </c>
      <c r="AV54" t="s">
        <v>362</v>
      </c>
      <c r="AX54" t="s">
        <v>352</v>
      </c>
      <c r="AY54">
        <v>631110</v>
      </c>
      <c r="AZ54">
        <v>1204.63111</v>
      </c>
      <c r="BA54" s="54" t="s">
        <v>323</v>
      </c>
    </row>
    <row r="55" spans="1:53">
      <c r="A55" t="s">
        <v>363</v>
      </c>
      <c r="B55" t="s">
        <v>364</v>
      </c>
      <c r="C55">
        <v>24001126</v>
      </c>
      <c r="D55">
        <v>1204</v>
      </c>
      <c r="E55" s="2">
        <v>45323</v>
      </c>
      <c r="F55" t="s">
        <v>370</v>
      </c>
      <c r="G55">
        <v>1.26</v>
      </c>
      <c r="H55">
        <v>1.26</v>
      </c>
      <c r="I55" t="s">
        <v>351</v>
      </c>
      <c r="O55" t="s">
        <v>352</v>
      </c>
      <c r="Q55" t="s">
        <v>352</v>
      </c>
      <c r="R55" t="s">
        <v>366</v>
      </c>
      <c r="T55" t="s">
        <v>354</v>
      </c>
      <c r="U55" t="s">
        <v>355</v>
      </c>
      <c r="V55" t="s">
        <v>367</v>
      </c>
      <c r="W55" t="s">
        <v>368</v>
      </c>
      <c r="X55">
        <v>2097343</v>
      </c>
      <c r="Y55" s="2">
        <v>45323</v>
      </c>
      <c r="Z55" t="s">
        <v>352</v>
      </c>
      <c r="AA55">
        <v>6</v>
      </c>
      <c r="AB55" t="s">
        <v>352</v>
      </c>
      <c r="AD55" t="s">
        <v>352</v>
      </c>
      <c r="AE55" t="s">
        <v>352</v>
      </c>
      <c r="AF55" t="s">
        <v>352</v>
      </c>
      <c r="AG55">
        <v>8</v>
      </c>
      <c r="AH55" t="s">
        <v>352</v>
      </c>
      <c r="AL55" t="s">
        <v>352</v>
      </c>
      <c r="AM55" s="2">
        <v>45323</v>
      </c>
      <c r="AN55" t="s">
        <v>371</v>
      </c>
      <c r="AO55" t="s">
        <v>359</v>
      </c>
      <c r="AP55">
        <v>1204</v>
      </c>
      <c r="AQ55" t="s">
        <v>360</v>
      </c>
      <c r="AR55">
        <v>89712</v>
      </c>
      <c r="AU55" t="s">
        <v>352</v>
      </c>
      <c r="AV55" t="s">
        <v>362</v>
      </c>
      <c r="AX55" t="s">
        <v>352</v>
      </c>
      <c r="AY55">
        <v>631110</v>
      </c>
      <c r="AZ55">
        <v>1204.63111</v>
      </c>
      <c r="BA55" s="54" t="s">
        <v>323</v>
      </c>
    </row>
    <row r="56" spans="1:53">
      <c r="A56" t="s">
        <v>363</v>
      </c>
      <c r="B56" t="s">
        <v>364</v>
      </c>
      <c r="C56">
        <v>24001126</v>
      </c>
      <c r="D56">
        <v>1204</v>
      </c>
      <c r="E56" s="2">
        <v>45323</v>
      </c>
      <c r="F56" t="s">
        <v>370</v>
      </c>
      <c r="G56">
        <v>6.3</v>
      </c>
      <c r="H56">
        <v>6.3</v>
      </c>
      <c r="I56" t="s">
        <v>351</v>
      </c>
      <c r="O56" t="s">
        <v>352</v>
      </c>
      <c r="Q56" t="s">
        <v>352</v>
      </c>
      <c r="R56" t="s">
        <v>366</v>
      </c>
      <c r="T56" t="s">
        <v>354</v>
      </c>
      <c r="U56" t="s">
        <v>355</v>
      </c>
      <c r="V56" t="s">
        <v>367</v>
      </c>
      <c r="W56" t="s">
        <v>368</v>
      </c>
      <c r="X56">
        <v>2097343</v>
      </c>
      <c r="Y56" s="2">
        <v>45323</v>
      </c>
      <c r="Z56" t="s">
        <v>352</v>
      </c>
      <c r="AA56">
        <v>8</v>
      </c>
      <c r="AB56" t="s">
        <v>352</v>
      </c>
      <c r="AD56" t="s">
        <v>352</v>
      </c>
      <c r="AE56" t="s">
        <v>352</v>
      </c>
      <c r="AF56" t="s">
        <v>352</v>
      </c>
      <c r="AG56">
        <v>19</v>
      </c>
      <c r="AH56" t="s">
        <v>352</v>
      </c>
      <c r="AL56" t="s">
        <v>352</v>
      </c>
      <c r="AM56" s="2">
        <v>45323</v>
      </c>
      <c r="AN56" t="s">
        <v>371</v>
      </c>
      <c r="AO56" t="s">
        <v>359</v>
      </c>
      <c r="AP56">
        <v>1204</v>
      </c>
      <c r="AQ56" t="s">
        <v>360</v>
      </c>
      <c r="AR56">
        <v>91011</v>
      </c>
      <c r="AU56" t="s">
        <v>352</v>
      </c>
      <c r="AV56" t="s">
        <v>362</v>
      </c>
      <c r="AX56" t="s">
        <v>352</v>
      </c>
      <c r="AY56">
        <v>631110</v>
      </c>
      <c r="AZ56">
        <v>1204.63111</v>
      </c>
      <c r="BA56" s="54" t="s">
        <v>323</v>
      </c>
    </row>
    <row r="57" spans="1:53">
      <c r="A57" t="s">
        <v>363</v>
      </c>
      <c r="B57" t="s">
        <v>364</v>
      </c>
      <c r="C57">
        <v>24001126</v>
      </c>
      <c r="D57">
        <v>1204</v>
      </c>
      <c r="E57" s="2">
        <v>45323</v>
      </c>
      <c r="F57" t="s">
        <v>370</v>
      </c>
      <c r="G57">
        <v>0.89</v>
      </c>
      <c r="H57">
        <v>0.89</v>
      </c>
      <c r="I57" t="s">
        <v>351</v>
      </c>
      <c r="O57" t="s">
        <v>352</v>
      </c>
      <c r="Q57" t="s">
        <v>352</v>
      </c>
      <c r="R57" t="s">
        <v>366</v>
      </c>
      <c r="T57" t="s">
        <v>354</v>
      </c>
      <c r="U57" t="s">
        <v>355</v>
      </c>
      <c r="V57" t="s">
        <v>367</v>
      </c>
      <c r="W57" t="s">
        <v>368</v>
      </c>
      <c r="X57">
        <v>2097343</v>
      </c>
      <c r="Y57" s="2">
        <v>45323</v>
      </c>
      <c r="Z57" t="s">
        <v>352</v>
      </c>
      <c r="AA57">
        <v>10</v>
      </c>
      <c r="AB57" t="s">
        <v>352</v>
      </c>
      <c r="AD57" t="s">
        <v>352</v>
      </c>
      <c r="AE57" t="s">
        <v>352</v>
      </c>
      <c r="AF57" t="s">
        <v>352</v>
      </c>
      <c r="AG57">
        <v>6</v>
      </c>
      <c r="AH57" t="s">
        <v>352</v>
      </c>
      <c r="AL57" t="s">
        <v>352</v>
      </c>
      <c r="AM57" s="2">
        <v>45323</v>
      </c>
      <c r="AN57" t="s">
        <v>371</v>
      </c>
      <c r="AO57" t="s">
        <v>359</v>
      </c>
      <c r="AP57">
        <v>1204</v>
      </c>
      <c r="AQ57" t="s">
        <v>360</v>
      </c>
      <c r="AR57">
        <v>144854</v>
      </c>
      <c r="AU57" t="s">
        <v>352</v>
      </c>
      <c r="AV57" t="s">
        <v>362</v>
      </c>
      <c r="AX57" t="s">
        <v>352</v>
      </c>
      <c r="AY57">
        <v>631110</v>
      </c>
      <c r="AZ57">
        <v>1204.63111</v>
      </c>
      <c r="BA57" s="54" t="s">
        <v>323</v>
      </c>
    </row>
    <row r="58" spans="1:53">
      <c r="A58" t="s">
        <v>363</v>
      </c>
      <c r="B58" t="s">
        <v>364</v>
      </c>
      <c r="C58">
        <v>24001127</v>
      </c>
      <c r="D58">
        <v>1204</v>
      </c>
      <c r="E58" s="2">
        <v>45324</v>
      </c>
      <c r="F58" t="s">
        <v>365</v>
      </c>
      <c r="G58">
        <v>13.67</v>
      </c>
      <c r="H58">
        <v>13.67</v>
      </c>
      <c r="I58" t="s">
        <v>351</v>
      </c>
      <c r="O58" t="s">
        <v>352</v>
      </c>
      <c r="Q58" t="s">
        <v>352</v>
      </c>
      <c r="R58" t="s">
        <v>366</v>
      </c>
      <c r="T58" t="s">
        <v>354</v>
      </c>
      <c r="U58" t="s">
        <v>355</v>
      </c>
      <c r="V58" t="s">
        <v>367</v>
      </c>
      <c r="W58" t="s">
        <v>368</v>
      </c>
      <c r="X58">
        <v>2097352</v>
      </c>
      <c r="Y58" s="2">
        <v>45324</v>
      </c>
      <c r="Z58" t="s">
        <v>352</v>
      </c>
      <c r="AA58">
        <v>2</v>
      </c>
      <c r="AB58" t="s">
        <v>352</v>
      </c>
      <c r="AD58" t="s">
        <v>352</v>
      </c>
      <c r="AE58" t="s">
        <v>352</v>
      </c>
      <c r="AF58" t="s">
        <v>352</v>
      </c>
      <c r="AG58">
        <v>1</v>
      </c>
      <c r="AH58" t="s">
        <v>352</v>
      </c>
      <c r="AL58" t="s">
        <v>352</v>
      </c>
      <c r="AM58" s="2">
        <v>45324</v>
      </c>
      <c r="AN58" t="s">
        <v>358</v>
      </c>
      <c r="AO58" t="s">
        <v>359</v>
      </c>
      <c r="AP58">
        <v>1204</v>
      </c>
      <c r="AQ58" t="s">
        <v>360</v>
      </c>
      <c r="AR58">
        <v>96021</v>
      </c>
      <c r="AU58" t="s">
        <v>352</v>
      </c>
      <c r="AV58" t="s">
        <v>362</v>
      </c>
      <c r="AX58" t="s">
        <v>352</v>
      </c>
      <c r="AY58">
        <v>631110</v>
      </c>
      <c r="AZ58">
        <v>1204.63111</v>
      </c>
      <c r="BA58" s="54" t="s">
        <v>323</v>
      </c>
    </row>
    <row r="59" spans="1:53">
      <c r="A59" t="s">
        <v>363</v>
      </c>
      <c r="B59" t="s">
        <v>364</v>
      </c>
      <c r="C59">
        <v>24001127</v>
      </c>
      <c r="D59">
        <v>1204</v>
      </c>
      <c r="E59" s="2">
        <v>45324</v>
      </c>
      <c r="F59" t="s">
        <v>365</v>
      </c>
      <c r="G59">
        <v>3.65</v>
      </c>
      <c r="H59">
        <v>3.65</v>
      </c>
      <c r="I59" t="s">
        <v>351</v>
      </c>
      <c r="O59" t="s">
        <v>352</v>
      </c>
      <c r="Q59" t="s">
        <v>352</v>
      </c>
      <c r="R59" t="s">
        <v>366</v>
      </c>
      <c r="T59" t="s">
        <v>354</v>
      </c>
      <c r="U59" t="s">
        <v>355</v>
      </c>
      <c r="V59" t="s">
        <v>367</v>
      </c>
      <c r="W59" t="s">
        <v>368</v>
      </c>
      <c r="X59">
        <v>2097352</v>
      </c>
      <c r="Y59" s="2">
        <v>45324</v>
      </c>
      <c r="Z59" t="s">
        <v>352</v>
      </c>
      <c r="AA59">
        <v>4</v>
      </c>
      <c r="AB59" t="s">
        <v>352</v>
      </c>
      <c r="AD59" t="s">
        <v>352</v>
      </c>
      <c r="AE59" t="s">
        <v>352</v>
      </c>
      <c r="AF59" t="s">
        <v>352</v>
      </c>
      <c r="AG59">
        <v>1</v>
      </c>
      <c r="AH59" t="s">
        <v>352</v>
      </c>
      <c r="AL59" t="s">
        <v>352</v>
      </c>
      <c r="AM59" s="2">
        <v>45324</v>
      </c>
      <c r="AN59" t="s">
        <v>358</v>
      </c>
      <c r="AO59" t="s">
        <v>359</v>
      </c>
      <c r="AP59">
        <v>1204</v>
      </c>
      <c r="AQ59" t="s">
        <v>360</v>
      </c>
      <c r="AR59">
        <v>220122</v>
      </c>
      <c r="AU59" t="s">
        <v>352</v>
      </c>
      <c r="AV59" t="s">
        <v>362</v>
      </c>
      <c r="AX59" t="s">
        <v>352</v>
      </c>
      <c r="AY59">
        <v>631110</v>
      </c>
      <c r="AZ59">
        <v>1204.63111</v>
      </c>
      <c r="BA59" s="54" t="s">
        <v>323</v>
      </c>
    </row>
    <row r="60" spans="1:53">
      <c r="A60" t="s">
        <v>363</v>
      </c>
      <c r="B60" t="s">
        <v>364</v>
      </c>
      <c r="C60">
        <v>24001127</v>
      </c>
      <c r="D60">
        <v>1204</v>
      </c>
      <c r="E60" s="2">
        <v>45324</v>
      </c>
      <c r="F60" t="s">
        <v>365</v>
      </c>
      <c r="G60">
        <v>0.5</v>
      </c>
      <c r="H60">
        <v>0.5</v>
      </c>
      <c r="I60" t="s">
        <v>351</v>
      </c>
      <c r="O60" t="s">
        <v>352</v>
      </c>
      <c r="Q60" t="s">
        <v>352</v>
      </c>
      <c r="R60" t="s">
        <v>366</v>
      </c>
      <c r="T60" t="s">
        <v>354</v>
      </c>
      <c r="U60" t="s">
        <v>355</v>
      </c>
      <c r="V60" t="s">
        <v>367</v>
      </c>
      <c r="W60" t="s">
        <v>368</v>
      </c>
      <c r="X60">
        <v>2097352</v>
      </c>
      <c r="Y60" s="2">
        <v>45324</v>
      </c>
      <c r="Z60" t="s">
        <v>352</v>
      </c>
      <c r="AA60">
        <v>6</v>
      </c>
      <c r="AB60" t="s">
        <v>352</v>
      </c>
      <c r="AD60" t="s">
        <v>352</v>
      </c>
      <c r="AE60" t="s">
        <v>352</v>
      </c>
      <c r="AF60" t="s">
        <v>352</v>
      </c>
      <c r="AG60">
        <v>1</v>
      </c>
      <c r="AH60" t="s">
        <v>352</v>
      </c>
      <c r="AL60" t="s">
        <v>352</v>
      </c>
      <c r="AM60" s="2">
        <v>45324</v>
      </c>
      <c r="AN60" t="s">
        <v>358</v>
      </c>
      <c r="AO60" t="s">
        <v>359</v>
      </c>
      <c r="AP60">
        <v>1204</v>
      </c>
      <c r="AQ60" t="s">
        <v>360</v>
      </c>
      <c r="AR60">
        <v>89777</v>
      </c>
      <c r="AU60" t="s">
        <v>352</v>
      </c>
      <c r="AV60" t="s">
        <v>362</v>
      </c>
      <c r="AX60" t="s">
        <v>352</v>
      </c>
      <c r="AY60">
        <v>631110</v>
      </c>
      <c r="AZ60">
        <v>1204.63111</v>
      </c>
      <c r="BA60" s="54" t="s">
        <v>323</v>
      </c>
    </row>
    <row r="61" spans="1:53">
      <c r="A61" t="s">
        <v>363</v>
      </c>
      <c r="B61" t="s">
        <v>364</v>
      </c>
      <c r="C61">
        <v>24001127</v>
      </c>
      <c r="D61">
        <v>1204</v>
      </c>
      <c r="E61" s="2">
        <v>45324</v>
      </c>
      <c r="F61" t="s">
        <v>365</v>
      </c>
      <c r="G61">
        <v>43.32</v>
      </c>
      <c r="H61">
        <v>43.32</v>
      </c>
      <c r="I61" t="s">
        <v>351</v>
      </c>
      <c r="O61" t="s">
        <v>352</v>
      </c>
      <c r="Q61" t="s">
        <v>352</v>
      </c>
      <c r="R61" t="s">
        <v>366</v>
      </c>
      <c r="T61" t="s">
        <v>354</v>
      </c>
      <c r="U61" t="s">
        <v>355</v>
      </c>
      <c r="V61" t="s">
        <v>367</v>
      </c>
      <c r="W61" t="s">
        <v>368</v>
      </c>
      <c r="X61">
        <v>2097352</v>
      </c>
      <c r="Y61" s="2">
        <v>45324</v>
      </c>
      <c r="Z61" t="s">
        <v>352</v>
      </c>
      <c r="AA61">
        <v>8</v>
      </c>
      <c r="AB61" t="s">
        <v>352</v>
      </c>
      <c r="AD61" t="s">
        <v>352</v>
      </c>
      <c r="AE61" t="s">
        <v>352</v>
      </c>
      <c r="AF61" t="s">
        <v>352</v>
      </c>
      <c r="AG61">
        <v>1</v>
      </c>
      <c r="AH61" t="s">
        <v>352</v>
      </c>
      <c r="AL61" t="s">
        <v>352</v>
      </c>
      <c r="AM61" s="2">
        <v>45324</v>
      </c>
      <c r="AN61" t="s">
        <v>358</v>
      </c>
      <c r="AO61" t="s">
        <v>359</v>
      </c>
      <c r="AP61">
        <v>1204</v>
      </c>
      <c r="AQ61" t="s">
        <v>360</v>
      </c>
      <c r="AR61">
        <v>271534</v>
      </c>
      <c r="AU61" t="s">
        <v>352</v>
      </c>
      <c r="AV61" t="s">
        <v>362</v>
      </c>
      <c r="AX61" t="s">
        <v>352</v>
      </c>
      <c r="AY61">
        <v>631110</v>
      </c>
      <c r="AZ61">
        <v>1204.63111</v>
      </c>
      <c r="BA61" s="54" t="s">
        <v>323</v>
      </c>
    </row>
    <row r="62" spans="1:53">
      <c r="A62" t="s">
        <v>363</v>
      </c>
      <c r="B62" t="s">
        <v>364</v>
      </c>
      <c r="C62">
        <v>24001127</v>
      </c>
      <c r="D62">
        <v>1204</v>
      </c>
      <c r="E62" s="2">
        <v>45324</v>
      </c>
      <c r="F62" t="s">
        <v>365</v>
      </c>
      <c r="G62">
        <v>12.9</v>
      </c>
      <c r="H62">
        <v>12.9</v>
      </c>
      <c r="I62" t="s">
        <v>351</v>
      </c>
      <c r="O62" t="s">
        <v>352</v>
      </c>
      <c r="Q62" t="s">
        <v>352</v>
      </c>
      <c r="R62" t="s">
        <v>366</v>
      </c>
      <c r="T62" t="s">
        <v>354</v>
      </c>
      <c r="U62" t="s">
        <v>355</v>
      </c>
      <c r="V62" t="s">
        <v>367</v>
      </c>
      <c r="W62" t="s">
        <v>368</v>
      </c>
      <c r="X62">
        <v>2097352</v>
      </c>
      <c r="Y62" s="2">
        <v>45324</v>
      </c>
      <c r="Z62" t="s">
        <v>352</v>
      </c>
      <c r="AA62">
        <v>10</v>
      </c>
      <c r="AB62" t="s">
        <v>352</v>
      </c>
      <c r="AD62" t="s">
        <v>352</v>
      </c>
      <c r="AE62" t="s">
        <v>352</v>
      </c>
      <c r="AF62" t="s">
        <v>352</v>
      </c>
      <c r="AG62">
        <v>1</v>
      </c>
      <c r="AH62" t="s">
        <v>352</v>
      </c>
      <c r="AL62" t="s">
        <v>352</v>
      </c>
      <c r="AM62" s="2">
        <v>45324</v>
      </c>
      <c r="AN62" t="s">
        <v>358</v>
      </c>
      <c r="AO62" t="s">
        <v>359</v>
      </c>
      <c r="AP62">
        <v>1204</v>
      </c>
      <c r="AQ62" t="s">
        <v>360</v>
      </c>
      <c r="AR62">
        <v>96021</v>
      </c>
      <c r="AU62" t="s">
        <v>352</v>
      </c>
      <c r="AV62" t="s">
        <v>362</v>
      </c>
      <c r="AX62" t="s">
        <v>352</v>
      </c>
      <c r="AY62">
        <v>631110</v>
      </c>
      <c r="AZ62">
        <v>1204.63111</v>
      </c>
      <c r="BA62" s="54" t="s">
        <v>323</v>
      </c>
    </row>
    <row r="63" spans="1:53">
      <c r="A63" t="s">
        <v>363</v>
      </c>
      <c r="B63" t="s">
        <v>364</v>
      </c>
      <c r="C63">
        <v>24001127</v>
      </c>
      <c r="D63">
        <v>1204</v>
      </c>
      <c r="E63" s="2">
        <v>45324</v>
      </c>
      <c r="F63" t="s">
        <v>365</v>
      </c>
      <c r="G63">
        <v>13.56</v>
      </c>
      <c r="H63">
        <v>13.56</v>
      </c>
      <c r="I63" t="s">
        <v>351</v>
      </c>
      <c r="O63" t="s">
        <v>352</v>
      </c>
      <c r="Q63" t="s">
        <v>352</v>
      </c>
      <c r="R63" t="s">
        <v>366</v>
      </c>
      <c r="T63" t="s">
        <v>354</v>
      </c>
      <c r="U63" t="s">
        <v>355</v>
      </c>
      <c r="V63" t="s">
        <v>367</v>
      </c>
      <c r="W63" t="s">
        <v>368</v>
      </c>
      <c r="X63">
        <v>2097352</v>
      </c>
      <c r="Y63" s="2">
        <v>45324</v>
      </c>
      <c r="Z63" t="s">
        <v>352</v>
      </c>
      <c r="AA63">
        <v>12</v>
      </c>
      <c r="AB63" t="s">
        <v>352</v>
      </c>
      <c r="AD63" t="s">
        <v>352</v>
      </c>
      <c r="AE63" t="s">
        <v>352</v>
      </c>
      <c r="AF63" t="s">
        <v>352</v>
      </c>
      <c r="AG63">
        <v>1</v>
      </c>
      <c r="AH63" t="s">
        <v>352</v>
      </c>
      <c r="AL63" t="s">
        <v>352</v>
      </c>
      <c r="AM63" s="2">
        <v>45324</v>
      </c>
      <c r="AN63" t="s">
        <v>358</v>
      </c>
      <c r="AO63" t="s">
        <v>359</v>
      </c>
      <c r="AP63">
        <v>1204</v>
      </c>
      <c r="AQ63" t="s">
        <v>360</v>
      </c>
      <c r="AR63">
        <v>109060</v>
      </c>
      <c r="AU63" t="s">
        <v>352</v>
      </c>
      <c r="AV63" t="s">
        <v>362</v>
      </c>
      <c r="AX63" t="s">
        <v>352</v>
      </c>
      <c r="AY63">
        <v>631110</v>
      </c>
      <c r="AZ63">
        <v>1204.63111</v>
      </c>
      <c r="BA63" s="54" t="s">
        <v>323</v>
      </c>
    </row>
    <row r="64" spans="1:53">
      <c r="A64" t="s">
        <v>363</v>
      </c>
      <c r="B64" t="s">
        <v>364</v>
      </c>
      <c r="C64">
        <v>24001127</v>
      </c>
      <c r="D64">
        <v>1204</v>
      </c>
      <c r="E64" s="2">
        <v>45324</v>
      </c>
      <c r="F64" t="s">
        <v>365</v>
      </c>
      <c r="G64">
        <v>12.9</v>
      </c>
      <c r="H64">
        <v>12.9</v>
      </c>
      <c r="I64" t="s">
        <v>351</v>
      </c>
      <c r="O64" t="s">
        <v>352</v>
      </c>
      <c r="Q64" t="s">
        <v>352</v>
      </c>
      <c r="R64" t="s">
        <v>366</v>
      </c>
      <c r="T64" t="s">
        <v>354</v>
      </c>
      <c r="U64" t="s">
        <v>355</v>
      </c>
      <c r="V64" t="s">
        <v>367</v>
      </c>
      <c r="W64" t="s">
        <v>368</v>
      </c>
      <c r="X64">
        <v>2097352</v>
      </c>
      <c r="Y64" s="2">
        <v>45324</v>
      </c>
      <c r="Z64" t="s">
        <v>352</v>
      </c>
      <c r="AA64">
        <v>14</v>
      </c>
      <c r="AB64" t="s">
        <v>352</v>
      </c>
      <c r="AD64" t="s">
        <v>352</v>
      </c>
      <c r="AE64" t="s">
        <v>352</v>
      </c>
      <c r="AF64" t="s">
        <v>352</v>
      </c>
      <c r="AG64">
        <v>1</v>
      </c>
      <c r="AH64" t="s">
        <v>352</v>
      </c>
      <c r="AL64" t="s">
        <v>352</v>
      </c>
      <c r="AM64" s="2">
        <v>45324</v>
      </c>
      <c r="AN64" t="s">
        <v>358</v>
      </c>
      <c r="AO64" t="s">
        <v>359</v>
      </c>
      <c r="AP64">
        <v>1204</v>
      </c>
      <c r="AQ64" t="s">
        <v>360</v>
      </c>
      <c r="AR64">
        <v>96021</v>
      </c>
      <c r="AU64" t="s">
        <v>352</v>
      </c>
      <c r="AV64" t="s">
        <v>362</v>
      </c>
      <c r="AX64" t="s">
        <v>352</v>
      </c>
      <c r="AY64">
        <v>631110</v>
      </c>
      <c r="AZ64">
        <v>1204.63111</v>
      </c>
      <c r="BA64" s="54" t="s">
        <v>323</v>
      </c>
    </row>
    <row r="65" spans="1:53">
      <c r="A65" t="s">
        <v>363</v>
      </c>
      <c r="B65" t="s">
        <v>364</v>
      </c>
      <c r="C65">
        <v>24001127</v>
      </c>
      <c r="D65">
        <v>1204</v>
      </c>
      <c r="E65" s="2">
        <v>45324</v>
      </c>
      <c r="F65" t="s">
        <v>365</v>
      </c>
      <c r="G65">
        <v>6.57</v>
      </c>
      <c r="H65">
        <v>6.57</v>
      </c>
      <c r="I65" t="s">
        <v>351</v>
      </c>
      <c r="O65" t="s">
        <v>352</v>
      </c>
      <c r="Q65" t="s">
        <v>352</v>
      </c>
      <c r="R65" t="s">
        <v>366</v>
      </c>
      <c r="T65" t="s">
        <v>354</v>
      </c>
      <c r="U65" t="s">
        <v>355</v>
      </c>
      <c r="V65" t="s">
        <v>367</v>
      </c>
      <c r="W65" t="s">
        <v>368</v>
      </c>
      <c r="X65">
        <v>2097352</v>
      </c>
      <c r="Y65" s="2">
        <v>45324</v>
      </c>
      <c r="Z65" t="s">
        <v>352</v>
      </c>
      <c r="AA65">
        <v>16</v>
      </c>
      <c r="AB65" t="s">
        <v>352</v>
      </c>
      <c r="AD65" t="s">
        <v>352</v>
      </c>
      <c r="AE65" t="s">
        <v>352</v>
      </c>
      <c r="AF65" t="s">
        <v>352</v>
      </c>
      <c r="AG65">
        <v>1</v>
      </c>
      <c r="AH65" t="s">
        <v>352</v>
      </c>
      <c r="AL65" t="s">
        <v>352</v>
      </c>
      <c r="AM65" s="2">
        <v>45324</v>
      </c>
      <c r="AN65" t="s">
        <v>358</v>
      </c>
      <c r="AO65" t="s">
        <v>359</v>
      </c>
      <c r="AP65">
        <v>1204</v>
      </c>
      <c r="AQ65" t="s">
        <v>360</v>
      </c>
      <c r="AR65">
        <v>262681</v>
      </c>
      <c r="AU65" t="s">
        <v>352</v>
      </c>
      <c r="AV65" t="s">
        <v>362</v>
      </c>
      <c r="AX65" t="s">
        <v>352</v>
      </c>
      <c r="AY65">
        <v>631110</v>
      </c>
      <c r="AZ65">
        <v>1204.63111</v>
      </c>
      <c r="BA65" s="54" t="s">
        <v>323</v>
      </c>
    </row>
    <row r="66" spans="1:53">
      <c r="A66" t="s">
        <v>363</v>
      </c>
      <c r="B66" t="s">
        <v>364</v>
      </c>
      <c r="C66">
        <v>24001127</v>
      </c>
      <c r="D66">
        <v>1204</v>
      </c>
      <c r="E66" s="2">
        <v>45324</v>
      </c>
      <c r="F66" t="s">
        <v>365</v>
      </c>
      <c r="G66">
        <v>23.33</v>
      </c>
      <c r="H66">
        <v>23.33</v>
      </c>
      <c r="I66" t="s">
        <v>351</v>
      </c>
      <c r="O66" t="s">
        <v>352</v>
      </c>
      <c r="Q66" t="s">
        <v>352</v>
      </c>
      <c r="R66" t="s">
        <v>366</v>
      </c>
      <c r="T66" t="s">
        <v>354</v>
      </c>
      <c r="U66" t="s">
        <v>355</v>
      </c>
      <c r="V66" t="s">
        <v>367</v>
      </c>
      <c r="W66" t="s">
        <v>368</v>
      </c>
      <c r="X66">
        <v>2097352</v>
      </c>
      <c r="Y66" s="2">
        <v>45324</v>
      </c>
      <c r="Z66" t="s">
        <v>352</v>
      </c>
      <c r="AA66">
        <v>18</v>
      </c>
      <c r="AB66" t="s">
        <v>352</v>
      </c>
      <c r="AD66" t="s">
        <v>352</v>
      </c>
      <c r="AE66" t="s">
        <v>352</v>
      </c>
      <c r="AF66" t="s">
        <v>352</v>
      </c>
      <c r="AG66">
        <v>1</v>
      </c>
      <c r="AH66" t="s">
        <v>352</v>
      </c>
      <c r="AL66" t="s">
        <v>352</v>
      </c>
      <c r="AM66" s="2">
        <v>45324</v>
      </c>
      <c r="AN66" t="s">
        <v>358</v>
      </c>
      <c r="AO66" t="s">
        <v>359</v>
      </c>
      <c r="AP66">
        <v>1204</v>
      </c>
      <c r="AQ66" t="s">
        <v>360</v>
      </c>
      <c r="AR66">
        <v>96020</v>
      </c>
      <c r="AU66" t="s">
        <v>352</v>
      </c>
      <c r="AV66" t="s">
        <v>362</v>
      </c>
      <c r="AX66" t="s">
        <v>352</v>
      </c>
      <c r="AY66">
        <v>631110</v>
      </c>
      <c r="AZ66">
        <v>1204.63111</v>
      </c>
      <c r="BA66" s="54" t="s">
        <v>323</v>
      </c>
    </row>
    <row r="67" spans="1:53">
      <c r="A67" t="s">
        <v>363</v>
      </c>
      <c r="B67" t="s">
        <v>364</v>
      </c>
      <c r="C67">
        <v>24001127</v>
      </c>
      <c r="D67">
        <v>1204</v>
      </c>
      <c r="E67" s="2">
        <v>45324</v>
      </c>
      <c r="F67" t="s">
        <v>365</v>
      </c>
      <c r="G67">
        <v>0.64</v>
      </c>
      <c r="H67">
        <v>0.64</v>
      </c>
      <c r="I67" t="s">
        <v>351</v>
      </c>
      <c r="O67" t="s">
        <v>352</v>
      </c>
      <c r="Q67" t="s">
        <v>352</v>
      </c>
      <c r="R67" t="s">
        <v>366</v>
      </c>
      <c r="T67" t="s">
        <v>354</v>
      </c>
      <c r="U67" t="s">
        <v>355</v>
      </c>
      <c r="V67" t="s">
        <v>367</v>
      </c>
      <c r="W67" t="s">
        <v>368</v>
      </c>
      <c r="X67">
        <v>2097352</v>
      </c>
      <c r="Y67" s="2">
        <v>45324</v>
      </c>
      <c r="Z67" t="s">
        <v>352</v>
      </c>
      <c r="AA67">
        <v>20</v>
      </c>
      <c r="AB67" t="s">
        <v>352</v>
      </c>
      <c r="AD67" t="s">
        <v>352</v>
      </c>
      <c r="AE67" t="s">
        <v>352</v>
      </c>
      <c r="AF67" t="s">
        <v>352</v>
      </c>
      <c r="AG67">
        <v>1</v>
      </c>
      <c r="AH67" t="s">
        <v>352</v>
      </c>
      <c r="AL67" t="s">
        <v>352</v>
      </c>
      <c r="AM67" s="2">
        <v>45324</v>
      </c>
      <c r="AN67" t="s">
        <v>358</v>
      </c>
      <c r="AO67" t="s">
        <v>359</v>
      </c>
      <c r="AP67">
        <v>1204</v>
      </c>
      <c r="AQ67" t="s">
        <v>360</v>
      </c>
      <c r="AR67">
        <v>270706</v>
      </c>
      <c r="AU67" t="s">
        <v>352</v>
      </c>
      <c r="AV67" t="s">
        <v>362</v>
      </c>
      <c r="AX67" t="s">
        <v>352</v>
      </c>
      <c r="AY67">
        <v>631110</v>
      </c>
      <c r="AZ67">
        <v>1204.63111</v>
      </c>
      <c r="BA67" s="54" t="s">
        <v>323</v>
      </c>
    </row>
    <row r="68" spans="1:53">
      <c r="A68" t="s">
        <v>363</v>
      </c>
      <c r="B68" t="s">
        <v>364</v>
      </c>
      <c r="C68">
        <v>24001127</v>
      </c>
      <c r="D68">
        <v>1204</v>
      </c>
      <c r="E68" s="2">
        <v>45324</v>
      </c>
      <c r="F68" t="s">
        <v>365</v>
      </c>
      <c r="G68">
        <v>40.26</v>
      </c>
      <c r="H68">
        <v>40.26</v>
      </c>
      <c r="I68" t="s">
        <v>351</v>
      </c>
      <c r="O68" t="s">
        <v>352</v>
      </c>
      <c r="Q68" t="s">
        <v>352</v>
      </c>
      <c r="R68" t="s">
        <v>366</v>
      </c>
      <c r="T68" t="s">
        <v>354</v>
      </c>
      <c r="U68" t="s">
        <v>355</v>
      </c>
      <c r="V68" t="s">
        <v>367</v>
      </c>
      <c r="W68" t="s">
        <v>368</v>
      </c>
      <c r="X68">
        <v>2097352</v>
      </c>
      <c r="Y68" s="2">
        <v>45324</v>
      </c>
      <c r="Z68" t="s">
        <v>352</v>
      </c>
      <c r="AA68">
        <v>22</v>
      </c>
      <c r="AB68" t="s">
        <v>352</v>
      </c>
      <c r="AD68" t="s">
        <v>352</v>
      </c>
      <c r="AE68" t="s">
        <v>352</v>
      </c>
      <c r="AF68" t="s">
        <v>352</v>
      </c>
      <c r="AG68">
        <v>1</v>
      </c>
      <c r="AH68" t="s">
        <v>352</v>
      </c>
      <c r="AL68" t="s">
        <v>352</v>
      </c>
      <c r="AM68" s="2">
        <v>45324</v>
      </c>
      <c r="AN68" t="s">
        <v>358</v>
      </c>
      <c r="AO68" t="s">
        <v>359</v>
      </c>
      <c r="AP68">
        <v>1204</v>
      </c>
      <c r="AQ68" t="s">
        <v>360</v>
      </c>
      <c r="AR68">
        <v>90236</v>
      </c>
      <c r="AU68" t="s">
        <v>352</v>
      </c>
      <c r="AV68" t="s">
        <v>362</v>
      </c>
      <c r="AX68" t="s">
        <v>352</v>
      </c>
      <c r="AY68">
        <v>631110</v>
      </c>
      <c r="AZ68">
        <v>1204.63111</v>
      </c>
      <c r="BA68" s="54" t="s">
        <v>323</v>
      </c>
    </row>
    <row r="69" spans="1:53">
      <c r="A69" t="s">
        <v>363</v>
      </c>
      <c r="B69" t="s">
        <v>364</v>
      </c>
      <c r="C69">
        <v>24001128</v>
      </c>
      <c r="D69">
        <v>1204</v>
      </c>
      <c r="E69" s="2">
        <v>45324</v>
      </c>
      <c r="F69" t="s">
        <v>370</v>
      </c>
      <c r="G69">
        <v>0.94</v>
      </c>
      <c r="H69">
        <v>0.94</v>
      </c>
      <c r="I69" t="s">
        <v>351</v>
      </c>
      <c r="O69" t="s">
        <v>352</v>
      </c>
      <c r="Q69" t="s">
        <v>352</v>
      </c>
      <c r="R69" t="s">
        <v>366</v>
      </c>
      <c r="T69" t="s">
        <v>354</v>
      </c>
      <c r="U69" t="s">
        <v>355</v>
      </c>
      <c r="V69" t="s">
        <v>367</v>
      </c>
      <c r="W69" t="s">
        <v>368</v>
      </c>
      <c r="X69">
        <v>2097759</v>
      </c>
      <c r="Y69" s="2">
        <v>45324</v>
      </c>
      <c r="Z69" t="s">
        <v>352</v>
      </c>
      <c r="AA69">
        <v>2</v>
      </c>
      <c r="AB69" t="s">
        <v>352</v>
      </c>
      <c r="AD69" t="s">
        <v>352</v>
      </c>
      <c r="AE69" t="s">
        <v>352</v>
      </c>
      <c r="AF69" t="s">
        <v>352</v>
      </c>
      <c r="AG69">
        <v>13</v>
      </c>
      <c r="AH69" t="s">
        <v>352</v>
      </c>
      <c r="AL69" t="s">
        <v>352</v>
      </c>
      <c r="AM69" s="2">
        <v>45324</v>
      </c>
      <c r="AN69" t="s">
        <v>371</v>
      </c>
      <c r="AO69" t="s">
        <v>359</v>
      </c>
      <c r="AP69">
        <v>1204</v>
      </c>
      <c r="AQ69" t="s">
        <v>360</v>
      </c>
      <c r="AR69">
        <v>264585</v>
      </c>
      <c r="AU69" t="s">
        <v>352</v>
      </c>
      <c r="AV69" t="s">
        <v>362</v>
      </c>
      <c r="AX69" t="s">
        <v>352</v>
      </c>
      <c r="AY69">
        <v>631110</v>
      </c>
      <c r="AZ69">
        <v>1204.63111</v>
      </c>
      <c r="BA69" s="54" t="s">
        <v>323</v>
      </c>
    </row>
    <row r="70" spans="1:53">
      <c r="A70" t="s">
        <v>363</v>
      </c>
      <c r="B70" t="s">
        <v>364</v>
      </c>
      <c r="C70">
        <v>24001128</v>
      </c>
      <c r="D70">
        <v>1204</v>
      </c>
      <c r="E70" s="2">
        <v>45324</v>
      </c>
      <c r="F70" t="s">
        <v>370</v>
      </c>
      <c r="G70">
        <v>0.2</v>
      </c>
      <c r="H70">
        <v>0.2</v>
      </c>
      <c r="I70" t="s">
        <v>351</v>
      </c>
      <c r="O70" t="s">
        <v>352</v>
      </c>
      <c r="Q70" t="s">
        <v>352</v>
      </c>
      <c r="R70" t="s">
        <v>366</v>
      </c>
      <c r="T70" t="s">
        <v>354</v>
      </c>
      <c r="U70" t="s">
        <v>355</v>
      </c>
      <c r="V70" t="s">
        <v>367</v>
      </c>
      <c r="W70" t="s">
        <v>368</v>
      </c>
      <c r="X70">
        <v>2097759</v>
      </c>
      <c r="Y70" s="2">
        <v>45324</v>
      </c>
      <c r="Z70" t="s">
        <v>352</v>
      </c>
      <c r="AA70">
        <v>4</v>
      </c>
      <c r="AB70" t="s">
        <v>352</v>
      </c>
      <c r="AD70" t="s">
        <v>352</v>
      </c>
      <c r="AE70" t="s">
        <v>352</v>
      </c>
      <c r="AF70" t="s">
        <v>352</v>
      </c>
      <c r="AG70">
        <v>1</v>
      </c>
      <c r="AH70" t="s">
        <v>352</v>
      </c>
      <c r="AL70" t="s">
        <v>352</v>
      </c>
      <c r="AM70" s="2">
        <v>45324</v>
      </c>
      <c r="AN70" t="s">
        <v>371</v>
      </c>
      <c r="AO70" t="s">
        <v>359</v>
      </c>
      <c r="AP70">
        <v>1204</v>
      </c>
      <c r="AQ70" t="s">
        <v>360</v>
      </c>
      <c r="AR70">
        <v>89727</v>
      </c>
      <c r="AU70" t="s">
        <v>352</v>
      </c>
      <c r="AV70" t="s">
        <v>362</v>
      </c>
      <c r="AX70" t="s">
        <v>352</v>
      </c>
      <c r="AY70">
        <v>631110</v>
      </c>
      <c r="AZ70">
        <v>1204.63111</v>
      </c>
      <c r="BA70" s="54" t="s">
        <v>323</v>
      </c>
    </row>
    <row r="71" spans="1:53">
      <c r="A71" t="s">
        <v>363</v>
      </c>
      <c r="B71" t="s">
        <v>364</v>
      </c>
      <c r="C71">
        <v>24001128</v>
      </c>
      <c r="D71">
        <v>1204</v>
      </c>
      <c r="E71" s="2">
        <v>45324</v>
      </c>
      <c r="F71" t="s">
        <v>370</v>
      </c>
      <c r="G71">
        <v>2.98</v>
      </c>
      <c r="H71">
        <v>2.98</v>
      </c>
      <c r="I71" t="s">
        <v>351</v>
      </c>
      <c r="O71" t="s">
        <v>352</v>
      </c>
      <c r="Q71" t="s">
        <v>352</v>
      </c>
      <c r="R71" t="s">
        <v>366</v>
      </c>
      <c r="T71" t="s">
        <v>354</v>
      </c>
      <c r="U71" t="s">
        <v>355</v>
      </c>
      <c r="V71" t="s">
        <v>367</v>
      </c>
      <c r="W71" t="s">
        <v>368</v>
      </c>
      <c r="X71">
        <v>2097759</v>
      </c>
      <c r="Y71" s="2">
        <v>45324</v>
      </c>
      <c r="Z71" t="s">
        <v>352</v>
      </c>
      <c r="AA71">
        <v>6</v>
      </c>
      <c r="AB71" t="s">
        <v>352</v>
      </c>
      <c r="AD71" t="s">
        <v>352</v>
      </c>
      <c r="AE71" t="s">
        <v>352</v>
      </c>
      <c r="AF71" t="s">
        <v>352</v>
      </c>
      <c r="AG71">
        <v>19</v>
      </c>
      <c r="AH71" t="s">
        <v>352</v>
      </c>
      <c r="AL71" t="s">
        <v>352</v>
      </c>
      <c r="AM71" s="2">
        <v>45324</v>
      </c>
      <c r="AN71" t="s">
        <v>371</v>
      </c>
      <c r="AO71" t="s">
        <v>359</v>
      </c>
      <c r="AP71">
        <v>1204</v>
      </c>
      <c r="AQ71" t="s">
        <v>360</v>
      </c>
      <c r="AR71">
        <v>89712</v>
      </c>
      <c r="AU71" t="s">
        <v>352</v>
      </c>
      <c r="AV71" t="s">
        <v>362</v>
      </c>
      <c r="AX71" t="s">
        <v>352</v>
      </c>
      <c r="AY71">
        <v>631110</v>
      </c>
      <c r="AZ71">
        <v>1204.63111</v>
      </c>
      <c r="BA71" s="54" t="s">
        <v>323</v>
      </c>
    </row>
    <row r="72" spans="1:53">
      <c r="A72" t="s">
        <v>363</v>
      </c>
      <c r="B72" t="s">
        <v>364</v>
      </c>
      <c r="C72">
        <v>24001128</v>
      </c>
      <c r="D72">
        <v>1204</v>
      </c>
      <c r="E72" s="2">
        <v>45324</v>
      </c>
      <c r="F72" t="s">
        <v>370</v>
      </c>
      <c r="G72">
        <v>7.95</v>
      </c>
      <c r="H72">
        <v>7.95</v>
      </c>
      <c r="I72" t="s">
        <v>351</v>
      </c>
      <c r="O72" t="s">
        <v>352</v>
      </c>
      <c r="Q72" t="s">
        <v>352</v>
      </c>
      <c r="R72" t="s">
        <v>366</v>
      </c>
      <c r="T72" t="s">
        <v>354</v>
      </c>
      <c r="U72" t="s">
        <v>355</v>
      </c>
      <c r="V72" t="s">
        <v>367</v>
      </c>
      <c r="W72" t="s">
        <v>368</v>
      </c>
      <c r="X72">
        <v>2097759</v>
      </c>
      <c r="Y72" s="2">
        <v>45324</v>
      </c>
      <c r="Z72" t="s">
        <v>352</v>
      </c>
      <c r="AA72">
        <v>8</v>
      </c>
      <c r="AB72" t="s">
        <v>352</v>
      </c>
      <c r="AD72" t="s">
        <v>352</v>
      </c>
      <c r="AE72" t="s">
        <v>352</v>
      </c>
      <c r="AF72" t="s">
        <v>352</v>
      </c>
      <c r="AG72">
        <v>24</v>
      </c>
      <c r="AH72" t="s">
        <v>352</v>
      </c>
      <c r="AL72" t="s">
        <v>352</v>
      </c>
      <c r="AM72" s="2">
        <v>45324</v>
      </c>
      <c r="AN72" t="s">
        <v>371</v>
      </c>
      <c r="AO72" t="s">
        <v>359</v>
      </c>
      <c r="AP72">
        <v>1204</v>
      </c>
      <c r="AQ72" t="s">
        <v>360</v>
      </c>
      <c r="AR72">
        <v>91011</v>
      </c>
      <c r="AU72" t="s">
        <v>352</v>
      </c>
      <c r="AV72" t="s">
        <v>362</v>
      </c>
      <c r="AX72" t="s">
        <v>352</v>
      </c>
      <c r="AY72">
        <v>631110</v>
      </c>
      <c r="AZ72">
        <v>1204.63111</v>
      </c>
      <c r="BA72" s="54" t="s">
        <v>323</v>
      </c>
    </row>
    <row r="73" spans="1:53">
      <c r="A73" t="s">
        <v>363</v>
      </c>
      <c r="B73" t="s">
        <v>364</v>
      </c>
      <c r="C73">
        <v>24001128</v>
      </c>
      <c r="D73">
        <v>1204</v>
      </c>
      <c r="E73" s="2">
        <v>45324</v>
      </c>
      <c r="F73" t="s">
        <v>370</v>
      </c>
      <c r="G73">
        <v>0.89</v>
      </c>
      <c r="H73">
        <v>0.89</v>
      </c>
      <c r="I73" t="s">
        <v>351</v>
      </c>
      <c r="O73" t="s">
        <v>352</v>
      </c>
      <c r="Q73" t="s">
        <v>352</v>
      </c>
      <c r="R73" t="s">
        <v>366</v>
      </c>
      <c r="T73" t="s">
        <v>354</v>
      </c>
      <c r="U73" t="s">
        <v>355</v>
      </c>
      <c r="V73" t="s">
        <v>367</v>
      </c>
      <c r="W73" t="s">
        <v>368</v>
      </c>
      <c r="X73">
        <v>2097759</v>
      </c>
      <c r="Y73" s="2">
        <v>45324</v>
      </c>
      <c r="Z73" t="s">
        <v>352</v>
      </c>
      <c r="AA73">
        <v>10</v>
      </c>
      <c r="AB73" t="s">
        <v>352</v>
      </c>
      <c r="AD73" t="s">
        <v>352</v>
      </c>
      <c r="AE73" t="s">
        <v>352</v>
      </c>
      <c r="AF73" t="s">
        <v>352</v>
      </c>
      <c r="AG73">
        <v>6</v>
      </c>
      <c r="AH73" t="s">
        <v>352</v>
      </c>
      <c r="AL73" t="s">
        <v>352</v>
      </c>
      <c r="AM73" s="2">
        <v>45324</v>
      </c>
      <c r="AN73" t="s">
        <v>371</v>
      </c>
      <c r="AO73" t="s">
        <v>359</v>
      </c>
      <c r="AP73">
        <v>1204</v>
      </c>
      <c r="AQ73" t="s">
        <v>360</v>
      </c>
      <c r="AR73">
        <v>144854</v>
      </c>
      <c r="AU73" t="s">
        <v>352</v>
      </c>
      <c r="AV73" t="s">
        <v>362</v>
      </c>
      <c r="AX73" t="s">
        <v>352</v>
      </c>
      <c r="AY73">
        <v>631110</v>
      </c>
      <c r="AZ73">
        <v>1204.63111</v>
      </c>
      <c r="BA73" s="54" t="s">
        <v>323</v>
      </c>
    </row>
    <row r="74" spans="1:53">
      <c r="A74" t="s">
        <v>363</v>
      </c>
      <c r="B74" t="s">
        <v>364</v>
      </c>
      <c r="C74">
        <v>24001129</v>
      </c>
      <c r="D74">
        <v>1204</v>
      </c>
      <c r="E74" s="2">
        <v>45327</v>
      </c>
      <c r="F74" t="s">
        <v>365</v>
      </c>
      <c r="G74">
        <v>23.33</v>
      </c>
      <c r="H74">
        <v>23.33</v>
      </c>
      <c r="I74" t="s">
        <v>352</v>
      </c>
      <c r="O74" t="s">
        <v>352</v>
      </c>
      <c r="Q74" t="s">
        <v>352</v>
      </c>
      <c r="R74" t="s">
        <v>366</v>
      </c>
      <c r="T74" t="s">
        <v>354</v>
      </c>
      <c r="U74" t="s">
        <v>355</v>
      </c>
      <c r="V74" t="s">
        <v>367</v>
      </c>
      <c r="W74" t="s">
        <v>368</v>
      </c>
      <c r="X74">
        <v>2097786</v>
      </c>
      <c r="Y74" s="2">
        <v>45327</v>
      </c>
      <c r="Z74" t="s">
        <v>352</v>
      </c>
      <c r="AA74">
        <v>2</v>
      </c>
      <c r="AB74" t="s">
        <v>352</v>
      </c>
      <c r="AD74" t="s">
        <v>352</v>
      </c>
      <c r="AE74" t="s">
        <v>352</v>
      </c>
      <c r="AF74" t="s">
        <v>352</v>
      </c>
      <c r="AG74">
        <v>1</v>
      </c>
      <c r="AH74" t="s">
        <v>352</v>
      </c>
      <c r="AL74" t="s">
        <v>352</v>
      </c>
      <c r="AM74" s="2">
        <v>45327</v>
      </c>
      <c r="AN74" t="s">
        <v>358</v>
      </c>
      <c r="AO74" t="s">
        <v>358</v>
      </c>
      <c r="AP74">
        <v>1204</v>
      </c>
      <c r="AQ74" t="s">
        <v>360</v>
      </c>
      <c r="AR74">
        <v>96020</v>
      </c>
      <c r="AU74" t="s">
        <v>352</v>
      </c>
      <c r="AV74" t="s">
        <v>362</v>
      </c>
      <c r="AX74" t="s">
        <v>352</v>
      </c>
      <c r="AY74">
        <v>631110</v>
      </c>
      <c r="AZ74">
        <v>1204.63111</v>
      </c>
      <c r="BA74" s="54" t="s">
        <v>323</v>
      </c>
    </row>
    <row r="75" spans="1:53">
      <c r="A75" t="s">
        <v>363</v>
      </c>
      <c r="B75" t="s">
        <v>364</v>
      </c>
      <c r="C75">
        <v>24001129</v>
      </c>
      <c r="D75">
        <v>1204</v>
      </c>
      <c r="E75" s="2">
        <v>45327</v>
      </c>
      <c r="F75" t="s">
        <v>365</v>
      </c>
      <c r="G75">
        <v>25.79</v>
      </c>
      <c r="H75">
        <v>25.79</v>
      </c>
      <c r="I75" t="s">
        <v>352</v>
      </c>
      <c r="O75" t="s">
        <v>352</v>
      </c>
      <c r="Q75" t="s">
        <v>352</v>
      </c>
      <c r="R75" t="s">
        <v>366</v>
      </c>
      <c r="T75" t="s">
        <v>354</v>
      </c>
      <c r="U75" t="s">
        <v>355</v>
      </c>
      <c r="V75" t="s">
        <v>367</v>
      </c>
      <c r="W75" t="s">
        <v>368</v>
      </c>
      <c r="X75">
        <v>2097786</v>
      </c>
      <c r="Y75" s="2">
        <v>45327</v>
      </c>
      <c r="Z75" t="s">
        <v>352</v>
      </c>
      <c r="AA75">
        <v>4</v>
      </c>
      <c r="AB75" t="s">
        <v>352</v>
      </c>
      <c r="AD75" t="s">
        <v>352</v>
      </c>
      <c r="AE75" t="s">
        <v>352</v>
      </c>
      <c r="AF75" t="s">
        <v>352</v>
      </c>
      <c r="AG75">
        <v>2</v>
      </c>
      <c r="AH75" t="s">
        <v>352</v>
      </c>
      <c r="AL75" t="s">
        <v>352</v>
      </c>
      <c r="AM75" s="2">
        <v>45327</v>
      </c>
      <c r="AN75" t="s">
        <v>358</v>
      </c>
      <c r="AO75" t="s">
        <v>358</v>
      </c>
      <c r="AP75">
        <v>1204</v>
      </c>
      <c r="AQ75" t="s">
        <v>360</v>
      </c>
      <c r="AR75">
        <v>96021</v>
      </c>
      <c r="AU75" t="s">
        <v>352</v>
      </c>
      <c r="AV75" t="s">
        <v>362</v>
      </c>
      <c r="AX75" t="s">
        <v>352</v>
      </c>
      <c r="AY75">
        <v>631110</v>
      </c>
      <c r="AZ75">
        <v>1204.63111</v>
      </c>
      <c r="BA75" s="54" t="s">
        <v>323</v>
      </c>
    </row>
    <row r="76" spans="1:53">
      <c r="A76" t="s">
        <v>363</v>
      </c>
      <c r="B76" t="s">
        <v>364</v>
      </c>
      <c r="C76">
        <v>24001129</v>
      </c>
      <c r="D76">
        <v>1204</v>
      </c>
      <c r="E76" s="2">
        <v>45327</v>
      </c>
      <c r="F76" t="s">
        <v>365</v>
      </c>
      <c r="G76">
        <v>3.15</v>
      </c>
      <c r="H76">
        <v>3.15</v>
      </c>
      <c r="I76" t="s">
        <v>352</v>
      </c>
      <c r="O76" t="s">
        <v>352</v>
      </c>
      <c r="Q76" t="s">
        <v>352</v>
      </c>
      <c r="R76" t="s">
        <v>366</v>
      </c>
      <c r="T76" t="s">
        <v>354</v>
      </c>
      <c r="U76" t="s">
        <v>355</v>
      </c>
      <c r="V76" t="s">
        <v>367</v>
      </c>
      <c r="W76" t="s">
        <v>368</v>
      </c>
      <c r="X76">
        <v>2097786</v>
      </c>
      <c r="Y76" s="2">
        <v>45327</v>
      </c>
      <c r="Z76" t="s">
        <v>352</v>
      </c>
      <c r="AA76">
        <v>6</v>
      </c>
      <c r="AB76" t="s">
        <v>352</v>
      </c>
      <c r="AD76" t="s">
        <v>352</v>
      </c>
      <c r="AE76" t="s">
        <v>352</v>
      </c>
      <c r="AF76" t="s">
        <v>352</v>
      </c>
      <c r="AG76">
        <v>1</v>
      </c>
      <c r="AH76" t="s">
        <v>352</v>
      </c>
      <c r="AL76" t="s">
        <v>352</v>
      </c>
      <c r="AM76" s="2">
        <v>45327</v>
      </c>
      <c r="AN76" t="s">
        <v>358</v>
      </c>
      <c r="AO76" t="s">
        <v>358</v>
      </c>
      <c r="AP76">
        <v>1204</v>
      </c>
      <c r="AQ76" t="s">
        <v>360</v>
      </c>
      <c r="AR76">
        <v>206793</v>
      </c>
      <c r="AU76" t="s">
        <v>352</v>
      </c>
      <c r="AV76" t="s">
        <v>362</v>
      </c>
      <c r="AX76" t="s">
        <v>352</v>
      </c>
      <c r="AY76">
        <v>631110</v>
      </c>
      <c r="AZ76">
        <v>1204.63111</v>
      </c>
      <c r="BA76" s="54" t="s">
        <v>323</v>
      </c>
    </row>
    <row r="77" spans="1:53">
      <c r="A77" t="s">
        <v>363</v>
      </c>
      <c r="B77" t="s">
        <v>364</v>
      </c>
      <c r="C77">
        <v>24001129</v>
      </c>
      <c r="D77">
        <v>1204</v>
      </c>
      <c r="E77" s="2">
        <v>45327</v>
      </c>
      <c r="F77" t="s">
        <v>365</v>
      </c>
      <c r="G77">
        <v>3.15</v>
      </c>
      <c r="H77">
        <v>3.15</v>
      </c>
      <c r="I77" t="s">
        <v>352</v>
      </c>
      <c r="O77" t="s">
        <v>352</v>
      </c>
      <c r="Q77" t="s">
        <v>352</v>
      </c>
      <c r="R77" t="s">
        <v>366</v>
      </c>
      <c r="T77" t="s">
        <v>354</v>
      </c>
      <c r="U77" t="s">
        <v>355</v>
      </c>
      <c r="V77" t="s">
        <v>367</v>
      </c>
      <c r="W77" t="s">
        <v>368</v>
      </c>
      <c r="X77">
        <v>2097786</v>
      </c>
      <c r="Y77" s="2">
        <v>45327</v>
      </c>
      <c r="Z77" t="s">
        <v>352</v>
      </c>
      <c r="AA77">
        <v>8</v>
      </c>
      <c r="AB77" t="s">
        <v>352</v>
      </c>
      <c r="AD77" t="s">
        <v>352</v>
      </c>
      <c r="AE77" t="s">
        <v>352</v>
      </c>
      <c r="AF77" t="s">
        <v>352</v>
      </c>
      <c r="AG77">
        <v>1</v>
      </c>
      <c r="AH77" t="s">
        <v>352</v>
      </c>
      <c r="AL77" t="s">
        <v>352</v>
      </c>
      <c r="AM77" s="2">
        <v>45327</v>
      </c>
      <c r="AN77" t="s">
        <v>358</v>
      </c>
      <c r="AO77" t="s">
        <v>358</v>
      </c>
      <c r="AP77">
        <v>1204</v>
      </c>
      <c r="AQ77" t="s">
        <v>360</v>
      </c>
      <c r="AR77">
        <v>206793</v>
      </c>
      <c r="AU77" t="s">
        <v>352</v>
      </c>
      <c r="AV77" t="s">
        <v>362</v>
      </c>
      <c r="AX77" t="s">
        <v>352</v>
      </c>
      <c r="AY77">
        <v>631110</v>
      </c>
      <c r="AZ77">
        <v>1204.63111</v>
      </c>
      <c r="BA77" s="54" t="s">
        <v>323</v>
      </c>
    </row>
    <row r="78" spans="1:53">
      <c r="A78" t="s">
        <v>363</v>
      </c>
      <c r="B78" t="s">
        <v>364</v>
      </c>
      <c r="C78">
        <v>24001129</v>
      </c>
      <c r="D78">
        <v>1204</v>
      </c>
      <c r="E78" s="2">
        <v>45327</v>
      </c>
      <c r="F78" t="s">
        <v>365</v>
      </c>
      <c r="G78">
        <v>3.84</v>
      </c>
      <c r="H78">
        <v>3.84</v>
      </c>
      <c r="I78" t="s">
        <v>352</v>
      </c>
      <c r="O78" t="s">
        <v>352</v>
      </c>
      <c r="Q78" t="s">
        <v>352</v>
      </c>
      <c r="R78" t="s">
        <v>366</v>
      </c>
      <c r="T78" t="s">
        <v>354</v>
      </c>
      <c r="U78" t="s">
        <v>355</v>
      </c>
      <c r="V78" t="s">
        <v>367</v>
      </c>
      <c r="W78" t="s">
        <v>368</v>
      </c>
      <c r="X78">
        <v>2097786</v>
      </c>
      <c r="Y78" s="2">
        <v>45327</v>
      </c>
      <c r="Z78" t="s">
        <v>352</v>
      </c>
      <c r="AA78">
        <v>10</v>
      </c>
      <c r="AB78" t="s">
        <v>352</v>
      </c>
      <c r="AD78" t="s">
        <v>352</v>
      </c>
      <c r="AE78" t="s">
        <v>352</v>
      </c>
      <c r="AF78" t="s">
        <v>352</v>
      </c>
      <c r="AG78">
        <v>1</v>
      </c>
      <c r="AH78" t="s">
        <v>352</v>
      </c>
      <c r="AL78" t="s">
        <v>352</v>
      </c>
      <c r="AM78" s="2">
        <v>45327</v>
      </c>
      <c r="AN78" t="s">
        <v>358</v>
      </c>
      <c r="AO78" t="s">
        <v>358</v>
      </c>
      <c r="AP78">
        <v>1204</v>
      </c>
      <c r="AQ78" t="s">
        <v>360</v>
      </c>
      <c r="AR78">
        <v>182375</v>
      </c>
      <c r="AU78" t="s">
        <v>352</v>
      </c>
      <c r="AV78" t="s">
        <v>362</v>
      </c>
      <c r="AX78" t="s">
        <v>352</v>
      </c>
      <c r="AY78">
        <v>631110</v>
      </c>
      <c r="AZ78">
        <v>1204.63111</v>
      </c>
      <c r="BA78" s="54" t="s">
        <v>323</v>
      </c>
    </row>
    <row r="79" spans="1:53">
      <c r="A79" t="s">
        <v>363</v>
      </c>
      <c r="B79" t="s">
        <v>364</v>
      </c>
      <c r="C79">
        <v>24001129</v>
      </c>
      <c r="D79">
        <v>1204</v>
      </c>
      <c r="E79" s="2">
        <v>45327</v>
      </c>
      <c r="F79" t="s">
        <v>365</v>
      </c>
      <c r="G79">
        <v>3.65</v>
      </c>
      <c r="H79">
        <v>3.65</v>
      </c>
      <c r="I79" t="s">
        <v>352</v>
      </c>
      <c r="O79" t="s">
        <v>352</v>
      </c>
      <c r="Q79" t="s">
        <v>352</v>
      </c>
      <c r="R79" t="s">
        <v>366</v>
      </c>
      <c r="T79" t="s">
        <v>354</v>
      </c>
      <c r="U79" t="s">
        <v>355</v>
      </c>
      <c r="V79" t="s">
        <v>367</v>
      </c>
      <c r="W79" t="s">
        <v>368</v>
      </c>
      <c r="X79">
        <v>2097786</v>
      </c>
      <c r="Y79" s="2">
        <v>45327</v>
      </c>
      <c r="Z79" t="s">
        <v>352</v>
      </c>
      <c r="AA79">
        <v>12</v>
      </c>
      <c r="AB79" t="s">
        <v>352</v>
      </c>
      <c r="AD79" t="s">
        <v>352</v>
      </c>
      <c r="AE79" t="s">
        <v>352</v>
      </c>
      <c r="AF79" t="s">
        <v>352</v>
      </c>
      <c r="AG79">
        <v>1</v>
      </c>
      <c r="AH79" t="s">
        <v>352</v>
      </c>
      <c r="AL79" t="s">
        <v>352</v>
      </c>
      <c r="AM79" s="2">
        <v>45327</v>
      </c>
      <c r="AN79" t="s">
        <v>358</v>
      </c>
      <c r="AO79" t="s">
        <v>358</v>
      </c>
      <c r="AP79">
        <v>1204</v>
      </c>
      <c r="AQ79" t="s">
        <v>360</v>
      </c>
      <c r="AR79">
        <v>220122</v>
      </c>
      <c r="AU79" t="s">
        <v>352</v>
      </c>
      <c r="AV79" t="s">
        <v>362</v>
      </c>
      <c r="AX79" t="s">
        <v>352</v>
      </c>
      <c r="AY79">
        <v>631110</v>
      </c>
      <c r="AZ79">
        <v>1204.63111</v>
      </c>
      <c r="BA79" s="54" t="s">
        <v>323</v>
      </c>
    </row>
    <row r="80" spans="1:53">
      <c r="A80" t="s">
        <v>363</v>
      </c>
      <c r="B80" t="s">
        <v>364</v>
      </c>
      <c r="C80">
        <v>24001129</v>
      </c>
      <c r="D80">
        <v>1204</v>
      </c>
      <c r="E80" s="2">
        <v>45327</v>
      </c>
      <c r="F80" t="s">
        <v>365</v>
      </c>
      <c r="G80">
        <v>40.26</v>
      </c>
      <c r="H80">
        <v>40.26</v>
      </c>
      <c r="I80" t="s">
        <v>352</v>
      </c>
      <c r="O80" t="s">
        <v>352</v>
      </c>
      <c r="Q80" t="s">
        <v>352</v>
      </c>
      <c r="R80" t="s">
        <v>366</v>
      </c>
      <c r="T80" t="s">
        <v>354</v>
      </c>
      <c r="U80" t="s">
        <v>355</v>
      </c>
      <c r="V80" t="s">
        <v>367</v>
      </c>
      <c r="W80" t="s">
        <v>368</v>
      </c>
      <c r="X80">
        <v>2097786</v>
      </c>
      <c r="Y80" s="2">
        <v>45327</v>
      </c>
      <c r="Z80" t="s">
        <v>352</v>
      </c>
      <c r="AA80">
        <v>14</v>
      </c>
      <c r="AB80" t="s">
        <v>352</v>
      </c>
      <c r="AD80" t="s">
        <v>352</v>
      </c>
      <c r="AE80" t="s">
        <v>352</v>
      </c>
      <c r="AF80" t="s">
        <v>352</v>
      </c>
      <c r="AG80">
        <v>1</v>
      </c>
      <c r="AH80" t="s">
        <v>352</v>
      </c>
      <c r="AL80" t="s">
        <v>352</v>
      </c>
      <c r="AM80" s="2">
        <v>45327</v>
      </c>
      <c r="AN80" t="s">
        <v>358</v>
      </c>
      <c r="AO80" t="s">
        <v>358</v>
      </c>
      <c r="AP80">
        <v>1204</v>
      </c>
      <c r="AQ80" t="s">
        <v>360</v>
      </c>
      <c r="AR80">
        <v>90236</v>
      </c>
      <c r="AU80" t="s">
        <v>352</v>
      </c>
      <c r="AV80" t="s">
        <v>362</v>
      </c>
      <c r="AX80" t="s">
        <v>352</v>
      </c>
      <c r="AY80">
        <v>631110</v>
      </c>
      <c r="AZ80">
        <v>1204.63111</v>
      </c>
      <c r="BA80" s="54" t="s">
        <v>323</v>
      </c>
    </row>
    <row r="81" spans="1:53">
      <c r="A81" t="s">
        <v>363</v>
      </c>
      <c r="B81" t="s">
        <v>364</v>
      </c>
      <c r="C81">
        <v>24001130</v>
      </c>
      <c r="D81">
        <v>1204</v>
      </c>
      <c r="E81" s="2">
        <v>45327</v>
      </c>
      <c r="F81" t="s">
        <v>387</v>
      </c>
      <c r="G81">
        <v>59.99</v>
      </c>
      <c r="H81">
        <v>59.99</v>
      </c>
      <c r="I81" t="s">
        <v>352</v>
      </c>
      <c r="O81" t="s">
        <v>352</v>
      </c>
      <c r="Q81" t="s">
        <v>352</v>
      </c>
      <c r="R81" t="s">
        <v>366</v>
      </c>
      <c r="T81" t="s">
        <v>354</v>
      </c>
      <c r="U81" t="s">
        <v>355</v>
      </c>
      <c r="V81" t="s">
        <v>367</v>
      </c>
      <c r="W81" t="s">
        <v>368</v>
      </c>
      <c r="X81">
        <v>2097786</v>
      </c>
      <c r="Y81" s="2">
        <v>45327</v>
      </c>
      <c r="Z81" t="s">
        <v>352</v>
      </c>
      <c r="AA81">
        <v>2</v>
      </c>
      <c r="AB81" t="s">
        <v>352</v>
      </c>
      <c r="AD81" t="s">
        <v>352</v>
      </c>
      <c r="AE81" t="s">
        <v>352</v>
      </c>
      <c r="AF81" t="s">
        <v>352</v>
      </c>
      <c r="AG81">
        <v>4</v>
      </c>
      <c r="AH81" t="s">
        <v>352</v>
      </c>
      <c r="AL81" t="s">
        <v>352</v>
      </c>
      <c r="AM81" s="2">
        <v>45327</v>
      </c>
      <c r="AN81" t="s">
        <v>358</v>
      </c>
      <c r="AO81" t="s">
        <v>358</v>
      </c>
      <c r="AP81">
        <v>1204</v>
      </c>
      <c r="AQ81" t="s">
        <v>360</v>
      </c>
      <c r="AR81">
        <v>88717</v>
      </c>
      <c r="AU81" t="s">
        <v>352</v>
      </c>
      <c r="AV81" t="s">
        <v>362</v>
      </c>
      <c r="AX81" t="s">
        <v>352</v>
      </c>
      <c r="AY81">
        <v>631110</v>
      </c>
      <c r="AZ81">
        <v>1204.63111</v>
      </c>
      <c r="BA81" s="54" t="s">
        <v>323</v>
      </c>
    </row>
    <row r="82" spans="1:53">
      <c r="A82" t="s">
        <v>363</v>
      </c>
      <c r="B82" t="s">
        <v>364</v>
      </c>
      <c r="C82">
        <v>24001130</v>
      </c>
      <c r="D82">
        <v>1204</v>
      </c>
      <c r="E82" s="2">
        <v>45327</v>
      </c>
      <c r="F82" t="s">
        <v>387</v>
      </c>
      <c r="G82">
        <v>39.380000000000003</v>
      </c>
      <c r="H82">
        <v>39.380000000000003</v>
      </c>
      <c r="I82" t="s">
        <v>352</v>
      </c>
      <c r="O82" t="s">
        <v>352</v>
      </c>
      <c r="Q82" t="s">
        <v>352</v>
      </c>
      <c r="R82" t="s">
        <v>366</v>
      </c>
      <c r="T82" t="s">
        <v>354</v>
      </c>
      <c r="U82" t="s">
        <v>355</v>
      </c>
      <c r="V82" t="s">
        <v>367</v>
      </c>
      <c r="W82" t="s">
        <v>368</v>
      </c>
      <c r="X82">
        <v>2097786</v>
      </c>
      <c r="Y82" s="2">
        <v>45327</v>
      </c>
      <c r="Z82" t="s">
        <v>352</v>
      </c>
      <c r="AA82">
        <v>4</v>
      </c>
      <c r="AB82" t="s">
        <v>352</v>
      </c>
      <c r="AD82" t="s">
        <v>352</v>
      </c>
      <c r="AE82" t="s">
        <v>352</v>
      </c>
      <c r="AF82" t="s">
        <v>352</v>
      </c>
      <c r="AG82">
        <v>3</v>
      </c>
      <c r="AH82" t="s">
        <v>352</v>
      </c>
      <c r="AL82" t="s">
        <v>352</v>
      </c>
      <c r="AM82" s="2">
        <v>45327</v>
      </c>
      <c r="AN82" t="s">
        <v>358</v>
      </c>
      <c r="AO82" t="s">
        <v>358</v>
      </c>
      <c r="AP82">
        <v>1204</v>
      </c>
      <c r="AQ82" t="s">
        <v>360</v>
      </c>
      <c r="AR82">
        <v>88717</v>
      </c>
      <c r="AU82" t="s">
        <v>352</v>
      </c>
      <c r="AV82" t="s">
        <v>362</v>
      </c>
      <c r="AX82" t="s">
        <v>352</v>
      </c>
      <c r="AY82">
        <v>631110</v>
      </c>
      <c r="AZ82">
        <v>1204.63111</v>
      </c>
      <c r="BA82" s="54" t="s">
        <v>323</v>
      </c>
    </row>
    <row r="83" spans="1:53">
      <c r="A83" t="s">
        <v>363</v>
      </c>
      <c r="B83" t="s">
        <v>364</v>
      </c>
      <c r="C83">
        <v>24001131</v>
      </c>
      <c r="D83">
        <v>1204</v>
      </c>
      <c r="E83" s="2">
        <v>45327</v>
      </c>
      <c r="F83" t="s">
        <v>369</v>
      </c>
      <c r="G83">
        <v>7.12</v>
      </c>
      <c r="H83">
        <v>7.12</v>
      </c>
      <c r="I83" t="s">
        <v>352</v>
      </c>
      <c r="O83" t="s">
        <v>352</v>
      </c>
      <c r="Q83" t="s">
        <v>352</v>
      </c>
      <c r="R83" t="s">
        <v>366</v>
      </c>
      <c r="T83" t="s">
        <v>354</v>
      </c>
      <c r="U83" t="s">
        <v>355</v>
      </c>
      <c r="V83" t="s">
        <v>367</v>
      </c>
      <c r="W83" t="s">
        <v>368</v>
      </c>
      <c r="X83">
        <v>2097786</v>
      </c>
      <c r="Y83" s="2">
        <v>45327</v>
      </c>
      <c r="Z83" t="s">
        <v>352</v>
      </c>
      <c r="AA83">
        <v>2</v>
      </c>
      <c r="AB83" t="s">
        <v>352</v>
      </c>
      <c r="AD83" t="s">
        <v>352</v>
      </c>
      <c r="AE83" t="s">
        <v>352</v>
      </c>
      <c r="AF83" t="s">
        <v>352</v>
      </c>
      <c r="AG83">
        <v>1</v>
      </c>
      <c r="AH83" t="s">
        <v>352</v>
      </c>
      <c r="AL83" t="s">
        <v>352</v>
      </c>
      <c r="AM83" s="2">
        <v>45327</v>
      </c>
      <c r="AN83" t="s">
        <v>358</v>
      </c>
      <c r="AO83" t="s">
        <v>358</v>
      </c>
      <c r="AP83">
        <v>1204</v>
      </c>
      <c r="AQ83" t="s">
        <v>360</v>
      </c>
      <c r="AR83">
        <v>225948</v>
      </c>
      <c r="AU83" t="s">
        <v>352</v>
      </c>
      <c r="AV83" t="s">
        <v>362</v>
      </c>
      <c r="AX83" t="s">
        <v>352</v>
      </c>
      <c r="AY83">
        <v>631110</v>
      </c>
      <c r="AZ83">
        <v>1204.63111</v>
      </c>
      <c r="BA83" s="54" t="s">
        <v>323</v>
      </c>
    </row>
    <row r="84" spans="1:53">
      <c r="A84" t="s">
        <v>363</v>
      </c>
      <c r="B84" t="s">
        <v>364</v>
      </c>
      <c r="C84">
        <v>24001132</v>
      </c>
      <c r="D84">
        <v>1204</v>
      </c>
      <c r="E84" s="2">
        <v>45327</v>
      </c>
      <c r="F84" t="s">
        <v>595</v>
      </c>
      <c r="G84">
        <v>0.22</v>
      </c>
      <c r="H84">
        <v>0.22</v>
      </c>
      <c r="I84" t="s">
        <v>352</v>
      </c>
      <c r="O84" t="s">
        <v>352</v>
      </c>
      <c r="Q84" t="s">
        <v>352</v>
      </c>
      <c r="R84" t="s">
        <v>366</v>
      </c>
      <c r="T84" t="s">
        <v>354</v>
      </c>
      <c r="U84" t="s">
        <v>355</v>
      </c>
      <c r="V84" t="s">
        <v>367</v>
      </c>
      <c r="W84" t="s">
        <v>368</v>
      </c>
      <c r="X84">
        <v>2098217</v>
      </c>
      <c r="Y84" s="2">
        <v>45327</v>
      </c>
      <c r="Z84" t="s">
        <v>352</v>
      </c>
      <c r="AA84">
        <v>2</v>
      </c>
      <c r="AB84" t="s">
        <v>352</v>
      </c>
      <c r="AD84" t="s">
        <v>352</v>
      </c>
      <c r="AE84" t="s">
        <v>352</v>
      </c>
      <c r="AF84" t="s">
        <v>352</v>
      </c>
      <c r="AG84">
        <v>3</v>
      </c>
      <c r="AH84" t="s">
        <v>352</v>
      </c>
      <c r="AL84" t="s">
        <v>352</v>
      </c>
      <c r="AM84" s="2">
        <v>45327</v>
      </c>
      <c r="AN84" t="s">
        <v>371</v>
      </c>
      <c r="AO84" t="s">
        <v>371</v>
      </c>
      <c r="AP84">
        <v>1204</v>
      </c>
      <c r="AQ84" t="s">
        <v>360</v>
      </c>
      <c r="AR84">
        <v>91479</v>
      </c>
      <c r="AU84" t="s">
        <v>352</v>
      </c>
      <c r="AV84" t="s">
        <v>362</v>
      </c>
      <c r="AX84" t="s">
        <v>352</v>
      </c>
      <c r="AY84">
        <v>631110</v>
      </c>
      <c r="AZ84">
        <v>1204.63111</v>
      </c>
      <c r="BA84" s="54" t="s">
        <v>323</v>
      </c>
    </row>
    <row r="85" spans="1:53">
      <c r="A85" t="s">
        <v>363</v>
      </c>
      <c r="B85" t="s">
        <v>364</v>
      </c>
      <c r="C85">
        <v>24001132</v>
      </c>
      <c r="D85">
        <v>1204</v>
      </c>
      <c r="E85" s="2">
        <v>45327</v>
      </c>
      <c r="F85" t="s">
        <v>595</v>
      </c>
      <c r="G85">
        <v>0.65</v>
      </c>
      <c r="H85">
        <v>0.65</v>
      </c>
      <c r="I85" t="s">
        <v>352</v>
      </c>
      <c r="O85" t="s">
        <v>352</v>
      </c>
      <c r="Q85" t="s">
        <v>352</v>
      </c>
      <c r="R85" t="s">
        <v>366</v>
      </c>
      <c r="T85" t="s">
        <v>354</v>
      </c>
      <c r="U85" t="s">
        <v>355</v>
      </c>
      <c r="V85" t="s">
        <v>367</v>
      </c>
      <c r="W85" t="s">
        <v>368</v>
      </c>
      <c r="X85">
        <v>2098217</v>
      </c>
      <c r="Y85" s="2">
        <v>45327</v>
      </c>
      <c r="Z85" t="s">
        <v>352</v>
      </c>
      <c r="AA85">
        <v>4</v>
      </c>
      <c r="AB85" t="s">
        <v>352</v>
      </c>
      <c r="AD85" t="s">
        <v>352</v>
      </c>
      <c r="AE85" t="s">
        <v>352</v>
      </c>
      <c r="AF85" t="s">
        <v>352</v>
      </c>
      <c r="AG85">
        <v>9</v>
      </c>
      <c r="AH85" t="s">
        <v>352</v>
      </c>
      <c r="AL85" t="s">
        <v>352</v>
      </c>
      <c r="AM85" s="2">
        <v>45327</v>
      </c>
      <c r="AN85" t="s">
        <v>371</v>
      </c>
      <c r="AO85" t="s">
        <v>371</v>
      </c>
      <c r="AP85">
        <v>1204</v>
      </c>
      <c r="AQ85" t="s">
        <v>360</v>
      </c>
      <c r="AR85">
        <v>264585</v>
      </c>
      <c r="AU85" t="s">
        <v>352</v>
      </c>
      <c r="AV85" t="s">
        <v>362</v>
      </c>
      <c r="AX85" t="s">
        <v>352</v>
      </c>
      <c r="AY85">
        <v>631110</v>
      </c>
      <c r="AZ85">
        <v>1204.63111</v>
      </c>
      <c r="BA85" s="54" t="s">
        <v>323</v>
      </c>
    </row>
    <row r="86" spans="1:53">
      <c r="A86" t="s">
        <v>363</v>
      </c>
      <c r="B86" t="s">
        <v>364</v>
      </c>
      <c r="C86">
        <v>24001132</v>
      </c>
      <c r="D86">
        <v>1204</v>
      </c>
      <c r="E86" s="2">
        <v>45327</v>
      </c>
      <c r="F86" t="s">
        <v>595</v>
      </c>
      <c r="G86">
        <v>0.41</v>
      </c>
      <c r="H86">
        <v>0.41</v>
      </c>
      <c r="I86" t="s">
        <v>352</v>
      </c>
      <c r="O86" t="s">
        <v>352</v>
      </c>
      <c r="Q86" t="s">
        <v>352</v>
      </c>
      <c r="R86" t="s">
        <v>366</v>
      </c>
      <c r="T86" t="s">
        <v>354</v>
      </c>
      <c r="U86" t="s">
        <v>355</v>
      </c>
      <c r="V86" t="s">
        <v>367</v>
      </c>
      <c r="W86" t="s">
        <v>368</v>
      </c>
      <c r="X86">
        <v>2098217</v>
      </c>
      <c r="Y86" s="2">
        <v>45327</v>
      </c>
      <c r="Z86" t="s">
        <v>352</v>
      </c>
      <c r="AA86">
        <v>6</v>
      </c>
      <c r="AB86" t="s">
        <v>352</v>
      </c>
      <c r="AD86" t="s">
        <v>352</v>
      </c>
      <c r="AE86" t="s">
        <v>352</v>
      </c>
      <c r="AF86" t="s">
        <v>352</v>
      </c>
      <c r="AG86">
        <v>2</v>
      </c>
      <c r="AH86" t="s">
        <v>352</v>
      </c>
      <c r="AL86" t="s">
        <v>352</v>
      </c>
      <c r="AM86" s="2">
        <v>45327</v>
      </c>
      <c r="AN86" t="s">
        <v>371</v>
      </c>
      <c r="AO86" t="s">
        <v>371</v>
      </c>
      <c r="AP86">
        <v>1204</v>
      </c>
      <c r="AQ86" t="s">
        <v>360</v>
      </c>
      <c r="AR86">
        <v>89727</v>
      </c>
      <c r="AU86" t="s">
        <v>352</v>
      </c>
      <c r="AV86" t="s">
        <v>362</v>
      </c>
      <c r="AX86" t="s">
        <v>352</v>
      </c>
      <c r="AY86">
        <v>631110</v>
      </c>
      <c r="AZ86">
        <v>1204.63111</v>
      </c>
      <c r="BA86" s="54" t="s">
        <v>323</v>
      </c>
    </row>
    <row r="87" spans="1:53">
      <c r="A87" t="s">
        <v>363</v>
      </c>
      <c r="B87" t="s">
        <v>364</v>
      </c>
      <c r="C87">
        <v>24001132</v>
      </c>
      <c r="D87">
        <v>1204</v>
      </c>
      <c r="E87" s="2">
        <v>45327</v>
      </c>
      <c r="F87" t="s">
        <v>595</v>
      </c>
      <c r="G87">
        <v>1.1000000000000001</v>
      </c>
      <c r="H87">
        <v>1.1000000000000001</v>
      </c>
      <c r="I87" t="s">
        <v>352</v>
      </c>
      <c r="O87" t="s">
        <v>352</v>
      </c>
      <c r="Q87" t="s">
        <v>352</v>
      </c>
      <c r="R87" t="s">
        <v>366</v>
      </c>
      <c r="T87" t="s">
        <v>354</v>
      </c>
      <c r="U87" t="s">
        <v>355</v>
      </c>
      <c r="V87" t="s">
        <v>367</v>
      </c>
      <c r="W87" t="s">
        <v>368</v>
      </c>
      <c r="X87">
        <v>2098217</v>
      </c>
      <c r="Y87" s="2">
        <v>45327</v>
      </c>
      <c r="Z87" t="s">
        <v>352</v>
      </c>
      <c r="AA87">
        <v>8</v>
      </c>
      <c r="AB87" t="s">
        <v>352</v>
      </c>
      <c r="AD87" t="s">
        <v>352</v>
      </c>
      <c r="AE87" t="s">
        <v>352</v>
      </c>
      <c r="AF87" t="s">
        <v>352</v>
      </c>
      <c r="AG87">
        <v>7</v>
      </c>
      <c r="AH87" t="s">
        <v>352</v>
      </c>
      <c r="AL87" t="s">
        <v>352</v>
      </c>
      <c r="AM87" s="2">
        <v>45327</v>
      </c>
      <c r="AN87" t="s">
        <v>371</v>
      </c>
      <c r="AO87" t="s">
        <v>371</v>
      </c>
      <c r="AP87">
        <v>1204</v>
      </c>
      <c r="AQ87" t="s">
        <v>360</v>
      </c>
      <c r="AR87">
        <v>89712</v>
      </c>
      <c r="AU87" t="s">
        <v>352</v>
      </c>
      <c r="AV87" t="s">
        <v>362</v>
      </c>
      <c r="AX87" t="s">
        <v>352</v>
      </c>
      <c r="AY87">
        <v>631110</v>
      </c>
      <c r="AZ87">
        <v>1204.63111</v>
      </c>
      <c r="BA87" s="54" t="s">
        <v>323</v>
      </c>
    </row>
    <row r="88" spans="1:53">
      <c r="A88" t="s">
        <v>363</v>
      </c>
      <c r="B88" t="s">
        <v>364</v>
      </c>
      <c r="C88">
        <v>24001132</v>
      </c>
      <c r="D88">
        <v>1204</v>
      </c>
      <c r="E88" s="2">
        <v>45327</v>
      </c>
      <c r="F88" t="s">
        <v>595</v>
      </c>
      <c r="G88">
        <v>10.6</v>
      </c>
      <c r="H88">
        <v>10.6</v>
      </c>
      <c r="I88" t="s">
        <v>352</v>
      </c>
      <c r="O88" t="s">
        <v>352</v>
      </c>
      <c r="Q88" t="s">
        <v>352</v>
      </c>
      <c r="R88" t="s">
        <v>366</v>
      </c>
      <c r="T88" t="s">
        <v>354</v>
      </c>
      <c r="U88" t="s">
        <v>355</v>
      </c>
      <c r="V88" t="s">
        <v>367</v>
      </c>
      <c r="W88" t="s">
        <v>368</v>
      </c>
      <c r="X88">
        <v>2098217</v>
      </c>
      <c r="Y88" s="2">
        <v>45327</v>
      </c>
      <c r="Z88" t="s">
        <v>352</v>
      </c>
      <c r="AA88">
        <v>10</v>
      </c>
      <c r="AB88" t="s">
        <v>352</v>
      </c>
      <c r="AD88" t="s">
        <v>352</v>
      </c>
      <c r="AE88" t="s">
        <v>352</v>
      </c>
      <c r="AF88" t="s">
        <v>352</v>
      </c>
      <c r="AG88">
        <v>32</v>
      </c>
      <c r="AH88" t="s">
        <v>352</v>
      </c>
      <c r="AL88" t="s">
        <v>352</v>
      </c>
      <c r="AM88" s="2">
        <v>45327</v>
      </c>
      <c r="AN88" t="s">
        <v>371</v>
      </c>
      <c r="AO88" t="s">
        <v>371</v>
      </c>
      <c r="AP88">
        <v>1204</v>
      </c>
      <c r="AQ88" t="s">
        <v>360</v>
      </c>
      <c r="AR88">
        <v>91011</v>
      </c>
      <c r="AU88" t="s">
        <v>352</v>
      </c>
      <c r="AV88" t="s">
        <v>362</v>
      </c>
      <c r="AX88" t="s">
        <v>352</v>
      </c>
      <c r="AY88">
        <v>631110</v>
      </c>
      <c r="AZ88">
        <v>1204.63111</v>
      </c>
      <c r="BA88" s="54" t="s">
        <v>323</v>
      </c>
    </row>
    <row r="89" spans="1:53">
      <c r="A89" t="s">
        <v>363</v>
      </c>
      <c r="B89" t="s">
        <v>364</v>
      </c>
      <c r="C89">
        <v>24001132</v>
      </c>
      <c r="D89">
        <v>1204</v>
      </c>
      <c r="E89" s="2">
        <v>45327</v>
      </c>
      <c r="F89" t="s">
        <v>595</v>
      </c>
      <c r="G89">
        <v>1.64</v>
      </c>
      <c r="H89">
        <v>1.64</v>
      </c>
      <c r="I89" t="s">
        <v>352</v>
      </c>
      <c r="O89" t="s">
        <v>352</v>
      </c>
      <c r="Q89" t="s">
        <v>352</v>
      </c>
      <c r="R89" t="s">
        <v>366</v>
      </c>
      <c r="T89" t="s">
        <v>354</v>
      </c>
      <c r="U89" t="s">
        <v>355</v>
      </c>
      <c r="V89" t="s">
        <v>367</v>
      </c>
      <c r="W89" t="s">
        <v>368</v>
      </c>
      <c r="X89">
        <v>2098217</v>
      </c>
      <c r="Y89" s="2">
        <v>45327</v>
      </c>
      <c r="Z89" t="s">
        <v>352</v>
      </c>
      <c r="AA89">
        <v>12</v>
      </c>
      <c r="AB89" t="s">
        <v>352</v>
      </c>
      <c r="AD89" t="s">
        <v>352</v>
      </c>
      <c r="AE89" t="s">
        <v>352</v>
      </c>
      <c r="AF89" t="s">
        <v>352</v>
      </c>
      <c r="AG89">
        <v>11</v>
      </c>
      <c r="AH89" t="s">
        <v>352</v>
      </c>
      <c r="AL89" t="s">
        <v>352</v>
      </c>
      <c r="AM89" s="2">
        <v>45327</v>
      </c>
      <c r="AN89" t="s">
        <v>371</v>
      </c>
      <c r="AO89" t="s">
        <v>371</v>
      </c>
      <c r="AP89">
        <v>1204</v>
      </c>
      <c r="AQ89" t="s">
        <v>360</v>
      </c>
      <c r="AR89">
        <v>144854</v>
      </c>
      <c r="AU89" t="s">
        <v>352</v>
      </c>
      <c r="AV89" t="s">
        <v>362</v>
      </c>
      <c r="AX89" t="s">
        <v>352</v>
      </c>
      <c r="AY89">
        <v>631110</v>
      </c>
      <c r="AZ89">
        <v>1204.63111</v>
      </c>
      <c r="BA89" s="54" t="s">
        <v>323</v>
      </c>
    </row>
    <row r="90" spans="1:53">
      <c r="A90" t="s">
        <v>363</v>
      </c>
      <c r="B90" t="s">
        <v>364</v>
      </c>
      <c r="C90">
        <v>24001119</v>
      </c>
      <c r="D90">
        <v>1204</v>
      </c>
      <c r="E90" s="2">
        <v>45323</v>
      </c>
      <c r="F90" t="s">
        <v>372</v>
      </c>
      <c r="G90">
        <v>62.98</v>
      </c>
      <c r="H90">
        <v>62.98</v>
      </c>
      <c r="I90" t="s">
        <v>351</v>
      </c>
      <c r="O90" t="s">
        <v>352</v>
      </c>
      <c r="Q90" t="s">
        <v>352</v>
      </c>
      <c r="R90" t="s">
        <v>366</v>
      </c>
      <c r="T90" t="s">
        <v>354</v>
      </c>
      <c r="U90" t="s">
        <v>355</v>
      </c>
      <c r="V90" t="s">
        <v>367</v>
      </c>
      <c r="W90" t="s">
        <v>368</v>
      </c>
      <c r="X90">
        <v>2097156</v>
      </c>
      <c r="Y90" s="2">
        <v>45323</v>
      </c>
      <c r="Z90" t="s">
        <v>352</v>
      </c>
      <c r="AA90">
        <v>2</v>
      </c>
      <c r="AB90" t="s">
        <v>352</v>
      </c>
      <c r="AD90" t="s">
        <v>352</v>
      </c>
      <c r="AE90" t="s">
        <v>352</v>
      </c>
      <c r="AF90" t="s">
        <v>352</v>
      </c>
      <c r="AG90">
        <v>136</v>
      </c>
      <c r="AH90" t="s">
        <v>352</v>
      </c>
      <c r="AL90" t="s">
        <v>352</v>
      </c>
      <c r="AM90" s="2">
        <v>45323</v>
      </c>
      <c r="AN90" t="s">
        <v>373</v>
      </c>
      <c r="AO90" t="s">
        <v>359</v>
      </c>
      <c r="AP90">
        <v>1204</v>
      </c>
      <c r="AQ90" t="s">
        <v>360</v>
      </c>
      <c r="AR90">
        <v>220249</v>
      </c>
      <c r="AU90" t="s">
        <v>352</v>
      </c>
      <c r="AV90" t="s">
        <v>362</v>
      </c>
      <c r="AX90" t="s">
        <v>352</v>
      </c>
      <c r="AY90">
        <v>631180</v>
      </c>
      <c r="AZ90">
        <v>1204.6311800000001</v>
      </c>
      <c r="BA90" s="54" t="s">
        <v>326</v>
      </c>
    </row>
    <row r="91" spans="1:53">
      <c r="A91" t="s">
        <v>363</v>
      </c>
      <c r="B91" t="s">
        <v>364</v>
      </c>
      <c r="C91">
        <v>24001120</v>
      </c>
      <c r="D91">
        <v>1204</v>
      </c>
      <c r="E91" s="2">
        <v>45323</v>
      </c>
      <c r="F91" t="s">
        <v>374</v>
      </c>
      <c r="G91">
        <v>72.84</v>
      </c>
      <c r="H91">
        <v>72.84</v>
      </c>
      <c r="I91" t="s">
        <v>351</v>
      </c>
      <c r="O91" t="s">
        <v>352</v>
      </c>
      <c r="Q91" t="s">
        <v>352</v>
      </c>
      <c r="R91" t="s">
        <v>366</v>
      </c>
      <c r="T91" t="s">
        <v>354</v>
      </c>
      <c r="U91" t="s">
        <v>355</v>
      </c>
      <c r="V91" t="s">
        <v>367</v>
      </c>
      <c r="W91" t="s">
        <v>368</v>
      </c>
      <c r="X91">
        <v>2097156</v>
      </c>
      <c r="Y91" s="2">
        <v>45323</v>
      </c>
      <c r="Z91" t="s">
        <v>352</v>
      </c>
      <c r="AA91">
        <v>2</v>
      </c>
      <c r="AB91" t="s">
        <v>352</v>
      </c>
      <c r="AD91" t="s">
        <v>352</v>
      </c>
      <c r="AE91" t="s">
        <v>352</v>
      </c>
      <c r="AF91" t="s">
        <v>352</v>
      </c>
      <c r="AG91">
        <v>120</v>
      </c>
      <c r="AH91" t="s">
        <v>352</v>
      </c>
      <c r="AL91" t="s">
        <v>352</v>
      </c>
      <c r="AM91" s="2">
        <v>45323</v>
      </c>
      <c r="AN91" t="s">
        <v>373</v>
      </c>
      <c r="AO91" t="s">
        <v>359</v>
      </c>
      <c r="AP91">
        <v>1204</v>
      </c>
      <c r="AQ91" t="s">
        <v>360</v>
      </c>
      <c r="AR91">
        <v>79303</v>
      </c>
      <c r="AU91" t="s">
        <v>352</v>
      </c>
      <c r="AV91" t="s">
        <v>362</v>
      </c>
      <c r="AX91" t="s">
        <v>352</v>
      </c>
      <c r="AY91">
        <v>631180</v>
      </c>
      <c r="AZ91">
        <v>1204.6311800000001</v>
      </c>
      <c r="BA91" s="54" t="s">
        <v>326</v>
      </c>
    </row>
    <row r="92" spans="1:53">
      <c r="A92" t="s">
        <v>363</v>
      </c>
      <c r="B92" t="s">
        <v>364</v>
      </c>
      <c r="C92">
        <v>24001121</v>
      </c>
      <c r="D92">
        <v>1204</v>
      </c>
      <c r="E92" s="2">
        <v>45323</v>
      </c>
      <c r="F92" t="s">
        <v>375</v>
      </c>
      <c r="G92">
        <v>74.47</v>
      </c>
      <c r="H92">
        <v>74.47</v>
      </c>
      <c r="I92" t="s">
        <v>351</v>
      </c>
      <c r="O92" t="s">
        <v>352</v>
      </c>
      <c r="Q92" t="s">
        <v>352</v>
      </c>
      <c r="R92" t="s">
        <v>366</v>
      </c>
      <c r="T92" t="s">
        <v>354</v>
      </c>
      <c r="U92" t="s">
        <v>355</v>
      </c>
      <c r="V92" t="s">
        <v>367</v>
      </c>
      <c r="W92" t="s">
        <v>368</v>
      </c>
      <c r="X92">
        <v>2097156</v>
      </c>
      <c r="Y92" s="2">
        <v>45323</v>
      </c>
      <c r="Z92" t="s">
        <v>352</v>
      </c>
      <c r="AA92">
        <v>2</v>
      </c>
      <c r="AB92" t="s">
        <v>352</v>
      </c>
      <c r="AD92" t="s">
        <v>352</v>
      </c>
      <c r="AE92" t="s">
        <v>352</v>
      </c>
      <c r="AF92" t="s">
        <v>352</v>
      </c>
      <c r="AG92">
        <v>50</v>
      </c>
      <c r="AH92" t="s">
        <v>352</v>
      </c>
      <c r="AL92" t="s">
        <v>352</v>
      </c>
      <c r="AM92" s="2">
        <v>45323</v>
      </c>
      <c r="AN92" t="s">
        <v>373</v>
      </c>
      <c r="AO92" t="s">
        <v>359</v>
      </c>
      <c r="AP92">
        <v>1204</v>
      </c>
      <c r="AQ92" t="s">
        <v>360</v>
      </c>
      <c r="AR92">
        <v>293816</v>
      </c>
      <c r="AU92" t="s">
        <v>352</v>
      </c>
      <c r="AV92" t="s">
        <v>362</v>
      </c>
      <c r="AX92" t="s">
        <v>352</v>
      </c>
      <c r="AY92">
        <v>631180</v>
      </c>
      <c r="AZ92">
        <v>1204.6311800000001</v>
      </c>
      <c r="BA92" s="54" t="s">
        <v>326</v>
      </c>
    </row>
    <row r="93" spans="1:53">
      <c r="A93" t="s">
        <v>363</v>
      </c>
      <c r="B93" t="s">
        <v>364</v>
      </c>
      <c r="C93">
        <v>24001122</v>
      </c>
      <c r="D93">
        <v>1204</v>
      </c>
      <c r="E93" s="2">
        <v>45323</v>
      </c>
      <c r="F93" t="s">
        <v>376</v>
      </c>
      <c r="G93">
        <v>63.95</v>
      </c>
      <c r="H93">
        <v>63.95</v>
      </c>
      <c r="I93" t="s">
        <v>351</v>
      </c>
      <c r="O93" t="s">
        <v>352</v>
      </c>
      <c r="Q93" t="s">
        <v>352</v>
      </c>
      <c r="R93" t="s">
        <v>366</v>
      </c>
      <c r="T93" t="s">
        <v>354</v>
      </c>
      <c r="U93" t="s">
        <v>355</v>
      </c>
      <c r="V93" t="s">
        <v>367</v>
      </c>
      <c r="W93" t="s">
        <v>368</v>
      </c>
      <c r="X93">
        <v>2097156</v>
      </c>
      <c r="Y93" s="2">
        <v>45323</v>
      </c>
      <c r="Z93" t="s">
        <v>352</v>
      </c>
      <c r="AA93">
        <v>2</v>
      </c>
      <c r="AB93" t="s">
        <v>352</v>
      </c>
      <c r="AD93" t="s">
        <v>352</v>
      </c>
      <c r="AE93" t="s">
        <v>352</v>
      </c>
      <c r="AF93" t="s">
        <v>352</v>
      </c>
      <c r="AG93">
        <v>450</v>
      </c>
      <c r="AH93" t="s">
        <v>352</v>
      </c>
      <c r="AL93" t="s">
        <v>352</v>
      </c>
      <c r="AM93" s="2">
        <v>45323</v>
      </c>
      <c r="AN93" t="s">
        <v>373</v>
      </c>
      <c r="AO93" t="s">
        <v>359</v>
      </c>
      <c r="AP93">
        <v>1204</v>
      </c>
      <c r="AQ93" t="s">
        <v>360</v>
      </c>
      <c r="AR93">
        <v>79293</v>
      </c>
      <c r="AU93" t="s">
        <v>352</v>
      </c>
      <c r="AV93" t="s">
        <v>362</v>
      </c>
      <c r="AX93" t="s">
        <v>352</v>
      </c>
      <c r="AY93">
        <v>631180</v>
      </c>
      <c r="AZ93">
        <v>1204.6311800000001</v>
      </c>
      <c r="BA93" s="54" t="s">
        <v>326</v>
      </c>
    </row>
    <row r="94" spans="1:53">
      <c r="A94" t="s">
        <v>363</v>
      </c>
      <c r="B94" t="s">
        <v>364</v>
      </c>
      <c r="C94">
        <v>24001123</v>
      </c>
      <c r="D94">
        <v>1204</v>
      </c>
      <c r="E94" s="2">
        <v>45323</v>
      </c>
      <c r="F94" t="s">
        <v>377</v>
      </c>
      <c r="G94">
        <v>32.71</v>
      </c>
      <c r="H94">
        <v>32.71</v>
      </c>
      <c r="I94" t="s">
        <v>351</v>
      </c>
      <c r="O94" t="s">
        <v>352</v>
      </c>
      <c r="Q94" t="s">
        <v>352</v>
      </c>
      <c r="R94" t="s">
        <v>366</v>
      </c>
      <c r="T94" t="s">
        <v>354</v>
      </c>
      <c r="U94" t="s">
        <v>355</v>
      </c>
      <c r="V94" t="s">
        <v>367</v>
      </c>
      <c r="W94" t="s">
        <v>368</v>
      </c>
      <c r="X94">
        <v>2097156</v>
      </c>
      <c r="Y94" s="2">
        <v>45323</v>
      </c>
      <c r="Z94" t="s">
        <v>352</v>
      </c>
      <c r="AA94">
        <v>2</v>
      </c>
      <c r="AB94" t="s">
        <v>352</v>
      </c>
      <c r="AD94" t="s">
        <v>352</v>
      </c>
      <c r="AE94" t="s">
        <v>352</v>
      </c>
      <c r="AF94" t="s">
        <v>352</v>
      </c>
      <c r="AG94">
        <v>72</v>
      </c>
      <c r="AH94" t="s">
        <v>352</v>
      </c>
      <c r="AL94" t="s">
        <v>352</v>
      </c>
      <c r="AM94" s="2">
        <v>45323</v>
      </c>
      <c r="AN94" t="s">
        <v>373</v>
      </c>
      <c r="AO94" t="s">
        <v>359</v>
      </c>
      <c r="AP94">
        <v>1204</v>
      </c>
      <c r="AQ94" t="s">
        <v>360</v>
      </c>
      <c r="AR94">
        <v>79280</v>
      </c>
      <c r="AU94" t="s">
        <v>352</v>
      </c>
      <c r="AV94" t="s">
        <v>362</v>
      </c>
      <c r="AX94" t="s">
        <v>352</v>
      </c>
      <c r="AY94">
        <v>631180</v>
      </c>
      <c r="AZ94">
        <v>1204.6311800000001</v>
      </c>
      <c r="BA94" s="54" t="s">
        <v>326</v>
      </c>
    </row>
    <row r="95" spans="1:53">
      <c r="A95" t="s">
        <v>348</v>
      </c>
      <c r="B95" t="s">
        <v>349</v>
      </c>
      <c r="C95">
        <v>24001424</v>
      </c>
      <c r="D95">
        <v>1205</v>
      </c>
      <c r="E95" s="2">
        <v>45323</v>
      </c>
      <c r="F95" t="s">
        <v>378</v>
      </c>
      <c r="G95">
        <v>54.95</v>
      </c>
      <c r="H95">
        <v>54.95</v>
      </c>
      <c r="I95" t="s">
        <v>351</v>
      </c>
      <c r="J95" t="s">
        <v>351</v>
      </c>
      <c r="L95" s="61">
        <v>868609.63</v>
      </c>
      <c r="N95" s="61">
        <v>868609.63</v>
      </c>
      <c r="O95" t="s">
        <v>352</v>
      </c>
      <c r="Q95" t="s">
        <v>352</v>
      </c>
      <c r="R95" t="s">
        <v>353</v>
      </c>
      <c r="S95">
        <v>15803</v>
      </c>
      <c r="T95" t="s">
        <v>354</v>
      </c>
      <c r="U95" t="s">
        <v>355</v>
      </c>
      <c r="V95" t="s">
        <v>356</v>
      </c>
      <c r="W95" t="s">
        <v>357</v>
      </c>
      <c r="X95">
        <v>2097159</v>
      </c>
      <c r="Y95" s="2">
        <v>45323</v>
      </c>
      <c r="Z95" t="s">
        <v>352</v>
      </c>
      <c r="AA95">
        <v>1</v>
      </c>
      <c r="AB95" t="s">
        <v>352</v>
      </c>
      <c r="AD95" t="s">
        <v>352</v>
      </c>
      <c r="AE95" t="s">
        <v>352</v>
      </c>
      <c r="AF95" t="s">
        <v>352</v>
      </c>
      <c r="AG95">
        <v>658</v>
      </c>
      <c r="AH95" t="s">
        <v>352</v>
      </c>
      <c r="AI95">
        <v>54000784</v>
      </c>
      <c r="AJ95" t="s">
        <v>378</v>
      </c>
      <c r="AL95" t="s">
        <v>352</v>
      </c>
      <c r="AM95" s="2">
        <v>45323</v>
      </c>
      <c r="AN95" t="s">
        <v>379</v>
      </c>
      <c r="AO95" t="s">
        <v>359</v>
      </c>
      <c r="AP95">
        <v>1205</v>
      </c>
      <c r="AQ95" t="s">
        <v>360</v>
      </c>
      <c r="AR95" t="s">
        <v>380</v>
      </c>
      <c r="AU95" t="s">
        <v>352</v>
      </c>
      <c r="AV95" t="s">
        <v>362</v>
      </c>
      <c r="AX95">
        <v>24001059</v>
      </c>
      <c r="AY95">
        <v>630300</v>
      </c>
      <c r="AZ95">
        <v>1205.6303</v>
      </c>
      <c r="BA95" s="54" t="s">
        <v>327</v>
      </c>
    </row>
    <row r="96" spans="1:53">
      <c r="A96" t="s">
        <v>348</v>
      </c>
      <c r="B96" t="s">
        <v>349</v>
      </c>
      <c r="C96">
        <v>24001425</v>
      </c>
      <c r="D96">
        <v>1205</v>
      </c>
      <c r="E96" s="2">
        <v>45323</v>
      </c>
      <c r="F96" t="s">
        <v>378</v>
      </c>
      <c r="G96">
        <v>27.26</v>
      </c>
      <c r="H96">
        <v>27.26</v>
      </c>
      <c r="I96" t="s">
        <v>351</v>
      </c>
      <c r="J96" t="s">
        <v>351</v>
      </c>
      <c r="L96" s="61">
        <v>430902.06</v>
      </c>
      <c r="N96" s="61">
        <v>430902.06</v>
      </c>
      <c r="O96" t="s">
        <v>352</v>
      </c>
      <c r="Q96" t="s">
        <v>352</v>
      </c>
      <c r="R96" t="s">
        <v>353</v>
      </c>
      <c r="S96">
        <v>15803</v>
      </c>
      <c r="T96" t="s">
        <v>354</v>
      </c>
      <c r="U96" t="s">
        <v>355</v>
      </c>
      <c r="V96" t="s">
        <v>356</v>
      </c>
      <c r="W96" t="s">
        <v>357</v>
      </c>
      <c r="X96">
        <v>2097162</v>
      </c>
      <c r="Y96" s="2">
        <v>45323</v>
      </c>
      <c r="Z96" t="s">
        <v>352</v>
      </c>
      <c r="AA96">
        <v>1</v>
      </c>
      <c r="AB96" t="s">
        <v>352</v>
      </c>
      <c r="AD96" t="s">
        <v>352</v>
      </c>
      <c r="AE96" t="s">
        <v>352</v>
      </c>
      <c r="AF96" t="s">
        <v>352</v>
      </c>
      <c r="AG96">
        <v>301</v>
      </c>
      <c r="AH96" t="s">
        <v>352</v>
      </c>
      <c r="AI96">
        <v>54000784</v>
      </c>
      <c r="AJ96" t="s">
        <v>378</v>
      </c>
      <c r="AL96" t="s">
        <v>352</v>
      </c>
      <c r="AM96" s="2">
        <v>45323</v>
      </c>
      <c r="AN96" t="s">
        <v>379</v>
      </c>
      <c r="AO96" t="s">
        <v>359</v>
      </c>
      <c r="AP96">
        <v>1205</v>
      </c>
      <c r="AQ96" t="s">
        <v>360</v>
      </c>
      <c r="AR96" t="s">
        <v>381</v>
      </c>
      <c r="AU96" t="s">
        <v>352</v>
      </c>
      <c r="AV96" t="s">
        <v>362</v>
      </c>
      <c r="AX96">
        <v>24001058</v>
      </c>
      <c r="AY96">
        <v>630300</v>
      </c>
      <c r="AZ96">
        <v>1205.6303</v>
      </c>
      <c r="BA96" s="54" t="s">
        <v>327</v>
      </c>
    </row>
    <row r="97" spans="1:53">
      <c r="A97" t="s">
        <v>348</v>
      </c>
      <c r="B97" t="s">
        <v>349</v>
      </c>
      <c r="C97">
        <v>24001426</v>
      </c>
      <c r="D97">
        <v>1205</v>
      </c>
      <c r="E97" s="2">
        <v>45323</v>
      </c>
      <c r="F97" t="s">
        <v>382</v>
      </c>
      <c r="G97">
        <v>8.9</v>
      </c>
      <c r="H97">
        <v>8.9</v>
      </c>
      <c r="I97" t="s">
        <v>351</v>
      </c>
      <c r="J97" t="s">
        <v>351</v>
      </c>
      <c r="L97" s="61">
        <v>140800</v>
      </c>
      <c r="N97" s="61">
        <v>140800</v>
      </c>
      <c r="O97" t="s">
        <v>352</v>
      </c>
      <c r="Q97" t="s">
        <v>352</v>
      </c>
      <c r="R97" t="s">
        <v>353</v>
      </c>
      <c r="S97">
        <v>15803</v>
      </c>
      <c r="T97" t="s">
        <v>354</v>
      </c>
      <c r="U97" t="s">
        <v>355</v>
      </c>
      <c r="V97" t="s">
        <v>356</v>
      </c>
      <c r="W97" t="s">
        <v>357</v>
      </c>
      <c r="X97">
        <v>2097167</v>
      </c>
      <c r="Y97" s="2">
        <v>45323</v>
      </c>
      <c r="Z97" t="s">
        <v>352</v>
      </c>
      <c r="AA97">
        <v>1</v>
      </c>
      <c r="AB97" t="s">
        <v>352</v>
      </c>
      <c r="AD97" t="s">
        <v>352</v>
      </c>
      <c r="AE97" t="s">
        <v>352</v>
      </c>
      <c r="AF97" t="s">
        <v>352</v>
      </c>
      <c r="AG97">
        <v>24</v>
      </c>
      <c r="AH97" t="s">
        <v>352</v>
      </c>
      <c r="AI97">
        <v>56418043</v>
      </c>
      <c r="AJ97" t="s">
        <v>382</v>
      </c>
      <c r="AL97" t="s">
        <v>352</v>
      </c>
      <c r="AM97" s="2">
        <v>45323</v>
      </c>
      <c r="AN97" t="s">
        <v>379</v>
      </c>
      <c r="AO97" t="s">
        <v>359</v>
      </c>
      <c r="AP97">
        <v>1205</v>
      </c>
      <c r="AQ97" t="s">
        <v>360</v>
      </c>
      <c r="AR97" t="s">
        <v>383</v>
      </c>
      <c r="AU97" t="s">
        <v>352</v>
      </c>
      <c r="AV97" t="s">
        <v>362</v>
      </c>
      <c r="AX97">
        <v>24001060</v>
      </c>
      <c r="AY97">
        <v>630300</v>
      </c>
      <c r="AZ97">
        <v>1205.6303</v>
      </c>
      <c r="BA97" s="54" t="s">
        <v>327</v>
      </c>
    </row>
    <row r="98" spans="1:53">
      <c r="A98" t="s">
        <v>348</v>
      </c>
      <c r="B98" t="s">
        <v>349</v>
      </c>
      <c r="C98">
        <v>24001443</v>
      </c>
      <c r="D98">
        <v>1205</v>
      </c>
      <c r="E98" s="2">
        <v>45323</v>
      </c>
      <c r="F98" t="s">
        <v>350</v>
      </c>
      <c r="G98">
        <v>90.18</v>
      </c>
      <c r="H98">
        <v>90.18</v>
      </c>
      <c r="I98" t="s">
        <v>351</v>
      </c>
      <c r="J98" t="s">
        <v>351</v>
      </c>
      <c r="L98" s="61">
        <v>1425000</v>
      </c>
      <c r="N98" s="61">
        <v>1425000</v>
      </c>
      <c r="O98" t="s">
        <v>352</v>
      </c>
      <c r="Q98" t="s">
        <v>352</v>
      </c>
      <c r="R98" t="s">
        <v>353</v>
      </c>
      <c r="S98">
        <v>15803</v>
      </c>
      <c r="T98" t="s">
        <v>354</v>
      </c>
      <c r="U98" t="s">
        <v>355</v>
      </c>
      <c r="V98" t="s">
        <v>356</v>
      </c>
      <c r="W98" t="s">
        <v>357</v>
      </c>
      <c r="X98">
        <v>2097282</v>
      </c>
      <c r="Y98" s="2">
        <v>45323</v>
      </c>
      <c r="Z98" t="s">
        <v>352</v>
      </c>
      <c r="AA98">
        <v>1</v>
      </c>
      <c r="AB98" t="s">
        <v>352</v>
      </c>
      <c r="AD98" t="s">
        <v>352</v>
      </c>
      <c r="AE98" t="s">
        <v>352</v>
      </c>
      <c r="AF98" t="s">
        <v>352</v>
      </c>
      <c r="AG98">
        <v>50</v>
      </c>
      <c r="AH98" t="s">
        <v>352</v>
      </c>
      <c r="AI98">
        <v>57112450</v>
      </c>
      <c r="AJ98" t="s">
        <v>350</v>
      </c>
      <c r="AL98" t="s">
        <v>352</v>
      </c>
      <c r="AM98" s="2">
        <v>45323</v>
      </c>
      <c r="AN98" t="s">
        <v>384</v>
      </c>
      <c r="AO98" t="s">
        <v>359</v>
      </c>
      <c r="AP98">
        <v>1205</v>
      </c>
      <c r="AQ98" t="s">
        <v>360</v>
      </c>
      <c r="AR98" t="s">
        <v>385</v>
      </c>
      <c r="AU98" t="s">
        <v>352</v>
      </c>
      <c r="AV98" t="s">
        <v>362</v>
      </c>
      <c r="AX98">
        <v>24001044</v>
      </c>
      <c r="AY98">
        <v>630300</v>
      </c>
      <c r="AZ98">
        <v>1205.6303</v>
      </c>
      <c r="BA98" s="54" t="s">
        <v>327</v>
      </c>
    </row>
    <row r="99" spans="1:53">
      <c r="A99" t="s">
        <v>363</v>
      </c>
      <c r="B99" t="s">
        <v>364</v>
      </c>
      <c r="C99">
        <v>24001169</v>
      </c>
      <c r="D99">
        <v>1205</v>
      </c>
      <c r="E99" s="2">
        <v>45323</v>
      </c>
      <c r="F99" t="s">
        <v>365</v>
      </c>
      <c r="G99">
        <v>13.28</v>
      </c>
      <c r="H99">
        <v>13.28</v>
      </c>
      <c r="I99" t="s">
        <v>351</v>
      </c>
      <c r="O99" t="s">
        <v>352</v>
      </c>
      <c r="Q99" t="s">
        <v>352</v>
      </c>
      <c r="R99" t="s">
        <v>366</v>
      </c>
      <c r="T99" t="s">
        <v>354</v>
      </c>
      <c r="U99" t="s">
        <v>355</v>
      </c>
      <c r="V99" t="s">
        <v>367</v>
      </c>
      <c r="W99" t="s">
        <v>368</v>
      </c>
      <c r="X99">
        <v>2097515</v>
      </c>
      <c r="Y99" s="2">
        <v>45324</v>
      </c>
      <c r="Z99" t="s">
        <v>352</v>
      </c>
      <c r="AA99">
        <v>2</v>
      </c>
      <c r="AB99" t="s">
        <v>352</v>
      </c>
      <c r="AD99" t="s">
        <v>352</v>
      </c>
      <c r="AE99" t="s">
        <v>352</v>
      </c>
      <c r="AF99" t="s">
        <v>352</v>
      </c>
      <c r="AG99">
        <v>1</v>
      </c>
      <c r="AH99" t="s">
        <v>352</v>
      </c>
      <c r="AL99" t="s">
        <v>352</v>
      </c>
      <c r="AM99" s="2">
        <v>45323</v>
      </c>
      <c r="AN99" t="s">
        <v>539</v>
      </c>
      <c r="AO99" t="s">
        <v>359</v>
      </c>
      <c r="AP99">
        <v>1205</v>
      </c>
      <c r="AQ99" t="s">
        <v>360</v>
      </c>
      <c r="AR99">
        <v>96021</v>
      </c>
      <c r="AU99" t="s">
        <v>352</v>
      </c>
      <c r="AV99" t="s">
        <v>362</v>
      </c>
      <c r="AX99" t="s">
        <v>352</v>
      </c>
      <c r="AY99">
        <v>631110</v>
      </c>
      <c r="AZ99">
        <v>1205.63111</v>
      </c>
      <c r="BA99" s="54" t="s">
        <v>328</v>
      </c>
    </row>
    <row r="100" spans="1:53">
      <c r="A100" t="s">
        <v>363</v>
      </c>
      <c r="B100" t="s">
        <v>364</v>
      </c>
      <c r="C100">
        <v>24001169</v>
      </c>
      <c r="D100">
        <v>1205</v>
      </c>
      <c r="E100" s="2">
        <v>45323</v>
      </c>
      <c r="F100" t="s">
        <v>365</v>
      </c>
      <c r="G100">
        <v>6.01</v>
      </c>
      <c r="H100">
        <v>6.01</v>
      </c>
      <c r="I100" t="s">
        <v>351</v>
      </c>
      <c r="O100" t="s">
        <v>352</v>
      </c>
      <c r="Q100" t="s">
        <v>352</v>
      </c>
      <c r="R100" t="s">
        <v>366</v>
      </c>
      <c r="T100" t="s">
        <v>354</v>
      </c>
      <c r="U100" t="s">
        <v>355</v>
      </c>
      <c r="V100" t="s">
        <v>367</v>
      </c>
      <c r="W100" t="s">
        <v>368</v>
      </c>
      <c r="X100">
        <v>2097515</v>
      </c>
      <c r="Y100" s="2">
        <v>45324</v>
      </c>
      <c r="Z100" t="s">
        <v>352</v>
      </c>
      <c r="AA100">
        <v>4</v>
      </c>
      <c r="AB100" t="s">
        <v>352</v>
      </c>
      <c r="AD100" t="s">
        <v>352</v>
      </c>
      <c r="AE100" t="s">
        <v>352</v>
      </c>
      <c r="AF100" t="s">
        <v>352</v>
      </c>
      <c r="AG100">
        <v>1</v>
      </c>
      <c r="AH100" t="s">
        <v>352</v>
      </c>
      <c r="AL100" t="s">
        <v>352</v>
      </c>
      <c r="AM100" s="2">
        <v>45323</v>
      </c>
      <c r="AN100" t="s">
        <v>539</v>
      </c>
      <c r="AO100" t="s">
        <v>359</v>
      </c>
      <c r="AP100">
        <v>1205</v>
      </c>
      <c r="AQ100" t="s">
        <v>360</v>
      </c>
      <c r="AR100">
        <v>207987</v>
      </c>
      <c r="AU100" t="s">
        <v>352</v>
      </c>
      <c r="AV100" t="s">
        <v>362</v>
      </c>
      <c r="AX100" t="s">
        <v>352</v>
      </c>
      <c r="AY100">
        <v>631110</v>
      </c>
      <c r="AZ100">
        <v>1205.63111</v>
      </c>
      <c r="BA100" s="54" t="s">
        <v>328</v>
      </c>
    </row>
    <row r="101" spans="1:53">
      <c r="A101" t="s">
        <v>363</v>
      </c>
      <c r="B101" t="s">
        <v>364</v>
      </c>
      <c r="C101">
        <v>24001169</v>
      </c>
      <c r="D101">
        <v>1205</v>
      </c>
      <c r="E101" s="2">
        <v>45323</v>
      </c>
      <c r="F101" t="s">
        <v>365</v>
      </c>
      <c r="G101">
        <v>13.28</v>
      </c>
      <c r="H101">
        <v>13.28</v>
      </c>
      <c r="I101" t="s">
        <v>351</v>
      </c>
      <c r="O101" t="s">
        <v>352</v>
      </c>
      <c r="Q101" t="s">
        <v>352</v>
      </c>
      <c r="R101" t="s">
        <v>366</v>
      </c>
      <c r="T101" t="s">
        <v>354</v>
      </c>
      <c r="U101" t="s">
        <v>355</v>
      </c>
      <c r="V101" t="s">
        <v>367</v>
      </c>
      <c r="W101" t="s">
        <v>368</v>
      </c>
      <c r="X101">
        <v>2097515</v>
      </c>
      <c r="Y101" s="2">
        <v>45324</v>
      </c>
      <c r="Z101" t="s">
        <v>352</v>
      </c>
      <c r="AA101">
        <v>6</v>
      </c>
      <c r="AB101" t="s">
        <v>352</v>
      </c>
      <c r="AD101" t="s">
        <v>352</v>
      </c>
      <c r="AE101" t="s">
        <v>352</v>
      </c>
      <c r="AF101" t="s">
        <v>352</v>
      </c>
      <c r="AG101">
        <v>1</v>
      </c>
      <c r="AH101" t="s">
        <v>352</v>
      </c>
      <c r="AL101" t="s">
        <v>352</v>
      </c>
      <c r="AM101" s="2">
        <v>45323</v>
      </c>
      <c r="AN101" t="s">
        <v>539</v>
      </c>
      <c r="AO101" t="s">
        <v>359</v>
      </c>
      <c r="AP101">
        <v>1205</v>
      </c>
      <c r="AQ101" t="s">
        <v>360</v>
      </c>
      <c r="AR101">
        <v>96021</v>
      </c>
      <c r="AU101" t="s">
        <v>352</v>
      </c>
      <c r="AV101" t="s">
        <v>362</v>
      </c>
      <c r="AX101" t="s">
        <v>352</v>
      </c>
      <c r="AY101">
        <v>631110</v>
      </c>
      <c r="AZ101">
        <v>1205.63111</v>
      </c>
      <c r="BA101" s="54" t="s">
        <v>328</v>
      </c>
    </row>
    <row r="102" spans="1:53">
      <c r="A102" t="s">
        <v>363</v>
      </c>
      <c r="B102" t="s">
        <v>364</v>
      </c>
      <c r="C102">
        <v>24001169</v>
      </c>
      <c r="D102">
        <v>1205</v>
      </c>
      <c r="E102" s="2">
        <v>45323</v>
      </c>
      <c r="F102" t="s">
        <v>365</v>
      </c>
      <c r="G102">
        <v>2.33</v>
      </c>
      <c r="H102">
        <v>2.33</v>
      </c>
      <c r="I102" t="s">
        <v>351</v>
      </c>
      <c r="O102" t="s">
        <v>352</v>
      </c>
      <c r="Q102" t="s">
        <v>352</v>
      </c>
      <c r="R102" t="s">
        <v>366</v>
      </c>
      <c r="T102" t="s">
        <v>354</v>
      </c>
      <c r="U102" t="s">
        <v>355</v>
      </c>
      <c r="V102" t="s">
        <v>367</v>
      </c>
      <c r="W102" t="s">
        <v>368</v>
      </c>
      <c r="X102">
        <v>2097515</v>
      </c>
      <c r="Y102" s="2">
        <v>45324</v>
      </c>
      <c r="Z102" t="s">
        <v>352</v>
      </c>
      <c r="AA102">
        <v>8</v>
      </c>
      <c r="AB102" t="s">
        <v>352</v>
      </c>
      <c r="AD102" t="s">
        <v>352</v>
      </c>
      <c r="AE102" t="s">
        <v>352</v>
      </c>
      <c r="AF102" t="s">
        <v>352</v>
      </c>
      <c r="AG102">
        <v>1</v>
      </c>
      <c r="AH102" t="s">
        <v>352</v>
      </c>
      <c r="AL102" t="s">
        <v>352</v>
      </c>
      <c r="AM102" s="2">
        <v>45323</v>
      </c>
      <c r="AN102" t="s">
        <v>539</v>
      </c>
      <c r="AO102" t="s">
        <v>359</v>
      </c>
      <c r="AP102">
        <v>1205</v>
      </c>
      <c r="AQ102" t="s">
        <v>360</v>
      </c>
      <c r="AR102">
        <v>89785</v>
      </c>
      <c r="AU102" t="s">
        <v>352</v>
      </c>
      <c r="AV102" t="s">
        <v>362</v>
      </c>
      <c r="AX102" t="s">
        <v>352</v>
      </c>
      <c r="AY102">
        <v>631110</v>
      </c>
      <c r="AZ102">
        <v>1205.63111</v>
      </c>
      <c r="BA102" s="54" t="s">
        <v>328</v>
      </c>
    </row>
    <row r="103" spans="1:53">
      <c r="A103" t="s">
        <v>363</v>
      </c>
      <c r="B103" t="s">
        <v>364</v>
      </c>
      <c r="C103">
        <v>24001169</v>
      </c>
      <c r="D103">
        <v>1205</v>
      </c>
      <c r="E103" s="2">
        <v>45323</v>
      </c>
      <c r="F103" t="s">
        <v>365</v>
      </c>
      <c r="G103">
        <v>20.34</v>
      </c>
      <c r="H103">
        <v>20.34</v>
      </c>
      <c r="I103" t="s">
        <v>351</v>
      </c>
      <c r="O103" t="s">
        <v>352</v>
      </c>
      <c r="Q103" t="s">
        <v>352</v>
      </c>
      <c r="R103" t="s">
        <v>366</v>
      </c>
      <c r="T103" t="s">
        <v>354</v>
      </c>
      <c r="U103" t="s">
        <v>355</v>
      </c>
      <c r="V103" t="s">
        <v>367</v>
      </c>
      <c r="W103" t="s">
        <v>368</v>
      </c>
      <c r="X103">
        <v>2097515</v>
      </c>
      <c r="Y103" s="2">
        <v>45324</v>
      </c>
      <c r="Z103" t="s">
        <v>352</v>
      </c>
      <c r="AA103">
        <v>10</v>
      </c>
      <c r="AB103" t="s">
        <v>352</v>
      </c>
      <c r="AD103" t="s">
        <v>352</v>
      </c>
      <c r="AE103" t="s">
        <v>352</v>
      </c>
      <c r="AF103" t="s">
        <v>352</v>
      </c>
      <c r="AG103">
        <v>6</v>
      </c>
      <c r="AH103" t="s">
        <v>352</v>
      </c>
      <c r="AL103" t="s">
        <v>352</v>
      </c>
      <c r="AM103" s="2">
        <v>45323</v>
      </c>
      <c r="AN103" t="s">
        <v>539</v>
      </c>
      <c r="AO103" t="s">
        <v>359</v>
      </c>
      <c r="AP103">
        <v>1205</v>
      </c>
      <c r="AQ103" t="s">
        <v>360</v>
      </c>
      <c r="AR103">
        <v>230640</v>
      </c>
      <c r="AU103" t="s">
        <v>352</v>
      </c>
      <c r="AV103" t="s">
        <v>362</v>
      </c>
      <c r="AX103" t="s">
        <v>352</v>
      </c>
      <c r="AY103">
        <v>631110</v>
      </c>
      <c r="AZ103">
        <v>1205.63111</v>
      </c>
      <c r="BA103" s="54" t="s">
        <v>328</v>
      </c>
    </row>
    <row r="104" spans="1:53">
      <c r="A104" t="s">
        <v>363</v>
      </c>
      <c r="B104" t="s">
        <v>364</v>
      </c>
      <c r="C104">
        <v>24001169</v>
      </c>
      <c r="D104">
        <v>1205</v>
      </c>
      <c r="E104" s="2">
        <v>45323</v>
      </c>
      <c r="F104" t="s">
        <v>365</v>
      </c>
      <c r="G104">
        <v>0.31</v>
      </c>
      <c r="H104">
        <v>0.31</v>
      </c>
      <c r="I104" t="s">
        <v>351</v>
      </c>
      <c r="O104" t="s">
        <v>352</v>
      </c>
      <c r="Q104" t="s">
        <v>352</v>
      </c>
      <c r="R104" t="s">
        <v>366</v>
      </c>
      <c r="T104" t="s">
        <v>354</v>
      </c>
      <c r="U104" t="s">
        <v>355</v>
      </c>
      <c r="V104" t="s">
        <v>367</v>
      </c>
      <c r="W104" t="s">
        <v>368</v>
      </c>
      <c r="X104">
        <v>2097515</v>
      </c>
      <c r="Y104" s="2">
        <v>45324</v>
      </c>
      <c r="Z104" t="s">
        <v>352</v>
      </c>
      <c r="AA104">
        <v>12</v>
      </c>
      <c r="AB104" t="s">
        <v>352</v>
      </c>
      <c r="AD104" t="s">
        <v>352</v>
      </c>
      <c r="AE104" t="s">
        <v>352</v>
      </c>
      <c r="AF104" t="s">
        <v>352</v>
      </c>
      <c r="AG104">
        <v>2</v>
      </c>
      <c r="AH104" t="s">
        <v>352</v>
      </c>
      <c r="AL104" t="s">
        <v>352</v>
      </c>
      <c r="AM104" s="2">
        <v>45323</v>
      </c>
      <c r="AN104" t="s">
        <v>539</v>
      </c>
      <c r="AO104" t="s">
        <v>359</v>
      </c>
      <c r="AP104">
        <v>1205</v>
      </c>
      <c r="AQ104" t="s">
        <v>360</v>
      </c>
      <c r="AR104">
        <v>88760</v>
      </c>
      <c r="AU104" t="s">
        <v>352</v>
      </c>
      <c r="AV104" t="s">
        <v>362</v>
      </c>
      <c r="AX104" t="s">
        <v>352</v>
      </c>
      <c r="AY104">
        <v>631110</v>
      </c>
      <c r="AZ104">
        <v>1205.63111</v>
      </c>
      <c r="BA104" s="54" t="s">
        <v>328</v>
      </c>
    </row>
    <row r="105" spans="1:53">
      <c r="A105" t="s">
        <v>363</v>
      </c>
      <c r="B105" t="s">
        <v>364</v>
      </c>
      <c r="C105">
        <v>24001169</v>
      </c>
      <c r="D105">
        <v>1205</v>
      </c>
      <c r="E105" s="2">
        <v>45323</v>
      </c>
      <c r="F105" t="s">
        <v>365</v>
      </c>
      <c r="G105">
        <v>0.18</v>
      </c>
      <c r="H105">
        <v>0.18</v>
      </c>
      <c r="I105" t="s">
        <v>351</v>
      </c>
      <c r="O105" t="s">
        <v>352</v>
      </c>
      <c r="Q105" t="s">
        <v>352</v>
      </c>
      <c r="R105" t="s">
        <v>366</v>
      </c>
      <c r="T105" t="s">
        <v>354</v>
      </c>
      <c r="U105" t="s">
        <v>355</v>
      </c>
      <c r="V105" t="s">
        <v>367</v>
      </c>
      <c r="W105" t="s">
        <v>368</v>
      </c>
      <c r="X105">
        <v>2097515</v>
      </c>
      <c r="Y105" s="2">
        <v>45324</v>
      </c>
      <c r="Z105" t="s">
        <v>352</v>
      </c>
      <c r="AA105">
        <v>14</v>
      </c>
      <c r="AB105" t="s">
        <v>352</v>
      </c>
      <c r="AD105" t="s">
        <v>352</v>
      </c>
      <c r="AE105" t="s">
        <v>352</v>
      </c>
      <c r="AF105" t="s">
        <v>352</v>
      </c>
      <c r="AG105">
        <v>1</v>
      </c>
      <c r="AH105" t="s">
        <v>352</v>
      </c>
      <c r="AL105" t="s">
        <v>352</v>
      </c>
      <c r="AM105" s="2">
        <v>45323</v>
      </c>
      <c r="AN105" t="s">
        <v>539</v>
      </c>
      <c r="AO105" t="s">
        <v>359</v>
      </c>
      <c r="AP105">
        <v>1205</v>
      </c>
      <c r="AQ105" t="s">
        <v>360</v>
      </c>
      <c r="AR105">
        <v>226150</v>
      </c>
      <c r="AU105" t="s">
        <v>352</v>
      </c>
      <c r="AV105" t="s">
        <v>362</v>
      </c>
      <c r="AX105" t="s">
        <v>352</v>
      </c>
      <c r="AY105">
        <v>631110</v>
      </c>
      <c r="AZ105">
        <v>1205.63111</v>
      </c>
      <c r="BA105" s="54" t="s">
        <v>328</v>
      </c>
    </row>
    <row r="106" spans="1:53">
      <c r="A106" t="s">
        <v>363</v>
      </c>
      <c r="B106" t="s">
        <v>364</v>
      </c>
      <c r="C106">
        <v>24001169</v>
      </c>
      <c r="D106">
        <v>1205</v>
      </c>
      <c r="E106" s="2">
        <v>45323</v>
      </c>
      <c r="F106" t="s">
        <v>365</v>
      </c>
      <c r="G106">
        <v>1.94</v>
      </c>
      <c r="H106">
        <v>1.94</v>
      </c>
      <c r="I106" t="s">
        <v>351</v>
      </c>
      <c r="O106" t="s">
        <v>352</v>
      </c>
      <c r="Q106" t="s">
        <v>352</v>
      </c>
      <c r="R106" t="s">
        <v>366</v>
      </c>
      <c r="T106" t="s">
        <v>354</v>
      </c>
      <c r="U106" t="s">
        <v>355</v>
      </c>
      <c r="V106" t="s">
        <v>367</v>
      </c>
      <c r="W106" t="s">
        <v>368</v>
      </c>
      <c r="X106">
        <v>2097515</v>
      </c>
      <c r="Y106" s="2">
        <v>45324</v>
      </c>
      <c r="Z106" t="s">
        <v>352</v>
      </c>
      <c r="AA106">
        <v>16</v>
      </c>
      <c r="AB106" t="s">
        <v>352</v>
      </c>
      <c r="AD106" t="s">
        <v>352</v>
      </c>
      <c r="AE106" t="s">
        <v>352</v>
      </c>
      <c r="AF106" t="s">
        <v>352</v>
      </c>
      <c r="AG106">
        <v>1</v>
      </c>
      <c r="AH106" t="s">
        <v>352</v>
      </c>
      <c r="AL106" t="s">
        <v>352</v>
      </c>
      <c r="AM106" s="2">
        <v>45323</v>
      </c>
      <c r="AN106" t="s">
        <v>539</v>
      </c>
      <c r="AO106" t="s">
        <v>359</v>
      </c>
      <c r="AP106">
        <v>1205</v>
      </c>
      <c r="AQ106" t="s">
        <v>360</v>
      </c>
      <c r="AR106">
        <v>250199</v>
      </c>
      <c r="AU106" t="s">
        <v>352</v>
      </c>
      <c r="AV106" t="s">
        <v>362</v>
      </c>
      <c r="AX106" t="s">
        <v>352</v>
      </c>
      <c r="AY106">
        <v>631110</v>
      </c>
      <c r="AZ106">
        <v>1205.63111</v>
      </c>
      <c r="BA106" s="54" t="s">
        <v>328</v>
      </c>
    </row>
    <row r="107" spans="1:53">
      <c r="A107" t="s">
        <v>363</v>
      </c>
      <c r="B107" t="s">
        <v>364</v>
      </c>
      <c r="C107">
        <v>24001169</v>
      </c>
      <c r="D107">
        <v>1205</v>
      </c>
      <c r="E107" s="2">
        <v>45323</v>
      </c>
      <c r="F107" t="s">
        <v>365</v>
      </c>
      <c r="G107">
        <v>2.2999999999999998</v>
      </c>
      <c r="H107">
        <v>2.2999999999999998</v>
      </c>
      <c r="I107" t="s">
        <v>351</v>
      </c>
      <c r="O107" t="s">
        <v>352</v>
      </c>
      <c r="Q107" t="s">
        <v>352</v>
      </c>
      <c r="R107" t="s">
        <v>366</v>
      </c>
      <c r="T107" t="s">
        <v>354</v>
      </c>
      <c r="U107" t="s">
        <v>355</v>
      </c>
      <c r="V107" t="s">
        <v>367</v>
      </c>
      <c r="W107" t="s">
        <v>368</v>
      </c>
      <c r="X107">
        <v>2097515</v>
      </c>
      <c r="Y107" s="2">
        <v>45324</v>
      </c>
      <c r="Z107" t="s">
        <v>352</v>
      </c>
      <c r="AA107">
        <v>18</v>
      </c>
      <c r="AB107" t="s">
        <v>352</v>
      </c>
      <c r="AD107" t="s">
        <v>352</v>
      </c>
      <c r="AE107" t="s">
        <v>352</v>
      </c>
      <c r="AF107" t="s">
        <v>352</v>
      </c>
      <c r="AG107">
        <v>1</v>
      </c>
      <c r="AH107" t="s">
        <v>352</v>
      </c>
      <c r="AL107" t="s">
        <v>352</v>
      </c>
      <c r="AM107" s="2">
        <v>45323</v>
      </c>
      <c r="AN107" t="s">
        <v>539</v>
      </c>
      <c r="AO107" t="s">
        <v>359</v>
      </c>
      <c r="AP107">
        <v>1205</v>
      </c>
      <c r="AQ107" t="s">
        <v>360</v>
      </c>
      <c r="AR107">
        <v>294012</v>
      </c>
      <c r="AU107" t="s">
        <v>352</v>
      </c>
      <c r="AV107" t="s">
        <v>362</v>
      </c>
      <c r="AX107" t="s">
        <v>352</v>
      </c>
      <c r="AY107">
        <v>631110</v>
      </c>
      <c r="AZ107">
        <v>1205.63111</v>
      </c>
      <c r="BA107" s="54" t="s">
        <v>328</v>
      </c>
    </row>
    <row r="108" spans="1:53">
      <c r="A108" t="s">
        <v>363</v>
      </c>
      <c r="B108" t="s">
        <v>364</v>
      </c>
      <c r="C108">
        <v>24001169</v>
      </c>
      <c r="D108">
        <v>1205</v>
      </c>
      <c r="E108" s="2">
        <v>45323</v>
      </c>
      <c r="F108" t="s">
        <v>365</v>
      </c>
      <c r="G108">
        <v>7.96</v>
      </c>
      <c r="H108">
        <v>7.96</v>
      </c>
      <c r="I108" t="s">
        <v>351</v>
      </c>
      <c r="O108" t="s">
        <v>352</v>
      </c>
      <c r="Q108" t="s">
        <v>352</v>
      </c>
      <c r="R108" t="s">
        <v>366</v>
      </c>
      <c r="T108" t="s">
        <v>354</v>
      </c>
      <c r="U108" t="s">
        <v>355</v>
      </c>
      <c r="V108" t="s">
        <v>367</v>
      </c>
      <c r="W108" t="s">
        <v>368</v>
      </c>
      <c r="X108">
        <v>2097515</v>
      </c>
      <c r="Y108" s="2">
        <v>45324</v>
      </c>
      <c r="Z108" t="s">
        <v>352</v>
      </c>
      <c r="AA108">
        <v>20</v>
      </c>
      <c r="AB108" t="s">
        <v>352</v>
      </c>
      <c r="AD108" t="s">
        <v>352</v>
      </c>
      <c r="AE108" t="s">
        <v>352</v>
      </c>
      <c r="AF108" t="s">
        <v>352</v>
      </c>
      <c r="AG108">
        <v>2</v>
      </c>
      <c r="AH108" t="s">
        <v>352</v>
      </c>
      <c r="AL108" t="s">
        <v>352</v>
      </c>
      <c r="AM108" s="2">
        <v>45323</v>
      </c>
      <c r="AN108" t="s">
        <v>539</v>
      </c>
      <c r="AO108" t="s">
        <v>359</v>
      </c>
      <c r="AP108">
        <v>1205</v>
      </c>
      <c r="AQ108" t="s">
        <v>360</v>
      </c>
      <c r="AR108">
        <v>126941</v>
      </c>
      <c r="AU108" t="s">
        <v>352</v>
      </c>
      <c r="AV108" t="s">
        <v>362</v>
      </c>
      <c r="AX108" t="s">
        <v>352</v>
      </c>
      <c r="AY108">
        <v>631110</v>
      </c>
      <c r="AZ108">
        <v>1205.63111</v>
      </c>
      <c r="BA108" s="54" t="s">
        <v>328</v>
      </c>
    </row>
    <row r="109" spans="1:53">
      <c r="A109" t="s">
        <v>363</v>
      </c>
      <c r="B109" t="s">
        <v>364</v>
      </c>
      <c r="C109">
        <v>24001169</v>
      </c>
      <c r="D109">
        <v>1205</v>
      </c>
      <c r="E109" s="2">
        <v>45323</v>
      </c>
      <c r="F109" t="s">
        <v>365</v>
      </c>
      <c r="G109">
        <v>72.87</v>
      </c>
      <c r="H109">
        <v>72.87</v>
      </c>
      <c r="I109" t="s">
        <v>351</v>
      </c>
      <c r="O109" t="s">
        <v>352</v>
      </c>
      <c r="Q109" t="s">
        <v>352</v>
      </c>
      <c r="R109" t="s">
        <v>366</v>
      </c>
      <c r="T109" t="s">
        <v>354</v>
      </c>
      <c r="U109" t="s">
        <v>355</v>
      </c>
      <c r="V109" t="s">
        <v>367</v>
      </c>
      <c r="W109" t="s">
        <v>368</v>
      </c>
      <c r="X109">
        <v>2097515</v>
      </c>
      <c r="Y109" s="2">
        <v>45324</v>
      </c>
      <c r="Z109" t="s">
        <v>352</v>
      </c>
      <c r="AA109">
        <v>22</v>
      </c>
      <c r="AB109" t="s">
        <v>352</v>
      </c>
      <c r="AD109" t="s">
        <v>352</v>
      </c>
      <c r="AE109" t="s">
        <v>352</v>
      </c>
      <c r="AF109" t="s">
        <v>352</v>
      </c>
      <c r="AG109">
        <v>5</v>
      </c>
      <c r="AH109" t="s">
        <v>352</v>
      </c>
      <c r="AL109" t="s">
        <v>352</v>
      </c>
      <c r="AM109" s="2">
        <v>45323</v>
      </c>
      <c r="AN109" t="s">
        <v>539</v>
      </c>
      <c r="AO109" t="s">
        <v>359</v>
      </c>
      <c r="AP109">
        <v>1205</v>
      </c>
      <c r="AQ109" t="s">
        <v>360</v>
      </c>
      <c r="AR109">
        <v>163472</v>
      </c>
      <c r="AU109" t="s">
        <v>352</v>
      </c>
      <c r="AV109" t="s">
        <v>362</v>
      </c>
      <c r="AX109" t="s">
        <v>352</v>
      </c>
      <c r="AY109">
        <v>631110</v>
      </c>
      <c r="AZ109">
        <v>1205.63111</v>
      </c>
      <c r="BA109" s="54" t="s">
        <v>328</v>
      </c>
    </row>
    <row r="110" spans="1:53">
      <c r="A110" t="s">
        <v>363</v>
      </c>
      <c r="B110" t="s">
        <v>364</v>
      </c>
      <c r="C110">
        <v>24001169</v>
      </c>
      <c r="D110">
        <v>1205</v>
      </c>
      <c r="E110" s="2">
        <v>45323</v>
      </c>
      <c r="F110" t="s">
        <v>365</v>
      </c>
      <c r="G110">
        <v>6.29</v>
      </c>
      <c r="H110">
        <v>6.29</v>
      </c>
      <c r="I110" t="s">
        <v>351</v>
      </c>
      <c r="O110" t="s">
        <v>352</v>
      </c>
      <c r="Q110" t="s">
        <v>352</v>
      </c>
      <c r="R110" t="s">
        <v>366</v>
      </c>
      <c r="T110" t="s">
        <v>354</v>
      </c>
      <c r="U110" t="s">
        <v>355</v>
      </c>
      <c r="V110" t="s">
        <v>367</v>
      </c>
      <c r="W110" t="s">
        <v>368</v>
      </c>
      <c r="X110">
        <v>2097515</v>
      </c>
      <c r="Y110" s="2">
        <v>45324</v>
      </c>
      <c r="Z110" t="s">
        <v>352</v>
      </c>
      <c r="AA110">
        <v>24</v>
      </c>
      <c r="AB110" t="s">
        <v>352</v>
      </c>
      <c r="AD110" t="s">
        <v>352</v>
      </c>
      <c r="AE110" t="s">
        <v>352</v>
      </c>
      <c r="AF110" t="s">
        <v>352</v>
      </c>
      <c r="AG110">
        <v>1</v>
      </c>
      <c r="AH110" t="s">
        <v>352</v>
      </c>
      <c r="AL110" t="s">
        <v>352</v>
      </c>
      <c r="AM110" s="2">
        <v>45323</v>
      </c>
      <c r="AN110" t="s">
        <v>539</v>
      </c>
      <c r="AO110" t="s">
        <v>359</v>
      </c>
      <c r="AP110">
        <v>1205</v>
      </c>
      <c r="AQ110" t="s">
        <v>360</v>
      </c>
      <c r="AR110">
        <v>88713</v>
      </c>
      <c r="AU110" t="s">
        <v>352</v>
      </c>
      <c r="AV110" t="s">
        <v>362</v>
      </c>
      <c r="AX110" t="s">
        <v>352</v>
      </c>
      <c r="AY110">
        <v>631110</v>
      </c>
      <c r="AZ110">
        <v>1205.63111</v>
      </c>
      <c r="BA110" s="54" t="s">
        <v>328</v>
      </c>
    </row>
    <row r="111" spans="1:53">
      <c r="A111" t="s">
        <v>363</v>
      </c>
      <c r="B111" t="s">
        <v>364</v>
      </c>
      <c r="C111">
        <v>24001169</v>
      </c>
      <c r="D111">
        <v>1205</v>
      </c>
      <c r="E111" s="2">
        <v>45323</v>
      </c>
      <c r="F111" t="s">
        <v>365</v>
      </c>
      <c r="G111">
        <v>3.15</v>
      </c>
      <c r="H111">
        <v>3.15</v>
      </c>
      <c r="I111" t="s">
        <v>351</v>
      </c>
      <c r="O111" t="s">
        <v>352</v>
      </c>
      <c r="Q111" t="s">
        <v>352</v>
      </c>
      <c r="R111" t="s">
        <v>366</v>
      </c>
      <c r="T111" t="s">
        <v>354</v>
      </c>
      <c r="U111" t="s">
        <v>355</v>
      </c>
      <c r="V111" t="s">
        <v>367</v>
      </c>
      <c r="W111" t="s">
        <v>368</v>
      </c>
      <c r="X111">
        <v>2097515</v>
      </c>
      <c r="Y111" s="2">
        <v>45324</v>
      </c>
      <c r="Z111" t="s">
        <v>352</v>
      </c>
      <c r="AA111">
        <v>26</v>
      </c>
      <c r="AB111" t="s">
        <v>352</v>
      </c>
      <c r="AD111" t="s">
        <v>352</v>
      </c>
      <c r="AE111" t="s">
        <v>352</v>
      </c>
      <c r="AF111" t="s">
        <v>352</v>
      </c>
      <c r="AG111">
        <v>1</v>
      </c>
      <c r="AH111" t="s">
        <v>352</v>
      </c>
      <c r="AL111" t="s">
        <v>352</v>
      </c>
      <c r="AM111" s="2">
        <v>45323</v>
      </c>
      <c r="AN111" t="s">
        <v>539</v>
      </c>
      <c r="AO111" t="s">
        <v>359</v>
      </c>
      <c r="AP111">
        <v>1205</v>
      </c>
      <c r="AQ111" t="s">
        <v>360</v>
      </c>
      <c r="AR111">
        <v>206793</v>
      </c>
      <c r="AU111" t="s">
        <v>352</v>
      </c>
      <c r="AV111" t="s">
        <v>362</v>
      </c>
      <c r="AX111" t="s">
        <v>352</v>
      </c>
      <c r="AY111">
        <v>631110</v>
      </c>
      <c r="AZ111">
        <v>1205.63111</v>
      </c>
      <c r="BA111" s="54" t="s">
        <v>328</v>
      </c>
    </row>
    <row r="112" spans="1:53">
      <c r="A112" t="s">
        <v>363</v>
      </c>
      <c r="B112" t="s">
        <v>364</v>
      </c>
      <c r="C112">
        <v>24001169</v>
      </c>
      <c r="D112">
        <v>1205</v>
      </c>
      <c r="E112" s="2">
        <v>45323</v>
      </c>
      <c r="F112" t="s">
        <v>365</v>
      </c>
      <c r="G112">
        <v>6.29</v>
      </c>
      <c r="H112">
        <v>6.29</v>
      </c>
      <c r="I112" t="s">
        <v>351</v>
      </c>
      <c r="O112" t="s">
        <v>352</v>
      </c>
      <c r="Q112" t="s">
        <v>352</v>
      </c>
      <c r="R112" t="s">
        <v>366</v>
      </c>
      <c r="T112" t="s">
        <v>354</v>
      </c>
      <c r="U112" t="s">
        <v>355</v>
      </c>
      <c r="V112" t="s">
        <v>367</v>
      </c>
      <c r="W112" t="s">
        <v>368</v>
      </c>
      <c r="X112">
        <v>2097515</v>
      </c>
      <c r="Y112" s="2">
        <v>45324</v>
      </c>
      <c r="Z112" t="s">
        <v>352</v>
      </c>
      <c r="AA112">
        <v>28</v>
      </c>
      <c r="AB112" t="s">
        <v>352</v>
      </c>
      <c r="AD112" t="s">
        <v>352</v>
      </c>
      <c r="AE112" t="s">
        <v>352</v>
      </c>
      <c r="AF112" t="s">
        <v>352</v>
      </c>
      <c r="AG112">
        <v>1</v>
      </c>
      <c r="AH112" t="s">
        <v>352</v>
      </c>
      <c r="AL112" t="s">
        <v>352</v>
      </c>
      <c r="AM112" s="2">
        <v>45323</v>
      </c>
      <c r="AN112" t="s">
        <v>539</v>
      </c>
      <c r="AO112" t="s">
        <v>359</v>
      </c>
      <c r="AP112">
        <v>1205</v>
      </c>
      <c r="AQ112" t="s">
        <v>360</v>
      </c>
      <c r="AR112">
        <v>88713</v>
      </c>
      <c r="AU112" t="s">
        <v>352</v>
      </c>
      <c r="AV112" t="s">
        <v>362</v>
      </c>
      <c r="AX112" t="s">
        <v>352</v>
      </c>
      <c r="AY112">
        <v>631110</v>
      </c>
      <c r="AZ112">
        <v>1205.63111</v>
      </c>
      <c r="BA112" s="54" t="s">
        <v>328</v>
      </c>
    </row>
    <row r="113" spans="1:53">
      <c r="A113" t="s">
        <v>363</v>
      </c>
      <c r="B113" t="s">
        <v>364</v>
      </c>
      <c r="C113">
        <v>24001169</v>
      </c>
      <c r="D113">
        <v>1205</v>
      </c>
      <c r="E113" s="2">
        <v>45323</v>
      </c>
      <c r="F113" t="s">
        <v>365</v>
      </c>
      <c r="G113">
        <v>219.2</v>
      </c>
      <c r="H113">
        <v>219.2</v>
      </c>
      <c r="I113" t="s">
        <v>351</v>
      </c>
      <c r="O113" t="s">
        <v>352</v>
      </c>
      <c r="Q113" t="s">
        <v>352</v>
      </c>
      <c r="R113" t="s">
        <v>366</v>
      </c>
      <c r="T113" t="s">
        <v>354</v>
      </c>
      <c r="U113" t="s">
        <v>355</v>
      </c>
      <c r="V113" t="s">
        <v>367</v>
      </c>
      <c r="W113" t="s">
        <v>368</v>
      </c>
      <c r="X113">
        <v>2097515</v>
      </c>
      <c r="Y113" s="2">
        <v>45324</v>
      </c>
      <c r="Z113" t="s">
        <v>352</v>
      </c>
      <c r="AA113">
        <v>30</v>
      </c>
      <c r="AB113" t="s">
        <v>352</v>
      </c>
      <c r="AD113" t="s">
        <v>352</v>
      </c>
      <c r="AE113" t="s">
        <v>352</v>
      </c>
      <c r="AF113" t="s">
        <v>352</v>
      </c>
      <c r="AG113">
        <v>1</v>
      </c>
      <c r="AH113" t="s">
        <v>352</v>
      </c>
      <c r="AL113" t="s">
        <v>352</v>
      </c>
      <c r="AM113" s="2">
        <v>45323</v>
      </c>
      <c r="AN113" t="s">
        <v>539</v>
      </c>
      <c r="AO113" t="s">
        <v>359</v>
      </c>
      <c r="AP113">
        <v>1205</v>
      </c>
      <c r="AQ113" t="s">
        <v>360</v>
      </c>
      <c r="AR113">
        <v>213931</v>
      </c>
      <c r="AU113" t="s">
        <v>352</v>
      </c>
      <c r="AV113" t="s">
        <v>362</v>
      </c>
      <c r="AX113" t="s">
        <v>352</v>
      </c>
      <c r="AY113">
        <v>631110</v>
      </c>
      <c r="AZ113">
        <v>1205.63111</v>
      </c>
      <c r="BA113" s="54" t="s">
        <v>328</v>
      </c>
    </row>
    <row r="114" spans="1:53">
      <c r="A114" t="s">
        <v>363</v>
      </c>
      <c r="B114" t="s">
        <v>364</v>
      </c>
      <c r="C114">
        <v>24001169</v>
      </c>
      <c r="D114">
        <v>1205</v>
      </c>
      <c r="E114" s="2">
        <v>45323</v>
      </c>
      <c r="F114" t="s">
        <v>365</v>
      </c>
      <c r="G114">
        <v>0.65</v>
      </c>
      <c r="H114">
        <v>0.65</v>
      </c>
      <c r="I114" t="s">
        <v>351</v>
      </c>
      <c r="O114" t="s">
        <v>352</v>
      </c>
      <c r="Q114" t="s">
        <v>352</v>
      </c>
      <c r="R114" t="s">
        <v>366</v>
      </c>
      <c r="T114" t="s">
        <v>354</v>
      </c>
      <c r="U114" t="s">
        <v>355</v>
      </c>
      <c r="V114" t="s">
        <v>367</v>
      </c>
      <c r="W114" t="s">
        <v>368</v>
      </c>
      <c r="X114">
        <v>2097515</v>
      </c>
      <c r="Y114" s="2">
        <v>45324</v>
      </c>
      <c r="Z114" t="s">
        <v>352</v>
      </c>
      <c r="AA114">
        <v>32</v>
      </c>
      <c r="AB114" t="s">
        <v>352</v>
      </c>
      <c r="AD114" t="s">
        <v>352</v>
      </c>
      <c r="AE114" t="s">
        <v>352</v>
      </c>
      <c r="AF114" t="s">
        <v>352</v>
      </c>
      <c r="AG114">
        <v>1</v>
      </c>
      <c r="AH114" t="s">
        <v>352</v>
      </c>
      <c r="AL114" t="s">
        <v>352</v>
      </c>
      <c r="AM114" s="2">
        <v>45323</v>
      </c>
      <c r="AN114" t="s">
        <v>539</v>
      </c>
      <c r="AO114" t="s">
        <v>359</v>
      </c>
      <c r="AP114">
        <v>1205</v>
      </c>
      <c r="AQ114" t="s">
        <v>360</v>
      </c>
      <c r="AR114">
        <v>90167</v>
      </c>
      <c r="AU114" t="s">
        <v>352</v>
      </c>
      <c r="AV114" t="s">
        <v>362</v>
      </c>
      <c r="AX114" t="s">
        <v>352</v>
      </c>
      <c r="AY114">
        <v>631110</v>
      </c>
      <c r="AZ114">
        <v>1205.63111</v>
      </c>
      <c r="BA114" s="54" t="s">
        <v>328</v>
      </c>
    </row>
    <row r="115" spans="1:53">
      <c r="A115" t="s">
        <v>363</v>
      </c>
      <c r="B115" t="s">
        <v>364</v>
      </c>
      <c r="C115">
        <v>24001169</v>
      </c>
      <c r="D115">
        <v>1205</v>
      </c>
      <c r="E115" s="2">
        <v>45323</v>
      </c>
      <c r="F115" t="s">
        <v>365</v>
      </c>
      <c r="G115">
        <v>2.97</v>
      </c>
      <c r="H115">
        <v>2.97</v>
      </c>
      <c r="I115" t="s">
        <v>351</v>
      </c>
      <c r="O115" t="s">
        <v>352</v>
      </c>
      <c r="Q115" t="s">
        <v>352</v>
      </c>
      <c r="R115" t="s">
        <v>366</v>
      </c>
      <c r="T115" t="s">
        <v>354</v>
      </c>
      <c r="U115" t="s">
        <v>355</v>
      </c>
      <c r="V115" t="s">
        <v>367</v>
      </c>
      <c r="W115" t="s">
        <v>368</v>
      </c>
      <c r="X115">
        <v>2097515</v>
      </c>
      <c r="Y115" s="2">
        <v>45324</v>
      </c>
      <c r="Z115" t="s">
        <v>352</v>
      </c>
      <c r="AA115">
        <v>34</v>
      </c>
      <c r="AB115" t="s">
        <v>352</v>
      </c>
      <c r="AD115" t="s">
        <v>352</v>
      </c>
      <c r="AE115" t="s">
        <v>352</v>
      </c>
      <c r="AF115" t="s">
        <v>352</v>
      </c>
      <c r="AG115">
        <v>5</v>
      </c>
      <c r="AH115" t="s">
        <v>352</v>
      </c>
      <c r="AL115" t="s">
        <v>352</v>
      </c>
      <c r="AM115" s="2">
        <v>45323</v>
      </c>
      <c r="AN115" t="s">
        <v>539</v>
      </c>
      <c r="AO115" t="s">
        <v>359</v>
      </c>
      <c r="AP115">
        <v>1205</v>
      </c>
      <c r="AQ115" t="s">
        <v>360</v>
      </c>
      <c r="AR115">
        <v>211638</v>
      </c>
      <c r="AU115" t="s">
        <v>352</v>
      </c>
      <c r="AV115" t="s">
        <v>362</v>
      </c>
      <c r="AX115" t="s">
        <v>352</v>
      </c>
      <c r="AY115">
        <v>631110</v>
      </c>
      <c r="AZ115">
        <v>1205.63111</v>
      </c>
      <c r="BA115" s="54" t="s">
        <v>328</v>
      </c>
    </row>
    <row r="116" spans="1:53">
      <c r="A116" t="s">
        <v>363</v>
      </c>
      <c r="B116" t="s">
        <v>364</v>
      </c>
      <c r="C116">
        <v>24001170</v>
      </c>
      <c r="D116">
        <v>1205</v>
      </c>
      <c r="E116" s="2">
        <v>45324</v>
      </c>
      <c r="F116" t="s">
        <v>365</v>
      </c>
      <c r="G116">
        <v>6.29</v>
      </c>
      <c r="H116">
        <v>6.29</v>
      </c>
      <c r="I116" t="s">
        <v>351</v>
      </c>
      <c r="O116" t="s">
        <v>352</v>
      </c>
      <c r="Q116" t="s">
        <v>352</v>
      </c>
      <c r="R116" t="s">
        <v>366</v>
      </c>
      <c r="T116" t="s">
        <v>354</v>
      </c>
      <c r="U116" t="s">
        <v>355</v>
      </c>
      <c r="V116" t="s">
        <v>367</v>
      </c>
      <c r="W116" t="s">
        <v>368</v>
      </c>
      <c r="X116">
        <v>2097515</v>
      </c>
      <c r="Y116" s="2">
        <v>45324</v>
      </c>
      <c r="Z116" t="s">
        <v>352</v>
      </c>
      <c r="AA116">
        <v>2</v>
      </c>
      <c r="AB116" t="s">
        <v>352</v>
      </c>
      <c r="AD116" t="s">
        <v>352</v>
      </c>
      <c r="AE116" t="s">
        <v>352</v>
      </c>
      <c r="AF116" t="s">
        <v>352</v>
      </c>
      <c r="AG116">
        <v>1</v>
      </c>
      <c r="AH116" t="s">
        <v>352</v>
      </c>
      <c r="AL116" t="s">
        <v>352</v>
      </c>
      <c r="AM116" s="2">
        <v>45324</v>
      </c>
      <c r="AN116" t="s">
        <v>539</v>
      </c>
      <c r="AO116" t="s">
        <v>359</v>
      </c>
      <c r="AP116">
        <v>1205</v>
      </c>
      <c r="AQ116" t="s">
        <v>360</v>
      </c>
      <c r="AR116">
        <v>88713</v>
      </c>
      <c r="AU116" t="s">
        <v>352</v>
      </c>
      <c r="AV116" t="s">
        <v>362</v>
      </c>
      <c r="AX116" t="s">
        <v>352</v>
      </c>
      <c r="AY116">
        <v>631110</v>
      </c>
      <c r="AZ116">
        <v>1205.63111</v>
      </c>
      <c r="BA116" s="54" t="s">
        <v>328</v>
      </c>
    </row>
    <row r="117" spans="1:53">
      <c r="A117" t="s">
        <v>363</v>
      </c>
      <c r="B117" t="s">
        <v>364</v>
      </c>
      <c r="C117">
        <v>24001170</v>
      </c>
      <c r="D117">
        <v>1205</v>
      </c>
      <c r="E117" s="2">
        <v>45324</v>
      </c>
      <c r="F117" t="s">
        <v>365</v>
      </c>
      <c r="G117">
        <v>24.5</v>
      </c>
      <c r="H117">
        <v>24.5</v>
      </c>
      <c r="I117" t="s">
        <v>351</v>
      </c>
      <c r="O117" t="s">
        <v>352</v>
      </c>
      <c r="Q117" t="s">
        <v>352</v>
      </c>
      <c r="R117" t="s">
        <v>366</v>
      </c>
      <c r="T117" t="s">
        <v>354</v>
      </c>
      <c r="U117" t="s">
        <v>355</v>
      </c>
      <c r="V117" t="s">
        <v>367</v>
      </c>
      <c r="W117" t="s">
        <v>368</v>
      </c>
      <c r="X117">
        <v>2097515</v>
      </c>
      <c r="Y117" s="2">
        <v>45324</v>
      </c>
      <c r="Z117" t="s">
        <v>352</v>
      </c>
      <c r="AA117">
        <v>4</v>
      </c>
      <c r="AB117" t="s">
        <v>352</v>
      </c>
      <c r="AD117" t="s">
        <v>352</v>
      </c>
      <c r="AE117" t="s">
        <v>352</v>
      </c>
      <c r="AF117" t="s">
        <v>352</v>
      </c>
      <c r="AG117">
        <v>1</v>
      </c>
      <c r="AH117" t="s">
        <v>352</v>
      </c>
      <c r="AL117" t="s">
        <v>352</v>
      </c>
      <c r="AM117" s="2">
        <v>45324</v>
      </c>
      <c r="AN117" t="s">
        <v>539</v>
      </c>
      <c r="AO117" t="s">
        <v>359</v>
      </c>
      <c r="AP117">
        <v>1205</v>
      </c>
      <c r="AQ117" t="s">
        <v>360</v>
      </c>
      <c r="AR117">
        <v>143095</v>
      </c>
      <c r="AU117" t="s">
        <v>352</v>
      </c>
      <c r="AV117" t="s">
        <v>362</v>
      </c>
      <c r="AX117" t="s">
        <v>352</v>
      </c>
      <c r="AY117">
        <v>631110</v>
      </c>
      <c r="AZ117">
        <v>1205.63111</v>
      </c>
      <c r="BA117" s="54" t="s">
        <v>328</v>
      </c>
    </row>
    <row r="118" spans="1:53">
      <c r="A118" t="s">
        <v>363</v>
      </c>
      <c r="B118" t="s">
        <v>364</v>
      </c>
      <c r="C118">
        <v>24001170</v>
      </c>
      <c r="D118">
        <v>1205</v>
      </c>
      <c r="E118" s="2">
        <v>45324</v>
      </c>
      <c r="F118" t="s">
        <v>365</v>
      </c>
      <c r="G118">
        <v>25.18</v>
      </c>
      <c r="H118">
        <v>25.18</v>
      </c>
      <c r="I118" t="s">
        <v>351</v>
      </c>
      <c r="O118" t="s">
        <v>352</v>
      </c>
      <c r="Q118" t="s">
        <v>352</v>
      </c>
      <c r="R118" t="s">
        <v>366</v>
      </c>
      <c r="T118" t="s">
        <v>354</v>
      </c>
      <c r="U118" t="s">
        <v>355</v>
      </c>
      <c r="V118" t="s">
        <v>367</v>
      </c>
      <c r="W118" t="s">
        <v>368</v>
      </c>
      <c r="X118">
        <v>2097515</v>
      </c>
      <c r="Y118" s="2">
        <v>45324</v>
      </c>
      <c r="Z118" t="s">
        <v>352</v>
      </c>
      <c r="AA118">
        <v>6</v>
      </c>
      <c r="AB118" t="s">
        <v>352</v>
      </c>
      <c r="AD118" t="s">
        <v>352</v>
      </c>
      <c r="AE118" t="s">
        <v>352</v>
      </c>
      <c r="AF118" t="s">
        <v>352</v>
      </c>
      <c r="AG118">
        <v>1</v>
      </c>
      <c r="AH118" t="s">
        <v>352</v>
      </c>
      <c r="AL118" t="s">
        <v>352</v>
      </c>
      <c r="AM118" s="2">
        <v>45324</v>
      </c>
      <c r="AN118" t="s">
        <v>539</v>
      </c>
      <c r="AO118" t="s">
        <v>359</v>
      </c>
      <c r="AP118">
        <v>1205</v>
      </c>
      <c r="AQ118" t="s">
        <v>360</v>
      </c>
      <c r="AR118">
        <v>143093</v>
      </c>
      <c r="AU118" t="s">
        <v>352</v>
      </c>
      <c r="AV118" t="s">
        <v>362</v>
      </c>
      <c r="AX118" t="s">
        <v>352</v>
      </c>
      <c r="AY118">
        <v>631110</v>
      </c>
      <c r="AZ118">
        <v>1205.63111</v>
      </c>
      <c r="BA118" s="54" t="s">
        <v>328</v>
      </c>
    </row>
    <row r="119" spans="1:53">
      <c r="A119" t="s">
        <v>363</v>
      </c>
      <c r="B119" t="s">
        <v>364</v>
      </c>
      <c r="C119">
        <v>24001170</v>
      </c>
      <c r="D119">
        <v>1205</v>
      </c>
      <c r="E119" s="2">
        <v>45324</v>
      </c>
      <c r="F119" t="s">
        <v>365</v>
      </c>
      <c r="G119">
        <v>96.87</v>
      </c>
      <c r="H119">
        <v>96.87</v>
      </c>
      <c r="I119" t="s">
        <v>351</v>
      </c>
      <c r="O119" t="s">
        <v>352</v>
      </c>
      <c r="Q119" t="s">
        <v>352</v>
      </c>
      <c r="R119" t="s">
        <v>366</v>
      </c>
      <c r="T119" t="s">
        <v>354</v>
      </c>
      <c r="U119" t="s">
        <v>355</v>
      </c>
      <c r="V119" t="s">
        <v>367</v>
      </c>
      <c r="W119" t="s">
        <v>368</v>
      </c>
      <c r="X119">
        <v>2097515</v>
      </c>
      <c r="Y119" s="2">
        <v>45324</v>
      </c>
      <c r="Z119" t="s">
        <v>352</v>
      </c>
      <c r="AA119">
        <v>8</v>
      </c>
      <c r="AB119" t="s">
        <v>352</v>
      </c>
      <c r="AD119" t="s">
        <v>352</v>
      </c>
      <c r="AE119" t="s">
        <v>352</v>
      </c>
      <c r="AF119" t="s">
        <v>352</v>
      </c>
      <c r="AG119">
        <v>1</v>
      </c>
      <c r="AH119" t="s">
        <v>352</v>
      </c>
      <c r="AL119" t="s">
        <v>352</v>
      </c>
      <c r="AM119" s="2">
        <v>45324</v>
      </c>
      <c r="AN119" t="s">
        <v>539</v>
      </c>
      <c r="AO119" t="s">
        <v>359</v>
      </c>
      <c r="AP119">
        <v>1205</v>
      </c>
      <c r="AQ119" t="s">
        <v>360</v>
      </c>
      <c r="AR119">
        <v>295680</v>
      </c>
      <c r="AU119" t="s">
        <v>352</v>
      </c>
      <c r="AV119" t="s">
        <v>362</v>
      </c>
      <c r="AX119" t="s">
        <v>352</v>
      </c>
      <c r="AY119">
        <v>631110</v>
      </c>
      <c r="AZ119">
        <v>1205.63111</v>
      </c>
      <c r="BA119" s="54" t="s">
        <v>328</v>
      </c>
    </row>
    <row r="120" spans="1:53">
      <c r="A120" t="s">
        <v>363</v>
      </c>
      <c r="B120" t="s">
        <v>364</v>
      </c>
      <c r="C120">
        <v>24001170</v>
      </c>
      <c r="D120">
        <v>1205</v>
      </c>
      <c r="E120" s="2">
        <v>45324</v>
      </c>
      <c r="F120" t="s">
        <v>365</v>
      </c>
      <c r="G120">
        <v>0.52</v>
      </c>
      <c r="H120">
        <v>0.52</v>
      </c>
      <c r="I120" t="s">
        <v>351</v>
      </c>
      <c r="O120" t="s">
        <v>352</v>
      </c>
      <c r="Q120" t="s">
        <v>352</v>
      </c>
      <c r="R120" t="s">
        <v>366</v>
      </c>
      <c r="T120" t="s">
        <v>354</v>
      </c>
      <c r="U120" t="s">
        <v>355</v>
      </c>
      <c r="V120" t="s">
        <v>367</v>
      </c>
      <c r="W120" t="s">
        <v>368</v>
      </c>
      <c r="X120">
        <v>2097515</v>
      </c>
      <c r="Y120" s="2">
        <v>45324</v>
      </c>
      <c r="Z120" t="s">
        <v>352</v>
      </c>
      <c r="AA120">
        <v>10</v>
      </c>
      <c r="AB120" t="s">
        <v>352</v>
      </c>
      <c r="AD120" t="s">
        <v>352</v>
      </c>
      <c r="AE120" t="s">
        <v>352</v>
      </c>
      <c r="AF120" t="s">
        <v>352</v>
      </c>
      <c r="AG120">
        <v>1</v>
      </c>
      <c r="AH120" t="s">
        <v>352</v>
      </c>
      <c r="AL120" t="s">
        <v>352</v>
      </c>
      <c r="AM120" s="2">
        <v>45324</v>
      </c>
      <c r="AN120" t="s">
        <v>539</v>
      </c>
      <c r="AO120" t="s">
        <v>359</v>
      </c>
      <c r="AP120">
        <v>1205</v>
      </c>
      <c r="AQ120" t="s">
        <v>360</v>
      </c>
      <c r="AR120">
        <v>89777</v>
      </c>
      <c r="AU120" t="s">
        <v>352</v>
      </c>
      <c r="AV120" t="s">
        <v>362</v>
      </c>
      <c r="AX120" t="s">
        <v>352</v>
      </c>
      <c r="AY120">
        <v>631110</v>
      </c>
      <c r="AZ120">
        <v>1205.63111</v>
      </c>
      <c r="BA120" s="54" t="s">
        <v>328</v>
      </c>
    </row>
    <row r="121" spans="1:53">
      <c r="A121" t="s">
        <v>363</v>
      </c>
      <c r="B121" t="s">
        <v>364</v>
      </c>
      <c r="C121">
        <v>24001170</v>
      </c>
      <c r="D121">
        <v>1205</v>
      </c>
      <c r="E121" s="2">
        <v>45324</v>
      </c>
      <c r="F121" t="s">
        <v>365</v>
      </c>
      <c r="G121">
        <v>82.09</v>
      </c>
      <c r="H121">
        <v>82.09</v>
      </c>
      <c r="I121" t="s">
        <v>351</v>
      </c>
      <c r="O121" t="s">
        <v>352</v>
      </c>
      <c r="Q121" t="s">
        <v>352</v>
      </c>
      <c r="R121" t="s">
        <v>366</v>
      </c>
      <c r="T121" t="s">
        <v>354</v>
      </c>
      <c r="U121" t="s">
        <v>355</v>
      </c>
      <c r="V121" t="s">
        <v>367</v>
      </c>
      <c r="W121" t="s">
        <v>368</v>
      </c>
      <c r="X121">
        <v>2097515</v>
      </c>
      <c r="Y121" s="2">
        <v>45324</v>
      </c>
      <c r="Z121" t="s">
        <v>352</v>
      </c>
      <c r="AA121">
        <v>12</v>
      </c>
      <c r="AB121" t="s">
        <v>352</v>
      </c>
      <c r="AD121" t="s">
        <v>352</v>
      </c>
      <c r="AE121" t="s">
        <v>352</v>
      </c>
      <c r="AF121" t="s">
        <v>352</v>
      </c>
      <c r="AG121">
        <v>1</v>
      </c>
      <c r="AH121" t="s">
        <v>352</v>
      </c>
      <c r="AL121" t="s">
        <v>352</v>
      </c>
      <c r="AM121" s="2">
        <v>45324</v>
      </c>
      <c r="AN121" t="s">
        <v>539</v>
      </c>
      <c r="AO121" t="s">
        <v>359</v>
      </c>
      <c r="AP121">
        <v>1205</v>
      </c>
      <c r="AQ121" t="s">
        <v>360</v>
      </c>
      <c r="AR121">
        <v>143865</v>
      </c>
      <c r="AU121" t="s">
        <v>352</v>
      </c>
      <c r="AV121" t="s">
        <v>362</v>
      </c>
      <c r="AX121" t="s">
        <v>352</v>
      </c>
      <c r="AY121">
        <v>631110</v>
      </c>
      <c r="AZ121">
        <v>1205.63111</v>
      </c>
      <c r="BA121" s="54" t="s">
        <v>328</v>
      </c>
    </row>
    <row r="122" spans="1:53">
      <c r="A122" t="s">
        <v>363</v>
      </c>
      <c r="B122" t="s">
        <v>364</v>
      </c>
      <c r="C122">
        <v>24001170</v>
      </c>
      <c r="D122">
        <v>1205</v>
      </c>
      <c r="E122" s="2">
        <v>45324</v>
      </c>
      <c r="F122" t="s">
        <v>365</v>
      </c>
      <c r="G122">
        <v>0.84</v>
      </c>
      <c r="H122">
        <v>0.84</v>
      </c>
      <c r="I122" t="s">
        <v>351</v>
      </c>
      <c r="O122" t="s">
        <v>352</v>
      </c>
      <c r="Q122" t="s">
        <v>352</v>
      </c>
      <c r="R122" t="s">
        <v>366</v>
      </c>
      <c r="T122" t="s">
        <v>354</v>
      </c>
      <c r="U122" t="s">
        <v>355</v>
      </c>
      <c r="V122" t="s">
        <v>367</v>
      </c>
      <c r="W122" t="s">
        <v>368</v>
      </c>
      <c r="X122">
        <v>2097515</v>
      </c>
      <c r="Y122" s="2">
        <v>45324</v>
      </c>
      <c r="Z122" t="s">
        <v>352</v>
      </c>
      <c r="AA122">
        <v>14</v>
      </c>
      <c r="AB122" t="s">
        <v>352</v>
      </c>
      <c r="AD122" t="s">
        <v>352</v>
      </c>
      <c r="AE122" t="s">
        <v>352</v>
      </c>
      <c r="AF122" t="s">
        <v>352</v>
      </c>
      <c r="AG122">
        <v>1</v>
      </c>
      <c r="AH122" t="s">
        <v>352</v>
      </c>
      <c r="AL122" t="s">
        <v>352</v>
      </c>
      <c r="AM122" s="2">
        <v>45324</v>
      </c>
      <c r="AN122" t="s">
        <v>539</v>
      </c>
      <c r="AO122" t="s">
        <v>359</v>
      </c>
      <c r="AP122">
        <v>1205</v>
      </c>
      <c r="AQ122" t="s">
        <v>360</v>
      </c>
      <c r="AR122">
        <v>88704</v>
      </c>
      <c r="AU122" t="s">
        <v>352</v>
      </c>
      <c r="AV122" t="s">
        <v>362</v>
      </c>
      <c r="AX122" t="s">
        <v>352</v>
      </c>
      <c r="AY122">
        <v>631110</v>
      </c>
      <c r="AZ122">
        <v>1205.63111</v>
      </c>
      <c r="BA122" s="54" t="s">
        <v>328</v>
      </c>
    </row>
    <row r="123" spans="1:53">
      <c r="A123" t="s">
        <v>363</v>
      </c>
      <c r="B123" t="s">
        <v>364</v>
      </c>
      <c r="C123">
        <v>24001170</v>
      </c>
      <c r="D123">
        <v>1205</v>
      </c>
      <c r="E123" s="2">
        <v>45324</v>
      </c>
      <c r="F123" t="s">
        <v>365</v>
      </c>
      <c r="G123">
        <v>0.33</v>
      </c>
      <c r="H123">
        <v>0.33</v>
      </c>
      <c r="I123" t="s">
        <v>351</v>
      </c>
      <c r="O123" t="s">
        <v>352</v>
      </c>
      <c r="Q123" t="s">
        <v>352</v>
      </c>
      <c r="R123" t="s">
        <v>366</v>
      </c>
      <c r="T123" t="s">
        <v>354</v>
      </c>
      <c r="U123" t="s">
        <v>355</v>
      </c>
      <c r="V123" t="s">
        <v>367</v>
      </c>
      <c r="W123" t="s">
        <v>368</v>
      </c>
      <c r="X123">
        <v>2097515</v>
      </c>
      <c r="Y123" s="2">
        <v>45324</v>
      </c>
      <c r="Z123" t="s">
        <v>352</v>
      </c>
      <c r="AA123">
        <v>16</v>
      </c>
      <c r="AB123" t="s">
        <v>352</v>
      </c>
      <c r="AD123" t="s">
        <v>352</v>
      </c>
      <c r="AE123" t="s">
        <v>352</v>
      </c>
      <c r="AF123" t="s">
        <v>352</v>
      </c>
      <c r="AG123">
        <v>2</v>
      </c>
      <c r="AH123" t="s">
        <v>352</v>
      </c>
      <c r="AL123" t="s">
        <v>352</v>
      </c>
      <c r="AM123" s="2">
        <v>45324</v>
      </c>
      <c r="AN123" t="s">
        <v>539</v>
      </c>
      <c r="AO123" t="s">
        <v>359</v>
      </c>
      <c r="AP123">
        <v>1205</v>
      </c>
      <c r="AQ123" t="s">
        <v>360</v>
      </c>
      <c r="AR123">
        <v>89782</v>
      </c>
      <c r="AU123" t="s">
        <v>352</v>
      </c>
      <c r="AV123" t="s">
        <v>362</v>
      </c>
      <c r="AX123" t="s">
        <v>352</v>
      </c>
      <c r="AY123">
        <v>631110</v>
      </c>
      <c r="AZ123">
        <v>1205.63111</v>
      </c>
      <c r="BA123" s="54" t="s">
        <v>328</v>
      </c>
    </row>
    <row r="124" spans="1:53">
      <c r="A124" t="s">
        <v>363</v>
      </c>
      <c r="B124" t="s">
        <v>364</v>
      </c>
      <c r="C124">
        <v>24001170</v>
      </c>
      <c r="D124">
        <v>1205</v>
      </c>
      <c r="E124" s="2">
        <v>45324</v>
      </c>
      <c r="F124" t="s">
        <v>365</v>
      </c>
      <c r="G124">
        <v>6.29</v>
      </c>
      <c r="H124">
        <v>6.29</v>
      </c>
      <c r="I124" t="s">
        <v>351</v>
      </c>
      <c r="O124" t="s">
        <v>352</v>
      </c>
      <c r="Q124" t="s">
        <v>352</v>
      </c>
      <c r="R124" t="s">
        <v>366</v>
      </c>
      <c r="T124" t="s">
        <v>354</v>
      </c>
      <c r="U124" t="s">
        <v>355</v>
      </c>
      <c r="V124" t="s">
        <v>367</v>
      </c>
      <c r="W124" t="s">
        <v>368</v>
      </c>
      <c r="X124">
        <v>2097515</v>
      </c>
      <c r="Y124" s="2">
        <v>45324</v>
      </c>
      <c r="Z124" t="s">
        <v>352</v>
      </c>
      <c r="AA124">
        <v>18</v>
      </c>
      <c r="AB124" t="s">
        <v>352</v>
      </c>
      <c r="AD124" t="s">
        <v>352</v>
      </c>
      <c r="AE124" t="s">
        <v>352</v>
      </c>
      <c r="AF124" t="s">
        <v>352</v>
      </c>
      <c r="AG124">
        <v>1</v>
      </c>
      <c r="AH124" t="s">
        <v>352</v>
      </c>
      <c r="AL124" t="s">
        <v>352</v>
      </c>
      <c r="AM124" s="2">
        <v>45324</v>
      </c>
      <c r="AN124" t="s">
        <v>539</v>
      </c>
      <c r="AO124" t="s">
        <v>359</v>
      </c>
      <c r="AP124">
        <v>1205</v>
      </c>
      <c r="AQ124" t="s">
        <v>360</v>
      </c>
      <c r="AR124">
        <v>88713</v>
      </c>
      <c r="AU124" t="s">
        <v>352</v>
      </c>
      <c r="AV124" t="s">
        <v>362</v>
      </c>
      <c r="AX124" t="s">
        <v>352</v>
      </c>
      <c r="AY124">
        <v>631110</v>
      </c>
      <c r="AZ124">
        <v>1205.63111</v>
      </c>
      <c r="BA124" s="54" t="s">
        <v>328</v>
      </c>
    </row>
    <row r="125" spans="1:53">
      <c r="A125" t="s">
        <v>363</v>
      </c>
      <c r="B125" t="s">
        <v>364</v>
      </c>
      <c r="C125">
        <v>24001170</v>
      </c>
      <c r="D125">
        <v>1205</v>
      </c>
      <c r="E125" s="2">
        <v>45324</v>
      </c>
      <c r="F125" t="s">
        <v>365</v>
      </c>
      <c r="G125">
        <v>4.5199999999999996</v>
      </c>
      <c r="H125">
        <v>4.5199999999999996</v>
      </c>
      <c r="I125" t="s">
        <v>351</v>
      </c>
      <c r="O125" t="s">
        <v>352</v>
      </c>
      <c r="Q125" t="s">
        <v>352</v>
      </c>
      <c r="R125" t="s">
        <v>366</v>
      </c>
      <c r="T125" t="s">
        <v>354</v>
      </c>
      <c r="U125" t="s">
        <v>355</v>
      </c>
      <c r="V125" t="s">
        <v>367</v>
      </c>
      <c r="W125" t="s">
        <v>368</v>
      </c>
      <c r="X125">
        <v>2097515</v>
      </c>
      <c r="Y125" s="2">
        <v>45324</v>
      </c>
      <c r="Z125" t="s">
        <v>352</v>
      </c>
      <c r="AA125">
        <v>20</v>
      </c>
      <c r="AB125" t="s">
        <v>352</v>
      </c>
      <c r="AD125" t="s">
        <v>352</v>
      </c>
      <c r="AE125" t="s">
        <v>352</v>
      </c>
      <c r="AF125" t="s">
        <v>352</v>
      </c>
      <c r="AG125">
        <v>1</v>
      </c>
      <c r="AH125" t="s">
        <v>352</v>
      </c>
      <c r="AL125" t="s">
        <v>352</v>
      </c>
      <c r="AM125" s="2">
        <v>45324</v>
      </c>
      <c r="AN125" t="s">
        <v>539</v>
      </c>
      <c r="AO125" t="s">
        <v>359</v>
      </c>
      <c r="AP125">
        <v>1205</v>
      </c>
      <c r="AQ125" t="s">
        <v>360</v>
      </c>
      <c r="AR125">
        <v>206435</v>
      </c>
      <c r="AU125" t="s">
        <v>352</v>
      </c>
      <c r="AV125" t="s">
        <v>362</v>
      </c>
      <c r="AX125" t="s">
        <v>352</v>
      </c>
      <c r="AY125">
        <v>631110</v>
      </c>
      <c r="AZ125">
        <v>1205.63111</v>
      </c>
      <c r="BA125" s="54" t="s">
        <v>328</v>
      </c>
    </row>
    <row r="126" spans="1:53">
      <c r="A126" t="s">
        <v>363</v>
      </c>
      <c r="B126" t="s">
        <v>364</v>
      </c>
      <c r="C126">
        <v>24001170</v>
      </c>
      <c r="D126">
        <v>1205</v>
      </c>
      <c r="E126" s="2">
        <v>45324</v>
      </c>
      <c r="F126" t="s">
        <v>365</v>
      </c>
      <c r="G126">
        <v>3.98</v>
      </c>
      <c r="H126">
        <v>3.98</v>
      </c>
      <c r="I126" t="s">
        <v>351</v>
      </c>
      <c r="O126" t="s">
        <v>352</v>
      </c>
      <c r="Q126" t="s">
        <v>352</v>
      </c>
      <c r="R126" t="s">
        <v>366</v>
      </c>
      <c r="T126" t="s">
        <v>354</v>
      </c>
      <c r="U126" t="s">
        <v>355</v>
      </c>
      <c r="V126" t="s">
        <v>367</v>
      </c>
      <c r="W126" t="s">
        <v>368</v>
      </c>
      <c r="X126">
        <v>2097515</v>
      </c>
      <c r="Y126" s="2">
        <v>45324</v>
      </c>
      <c r="Z126" t="s">
        <v>352</v>
      </c>
      <c r="AA126">
        <v>22</v>
      </c>
      <c r="AB126" t="s">
        <v>352</v>
      </c>
      <c r="AD126" t="s">
        <v>352</v>
      </c>
      <c r="AE126" t="s">
        <v>352</v>
      </c>
      <c r="AF126" t="s">
        <v>352</v>
      </c>
      <c r="AG126">
        <v>1</v>
      </c>
      <c r="AH126" t="s">
        <v>352</v>
      </c>
      <c r="AL126" t="s">
        <v>352</v>
      </c>
      <c r="AM126" s="2">
        <v>45324</v>
      </c>
      <c r="AN126" t="s">
        <v>539</v>
      </c>
      <c r="AO126" t="s">
        <v>359</v>
      </c>
      <c r="AP126">
        <v>1205</v>
      </c>
      <c r="AQ126" t="s">
        <v>360</v>
      </c>
      <c r="AR126">
        <v>126941</v>
      </c>
      <c r="AU126" t="s">
        <v>352</v>
      </c>
      <c r="AV126" t="s">
        <v>362</v>
      </c>
      <c r="AX126" t="s">
        <v>352</v>
      </c>
      <c r="AY126">
        <v>631110</v>
      </c>
      <c r="AZ126">
        <v>1205.63111</v>
      </c>
      <c r="BA126" s="54" t="s">
        <v>328</v>
      </c>
    </row>
    <row r="127" spans="1:53">
      <c r="A127" t="s">
        <v>363</v>
      </c>
      <c r="B127" t="s">
        <v>364</v>
      </c>
      <c r="C127">
        <v>24001170</v>
      </c>
      <c r="D127">
        <v>1205</v>
      </c>
      <c r="E127" s="2">
        <v>45324</v>
      </c>
      <c r="F127" t="s">
        <v>365</v>
      </c>
      <c r="G127">
        <v>0.52</v>
      </c>
      <c r="H127">
        <v>0.52</v>
      </c>
      <c r="I127" t="s">
        <v>351</v>
      </c>
      <c r="O127" t="s">
        <v>352</v>
      </c>
      <c r="Q127" t="s">
        <v>352</v>
      </c>
      <c r="R127" t="s">
        <v>366</v>
      </c>
      <c r="T127" t="s">
        <v>354</v>
      </c>
      <c r="U127" t="s">
        <v>355</v>
      </c>
      <c r="V127" t="s">
        <v>367</v>
      </c>
      <c r="W127" t="s">
        <v>368</v>
      </c>
      <c r="X127">
        <v>2097515</v>
      </c>
      <c r="Y127" s="2">
        <v>45324</v>
      </c>
      <c r="Z127" t="s">
        <v>352</v>
      </c>
      <c r="AA127">
        <v>24</v>
      </c>
      <c r="AB127" t="s">
        <v>352</v>
      </c>
      <c r="AD127" t="s">
        <v>352</v>
      </c>
      <c r="AE127" t="s">
        <v>352</v>
      </c>
      <c r="AF127" t="s">
        <v>352</v>
      </c>
      <c r="AG127">
        <v>1</v>
      </c>
      <c r="AH127" t="s">
        <v>352</v>
      </c>
      <c r="AL127" t="s">
        <v>352</v>
      </c>
      <c r="AM127" s="2">
        <v>45324</v>
      </c>
      <c r="AN127" t="s">
        <v>539</v>
      </c>
      <c r="AO127" t="s">
        <v>359</v>
      </c>
      <c r="AP127">
        <v>1205</v>
      </c>
      <c r="AQ127" t="s">
        <v>360</v>
      </c>
      <c r="AR127">
        <v>89777</v>
      </c>
      <c r="AU127" t="s">
        <v>352</v>
      </c>
      <c r="AV127" t="s">
        <v>362</v>
      </c>
      <c r="AX127" t="s">
        <v>352</v>
      </c>
      <c r="AY127">
        <v>631110</v>
      </c>
      <c r="AZ127">
        <v>1205.63111</v>
      </c>
      <c r="BA127" s="54" t="s">
        <v>328</v>
      </c>
    </row>
    <row r="128" spans="1:53">
      <c r="A128" t="s">
        <v>363</v>
      </c>
      <c r="B128" t="s">
        <v>364</v>
      </c>
      <c r="C128">
        <v>24001170</v>
      </c>
      <c r="D128">
        <v>1205</v>
      </c>
      <c r="E128" s="2">
        <v>45324</v>
      </c>
      <c r="F128" t="s">
        <v>365</v>
      </c>
      <c r="G128">
        <v>0.65</v>
      </c>
      <c r="H128">
        <v>0.65</v>
      </c>
      <c r="I128" t="s">
        <v>351</v>
      </c>
      <c r="O128" t="s">
        <v>352</v>
      </c>
      <c r="Q128" t="s">
        <v>352</v>
      </c>
      <c r="R128" t="s">
        <v>366</v>
      </c>
      <c r="T128" t="s">
        <v>354</v>
      </c>
      <c r="U128" t="s">
        <v>355</v>
      </c>
      <c r="V128" t="s">
        <v>367</v>
      </c>
      <c r="W128" t="s">
        <v>368</v>
      </c>
      <c r="X128">
        <v>2097515</v>
      </c>
      <c r="Y128" s="2">
        <v>45324</v>
      </c>
      <c r="Z128" t="s">
        <v>352</v>
      </c>
      <c r="AA128">
        <v>26</v>
      </c>
      <c r="AB128" t="s">
        <v>352</v>
      </c>
      <c r="AD128" t="s">
        <v>352</v>
      </c>
      <c r="AE128" t="s">
        <v>352</v>
      </c>
      <c r="AF128" t="s">
        <v>352</v>
      </c>
      <c r="AG128">
        <v>1</v>
      </c>
      <c r="AH128" t="s">
        <v>352</v>
      </c>
      <c r="AL128" t="s">
        <v>352</v>
      </c>
      <c r="AM128" s="2">
        <v>45324</v>
      </c>
      <c r="AN128" t="s">
        <v>539</v>
      </c>
      <c r="AO128" t="s">
        <v>359</v>
      </c>
      <c r="AP128">
        <v>1205</v>
      </c>
      <c r="AQ128" t="s">
        <v>360</v>
      </c>
      <c r="AR128">
        <v>90167</v>
      </c>
      <c r="AU128" t="s">
        <v>352</v>
      </c>
      <c r="AV128" t="s">
        <v>362</v>
      </c>
      <c r="AX128" t="s">
        <v>352</v>
      </c>
      <c r="AY128">
        <v>631110</v>
      </c>
      <c r="AZ128">
        <v>1205.63111</v>
      </c>
      <c r="BA128" s="54" t="s">
        <v>328</v>
      </c>
    </row>
    <row r="129" spans="1:53">
      <c r="A129" t="s">
        <v>363</v>
      </c>
      <c r="B129" t="s">
        <v>364</v>
      </c>
      <c r="C129">
        <v>24001171</v>
      </c>
      <c r="D129">
        <v>1205</v>
      </c>
      <c r="E129" s="2">
        <v>45324</v>
      </c>
      <c r="F129" t="s">
        <v>364</v>
      </c>
      <c r="G129">
        <v>41.82</v>
      </c>
      <c r="H129">
        <v>41.82</v>
      </c>
      <c r="I129" t="s">
        <v>351</v>
      </c>
      <c r="O129" t="s">
        <v>352</v>
      </c>
      <c r="Q129" t="s">
        <v>352</v>
      </c>
      <c r="R129" t="s">
        <v>366</v>
      </c>
      <c r="T129" t="s">
        <v>354</v>
      </c>
      <c r="U129" t="s">
        <v>355</v>
      </c>
      <c r="V129" t="s">
        <v>367</v>
      </c>
      <c r="W129" t="s">
        <v>368</v>
      </c>
      <c r="X129">
        <v>2097517</v>
      </c>
      <c r="Y129" s="2">
        <v>45324</v>
      </c>
      <c r="Z129" t="s">
        <v>352</v>
      </c>
      <c r="AA129">
        <v>2</v>
      </c>
      <c r="AB129" t="s">
        <v>352</v>
      </c>
      <c r="AD129" t="s">
        <v>352</v>
      </c>
      <c r="AE129" t="s">
        <v>352</v>
      </c>
      <c r="AF129" t="s">
        <v>352</v>
      </c>
      <c r="AG129">
        <v>2</v>
      </c>
      <c r="AH129" t="s">
        <v>352</v>
      </c>
      <c r="AL129" t="s">
        <v>352</v>
      </c>
      <c r="AM129" s="2">
        <v>45324</v>
      </c>
      <c r="AN129" t="s">
        <v>539</v>
      </c>
      <c r="AO129" t="s">
        <v>359</v>
      </c>
      <c r="AP129">
        <v>1205</v>
      </c>
      <c r="AQ129" t="s">
        <v>360</v>
      </c>
      <c r="AR129">
        <v>258398</v>
      </c>
      <c r="AU129" t="s">
        <v>352</v>
      </c>
      <c r="AV129" t="s">
        <v>362</v>
      </c>
      <c r="AX129" t="s">
        <v>352</v>
      </c>
      <c r="AY129">
        <v>631110</v>
      </c>
      <c r="AZ129">
        <v>1205.63111</v>
      </c>
      <c r="BA129" s="54" t="s">
        <v>328</v>
      </c>
    </row>
    <row r="130" spans="1:53">
      <c r="A130" t="s">
        <v>363</v>
      </c>
      <c r="B130" t="s">
        <v>364</v>
      </c>
      <c r="C130">
        <v>24001172</v>
      </c>
      <c r="D130">
        <v>1205</v>
      </c>
      <c r="E130" s="2">
        <v>45324</v>
      </c>
      <c r="F130" t="s">
        <v>365</v>
      </c>
      <c r="G130">
        <v>0.99</v>
      </c>
      <c r="H130">
        <v>0.99</v>
      </c>
      <c r="I130" t="s">
        <v>351</v>
      </c>
      <c r="O130" t="s">
        <v>352</v>
      </c>
      <c r="Q130" t="s">
        <v>352</v>
      </c>
      <c r="R130" t="s">
        <v>366</v>
      </c>
      <c r="T130" t="s">
        <v>354</v>
      </c>
      <c r="U130" t="s">
        <v>355</v>
      </c>
      <c r="V130" t="s">
        <v>367</v>
      </c>
      <c r="W130" t="s">
        <v>368</v>
      </c>
      <c r="X130">
        <v>2097521</v>
      </c>
      <c r="Y130" s="2">
        <v>45324</v>
      </c>
      <c r="Z130" t="s">
        <v>352</v>
      </c>
      <c r="AA130">
        <v>2</v>
      </c>
      <c r="AB130" t="s">
        <v>352</v>
      </c>
      <c r="AD130" t="s">
        <v>352</v>
      </c>
      <c r="AE130" t="s">
        <v>352</v>
      </c>
      <c r="AF130" t="s">
        <v>352</v>
      </c>
      <c r="AG130">
        <v>1</v>
      </c>
      <c r="AH130" t="s">
        <v>352</v>
      </c>
      <c r="AL130" t="s">
        <v>352</v>
      </c>
      <c r="AM130" s="2">
        <v>45324</v>
      </c>
      <c r="AN130" t="s">
        <v>539</v>
      </c>
      <c r="AO130" t="s">
        <v>359</v>
      </c>
      <c r="AP130">
        <v>1205</v>
      </c>
      <c r="AQ130" t="s">
        <v>360</v>
      </c>
      <c r="AR130">
        <v>88592</v>
      </c>
      <c r="AU130" t="s">
        <v>352</v>
      </c>
      <c r="AV130" t="s">
        <v>362</v>
      </c>
      <c r="AX130" t="s">
        <v>352</v>
      </c>
      <c r="AY130">
        <v>631110</v>
      </c>
      <c r="AZ130">
        <v>1205.63111</v>
      </c>
      <c r="BA130" s="54" t="s">
        <v>328</v>
      </c>
    </row>
    <row r="131" spans="1:53">
      <c r="A131" t="s">
        <v>363</v>
      </c>
      <c r="B131" t="s">
        <v>364</v>
      </c>
      <c r="C131">
        <v>24001173</v>
      </c>
      <c r="D131">
        <v>1205</v>
      </c>
      <c r="E131" s="2">
        <v>45324</v>
      </c>
      <c r="F131" t="s">
        <v>365</v>
      </c>
      <c r="G131">
        <v>0.79</v>
      </c>
      <c r="H131">
        <v>0.79</v>
      </c>
      <c r="I131" t="s">
        <v>351</v>
      </c>
      <c r="O131" t="s">
        <v>352</v>
      </c>
      <c r="Q131" t="s">
        <v>352</v>
      </c>
      <c r="R131" t="s">
        <v>366</v>
      </c>
      <c r="T131" t="s">
        <v>354</v>
      </c>
      <c r="U131" t="s">
        <v>355</v>
      </c>
      <c r="V131" t="s">
        <v>367</v>
      </c>
      <c r="W131" t="s">
        <v>368</v>
      </c>
      <c r="X131">
        <v>2097549</v>
      </c>
      <c r="Y131" s="2">
        <v>45324</v>
      </c>
      <c r="Z131" t="s">
        <v>352</v>
      </c>
      <c r="AA131">
        <v>2</v>
      </c>
      <c r="AB131" t="s">
        <v>352</v>
      </c>
      <c r="AD131" t="s">
        <v>352</v>
      </c>
      <c r="AE131" t="s">
        <v>352</v>
      </c>
      <c r="AF131" t="s">
        <v>352</v>
      </c>
      <c r="AG131">
        <v>1</v>
      </c>
      <c r="AH131" t="s">
        <v>352</v>
      </c>
      <c r="AL131" t="s">
        <v>352</v>
      </c>
      <c r="AM131" s="2">
        <v>45324</v>
      </c>
      <c r="AN131" t="s">
        <v>539</v>
      </c>
      <c r="AO131" t="s">
        <v>359</v>
      </c>
      <c r="AP131">
        <v>1205</v>
      </c>
      <c r="AQ131" t="s">
        <v>360</v>
      </c>
      <c r="AR131">
        <v>88703</v>
      </c>
      <c r="AU131" t="s">
        <v>352</v>
      </c>
      <c r="AV131" t="s">
        <v>362</v>
      </c>
      <c r="AX131" t="s">
        <v>352</v>
      </c>
      <c r="AY131">
        <v>631110</v>
      </c>
      <c r="AZ131">
        <v>1205.63111</v>
      </c>
      <c r="BA131" s="54" t="s">
        <v>328</v>
      </c>
    </row>
    <row r="132" spans="1:53">
      <c r="A132" t="s">
        <v>363</v>
      </c>
      <c r="B132" t="s">
        <v>364</v>
      </c>
      <c r="C132">
        <v>24001174</v>
      </c>
      <c r="D132">
        <v>1205</v>
      </c>
      <c r="E132" s="2">
        <v>45324</v>
      </c>
      <c r="F132" t="s">
        <v>365</v>
      </c>
      <c r="G132">
        <v>3.15</v>
      </c>
      <c r="H132">
        <v>3.15</v>
      </c>
      <c r="I132" t="s">
        <v>351</v>
      </c>
      <c r="O132" t="s">
        <v>352</v>
      </c>
      <c r="Q132" t="s">
        <v>352</v>
      </c>
      <c r="R132" t="s">
        <v>366</v>
      </c>
      <c r="T132" t="s">
        <v>354</v>
      </c>
      <c r="U132" t="s">
        <v>355</v>
      </c>
      <c r="V132" t="s">
        <v>367</v>
      </c>
      <c r="W132" t="s">
        <v>368</v>
      </c>
      <c r="X132">
        <v>2097549</v>
      </c>
      <c r="Y132" s="2">
        <v>45324</v>
      </c>
      <c r="Z132" t="s">
        <v>352</v>
      </c>
      <c r="AA132">
        <v>2</v>
      </c>
      <c r="AB132" t="s">
        <v>352</v>
      </c>
      <c r="AD132" t="s">
        <v>352</v>
      </c>
      <c r="AE132" t="s">
        <v>352</v>
      </c>
      <c r="AF132" t="s">
        <v>352</v>
      </c>
      <c r="AG132">
        <v>1</v>
      </c>
      <c r="AH132" t="s">
        <v>352</v>
      </c>
      <c r="AL132" t="s">
        <v>352</v>
      </c>
      <c r="AM132" s="2">
        <v>45324</v>
      </c>
      <c r="AN132" t="s">
        <v>539</v>
      </c>
      <c r="AO132" t="s">
        <v>359</v>
      </c>
      <c r="AP132">
        <v>1205</v>
      </c>
      <c r="AQ132" t="s">
        <v>360</v>
      </c>
      <c r="AR132">
        <v>206793</v>
      </c>
      <c r="AU132" t="s">
        <v>352</v>
      </c>
      <c r="AV132" t="s">
        <v>362</v>
      </c>
      <c r="AX132" t="s">
        <v>352</v>
      </c>
      <c r="AY132">
        <v>631110</v>
      </c>
      <c r="AZ132">
        <v>1205.63111</v>
      </c>
      <c r="BA132" s="54" t="s">
        <v>328</v>
      </c>
    </row>
    <row r="133" spans="1:53">
      <c r="A133" t="s">
        <v>363</v>
      </c>
      <c r="B133" t="s">
        <v>364</v>
      </c>
      <c r="C133">
        <v>24001175</v>
      </c>
      <c r="D133">
        <v>1205</v>
      </c>
      <c r="E133" s="2">
        <v>45324</v>
      </c>
      <c r="F133" t="s">
        <v>365</v>
      </c>
      <c r="G133">
        <v>3.15</v>
      </c>
      <c r="H133">
        <v>3.15</v>
      </c>
      <c r="I133" t="s">
        <v>351</v>
      </c>
      <c r="O133" t="s">
        <v>352</v>
      </c>
      <c r="Q133" t="s">
        <v>352</v>
      </c>
      <c r="R133" t="s">
        <v>366</v>
      </c>
      <c r="T133" t="s">
        <v>354</v>
      </c>
      <c r="U133" t="s">
        <v>355</v>
      </c>
      <c r="V133" t="s">
        <v>367</v>
      </c>
      <c r="W133" t="s">
        <v>368</v>
      </c>
      <c r="X133">
        <v>2097549</v>
      </c>
      <c r="Y133" s="2">
        <v>45324</v>
      </c>
      <c r="Z133" t="s">
        <v>352</v>
      </c>
      <c r="AA133">
        <v>2</v>
      </c>
      <c r="AB133" t="s">
        <v>352</v>
      </c>
      <c r="AD133" t="s">
        <v>352</v>
      </c>
      <c r="AE133" t="s">
        <v>352</v>
      </c>
      <c r="AF133" t="s">
        <v>352</v>
      </c>
      <c r="AG133">
        <v>1</v>
      </c>
      <c r="AH133" t="s">
        <v>352</v>
      </c>
      <c r="AL133" t="s">
        <v>352</v>
      </c>
      <c r="AM133" s="2">
        <v>45324</v>
      </c>
      <c r="AN133" t="s">
        <v>539</v>
      </c>
      <c r="AO133" t="s">
        <v>359</v>
      </c>
      <c r="AP133">
        <v>1205</v>
      </c>
      <c r="AQ133" t="s">
        <v>360</v>
      </c>
      <c r="AR133">
        <v>206793</v>
      </c>
      <c r="AU133" t="s">
        <v>352</v>
      </c>
      <c r="AV133" t="s">
        <v>362</v>
      </c>
      <c r="AX133" t="s">
        <v>352</v>
      </c>
      <c r="AY133">
        <v>631110</v>
      </c>
      <c r="AZ133">
        <v>1205.63111</v>
      </c>
      <c r="BA133" s="54" t="s">
        <v>328</v>
      </c>
    </row>
    <row r="134" spans="1:53">
      <c r="A134" t="s">
        <v>363</v>
      </c>
      <c r="B134" t="s">
        <v>364</v>
      </c>
      <c r="C134">
        <v>24001176</v>
      </c>
      <c r="D134">
        <v>1205</v>
      </c>
      <c r="E134" s="2">
        <v>45324</v>
      </c>
      <c r="F134" t="s">
        <v>365</v>
      </c>
      <c r="G134">
        <v>224.76</v>
      </c>
      <c r="H134">
        <v>224.76</v>
      </c>
      <c r="I134" t="s">
        <v>351</v>
      </c>
      <c r="O134" t="s">
        <v>352</v>
      </c>
      <c r="Q134" t="s">
        <v>352</v>
      </c>
      <c r="R134" t="s">
        <v>366</v>
      </c>
      <c r="T134" t="s">
        <v>354</v>
      </c>
      <c r="U134" t="s">
        <v>355</v>
      </c>
      <c r="V134" t="s">
        <v>367</v>
      </c>
      <c r="W134" t="s">
        <v>368</v>
      </c>
      <c r="X134">
        <v>2097549</v>
      </c>
      <c r="Y134" s="2">
        <v>45324</v>
      </c>
      <c r="Z134" t="s">
        <v>352</v>
      </c>
      <c r="AA134">
        <v>2</v>
      </c>
      <c r="AB134" t="s">
        <v>352</v>
      </c>
      <c r="AD134" t="s">
        <v>352</v>
      </c>
      <c r="AE134" t="s">
        <v>352</v>
      </c>
      <c r="AF134" t="s">
        <v>352</v>
      </c>
      <c r="AG134">
        <v>1</v>
      </c>
      <c r="AH134" t="s">
        <v>352</v>
      </c>
      <c r="AL134" t="s">
        <v>352</v>
      </c>
      <c r="AM134" s="2">
        <v>45324</v>
      </c>
      <c r="AN134" t="s">
        <v>539</v>
      </c>
      <c r="AO134" t="s">
        <v>359</v>
      </c>
      <c r="AP134">
        <v>1205</v>
      </c>
      <c r="AQ134" t="s">
        <v>360</v>
      </c>
      <c r="AR134">
        <v>220348</v>
      </c>
      <c r="AU134" t="s">
        <v>352</v>
      </c>
      <c r="AV134" t="s">
        <v>362</v>
      </c>
      <c r="AX134" t="s">
        <v>352</v>
      </c>
      <c r="AY134">
        <v>631110</v>
      </c>
      <c r="AZ134">
        <v>1205.63111</v>
      </c>
      <c r="BA134" s="54" t="s">
        <v>328</v>
      </c>
    </row>
    <row r="135" spans="1:53">
      <c r="A135" t="s">
        <v>363</v>
      </c>
      <c r="B135" t="s">
        <v>364</v>
      </c>
      <c r="C135">
        <v>24001050</v>
      </c>
      <c r="D135">
        <v>1205</v>
      </c>
      <c r="E135" s="2">
        <v>45327</v>
      </c>
      <c r="F135" t="s">
        <v>596</v>
      </c>
      <c r="G135">
        <v>-0.15</v>
      </c>
      <c r="I135" t="s">
        <v>352</v>
      </c>
      <c r="K135">
        <v>-0.15</v>
      </c>
      <c r="O135" t="s">
        <v>352</v>
      </c>
      <c r="Q135" t="s">
        <v>352</v>
      </c>
      <c r="R135" t="s">
        <v>366</v>
      </c>
      <c r="T135" t="s">
        <v>354</v>
      </c>
      <c r="U135" t="s">
        <v>355</v>
      </c>
      <c r="V135" t="s">
        <v>367</v>
      </c>
      <c r="W135" t="s">
        <v>368</v>
      </c>
      <c r="X135">
        <v>2092558</v>
      </c>
      <c r="Y135" s="2">
        <v>45306</v>
      </c>
      <c r="Z135" t="s">
        <v>352</v>
      </c>
      <c r="AA135">
        <v>2</v>
      </c>
      <c r="AB135" t="s">
        <v>352</v>
      </c>
      <c r="AD135" t="s">
        <v>352</v>
      </c>
      <c r="AE135" t="s">
        <v>352</v>
      </c>
      <c r="AF135" t="s">
        <v>352</v>
      </c>
      <c r="AG135">
        <v>-2</v>
      </c>
      <c r="AH135" t="s">
        <v>352</v>
      </c>
      <c r="AL135" t="s">
        <v>352</v>
      </c>
      <c r="AM135" s="2">
        <v>45327</v>
      </c>
      <c r="AN135" t="s">
        <v>539</v>
      </c>
      <c r="AO135" t="s">
        <v>539</v>
      </c>
      <c r="AP135">
        <v>1205</v>
      </c>
      <c r="AQ135" t="s">
        <v>360</v>
      </c>
      <c r="AR135">
        <v>91479</v>
      </c>
      <c r="AU135" t="s">
        <v>352</v>
      </c>
      <c r="AV135" t="s">
        <v>362</v>
      </c>
      <c r="AX135" t="s">
        <v>352</v>
      </c>
      <c r="AY135">
        <v>631110</v>
      </c>
      <c r="AZ135">
        <v>1205.63111</v>
      </c>
      <c r="BA135" s="54" t="s">
        <v>328</v>
      </c>
    </row>
    <row r="136" spans="1:53">
      <c r="A136" t="s">
        <v>363</v>
      </c>
      <c r="B136" t="s">
        <v>364</v>
      </c>
      <c r="C136">
        <v>24001180</v>
      </c>
      <c r="D136">
        <v>1205</v>
      </c>
      <c r="E136" s="2">
        <v>45327</v>
      </c>
      <c r="F136" t="s">
        <v>365</v>
      </c>
      <c r="G136">
        <v>3.15</v>
      </c>
      <c r="H136">
        <v>3.15</v>
      </c>
      <c r="I136" t="s">
        <v>352</v>
      </c>
      <c r="O136" t="s">
        <v>352</v>
      </c>
      <c r="Q136" t="s">
        <v>352</v>
      </c>
      <c r="R136" t="s">
        <v>366</v>
      </c>
      <c r="T136" t="s">
        <v>354</v>
      </c>
      <c r="U136" t="s">
        <v>355</v>
      </c>
      <c r="V136" t="s">
        <v>367</v>
      </c>
      <c r="W136" t="s">
        <v>368</v>
      </c>
      <c r="X136">
        <v>2097897</v>
      </c>
      <c r="Y136" s="2">
        <v>45327</v>
      </c>
      <c r="Z136" t="s">
        <v>352</v>
      </c>
      <c r="AA136">
        <v>2</v>
      </c>
      <c r="AB136" t="s">
        <v>352</v>
      </c>
      <c r="AD136" t="s">
        <v>352</v>
      </c>
      <c r="AE136" t="s">
        <v>352</v>
      </c>
      <c r="AF136" t="s">
        <v>352</v>
      </c>
      <c r="AG136">
        <v>1</v>
      </c>
      <c r="AH136" t="s">
        <v>352</v>
      </c>
      <c r="AL136" t="s">
        <v>352</v>
      </c>
      <c r="AM136" s="2">
        <v>45327</v>
      </c>
      <c r="AN136" t="s">
        <v>539</v>
      </c>
      <c r="AO136" t="s">
        <v>539</v>
      </c>
      <c r="AP136">
        <v>1205</v>
      </c>
      <c r="AQ136" t="s">
        <v>360</v>
      </c>
      <c r="AR136">
        <v>206793</v>
      </c>
      <c r="AU136" t="s">
        <v>352</v>
      </c>
      <c r="AV136" t="s">
        <v>362</v>
      </c>
      <c r="AX136" t="s">
        <v>352</v>
      </c>
      <c r="AY136">
        <v>631110</v>
      </c>
      <c r="AZ136">
        <v>1205.63111</v>
      </c>
      <c r="BA136" s="54" t="s">
        <v>328</v>
      </c>
    </row>
    <row r="137" spans="1:53">
      <c r="A137" t="s">
        <v>363</v>
      </c>
      <c r="B137" t="s">
        <v>364</v>
      </c>
      <c r="C137">
        <v>24001181</v>
      </c>
      <c r="D137">
        <v>1205</v>
      </c>
      <c r="E137" s="2">
        <v>45327</v>
      </c>
      <c r="F137" t="s">
        <v>369</v>
      </c>
      <c r="G137">
        <v>7.23</v>
      </c>
      <c r="H137">
        <v>7.23</v>
      </c>
      <c r="I137" t="s">
        <v>352</v>
      </c>
      <c r="O137" t="s">
        <v>352</v>
      </c>
      <c r="Q137" t="s">
        <v>352</v>
      </c>
      <c r="R137" t="s">
        <v>366</v>
      </c>
      <c r="T137" t="s">
        <v>354</v>
      </c>
      <c r="U137" t="s">
        <v>355</v>
      </c>
      <c r="V137" t="s">
        <v>367</v>
      </c>
      <c r="W137" t="s">
        <v>368</v>
      </c>
      <c r="X137">
        <v>2097924</v>
      </c>
      <c r="Y137" s="2">
        <v>45327</v>
      </c>
      <c r="Z137" t="s">
        <v>352</v>
      </c>
      <c r="AA137">
        <v>2</v>
      </c>
      <c r="AB137" t="s">
        <v>352</v>
      </c>
      <c r="AD137" t="s">
        <v>352</v>
      </c>
      <c r="AE137" t="s">
        <v>352</v>
      </c>
      <c r="AF137" t="s">
        <v>352</v>
      </c>
      <c r="AG137">
        <v>1</v>
      </c>
      <c r="AH137" t="s">
        <v>352</v>
      </c>
      <c r="AL137" t="s">
        <v>352</v>
      </c>
      <c r="AM137" s="2">
        <v>45327</v>
      </c>
      <c r="AN137" t="s">
        <v>539</v>
      </c>
      <c r="AO137" t="s">
        <v>539</v>
      </c>
      <c r="AP137">
        <v>1205</v>
      </c>
      <c r="AQ137" t="s">
        <v>360</v>
      </c>
      <c r="AR137">
        <v>227112</v>
      </c>
      <c r="AU137" t="s">
        <v>352</v>
      </c>
      <c r="AV137" t="s">
        <v>362</v>
      </c>
      <c r="AX137" t="s">
        <v>352</v>
      </c>
      <c r="AY137">
        <v>631110</v>
      </c>
      <c r="AZ137">
        <v>1205.63111</v>
      </c>
      <c r="BA137" s="54" t="s">
        <v>328</v>
      </c>
    </row>
    <row r="138" spans="1:53">
      <c r="A138" t="s">
        <v>363</v>
      </c>
      <c r="B138" t="s">
        <v>364</v>
      </c>
      <c r="C138">
        <v>24001182</v>
      </c>
      <c r="D138">
        <v>1205</v>
      </c>
      <c r="E138" s="2">
        <v>45327</v>
      </c>
      <c r="F138" t="s">
        <v>596</v>
      </c>
      <c r="G138">
        <v>0.67</v>
      </c>
      <c r="H138">
        <v>0.67</v>
      </c>
      <c r="I138" t="s">
        <v>352</v>
      </c>
      <c r="O138" t="s">
        <v>352</v>
      </c>
      <c r="Q138" t="s">
        <v>352</v>
      </c>
      <c r="R138" t="s">
        <v>366</v>
      </c>
      <c r="T138" t="s">
        <v>354</v>
      </c>
      <c r="U138" t="s">
        <v>355</v>
      </c>
      <c r="V138" t="s">
        <v>367</v>
      </c>
      <c r="W138" t="s">
        <v>368</v>
      </c>
      <c r="X138">
        <v>2097933</v>
      </c>
      <c r="Y138" s="2">
        <v>45327</v>
      </c>
      <c r="Z138" t="s">
        <v>352</v>
      </c>
      <c r="AA138">
        <v>2</v>
      </c>
      <c r="AB138" t="s">
        <v>352</v>
      </c>
      <c r="AD138" t="s">
        <v>352</v>
      </c>
      <c r="AE138" t="s">
        <v>352</v>
      </c>
      <c r="AF138" t="s">
        <v>352</v>
      </c>
      <c r="AG138">
        <v>9</v>
      </c>
      <c r="AH138" t="s">
        <v>352</v>
      </c>
      <c r="AL138" t="s">
        <v>352</v>
      </c>
      <c r="AM138" s="2">
        <v>45327</v>
      </c>
      <c r="AN138" t="s">
        <v>597</v>
      </c>
      <c r="AO138" t="s">
        <v>597</v>
      </c>
      <c r="AP138">
        <v>1205</v>
      </c>
      <c r="AQ138" t="s">
        <v>360</v>
      </c>
      <c r="AR138">
        <v>91479</v>
      </c>
      <c r="AU138" t="s">
        <v>352</v>
      </c>
      <c r="AV138" t="s">
        <v>362</v>
      </c>
      <c r="AX138" t="s">
        <v>352</v>
      </c>
      <c r="AY138">
        <v>631110</v>
      </c>
      <c r="AZ138">
        <v>1205.63111</v>
      </c>
      <c r="BA138" s="54" t="s">
        <v>328</v>
      </c>
    </row>
    <row r="139" spans="1:53">
      <c r="A139" t="s">
        <v>363</v>
      </c>
      <c r="B139" t="s">
        <v>364</v>
      </c>
      <c r="C139">
        <v>24001182</v>
      </c>
      <c r="D139">
        <v>1205</v>
      </c>
      <c r="E139" s="2">
        <v>45327</v>
      </c>
      <c r="F139" t="s">
        <v>596</v>
      </c>
      <c r="G139">
        <v>1.02</v>
      </c>
      <c r="H139">
        <v>1.02</v>
      </c>
      <c r="I139" t="s">
        <v>352</v>
      </c>
      <c r="O139" t="s">
        <v>352</v>
      </c>
      <c r="Q139" t="s">
        <v>352</v>
      </c>
      <c r="R139" t="s">
        <v>366</v>
      </c>
      <c r="T139" t="s">
        <v>354</v>
      </c>
      <c r="U139" t="s">
        <v>355</v>
      </c>
      <c r="V139" t="s">
        <v>367</v>
      </c>
      <c r="W139" t="s">
        <v>368</v>
      </c>
      <c r="X139">
        <v>2097933</v>
      </c>
      <c r="Y139" s="2">
        <v>45327</v>
      </c>
      <c r="Z139" t="s">
        <v>352</v>
      </c>
      <c r="AA139">
        <v>4</v>
      </c>
      <c r="AB139" t="s">
        <v>352</v>
      </c>
      <c r="AD139" t="s">
        <v>352</v>
      </c>
      <c r="AE139" t="s">
        <v>352</v>
      </c>
      <c r="AF139" t="s">
        <v>352</v>
      </c>
      <c r="AG139">
        <v>14</v>
      </c>
      <c r="AH139" t="s">
        <v>352</v>
      </c>
      <c r="AL139" t="s">
        <v>352</v>
      </c>
      <c r="AM139" s="2">
        <v>45327</v>
      </c>
      <c r="AN139" t="s">
        <v>597</v>
      </c>
      <c r="AO139" t="s">
        <v>597</v>
      </c>
      <c r="AP139">
        <v>1205</v>
      </c>
      <c r="AQ139" t="s">
        <v>360</v>
      </c>
      <c r="AR139">
        <v>271795</v>
      </c>
      <c r="AU139" t="s">
        <v>352</v>
      </c>
      <c r="AV139" t="s">
        <v>362</v>
      </c>
      <c r="AX139" t="s">
        <v>352</v>
      </c>
      <c r="AY139">
        <v>631110</v>
      </c>
      <c r="AZ139">
        <v>1205.63111</v>
      </c>
      <c r="BA139" s="54" t="s">
        <v>328</v>
      </c>
    </row>
    <row r="140" spans="1:53">
      <c r="A140" t="s">
        <v>363</v>
      </c>
      <c r="B140" t="s">
        <v>364</v>
      </c>
      <c r="C140">
        <v>24001182</v>
      </c>
      <c r="D140">
        <v>1205</v>
      </c>
      <c r="E140" s="2">
        <v>45327</v>
      </c>
      <c r="F140" t="s">
        <v>596</v>
      </c>
      <c r="G140">
        <v>1.3</v>
      </c>
      <c r="H140">
        <v>1.3</v>
      </c>
      <c r="I140" t="s">
        <v>352</v>
      </c>
      <c r="O140" t="s">
        <v>352</v>
      </c>
      <c r="Q140" t="s">
        <v>352</v>
      </c>
      <c r="R140" t="s">
        <v>366</v>
      </c>
      <c r="T140" t="s">
        <v>354</v>
      </c>
      <c r="U140" t="s">
        <v>355</v>
      </c>
      <c r="V140" t="s">
        <v>367</v>
      </c>
      <c r="W140" t="s">
        <v>368</v>
      </c>
      <c r="X140">
        <v>2097933</v>
      </c>
      <c r="Y140" s="2">
        <v>45327</v>
      </c>
      <c r="Z140" t="s">
        <v>352</v>
      </c>
      <c r="AA140">
        <v>6</v>
      </c>
      <c r="AB140" t="s">
        <v>352</v>
      </c>
      <c r="AD140" t="s">
        <v>352</v>
      </c>
      <c r="AE140" t="s">
        <v>352</v>
      </c>
      <c r="AF140" t="s">
        <v>352</v>
      </c>
      <c r="AG140">
        <v>18</v>
      </c>
      <c r="AH140" t="s">
        <v>352</v>
      </c>
      <c r="AL140" t="s">
        <v>352</v>
      </c>
      <c r="AM140" s="2">
        <v>45327</v>
      </c>
      <c r="AN140" t="s">
        <v>597</v>
      </c>
      <c r="AO140" t="s">
        <v>597</v>
      </c>
      <c r="AP140">
        <v>1205</v>
      </c>
      <c r="AQ140" t="s">
        <v>360</v>
      </c>
      <c r="AR140">
        <v>93455</v>
      </c>
      <c r="AU140" t="s">
        <v>352</v>
      </c>
      <c r="AV140" t="s">
        <v>362</v>
      </c>
      <c r="AX140" t="s">
        <v>352</v>
      </c>
      <c r="AY140">
        <v>631110</v>
      </c>
      <c r="AZ140">
        <v>1205.63111</v>
      </c>
      <c r="BA140" s="54" t="s">
        <v>328</v>
      </c>
    </row>
    <row r="141" spans="1:53">
      <c r="A141" t="s">
        <v>363</v>
      </c>
      <c r="B141" t="s">
        <v>364</v>
      </c>
      <c r="C141">
        <v>24001182</v>
      </c>
      <c r="D141">
        <v>1205</v>
      </c>
      <c r="E141" s="2">
        <v>45327</v>
      </c>
      <c r="F141" t="s">
        <v>596</v>
      </c>
      <c r="G141">
        <v>0.31</v>
      </c>
      <c r="H141">
        <v>0.31</v>
      </c>
      <c r="I141" t="s">
        <v>352</v>
      </c>
      <c r="O141" t="s">
        <v>352</v>
      </c>
      <c r="Q141" t="s">
        <v>352</v>
      </c>
      <c r="R141" t="s">
        <v>366</v>
      </c>
      <c r="T141" t="s">
        <v>354</v>
      </c>
      <c r="U141" t="s">
        <v>355</v>
      </c>
      <c r="V141" t="s">
        <v>367</v>
      </c>
      <c r="W141" t="s">
        <v>368</v>
      </c>
      <c r="X141">
        <v>2097933</v>
      </c>
      <c r="Y141" s="2">
        <v>45327</v>
      </c>
      <c r="Z141" t="s">
        <v>352</v>
      </c>
      <c r="AA141">
        <v>8</v>
      </c>
      <c r="AB141" t="s">
        <v>352</v>
      </c>
      <c r="AD141" t="s">
        <v>352</v>
      </c>
      <c r="AE141" t="s">
        <v>352</v>
      </c>
      <c r="AF141" t="s">
        <v>352</v>
      </c>
      <c r="AG141">
        <v>2</v>
      </c>
      <c r="AH141" t="s">
        <v>352</v>
      </c>
      <c r="AL141" t="s">
        <v>352</v>
      </c>
      <c r="AM141" s="2">
        <v>45327</v>
      </c>
      <c r="AN141" t="s">
        <v>597</v>
      </c>
      <c r="AO141" t="s">
        <v>597</v>
      </c>
      <c r="AP141">
        <v>1205</v>
      </c>
      <c r="AQ141" t="s">
        <v>360</v>
      </c>
      <c r="AR141">
        <v>89715</v>
      </c>
      <c r="AU141" t="s">
        <v>352</v>
      </c>
      <c r="AV141" t="s">
        <v>362</v>
      </c>
      <c r="AX141" t="s">
        <v>352</v>
      </c>
      <c r="AY141">
        <v>631110</v>
      </c>
      <c r="AZ141">
        <v>1205.63111</v>
      </c>
      <c r="BA141" s="54" t="s">
        <v>328</v>
      </c>
    </row>
    <row r="142" spans="1:53">
      <c r="A142" t="s">
        <v>363</v>
      </c>
      <c r="B142" t="s">
        <v>364</v>
      </c>
      <c r="C142">
        <v>24001182</v>
      </c>
      <c r="D142">
        <v>1205</v>
      </c>
      <c r="E142" s="2">
        <v>45327</v>
      </c>
      <c r="F142" t="s">
        <v>596</v>
      </c>
      <c r="G142">
        <v>0.18</v>
      </c>
      <c r="H142">
        <v>0.18</v>
      </c>
      <c r="I142" t="s">
        <v>352</v>
      </c>
      <c r="O142" t="s">
        <v>352</v>
      </c>
      <c r="Q142" t="s">
        <v>352</v>
      </c>
      <c r="R142" t="s">
        <v>366</v>
      </c>
      <c r="T142" t="s">
        <v>354</v>
      </c>
      <c r="U142" t="s">
        <v>355</v>
      </c>
      <c r="V142" t="s">
        <v>367</v>
      </c>
      <c r="W142" t="s">
        <v>368</v>
      </c>
      <c r="X142">
        <v>2097933</v>
      </c>
      <c r="Y142" s="2">
        <v>45327</v>
      </c>
      <c r="Z142" t="s">
        <v>352</v>
      </c>
      <c r="AA142">
        <v>10</v>
      </c>
      <c r="AB142" t="s">
        <v>352</v>
      </c>
      <c r="AD142" t="s">
        <v>352</v>
      </c>
      <c r="AE142" t="s">
        <v>352</v>
      </c>
      <c r="AF142" t="s">
        <v>352</v>
      </c>
      <c r="AG142">
        <v>1</v>
      </c>
      <c r="AH142" t="s">
        <v>352</v>
      </c>
      <c r="AL142" t="s">
        <v>352</v>
      </c>
      <c r="AM142" s="2">
        <v>45327</v>
      </c>
      <c r="AN142" t="s">
        <v>597</v>
      </c>
      <c r="AO142" t="s">
        <v>597</v>
      </c>
      <c r="AP142">
        <v>1205</v>
      </c>
      <c r="AQ142" t="s">
        <v>360</v>
      </c>
      <c r="AR142">
        <v>89709</v>
      </c>
      <c r="AU142" t="s">
        <v>352</v>
      </c>
      <c r="AV142" t="s">
        <v>362</v>
      </c>
      <c r="AX142" t="s">
        <v>352</v>
      </c>
      <c r="AY142">
        <v>631110</v>
      </c>
      <c r="AZ142">
        <v>1205.63111</v>
      </c>
      <c r="BA142" s="54" t="s">
        <v>328</v>
      </c>
    </row>
    <row r="143" spans="1:53">
      <c r="A143" t="s">
        <v>363</v>
      </c>
      <c r="B143" t="s">
        <v>364</v>
      </c>
      <c r="C143">
        <v>24001182</v>
      </c>
      <c r="D143">
        <v>1205</v>
      </c>
      <c r="E143" s="2">
        <v>45327</v>
      </c>
      <c r="F143" t="s">
        <v>596</v>
      </c>
      <c r="G143">
        <v>2.64</v>
      </c>
      <c r="H143">
        <v>2.64</v>
      </c>
      <c r="I143" t="s">
        <v>352</v>
      </c>
      <c r="O143" t="s">
        <v>352</v>
      </c>
      <c r="Q143" t="s">
        <v>352</v>
      </c>
      <c r="R143" t="s">
        <v>366</v>
      </c>
      <c r="T143" t="s">
        <v>354</v>
      </c>
      <c r="U143" t="s">
        <v>355</v>
      </c>
      <c r="V143" t="s">
        <v>367</v>
      </c>
      <c r="W143" t="s">
        <v>368</v>
      </c>
      <c r="X143">
        <v>2097933</v>
      </c>
      <c r="Y143" s="2">
        <v>45327</v>
      </c>
      <c r="Z143" t="s">
        <v>352</v>
      </c>
      <c r="AA143">
        <v>12</v>
      </c>
      <c r="AB143" t="s">
        <v>352</v>
      </c>
      <c r="AD143" t="s">
        <v>352</v>
      </c>
      <c r="AE143" t="s">
        <v>352</v>
      </c>
      <c r="AF143" t="s">
        <v>352</v>
      </c>
      <c r="AG143">
        <v>17</v>
      </c>
      <c r="AH143" t="s">
        <v>352</v>
      </c>
      <c r="AL143" t="s">
        <v>352</v>
      </c>
      <c r="AM143" s="2">
        <v>45327</v>
      </c>
      <c r="AN143" t="s">
        <v>597</v>
      </c>
      <c r="AO143" t="s">
        <v>597</v>
      </c>
      <c r="AP143">
        <v>1205</v>
      </c>
      <c r="AQ143" t="s">
        <v>360</v>
      </c>
      <c r="AR143">
        <v>89712</v>
      </c>
      <c r="AU143" t="s">
        <v>352</v>
      </c>
      <c r="AV143" t="s">
        <v>362</v>
      </c>
      <c r="AX143" t="s">
        <v>352</v>
      </c>
      <c r="AY143">
        <v>631110</v>
      </c>
      <c r="AZ143">
        <v>1205.63111</v>
      </c>
      <c r="BA143" s="54" t="s">
        <v>328</v>
      </c>
    </row>
    <row r="144" spans="1:53">
      <c r="A144" t="s">
        <v>363</v>
      </c>
      <c r="B144" t="s">
        <v>364</v>
      </c>
      <c r="C144">
        <v>24001182</v>
      </c>
      <c r="D144">
        <v>1205</v>
      </c>
      <c r="E144" s="2">
        <v>45327</v>
      </c>
      <c r="F144" t="s">
        <v>596</v>
      </c>
      <c r="G144">
        <v>24</v>
      </c>
      <c r="H144">
        <v>24</v>
      </c>
      <c r="I144" t="s">
        <v>352</v>
      </c>
      <c r="O144" t="s">
        <v>352</v>
      </c>
      <c r="Q144" t="s">
        <v>352</v>
      </c>
      <c r="R144" t="s">
        <v>366</v>
      </c>
      <c r="T144" t="s">
        <v>354</v>
      </c>
      <c r="U144" t="s">
        <v>355</v>
      </c>
      <c r="V144" t="s">
        <v>367</v>
      </c>
      <c r="W144" t="s">
        <v>368</v>
      </c>
      <c r="X144">
        <v>2097933</v>
      </c>
      <c r="Y144" s="2">
        <v>45327</v>
      </c>
      <c r="Z144" t="s">
        <v>352</v>
      </c>
      <c r="AA144">
        <v>14</v>
      </c>
      <c r="AB144" t="s">
        <v>352</v>
      </c>
      <c r="AD144" t="s">
        <v>352</v>
      </c>
      <c r="AE144" t="s">
        <v>352</v>
      </c>
      <c r="AF144" t="s">
        <v>352</v>
      </c>
      <c r="AG144">
        <v>66</v>
      </c>
      <c r="AH144" t="s">
        <v>352</v>
      </c>
      <c r="AL144" t="s">
        <v>352</v>
      </c>
      <c r="AM144" s="2">
        <v>45327</v>
      </c>
      <c r="AN144" t="s">
        <v>597</v>
      </c>
      <c r="AO144" t="s">
        <v>597</v>
      </c>
      <c r="AP144">
        <v>1205</v>
      </c>
      <c r="AQ144" t="s">
        <v>360</v>
      </c>
      <c r="AR144">
        <v>91011</v>
      </c>
      <c r="AU144" t="s">
        <v>352</v>
      </c>
      <c r="AV144" t="s">
        <v>362</v>
      </c>
      <c r="AX144" t="s">
        <v>352</v>
      </c>
      <c r="AY144">
        <v>631110</v>
      </c>
      <c r="AZ144">
        <v>1205.63111</v>
      </c>
      <c r="BA144" s="54" t="s">
        <v>328</v>
      </c>
    </row>
    <row r="145" spans="1:53">
      <c r="A145" t="s">
        <v>363</v>
      </c>
      <c r="B145" t="s">
        <v>364</v>
      </c>
      <c r="C145">
        <v>24001182</v>
      </c>
      <c r="D145">
        <v>1205</v>
      </c>
      <c r="E145" s="2">
        <v>45327</v>
      </c>
      <c r="F145" t="s">
        <v>596</v>
      </c>
      <c r="G145">
        <v>2.54</v>
      </c>
      <c r="H145">
        <v>2.54</v>
      </c>
      <c r="I145" t="s">
        <v>352</v>
      </c>
      <c r="O145" t="s">
        <v>352</v>
      </c>
      <c r="Q145" t="s">
        <v>352</v>
      </c>
      <c r="R145" t="s">
        <v>366</v>
      </c>
      <c r="T145" t="s">
        <v>354</v>
      </c>
      <c r="U145" t="s">
        <v>355</v>
      </c>
      <c r="V145" t="s">
        <v>367</v>
      </c>
      <c r="W145" t="s">
        <v>368</v>
      </c>
      <c r="X145">
        <v>2097933</v>
      </c>
      <c r="Y145" s="2">
        <v>45327</v>
      </c>
      <c r="Z145" t="s">
        <v>352</v>
      </c>
      <c r="AA145">
        <v>16</v>
      </c>
      <c r="AB145" t="s">
        <v>352</v>
      </c>
      <c r="AD145" t="s">
        <v>352</v>
      </c>
      <c r="AE145" t="s">
        <v>352</v>
      </c>
      <c r="AF145" t="s">
        <v>352</v>
      </c>
      <c r="AG145">
        <v>17</v>
      </c>
      <c r="AH145" t="s">
        <v>352</v>
      </c>
      <c r="AL145" t="s">
        <v>352</v>
      </c>
      <c r="AM145" s="2">
        <v>45327</v>
      </c>
      <c r="AN145" t="s">
        <v>597</v>
      </c>
      <c r="AO145" t="s">
        <v>597</v>
      </c>
      <c r="AP145">
        <v>1205</v>
      </c>
      <c r="AQ145" t="s">
        <v>360</v>
      </c>
      <c r="AR145">
        <v>144854</v>
      </c>
      <c r="AU145" t="s">
        <v>352</v>
      </c>
      <c r="AV145" t="s">
        <v>362</v>
      </c>
      <c r="AX145" t="s">
        <v>352</v>
      </c>
      <c r="AY145">
        <v>631110</v>
      </c>
      <c r="AZ145">
        <v>1205.63111</v>
      </c>
      <c r="BA145" s="54" t="s">
        <v>328</v>
      </c>
    </row>
    <row r="146" spans="1:53">
      <c r="A146" t="s">
        <v>363</v>
      </c>
      <c r="B146" t="s">
        <v>364</v>
      </c>
      <c r="C146">
        <v>24001182</v>
      </c>
      <c r="D146">
        <v>1205</v>
      </c>
      <c r="E146" s="2">
        <v>45327</v>
      </c>
      <c r="F146" t="s">
        <v>596</v>
      </c>
      <c r="G146">
        <v>0.74</v>
      </c>
      <c r="H146">
        <v>0.74</v>
      </c>
      <c r="I146" t="s">
        <v>352</v>
      </c>
      <c r="O146" t="s">
        <v>352</v>
      </c>
      <c r="Q146" t="s">
        <v>352</v>
      </c>
      <c r="R146" t="s">
        <v>366</v>
      </c>
      <c r="T146" t="s">
        <v>354</v>
      </c>
      <c r="U146" t="s">
        <v>355</v>
      </c>
      <c r="V146" t="s">
        <v>367</v>
      </c>
      <c r="W146" t="s">
        <v>368</v>
      </c>
      <c r="X146">
        <v>2097933</v>
      </c>
      <c r="Y146" s="2">
        <v>45327</v>
      </c>
      <c r="Z146" t="s">
        <v>352</v>
      </c>
      <c r="AA146">
        <v>18</v>
      </c>
      <c r="AB146" t="s">
        <v>352</v>
      </c>
      <c r="AD146" t="s">
        <v>352</v>
      </c>
      <c r="AE146" t="s">
        <v>352</v>
      </c>
      <c r="AF146" t="s">
        <v>352</v>
      </c>
      <c r="AG146">
        <v>10</v>
      </c>
      <c r="AH146" t="s">
        <v>352</v>
      </c>
      <c r="AL146" t="s">
        <v>352</v>
      </c>
      <c r="AM146" s="2">
        <v>45327</v>
      </c>
      <c r="AN146" t="s">
        <v>597</v>
      </c>
      <c r="AO146" t="s">
        <v>597</v>
      </c>
      <c r="AP146">
        <v>1205</v>
      </c>
      <c r="AQ146" t="s">
        <v>360</v>
      </c>
      <c r="AR146">
        <v>91480</v>
      </c>
      <c r="AU146" t="s">
        <v>352</v>
      </c>
      <c r="AV146" t="s">
        <v>362</v>
      </c>
      <c r="AX146" t="s">
        <v>352</v>
      </c>
      <c r="AY146">
        <v>631110</v>
      </c>
      <c r="AZ146">
        <v>1205.63111</v>
      </c>
      <c r="BA146" s="54" t="s">
        <v>328</v>
      </c>
    </row>
    <row r="147" spans="1:53">
      <c r="A147" t="s">
        <v>363</v>
      </c>
      <c r="B147" t="s">
        <v>364</v>
      </c>
      <c r="C147">
        <v>24001182</v>
      </c>
      <c r="D147">
        <v>1205</v>
      </c>
      <c r="E147" s="2">
        <v>45327</v>
      </c>
      <c r="F147" t="s">
        <v>596</v>
      </c>
      <c r="G147">
        <v>0.24</v>
      </c>
      <c r="H147">
        <v>0.24</v>
      </c>
      <c r="I147" t="s">
        <v>352</v>
      </c>
      <c r="O147" t="s">
        <v>352</v>
      </c>
      <c r="Q147" t="s">
        <v>352</v>
      </c>
      <c r="R147" t="s">
        <v>366</v>
      </c>
      <c r="T147" t="s">
        <v>354</v>
      </c>
      <c r="U147" t="s">
        <v>355</v>
      </c>
      <c r="V147" t="s">
        <v>367</v>
      </c>
      <c r="W147" t="s">
        <v>368</v>
      </c>
      <c r="X147">
        <v>2097933</v>
      </c>
      <c r="Y147" s="2">
        <v>45327</v>
      </c>
      <c r="Z147" t="s">
        <v>352</v>
      </c>
      <c r="AA147">
        <v>20</v>
      </c>
      <c r="AB147" t="s">
        <v>352</v>
      </c>
      <c r="AD147" t="s">
        <v>352</v>
      </c>
      <c r="AE147" t="s">
        <v>352</v>
      </c>
      <c r="AF147" t="s">
        <v>352</v>
      </c>
      <c r="AG147">
        <v>2</v>
      </c>
      <c r="AH147" t="s">
        <v>352</v>
      </c>
      <c r="AL147" t="s">
        <v>352</v>
      </c>
      <c r="AM147" s="2">
        <v>45327</v>
      </c>
      <c r="AN147" t="s">
        <v>597</v>
      </c>
      <c r="AO147" t="s">
        <v>597</v>
      </c>
      <c r="AP147">
        <v>1205</v>
      </c>
      <c r="AQ147" t="s">
        <v>360</v>
      </c>
      <c r="AR147">
        <v>265217</v>
      </c>
      <c r="AU147" t="s">
        <v>352</v>
      </c>
      <c r="AV147" t="s">
        <v>362</v>
      </c>
      <c r="AX147" t="s">
        <v>352</v>
      </c>
      <c r="AY147">
        <v>631110</v>
      </c>
      <c r="AZ147">
        <v>1205.63111</v>
      </c>
      <c r="BA147" s="54" t="s">
        <v>328</v>
      </c>
    </row>
    <row r="148" spans="1:53">
      <c r="A148" t="s">
        <v>363</v>
      </c>
      <c r="B148" t="s">
        <v>364</v>
      </c>
      <c r="C148">
        <v>24001182</v>
      </c>
      <c r="D148">
        <v>1205</v>
      </c>
      <c r="E148" s="2">
        <v>45327</v>
      </c>
      <c r="F148" t="s">
        <v>596</v>
      </c>
      <c r="G148">
        <v>0.22</v>
      </c>
      <c r="H148">
        <v>0.22</v>
      </c>
      <c r="I148" t="s">
        <v>352</v>
      </c>
      <c r="O148" t="s">
        <v>352</v>
      </c>
      <c r="Q148" t="s">
        <v>352</v>
      </c>
      <c r="R148" t="s">
        <v>366</v>
      </c>
      <c r="T148" t="s">
        <v>354</v>
      </c>
      <c r="U148" t="s">
        <v>355</v>
      </c>
      <c r="V148" t="s">
        <v>367</v>
      </c>
      <c r="W148" t="s">
        <v>368</v>
      </c>
      <c r="X148">
        <v>2097933</v>
      </c>
      <c r="Y148" s="2">
        <v>45327</v>
      </c>
      <c r="Z148" t="s">
        <v>352</v>
      </c>
      <c r="AA148">
        <v>22</v>
      </c>
      <c r="AB148" t="s">
        <v>352</v>
      </c>
      <c r="AD148" t="s">
        <v>352</v>
      </c>
      <c r="AE148" t="s">
        <v>352</v>
      </c>
      <c r="AF148" t="s">
        <v>352</v>
      </c>
      <c r="AG148">
        <v>2</v>
      </c>
      <c r="AH148" t="s">
        <v>352</v>
      </c>
      <c r="AL148" t="s">
        <v>352</v>
      </c>
      <c r="AM148" s="2">
        <v>45327</v>
      </c>
      <c r="AN148" t="s">
        <v>597</v>
      </c>
      <c r="AO148" t="s">
        <v>597</v>
      </c>
      <c r="AP148">
        <v>1205</v>
      </c>
      <c r="AQ148" t="s">
        <v>360</v>
      </c>
      <c r="AR148">
        <v>90435</v>
      </c>
      <c r="AU148" t="s">
        <v>352</v>
      </c>
      <c r="AV148" t="s">
        <v>362</v>
      </c>
      <c r="AX148" t="s">
        <v>352</v>
      </c>
      <c r="AY148">
        <v>631110</v>
      </c>
      <c r="AZ148">
        <v>1205.63111</v>
      </c>
      <c r="BA148" s="54" t="s">
        <v>328</v>
      </c>
    </row>
    <row r="149" spans="1:53">
      <c r="A149" t="s">
        <v>363</v>
      </c>
      <c r="B149" t="s">
        <v>364</v>
      </c>
      <c r="C149">
        <v>24001183</v>
      </c>
      <c r="D149">
        <v>1205</v>
      </c>
      <c r="E149" s="2">
        <v>45327</v>
      </c>
      <c r="F149" t="s">
        <v>364</v>
      </c>
      <c r="G149">
        <v>3.85</v>
      </c>
      <c r="H149">
        <v>3.85</v>
      </c>
      <c r="I149" t="s">
        <v>352</v>
      </c>
      <c r="O149" t="s">
        <v>352</v>
      </c>
      <c r="Q149" t="s">
        <v>352</v>
      </c>
      <c r="R149" t="s">
        <v>366</v>
      </c>
      <c r="T149" t="s">
        <v>354</v>
      </c>
      <c r="U149" t="s">
        <v>355</v>
      </c>
      <c r="V149" t="s">
        <v>367</v>
      </c>
      <c r="W149" t="s">
        <v>368</v>
      </c>
      <c r="X149">
        <v>2097954</v>
      </c>
      <c r="Y149" s="2">
        <v>45327</v>
      </c>
      <c r="Z149" t="s">
        <v>352</v>
      </c>
      <c r="AA149">
        <v>2</v>
      </c>
      <c r="AB149" t="s">
        <v>352</v>
      </c>
      <c r="AD149" t="s">
        <v>352</v>
      </c>
      <c r="AE149" t="s">
        <v>352</v>
      </c>
      <c r="AF149" t="s">
        <v>352</v>
      </c>
      <c r="AG149">
        <v>1</v>
      </c>
      <c r="AH149" t="s">
        <v>352</v>
      </c>
      <c r="AL149" t="s">
        <v>352</v>
      </c>
      <c r="AM149" s="2">
        <v>45327</v>
      </c>
      <c r="AN149" t="s">
        <v>539</v>
      </c>
      <c r="AO149" t="s">
        <v>539</v>
      </c>
      <c r="AP149">
        <v>1205</v>
      </c>
      <c r="AQ149" t="s">
        <v>360</v>
      </c>
      <c r="AR149">
        <v>205692</v>
      </c>
      <c r="AU149" t="s">
        <v>352</v>
      </c>
      <c r="AV149" t="s">
        <v>362</v>
      </c>
      <c r="AX149" t="s">
        <v>352</v>
      </c>
      <c r="AY149">
        <v>631110</v>
      </c>
      <c r="AZ149">
        <v>1205.63111</v>
      </c>
      <c r="BA149" s="54" t="s">
        <v>328</v>
      </c>
    </row>
    <row r="150" spans="1:53">
      <c r="A150" t="s">
        <v>363</v>
      </c>
      <c r="B150" t="s">
        <v>364</v>
      </c>
      <c r="C150">
        <v>24001185</v>
      </c>
      <c r="D150">
        <v>1205</v>
      </c>
      <c r="E150" s="2">
        <v>45327</v>
      </c>
      <c r="F150" t="s">
        <v>365</v>
      </c>
      <c r="G150">
        <v>1.99</v>
      </c>
      <c r="H150">
        <v>1.99</v>
      </c>
      <c r="I150" t="s">
        <v>352</v>
      </c>
      <c r="O150" t="s">
        <v>352</v>
      </c>
      <c r="Q150" t="s">
        <v>352</v>
      </c>
      <c r="R150" t="s">
        <v>366</v>
      </c>
      <c r="T150" t="s">
        <v>354</v>
      </c>
      <c r="U150" t="s">
        <v>355</v>
      </c>
      <c r="V150" t="s">
        <v>367</v>
      </c>
      <c r="W150" t="s">
        <v>368</v>
      </c>
      <c r="X150">
        <v>2098028</v>
      </c>
      <c r="Y150" s="2">
        <v>45327</v>
      </c>
      <c r="Z150" t="s">
        <v>352</v>
      </c>
      <c r="AA150">
        <v>2</v>
      </c>
      <c r="AB150" t="s">
        <v>352</v>
      </c>
      <c r="AD150" t="s">
        <v>352</v>
      </c>
      <c r="AE150" t="s">
        <v>352</v>
      </c>
      <c r="AF150" t="s">
        <v>352</v>
      </c>
      <c r="AG150">
        <v>2</v>
      </c>
      <c r="AH150" t="s">
        <v>352</v>
      </c>
      <c r="AL150" t="s">
        <v>352</v>
      </c>
      <c r="AM150" s="2">
        <v>45327</v>
      </c>
      <c r="AN150" t="s">
        <v>539</v>
      </c>
      <c r="AO150" t="s">
        <v>539</v>
      </c>
      <c r="AP150">
        <v>1205</v>
      </c>
      <c r="AQ150" t="s">
        <v>360</v>
      </c>
      <c r="AR150">
        <v>277701</v>
      </c>
      <c r="AU150" t="s">
        <v>352</v>
      </c>
      <c r="AV150" t="s">
        <v>362</v>
      </c>
      <c r="AX150" t="s">
        <v>352</v>
      </c>
      <c r="AY150">
        <v>631110</v>
      </c>
      <c r="AZ150">
        <v>1205.63111</v>
      </c>
      <c r="BA150" s="54" t="s">
        <v>328</v>
      </c>
    </row>
    <row r="151" spans="1:53">
      <c r="A151" t="s">
        <v>363</v>
      </c>
      <c r="B151" t="s">
        <v>364</v>
      </c>
      <c r="C151">
        <v>24001185</v>
      </c>
      <c r="D151">
        <v>1205</v>
      </c>
      <c r="E151" s="2">
        <v>45327</v>
      </c>
      <c r="F151" t="s">
        <v>365</v>
      </c>
      <c r="G151">
        <v>0.68</v>
      </c>
      <c r="H151">
        <v>0.68</v>
      </c>
      <c r="I151" t="s">
        <v>352</v>
      </c>
      <c r="O151" t="s">
        <v>352</v>
      </c>
      <c r="Q151" t="s">
        <v>352</v>
      </c>
      <c r="R151" t="s">
        <v>366</v>
      </c>
      <c r="T151" t="s">
        <v>354</v>
      </c>
      <c r="U151" t="s">
        <v>355</v>
      </c>
      <c r="V151" t="s">
        <v>367</v>
      </c>
      <c r="W151" t="s">
        <v>368</v>
      </c>
      <c r="X151">
        <v>2098028</v>
      </c>
      <c r="Y151" s="2">
        <v>45327</v>
      </c>
      <c r="Z151" t="s">
        <v>352</v>
      </c>
      <c r="AA151">
        <v>4</v>
      </c>
      <c r="AB151" t="s">
        <v>352</v>
      </c>
      <c r="AD151" t="s">
        <v>352</v>
      </c>
      <c r="AE151" t="s">
        <v>352</v>
      </c>
      <c r="AF151" t="s">
        <v>352</v>
      </c>
      <c r="AG151">
        <v>1</v>
      </c>
      <c r="AH151" t="s">
        <v>352</v>
      </c>
      <c r="AL151" t="s">
        <v>352</v>
      </c>
      <c r="AM151" s="2">
        <v>45327</v>
      </c>
      <c r="AN151" t="s">
        <v>539</v>
      </c>
      <c r="AO151" t="s">
        <v>539</v>
      </c>
      <c r="AP151">
        <v>1205</v>
      </c>
      <c r="AQ151" t="s">
        <v>360</v>
      </c>
      <c r="AR151">
        <v>282149</v>
      </c>
      <c r="AU151" t="s">
        <v>352</v>
      </c>
      <c r="AV151" t="s">
        <v>362</v>
      </c>
      <c r="AX151" t="s">
        <v>352</v>
      </c>
      <c r="AY151">
        <v>631110</v>
      </c>
      <c r="AZ151">
        <v>1205.63111</v>
      </c>
      <c r="BA151" s="54" t="s">
        <v>328</v>
      </c>
    </row>
    <row r="152" spans="1:53">
      <c r="A152" t="s">
        <v>363</v>
      </c>
      <c r="B152" t="s">
        <v>364</v>
      </c>
      <c r="C152">
        <v>24001177</v>
      </c>
      <c r="D152">
        <v>1205</v>
      </c>
      <c r="E152" s="2">
        <v>45324</v>
      </c>
      <c r="F152" t="s">
        <v>540</v>
      </c>
      <c r="G152">
        <v>43.99</v>
      </c>
      <c r="H152">
        <v>43.99</v>
      </c>
      <c r="I152" t="s">
        <v>351</v>
      </c>
      <c r="O152" t="s">
        <v>352</v>
      </c>
      <c r="Q152" t="s">
        <v>352</v>
      </c>
      <c r="R152" t="s">
        <v>366</v>
      </c>
      <c r="T152" t="s">
        <v>354</v>
      </c>
      <c r="U152" t="s">
        <v>355</v>
      </c>
      <c r="V152" t="s">
        <v>367</v>
      </c>
      <c r="W152" t="s">
        <v>368</v>
      </c>
      <c r="X152">
        <v>2097627</v>
      </c>
      <c r="Y152" s="2">
        <v>45324</v>
      </c>
      <c r="Z152" t="s">
        <v>352</v>
      </c>
      <c r="AA152">
        <v>2</v>
      </c>
      <c r="AB152" t="s">
        <v>352</v>
      </c>
      <c r="AD152" t="s">
        <v>352</v>
      </c>
      <c r="AE152" t="s">
        <v>352</v>
      </c>
      <c r="AF152" t="s">
        <v>352</v>
      </c>
      <c r="AG152">
        <v>95</v>
      </c>
      <c r="AH152" t="s">
        <v>352</v>
      </c>
      <c r="AL152" t="s">
        <v>352</v>
      </c>
      <c r="AM152" s="2">
        <v>45324</v>
      </c>
      <c r="AN152" t="s">
        <v>379</v>
      </c>
      <c r="AO152" t="s">
        <v>359</v>
      </c>
      <c r="AP152">
        <v>1205</v>
      </c>
      <c r="AQ152" t="s">
        <v>360</v>
      </c>
      <c r="AR152">
        <v>220249</v>
      </c>
      <c r="AU152" t="s">
        <v>352</v>
      </c>
      <c r="AV152" t="s">
        <v>362</v>
      </c>
      <c r="AX152" t="s">
        <v>352</v>
      </c>
      <c r="AY152">
        <v>631180</v>
      </c>
      <c r="AZ152">
        <v>1205.6311800000001</v>
      </c>
      <c r="BA152" s="54" t="s">
        <v>331</v>
      </c>
    </row>
    <row r="153" spans="1:53">
      <c r="A153" t="s">
        <v>363</v>
      </c>
      <c r="B153" t="s">
        <v>364</v>
      </c>
      <c r="C153">
        <v>24001178</v>
      </c>
      <c r="D153">
        <v>1205</v>
      </c>
      <c r="E153" s="2">
        <v>45324</v>
      </c>
      <c r="F153" t="s">
        <v>541</v>
      </c>
      <c r="G153">
        <v>60.7</v>
      </c>
      <c r="H153">
        <v>60.7</v>
      </c>
      <c r="I153" t="s">
        <v>351</v>
      </c>
      <c r="O153" t="s">
        <v>352</v>
      </c>
      <c r="Q153" t="s">
        <v>352</v>
      </c>
      <c r="R153" t="s">
        <v>366</v>
      </c>
      <c r="T153" t="s">
        <v>354</v>
      </c>
      <c r="U153" t="s">
        <v>355</v>
      </c>
      <c r="V153" t="s">
        <v>367</v>
      </c>
      <c r="W153" t="s">
        <v>368</v>
      </c>
      <c r="X153">
        <v>2097641</v>
      </c>
      <c r="Y153" s="2">
        <v>45324</v>
      </c>
      <c r="Z153" t="s">
        <v>352</v>
      </c>
      <c r="AA153">
        <v>2</v>
      </c>
      <c r="AB153" t="s">
        <v>352</v>
      </c>
      <c r="AD153" t="s">
        <v>352</v>
      </c>
      <c r="AE153" t="s">
        <v>352</v>
      </c>
      <c r="AF153" t="s">
        <v>352</v>
      </c>
      <c r="AG153">
        <v>100</v>
      </c>
      <c r="AH153" t="s">
        <v>352</v>
      </c>
      <c r="AL153" t="s">
        <v>352</v>
      </c>
      <c r="AM153" s="2">
        <v>45324</v>
      </c>
      <c r="AN153" t="s">
        <v>379</v>
      </c>
      <c r="AO153" t="s">
        <v>359</v>
      </c>
      <c r="AP153">
        <v>1205</v>
      </c>
      <c r="AQ153" t="s">
        <v>360</v>
      </c>
      <c r="AR153">
        <v>79303</v>
      </c>
      <c r="AU153" t="s">
        <v>352</v>
      </c>
      <c r="AV153" t="s">
        <v>362</v>
      </c>
      <c r="AX153" t="s">
        <v>352</v>
      </c>
      <c r="AY153">
        <v>631180</v>
      </c>
      <c r="AZ153">
        <v>1205.6311800000001</v>
      </c>
      <c r="BA153" s="54" t="s">
        <v>331</v>
      </c>
    </row>
    <row r="154" spans="1:53">
      <c r="A154" t="s">
        <v>363</v>
      </c>
      <c r="B154" t="s">
        <v>364</v>
      </c>
      <c r="C154">
        <v>24001179</v>
      </c>
      <c r="D154">
        <v>1205</v>
      </c>
      <c r="E154" s="2">
        <v>45324</v>
      </c>
      <c r="F154" t="s">
        <v>542</v>
      </c>
      <c r="G154">
        <v>25.83</v>
      </c>
      <c r="H154">
        <v>25.83</v>
      </c>
      <c r="I154" t="s">
        <v>351</v>
      </c>
      <c r="O154" t="s">
        <v>352</v>
      </c>
      <c r="Q154" t="s">
        <v>352</v>
      </c>
      <c r="R154" t="s">
        <v>366</v>
      </c>
      <c r="T154" t="s">
        <v>354</v>
      </c>
      <c r="U154" t="s">
        <v>355</v>
      </c>
      <c r="V154" t="s">
        <v>367</v>
      </c>
      <c r="W154" t="s">
        <v>368</v>
      </c>
      <c r="X154">
        <v>2097643</v>
      </c>
      <c r="Y154" s="2">
        <v>45324</v>
      </c>
      <c r="Z154" t="s">
        <v>352</v>
      </c>
      <c r="AA154">
        <v>2</v>
      </c>
      <c r="AB154" t="s">
        <v>352</v>
      </c>
      <c r="AD154" t="s">
        <v>352</v>
      </c>
      <c r="AE154" t="s">
        <v>352</v>
      </c>
      <c r="AF154" t="s">
        <v>352</v>
      </c>
      <c r="AG154">
        <v>39</v>
      </c>
      <c r="AH154" t="s">
        <v>352</v>
      </c>
      <c r="AL154" t="s">
        <v>352</v>
      </c>
      <c r="AM154" s="2">
        <v>45324</v>
      </c>
      <c r="AN154" t="s">
        <v>379</v>
      </c>
      <c r="AO154" t="s">
        <v>359</v>
      </c>
      <c r="AP154">
        <v>1205</v>
      </c>
      <c r="AQ154" t="s">
        <v>360</v>
      </c>
      <c r="AR154">
        <v>253820</v>
      </c>
      <c r="AU154" t="s">
        <v>352</v>
      </c>
      <c r="AV154" t="s">
        <v>362</v>
      </c>
      <c r="AX154" t="s">
        <v>352</v>
      </c>
      <c r="AY154">
        <v>631180</v>
      </c>
      <c r="AZ154">
        <v>1205.6311800000001</v>
      </c>
      <c r="BA154" s="54" t="s">
        <v>331</v>
      </c>
    </row>
    <row r="155" spans="1:53">
      <c r="A155" t="s">
        <v>363</v>
      </c>
      <c r="B155" t="s">
        <v>364</v>
      </c>
      <c r="C155">
        <v>24001184</v>
      </c>
      <c r="D155">
        <v>1205</v>
      </c>
      <c r="E155" s="2">
        <v>45327</v>
      </c>
      <c r="F155" t="s">
        <v>598</v>
      </c>
      <c r="G155">
        <v>4.67</v>
      </c>
      <c r="H155">
        <v>4.67</v>
      </c>
      <c r="I155" t="s">
        <v>352</v>
      </c>
      <c r="O155" t="s">
        <v>352</v>
      </c>
      <c r="Q155" t="s">
        <v>352</v>
      </c>
      <c r="R155" t="s">
        <v>366</v>
      </c>
      <c r="T155" t="s">
        <v>354</v>
      </c>
      <c r="U155" t="s">
        <v>355</v>
      </c>
      <c r="V155" t="s">
        <v>367</v>
      </c>
      <c r="W155" t="s">
        <v>368</v>
      </c>
      <c r="X155">
        <v>2098026</v>
      </c>
      <c r="Y155" s="2">
        <v>45327</v>
      </c>
      <c r="Z155" t="s">
        <v>352</v>
      </c>
      <c r="AA155">
        <v>2</v>
      </c>
      <c r="AB155" t="s">
        <v>352</v>
      </c>
      <c r="AD155" t="s">
        <v>352</v>
      </c>
      <c r="AE155" t="s">
        <v>352</v>
      </c>
      <c r="AF155" t="s">
        <v>352</v>
      </c>
      <c r="AG155">
        <v>12</v>
      </c>
      <c r="AH155" t="s">
        <v>352</v>
      </c>
      <c r="AL155" t="s">
        <v>352</v>
      </c>
      <c r="AM155" s="2">
        <v>45327</v>
      </c>
      <c r="AN155" t="s">
        <v>379</v>
      </c>
      <c r="AO155" t="s">
        <v>379</v>
      </c>
      <c r="AP155">
        <v>1205</v>
      </c>
      <c r="AQ155" t="s">
        <v>360</v>
      </c>
      <c r="AR155">
        <v>79280</v>
      </c>
      <c r="AU155" t="s">
        <v>352</v>
      </c>
      <c r="AV155" t="s">
        <v>362</v>
      </c>
      <c r="AX155" t="s">
        <v>352</v>
      </c>
      <c r="AY155">
        <v>631180</v>
      </c>
      <c r="AZ155">
        <v>1205.6311800000001</v>
      </c>
      <c r="BA155" s="54" t="s">
        <v>331</v>
      </c>
    </row>
    <row r="156" spans="1:53">
      <c r="A156" t="s">
        <v>363</v>
      </c>
      <c r="B156" t="s">
        <v>364</v>
      </c>
      <c r="C156">
        <v>24001117</v>
      </c>
      <c r="D156">
        <v>1206</v>
      </c>
      <c r="E156" s="2">
        <v>45323</v>
      </c>
      <c r="F156" t="s">
        <v>369</v>
      </c>
      <c r="G156">
        <v>12.31</v>
      </c>
      <c r="H156">
        <v>12.31</v>
      </c>
      <c r="I156" t="s">
        <v>351</v>
      </c>
      <c r="O156" t="s">
        <v>352</v>
      </c>
      <c r="Q156" t="s">
        <v>352</v>
      </c>
      <c r="R156" t="s">
        <v>366</v>
      </c>
      <c r="T156" t="s">
        <v>354</v>
      </c>
      <c r="U156" t="s">
        <v>355</v>
      </c>
      <c r="V156" t="s">
        <v>367</v>
      </c>
      <c r="W156" t="s">
        <v>368</v>
      </c>
      <c r="X156">
        <v>2097275</v>
      </c>
      <c r="Y156" s="2">
        <v>45323</v>
      </c>
      <c r="Z156" t="s">
        <v>352</v>
      </c>
      <c r="AA156">
        <v>2</v>
      </c>
      <c r="AB156" t="s">
        <v>352</v>
      </c>
      <c r="AD156" t="s">
        <v>352</v>
      </c>
      <c r="AE156" t="s">
        <v>352</v>
      </c>
      <c r="AF156" t="s">
        <v>352</v>
      </c>
      <c r="AG156">
        <v>2</v>
      </c>
      <c r="AH156" t="s">
        <v>352</v>
      </c>
      <c r="AL156" t="s">
        <v>352</v>
      </c>
      <c r="AM156" s="2">
        <v>45323</v>
      </c>
      <c r="AN156" t="s">
        <v>386</v>
      </c>
      <c r="AO156" t="s">
        <v>359</v>
      </c>
      <c r="AP156">
        <v>1206</v>
      </c>
      <c r="AQ156" t="s">
        <v>360</v>
      </c>
      <c r="AR156">
        <v>279991</v>
      </c>
      <c r="AU156" t="s">
        <v>352</v>
      </c>
      <c r="AV156" t="s">
        <v>362</v>
      </c>
      <c r="AX156" t="s">
        <v>352</v>
      </c>
      <c r="AY156">
        <v>631110</v>
      </c>
      <c r="AZ156">
        <v>1206.63111</v>
      </c>
      <c r="BA156" s="54" t="s">
        <v>333</v>
      </c>
    </row>
    <row r="157" spans="1:53">
      <c r="A157" t="s">
        <v>363</v>
      </c>
      <c r="B157" t="s">
        <v>364</v>
      </c>
      <c r="C157">
        <v>24001117</v>
      </c>
      <c r="D157">
        <v>1206</v>
      </c>
      <c r="E157" s="2">
        <v>45323</v>
      </c>
      <c r="F157" t="s">
        <v>369</v>
      </c>
      <c r="G157">
        <v>22.67</v>
      </c>
      <c r="H157">
        <v>22.67</v>
      </c>
      <c r="I157" t="s">
        <v>351</v>
      </c>
      <c r="O157" t="s">
        <v>352</v>
      </c>
      <c r="Q157" t="s">
        <v>352</v>
      </c>
      <c r="R157" t="s">
        <v>366</v>
      </c>
      <c r="T157" t="s">
        <v>354</v>
      </c>
      <c r="U157" t="s">
        <v>355</v>
      </c>
      <c r="V157" t="s">
        <v>367</v>
      </c>
      <c r="W157" t="s">
        <v>368</v>
      </c>
      <c r="X157">
        <v>2097275</v>
      </c>
      <c r="Y157" s="2">
        <v>45323</v>
      </c>
      <c r="Z157" t="s">
        <v>352</v>
      </c>
      <c r="AA157">
        <v>4</v>
      </c>
      <c r="AB157" t="s">
        <v>352</v>
      </c>
      <c r="AD157" t="s">
        <v>352</v>
      </c>
      <c r="AE157" t="s">
        <v>352</v>
      </c>
      <c r="AF157" t="s">
        <v>352</v>
      </c>
      <c r="AG157">
        <v>1</v>
      </c>
      <c r="AH157" t="s">
        <v>352</v>
      </c>
      <c r="AL157" t="s">
        <v>352</v>
      </c>
      <c r="AM157" s="2">
        <v>45323</v>
      </c>
      <c r="AN157" t="s">
        <v>386</v>
      </c>
      <c r="AO157" t="s">
        <v>359</v>
      </c>
      <c r="AP157">
        <v>1206</v>
      </c>
      <c r="AQ157" t="s">
        <v>360</v>
      </c>
      <c r="AR157">
        <v>247146</v>
      </c>
      <c r="AU157" t="s">
        <v>352</v>
      </c>
      <c r="AV157" t="s">
        <v>362</v>
      </c>
      <c r="AX157" t="s">
        <v>352</v>
      </c>
      <c r="AY157">
        <v>631110</v>
      </c>
      <c r="AZ157">
        <v>1206.63111</v>
      </c>
      <c r="BA157" s="54" t="s">
        <v>333</v>
      </c>
    </row>
    <row r="158" spans="1:53">
      <c r="A158" t="s">
        <v>363</v>
      </c>
      <c r="B158" t="s">
        <v>364</v>
      </c>
      <c r="C158">
        <v>24001117</v>
      </c>
      <c r="D158">
        <v>1206</v>
      </c>
      <c r="E158" s="2">
        <v>45323</v>
      </c>
      <c r="F158" t="s">
        <v>369</v>
      </c>
      <c r="G158">
        <v>7.09</v>
      </c>
      <c r="H158">
        <v>7.09</v>
      </c>
      <c r="I158" t="s">
        <v>351</v>
      </c>
      <c r="O158" t="s">
        <v>352</v>
      </c>
      <c r="Q158" t="s">
        <v>352</v>
      </c>
      <c r="R158" t="s">
        <v>366</v>
      </c>
      <c r="T158" t="s">
        <v>354</v>
      </c>
      <c r="U158" t="s">
        <v>355</v>
      </c>
      <c r="V158" t="s">
        <v>367</v>
      </c>
      <c r="W158" t="s">
        <v>368</v>
      </c>
      <c r="X158">
        <v>2097275</v>
      </c>
      <c r="Y158" s="2">
        <v>45323</v>
      </c>
      <c r="Z158" t="s">
        <v>352</v>
      </c>
      <c r="AA158">
        <v>6</v>
      </c>
      <c r="AB158" t="s">
        <v>352</v>
      </c>
      <c r="AD158" t="s">
        <v>352</v>
      </c>
      <c r="AE158" t="s">
        <v>352</v>
      </c>
      <c r="AF158" t="s">
        <v>352</v>
      </c>
      <c r="AG158">
        <v>1</v>
      </c>
      <c r="AH158" t="s">
        <v>352</v>
      </c>
      <c r="AL158" t="s">
        <v>352</v>
      </c>
      <c r="AM158" s="2">
        <v>45323</v>
      </c>
      <c r="AN158" t="s">
        <v>386</v>
      </c>
      <c r="AO158" t="s">
        <v>359</v>
      </c>
      <c r="AP158">
        <v>1206</v>
      </c>
      <c r="AQ158" t="s">
        <v>360</v>
      </c>
      <c r="AR158">
        <v>225948</v>
      </c>
      <c r="AU158" t="s">
        <v>352</v>
      </c>
      <c r="AV158" t="s">
        <v>362</v>
      </c>
      <c r="AX158" t="s">
        <v>352</v>
      </c>
      <c r="AY158">
        <v>631110</v>
      </c>
      <c r="AZ158">
        <v>1206.63111</v>
      </c>
      <c r="BA158" s="54" t="s">
        <v>333</v>
      </c>
    </row>
    <row r="159" spans="1:53">
      <c r="A159" t="s">
        <v>363</v>
      </c>
      <c r="B159" t="s">
        <v>364</v>
      </c>
      <c r="C159">
        <v>24001118</v>
      </c>
      <c r="D159">
        <v>1206</v>
      </c>
      <c r="E159" s="2">
        <v>45323</v>
      </c>
      <c r="F159" t="s">
        <v>387</v>
      </c>
      <c r="G159">
        <v>14.57</v>
      </c>
      <c r="H159">
        <v>14.57</v>
      </c>
      <c r="I159" t="s">
        <v>351</v>
      </c>
      <c r="O159" t="s">
        <v>352</v>
      </c>
      <c r="Q159" t="s">
        <v>352</v>
      </c>
      <c r="R159" t="s">
        <v>366</v>
      </c>
      <c r="T159" t="s">
        <v>354</v>
      </c>
      <c r="U159" t="s">
        <v>355</v>
      </c>
      <c r="V159" t="s">
        <v>367</v>
      </c>
      <c r="W159" t="s">
        <v>368</v>
      </c>
      <c r="X159">
        <v>2097275</v>
      </c>
      <c r="Y159" s="2">
        <v>45323</v>
      </c>
      <c r="Z159" t="s">
        <v>352</v>
      </c>
      <c r="AA159">
        <v>2</v>
      </c>
      <c r="AB159" t="s">
        <v>352</v>
      </c>
      <c r="AD159" t="s">
        <v>352</v>
      </c>
      <c r="AE159" t="s">
        <v>352</v>
      </c>
      <c r="AF159" t="s">
        <v>352</v>
      </c>
      <c r="AG159">
        <v>1</v>
      </c>
      <c r="AH159" t="s">
        <v>352</v>
      </c>
      <c r="AL159" t="s">
        <v>352</v>
      </c>
      <c r="AM159" s="2">
        <v>45323</v>
      </c>
      <c r="AN159" t="s">
        <v>386</v>
      </c>
      <c r="AO159" t="s">
        <v>359</v>
      </c>
      <c r="AP159">
        <v>1206</v>
      </c>
      <c r="AQ159" t="s">
        <v>360</v>
      </c>
      <c r="AR159">
        <v>163472</v>
      </c>
      <c r="AU159" t="s">
        <v>352</v>
      </c>
      <c r="AV159" t="s">
        <v>362</v>
      </c>
      <c r="AX159" t="s">
        <v>352</v>
      </c>
      <c r="AY159">
        <v>631110</v>
      </c>
      <c r="AZ159">
        <v>1206.63111</v>
      </c>
      <c r="BA159" s="54" t="s">
        <v>333</v>
      </c>
    </row>
    <row r="160" spans="1:53">
      <c r="A160" t="s">
        <v>363</v>
      </c>
      <c r="B160" t="s">
        <v>364</v>
      </c>
      <c r="C160">
        <v>24001118</v>
      </c>
      <c r="D160">
        <v>1206</v>
      </c>
      <c r="E160" s="2">
        <v>45323</v>
      </c>
      <c r="F160" t="s">
        <v>387</v>
      </c>
      <c r="G160">
        <v>1.95</v>
      </c>
      <c r="H160">
        <v>1.95</v>
      </c>
      <c r="I160" t="s">
        <v>351</v>
      </c>
      <c r="O160" t="s">
        <v>352</v>
      </c>
      <c r="Q160" t="s">
        <v>352</v>
      </c>
      <c r="R160" t="s">
        <v>366</v>
      </c>
      <c r="T160" t="s">
        <v>354</v>
      </c>
      <c r="U160" t="s">
        <v>355</v>
      </c>
      <c r="V160" t="s">
        <v>367</v>
      </c>
      <c r="W160" t="s">
        <v>368</v>
      </c>
      <c r="X160">
        <v>2097275</v>
      </c>
      <c r="Y160" s="2">
        <v>45323</v>
      </c>
      <c r="Z160" t="s">
        <v>352</v>
      </c>
      <c r="AA160">
        <v>4</v>
      </c>
      <c r="AB160" t="s">
        <v>352</v>
      </c>
      <c r="AD160" t="s">
        <v>352</v>
      </c>
      <c r="AE160" t="s">
        <v>352</v>
      </c>
      <c r="AF160" t="s">
        <v>352</v>
      </c>
      <c r="AG160">
        <v>3</v>
      </c>
      <c r="AH160" t="s">
        <v>352</v>
      </c>
      <c r="AL160" t="s">
        <v>352</v>
      </c>
      <c r="AM160" s="2">
        <v>45323</v>
      </c>
      <c r="AN160" t="s">
        <v>386</v>
      </c>
      <c r="AO160" t="s">
        <v>359</v>
      </c>
      <c r="AP160">
        <v>1206</v>
      </c>
      <c r="AQ160" t="s">
        <v>360</v>
      </c>
      <c r="AR160">
        <v>88732</v>
      </c>
      <c r="AU160" t="s">
        <v>352</v>
      </c>
      <c r="AV160" t="s">
        <v>362</v>
      </c>
      <c r="AX160" t="s">
        <v>352</v>
      </c>
      <c r="AY160">
        <v>631110</v>
      </c>
      <c r="AZ160">
        <v>1206.63111</v>
      </c>
      <c r="BA160" s="54" t="s">
        <v>333</v>
      </c>
    </row>
    <row r="161" spans="1:53">
      <c r="A161" t="s">
        <v>363</v>
      </c>
      <c r="B161" t="s">
        <v>364</v>
      </c>
      <c r="C161">
        <v>24001118</v>
      </c>
      <c r="D161">
        <v>1206</v>
      </c>
      <c r="E161" s="2">
        <v>45323</v>
      </c>
      <c r="F161" t="s">
        <v>387</v>
      </c>
      <c r="G161">
        <v>3.89</v>
      </c>
      <c r="H161">
        <v>3.89</v>
      </c>
      <c r="I161" t="s">
        <v>351</v>
      </c>
      <c r="O161" t="s">
        <v>352</v>
      </c>
      <c r="Q161" t="s">
        <v>352</v>
      </c>
      <c r="R161" t="s">
        <v>366</v>
      </c>
      <c r="T161" t="s">
        <v>354</v>
      </c>
      <c r="U161" t="s">
        <v>355</v>
      </c>
      <c r="V161" t="s">
        <v>367</v>
      </c>
      <c r="W161" t="s">
        <v>368</v>
      </c>
      <c r="X161">
        <v>2097275</v>
      </c>
      <c r="Y161" s="2">
        <v>45323</v>
      </c>
      <c r="Z161" t="s">
        <v>352</v>
      </c>
      <c r="AA161">
        <v>6</v>
      </c>
      <c r="AB161" t="s">
        <v>352</v>
      </c>
      <c r="AD161" t="s">
        <v>352</v>
      </c>
      <c r="AE161" t="s">
        <v>352</v>
      </c>
      <c r="AF161" t="s">
        <v>352</v>
      </c>
      <c r="AG161">
        <v>3</v>
      </c>
      <c r="AH161" t="s">
        <v>352</v>
      </c>
      <c r="AL161" t="s">
        <v>352</v>
      </c>
      <c r="AM161" s="2">
        <v>45323</v>
      </c>
      <c r="AN161" t="s">
        <v>386</v>
      </c>
      <c r="AO161" t="s">
        <v>359</v>
      </c>
      <c r="AP161">
        <v>1206</v>
      </c>
      <c r="AQ161" t="s">
        <v>360</v>
      </c>
      <c r="AR161">
        <v>90070</v>
      </c>
      <c r="AU161" t="s">
        <v>352</v>
      </c>
      <c r="AV161" t="s">
        <v>362</v>
      </c>
      <c r="AX161" t="s">
        <v>352</v>
      </c>
      <c r="AY161">
        <v>631110</v>
      </c>
      <c r="AZ161">
        <v>1206.63111</v>
      </c>
      <c r="BA161" s="54" t="s">
        <v>333</v>
      </c>
    </row>
    <row r="162" spans="1:53">
      <c r="A162" t="s">
        <v>363</v>
      </c>
      <c r="B162" t="s">
        <v>364</v>
      </c>
      <c r="C162">
        <v>24001119</v>
      </c>
      <c r="D162">
        <v>1206</v>
      </c>
      <c r="E162" s="2">
        <v>45323</v>
      </c>
      <c r="F162" t="s">
        <v>365</v>
      </c>
      <c r="G162">
        <v>31.69</v>
      </c>
      <c r="H162">
        <v>31.69</v>
      </c>
      <c r="I162" t="s">
        <v>351</v>
      </c>
      <c r="O162" t="s">
        <v>352</v>
      </c>
      <c r="Q162" t="s">
        <v>352</v>
      </c>
      <c r="R162" t="s">
        <v>366</v>
      </c>
      <c r="T162" t="s">
        <v>354</v>
      </c>
      <c r="U162" t="s">
        <v>355</v>
      </c>
      <c r="V162" t="s">
        <v>367</v>
      </c>
      <c r="W162" t="s">
        <v>368</v>
      </c>
      <c r="X162">
        <v>2097275</v>
      </c>
      <c r="Y162" s="2">
        <v>45323</v>
      </c>
      <c r="Z162" t="s">
        <v>352</v>
      </c>
      <c r="AA162">
        <v>2</v>
      </c>
      <c r="AB162" t="s">
        <v>352</v>
      </c>
      <c r="AD162" t="s">
        <v>352</v>
      </c>
      <c r="AE162" t="s">
        <v>352</v>
      </c>
      <c r="AF162" t="s">
        <v>352</v>
      </c>
      <c r="AG162">
        <v>1</v>
      </c>
      <c r="AH162" t="s">
        <v>352</v>
      </c>
      <c r="AL162" t="s">
        <v>352</v>
      </c>
      <c r="AM162" s="2">
        <v>45323</v>
      </c>
      <c r="AN162" t="s">
        <v>386</v>
      </c>
      <c r="AO162" t="s">
        <v>359</v>
      </c>
      <c r="AP162">
        <v>1206</v>
      </c>
      <c r="AQ162" t="s">
        <v>360</v>
      </c>
      <c r="AR162">
        <v>190633</v>
      </c>
      <c r="AU162" t="s">
        <v>352</v>
      </c>
      <c r="AV162" t="s">
        <v>362</v>
      </c>
      <c r="AX162" t="s">
        <v>352</v>
      </c>
      <c r="AY162">
        <v>631110</v>
      </c>
      <c r="AZ162">
        <v>1206.63111</v>
      </c>
      <c r="BA162" s="54" t="s">
        <v>333</v>
      </c>
    </row>
    <row r="163" spans="1:53">
      <c r="A163" t="s">
        <v>363</v>
      </c>
      <c r="B163" t="s">
        <v>364</v>
      </c>
      <c r="C163">
        <v>24001119</v>
      </c>
      <c r="D163">
        <v>1206</v>
      </c>
      <c r="E163" s="2">
        <v>45323</v>
      </c>
      <c r="F163" t="s">
        <v>365</v>
      </c>
      <c r="G163">
        <v>1.1000000000000001</v>
      </c>
      <c r="H163">
        <v>1.1000000000000001</v>
      </c>
      <c r="I163" t="s">
        <v>351</v>
      </c>
      <c r="O163" t="s">
        <v>352</v>
      </c>
      <c r="Q163" t="s">
        <v>352</v>
      </c>
      <c r="R163" t="s">
        <v>366</v>
      </c>
      <c r="T163" t="s">
        <v>354</v>
      </c>
      <c r="U163" t="s">
        <v>355</v>
      </c>
      <c r="V163" t="s">
        <v>367</v>
      </c>
      <c r="W163" t="s">
        <v>368</v>
      </c>
      <c r="X163">
        <v>2097275</v>
      </c>
      <c r="Y163" s="2">
        <v>45323</v>
      </c>
      <c r="Z163" t="s">
        <v>352</v>
      </c>
      <c r="AA163">
        <v>4</v>
      </c>
      <c r="AB163" t="s">
        <v>352</v>
      </c>
      <c r="AD163" t="s">
        <v>352</v>
      </c>
      <c r="AE163" t="s">
        <v>352</v>
      </c>
      <c r="AF163" t="s">
        <v>352</v>
      </c>
      <c r="AG163">
        <v>1</v>
      </c>
      <c r="AH163" t="s">
        <v>352</v>
      </c>
      <c r="AL163" t="s">
        <v>352</v>
      </c>
      <c r="AM163" s="2">
        <v>45323</v>
      </c>
      <c r="AN163" t="s">
        <v>386</v>
      </c>
      <c r="AO163" t="s">
        <v>359</v>
      </c>
      <c r="AP163">
        <v>1206</v>
      </c>
      <c r="AQ163" t="s">
        <v>360</v>
      </c>
      <c r="AR163">
        <v>187381</v>
      </c>
      <c r="AU163" t="s">
        <v>352</v>
      </c>
      <c r="AV163" t="s">
        <v>362</v>
      </c>
      <c r="AX163" t="s">
        <v>352</v>
      </c>
      <c r="AY163">
        <v>631110</v>
      </c>
      <c r="AZ163">
        <v>1206.63111</v>
      </c>
      <c r="BA163" s="54" t="s">
        <v>333</v>
      </c>
    </row>
    <row r="164" spans="1:53">
      <c r="A164" t="s">
        <v>363</v>
      </c>
      <c r="B164" t="s">
        <v>364</v>
      </c>
      <c r="C164">
        <v>24001119</v>
      </c>
      <c r="D164">
        <v>1206</v>
      </c>
      <c r="E164" s="2">
        <v>45323</v>
      </c>
      <c r="F164" t="s">
        <v>365</v>
      </c>
      <c r="G164">
        <v>10.73</v>
      </c>
      <c r="H164">
        <v>10.73</v>
      </c>
      <c r="I164" t="s">
        <v>351</v>
      </c>
      <c r="O164" t="s">
        <v>352</v>
      </c>
      <c r="Q164" t="s">
        <v>352</v>
      </c>
      <c r="R164" t="s">
        <v>366</v>
      </c>
      <c r="T164" t="s">
        <v>354</v>
      </c>
      <c r="U164" t="s">
        <v>355</v>
      </c>
      <c r="V164" t="s">
        <v>367</v>
      </c>
      <c r="W164" t="s">
        <v>368</v>
      </c>
      <c r="X164">
        <v>2097275</v>
      </c>
      <c r="Y164" s="2">
        <v>45323</v>
      </c>
      <c r="Z164" t="s">
        <v>352</v>
      </c>
      <c r="AA164">
        <v>6</v>
      </c>
      <c r="AB164" t="s">
        <v>352</v>
      </c>
      <c r="AD164" t="s">
        <v>352</v>
      </c>
      <c r="AE164" t="s">
        <v>352</v>
      </c>
      <c r="AF164" t="s">
        <v>352</v>
      </c>
      <c r="AG164">
        <v>3</v>
      </c>
      <c r="AH164" t="s">
        <v>352</v>
      </c>
      <c r="AL164" t="s">
        <v>352</v>
      </c>
      <c r="AM164" s="2">
        <v>45323</v>
      </c>
      <c r="AN164" t="s">
        <v>386</v>
      </c>
      <c r="AO164" t="s">
        <v>359</v>
      </c>
      <c r="AP164">
        <v>1206</v>
      </c>
      <c r="AQ164" t="s">
        <v>360</v>
      </c>
      <c r="AR164">
        <v>285838</v>
      </c>
      <c r="AU164" t="s">
        <v>352</v>
      </c>
      <c r="AV164" t="s">
        <v>362</v>
      </c>
      <c r="AX164" t="s">
        <v>352</v>
      </c>
      <c r="AY164">
        <v>631110</v>
      </c>
      <c r="AZ164">
        <v>1206.63111</v>
      </c>
      <c r="BA164" s="54" t="s">
        <v>333</v>
      </c>
    </row>
    <row r="165" spans="1:53">
      <c r="A165" t="s">
        <v>363</v>
      </c>
      <c r="B165" t="s">
        <v>364</v>
      </c>
      <c r="C165">
        <v>24001119</v>
      </c>
      <c r="D165">
        <v>1206</v>
      </c>
      <c r="E165" s="2">
        <v>45323</v>
      </c>
      <c r="F165" t="s">
        <v>365</v>
      </c>
      <c r="G165">
        <v>0.31</v>
      </c>
      <c r="H165">
        <v>0.31</v>
      </c>
      <c r="I165" t="s">
        <v>351</v>
      </c>
      <c r="O165" t="s">
        <v>352</v>
      </c>
      <c r="Q165" t="s">
        <v>352</v>
      </c>
      <c r="R165" t="s">
        <v>366</v>
      </c>
      <c r="T165" t="s">
        <v>354</v>
      </c>
      <c r="U165" t="s">
        <v>355</v>
      </c>
      <c r="V165" t="s">
        <v>367</v>
      </c>
      <c r="W165" t="s">
        <v>368</v>
      </c>
      <c r="X165">
        <v>2097275</v>
      </c>
      <c r="Y165" s="2">
        <v>45323</v>
      </c>
      <c r="Z165" t="s">
        <v>352</v>
      </c>
      <c r="AA165">
        <v>8</v>
      </c>
      <c r="AB165" t="s">
        <v>352</v>
      </c>
      <c r="AD165" t="s">
        <v>352</v>
      </c>
      <c r="AE165" t="s">
        <v>352</v>
      </c>
      <c r="AF165" t="s">
        <v>352</v>
      </c>
      <c r="AG165">
        <v>2</v>
      </c>
      <c r="AH165" t="s">
        <v>352</v>
      </c>
      <c r="AL165" t="s">
        <v>352</v>
      </c>
      <c r="AM165" s="2">
        <v>45323</v>
      </c>
      <c r="AN165" t="s">
        <v>386</v>
      </c>
      <c r="AO165" t="s">
        <v>359</v>
      </c>
      <c r="AP165">
        <v>1206</v>
      </c>
      <c r="AQ165" t="s">
        <v>360</v>
      </c>
      <c r="AR165">
        <v>88760</v>
      </c>
      <c r="AU165" t="s">
        <v>352</v>
      </c>
      <c r="AV165" t="s">
        <v>362</v>
      </c>
      <c r="AX165" t="s">
        <v>352</v>
      </c>
      <c r="AY165">
        <v>631110</v>
      </c>
      <c r="AZ165">
        <v>1206.63111</v>
      </c>
      <c r="BA165" s="54" t="s">
        <v>333</v>
      </c>
    </row>
    <row r="166" spans="1:53">
      <c r="A166" t="s">
        <v>363</v>
      </c>
      <c r="B166" t="s">
        <v>364</v>
      </c>
      <c r="C166">
        <v>24001119</v>
      </c>
      <c r="D166">
        <v>1206</v>
      </c>
      <c r="E166" s="2">
        <v>45323</v>
      </c>
      <c r="F166" t="s">
        <v>365</v>
      </c>
      <c r="G166">
        <v>1.01</v>
      </c>
      <c r="H166">
        <v>1.01</v>
      </c>
      <c r="I166" t="s">
        <v>351</v>
      </c>
      <c r="O166" t="s">
        <v>352</v>
      </c>
      <c r="Q166" t="s">
        <v>352</v>
      </c>
      <c r="R166" t="s">
        <v>366</v>
      </c>
      <c r="T166" t="s">
        <v>354</v>
      </c>
      <c r="U166" t="s">
        <v>355</v>
      </c>
      <c r="V166" t="s">
        <v>367</v>
      </c>
      <c r="W166" t="s">
        <v>368</v>
      </c>
      <c r="X166">
        <v>2097275</v>
      </c>
      <c r="Y166" s="2">
        <v>45323</v>
      </c>
      <c r="Z166" t="s">
        <v>352</v>
      </c>
      <c r="AA166">
        <v>10</v>
      </c>
      <c r="AB166" t="s">
        <v>352</v>
      </c>
      <c r="AD166" t="s">
        <v>352</v>
      </c>
      <c r="AE166" t="s">
        <v>352</v>
      </c>
      <c r="AF166" t="s">
        <v>352</v>
      </c>
      <c r="AG166">
        <v>2</v>
      </c>
      <c r="AH166" t="s">
        <v>352</v>
      </c>
      <c r="AL166" t="s">
        <v>352</v>
      </c>
      <c r="AM166" s="2">
        <v>45323</v>
      </c>
      <c r="AN166" t="s">
        <v>386</v>
      </c>
      <c r="AO166" t="s">
        <v>359</v>
      </c>
      <c r="AP166">
        <v>1206</v>
      </c>
      <c r="AQ166" t="s">
        <v>360</v>
      </c>
      <c r="AR166">
        <v>89777</v>
      </c>
      <c r="AU166" t="s">
        <v>352</v>
      </c>
      <c r="AV166" t="s">
        <v>362</v>
      </c>
      <c r="AX166" t="s">
        <v>352</v>
      </c>
      <c r="AY166">
        <v>631110</v>
      </c>
      <c r="AZ166">
        <v>1206.63111</v>
      </c>
      <c r="BA166" s="54" t="s">
        <v>333</v>
      </c>
    </row>
    <row r="167" spans="1:53">
      <c r="A167" t="s">
        <v>363</v>
      </c>
      <c r="B167" t="s">
        <v>364</v>
      </c>
      <c r="C167">
        <v>24001119</v>
      </c>
      <c r="D167">
        <v>1206</v>
      </c>
      <c r="E167" s="2">
        <v>45323</v>
      </c>
      <c r="F167" t="s">
        <v>365</v>
      </c>
      <c r="G167">
        <v>89.98</v>
      </c>
      <c r="H167">
        <v>89.98</v>
      </c>
      <c r="I167" t="s">
        <v>351</v>
      </c>
      <c r="O167" t="s">
        <v>352</v>
      </c>
      <c r="Q167" t="s">
        <v>352</v>
      </c>
      <c r="R167" t="s">
        <v>366</v>
      </c>
      <c r="T167" t="s">
        <v>354</v>
      </c>
      <c r="U167" t="s">
        <v>355</v>
      </c>
      <c r="V167" t="s">
        <v>367</v>
      </c>
      <c r="W167" t="s">
        <v>368</v>
      </c>
      <c r="X167">
        <v>2097275</v>
      </c>
      <c r="Y167" s="2">
        <v>45323</v>
      </c>
      <c r="Z167" t="s">
        <v>352</v>
      </c>
      <c r="AA167">
        <v>12</v>
      </c>
      <c r="AB167" t="s">
        <v>352</v>
      </c>
      <c r="AD167" t="s">
        <v>352</v>
      </c>
      <c r="AE167" t="s">
        <v>352</v>
      </c>
      <c r="AF167" t="s">
        <v>352</v>
      </c>
      <c r="AG167">
        <v>1</v>
      </c>
      <c r="AH167" t="s">
        <v>352</v>
      </c>
      <c r="AL167" t="s">
        <v>352</v>
      </c>
      <c r="AM167" s="2">
        <v>45323</v>
      </c>
      <c r="AN167" t="s">
        <v>386</v>
      </c>
      <c r="AO167" t="s">
        <v>359</v>
      </c>
      <c r="AP167">
        <v>1206</v>
      </c>
      <c r="AQ167" t="s">
        <v>360</v>
      </c>
      <c r="AR167">
        <v>111572</v>
      </c>
      <c r="AU167" t="s">
        <v>352</v>
      </c>
      <c r="AV167" t="s">
        <v>362</v>
      </c>
      <c r="AX167" t="s">
        <v>352</v>
      </c>
      <c r="AY167">
        <v>631110</v>
      </c>
      <c r="AZ167">
        <v>1206.63111</v>
      </c>
      <c r="BA167" s="54" t="s">
        <v>333</v>
      </c>
    </row>
    <row r="168" spans="1:53">
      <c r="A168" t="s">
        <v>363</v>
      </c>
      <c r="B168" t="s">
        <v>364</v>
      </c>
      <c r="C168">
        <v>24001119</v>
      </c>
      <c r="D168">
        <v>1206</v>
      </c>
      <c r="E168" s="2">
        <v>45323</v>
      </c>
      <c r="F168" t="s">
        <v>365</v>
      </c>
      <c r="G168">
        <v>0.65</v>
      </c>
      <c r="H168">
        <v>0.65</v>
      </c>
      <c r="I168" t="s">
        <v>351</v>
      </c>
      <c r="O168" t="s">
        <v>352</v>
      </c>
      <c r="Q168" t="s">
        <v>352</v>
      </c>
      <c r="R168" t="s">
        <v>366</v>
      </c>
      <c r="T168" t="s">
        <v>354</v>
      </c>
      <c r="U168" t="s">
        <v>355</v>
      </c>
      <c r="V168" t="s">
        <v>367</v>
      </c>
      <c r="W168" t="s">
        <v>368</v>
      </c>
      <c r="X168">
        <v>2097275</v>
      </c>
      <c r="Y168" s="2">
        <v>45323</v>
      </c>
      <c r="Z168" t="s">
        <v>352</v>
      </c>
      <c r="AA168">
        <v>18</v>
      </c>
      <c r="AB168" t="s">
        <v>352</v>
      </c>
      <c r="AD168" t="s">
        <v>352</v>
      </c>
      <c r="AE168" t="s">
        <v>352</v>
      </c>
      <c r="AF168" t="s">
        <v>352</v>
      </c>
      <c r="AG168">
        <v>1</v>
      </c>
      <c r="AH168" t="s">
        <v>352</v>
      </c>
      <c r="AL168" t="s">
        <v>352</v>
      </c>
      <c r="AM168" s="2">
        <v>45323</v>
      </c>
      <c r="AN168" t="s">
        <v>386</v>
      </c>
      <c r="AO168" t="s">
        <v>359</v>
      </c>
      <c r="AP168">
        <v>1206</v>
      </c>
      <c r="AQ168" t="s">
        <v>360</v>
      </c>
      <c r="AR168">
        <v>112854</v>
      </c>
      <c r="AU168" t="s">
        <v>352</v>
      </c>
      <c r="AV168" t="s">
        <v>362</v>
      </c>
      <c r="AX168" t="s">
        <v>352</v>
      </c>
      <c r="AY168">
        <v>631110</v>
      </c>
      <c r="AZ168">
        <v>1206.63111</v>
      </c>
      <c r="BA168" s="54" t="s">
        <v>333</v>
      </c>
    </row>
    <row r="169" spans="1:53">
      <c r="A169" t="s">
        <v>363</v>
      </c>
      <c r="B169" t="s">
        <v>364</v>
      </c>
      <c r="C169">
        <v>24001119</v>
      </c>
      <c r="D169">
        <v>1206</v>
      </c>
      <c r="E169" s="2">
        <v>45323</v>
      </c>
      <c r="F169" t="s">
        <v>365</v>
      </c>
      <c r="G169">
        <v>1.26</v>
      </c>
      <c r="H169">
        <v>1.26</v>
      </c>
      <c r="I169" t="s">
        <v>351</v>
      </c>
      <c r="O169" t="s">
        <v>352</v>
      </c>
      <c r="Q169" t="s">
        <v>352</v>
      </c>
      <c r="R169" t="s">
        <v>366</v>
      </c>
      <c r="T169" t="s">
        <v>354</v>
      </c>
      <c r="U169" t="s">
        <v>355</v>
      </c>
      <c r="V169" t="s">
        <v>367</v>
      </c>
      <c r="W169" t="s">
        <v>368</v>
      </c>
      <c r="X169">
        <v>2097275</v>
      </c>
      <c r="Y169" s="2">
        <v>45323</v>
      </c>
      <c r="Z169" t="s">
        <v>352</v>
      </c>
      <c r="AA169">
        <v>20</v>
      </c>
      <c r="AB169" t="s">
        <v>352</v>
      </c>
      <c r="AD169" t="s">
        <v>352</v>
      </c>
      <c r="AE169" t="s">
        <v>352</v>
      </c>
      <c r="AF169" t="s">
        <v>352</v>
      </c>
      <c r="AG169">
        <v>1</v>
      </c>
      <c r="AH169" t="s">
        <v>352</v>
      </c>
      <c r="AL169" t="s">
        <v>352</v>
      </c>
      <c r="AM169" s="2">
        <v>45323</v>
      </c>
      <c r="AN169" t="s">
        <v>386</v>
      </c>
      <c r="AO169" t="s">
        <v>359</v>
      </c>
      <c r="AP169">
        <v>1206</v>
      </c>
      <c r="AQ169" t="s">
        <v>360</v>
      </c>
      <c r="AR169">
        <v>221862</v>
      </c>
      <c r="AU169" t="s">
        <v>352</v>
      </c>
      <c r="AV169" t="s">
        <v>362</v>
      </c>
      <c r="AX169" t="s">
        <v>352</v>
      </c>
      <c r="AY169">
        <v>631110</v>
      </c>
      <c r="AZ169">
        <v>1206.63111</v>
      </c>
      <c r="BA169" s="54" t="s">
        <v>333</v>
      </c>
    </row>
    <row r="170" spans="1:53">
      <c r="A170" t="s">
        <v>363</v>
      </c>
      <c r="B170" t="s">
        <v>364</v>
      </c>
      <c r="C170">
        <v>24001119</v>
      </c>
      <c r="D170">
        <v>1206</v>
      </c>
      <c r="E170" s="2">
        <v>45323</v>
      </c>
      <c r="F170" t="s">
        <v>365</v>
      </c>
      <c r="G170">
        <v>3.23</v>
      </c>
      <c r="H170">
        <v>3.23</v>
      </c>
      <c r="I170" t="s">
        <v>351</v>
      </c>
      <c r="O170" t="s">
        <v>352</v>
      </c>
      <c r="Q170" t="s">
        <v>352</v>
      </c>
      <c r="R170" t="s">
        <v>366</v>
      </c>
      <c r="T170" t="s">
        <v>354</v>
      </c>
      <c r="U170" t="s">
        <v>355</v>
      </c>
      <c r="V170" t="s">
        <v>367</v>
      </c>
      <c r="W170" t="s">
        <v>368</v>
      </c>
      <c r="X170">
        <v>2097275</v>
      </c>
      <c r="Y170" s="2">
        <v>45323</v>
      </c>
      <c r="Z170" t="s">
        <v>352</v>
      </c>
      <c r="AA170">
        <v>14</v>
      </c>
      <c r="AB170" t="s">
        <v>352</v>
      </c>
      <c r="AD170" t="s">
        <v>352</v>
      </c>
      <c r="AE170" t="s">
        <v>352</v>
      </c>
      <c r="AF170" t="s">
        <v>352</v>
      </c>
      <c r="AG170">
        <v>1</v>
      </c>
      <c r="AH170" t="s">
        <v>352</v>
      </c>
      <c r="AL170" t="s">
        <v>352</v>
      </c>
      <c r="AM170" s="2">
        <v>45323</v>
      </c>
      <c r="AN170" t="s">
        <v>386</v>
      </c>
      <c r="AO170" t="s">
        <v>359</v>
      </c>
      <c r="AP170">
        <v>1206</v>
      </c>
      <c r="AQ170" t="s">
        <v>360</v>
      </c>
      <c r="AR170">
        <v>206793</v>
      </c>
      <c r="AU170" t="s">
        <v>352</v>
      </c>
      <c r="AV170" t="s">
        <v>362</v>
      </c>
      <c r="AX170" t="s">
        <v>352</v>
      </c>
      <c r="AY170">
        <v>631110</v>
      </c>
      <c r="AZ170">
        <v>1206.63111</v>
      </c>
      <c r="BA170" s="54" t="s">
        <v>333</v>
      </c>
    </row>
    <row r="171" spans="1:53">
      <c r="A171" t="s">
        <v>363</v>
      </c>
      <c r="B171" t="s">
        <v>364</v>
      </c>
      <c r="C171">
        <v>24001119</v>
      </c>
      <c r="D171">
        <v>1206</v>
      </c>
      <c r="E171" s="2">
        <v>45323</v>
      </c>
      <c r="F171" t="s">
        <v>365</v>
      </c>
      <c r="G171">
        <v>22.6</v>
      </c>
      <c r="H171">
        <v>22.6</v>
      </c>
      <c r="I171" t="s">
        <v>351</v>
      </c>
      <c r="O171" t="s">
        <v>352</v>
      </c>
      <c r="Q171" t="s">
        <v>352</v>
      </c>
      <c r="R171" t="s">
        <v>366</v>
      </c>
      <c r="T171" t="s">
        <v>354</v>
      </c>
      <c r="U171" t="s">
        <v>355</v>
      </c>
      <c r="V171" t="s">
        <v>367</v>
      </c>
      <c r="W171" t="s">
        <v>368</v>
      </c>
      <c r="X171">
        <v>2097275</v>
      </c>
      <c r="Y171" s="2">
        <v>45323</v>
      </c>
      <c r="Z171" t="s">
        <v>352</v>
      </c>
      <c r="AA171">
        <v>16</v>
      </c>
      <c r="AB171" t="s">
        <v>352</v>
      </c>
      <c r="AD171" t="s">
        <v>352</v>
      </c>
      <c r="AE171" t="s">
        <v>352</v>
      </c>
      <c r="AF171" t="s">
        <v>352</v>
      </c>
      <c r="AG171">
        <v>1</v>
      </c>
      <c r="AH171" t="s">
        <v>352</v>
      </c>
      <c r="AL171" t="s">
        <v>352</v>
      </c>
      <c r="AM171" s="2">
        <v>45323</v>
      </c>
      <c r="AN171" t="s">
        <v>386</v>
      </c>
      <c r="AO171" t="s">
        <v>359</v>
      </c>
      <c r="AP171">
        <v>1206</v>
      </c>
      <c r="AQ171" t="s">
        <v>360</v>
      </c>
      <c r="AR171">
        <v>96020</v>
      </c>
      <c r="AU171" t="s">
        <v>352</v>
      </c>
      <c r="AV171" t="s">
        <v>362</v>
      </c>
      <c r="AX171" t="s">
        <v>352</v>
      </c>
      <c r="AY171">
        <v>631110</v>
      </c>
      <c r="AZ171">
        <v>1206.63111</v>
      </c>
      <c r="BA171" s="54" t="s">
        <v>333</v>
      </c>
    </row>
    <row r="172" spans="1:53">
      <c r="A172" t="s">
        <v>363</v>
      </c>
      <c r="B172" t="s">
        <v>364</v>
      </c>
      <c r="C172">
        <v>24001120</v>
      </c>
      <c r="D172">
        <v>1206</v>
      </c>
      <c r="E172" s="2">
        <v>45323</v>
      </c>
      <c r="F172" t="s">
        <v>543</v>
      </c>
      <c r="G172">
        <v>12.02</v>
      </c>
      <c r="H172">
        <v>12.02</v>
      </c>
      <c r="I172" t="s">
        <v>351</v>
      </c>
      <c r="O172" t="s">
        <v>352</v>
      </c>
      <c r="Q172" t="s">
        <v>352</v>
      </c>
      <c r="R172" t="s">
        <v>366</v>
      </c>
      <c r="T172" t="s">
        <v>354</v>
      </c>
      <c r="U172" t="s">
        <v>355</v>
      </c>
      <c r="V172" t="s">
        <v>367</v>
      </c>
      <c r="W172" t="s">
        <v>368</v>
      </c>
      <c r="X172">
        <v>2097406</v>
      </c>
      <c r="Y172" s="2">
        <v>45324</v>
      </c>
      <c r="Z172" t="s">
        <v>352</v>
      </c>
      <c r="AA172">
        <v>2</v>
      </c>
      <c r="AB172" t="s">
        <v>352</v>
      </c>
      <c r="AD172" t="s">
        <v>352</v>
      </c>
      <c r="AE172" t="s">
        <v>352</v>
      </c>
      <c r="AF172" t="s">
        <v>352</v>
      </c>
      <c r="AG172">
        <v>34</v>
      </c>
      <c r="AH172" t="s">
        <v>352</v>
      </c>
      <c r="AL172" t="s">
        <v>352</v>
      </c>
      <c r="AM172" s="2">
        <v>45323</v>
      </c>
      <c r="AN172" t="s">
        <v>544</v>
      </c>
      <c r="AO172" t="s">
        <v>359</v>
      </c>
      <c r="AP172">
        <v>1206</v>
      </c>
      <c r="AQ172" t="s">
        <v>360</v>
      </c>
      <c r="AR172">
        <v>91011</v>
      </c>
      <c r="AU172" t="s">
        <v>352</v>
      </c>
      <c r="AV172" t="s">
        <v>362</v>
      </c>
      <c r="AX172" t="s">
        <v>352</v>
      </c>
      <c r="AY172">
        <v>631110</v>
      </c>
      <c r="AZ172">
        <v>1206.63111</v>
      </c>
      <c r="BA172" s="54" t="s">
        <v>333</v>
      </c>
    </row>
    <row r="173" spans="1:53">
      <c r="A173" t="s">
        <v>363</v>
      </c>
      <c r="B173" t="s">
        <v>364</v>
      </c>
      <c r="C173">
        <v>24001120</v>
      </c>
      <c r="D173">
        <v>1206</v>
      </c>
      <c r="E173" s="2">
        <v>45323</v>
      </c>
      <c r="F173" t="s">
        <v>543</v>
      </c>
      <c r="G173">
        <v>1.53</v>
      </c>
      <c r="H173">
        <v>1.53</v>
      </c>
      <c r="I173" t="s">
        <v>351</v>
      </c>
      <c r="O173" t="s">
        <v>352</v>
      </c>
      <c r="Q173" t="s">
        <v>352</v>
      </c>
      <c r="R173" t="s">
        <v>366</v>
      </c>
      <c r="T173" t="s">
        <v>354</v>
      </c>
      <c r="U173" t="s">
        <v>355</v>
      </c>
      <c r="V173" t="s">
        <v>367</v>
      </c>
      <c r="W173" t="s">
        <v>368</v>
      </c>
      <c r="X173">
        <v>2097406</v>
      </c>
      <c r="Y173" s="2">
        <v>45324</v>
      </c>
      <c r="Z173" t="s">
        <v>352</v>
      </c>
      <c r="AA173">
        <v>4</v>
      </c>
      <c r="AB173" t="s">
        <v>352</v>
      </c>
      <c r="AD173" t="s">
        <v>352</v>
      </c>
      <c r="AE173" t="s">
        <v>352</v>
      </c>
      <c r="AF173" t="s">
        <v>352</v>
      </c>
      <c r="AG173">
        <v>10</v>
      </c>
      <c r="AH173" t="s">
        <v>352</v>
      </c>
      <c r="AL173" t="s">
        <v>352</v>
      </c>
      <c r="AM173" s="2">
        <v>45323</v>
      </c>
      <c r="AN173" t="s">
        <v>544</v>
      </c>
      <c r="AO173" t="s">
        <v>359</v>
      </c>
      <c r="AP173">
        <v>1206</v>
      </c>
      <c r="AQ173" t="s">
        <v>360</v>
      </c>
      <c r="AR173">
        <v>144854</v>
      </c>
      <c r="AU173" t="s">
        <v>352</v>
      </c>
      <c r="AV173" t="s">
        <v>362</v>
      </c>
      <c r="AX173" t="s">
        <v>352</v>
      </c>
      <c r="AY173">
        <v>631110</v>
      </c>
      <c r="AZ173">
        <v>1206.63111</v>
      </c>
      <c r="BA173" s="54" t="s">
        <v>333</v>
      </c>
    </row>
    <row r="174" spans="1:53">
      <c r="A174" t="s">
        <v>363</v>
      </c>
      <c r="B174" t="s">
        <v>364</v>
      </c>
      <c r="C174">
        <v>24001120</v>
      </c>
      <c r="D174">
        <v>1206</v>
      </c>
      <c r="E174" s="2">
        <v>45323</v>
      </c>
      <c r="F174" t="s">
        <v>543</v>
      </c>
      <c r="G174">
        <v>1.94</v>
      </c>
      <c r="H174">
        <v>1.94</v>
      </c>
      <c r="I174" t="s">
        <v>351</v>
      </c>
      <c r="O174" t="s">
        <v>352</v>
      </c>
      <c r="Q174" t="s">
        <v>352</v>
      </c>
      <c r="R174" t="s">
        <v>366</v>
      </c>
      <c r="T174" t="s">
        <v>354</v>
      </c>
      <c r="U174" t="s">
        <v>355</v>
      </c>
      <c r="V174" t="s">
        <v>367</v>
      </c>
      <c r="W174" t="s">
        <v>368</v>
      </c>
      <c r="X174">
        <v>2097406</v>
      </c>
      <c r="Y174" s="2">
        <v>45324</v>
      </c>
      <c r="Z174" t="s">
        <v>352</v>
      </c>
      <c r="AA174">
        <v>6</v>
      </c>
      <c r="AB174" t="s">
        <v>352</v>
      </c>
      <c r="AD174" t="s">
        <v>352</v>
      </c>
      <c r="AE174" t="s">
        <v>352</v>
      </c>
      <c r="AF174" t="s">
        <v>352</v>
      </c>
      <c r="AG174">
        <v>13</v>
      </c>
      <c r="AH174" t="s">
        <v>352</v>
      </c>
      <c r="AL174" t="s">
        <v>352</v>
      </c>
      <c r="AM174" s="2">
        <v>45323</v>
      </c>
      <c r="AN174" t="s">
        <v>544</v>
      </c>
      <c r="AO174" t="s">
        <v>359</v>
      </c>
      <c r="AP174">
        <v>1206</v>
      </c>
      <c r="AQ174" t="s">
        <v>360</v>
      </c>
      <c r="AR174">
        <v>89712</v>
      </c>
      <c r="AU174" t="s">
        <v>352</v>
      </c>
      <c r="AV174" t="s">
        <v>362</v>
      </c>
      <c r="AX174" t="s">
        <v>352</v>
      </c>
      <c r="AY174">
        <v>631110</v>
      </c>
      <c r="AZ174">
        <v>1206.63111</v>
      </c>
      <c r="BA174" s="54" t="s">
        <v>333</v>
      </c>
    </row>
    <row r="175" spans="1:53">
      <c r="A175" t="s">
        <v>363</v>
      </c>
      <c r="B175" t="s">
        <v>364</v>
      </c>
      <c r="C175">
        <v>24001120</v>
      </c>
      <c r="D175">
        <v>1206</v>
      </c>
      <c r="E175" s="2">
        <v>45323</v>
      </c>
      <c r="F175" t="s">
        <v>543</v>
      </c>
      <c r="G175">
        <v>0.21</v>
      </c>
      <c r="H175">
        <v>0.21</v>
      </c>
      <c r="I175" t="s">
        <v>351</v>
      </c>
      <c r="O175" t="s">
        <v>352</v>
      </c>
      <c r="Q175" t="s">
        <v>352</v>
      </c>
      <c r="R175" t="s">
        <v>366</v>
      </c>
      <c r="T175" t="s">
        <v>354</v>
      </c>
      <c r="U175" t="s">
        <v>355</v>
      </c>
      <c r="V175" t="s">
        <v>367</v>
      </c>
      <c r="W175" t="s">
        <v>368</v>
      </c>
      <c r="X175">
        <v>2097406</v>
      </c>
      <c r="Y175" s="2">
        <v>45324</v>
      </c>
      <c r="Z175" t="s">
        <v>352</v>
      </c>
      <c r="AA175">
        <v>8</v>
      </c>
      <c r="AB175" t="s">
        <v>352</v>
      </c>
      <c r="AD175" t="s">
        <v>352</v>
      </c>
      <c r="AE175" t="s">
        <v>352</v>
      </c>
      <c r="AF175" t="s">
        <v>352</v>
      </c>
      <c r="AG175">
        <v>3</v>
      </c>
      <c r="AH175" t="s">
        <v>352</v>
      </c>
      <c r="AL175" t="s">
        <v>352</v>
      </c>
      <c r="AM175" s="2">
        <v>45323</v>
      </c>
      <c r="AN175" t="s">
        <v>544</v>
      </c>
      <c r="AO175" t="s">
        <v>359</v>
      </c>
      <c r="AP175">
        <v>1206</v>
      </c>
      <c r="AQ175" t="s">
        <v>360</v>
      </c>
      <c r="AR175">
        <v>267129</v>
      </c>
      <c r="AU175" t="s">
        <v>352</v>
      </c>
      <c r="AV175" t="s">
        <v>362</v>
      </c>
      <c r="AX175" t="s">
        <v>352</v>
      </c>
      <c r="AY175">
        <v>631110</v>
      </c>
      <c r="AZ175">
        <v>1206.63111</v>
      </c>
      <c r="BA175" s="54" t="s">
        <v>333</v>
      </c>
    </row>
    <row r="176" spans="1:53">
      <c r="A176" t="s">
        <v>363</v>
      </c>
      <c r="B176" t="s">
        <v>364</v>
      </c>
      <c r="C176">
        <v>24001120</v>
      </c>
      <c r="D176">
        <v>1206</v>
      </c>
      <c r="E176" s="2">
        <v>45323</v>
      </c>
      <c r="F176" t="s">
        <v>543</v>
      </c>
      <c r="G176">
        <v>0.3</v>
      </c>
      <c r="H176">
        <v>0.3</v>
      </c>
      <c r="I176" t="s">
        <v>351</v>
      </c>
      <c r="O176" t="s">
        <v>352</v>
      </c>
      <c r="Q176" t="s">
        <v>352</v>
      </c>
      <c r="R176" t="s">
        <v>366</v>
      </c>
      <c r="T176" t="s">
        <v>354</v>
      </c>
      <c r="U176" t="s">
        <v>355</v>
      </c>
      <c r="V176" t="s">
        <v>367</v>
      </c>
      <c r="W176" t="s">
        <v>368</v>
      </c>
      <c r="X176">
        <v>2097406</v>
      </c>
      <c r="Y176" s="2">
        <v>45324</v>
      </c>
      <c r="Z176" t="s">
        <v>352</v>
      </c>
      <c r="AA176">
        <v>10</v>
      </c>
      <c r="AB176" t="s">
        <v>352</v>
      </c>
      <c r="AD176" t="s">
        <v>352</v>
      </c>
      <c r="AE176" t="s">
        <v>352</v>
      </c>
      <c r="AF176" t="s">
        <v>352</v>
      </c>
      <c r="AG176">
        <v>4</v>
      </c>
      <c r="AH176" t="s">
        <v>352</v>
      </c>
      <c r="AL176" t="s">
        <v>352</v>
      </c>
      <c r="AM176" s="2">
        <v>45323</v>
      </c>
      <c r="AN176" t="s">
        <v>544</v>
      </c>
      <c r="AO176" t="s">
        <v>359</v>
      </c>
      <c r="AP176">
        <v>1206</v>
      </c>
      <c r="AQ176" t="s">
        <v>360</v>
      </c>
      <c r="AR176">
        <v>91479</v>
      </c>
      <c r="AU176" t="s">
        <v>352</v>
      </c>
      <c r="AV176" t="s">
        <v>362</v>
      </c>
      <c r="AX176" t="s">
        <v>352</v>
      </c>
      <c r="AY176">
        <v>631110</v>
      </c>
      <c r="AZ176">
        <v>1206.63111</v>
      </c>
      <c r="BA176" s="54" t="s">
        <v>333</v>
      </c>
    </row>
    <row r="177" spans="1:53">
      <c r="A177" t="s">
        <v>363</v>
      </c>
      <c r="B177" t="s">
        <v>364</v>
      </c>
      <c r="C177">
        <v>24001121</v>
      </c>
      <c r="D177">
        <v>1206</v>
      </c>
      <c r="E177" s="2">
        <v>45323</v>
      </c>
      <c r="F177" t="s">
        <v>545</v>
      </c>
      <c r="G177">
        <v>5.04</v>
      </c>
      <c r="H177">
        <v>5.04</v>
      </c>
      <c r="I177" t="s">
        <v>351</v>
      </c>
      <c r="O177" t="s">
        <v>352</v>
      </c>
      <c r="Q177" t="s">
        <v>352</v>
      </c>
      <c r="R177" t="s">
        <v>366</v>
      </c>
      <c r="T177" t="s">
        <v>354</v>
      </c>
      <c r="U177" t="s">
        <v>355</v>
      </c>
      <c r="V177" t="s">
        <v>367</v>
      </c>
      <c r="W177" t="s">
        <v>368</v>
      </c>
      <c r="X177">
        <v>2097408</v>
      </c>
      <c r="Y177" s="2">
        <v>45324</v>
      </c>
      <c r="Z177" t="s">
        <v>352</v>
      </c>
      <c r="AA177">
        <v>2</v>
      </c>
      <c r="AB177" t="s">
        <v>352</v>
      </c>
      <c r="AD177" t="s">
        <v>352</v>
      </c>
      <c r="AE177" t="s">
        <v>352</v>
      </c>
      <c r="AF177" t="s">
        <v>352</v>
      </c>
      <c r="AG177">
        <v>10</v>
      </c>
      <c r="AH177" t="s">
        <v>352</v>
      </c>
      <c r="AL177" t="s">
        <v>352</v>
      </c>
      <c r="AM177" s="2">
        <v>45323</v>
      </c>
      <c r="AN177" t="s">
        <v>544</v>
      </c>
      <c r="AO177" t="s">
        <v>359</v>
      </c>
      <c r="AP177">
        <v>1206</v>
      </c>
      <c r="AQ177" t="s">
        <v>360</v>
      </c>
      <c r="AR177">
        <v>265226</v>
      </c>
      <c r="AU177" t="s">
        <v>352</v>
      </c>
      <c r="AV177" t="s">
        <v>362</v>
      </c>
      <c r="AX177" t="s">
        <v>352</v>
      </c>
      <c r="AY177">
        <v>631110</v>
      </c>
      <c r="AZ177">
        <v>1206.63111</v>
      </c>
      <c r="BA177" s="54" t="s">
        <v>333</v>
      </c>
    </row>
    <row r="178" spans="1:53">
      <c r="A178" t="s">
        <v>363</v>
      </c>
      <c r="B178" t="s">
        <v>364</v>
      </c>
      <c r="C178">
        <v>24001122</v>
      </c>
      <c r="D178">
        <v>1206</v>
      </c>
      <c r="E178" s="2">
        <v>45324</v>
      </c>
      <c r="F178" t="s">
        <v>369</v>
      </c>
      <c r="G178">
        <v>18.46</v>
      </c>
      <c r="H178">
        <v>18.46</v>
      </c>
      <c r="I178" t="s">
        <v>351</v>
      </c>
      <c r="O178" t="s">
        <v>352</v>
      </c>
      <c r="Q178" t="s">
        <v>352</v>
      </c>
      <c r="R178" t="s">
        <v>366</v>
      </c>
      <c r="T178" t="s">
        <v>354</v>
      </c>
      <c r="U178" t="s">
        <v>355</v>
      </c>
      <c r="V178" t="s">
        <v>367</v>
      </c>
      <c r="W178" t="s">
        <v>368</v>
      </c>
      <c r="X178">
        <v>2097629</v>
      </c>
      <c r="Y178" s="2">
        <v>45324</v>
      </c>
      <c r="Z178" t="s">
        <v>352</v>
      </c>
      <c r="AA178">
        <v>2</v>
      </c>
      <c r="AB178" t="s">
        <v>352</v>
      </c>
      <c r="AD178" t="s">
        <v>352</v>
      </c>
      <c r="AE178" t="s">
        <v>352</v>
      </c>
      <c r="AF178" t="s">
        <v>352</v>
      </c>
      <c r="AG178">
        <v>3</v>
      </c>
      <c r="AH178" t="s">
        <v>352</v>
      </c>
      <c r="AL178" t="s">
        <v>352</v>
      </c>
      <c r="AM178" s="2">
        <v>45324</v>
      </c>
      <c r="AN178" t="s">
        <v>386</v>
      </c>
      <c r="AO178" t="s">
        <v>359</v>
      </c>
      <c r="AP178">
        <v>1206</v>
      </c>
      <c r="AQ178" t="s">
        <v>360</v>
      </c>
      <c r="AR178">
        <v>279991</v>
      </c>
      <c r="AU178" t="s">
        <v>352</v>
      </c>
      <c r="AV178" t="s">
        <v>362</v>
      </c>
      <c r="AX178" t="s">
        <v>352</v>
      </c>
      <c r="AY178">
        <v>631110</v>
      </c>
      <c r="AZ178">
        <v>1206.63111</v>
      </c>
      <c r="BA178" s="54" t="s">
        <v>333</v>
      </c>
    </row>
    <row r="179" spans="1:53">
      <c r="A179" t="s">
        <v>363</v>
      </c>
      <c r="B179" t="s">
        <v>364</v>
      </c>
      <c r="C179">
        <v>24001123</v>
      </c>
      <c r="D179">
        <v>1206</v>
      </c>
      <c r="E179" s="2">
        <v>45324</v>
      </c>
      <c r="F179" t="s">
        <v>365</v>
      </c>
      <c r="G179">
        <v>78.19</v>
      </c>
      <c r="H179">
        <v>78.19</v>
      </c>
      <c r="I179" t="s">
        <v>351</v>
      </c>
      <c r="O179" t="s">
        <v>352</v>
      </c>
      <c r="Q179" t="s">
        <v>352</v>
      </c>
      <c r="R179" t="s">
        <v>366</v>
      </c>
      <c r="T179" t="s">
        <v>354</v>
      </c>
      <c r="U179" t="s">
        <v>355</v>
      </c>
      <c r="V179" t="s">
        <v>367</v>
      </c>
      <c r="W179" t="s">
        <v>368</v>
      </c>
      <c r="X179">
        <v>2097629</v>
      </c>
      <c r="Y179" s="2">
        <v>45324</v>
      </c>
      <c r="Z179" t="s">
        <v>352</v>
      </c>
      <c r="AA179">
        <v>2</v>
      </c>
      <c r="AB179" t="s">
        <v>352</v>
      </c>
      <c r="AD179" t="s">
        <v>352</v>
      </c>
      <c r="AE179" t="s">
        <v>352</v>
      </c>
      <c r="AF179" t="s">
        <v>352</v>
      </c>
      <c r="AG179">
        <v>1</v>
      </c>
      <c r="AH179" t="s">
        <v>352</v>
      </c>
      <c r="AL179" t="s">
        <v>352</v>
      </c>
      <c r="AM179" s="2">
        <v>45324</v>
      </c>
      <c r="AN179" t="s">
        <v>386</v>
      </c>
      <c r="AO179" t="s">
        <v>359</v>
      </c>
      <c r="AP179">
        <v>1206</v>
      </c>
      <c r="AQ179" t="s">
        <v>360</v>
      </c>
      <c r="AR179">
        <v>131100</v>
      </c>
      <c r="AU179" t="s">
        <v>352</v>
      </c>
      <c r="AV179" t="s">
        <v>362</v>
      </c>
      <c r="AX179" t="s">
        <v>352</v>
      </c>
      <c r="AY179">
        <v>631110</v>
      </c>
      <c r="AZ179">
        <v>1206.63111</v>
      </c>
      <c r="BA179" s="54" t="s">
        <v>333</v>
      </c>
    </row>
    <row r="180" spans="1:53">
      <c r="A180" t="s">
        <v>363</v>
      </c>
      <c r="B180" t="s">
        <v>364</v>
      </c>
      <c r="C180">
        <v>24001123</v>
      </c>
      <c r="D180">
        <v>1206</v>
      </c>
      <c r="E180" s="2">
        <v>45324</v>
      </c>
      <c r="F180" t="s">
        <v>365</v>
      </c>
      <c r="G180">
        <v>26.98</v>
      </c>
      <c r="H180">
        <v>26.98</v>
      </c>
      <c r="I180" t="s">
        <v>351</v>
      </c>
      <c r="O180" t="s">
        <v>352</v>
      </c>
      <c r="Q180" t="s">
        <v>352</v>
      </c>
      <c r="R180" t="s">
        <v>366</v>
      </c>
      <c r="T180" t="s">
        <v>354</v>
      </c>
      <c r="U180" t="s">
        <v>355</v>
      </c>
      <c r="V180" t="s">
        <v>367</v>
      </c>
      <c r="W180" t="s">
        <v>368</v>
      </c>
      <c r="X180">
        <v>2097629</v>
      </c>
      <c r="Y180" s="2">
        <v>45324</v>
      </c>
      <c r="Z180" t="s">
        <v>352</v>
      </c>
      <c r="AA180">
        <v>4</v>
      </c>
      <c r="AB180" t="s">
        <v>352</v>
      </c>
      <c r="AD180" t="s">
        <v>352</v>
      </c>
      <c r="AE180" t="s">
        <v>352</v>
      </c>
      <c r="AF180" t="s">
        <v>352</v>
      </c>
      <c r="AG180">
        <v>1</v>
      </c>
      <c r="AH180" t="s">
        <v>352</v>
      </c>
      <c r="AL180" t="s">
        <v>352</v>
      </c>
      <c r="AM180" s="2">
        <v>45324</v>
      </c>
      <c r="AN180" t="s">
        <v>386</v>
      </c>
      <c r="AO180" t="s">
        <v>359</v>
      </c>
      <c r="AP180">
        <v>1206</v>
      </c>
      <c r="AQ180" t="s">
        <v>360</v>
      </c>
      <c r="AR180">
        <v>262862</v>
      </c>
      <c r="AU180" t="s">
        <v>352</v>
      </c>
      <c r="AV180" t="s">
        <v>362</v>
      </c>
      <c r="AX180" t="s">
        <v>352</v>
      </c>
      <c r="AY180">
        <v>631110</v>
      </c>
      <c r="AZ180">
        <v>1206.63111</v>
      </c>
      <c r="BA180" s="54" t="s">
        <v>333</v>
      </c>
    </row>
    <row r="181" spans="1:53">
      <c r="A181" t="s">
        <v>363</v>
      </c>
      <c r="B181" t="s">
        <v>364</v>
      </c>
      <c r="C181">
        <v>24001123</v>
      </c>
      <c r="D181">
        <v>1206</v>
      </c>
      <c r="E181" s="2">
        <v>45324</v>
      </c>
      <c r="F181" t="s">
        <v>365</v>
      </c>
      <c r="G181">
        <v>1.38</v>
      </c>
      <c r="H181">
        <v>1.38</v>
      </c>
      <c r="I181" t="s">
        <v>351</v>
      </c>
      <c r="O181" t="s">
        <v>352</v>
      </c>
      <c r="Q181" t="s">
        <v>352</v>
      </c>
      <c r="R181" t="s">
        <v>366</v>
      </c>
      <c r="T181" t="s">
        <v>354</v>
      </c>
      <c r="U181" t="s">
        <v>355</v>
      </c>
      <c r="V181" t="s">
        <v>367</v>
      </c>
      <c r="W181" t="s">
        <v>368</v>
      </c>
      <c r="X181">
        <v>2097629</v>
      </c>
      <c r="Y181" s="2">
        <v>45324</v>
      </c>
      <c r="Z181" t="s">
        <v>352</v>
      </c>
      <c r="AA181">
        <v>6</v>
      </c>
      <c r="AB181" t="s">
        <v>352</v>
      </c>
      <c r="AD181" t="s">
        <v>352</v>
      </c>
      <c r="AE181" t="s">
        <v>352</v>
      </c>
      <c r="AF181" t="s">
        <v>352</v>
      </c>
      <c r="AG181">
        <v>1</v>
      </c>
      <c r="AH181" t="s">
        <v>352</v>
      </c>
      <c r="AL181" t="s">
        <v>352</v>
      </c>
      <c r="AM181" s="2">
        <v>45324</v>
      </c>
      <c r="AN181" t="s">
        <v>386</v>
      </c>
      <c r="AO181" t="s">
        <v>359</v>
      </c>
      <c r="AP181">
        <v>1206</v>
      </c>
      <c r="AQ181" t="s">
        <v>360</v>
      </c>
      <c r="AR181">
        <v>185103</v>
      </c>
      <c r="AU181" t="s">
        <v>352</v>
      </c>
      <c r="AV181" t="s">
        <v>362</v>
      </c>
      <c r="AX181" t="s">
        <v>352</v>
      </c>
      <c r="AY181">
        <v>631110</v>
      </c>
      <c r="AZ181">
        <v>1206.63111</v>
      </c>
      <c r="BA181" s="54" t="s">
        <v>333</v>
      </c>
    </row>
    <row r="182" spans="1:53">
      <c r="A182" t="s">
        <v>363</v>
      </c>
      <c r="B182" t="s">
        <v>364</v>
      </c>
      <c r="C182">
        <v>24001123</v>
      </c>
      <c r="D182">
        <v>1206</v>
      </c>
      <c r="E182" s="2">
        <v>45324</v>
      </c>
      <c r="F182" t="s">
        <v>365</v>
      </c>
      <c r="G182">
        <v>50.61</v>
      </c>
      <c r="H182">
        <v>50.61</v>
      </c>
      <c r="I182" t="s">
        <v>351</v>
      </c>
      <c r="O182" t="s">
        <v>352</v>
      </c>
      <c r="Q182" t="s">
        <v>352</v>
      </c>
      <c r="R182" t="s">
        <v>366</v>
      </c>
      <c r="T182" t="s">
        <v>354</v>
      </c>
      <c r="U182" t="s">
        <v>355</v>
      </c>
      <c r="V182" t="s">
        <v>367</v>
      </c>
      <c r="W182" t="s">
        <v>368</v>
      </c>
      <c r="X182">
        <v>2097629</v>
      </c>
      <c r="Y182" s="2">
        <v>45324</v>
      </c>
      <c r="Z182" t="s">
        <v>352</v>
      </c>
      <c r="AA182">
        <v>8</v>
      </c>
      <c r="AB182" t="s">
        <v>352</v>
      </c>
      <c r="AD182" t="s">
        <v>352</v>
      </c>
      <c r="AE182" t="s">
        <v>352</v>
      </c>
      <c r="AF182" t="s">
        <v>352</v>
      </c>
      <c r="AG182">
        <v>2</v>
      </c>
      <c r="AH182" t="s">
        <v>352</v>
      </c>
      <c r="AL182" t="s">
        <v>352</v>
      </c>
      <c r="AM182" s="2">
        <v>45324</v>
      </c>
      <c r="AN182" t="s">
        <v>386</v>
      </c>
      <c r="AO182" t="s">
        <v>359</v>
      </c>
      <c r="AP182">
        <v>1206</v>
      </c>
      <c r="AQ182" t="s">
        <v>360</v>
      </c>
      <c r="AR182">
        <v>143093</v>
      </c>
      <c r="AU182" t="s">
        <v>352</v>
      </c>
      <c r="AV182" t="s">
        <v>362</v>
      </c>
      <c r="AX182" t="s">
        <v>352</v>
      </c>
      <c r="AY182">
        <v>631110</v>
      </c>
      <c r="AZ182">
        <v>1206.63111</v>
      </c>
      <c r="BA182" s="54" t="s">
        <v>333</v>
      </c>
    </row>
    <row r="183" spans="1:53">
      <c r="A183" t="s">
        <v>363</v>
      </c>
      <c r="B183" t="s">
        <v>364</v>
      </c>
      <c r="C183">
        <v>24001123</v>
      </c>
      <c r="D183">
        <v>1206</v>
      </c>
      <c r="E183" s="2">
        <v>45324</v>
      </c>
      <c r="F183" t="s">
        <v>365</v>
      </c>
      <c r="G183">
        <v>50.6</v>
      </c>
      <c r="H183">
        <v>50.6</v>
      </c>
      <c r="I183" t="s">
        <v>351</v>
      </c>
      <c r="O183" t="s">
        <v>352</v>
      </c>
      <c r="Q183" t="s">
        <v>352</v>
      </c>
      <c r="R183" t="s">
        <v>366</v>
      </c>
      <c r="T183" t="s">
        <v>354</v>
      </c>
      <c r="U183" t="s">
        <v>355</v>
      </c>
      <c r="V183" t="s">
        <v>367</v>
      </c>
      <c r="W183" t="s">
        <v>368</v>
      </c>
      <c r="X183">
        <v>2097629</v>
      </c>
      <c r="Y183" s="2">
        <v>45324</v>
      </c>
      <c r="Z183" t="s">
        <v>352</v>
      </c>
      <c r="AA183">
        <v>10</v>
      </c>
      <c r="AB183" t="s">
        <v>352</v>
      </c>
      <c r="AD183" t="s">
        <v>352</v>
      </c>
      <c r="AE183" t="s">
        <v>352</v>
      </c>
      <c r="AF183" t="s">
        <v>352</v>
      </c>
      <c r="AG183">
        <v>2</v>
      </c>
      <c r="AH183" t="s">
        <v>352</v>
      </c>
      <c r="AL183" t="s">
        <v>352</v>
      </c>
      <c r="AM183" s="2">
        <v>45324</v>
      </c>
      <c r="AN183" t="s">
        <v>386</v>
      </c>
      <c r="AO183" t="s">
        <v>359</v>
      </c>
      <c r="AP183">
        <v>1206</v>
      </c>
      <c r="AQ183" t="s">
        <v>360</v>
      </c>
      <c r="AR183">
        <v>143095</v>
      </c>
      <c r="AU183" t="s">
        <v>352</v>
      </c>
      <c r="AV183" t="s">
        <v>362</v>
      </c>
      <c r="AX183" t="s">
        <v>352</v>
      </c>
      <c r="AY183">
        <v>631110</v>
      </c>
      <c r="AZ183">
        <v>1206.63111</v>
      </c>
      <c r="BA183" s="54" t="s">
        <v>333</v>
      </c>
    </row>
    <row r="184" spans="1:53">
      <c r="A184" t="s">
        <v>363</v>
      </c>
      <c r="B184" t="s">
        <v>364</v>
      </c>
      <c r="C184">
        <v>24001123</v>
      </c>
      <c r="D184">
        <v>1206</v>
      </c>
      <c r="E184" s="2">
        <v>45324</v>
      </c>
      <c r="F184" t="s">
        <v>365</v>
      </c>
      <c r="G184">
        <v>45.2</v>
      </c>
      <c r="H184">
        <v>45.2</v>
      </c>
      <c r="I184" t="s">
        <v>351</v>
      </c>
      <c r="O184" t="s">
        <v>352</v>
      </c>
      <c r="Q184" t="s">
        <v>352</v>
      </c>
      <c r="R184" t="s">
        <v>366</v>
      </c>
      <c r="T184" t="s">
        <v>354</v>
      </c>
      <c r="U184" t="s">
        <v>355</v>
      </c>
      <c r="V184" t="s">
        <v>367</v>
      </c>
      <c r="W184" t="s">
        <v>368</v>
      </c>
      <c r="X184">
        <v>2097629</v>
      </c>
      <c r="Y184" s="2">
        <v>45324</v>
      </c>
      <c r="Z184" t="s">
        <v>352</v>
      </c>
      <c r="AA184">
        <v>12</v>
      </c>
      <c r="AB184" t="s">
        <v>352</v>
      </c>
      <c r="AD184" t="s">
        <v>352</v>
      </c>
      <c r="AE184" t="s">
        <v>352</v>
      </c>
      <c r="AF184" t="s">
        <v>352</v>
      </c>
      <c r="AG184">
        <v>2</v>
      </c>
      <c r="AH184" t="s">
        <v>352</v>
      </c>
      <c r="AL184" t="s">
        <v>352</v>
      </c>
      <c r="AM184" s="2">
        <v>45324</v>
      </c>
      <c r="AN184" t="s">
        <v>386</v>
      </c>
      <c r="AO184" t="s">
        <v>359</v>
      </c>
      <c r="AP184">
        <v>1206</v>
      </c>
      <c r="AQ184" t="s">
        <v>360</v>
      </c>
      <c r="AR184">
        <v>96020</v>
      </c>
      <c r="AU184" t="s">
        <v>352</v>
      </c>
      <c r="AV184" t="s">
        <v>362</v>
      </c>
      <c r="AX184" t="s">
        <v>352</v>
      </c>
      <c r="AY184">
        <v>631110</v>
      </c>
      <c r="AZ184">
        <v>1206.63111</v>
      </c>
      <c r="BA184" s="54" t="s">
        <v>333</v>
      </c>
    </row>
    <row r="185" spans="1:53">
      <c r="A185" t="s">
        <v>363</v>
      </c>
      <c r="B185" t="s">
        <v>364</v>
      </c>
      <c r="C185">
        <v>24001123</v>
      </c>
      <c r="D185">
        <v>1206</v>
      </c>
      <c r="E185" s="2">
        <v>45324</v>
      </c>
      <c r="F185" t="s">
        <v>365</v>
      </c>
      <c r="G185">
        <v>13.28</v>
      </c>
      <c r="H185">
        <v>13.28</v>
      </c>
      <c r="I185" t="s">
        <v>351</v>
      </c>
      <c r="O185" t="s">
        <v>352</v>
      </c>
      <c r="Q185" t="s">
        <v>352</v>
      </c>
      <c r="R185" t="s">
        <v>366</v>
      </c>
      <c r="T185" t="s">
        <v>354</v>
      </c>
      <c r="U185" t="s">
        <v>355</v>
      </c>
      <c r="V185" t="s">
        <v>367</v>
      </c>
      <c r="W185" t="s">
        <v>368</v>
      </c>
      <c r="X185">
        <v>2097629</v>
      </c>
      <c r="Y185" s="2">
        <v>45324</v>
      </c>
      <c r="Z185" t="s">
        <v>352</v>
      </c>
      <c r="AA185">
        <v>14</v>
      </c>
      <c r="AB185" t="s">
        <v>352</v>
      </c>
      <c r="AD185" t="s">
        <v>352</v>
      </c>
      <c r="AE185" t="s">
        <v>352</v>
      </c>
      <c r="AF185" t="s">
        <v>352</v>
      </c>
      <c r="AG185">
        <v>1</v>
      </c>
      <c r="AH185" t="s">
        <v>352</v>
      </c>
      <c r="AL185" t="s">
        <v>352</v>
      </c>
      <c r="AM185" s="2">
        <v>45324</v>
      </c>
      <c r="AN185" t="s">
        <v>386</v>
      </c>
      <c r="AO185" t="s">
        <v>359</v>
      </c>
      <c r="AP185">
        <v>1206</v>
      </c>
      <c r="AQ185" t="s">
        <v>360</v>
      </c>
      <c r="AR185">
        <v>96021</v>
      </c>
      <c r="AU185" t="s">
        <v>352</v>
      </c>
      <c r="AV185" t="s">
        <v>362</v>
      </c>
      <c r="AX185" t="s">
        <v>352</v>
      </c>
      <c r="AY185">
        <v>631110</v>
      </c>
      <c r="AZ185">
        <v>1206.63111</v>
      </c>
      <c r="BA185" s="54" t="s">
        <v>333</v>
      </c>
    </row>
    <row r="186" spans="1:53">
      <c r="A186" t="s">
        <v>363</v>
      </c>
      <c r="B186" t="s">
        <v>364</v>
      </c>
      <c r="C186">
        <v>24001123</v>
      </c>
      <c r="D186">
        <v>1206</v>
      </c>
      <c r="E186" s="2">
        <v>45324</v>
      </c>
      <c r="F186" t="s">
        <v>365</v>
      </c>
      <c r="G186">
        <v>4.08</v>
      </c>
      <c r="H186">
        <v>4.08</v>
      </c>
      <c r="I186" t="s">
        <v>351</v>
      </c>
      <c r="O186" t="s">
        <v>352</v>
      </c>
      <c r="Q186" t="s">
        <v>352</v>
      </c>
      <c r="R186" t="s">
        <v>366</v>
      </c>
      <c r="T186" t="s">
        <v>354</v>
      </c>
      <c r="U186" t="s">
        <v>355</v>
      </c>
      <c r="V186" t="s">
        <v>367</v>
      </c>
      <c r="W186" t="s">
        <v>368</v>
      </c>
      <c r="X186">
        <v>2097629</v>
      </c>
      <c r="Y186" s="2">
        <v>45324</v>
      </c>
      <c r="Z186" t="s">
        <v>352</v>
      </c>
      <c r="AA186">
        <v>16</v>
      </c>
      <c r="AB186" t="s">
        <v>352</v>
      </c>
      <c r="AD186" t="s">
        <v>352</v>
      </c>
      <c r="AE186" t="s">
        <v>352</v>
      </c>
      <c r="AF186" t="s">
        <v>352</v>
      </c>
      <c r="AG186">
        <v>1</v>
      </c>
      <c r="AH186" t="s">
        <v>352</v>
      </c>
      <c r="AL186" t="s">
        <v>352</v>
      </c>
      <c r="AM186" s="2">
        <v>45324</v>
      </c>
      <c r="AN186" t="s">
        <v>386</v>
      </c>
      <c r="AO186" t="s">
        <v>359</v>
      </c>
      <c r="AP186">
        <v>1206</v>
      </c>
      <c r="AQ186" t="s">
        <v>360</v>
      </c>
      <c r="AR186">
        <v>206435</v>
      </c>
      <c r="AU186" t="s">
        <v>352</v>
      </c>
      <c r="AV186" t="s">
        <v>362</v>
      </c>
      <c r="AX186" t="s">
        <v>352</v>
      </c>
      <c r="AY186">
        <v>631110</v>
      </c>
      <c r="AZ186">
        <v>1206.63111</v>
      </c>
      <c r="BA186" s="54" t="s">
        <v>333</v>
      </c>
    </row>
    <row r="187" spans="1:53">
      <c r="A187" t="s">
        <v>363</v>
      </c>
      <c r="B187" t="s">
        <v>364</v>
      </c>
      <c r="C187">
        <v>24001123</v>
      </c>
      <c r="D187">
        <v>1206</v>
      </c>
      <c r="E187" s="2">
        <v>45324</v>
      </c>
      <c r="F187" t="s">
        <v>365</v>
      </c>
      <c r="G187">
        <v>1.28</v>
      </c>
      <c r="H187">
        <v>1.28</v>
      </c>
      <c r="I187" t="s">
        <v>351</v>
      </c>
      <c r="O187" t="s">
        <v>352</v>
      </c>
      <c r="Q187" t="s">
        <v>352</v>
      </c>
      <c r="R187" t="s">
        <v>366</v>
      </c>
      <c r="T187" t="s">
        <v>354</v>
      </c>
      <c r="U187" t="s">
        <v>355</v>
      </c>
      <c r="V187" t="s">
        <v>367</v>
      </c>
      <c r="W187" t="s">
        <v>368</v>
      </c>
      <c r="X187">
        <v>2097629</v>
      </c>
      <c r="Y187" s="2">
        <v>45324</v>
      </c>
      <c r="Z187" t="s">
        <v>352</v>
      </c>
      <c r="AA187">
        <v>18</v>
      </c>
      <c r="AB187" t="s">
        <v>352</v>
      </c>
      <c r="AD187" t="s">
        <v>352</v>
      </c>
      <c r="AE187" t="s">
        <v>352</v>
      </c>
      <c r="AF187" t="s">
        <v>352</v>
      </c>
      <c r="AG187">
        <v>2</v>
      </c>
      <c r="AH187" t="s">
        <v>352</v>
      </c>
      <c r="AL187" t="s">
        <v>352</v>
      </c>
      <c r="AM187" s="2">
        <v>45324</v>
      </c>
      <c r="AN187" t="s">
        <v>386</v>
      </c>
      <c r="AO187" t="s">
        <v>359</v>
      </c>
      <c r="AP187">
        <v>1206</v>
      </c>
      <c r="AQ187" t="s">
        <v>360</v>
      </c>
      <c r="AR187">
        <v>140248</v>
      </c>
      <c r="AU187" t="s">
        <v>352</v>
      </c>
      <c r="AV187" t="s">
        <v>362</v>
      </c>
      <c r="AX187" t="s">
        <v>352</v>
      </c>
      <c r="AY187">
        <v>631110</v>
      </c>
      <c r="AZ187">
        <v>1206.63111</v>
      </c>
      <c r="BA187" s="54" t="s">
        <v>333</v>
      </c>
    </row>
    <row r="188" spans="1:53">
      <c r="A188" t="s">
        <v>363</v>
      </c>
      <c r="B188" t="s">
        <v>364</v>
      </c>
      <c r="C188">
        <v>24001123</v>
      </c>
      <c r="D188">
        <v>1206</v>
      </c>
      <c r="E188" s="2">
        <v>45324</v>
      </c>
      <c r="F188" t="s">
        <v>365</v>
      </c>
      <c r="G188">
        <v>2.27</v>
      </c>
      <c r="H188">
        <v>2.27</v>
      </c>
      <c r="I188" t="s">
        <v>351</v>
      </c>
      <c r="O188" t="s">
        <v>352</v>
      </c>
      <c r="Q188" t="s">
        <v>352</v>
      </c>
      <c r="R188" t="s">
        <v>366</v>
      </c>
      <c r="T188" t="s">
        <v>354</v>
      </c>
      <c r="U188" t="s">
        <v>355</v>
      </c>
      <c r="V188" t="s">
        <v>367</v>
      </c>
      <c r="W188" t="s">
        <v>368</v>
      </c>
      <c r="X188">
        <v>2097629</v>
      </c>
      <c r="Y188" s="2">
        <v>45324</v>
      </c>
      <c r="Z188" t="s">
        <v>352</v>
      </c>
      <c r="AA188">
        <v>20</v>
      </c>
      <c r="AB188" t="s">
        <v>352</v>
      </c>
      <c r="AD188" t="s">
        <v>352</v>
      </c>
      <c r="AE188" t="s">
        <v>352</v>
      </c>
      <c r="AF188" t="s">
        <v>352</v>
      </c>
      <c r="AG188">
        <v>1</v>
      </c>
      <c r="AH188" t="s">
        <v>352</v>
      </c>
      <c r="AL188" t="s">
        <v>352</v>
      </c>
      <c r="AM188" s="2">
        <v>45324</v>
      </c>
      <c r="AN188" t="s">
        <v>386</v>
      </c>
      <c r="AO188" t="s">
        <v>359</v>
      </c>
      <c r="AP188">
        <v>1206</v>
      </c>
      <c r="AQ188" t="s">
        <v>360</v>
      </c>
      <c r="AR188">
        <v>284329</v>
      </c>
      <c r="AU188" t="s">
        <v>352</v>
      </c>
      <c r="AV188" t="s">
        <v>362</v>
      </c>
      <c r="AX188" t="s">
        <v>352</v>
      </c>
      <c r="AY188">
        <v>631110</v>
      </c>
      <c r="AZ188">
        <v>1206.63111</v>
      </c>
      <c r="BA188" s="54" t="s">
        <v>333</v>
      </c>
    </row>
    <row r="189" spans="1:53">
      <c r="A189" t="s">
        <v>363</v>
      </c>
      <c r="B189" t="s">
        <v>364</v>
      </c>
      <c r="C189">
        <v>24001132</v>
      </c>
      <c r="D189">
        <v>1206</v>
      </c>
      <c r="E189" s="2">
        <v>45324</v>
      </c>
      <c r="F189" t="s">
        <v>543</v>
      </c>
      <c r="G189">
        <v>12.37</v>
      </c>
      <c r="H189">
        <v>12.37</v>
      </c>
      <c r="I189" t="s">
        <v>352</v>
      </c>
      <c r="O189" t="s">
        <v>352</v>
      </c>
      <c r="Q189" t="s">
        <v>352</v>
      </c>
      <c r="R189" t="s">
        <v>366</v>
      </c>
      <c r="T189" t="s">
        <v>354</v>
      </c>
      <c r="U189" t="s">
        <v>355</v>
      </c>
      <c r="V189" t="s">
        <v>367</v>
      </c>
      <c r="W189" t="s">
        <v>368</v>
      </c>
      <c r="X189">
        <v>2097929</v>
      </c>
      <c r="Y189" s="2">
        <v>45327</v>
      </c>
      <c r="Z189" t="s">
        <v>352</v>
      </c>
      <c r="AA189">
        <v>2</v>
      </c>
      <c r="AB189" t="s">
        <v>352</v>
      </c>
      <c r="AD189" t="s">
        <v>352</v>
      </c>
      <c r="AE189" t="s">
        <v>352</v>
      </c>
      <c r="AF189" t="s">
        <v>352</v>
      </c>
      <c r="AG189">
        <v>35</v>
      </c>
      <c r="AH189" t="s">
        <v>352</v>
      </c>
      <c r="AL189" t="s">
        <v>352</v>
      </c>
      <c r="AM189" s="2">
        <v>45324</v>
      </c>
      <c r="AN189" t="s">
        <v>544</v>
      </c>
      <c r="AO189" t="s">
        <v>544</v>
      </c>
      <c r="AP189">
        <v>1206</v>
      </c>
      <c r="AQ189" t="s">
        <v>360</v>
      </c>
      <c r="AR189">
        <v>91011</v>
      </c>
      <c r="AU189" t="s">
        <v>352</v>
      </c>
      <c r="AV189" t="s">
        <v>362</v>
      </c>
      <c r="AX189" t="s">
        <v>352</v>
      </c>
      <c r="AY189">
        <v>631110</v>
      </c>
      <c r="AZ189">
        <v>1206.63111</v>
      </c>
      <c r="BA189" s="54" t="s">
        <v>333</v>
      </c>
    </row>
    <row r="190" spans="1:53">
      <c r="A190" t="s">
        <v>363</v>
      </c>
      <c r="B190" t="s">
        <v>364</v>
      </c>
      <c r="C190">
        <v>24001132</v>
      </c>
      <c r="D190">
        <v>1206</v>
      </c>
      <c r="E190" s="2">
        <v>45324</v>
      </c>
      <c r="F190" t="s">
        <v>543</v>
      </c>
      <c r="G190">
        <v>1.38</v>
      </c>
      <c r="H190">
        <v>1.38</v>
      </c>
      <c r="I190" t="s">
        <v>352</v>
      </c>
      <c r="O190" t="s">
        <v>352</v>
      </c>
      <c r="Q190" t="s">
        <v>352</v>
      </c>
      <c r="R190" t="s">
        <v>366</v>
      </c>
      <c r="T190" t="s">
        <v>354</v>
      </c>
      <c r="U190" t="s">
        <v>355</v>
      </c>
      <c r="V190" t="s">
        <v>367</v>
      </c>
      <c r="W190" t="s">
        <v>368</v>
      </c>
      <c r="X190">
        <v>2097929</v>
      </c>
      <c r="Y190" s="2">
        <v>45327</v>
      </c>
      <c r="Z190" t="s">
        <v>352</v>
      </c>
      <c r="AA190">
        <v>4</v>
      </c>
      <c r="AB190" t="s">
        <v>352</v>
      </c>
      <c r="AD190" t="s">
        <v>352</v>
      </c>
      <c r="AE190" t="s">
        <v>352</v>
      </c>
      <c r="AF190" t="s">
        <v>352</v>
      </c>
      <c r="AG190">
        <v>9</v>
      </c>
      <c r="AH190" t="s">
        <v>352</v>
      </c>
      <c r="AL190" t="s">
        <v>352</v>
      </c>
      <c r="AM190" s="2">
        <v>45324</v>
      </c>
      <c r="AN190" t="s">
        <v>544</v>
      </c>
      <c r="AO190" t="s">
        <v>544</v>
      </c>
      <c r="AP190">
        <v>1206</v>
      </c>
      <c r="AQ190" t="s">
        <v>360</v>
      </c>
      <c r="AR190">
        <v>144854</v>
      </c>
      <c r="AU190" t="s">
        <v>352</v>
      </c>
      <c r="AV190" t="s">
        <v>362</v>
      </c>
      <c r="AX190" t="s">
        <v>352</v>
      </c>
      <c r="AY190">
        <v>631110</v>
      </c>
      <c r="AZ190">
        <v>1206.63111</v>
      </c>
      <c r="BA190" s="54" t="s">
        <v>333</v>
      </c>
    </row>
    <row r="191" spans="1:53">
      <c r="A191" t="s">
        <v>363</v>
      </c>
      <c r="B191" t="s">
        <v>364</v>
      </c>
      <c r="C191">
        <v>24001132</v>
      </c>
      <c r="D191">
        <v>1206</v>
      </c>
      <c r="E191" s="2">
        <v>45324</v>
      </c>
      <c r="F191" t="s">
        <v>543</v>
      </c>
      <c r="G191">
        <v>1.88</v>
      </c>
      <c r="H191">
        <v>1.88</v>
      </c>
      <c r="I191" t="s">
        <v>352</v>
      </c>
      <c r="O191" t="s">
        <v>352</v>
      </c>
      <c r="Q191" t="s">
        <v>352</v>
      </c>
      <c r="R191" t="s">
        <v>366</v>
      </c>
      <c r="T191" t="s">
        <v>354</v>
      </c>
      <c r="U191" t="s">
        <v>355</v>
      </c>
      <c r="V191" t="s">
        <v>367</v>
      </c>
      <c r="W191" t="s">
        <v>368</v>
      </c>
      <c r="X191">
        <v>2097929</v>
      </c>
      <c r="Y191" s="2">
        <v>45327</v>
      </c>
      <c r="Z191" t="s">
        <v>352</v>
      </c>
      <c r="AA191">
        <v>6</v>
      </c>
      <c r="AB191" t="s">
        <v>352</v>
      </c>
      <c r="AD191" t="s">
        <v>352</v>
      </c>
      <c r="AE191" t="s">
        <v>352</v>
      </c>
      <c r="AF191" t="s">
        <v>352</v>
      </c>
      <c r="AG191">
        <v>12</v>
      </c>
      <c r="AH191" t="s">
        <v>352</v>
      </c>
      <c r="AL191" t="s">
        <v>352</v>
      </c>
      <c r="AM191" s="2">
        <v>45324</v>
      </c>
      <c r="AN191" t="s">
        <v>544</v>
      </c>
      <c r="AO191" t="s">
        <v>544</v>
      </c>
      <c r="AP191">
        <v>1206</v>
      </c>
      <c r="AQ191" t="s">
        <v>360</v>
      </c>
      <c r="AR191">
        <v>89712</v>
      </c>
      <c r="AU191" t="s">
        <v>352</v>
      </c>
      <c r="AV191" t="s">
        <v>362</v>
      </c>
      <c r="AX191" t="s">
        <v>352</v>
      </c>
      <c r="AY191">
        <v>631110</v>
      </c>
      <c r="AZ191">
        <v>1206.63111</v>
      </c>
      <c r="BA191" s="54" t="s">
        <v>333</v>
      </c>
    </row>
    <row r="192" spans="1:53">
      <c r="A192" t="s">
        <v>363</v>
      </c>
      <c r="B192" t="s">
        <v>364</v>
      </c>
      <c r="C192">
        <v>24001132</v>
      </c>
      <c r="D192">
        <v>1206</v>
      </c>
      <c r="E192" s="2">
        <v>45324</v>
      </c>
      <c r="F192" t="s">
        <v>543</v>
      </c>
      <c r="G192">
        <v>0.42</v>
      </c>
      <c r="H192">
        <v>0.42</v>
      </c>
      <c r="I192" t="s">
        <v>352</v>
      </c>
      <c r="O192" t="s">
        <v>352</v>
      </c>
      <c r="Q192" t="s">
        <v>352</v>
      </c>
      <c r="R192" t="s">
        <v>366</v>
      </c>
      <c r="T192" t="s">
        <v>354</v>
      </c>
      <c r="U192" t="s">
        <v>355</v>
      </c>
      <c r="V192" t="s">
        <v>367</v>
      </c>
      <c r="W192" t="s">
        <v>368</v>
      </c>
      <c r="X192">
        <v>2097929</v>
      </c>
      <c r="Y192" s="2">
        <v>45327</v>
      </c>
      <c r="Z192" t="s">
        <v>352</v>
      </c>
      <c r="AA192">
        <v>8</v>
      </c>
      <c r="AB192" t="s">
        <v>352</v>
      </c>
      <c r="AD192" t="s">
        <v>352</v>
      </c>
      <c r="AE192" t="s">
        <v>352</v>
      </c>
      <c r="AF192" t="s">
        <v>352</v>
      </c>
      <c r="AG192">
        <v>6</v>
      </c>
      <c r="AH192" t="s">
        <v>352</v>
      </c>
      <c r="AL192" t="s">
        <v>352</v>
      </c>
      <c r="AM192" s="2">
        <v>45324</v>
      </c>
      <c r="AN192" t="s">
        <v>544</v>
      </c>
      <c r="AO192" t="s">
        <v>544</v>
      </c>
      <c r="AP192">
        <v>1206</v>
      </c>
      <c r="AQ192" t="s">
        <v>360</v>
      </c>
      <c r="AR192">
        <v>267129</v>
      </c>
      <c r="AU192" t="s">
        <v>352</v>
      </c>
      <c r="AV192" t="s">
        <v>362</v>
      </c>
      <c r="AX192" t="s">
        <v>352</v>
      </c>
      <c r="AY192">
        <v>631110</v>
      </c>
      <c r="AZ192">
        <v>1206.63111</v>
      </c>
      <c r="BA192" s="54" t="s">
        <v>333</v>
      </c>
    </row>
    <row r="193" spans="1:53">
      <c r="A193" t="s">
        <v>363</v>
      </c>
      <c r="B193" t="s">
        <v>364</v>
      </c>
      <c r="C193">
        <v>24001132</v>
      </c>
      <c r="D193">
        <v>1206</v>
      </c>
      <c r="E193" s="2">
        <v>45324</v>
      </c>
      <c r="F193" t="s">
        <v>543</v>
      </c>
      <c r="G193">
        <v>0.3</v>
      </c>
      <c r="H193">
        <v>0.3</v>
      </c>
      <c r="I193" t="s">
        <v>352</v>
      </c>
      <c r="O193" t="s">
        <v>352</v>
      </c>
      <c r="Q193" t="s">
        <v>352</v>
      </c>
      <c r="R193" t="s">
        <v>366</v>
      </c>
      <c r="T193" t="s">
        <v>354</v>
      </c>
      <c r="U193" t="s">
        <v>355</v>
      </c>
      <c r="V193" t="s">
        <v>367</v>
      </c>
      <c r="W193" t="s">
        <v>368</v>
      </c>
      <c r="X193">
        <v>2097929</v>
      </c>
      <c r="Y193" s="2">
        <v>45327</v>
      </c>
      <c r="Z193" t="s">
        <v>352</v>
      </c>
      <c r="AA193">
        <v>10</v>
      </c>
      <c r="AB193" t="s">
        <v>352</v>
      </c>
      <c r="AD193" t="s">
        <v>352</v>
      </c>
      <c r="AE193" t="s">
        <v>352</v>
      </c>
      <c r="AF193" t="s">
        <v>352</v>
      </c>
      <c r="AG193">
        <v>4</v>
      </c>
      <c r="AH193" t="s">
        <v>352</v>
      </c>
      <c r="AL193" t="s">
        <v>352</v>
      </c>
      <c r="AM193" s="2">
        <v>45324</v>
      </c>
      <c r="AN193" t="s">
        <v>544</v>
      </c>
      <c r="AO193" t="s">
        <v>544</v>
      </c>
      <c r="AP193">
        <v>1206</v>
      </c>
      <c r="AQ193" t="s">
        <v>360</v>
      </c>
      <c r="AR193">
        <v>91479</v>
      </c>
      <c r="AU193" t="s">
        <v>352</v>
      </c>
      <c r="AV193" t="s">
        <v>362</v>
      </c>
      <c r="AX193" t="s">
        <v>352</v>
      </c>
      <c r="AY193">
        <v>631110</v>
      </c>
      <c r="AZ193">
        <v>1206.63111</v>
      </c>
      <c r="BA193" s="54" t="s">
        <v>333</v>
      </c>
    </row>
    <row r="194" spans="1:53">
      <c r="A194" t="s">
        <v>363</v>
      </c>
      <c r="B194" t="s">
        <v>364</v>
      </c>
      <c r="C194">
        <v>24001132</v>
      </c>
      <c r="D194">
        <v>1206</v>
      </c>
      <c r="E194" s="2">
        <v>45324</v>
      </c>
      <c r="F194" t="s">
        <v>543</v>
      </c>
      <c r="G194">
        <v>0.46</v>
      </c>
      <c r="H194">
        <v>0.46</v>
      </c>
      <c r="I194" t="s">
        <v>352</v>
      </c>
      <c r="O194" t="s">
        <v>352</v>
      </c>
      <c r="Q194" t="s">
        <v>352</v>
      </c>
      <c r="R194" t="s">
        <v>366</v>
      </c>
      <c r="T194" t="s">
        <v>354</v>
      </c>
      <c r="U194" t="s">
        <v>355</v>
      </c>
      <c r="V194" t="s">
        <v>367</v>
      </c>
      <c r="W194" t="s">
        <v>368</v>
      </c>
      <c r="X194">
        <v>2097929</v>
      </c>
      <c r="Y194" s="2">
        <v>45327</v>
      </c>
      <c r="Z194" t="s">
        <v>352</v>
      </c>
      <c r="AA194">
        <v>12</v>
      </c>
      <c r="AB194" t="s">
        <v>352</v>
      </c>
      <c r="AD194" t="s">
        <v>352</v>
      </c>
      <c r="AE194" t="s">
        <v>352</v>
      </c>
      <c r="AF194" t="s">
        <v>352</v>
      </c>
      <c r="AG194">
        <v>6</v>
      </c>
      <c r="AH194" t="s">
        <v>352</v>
      </c>
      <c r="AL194" t="s">
        <v>352</v>
      </c>
      <c r="AM194" s="2">
        <v>45324</v>
      </c>
      <c r="AN194" t="s">
        <v>544</v>
      </c>
      <c r="AO194" t="s">
        <v>544</v>
      </c>
      <c r="AP194">
        <v>1206</v>
      </c>
      <c r="AQ194" t="s">
        <v>360</v>
      </c>
      <c r="AR194">
        <v>92908</v>
      </c>
      <c r="AU194" t="s">
        <v>352</v>
      </c>
      <c r="AV194" t="s">
        <v>362</v>
      </c>
      <c r="AX194" t="s">
        <v>352</v>
      </c>
      <c r="AY194">
        <v>631110</v>
      </c>
      <c r="AZ194">
        <v>1206.63111</v>
      </c>
      <c r="BA194" s="54" t="s">
        <v>333</v>
      </c>
    </row>
    <row r="195" spans="1:53">
      <c r="A195" t="s">
        <v>363</v>
      </c>
      <c r="B195" t="s">
        <v>364</v>
      </c>
      <c r="C195">
        <v>24001133</v>
      </c>
      <c r="D195">
        <v>1206</v>
      </c>
      <c r="E195" s="2">
        <v>45324</v>
      </c>
      <c r="F195" t="s">
        <v>545</v>
      </c>
      <c r="G195">
        <v>5.04</v>
      </c>
      <c r="H195">
        <v>5.04</v>
      </c>
      <c r="I195" t="s">
        <v>352</v>
      </c>
      <c r="O195" t="s">
        <v>352</v>
      </c>
      <c r="Q195" t="s">
        <v>352</v>
      </c>
      <c r="R195" t="s">
        <v>366</v>
      </c>
      <c r="T195" t="s">
        <v>354</v>
      </c>
      <c r="U195" t="s">
        <v>355</v>
      </c>
      <c r="V195" t="s">
        <v>367</v>
      </c>
      <c r="W195" t="s">
        <v>368</v>
      </c>
      <c r="X195">
        <v>2097930</v>
      </c>
      <c r="Y195" s="2">
        <v>45327</v>
      </c>
      <c r="Z195" t="s">
        <v>352</v>
      </c>
      <c r="AA195">
        <v>2</v>
      </c>
      <c r="AB195" t="s">
        <v>352</v>
      </c>
      <c r="AD195" t="s">
        <v>352</v>
      </c>
      <c r="AE195" t="s">
        <v>352</v>
      </c>
      <c r="AF195" t="s">
        <v>352</v>
      </c>
      <c r="AG195">
        <v>10</v>
      </c>
      <c r="AH195" t="s">
        <v>352</v>
      </c>
      <c r="AL195" t="s">
        <v>352</v>
      </c>
      <c r="AM195" s="2">
        <v>45324</v>
      </c>
      <c r="AN195" t="s">
        <v>544</v>
      </c>
      <c r="AO195" t="s">
        <v>544</v>
      </c>
      <c r="AP195">
        <v>1206</v>
      </c>
      <c r="AQ195" t="s">
        <v>360</v>
      </c>
      <c r="AR195">
        <v>265226</v>
      </c>
      <c r="AU195" t="s">
        <v>352</v>
      </c>
      <c r="AV195" t="s">
        <v>362</v>
      </c>
      <c r="AX195" t="s">
        <v>352</v>
      </c>
      <c r="AY195">
        <v>631110</v>
      </c>
      <c r="AZ195">
        <v>1206.63111</v>
      </c>
      <c r="BA195" s="54" t="s">
        <v>333</v>
      </c>
    </row>
    <row r="196" spans="1:53">
      <c r="A196" t="s">
        <v>363</v>
      </c>
      <c r="B196" t="s">
        <v>364</v>
      </c>
      <c r="C196">
        <v>24001134</v>
      </c>
      <c r="D196">
        <v>1206</v>
      </c>
      <c r="E196" s="2">
        <v>45327</v>
      </c>
      <c r="F196" t="s">
        <v>369</v>
      </c>
      <c r="G196">
        <v>18.46</v>
      </c>
      <c r="H196">
        <v>18.46</v>
      </c>
      <c r="I196" t="s">
        <v>352</v>
      </c>
      <c r="O196" t="s">
        <v>352</v>
      </c>
      <c r="Q196" t="s">
        <v>352</v>
      </c>
      <c r="R196" t="s">
        <v>366</v>
      </c>
      <c r="T196" t="s">
        <v>354</v>
      </c>
      <c r="U196" t="s">
        <v>355</v>
      </c>
      <c r="V196" t="s">
        <v>367</v>
      </c>
      <c r="W196" t="s">
        <v>368</v>
      </c>
      <c r="X196">
        <v>2098090</v>
      </c>
      <c r="Y196" s="2">
        <v>45327</v>
      </c>
      <c r="Z196" t="s">
        <v>352</v>
      </c>
      <c r="AA196">
        <v>2</v>
      </c>
      <c r="AB196" t="s">
        <v>352</v>
      </c>
      <c r="AD196" t="s">
        <v>352</v>
      </c>
      <c r="AE196" t="s">
        <v>352</v>
      </c>
      <c r="AF196" t="s">
        <v>352</v>
      </c>
      <c r="AG196">
        <v>3</v>
      </c>
      <c r="AH196" t="s">
        <v>352</v>
      </c>
      <c r="AL196" t="s">
        <v>352</v>
      </c>
      <c r="AM196" s="2">
        <v>45327</v>
      </c>
      <c r="AN196" t="s">
        <v>386</v>
      </c>
      <c r="AO196" t="s">
        <v>386</v>
      </c>
      <c r="AP196">
        <v>1206</v>
      </c>
      <c r="AQ196" t="s">
        <v>360</v>
      </c>
      <c r="AR196">
        <v>279991</v>
      </c>
      <c r="AU196" t="s">
        <v>352</v>
      </c>
      <c r="AV196" t="s">
        <v>362</v>
      </c>
      <c r="AX196" t="s">
        <v>352</v>
      </c>
      <c r="AY196">
        <v>631110</v>
      </c>
      <c r="AZ196">
        <v>1206.63111</v>
      </c>
      <c r="BA196" s="54" t="s">
        <v>333</v>
      </c>
    </row>
    <row r="197" spans="1:53">
      <c r="A197" t="s">
        <v>363</v>
      </c>
      <c r="B197" t="s">
        <v>364</v>
      </c>
      <c r="C197">
        <v>24001135</v>
      </c>
      <c r="D197">
        <v>1206</v>
      </c>
      <c r="E197" s="2">
        <v>45327</v>
      </c>
      <c r="F197" t="s">
        <v>365</v>
      </c>
      <c r="G197">
        <v>0.65</v>
      </c>
      <c r="H197">
        <v>0.65</v>
      </c>
      <c r="I197" t="s">
        <v>352</v>
      </c>
      <c r="O197" t="s">
        <v>352</v>
      </c>
      <c r="Q197" t="s">
        <v>352</v>
      </c>
      <c r="R197" t="s">
        <v>366</v>
      </c>
      <c r="T197" t="s">
        <v>354</v>
      </c>
      <c r="U197" t="s">
        <v>355</v>
      </c>
      <c r="V197" t="s">
        <v>367</v>
      </c>
      <c r="W197" t="s">
        <v>368</v>
      </c>
      <c r="X197">
        <v>2098090</v>
      </c>
      <c r="Y197" s="2">
        <v>45327</v>
      </c>
      <c r="Z197" t="s">
        <v>352</v>
      </c>
      <c r="AA197">
        <v>2</v>
      </c>
      <c r="AB197" t="s">
        <v>352</v>
      </c>
      <c r="AD197" t="s">
        <v>352</v>
      </c>
      <c r="AE197" t="s">
        <v>352</v>
      </c>
      <c r="AF197" t="s">
        <v>352</v>
      </c>
      <c r="AG197">
        <v>1</v>
      </c>
      <c r="AH197" t="s">
        <v>352</v>
      </c>
      <c r="AL197" t="s">
        <v>352</v>
      </c>
      <c r="AM197" s="2">
        <v>45327</v>
      </c>
      <c r="AN197" t="s">
        <v>386</v>
      </c>
      <c r="AO197" t="s">
        <v>386</v>
      </c>
      <c r="AP197">
        <v>1206</v>
      </c>
      <c r="AQ197" t="s">
        <v>360</v>
      </c>
      <c r="AR197">
        <v>90167</v>
      </c>
      <c r="AU197" t="s">
        <v>352</v>
      </c>
      <c r="AV197" t="s">
        <v>362</v>
      </c>
      <c r="AX197" t="s">
        <v>352</v>
      </c>
      <c r="AY197">
        <v>631110</v>
      </c>
      <c r="AZ197">
        <v>1206.63111</v>
      </c>
      <c r="BA197" s="54" t="s">
        <v>333</v>
      </c>
    </row>
    <row r="198" spans="1:53">
      <c r="A198" t="s">
        <v>363</v>
      </c>
      <c r="B198" t="s">
        <v>364</v>
      </c>
      <c r="C198">
        <v>24001135</v>
      </c>
      <c r="D198">
        <v>1206</v>
      </c>
      <c r="E198" s="2">
        <v>45327</v>
      </c>
      <c r="F198" t="s">
        <v>365</v>
      </c>
      <c r="G198">
        <v>55.7</v>
      </c>
      <c r="H198">
        <v>55.7</v>
      </c>
      <c r="I198" t="s">
        <v>352</v>
      </c>
      <c r="O198" t="s">
        <v>352</v>
      </c>
      <c r="Q198" t="s">
        <v>352</v>
      </c>
      <c r="R198" t="s">
        <v>366</v>
      </c>
      <c r="T198" t="s">
        <v>354</v>
      </c>
      <c r="U198" t="s">
        <v>355</v>
      </c>
      <c r="V198" t="s">
        <v>367</v>
      </c>
      <c r="W198" t="s">
        <v>368</v>
      </c>
      <c r="X198">
        <v>2098090</v>
      </c>
      <c r="Y198" s="2">
        <v>45327</v>
      </c>
      <c r="Z198" t="s">
        <v>352</v>
      </c>
      <c r="AA198">
        <v>4</v>
      </c>
      <c r="AB198" t="s">
        <v>352</v>
      </c>
      <c r="AD198" t="s">
        <v>352</v>
      </c>
      <c r="AE198" t="s">
        <v>352</v>
      </c>
      <c r="AF198" t="s">
        <v>352</v>
      </c>
      <c r="AG198">
        <v>1</v>
      </c>
      <c r="AH198" t="s">
        <v>352</v>
      </c>
      <c r="AL198" t="s">
        <v>352</v>
      </c>
      <c r="AM198" s="2">
        <v>45327</v>
      </c>
      <c r="AN198" t="s">
        <v>386</v>
      </c>
      <c r="AO198" t="s">
        <v>386</v>
      </c>
      <c r="AP198">
        <v>1206</v>
      </c>
      <c r="AQ198" t="s">
        <v>360</v>
      </c>
      <c r="AR198">
        <v>97071</v>
      </c>
      <c r="AU198" t="s">
        <v>352</v>
      </c>
      <c r="AV198" t="s">
        <v>362</v>
      </c>
      <c r="AX198" t="s">
        <v>352</v>
      </c>
      <c r="AY198">
        <v>631110</v>
      </c>
      <c r="AZ198">
        <v>1206.63111</v>
      </c>
      <c r="BA198" s="54" t="s">
        <v>333</v>
      </c>
    </row>
    <row r="199" spans="1:53">
      <c r="A199" t="s">
        <v>363</v>
      </c>
      <c r="B199" t="s">
        <v>364</v>
      </c>
      <c r="C199">
        <v>24001135</v>
      </c>
      <c r="D199">
        <v>1206</v>
      </c>
      <c r="E199" s="2">
        <v>45327</v>
      </c>
      <c r="F199" t="s">
        <v>365</v>
      </c>
      <c r="G199">
        <v>89.98</v>
      </c>
      <c r="H199">
        <v>89.98</v>
      </c>
      <c r="I199" t="s">
        <v>352</v>
      </c>
      <c r="O199" t="s">
        <v>352</v>
      </c>
      <c r="Q199" t="s">
        <v>352</v>
      </c>
      <c r="R199" t="s">
        <v>366</v>
      </c>
      <c r="T199" t="s">
        <v>354</v>
      </c>
      <c r="U199" t="s">
        <v>355</v>
      </c>
      <c r="V199" t="s">
        <v>367</v>
      </c>
      <c r="W199" t="s">
        <v>368</v>
      </c>
      <c r="X199">
        <v>2098090</v>
      </c>
      <c r="Y199" s="2">
        <v>45327</v>
      </c>
      <c r="Z199" t="s">
        <v>352</v>
      </c>
      <c r="AA199">
        <v>6</v>
      </c>
      <c r="AB199" t="s">
        <v>352</v>
      </c>
      <c r="AD199" t="s">
        <v>352</v>
      </c>
      <c r="AE199" t="s">
        <v>352</v>
      </c>
      <c r="AF199" t="s">
        <v>352</v>
      </c>
      <c r="AG199">
        <v>1</v>
      </c>
      <c r="AH199" t="s">
        <v>352</v>
      </c>
      <c r="AL199" t="s">
        <v>352</v>
      </c>
      <c r="AM199" s="2">
        <v>45327</v>
      </c>
      <c r="AN199" t="s">
        <v>386</v>
      </c>
      <c r="AO199" t="s">
        <v>386</v>
      </c>
      <c r="AP199">
        <v>1206</v>
      </c>
      <c r="AQ199" t="s">
        <v>360</v>
      </c>
      <c r="AR199">
        <v>111572</v>
      </c>
      <c r="AU199" t="s">
        <v>352</v>
      </c>
      <c r="AV199" t="s">
        <v>362</v>
      </c>
      <c r="AX199" t="s">
        <v>352</v>
      </c>
      <c r="AY199">
        <v>631110</v>
      </c>
      <c r="AZ199">
        <v>1206.63111</v>
      </c>
      <c r="BA199" s="54" t="s">
        <v>333</v>
      </c>
    </row>
    <row r="200" spans="1:53">
      <c r="A200" t="s">
        <v>363</v>
      </c>
      <c r="B200" t="s">
        <v>364</v>
      </c>
      <c r="C200">
        <v>24001135</v>
      </c>
      <c r="D200">
        <v>1206</v>
      </c>
      <c r="E200" s="2">
        <v>45327</v>
      </c>
      <c r="F200" t="s">
        <v>365</v>
      </c>
      <c r="G200">
        <v>0.64</v>
      </c>
      <c r="H200">
        <v>0.64</v>
      </c>
      <c r="I200" t="s">
        <v>352</v>
      </c>
      <c r="O200" t="s">
        <v>352</v>
      </c>
      <c r="Q200" t="s">
        <v>352</v>
      </c>
      <c r="R200" t="s">
        <v>366</v>
      </c>
      <c r="T200" t="s">
        <v>354</v>
      </c>
      <c r="U200" t="s">
        <v>355</v>
      </c>
      <c r="V200" t="s">
        <v>367</v>
      </c>
      <c r="W200" t="s">
        <v>368</v>
      </c>
      <c r="X200">
        <v>2098090</v>
      </c>
      <c r="Y200" s="2">
        <v>45327</v>
      </c>
      <c r="Z200" t="s">
        <v>352</v>
      </c>
      <c r="AA200">
        <v>8</v>
      </c>
      <c r="AB200" t="s">
        <v>352</v>
      </c>
      <c r="AD200" t="s">
        <v>352</v>
      </c>
      <c r="AE200" t="s">
        <v>352</v>
      </c>
      <c r="AF200" t="s">
        <v>352</v>
      </c>
      <c r="AG200">
        <v>1</v>
      </c>
      <c r="AH200" t="s">
        <v>352</v>
      </c>
      <c r="AL200" t="s">
        <v>352</v>
      </c>
      <c r="AM200" s="2">
        <v>45327</v>
      </c>
      <c r="AN200" t="s">
        <v>386</v>
      </c>
      <c r="AO200" t="s">
        <v>386</v>
      </c>
      <c r="AP200">
        <v>1206</v>
      </c>
      <c r="AQ200" t="s">
        <v>360</v>
      </c>
      <c r="AR200">
        <v>140248</v>
      </c>
      <c r="AU200" t="s">
        <v>352</v>
      </c>
      <c r="AV200" t="s">
        <v>362</v>
      </c>
      <c r="AX200" t="s">
        <v>352</v>
      </c>
      <c r="AY200">
        <v>631110</v>
      </c>
      <c r="AZ200">
        <v>1206.63111</v>
      </c>
      <c r="BA200" s="54" t="s">
        <v>333</v>
      </c>
    </row>
    <row r="201" spans="1:53">
      <c r="A201" t="s">
        <v>363</v>
      </c>
      <c r="B201" t="s">
        <v>364</v>
      </c>
      <c r="C201">
        <v>24001135</v>
      </c>
      <c r="D201">
        <v>1206</v>
      </c>
      <c r="E201" s="2">
        <v>45327</v>
      </c>
      <c r="F201" t="s">
        <v>365</v>
      </c>
      <c r="G201">
        <v>78.62</v>
      </c>
      <c r="H201">
        <v>78.62</v>
      </c>
      <c r="I201" t="s">
        <v>352</v>
      </c>
      <c r="O201" t="s">
        <v>352</v>
      </c>
      <c r="Q201" t="s">
        <v>352</v>
      </c>
      <c r="R201" t="s">
        <v>366</v>
      </c>
      <c r="T201" t="s">
        <v>354</v>
      </c>
      <c r="U201" t="s">
        <v>355</v>
      </c>
      <c r="V201" t="s">
        <v>367</v>
      </c>
      <c r="W201" t="s">
        <v>368</v>
      </c>
      <c r="X201">
        <v>2098090</v>
      </c>
      <c r="Y201" s="2">
        <v>45327</v>
      </c>
      <c r="Z201" t="s">
        <v>352</v>
      </c>
      <c r="AA201">
        <v>10</v>
      </c>
      <c r="AB201" t="s">
        <v>352</v>
      </c>
      <c r="AD201" t="s">
        <v>352</v>
      </c>
      <c r="AE201" t="s">
        <v>352</v>
      </c>
      <c r="AF201" t="s">
        <v>352</v>
      </c>
      <c r="AG201">
        <v>1</v>
      </c>
      <c r="AH201" t="s">
        <v>352</v>
      </c>
      <c r="AL201" t="s">
        <v>352</v>
      </c>
      <c r="AM201" s="2">
        <v>45327</v>
      </c>
      <c r="AN201" t="s">
        <v>386</v>
      </c>
      <c r="AO201" t="s">
        <v>386</v>
      </c>
      <c r="AP201">
        <v>1206</v>
      </c>
      <c r="AQ201" t="s">
        <v>360</v>
      </c>
      <c r="AR201">
        <v>209861</v>
      </c>
      <c r="AU201" t="s">
        <v>352</v>
      </c>
      <c r="AV201" t="s">
        <v>362</v>
      </c>
      <c r="AX201" t="s">
        <v>352</v>
      </c>
      <c r="AY201">
        <v>631110</v>
      </c>
      <c r="AZ201">
        <v>1206.63111</v>
      </c>
      <c r="BA201" s="54" t="s">
        <v>333</v>
      </c>
    </row>
    <row r="202" spans="1:53">
      <c r="A202" t="s">
        <v>363</v>
      </c>
      <c r="B202" t="s">
        <v>364</v>
      </c>
      <c r="C202">
        <v>24001135</v>
      </c>
      <c r="D202">
        <v>1206</v>
      </c>
      <c r="E202" s="2">
        <v>45327</v>
      </c>
      <c r="F202" t="s">
        <v>365</v>
      </c>
      <c r="G202">
        <v>0.56999999999999995</v>
      </c>
      <c r="H202">
        <v>0.56999999999999995</v>
      </c>
      <c r="I202" t="s">
        <v>352</v>
      </c>
      <c r="O202" t="s">
        <v>352</v>
      </c>
      <c r="Q202" t="s">
        <v>352</v>
      </c>
      <c r="R202" t="s">
        <v>366</v>
      </c>
      <c r="T202" t="s">
        <v>354</v>
      </c>
      <c r="U202" t="s">
        <v>355</v>
      </c>
      <c r="V202" t="s">
        <v>367</v>
      </c>
      <c r="W202" t="s">
        <v>368</v>
      </c>
      <c r="X202">
        <v>2098090</v>
      </c>
      <c r="Y202" s="2">
        <v>45327</v>
      </c>
      <c r="Z202" t="s">
        <v>352</v>
      </c>
      <c r="AA202">
        <v>12</v>
      </c>
      <c r="AB202" t="s">
        <v>352</v>
      </c>
      <c r="AD202" t="s">
        <v>352</v>
      </c>
      <c r="AE202" t="s">
        <v>352</v>
      </c>
      <c r="AF202" t="s">
        <v>352</v>
      </c>
      <c r="AG202">
        <v>1</v>
      </c>
      <c r="AH202" t="s">
        <v>352</v>
      </c>
      <c r="AL202" t="s">
        <v>352</v>
      </c>
      <c r="AM202" s="2">
        <v>45327</v>
      </c>
      <c r="AN202" t="s">
        <v>386</v>
      </c>
      <c r="AO202" t="s">
        <v>386</v>
      </c>
      <c r="AP202">
        <v>1206</v>
      </c>
      <c r="AQ202" t="s">
        <v>360</v>
      </c>
      <c r="AR202">
        <v>220123</v>
      </c>
      <c r="AU202" t="s">
        <v>352</v>
      </c>
      <c r="AV202" t="s">
        <v>362</v>
      </c>
      <c r="AX202" t="s">
        <v>352</v>
      </c>
      <c r="AY202">
        <v>631110</v>
      </c>
      <c r="AZ202">
        <v>1206.63111</v>
      </c>
      <c r="BA202" s="54" t="s">
        <v>333</v>
      </c>
    </row>
    <row r="203" spans="1:53">
      <c r="A203" t="s">
        <v>363</v>
      </c>
      <c r="B203" t="s">
        <v>364</v>
      </c>
      <c r="C203">
        <v>24001135</v>
      </c>
      <c r="D203">
        <v>1206</v>
      </c>
      <c r="E203" s="2">
        <v>45327</v>
      </c>
      <c r="F203" t="s">
        <v>365</v>
      </c>
      <c r="G203">
        <v>5.51</v>
      </c>
      <c r="H203">
        <v>5.51</v>
      </c>
      <c r="I203" t="s">
        <v>352</v>
      </c>
      <c r="O203" t="s">
        <v>352</v>
      </c>
      <c r="Q203" t="s">
        <v>352</v>
      </c>
      <c r="R203" t="s">
        <v>366</v>
      </c>
      <c r="T203" t="s">
        <v>354</v>
      </c>
      <c r="U203" t="s">
        <v>355</v>
      </c>
      <c r="V203" t="s">
        <v>367</v>
      </c>
      <c r="W203" t="s">
        <v>368</v>
      </c>
      <c r="X203">
        <v>2098090</v>
      </c>
      <c r="Y203" s="2">
        <v>45327</v>
      </c>
      <c r="Z203" t="s">
        <v>352</v>
      </c>
      <c r="AA203">
        <v>14</v>
      </c>
      <c r="AB203" t="s">
        <v>352</v>
      </c>
      <c r="AD203" t="s">
        <v>352</v>
      </c>
      <c r="AE203" t="s">
        <v>352</v>
      </c>
      <c r="AF203" t="s">
        <v>352</v>
      </c>
      <c r="AG203">
        <v>1</v>
      </c>
      <c r="AH203" t="s">
        <v>352</v>
      </c>
      <c r="AL203" t="s">
        <v>352</v>
      </c>
      <c r="AM203" s="2">
        <v>45327</v>
      </c>
      <c r="AN203" t="s">
        <v>386</v>
      </c>
      <c r="AO203" t="s">
        <v>386</v>
      </c>
      <c r="AP203">
        <v>1206</v>
      </c>
      <c r="AQ203" t="s">
        <v>360</v>
      </c>
      <c r="AR203">
        <v>88625</v>
      </c>
      <c r="AU203" t="s">
        <v>352</v>
      </c>
      <c r="AV203" t="s">
        <v>362</v>
      </c>
      <c r="AX203" t="s">
        <v>352</v>
      </c>
      <c r="AY203">
        <v>631110</v>
      </c>
      <c r="AZ203">
        <v>1206.63111</v>
      </c>
      <c r="BA203" s="54" t="s">
        <v>333</v>
      </c>
    </row>
    <row r="204" spans="1:53">
      <c r="A204" t="s">
        <v>363</v>
      </c>
      <c r="B204" t="s">
        <v>364</v>
      </c>
      <c r="C204">
        <v>24001135</v>
      </c>
      <c r="D204">
        <v>1206</v>
      </c>
      <c r="E204" s="2">
        <v>45327</v>
      </c>
      <c r="F204" t="s">
        <v>365</v>
      </c>
      <c r="G204">
        <v>36.81</v>
      </c>
      <c r="H204">
        <v>36.81</v>
      </c>
      <c r="I204" t="s">
        <v>352</v>
      </c>
      <c r="O204" t="s">
        <v>352</v>
      </c>
      <c r="Q204" t="s">
        <v>352</v>
      </c>
      <c r="R204" t="s">
        <v>366</v>
      </c>
      <c r="T204" t="s">
        <v>354</v>
      </c>
      <c r="U204" t="s">
        <v>355</v>
      </c>
      <c r="V204" t="s">
        <v>367</v>
      </c>
      <c r="W204" t="s">
        <v>368</v>
      </c>
      <c r="X204">
        <v>2098090</v>
      </c>
      <c r="Y204" s="2">
        <v>45327</v>
      </c>
      <c r="Z204" t="s">
        <v>352</v>
      </c>
      <c r="AA204">
        <v>16</v>
      </c>
      <c r="AB204" t="s">
        <v>352</v>
      </c>
      <c r="AD204" t="s">
        <v>352</v>
      </c>
      <c r="AE204" t="s">
        <v>352</v>
      </c>
      <c r="AF204" t="s">
        <v>352</v>
      </c>
      <c r="AG204">
        <v>1</v>
      </c>
      <c r="AH204" t="s">
        <v>352</v>
      </c>
      <c r="AL204" t="s">
        <v>352</v>
      </c>
      <c r="AM204" s="2">
        <v>45327</v>
      </c>
      <c r="AN204" t="s">
        <v>386</v>
      </c>
      <c r="AO204" t="s">
        <v>386</v>
      </c>
      <c r="AP204">
        <v>1206</v>
      </c>
      <c r="AQ204" t="s">
        <v>360</v>
      </c>
      <c r="AR204">
        <v>114717</v>
      </c>
      <c r="AU204" t="s">
        <v>352</v>
      </c>
      <c r="AV204" t="s">
        <v>362</v>
      </c>
      <c r="AX204" t="s">
        <v>352</v>
      </c>
      <c r="AY204">
        <v>631110</v>
      </c>
      <c r="AZ204">
        <v>1206.63111</v>
      </c>
      <c r="BA204" s="54" t="s">
        <v>333</v>
      </c>
    </row>
    <row r="205" spans="1:53">
      <c r="A205" t="s">
        <v>363</v>
      </c>
      <c r="B205" t="s">
        <v>364</v>
      </c>
      <c r="C205">
        <v>24001135</v>
      </c>
      <c r="D205">
        <v>1206</v>
      </c>
      <c r="E205" s="2">
        <v>45327</v>
      </c>
      <c r="F205" t="s">
        <v>365</v>
      </c>
      <c r="G205">
        <v>47.44</v>
      </c>
      <c r="H205">
        <v>47.44</v>
      </c>
      <c r="I205" t="s">
        <v>352</v>
      </c>
      <c r="O205" t="s">
        <v>352</v>
      </c>
      <c r="Q205" t="s">
        <v>352</v>
      </c>
      <c r="R205" t="s">
        <v>366</v>
      </c>
      <c r="T205" t="s">
        <v>354</v>
      </c>
      <c r="U205" t="s">
        <v>355</v>
      </c>
      <c r="V205" t="s">
        <v>367</v>
      </c>
      <c r="W205" t="s">
        <v>368</v>
      </c>
      <c r="X205">
        <v>2098090</v>
      </c>
      <c r="Y205" s="2">
        <v>45327</v>
      </c>
      <c r="Z205" t="s">
        <v>352</v>
      </c>
      <c r="AA205">
        <v>18</v>
      </c>
      <c r="AB205" t="s">
        <v>352</v>
      </c>
      <c r="AD205" t="s">
        <v>352</v>
      </c>
      <c r="AE205" t="s">
        <v>352</v>
      </c>
      <c r="AF205" t="s">
        <v>352</v>
      </c>
      <c r="AG205">
        <v>1</v>
      </c>
      <c r="AH205" t="s">
        <v>352</v>
      </c>
      <c r="AL205" t="s">
        <v>352</v>
      </c>
      <c r="AM205" s="2">
        <v>45327</v>
      </c>
      <c r="AN205" t="s">
        <v>386</v>
      </c>
      <c r="AO205" t="s">
        <v>386</v>
      </c>
      <c r="AP205">
        <v>1206</v>
      </c>
      <c r="AQ205" t="s">
        <v>360</v>
      </c>
      <c r="AR205">
        <v>101485</v>
      </c>
      <c r="AU205" t="s">
        <v>352</v>
      </c>
      <c r="AV205" t="s">
        <v>362</v>
      </c>
      <c r="AX205" t="s">
        <v>352</v>
      </c>
      <c r="AY205">
        <v>631110</v>
      </c>
      <c r="AZ205">
        <v>1206.63111</v>
      </c>
      <c r="BA205" s="54" t="s">
        <v>333</v>
      </c>
    </row>
    <row r="206" spans="1:53">
      <c r="A206" t="s">
        <v>363</v>
      </c>
      <c r="B206" t="s">
        <v>364</v>
      </c>
      <c r="C206">
        <v>24001135</v>
      </c>
      <c r="D206">
        <v>1206</v>
      </c>
      <c r="E206" s="2">
        <v>45327</v>
      </c>
      <c r="F206" t="s">
        <v>365</v>
      </c>
      <c r="G206">
        <v>43.12</v>
      </c>
      <c r="H206">
        <v>43.12</v>
      </c>
      <c r="I206" t="s">
        <v>352</v>
      </c>
      <c r="O206" t="s">
        <v>352</v>
      </c>
      <c r="Q206" t="s">
        <v>352</v>
      </c>
      <c r="R206" t="s">
        <v>366</v>
      </c>
      <c r="T206" t="s">
        <v>354</v>
      </c>
      <c r="U206" t="s">
        <v>355</v>
      </c>
      <c r="V206" t="s">
        <v>367</v>
      </c>
      <c r="W206" t="s">
        <v>368</v>
      </c>
      <c r="X206">
        <v>2098090</v>
      </c>
      <c r="Y206" s="2">
        <v>45327</v>
      </c>
      <c r="Z206" t="s">
        <v>352</v>
      </c>
      <c r="AA206">
        <v>20</v>
      </c>
      <c r="AB206" t="s">
        <v>352</v>
      </c>
      <c r="AD206" t="s">
        <v>352</v>
      </c>
      <c r="AE206" t="s">
        <v>352</v>
      </c>
      <c r="AF206" t="s">
        <v>352</v>
      </c>
      <c r="AG206">
        <v>1</v>
      </c>
      <c r="AH206" t="s">
        <v>352</v>
      </c>
      <c r="AL206" t="s">
        <v>352</v>
      </c>
      <c r="AM206" s="2">
        <v>45327</v>
      </c>
      <c r="AN206" t="s">
        <v>386</v>
      </c>
      <c r="AO206" t="s">
        <v>386</v>
      </c>
      <c r="AP206">
        <v>1206</v>
      </c>
      <c r="AQ206" t="s">
        <v>360</v>
      </c>
      <c r="AR206">
        <v>190655</v>
      </c>
      <c r="AU206" t="s">
        <v>352</v>
      </c>
      <c r="AV206" t="s">
        <v>362</v>
      </c>
      <c r="AX206" t="s">
        <v>352</v>
      </c>
      <c r="AY206">
        <v>631110</v>
      </c>
      <c r="AZ206">
        <v>1206.63111</v>
      </c>
      <c r="BA206" s="54" t="s">
        <v>333</v>
      </c>
    </row>
    <row r="207" spans="1:53">
      <c r="A207" t="s">
        <v>363</v>
      </c>
      <c r="B207" t="s">
        <v>364</v>
      </c>
      <c r="C207">
        <v>24001124</v>
      </c>
      <c r="D207">
        <v>1206</v>
      </c>
      <c r="E207" s="2">
        <v>45323</v>
      </c>
      <c r="F207" t="s">
        <v>546</v>
      </c>
      <c r="G207">
        <v>3.48</v>
      </c>
      <c r="H207">
        <v>3.48</v>
      </c>
      <c r="I207" t="s">
        <v>351</v>
      </c>
      <c r="O207" t="s">
        <v>352</v>
      </c>
      <c r="Q207" t="s">
        <v>352</v>
      </c>
      <c r="R207" t="s">
        <v>366</v>
      </c>
      <c r="T207" t="s">
        <v>354</v>
      </c>
      <c r="U207" t="s">
        <v>355</v>
      </c>
      <c r="V207" t="s">
        <v>367</v>
      </c>
      <c r="W207" t="s">
        <v>368</v>
      </c>
      <c r="X207">
        <v>2097659</v>
      </c>
      <c r="Y207" s="2">
        <v>45324</v>
      </c>
      <c r="Z207" t="s">
        <v>352</v>
      </c>
      <c r="AA207">
        <v>2</v>
      </c>
      <c r="AB207" t="s">
        <v>352</v>
      </c>
      <c r="AD207" t="s">
        <v>352</v>
      </c>
      <c r="AE207" t="s">
        <v>352</v>
      </c>
      <c r="AF207" t="s">
        <v>352</v>
      </c>
      <c r="AG207">
        <v>2</v>
      </c>
      <c r="AH207" t="s">
        <v>352</v>
      </c>
      <c r="AL207" t="s">
        <v>352</v>
      </c>
      <c r="AM207" s="2">
        <v>45323</v>
      </c>
      <c r="AN207" t="s">
        <v>547</v>
      </c>
      <c r="AO207" t="s">
        <v>359</v>
      </c>
      <c r="AP207">
        <v>1206</v>
      </c>
      <c r="AQ207" t="s">
        <v>360</v>
      </c>
      <c r="AR207">
        <v>276660</v>
      </c>
      <c r="AU207" t="s">
        <v>352</v>
      </c>
      <c r="AV207" t="s">
        <v>362</v>
      </c>
      <c r="AX207" t="s">
        <v>352</v>
      </c>
      <c r="AY207">
        <v>631180</v>
      </c>
      <c r="AZ207">
        <v>1206.6311800000001</v>
      </c>
      <c r="BA207" s="54" t="s">
        <v>336</v>
      </c>
    </row>
    <row r="208" spans="1:53">
      <c r="A208" t="s">
        <v>363</v>
      </c>
      <c r="B208" t="s">
        <v>364</v>
      </c>
      <c r="C208">
        <v>24001125</v>
      </c>
      <c r="D208">
        <v>1206</v>
      </c>
      <c r="E208" s="2">
        <v>45323</v>
      </c>
      <c r="F208" t="s">
        <v>548</v>
      </c>
      <c r="G208">
        <v>1.53</v>
      </c>
      <c r="H208">
        <v>1.53</v>
      </c>
      <c r="I208" t="s">
        <v>351</v>
      </c>
      <c r="O208" t="s">
        <v>352</v>
      </c>
      <c r="Q208" t="s">
        <v>352</v>
      </c>
      <c r="R208" t="s">
        <v>366</v>
      </c>
      <c r="T208" t="s">
        <v>354</v>
      </c>
      <c r="U208" t="s">
        <v>355</v>
      </c>
      <c r="V208" t="s">
        <v>367</v>
      </c>
      <c r="W208" t="s">
        <v>368</v>
      </c>
      <c r="X208">
        <v>2097671</v>
      </c>
      <c r="Y208" s="2">
        <v>45324</v>
      </c>
      <c r="Z208" t="s">
        <v>352</v>
      </c>
      <c r="AA208">
        <v>2</v>
      </c>
      <c r="AB208" t="s">
        <v>352</v>
      </c>
      <c r="AD208" t="s">
        <v>352</v>
      </c>
      <c r="AE208" t="s">
        <v>352</v>
      </c>
      <c r="AF208" t="s">
        <v>352</v>
      </c>
      <c r="AG208">
        <v>5</v>
      </c>
      <c r="AH208" t="s">
        <v>352</v>
      </c>
      <c r="AL208" t="s">
        <v>352</v>
      </c>
      <c r="AM208" s="2">
        <v>45323</v>
      </c>
      <c r="AN208" t="s">
        <v>547</v>
      </c>
      <c r="AO208" t="s">
        <v>359</v>
      </c>
      <c r="AP208">
        <v>1206</v>
      </c>
      <c r="AQ208" t="s">
        <v>360</v>
      </c>
      <c r="AR208">
        <v>76741</v>
      </c>
      <c r="AU208" t="s">
        <v>352</v>
      </c>
      <c r="AV208" t="s">
        <v>362</v>
      </c>
      <c r="AX208" t="s">
        <v>352</v>
      </c>
      <c r="AY208">
        <v>631180</v>
      </c>
      <c r="AZ208">
        <v>1206.6311800000001</v>
      </c>
      <c r="BA208" s="54" t="s">
        <v>336</v>
      </c>
    </row>
    <row r="209" spans="1:53">
      <c r="A209" t="s">
        <v>363</v>
      </c>
      <c r="B209" t="s">
        <v>364</v>
      </c>
      <c r="C209">
        <v>24001127</v>
      </c>
      <c r="D209">
        <v>1206</v>
      </c>
      <c r="E209" s="2">
        <v>45323</v>
      </c>
      <c r="F209" t="s">
        <v>549</v>
      </c>
      <c r="G209">
        <v>2.34</v>
      </c>
      <c r="H209">
        <v>2.34</v>
      </c>
      <c r="I209" t="s">
        <v>351</v>
      </c>
      <c r="O209" t="s">
        <v>352</v>
      </c>
      <c r="Q209" t="s">
        <v>352</v>
      </c>
      <c r="R209" t="s">
        <v>366</v>
      </c>
      <c r="T209" t="s">
        <v>354</v>
      </c>
      <c r="U209" t="s">
        <v>355</v>
      </c>
      <c r="V209" t="s">
        <v>367</v>
      </c>
      <c r="W209" t="s">
        <v>368</v>
      </c>
      <c r="X209">
        <v>2097675</v>
      </c>
      <c r="Y209" s="2">
        <v>45324</v>
      </c>
      <c r="Z209" t="s">
        <v>352</v>
      </c>
      <c r="AA209">
        <v>2</v>
      </c>
      <c r="AB209" t="s">
        <v>352</v>
      </c>
      <c r="AD209" t="s">
        <v>352</v>
      </c>
      <c r="AE209" t="s">
        <v>352</v>
      </c>
      <c r="AF209" t="s">
        <v>352</v>
      </c>
      <c r="AG209">
        <v>15</v>
      </c>
      <c r="AH209" t="s">
        <v>352</v>
      </c>
      <c r="AL209" t="s">
        <v>352</v>
      </c>
      <c r="AM209" s="2">
        <v>45323</v>
      </c>
      <c r="AN209" t="s">
        <v>547</v>
      </c>
      <c r="AO209" t="s">
        <v>359</v>
      </c>
      <c r="AP209">
        <v>1206</v>
      </c>
      <c r="AQ209" t="s">
        <v>360</v>
      </c>
      <c r="AR209">
        <v>79248</v>
      </c>
      <c r="AU209" t="s">
        <v>352</v>
      </c>
      <c r="AV209" t="s">
        <v>362</v>
      </c>
      <c r="AX209" t="s">
        <v>352</v>
      </c>
      <c r="AY209">
        <v>631180</v>
      </c>
      <c r="AZ209">
        <v>1206.6311800000001</v>
      </c>
      <c r="BA209" s="54" t="s">
        <v>336</v>
      </c>
    </row>
    <row r="210" spans="1:53">
      <c r="A210" t="s">
        <v>363</v>
      </c>
      <c r="B210" t="s">
        <v>364</v>
      </c>
      <c r="C210">
        <v>24001130</v>
      </c>
      <c r="D210">
        <v>1206</v>
      </c>
      <c r="E210" s="2">
        <v>45323</v>
      </c>
      <c r="F210" t="s">
        <v>387</v>
      </c>
      <c r="G210">
        <v>12.48</v>
      </c>
      <c r="H210">
        <v>12.48</v>
      </c>
      <c r="I210" t="s">
        <v>351</v>
      </c>
      <c r="O210" t="s">
        <v>352</v>
      </c>
      <c r="Q210" t="s">
        <v>352</v>
      </c>
      <c r="R210" t="s">
        <v>366</v>
      </c>
      <c r="T210" t="s">
        <v>354</v>
      </c>
      <c r="U210" t="s">
        <v>355</v>
      </c>
      <c r="V210" t="s">
        <v>367</v>
      </c>
      <c r="W210" t="s">
        <v>368</v>
      </c>
      <c r="X210">
        <v>2097683</v>
      </c>
      <c r="Y210" s="2">
        <v>45324</v>
      </c>
      <c r="Z210" t="s">
        <v>352</v>
      </c>
      <c r="AA210">
        <v>2</v>
      </c>
      <c r="AB210" t="s">
        <v>352</v>
      </c>
      <c r="AD210" t="s">
        <v>352</v>
      </c>
      <c r="AE210" t="s">
        <v>352</v>
      </c>
      <c r="AF210" t="s">
        <v>352</v>
      </c>
      <c r="AG210">
        <v>20</v>
      </c>
      <c r="AH210" t="s">
        <v>352</v>
      </c>
      <c r="AL210" t="s">
        <v>352</v>
      </c>
      <c r="AM210" s="2">
        <v>45323</v>
      </c>
      <c r="AN210" t="s">
        <v>547</v>
      </c>
      <c r="AO210" t="s">
        <v>359</v>
      </c>
      <c r="AP210">
        <v>1206</v>
      </c>
      <c r="AQ210" t="s">
        <v>360</v>
      </c>
      <c r="AR210">
        <v>253820</v>
      </c>
      <c r="AU210" t="s">
        <v>352</v>
      </c>
      <c r="AV210" t="s">
        <v>362</v>
      </c>
      <c r="AX210" t="s">
        <v>352</v>
      </c>
      <c r="AY210">
        <v>631180</v>
      </c>
      <c r="AZ210">
        <v>1206.6311800000001</v>
      </c>
      <c r="BA210" s="54" t="s">
        <v>336</v>
      </c>
    </row>
    <row r="211" spans="1:53">
      <c r="A211" t="s">
        <v>363</v>
      </c>
      <c r="B211" t="s">
        <v>364</v>
      </c>
      <c r="C211">
        <v>24001130</v>
      </c>
      <c r="D211">
        <v>1206</v>
      </c>
      <c r="E211" s="2">
        <v>45323</v>
      </c>
      <c r="F211" t="s">
        <v>387</v>
      </c>
      <c r="G211">
        <v>12.48</v>
      </c>
      <c r="H211">
        <v>12.48</v>
      </c>
      <c r="I211" t="s">
        <v>351</v>
      </c>
      <c r="O211" t="s">
        <v>352</v>
      </c>
      <c r="Q211" t="s">
        <v>352</v>
      </c>
      <c r="R211" t="s">
        <v>366</v>
      </c>
      <c r="T211" t="s">
        <v>354</v>
      </c>
      <c r="U211" t="s">
        <v>355</v>
      </c>
      <c r="V211" t="s">
        <v>367</v>
      </c>
      <c r="W211" t="s">
        <v>368</v>
      </c>
      <c r="X211">
        <v>2097683</v>
      </c>
      <c r="Y211" s="2">
        <v>45324</v>
      </c>
      <c r="Z211" t="s">
        <v>352</v>
      </c>
      <c r="AA211">
        <v>4</v>
      </c>
      <c r="AB211" t="s">
        <v>352</v>
      </c>
      <c r="AD211" t="s">
        <v>352</v>
      </c>
      <c r="AE211" t="s">
        <v>352</v>
      </c>
      <c r="AF211" t="s">
        <v>352</v>
      </c>
      <c r="AG211">
        <v>20</v>
      </c>
      <c r="AH211" t="s">
        <v>352</v>
      </c>
      <c r="AL211" t="s">
        <v>352</v>
      </c>
      <c r="AM211" s="2">
        <v>45323</v>
      </c>
      <c r="AN211" t="s">
        <v>547</v>
      </c>
      <c r="AO211" t="s">
        <v>359</v>
      </c>
      <c r="AP211">
        <v>1206</v>
      </c>
      <c r="AQ211" t="s">
        <v>360</v>
      </c>
      <c r="AR211">
        <v>253820</v>
      </c>
      <c r="AU211" t="s">
        <v>352</v>
      </c>
      <c r="AV211" t="s">
        <v>362</v>
      </c>
      <c r="AX211" t="s">
        <v>352</v>
      </c>
      <c r="AY211">
        <v>631180</v>
      </c>
      <c r="AZ211">
        <v>1206.6311800000001</v>
      </c>
      <c r="BA211" s="54" t="s">
        <v>336</v>
      </c>
    </row>
    <row r="212" spans="1:53">
      <c r="A212" t="s">
        <v>363</v>
      </c>
      <c r="B212" t="s">
        <v>364</v>
      </c>
      <c r="C212">
        <v>24001130</v>
      </c>
      <c r="D212">
        <v>1206</v>
      </c>
      <c r="E212" s="2">
        <v>45323</v>
      </c>
      <c r="F212" t="s">
        <v>387</v>
      </c>
      <c r="G212">
        <v>30.55</v>
      </c>
      <c r="H212">
        <v>30.55</v>
      </c>
      <c r="I212" t="s">
        <v>351</v>
      </c>
      <c r="O212" t="s">
        <v>352</v>
      </c>
      <c r="Q212" t="s">
        <v>352</v>
      </c>
      <c r="R212" t="s">
        <v>366</v>
      </c>
      <c r="T212" t="s">
        <v>354</v>
      </c>
      <c r="U212" t="s">
        <v>355</v>
      </c>
      <c r="V212" t="s">
        <v>367</v>
      </c>
      <c r="W212" t="s">
        <v>368</v>
      </c>
      <c r="X212">
        <v>2097683</v>
      </c>
      <c r="Y212" s="2">
        <v>45324</v>
      </c>
      <c r="Z212" t="s">
        <v>352</v>
      </c>
      <c r="AA212">
        <v>6</v>
      </c>
      <c r="AB212" t="s">
        <v>352</v>
      </c>
      <c r="AD212" t="s">
        <v>352</v>
      </c>
      <c r="AE212" t="s">
        <v>352</v>
      </c>
      <c r="AF212" t="s">
        <v>352</v>
      </c>
      <c r="AG212">
        <v>180</v>
      </c>
      <c r="AH212" t="s">
        <v>352</v>
      </c>
      <c r="AL212" t="s">
        <v>352</v>
      </c>
      <c r="AM212" s="2">
        <v>45323</v>
      </c>
      <c r="AN212" t="s">
        <v>547</v>
      </c>
      <c r="AO212" t="s">
        <v>359</v>
      </c>
      <c r="AP212">
        <v>1206</v>
      </c>
      <c r="AQ212" t="s">
        <v>360</v>
      </c>
      <c r="AR212">
        <v>79293</v>
      </c>
      <c r="AU212" t="s">
        <v>352</v>
      </c>
      <c r="AV212" t="s">
        <v>362</v>
      </c>
      <c r="AX212" t="s">
        <v>352</v>
      </c>
      <c r="AY212">
        <v>631180</v>
      </c>
      <c r="AZ212">
        <v>1206.6311800000001</v>
      </c>
      <c r="BA212" s="54" t="s">
        <v>336</v>
      </c>
    </row>
    <row r="213" spans="1:53">
      <c r="A213" t="s">
        <v>363</v>
      </c>
      <c r="B213" t="s">
        <v>364</v>
      </c>
      <c r="C213">
        <v>24001130</v>
      </c>
      <c r="D213">
        <v>1206</v>
      </c>
      <c r="E213" s="2">
        <v>45323</v>
      </c>
      <c r="F213" t="s">
        <v>387</v>
      </c>
      <c r="G213">
        <v>9.18</v>
      </c>
      <c r="H213">
        <v>9.18</v>
      </c>
      <c r="I213" t="s">
        <v>351</v>
      </c>
      <c r="O213" t="s">
        <v>352</v>
      </c>
      <c r="Q213" t="s">
        <v>352</v>
      </c>
      <c r="R213" t="s">
        <v>366</v>
      </c>
      <c r="T213" t="s">
        <v>354</v>
      </c>
      <c r="U213" t="s">
        <v>355</v>
      </c>
      <c r="V213" t="s">
        <v>367</v>
      </c>
      <c r="W213" t="s">
        <v>368</v>
      </c>
      <c r="X213">
        <v>2097683</v>
      </c>
      <c r="Y213" s="2">
        <v>45324</v>
      </c>
      <c r="Z213" t="s">
        <v>352</v>
      </c>
      <c r="AA213">
        <v>8</v>
      </c>
      <c r="AB213" t="s">
        <v>352</v>
      </c>
      <c r="AD213" t="s">
        <v>352</v>
      </c>
      <c r="AE213" t="s">
        <v>352</v>
      </c>
      <c r="AF213" t="s">
        <v>352</v>
      </c>
      <c r="AG213">
        <v>20</v>
      </c>
      <c r="AH213" t="s">
        <v>352</v>
      </c>
      <c r="AL213" t="s">
        <v>352</v>
      </c>
      <c r="AM213" s="2">
        <v>45323</v>
      </c>
      <c r="AN213" t="s">
        <v>547</v>
      </c>
      <c r="AO213" t="s">
        <v>359</v>
      </c>
      <c r="AP213">
        <v>1206</v>
      </c>
      <c r="AQ213" t="s">
        <v>360</v>
      </c>
      <c r="AR213">
        <v>220249</v>
      </c>
      <c r="AU213" t="s">
        <v>352</v>
      </c>
      <c r="AV213" t="s">
        <v>362</v>
      </c>
      <c r="AX213" t="s">
        <v>352</v>
      </c>
      <c r="AY213">
        <v>631180</v>
      </c>
      <c r="AZ213">
        <v>1206.6311800000001</v>
      </c>
      <c r="BA213" s="54" t="s">
        <v>336</v>
      </c>
    </row>
    <row r="214" spans="1:53">
      <c r="A214" t="s">
        <v>363</v>
      </c>
      <c r="B214" t="s">
        <v>364</v>
      </c>
      <c r="C214">
        <v>24001130</v>
      </c>
      <c r="D214">
        <v>1206</v>
      </c>
      <c r="E214" s="2">
        <v>45323</v>
      </c>
      <c r="F214" t="s">
        <v>387</v>
      </c>
      <c r="G214">
        <v>9.18</v>
      </c>
      <c r="H214">
        <v>9.18</v>
      </c>
      <c r="I214" t="s">
        <v>351</v>
      </c>
      <c r="O214" t="s">
        <v>352</v>
      </c>
      <c r="Q214" t="s">
        <v>352</v>
      </c>
      <c r="R214" t="s">
        <v>366</v>
      </c>
      <c r="T214" t="s">
        <v>354</v>
      </c>
      <c r="U214" t="s">
        <v>355</v>
      </c>
      <c r="V214" t="s">
        <v>367</v>
      </c>
      <c r="W214" t="s">
        <v>368</v>
      </c>
      <c r="X214">
        <v>2097683</v>
      </c>
      <c r="Y214" s="2">
        <v>45324</v>
      </c>
      <c r="Z214" t="s">
        <v>352</v>
      </c>
      <c r="AA214">
        <v>10</v>
      </c>
      <c r="AB214" t="s">
        <v>352</v>
      </c>
      <c r="AD214" t="s">
        <v>352</v>
      </c>
      <c r="AE214" t="s">
        <v>352</v>
      </c>
      <c r="AF214" t="s">
        <v>352</v>
      </c>
      <c r="AG214">
        <v>20</v>
      </c>
      <c r="AH214" t="s">
        <v>352</v>
      </c>
      <c r="AL214" t="s">
        <v>352</v>
      </c>
      <c r="AM214" s="2">
        <v>45323</v>
      </c>
      <c r="AN214" t="s">
        <v>547</v>
      </c>
      <c r="AO214" t="s">
        <v>359</v>
      </c>
      <c r="AP214">
        <v>1206</v>
      </c>
      <c r="AQ214" t="s">
        <v>360</v>
      </c>
      <c r="AR214">
        <v>220249</v>
      </c>
      <c r="AU214" t="s">
        <v>352</v>
      </c>
      <c r="AV214" t="s">
        <v>362</v>
      </c>
      <c r="AX214" t="s">
        <v>352</v>
      </c>
      <c r="AY214">
        <v>631180</v>
      </c>
      <c r="AZ214">
        <v>1206.6311800000001</v>
      </c>
      <c r="BA214" s="54" t="s">
        <v>336</v>
      </c>
    </row>
    <row r="215" spans="1:53">
      <c r="A215" t="s">
        <v>363</v>
      </c>
      <c r="B215" t="s">
        <v>364</v>
      </c>
      <c r="C215">
        <v>24001130</v>
      </c>
      <c r="D215">
        <v>1206</v>
      </c>
      <c r="E215" s="2">
        <v>45323</v>
      </c>
      <c r="F215" t="s">
        <v>387</v>
      </c>
      <c r="G215">
        <v>37.14</v>
      </c>
      <c r="H215">
        <v>37.14</v>
      </c>
      <c r="I215" t="s">
        <v>351</v>
      </c>
      <c r="O215" t="s">
        <v>352</v>
      </c>
      <c r="Q215" t="s">
        <v>352</v>
      </c>
      <c r="R215" t="s">
        <v>366</v>
      </c>
      <c r="T215" t="s">
        <v>354</v>
      </c>
      <c r="U215" t="s">
        <v>355</v>
      </c>
      <c r="V215" t="s">
        <v>367</v>
      </c>
      <c r="W215" t="s">
        <v>368</v>
      </c>
      <c r="X215">
        <v>2097683</v>
      </c>
      <c r="Y215" s="2">
        <v>45324</v>
      </c>
      <c r="Z215" t="s">
        <v>352</v>
      </c>
      <c r="AA215">
        <v>12</v>
      </c>
      <c r="AB215" t="s">
        <v>352</v>
      </c>
      <c r="AD215" t="s">
        <v>352</v>
      </c>
      <c r="AE215" t="s">
        <v>352</v>
      </c>
      <c r="AF215" t="s">
        <v>352</v>
      </c>
      <c r="AG215">
        <v>25</v>
      </c>
      <c r="AH215" t="s">
        <v>352</v>
      </c>
      <c r="AL215" t="s">
        <v>352</v>
      </c>
      <c r="AM215" s="2">
        <v>45323</v>
      </c>
      <c r="AN215" t="s">
        <v>547</v>
      </c>
      <c r="AO215" t="s">
        <v>359</v>
      </c>
      <c r="AP215">
        <v>1206</v>
      </c>
      <c r="AQ215" t="s">
        <v>360</v>
      </c>
      <c r="AR215">
        <v>149711</v>
      </c>
      <c r="AU215" t="s">
        <v>352</v>
      </c>
      <c r="AV215" t="s">
        <v>362</v>
      </c>
      <c r="AX215" t="s">
        <v>352</v>
      </c>
      <c r="AY215">
        <v>631180</v>
      </c>
      <c r="AZ215">
        <v>1206.6311800000001</v>
      </c>
      <c r="BA215" s="54" t="s">
        <v>336</v>
      </c>
    </row>
    <row r="216" spans="1:53">
      <c r="A216" t="s">
        <v>363</v>
      </c>
      <c r="B216" t="s">
        <v>364</v>
      </c>
      <c r="C216">
        <v>24001126</v>
      </c>
      <c r="D216">
        <v>1206</v>
      </c>
      <c r="E216" s="2">
        <v>45324</v>
      </c>
      <c r="F216" t="s">
        <v>548</v>
      </c>
      <c r="G216">
        <v>0.92</v>
      </c>
      <c r="H216">
        <v>0.92</v>
      </c>
      <c r="I216" t="s">
        <v>351</v>
      </c>
      <c r="O216" t="s">
        <v>352</v>
      </c>
      <c r="Q216" t="s">
        <v>352</v>
      </c>
      <c r="R216" t="s">
        <v>366</v>
      </c>
      <c r="T216" t="s">
        <v>354</v>
      </c>
      <c r="U216" t="s">
        <v>355</v>
      </c>
      <c r="V216" t="s">
        <v>367</v>
      </c>
      <c r="W216" t="s">
        <v>368</v>
      </c>
      <c r="X216">
        <v>2097674</v>
      </c>
      <c r="Y216" s="2">
        <v>45324</v>
      </c>
      <c r="Z216" t="s">
        <v>352</v>
      </c>
      <c r="AA216">
        <v>2</v>
      </c>
      <c r="AB216" t="s">
        <v>352</v>
      </c>
      <c r="AD216" t="s">
        <v>352</v>
      </c>
      <c r="AE216" t="s">
        <v>352</v>
      </c>
      <c r="AF216" t="s">
        <v>352</v>
      </c>
      <c r="AG216">
        <v>3</v>
      </c>
      <c r="AH216" t="s">
        <v>352</v>
      </c>
      <c r="AL216" t="s">
        <v>352</v>
      </c>
      <c r="AM216" s="2">
        <v>45324</v>
      </c>
      <c r="AN216" t="s">
        <v>547</v>
      </c>
      <c r="AO216" t="s">
        <v>359</v>
      </c>
      <c r="AP216">
        <v>1206</v>
      </c>
      <c r="AQ216" t="s">
        <v>360</v>
      </c>
      <c r="AR216">
        <v>76741</v>
      </c>
      <c r="AU216" t="s">
        <v>352</v>
      </c>
      <c r="AV216" t="s">
        <v>362</v>
      </c>
      <c r="AX216" t="s">
        <v>352</v>
      </c>
      <c r="AY216">
        <v>631180</v>
      </c>
      <c r="AZ216">
        <v>1206.6311800000001</v>
      </c>
      <c r="BA216" s="54" t="s">
        <v>336</v>
      </c>
    </row>
    <row r="217" spans="1:53">
      <c r="A217" t="s">
        <v>363</v>
      </c>
      <c r="B217" t="s">
        <v>364</v>
      </c>
      <c r="C217">
        <v>24001128</v>
      </c>
      <c r="D217">
        <v>1206</v>
      </c>
      <c r="E217" s="2">
        <v>45324</v>
      </c>
      <c r="F217" t="s">
        <v>549</v>
      </c>
      <c r="G217">
        <v>2.4900000000000002</v>
      </c>
      <c r="H217">
        <v>2.4900000000000002</v>
      </c>
      <c r="I217" t="s">
        <v>351</v>
      </c>
      <c r="O217" t="s">
        <v>352</v>
      </c>
      <c r="Q217" t="s">
        <v>352</v>
      </c>
      <c r="R217" t="s">
        <v>366</v>
      </c>
      <c r="T217" t="s">
        <v>354</v>
      </c>
      <c r="U217" t="s">
        <v>355</v>
      </c>
      <c r="V217" t="s">
        <v>367</v>
      </c>
      <c r="W217" t="s">
        <v>368</v>
      </c>
      <c r="X217">
        <v>2097678</v>
      </c>
      <c r="Y217" s="2">
        <v>45324</v>
      </c>
      <c r="Z217" t="s">
        <v>352</v>
      </c>
      <c r="AA217">
        <v>2</v>
      </c>
      <c r="AB217" t="s">
        <v>352</v>
      </c>
      <c r="AD217" t="s">
        <v>352</v>
      </c>
      <c r="AE217" t="s">
        <v>352</v>
      </c>
      <c r="AF217" t="s">
        <v>352</v>
      </c>
      <c r="AG217">
        <v>16</v>
      </c>
      <c r="AH217" t="s">
        <v>352</v>
      </c>
      <c r="AL217" t="s">
        <v>352</v>
      </c>
      <c r="AM217" s="2">
        <v>45324</v>
      </c>
      <c r="AN217" t="s">
        <v>547</v>
      </c>
      <c r="AO217" t="s">
        <v>359</v>
      </c>
      <c r="AP217">
        <v>1206</v>
      </c>
      <c r="AQ217" t="s">
        <v>360</v>
      </c>
      <c r="AR217">
        <v>79248</v>
      </c>
      <c r="AU217" t="s">
        <v>352</v>
      </c>
      <c r="AV217" t="s">
        <v>362</v>
      </c>
      <c r="AX217" t="s">
        <v>352</v>
      </c>
      <c r="AY217">
        <v>631180</v>
      </c>
      <c r="AZ217">
        <v>1206.6311800000001</v>
      </c>
      <c r="BA217" s="54" t="s">
        <v>336</v>
      </c>
    </row>
    <row r="218" spans="1:53">
      <c r="A218" t="s">
        <v>363</v>
      </c>
      <c r="B218" t="s">
        <v>364</v>
      </c>
      <c r="C218">
        <v>24001129</v>
      </c>
      <c r="D218">
        <v>1206</v>
      </c>
      <c r="E218" s="2">
        <v>45324</v>
      </c>
      <c r="F218" t="s">
        <v>550</v>
      </c>
      <c r="G218">
        <v>2.38</v>
      </c>
      <c r="H218">
        <v>2.38</v>
      </c>
      <c r="I218" t="s">
        <v>351</v>
      </c>
      <c r="O218" t="s">
        <v>352</v>
      </c>
      <c r="Q218" t="s">
        <v>352</v>
      </c>
      <c r="R218" t="s">
        <v>366</v>
      </c>
      <c r="T218" t="s">
        <v>354</v>
      </c>
      <c r="U218" t="s">
        <v>355</v>
      </c>
      <c r="V218" t="s">
        <v>367</v>
      </c>
      <c r="W218" t="s">
        <v>368</v>
      </c>
      <c r="X218">
        <v>2097681</v>
      </c>
      <c r="Y218" s="2">
        <v>45324</v>
      </c>
      <c r="Z218" t="s">
        <v>352</v>
      </c>
      <c r="AA218">
        <v>2</v>
      </c>
      <c r="AB218" t="s">
        <v>352</v>
      </c>
      <c r="AD218" t="s">
        <v>352</v>
      </c>
      <c r="AE218" t="s">
        <v>352</v>
      </c>
      <c r="AF218" t="s">
        <v>352</v>
      </c>
      <c r="AG218">
        <v>6</v>
      </c>
      <c r="AH218" t="s">
        <v>352</v>
      </c>
      <c r="AL218" t="s">
        <v>352</v>
      </c>
      <c r="AM218" s="2">
        <v>45324</v>
      </c>
      <c r="AN218" t="s">
        <v>547</v>
      </c>
      <c r="AO218" t="s">
        <v>359</v>
      </c>
      <c r="AP218">
        <v>1206</v>
      </c>
      <c r="AQ218" t="s">
        <v>360</v>
      </c>
      <c r="AR218">
        <v>79280</v>
      </c>
      <c r="AU218" t="s">
        <v>352</v>
      </c>
      <c r="AV218" t="s">
        <v>362</v>
      </c>
      <c r="AX218" t="s">
        <v>352</v>
      </c>
      <c r="AY218">
        <v>631180</v>
      </c>
      <c r="AZ218">
        <v>1206.6311800000001</v>
      </c>
      <c r="BA218" s="54" t="s">
        <v>336</v>
      </c>
    </row>
    <row r="219" spans="1:53">
      <c r="A219" t="s">
        <v>363</v>
      </c>
      <c r="B219" t="s">
        <v>364</v>
      </c>
      <c r="C219">
        <v>24001131</v>
      </c>
      <c r="D219">
        <v>1206</v>
      </c>
      <c r="E219" s="2">
        <v>45324</v>
      </c>
      <c r="F219" t="s">
        <v>387</v>
      </c>
      <c r="G219">
        <v>12.48</v>
      </c>
      <c r="H219">
        <v>12.48</v>
      </c>
      <c r="I219" t="s">
        <v>351</v>
      </c>
      <c r="O219" t="s">
        <v>352</v>
      </c>
      <c r="Q219" t="s">
        <v>352</v>
      </c>
      <c r="R219" t="s">
        <v>366</v>
      </c>
      <c r="T219" t="s">
        <v>354</v>
      </c>
      <c r="U219" t="s">
        <v>355</v>
      </c>
      <c r="V219" t="s">
        <v>367</v>
      </c>
      <c r="W219" t="s">
        <v>368</v>
      </c>
      <c r="X219">
        <v>2097687</v>
      </c>
      <c r="Y219" s="2">
        <v>45324</v>
      </c>
      <c r="Z219" t="s">
        <v>352</v>
      </c>
      <c r="AA219">
        <v>2</v>
      </c>
      <c r="AB219" t="s">
        <v>352</v>
      </c>
      <c r="AD219" t="s">
        <v>352</v>
      </c>
      <c r="AE219" t="s">
        <v>352</v>
      </c>
      <c r="AF219" t="s">
        <v>352</v>
      </c>
      <c r="AG219">
        <v>20</v>
      </c>
      <c r="AH219" t="s">
        <v>352</v>
      </c>
      <c r="AL219" t="s">
        <v>352</v>
      </c>
      <c r="AM219" s="2">
        <v>45324</v>
      </c>
      <c r="AN219" t="s">
        <v>547</v>
      </c>
      <c r="AO219" t="s">
        <v>359</v>
      </c>
      <c r="AP219">
        <v>1206</v>
      </c>
      <c r="AQ219" t="s">
        <v>360</v>
      </c>
      <c r="AR219">
        <v>253820</v>
      </c>
      <c r="AU219" t="s">
        <v>352</v>
      </c>
      <c r="AV219" t="s">
        <v>362</v>
      </c>
      <c r="AX219" t="s">
        <v>352</v>
      </c>
      <c r="AY219">
        <v>631180</v>
      </c>
      <c r="AZ219">
        <v>1206.6311800000001</v>
      </c>
      <c r="BA219" s="54" t="s">
        <v>336</v>
      </c>
    </row>
    <row r="220" spans="1:53">
      <c r="A220" t="s">
        <v>363</v>
      </c>
      <c r="B220" t="s">
        <v>364</v>
      </c>
      <c r="C220">
        <v>24001131</v>
      </c>
      <c r="D220">
        <v>1206</v>
      </c>
      <c r="E220" s="2">
        <v>45324</v>
      </c>
      <c r="F220" t="s">
        <v>387</v>
      </c>
      <c r="G220">
        <v>12.48</v>
      </c>
      <c r="H220">
        <v>12.48</v>
      </c>
      <c r="I220" t="s">
        <v>351</v>
      </c>
      <c r="O220" t="s">
        <v>352</v>
      </c>
      <c r="Q220" t="s">
        <v>352</v>
      </c>
      <c r="R220" t="s">
        <v>366</v>
      </c>
      <c r="T220" t="s">
        <v>354</v>
      </c>
      <c r="U220" t="s">
        <v>355</v>
      </c>
      <c r="V220" t="s">
        <v>367</v>
      </c>
      <c r="W220" t="s">
        <v>368</v>
      </c>
      <c r="X220">
        <v>2097687</v>
      </c>
      <c r="Y220" s="2">
        <v>45324</v>
      </c>
      <c r="Z220" t="s">
        <v>352</v>
      </c>
      <c r="AA220">
        <v>4</v>
      </c>
      <c r="AB220" t="s">
        <v>352</v>
      </c>
      <c r="AD220" t="s">
        <v>352</v>
      </c>
      <c r="AE220" t="s">
        <v>352</v>
      </c>
      <c r="AF220" t="s">
        <v>352</v>
      </c>
      <c r="AG220">
        <v>20</v>
      </c>
      <c r="AH220" t="s">
        <v>352</v>
      </c>
      <c r="AL220" t="s">
        <v>352</v>
      </c>
      <c r="AM220" s="2">
        <v>45324</v>
      </c>
      <c r="AN220" t="s">
        <v>547</v>
      </c>
      <c r="AO220" t="s">
        <v>359</v>
      </c>
      <c r="AP220">
        <v>1206</v>
      </c>
      <c r="AQ220" t="s">
        <v>360</v>
      </c>
      <c r="AR220">
        <v>253820</v>
      </c>
      <c r="AU220" t="s">
        <v>352</v>
      </c>
      <c r="AV220" t="s">
        <v>362</v>
      </c>
      <c r="AX220" t="s">
        <v>352</v>
      </c>
      <c r="AY220">
        <v>631180</v>
      </c>
      <c r="AZ220">
        <v>1206.6311800000001</v>
      </c>
      <c r="BA220" s="54" t="s">
        <v>336</v>
      </c>
    </row>
    <row r="221" spans="1:53">
      <c r="A221" t="s">
        <v>363</v>
      </c>
      <c r="B221" t="s">
        <v>364</v>
      </c>
      <c r="C221">
        <v>24001131</v>
      </c>
      <c r="D221">
        <v>1206</v>
      </c>
      <c r="E221" s="2">
        <v>45324</v>
      </c>
      <c r="F221" t="s">
        <v>387</v>
      </c>
      <c r="G221">
        <v>9.18</v>
      </c>
      <c r="H221">
        <v>9.18</v>
      </c>
      <c r="I221" t="s">
        <v>351</v>
      </c>
      <c r="O221" t="s">
        <v>352</v>
      </c>
      <c r="Q221" t="s">
        <v>352</v>
      </c>
      <c r="R221" t="s">
        <v>366</v>
      </c>
      <c r="T221" t="s">
        <v>354</v>
      </c>
      <c r="U221" t="s">
        <v>355</v>
      </c>
      <c r="V221" t="s">
        <v>367</v>
      </c>
      <c r="W221" t="s">
        <v>368</v>
      </c>
      <c r="X221">
        <v>2097687</v>
      </c>
      <c r="Y221" s="2">
        <v>45324</v>
      </c>
      <c r="Z221" t="s">
        <v>352</v>
      </c>
      <c r="AA221">
        <v>6</v>
      </c>
      <c r="AB221" t="s">
        <v>352</v>
      </c>
      <c r="AD221" t="s">
        <v>352</v>
      </c>
      <c r="AE221" t="s">
        <v>352</v>
      </c>
      <c r="AF221" t="s">
        <v>352</v>
      </c>
      <c r="AG221">
        <v>20</v>
      </c>
      <c r="AH221" t="s">
        <v>352</v>
      </c>
      <c r="AL221" t="s">
        <v>352</v>
      </c>
      <c r="AM221" s="2">
        <v>45324</v>
      </c>
      <c r="AN221" t="s">
        <v>547</v>
      </c>
      <c r="AO221" t="s">
        <v>359</v>
      </c>
      <c r="AP221">
        <v>1206</v>
      </c>
      <c r="AQ221" t="s">
        <v>360</v>
      </c>
      <c r="AR221">
        <v>220249</v>
      </c>
      <c r="AU221" t="s">
        <v>352</v>
      </c>
      <c r="AV221" t="s">
        <v>362</v>
      </c>
      <c r="AX221" t="s">
        <v>352</v>
      </c>
      <c r="AY221">
        <v>631180</v>
      </c>
      <c r="AZ221">
        <v>1206.6311800000001</v>
      </c>
      <c r="BA221" s="54" t="s">
        <v>336</v>
      </c>
    </row>
    <row r="222" spans="1:53">
      <c r="A222" t="s">
        <v>363</v>
      </c>
      <c r="B222" t="s">
        <v>364</v>
      </c>
      <c r="C222">
        <v>24001131</v>
      </c>
      <c r="D222">
        <v>1206</v>
      </c>
      <c r="E222" s="2">
        <v>45324</v>
      </c>
      <c r="F222" t="s">
        <v>387</v>
      </c>
      <c r="G222">
        <v>8.7200000000000006</v>
      </c>
      <c r="H222">
        <v>8.7200000000000006</v>
      </c>
      <c r="I222" t="s">
        <v>351</v>
      </c>
      <c r="O222" t="s">
        <v>352</v>
      </c>
      <c r="Q222" t="s">
        <v>352</v>
      </c>
      <c r="R222" t="s">
        <v>366</v>
      </c>
      <c r="T222" t="s">
        <v>354</v>
      </c>
      <c r="U222" t="s">
        <v>355</v>
      </c>
      <c r="V222" t="s">
        <v>367</v>
      </c>
      <c r="W222" t="s">
        <v>368</v>
      </c>
      <c r="X222">
        <v>2097687</v>
      </c>
      <c r="Y222" s="2">
        <v>45324</v>
      </c>
      <c r="Z222" t="s">
        <v>352</v>
      </c>
      <c r="AA222">
        <v>8</v>
      </c>
      <c r="AB222" t="s">
        <v>352</v>
      </c>
      <c r="AD222" t="s">
        <v>352</v>
      </c>
      <c r="AE222" t="s">
        <v>352</v>
      </c>
      <c r="AF222" t="s">
        <v>352</v>
      </c>
      <c r="AG222">
        <v>19</v>
      </c>
      <c r="AH222" t="s">
        <v>352</v>
      </c>
      <c r="AL222" t="s">
        <v>352</v>
      </c>
      <c r="AM222" s="2">
        <v>45324</v>
      </c>
      <c r="AN222" t="s">
        <v>547</v>
      </c>
      <c r="AO222" t="s">
        <v>359</v>
      </c>
      <c r="AP222">
        <v>1206</v>
      </c>
      <c r="AQ222" t="s">
        <v>360</v>
      </c>
      <c r="AR222">
        <v>220249</v>
      </c>
      <c r="AU222" t="s">
        <v>352</v>
      </c>
      <c r="AV222" t="s">
        <v>362</v>
      </c>
      <c r="AX222" t="s">
        <v>352</v>
      </c>
      <c r="AY222">
        <v>631180</v>
      </c>
      <c r="AZ222">
        <v>1206.6311800000001</v>
      </c>
      <c r="BA222" s="54" t="s">
        <v>336</v>
      </c>
    </row>
    <row r="223" spans="1:53">
      <c r="A223" t="s">
        <v>363</v>
      </c>
      <c r="B223" t="s">
        <v>364</v>
      </c>
      <c r="C223">
        <v>24001131</v>
      </c>
      <c r="D223">
        <v>1206</v>
      </c>
      <c r="E223" s="2">
        <v>45324</v>
      </c>
      <c r="F223" t="s">
        <v>387</v>
      </c>
      <c r="G223">
        <v>8.7200000000000006</v>
      </c>
      <c r="H223">
        <v>8.7200000000000006</v>
      </c>
      <c r="I223" t="s">
        <v>351</v>
      </c>
      <c r="O223" t="s">
        <v>352</v>
      </c>
      <c r="Q223" t="s">
        <v>352</v>
      </c>
      <c r="R223" t="s">
        <v>366</v>
      </c>
      <c r="T223" t="s">
        <v>354</v>
      </c>
      <c r="U223" t="s">
        <v>355</v>
      </c>
      <c r="V223" t="s">
        <v>367</v>
      </c>
      <c r="W223" t="s">
        <v>368</v>
      </c>
      <c r="X223">
        <v>2097687</v>
      </c>
      <c r="Y223" s="2">
        <v>45324</v>
      </c>
      <c r="Z223" t="s">
        <v>352</v>
      </c>
      <c r="AA223">
        <v>10</v>
      </c>
      <c r="AB223" t="s">
        <v>352</v>
      </c>
      <c r="AD223" t="s">
        <v>352</v>
      </c>
      <c r="AE223" t="s">
        <v>352</v>
      </c>
      <c r="AF223" t="s">
        <v>352</v>
      </c>
      <c r="AG223">
        <v>19</v>
      </c>
      <c r="AH223" t="s">
        <v>352</v>
      </c>
      <c r="AL223" t="s">
        <v>352</v>
      </c>
      <c r="AM223" s="2">
        <v>45324</v>
      </c>
      <c r="AN223" t="s">
        <v>547</v>
      </c>
      <c r="AO223" t="s">
        <v>359</v>
      </c>
      <c r="AP223">
        <v>1206</v>
      </c>
      <c r="AQ223" t="s">
        <v>360</v>
      </c>
      <c r="AR223">
        <v>220249</v>
      </c>
      <c r="AU223" t="s">
        <v>352</v>
      </c>
      <c r="AV223" t="s">
        <v>362</v>
      </c>
      <c r="AX223" t="s">
        <v>352</v>
      </c>
      <c r="AY223">
        <v>631180</v>
      </c>
      <c r="AZ223">
        <v>1206.6311800000001</v>
      </c>
      <c r="BA223" s="54" t="s">
        <v>336</v>
      </c>
    </row>
    <row r="224" spans="1:53">
      <c r="A224" t="s">
        <v>363</v>
      </c>
      <c r="B224" t="s">
        <v>364</v>
      </c>
      <c r="C224">
        <v>24001131</v>
      </c>
      <c r="D224">
        <v>1206</v>
      </c>
      <c r="E224" s="2">
        <v>45324</v>
      </c>
      <c r="F224" t="s">
        <v>387</v>
      </c>
      <c r="G224">
        <v>15.27</v>
      </c>
      <c r="H224">
        <v>15.27</v>
      </c>
      <c r="I224" t="s">
        <v>351</v>
      </c>
      <c r="O224" t="s">
        <v>352</v>
      </c>
      <c r="Q224" t="s">
        <v>352</v>
      </c>
      <c r="R224" t="s">
        <v>366</v>
      </c>
      <c r="T224" t="s">
        <v>354</v>
      </c>
      <c r="U224" t="s">
        <v>355</v>
      </c>
      <c r="V224" t="s">
        <v>367</v>
      </c>
      <c r="W224" t="s">
        <v>368</v>
      </c>
      <c r="X224">
        <v>2097687</v>
      </c>
      <c r="Y224" s="2">
        <v>45324</v>
      </c>
      <c r="Z224" t="s">
        <v>352</v>
      </c>
      <c r="AA224">
        <v>12</v>
      </c>
      <c r="AB224" t="s">
        <v>352</v>
      </c>
      <c r="AD224" t="s">
        <v>352</v>
      </c>
      <c r="AE224" t="s">
        <v>352</v>
      </c>
      <c r="AF224" t="s">
        <v>352</v>
      </c>
      <c r="AG224">
        <v>90</v>
      </c>
      <c r="AH224" t="s">
        <v>352</v>
      </c>
      <c r="AL224" t="s">
        <v>352</v>
      </c>
      <c r="AM224" s="2">
        <v>45324</v>
      </c>
      <c r="AN224" t="s">
        <v>547</v>
      </c>
      <c r="AO224" t="s">
        <v>359</v>
      </c>
      <c r="AP224">
        <v>1206</v>
      </c>
      <c r="AQ224" t="s">
        <v>360</v>
      </c>
      <c r="AR224">
        <v>79293</v>
      </c>
      <c r="AU224" t="s">
        <v>352</v>
      </c>
      <c r="AV224" t="s">
        <v>362</v>
      </c>
      <c r="AX224" t="s">
        <v>352</v>
      </c>
      <c r="AY224">
        <v>631180</v>
      </c>
      <c r="AZ224">
        <v>1206.6311800000001</v>
      </c>
      <c r="BA224" s="54" t="s">
        <v>336</v>
      </c>
    </row>
    <row r="225" spans="1:53">
      <c r="A225" t="s">
        <v>348</v>
      </c>
      <c r="B225" t="s">
        <v>349</v>
      </c>
      <c r="C225">
        <v>24001346</v>
      </c>
      <c r="D225">
        <v>1201</v>
      </c>
      <c r="E225" s="2">
        <v>45324</v>
      </c>
      <c r="F225" t="s">
        <v>551</v>
      </c>
      <c r="G225">
        <v>0.24</v>
      </c>
      <c r="H225">
        <v>0.24</v>
      </c>
      <c r="I225" t="s">
        <v>351</v>
      </c>
      <c r="J225" t="s">
        <v>351</v>
      </c>
      <c r="L225" s="61">
        <v>3420</v>
      </c>
      <c r="N225" s="61">
        <v>3420</v>
      </c>
      <c r="O225" t="s">
        <v>352</v>
      </c>
      <c r="Q225" t="s">
        <v>352</v>
      </c>
      <c r="R225" t="s">
        <v>353</v>
      </c>
      <c r="S225">
        <v>15237</v>
      </c>
      <c r="T225" t="s">
        <v>354</v>
      </c>
      <c r="U225" t="s">
        <v>355</v>
      </c>
      <c r="V225" t="s">
        <v>356</v>
      </c>
      <c r="W225" t="s">
        <v>357</v>
      </c>
      <c r="X225">
        <v>2097553</v>
      </c>
      <c r="Y225" s="2">
        <v>45324</v>
      </c>
      <c r="Z225" t="s">
        <v>352</v>
      </c>
      <c r="AA225">
        <v>1</v>
      </c>
      <c r="AB225" t="s">
        <v>352</v>
      </c>
      <c r="AD225" t="s">
        <v>352</v>
      </c>
      <c r="AE225" t="s">
        <v>352</v>
      </c>
      <c r="AF225" t="s">
        <v>352</v>
      </c>
      <c r="AG225">
        <v>600</v>
      </c>
      <c r="AH225" t="s">
        <v>352</v>
      </c>
      <c r="AI225">
        <v>55754361</v>
      </c>
      <c r="AJ225" t="s">
        <v>551</v>
      </c>
      <c r="AL225" t="s">
        <v>352</v>
      </c>
      <c r="AM225" s="2">
        <v>45324</v>
      </c>
      <c r="AN225" t="s">
        <v>552</v>
      </c>
      <c r="AO225" t="s">
        <v>359</v>
      </c>
      <c r="AP225">
        <v>1201</v>
      </c>
      <c r="AQ225" t="s">
        <v>360</v>
      </c>
      <c r="AR225" t="s">
        <v>553</v>
      </c>
      <c r="AU225" t="s">
        <v>352</v>
      </c>
      <c r="AV225" t="s">
        <v>362</v>
      </c>
      <c r="AX225">
        <v>23001155</v>
      </c>
      <c r="AY225">
        <v>630600</v>
      </c>
      <c r="AZ225">
        <v>1201.6306</v>
      </c>
      <c r="BA225" s="54" t="s">
        <v>20</v>
      </c>
    </row>
    <row r="226" spans="1:53">
      <c r="A226" t="s">
        <v>348</v>
      </c>
      <c r="B226" t="s">
        <v>349</v>
      </c>
      <c r="C226">
        <v>24001431</v>
      </c>
      <c r="D226">
        <v>1205</v>
      </c>
      <c r="E226" s="2">
        <v>45323</v>
      </c>
      <c r="F226" t="s">
        <v>388</v>
      </c>
      <c r="G226">
        <v>26.81</v>
      </c>
      <c r="H226">
        <v>26.81</v>
      </c>
      <c r="I226" t="s">
        <v>351</v>
      </c>
      <c r="J226" t="s">
        <v>351</v>
      </c>
      <c r="L226" s="61">
        <v>414000</v>
      </c>
      <c r="N226" s="61">
        <v>414000</v>
      </c>
      <c r="O226" t="s">
        <v>352</v>
      </c>
      <c r="Q226" t="s">
        <v>352</v>
      </c>
      <c r="R226" t="s">
        <v>353</v>
      </c>
      <c r="S226">
        <v>15439</v>
      </c>
      <c r="T226" t="s">
        <v>354</v>
      </c>
      <c r="U226" t="s">
        <v>355</v>
      </c>
      <c r="V226" t="s">
        <v>356</v>
      </c>
      <c r="W226" t="s">
        <v>357</v>
      </c>
      <c r="X226">
        <v>2097231</v>
      </c>
      <c r="Y226" s="2">
        <v>45323</v>
      </c>
      <c r="Z226" t="s">
        <v>352</v>
      </c>
      <c r="AA226">
        <v>1</v>
      </c>
      <c r="AB226" t="s">
        <v>352</v>
      </c>
      <c r="AD226" t="s">
        <v>352</v>
      </c>
      <c r="AE226" t="s">
        <v>352</v>
      </c>
      <c r="AF226" t="s">
        <v>352</v>
      </c>
      <c r="AG226">
        <v>138</v>
      </c>
      <c r="AH226" t="s">
        <v>352</v>
      </c>
      <c r="AI226">
        <v>57326773</v>
      </c>
      <c r="AJ226" t="s">
        <v>388</v>
      </c>
      <c r="AL226" t="s">
        <v>352</v>
      </c>
      <c r="AM226" s="2">
        <v>45323</v>
      </c>
      <c r="AN226" t="s">
        <v>389</v>
      </c>
      <c r="AO226" t="s">
        <v>359</v>
      </c>
      <c r="AP226">
        <v>1205</v>
      </c>
      <c r="AQ226" t="s">
        <v>360</v>
      </c>
      <c r="AR226" t="s">
        <v>390</v>
      </c>
      <c r="AU226" t="s">
        <v>352</v>
      </c>
      <c r="AV226" t="s">
        <v>362</v>
      </c>
      <c r="AX226">
        <v>24001007</v>
      </c>
      <c r="AY226">
        <v>630600</v>
      </c>
      <c r="AZ226">
        <v>1205.6306</v>
      </c>
      <c r="BA226" s="54" t="s">
        <v>84</v>
      </c>
    </row>
    <row r="227" spans="1:53">
      <c r="A227" t="s">
        <v>348</v>
      </c>
      <c r="B227" t="s">
        <v>349</v>
      </c>
      <c r="C227">
        <v>24001432</v>
      </c>
      <c r="D227">
        <v>1205</v>
      </c>
      <c r="E227" s="2">
        <v>45323</v>
      </c>
      <c r="F227" t="s">
        <v>388</v>
      </c>
      <c r="G227">
        <v>22.34</v>
      </c>
      <c r="H227">
        <v>22.34</v>
      </c>
      <c r="I227" t="s">
        <v>351</v>
      </c>
      <c r="J227" t="s">
        <v>351</v>
      </c>
      <c r="L227" s="61">
        <v>345000</v>
      </c>
      <c r="N227" s="61">
        <v>345000</v>
      </c>
      <c r="O227" t="s">
        <v>352</v>
      </c>
      <c r="Q227" t="s">
        <v>352</v>
      </c>
      <c r="R227" t="s">
        <v>353</v>
      </c>
      <c r="S227">
        <v>15439</v>
      </c>
      <c r="T227" t="s">
        <v>354</v>
      </c>
      <c r="U227" t="s">
        <v>355</v>
      </c>
      <c r="V227" t="s">
        <v>356</v>
      </c>
      <c r="W227" t="s">
        <v>357</v>
      </c>
      <c r="X227">
        <v>2097231</v>
      </c>
      <c r="Y227" s="2">
        <v>45323</v>
      </c>
      <c r="Z227" t="s">
        <v>352</v>
      </c>
      <c r="AA227">
        <v>1</v>
      </c>
      <c r="AB227" t="s">
        <v>352</v>
      </c>
      <c r="AD227" t="s">
        <v>352</v>
      </c>
      <c r="AE227" t="s">
        <v>352</v>
      </c>
      <c r="AF227" t="s">
        <v>352</v>
      </c>
      <c r="AG227">
        <v>138</v>
      </c>
      <c r="AH227" t="s">
        <v>352</v>
      </c>
      <c r="AI227">
        <v>57326773</v>
      </c>
      <c r="AJ227" t="s">
        <v>388</v>
      </c>
      <c r="AL227" t="s">
        <v>352</v>
      </c>
      <c r="AM227" s="2">
        <v>45323</v>
      </c>
      <c r="AN227" t="s">
        <v>389</v>
      </c>
      <c r="AO227" t="s">
        <v>359</v>
      </c>
      <c r="AP227">
        <v>1205</v>
      </c>
      <c r="AQ227" t="s">
        <v>360</v>
      </c>
      <c r="AR227" t="s">
        <v>390</v>
      </c>
      <c r="AU227" t="s">
        <v>352</v>
      </c>
      <c r="AV227" t="s">
        <v>362</v>
      </c>
      <c r="AX227">
        <v>24001007</v>
      </c>
      <c r="AY227">
        <v>630600</v>
      </c>
      <c r="AZ227">
        <v>1205.6306</v>
      </c>
      <c r="BA227" s="54" t="s">
        <v>84</v>
      </c>
    </row>
    <row r="228" spans="1:53">
      <c r="A228" t="s">
        <v>348</v>
      </c>
      <c r="B228" t="s">
        <v>349</v>
      </c>
      <c r="C228">
        <v>24001433</v>
      </c>
      <c r="D228">
        <v>1205</v>
      </c>
      <c r="E228" s="2">
        <v>45323</v>
      </c>
      <c r="F228" t="s">
        <v>388</v>
      </c>
      <c r="G228">
        <v>17.87</v>
      </c>
      <c r="H228">
        <v>17.87</v>
      </c>
      <c r="I228" t="s">
        <v>351</v>
      </c>
      <c r="J228" t="s">
        <v>351</v>
      </c>
      <c r="L228" s="61">
        <v>276000</v>
      </c>
      <c r="N228" s="61">
        <v>276000</v>
      </c>
      <c r="O228" t="s">
        <v>352</v>
      </c>
      <c r="Q228" t="s">
        <v>352</v>
      </c>
      <c r="R228" t="s">
        <v>353</v>
      </c>
      <c r="S228">
        <v>15439</v>
      </c>
      <c r="T228" t="s">
        <v>354</v>
      </c>
      <c r="U228" t="s">
        <v>355</v>
      </c>
      <c r="V228" t="s">
        <v>356</v>
      </c>
      <c r="W228" t="s">
        <v>357</v>
      </c>
      <c r="X228">
        <v>2097231</v>
      </c>
      <c r="Y228" s="2">
        <v>45323</v>
      </c>
      <c r="Z228" t="s">
        <v>352</v>
      </c>
      <c r="AA228">
        <v>1</v>
      </c>
      <c r="AB228" t="s">
        <v>352</v>
      </c>
      <c r="AD228" t="s">
        <v>352</v>
      </c>
      <c r="AE228" t="s">
        <v>352</v>
      </c>
      <c r="AF228" t="s">
        <v>352</v>
      </c>
      <c r="AG228">
        <v>138</v>
      </c>
      <c r="AH228" t="s">
        <v>352</v>
      </c>
      <c r="AI228">
        <v>57326773</v>
      </c>
      <c r="AJ228" t="s">
        <v>388</v>
      </c>
      <c r="AL228" t="s">
        <v>352</v>
      </c>
      <c r="AM228" s="2">
        <v>45323</v>
      </c>
      <c r="AN228" t="s">
        <v>389</v>
      </c>
      <c r="AO228" t="s">
        <v>359</v>
      </c>
      <c r="AP228">
        <v>1205</v>
      </c>
      <c r="AQ228" t="s">
        <v>360</v>
      </c>
      <c r="AR228" t="s">
        <v>390</v>
      </c>
      <c r="AU228" t="s">
        <v>352</v>
      </c>
      <c r="AV228" t="s">
        <v>362</v>
      </c>
      <c r="AX228">
        <v>24001007</v>
      </c>
      <c r="AY228">
        <v>630600</v>
      </c>
      <c r="AZ228">
        <v>1205.6306</v>
      </c>
      <c r="BA228" s="54" t="s">
        <v>84</v>
      </c>
    </row>
    <row r="229" spans="1:53">
      <c r="A229" t="s">
        <v>348</v>
      </c>
      <c r="B229" t="s">
        <v>349</v>
      </c>
      <c r="C229">
        <v>24001434</v>
      </c>
      <c r="D229">
        <v>1205</v>
      </c>
      <c r="E229" s="2">
        <v>45323</v>
      </c>
      <c r="F229" t="s">
        <v>388</v>
      </c>
      <c r="G229">
        <v>26.68</v>
      </c>
      <c r="H229">
        <v>26.68</v>
      </c>
      <c r="I229" t="s">
        <v>351</v>
      </c>
      <c r="J229" t="s">
        <v>351</v>
      </c>
      <c r="L229" s="61">
        <v>412000</v>
      </c>
      <c r="N229" s="61">
        <v>412000</v>
      </c>
      <c r="O229" t="s">
        <v>352</v>
      </c>
      <c r="Q229" t="s">
        <v>352</v>
      </c>
      <c r="R229" t="s">
        <v>353</v>
      </c>
      <c r="S229">
        <v>15439</v>
      </c>
      <c r="T229" t="s">
        <v>354</v>
      </c>
      <c r="U229" t="s">
        <v>355</v>
      </c>
      <c r="V229" t="s">
        <v>356</v>
      </c>
      <c r="W229" t="s">
        <v>357</v>
      </c>
      <c r="X229">
        <v>2097231</v>
      </c>
      <c r="Y229" s="2">
        <v>45323</v>
      </c>
      <c r="Z229" t="s">
        <v>352</v>
      </c>
      <c r="AA229">
        <v>1</v>
      </c>
      <c r="AB229" t="s">
        <v>352</v>
      </c>
      <c r="AD229" t="s">
        <v>352</v>
      </c>
      <c r="AE229" t="s">
        <v>352</v>
      </c>
      <c r="AF229" t="s">
        <v>352</v>
      </c>
      <c r="AG229">
        <v>206</v>
      </c>
      <c r="AH229" t="s">
        <v>352</v>
      </c>
      <c r="AI229">
        <v>57326773</v>
      </c>
      <c r="AJ229" t="s">
        <v>388</v>
      </c>
      <c r="AL229" t="s">
        <v>352</v>
      </c>
      <c r="AM229" s="2">
        <v>45323</v>
      </c>
      <c r="AN229" t="s">
        <v>389</v>
      </c>
      <c r="AO229" t="s">
        <v>359</v>
      </c>
      <c r="AP229">
        <v>1205</v>
      </c>
      <c r="AQ229" t="s">
        <v>360</v>
      </c>
      <c r="AR229" t="s">
        <v>390</v>
      </c>
      <c r="AU229" t="s">
        <v>352</v>
      </c>
      <c r="AV229" t="s">
        <v>362</v>
      </c>
      <c r="AX229">
        <v>24001007</v>
      </c>
      <c r="AY229">
        <v>630600</v>
      </c>
      <c r="AZ229">
        <v>1205.6306</v>
      </c>
      <c r="BA229" s="54" t="s">
        <v>84</v>
      </c>
    </row>
    <row r="230" spans="1:53">
      <c r="A230" t="s">
        <v>348</v>
      </c>
      <c r="B230" t="s">
        <v>349</v>
      </c>
      <c r="C230">
        <v>24001435</v>
      </c>
      <c r="D230">
        <v>1205</v>
      </c>
      <c r="E230" s="2">
        <v>45323</v>
      </c>
      <c r="F230" t="s">
        <v>388</v>
      </c>
      <c r="G230">
        <v>33.35</v>
      </c>
      <c r="H230">
        <v>33.35</v>
      </c>
      <c r="I230" t="s">
        <v>351</v>
      </c>
      <c r="J230" t="s">
        <v>351</v>
      </c>
      <c r="L230" s="61">
        <v>515000</v>
      </c>
      <c r="N230" s="61">
        <v>515000</v>
      </c>
      <c r="O230" t="s">
        <v>352</v>
      </c>
      <c r="Q230" t="s">
        <v>352</v>
      </c>
      <c r="R230" t="s">
        <v>353</v>
      </c>
      <c r="S230">
        <v>15439</v>
      </c>
      <c r="T230" t="s">
        <v>354</v>
      </c>
      <c r="U230" t="s">
        <v>355</v>
      </c>
      <c r="V230" t="s">
        <v>356</v>
      </c>
      <c r="W230" t="s">
        <v>357</v>
      </c>
      <c r="X230">
        <v>2097231</v>
      </c>
      <c r="Y230" s="2">
        <v>45323</v>
      </c>
      <c r="Z230" t="s">
        <v>352</v>
      </c>
      <c r="AA230">
        <v>1</v>
      </c>
      <c r="AB230" t="s">
        <v>352</v>
      </c>
      <c r="AD230" t="s">
        <v>352</v>
      </c>
      <c r="AE230" t="s">
        <v>352</v>
      </c>
      <c r="AF230" t="s">
        <v>352</v>
      </c>
      <c r="AG230">
        <v>206</v>
      </c>
      <c r="AH230" t="s">
        <v>352</v>
      </c>
      <c r="AI230">
        <v>57326773</v>
      </c>
      <c r="AJ230" t="s">
        <v>388</v>
      </c>
      <c r="AL230" t="s">
        <v>352</v>
      </c>
      <c r="AM230" s="2">
        <v>45323</v>
      </c>
      <c r="AN230" t="s">
        <v>389</v>
      </c>
      <c r="AO230" t="s">
        <v>359</v>
      </c>
      <c r="AP230">
        <v>1205</v>
      </c>
      <c r="AQ230" t="s">
        <v>360</v>
      </c>
      <c r="AR230" t="s">
        <v>390</v>
      </c>
      <c r="AU230" t="s">
        <v>352</v>
      </c>
      <c r="AV230" t="s">
        <v>362</v>
      </c>
      <c r="AX230">
        <v>24001007</v>
      </c>
      <c r="AY230">
        <v>630600</v>
      </c>
      <c r="AZ230">
        <v>1205.6306</v>
      </c>
      <c r="BA230" s="54" t="s">
        <v>84</v>
      </c>
    </row>
    <row r="231" spans="1:53">
      <c r="A231" t="s">
        <v>348</v>
      </c>
      <c r="B231" t="s">
        <v>349</v>
      </c>
      <c r="C231">
        <v>24001436</v>
      </c>
      <c r="D231">
        <v>1205</v>
      </c>
      <c r="E231" s="2">
        <v>45323</v>
      </c>
      <c r="F231" t="s">
        <v>388</v>
      </c>
      <c r="G231">
        <v>40.03</v>
      </c>
      <c r="H231">
        <v>40.03</v>
      </c>
      <c r="I231" t="s">
        <v>351</v>
      </c>
      <c r="J231" t="s">
        <v>351</v>
      </c>
      <c r="L231" s="61">
        <v>618000</v>
      </c>
      <c r="N231" s="61">
        <v>618000</v>
      </c>
      <c r="O231" t="s">
        <v>352</v>
      </c>
      <c r="Q231" t="s">
        <v>352</v>
      </c>
      <c r="R231" t="s">
        <v>353</v>
      </c>
      <c r="S231">
        <v>15439</v>
      </c>
      <c r="T231" t="s">
        <v>354</v>
      </c>
      <c r="U231" t="s">
        <v>355</v>
      </c>
      <c r="V231" t="s">
        <v>356</v>
      </c>
      <c r="W231" t="s">
        <v>357</v>
      </c>
      <c r="X231">
        <v>2097231</v>
      </c>
      <c r="Y231" s="2">
        <v>45323</v>
      </c>
      <c r="Z231" t="s">
        <v>352</v>
      </c>
      <c r="AA231">
        <v>1</v>
      </c>
      <c r="AB231" t="s">
        <v>352</v>
      </c>
      <c r="AD231" t="s">
        <v>352</v>
      </c>
      <c r="AE231" t="s">
        <v>352</v>
      </c>
      <c r="AF231" t="s">
        <v>352</v>
      </c>
      <c r="AG231">
        <v>206</v>
      </c>
      <c r="AH231" t="s">
        <v>352</v>
      </c>
      <c r="AI231">
        <v>57326773</v>
      </c>
      <c r="AJ231" t="s">
        <v>388</v>
      </c>
      <c r="AL231" t="s">
        <v>352</v>
      </c>
      <c r="AM231" s="2">
        <v>45323</v>
      </c>
      <c r="AN231" t="s">
        <v>389</v>
      </c>
      <c r="AO231" t="s">
        <v>359</v>
      </c>
      <c r="AP231">
        <v>1205</v>
      </c>
      <c r="AQ231" t="s">
        <v>360</v>
      </c>
      <c r="AR231" t="s">
        <v>390</v>
      </c>
      <c r="AU231" t="s">
        <v>352</v>
      </c>
      <c r="AV231" t="s">
        <v>362</v>
      </c>
      <c r="AX231">
        <v>24001007</v>
      </c>
      <c r="AY231">
        <v>630600</v>
      </c>
      <c r="AZ231">
        <v>1205.6306</v>
      </c>
      <c r="BA231" s="54" t="s">
        <v>84</v>
      </c>
    </row>
    <row r="232" spans="1:53">
      <c r="A232" t="s">
        <v>348</v>
      </c>
      <c r="B232" t="s">
        <v>349</v>
      </c>
      <c r="C232">
        <v>24001437</v>
      </c>
      <c r="D232">
        <v>1205</v>
      </c>
      <c r="E232" s="2">
        <v>45323</v>
      </c>
      <c r="F232" t="s">
        <v>388</v>
      </c>
      <c r="G232">
        <v>47.92</v>
      </c>
      <c r="H232">
        <v>47.92</v>
      </c>
      <c r="I232" t="s">
        <v>351</v>
      </c>
      <c r="J232" t="s">
        <v>351</v>
      </c>
      <c r="L232" s="61">
        <v>740000</v>
      </c>
      <c r="N232" s="61">
        <v>740000</v>
      </c>
      <c r="O232" t="s">
        <v>352</v>
      </c>
      <c r="Q232" t="s">
        <v>352</v>
      </c>
      <c r="R232" t="s">
        <v>353</v>
      </c>
      <c r="S232">
        <v>15439</v>
      </c>
      <c r="T232" t="s">
        <v>354</v>
      </c>
      <c r="U232" t="s">
        <v>355</v>
      </c>
      <c r="V232" t="s">
        <v>356</v>
      </c>
      <c r="W232" t="s">
        <v>357</v>
      </c>
      <c r="X232">
        <v>2097231</v>
      </c>
      <c r="Y232" s="2">
        <v>45323</v>
      </c>
      <c r="Z232" t="s">
        <v>352</v>
      </c>
      <c r="AA232">
        <v>1</v>
      </c>
      <c r="AB232" t="s">
        <v>352</v>
      </c>
      <c r="AD232" t="s">
        <v>352</v>
      </c>
      <c r="AE232" t="s">
        <v>352</v>
      </c>
      <c r="AF232" t="s">
        <v>352</v>
      </c>
      <c r="AG232">
        <v>370</v>
      </c>
      <c r="AH232" t="s">
        <v>352</v>
      </c>
      <c r="AI232">
        <v>57326773</v>
      </c>
      <c r="AJ232" t="s">
        <v>388</v>
      </c>
      <c r="AL232" t="s">
        <v>352</v>
      </c>
      <c r="AM232" s="2">
        <v>45323</v>
      </c>
      <c r="AN232" t="s">
        <v>389</v>
      </c>
      <c r="AO232" t="s">
        <v>359</v>
      </c>
      <c r="AP232">
        <v>1205</v>
      </c>
      <c r="AQ232" t="s">
        <v>360</v>
      </c>
      <c r="AR232" t="s">
        <v>390</v>
      </c>
      <c r="AU232" t="s">
        <v>352</v>
      </c>
      <c r="AV232" t="s">
        <v>362</v>
      </c>
      <c r="AX232">
        <v>24001007</v>
      </c>
      <c r="AY232">
        <v>630600</v>
      </c>
      <c r="AZ232">
        <v>1205.6306</v>
      </c>
      <c r="BA232" s="54" t="s">
        <v>84</v>
      </c>
    </row>
    <row r="233" spans="1:53">
      <c r="A233" t="s">
        <v>348</v>
      </c>
      <c r="B233" t="s">
        <v>349</v>
      </c>
      <c r="C233">
        <v>24001438</v>
      </c>
      <c r="D233">
        <v>1205</v>
      </c>
      <c r="E233" s="2">
        <v>45323</v>
      </c>
      <c r="F233" t="s">
        <v>388</v>
      </c>
      <c r="G233">
        <v>59.9</v>
      </c>
      <c r="H233">
        <v>59.9</v>
      </c>
      <c r="I233" t="s">
        <v>351</v>
      </c>
      <c r="J233" t="s">
        <v>351</v>
      </c>
      <c r="L233" s="61">
        <v>925000</v>
      </c>
      <c r="N233" s="61">
        <v>925000</v>
      </c>
      <c r="O233" t="s">
        <v>352</v>
      </c>
      <c r="Q233" t="s">
        <v>352</v>
      </c>
      <c r="R233" t="s">
        <v>353</v>
      </c>
      <c r="S233">
        <v>15439</v>
      </c>
      <c r="T233" t="s">
        <v>354</v>
      </c>
      <c r="U233" t="s">
        <v>355</v>
      </c>
      <c r="V233" t="s">
        <v>356</v>
      </c>
      <c r="W233" t="s">
        <v>357</v>
      </c>
      <c r="X233">
        <v>2097231</v>
      </c>
      <c r="Y233" s="2">
        <v>45323</v>
      </c>
      <c r="Z233" t="s">
        <v>352</v>
      </c>
      <c r="AA233">
        <v>1</v>
      </c>
      <c r="AB233" t="s">
        <v>352</v>
      </c>
      <c r="AD233" t="s">
        <v>352</v>
      </c>
      <c r="AE233" t="s">
        <v>352</v>
      </c>
      <c r="AF233" t="s">
        <v>352</v>
      </c>
      <c r="AG233">
        <v>370</v>
      </c>
      <c r="AH233" t="s">
        <v>352</v>
      </c>
      <c r="AI233">
        <v>57326773</v>
      </c>
      <c r="AJ233" t="s">
        <v>388</v>
      </c>
      <c r="AL233" t="s">
        <v>352</v>
      </c>
      <c r="AM233" s="2">
        <v>45323</v>
      </c>
      <c r="AN233" t="s">
        <v>389</v>
      </c>
      <c r="AO233" t="s">
        <v>359</v>
      </c>
      <c r="AP233">
        <v>1205</v>
      </c>
      <c r="AQ233" t="s">
        <v>360</v>
      </c>
      <c r="AR233" t="s">
        <v>390</v>
      </c>
      <c r="AU233" t="s">
        <v>352</v>
      </c>
      <c r="AV233" t="s">
        <v>362</v>
      </c>
      <c r="AX233">
        <v>24001007</v>
      </c>
      <c r="AY233">
        <v>630600</v>
      </c>
      <c r="AZ233">
        <v>1205.6306</v>
      </c>
      <c r="BA233" s="54" t="s">
        <v>84</v>
      </c>
    </row>
    <row r="234" spans="1:53">
      <c r="A234" t="s">
        <v>348</v>
      </c>
      <c r="B234" t="s">
        <v>349</v>
      </c>
      <c r="C234">
        <v>24001439</v>
      </c>
      <c r="D234">
        <v>1205</v>
      </c>
      <c r="E234" s="2">
        <v>45323</v>
      </c>
      <c r="F234" t="s">
        <v>388</v>
      </c>
      <c r="G234">
        <v>71.89</v>
      </c>
      <c r="H234">
        <v>71.89</v>
      </c>
      <c r="I234" t="s">
        <v>351</v>
      </c>
      <c r="J234" t="s">
        <v>351</v>
      </c>
      <c r="L234" s="61">
        <v>1110000</v>
      </c>
      <c r="N234" s="61">
        <v>1110000</v>
      </c>
      <c r="O234" t="s">
        <v>352</v>
      </c>
      <c r="Q234" t="s">
        <v>352</v>
      </c>
      <c r="R234" t="s">
        <v>353</v>
      </c>
      <c r="S234">
        <v>15439</v>
      </c>
      <c r="T234" t="s">
        <v>354</v>
      </c>
      <c r="U234" t="s">
        <v>355</v>
      </c>
      <c r="V234" t="s">
        <v>356</v>
      </c>
      <c r="W234" t="s">
        <v>357</v>
      </c>
      <c r="X234">
        <v>2097231</v>
      </c>
      <c r="Y234" s="2">
        <v>45323</v>
      </c>
      <c r="Z234" t="s">
        <v>352</v>
      </c>
      <c r="AA234">
        <v>1</v>
      </c>
      <c r="AB234" t="s">
        <v>352</v>
      </c>
      <c r="AD234" t="s">
        <v>352</v>
      </c>
      <c r="AE234" t="s">
        <v>352</v>
      </c>
      <c r="AF234" t="s">
        <v>352</v>
      </c>
      <c r="AG234">
        <v>370</v>
      </c>
      <c r="AH234" t="s">
        <v>352</v>
      </c>
      <c r="AI234">
        <v>57326773</v>
      </c>
      <c r="AJ234" t="s">
        <v>388</v>
      </c>
      <c r="AL234" t="s">
        <v>352</v>
      </c>
      <c r="AM234" s="2">
        <v>45323</v>
      </c>
      <c r="AN234" t="s">
        <v>389</v>
      </c>
      <c r="AO234" t="s">
        <v>359</v>
      </c>
      <c r="AP234">
        <v>1205</v>
      </c>
      <c r="AQ234" t="s">
        <v>360</v>
      </c>
      <c r="AR234" t="s">
        <v>390</v>
      </c>
      <c r="AU234" t="s">
        <v>352</v>
      </c>
      <c r="AV234" t="s">
        <v>362</v>
      </c>
      <c r="AX234">
        <v>24001007</v>
      </c>
      <c r="AY234">
        <v>630600</v>
      </c>
      <c r="AZ234">
        <v>1205.6306</v>
      </c>
      <c r="BA234" s="54" t="s">
        <v>84</v>
      </c>
    </row>
    <row r="235" spans="1:53">
      <c r="A235" t="s">
        <v>348</v>
      </c>
      <c r="B235" t="s">
        <v>349</v>
      </c>
      <c r="C235">
        <v>24001440</v>
      </c>
      <c r="D235">
        <v>1205</v>
      </c>
      <c r="E235" s="2">
        <v>45323</v>
      </c>
      <c r="F235" t="s">
        <v>388</v>
      </c>
      <c r="G235">
        <v>97.64</v>
      </c>
      <c r="H235">
        <v>97.64</v>
      </c>
      <c r="I235" t="s">
        <v>351</v>
      </c>
      <c r="J235" t="s">
        <v>351</v>
      </c>
      <c r="L235" s="61">
        <v>1508000</v>
      </c>
      <c r="N235" s="61">
        <v>1508000</v>
      </c>
      <c r="O235" t="s">
        <v>352</v>
      </c>
      <c r="Q235" t="s">
        <v>352</v>
      </c>
      <c r="R235" t="s">
        <v>353</v>
      </c>
      <c r="S235">
        <v>15439</v>
      </c>
      <c r="T235" t="s">
        <v>354</v>
      </c>
      <c r="U235" t="s">
        <v>355</v>
      </c>
      <c r="V235" t="s">
        <v>356</v>
      </c>
      <c r="W235" t="s">
        <v>357</v>
      </c>
      <c r="X235">
        <v>2097242</v>
      </c>
      <c r="Y235" s="2">
        <v>45323</v>
      </c>
      <c r="Z235" t="s">
        <v>352</v>
      </c>
      <c r="AA235">
        <v>1</v>
      </c>
      <c r="AB235" t="s">
        <v>352</v>
      </c>
      <c r="AD235" t="s">
        <v>352</v>
      </c>
      <c r="AE235" t="s">
        <v>352</v>
      </c>
      <c r="AF235" t="s">
        <v>352</v>
      </c>
      <c r="AG235">
        <v>754</v>
      </c>
      <c r="AH235" t="s">
        <v>352</v>
      </c>
      <c r="AI235">
        <v>57326773</v>
      </c>
      <c r="AJ235" t="s">
        <v>388</v>
      </c>
      <c r="AL235" t="s">
        <v>352</v>
      </c>
      <c r="AM235" s="2">
        <v>45323</v>
      </c>
      <c r="AN235" t="s">
        <v>389</v>
      </c>
      <c r="AO235" t="s">
        <v>359</v>
      </c>
      <c r="AP235">
        <v>1205</v>
      </c>
      <c r="AQ235" t="s">
        <v>360</v>
      </c>
      <c r="AR235" t="s">
        <v>390</v>
      </c>
      <c r="AU235" t="s">
        <v>352</v>
      </c>
      <c r="AV235" t="s">
        <v>362</v>
      </c>
      <c r="AX235">
        <v>24001007</v>
      </c>
      <c r="AY235">
        <v>630600</v>
      </c>
      <c r="AZ235">
        <v>1205.6306</v>
      </c>
      <c r="BA235" s="54" t="s">
        <v>84</v>
      </c>
    </row>
    <row r="236" spans="1:53">
      <c r="A236" t="s">
        <v>348</v>
      </c>
      <c r="B236" t="s">
        <v>349</v>
      </c>
      <c r="C236">
        <v>24001444</v>
      </c>
      <c r="D236">
        <v>1205</v>
      </c>
      <c r="E236" s="2">
        <v>45323</v>
      </c>
      <c r="F236" t="s">
        <v>388</v>
      </c>
      <c r="G236">
        <v>36.14</v>
      </c>
      <c r="H236">
        <v>36.14</v>
      </c>
      <c r="I236" t="s">
        <v>351</v>
      </c>
      <c r="J236" t="s">
        <v>351</v>
      </c>
      <c r="L236" s="61">
        <v>558000</v>
      </c>
      <c r="N236" s="61">
        <v>558000</v>
      </c>
      <c r="O236" t="s">
        <v>352</v>
      </c>
      <c r="Q236" t="s">
        <v>352</v>
      </c>
      <c r="R236" t="s">
        <v>353</v>
      </c>
      <c r="S236">
        <v>15439</v>
      </c>
      <c r="T236" t="s">
        <v>354</v>
      </c>
      <c r="U236" t="s">
        <v>355</v>
      </c>
      <c r="V236" t="s">
        <v>356</v>
      </c>
      <c r="W236" t="s">
        <v>357</v>
      </c>
      <c r="X236">
        <v>2097310</v>
      </c>
      <c r="Y236" s="2">
        <v>45323</v>
      </c>
      <c r="Z236" t="s">
        <v>352</v>
      </c>
      <c r="AA236">
        <v>1</v>
      </c>
      <c r="AB236" t="s">
        <v>352</v>
      </c>
      <c r="AD236" t="s">
        <v>352</v>
      </c>
      <c r="AE236" t="s">
        <v>352</v>
      </c>
      <c r="AF236" t="s">
        <v>352</v>
      </c>
      <c r="AG236">
        <v>186</v>
      </c>
      <c r="AH236" t="s">
        <v>352</v>
      </c>
      <c r="AI236">
        <v>57326773</v>
      </c>
      <c r="AJ236" t="s">
        <v>388</v>
      </c>
      <c r="AL236" t="s">
        <v>352</v>
      </c>
      <c r="AM236" s="2">
        <v>45323</v>
      </c>
      <c r="AN236" t="s">
        <v>389</v>
      </c>
      <c r="AO236" t="s">
        <v>359</v>
      </c>
      <c r="AP236">
        <v>1205</v>
      </c>
      <c r="AQ236" t="s">
        <v>360</v>
      </c>
      <c r="AR236" t="s">
        <v>390</v>
      </c>
      <c r="AU236" t="s">
        <v>352</v>
      </c>
      <c r="AV236" t="s">
        <v>362</v>
      </c>
      <c r="AX236">
        <v>24001007</v>
      </c>
      <c r="AY236">
        <v>630600</v>
      </c>
      <c r="AZ236">
        <v>1205.6306</v>
      </c>
      <c r="BA236" s="54" t="s">
        <v>84</v>
      </c>
    </row>
    <row r="237" spans="1:53">
      <c r="A237" t="s">
        <v>348</v>
      </c>
      <c r="B237" t="s">
        <v>349</v>
      </c>
      <c r="C237">
        <v>24001445</v>
      </c>
      <c r="D237">
        <v>1205</v>
      </c>
      <c r="E237" s="2">
        <v>45323</v>
      </c>
      <c r="F237" t="s">
        <v>388</v>
      </c>
      <c r="G237">
        <v>110.36</v>
      </c>
      <c r="H237">
        <v>110.36</v>
      </c>
      <c r="I237" t="s">
        <v>351</v>
      </c>
      <c r="J237" t="s">
        <v>351</v>
      </c>
      <c r="L237" s="61">
        <v>1704000</v>
      </c>
      <c r="N237" s="61">
        <v>1704000</v>
      </c>
      <c r="O237" t="s">
        <v>352</v>
      </c>
      <c r="Q237" t="s">
        <v>352</v>
      </c>
      <c r="R237" t="s">
        <v>353</v>
      </c>
      <c r="S237">
        <v>15439</v>
      </c>
      <c r="T237" t="s">
        <v>354</v>
      </c>
      <c r="U237" t="s">
        <v>355</v>
      </c>
      <c r="V237" t="s">
        <v>356</v>
      </c>
      <c r="W237" t="s">
        <v>357</v>
      </c>
      <c r="X237">
        <v>2097310</v>
      </c>
      <c r="Y237" s="2">
        <v>45323</v>
      </c>
      <c r="Z237" t="s">
        <v>352</v>
      </c>
      <c r="AA237">
        <v>1</v>
      </c>
      <c r="AB237" t="s">
        <v>352</v>
      </c>
      <c r="AD237" t="s">
        <v>352</v>
      </c>
      <c r="AE237" t="s">
        <v>352</v>
      </c>
      <c r="AF237" t="s">
        <v>352</v>
      </c>
      <c r="AG237">
        <v>568</v>
      </c>
      <c r="AH237" t="s">
        <v>352</v>
      </c>
      <c r="AI237">
        <v>57326773</v>
      </c>
      <c r="AJ237" t="s">
        <v>388</v>
      </c>
      <c r="AL237" t="s">
        <v>352</v>
      </c>
      <c r="AM237" s="2">
        <v>45323</v>
      </c>
      <c r="AN237" t="s">
        <v>389</v>
      </c>
      <c r="AO237" t="s">
        <v>359</v>
      </c>
      <c r="AP237">
        <v>1205</v>
      </c>
      <c r="AQ237" t="s">
        <v>360</v>
      </c>
      <c r="AR237" t="s">
        <v>390</v>
      </c>
      <c r="AU237" t="s">
        <v>352</v>
      </c>
      <c r="AV237" t="s">
        <v>362</v>
      </c>
      <c r="AX237">
        <v>24001007</v>
      </c>
      <c r="AY237">
        <v>630600</v>
      </c>
      <c r="AZ237">
        <v>1205.6306</v>
      </c>
      <c r="BA237" s="54" t="s">
        <v>84</v>
      </c>
    </row>
    <row r="238" spans="1:53">
      <c r="A238" t="s">
        <v>391</v>
      </c>
      <c r="B238" t="s">
        <v>392</v>
      </c>
      <c r="C238">
        <v>24001151</v>
      </c>
      <c r="D238">
        <v>1205</v>
      </c>
      <c r="E238" s="2">
        <v>45323</v>
      </c>
      <c r="F238" t="s">
        <v>393</v>
      </c>
      <c r="G238">
        <v>-4.96</v>
      </c>
      <c r="I238" t="s">
        <v>351</v>
      </c>
      <c r="J238" t="s">
        <v>351</v>
      </c>
      <c r="K238">
        <v>-4.96</v>
      </c>
      <c r="O238" t="s">
        <v>352</v>
      </c>
      <c r="Q238" t="s">
        <v>352</v>
      </c>
      <c r="R238" t="s">
        <v>353</v>
      </c>
      <c r="S238">
        <v>15439</v>
      </c>
      <c r="T238" t="s">
        <v>354</v>
      </c>
      <c r="U238" t="s">
        <v>355</v>
      </c>
      <c r="V238" t="s">
        <v>394</v>
      </c>
      <c r="W238" t="s">
        <v>395</v>
      </c>
      <c r="X238">
        <v>2096990</v>
      </c>
      <c r="Y238" s="2">
        <v>45322</v>
      </c>
      <c r="Z238" t="s">
        <v>352</v>
      </c>
      <c r="AA238">
        <v>2</v>
      </c>
      <c r="AB238" t="s">
        <v>352</v>
      </c>
      <c r="AD238" t="s">
        <v>352</v>
      </c>
      <c r="AE238" t="s">
        <v>352</v>
      </c>
      <c r="AF238" t="s">
        <v>352</v>
      </c>
      <c r="AH238" t="s">
        <v>352</v>
      </c>
      <c r="AI238">
        <v>57316065</v>
      </c>
      <c r="AJ238" t="s">
        <v>393</v>
      </c>
      <c r="AL238" t="s">
        <v>396</v>
      </c>
      <c r="AM238" s="2">
        <v>45308</v>
      </c>
      <c r="AN238" t="s">
        <v>397</v>
      </c>
      <c r="AO238" t="s">
        <v>359</v>
      </c>
      <c r="AP238">
        <v>1205</v>
      </c>
      <c r="AQ238" t="s">
        <v>360</v>
      </c>
      <c r="AR238" t="s">
        <v>398</v>
      </c>
      <c r="AU238" t="s">
        <v>352</v>
      </c>
      <c r="AV238" t="s">
        <v>362</v>
      </c>
      <c r="AX238">
        <v>23001126</v>
      </c>
      <c r="AY238">
        <v>630600</v>
      </c>
      <c r="AZ238">
        <v>1205.6306</v>
      </c>
      <c r="BA238" s="54" t="s">
        <v>84</v>
      </c>
    </row>
    <row r="239" spans="1:53">
      <c r="A239" t="s">
        <v>391</v>
      </c>
      <c r="B239" t="s">
        <v>392</v>
      </c>
      <c r="C239">
        <v>24001154</v>
      </c>
      <c r="D239">
        <v>1205</v>
      </c>
      <c r="E239" s="2">
        <v>45323</v>
      </c>
      <c r="F239" t="s">
        <v>399</v>
      </c>
      <c r="G239">
        <v>0.69</v>
      </c>
      <c r="H239">
        <v>0.69</v>
      </c>
      <c r="I239" t="s">
        <v>351</v>
      </c>
      <c r="J239" t="s">
        <v>351</v>
      </c>
      <c r="O239" t="s">
        <v>352</v>
      </c>
      <c r="Q239" t="s">
        <v>352</v>
      </c>
      <c r="R239" t="s">
        <v>353</v>
      </c>
      <c r="S239">
        <v>15439</v>
      </c>
      <c r="T239" t="s">
        <v>354</v>
      </c>
      <c r="U239" t="s">
        <v>355</v>
      </c>
      <c r="V239" t="s">
        <v>394</v>
      </c>
      <c r="W239" t="s">
        <v>395</v>
      </c>
      <c r="X239">
        <v>2097105</v>
      </c>
      <c r="Y239" s="2">
        <v>45323</v>
      </c>
      <c r="Z239" t="s">
        <v>352</v>
      </c>
      <c r="AA239">
        <v>2</v>
      </c>
      <c r="AB239" t="s">
        <v>352</v>
      </c>
      <c r="AD239" t="s">
        <v>352</v>
      </c>
      <c r="AE239" t="s">
        <v>352</v>
      </c>
      <c r="AF239" t="s">
        <v>352</v>
      </c>
      <c r="AH239" t="s">
        <v>352</v>
      </c>
      <c r="AI239">
        <v>57427970</v>
      </c>
      <c r="AJ239" t="s">
        <v>399</v>
      </c>
      <c r="AL239" t="s">
        <v>400</v>
      </c>
      <c r="AM239" s="2">
        <v>45301</v>
      </c>
      <c r="AN239" t="s">
        <v>397</v>
      </c>
      <c r="AO239" t="s">
        <v>359</v>
      </c>
      <c r="AP239">
        <v>1205</v>
      </c>
      <c r="AQ239" t="s">
        <v>360</v>
      </c>
      <c r="AR239" t="s">
        <v>401</v>
      </c>
      <c r="AU239" t="s">
        <v>352</v>
      </c>
      <c r="AV239" t="s">
        <v>362</v>
      </c>
      <c r="AX239">
        <v>23001133</v>
      </c>
      <c r="AY239">
        <v>630600</v>
      </c>
      <c r="AZ239">
        <v>1205.6306</v>
      </c>
      <c r="BA239" s="54" t="s">
        <v>84</v>
      </c>
    </row>
    <row r="240" spans="1:53">
      <c r="A240" t="s">
        <v>391</v>
      </c>
      <c r="B240" t="s">
        <v>392</v>
      </c>
      <c r="C240">
        <v>24001155</v>
      </c>
      <c r="D240">
        <v>1205</v>
      </c>
      <c r="E240" s="2">
        <v>45323</v>
      </c>
      <c r="F240" t="s">
        <v>399</v>
      </c>
      <c r="G240">
        <v>1</v>
      </c>
      <c r="H240">
        <v>1</v>
      </c>
      <c r="I240" t="s">
        <v>351</v>
      </c>
      <c r="J240" t="s">
        <v>351</v>
      </c>
      <c r="O240" t="s">
        <v>352</v>
      </c>
      <c r="Q240" t="s">
        <v>352</v>
      </c>
      <c r="R240" t="s">
        <v>353</v>
      </c>
      <c r="S240">
        <v>15439</v>
      </c>
      <c r="T240" t="s">
        <v>354</v>
      </c>
      <c r="U240" t="s">
        <v>355</v>
      </c>
      <c r="V240" t="s">
        <v>394</v>
      </c>
      <c r="W240" t="s">
        <v>395</v>
      </c>
      <c r="X240">
        <v>2097107</v>
      </c>
      <c r="Y240" s="2">
        <v>45323</v>
      </c>
      <c r="Z240" t="s">
        <v>352</v>
      </c>
      <c r="AA240">
        <v>2</v>
      </c>
      <c r="AB240" t="s">
        <v>352</v>
      </c>
      <c r="AD240" t="s">
        <v>352</v>
      </c>
      <c r="AE240" t="s">
        <v>352</v>
      </c>
      <c r="AF240" t="s">
        <v>352</v>
      </c>
      <c r="AH240" t="s">
        <v>352</v>
      </c>
      <c r="AI240">
        <v>57427970</v>
      </c>
      <c r="AJ240" t="s">
        <v>399</v>
      </c>
      <c r="AL240" t="s">
        <v>402</v>
      </c>
      <c r="AM240" s="2">
        <v>45306</v>
      </c>
      <c r="AN240" t="s">
        <v>397</v>
      </c>
      <c r="AO240" t="s">
        <v>359</v>
      </c>
      <c r="AP240">
        <v>1205</v>
      </c>
      <c r="AQ240" t="s">
        <v>360</v>
      </c>
      <c r="AR240" t="s">
        <v>401</v>
      </c>
      <c r="AU240" t="s">
        <v>352</v>
      </c>
      <c r="AV240" t="s">
        <v>362</v>
      </c>
      <c r="AX240">
        <v>23001133</v>
      </c>
      <c r="AY240">
        <v>630600</v>
      </c>
      <c r="AZ240">
        <v>1205.6306</v>
      </c>
      <c r="BA240" s="54" t="s">
        <v>84</v>
      </c>
    </row>
    <row r="241" spans="1:53">
      <c r="A241" t="s">
        <v>348</v>
      </c>
      <c r="B241" t="s">
        <v>349</v>
      </c>
      <c r="C241">
        <v>24001453</v>
      </c>
      <c r="D241">
        <v>1205</v>
      </c>
      <c r="E241" s="2">
        <v>45324</v>
      </c>
      <c r="F241" t="s">
        <v>388</v>
      </c>
      <c r="G241">
        <v>-590.92999999999995</v>
      </c>
      <c r="I241" t="s">
        <v>351</v>
      </c>
      <c r="J241" t="s">
        <v>351</v>
      </c>
      <c r="K241">
        <v>-590.92999999999995</v>
      </c>
      <c r="M241" s="61">
        <v>-9125000</v>
      </c>
      <c r="N241" s="61">
        <v>-9125000</v>
      </c>
      <c r="O241" t="s">
        <v>352</v>
      </c>
      <c r="Q241" t="s">
        <v>352</v>
      </c>
      <c r="R241" t="s">
        <v>353</v>
      </c>
      <c r="S241">
        <v>15439</v>
      </c>
      <c r="T241" t="s">
        <v>354</v>
      </c>
      <c r="U241" t="s">
        <v>355</v>
      </c>
      <c r="V241" t="s">
        <v>356</v>
      </c>
      <c r="W241" t="s">
        <v>357</v>
      </c>
      <c r="X241">
        <v>2097415</v>
      </c>
      <c r="Y241" s="2">
        <v>45324</v>
      </c>
      <c r="Z241" t="s">
        <v>352</v>
      </c>
      <c r="AA241">
        <v>1</v>
      </c>
      <c r="AB241" t="s">
        <v>352</v>
      </c>
      <c r="AD241" t="s">
        <v>352</v>
      </c>
      <c r="AE241" t="s">
        <v>352</v>
      </c>
      <c r="AF241" t="s">
        <v>352</v>
      </c>
      <c r="AG241" s="61">
        <v>-3650</v>
      </c>
      <c r="AH241" t="s">
        <v>352</v>
      </c>
      <c r="AI241">
        <v>57326773</v>
      </c>
      <c r="AJ241" t="s">
        <v>388</v>
      </c>
      <c r="AL241" t="s">
        <v>352</v>
      </c>
      <c r="AM241" s="2">
        <v>45324</v>
      </c>
      <c r="AN241" t="s">
        <v>389</v>
      </c>
      <c r="AO241" t="s">
        <v>359</v>
      </c>
      <c r="AP241">
        <v>1205</v>
      </c>
      <c r="AQ241" t="s">
        <v>360</v>
      </c>
      <c r="AR241" t="s">
        <v>390</v>
      </c>
      <c r="AU241" t="s">
        <v>352</v>
      </c>
      <c r="AV241" t="s">
        <v>362</v>
      </c>
      <c r="AX241">
        <v>24001007</v>
      </c>
      <c r="AY241">
        <v>630600</v>
      </c>
      <c r="AZ241">
        <v>1205.6306</v>
      </c>
      <c r="BA241" s="54" t="s">
        <v>84</v>
      </c>
    </row>
    <row r="242" spans="1:53">
      <c r="A242" t="s">
        <v>348</v>
      </c>
      <c r="B242" t="s">
        <v>349</v>
      </c>
      <c r="C242">
        <v>24001454</v>
      </c>
      <c r="D242">
        <v>1205</v>
      </c>
      <c r="E242" s="2">
        <v>45324</v>
      </c>
      <c r="F242" t="s">
        <v>388</v>
      </c>
      <c r="G242">
        <v>47.92</v>
      </c>
      <c r="H242">
        <v>47.92</v>
      </c>
      <c r="I242" t="s">
        <v>351</v>
      </c>
      <c r="J242" t="s">
        <v>351</v>
      </c>
      <c r="L242" s="61">
        <v>740000</v>
      </c>
      <c r="N242" s="61">
        <v>740000</v>
      </c>
      <c r="O242" t="s">
        <v>352</v>
      </c>
      <c r="Q242" t="s">
        <v>352</v>
      </c>
      <c r="R242" t="s">
        <v>353</v>
      </c>
      <c r="S242">
        <v>15439</v>
      </c>
      <c r="T242" t="s">
        <v>354</v>
      </c>
      <c r="U242" t="s">
        <v>355</v>
      </c>
      <c r="V242" t="s">
        <v>356</v>
      </c>
      <c r="W242" t="s">
        <v>357</v>
      </c>
      <c r="X242">
        <v>2097419</v>
      </c>
      <c r="Y242" s="2">
        <v>45324</v>
      </c>
      <c r="Z242" t="s">
        <v>352</v>
      </c>
      <c r="AA242">
        <v>1</v>
      </c>
      <c r="AB242" t="s">
        <v>352</v>
      </c>
      <c r="AD242" t="s">
        <v>352</v>
      </c>
      <c r="AE242" t="s">
        <v>352</v>
      </c>
      <c r="AF242" t="s">
        <v>352</v>
      </c>
      <c r="AG242">
        <v>370</v>
      </c>
      <c r="AH242" t="s">
        <v>352</v>
      </c>
      <c r="AI242">
        <v>57326773</v>
      </c>
      <c r="AJ242" t="s">
        <v>388</v>
      </c>
      <c r="AL242" t="s">
        <v>352</v>
      </c>
      <c r="AM242" s="2">
        <v>45324</v>
      </c>
      <c r="AN242" t="s">
        <v>389</v>
      </c>
      <c r="AO242" t="s">
        <v>359</v>
      </c>
      <c r="AP242">
        <v>1205</v>
      </c>
      <c r="AQ242" t="s">
        <v>360</v>
      </c>
      <c r="AR242" t="s">
        <v>390</v>
      </c>
      <c r="AU242" t="s">
        <v>352</v>
      </c>
      <c r="AV242" t="s">
        <v>362</v>
      </c>
      <c r="AX242">
        <v>24001007</v>
      </c>
      <c r="AY242">
        <v>630600</v>
      </c>
      <c r="AZ242">
        <v>1205.6306</v>
      </c>
      <c r="BA242" s="54" t="s">
        <v>84</v>
      </c>
    </row>
    <row r="243" spans="1:53">
      <c r="A243" t="s">
        <v>348</v>
      </c>
      <c r="B243" t="s">
        <v>349</v>
      </c>
      <c r="C243">
        <v>24001455</v>
      </c>
      <c r="D243">
        <v>1205</v>
      </c>
      <c r="E243" s="2">
        <v>45324</v>
      </c>
      <c r="F243" t="s">
        <v>388</v>
      </c>
      <c r="G243">
        <v>59.9</v>
      </c>
      <c r="H243">
        <v>59.9</v>
      </c>
      <c r="I243" t="s">
        <v>351</v>
      </c>
      <c r="J243" t="s">
        <v>351</v>
      </c>
      <c r="L243" s="61">
        <v>925000</v>
      </c>
      <c r="N243" s="61">
        <v>925000</v>
      </c>
      <c r="O243" t="s">
        <v>352</v>
      </c>
      <c r="Q243" t="s">
        <v>352</v>
      </c>
      <c r="R243" t="s">
        <v>353</v>
      </c>
      <c r="S243">
        <v>15439</v>
      </c>
      <c r="T243" t="s">
        <v>354</v>
      </c>
      <c r="U243" t="s">
        <v>355</v>
      </c>
      <c r="V243" t="s">
        <v>356</v>
      </c>
      <c r="W243" t="s">
        <v>357</v>
      </c>
      <c r="X243">
        <v>2097419</v>
      </c>
      <c r="Y243" s="2">
        <v>45324</v>
      </c>
      <c r="Z243" t="s">
        <v>352</v>
      </c>
      <c r="AA243">
        <v>1</v>
      </c>
      <c r="AB243" t="s">
        <v>352</v>
      </c>
      <c r="AD243" t="s">
        <v>352</v>
      </c>
      <c r="AE243" t="s">
        <v>352</v>
      </c>
      <c r="AF243" t="s">
        <v>352</v>
      </c>
      <c r="AG243">
        <v>370</v>
      </c>
      <c r="AH243" t="s">
        <v>352</v>
      </c>
      <c r="AI243">
        <v>57326773</v>
      </c>
      <c r="AJ243" t="s">
        <v>388</v>
      </c>
      <c r="AL243" t="s">
        <v>352</v>
      </c>
      <c r="AM243" s="2">
        <v>45324</v>
      </c>
      <c r="AN243" t="s">
        <v>389</v>
      </c>
      <c r="AO243" t="s">
        <v>359</v>
      </c>
      <c r="AP243">
        <v>1205</v>
      </c>
      <c r="AQ243" t="s">
        <v>360</v>
      </c>
      <c r="AR243" t="s">
        <v>390</v>
      </c>
      <c r="AU243" t="s">
        <v>352</v>
      </c>
      <c r="AV243" t="s">
        <v>362</v>
      </c>
      <c r="AX243">
        <v>24001007</v>
      </c>
      <c r="AY243">
        <v>630600</v>
      </c>
      <c r="AZ243">
        <v>1205.6306</v>
      </c>
      <c r="BA243" s="54" t="s">
        <v>84</v>
      </c>
    </row>
    <row r="244" spans="1:53">
      <c r="A244" t="s">
        <v>348</v>
      </c>
      <c r="B244" t="s">
        <v>349</v>
      </c>
      <c r="C244">
        <v>24001456</v>
      </c>
      <c r="D244">
        <v>1205</v>
      </c>
      <c r="E244" s="2">
        <v>45324</v>
      </c>
      <c r="F244" t="s">
        <v>388</v>
      </c>
      <c r="G244">
        <v>71.89</v>
      </c>
      <c r="H244">
        <v>71.89</v>
      </c>
      <c r="I244" t="s">
        <v>351</v>
      </c>
      <c r="J244" t="s">
        <v>351</v>
      </c>
      <c r="L244" s="61">
        <v>1110000</v>
      </c>
      <c r="N244" s="61">
        <v>1110000</v>
      </c>
      <c r="O244" t="s">
        <v>352</v>
      </c>
      <c r="Q244" t="s">
        <v>352</v>
      </c>
      <c r="R244" t="s">
        <v>353</v>
      </c>
      <c r="S244">
        <v>15439</v>
      </c>
      <c r="T244" t="s">
        <v>354</v>
      </c>
      <c r="U244" t="s">
        <v>355</v>
      </c>
      <c r="V244" t="s">
        <v>356</v>
      </c>
      <c r="W244" t="s">
        <v>357</v>
      </c>
      <c r="X244">
        <v>2097419</v>
      </c>
      <c r="Y244" s="2">
        <v>45324</v>
      </c>
      <c r="Z244" t="s">
        <v>352</v>
      </c>
      <c r="AA244">
        <v>1</v>
      </c>
      <c r="AB244" t="s">
        <v>352</v>
      </c>
      <c r="AD244" t="s">
        <v>352</v>
      </c>
      <c r="AE244" t="s">
        <v>352</v>
      </c>
      <c r="AF244" t="s">
        <v>352</v>
      </c>
      <c r="AG244">
        <v>370</v>
      </c>
      <c r="AH244" t="s">
        <v>352</v>
      </c>
      <c r="AI244">
        <v>57326773</v>
      </c>
      <c r="AJ244" t="s">
        <v>388</v>
      </c>
      <c r="AL244" t="s">
        <v>352</v>
      </c>
      <c r="AM244" s="2">
        <v>45324</v>
      </c>
      <c r="AN244" t="s">
        <v>389</v>
      </c>
      <c r="AO244" t="s">
        <v>359</v>
      </c>
      <c r="AP244">
        <v>1205</v>
      </c>
      <c r="AQ244" t="s">
        <v>360</v>
      </c>
      <c r="AR244" t="s">
        <v>390</v>
      </c>
      <c r="AU244" t="s">
        <v>352</v>
      </c>
      <c r="AV244" t="s">
        <v>362</v>
      </c>
      <c r="AX244">
        <v>24001007</v>
      </c>
      <c r="AY244">
        <v>630600</v>
      </c>
      <c r="AZ244">
        <v>1205.6306</v>
      </c>
      <c r="BA244" s="54" t="s">
        <v>84</v>
      </c>
    </row>
    <row r="245" spans="1:53">
      <c r="A245" t="s">
        <v>348</v>
      </c>
      <c r="B245" t="s">
        <v>349</v>
      </c>
      <c r="C245">
        <v>24001457</v>
      </c>
      <c r="D245">
        <v>1205</v>
      </c>
      <c r="E245" s="2">
        <v>45324</v>
      </c>
      <c r="F245" t="s">
        <v>388</v>
      </c>
      <c r="G245">
        <v>26.68</v>
      </c>
      <c r="H245">
        <v>26.68</v>
      </c>
      <c r="I245" t="s">
        <v>351</v>
      </c>
      <c r="J245" t="s">
        <v>351</v>
      </c>
      <c r="L245" s="61">
        <v>412000</v>
      </c>
      <c r="N245" s="61">
        <v>412000</v>
      </c>
      <c r="O245" t="s">
        <v>352</v>
      </c>
      <c r="Q245" t="s">
        <v>352</v>
      </c>
      <c r="R245" t="s">
        <v>353</v>
      </c>
      <c r="S245">
        <v>15439</v>
      </c>
      <c r="T245" t="s">
        <v>354</v>
      </c>
      <c r="U245" t="s">
        <v>355</v>
      </c>
      <c r="V245" t="s">
        <v>356</v>
      </c>
      <c r="W245" t="s">
        <v>357</v>
      </c>
      <c r="X245">
        <v>2097419</v>
      </c>
      <c r="Y245" s="2">
        <v>45324</v>
      </c>
      <c r="Z245" t="s">
        <v>352</v>
      </c>
      <c r="AA245">
        <v>1</v>
      </c>
      <c r="AB245" t="s">
        <v>352</v>
      </c>
      <c r="AD245" t="s">
        <v>352</v>
      </c>
      <c r="AE245" t="s">
        <v>352</v>
      </c>
      <c r="AF245" t="s">
        <v>352</v>
      </c>
      <c r="AG245">
        <v>206</v>
      </c>
      <c r="AH245" t="s">
        <v>352</v>
      </c>
      <c r="AI245">
        <v>57326773</v>
      </c>
      <c r="AJ245" t="s">
        <v>388</v>
      </c>
      <c r="AL245" t="s">
        <v>352</v>
      </c>
      <c r="AM245" s="2">
        <v>45324</v>
      </c>
      <c r="AN245" t="s">
        <v>389</v>
      </c>
      <c r="AO245" t="s">
        <v>359</v>
      </c>
      <c r="AP245">
        <v>1205</v>
      </c>
      <c r="AQ245" t="s">
        <v>360</v>
      </c>
      <c r="AR245" t="s">
        <v>390</v>
      </c>
      <c r="AU245" t="s">
        <v>352</v>
      </c>
      <c r="AV245" t="s">
        <v>362</v>
      </c>
      <c r="AX245">
        <v>24001007</v>
      </c>
      <c r="AY245">
        <v>630600</v>
      </c>
      <c r="AZ245">
        <v>1205.6306</v>
      </c>
      <c r="BA245" s="54" t="s">
        <v>84</v>
      </c>
    </row>
    <row r="246" spans="1:53">
      <c r="A246" t="s">
        <v>348</v>
      </c>
      <c r="B246" t="s">
        <v>349</v>
      </c>
      <c r="C246">
        <v>24001458</v>
      </c>
      <c r="D246">
        <v>1205</v>
      </c>
      <c r="E246" s="2">
        <v>45324</v>
      </c>
      <c r="F246" t="s">
        <v>388</v>
      </c>
      <c r="G246">
        <v>33.35</v>
      </c>
      <c r="H246">
        <v>33.35</v>
      </c>
      <c r="I246" t="s">
        <v>351</v>
      </c>
      <c r="J246" t="s">
        <v>351</v>
      </c>
      <c r="L246" s="61">
        <v>515000</v>
      </c>
      <c r="N246" s="61">
        <v>515000</v>
      </c>
      <c r="O246" t="s">
        <v>352</v>
      </c>
      <c r="Q246" t="s">
        <v>352</v>
      </c>
      <c r="R246" t="s">
        <v>353</v>
      </c>
      <c r="S246">
        <v>15439</v>
      </c>
      <c r="T246" t="s">
        <v>354</v>
      </c>
      <c r="U246" t="s">
        <v>355</v>
      </c>
      <c r="V246" t="s">
        <v>356</v>
      </c>
      <c r="W246" t="s">
        <v>357</v>
      </c>
      <c r="X246">
        <v>2097419</v>
      </c>
      <c r="Y246" s="2">
        <v>45324</v>
      </c>
      <c r="Z246" t="s">
        <v>352</v>
      </c>
      <c r="AA246">
        <v>1</v>
      </c>
      <c r="AB246" t="s">
        <v>352</v>
      </c>
      <c r="AD246" t="s">
        <v>352</v>
      </c>
      <c r="AE246" t="s">
        <v>352</v>
      </c>
      <c r="AF246" t="s">
        <v>352</v>
      </c>
      <c r="AG246">
        <v>206</v>
      </c>
      <c r="AH246" t="s">
        <v>352</v>
      </c>
      <c r="AI246">
        <v>57326773</v>
      </c>
      <c r="AJ246" t="s">
        <v>388</v>
      </c>
      <c r="AL246" t="s">
        <v>352</v>
      </c>
      <c r="AM246" s="2">
        <v>45324</v>
      </c>
      <c r="AN246" t="s">
        <v>389</v>
      </c>
      <c r="AO246" t="s">
        <v>359</v>
      </c>
      <c r="AP246">
        <v>1205</v>
      </c>
      <c r="AQ246" t="s">
        <v>360</v>
      </c>
      <c r="AR246" t="s">
        <v>390</v>
      </c>
      <c r="AU246" t="s">
        <v>352</v>
      </c>
      <c r="AV246" t="s">
        <v>362</v>
      </c>
      <c r="AX246">
        <v>24001007</v>
      </c>
      <c r="AY246">
        <v>630600</v>
      </c>
      <c r="AZ246">
        <v>1205.6306</v>
      </c>
      <c r="BA246" s="54" t="s">
        <v>84</v>
      </c>
    </row>
    <row r="247" spans="1:53">
      <c r="A247" t="s">
        <v>348</v>
      </c>
      <c r="B247" t="s">
        <v>349</v>
      </c>
      <c r="C247">
        <v>24001459</v>
      </c>
      <c r="D247">
        <v>1205</v>
      </c>
      <c r="E247" s="2">
        <v>45324</v>
      </c>
      <c r="F247" t="s">
        <v>388</v>
      </c>
      <c r="G247">
        <v>40.03</v>
      </c>
      <c r="H247">
        <v>40.03</v>
      </c>
      <c r="I247" t="s">
        <v>351</v>
      </c>
      <c r="J247" t="s">
        <v>351</v>
      </c>
      <c r="L247" s="61">
        <v>618000</v>
      </c>
      <c r="N247" s="61">
        <v>618000</v>
      </c>
      <c r="O247" t="s">
        <v>352</v>
      </c>
      <c r="Q247" t="s">
        <v>352</v>
      </c>
      <c r="R247" t="s">
        <v>353</v>
      </c>
      <c r="S247">
        <v>15439</v>
      </c>
      <c r="T247" t="s">
        <v>354</v>
      </c>
      <c r="U247" t="s">
        <v>355</v>
      </c>
      <c r="V247" t="s">
        <v>356</v>
      </c>
      <c r="W247" t="s">
        <v>357</v>
      </c>
      <c r="X247">
        <v>2097419</v>
      </c>
      <c r="Y247" s="2">
        <v>45324</v>
      </c>
      <c r="Z247" t="s">
        <v>352</v>
      </c>
      <c r="AA247">
        <v>1</v>
      </c>
      <c r="AB247" t="s">
        <v>352</v>
      </c>
      <c r="AD247" t="s">
        <v>352</v>
      </c>
      <c r="AE247" t="s">
        <v>352</v>
      </c>
      <c r="AF247" t="s">
        <v>352</v>
      </c>
      <c r="AG247">
        <v>206</v>
      </c>
      <c r="AH247" t="s">
        <v>352</v>
      </c>
      <c r="AI247">
        <v>57326773</v>
      </c>
      <c r="AJ247" t="s">
        <v>388</v>
      </c>
      <c r="AL247" t="s">
        <v>352</v>
      </c>
      <c r="AM247" s="2">
        <v>45324</v>
      </c>
      <c r="AN247" t="s">
        <v>389</v>
      </c>
      <c r="AO247" t="s">
        <v>359</v>
      </c>
      <c r="AP247">
        <v>1205</v>
      </c>
      <c r="AQ247" t="s">
        <v>360</v>
      </c>
      <c r="AR247" t="s">
        <v>390</v>
      </c>
      <c r="AU247" t="s">
        <v>352</v>
      </c>
      <c r="AV247" t="s">
        <v>362</v>
      </c>
      <c r="AX247">
        <v>24001007</v>
      </c>
      <c r="AY247">
        <v>630600</v>
      </c>
      <c r="AZ247">
        <v>1205.6306</v>
      </c>
      <c r="BA247" s="54" t="s">
        <v>84</v>
      </c>
    </row>
    <row r="248" spans="1:53">
      <c r="A248" t="s">
        <v>348</v>
      </c>
      <c r="B248" t="s">
        <v>349</v>
      </c>
      <c r="C248">
        <v>24001460</v>
      </c>
      <c r="D248">
        <v>1205</v>
      </c>
      <c r="E248" s="2">
        <v>45324</v>
      </c>
      <c r="F248" t="s">
        <v>388</v>
      </c>
      <c r="G248">
        <v>17.87</v>
      </c>
      <c r="H248">
        <v>17.87</v>
      </c>
      <c r="I248" t="s">
        <v>351</v>
      </c>
      <c r="J248" t="s">
        <v>351</v>
      </c>
      <c r="L248" s="61">
        <v>276000</v>
      </c>
      <c r="N248" s="61">
        <v>276000</v>
      </c>
      <c r="O248" t="s">
        <v>352</v>
      </c>
      <c r="Q248" t="s">
        <v>352</v>
      </c>
      <c r="R248" t="s">
        <v>353</v>
      </c>
      <c r="S248">
        <v>15439</v>
      </c>
      <c r="T248" t="s">
        <v>354</v>
      </c>
      <c r="U248" t="s">
        <v>355</v>
      </c>
      <c r="V248" t="s">
        <v>356</v>
      </c>
      <c r="W248" t="s">
        <v>357</v>
      </c>
      <c r="X248">
        <v>2097419</v>
      </c>
      <c r="Y248" s="2">
        <v>45324</v>
      </c>
      <c r="Z248" t="s">
        <v>352</v>
      </c>
      <c r="AA248">
        <v>1</v>
      </c>
      <c r="AB248" t="s">
        <v>352</v>
      </c>
      <c r="AD248" t="s">
        <v>352</v>
      </c>
      <c r="AE248" t="s">
        <v>352</v>
      </c>
      <c r="AF248" t="s">
        <v>352</v>
      </c>
      <c r="AG248">
        <v>138</v>
      </c>
      <c r="AH248" t="s">
        <v>352</v>
      </c>
      <c r="AI248">
        <v>57326773</v>
      </c>
      <c r="AJ248" t="s">
        <v>388</v>
      </c>
      <c r="AL248" t="s">
        <v>352</v>
      </c>
      <c r="AM248" s="2">
        <v>45324</v>
      </c>
      <c r="AN248" t="s">
        <v>389</v>
      </c>
      <c r="AO248" t="s">
        <v>359</v>
      </c>
      <c r="AP248">
        <v>1205</v>
      </c>
      <c r="AQ248" t="s">
        <v>360</v>
      </c>
      <c r="AR248" t="s">
        <v>390</v>
      </c>
      <c r="AU248" t="s">
        <v>352</v>
      </c>
      <c r="AV248" t="s">
        <v>362</v>
      </c>
      <c r="AX248">
        <v>24001007</v>
      </c>
      <c r="AY248">
        <v>630600</v>
      </c>
      <c r="AZ248">
        <v>1205.6306</v>
      </c>
      <c r="BA248" s="54" t="s">
        <v>84</v>
      </c>
    </row>
    <row r="249" spans="1:53">
      <c r="A249" t="s">
        <v>348</v>
      </c>
      <c r="B249" t="s">
        <v>349</v>
      </c>
      <c r="C249">
        <v>24001461</v>
      </c>
      <c r="D249">
        <v>1205</v>
      </c>
      <c r="E249" s="2">
        <v>45324</v>
      </c>
      <c r="F249" t="s">
        <v>388</v>
      </c>
      <c r="G249">
        <v>22.34</v>
      </c>
      <c r="H249">
        <v>22.34</v>
      </c>
      <c r="I249" t="s">
        <v>351</v>
      </c>
      <c r="J249" t="s">
        <v>351</v>
      </c>
      <c r="L249" s="61">
        <v>345000</v>
      </c>
      <c r="N249" s="61">
        <v>345000</v>
      </c>
      <c r="O249" t="s">
        <v>352</v>
      </c>
      <c r="Q249" t="s">
        <v>352</v>
      </c>
      <c r="R249" t="s">
        <v>353</v>
      </c>
      <c r="S249">
        <v>15439</v>
      </c>
      <c r="T249" t="s">
        <v>354</v>
      </c>
      <c r="U249" t="s">
        <v>355</v>
      </c>
      <c r="V249" t="s">
        <v>356</v>
      </c>
      <c r="W249" t="s">
        <v>357</v>
      </c>
      <c r="X249">
        <v>2097419</v>
      </c>
      <c r="Y249" s="2">
        <v>45324</v>
      </c>
      <c r="Z249" t="s">
        <v>352</v>
      </c>
      <c r="AA249">
        <v>1</v>
      </c>
      <c r="AB249" t="s">
        <v>352</v>
      </c>
      <c r="AD249" t="s">
        <v>352</v>
      </c>
      <c r="AE249" t="s">
        <v>352</v>
      </c>
      <c r="AF249" t="s">
        <v>352</v>
      </c>
      <c r="AG249">
        <v>138</v>
      </c>
      <c r="AH249" t="s">
        <v>352</v>
      </c>
      <c r="AI249">
        <v>57326773</v>
      </c>
      <c r="AJ249" t="s">
        <v>388</v>
      </c>
      <c r="AL249" t="s">
        <v>352</v>
      </c>
      <c r="AM249" s="2">
        <v>45324</v>
      </c>
      <c r="AN249" t="s">
        <v>389</v>
      </c>
      <c r="AO249" t="s">
        <v>359</v>
      </c>
      <c r="AP249">
        <v>1205</v>
      </c>
      <c r="AQ249" t="s">
        <v>360</v>
      </c>
      <c r="AR249" t="s">
        <v>390</v>
      </c>
      <c r="AU249" t="s">
        <v>352</v>
      </c>
      <c r="AV249" t="s">
        <v>362</v>
      </c>
      <c r="AX249">
        <v>24001007</v>
      </c>
      <c r="AY249">
        <v>630600</v>
      </c>
      <c r="AZ249">
        <v>1205.6306</v>
      </c>
      <c r="BA249" s="54" t="s">
        <v>84</v>
      </c>
    </row>
    <row r="250" spans="1:53">
      <c r="A250" t="s">
        <v>348</v>
      </c>
      <c r="B250" t="s">
        <v>349</v>
      </c>
      <c r="C250">
        <v>24001462</v>
      </c>
      <c r="D250">
        <v>1205</v>
      </c>
      <c r="E250" s="2">
        <v>45324</v>
      </c>
      <c r="F250" t="s">
        <v>388</v>
      </c>
      <c r="G250">
        <v>26.81</v>
      </c>
      <c r="H250">
        <v>26.81</v>
      </c>
      <c r="I250" t="s">
        <v>351</v>
      </c>
      <c r="J250" t="s">
        <v>351</v>
      </c>
      <c r="L250" s="61">
        <v>414000</v>
      </c>
      <c r="N250" s="61">
        <v>414000</v>
      </c>
      <c r="O250" t="s">
        <v>352</v>
      </c>
      <c r="Q250" t="s">
        <v>352</v>
      </c>
      <c r="R250" t="s">
        <v>353</v>
      </c>
      <c r="S250">
        <v>15439</v>
      </c>
      <c r="T250" t="s">
        <v>354</v>
      </c>
      <c r="U250" t="s">
        <v>355</v>
      </c>
      <c r="V250" t="s">
        <v>356</v>
      </c>
      <c r="W250" t="s">
        <v>357</v>
      </c>
      <c r="X250">
        <v>2097419</v>
      </c>
      <c r="Y250" s="2">
        <v>45324</v>
      </c>
      <c r="Z250" t="s">
        <v>352</v>
      </c>
      <c r="AA250">
        <v>1</v>
      </c>
      <c r="AB250" t="s">
        <v>352</v>
      </c>
      <c r="AD250" t="s">
        <v>352</v>
      </c>
      <c r="AE250" t="s">
        <v>352</v>
      </c>
      <c r="AF250" t="s">
        <v>352</v>
      </c>
      <c r="AG250">
        <v>138</v>
      </c>
      <c r="AH250" t="s">
        <v>352</v>
      </c>
      <c r="AI250">
        <v>57326773</v>
      </c>
      <c r="AJ250" t="s">
        <v>388</v>
      </c>
      <c r="AL250" t="s">
        <v>352</v>
      </c>
      <c r="AM250" s="2">
        <v>45324</v>
      </c>
      <c r="AN250" t="s">
        <v>389</v>
      </c>
      <c r="AO250" t="s">
        <v>359</v>
      </c>
      <c r="AP250">
        <v>1205</v>
      </c>
      <c r="AQ250" t="s">
        <v>360</v>
      </c>
      <c r="AR250" t="s">
        <v>390</v>
      </c>
      <c r="AU250" t="s">
        <v>352</v>
      </c>
      <c r="AV250" t="s">
        <v>362</v>
      </c>
      <c r="AX250">
        <v>24001007</v>
      </c>
      <c r="AY250">
        <v>630600</v>
      </c>
      <c r="AZ250">
        <v>1205.6306</v>
      </c>
      <c r="BA250" s="54" t="s">
        <v>84</v>
      </c>
    </row>
    <row r="251" spans="1:53">
      <c r="A251" t="s">
        <v>348</v>
      </c>
      <c r="B251" t="s">
        <v>349</v>
      </c>
      <c r="C251">
        <v>24001463</v>
      </c>
      <c r="D251">
        <v>1205</v>
      </c>
      <c r="E251" s="2">
        <v>45324</v>
      </c>
      <c r="F251" t="s">
        <v>388</v>
      </c>
      <c r="G251">
        <v>97.64</v>
      </c>
      <c r="H251">
        <v>97.64</v>
      </c>
      <c r="I251" t="s">
        <v>351</v>
      </c>
      <c r="J251" t="s">
        <v>351</v>
      </c>
      <c r="L251" s="61">
        <v>1508000</v>
      </c>
      <c r="N251" s="61">
        <v>1508000</v>
      </c>
      <c r="O251" t="s">
        <v>352</v>
      </c>
      <c r="Q251" t="s">
        <v>352</v>
      </c>
      <c r="R251" t="s">
        <v>353</v>
      </c>
      <c r="S251">
        <v>15439</v>
      </c>
      <c r="T251" t="s">
        <v>354</v>
      </c>
      <c r="U251" t="s">
        <v>355</v>
      </c>
      <c r="V251" t="s">
        <v>356</v>
      </c>
      <c r="W251" t="s">
        <v>357</v>
      </c>
      <c r="X251">
        <v>2097419</v>
      </c>
      <c r="Y251" s="2">
        <v>45324</v>
      </c>
      <c r="Z251" t="s">
        <v>352</v>
      </c>
      <c r="AA251">
        <v>1</v>
      </c>
      <c r="AB251" t="s">
        <v>352</v>
      </c>
      <c r="AD251" t="s">
        <v>352</v>
      </c>
      <c r="AE251" t="s">
        <v>352</v>
      </c>
      <c r="AF251" t="s">
        <v>352</v>
      </c>
      <c r="AG251">
        <v>754</v>
      </c>
      <c r="AH251" t="s">
        <v>352</v>
      </c>
      <c r="AI251">
        <v>57326773</v>
      </c>
      <c r="AJ251" t="s">
        <v>388</v>
      </c>
      <c r="AL251" t="s">
        <v>352</v>
      </c>
      <c r="AM251" s="2">
        <v>45324</v>
      </c>
      <c r="AN251" t="s">
        <v>389</v>
      </c>
      <c r="AO251" t="s">
        <v>359</v>
      </c>
      <c r="AP251">
        <v>1205</v>
      </c>
      <c r="AQ251" t="s">
        <v>360</v>
      </c>
      <c r="AR251" t="s">
        <v>390</v>
      </c>
      <c r="AU251" t="s">
        <v>352</v>
      </c>
      <c r="AV251" t="s">
        <v>362</v>
      </c>
      <c r="AX251">
        <v>24001007</v>
      </c>
      <c r="AY251">
        <v>630600</v>
      </c>
      <c r="AZ251">
        <v>1205.6306</v>
      </c>
      <c r="BA251" s="54" t="s">
        <v>84</v>
      </c>
    </row>
    <row r="252" spans="1:53">
      <c r="A252" t="s">
        <v>348</v>
      </c>
      <c r="B252" t="s">
        <v>349</v>
      </c>
      <c r="C252">
        <v>24001464</v>
      </c>
      <c r="D252">
        <v>1205</v>
      </c>
      <c r="E252" s="2">
        <v>45324</v>
      </c>
      <c r="F252" t="s">
        <v>388</v>
      </c>
      <c r="G252">
        <v>122.07</v>
      </c>
      <c r="H252">
        <v>122.07</v>
      </c>
      <c r="I252" t="s">
        <v>351</v>
      </c>
      <c r="J252" t="s">
        <v>351</v>
      </c>
      <c r="L252" s="61">
        <v>1885000</v>
      </c>
      <c r="N252" s="61">
        <v>1885000</v>
      </c>
      <c r="O252" t="s">
        <v>352</v>
      </c>
      <c r="Q252" t="s">
        <v>352</v>
      </c>
      <c r="R252" t="s">
        <v>353</v>
      </c>
      <c r="S252">
        <v>15439</v>
      </c>
      <c r="T252" t="s">
        <v>354</v>
      </c>
      <c r="U252" t="s">
        <v>355</v>
      </c>
      <c r="V252" t="s">
        <v>356</v>
      </c>
      <c r="W252" t="s">
        <v>357</v>
      </c>
      <c r="X252">
        <v>2097419</v>
      </c>
      <c r="Y252" s="2">
        <v>45324</v>
      </c>
      <c r="Z252" t="s">
        <v>352</v>
      </c>
      <c r="AA252">
        <v>1</v>
      </c>
      <c r="AB252" t="s">
        <v>352</v>
      </c>
      <c r="AD252" t="s">
        <v>352</v>
      </c>
      <c r="AE252" t="s">
        <v>352</v>
      </c>
      <c r="AF252" t="s">
        <v>352</v>
      </c>
      <c r="AG252">
        <v>754</v>
      </c>
      <c r="AH252" t="s">
        <v>352</v>
      </c>
      <c r="AI252">
        <v>57326773</v>
      </c>
      <c r="AJ252" t="s">
        <v>388</v>
      </c>
      <c r="AL252" t="s">
        <v>352</v>
      </c>
      <c r="AM252" s="2">
        <v>45324</v>
      </c>
      <c r="AN252" t="s">
        <v>389</v>
      </c>
      <c r="AO252" t="s">
        <v>359</v>
      </c>
      <c r="AP252">
        <v>1205</v>
      </c>
      <c r="AQ252" t="s">
        <v>360</v>
      </c>
      <c r="AR252" t="s">
        <v>390</v>
      </c>
      <c r="AU252" t="s">
        <v>352</v>
      </c>
      <c r="AV252" t="s">
        <v>362</v>
      </c>
      <c r="AX252">
        <v>24001007</v>
      </c>
      <c r="AY252">
        <v>630600</v>
      </c>
      <c r="AZ252">
        <v>1205.6306</v>
      </c>
      <c r="BA252" s="54" t="s">
        <v>84</v>
      </c>
    </row>
    <row r="253" spans="1:53">
      <c r="A253" t="s">
        <v>348</v>
      </c>
      <c r="B253" t="s">
        <v>349</v>
      </c>
      <c r="C253">
        <v>24001468</v>
      </c>
      <c r="D253">
        <v>1205</v>
      </c>
      <c r="E253" s="2">
        <v>45324</v>
      </c>
      <c r="F253" t="s">
        <v>554</v>
      </c>
      <c r="G253">
        <v>3.41</v>
      </c>
      <c r="H253">
        <v>3.41</v>
      </c>
      <c r="I253" t="s">
        <v>351</v>
      </c>
      <c r="J253" t="s">
        <v>351</v>
      </c>
      <c r="L253" s="61">
        <v>52700</v>
      </c>
      <c r="N253" s="61">
        <v>52700</v>
      </c>
      <c r="O253" t="s">
        <v>352</v>
      </c>
      <c r="Q253" t="s">
        <v>352</v>
      </c>
      <c r="R253" t="s">
        <v>353</v>
      </c>
      <c r="S253">
        <v>15439</v>
      </c>
      <c r="T253" t="s">
        <v>354</v>
      </c>
      <c r="U253" t="s">
        <v>355</v>
      </c>
      <c r="V253" t="s">
        <v>356</v>
      </c>
      <c r="W253" t="s">
        <v>357</v>
      </c>
      <c r="X253">
        <v>2097447</v>
      </c>
      <c r="Y253" s="2">
        <v>45324</v>
      </c>
      <c r="Z253" t="s">
        <v>352</v>
      </c>
      <c r="AA253">
        <v>1</v>
      </c>
      <c r="AB253" t="s">
        <v>352</v>
      </c>
      <c r="AD253" t="s">
        <v>352</v>
      </c>
      <c r="AE253" t="s">
        <v>352</v>
      </c>
      <c r="AF253" t="s">
        <v>352</v>
      </c>
      <c r="AG253">
        <v>31</v>
      </c>
      <c r="AH253" t="s">
        <v>352</v>
      </c>
      <c r="AI253">
        <v>57341703</v>
      </c>
      <c r="AJ253" t="s">
        <v>554</v>
      </c>
      <c r="AL253" t="s">
        <v>352</v>
      </c>
      <c r="AM253" s="2">
        <v>45324</v>
      </c>
      <c r="AN253" t="s">
        <v>389</v>
      </c>
      <c r="AO253" t="s">
        <v>359</v>
      </c>
      <c r="AP253">
        <v>1205</v>
      </c>
      <c r="AQ253" t="s">
        <v>360</v>
      </c>
      <c r="AR253" t="s">
        <v>555</v>
      </c>
      <c r="AU253" t="s">
        <v>352</v>
      </c>
      <c r="AV253" t="s">
        <v>362</v>
      </c>
      <c r="AX253">
        <v>24001006</v>
      </c>
      <c r="AY253">
        <v>630600</v>
      </c>
      <c r="AZ253">
        <v>1205.6306</v>
      </c>
      <c r="BA253" s="54" t="s">
        <v>84</v>
      </c>
    </row>
    <row r="254" spans="1:53">
      <c r="A254" t="s">
        <v>348</v>
      </c>
      <c r="B254" t="s">
        <v>349</v>
      </c>
      <c r="C254">
        <v>24001469</v>
      </c>
      <c r="D254">
        <v>1205</v>
      </c>
      <c r="E254" s="2">
        <v>45324</v>
      </c>
      <c r="F254" t="s">
        <v>554</v>
      </c>
      <c r="G254">
        <v>34.35</v>
      </c>
      <c r="H254">
        <v>34.35</v>
      </c>
      <c r="I254" t="s">
        <v>351</v>
      </c>
      <c r="J254" t="s">
        <v>351</v>
      </c>
      <c r="L254" s="61">
        <v>530400</v>
      </c>
      <c r="N254" s="61">
        <v>530400</v>
      </c>
      <c r="O254" t="s">
        <v>352</v>
      </c>
      <c r="Q254" t="s">
        <v>352</v>
      </c>
      <c r="R254" t="s">
        <v>353</v>
      </c>
      <c r="S254">
        <v>15439</v>
      </c>
      <c r="T254" t="s">
        <v>354</v>
      </c>
      <c r="U254" t="s">
        <v>355</v>
      </c>
      <c r="V254" t="s">
        <v>356</v>
      </c>
      <c r="W254" t="s">
        <v>357</v>
      </c>
      <c r="X254">
        <v>2097447</v>
      </c>
      <c r="Y254" s="2">
        <v>45324</v>
      </c>
      <c r="Z254" t="s">
        <v>352</v>
      </c>
      <c r="AA254">
        <v>1</v>
      </c>
      <c r="AB254" t="s">
        <v>352</v>
      </c>
      <c r="AD254" t="s">
        <v>352</v>
      </c>
      <c r="AE254" t="s">
        <v>352</v>
      </c>
      <c r="AF254" t="s">
        <v>352</v>
      </c>
      <c r="AG254">
        <v>312</v>
      </c>
      <c r="AH254" t="s">
        <v>352</v>
      </c>
      <c r="AI254">
        <v>57341703</v>
      </c>
      <c r="AJ254" t="s">
        <v>554</v>
      </c>
      <c r="AL254" t="s">
        <v>352</v>
      </c>
      <c r="AM254" s="2">
        <v>45324</v>
      </c>
      <c r="AN254" t="s">
        <v>389</v>
      </c>
      <c r="AO254" t="s">
        <v>359</v>
      </c>
      <c r="AP254">
        <v>1205</v>
      </c>
      <c r="AQ254" t="s">
        <v>360</v>
      </c>
      <c r="AR254" t="s">
        <v>555</v>
      </c>
      <c r="AU254" t="s">
        <v>352</v>
      </c>
      <c r="AV254" t="s">
        <v>362</v>
      </c>
      <c r="AX254">
        <v>24001006</v>
      </c>
      <c r="AY254">
        <v>630600</v>
      </c>
      <c r="AZ254">
        <v>1205.6306</v>
      </c>
      <c r="BA254" s="54" t="s">
        <v>84</v>
      </c>
    </row>
    <row r="255" spans="1:53">
      <c r="A255" t="s">
        <v>348</v>
      </c>
      <c r="B255" t="s">
        <v>349</v>
      </c>
      <c r="C255">
        <v>24001470</v>
      </c>
      <c r="D255">
        <v>1205</v>
      </c>
      <c r="E255" s="2">
        <v>45324</v>
      </c>
      <c r="F255" t="s">
        <v>554</v>
      </c>
      <c r="G255">
        <v>26.97</v>
      </c>
      <c r="H255">
        <v>26.97</v>
      </c>
      <c r="I255" t="s">
        <v>351</v>
      </c>
      <c r="J255" t="s">
        <v>351</v>
      </c>
      <c r="L255" s="61">
        <v>416500</v>
      </c>
      <c r="N255" s="61">
        <v>416500</v>
      </c>
      <c r="O255" t="s">
        <v>352</v>
      </c>
      <c r="Q255" t="s">
        <v>352</v>
      </c>
      <c r="R255" t="s">
        <v>353</v>
      </c>
      <c r="S255">
        <v>15439</v>
      </c>
      <c r="T255" t="s">
        <v>354</v>
      </c>
      <c r="U255" t="s">
        <v>355</v>
      </c>
      <c r="V255" t="s">
        <v>356</v>
      </c>
      <c r="W255" t="s">
        <v>357</v>
      </c>
      <c r="X255">
        <v>2097447</v>
      </c>
      <c r="Y255" s="2">
        <v>45324</v>
      </c>
      <c r="Z255" t="s">
        <v>352</v>
      </c>
      <c r="AA255">
        <v>1</v>
      </c>
      <c r="AB255" t="s">
        <v>352</v>
      </c>
      <c r="AD255" t="s">
        <v>352</v>
      </c>
      <c r="AE255" t="s">
        <v>352</v>
      </c>
      <c r="AF255" t="s">
        <v>352</v>
      </c>
      <c r="AG255">
        <v>245</v>
      </c>
      <c r="AH255" t="s">
        <v>352</v>
      </c>
      <c r="AI255">
        <v>57341703</v>
      </c>
      <c r="AJ255" t="s">
        <v>554</v>
      </c>
      <c r="AL255" t="s">
        <v>352</v>
      </c>
      <c r="AM255" s="2">
        <v>45324</v>
      </c>
      <c r="AN255" t="s">
        <v>389</v>
      </c>
      <c r="AO255" t="s">
        <v>359</v>
      </c>
      <c r="AP255">
        <v>1205</v>
      </c>
      <c r="AQ255" t="s">
        <v>360</v>
      </c>
      <c r="AR255" t="s">
        <v>555</v>
      </c>
      <c r="AU255" t="s">
        <v>352</v>
      </c>
      <c r="AV255" t="s">
        <v>362</v>
      </c>
      <c r="AX255">
        <v>24001006</v>
      </c>
      <c r="AY255">
        <v>630600</v>
      </c>
      <c r="AZ255">
        <v>1205.6306</v>
      </c>
      <c r="BA255" s="54" t="s">
        <v>84</v>
      </c>
    </row>
    <row r="256" spans="1:53">
      <c r="A256" t="s">
        <v>348</v>
      </c>
      <c r="B256" t="s">
        <v>349</v>
      </c>
      <c r="C256">
        <v>24001471</v>
      </c>
      <c r="D256">
        <v>1205</v>
      </c>
      <c r="E256" s="2">
        <v>45324</v>
      </c>
      <c r="F256" t="s">
        <v>554</v>
      </c>
      <c r="G256">
        <v>25.98</v>
      </c>
      <c r="H256">
        <v>25.98</v>
      </c>
      <c r="I256" t="s">
        <v>351</v>
      </c>
      <c r="J256" t="s">
        <v>351</v>
      </c>
      <c r="L256" s="61">
        <v>401200</v>
      </c>
      <c r="N256" s="61">
        <v>401200</v>
      </c>
      <c r="O256" t="s">
        <v>352</v>
      </c>
      <c r="Q256" t="s">
        <v>352</v>
      </c>
      <c r="R256" t="s">
        <v>353</v>
      </c>
      <c r="S256">
        <v>15439</v>
      </c>
      <c r="T256" t="s">
        <v>354</v>
      </c>
      <c r="U256" t="s">
        <v>355</v>
      </c>
      <c r="V256" t="s">
        <v>356</v>
      </c>
      <c r="W256" t="s">
        <v>357</v>
      </c>
      <c r="X256">
        <v>2097447</v>
      </c>
      <c r="Y256" s="2">
        <v>45324</v>
      </c>
      <c r="Z256" t="s">
        <v>352</v>
      </c>
      <c r="AA256">
        <v>1</v>
      </c>
      <c r="AB256" t="s">
        <v>352</v>
      </c>
      <c r="AD256" t="s">
        <v>352</v>
      </c>
      <c r="AE256" t="s">
        <v>352</v>
      </c>
      <c r="AF256" t="s">
        <v>352</v>
      </c>
      <c r="AG256">
        <v>236</v>
      </c>
      <c r="AH256" t="s">
        <v>352</v>
      </c>
      <c r="AI256">
        <v>57341703</v>
      </c>
      <c r="AJ256" t="s">
        <v>554</v>
      </c>
      <c r="AL256" t="s">
        <v>352</v>
      </c>
      <c r="AM256" s="2">
        <v>45324</v>
      </c>
      <c r="AN256" t="s">
        <v>389</v>
      </c>
      <c r="AO256" t="s">
        <v>359</v>
      </c>
      <c r="AP256">
        <v>1205</v>
      </c>
      <c r="AQ256" t="s">
        <v>360</v>
      </c>
      <c r="AR256" t="s">
        <v>555</v>
      </c>
      <c r="AU256" t="s">
        <v>352</v>
      </c>
      <c r="AV256" t="s">
        <v>362</v>
      </c>
      <c r="AX256">
        <v>24001006</v>
      </c>
      <c r="AY256">
        <v>630600</v>
      </c>
      <c r="AZ256">
        <v>1205.6306</v>
      </c>
      <c r="BA256" s="54" t="s">
        <v>84</v>
      </c>
    </row>
    <row r="257" spans="1:53">
      <c r="A257" t="s">
        <v>391</v>
      </c>
      <c r="B257" t="s">
        <v>392</v>
      </c>
      <c r="C257">
        <v>24001368</v>
      </c>
      <c r="D257">
        <v>1201</v>
      </c>
      <c r="E257" s="2">
        <v>45324</v>
      </c>
      <c r="F257" t="s">
        <v>556</v>
      </c>
      <c r="G257">
        <v>335.38</v>
      </c>
      <c r="H257">
        <v>335.38</v>
      </c>
      <c r="I257" t="s">
        <v>351</v>
      </c>
      <c r="J257" t="s">
        <v>351</v>
      </c>
      <c r="L257" s="61">
        <v>5300000</v>
      </c>
      <c r="N257" s="61">
        <v>5300000</v>
      </c>
      <c r="O257" t="s">
        <v>352</v>
      </c>
      <c r="Q257" t="s">
        <v>352</v>
      </c>
      <c r="R257" t="s">
        <v>353</v>
      </c>
      <c r="S257">
        <v>15803</v>
      </c>
      <c r="T257" t="s">
        <v>354</v>
      </c>
      <c r="U257" t="s">
        <v>355</v>
      </c>
      <c r="V257" t="s">
        <v>394</v>
      </c>
      <c r="W257" t="s">
        <v>395</v>
      </c>
      <c r="X257">
        <v>2097374</v>
      </c>
      <c r="Y257" s="2">
        <v>45324</v>
      </c>
      <c r="Z257" t="s">
        <v>352</v>
      </c>
      <c r="AA257">
        <v>1</v>
      </c>
      <c r="AB257" t="s">
        <v>352</v>
      </c>
      <c r="AD257" t="s">
        <v>352</v>
      </c>
      <c r="AE257" t="s">
        <v>352</v>
      </c>
      <c r="AF257" t="s">
        <v>352</v>
      </c>
      <c r="AG257">
        <v>1</v>
      </c>
      <c r="AH257" t="s">
        <v>352</v>
      </c>
      <c r="AI257">
        <v>57389336</v>
      </c>
      <c r="AJ257" t="s">
        <v>556</v>
      </c>
      <c r="AL257" s="2">
        <v>45317</v>
      </c>
      <c r="AM257" s="2">
        <v>45317</v>
      </c>
      <c r="AN257" t="s">
        <v>530</v>
      </c>
      <c r="AO257" t="s">
        <v>359</v>
      </c>
      <c r="AP257">
        <v>1201</v>
      </c>
      <c r="AQ257" t="s">
        <v>360</v>
      </c>
      <c r="AR257" t="s">
        <v>557</v>
      </c>
      <c r="AU257" t="s">
        <v>352</v>
      </c>
      <c r="AV257" t="s">
        <v>362</v>
      </c>
      <c r="AX257">
        <v>24001165</v>
      </c>
      <c r="AY257">
        <v>630710</v>
      </c>
      <c r="AZ257">
        <v>1201.6307099999999</v>
      </c>
      <c r="BA257" s="54" t="s">
        <v>27</v>
      </c>
    </row>
    <row r="258" spans="1:53">
      <c r="A258" t="s">
        <v>348</v>
      </c>
      <c r="B258" t="s">
        <v>349</v>
      </c>
      <c r="C258">
        <v>24001368</v>
      </c>
      <c r="D258">
        <v>1201</v>
      </c>
      <c r="E258" s="2">
        <v>45327</v>
      </c>
      <c r="F258" t="s">
        <v>599</v>
      </c>
      <c r="G258">
        <v>468.26</v>
      </c>
      <c r="H258">
        <v>468.26</v>
      </c>
      <c r="I258" t="s">
        <v>352</v>
      </c>
      <c r="J258" t="s">
        <v>352</v>
      </c>
      <c r="L258" s="61">
        <v>7400000</v>
      </c>
      <c r="N258" s="61">
        <v>7400000</v>
      </c>
      <c r="O258" t="s">
        <v>352</v>
      </c>
      <c r="Q258" t="s">
        <v>352</v>
      </c>
      <c r="R258" t="s">
        <v>353</v>
      </c>
      <c r="S258">
        <v>15803</v>
      </c>
      <c r="T258" t="s">
        <v>354</v>
      </c>
      <c r="U258" t="s">
        <v>355</v>
      </c>
      <c r="V258" t="s">
        <v>356</v>
      </c>
      <c r="W258" t="s">
        <v>357</v>
      </c>
      <c r="X258">
        <v>2098058</v>
      </c>
      <c r="Y258" s="2">
        <v>45327</v>
      </c>
      <c r="Z258" t="s">
        <v>352</v>
      </c>
      <c r="AA258">
        <v>1</v>
      </c>
      <c r="AB258" t="s">
        <v>352</v>
      </c>
      <c r="AD258" t="s">
        <v>352</v>
      </c>
      <c r="AE258" t="s">
        <v>352</v>
      </c>
      <c r="AF258" t="s">
        <v>352</v>
      </c>
      <c r="AG258">
        <v>4</v>
      </c>
      <c r="AH258" t="s">
        <v>352</v>
      </c>
      <c r="AI258">
        <v>56202285</v>
      </c>
      <c r="AJ258" t="s">
        <v>599</v>
      </c>
      <c r="AL258" t="s">
        <v>352</v>
      </c>
      <c r="AM258" s="2">
        <v>45327</v>
      </c>
      <c r="AN258" t="s">
        <v>590</v>
      </c>
      <c r="AO258" t="s">
        <v>590</v>
      </c>
      <c r="AP258">
        <v>1201</v>
      </c>
      <c r="AQ258" t="s">
        <v>360</v>
      </c>
      <c r="AR258" t="s">
        <v>600</v>
      </c>
      <c r="AU258" t="s">
        <v>352</v>
      </c>
      <c r="AV258" t="s">
        <v>362</v>
      </c>
      <c r="AX258">
        <v>24001171</v>
      </c>
      <c r="AY258">
        <v>630720</v>
      </c>
      <c r="AZ258">
        <v>1201.6307200000001</v>
      </c>
      <c r="BA258" s="54" t="s">
        <v>115</v>
      </c>
    </row>
    <row r="259" spans="1:53">
      <c r="A259" t="s">
        <v>348</v>
      </c>
      <c r="B259" t="s">
        <v>349</v>
      </c>
      <c r="C259">
        <v>24001771</v>
      </c>
      <c r="D259">
        <v>1204</v>
      </c>
      <c r="E259" s="2">
        <v>45324</v>
      </c>
      <c r="F259" t="s">
        <v>558</v>
      </c>
      <c r="G259">
        <v>110.74</v>
      </c>
      <c r="H259">
        <v>110.74</v>
      </c>
      <c r="I259" t="s">
        <v>351</v>
      </c>
      <c r="J259" t="s">
        <v>351</v>
      </c>
      <c r="L259" s="61">
        <v>1750000</v>
      </c>
      <c r="N259" s="61">
        <v>1750000</v>
      </c>
      <c r="O259" t="s">
        <v>352</v>
      </c>
      <c r="Q259" t="s">
        <v>352</v>
      </c>
      <c r="R259" t="s">
        <v>353</v>
      </c>
      <c r="S259">
        <v>15803</v>
      </c>
      <c r="T259" t="s">
        <v>354</v>
      </c>
      <c r="U259" t="s">
        <v>355</v>
      </c>
      <c r="V259" t="s">
        <v>356</v>
      </c>
      <c r="W259" t="s">
        <v>357</v>
      </c>
      <c r="X259">
        <v>2097554</v>
      </c>
      <c r="Y259" s="2">
        <v>45324</v>
      </c>
      <c r="Z259" t="s">
        <v>352</v>
      </c>
      <c r="AA259">
        <v>1</v>
      </c>
      <c r="AB259" t="s">
        <v>352</v>
      </c>
      <c r="AD259" t="s">
        <v>352</v>
      </c>
      <c r="AE259" t="s">
        <v>352</v>
      </c>
      <c r="AF259" t="s">
        <v>352</v>
      </c>
      <c r="AG259">
        <v>1</v>
      </c>
      <c r="AH259" t="s">
        <v>352</v>
      </c>
      <c r="AI259">
        <v>56294618</v>
      </c>
      <c r="AJ259" t="s">
        <v>558</v>
      </c>
      <c r="AL259" t="s">
        <v>352</v>
      </c>
      <c r="AM259" s="2">
        <v>45324</v>
      </c>
      <c r="AN259" t="s">
        <v>358</v>
      </c>
      <c r="AO259" t="s">
        <v>359</v>
      </c>
      <c r="AP259">
        <v>1204</v>
      </c>
      <c r="AQ259" t="s">
        <v>360</v>
      </c>
      <c r="AR259" t="s">
        <v>559</v>
      </c>
      <c r="AU259" t="s">
        <v>352</v>
      </c>
      <c r="AV259" t="s">
        <v>362</v>
      </c>
      <c r="AX259">
        <v>24001035</v>
      </c>
      <c r="AY259">
        <v>630720</v>
      </c>
      <c r="AZ259">
        <v>1204.6307200000001</v>
      </c>
      <c r="BA259" s="54" t="s">
        <v>119</v>
      </c>
    </row>
    <row r="260" spans="1:53">
      <c r="A260" t="s">
        <v>391</v>
      </c>
      <c r="B260" t="s">
        <v>392</v>
      </c>
      <c r="C260">
        <v>24001312</v>
      </c>
      <c r="D260">
        <v>1201</v>
      </c>
      <c r="E260" s="2">
        <v>45323</v>
      </c>
      <c r="F260" t="s">
        <v>403</v>
      </c>
      <c r="G260">
        <v>28.5</v>
      </c>
      <c r="H260">
        <v>28.5</v>
      </c>
      <c r="I260" t="s">
        <v>351</v>
      </c>
      <c r="J260" t="s">
        <v>351</v>
      </c>
      <c r="L260" s="61">
        <v>440000</v>
      </c>
      <c r="N260" s="61">
        <v>440000</v>
      </c>
      <c r="O260" t="s">
        <v>352</v>
      </c>
      <c r="Q260" t="s">
        <v>352</v>
      </c>
      <c r="R260" t="s">
        <v>353</v>
      </c>
      <c r="S260">
        <v>15439</v>
      </c>
      <c r="T260" t="s">
        <v>354</v>
      </c>
      <c r="U260" t="s">
        <v>355</v>
      </c>
      <c r="V260" t="s">
        <v>394</v>
      </c>
      <c r="W260" t="s">
        <v>395</v>
      </c>
      <c r="X260">
        <v>2096296</v>
      </c>
      <c r="Y260" s="2">
        <v>45320</v>
      </c>
      <c r="Z260" t="s">
        <v>352</v>
      </c>
      <c r="AA260">
        <v>1</v>
      </c>
      <c r="AB260" t="s">
        <v>352</v>
      </c>
      <c r="AD260" t="s">
        <v>352</v>
      </c>
      <c r="AE260" t="s">
        <v>352</v>
      </c>
      <c r="AF260" t="s">
        <v>352</v>
      </c>
      <c r="AG260">
        <v>1</v>
      </c>
      <c r="AH260" t="s">
        <v>352</v>
      </c>
      <c r="AI260">
        <v>57408832</v>
      </c>
      <c r="AJ260" t="s">
        <v>403</v>
      </c>
      <c r="AL260" t="s">
        <v>404</v>
      </c>
      <c r="AM260" s="2">
        <v>45290</v>
      </c>
      <c r="AN260" t="s">
        <v>397</v>
      </c>
      <c r="AO260" t="s">
        <v>359</v>
      </c>
      <c r="AP260">
        <v>1201</v>
      </c>
      <c r="AQ260" t="s">
        <v>360</v>
      </c>
      <c r="AR260" t="s">
        <v>405</v>
      </c>
      <c r="AU260" t="s">
        <v>352</v>
      </c>
      <c r="AV260" t="s">
        <v>362</v>
      </c>
      <c r="AX260">
        <v>24001043</v>
      </c>
      <c r="AY260">
        <v>631100</v>
      </c>
      <c r="AZ260">
        <v>1201.6311000000001</v>
      </c>
      <c r="BA260" s="54" t="s">
        <v>42</v>
      </c>
    </row>
    <row r="261" spans="1:53">
      <c r="A261" t="s">
        <v>391</v>
      </c>
      <c r="B261" t="s">
        <v>392</v>
      </c>
      <c r="C261">
        <v>24001313</v>
      </c>
      <c r="D261">
        <v>1201</v>
      </c>
      <c r="E261" s="2">
        <v>45323</v>
      </c>
      <c r="F261" t="s">
        <v>406</v>
      </c>
      <c r="G261">
        <v>32.520000000000003</v>
      </c>
      <c r="H261">
        <v>32.520000000000003</v>
      </c>
      <c r="I261" t="s">
        <v>351</v>
      </c>
      <c r="J261" t="s">
        <v>351</v>
      </c>
      <c r="L261" s="61">
        <v>502091</v>
      </c>
      <c r="N261" s="61">
        <v>502091</v>
      </c>
      <c r="O261" t="s">
        <v>352</v>
      </c>
      <c r="Q261" t="s">
        <v>352</v>
      </c>
      <c r="R261" t="s">
        <v>353</v>
      </c>
      <c r="S261">
        <v>15439</v>
      </c>
      <c r="T261" t="s">
        <v>354</v>
      </c>
      <c r="U261" t="s">
        <v>355</v>
      </c>
      <c r="V261" t="s">
        <v>394</v>
      </c>
      <c r="W261" t="s">
        <v>395</v>
      </c>
      <c r="X261">
        <v>2096296</v>
      </c>
      <c r="Y261" s="2">
        <v>45320</v>
      </c>
      <c r="Z261" t="s">
        <v>352</v>
      </c>
      <c r="AA261">
        <v>1</v>
      </c>
      <c r="AB261" t="s">
        <v>352</v>
      </c>
      <c r="AD261" t="s">
        <v>352</v>
      </c>
      <c r="AE261" t="s">
        <v>352</v>
      </c>
      <c r="AF261" t="s">
        <v>352</v>
      </c>
      <c r="AG261">
        <v>1</v>
      </c>
      <c r="AH261" t="s">
        <v>352</v>
      </c>
      <c r="AI261">
        <v>55113299</v>
      </c>
      <c r="AJ261" t="s">
        <v>406</v>
      </c>
      <c r="AL261" t="s">
        <v>404</v>
      </c>
      <c r="AM261" s="2">
        <v>45290</v>
      </c>
      <c r="AN261" t="s">
        <v>397</v>
      </c>
      <c r="AO261" t="s">
        <v>359</v>
      </c>
      <c r="AP261">
        <v>1201</v>
      </c>
      <c r="AQ261" t="s">
        <v>360</v>
      </c>
      <c r="AR261" t="s">
        <v>405</v>
      </c>
      <c r="AU261" t="s">
        <v>352</v>
      </c>
      <c r="AV261" t="s">
        <v>362</v>
      </c>
      <c r="AX261">
        <v>24001044</v>
      </c>
      <c r="AY261">
        <v>631100</v>
      </c>
      <c r="AZ261">
        <v>1201.6311000000001</v>
      </c>
      <c r="BA261" s="54" t="s">
        <v>42</v>
      </c>
    </row>
    <row r="262" spans="1:53">
      <c r="A262" t="s">
        <v>391</v>
      </c>
      <c r="B262" t="s">
        <v>392</v>
      </c>
      <c r="C262">
        <v>24001314</v>
      </c>
      <c r="D262">
        <v>1201</v>
      </c>
      <c r="E262" s="2">
        <v>45323</v>
      </c>
      <c r="F262" t="s">
        <v>406</v>
      </c>
      <c r="G262">
        <v>32.520000000000003</v>
      </c>
      <c r="H262">
        <v>32.520000000000003</v>
      </c>
      <c r="I262" t="s">
        <v>351</v>
      </c>
      <c r="J262" t="s">
        <v>351</v>
      </c>
      <c r="L262" s="61">
        <v>502091</v>
      </c>
      <c r="N262" s="61">
        <v>502091</v>
      </c>
      <c r="O262" t="s">
        <v>352</v>
      </c>
      <c r="Q262" t="s">
        <v>352</v>
      </c>
      <c r="R262" t="s">
        <v>353</v>
      </c>
      <c r="S262">
        <v>15439</v>
      </c>
      <c r="T262" t="s">
        <v>354</v>
      </c>
      <c r="U262" t="s">
        <v>355</v>
      </c>
      <c r="V262" t="s">
        <v>394</v>
      </c>
      <c r="W262" t="s">
        <v>395</v>
      </c>
      <c r="X262">
        <v>2096296</v>
      </c>
      <c r="Y262" s="2">
        <v>45320</v>
      </c>
      <c r="Z262" t="s">
        <v>352</v>
      </c>
      <c r="AA262">
        <v>1</v>
      </c>
      <c r="AB262" t="s">
        <v>352</v>
      </c>
      <c r="AD262" t="s">
        <v>352</v>
      </c>
      <c r="AE262" t="s">
        <v>352</v>
      </c>
      <c r="AF262" t="s">
        <v>352</v>
      </c>
      <c r="AG262">
        <v>1</v>
      </c>
      <c r="AH262" t="s">
        <v>352</v>
      </c>
      <c r="AI262">
        <v>55113299</v>
      </c>
      <c r="AJ262" t="s">
        <v>406</v>
      </c>
      <c r="AL262" t="s">
        <v>404</v>
      </c>
      <c r="AM262" s="2">
        <v>45290</v>
      </c>
      <c r="AN262" t="s">
        <v>397</v>
      </c>
      <c r="AO262" t="s">
        <v>359</v>
      </c>
      <c r="AP262">
        <v>1201</v>
      </c>
      <c r="AQ262" t="s">
        <v>360</v>
      </c>
      <c r="AR262" t="s">
        <v>405</v>
      </c>
      <c r="AU262" t="s">
        <v>352</v>
      </c>
      <c r="AV262" t="s">
        <v>362</v>
      </c>
      <c r="AX262">
        <v>24001044</v>
      </c>
      <c r="AY262">
        <v>631100</v>
      </c>
      <c r="AZ262">
        <v>1201.6311000000001</v>
      </c>
      <c r="BA262" s="54" t="s">
        <v>42</v>
      </c>
    </row>
    <row r="263" spans="1:53">
      <c r="A263" t="s">
        <v>391</v>
      </c>
      <c r="B263" t="s">
        <v>392</v>
      </c>
      <c r="C263">
        <v>24001315</v>
      </c>
      <c r="D263">
        <v>1201</v>
      </c>
      <c r="E263" s="2">
        <v>45323</v>
      </c>
      <c r="F263" t="s">
        <v>406</v>
      </c>
      <c r="G263">
        <v>32.520000000000003</v>
      </c>
      <c r="H263">
        <v>32.520000000000003</v>
      </c>
      <c r="I263" t="s">
        <v>351</v>
      </c>
      <c r="J263" t="s">
        <v>351</v>
      </c>
      <c r="L263" s="61">
        <v>502091</v>
      </c>
      <c r="N263" s="61">
        <v>502091</v>
      </c>
      <c r="O263" t="s">
        <v>352</v>
      </c>
      <c r="Q263" t="s">
        <v>352</v>
      </c>
      <c r="R263" t="s">
        <v>353</v>
      </c>
      <c r="S263">
        <v>15439</v>
      </c>
      <c r="T263" t="s">
        <v>354</v>
      </c>
      <c r="U263" t="s">
        <v>355</v>
      </c>
      <c r="V263" t="s">
        <v>394</v>
      </c>
      <c r="W263" t="s">
        <v>395</v>
      </c>
      <c r="X263">
        <v>2096296</v>
      </c>
      <c r="Y263" s="2">
        <v>45320</v>
      </c>
      <c r="Z263" t="s">
        <v>352</v>
      </c>
      <c r="AA263">
        <v>1</v>
      </c>
      <c r="AB263" t="s">
        <v>352</v>
      </c>
      <c r="AD263" t="s">
        <v>352</v>
      </c>
      <c r="AE263" t="s">
        <v>352</v>
      </c>
      <c r="AF263" t="s">
        <v>352</v>
      </c>
      <c r="AG263">
        <v>1</v>
      </c>
      <c r="AH263" t="s">
        <v>352</v>
      </c>
      <c r="AI263">
        <v>55113299</v>
      </c>
      <c r="AJ263" t="s">
        <v>406</v>
      </c>
      <c r="AL263" t="s">
        <v>404</v>
      </c>
      <c r="AM263" s="2">
        <v>45290</v>
      </c>
      <c r="AN263" t="s">
        <v>397</v>
      </c>
      <c r="AO263" t="s">
        <v>359</v>
      </c>
      <c r="AP263">
        <v>1201</v>
      </c>
      <c r="AQ263" t="s">
        <v>360</v>
      </c>
      <c r="AR263" t="s">
        <v>405</v>
      </c>
      <c r="AU263" t="s">
        <v>352</v>
      </c>
      <c r="AV263" t="s">
        <v>362</v>
      </c>
      <c r="AX263">
        <v>24001044</v>
      </c>
      <c r="AY263">
        <v>631100</v>
      </c>
      <c r="AZ263">
        <v>1201.6311000000001</v>
      </c>
      <c r="BA263" s="54" t="s">
        <v>42</v>
      </c>
    </row>
    <row r="264" spans="1:53">
      <c r="A264" t="s">
        <v>391</v>
      </c>
      <c r="B264" t="s">
        <v>392</v>
      </c>
      <c r="C264">
        <v>24001358</v>
      </c>
      <c r="D264">
        <v>1201</v>
      </c>
      <c r="E264" s="2">
        <v>45323</v>
      </c>
      <c r="F264" t="s">
        <v>406</v>
      </c>
      <c r="G264">
        <v>31.77</v>
      </c>
      <c r="H264">
        <v>31.77</v>
      </c>
      <c r="I264" t="s">
        <v>351</v>
      </c>
      <c r="J264" t="s">
        <v>351</v>
      </c>
      <c r="L264" s="61">
        <v>502091</v>
      </c>
      <c r="N264" s="61">
        <v>502091</v>
      </c>
      <c r="O264" t="s">
        <v>352</v>
      </c>
      <c r="Q264" t="s">
        <v>352</v>
      </c>
      <c r="R264" t="s">
        <v>353</v>
      </c>
      <c r="S264">
        <v>15803</v>
      </c>
      <c r="T264" t="s">
        <v>354</v>
      </c>
      <c r="U264" t="s">
        <v>355</v>
      </c>
      <c r="V264" t="s">
        <v>394</v>
      </c>
      <c r="W264" t="s">
        <v>395</v>
      </c>
      <c r="X264">
        <v>2097146</v>
      </c>
      <c r="Y264" s="2">
        <v>45323</v>
      </c>
      <c r="Z264" t="s">
        <v>352</v>
      </c>
      <c r="AA264">
        <v>1</v>
      </c>
      <c r="AB264" t="s">
        <v>352</v>
      </c>
      <c r="AD264" t="s">
        <v>352</v>
      </c>
      <c r="AE264" t="s">
        <v>352</v>
      </c>
      <c r="AF264" t="s">
        <v>352</v>
      </c>
      <c r="AG264">
        <v>1</v>
      </c>
      <c r="AH264" t="s">
        <v>352</v>
      </c>
      <c r="AI264">
        <v>55113299</v>
      </c>
      <c r="AJ264" t="s">
        <v>406</v>
      </c>
      <c r="AL264" t="s">
        <v>407</v>
      </c>
      <c r="AM264" s="2">
        <v>45321</v>
      </c>
      <c r="AN264" t="s">
        <v>397</v>
      </c>
      <c r="AO264" t="s">
        <v>359</v>
      </c>
      <c r="AP264">
        <v>1201</v>
      </c>
      <c r="AQ264" t="s">
        <v>360</v>
      </c>
      <c r="AR264" t="s">
        <v>405</v>
      </c>
      <c r="AU264" t="s">
        <v>352</v>
      </c>
      <c r="AV264" t="s">
        <v>362</v>
      </c>
      <c r="AX264">
        <v>24001162</v>
      </c>
      <c r="AY264">
        <v>631100</v>
      </c>
      <c r="AZ264">
        <v>1201.6311000000001</v>
      </c>
      <c r="BA264" s="54" t="s">
        <v>42</v>
      </c>
    </row>
    <row r="265" spans="1:53">
      <c r="A265" t="s">
        <v>391</v>
      </c>
      <c r="B265" t="s">
        <v>392</v>
      </c>
      <c r="C265">
        <v>24001359</v>
      </c>
      <c r="D265">
        <v>1201</v>
      </c>
      <c r="E265" s="2">
        <v>45323</v>
      </c>
      <c r="F265" t="s">
        <v>406</v>
      </c>
      <c r="G265">
        <v>43.49</v>
      </c>
      <c r="H265">
        <v>43.49</v>
      </c>
      <c r="I265" t="s">
        <v>351</v>
      </c>
      <c r="J265" t="s">
        <v>351</v>
      </c>
      <c r="L265" s="61">
        <v>687341</v>
      </c>
      <c r="N265" s="61">
        <v>687341</v>
      </c>
      <c r="O265" t="s">
        <v>352</v>
      </c>
      <c r="Q265" t="s">
        <v>352</v>
      </c>
      <c r="R265" t="s">
        <v>353</v>
      </c>
      <c r="S265">
        <v>15803</v>
      </c>
      <c r="T265" t="s">
        <v>354</v>
      </c>
      <c r="U265" t="s">
        <v>355</v>
      </c>
      <c r="V265" t="s">
        <v>394</v>
      </c>
      <c r="W265" t="s">
        <v>395</v>
      </c>
      <c r="X265">
        <v>2097146</v>
      </c>
      <c r="Y265" s="2">
        <v>45323</v>
      </c>
      <c r="Z265" t="s">
        <v>352</v>
      </c>
      <c r="AA265">
        <v>1</v>
      </c>
      <c r="AB265" t="s">
        <v>352</v>
      </c>
      <c r="AD265" t="s">
        <v>352</v>
      </c>
      <c r="AE265" t="s">
        <v>352</v>
      </c>
      <c r="AF265" t="s">
        <v>352</v>
      </c>
      <c r="AG265">
        <v>1</v>
      </c>
      <c r="AH265" t="s">
        <v>352</v>
      </c>
      <c r="AI265">
        <v>55113299</v>
      </c>
      <c r="AJ265" t="s">
        <v>406</v>
      </c>
      <c r="AL265" t="s">
        <v>407</v>
      </c>
      <c r="AM265" s="2">
        <v>45321</v>
      </c>
      <c r="AN265" t="s">
        <v>397</v>
      </c>
      <c r="AO265" t="s">
        <v>359</v>
      </c>
      <c r="AP265">
        <v>1201</v>
      </c>
      <c r="AQ265" t="s">
        <v>360</v>
      </c>
      <c r="AR265" t="s">
        <v>405</v>
      </c>
      <c r="AU265" t="s">
        <v>352</v>
      </c>
      <c r="AV265" t="s">
        <v>362</v>
      </c>
      <c r="AX265">
        <v>24001162</v>
      </c>
      <c r="AY265">
        <v>631100</v>
      </c>
      <c r="AZ265">
        <v>1201.6311000000001</v>
      </c>
      <c r="BA265" s="54" t="s">
        <v>42</v>
      </c>
    </row>
    <row r="266" spans="1:53">
      <c r="A266" t="s">
        <v>391</v>
      </c>
      <c r="B266" t="s">
        <v>392</v>
      </c>
      <c r="C266">
        <v>24001361</v>
      </c>
      <c r="D266">
        <v>1201</v>
      </c>
      <c r="E266" s="2">
        <v>45323</v>
      </c>
      <c r="F266" t="s">
        <v>408</v>
      </c>
      <c r="G266">
        <v>149.30000000000001</v>
      </c>
      <c r="H266">
        <v>149.30000000000001</v>
      </c>
      <c r="I266" t="s">
        <v>351</v>
      </c>
      <c r="J266" t="s">
        <v>351</v>
      </c>
      <c r="L266" s="61">
        <v>2359461</v>
      </c>
      <c r="N266" s="61">
        <v>2359461</v>
      </c>
      <c r="O266" t="s">
        <v>352</v>
      </c>
      <c r="Q266" t="s">
        <v>352</v>
      </c>
      <c r="R266" t="s">
        <v>353</v>
      </c>
      <c r="S266">
        <v>15803</v>
      </c>
      <c r="T266" t="s">
        <v>354</v>
      </c>
      <c r="U266" t="s">
        <v>355</v>
      </c>
      <c r="V266" t="s">
        <v>394</v>
      </c>
      <c r="W266" t="s">
        <v>395</v>
      </c>
      <c r="X266">
        <v>2097179</v>
      </c>
      <c r="Y266" s="2">
        <v>45323</v>
      </c>
      <c r="Z266" t="s">
        <v>352</v>
      </c>
      <c r="AA266">
        <v>1</v>
      </c>
      <c r="AB266" t="s">
        <v>352</v>
      </c>
      <c r="AD266" t="s">
        <v>352</v>
      </c>
      <c r="AE266" t="s">
        <v>352</v>
      </c>
      <c r="AF266" t="s">
        <v>352</v>
      </c>
      <c r="AG266">
        <v>1</v>
      </c>
      <c r="AH266" t="s">
        <v>352</v>
      </c>
      <c r="AI266">
        <v>57315610</v>
      </c>
      <c r="AJ266" t="s">
        <v>408</v>
      </c>
      <c r="AL266" t="s">
        <v>409</v>
      </c>
      <c r="AM266" s="2">
        <v>45286</v>
      </c>
      <c r="AN266" t="s">
        <v>397</v>
      </c>
      <c r="AO266" t="s">
        <v>359</v>
      </c>
      <c r="AP266">
        <v>1201</v>
      </c>
      <c r="AQ266" t="s">
        <v>360</v>
      </c>
      <c r="AR266" t="s">
        <v>410</v>
      </c>
      <c r="AU266" t="s">
        <v>352</v>
      </c>
      <c r="AV266" t="s">
        <v>362</v>
      </c>
      <c r="AX266">
        <v>24001135</v>
      </c>
      <c r="AY266">
        <v>631100</v>
      </c>
      <c r="AZ266">
        <v>1201.6311000000001</v>
      </c>
      <c r="BA266" s="54" t="s">
        <v>42</v>
      </c>
    </row>
    <row r="267" spans="1:53">
      <c r="A267" t="s">
        <v>411</v>
      </c>
      <c r="B267" t="s">
        <v>412</v>
      </c>
      <c r="C267">
        <v>14372707</v>
      </c>
      <c r="D267">
        <v>1201</v>
      </c>
      <c r="E267" s="2">
        <v>45323</v>
      </c>
      <c r="F267" t="s">
        <v>413</v>
      </c>
      <c r="G267">
        <v>34.51</v>
      </c>
      <c r="H267">
        <v>34.51</v>
      </c>
      <c r="I267" t="s">
        <v>351</v>
      </c>
      <c r="O267" t="s">
        <v>352</v>
      </c>
      <c r="Q267" t="s">
        <v>352</v>
      </c>
      <c r="R267" t="s">
        <v>366</v>
      </c>
      <c r="T267" t="s">
        <v>354</v>
      </c>
      <c r="U267" t="s">
        <v>355</v>
      </c>
      <c r="V267" t="s">
        <v>367</v>
      </c>
      <c r="W267" t="s">
        <v>368</v>
      </c>
      <c r="X267">
        <v>2097110</v>
      </c>
      <c r="Y267" s="2">
        <v>45323</v>
      </c>
      <c r="Z267" t="s">
        <v>352</v>
      </c>
      <c r="AA267">
        <v>6</v>
      </c>
      <c r="AB267" t="s">
        <v>352</v>
      </c>
      <c r="AD267" t="s">
        <v>352</v>
      </c>
      <c r="AE267" t="s">
        <v>352</v>
      </c>
      <c r="AF267" t="s">
        <v>352</v>
      </c>
      <c r="AG267">
        <v>4</v>
      </c>
      <c r="AH267" t="s">
        <v>352</v>
      </c>
      <c r="AL267" t="s">
        <v>352</v>
      </c>
      <c r="AM267" s="2">
        <v>45323</v>
      </c>
      <c r="AN267" t="s">
        <v>414</v>
      </c>
      <c r="AO267" t="s">
        <v>359</v>
      </c>
      <c r="AP267">
        <v>1201</v>
      </c>
      <c r="AQ267" t="s">
        <v>360</v>
      </c>
      <c r="AR267">
        <v>254306</v>
      </c>
      <c r="AU267" t="s">
        <v>352</v>
      </c>
      <c r="AV267" t="s">
        <v>362</v>
      </c>
      <c r="AX267" t="s">
        <v>352</v>
      </c>
      <c r="AY267">
        <v>710200</v>
      </c>
      <c r="AZ267">
        <v>1201.7102</v>
      </c>
      <c r="BA267" s="54" t="s">
        <v>46</v>
      </c>
    </row>
    <row r="268" spans="1:53">
      <c r="A268" t="s">
        <v>411</v>
      </c>
      <c r="B268" t="s">
        <v>412</v>
      </c>
      <c r="C268">
        <v>14372707</v>
      </c>
      <c r="D268">
        <v>1201</v>
      </c>
      <c r="E268" s="2">
        <v>45323</v>
      </c>
      <c r="F268" t="s">
        <v>413</v>
      </c>
      <c r="G268">
        <v>313.92</v>
      </c>
      <c r="H268">
        <v>313.92</v>
      </c>
      <c r="I268" t="s">
        <v>351</v>
      </c>
      <c r="O268" t="s">
        <v>352</v>
      </c>
      <c r="Q268" t="s">
        <v>352</v>
      </c>
      <c r="R268" t="s">
        <v>366</v>
      </c>
      <c r="T268" t="s">
        <v>354</v>
      </c>
      <c r="U268" t="s">
        <v>355</v>
      </c>
      <c r="V268" t="s">
        <v>367</v>
      </c>
      <c r="W268" t="s">
        <v>368</v>
      </c>
      <c r="X268">
        <v>2097110</v>
      </c>
      <c r="Y268" s="2">
        <v>45323</v>
      </c>
      <c r="Z268" t="s">
        <v>352</v>
      </c>
      <c r="AA268">
        <v>2</v>
      </c>
      <c r="AB268" t="s">
        <v>352</v>
      </c>
      <c r="AD268" t="s">
        <v>352</v>
      </c>
      <c r="AE268" t="s">
        <v>352</v>
      </c>
      <c r="AF268" t="s">
        <v>352</v>
      </c>
      <c r="AG268">
        <v>48</v>
      </c>
      <c r="AH268" t="s">
        <v>352</v>
      </c>
      <c r="AL268" t="s">
        <v>352</v>
      </c>
      <c r="AM268" s="2">
        <v>45323</v>
      </c>
      <c r="AN268" t="s">
        <v>414</v>
      </c>
      <c r="AO268" t="s">
        <v>359</v>
      </c>
      <c r="AP268">
        <v>1201</v>
      </c>
      <c r="AQ268" t="s">
        <v>360</v>
      </c>
      <c r="AR268">
        <v>268947</v>
      </c>
      <c r="AU268" t="s">
        <v>352</v>
      </c>
      <c r="AV268" t="s">
        <v>362</v>
      </c>
      <c r="AX268" t="s">
        <v>352</v>
      </c>
      <c r="AY268">
        <v>710200</v>
      </c>
      <c r="AZ268">
        <v>1201.7102</v>
      </c>
      <c r="BA268" s="54" t="s">
        <v>46</v>
      </c>
    </row>
    <row r="269" spans="1:53">
      <c r="A269" t="s">
        <v>411</v>
      </c>
      <c r="B269" t="s">
        <v>412</v>
      </c>
      <c r="C269">
        <v>14372707</v>
      </c>
      <c r="D269">
        <v>1201</v>
      </c>
      <c r="E269" s="2">
        <v>45323</v>
      </c>
      <c r="F269" t="s">
        <v>413</v>
      </c>
      <c r="G269">
        <v>3.72</v>
      </c>
      <c r="H269">
        <v>3.72</v>
      </c>
      <c r="I269" t="s">
        <v>351</v>
      </c>
      <c r="O269" t="s">
        <v>352</v>
      </c>
      <c r="Q269" t="s">
        <v>352</v>
      </c>
      <c r="R269" t="s">
        <v>366</v>
      </c>
      <c r="T269" t="s">
        <v>354</v>
      </c>
      <c r="U269" t="s">
        <v>355</v>
      </c>
      <c r="V269" t="s">
        <v>367</v>
      </c>
      <c r="W269" t="s">
        <v>368</v>
      </c>
      <c r="X269">
        <v>2097110</v>
      </c>
      <c r="Y269" s="2">
        <v>45323</v>
      </c>
      <c r="Z269" t="s">
        <v>352</v>
      </c>
      <c r="AA269">
        <v>4</v>
      </c>
      <c r="AB269" t="s">
        <v>352</v>
      </c>
      <c r="AD269" t="s">
        <v>352</v>
      </c>
      <c r="AE269" t="s">
        <v>352</v>
      </c>
      <c r="AF269" t="s">
        <v>352</v>
      </c>
      <c r="AG269">
        <v>124</v>
      </c>
      <c r="AH269" t="s">
        <v>352</v>
      </c>
      <c r="AL269" t="s">
        <v>352</v>
      </c>
      <c r="AM269" s="2">
        <v>45323</v>
      </c>
      <c r="AN269" t="s">
        <v>414</v>
      </c>
      <c r="AO269" t="s">
        <v>359</v>
      </c>
      <c r="AP269">
        <v>1201</v>
      </c>
      <c r="AQ269" t="s">
        <v>360</v>
      </c>
      <c r="AR269">
        <v>264652</v>
      </c>
      <c r="AU269" t="s">
        <v>352</v>
      </c>
      <c r="AV269" t="s">
        <v>362</v>
      </c>
      <c r="AX269" t="s">
        <v>352</v>
      </c>
      <c r="AY269">
        <v>710200</v>
      </c>
      <c r="AZ269">
        <v>1201.7102</v>
      </c>
      <c r="BA269" s="54" t="s">
        <v>46</v>
      </c>
    </row>
    <row r="270" spans="1:53">
      <c r="A270" t="s">
        <v>391</v>
      </c>
      <c r="B270" t="s">
        <v>392</v>
      </c>
      <c r="C270">
        <v>24001365</v>
      </c>
      <c r="D270">
        <v>1201</v>
      </c>
      <c r="E270" s="2">
        <v>45323</v>
      </c>
      <c r="F270" t="s">
        <v>415</v>
      </c>
      <c r="G270">
        <v>28.8</v>
      </c>
      <c r="H270">
        <v>28.8</v>
      </c>
      <c r="I270" t="s">
        <v>351</v>
      </c>
      <c r="O270" t="s">
        <v>352</v>
      </c>
      <c r="Q270" t="s">
        <v>352</v>
      </c>
      <c r="R270" t="s">
        <v>366</v>
      </c>
      <c r="T270" t="s">
        <v>354</v>
      </c>
      <c r="U270" t="s">
        <v>355</v>
      </c>
      <c r="V270" t="s">
        <v>394</v>
      </c>
      <c r="W270" t="s">
        <v>395</v>
      </c>
      <c r="X270">
        <v>2097306</v>
      </c>
      <c r="Y270" s="2">
        <v>45323</v>
      </c>
      <c r="Z270" t="s">
        <v>352</v>
      </c>
      <c r="AA270">
        <v>1</v>
      </c>
      <c r="AB270" t="s">
        <v>352</v>
      </c>
      <c r="AD270" t="s">
        <v>352</v>
      </c>
      <c r="AE270" t="s">
        <v>352</v>
      </c>
      <c r="AF270" t="s">
        <v>352</v>
      </c>
      <c r="AG270">
        <v>1</v>
      </c>
      <c r="AH270" t="s">
        <v>352</v>
      </c>
      <c r="AI270">
        <v>55737464</v>
      </c>
      <c r="AJ270" t="s">
        <v>415</v>
      </c>
      <c r="AL270" t="s">
        <v>416</v>
      </c>
      <c r="AM270" s="2">
        <v>45322</v>
      </c>
      <c r="AN270" t="s">
        <v>397</v>
      </c>
      <c r="AO270" t="s">
        <v>359</v>
      </c>
      <c r="AP270">
        <v>1201</v>
      </c>
      <c r="AQ270" t="s">
        <v>360</v>
      </c>
      <c r="AR270" t="s">
        <v>417</v>
      </c>
      <c r="AU270" t="s">
        <v>352</v>
      </c>
      <c r="AV270" t="s">
        <v>362</v>
      </c>
      <c r="AX270">
        <v>24001167</v>
      </c>
      <c r="AY270">
        <v>710200</v>
      </c>
      <c r="AZ270">
        <v>1201.7102</v>
      </c>
      <c r="BA270" s="54" t="s">
        <v>46</v>
      </c>
    </row>
    <row r="271" spans="1:53">
      <c r="A271" t="s">
        <v>411</v>
      </c>
      <c r="B271" t="s">
        <v>412</v>
      </c>
      <c r="C271">
        <v>14372711</v>
      </c>
      <c r="D271">
        <v>1201</v>
      </c>
      <c r="E271" s="2">
        <v>45324</v>
      </c>
      <c r="F271" t="s">
        <v>560</v>
      </c>
      <c r="I271" t="s">
        <v>351</v>
      </c>
      <c r="O271" t="s">
        <v>352</v>
      </c>
      <c r="Q271" t="s">
        <v>352</v>
      </c>
      <c r="R271" t="s">
        <v>366</v>
      </c>
      <c r="T271" t="s">
        <v>354</v>
      </c>
      <c r="U271" t="s">
        <v>355</v>
      </c>
      <c r="V271" t="s">
        <v>367</v>
      </c>
      <c r="W271" t="s">
        <v>368</v>
      </c>
      <c r="X271">
        <v>2097655</v>
      </c>
      <c r="Y271" s="2">
        <v>45324</v>
      </c>
      <c r="Z271" t="s">
        <v>352</v>
      </c>
      <c r="AA271">
        <v>30</v>
      </c>
      <c r="AB271" t="s">
        <v>352</v>
      </c>
      <c r="AD271" t="s">
        <v>352</v>
      </c>
      <c r="AE271" t="s">
        <v>352</v>
      </c>
      <c r="AF271" t="s">
        <v>352</v>
      </c>
      <c r="AG271">
        <v>12</v>
      </c>
      <c r="AH271" t="s">
        <v>352</v>
      </c>
      <c r="AL271" t="s">
        <v>352</v>
      </c>
      <c r="AM271" s="2">
        <v>45324</v>
      </c>
      <c r="AN271" t="s">
        <v>561</v>
      </c>
      <c r="AO271" t="s">
        <v>359</v>
      </c>
      <c r="AP271">
        <v>1201</v>
      </c>
      <c r="AQ271" t="s">
        <v>360</v>
      </c>
      <c r="AR271">
        <v>253307</v>
      </c>
      <c r="AU271" t="s">
        <v>352</v>
      </c>
      <c r="AV271" t="s">
        <v>362</v>
      </c>
      <c r="AX271" t="s">
        <v>352</v>
      </c>
      <c r="AY271">
        <v>710200</v>
      </c>
      <c r="AZ271">
        <v>1201.7102</v>
      </c>
      <c r="BA271" s="54" t="s">
        <v>46</v>
      </c>
    </row>
    <row r="272" spans="1:53">
      <c r="A272" t="s">
        <v>411</v>
      </c>
      <c r="B272" t="s">
        <v>412</v>
      </c>
      <c r="C272">
        <v>14372711</v>
      </c>
      <c r="D272">
        <v>1201</v>
      </c>
      <c r="E272" s="2">
        <v>45324</v>
      </c>
      <c r="F272" t="s">
        <v>560</v>
      </c>
      <c r="I272" t="s">
        <v>351</v>
      </c>
      <c r="O272" t="s">
        <v>352</v>
      </c>
      <c r="Q272" t="s">
        <v>352</v>
      </c>
      <c r="R272" t="s">
        <v>366</v>
      </c>
      <c r="T272" t="s">
        <v>354</v>
      </c>
      <c r="U272" t="s">
        <v>355</v>
      </c>
      <c r="V272" t="s">
        <v>367</v>
      </c>
      <c r="W272" t="s">
        <v>368</v>
      </c>
      <c r="X272">
        <v>2097655</v>
      </c>
      <c r="Y272" s="2">
        <v>45324</v>
      </c>
      <c r="Z272" t="s">
        <v>352</v>
      </c>
      <c r="AA272">
        <v>32</v>
      </c>
      <c r="AB272" t="s">
        <v>352</v>
      </c>
      <c r="AD272" t="s">
        <v>352</v>
      </c>
      <c r="AE272" t="s">
        <v>352</v>
      </c>
      <c r="AF272" t="s">
        <v>352</v>
      </c>
      <c r="AG272">
        <v>12</v>
      </c>
      <c r="AH272" t="s">
        <v>352</v>
      </c>
      <c r="AL272" t="s">
        <v>352</v>
      </c>
      <c r="AM272" s="2">
        <v>45324</v>
      </c>
      <c r="AN272" t="s">
        <v>561</v>
      </c>
      <c r="AO272" t="s">
        <v>359</v>
      </c>
      <c r="AP272">
        <v>1201</v>
      </c>
      <c r="AQ272" t="s">
        <v>360</v>
      </c>
      <c r="AR272">
        <v>257645</v>
      </c>
      <c r="AU272" t="s">
        <v>352</v>
      </c>
      <c r="AV272" t="s">
        <v>362</v>
      </c>
      <c r="AX272" t="s">
        <v>352</v>
      </c>
      <c r="AY272">
        <v>710200</v>
      </c>
      <c r="AZ272">
        <v>1201.7102</v>
      </c>
      <c r="BA272" s="54" t="s">
        <v>46</v>
      </c>
    </row>
    <row r="273" spans="1:53">
      <c r="A273" t="s">
        <v>411</v>
      </c>
      <c r="B273" t="s">
        <v>412</v>
      </c>
      <c r="C273">
        <v>14372711</v>
      </c>
      <c r="D273">
        <v>1201</v>
      </c>
      <c r="E273" s="2">
        <v>45324</v>
      </c>
      <c r="F273" t="s">
        <v>560</v>
      </c>
      <c r="I273" t="s">
        <v>351</v>
      </c>
      <c r="O273" t="s">
        <v>352</v>
      </c>
      <c r="Q273" t="s">
        <v>352</v>
      </c>
      <c r="R273" t="s">
        <v>366</v>
      </c>
      <c r="T273" t="s">
        <v>354</v>
      </c>
      <c r="U273" t="s">
        <v>355</v>
      </c>
      <c r="V273" t="s">
        <v>367</v>
      </c>
      <c r="W273" t="s">
        <v>368</v>
      </c>
      <c r="X273">
        <v>2097655</v>
      </c>
      <c r="Y273" s="2">
        <v>45324</v>
      </c>
      <c r="Z273" t="s">
        <v>352</v>
      </c>
      <c r="AA273">
        <v>34</v>
      </c>
      <c r="AB273" t="s">
        <v>352</v>
      </c>
      <c r="AD273" t="s">
        <v>352</v>
      </c>
      <c r="AE273" t="s">
        <v>352</v>
      </c>
      <c r="AF273" t="s">
        <v>352</v>
      </c>
      <c r="AG273">
        <v>12</v>
      </c>
      <c r="AH273" t="s">
        <v>352</v>
      </c>
      <c r="AL273" t="s">
        <v>352</v>
      </c>
      <c r="AM273" s="2">
        <v>45324</v>
      </c>
      <c r="AN273" t="s">
        <v>561</v>
      </c>
      <c r="AO273" t="s">
        <v>359</v>
      </c>
      <c r="AP273">
        <v>1201</v>
      </c>
      <c r="AQ273" t="s">
        <v>360</v>
      </c>
      <c r="AR273">
        <v>262853</v>
      </c>
      <c r="AU273" t="s">
        <v>352</v>
      </c>
      <c r="AV273" t="s">
        <v>362</v>
      </c>
      <c r="AX273" t="s">
        <v>352</v>
      </c>
      <c r="AY273">
        <v>710200</v>
      </c>
      <c r="AZ273">
        <v>1201.7102</v>
      </c>
      <c r="BA273" s="54" t="s">
        <v>46</v>
      </c>
    </row>
    <row r="274" spans="1:53">
      <c r="A274" t="s">
        <v>411</v>
      </c>
      <c r="B274" t="s">
        <v>412</v>
      </c>
      <c r="C274">
        <v>14372711</v>
      </c>
      <c r="D274">
        <v>1201</v>
      </c>
      <c r="E274" s="2">
        <v>45324</v>
      </c>
      <c r="F274" t="s">
        <v>560</v>
      </c>
      <c r="I274" t="s">
        <v>351</v>
      </c>
      <c r="O274" t="s">
        <v>352</v>
      </c>
      <c r="Q274" t="s">
        <v>352</v>
      </c>
      <c r="R274" t="s">
        <v>366</v>
      </c>
      <c r="T274" t="s">
        <v>354</v>
      </c>
      <c r="U274" t="s">
        <v>355</v>
      </c>
      <c r="V274" t="s">
        <v>367</v>
      </c>
      <c r="W274" t="s">
        <v>368</v>
      </c>
      <c r="X274">
        <v>2097655</v>
      </c>
      <c r="Y274" s="2">
        <v>45324</v>
      </c>
      <c r="Z274" t="s">
        <v>352</v>
      </c>
      <c r="AA274">
        <v>36</v>
      </c>
      <c r="AB274" t="s">
        <v>352</v>
      </c>
      <c r="AD274" t="s">
        <v>352</v>
      </c>
      <c r="AE274" t="s">
        <v>352</v>
      </c>
      <c r="AF274" t="s">
        <v>352</v>
      </c>
      <c r="AG274">
        <v>12</v>
      </c>
      <c r="AH274" t="s">
        <v>352</v>
      </c>
      <c r="AL274" t="s">
        <v>352</v>
      </c>
      <c r="AM274" s="2">
        <v>45324</v>
      </c>
      <c r="AN274" t="s">
        <v>561</v>
      </c>
      <c r="AO274" t="s">
        <v>359</v>
      </c>
      <c r="AP274">
        <v>1201</v>
      </c>
      <c r="AQ274" t="s">
        <v>360</v>
      </c>
      <c r="AR274">
        <v>286602</v>
      </c>
      <c r="AU274" t="s">
        <v>352</v>
      </c>
      <c r="AV274" t="s">
        <v>362</v>
      </c>
      <c r="AX274" t="s">
        <v>352</v>
      </c>
      <c r="AY274">
        <v>710200</v>
      </c>
      <c r="AZ274">
        <v>1201.7102</v>
      </c>
      <c r="BA274" s="54" t="s">
        <v>46</v>
      </c>
    </row>
    <row r="275" spans="1:53">
      <c r="A275" t="s">
        <v>411</v>
      </c>
      <c r="B275" t="s">
        <v>412</v>
      </c>
      <c r="C275">
        <v>14372711</v>
      </c>
      <c r="D275">
        <v>1201</v>
      </c>
      <c r="E275" s="2">
        <v>45324</v>
      </c>
      <c r="F275" t="s">
        <v>560</v>
      </c>
      <c r="I275" t="s">
        <v>351</v>
      </c>
      <c r="O275" t="s">
        <v>352</v>
      </c>
      <c r="Q275" t="s">
        <v>352</v>
      </c>
      <c r="R275" t="s">
        <v>366</v>
      </c>
      <c r="T275" t="s">
        <v>354</v>
      </c>
      <c r="U275" t="s">
        <v>355</v>
      </c>
      <c r="V275" t="s">
        <v>367</v>
      </c>
      <c r="W275" t="s">
        <v>368</v>
      </c>
      <c r="X275">
        <v>2097655</v>
      </c>
      <c r="Y275" s="2">
        <v>45324</v>
      </c>
      <c r="Z275" t="s">
        <v>352</v>
      </c>
      <c r="AA275">
        <v>38</v>
      </c>
      <c r="AB275" t="s">
        <v>352</v>
      </c>
      <c r="AD275" t="s">
        <v>352</v>
      </c>
      <c r="AE275" t="s">
        <v>352</v>
      </c>
      <c r="AF275" t="s">
        <v>352</v>
      </c>
      <c r="AG275">
        <v>12</v>
      </c>
      <c r="AH275" t="s">
        <v>352</v>
      </c>
      <c r="AL275" t="s">
        <v>352</v>
      </c>
      <c r="AM275" s="2">
        <v>45324</v>
      </c>
      <c r="AN275" t="s">
        <v>561</v>
      </c>
      <c r="AO275" t="s">
        <v>359</v>
      </c>
      <c r="AP275">
        <v>1201</v>
      </c>
      <c r="AQ275" t="s">
        <v>360</v>
      </c>
      <c r="AR275">
        <v>296695</v>
      </c>
      <c r="AU275" t="s">
        <v>352</v>
      </c>
      <c r="AV275" t="s">
        <v>362</v>
      </c>
      <c r="AX275" t="s">
        <v>352</v>
      </c>
      <c r="AY275">
        <v>710200</v>
      </c>
      <c r="AZ275">
        <v>1201.7102</v>
      </c>
      <c r="BA275" s="54" t="s">
        <v>46</v>
      </c>
    </row>
    <row r="276" spans="1:53">
      <c r="A276" t="s">
        <v>411</v>
      </c>
      <c r="B276" t="s">
        <v>412</v>
      </c>
      <c r="C276">
        <v>14372711</v>
      </c>
      <c r="D276">
        <v>1201</v>
      </c>
      <c r="E276" s="2">
        <v>45324</v>
      </c>
      <c r="F276" t="s">
        <v>560</v>
      </c>
      <c r="I276" t="s">
        <v>351</v>
      </c>
      <c r="O276" t="s">
        <v>352</v>
      </c>
      <c r="Q276" t="s">
        <v>352</v>
      </c>
      <c r="R276" t="s">
        <v>366</v>
      </c>
      <c r="T276" t="s">
        <v>354</v>
      </c>
      <c r="U276" t="s">
        <v>355</v>
      </c>
      <c r="V276" t="s">
        <v>367</v>
      </c>
      <c r="W276" t="s">
        <v>368</v>
      </c>
      <c r="X276">
        <v>2097655</v>
      </c>
      <c r="Y276" s="2">
        <v>45324</v>
      </c>
      <c r="Z276" t="s">
        <v>352</v>
      </c>
      <c r="AA276">
        <v>40</v>
      </c>
      <c r="AB276" t="s">
        <v>352</v>
      </c>
      <c r="AD276" t="s">
        <v>352</v>
      </c>
      <c r="AE276" t="s">
        <v>352</v>
      </c>
      <c r="AF276" t="s">
        <v>352</v>
      </c>
      <c r="AG276">
        <v>16</v>
      </c>
      <c r="AH276" t="s">
        <v>352</v>
      </c>
      <c r="AL276" t="s">
        <v>352</v>
      </c>
      <c r="AM276" s="2">
        <v>45324</v>
      </c>
      <c r="AN276" t="s">
        <v>561</v>
      </c>
      <c r="AO276" t="s">
        <v>359</v>
      </c>
      <c r="AP276">
        <v>1201</v>
      </c>
      <c r="AQ276" t="s">
        <v>360</v>
      </c>
      <c r="AR276">
        <v>256241</v>
      </c>
      <c r="AU276" t="s">
        <v>352</v>
      </c>
      <c r="AV276" t="s">
        <v>362</v>
      </c>
      <c r="AX276" t="s">
        <v>352</v>
      </c>
      <c r="AY276">
        <v>710200</v>
      </c>
      <c r="AZ276">
        <v>1201.7102</v>
      </c>
      <c r="BA276" s="54" t="s">
        <v>46</v>
      </c>
    </row>
    <row r="277" spans="1:53">
      <c r="A277" t="s">
        <v>411</v>
      </c>
      <c r="B277" t="s">
        <v>412</v>
      </c>
      <c r="C277">
        <v>14372711</v>
      </c>
      <c r="D277">
        <v>1201</v>
      </c>
      <c r="E277" s="2">
        <v>45324</v>
      </c>
      <c r="F277" t="s">
        <v>560</v>
      </c>
      <c r="I277" t="s">
        <v>351</v>
      </c>
      <c r="O277" t="s">
        <v>352</v>
      </c>
      <c r="Q277" t="s">
        <v>352</v>
      </c>
      <c r="R277" t="s">
        <v>366</v>
      </c>
      <c r="T277" t="s">
        <v>354</v>
      </c>
      <c r="U277" t="s">
        <v>355</v>
      </c>
      <c r="V277" t="s">
        <v>367</v>
      </c>
      <c r="W277" t="s">
        <v>368</v>
      </c>
      <c r="X277">
        <v>2097655</v>
      </c>
      <c r="Y277" s="2">
        <v>45324</v>
      </c>
      <c r="Z277" t="s">
        <v>352</v>
      </c>
      <c r="AA277">
        <v>42</v>
      </c>
      <c r="AB277" t="s">
        <v>352</v>
      </c>
      <c r="AD277" t="s">
        <v>352</v>
      </c>
      <c r="AE277" t="s">
        <v>352</v>
      </c>
      <c r="AF277" t="s">
        <v>352</v>
      </c>
      <c r="AG277">
        <v>24</v>
      </c>
      <c r="AH277" t="s">
        <v>352</v>
      </c>
      <c r="AL277" t="s">
        <v>352</v>
      </c>
      <c r="AM277" s="2">
        <v>45324</v>
      </c>
      <c r="AN277" t="s">
        <v>561</v>
      </c>
      <c r="AO277" t="s">
        <v>359</v>
      </c>
      <c r="AP277">
        <v>1201</v>
      </c>
      <c r="AQ277" t="s">
        <v>360</v>
      </c>
      <c r="AR277">
        <v>296696</v>
      </c>
      <c r="AU277" t="s">
        <v>352</v>
      </c>
      <c r="AV277" t="s">
        <v>362</v>
      </c>
      <c r="AX277" t="s">
        <v>352</v>
      </c>
      <c r="AY277">
        <v>710200</v>
      </c>
      <c r="AZ277">
        <v>1201.7102</v>
      </c>
      <c r="BA277" s="54" t="s">
        <v>46</v>
      </c>
    </row>
    <row r="278" spans="1:53">
      <c r="A278" t="s">
        <v>411</v>
      </c>
      <c r="B278" t="s">
        <v>412</v>
      </c>
      <c r="C278">
        <v>14372711</v>
      </c>
      <c r="D278">
        <v>1201</v>
      </c>
      <c r="E278" s="2">
        <v>45324</v>
      </c>
      <c r="F278" t="s">
        <v>560</v>
      </c>
      <c r="I278" t="s">
        <v>351</v>
      </c>
      <c r="O278" t="s">
        <v>352</v>
      </c>
      <c r="Q278" t="s">
        <v>352</v>
      </c>
      <c r="R278" t="s">
        <v>366</v>
      </c>
      <c r="T278" t="s">
        <v>354</v>
      </c>
      <c r="U278" t="s">
        <v>355</v>
      </c>
      <c r="V278" t="s">
        <v>367</v>
      </c>
      <c r="W278" t="s">
        <v>368</v>
      </c>
      <c r="X278">
        <v>2097655</v>
      </c>
      <c r="Y278" s="2">
        <v>45324</v>
      </c>
      <c r="Z278" t="s">
        <v>352</v>
      </c>
      <c r="AA278">
        <v>44</v>
      </c>
      <c r="AB278" t="s">
        <v>352</v>
      </c>
      <c r="AD278" t="s">
        <v>352</v>
      </c>
      <c r="AE278" t="s">
        <v>352</v>
      </c>
      <c r="AF278" t="s">
        <v>352</v>
      </c>
      <c r="AG278">
        <v>116</v>
      </c>
      <c r="AH278" t="s">
        <v>352</v>
      </c>
      <c r="AL278" t="s">
        <v>352</v>
      </c>
      <c r="AM278" s="2">
        <v>45324</v>
      </c>
      <c r="AN278" t="s">
        <v>561</v>
      </c>
      <c r="AO278" t="s">
        <v>359</v>
      </c>
      <c r="AP278">
        <v>1201</v>
      </c>
      <c r="AQ278" t="s">
        <v>360</v>
      </c>
      <c r="AR278">
        <v>257638</v>
      </c>
      <c r="AU278" t="s">
        <v>352</v>
      </c>
      <c r="AV278" t="s">
        <v>362</v>
      </c>
      <c r="AX278" t="s">
        <v>352</v>
      </c>
      <c r="AY278">
        <v>710200</v>
      </c>
      <c r="AZ278">
        <v>1201.7102</v>
      </c>
      <c r="BA278" s="54" t="s">
        <v>46</v>
      </c>
    </row>
    <row r="279" spans="1:53">
      <c r="A279" t="s">
        <v>411</v>
      </c>
      <c r="B279" t="s">
        <v>412</v>
      </c>
      <c r="C279">
        <v>14372711</v>
      </c>
      <c r="D279">
        <v>1201</v>
      </c>
      <c r="E279" s="2">
        <v>45324</v>
      </c>
      <c r="F279" t="s">
        <v>560</v>
      </c>
      <c r="I279" t="s">
        <v>351</v>
      </c>
      <c r="O279" t="s">
        <v>352</v>
      </c>
      <c r="Q279" t="s">
        <v>352</v>
      </c>
      <c r="R279" t="s">
        <v>366</v>
      </c>
      <c r="T279" t="s">
        <v>354</v>
      </c>
      <c r="U279" t="s">
        <v>355</v>
      </c>
      <c r="V279" t="s">
        <v>367</v>
      </c>
      <c r="W279" t="s">
        <v>368</v>
      </c>
      <c r="X279">
        <v>2097655</v>
      </c>
      <c r="Y279" s="2">
        <v>45324</v>
      </c>
      <c r="Z279" t="s">
        <v>352</v>
      </c>
      <c r="AA279">
        <v>46</v>
      </c>
      <c r="AB279" t="s">
        <v>352</v>
      </c>
      <c r="AD279" t="s">
        <v>352</v>
      </c>
      <c r="AE279" t="s">
        <v>352</v>
      </c>
      <c r="AF279" t="s">
        <v>352</v>
      </c>
      <c r="AG279">
        <v>1</v>
      </c>
      <c r="AH279" t="s">
        <v>352</v>
      </c>
      <c r="AL279" t="s">
        <v>352</v>
      </c>
      <c r="AM279" s="2">
        <v>45324</v>
      </c>
      <c r="AN279" t="s">
        <v>561</v>
      </c>
      <c r="AO279" t="s">
        <v>359</v>
      </c>
      <c r="AP279">
        <v>1201</v>
      </c>
      <c r="AQ279" t="s">
        <v>360</v>
      </c>
      <c r="AR279">
        <v>296480</v>
      </c>
      <c r="AU279" t="s">
        <v>352</v>
      </c>
      <c r="AV279" t="s">
        <v>362</v>
      </c>
      <c r="AX279" t="s">
        <v>352</v>
      </c>
      <c r="AY279">
        <v>710200</v>
      </c>
      <c r="AZ279">
        <v>1201.7102</v>
      </c>
      <c r="BA279" s="54" t="s">
        <v>46</v>
      </c>
    </row>
    <row r="280" spans="1:53">
      <c r="A280" t="s">
        <v>411</v>
      </c>
      <c r="B280" t="s">
        <v>412</v>
      </c>
      <c r="C280">
        <v>14372711</v>
      </c>
      <c r="D280">
        <v>1201</v>
      </c>
      <c r="E280" s="2">
        <v>45324</v>
      </c>
      <c r="F280" t="s">
        <v>560</v>
      </c>
      <c r="I280" t="s">
        <v>351</v>
      </c>
      <c r="O280" t="s">
        <v>352</v>
      </c>
      <c r="Q280" t="s">
        <v>352</v>
      </c>
      <c r="R280" t="s">
        <v>366</v>
      </c>
      <c r="T280" t="s">
        <v>354</v>
      </c>
      <c r="U280" t="s">
        <v>355</v>
      </c>
      <c r="V280" t="s">
        <v>367</v>
      </c>
      <c r="W280" t="s">
        <v>368</v>
      </c>
      <c r="X280">
        <v>2097655</v>
      </c>
      <c r="Y280" s="2">
        <v>45324</v>
      </c>
      <c r="Z280" t="s">
        <v>352</v>
      </c>
      <c r="AA280">
        <v>48</v>
      </c>
      <c r="AB280" t="s">
        <v>352</v>
      </c>
      <c r="AD280" t="s">
        <v>352</v>
      </c>
      <c r="AE280" t="s">
        <v>352</v>
      </c>
      <c r="AF280" t="s">
        <v>352</v>
      </c>
      <c r="AG280">
        <v>1</v>
      </c>
      <c r="AH280" t="s">
        <v>352</v>
      </c>
      <c r="AL280" t="s">
        <v>352</v>
      </c>
      <c r="AM280" s="2">
        <v>45324</v>
      </c>
      <c r="AN280" t="s">
        <v>561</v>
      </c>
      <c r="AO280" t="s">
        <v>359</v>
      </c>
      <c r="AP280">
        <v>1201</v>
      </c>
      <c r="AQ280" t="s">
        <v>360</v>
      </c>
      <c r="AR280">
        <v>296481</v>
      </c>
      <c r="AU280" t="s">
        <v>352</v>
      </c>
      <c r="AV280" t="s">
        <v>362</v>
      </c>
      <c r="AX280" t="s">
        <v>352</v>
      </c>
      <c r="AY280">
        <v>710200</v>
      </c>
      <c r="AZ280">
        <v>1201.7102</v>
      </c>
      <c r="BA280" s="54" t="s">
        <v>46</v>
      </c>
    </row>
    <row r="281" spans="1:53">
      <c r="A281" t="s">
        <v>411</v>
      </c>
      <c r="B281" t="s">
        <v>412</v>
      </c>
      <c r="C281">
        <v>14372711</v>
      </c>
      <c r="D281">
        <v>1201</v>
      </c>
      <c r="E281" s="2">
        <v>45324</v>
      </c>
      <c r="F281" t="s">
        <v>560</v>
      </c>
      <c r="I281" t="s">
        <v>351</v>
      </c>
      <c r="O281" t="s">
        <v>352</v>
      </c>
      <c r="Q281" t="s">
        <v>352</v>
      </c>
      <c r="R281" t="s">
        <v>366</v>
      </c>
      <c r="T281" t="s">
        <v>354</v>
      </c>
      <c r="U281" t="s">
        <v>355</v>
      </c>
      <c r="V281" t="s">
        <v>367</v>
      </c>
      <c r="W281" t="s">
        <v>368</v>
      </c>
      <c r="X281">
        <v>2097655</v>
      </c>
      <c r="Y281" s="2">
        <v>45324</v>
      </c>
      <c r="Z281" t="s">
        <v>352</v>
      </c>
      <c r="AA281">
        <v>50</v>
      </c>
      <c r="AB281" t="s">
        <v>352</v>
      </c>
      <c r="AD281" t="s">
        <v>352</v>
      </c>
      <c r="AE281" t="s">
        <v>352</v>
      </c>
      <c r="AF281" t="s">
        <v>352</v>
      </c>
      <c r="AG281">
        <v>1</v>
      </c>
      <c r="AH281" t="s">
        <v>352</v>
      </c>
      <c r="AL281" t="s">
        <v>352</v>
      </c>
      <c r="AM281" s="2">
        <v>45324</v>
      </c>
      <c r="AN281" t="s">
        <v>561</v>
      </c>
      <c r="AO281" t="s">
        <v>359</v>
      </c>
      <c r="AP281">
        <v>1201</v>
      </c>
      <c r="AQ281" t="s">
        <v>360</v>
      </c>
      <c r="AR281">
        <v>296482</v>
      </c>
      <c r="AU281" t="s">
        <v>352</v>
      </c>
      <c r="AV281" t="s">
        <v>362</v>
      </c>
      <c r="AX281" t="s">
        <v>352</v>
      </c>
      <c r="AY281">
        <v>710200</v>
      </c>
      <c r="AZ281">
        <v>1201.7102</v>
      </c>
      <c r="BA281" s="54" t="s">
        <v>46</v>
      </c>
    </row>
    <row r="282" spans="1:53">
      <c r="A282" t="s">
        <v>411</v>
      </c>
      <c r="B282" t="s">
        <v>412</v>
      </c>
      <c r="C282">
        <v>14372711</v>
      </c>
      <c r="D282">
        <v>1201</v>
      </c>
      <c r="E282" s="2">
        <v>45324</v>
      </c>
      <c r="F282" t="s">
        <v>560</v>
      </c>
      <c r="I282" t="s">
        <v>351</v>
      </c>
      <c r="O282" t="s">
        <v>352</v>
      </c>
      <c r="Q282" t="s">
        <v>352</v>
      </c>
      <c r="R282" t="s">
        <v>366</v>
      </c>
      <c r="T282" t="s">
        <v>354</v>
      </c>
      <c r="U282" t="s">
        <v>355</v>
      </c>
      <c r="V282" t="s">
        <v>367</v>
      </c>
      <c r="W282" t="s">
        <v>368</v>
      </c>
      <c r="X282">
        <v>2097655</v>
      </c>
      <c r="Y282" s="2">
        <v>45324</v>
      </c>
      <c r="Z282" t="s">
        <v>352</v>
      </c>
      <c r="AA282">
        <v>52</v>
      </c>
      <c r="AB282" t="s">
        <v>352</v>
      </c>
      <c r="AD282" t="s">
        <v>352</v>
      </c>
      <c r="AE282" t="s">
        <v>352</v>
      </c>
      <c r="AF282" t="s">
        <v>352</v>
      </c>
      <c r="AG282">
        <v>2</v>
      </c>
      <c r="AH282" t="s">
        <v>352</v>
      </c>
      <c r="AL282" t="s">
        <v>352</v>
      </c>
      <c r="AM282" s="2">
        <v>45324</v>
      </c>
      <c r="AN282" t="s">
        <v>561</v>
      </c>
      <c r="AO282" t="s">
        <v>359</v>
      </c>
      <c r="AP282">
        <v>1201</v>
      </c>
      <c r="AQ282" t="s">
        <v>360</v>
      </c>
      <c r="AR282">
        <v>285776</v>
      </c>
      <c r="AU282" t="s">
        <v>352</v>
      </c>
      <c r="AV282" t="s">
        <v>362</v>
      </c>
      <c r="AX282" t="s">
        <v>352</v>
      </c>
      <c r="AY282">
        <v>710200</v>
      </c>
      <c r="AZ282">
        <v>1201.7102</v>
      </c>
      <c r="BA282" s="54" t="s">
        <v>46</v>
      </c>
    </row>
    <row r="283" spans="1:53">
      <c r="A283" t="s">
        <v>411</v>
      </c>
      <c r="B283" t="s">
        <v>412</v>
      </c>
      <c r="C283">
        <v>14372711</v>
      </c>
      <c r="D283">
        <v>1201</v>
      </c>
      <c r="E283" s="2">
        <v>45324</v>
      </c>
      <c r="F283" t="s">
        <v>560</v>
      </c>
      <c r="I283" t="s">
        <v>351</v>
      </c>
      <c r="O283" t="s">
        <v>352</v>
      </c>
      <c r="Q283" t="s">
        <v>352</v>
      </c>
      <c r="R283" t="s">
        <v>366</v>
      </c>
      <c r="T283" t="s">
        <v>354</v>
      </c>
      <c r="U283" t="s">
        <v>355</v>
      </c>
      <c r="V283" t="s">
        <v>367</v>
      </c>
      <c r="W283" t="s">
        <v>368</v>
      </c>
      <c r="X283">
        <v>2097655</v>
      </c>
      <c r="Y283" s="2">
        <v>45324</v>
      </c>
      <c r="Z283" t="s">
        <v>352</v>
      </c>
      <c r="AA283">
        <v>54</v>
      </c>
      <c r="AB283" t="s">
        <v>352</v>
      </c>
      <c r="AD283" t="s">
        <v>352</v>
      </c>
      <c r="AE283" t="s">
        <v>352</v>
      </c>
      <c r="AF283" t="s">
        <v>352</v>
      </c>
      <c r="AG283">
        <v>2</v>
      </c>
      <c r="AH283" t="s">
        <v>352</v>
      </c>
      <c r="AL283" t="s">
        <v>352</v>
      </c>
      <c r="AM283" s="2">
        <v>45324</v>
      </c>
      <c r="AN283" t="s">
        <v>561</v>
      </c>
      <c r="AO283" t="s">
        <v>359</v>
      </c>
      <c r="AP283">
        <v>1201</v>
      </c>
      <c r="AQ283" t="s">
        <v>360</v>
      </c>
      <c r="AR283">
        <v>285777</v>
      </c>
      <c r="AU283" t="s">
        <v>352</v>
      </c>
      <c r="AV283" t="s">
        <v>362</v>
      </c>
      <c r="AX283" t="s">
        <v>352</v>
      </c>
      <c r="AY283">
        <v>710200</v>
      </c>
      <c r="AZ283">
        <v>1201.7102</v>
      </c>
      <c r="BA283" s="54" t="s">
        <v>46</v>
      </c>
    </row>
    <row r="284" spans="1:53">
      <c r="A284" t="s">
        <v>411</v>
      </c>
      <c r="B284" t="s">
        <v>412</v>
      </c>
      <c r="C284">
        <v>14372711</v>
      </c>
      <c r="D284">
        <v>1201</v>
      </c>
      <c r="E284" s="2">
        <v>45324</v>
      </c>
      <c r="F284" t="s">
        <v>560</v>
      </c>
      <c r="I284" t="s">
        <v>351</v>
      </c>
      <c r="O284" t="s">
        <v>352</v>
      </c>
      <c r="Q284" t="s">
        <v>352</v>
      </c>
      <c r="R284" t="s">
        <v>366</v>
      </c>
      <c r="T284" t="s">
        <v>354</v>
      </c>
      <c r="U284" t="s">
        <v>355</v>
      </c>
      <c r="V284" t="s">
        <v>367</v>
      </c>
      <c r="W284" t="s">
        <v>368</v>
      </c>
      <c r="X284">
        <v>2097655</v>
      </c>
      <c r="Y284" s="2">
        <v>45324</v>
      </c>
      <c r="Z284" t="s">
        <v>352</v>
      </c>
      <c r="AA284">
        <v>56</v>
      </c>
      <c r="AB284" t="s">
        <v>352</v>
      </c>
      <c r="AD284" t="s">
        <v>352</v>
      </c>
      <c r="AE284" t="s">
        <v>352</v>
      </c>
      <c r="AF284" t="s">
        <v>352</v>
      </c>
      <c r="AG284">
        <v>2</v>
      </c>
      <c r="AH284" t="s">
        <v>352</v>
      </c>
      <c r="AL284" t="s">
        <v>352</v>
      </c>
      <c r="AM284" s="2">
        <v>45324</v>
      </c>
      <c r="AN284" t="s">
        <v>561</v>
      </c>
      <c r="AO284" t="s">
        <v>359</v>
      </c>
      <c r="AP284">
        <v>1201</v>
      </c>
      <c r="AQ284" t="s">
        <v>360</v>
      </c>
      <c r="AR284">
        <v>285778</v>
      </c>
      <c r="AU284" t="s">
        <v>352</v>
      </c>
      <c r="AV284" t="s">
        <v>362</v>
      </c>
      <c r="AX284" t="s">
        <v>352</v>
      </c>
      <c r="AY284">
        <v>710200</v>
      </c>
      <c r="AZ284">
        <v>1201.7102</v>
      </c>
      <c r="BA284" s="54" t="s">
        <v>46</v>
      </c>
    </row>
    <row r="285" spans="1:53">
      <c r="A285" t="s">
        <v>411</v>
      </c>
      <c r="B285" t="s">
        <v>412</v>
      </c>
      <c r="C285">
        <v>14372711</v>
      </c>
      <c r="D285">
        <v>1201</v>
      </c>
      <c r="E285" s="2">
        <v>45324</v>
      </c>
      <c r="F285" t="s">
        <v>560</v>
      </c>
      <c r="I285" t="s">
        <v>351</v>
      </c>
      <c r="O285" t="s">
        <v>352</v>
      </c>
      <c r="Q285" t="s">
        <v>352</v>
      </c>
      <c r="R285" t="s">
        <v>366</v>
      </c>
      <c r="T285" t="s">
        <v>354</v>
      </c>
      <c r="U285" t="s">
        <v>355</v>
      </c>
      <c r="V285" t="s">
        <v>367</v>
      </c>
      <c r="W285" t="s">
        <v>368</v>
      </c>
      <c r="X285">
        <v>2097655</v>
      </c>
      <c r="Y285" s="2">
        <v>45324</v>
      </c>
      <c r="Z285" t="s">
        <v>352</v>
      </c>
      <c r="AA285">
        <v>58</v>
      </c>
      <c r="AB285" t="s">
        <v>352</v>
      </c>
      <c r="AD285" t="s">
        <v>352</v>
      </c>
      <c r="AE285" t="s">
        <v>352</v>
      </c>
      <c r="AF285" t="s">
        <v>352</v>
      </c>
      <c r="AG285">
        <v>3</v>
      </c>
      <c r="AH285" t="s">
        <v>352</v>
      </c>
      <c r="AL285" t="s">
        <v>352</v>
      </c>
      <c r="AM285" s="2">
        <v>45324</v>
      </c>
      <c r="AN285" t="s">
        <v>561</v>
      </c>
      <c r="AO285" t="s">
        <v>359</v>
      </c>
      <c r="AP285">
        <v>1201</v>
      </c>
      <c r="AQ285" t="s">
        <v>360</v>
      </c>
      <c r="AR285">
        <v>285775</v>
      </c>
      <c r="AU285" t="s">
        <v>352</v>
      </c>
      <c r="AV285" t="s">
        <v>362</v>
      </c>
      <c r="AX285" t="s">
        <v>352</v>
      </c>
      <c r="AY285">
        <v>710200</v>
      </c>
      <c r="AZ285">
        <v>1201.7102</v>
      </c>
      <c r="BA285" s="54" t="s">
        <v>46</v>
      </c>
    </row>
    <row r="286" spans="1:53">
      <c r="A286" t="s">
        <v>411</v>
      </c>
      <c r="B286" t="s">
        <v>412</v>
      </c>
      <c r="C286">
        <v>14372711</v>
      </c>
      <c r="D286">
        <v>1201</v>
      </c>
      <c r="E286" s="2">
        <v>45324</v>
      </c>
      <c r="F286" t="s">
        <v>560</v>
      </c>
      <c r="I286" t="s">
        <v>351</v>
      </c>
      <c r="O286" t="s">
        <v>352</v>
      </c>
      <c r="Q286" t="s">
        <v>352</v>
      </c>
      <c r="R286" t="s">
        <v>366</v>
      </c>
      <c r="T286" t="s">
        <v>354</v>
      </c>
      <c r="U286" t="s">
        <v>355</v>
      </c>
      <c r="V286" t="s">
        <v>367</v>
      </c>
      <c r="W286" t="s">
        <v>368</v>
      </c>
      <c r="X286">
        <v>2097655</v>
      </c>
      <c r="Y286" s="2">
        <v>45324</v>
      </c>
      <c r="Z286" t="s">
        <v>352</v>
      </c>
      <c r="AA286">
        <v>2</v>
      </c>
      <c r="AB286" t="s">
        <v>352</v>
      </c>
      <c r="AD286" t="s">
        <v>352</v>
      </c>
      <c r="AE286" t="s">
        <v>352</v>
      </c>
      <c r="AF286" t="s">
        <v>352</v>
      </c>
      <c r="AG286">
        <v>1</v>
      </c>
      <c r="AH286" t="s">
        <v>352</v>
      </c>
      <c r="AL286" t="s">
        <v>352</v>
      </c>
      <c r="AM286" s="2">
        <v>45324</v>
      </c>
      <c r="AN286" t="s">
        <v>561</v>
      </c>
      <c r="AO286" t="s">
        <v>359</v>
      </c>
      <c r="AP286">
        <v>1201</v>
      </c>
      <c r="AQ286" t="s">
        <v>360</v>
      </c>
      <c r="AR286">
        <v>237053</v>
      </c>
      <c r="AU286" t="s">
        <v>352</v>
      </c>
      <c r="AV286" t="s">
        <v>362</v>
      </c>
      <c r="AX286" t="s">
        <v>352</v>
      </c>
      <c r="AY286">
        <v>710200</v>
      </c>
      <c r="AZ286">
        <v>1201.7102</v>
      </c>
      <c r="BA286" s="54" t="s">
        <v>46</v>
      </c>
    </row>
    <row r="287" spans="1:53">
      <c r="A287" t="s">
        <v>411</v>
      </c>
      <c r="B287" t="s">
        <v>412</v>
      </c>
      <c r="C287">
        <v>14372711</v>
      </c>
      <c r="D287">
        <v>1201</v>
      </c>
      <c r="E287" s="2">
        <v>45324</v>
      </c>
      <c r="F287" t="s">
        <v>560</v>
      </c>
      <c r="I287" t="s">
        <v>351</v>
      </c>
      <c r="O287" t="s">
        <v>352</v>
      </c>
      <c r="Q287" t="s">
        <v>352</v>
      </c>
      <c r="R287" t="s">
        <v>366</v>
      </c>
      <c r="T287" t="s">
        <v>354</v>
      </c>
      <c r="U287" t="s">
        <v>355</v>
      </c>
      <c r="V287" t="s">
        <v>367</v>
      </c>
      <c r="W287" t="s">
        <v>368</v>
      </c>
      <c r="X287">
        <v>2097655</v>
      </c>
      <c r="Y287" s="2">
        <v>45324</v>
      </c>
      <c r="Z287" t="s">
        <v>352</v>
      </c>
      <c r="AA287">
        <v>4</v>
      </c>
      <c r="AB287" t="s">
        <v>352</v>
      </c>
      <c r="AD287" t="s">
        <v>352</v>
      </c>
      <c r="AE287" t="s">
        <v>352</v>
      </c>
      <c r="AF287" t="s">
        <v>352</v>
      </c>
      <c r="AG287">
        <v>1</v>
      </c>
      <c r="AH287" t="s">
        <v>352</v>
      </c>
      <c r="AL287" t="s">
        <v>352</v>
      </c>
      <c r="AM287" s="2">
        <v>45324</v>
      </c>
      <c r="AN287" t="s">
        <v>561</v>
      </c>
      <c r="AO287" t="s">
        <v>359</v>
      </c>
      <c r="AP287">
        <v>1201</v>
      </c>
      <c r="AQ287" t="s">
        <v>360</v>
      </c>
      <c r="AR287">
        <v>262471</v>
      </c>
      <c r="AU287" t="s">
        <v>352</v>
      </c>
      <c r="AV287" t="s">
        <v>362</v>
      </c>
      <c r="AX287" t="s">
        <v>352</v>
      </c>
      <c r="AY287">
        <v>710200</v>
      </c>
      <c r="AZ287">
        <v>1201.7102</v>
      </c>
      <c r="BA287" s="54" t="s">
        <v>46</v>
      </c>
    </row>
    <row r="288" spans="1:53">
      <c r="A288" t="s">
        <v>411</v>
      </c>
      <c r="B288" t="s">
        <v>412</v>
      </c>
      <c r="C288">
        <v>14372711</v>
      </c>
      <c r="D288">
        <v>1201</v>
      </c>
      <c r="E288" s="2">
        <v>45324</v>
      </c>
      <c r="F288" t="s">
        <v>560</v>
      </c>
      <c r="I288" t="s">
        <v>351</v>
      </c>
      <c r="O288" t="s">
        <v>352</v>
      </c>
      <c r="Q288" t="s">
        <v>352</v>
      </c>
      <c r="R288" t="s">
        <v>366</v>
      </c>
      <c r="T288" t="s">
        <v>354</v>
      </c>
      <c r="U288" t="s">
        <v>355</v>
      </c>
      <c r="V288" t="s">
        <v>367</v>
      </c>
      <c r="W288" t="s">
        <v>368</v>
      </c>
      <c r="X288">
        <v>2097655</v>
      </c>
      <c r="Y288" s="2">
        <v>45324</v>
      </c>
      <c r="Z288" t="s">
        <v>352</v>
      </c>
      <c r="AA288">
        <v>6</v>
      </c>
      <c r="AB288" t="s">
        <v>352</v>
      </c>
      <c r="AD288" t="s">
        <v>352</v>
      </c>
      <c r="AE288" t="s">
        <v>352</v>
      </c>
      <c r="AF288" t="s">
        <v>352</v>
      </c>
      <c r="AG288">
        <v>1</v>
      </c>
      <c r="AH288" t="s">
        <v>352</v>
      </c>
      <c r="AL288" t="s">
        <v>352</v>
      </c>
      <c r="AM288" s="2">
        <v>45324</v>
      </c>
      <c r="AN288" t="s">
        <v>561</v>
      </c>
      <c r="AO288" t="s">
        <v>359</v>
      </c>
      <c r="AP288">
        <v>1201</v>
      </c>
      <c r="AQ288" t="s">
        <v>360</v>
      </c>
      <c r="AR288">
        <v>266620</v>
      </c>
      <c r="AU288" t="s">
        <v>352</v>
      </c>
      <c r="AV288" t="s">
        <v>362</v>
      </c>
      <c r="AX288" t="s">
        <v>352</v>
      </c>
      <c r="AY288">
        <v>710200</v>
      </c>
      <c r="AZ288">
        <v>1201.7102</v>
      </c>
      <c r="BA288" s="54" t="s">
        <v>46</v>
      </c>
    </row>
    <row r="289" spans="1:53">
      <c r="A289" t="s">
        <v>411</v>
      </c>
      <c r="B289" t="s">
        <v>412</v>
      </c>
      <c r="C289">
        <v>14372711</v>
      </c>
      <c r="D289">
        <v>1201</v>
      </c>
      <c r="E289" s="2">
        <v>45324</v>
      </c>
      <c r="F289" t="s">
        <v>560</v>
      </c>
      <c r="I289" t="s">
        <v>351</v>
      </c>
      <c r="O289" t="s">
        <v>352</v>
      </c>
      <c r="Q289" t="s">
        <v>352</v>
      </c>
      <c r="R289" t="s">
        <v>366</v>
      </c>
      <c r="T289" t="s">
        <v>354</v>
      </c>
      <c r="U289" t="s">
        <v>355</v>
      </c>
      <c r="V289" t="s">
        <v>367</v>
      </c>
      <c r="W289" t="s">
        <v>368</v>
      </c>
      <c r="X289">
        <v>2097655</v>
      </c>
      <c r="Y289" s="2">
        <v>45324</v>
      </c>
      <c r="Z289" t="s">
        <v>352</v>
      </c>
      <c r="AA289">
        <v>8</v>
      </c>
      <c r="AB289" t="s">
        <v>352</v>
      </c>
      <c r="AD289" t="s">
        <v>352</v>
      </c>
      <c r="AE289" t="s">
        <v>352</v>
      </c>
      <c r="AF289" t="s">
        <v>352</v>
      </c>
      <c r="AG289">
        <v>1</v>
      </c>
      <c r="AH289" t="s">
        <v>352</v>
      </c>
      <c r="AL289" t="s">
        <v>352</v>
      </c>
      <c r="AM289" s="2">
        <v>45324</v>
      </c>
      <c r="AN289" t="s">
        <v>561</v>
      </c>
      <c r="AO289" t="s">
        <v>359</v>
      </c>
      <c r="AP289">
        <v>1201</v>
      </c>
      <c r="AQ289" t="s">
        <v>360</v>
      </c>
      <c r="AR289">
        <v>258264</v>
      </c>
      <c r="AU289" t="s">
        <v>352</v>
      </c>
      <c r="AV289" t="s">
        <v>362</v>
      </c>
      <c r="AX289" t="s">
        <v>352</v>
      </c>
      <c r="AY289">
        <v>710200</v>
      </c>
      <c r="AZ289">
        <v>1201.7102</v>
      </c>
      <c r="BA289" s="54" t="s">
        <v>46</v>
      </c>
    </row>
    <row r="290" spans="1:53">
      <c r="A290" t="s">
        <v>411</v>
      </c>
      <c r="B290" t="s">
        <v>412</v>
      </c>
      <c r="C290">
        <v>14372711</v>
      </c>
      <c r="D290">
        <v>1201</v>
      </c>
      <c r="E290" s="2">
        <v>45324</v>
      </c>
      <c r="F290" t="s">
        <v>560</v>
      </c>
      <c r="I290" t="s">
        <v>351</v>
      </c>
      <c r="O290" t="s">
        <v>352</v>
      </c>
      <c r="Q290" t="s">
        <v>352</v>
      </c>
      <c r="R290" t="s">
        <v>366</v>
      </c>
      <c r="T290" t="s">
        <v>354</v>
      </c>
      <c r="U290" t="s">
        <v>355</v>
      </c>
      <c r="V290" t="s">
        <v>367</v>
      </c>
      <c r="W290" t="s">
        <v>368</v>
      </c>
      <c r="X290">
        <v>2097655</v>
      </c>
      <c r="Y290" s="2">
        <v>45324</v>
      </c>
      <c r="Z290" t="s">
        <v>352</v>
      </c>
      <c r="AA290">
        <v>10</v>
      </c>
      <c r="AB290" t="s">
        <v>352</v>
      </c>
      <c r="AD290" t="s">
        <v>352</v>
      </c>
      <c r="AE290" t="s">
        <v>352</v>
      </c>
      <c r="AF290" t="s">
        <v>352</v>
      </c>
      <c r="AG290">
        <v>1</v>
      </c>
      <c r="AH290" t="s">
        <v>352</v>
      </c>
      <c r="AL290" t="s">
        <v>352</v>
      </c>
      <c r="AM290" s="2">
        <v>45324</v>
      </c>
      <c r="AN290" t="s">
        <v>561</v>
      </c>
      <c r="AO290" t="s">
        <v>359</v>
      </c>
      <c r="AP290">
        <v>1201</v>
      </c>
      <c r="AQ290" t="s">
        <v>360</v>
      </c>
      <c r="AR290">
        <v>243233</v>
      </c>
      <c r="AU290" t="s">
        <v>352</v>
      </c>
      <c r="AV290" t="s">
        <v>362</v>
      </c>
      <c r="AX290" t="s">
        <v>352</v>
      </c>
      <c r="AY290">
        <v>710200</v>
      </c>
      <c r="AZ290">
        <v>1201.7102</v>
      </c>
      <c r="BA290" s="54" t="s">
        <v>46</v>
      </c>
    </row>
    <row r="291" spans="1:53">
      <c r="A291" t="s">
        <v>411</v>
      </c>
      <c r="B291" t="s">
        <v>412</v>
      </c>
      <c r="C291">
        <v>14372711</v>
      </c>
      <c r="D291">
        <v>1201</v>
      </c>
      <c r="E291" s="2">
        <v>45324</v>
      </c>
      <c r="F291" t="s">
        <v>560</v>
      </c>
      <c r="I291" t="s">
        <v>351</v>
      </c>
      <c r="O291" t="s">
        <v>352</v>
      </c>
      <c r="Q291" t="s">
        <v>352</v>
      </c>
      <c r="R291" t="s">
        <v>366</v>
      </c>
      <c r="T291" t="s">
        <v>354</v>
      </c>
      <c r="U291" t="s">
        <v>355</v>
      </c>
      <c r="V291" t="s">
        <v>367</v>
      </c>
      <c r="W291" t="s">
        <v>368</v>
      </c>
      <c r="X291">
        <v>2097655</v>
      </c>
      <c r="Y291" s="2">
        <v>45324</v>
      </c>
      <c r="Z291" t="s">
        <v>352</v>
      </c>
      <c r="AA291">
        <v>12</v>
      </c>
      <c r="AB291" t="s">
        <v>352</v>
      </c>
      <c r="AD291" t="s">
        <v>352</v>
      </c>
      <c r="AE291" t="s">
        <v>352</v>
      </c>
      <c r="AF291" t="s">
        <v>352</v>
      </c>
      <c r="AG291">
        <v>2</v>
      </c>
      <c r="AH291" t="s">
        <v>352</v>
      </c>
      <c r="AL291" t="s">
        <v>352</v>
      </c>
      <c r="AM291" s="2">
        <v>45324</v>
      </c>
      <c r="AN291" t="s">
        <v>561</v>
      </c>
      <c r="AO291" t="s">
        <v>359</v>
      </c>
      <c r="AP291">
        <v>1201</v>
      </c>
      <c r="AQ291" t="s">
        <v>360</v>
      </c>
      <c r="AR291">
        <v>257641</v>
      </c>
      <c r="AU291" t="s">
        <v>352</v>
      </c>
      <c r="AV291" t="s">
        <v>362</v>
      </c>
      <c r="AX291" t="s">
        <v>352</v>
      </c>
      <c r="AY291">
        <v>710200</v>
      </c>
      <c r="AZ291">
        <v>1201.7102</v>
      </c>
      <c r="BA291" s="54" t="s">
        <v>46</v>
      </c>
    </row>
    <row r="292" spans="1:53">
      <c r="A292" t="s">
        <v>411</v>
      </c>
      <c r="B292" t="s">
        <v>412</v>
      </c>
      <c r="C292">
        <v>14372711</v>
      </c>
      <c r="D292">
        <v>1201</v>
      </c>
      <c r="E292" s="2">
        <v>45324</v>
      </c>
      <c r="F292" t="s">
        <v>560</v>
      </c>
      <c r="I292" t="s">
        <v>351</v>
      </c>
      <c r="O292" t="s">
        <v>352</v>
      </c>
      <c r="Q292" t="s">
        <v>352</v>
      </c>
      <c r="R292" t="s">
        <v>366</v>
      </c>
      <c r="T292" t="s">
        <v>354</v>
      </c>
      <c r="U292" t="s">
        <v>355</v>
      </c>
      <c r="V292" t="s">
        <v>367</v>
      </c>
      <c r="W292" t="s">
        <v>368</v>
      </c>
      <c r="X292">
        <v>2097655</v>
      </c>
      <c r="Y292" s="2">
        <v>45324</v>
      </c>
      <c r="Z292" t="s">
        <v>352</v>
      </c>
      <c r="AA292">
        <v>14</v>
      </c>
      <c r="AB292" t="s">
        <v>352</v>
      </c>
      <c r="AD292" t="s">
        <v>352</v>
      </c>
      <c r="AE292" t="s">
        <v>352</v>
      </c>
      <c r="AF292" t="s">
        <v>352</v>
      </c>
      <c r="AG292">
        <v>2</v>
      </c>
      <c r="AH292" t="s">
        <v>352</v>
      </c>
      <c r="AL292" t="s">
        <v>352</v>
      </c>
      <c r="AM292" s="2">
        <v>45324</v>
      </c>
      <c r="AN292" t="s">
        <v>561</v>
      </c>
      <c r="AO292" t="s">
        <v>359</v>
      </c>
      <c r="AP292">
        <v>1201</v>
      </c>
      <c r="AQ292" t="s">
        <v>360</v>
      </c>
      <c r="AR292">
        <v>257646</v>
      </c>
      <c r="AU292" t="s">
        <v>352</v>
      </c>
      <c r="AV292" t="s">
        <v>362</v>
      </c>
      <c r="AX292" t="s">
        <v>352</v>
      </c>
      <c r="AY292">
        <v>710200</v>
      </c>
      <c r="AZ292">
        <v>1201.7102</v>
      </c>
      <c r="BA292" s="54" t="s">
        <v>46</v>
      </c>
    </row>
    <row r="293" spans="1:53">
      <c r="A293" t="s">
        <v>411</v>
      </c>
      <c r="B293" t="s">
        <v>412</v>
      </c>
      <c r="C293">
        <v>14372711</v>
      </c>
      <c r="D293">
        <v>1201</v>
      </c>
      <c r="E293" s="2">
        <v>45324</v>
      </c>
      <c r="F293" t="s">
        <v>560</v>
      </c>
      <c r="I293" t="s">
        <v>351</v>
      </c>
      <c r="O293" t="s">
        <v>352</v>
      </c>
      <c r="Q293" t="s">
        <v>352</v>
      </c>
      <c r="R293" t="s">
        <v>366</v>
      </c>
      <c r="T293" t="s">
        <v>354</v>
      </c>
      <c r="U293" t="s">
        <v>355</v>
      </c>
      <c r="V293" t="s">
        <v>367</v>
      </c>
      <c r="W293" t="s">
        <v>368</v>
      </c>
      <c r="X293">
        <v>2097655</v>
      </c>
      <c r="Y293" s="2">
        <v>45324</v>
      </c>
      <c r="Z293" t="s">
        <v>352</v>
      </c>
      <c r="AA293">
        <v>16</v>
      </c>
      <c r="AB293" t="s">
        <v>352</v>
      </c>
      <c r="AD293" t="s">
        <v>352</v>
      </c>
      <c r="AE293" t="s">
        <v>352</v>
      </c>
      <c r="AF293" t="s">
        <v>352</v>
      </c>
      <c r="AG293">
        <v>2</v>
      </c>
      <c r="AH293" t="s">
        <v>352</v>
      </c>
      <c r="AL293" t="s">
        <v>352</v>
      </c>
      <c r="AM293" s="2">
        <v>45324</v>
      </c>
      <c r="AN293" t="s">
        <v>561</v>
      </c>
      <c r="AO293" t="s">
        <v>359</v>
      </c>
      <c r="AP293">
        <v>1201</v>
      </c>
      <c r="AQ293" t="s">
        <v>360</v>
      </c>
      <c r="AR293">
        <v>296697</v>
      </c>
      <c r="AU293" t="s">
        <v>352</v>
      </c>
      <c r="AV293" t="s">
        <v>362</v>
      </c>
      <c r="AX293" t="s">
        <v>352</v>
      </c>
      <c r="AY293">
        <v>710200</v>
      </c>
      <c r="AZ293">
        <v>1201.7102</v>
      </c>
      <c r="BA293" s="54" t="s">
        <v>46</v>
      </c>
    </row>
    <row r="294" spans="1:53">
      <c r="A294" t="s">
        <v>411</v>
      </c>
      <c r="B294" t="s">
        <v>412</v>
      </c>
      <c r="C294">
        <v>14372711</v>
      </c>
      <c r="D294">
        <v>1201</v>
      </c>
      <c r="E294" s="2">
        <v>45324</v>
      </c>
      <c r="F294" t="s">
        <v>560</v>
      </c>
      <c r="I294" t="s">
        <v>351</v>
      </c>
      <c r="O294" t="s">
        <v>352</v>
      </c>
      <c r="Q294" t="s">
        <v>352</v>
      </c>
      <c r="R294" t="s">
        <v>366</v>
      </c>
      <c r="T294" t="s">
        <v>354</v>
      </c>
      <c r="U294" t="s">
        <v>355</v>
      </c>
      <c r="V294" t="s">
        <v>367</v>
      </c>
      <c r="W294" t="s">
        <v>368</v>
      </c>
      <c r="X294">
        <v>2097655</v>
      </c>
      <c r="Y294" s="2">
        <v>45324</v>
      </c>
      <c r="Z294" t="s">
        <v>352</v>
      </c>
      <c r="AA294">
        <v>18</v>
      </c>
      <c r="AB294" t="s">
        <v>352</v>
      </c>
      <c r="AD294" t="s">
        <v>352</v>
      </c>
      <c r="AE294" t="s">
        <v>352</v>
      </c>
      <c r="AF294" t="s">
        <v>352</v>
      </c>
      <c r="AG294">
        <v>2</v>
      </c>
      <c r="AH294" t="s">
        <v>352</v>
      </c>
      <c r="AL294" t="s">
        <v>352</v>
      </c>
      <c r="AM294" s="2">
        <v>45324</v>
      </c>
      <c r="AN294" t="s">
        <v>561</v>
      </c>
      <c r="AO294" t="s">
        <v>359</v>
      </c>
      <c r="AP294">
        <v>1201</v>
      </c>
      <c r="AQ294" t="s">
        <v>360</v>
      </c>
      <c r="AR294">
        <v>274330</v>
      </c>
      <c r="AU294" t="s">
        <v>352</v>
      </c>
      <c r="AV294" t="s">
        <v>362</v>
      </c>
      <c r="AX294" t="s">
        <v>352</v>
      </c>
      <c r="AY294">
        <v>710200</v>
      </c>
      <c r="AZ294">
        <v>1201.7102</v>
      </c>
      <c r="BA294" s="54" t="s">
        <v>46</v>
      </c>
    </row>
    <row r="295" spans="1:53">
      <c r="A295" t="s">
        <v>411</v>
      </c>
      <c r="B295" t="s">
        <v>412</v>
      </c>
      <c r="C295">
        <v>14372711</v>
      </c>
      <c r="D295">
        <v>1201</v>
      </c>
      <c r="E295" s="2">
        <v>45324</v>
      </c>
      <c r="F295" t="s">
        <v>560</v>
      </c>
      <c r="I295" t="s">
        <v>351</v>
      </c>
      <c r="O295" t="s">
        <v>352</v>
      </c>
      <c r="Q295" t="s">
        <v>352</v>
      </c>
      <c r="R295" t="s">
        <v>366</v>
      </c>
      <c r="T295" t="s">
        <v>354</v>
      </c>
      <c r="U295" t="s">
        <v>355</v>
      </c>
      <c r="V295" t="s">
        <v>367</v>
      </c>
      <c r="W295" t="s">
        <v>368</v>
      </c>
      <c r="X295">
        <v>2097655</v>
      </c>
      <c r="Y295" s="2">
        <v>45324</v>
      </c>
      <c r="Z295" t="s">
        <v>352</v>
      </c>
      <c r="AA295">
        <v>20</v>
      </c>
      <c r="AB295" t="s">
        <v>352</v>
      </c>
      <c r="AD295" t="s">
        <v>352</v>
      </c>
      <c r="AE295" t="s">
        <v>352</v>
      </c>
      <c r="AF295" t="s">
        <v>352</v>
      </c>
      <c r="AG295">
        <v>3</v>
      </c>
      <c r="AH295" t="s">
        <v>352</v>
      </c>
      <c r="AL295" t="s">
        <v>352</v>
      </c>
      <c r="AM295" s="2">
        <v>45324</v>
      </c>
      <c r="AN295" t="s">
        <v>561</v>
      </c>
      <c r="AO295" t="s">
        <v>359</v>
      </c>
      <c r="AP295">
        <v>1201</v>
      </c>
      <c r="AQ295" t="s">
        <v>360</v>
      </c>
      <c r="AR295">
        <v>256103</v>
      </c>
      <c r="AU295" t="s">
        <v>352</v>
      </c>
      <c r="AV295" t="s">
        <v>362</v>
      </c>
      <c r="AX295" t="s">
        <v>352</v>
      </c>
      <c r="AY295">
        <v>710200</v>
      </c>
      <c r="AZ295">
        <v>1201.7102</v>
      </c>
      <c r="BA295" s="54" t="s">
        <v>46</v>
      </c>
    </row>
    <row r="296" spans="1:53">
      <c r="A296" t="s">
        <v>411</v>
      </c>
      <c r="B296" t="s">
        <v>412</v>
      </c>
      <c r="C296">
        <v>14372711</v>
      </c>
      <c r="D296">
        <v>1201</v>
      </c>
      <c r="E296" s="2">
        <v>45324</v>
      </c>
      <c r="F296" t="s">
        <v>560</v>
      </c>
      <c r="I296" t="s">
        <v>351</v>
      </c>
      <c r="O296" t="s">
        <v>352</v>
      </c>
      <c r="Q296" t="s">
        <v>352</v>
      </c>
      <c r="R296" t="s">
        <v>366</v>
      </c>
      <c r="T296" t="s">
        <v>354</v>
      </c>
      <c r="U296" t="s">
        <v>355</v>
      </c>
      <c r="V296" t="s">
        <v>367</v>
      </c>
      <c r="W296" t="s">
        <v>368</v>
      </c>
      <c r="X296">
        <v>2097655</v>
      </c>
      <c r="Y296" s="2">
        <v>45324</v>
      </c>
      <c r="Z296" t="s">
        <v>352</v>
      </c>
      <c r="AA296">
        <v>22</v>
      </c>
      <c r="AB296" t="s">
        <v>352</v>
      </c>
      <c r="AD296" t="s">
        <v>352</v>
      </c>
      <c r="AE296" t="s">
        <v>352</v>
      </c>
      <c r="AF296" t="s">
        <v>352</v>
      </c>
      <c r="AG296">
        <v>4</v>
      </c>
      <c r="AH296" t="s">
        <v>352</v>
      </c>
      <c r="AL296" t="s">
        <v>352</v>
      </c>
      <c r="AM296" s="2">
        <v>45324</v>
      </c>
      <c r="AN296" t="s">
        <v>561</v>
      </c>
      <c r="AO296" t="s">
        <v>359</v>
      </c>
      <c r="AP296">
        <v>1201</v>
      </c>
      <c r="AQ296" t="s">
        <v>360</v>
      </c>
      <c r="AR296">
        <v>296698</v>
      </c>
      <c r="AU296" t="s">
        <v>352</v>
      </c>
      <c r="AV296" t="s">
        <v>362</v>
      </c>
      <c r="AX296" t="s">
        <v>352</v>
      </c>
      <c r="AY296">
        <v>710200</v>
      </c>
      <c r="AZ296">
        <v>1201.7102</v>
      </c>
      <c r="BA296" s="54" t="s">
        <v>46</v>
      </c>
    </row>
    <row r="297" spans="1:53">
      <c r="A297" t="s">
        <v>411</v>
      </c>
      <c r="B297" t="s">
        <v>412</v>
      </c>
      <c r="C297">
        <v>14372711</v>
      </c>
      <c r="D297">
        <v>1201</v>
      </c>
      <c r="E297" s="2">
        <v>45324</v>
      </c>
      <c r="F297" t="s">
        <v>560</v>
      </c>
      <c r="I297" t="s">
        <v>351</v>
      </c>
      <c r="O297" t="s">
        <v>352</v>
      </c>
      <c r="Q297" t="s">
        <v>352</v>
      </c>
      <c r="R297" t="s">
        <v>366</v>
      </c>
      <c r="T297" t="s">
        <v>354</v>
      </c>
      <c r="U297" t="s">
        <v>355</v>
      </c>
      <c r="V297" t="s">
        <v>367</v>
      </c>
      <c r="W297" t="s">
        <v>368</v>
      </c>
      <c r="X297">
        <v>2097655</v>
      </c>
      <c r="Y297" s="2">
        <v>45324</v>
      </c>
      <c r="Z297" t="s">
        <v>352</v>
      </c>
      <c r="AA297">
        <v>24</v>
      </c>
      <c r="AB297" t="s">
        <v>352</v>
      </c>
      <c r="AD297" t="s">
        <v>352</v>
      </c>
      <c r="AE297" t="s">
        <v>352</v>
      </c>
      <c r="AF297" t="s">
        <v>352</v>
      </c>
      <c r="AG297">
        <v>5</v>
      </c>
      <c r="AH297" t="s">
        <v>352</v>
      </c>
      <c r="AL297" t="s">
        <v>352</v>
      </c>
      <c r="AM297" s="2">
        <v>45324</v>
      </c>
      <c r="AN297" t="s">
        <v>561</v>
      </c>
      <c r="AO297" t="s">
        <v>359</v>
      </c>
      <c r="AP297">
        <v>1201</v>
      </c>
      <c r="AQ297" t="s">
        <v>360</v>
      </c>
      <c r="AR297">
        <v>290659</v>
      </c>
      <c r="AU297" t="s">
        <v>352</v>
      </c>
      <c r="AV297" t="s">
        <v>362</v>
      </c>
      <c r="AX297" t="s">
        <v>352</v>
      </c>
      <c r="AY297">
        <v>710200</v>
      </c>
      <c r="AZ297">
        <v>1201.7102</v>
      </c>
      <c r="BA297" s="54" t="s">
        <v>46</v>
      </c>
    </row>
    <row r="298" spans="1:53">
      <c r="A298" t="s">
        <v>411</v>
      </c>
      <c r="B298" t="s">
        <v>412</v>
      </c>
      <c r="C298">
        <v>14372711</v>
      </c>
      <c r="D298">
        <v>1201</v>
      </c>
      <c r="E298" s="2">
        <v>45324</v>
      </c>
      <c r="F298" t="s">
        <v>560</v>
      </c>
      <c r="I298" t="s">
        <v>351</v>
      </c>
      <c r="O298" t="s">
        <v>352</v>
      </c>
      <c r="Q298" t="s">
        <v>352</v>
      </c>
      <c r="R298" t="s">
        <v>366</v>
      </c>
      <c r="T298" t="s">
        <v>354</v>
      </c>
      <c r="U298" t="s">
        <v>355</v>
      </c>
      <c r="V298" t="s">
        <v>367</v>
      </c>
      <c r="W298" t="s">
        <v>368</v>
      </c>
      <c r="X298">
        <v>2097655</v>
      </c>
      <c r="Y298" s="2">
        <v>45324</v>
      </c>
      <c r="Z298" t="s">
        <v>352</v>
      </c>
      <c r="AA298">
        <v>26</v>
      </c>
      <c r="AB298" t="s">
        <v>352</v>
      </c>
      <c r="AD298" t="s">
        <v>352</v>
      </c>
      <c r="AE298" t="s">
        <v>352</v>
      </c>
      <c r="AF298" t="s">
        <v>352</v>
      </c>
      <c r="AG298">
        <v>8</v>
      </c>
      <c r="AH298" t="s">
        <v>352</v>
      </c>
      <c r="AL298" t="s">
        <v>352</v>
      </c>
      <c r="AM298" s="2">
        <v>45324</v>
      </c>
      <c r="AN298" t="s">
        <v>561</v>
      </c>
      <c r="AO298" t="s">
        <v>359</v>
      </c>
      <c r="AP298">
        <v>1201</v>
      </c>
      <c r="AQ298" t="s">
        <v>360</v>
      </c>
      <c r="AR298">
        <v>257644</v>
      </c>
      <c r="AU298" t="s">
        <v>352</v>
      </c>
      <c r="AV298" t="s">
        <v>362</v>
      </c>
      <c r="AX298" t="s">
        <v>352</v>
      </c>
      <c r="AY298">
        <v>710200</v>
      </c>
      <c r="AZ298">
        <v>1201.7102</v>
      </c>
      <c r="BA298" s="54" t="s">
        <v>46</v>
      </c>
    </row>
    <row r="299" spans="1:53">
      <c r="A299" t="s">
        <v>411</v>
      </c>
      <c r="B299" t="s">
        <v>412</v>
      </c>
      <c r="C299">
        <v>14372711</v>
      </c>
      <c r="D299">
        <v>1201</v>
      </c>
      <c r="E299" s="2">
        <v>45324</v>
      </c>
      <c r="F299" t="s">
        <v>560</v>
      </c>
      <c r="I299" t="s">
        <v>351</v>
      </c>
      <c r="O299" t="s">
        <v>352</v>
      </c>
      <c r="Q299" t="s">
        <v>352</v>
      </c>
      <c r="R299" t="s">
        <v>366</v>
      </c>
      <c r="T299" t="s">
        <v>354</v>
      </c>
      <c r="U299" t="s">
        <v>355</v>
      </c>
      <c r="V299" t="s">
        <v>367</v>
      </c>
      <c r="W299" t="s">
        <v>368</v>
      </c>
      <c r="X299">
        <v>2097655</v>
      </c>
      <c r="Y299" s="2">
        <v>45324</v>
      </c>
      <c r="Z299" t="s">
        <v>352</v>
      </c>
      <c r="AA299">
        <v>28</v>
      </c>
      <c r="AB299" t="s">
        <v>352</v>
      </c>
      <c r="AD299" t="s">
        <v>352</v>
      </c>
      <c r="AE299" t="s">
        <v>352</v>
      </c>
      <c r="AF299" t="s">
        <v>352</v>
      </c>
      <c r="AG299">
        <v>8</v>
      </c>
      <c r="AH299" t="s">
        <v>352</v>
      </c>
      <c r="AL299" t="s">
        <v>352</v>
      </c>
      <c r="AM299" s="2">
        <v>45324</v>
      </c>
      <c r="AN299" t="s">
        <v>561</v>
      </c>
      <c r="AO299" t="s">
        <v>359</v>
      </c>
      <c r="AP299">
        <v>1201</v>
      </c>
      <c r="AQ299" t="s">
        <v>360</v>
      </c>
      <c r="AR299">
        <v>261474</v>
      </c>
      <c r="AU299" t="s">
        <v>352</v>
      </c>
      <c r="AV299" t="s">
        <v>362</v>
      </c>
      <c r="AX299" t="s">
        <v>352</v>
      </c>
      <c r="AY299">
        <v>710200</v>
      </c>
      <c r="AZ299">
        <v>1201.7102</v>
      </c>
      <c r="BA299" s="54" t="s">
        <v>46</v>
      </c>
    </row>
    <row r="300" spans="1:53">
      <c r="A300" t="s">
        <v>411</v>
      </c>
      <c r="B300" t="s">
        <v>412</v>
      </c>
      <c r="C300">
        <v>14372712</v>
      </c>
      <c r="D300">
        <v>1201</v>
      </c>
      <c r="E300" s="2">
        <v>45324</v>
      </c>
      <c r="F300" t="s">
        <v>562</v>
      </c>
      <c r="I300" t="s">
        <v>351</v>
      </c>
      <c r="O300" t="s">
        <v>352</v>
      </c>
      <c r="Q300" t="s">
        <v>352</v>
      </c>
      <c r="R300" t="s">
        <v>366</v>
      </c>
      <c r="T300" t="s">
        <v>354</v>
      </c>
      <c r="U300" t="s">
        <v>355</v>
      </c>
      <c r="V300" t="s">
        <v>367</v>
      </c>
      <c r="W300" t="s">
        <v>368</v>
      </c>
      <c r="X300">
        <v>2097708</v>
      </c>
      <c r="Y300" s="2">
        <v>45324</v>
      </c>
      <c r="Z300" t="s">
        <v>352</v>
      </c>
      <c r="AA300">
        <v>2</v>
      </c>
      <c r="AB300" t="s">
        <v>352</v>
      </c>
      <c r="AD300" t="s">
        <v>352</v>
      </c>
      <c r="AE300" t="s">
        <v>352</v>
      </c>
      <c r="AF300" t="s">
        <v>352</v>
      </c>
      <c r="AG300">
        <v>3</v>
      </c>
      <c r="AH300" t="s">
        <v>352</v>
      </c>
      <c r="AL300" t="s">
        <v>352</v>
      </c>
      <c r="AM300" s="2">
        <v>45324</v>
      </c>
      <c r="AN300" t="s">
        <v>561</v>
      </c>
      <c r="AO300" t="s">
        <v>359</v>
      </c>
      <c r="AP300">
        <v>1201</v>
      </c>
      <c r="AQ300" t="s">
        <v>360</v>
      </c>
      <c r="AR300">
        <v>275699</v>
      </c>
      <c r="AU300" t="s">
        <v>352</v>
      </c>
      <c r="AV300" t="s">
        <v>362</v>
      </c>
      <c r="AX300" t="s">
        <v>352</v>
      </c>
      <c r="AY300">
        <v>710200</v>
      </c>
      <c r="AZ300">
        <v>1201.7102</v>
      </c>
      <c r="BA300" s="54" t="s">
        <v>46</v>
      </c>
    </row>
    <row r="301" spans="1:53">
      <c r="A301" t="s">
        <v>411</v>
      </c>
      <c r="B301" t="s">
        <v>412</v>
      </c>
      <c r="C301">
        <v>14372712</v>
      </c>
      <c r="D301">
        <v>1201</v>
      </c>
      <c r="E301" s="2">
        <v>45324</v>
      </c>
      <c r="F301" t="s">
        <v>562</v>
      </c>
      <c r="I301" t="s">
        <v>351</v>
      </c>
      <c r="O301" t="s">
        <v>352</v>
      </c>
      <c r="Q301" t="s">
        <v>352</v>
      </c>
      <c r="R301" t="s">
        <v>366</v>
      </c>
      <c r="T301" t="s">
        <v>354</v>
      </c>
      <c r="U301" t="s">
        <v>355</v>
      </c>
      <c r="V301" t="s">
        <v>367</v>
      </c>
      <c r="W301" t="s">
        <v>368</v>
      </c>
      <c r="X301">
        <v>2097708</v>
      </c>
      <c r="Y301" s="2">
        <v>45324</v>
      </c>
      <c r="Z301" t="s">
        <v>352</v>
      </c>
      <c r="AA301">
        <v>4</v>
      </c>
      <c r="AB301" t="s">
        <v>352</v>
      </c>
      <c r="AD301" t="s">
        <v>352</v>
      </c>
      <c r="AE301" t="s">
        <v>352</v>
      </c>
      <c r="AF301" t="s">
        <v>352</v>
      </c>
      <c r="AG301">
        <v>16</v>
      </c>
      <c r="AH301" t="s">
        <v>352</v>
      </c>
      <c r="AL301" t="s">
        <v>352</v>
      </c>
      <c r="AM301" s="2">
        <v>45324</v>
      </c>
      <c r="AN301" t="s">
        <v>561</v>
      </c>
      <c r="AO301" t="s">
        <v>359</v>
      </c>
      <c r="AP301">
        <v>1201</v>
      </c>
      <c r="AQ301" t="s">
        <v>360</v>
      </c>
      <c r="AR301">
        <v>291149</v>
      </c>
      <c r="AU301" t="s">
        <v>352</v>
      </c>
      <c r="AV301" t="s">
        <v>362</v>
      </c>
      <c r="AX301" t="s">
        <v>352</v>
      </c>
      <c r="AY301">
        <v>710200</v>
      </c>
      <c r="AZ301">
        <v>1201.7102</v>
      </c>
      <c r="BA301" s="54" t="s">
        <v>46</v>
      </c>
    </row>
    <row r="302" spans="1:53">
      <c r="A302" t="s">
        <v>411</v>
      </c>
      <c r="B302" t="s">
        <v>412</v>
      </c>
      <c r="C302">
        <v>14372712</v>
      </c>
      <c r="D302">
        <v>1201</v>
      </c>
      <c r="E302" s="2">
        <v>45324</v>
      </c>
      <c r="F302" t="s">
        <v>562</v>
      </c>
      <c r="I302" t="s">
        <v>351</v>
      </c>
      <c r="O302" t="s">
        <v>352</v>
      </c>
      <c r="Q302" t="s">
        <v>352</v>
      </c>
      <c r="R302" t="s">
        <v>366</v>
      </c>
      <c r="T302" t="s">
        <v>354</v>
      </c>
      <c r="U302" t="s">
        <v>355</v>
      </c>
      <c r="V302" t="s">
        <v>367</v>
      </c>
      <c r="W302" t="s">
        <v>368</v>
      </c>
      <c r="X302">
        <v>2097708</v>
      </c>
      <c r="Y302" s="2">
        <v>45324</v>
      </c>
      <c r="Z302" t="s">
        <v>352</v>
      </c>
      <c r="AA302">
        <v>6</v>
      </c>
      <c r="AB302" t="s">
        <v>352</v>
      </c>
      <c r="AD302" t="s">
        <v>352</v>
      </c>
      <c r="AE302" t="s">
        <v>352</v>
      </c>
      <c r="AF302" t="s">
        <v>352</v>
      </c>
      <c r="AG302">
        <v>18</v>
      </c>
      <c r="AH302" t="s">
        <v>352</v>
      </c>
      <c r="AL302" t="s">
        <v>352</v>
      </c>
      <c r="AM302" s="2">
        <v>45324</v>
      </c>
      <c r="AN302" t="s">
        <v>561</v>
      </c>
      <c r="AO302" t="s">
        <v>359</v>
      </c>
      <c r="AP302">
        <v>1201</v>
      </c>
      <c r="AQ302" t="s">
        <v>360</v>
      </c>
      <c r="AR302">
        <v>291149</v>
      </c>
      <c r="AU302" t="s">
        <v>352</v>
      </c>
      <c r="AV302" t="s">
        <v>362</v>
      </c>
      <c r="AX302" t="s">
        <v>352</v>
      </c>
      <c r="AY302">
        <v>710200</v>
      </c>
      <c r="AZ302">
        <v>1201.7102</v>
      </c>
      <c r="BA302" s="54" t="s">
        <v>46</v>
      </c>
    </row>
    <row r="303" spans="1:53">
      <c r="A303" t="s">
        <v>411</v>
      </c>
      <c r="B303" t="s">
        <v>412</v>
      </c>
      <c r="C303">
        <v>14372712</v>
      </c>
      <c r="D303">
        <v>1201</v>
      </c>
      <c r="E303" s="2">
        <v>45324</v>
      </c>
      <c r="F303" t="s">
        <v>562</v>
      </c>
      <c r="I303" t="s">
        <v>351</v>
      </c>
      <c r="O303" t="s">
        <v>352</v>
      </c>
      <c r="Q303" t="s">
        <v>352</v>
      </c>
      <c r="R303" t="s">
        <v>366</v>
      </c>
      <c r="T303" t="s">
        <v>354</v>
      </c>
      <c r="U303" t="s">
        <v>355</v>
      </c>
      <c r="V303" t="s">
        <v>367</v>
      </c>
      <c r="W303" t="s">
        <v>368</v>
      </c>
      <c r="X303">
        <v>2097708</v>
      </c>
      <c r="Y303" s="2">
        <v>45324</v>
      </c>
      <c r="Z303" t="s">
        <v>352</v>
      </c>
      <c r="AA303">
        <v>8</v>
      </c>
      <c r="AB303" t="s">
        <v>352</v>
      </c>
      <c r="AD303" t="s">
        <v>352</v>
      </c>
      <c r="AE303" t="s">
        <v>352</v>
      </c>
      <c r="AF303" t="s">
        <v>352</v>
      </c>
      <c r="AG303">
        <v>26</v>
      </c>
      <c r="AH303" t="s">
        <v>352</v>
      </c>
      <c r="AL303" t="s">
        <v>352</v>
      </c>
      <c r="AM303" s="2">
        <v>45324</v>
      </c>
      <c r="AN303" t="s">
        <v>561</v>
      </c>
      <c r="AO303" t="s">
        <v>359</v>
      </c>
      <c r="AP303">
        <v>1201</v>
      </c>
      <c r="AQ303" t="s">
        <v>360</v>
      </c>
      <c r="AR303">
        <v>291149</v>
      </c>
      <c r="AU303" t="s">
        <v>352</v>
      </c>
      <c r="AV303" t="s">
        <v>362</v>
      </c>
      <c r="AX303" t="s">
        <v>352</v>
      </c>
      <c r="AY303">
        <v>710200</v>
      </c>
      <c r="AZ303">
        <v>1201.7102</v>
      </c>
      <c r="BA303" s="54" t="s">
        <v>46</v>
      </c>
    </row>
    <row r="304" spans="1:53">
      <c r="A304" t="s">
        <v>411</v>
      </c>
      <c r="B304" t="s">
        <v>412</v>
      </c>
      <c r="C304">
        <v>14372712</v>
      </c>
      <c r="D304">
        <v>1201</v>
      </c>
      <c r="E304" s="2">
        <v>45324</v>
      </c>
      <c r="F304" t="s">
        <v>562</v>
      </c>
      <c r="I304" t="s">
        <v>351</v>
      </c>
      <c r="O304" t="s">
        <v>352</v>
      </c>
      <c r="Q304" t="s">
        <v>352</v>
      </c>
      <c r="R304" t="s">
        <v>366</v>
      </c>
      <c r="T304" t="s">
        <v>354</v>
      </c>
      <c r="U304" t="s">
        <v>355</v>
      </c>
      <c r="V304" t="s">
        <v>367</v>
      </c>
      <c r="W304" t="s">
        <v>368</v>
      </c>
      <c r="X304">
        <v>2097708</v>
      </c>
      <c r="Y304" s="2">
        <v>45324</v>
      </c>
      <c r="Z304" t="s">
        <v>352</v>
      </c>
      <c r="AA304">
        <v>10</v>
      </c>
      <c r="AB304" t="s">
        <v>352</v>
      </c>
      <c r="AD304" t="s">
        <v>352</v>
      </c>
      <c r="AE304" t="s">
        <v>352</v>
      </c>
      <c r="AF304" t="s">
        <v>352</v>
      </c>
      <c r="AG304">
        <v>39</v>
      </c>
      <c r="AH304" t="s">
        <v>352</v>
      </c>
      <c r="AL304" t="s">
        <v>352</v>
      </c>
      <c r="AM304" s="2">
        <v>45324</v>
      </c>
      <c r="AN304" t="s">
        <v>561</v>
      </c>
      <c r="AO304" t="s">
        <v>359</v>
      </c>
      <c r="AP304">
        <v>1201</v>
      </c>
      <c r="AQ304" t="s">
        <v>360</v>
      </c>
      <c r="AR304">
        <v>291149</v>
      </c>
      <c r="AU304" t="s">
        <v>352</v>
      </c>
      <c r="AV304" t="s">
        <v>362</v>
      </c>
      <c r="AX304" t="s">
        <v>352</v>
      </c>
      <c r="AY304">
        <v>710200</v>
      </c>
      <c r="AZ304">
        <v>1201.7102</v>
      </c>
      <c r="BA304" s="54" t="s">
        <v>46</v>
      </c>
    </row>
    <row r="305" spans="1:53">
      <c r="A305" t="s">
        <v>411</v>
      </c>
      <c r="B305" t="s">
        <v>412</v>
      </c>
      <c r="C305">
        <v>14372712</v>
      </c>
      <c r="D305">
        <v>1201</v>
      </c>
      <c r="E305" s="2">
        <v>45324</v>
      </c>
      <c r="F305" t="s">
        <v>562</v>
      </c>
      <c r="I305" t="s">
        <v>351</v>
      </c>
      <c r="O305" t="s">
        <v>352</v>
      </c>
      <c r="Q305" t="s">
        <v>352</v>
      </c>
      <c r="R305" t="s">
        <v>366</v>
      </c>
      <c r="T305" t="s">
        <v>354</v>
      </c>
      <c r="U305" t="s">
        <v>355</v>
      </c>
      <c r="V305" t="s">
        <v>367</v>
      </c>
      <c r="W305" t="s">
        <v>368</v>
      </c>
      <c r="X305">
        <v>2097708</v>
      </c>
      <c r="Y305" s="2">
        <v>45324</v>
      </c>
      <c r="Z305" t="s">
        <v>352</v>
      </c>
      <c r="AA305">
        <v>12</v>
      </c>
      <c r="AB305" t="s">
        <v>352</v>
      </c>
      <c r="AD305" t="s">
        <v>352</v>
      </c>
      <c r="AE305" t="s">
        <v>352</v>
      </c>
      <c r="AF305" t="s">
        <v>352</v>
      </c>
      <c r="AG305">
        <v>82</v>
      </c>
      <c r="AH305" t="s">
        <v>352</v>
      </c>
      <c r="AL305" t="s">
        <v>352</v>
      </c>
      <c r="AM305" s="2">
        <v>45324</v>
      </c>
      <c r="AN305" t="s">
        <v>561</v>
      </c>
      <c r="AO305" t="s">
        <v>359</v>
      </c>
      <c r="AP305">
        <v>1201</v>
      </c>
      <c r="AQ305" t="s">
        <v>360</v>
      </c>
      <c r="AR305">
        <v>291149</v>
      </c>
      <c r="AU305" t="s">
        <v>352</v>
      </c>
      <c r="AV305" t="s">
        <v>362</v>
      </c>
      <c r="AX305" t="s">
        <v>352</v>
      </c>
      <c r="AY305">
        <v>710200</v>
      </c>
      <c r="AZ305">
        <v>1201.7102</v>
      </c>
      <c r="BA305" s="54" t="s">
        <v>46</v>
      </c>
    </row>
    <row r="306" spans="1:53">
      <c r="A306" t="s">
        <v>411</v>
      </c>
      <c r="B306" t="s">
        <v>412</v>
      </c>
      <c r="C306">
        <v>14372713</v>
      </c>
      <c r="D306">
        <v>1201</v>
      </c>
      <c r="E306" s="2">
        <v>45324</v>
      </c>
      <c r="F306" t="s">
        <v>563</v>
      </c>
      <c r="I306" t="s">
        <v>351</v>
      </c>
      <c r="O306" t="s">
        <v>352</v>
      </c>
      <c r="Q306" t="s">
        <v>352</v>
      </c>
      <c r="R306" t="s">
        <v>366</v>
      </c>
      <c r="T306" t="s">
        <v>354</v>
      </c>
      <c r="U306" t="s">
        <v>355</v>
      </c>
      <c r="V306" t="s">
        <v>367</v>
      </c>
      <c r="W306" t="s">
        <v>368</v>
      </c>
      <c r="X306">
        <v>2097721</v>
      </c>
      <c r="Y306" s="2">
        <v>45324</v>
      </c>
      <c r="Z306" t="s">
        <v>352</v>
      </c>
      <c r="AA306">
        <v>6</v>
      </c>
      <c r="AB306" t="s">
        <v>352</v>
      </c>
      <c r="AD306" t="s">
        <v>352</v>
      </c>
      <c r="AE306" t="s">
        <v>352</v>
      </c>
      <c r="AF306" t="s">
        <v>352</v>
      </c>
      <c r="AG306">
        <v>1</v>
      </c>
      <c r="AH306" t="s">
        <v>352</v>
      </c>
      <c r="AL306" t="s">
        <v>352</v>
      </c>
      <c r="AM306" s="2">
        <v>45324</v>
      </c>
      <c r="AN306" t="s">
        <v>561</v>
      </c>
      <c r="AO306" t="s">
        <v>359</v>
      </c>
      <c r="AP306">
        <v>1201</v>
      </c>
      <c r="AQ306" t="s">
        <v>360</v>
      </c>
      <c r="AR306">
        <v>296040</v>
      </c>
      <c r="AU306" t="s">
        <v>352</v>
      </c>
      <c r="AV306" t="s">
        <v>362</v>
      </c>
      <c r="AX306" t="s">
        <v>352</v>
      </c>
      <c r="AY306">
        <v>710200</v>
      </c>
      <c r="AZ306">
        <v>1201.7102</v>
      </c>
      <c r="BA306" s="54" t="s">
        <v>46</v>
      </c>
    </row>
    <row r="307" spans="1:53">
      <c r="A307" t="s">
        <v>411</v>
      </c>
      <c r="B307" t="s">
        <v>412</v>
      </c>
      <c r="C307">
        <v>14372713</v>
      </c>
      <c r="D307">
        <v>1201</v>
      </c>
      <c r="E307" s="2">
        <v>45324</v>
      </c>
      <c r="F307" t="s">
        <v>563</v>
      </c>
      <c r="I307" t="s">
        <v>351</v>
      </c>
      <c r="O307" t="s">
        <v>352</v>
      </c>
      <c r="Q307" t="s">
        <v>352</v>
      </c>
      <c r="R307" t="s">
        <v>366</v>
      </c>
      <c r="T307" t="s">
        <v>354</v>
      </c>
      <c r="U307" t="s">
        <v>355</v>
      </c>
      <c r="V307" t="s">
        <v>367</v>
      </c>
      <c r="W307" t="s">
        <v>368</v>
      </c>
      <c r="X307">
        <v>2097721</v>
      </c>
      <c r="Y307" s="2">
        <v>45324</v>
      </c>
      <c r="Z307" t="s">
        <v>352</v>
      </c>
      <c r="AA307">
        <v>8</v>
      </c>
      <c r="AB307" t="s">
        <v>352</v>
      </c>
      <c r="AD307" t="s">
        <v>352</v>
      </c>
      <c r="AE307" t="s">
        <v>352</v>
      </c>
      <c r="AF307" t="s">
        <v>352</v>
      </c>
      <c r="AG307">
        <v>8</v>
      </c>
      <c r="AH307" t="s">
        <v>352</v>
      </c>
      <c r="AL307" t="s">
        <v>352</v>
      </c>
      <c r="AM307" s="2">
        <v>45324</v>
      </c>
      <c r="AN307" t="s">
        <v>561</v>
      </c>
      <c r="AO307" t="s">
        <v>359</v>
      </c>
      <c r="AP307">
        <v>1201</v>
      </c>
      <c r="AQ307" t="s">
        <v>360</v>
      </c>
      <c r="AR307">
        <v>296033</v>
      </c>
      <c r="AU307" t="s">
        <v>352</v>
      </c>
      <c r="AV307" t="s">
        <v>362</v>
      </c>
      <c r="AX307" t="s">
        <v>352</v>
      </c>
      <c r="AY307">
        <v>710200</v>
      </c>
      <c r="AZ307">
        <v>1201.7102</v>
      </c>
      <c r="BA307" s="54" t="s">
        <v>46</v>
      </c>
    </row>
    <row r="308" spans="1:53">
      <c r="A308" t="s">
        <v>411</v>
      </c>
      <c r="B308" t="s">
        <v>412</v>
      </c>
      <c r="C308">
        <v>14372713</v>
      </c>
      <c r="D308">
        <v>1201</v>
      </c>
      <c r="E308" s="2">
        <v>45324</v>
      </c>
      <c r="F308" t="s">
        <v>563</v>
      </c>
      <c r="I308" t="s">
        <v>351</v>
      </c>
      <c r="O308" t="s">
        <v>352</v>
      </c>
      <c r="Q308" t="s">
        <v>352</v>
      </c>
      <c r="R308" t="s">
        <v>366</v>
      </c>
      <c r="T308" t="s">
        <v>354</v>
      </c>
      <c r="U308" t="s">
        <v>355</v>
      </c>
      <c r="V308" t="s">
        <v>367</v>
      </c>
      <c r="W308" t="s">
        <v>368</v>
      </c>
      <c r="X308">
        <v>2097721</v>
      </c>
      <c r="Y308" s="2">
        <v>45324</v>
      </c>
      <c r="Z308" t="s">
        <v>352</v>
      </c>
      <c r="AA308">
        <v>2</v>
      </c>
      <c r="AB308" t="s">
        <v>352</v>
      </c>
      <c r="AD308" t="s">
        <v>352</v>
      </c>
      <c r="AE308" t="s">
        <v>352</v>
      </c>
      <c r="AF308" t="s">
        <v>352</v>
      </c>
      <c r="AG308">
        <v>1</v>
      </c>
      <c r="AH308" t="s">
        <v>352</v>
      </c>
      <c r="AL308" t="s">
        <v>352</v>
      </c>
      <c r="AM308" s="2">
        <v>45324</v>
      </c>
      <c r="AN308" t="s">
        <v>561</v>
      </c>
      <c r="AO308" t="s">
        <v>359</v>
      </c>
      <c r="AP308">
        <v>1201</v>
      </c>
      <c r="AQ308" t="s">
        <v>360</v>
      </c>
      <c r="AR308">
        <v>293867</v>
      </c>
      <c r="AU308" t="s">
        <v>352</v>
      </c>
      <c r="AV308" t="s">
        <v>362</v>
      </c>
      <c r="AX308" t="s">
        <v>352</v>
      </c>
      <c r="AY308">
        <v>710200</v>
      </c>
      <c r="AZ308">
        <v>1201.7102</v>
      </c>
      <c r="BA308" s="54" t="s">
        <v>46</v>
      </c>
    </row>
    <row r="309" spans="1:53">
      <c r="A309" t="s">
        <v>411</v>
      </c>
      <c r="B309" t="s">
        <v>412</v>
      </c>
      <c r="C309">
        <v>14372713</v>
      </c>
      <c r="D309">
        <v>1201</v>
      </c>
      <c r="E309" s="2">
        <v>45324</v>
      </c>
      <c r="F309" t="s">
        <v>563</v>
      </c>
      <c r="I309" t="s">
        <v>351</v>
      </c>
      <c r="O309" t="s">
        <v>352</v>
      </c>
      <c r="Q309" t="s">
        <v>352</v>
      </c>
      <c r="R309" t="s">
        <v>366</v>
      </c>
      <c r="T309" t="s">
        <v>354</v>
      </c>
      <c r="U309" t="s">
        <v>355</v>
      </c>
      <c r="V309" t="s">
        <v>367</v>
      </c>
      <c r="W309" t="s">
        <v>368</v>
      </c>
      <c r="X309">
        <v>2097721</v>
      </c>
      <c r="Y309" s="2">
        <v>45324</v>
      </c>
      <c r="Z309" t="s">
        <v>352</v>
      </c>
      <c r="AA309">
        <v>4</v>
      </c>
      <c r="AB309" t="s">
        <v>352</v>
      </c>
      <c r="AD309" t="s">
        <v>352</v>
      </c>
      <c r="AE309" t="s">
        <v>352</v>
      </c>
      <c r="AF309" t="s">
        <v>352</v>
      </c>
      <c r="AG309">
        <v>1</v>
      </c>
      <c r="AH309" t="s">
        <v>352</v>
      </c>
      <c r="AL309" t="s">
        <v>352</v>
      </c>
      <c r="AM309" s="2">
        <v>45324</v>
      </c>
      <c r="AN309" t="s">
        <v>561</v>
      </c>
      <c r="AO309" t="s">
        <v>359</v>
      </c>
      <c r="AP309">
        <v>1201</v>
      </c>
      <c r="AQ309" t="s">
        <v>360</v>
      </c>
      <c r="AR309">
        <v>296039</v>
      </c>
      <c r="AU309" t="s">
        <v>352</v>
      </c>
      <c r="AV309" t="s">
        <v>362</v>
      </c>
      <c r="AX309" t="s">
        <v>352</v>
      </c>
      <c r="AY309">
        <v>710200</v>
      </c>
      <c r="AZ309">
        <v>1201.7102</v>
      </c>
      <c r="BA309" s="54" t="s">
        <v>46</v>
      </c>
    </row>
    <row r="310" spans="1:53">
      <c r="A310" t="s">
        <v>411</v>
      </c>
      <c r="B310" t="s">
        <v>412</v>
      </c>
      <c r="C310">
        <v>14372714</v>
      </c>
      <c r="D310">
        <v>1201</v>
      </c>
      <c r="E310" s="2">
        <v>45324</v>
      </c>
      <c r="F310" t="s">
        <v>564</v>
      </c>
      <c r="I310" t="s">
        <v>351</v>
      </c>
      <c r="O310" t="s">
        <v>352</v>
      </c>
      <c r="Q310" t="s">
        <v>352</v>
      </c>
      <c r="R310" t="s">
        <v>366</v>
      </c>
      <c r="T310" t="s">
        <v>354</v>
      </c>
      <c r="U310" t="s">
        <v>355</v>
      </c>
      <c r="V310" t="s">
        <v>367</v>
      </c>
      <c r="W310" t="s">
        <v>368</v>
      </c>
      <c r="X310">
        <v>2097723</v>
      </c>
      <c r="Y310" s="2">
        <v>45324</v>
      </c>
      <c r="Z310" t="s">
        <v>352</v>
      </c>
      <c r="AA310">
        <v>2</v>
      </c>
      <c r="AB310" t="s">
        <v>352</v>
      </c>
      <c r="AD310" t="s">
        <v>352</v>
      </c>
      <c r="AE310" t="s">
        <v>352</v>
      </c>
      <c r="AF310" t="s">
        <v>352</v>
      </c>
      <c r="AG310">
        <v>1</v>
      </c>
      <c r="AH310" t="s">
        <v>352</v>
      </c>
      <c r="AL310" t="s">
        <v>352</v>
      </c>
      <c r="AM310" s="2">
        <v>45324</v>
      </c>
      <c r="AN310" t="s">
        <v>561</v>
      </c>
      <c r="AO310" t="s">
        <v>359</v>
      </c>
      <c r="AP310">
        <v>1201</v>
      </c>
      <c r="AQ310" t="s">
        <v>360</v>
      </c>
      <c r="AR310">
        <v>296596</v>
      </c>
      <c r="AU310" t="s">
        <v>352</v>
      </c>
      <c r="AV310" t="s">
        <v>362</v>
      </c>
      <c r="AX310" t="s">
        <v>352</v>
      </c>
      <c r="AY310">
        <v>710200</v>
      </c>
      <c r="AZ310">
        <v>1201.7102</v>
      </c>
      <c r="BA310" s="54" t="s">
        <v>46</v>
      </c>
    </row>
    <row r="311" spans="1:53">
      <c r="A311" t="s">
        <v>411</v>
      </c>
      <c r="B311" t="s">
        <v>412</v>
      </c>
      <c r="C311">
        <v>14372714</v>
      </c>
      <c r="D311">
        <v>1201</v>
      </c>
      <c r="E311" s="2">
        <v>45324</v>
      </c>
      <c r="F311" t="s">
        <v>564</v>
      </c>
      <c r="I311" t="s">
        <v>351</v>
      </c>
      <c r="O311" t="s">
        <v>352</v>
      </c>
      <c r="Q311" t="s">
        <v>352</v>
      </c>
      <c r="R311" t="s">
        <v>366</v>
      </c>
      <c r="T311" t="s">
        <v>354</v>
      </c>
      <c r="U311" t="s">
        <v>355</v>
      </c>
      <c r="V311" t="s">
        <v>367</v>
      </c>
      <c r="W311" t="s">
        <v>368</v>
      </c>
      <c r="X311">
        <v>2097723</v>
      </c>
      <c r="Y311" s="2">
        <v>45324</v>
      </c>
      <c r="Z311" t="s">
        <v>352</v>
      </c>
      <c r="AA311">
        <v>4</v>
      </c>
      <c r="AB311" t="s">
        <v>352</v>
      </c>
      <c r="AD311" t="s">
        <v>352</v>
      </c>
      <c r="AE311" t="s">
        <v>352</v>
      </c>
      <c r="AF311" t="s">
        <v>352</v>
      </c>
      <c r="AG311">
        <v>2</v>
      </c>
      <c r="AH311" t="s">
        <v>352</v>
      </c>
      <c r="AL311" t="s">
        <v>352</v>
      </c>
      <c r="AM311" s="2">
        <v>45324</v>
      </c>
      <c r="AN311" t="s">
        <v>561</v>
      </c>
      <c r="AO311" t="s">
        <v>359</v>
      </c>
      <c r="AP311">
        <v>1201</v>
      </c>
      <c r="AQ311" t="s">
        <v>360</v>
      </c>
      <c r="AR311">
        <v>287577</v>
      </c>
      <c r="AU311" t="s">
        <v>352</v>
      </c>
      <c r="AV311" t="s">
        <v>362</v>
      </c>
      <c r="AX311" t="s">
        <v>352</v>
      </c>
      <c r="AY311">
        <v>710200</v>
      </c>
      <c r="AZ311">
        <v>1201.7102</v>
      </c>
      <c r="BA311" s="54" t="s">
        <v>46</v>
      </c>
    </row>
    <row r="312" spans="1:53">
      <c r="A312" t="s">
        <v>411</v>
      </c>
      <c r="B312" t="s">
        <v>412</v>
      </c>
      <c r="C312">
        <v>14372708</v>
      </c>
      <c r="D312">
        <v>1205</v>
      </c>
      <c r="E312" s="2">
        <v>45324</v>
      </c>
      <c r="F312" t="s">
        <v>565</v>
      </c>
      <c r="G312">
        <v>8.7799999999999994</v>
      </c>
      <c r="H312">
        <v>8.7799999999999994</v>
      </c>
      <c r="I312" t="s">
        <v>351</v>
      </c>
      <c r="O312" t="s">
        <v>352</v>
      </c>
      <c r="Q312" t="s">
        <v>352</v>
      </c>
      <c r="R312" t="s">
        <v>366</v>
      </c>
      <c r="T312" t="s">
        <v>354</v>
      </c>
      <c r="U312" t="s">
        <v>355</v>
      </c>
      <c r="V312" t="s">
        <v>367</v>
      </c>
      <c r="W312" t="s">
        <v>368</v>
      </c>
      <c r="X312">
        <v>2097368</v>
      </c>
      <c r="Y312" s="2">
        <v>45324</v>
      </c>
      <c r="Z312" t="s">
        <v>352</v>
      </c>
      <c r="AA312">
        <v>2</v>
      </c>
      <c r="AB312" t="s">
        <v>352</v>
      </c>
      <c r="AD312" t="s">
        <v>352</v>
      </c>
      <c r="AE312" t="s">
        <v>352</v>
      </c>
      <c r="AF312" t="s">
        <v>352</v>
      </c>
      <c r="AG312">
        <v>5</v>
      </c>
      <c r="AH312" t="s">
        <v>352</v>
      </c>
      <c r="AL312" t="s">
        <v>352</v>
      </c>
      <c r="AM312" s="2">
        <v>45324</v>
      </c>
      <c r="AN312" t="s">
        <v>566</v>
      </c>
      <c r="AO312" t="s">
        <v>359</v>
      </c>
      <c r="AP312">
        <v>1205</v>
      </c>
      <c r="AQ312" t="s">
        <v>360</v>
      </c>
      <c r="AR312">
        <v>295984</v>
      </c>
      <c r="AU312" t="s">
        <v>352</v>
      </c>
      <c r="AV312" t="s">
        <v>362</v>
      </c>
      <c r="AX312" t="s">
        <v>352</v>
      </c>
      <c r="AY312">
        <v>710200</v>
      </c>
      <c r="AZ312">
        <v>1205.7102</v>
      </c>
      <c r="BA312" s="54" t="s">
        <v>166</v>
      </c>
    </row>
    <row r="313" spans="1:53">
      <c r="A313" t="s">
        <v>411</v>
      </c>
      <c r="B313" t="s">
        <v>412</v>
      </c>
      <c r="C313">
        <v>14372709</v>
      </c>
      <c r="D313">
        <v>1205</v>
      </c>
      <c r="E313" s="2">
        <v>45324</v>
      </c>
      <c r="F313" t="s">
        <v>567</v>
      </c>
      <c r="G313">
        <v>17.559999999999999</v>
      </c>
      <c r="H313">
        <v>17.559999999999999</v>
      </c>
      <c r="I313" t="s">
        <v>351</v>
      </c>
      <c r="O313" t="s">
        <v>352</v>
      </c>
      <c r="Q313" t="s">
        <v>352</v>
      </c>
      <c r="R313" t="s">
        <v>366</v>
      </c>
      <c r="T313" t="s">
        <v>354</v>
      </c>
      <c r="U313" t="s">
        <v>355</v>
      </c>
      <c r="V313" t="s">
        <v>367</v>
      </c>
      <c r="W313" t="s">
        <v>368</v>
      </c>
      <c r="X313">
        <v>2097368</v>
      </c>
      <c r="Y313" s="2">
        <v>45324</v>
      </c>
      <c r="Z313" t="s">
        <v>352</v>
      </c>
      <c r="AA313">
        <v>2</v>
      </c>
      <c r="AB313" t="s">
        <v>352</v>
      </c>
      <c r="AD313" t="s">
        <v>352</v>
      </c>
      <c r="AE313" t="s">
        <v>352</v>
      </c>
      <c r="AF313" t="s">
        <v>352</v>
      </c>
      <c r="AG313">
        <v>10</v>
      </c>
      <c r="AH313" t="s">
        <v>352</v>
      </c>
      <c r="AL313" t="s">
        <v>352</v>
      </c>
      <c r="AM313" s="2">
        <v>45324</v>
      </c>
      <c r="AN313" t="s">
        <v>566</v>
      </c>
      <c r="AO313" t="s">
        <v>359</v>
      </c>
      <c r="AP313">
        <v>1205</v>
      </c>
      <c r="AQ313" t="s">
        <v>360</v>
      </c>
      <c r="AR313">
        <v>294609</v>
      </c>
      <c r="AU313" t="s">
        <v>352</v>
      </c>
      <c r="AV313" t="s">
        <v>362</v>
      </c>
      <c r="AX313" t="s">
        <v>352</v>
      </c>
      <c r="AY313">
        <v>710200</v>
      </c>
      <c r="AZ313">
        <v>1205.7102</v>
      </c>
      <c r="BA313" s="54" t="s">
        <v>166</v>
      </c>
    </row>
    <row r="314" spans="1:53">
      <c r="A314" t="s">
        <v>411</v>
      </c>
      <c r="B314" t="s">
        <v>412</v>
      </c>
      <c r="C314">
        <v>14372710</v>
      </c>
      <c r="D314">
        <v>1205</v>
      </c>
      <c r="E314" s="2">
        <v>45324</v>
      </c>
      <c r="F314" t="s">
        <v>567</v>
      </c>
      <c r="G314">
        <v>8.99</v>
      </c>
      <c r="H314">
        <v>8.99</v>
      </c>
      <c r="I314" t="s">
        <v>351</v>
      </c>
      <c r="O314" t="s">
        <v>352</v>
      </c>
      <c r="Q314" t="s">
        <v>352</v>
      </c>
      <c r="R314" t="s">
        <v>366</v>
      </c>
      <c r="T314" t="s">
        <v>354</v>
      </c>
      <c r="U314" t="s">
        <v>355</v>
      </c>
      <c r="V314" t="s">
        <v>367</v>
      </c>
      <c r="W314" t="s">
        <v>368</v>
      </c>
      <c r="X314">
        <v>2097368</v>
      </c>
      <c r="Y314" s="2">
        <v>45324</v>
      </c>
      <c r="Z314" t="s">
        <v>352</v>
      </c>
      <c r="AA314">
        <v>2</v>
      </c>
      <c r="AB314" t="s">
        <v>352</v>
      </c>
      <c r="AD314" t="s">
        <v>352</v>
      </c>
      <c r="AE314" t="s">
        <v>352</v>
      </c>
      <c r="AF314" t="s">
        <v>352</v>
      </c>
      <c r="AG314">
        <v>5</v>
      </c>
      <c r="AH314" t="s">
        <v>352</v>
      </c>
      <c r="AL314" t="s">
        <v>352</v>
      </c>
      <c r="AM314" s="2">
        <v>45324</v>
      </c>
      <c r="AN314" t="s">
        <v>566</v>
      </c>
      <c r="AO314" t="s">
        <v>359</v>
      </c>
      <c r="AP314">
        <v>1205</v>
      </c>
      <c r="AQ314" t="s">
        <v>360</v>
      </c>
      <c r="AR314">
        <v>295984</v>
      </c>
      <c r="AU314" t="s">
        <v>352</v>
      </c>
      <c r="AV314" t="s">
        <v>362</v>
      </c>
      <c r="AX314" t="s">
        <v>352</v>
      </c>
      <c r="AY314">
        <v>710200</v>
      </c>
      <c r="AZ314">
        <v>1205.7102</v>
      </c>
      <c r="BA314" s="54" t="s">
        <v>166</v>
      </c>
    </row>
    <row r="315" spans="1:53">
      <c r="A315" t="s">
        <v>411</v>
      </c>
      <c r="B315" t="s">
        <v>412</v>
      </c>
      <c r="C315">
        <v>14372715</v>
      </c>
      <c r="D315">
        <v>1205</v>
      </c>
      <c r="E315" s="2">
        <v>45327</v>
      </c>
      <c r="F315" t="s">
        <v>601</v>
      </c>
      <c r="I315" t="s">
        <v>352</v>
      </c>
      <c r="O315" t="s">
        <v>352</v>
      </c>
      <c r="Q315" t="s">
        <v>352</v>
      </c>
      <c r="R315" t="s">
        <v>366</v>
      </c>
      <c r="T315" t="s">
        <v>354</v>
      </c>
      <c r="U315" t="s">
        <v>355</v>
      </c>
      <c r="V315" t="s">
        <v>367</v>
      </c>
      <c r="W315" t="s">
        <v>368</v>
      </c>
      <c r="X315">
        <v>2097791</v>
      </c>
      <c r="Y315" s="2">
        <v>45327</v>
      </c>
      <c r="Z315" t="s">
        <v>352</v>
      </c>
      <c r="AA315">
        <v>2</v>
      </c>
      <c r="AB315" t="s">
        <v>352</v>
      </c>
      <c r="AD315" t="s">
        <v>352</v>
      </c>
      <c r="AE315" t="s">
        <v>352</v>
      </c>
      <c r="AF315" t="s">
        <v>352</v>
      </c>
      <c r="AG315">
        <v>20</v>
      </c>
      <c r="AH315" t="s">
        <v>352</v>
      </c>
      <c r="AL315" t="s">
        <v>352</v>
      </c>
      <c r="AM315" s="2">
        <v>45327</v>
      </c>
      <c r="AN315" t="s">
        <v>566</v>
      </c>
      <c r="AO315" t="s">
        <v>566</v>
      </c>
      <c r="AP315">
        <v>1205</v>
      </c>
      <c r="AQ315" t="s">
        <v>360</v>
      </c>
      <c r="AR315">
        <v>294620</v>
      </c>
      <c r="AU315" t="s">
        <v>352</v>
      </c>
      <c r="AV315" t="s">
        <v>362</v>
      </c>
      <c r="AX315" t="s">
        <v>352</v>
      </c>
      <c r="AY315">
        <v>710200</v>
      </c>
      <c r="AZ315">
        <v>1205.7102</v>
      </c>
      <c r="BA315" s="54" t="s">
        <v>166</v>
      </c>
    </row>
    <row r="316" spans="1:53">
      <c r="A316" t="s">
        <v>411</v>
      </c>
      <c r="B316" t="s">
        <v>412</v>
      </c>
      <c r="C316">
        <v>14372716</v>
      </c>
      <c r="D316">
        <v>1205</v>
      </c>
      <c r="E316" s="2">
        <v>45327</v>
      </c>
      <c r="F316" t="s">
        <v>601</v>
      </c>
      <c r="G316">
        <v>77.45</v>
      </c>
      <c r="H316">
        <v>77.45</v>
      </c>
      <c r="I316" t="s">
        <v>352</v>
      </c>
      <c r="O316" t="s">
        <v>352</v>
      </c>
      <c r="Q316" t="s">
        <v>352</v>
      </c>
      <c r="R316" t="s">
        <v>366</v>
      </c>
      <c r="T316" t="s">
        <v>354</v>
      </c>
      <c r="U316" t="s">
        <v>355</v>
      </c>
      <c r="V316" t="s">
        <v>367</v>
      </c>
      <c r="W316" t="s">
        <v>368</v>
      </c>
      <c r="X316">
        <v>2097791</v>
      </c>
      <c r="Y316" s="2">
        <v>45327</v>
      </c>
      <c r="Z316" t="s">
        <v>352</v>
      </c>
      <c r="AA316">
        <v>2</v>
      </c>
      <c r="AB316" t="s">
        <v>352</v>
      </c>
      <c r="AD316" t="s">
        <v>352</v>
      </c>
      <c r="AE316" t="s">
        <v>352</v>
      </c>
      <c r="AF316" t="s">
        <v>352</v>
      </c>
      <c r="AG316">
        <v>20</v>
      </c>
      <c r="AH316" t="s">
        <v>352</v>
      </c>
      <c r="AL316" t="s">
        <v>352</v>
      </c>
      <c r="AM316" s="2">
        <v>45327</v>
      </c>
      <c r="AN316" t="s">
        <v>566</v>
      </c>
      <c r="AO316" t="s">
        <v>566</v>
      </c>
      <c r="AP316">
        <v>1205</v>
      </c>
      <c r="AQ316" t="s">
        <v>360</v>
      </c>
      <c r="AR316">
        <v>294619</v>
      </c>
      <c r="AU316" t="s">
        <v>352</v>
      </c>
      <c r="AV316" t="s">
        <v>362</v>
      </c>
      <c r="AX316" t="s">
        <v>352</v>
      </c>
      <c r="AY316">
        <v>710200</v>
      </c>
      <c r="AZ316">
        <v>1205.7102</v>
      </c>
      <c r="BA316" s="54" t="s">
        <v>166</v>
      </c>
    </row>
    <row r="317" spans="1:53">
      <c r="A317" t="s">
        <v>411</v>
      </c>
      <c r="B317" t="s">
        <v>412</v>
      </c>
      <c r="C317">
        <v>14372717</v>
      </c>
      <c r="D317">
        <v>1205</v>
      </c>
      <c r="E317" s="2">
        <v>45327</v>
      </c>
      <c r="F317" t="s">
        <v>601</v>
      </c>
      <c r="I317" t="s">
        <v>352</v>
      </c>
      <c r="O317" t="s">
        <v>352</v>
      </c>
      <c r="Q317" t="s">
        <v>352</v>
      </c>
      <c r="R317" t="s">
        <v>366</v>
      </c>
      <c r="T317" t="s">
        <v>354</v>
      </c>
      <c r="U317" t="s">
        <v>355</v>
      </c>
      <c r="V317" t="s">
        <v>367</v>
      </c>
      <c r="W317" t="s">
        <v>368</v>
      </c>
      <c r="X317">
        <v>2097791</v>
      </c>
      <c r="Y317" s="2">
        <v>45327</v>
      </c>
      <c r="Z317" t="s">
        <v>352</v>
      </c>
      <c r="AA317">
        <v>2</v>
      </c>
      <c r="AB317" t="s">
        <v>352</v>
      </c>
      <c r="AD317" t="s">
        <v>352</v>
      </c>
      <c r="AE317" t="s">
        <v>352</v>
      </c>
      <c r="AF317" t="s">
        <v>352</v>
      </c>
      <c r="AG317">
        <v>24</v>
      </c>
      <c r="AH317" t="s">
        <v>352</v>
      </c>
      <c r="AL317" t="s">
        <v>352</v>
      </c>
      <c r="AM317" s="2">
        <v>45327</v>
      </c>
      <c r="AN317" t="s">
        <v>566</v>
      </c>
      <c r="AO317" t="s">
        <v>566</v>
      </c>
      <c r="AP317">
        <v>1205</v>
      </c>
      <c r="AQ317" t="s">
        <v>360</v>
      </c>
      <c r="AR317">
        <v>294608</v>
      </c>
      <c r="AU317" t="s">
        <v>352</v>
      </c>
      <c r="AV317" t="s">
        <v>362</v>
      </c>
      <c r="AX317" t="s">
        <v>352</v>
      </c>
      <c r="AY317">
        <v>710200</v>
      </c>
      <c r="AZ317">
        <v>1205.7102</v>
      </c>
      <c r="BA317" s="54" t="s">
        <v>166</v>
      </c>
    </row>
    <row r="318" spans="1:53">
      <c r="A318" t="s">
        <v>411</v>
      </c>
      <c r="B318" t="s">
        <v>412</v>
      </c>
      <c r="C318">
        <v>14372718</v>
      </c>
      <c r="D318">
        <v>1205</v>
      </c>
      <c r="E318" s="2">
        <v>45327</v>
      </c>
      <c r="F318" t="s">
        <v>601</v>
      </c>
      <c r="I318" t="s">
        <v>352</v>
      </c>
      <c r="O318" t="s">
        <v>352</v>
      </c>
      <c r="Q318" t="s">
        <v>352</v>
      </c>
      <c r="R318" t="s">
        <v>366</v>
      </c>
      <c r="T318" t="s">
        <v>354</v>
      </c>
      <c r="U318" t="s">
        <v>355</v>
      </c>
      <c r="V318" t="s">
        <v>367</v>
      </c>
      <c r="W318" t="s">
        <v>368</v>
      </c>
      <c r="X318">
        <v>2097791</v>
      </c>
      <c r="Y318" s="2">
        <v>45327</v>
      </c>
      <c r="Z318" t="s">
        <v>352</v>
      </c>
      <c r="AA318">
        <v>2</v>
      </c>
      <c r="AB318" t="s">
        <v>352</v>
      </c>
      <c r="AD318" t="s">
        <v>352</v>
      </c>
      <c r="AE318" t="s">
        <v>352</v>
      </c>
      <c r="AF318" t="s">
        <v>352</v>
      </c>
      <c r="AG318">
        <v>24</v>
      </c>
      <c r="AH318" t="s">
        <v>352</v>
      </c>
      <c r="AL318" t="s">
        <v>352</v>
      </c>
      <c r="AM318" s="2">
        <v>45327</v>
      </c>
      <c r="AN318" t="s">
        <v>566</v>
      </c>
      <c r="AO318" t="s">
        <v>566</v>
      </c>
      <c r="AP318">
        <v>1205</v>
      </c>
      <c r="AQ318" t="s">
        <v>360</v>
      </c>
      <c r="AR318">
        <v>294607</v>
      </c>
      <c r="AU318" t="s">
        <v>352</v>
      </c>
      <c r="AV318" t="s">
        <v>362</v>
      </c>
      <c r="AX318" t="s">
        <v>352</v>
      </c>
      <c r="AY318">
        <v>710200</v>
      </c>
      <c r="AZ318">
        <v>1205.7102</v>
      </c>
      <c r="BA318" s="54" t="s">
        <v>166</v>
      </c>
    </row>
    <row r="319" spans="1:53">
      <c r="A319" t="s">
        <v>391</v>
      </c>
      <c r="B319" t="s">
        <v>392</v>
      </c>
      <c r="C319">
        <v>24001311</v>
      </c>
      <c r="D319">
        <v>1201</v>
      </c>
      <c r="E319" s="2">
        <v>45323</v>
      </c>
      <c r="F319" t="s">
        <v>418</v>
      </c>
      <c r="G319" s="61">
        <v>2247.5500000000002</v>
      </c>
      <c r="H319" s="61">
        <v>2247.5500000000002</v>
      </c>
      <c r="I319" t="s">
        <v>351</v>
      </c>
      <c r="J319" t="s">
        <v>351</v>
      </c>
      <c r="L319" s="61">
        <v>34700000</v>
      </c>
      <c r="N319" s="61">
        <v>34700000</v>
      </c>
      <c r="O319" t="s">
        <v>352</v>
      </c>
      <c r="Q319" t="s">
        <v>352</v>
      </c>
      <c r="R319" t="s">
        <v>353</v>
      </c>
      <c r="S319">
        <v>15439</v>
      </c>
      <c r="T319" t="s">
        <v>354</v>
      </c>
      <c r="U319" t="s">
        <v>355</v>
      </c>
      <c r="V319" t="s">
        <v>394</v>
      </c>
      <c r="W319" t="s">
        <v>395</v>
      </c>
      <c r="X319">
        <v>2096296</v>
      </c>
      <c r="Y319" s="2">
        <v>45320</v>
      </c>
      <c r="Z319" t="s">
        <v>352</v>
      </c>
      <c r="AA319">
        <v>1</v>
      </c>
      <c r="AB319" t="s">
        <v>352</v>
      </c>
      <c r="AD319" t="s">
        <v>352</v>
      </c>
      <c r="AE319" t="s">
        <v>352</v>
      </c>
      <c r="AF319" t="s">
        <v>352</v>
      </c>
      <c r="AG319">
        <v>1</v>
      </c>
      <c r="AH319" t="s">
        <v>352</v>
      </c>
      <c r="AI319">
        <v>55423490</v>
      </c>
      <c r="AJ319" t="s">
        <v>418</v>
      </c>
      <c r="AL319" t="s">
        <v>419</v>
      </c>
      <c r="AM319" s="2">
        <v>45656</v>
      </c>
      <c r="AN319" t="s">
        <v>397</v>
      </c>
      <c r="AO319" t="s">
        <v>359</v>
      </c>
      <c r="AP319">
        <v>1201</v>
      </c>
      <c r="AQ319" t="s">
        <v>360</v>
      </c>
      <c r="AR319" t="s">
        <v>420</v>
      </c>
      <c r="AU319" t="s">
        <v>352</v>
      </c>
      <c r="AV319" t="s">
        <v>362</v>
      </c>
      <c r="AX319">
        <v>24001042</v>
      </c>
      <c r="AY319">
        <v>720400</v>
      </c>
      <c r="AZ319">
        <v>1201.7203999999999</v>
      </c>
      <c r="BA319" s="54" t="s">
        <v>54</v>
      </c>
    </row>
    <row r="320" spans="1:53">
      <c r="A320" t="s">
        <v>391</v>
      </c>
      <c r="B320" t="s">
        <v>392</v>
      </c>
      <c r="C320">
        <v>24001316</v>
      </c>
      <c r="D320">
        <v>1201</v>
      </c>
      <c r="E320" s="2">
        <v>45323</v>
      </c>
      <c r="F320" t="s">
        <v>421</v>
      </c>
      <c r="G320">
        <v>34.33</v>
      </c>
      <c r="H320">
        <v>34.33</v>
      </c>
      <c r="I320" t="s">
        <v>351</v>
      </c>
      <c r="J320" t="s">
        <v>351</v>
      </c>
      <c r="L320" s="61">
        <v>530000</v>
      </c>
      <c r="N320" s="61">
        <v>530000</v>
      </c>
      <c r="O320" t="s">
        <v>352</v>
      </c>
      <c r="Q320" t="s">
        <v>352</v>
      </c>
      <c r="R320" t="s">
        <v>353</v>
      </c>
      <c r="S320">
        <v>15439</v>
      </c>
      <c r="T320" t="s">
        <v>354</v>
      </c>
      <c r="U320" t="s">
        <v>355</v>
      </c>
      <c r="V320" t="s">
        <v>394</v>
      </c>
      <c r="W320" t="s">
        <v>395</v>
      </c>
      <c r="X320">
        <v>2096296</v>
      </c>
      <c r="Y320" s="2">
        <v>45320</v>
      </c>
      <c r="Z320" t="s">
        <v>352</v>
      </c>
      <c r="AA320">
        <v>1</v>
      </c>
      <c r="AB320" t="s">
        <v>352</v>
      </c>
      <c r="AD320" t="s">
        <v>352</v>
      </c>
      <c r="AE320" t="s">
        <v>352</v>
      </c>
      <c r="AF320" t="s">
        <v>352</v>
      </c>
      <c r="AG320">
        <v>1</v>
      </c>
      <c r="AH320" t="s">
        <v>352</v>
      </c>
      <c r="AI320">
        <v>57388966</v>
      </c>
      <c r="AJ320" t="s">
        <v>421</v>
      </c>
      <c r="AL320" t="s">
        <v>404</v>
      </c>
      <c r="AM320" s="2">
        <v>45290</v>
      </c>
      <c r="AN320" t="s">
        <v>397</v>
      </c>
      <c r="AO320" t="s">
        <v>359</v>
      </c>
      <c r="AP320">
        <v>1201</v>
      </c>
      <c r="AQ320" t="s">
        <v>360</v>
      </c>
      <c r="AR320" t="s">
        <v>405</v>
      </c>
      <c r="AU320" t="s">
        <v>352</v>
      </c>
      <c r="AV320" t="s">
        <v>362</v>
      </c>
      <c r="AX320">
        <v>24001045</v>
      </c>
      <c r="AY320">
        <v>720400</v>
      </c>
      <c r="AZ320">
        <v>1201.7203999999999</v>
      </c>
      <c r="BA320" s="54" t="s">
        <v>54</v>
      </c>
    </row>
    <row r="321" spans="1:53">
      <c r="A321" t="s">
        <v>391</v>
      </c>
      <c r="B321" t="s">
        <v>392</v>
      </c>
      <c r="C321">
        <v>24001317</v>
      </c>
      <c r="D321">
        <v>1201</v>
      </c>
      <c r="E321" s="2">
        <v>45323</v>
      </c>
      <c r="F321" t="s">
        <v>422</v>
      </c>
      <c r="G321">
        <v>32.520000000000003</v>
      </c>
      <c r="H321">
        <v>32.520000000000003</v>
      </c>
      <c r="I321" t="s">
        <v>351</v>
      </c>
      <c r="J321" t="s">
        <v>351</v>
      </c>
      <c r="L321" s="61">
        <v>502090</v>
      </c>
      <c r="N321" s="61">
        <v>502090</v>
      </c>
      <c r="O321" t="s">
        <v>352</v>
      </c>
      <c r="Q321" t="s">
        <v>352</v>
      </c>
      <c r="R321" t="s">
        <v>353</v>
      </c>
      <c r="S321">
        <v>15439</v>
      </c>
      <c r="T321" t="s">
        <v>354</v>
      </c>
      <c r="U321" t="s">
        <v>355</v>
      </c>
      <c r="V321" t="s">
        <v>394</v>
      </c>
      <c r="W321" t="s">
        <v>395</v>
      </c>
      <c r="X321">
        <v>2096296</v>
      </c>
      <c r="Y321" s="2">
        <v>45320</v>
      </c>
      <c r="Z321" t="s">
        <v>352</v>
      </c>
      <c r="AA321">
        <v>1</v>
      </c>
      <c r="AB321" t="s">
        <v>352</v>
      </c>
      <c r="AD321" t="s">
        <v>352</v>
      </c>
      <c r="AE321" t="s">
        <v>352</v>
      </c>
      <c r="AF321" t="s">
        <v>352</v>
      </c>
      <c r="AG321">
        <v>1</v>
      </c>
      <c r="AH321" t="s">
        <v>352</v>
      </c>
      <c r="AI321">
        <v>55101941</v>
      </c>
      <c r="AJ321" t="s">
        <v>422</v>
      </c>
      <c r="AL321" t="s">
        <v>404</v>
      </c>
      <c r="AM321" s="2">
        <v>45290</v>
      </c>
      <c r="AN321" t="s">
        <v>397</v>
      </c>
      <c r="AO321" t="s">
        <v>359</v>
      </c>
      <c r="AP321">
        <v>1201</v>
      </c>
      <c r="AQ321" t="s">
        <v>360</v>
      </c>
      <c r="AR321" t="s">
        <v>405</v>
      </c>
      <c r="AU321" t="s">
        <v>352</v>
      </c>
      <c r="AV321" t="s">
        <v>362</v>
      </c>
      <c r="AX321">
        <v>24001046</v>
      </c>
      <c r="AY321">
        <v>720400</v>
      </c>
      <c r="AZ321">
        <v>1201.7203999999999</v>
      </c>
      <c r="BA321" s="54" t="s">
        <v>54</v>
      </c>
    </row>
    <row r="322" spans="1:53">
      <c r="A322" t="s">
        <v>391</v>
      </c>
      <c r="B322" t="s">
        <v>392</v>
      </c>
      <c r="C322">
        <v>24001318</v>
      </c>
      <c r="D322">
        <v>1201</v>
      </c>
      <c r="E322" s="2">
        <v>45323</v>
      </c>
      <c r="F322" t="s">
        <v>422</v>
      </c>
      <c r="G322">
        <v>44.52</v>
      </c>
      <c r="H322">
        <v>44.52</v>
      </c>
      <c r="I322" t="s">
        <v>351</v>
      </c>
      <c r="J322" t="s">
        <v>351</v>
      </c>
      <c r="L322" s="61">
        <v>687340</v>
      </c>
      <c r="N322" s="61">
        <v>687340</v>
      </c>
      <c r="O322" t="s">
        <v>352</v>
      </c>
      <c r="Q322" t="s">
        <v>352</v>
      </c>
      <c r="R322" t="s">
        <v>353</v>
      </c>
      <c r="S322">
        <v>15439</v>
      </c>
      <c r="T322" t="s">
        <v>354</v>
      </c>
      <c r="U322" t="s">
        <v>355</v>
      </c>
      <c r="V322" t="s">
        <v>394</v>
      </c>
      <c r="W322" t="s">
        <v>395</v>
      </c>
      <c r="X322">
        <v>2096296</v>
      </c>
      <c r="Y322" s="2">
        <v>45320</v>
      </c>
      <c r="Z322" t="s">
        <v>352</v>
      </c>
      <c r="AA322">
        <v>1</v>
      </c>
      <c r="AB322" t="s">
        <v>352</v>
      </c>
      <c r="AD322" t="s">
        <v>352</v>
      </c>
      <c r="AE322" t="s">
        <v>352</v>
      </c>
      <c r="AF322" t="s">
        <v>352</v>
      </c>
      <c r="AG322">
        <v>1</v>
      </c>
      <c r="AH322" t="s">
        <v>352</v>
      </c>
      <c r="AI322">
        <v>55101941</v>
      </c>
      <c r="AJ322" t="s">
        <v>422</v>
      </c>
      <c r="AL322" t="s">
        <v>404</v>
      </c>
      <c r="AM322" s="2">
        <v>45290</v>
      </c>
      <c r="AN322" t="s">
        <v>397</v>
      </c>
      <c r="AO322" t="s">
        <v>359</v>
      </c>
      <c r="AP322">
        <v>1201</v>
      </c>
      <c r="AQ322" t="s">
        <v>360</v>
      </c>
      <c r="AR322" t="s">
        <v>405</v>
      </c>
      <c r="AU322" t="s">
        <v>352</v>
      </c>
      <c r="AV322" t="s">
        <v>362</v>
      </c>
      <c r="AX322">
        <v>24001046</v>
      </c>
      <c r="AY322">
        <v>720400</v>
      </c>
      <c r="AZ322">
        <v>1201.7203999999999</v>
      </c>
      <c r="BA322" s="54" t="s">
        <v>54</v>
      </c>
    </row>
    <row r="323" spans="1:53">
      <c r="A323" t="s">
        <v>391</v>
      </c>
      <c r="B323" t="s">
        <v>392</v>
      </c>
      <c r="C323">
        <v>24001319</v>
      </c>
      <c r="D323">
        <v>1201</v>
      </c>
      <c r="E323" s="2">
        <v>45323</v>
      </c>
      <c r="F323" t="s">
        <v>422</v>
      </c>
      <c r="G323">
        <v>44.52</v>
      </c>
      <c r="H323">
        <v>44.52</v>
      </c>
      <c r="I323" t="s">
        <v>351</v>
      </c>
      <c r="J323" t="s">
        <v>351</v>
      </c>
      <c r="L323" s="61">
        <v>687340</v>
      </c>
      <c r="N323" s="61">
        <v>687340</v>
      </c>
      <c r="O323" t="s">
        <v>352</v>
      </c>
      <c r="Q323" t="s">
        <v>352</v>
      </c>
      <c r="R323" t="s">
        <v>353</v>
      </c>
      <c r="S323">
        <v>15439</v>
      </c>
      <c r="T323" t="s">
        <v>354</v>
      </c>
      <c r="U323" t="s">
        <v>355</v>
      </c>
      <c r="V323" t="s">
        <v>394</v>
      </c>
      <c r="W323" t="s">
        <v>395</v>
      </c>
      <c r="X323">
        <v>2096296</v>
      </c>
      <c r="Y323" s="2">
        <v>45320</v>
      </c>
      <c r="Z323" t="s">
        <v>352</v>
      </c>
      <c r="AA323">
        <v>1</v>
      </c>
      <c r="AB323" t="s">
        <v>352</v>
      </c>
      <c r="AD323" t="s">
        <v>352</v>
      </c>
      <c r="AE323" t="s">
        <v>352</v>
      </c>
      <c r="AF323" t="s">
        <v>352</v>
      </c>
      <c r="AG323">
        <v>1</v>
      </c>
      <c r="AH323" t="s">
        <v>352</v>
      </c>
      <c r="AI323">
        <v>55101941</v>
      </c>
      <c r="AJ323" t="s">
        <v>422</v>
      </c>
      <c r="AL323" t="s">
        <v>404</v>
      </c>
      <c r="AM323" s="2">
        <v>45290</v>
      </c>
      <c r="AN323" t="s">
        <v>397</v>
      </c>
      <c r="AO323" t="s">
        <v>359</v>
      </c>
      <c r="AP323">
        <v>1201</v>
      </c>
      <c r="AQ323" t="s">
        <v>360</v>
      </c>
      <c r="AR323" t="s">
        <v>405</v>
      </c>
      <c r="AU323" t="s">
        <v>352</v>
      </c>
      <c r="AV323" t="s">
        <v>362</v>
      </c>
      <c r="AX323">
        <v>24001046</v>
      </c>
      <c r="AY323">
        <v>720400</v>
      </c>
      <c r="AZ323">
        <v>1201.7203999999999</v>
      </c>
      <c r="BA323" s="54" t="s">
        <v>54</v>
      </c>
    </row>
    <row r="324" spans="1:53">
      <c r="A324" t="s">
        <v>391</v>
      </c>
      <c r="B324" t="s">
        <v>392</v>
      </c>
      <c r="C324">
        <v>24001320</v>
      </c>
      <c r="D324">
        <v>1201</v>
      </c>
      <c r="E324" s="2">
        <v>45323</v>
      </c>
      <c r="F324" t="s">
        <v>423</v>
      </c>
      <c r="G324">
        <v>40.479999999999997</v>
      </c>
      <c r="H324">
        <v>40.479999999999997</v>
      </c>
      <c r="I324" t="s">
        <v>351</v>
      </c>
      <c r="J324" t="s">
        <v>351</v>
      </c>
      <c r="L324" s="61">
        <v>625000</v>
      </c>
      <c r="N324" s="61">
        <v>625000</v>
      </c>
      <c r="O324" t="s">
        <v>352</v>
      </c>
      <c r="Q324" t="s">
        <v>352</v>
      </c>
      <c r="R324" t="s">
        <v>353</v>
      </c>
      <c r="S324">
        <v>15439</v>
      </c>
      <c r="T324" t="s">
        <v>354</v>
      </c>
      <c r="U324" t="s">
        <v>355</v>
      </c>
      <c r="V324" t="s">
        <v>394</v>
      </c>
      <c r="W324" t="s">
        <v>395</v>
      </c>
      <c r="X324">
        <v>2096296</v>
      </c>
      <c r="Y324" s="2">
        <v>45320</v>
      </c>
      <c r="Z324" t="s">
        <v>352</v>
      </c>
      <c r="AA324">
        <v>1</v>
      </c>
      <c r="AB324" t="s">
        <v>352</v>
      </c>
      <c r="AD324" t="s">
        <v>352</v>
      </c>
      <c r="AE324" t="s">
        <v>352</v>
      </c>
      <c r="AF324" t="s">
        <v>352</v>
      </c>
      <c r="AG324">
        <v>1</v>
      </c>
      <c r="AH324" t="s">
        <v>352</v>
      </c>
      <c r="AI324">
        <v>55315481</v>
      </c>
      <c r="AJ324" t="s">
        <v>423</v>
      </c>
      <c r="AL324" t="s">
        <v>404</v>
      </c>
      <c r="AM324" s="2">
        <v>45290</v>
      </c>
      <c r="AN324" t="s">
        <v>397</v>
      </c>
      <c r="AO324" t="s">
        <v>359</v>
      </c>
      <c r="AP324">
        <v>1201</v>
      </c>
      <c r="AQ324" t="s">
        <v>360</v>
      </c>
      <c r="AR324" t="s">
        <v>405</v>
      </c>
      <c r="AU324" t="s">
        <v>352</v>
      </c>
      <c r="AV324" t="s">
        <v>362</v>
      </c>
      <c r="AX324">
        <v>24001047</v>
      </c>
      <c r="AY324">
        <v>720400</v>
      </c>
      <c r="AZ324">
        <v>1201.7203999999999</v>
      </c>
      <c r="BA324" s="54" t="s">
        <v>54</v>
      </c>
    </row>
    <row r="325" spans="1:53">
      <c r="A325" t="s">
        <v>391</v>
      </c>
      <c r="B325" t="s">
        <v>392</v>
      </c>
      <c r="C325">
        <v>24001321</v>
      </c>
      <c r="D325">
        <v>1201</v>
      </c>
      <c r="E325" s="2">
        <v>45323</v>
      </c>
      <c r="F325" t="s">
        <v>424</v>
      </c>
      <c r="G325">
        <v>28.5</v>
      </c>
      <c r="H325">
        <v>28.5</v>
      </c>
      <c r="I325" t="s">
        <v>351</v>
      </c>
      <c r="J325" t="s">
        <v>351</v>
      </c>
      <c r="L325" s="61">
        <v>440000</v>
      </c>
      <c r="N325" s="61">
        <v>440000</v>
      </c>
      <c r="O325" t="s">
        <v>352</v>
      </c>
      <c r="Q325" t="s">
        <v>352</v>
      </c>
      <c r="R325" t="s">
        <v>353</v>
      </c>
      <c r="S325">
        <v>15439</v>
      </c>
      <c r="T325" t="s">
        <v>354</v>
      </c>
      <c r="U325" t="s">
        <v>355</v>
      </c>
      <c r="V325" t="s">
        <v>394</v>
      </c>
      <c r="W325" t="s">
        <v>395</v>
      </c>
      <c r="X325">
        <v>2096296</v>
      </c>
      <c r="Y325" s="2">
        <v>45320</v>
      </c>
      <c r="Z325" t="s">
        <v>352</v>
      </c>
      <c r="AA325">
        <v>1</v>
      </c>
      <c r="AB325" t="s">
        <v>352</v>
      </c>
      <c r="AD325" t="s">
        <v>352</v>
      </c>
      <c r="AE325" t="s">
        <v>352</v>
      </c>
      <c r="AF325" t="s">
        <v>352</v>
      </c>
      <c r="AG325">
        <v>1</v>
      </c>
      <c r="AH325" t="s">
        <v>352</v>
      </c>
      <c r="AI325">
        <v>55294173</v>
      </c>
      <c r="AJ325" t="s">
        <v>424</v>
      </c>
      <c r="AL325" t="s">
        <v>404</v>
      </c>
      <c r="AM325" s="2">
        <v>45290</v>
      </c>
      <c r="AN325" t="s">
        <v>397</v>
      </c>
      <c r="AO325" t="s">
        <v>359</v>
      </c>
      <c r="AP325">
        <v>1201</v>
      </c>
      <c r="AQ325" t="s">
        <v>360</v>
      </c>
      <c r="AR325" t="s">
        <v>405</v>
      </c>
      <c r="AU325" t="s">
        <v>352</v>
      </c>
      <c r="AV325" t="s">
        <v>362</v>
      </c>
      <c r="AX325">
        <v>24001048</v>
      </c>
      <c r="AY325">
        <v>720400</v>
      </c>
      <c r="AZ325">
        <v>1201.7203999999999</v>
      </c>
      <c r="BA325" s="54" t="s">
        <v>54</v>
      </c>
    </row>
    <row r="326" spans="1:53">
      <c r="A326" t="s">
        <v>391</v>
      </c>
      <c r="B326" t="s">
        <v>392</v>
      </c>
      <c r="C326">
        <v>24001322</v>
      </c>
      <c r="D326">
        <v>1201</v>
      </c>
      <c r="E326" s="2">
        <v>45323</v>
      </c>
      <c r="F326" t="s">
        <v>425</v>
      </c>
      <c r="G326">
        <v>45.34</v>
      </c>
      <c r="H326">
        <v>45.34</v>
      </c>
      <c r="I326" t="s">
        <v>351</v>
      </c>
      <c r="J326" t="s">
        <v>351</v>
      </c>
      <c r="L326" s="61">
        <v>700000</v>
      </c>
      <c r="N326" s="61">
        <v>700000</v>
      </c>
      <c r="O326" t="s">
        <v>352</v>
      </c>
      <c r="Q326" t="s">
        <v>352</v>
      </c>
      <c r="R326" t="s">
        <v>353</v>
      </c>
      <c r="S326">
        <v>15439</v>
      </c>
      <c r="T326" t="s">
        <v>354</v>
      </c>
      <c r="U326" t="s">
        <v>355</v>
      </c>
      <c r="V326" t="s">
        <v>394</v>
      </c>
      <c r="W326" t="s">
        <v>395</v>
      </c>
      <c r="X326">
        <v>2096296</v>
      </c>
      <c r="Y326" s="2">
        <v>45320</v>
      </c>
      <c r="Z326" t="s">
        <v>352</v>
      </c>
      <c r="AA326">
        <v>1</v>
      </c>
      <c r="AB326" t="s">
        <v>352</v>
      </c>
      <c r="AD326" t="s">
        <v>352</v>
      </c>
      <c r="AE326" t="s">
        <v>352</v>
      </c>
      <c r="AF326" t="s">
        <v>352</v>
      </c>
      <c r="AG326">
        <v>1</v>
      </c>
      <c r="AH326" t="s">
        <v>352</v>
      </c>
      <c r="AI326">
        <v>57054270</v>
      </c>
      <c r="AJ326" t="s">
        <v>425</v>
      </c>
      <c r="AL326" t="s">
        <v>404</v>
      </c>
      <c r="AM326" s="2">
        <v>45290</v>
      </c>
      <c r="AN326" t="s">
        <v>397</v>
      </c>
      <c r="AO326" t="s">
        <v>359</v>
      </c>
      <c r="AP326">
        <v>1201</v>
      </c>
      <c r="AQ326" t="s">
        <v>360</v>
      </c>
      <c r="AR326" t="s">
        <v>405</v>
      </c>
      <c r="AU326" t="s">
        <v>352</v>
      </c>
      <c r="AV326" t="s">
        <v>362</v>
      </c>
      <c r="AX326">
        <v>24001049</v>
      </c>
      <c r="AY326">
        <v>720400</v>
      </c>
      <c r="AZ326">
        <v>1201.7203999999999</v>
      </c>
      <c r="BA326" s="54" t="s">
        <v>54</v>
      </c>
    </row>
    <row r="327" spans="1:53">
      <c r="A327" t="s">
        <v>391</v>
      </c>
      <c r="B327" t="s">
        <v>392</v>
      </c>
      <c r="C327">
        <v>24001323</v>
      </c>
      <c r="D327">
        <v>1201</v>
      </c>
      <c r="E327" s="2">
        <v>45323</v>
      </c>
      <c r="F327" t="s">
        <v>425</v>
      </c>
      <c r="G327">
        <v>45.34</v>
      </c>
      <c r="H327">
        <v>45.34</v>
      </c>
      <c r="I327" t="s">
        <v>351</v>
      </c>
      <c r="J327" t="s">
        <v>351</v>
      </c>
      <c r="L327" s="61">
        <v>700000</v>
      </c>
      <c r="N327" s="61">
        <v>700000</v>
      </c>
      <c r="O327" t="s">
        <v>352</v>
      </c>
      <c r="Q327" t="s">
        <v>352</v>
      </c>
      <c r="R327" t="s">
        <v>353</v>
      </c>
      <c r="S327">
        <v>15439</v>
      </c>
      <c r="T327" t="s">
        <v>354</v>
      </c>
      <c r="U327" t="s">
        <v>355</v>
      </c>
      <c r="V327" t="s">
        <v>394</v>
      </c>
      <c r="W327" t="s">
        <v>395</v>
      </c>
      <c r="X327">
        <v>2096296</v>
      </c>
      <c r="Y327" s="2">
        <v>45320</v>
      </c>
      <c r="Z327" t="s">
        <v>352</v>
      </c>
      <c r="AA327">
        <v>1</v>
      </c>
      <c r="AB327" t="s">
        <v>352</v>
      </c>
      <c r="AD327" t="s">
        <v>352</v>
      </c>
      <c r="AE327" t="s">
        <v>352</v>
      </c>
      <c r="AF327" t="s">
        <v>352</v>
      </c>
      <c r="AG327">
        <v>1</v>
      </c>
      <c r="AH327" t="s">
        <v>352</v>
      </c>
      <c r="AI327">
        <v>57054270</v>
      </c>
      <c r="AJ327" t="s">
        <v>425</v>
      </c>
      <c r="AL327" t="s">
        <v>404</v>
      </c>
      <c r="AM327" s="2">
        <v>45290</v>
      </c>
      <c r="AN327" t="s">
        <v>397</v>
      </c>
      <c r="AO327" t="s">
        <v>359</v>
      </c>
      <c r="AP327">
        <v>1201</v>
      </c>
      <c r="AQ327" t="s">
        <v>360</v>
      </c>
      <c r="AR327" t="s">
        <v>405</v>
      </c>
      <c r="AU327" t="s">
        <v>352</v>
      </c>
      <c r="AV327" t="s">
        <v>362</v>
      </c>
      <c r="AX327">
        <v>24001049</v>
      </c>
      <c r="AY327">
        <v>720400</v>
      </c>
      <c r="AZ327">
        <v>1201.7203999999999</v>
      </c>
      <c r="BA327" s="54" t="s">
        <v>54</v>
      </c>
    </row>
    <row r="328" spans="1:53">
      <c r="A328" t="s">
        <v>391</v>
      </c>
      <c r="B328" t="s">
        <v>392</v>
      </c>
      <c r="C328">
        <v>24001345</v>
      </c>
      <c r="D328">
        <v>1201</v>
      </c>
      <c r="E328" s="2">
        <v>45323</v>
      </c>
      <c r="F328" t="s">
        <v>426</v>
      </c>
      <c r="G328">
        <v>5.16</v>
      </c>
      <c r="H328">
        <v>5.16</v>
      </c>
      <c r="I328" t="s">
        <v>351</v>
      </c>
      <c r="J328" t="s">
        <v>351</v>
      </c>
      <c r="L328" s="61">
        <v>79717</v>
      </c>
      <c r="N328" s="61">
        <v>79717</v>
      </c>
      <c r="O328" t="s">
        <v>352</v>
      </c>
      <c r="Q328" t="s">
        <v>352</v>
      </c>
      <c r="R328" t="s">
        <v>353</v>
      </c>
      <c r="S328">
        <v>15439</v>
      </c>
      <c r="T328" t="s">
        <v>354</v>
      </c>
      <c r="U328" t="s">
        <v>355</v>
      </c>
      <c r="V328" t="s">
        <v>394</v>
      </c>
      <c r="W328" t="s">
        <v>395</v>
      </c>
      <c r="X328">
        <v>2097097</v>
      </c>
      <c r="Y328" s="2">
        <v>45323</v>
      </c>
      <c r="Z328" t="s">
        <v>352</v>
      </c>
      <c r="AA328">
        <v>1</v>
      </c>
      <c r="AB328" t="s">
        <v>352</v>
      </c>
      <c r="AD328" t="s">
        <v>352</v>
      </c>
      <c r="AE328" t="s">
        <v>352</v>
      </c>
      <c r="AF328" t="s">
        <v>352</v>
      </c>
      <c r="AG328">
        <v>1</v>
      </c>
      <c r="AH328" t="s">
        <v>352</v>
      </c>
      <c r="AI328">
        <v>57394371</v>
      </c>
      <c r="AJ328" t="s">
        <v>426</v>
      </c>
      <c r="AL328" t="s">
        <v>427</v>
      </c>
      <c r="AM328" s="2">
        <v>45275</v>
      </c>
      <c r="AN328" t="s">
        <v>397</v>
      </c>
      <c r="AO328" t="s">
        <v>359</v>
      </c>
      <c r="AP328">
        <v>1201</v>
      </c>
      <c r="AQ328" t="s">
        <v>360</v>
      </c>
      <c r="AR328" t="s">
        <v>428</v>
      </c>
      <c r="AU328" t="s">
        <v>352</v>
      </c>
      <c r="AV328" t="s">
        <v>362</v>
      </c>
      <c r="AX328">
        <v>24001075</v>
      </c>
      <c r="AY328">
        <v>720400</v>
      </c>
      <c r="AZ328">
        <v>1201.7203999999999</v>
      </c>
      <c r="BA328" s="54" t="s">
        <v>54</v>
      </c>
    </row>
    <row r="329" spans="1:53">
      <c r="A329" t="s">
        <v>391</v>
      </c>
      <c r="B329" t="s">
        <v>392</v>
      </c>
      <c r="C329">
        <v>24001346</v>
      </c>
      <c r="D329">
        <v>1201</v>
      </c>
      <c r="E329" s="2">
        <v>45323</v>
      </c>
      <c r="F329" t="s">
        <v>418</v>
      </c>
      <c r="G329" s="61">
        <v>3543.63</v>
      </c>
      <c r="H329" s="61">
        <v>3543.63</v>
      </c>
      <c r="I329" t="s">
        <v>351</v>
      </c>
      <c r="J329" t="s">
        <v>351</v>
      </c>
      <c r="L329" s="61">
        <v>56000000</v>
      </c>
      <c r="N329" s="61">
        <v>56000000</v>
      </c>
      <c r="O329" t="s">
        <v>352</v>
      </c>
      <c r="Q329" t="s">
        <v>352</v>
      </c>
      <c r="R329" t="s">
        <v>353</v>
      </c>
      <c r="S329">
        <v>15803</v>
      </c>
      <c r="T329" t="s">
        <v>354</v>
      </c>
      <c r="U329" t="s">
        <v>355</v>
      </c>
      <c r="V329" t="s">
        <v>394</v>
      </c>
      <c r="W329" t="s">
        <v>395</v>
      </c>
      <c r="X329">
        <v>2097146</v>
      </c>
      <c r="Y329" s="2">
        <v>45323</v>
      </c>
      <c r="Z329" t="s">
        <v>352</v>
      </c>
      <c r="AA329">
        <v>1</v>
      </c>
      <c r="AB329" t="s">
        <v>352</v>
      </c>
      <c r="AD329" t="s">
        <v>352</v>
      </c>
      <c r="AE329" t="s">
        <v>352</v>
      </c>
      <c r="AF329" t="s">
        <v>352</v>
      </c>
      <c r="AG329">
        <v>1</v>
      </c>
      <c r="AH329" t="s">
        <v>352</v>
      </c>
      <c r="AI329">
        <v>55423490</v>
      </c>
      <c r="AJ329" t="s">
        <v>418</v>
      </c>
      <c r="AL329" t="s">
        <v>429</v>
      </c>
      <c r="AM329" s="2">
        <v>45321</v>
      </c>
      <c r="AN329" t="s">
        <v>397</v>
      </c>
      <c r="AO329" t="s">
        <v>359</v>
      </c>
      <c r="AP329">
        <v>1201</v>
      </c>
      <c r="AQ329" t="s">
        <v>360</v>
      </c>
      <c r="AR329" t="s">
        <v>430</v>
      </c>
      <c r="AU329" t="s">
        <v>352</v>
      </c>
      <c r="AV329" t="s">
        <v>362</v>
      </c>
      <c r="AX329">
        <v>24001158</v>
      </c>
      <c r="AY329">
        <v>720400</v>
      </c>
      <c r="AZ329">
        <v>1201.7203999999999</v>
      </c>
      <c r="BA329" s="54" t="s">
        <v>54</v>
      </c>
    </row>
    <row r="330" spans="1:53">
      <c r="A330" t="s">
        <v>391</v>
      </c>
      <c r="B330" t="s">
        <v>392</v>
      </c>
      <c r="C330">
        <v>24001347</v>
      </c>
      <c r="D330">
        <v>1201</v>
      </c>
      <c r="E330" s="2">
        <v>45323</v>
      </c>
      <c r="F330" t="s">
        <v>431</v>
      </c>
      <c r="G330">
        <v>44.93</v>
      </c>
      <c r="H330">
        <v>44.93</v>
      </c>
      <c r="I330" t="s">
        <v>351</v>
      </c>
      <c r="J330" t="s">
        <v>351</v>
      </c>
      <c r="L330" s="61">
        <v>710000</v>
      </c>
      <c r="N330" s="61">
        <v>710000</v>
      </c>
      <c r="O330" t="s">
        <v>352</v>
      </c>
      <c r="Q330" t="s">
        <v>352</v>
      </c>
      <c r="R330" t="s">
        <v>353</v>
      </c>
      <c r="S330">
        <v>15803</v>
      </c>
      <c r="T330" t="s">
        <v>354</v>
      </c>
      <c r="U330" t="s">
        <v>355</v>
      </c>
      <c r="V330" t="s">
        <v>394</v>
      </c>
      <c r="W330" t="s">
        <v>395</v>
      </c>
      <c r="X330">
        <v>2097146</v>
      </c>
      <c r="Y330" s="2">
        <v>45323</v>
      </c>
      <c r="Z330" t="s">
        <v>352</v>
      </c>
      <c r="AA330">
        <v>1</v>
      </c>
      <c r="AB330" t="s">
        <v>352</v>
      </c>
      <c r="AD330" t="s">
        <v>352</v>
      </c>
      <c r="AE330" t="s">
        <v>352</v>
      </c>
      <c r="AF330" t="s">
        <v>352</v>
      </c>
      <c r="AG330">
        <v>1</v>
      </c>
      <c r="AH330" t="s">
        <v>352</v>
      </c>
      <c r="AI330">
        <v>57331345</v>
      </c>
      <c r="AJ330" t="s">
        <v>431</v>
      </c>
      <c r="AL330" t="s">
        <v>407</v>
      </c>
      <c r="AM330" s="2">
        <v>45321</v>
      </c>
      <c r="AN330" t="s">
        <v>397</v>
      </c>
      <c r="AO330" t="s">
        <v>359</v>
      </c>
      <c r="AP330">
        <v>1201</v>
      </c>
      <c r="AQ330" t="s">
        <v>360</v>
      </c>
      <c r="AR330" t="s">
        <v>405</v>
      </c>
      <c r="AU330" t="s">
        <v>352</v>
      </c>
      <c r="AV330" t="s">
        <v>362</v>
      </c>
      <c r="AX330">
        <v>24001159</v>
      </c>
      <c r="AY330">
        <v>720400</v>
      </c>
      <c r="AZ330">
        <v>1201.7203999999999</v>
      </c>
      <c r="BA330" s="54" t="s">
        <v>54</v>
      </c>
    </row>
    <row r="331" spans="1:53">
      <c r="A331" t="s">
        <v>391</v>
      </c>
      <c r="B331" t="s">
        <v>392</v>
      </c>
      <c r="C331">
        <v>24001348</v>
      </c>
      <c r="D331">
        <v>1201</v>
      </c>
      <c r="E331" s="2">
        <v>45323</v>
      </c>
      <c r="F331" t="s">
        <v>431</v>
      </c>
      <c r="G331">
        <v>44.93</v>
      </c>
      <c r="H331">
        <v>44.93</v>
      </c>
      <c r="I331" t="s">
        <v>351</v>
      </c>
      <c r="J331" t="s">
        <v>351</v>
      </c>
      <c r="L331" s="61">
        <v>710000</v>
      </c>
      <c r="N331" s="61">
        <v>710000</v>
      </c>
      <c r="O331" t="s">
        <v>352</v>
      </c>
      <c r="Q331" t="s">
        <v>352</v>
      </c>
      <c r="R331" t="s">
        <v>353</v>
      </c>
      <c r="S331">
        <v>15803</v>
      </c>
      <c r="T331" t="s">
        <v>354</v>
      </c>
      <c r="U331" t="s">
        <v>355</v>
      </c>
      <c r="V331" t="s">
        <v>394</v>
      </c>
      <c r="W331" t="s">
        <v>395</v>
      </c>
      <c r="X331">
        <v>2097146</v>
      </c>
      <c r="Y331" s="2">
        <v>45323</v>
      </c>
      <c r="Z331" t="s">
        <v>352</v>
      </c>
      <c r="AA331">
        <v>1</v>
      </c>
      <c r="AB331" t="s">
        <v>352</v>
      </c>
      <c r="AD331" t="s">
        <v>352</v>
      </c>
      <c r="AE331" t="s">
        <v>352</v>
      </c>
      <c r="AF331" t="s">
        <v>352</v>
      </c>
      <c r="AG331">
        <v>1</v>
      </c>
      <c r="AH331" t="s">
        <v>352</v>
      </c>
      <c r="AI331">
        <v>57331345</v>
      </c>
      <c r="AJ331" t="s">
        <v>431</v>
      </c>
      <c r="AL331" t="s">
        <v>407</v>
      </c>
      <c r="AM331" s="2">
        <v>45321</v>
      </c>
      <c r="AN331" t="s">
        <v>397</v>
      </c>
      <c r="AO331" t="s">
        <v>359</v>
      </c>
      <c r="AP331">
        <v>1201</v>
      </c>
      <c r="AQ331" t="s">
        <v>360</v>
      </c>
      <c r="AR331" t="s">
        <v>405</v>
      </c>
      <c r="AU331" t="s">
        <v>352</v>
      </c>
      <c r="AV331" t="s">
        <v>362</v>
      </c>
      <c r="AX331">
        <v>24001159</v>
      </c>
      <c r="AY331">
        <v>720400</v>
      </c>
      <c r="AZ331">
        <v>1201.7203999999999</v>
      </c>
      <c r="BA331" s="54" t="s">
        <v>54</v>
      </c>
    </row>
    <row r="332" spans="1:53">
      <c r="A332" t="s">
        <v>391</v>
      </c>
      <c r="B332" t="s">
        <v>392</v>
      </c>
      <c r="C332">
        <v>24001349</v>
      </c>
      <c r="D332">
        <v>1201</v>
      </c>
      <c r="E332" s="2">
        <v>45323</v>
      </c>
      <c r="F332" t="s">
        <v>431</v>
      </c>
      <c r="G332">
        <v>44.93</v>
      </c>
      <c r="H332">
        <v>44.93</v>
      </c>
      <c r="I332" t="s">
        <v>351</v>
      </c>
      <c r="J332" t="s">
        <v>351</v>
      </c>
      <c r="L332" s="61">
        <v>710000</v>
      </c>
      <c r="N332" s="61">
        <v>710000</v>
      </c>
      <c r="O332" t="s">
        <v>352</v>
      </c>
      <c r="Q332" t="s">
        <v>352</v>
      </c>
      <c r="R332" t="s">
        <v>353</v>
      </c>
      <c r="S332">
        <v>15803</v>
      </c>
      <c r="T332" t="s">
        <v>354</v>
      </c>
      <c r="U332" t="s">
        <v>355</v>
      </c>
      <c r="V332" t="s">
        <v>394</v>
      </c>
      <c r="W332" t="s">
        <v>395</v>
      </c>
      <c r="X332">
        <v>2097146</v>
      </c>
      <c r="Y332" s="2">
        <v>45323</v>
      </c>
      <c r="Z332" t="s">
        <v>352</v>
      </c>
      <c r="AA332">
        <v>1</v>
      </c>
      <c r="AB332" t="s">
        <v>352</v>
      </c>
      <c r="AD332" t="s">
        <v>352</v>
      </c>
      <c r="AE332" t="s">
        <v>352</v>
      </c>
      <c r="AF332" t="s">
        <v>352</v>
      </c>
      <c r="AG332">
        <v>1</v>
      </c>
      <c r="AH332" t="s">
        <v>352</v>
      </c>
      <c r="AI332">
        <v>57331345</v>
      </c>
      <c r="AJ332" t="s">
        <v>431</v>
      </c>
      <c r="AL332" t="s">
        <v>407</v>
      </c>
      <c r="AM332" s="2">
        <v>45321</v>
      </c>
      <c r="AN332" t="s">
        <v>397</v>
      </c>
      <c r="AO332" t="s">
        <v>359</v>
      </c>
      <c r="AP332">
        <v>1201</v>
      </c>
      <c r="AQ332" t="s">
        <v>360</v>
      </c>
      <c r="AR332" t="s">
        <v>405</v>
      </c>
      <c r="AU332" t="s">
        <v>352</v>
      </c>
      <c r="AV332" t="s">
        <v>362</v>
      </c>
      <c r="AX332">
        <v>24001159</v>
      </c>
      <c r="AY332">
        <v>720400</v>
      </c>
      <c r="AZ332">
        <v>1201.7203999999999</v>
      </c>
      <c r="BA332" s="54" t="s">
        <v>54</v>
      </c>
    </row>
    <row r="333" spans="1:53">
      <c r="A333" t="s">
        <v>391</v>
      </c>
      <c r="B333" t="s">
        <v>392</v>
      </c>
      <c r="C333">
        <v>24001350</v>
      </c>
      <c r="D333">
        <v>1201</v>
      </c>
      <c r="E333" s="2">
        <v>45323</v>
      </c>
      <c r="F333" t="s">
        <v>431</v>
      </c>
      <c r="G333">
        <v>44.93</v>
      </c>
      <c r="H333">
        <v>44.93</v>
      </c>
      <c r="I333" t="s">
        <v>351</v>
      </c>
      <c r="J333" t="s">
        <v>351</v>
      </c>
      <c r="L333" s="61">
        <v>710000</v>
      </c>
      <c r="N333" s="61">
        <v>710000</v>
      </c>
      <c r="O333" t="s">
        <v>352</v>
      </c>
      <c r="Q333" t="s">
        <v>352</v>
      </c>
      <c r="R333" t="s">
        <v>353</v>
      </c>
      <c r="S333">
        <v>15803</v>
      </c>
      <c r="T333" t="s">
        <v>354</v>
      </c>
      <c r="U333" t="s">
        <v>355</v>
      </c>
      <c r="V333" t="s">
        <v>394</v>
      </c>
      <c r="W333" t="s">
        <v>395</v>
      </c>
      <c r="X333">
        <v>2097146</v>
      </c>
      <c r="Y333" s="2">
        <v>45323</v>
      </c>
      <c r="Z333" t="s">
        <v>352</v>
      </c>
      <c r="AA333">
        <v>1</v>
      </c>
      <c r="AB333" t="s">
        <v>352</v>
      </c>
      <c r="AD333" t="s">
        <v>352</v>
      </c>
      <c r="AE333" t="s">
        <v>352</v>
      </c>
      <c r="AF333" t="s">
        <v>352</v>
      </c>
      <c r="AG333">
        <v>1</v>
      </c>
      <c r="AH333" t="s">
        <v>352</v>
      </c>
      <c r="AI333">
        <v>57331345</v>
      </c>
      <c r="AJ333" t="s">
        <v>431</v>
      </c>
      <c r="AL333" t="s">
        <v>407</v>
      </c>
      <c r="AM333" s="2">
        <v>45321</v>
      </c>
      <c r="AN333" t="s">
        <v>397</v>
      </c>
      <c r="AO333" t="s">
        <v>359</v>
      </c>
      <c r="AP333">
        <v>1201</v>
      </c>
      <c r="AQ333" t="s">
        <v>360</v>
      </c>
      <c r="AR333" t="s">
        <v>405</v>
      </c>
      <c r="AU333" t="s">
        <v>352</v>
      </c>
      <c r="AV333" t="s">
        <v>362</v>
      </c>
      <c r="AX333">
        <v>24001159</v>
      </c>
      <c r="AY333">
        <v>720400</v>
      </c>
      <c r="AZ333">
        <v>1201.7203999999999</v>
      </c>
      <c r="BA333" s="54" t="s">
        <v>54</v>
      </c>
    </row>
    <row r="334" spans="1:53">
      <c r="A334" t="s">
        <v>391</v>
      </c>
      <c r="B334" t="s">
        <v>392</v>
      </c>
      <c r="C334">
        <v>24001351</v>
      </c>
      <c r="D334">
        <v>1201</v>
      </c>
      <c r="E334" s="2">
        <v>45323</v>
      </c>
      <c r="F334" t="s">
        <v>431</v>
      </c>
      <c r="G334">
        <v>44.93</v>
      </c>
      <c r="H334">
        <v>44.93</v>
      </c>
      <c r="I334" t="s">
        <v>351</v>
      </c>
      <c r="J334" t="s">
        <v>351</v>
      </c>
      <c r="L334" s="61">
        <v>710000</v>
      </c>
      <c r="N334" s="61">
        <v>710000</v>
      </c>
      <c r="O334" t="s">
        <v>352</v>
      </c>
      <c r="Q334" t="s">
        <v>352</v>
      </c>
      <c r="R334" t="s">
        <v>353</v>
      </c>
      <c r="S334">
        <v>15803</v>
      </c>
      <c r="T334" t="s">
        <v>354</v>
      </c>
      <c r="U334" t="s">
        <v>355</v>
      </c>
      <c r="V334" t="s">
        <v>394</v>
      </c>
      <c r="W334" t="s">
        <v>395</v>
      </c>
      <c r="X334">
        <v>2097146</v>
      </c>
      <c r="Y334" s="2">
        <v>45323</v>
      </c>
      <c r="Z334" t="s">
        <v>352</v>
      </c>
      <c r="AA334">
        <v>1</v>
      </c>
      <c r="AB334" t="s">
        <v>352</v>
      </c>
      <c r="AD334" t="s">
        <v>352</v>
      </c>
      <c r="AE334" t="s">
        <v>352</v>
      </c>
      <c r="AF334" t="s">
        <v>352</v>
      </c>
      <c r="AG334">
        <v>1</v>
      </c>
      <c r="AH334" t="s">
        <v>352</v>
      </c>
      <c r="AI334">
        <v>57331345</v>
      </c>
      <c r="AJ334" t="s">
        <v>431</v>
      </c>
      <c r="AL334" t="s">
        <v>407</v>
      </c>
      <c r="AM334" s="2">
        <v>45321</v>
      </c>
      <c r="AN334" t="s">
        <v>397</v>
      </c>
      <c r="AO334" t="s">
        <v>359</v>
      </c>
      <c r="AP334">
        <v>1201</v>
      </c>
      <c r="AQ334" t="s">
        <v>360</v>
      </c>
      <c r="AR334" t="s">
        <v>405</v>
      </c>
      <c r="AU334" t="s">
        <v>352</v>
      </c>
      <c r="AV334" t="s">
        <v>362</v>
      </c>
      <c r="AX334">
        <v>24001159</v>
      </c>
      <c r="AY334">
        <v>720400</v>
      </c>
      <c r="AZ334">
        <v>1201.7203999999999</v>
      </c>
      <c r="BA334" s="54" t="s">
        <v>54</v>
      </c>
    </row>
    <row r="335" spans="1:53">
      <c r="A335" t="s">
        <v>391</v>
      </c>
      <c r="B335" t="s">
        <v>392</v>
      </c>
      <c r="C335">
        <v>24001352</v>
      </c>
      <c r="D335">
        <v>1201</v>
      </c>
      <c r="E335" s="2">
        <v>45323</v>
      </c>
      <c r="F335" t="s">
        <v>431</v>
      </c>
      <c r="G335">
        <v>44.93</v>
      </c>
      <c r="H335">
        <v>44.93</v>
      </c>
      <c r="I335" t="s">
        <v>351</v>
      </c>
      <c r="J335" t="s">
        <v>351</v>
      </c>
      <c r="L335" s="61">
        <v>710000</v>
      </c>
      <c r="N335" s="61">
        <v>710000</v>
      </c>
      <c r="O335" t="s">
        <v>352</v>
      </c>
      <c r="Q335" t="s">
        <v>352</v>
      </c>
      <c r="R335" t="s">
        <v>353</v>
      </c>
      <c r="S335">
        <v>15803</v>
      </c>
      <c r="T335" t="s">
        <v>354</v>
      </c>
      <c r="U335" t="s">
        <v>355</v>
      </c>
      <c r="V335" t="s">
        <v>394</v>
      </c>
      <c r="W335" t="s">
        <v>395</v>
      </c>
      <c r="X335">
        <v>2097146</v>
      </c>
      <c r="Y335" s="2">
        <v>45323</v>
      </c>
      <c r="Z335" t="s">
        <v>352</v>
      </c>
      <c r="AA335">
        <v>1</v>
      </c>
      <c r="AB335" t="s">
        <v>352</v>
      </c>
      <c r="AD335" t="s">
        <v>352</v>
      </c>
      <c r="AE335" t="s">
        <v>352</v>
      </c>
      <c r="AF335" t="s">
        <v>352</v>
      </c>
      <c r="AG335">
        <v>1</v>
      </c>
      <c r="AH335" t="s">
        <v>352</v>
      </c>
      <c r="AI335">
        <v>57331345</v>
      </c>
      <c r="AJ335" t="s">
        <v>431</v>
      </c>
      <c r="AL335" t="s">
        <v>407</v>
      </c>
      <c r="AM335" s="2">
        <v>45321</v>
      </c>
      <c r="AN335" t="s">
        <v>397</v>
      </c>
      <c r="AO335" t="s">
        <v>359</v>
      </c>
      <c r="AP335">
        <v>1201</v>
      </c>
      <c r="AQ335" t="s">
        <v>360</v>
      </c>
      <c r="AR335" t="s">
        <v>405</v>
      </c>
      <c r="AU335" t="s">
        <v>352</v>
      </c>
      <c r="AV335" t="s">
        <v>362</v>
      </c>
      <c r="AX335">
        <v>24001159</v>
      </c>
      <c r="AY335">
        <v>720400</v>
      </c>
      <c r="AZ335">
        <v>1201.7203999999999</v>
      </c>
      <c r="BA335" s="54" t="s">
        <v>54</v>
      </c>
    </row>
    <row r="336" spans="1:53">
      <c r="A336" t="s">
        <v>391</v>
      </c>
      <c r="B336" t="s">
        <v>392</v>
      </c>
      <c r="C336">
        <v>24001353</v>
      </c>
      <c r="D336">
        <v>1201</v>
      </c>
      <c r="E336" s="2">
        <v>45323</v>
      </c>
      <c r="F336" t="s">
        <v>422</v>
      </c>
      <c r="G336">
        <v>127.95</v>
      </c>
      <c r="H336">
        <v>127.95</v>
      </c>
      <c r="I336" t="s">
        <v>351</v>
      </c>
      <c r="J336" t="s">
        <v>351</v>
      </c>
      <c r="L336" s="61">
        <v>2022020</v>
      </c>
      <c r="N336" s="61">
        <v>2022020</v>
      </c>
      <c r="O336" t="s">
        <v>352</v>
      </c>
      <c r="Q336" t="s">
        <v>352</v>
      </c>
      <c r="R336" t="s">
        <v>353</v>
      </c>
      <c r="S336">
        <v>15803</v>
      </c>
      <c r="T336" t="s">
        <v>354</v>
      </c>
      <c r="U336" t="s">
        <v>355</v>
      </c>
      <c r="V336" t="s">
        <v>394</v>
      </c>
      <c r="W336" t="s">
        <v>395</v>
      </c>
      <c r="X336">
        <v>2097146</v>
      </c>
      <c r="Y336" s="2">
        <v>45323</v>
      </c>
      <c r="Z336" t="s">
        <v>352</v>
      </c>
      <c r="AA336">
        <v>1</v>
      </c>
      <c r="AB336" t="s">
        <v>352</v>
      </c>
      <c r="AD336" t="s">
        <v>352</v>
      </c>
      <c r="AE336" t="s">
        <v>352</v>
      </c>
      <c r="AF336" t="s">
        <v>352</v>
      </c>
      <c r="AG336">
        <v>1</v>
      </c>
      <c r="AH336" t="s">
        <v>352</v>
      </c>
      <c r="AI336">
        <v>55101941</v>
      </c>
      <c r="AJ336" t="s">
        <v>422</v>
      </c>
      <c r="AL336" t="s">
        <v>407</v>
      </c>
      <c r="AM336" s="2">
        <v>45321</v>
      </c>
      <c r="AN336" t="s">
        <v>397</v>
      </c>
      <c r="AO336" t="s">
        <v>359</v>
      </c>
      <c r="AP336">
        <v>1201</v>
      </c>
      <c r="AQ336" t="s">
        <v>360</v>
      </c>
      <c r="AR336" t="s">
        <v>405</v>
      </c>
      <c r="AU336" t="s">
        <v>352</v>
      </c>
      <c r="AV336" t="s">
        <v>362</v>
      </c>
      <c r="AX336">
        <v>24001160</v>
      </c>
      <c r="AY336">
        <v>720400</v>
      </c>
      <c r="AZ336">
        <v>1201.7203999999999</v>
      </c>
      <c r="BA336" s="54" t="s">
        <v>54</v>
      </c>
    </row>
    <row r="337" spans="1:53">
      <c r="A337" t="s">
        <v>391</v>
      </c>
      <c r="B337" t="s">
        <v>392</v>
      </c>
      <c r="C337">
        <v>24001354</v>
      </c>
      <c r="D337">
        <v>1201</v>
      </c>
      <c r="E337" s="2">
        <v>45323</v>
      </c>
      <c r="F337" t="s">
        <v>422</v>
      </c>
      <c r="G337">
        <v>43.49</v>
      </c>
      <c r="H337">
        <v>43.49</v>
      </c>
      <c r="I337" t="s">
        <v>351</v>
      </c>
      <c r="J337" t="s">
        <v>351</v>
      </c>
      <c r="L337" s="61">
        <v>687340</v>
      </c>
      <c r="N337" s="61">
        <v>687340</v>
      </c>
      <c r="O337" t="s">
        <v>352</v>
      </c>
      <c r="Q337" t="s">
        <v>352</v>
      </c>
      <c r="R337" t="s">
        <v>353</v>
      </c>
      <c r="S337">
        <v>15803</v>
      </c>
      <c r="T337" t="s">
        <v>354</v>
      </c>
      <c r="U337" t="s">
        <v>355</v>
      </c>
      <c r="V337" t="s">
        <v>394</v>
      </c>
      <c r="W337" t="s">
        <v>395</v>
      </c>
      <c r="X337">
        <v>2097146</v>
      </c>
      <c r="Y337" s="2">
        <v>45323</v>
      </c>
      <c r="Z337" t="s">
        <v>352</v>
      </c>
      <c r="AA337">
        <v>1</v>
      </c>
      <c r="AB337" t="s">
        <v>352</v>
      </c>
      <c r="AD337" t="s">
        <v>352</v>
      </c>
      <c r="AE337" t="s">
        <v>352</v>
      </c>
      <c r="AF337" t="s">
        <v>352</v>
      </c>
      <c r="AG337">
        <v>1</v>
      </c>
      <c r="AH337" t="s">
        <v>352</v>
      </c>
      <c r="AI337">
        <v>55101941</v>
      </c>
      <c r="AJ337" t="s">
        <v>422</v>
      </c>
      <c r="AL337" t="s">
        <v>407</v>
      </c>
      <c r="AM337" s="2">
        <v>45321</v>
      </c>
      <c r="AN337" t="s">
        <v>397</v>
      </c>
      <c r="AO337" t="s">
        <v>359</v>
      </c>
      <c r="AP337">
        <v>1201</v>
      </c>
      <c r="AQ337" t="s">
        <v>360</v>
      </c>
      <c r="AR337" t="s">
        <v>405</v>
      </c>
      <c r="AU337" t="s">
        <v>352</v>
      </c>
      <c r="AV337" t="s">
        <v>362</v>
      </c>
      <c r="AX337">
        <v>24001160</v>
      </c>
      <c r="AY337">
        <v>720400</v>
      </c>
      <c r="AZ337">
        <v>1201.7203999999999</v>
      </c>
      <c r="BA337" s="54" t="s">
        <v>54</v>
      </c>
    </row>
    <row r="338" spans="1:53">
      <c r="A338" t="s">
        <v>391</v>
      </c>
      <c r="B338" t="s">
        <v>392</v>
      </c>
      <c r="C338">
        <v>24001355</v>
      </c>
      <c r="D338">
        <v>1201</v>
      </c>
      <c r="E338" s="2">
        <v>45323</v>
      </c>
      <c r="F338" t="s">
        <v>422</v>
      </c>
      <c r="G338">
        <v>85.72</v>
      </c>
      <c r="H338">
        <v>85.72</v>
      </c>
      <c r="I338" t="s">
        <v>351</v>
      </c>
      <c r="J338" t="s">
        <v>351</v>
      </c>
      <c r="L338" s="61">
        <v>1354680</v>
      </c>
      <c r="N338" s="61">
        <v>1354680</v>
      </c>
      <c r="O338" t="s">
        <v>352</v>
      </c>
      <c r="Q338" t="s">
        <v>352</v>
      </c>
      <c r="R338" t="s">
        <v>353</v>
      </c>
      <c r="S338">
        <v>15803</v>
      </c>
      <c r="T338" t="s">
        <v>354</v>
      </c>
      <c r="U338" t="s">
        <v>355</v>
      </c>
      <c r="V338" t="s">
        <v>394</v>
      </c>
      <c r="W338" t="s">
        <v>395</v>
      </c>
      <c r="X338">
        <v>2097146</v>
      </c>
      <c r="Y338" s="2">
        <v>45323</v>
      </c>
      <c r="Z338" t="s">
        <v>352</v>
      </c>
      <c r="AA338">
        <v>1</v>
      </c>
      <c r="AB338" t="s">
        <v>352</v>
      </c>
      <c r="AD338" t="s">
        <v>352</v>
      </c>
      <c r="AE338" t="s">
        <v>352</v>
      </c>
      <c r="AF338" t="s">
        <v>352</v>
      </c>
      <c r="AG338">
        <v>1</v>
      </c>
      <c r="AH338" t="s">
        <v>352</v>
      </c>
      <c r="AI338">
        <v>55101941</v>
      </c>
      <c r="AJ338" t="s">
        <v>422</v>
      </c>
      <c r="AL338" t="s">
        <v>407</v>
      </c>
      <c r="AM338" s="2">
        <v>45321</v>
      </c>
      <c r="AN338" t="s">
        <v>397</v>
      </c>
      <c r="AO338" t="s">
        <v>359</v>
      </c>
      <c r="AP338">
        <v>1201</v>
      </c>
      <c r="AQ338" t="s">
        <v>360</v>
      </c>
      <c r="AR338" t="s">
        <v>405</v>
      </c>
      <c r="AU338" t="s">
        <v>352</v>
      </c>
      <c r="AV338" t="s">
        <v>362</v>
      </c>
      <c r="AX338">
        <v>24001160</v>
      </c>
      <c r="AY338">
        <v>720400</v>
      </c>
      <c r="AZ338">
        <v>1201.7203999999999</v>
      </c>
      <c r="BA338" s="54" t="s">
        <v>54</v>
      </c>
    </row>
    <row r="339" spans="1:53">
      <c r="A339" t="s">
        <v>391</v>
      </c>
      <c r="B339" t="s">
        <v>392</v>
      </c>
      <c r="C339">
        <v>24001356</v>
      </c>
      <c r="D339">
        <v>1201</v>
      </c>
      <c r="E339" s="2">
        <v>45323</v>
      </c>
      <c r="F339" t="s">
        <v>432</v>
      </c>
      <c r="G339">
        <v>27.84</v>
      </c>
      <c r="H339">
        <v>27.84</v>
      </c>
      <c r="I339" t="s">
        <v>351</v>
      </c>
      <c r="J339" t="s">
        <v>351</v>
      </c>
      <c r="L339" s="61">
        <v>440000</v>
      </c>
      <c r="N339" s="61">
        <v>440000</v>
      </c>
      <c r="O339" t="s">
        <v>352</v>
      </c>
      <c r="Q339" t="s">
        <v>352</v>
      </c>
      <c r="R339" t="s">
        <v>353</v>
      </c>
      <c r="S339">
        <v>15803</v>
      </c>
      <c r="T339" t="s">
        <v>354</v>
      </c>
      <c r="U339" t="s">
        <v>355</v>
      </c>
      <c r="V339" t="s">
        <v>394</v>
      </c>
      <c r="W339" t="s">
        <v>395</v>
      </c>
      <c r="X339">
        <v>2097146</v>
      </c>
      <c r="Y339" s="2">
        <v>45323</v>
      </c>
      <c r="Z339" t="s">
        <v>352</v>
      </c>
      <c r="AA339">
        <v>1</v>
      </c>
      <c r="AB339" t="s">
        <v>352</v>
      </c>
      <c r="AD339" t="s">
        <v>352</v>
      </c>
      <c r="AE339" t="s">
        <v>352</v>
      </c>
      <c r="AF339" t="s">
        <v>352</v>
      </c>
      <c r="AG339">
        <v>1</v>
      </c>
      <c r="AH339" t="s">
        <v>352</v>
      </c>
      <c r="AI339">
        <v>57361165</v>
      </c>
      <c r="AJ339" t="s">
        <v>432</v>
      </c>
      <c r="AL339" t="s">
        <v>407</v>
      </c>
      <c r="AM339" s="2">
        <v>45321</v>
      </c>
      <c r="AN339" t="s">
        <v>397</v>
      </c>
      <c r="AO339" t="s">
        <v>359</v>
      </c>
      <c r="AP339">
        <v>1201</v>
      </c>
      <c r="AQ339" t="s">
        <v>360</v>
      </c>
      <c r="AR339" t="s">
        <v>405</v>
      </c>
      <c r="AU339" t="s">
        <v>352</v>
      </c>
      <c r="AV339" t="s">
        <v>362</v>
      </c>
      <c r="AX339">
        <v>24001161</v>
      </c>
      <c r="AY339">
        <v>720400</v>
      </c>
      <c r="AZ339">
        <v>1201.7203999999999</v>
      </c>
      <c r="BA339" s="54" t="s">
        <v>54</v>
      </c>
    </row>
    <row r="340" spans="1:53">
      <c r="A340" t="s">
        <v>391</v>
      </c>
      <c r="B340" t="s">
        <v>392</v>
      </c>
      <c r="C340">
        <v>24001357</v>
      </c>
      <c r="D340">
        <v>1201</v>
      </c>
      <c r="E340" s="2">
        <v>45323</v>
      </c>
      <c r="F340" t="s">
        <v>432</v>
      </c>
      <c r="G340">
        <v>37.97</v>
      </c>
      <c r="H340">
        <v>37.97</v>
      </c>
      <c r="I340" t="s">
        <v>351</v>
      </c>
      <c r="J340" t="s">
        <v>351</v>
      </c>
      <c r="L340" s="61">
        <v>600000</v>
      </c>
      <c r="N340" s="61">
        <v>600000</v>
      </c>
      <c r="O340" t="s">
        <v>352</v>
      </c>
      <c r="Q340" t="s">
        <v>352</v>
      </c>
      <c r="R340" t="s">
        <v>353</v>
      </c>
      <c r="S340">
        <v>15803</v>
      </c>
      <c r="T340" t="s">
        <v>354</v>
      </c>
      <c r="U340" t="s">
        <v>355</v>
      </c>
      <c r="V340" t="s">
        <v>394</v>
      </c>
      <c r="W340" t="s">
        <v>395</v>
      </c>
      <c r="X340">
        <v>2097146</v>
      </c>
      <c r="Y340" s="2">
        <v>45323</v>
      </c>
      <c r="Z340" t="s">
        <v>352</v>
      </c>
      <c r="AA340">
        <v>1</v>
      </c>
      <c r="AB340" t="s">
        <v>352</v>
      </c>
      <c r="AD340" t="s">
        <v>352</v>
      </c>
      <c r="AE340" t="s">
        <v>352</v>
      </c>
      <c r="AF340" t="s">
        <v>352</v>
      </c>
      <c r="AG340">
        <v>1</v>
      </c>
      <c r="AH340" t="s">
        <v>352</v>
      </c>
      <c r="AI340">
        <v>57361165</v>
      </c>
      <c r="AJ340" t="s">
        <v>432</v>
      </c>
      <c r="AL340" t="s">
        <v>407</v>
      </c>
      <c r="AM340" s="2">
        <v>45321</v>
      </c>
      <c r="AN340" t="s">
        <v>397</v>
      </c>
      <c r="AO340" t="s">
        <v>359</v>
      </c>
      <c r="AP340">
        <v>1201</v>
      </c>
      <c r="AQ340" t="s">
        <v>360</v>
      </c>
      <c r="AR340" t="s">
        <v>405</v>
      </c>
      <c r="AU340" t="s">
        <v>352</v>
      </c>
      <c r="AV340" t="s">
        <v>362</v>
      </c>
      <c r="AX340">
        <v>24001161</v>
      </c>
      <c r="AY340">
        <v>720400</v>
      </c>
      <c r="AZ340">
        <v>1201.7203999999999</v>
      </c>
      <c r="BA340" s="54" t="s">
        <v>54</v>
      </c>
    </row>
    <row r="341" spans="1:53">
      <c r="A341" t="s">
        <v>391</v>
      </c>
      <c r="B341" t="s">
        <v>392</v>
      </c>
      <c r="C341">
        <v>24001431</v>
      </c>
      <c r="D341">
        <v>1201</v>
      </c>
      <c r="E341" s="2">
        <v>45327</v>
      </c>
      <c r="F341" t="s">
        <v>602</v>
      </c>
      <c r="G341">
        <v>265.82</v>
      </c>
      <c r="H341">
        <v>265.82</v>
      </c>
      <c r="I341" t="s">
        <v>352</v>
      </c>
      <c r="J341" t="s">
        <v>352</v>
      </c>
      <c r="L341" s="61">
        <v>4200720</v>
      </c>
      <c r="N341" s="61">
        <v>4200720</v>
      </c>
      <c r="O341" t="s">
        <v>352</v>
      </c>
      <c r="Q341" t="s">
        <v>352</v>
      </c>
      <c r="R341" t="s">
        <v>353</v>
      </c>
      <c r="S341">
        <v>15803</v>
      </c>
      <c r="T341" t="s">
        <v>354</v>
      </c>
      <c r="U341" t="s">
        <v>355</v>
      </c>
      <c r="V341" t="s">
        <v>394</v>
      </c>
      <c r="W341" t="s">
        <v>395</v>
      </c>
      <c r="X341">
        <v>2098145</v>
      </c>
      <c r="Y341" s="2">
        <v>45327</v>
      </c>
      <c r="Z341" t="s">
        <v>352</v>
      </c>
      <c r="AA341">
        <v>1</v>
      </c>
      <c r="AB341" t="s">
        <v>352</v>
      </c>
      <c r="AD341" t="s">
        <v>352</v>
      </c>
      <c r="AE341" t="s">
        <v>352</v>
      </c>
      <c r="AF341" t="s">
        <v>352</v>
      </c>
      <c r="AG341">
        <v>1</v>
      </c>
      <c r="AH341" t="s">
        <v>352</v>
      </c>
      <c r="AI341">
        <v>56039684</v>
      </c>
      <c r="AJ341" t="s">
        <v>602</v>
      </c>
      <c r="AL341" t="s">
        <v>603</v>
      </c>
      <c r="AM341" s="2">
        <v>45322</v>
      </c>
      <c r="AN341" t="s">
        <v>397</v>
      </c>
      <c r="AO341" t="s">
        <v>397</v>
      </c>
      <c r="AP341">
        <v>1201</v>
      </c>
      <c r="AQ341" t="s">
        <v>360</v>
      </c>
      <c r="AR341" t="s">
        <v>604</v>
      </c>
      <c r="AU341" t="s">
        <v>352</v>
      </c>
      <c r="AV341" t="s">
        <v>362</v>
      </c>
      <c r="AX341">
        <v>24001174</v>
      </c>
      <c r="AY341">
        <v>720400</v>
      </c>
      <c r="AZ341">
        <v>1201.7203999999999</v>
      </c>
      <c r="BA341" s="54" t="s">
        <v>54</v>
      </c>
    </row>
    <row r="342" spans="1:53">
      <c r="A342" t="s">
        <v>391</v>
      </c>
      <c r="B342" t="s">
        <v>392</v>
      </c>
      <c r="C342">
        <v>24001432</v>
      </c>
      <c r="D342">
        <v>1201</v>
      </c>
      <c r="E342" s="2">
        <v>45327</v>
      </c>
      <c r="F342" t="s">
        <v>602</v>
      </c>
      <c r="G342">
        <v>409.21</v>
      </c>
      <c r="H342">
        <v>409.21</v>
      </c>
      <c r="I342" t="s">
        <v>352</v>
      </c>
      <c r="J342" t="s">
        <v>352</v>
      </c>
      <c r="L342" s="61">
        <v>6466780</v>
      </c>
      <c r="N342" s="61">
        <v>6466780</v>
      </c>
      <c r="O342" t="s">
        <v>352</v>
      </c>
      <c r="Q342" t="s">
        <v>352</v>
      </c>
      <c r="R342" t="s">
        <v>353</v>
      </c>
      <c r="S342">
        <v>15803</v>
      </c>
      <c r="T342" t="s">
        <v>354</v>
      </c>
      <c r="U342" t="s">
        <v>355</v>
      </c>
      <c r="V342" t="s">
        <v>394</v>
      </c>
      <c r="W342" t="s">
        <v>395</v>
      </c>
      <c r="X342">
        <v>2098145</v>
      </c>
      <c r="Y342" s="2">
        <v>45327</v>
      </c>
      <c r="Z342" t="s">
        <v>352</v>
      </c>
      <c r="AA342">
        <v>1</v>
      </c>
      <c r="AB342" t="s">
        <v>352</v>
      </c>
      <c r="AD342" t="s">
        <v>352</v>
      </c>
      <c r="AE342" t="s">
        <v>352</v>
      </c>
      <c r="AF342" t="s">
        <v>352</v>
      </c>
      <c r="AG342">
        <v>1</v>
      </c>
      <c r="AH342" t="s">
        <v>352</v>
      </c>
      <c r="AI342">
        <v>56039684</v>
      </c>
      <c r="AJ342" t="s">
        <v>602</v>
      </c>
      <c r="AL342" t="s">
        <v>605</v>
      </c>
      <c r="AM342" s="2">
        <v>45322</v>
      </c>
      <c r="AN342" t="s">
        <v>397</v>
      </c>
      <c r="AO342" t="s">
        <v>397</v>
      </c>
      <c r="AP342">
        <v>1201</v>
      </c>
      <c r="AQ342" t="s">
        <v>360</v>
      </c>
      <c r="AR342" t="s">
        <v>606</v>
      </c>
      <c r="AU342" t="s">
        <v>352</v>
      </c>
      <c r="AV342" t="s">
        <v>362</v>
      </c>
      <c r="AX342">
        <v>24001174</v>
      </c>
      <c r="AY342">
        <v>720400</v>
      </c>
      <c r="AZ342">
        <v>1201.7203999999999</v>
      </c>
      <c r="BA342" s="54" t="s">
        <v>54</v>
      </c>
    </row>
    <row r="343" spans="1:53">
      <c r="A343" t="s">
        <v>391</v>
      </c>
      <c r="B343" t="s">
        <v>392</v>
      </c>
      <c r="C343">
        <v>24001433</v>
      </c>
      <c r="D343">
        <v>1201</v>
      </c>
      <c r="E343" s="2">
        <v>45327</v>
      </c>
      <c r="F343" t="s">
        <v>602</v>
      </c>
      <c r="G343">
        <v>0.63</v>
      </c>
      <c r="H343">
        <v>0.63</v>
      </c>
      <c r="I343" t="s">
        <v>352</v>
      </c>
      <c r="J343" t="s">
        <v>352</v>
      </c>
      <c r="L343" s="61">
        <v>10000</v>
      </c>
      <c r="N343" s="61">
        <v>10000</v>
      </c>
      <c r="O343" t="s">
        <v>352</v>
      </c>
      <c r="Q343" t="s">
        <v>352</v>
      </c>
      <c r="R343" t="s">
        <v>353</v>
      </c>
      <c r="S343">
        <v>15803</v>
      </c>
      <c r="T343" t="s">
        <v>354</v>
      </c>
      <c r="U343" t="s">
        <v>355</v>
      </c>
      <c r="V343" t="s">
        <v>394</v>
      </c>
      <c r="W343" t="s">
        <v>395</v>
      </c>
      <c r="X343">
        <v>2098145</v>
      </c>
      <c r="Y343" s="2">
        <v>45327</v>
      </c>
      <c r="Z343" t="s">
        <v>352</v>
      </c>
      <c r="AA343">
        <v>1</v>
      </c>
      <c r="AB343" t="s">
        <v>352</v>
      </c>
      <c r="AD343" t="s">
        <v>352</v>
      </c>
      <c r="AE343" t="s">
        <v>352</v>
      </c>
      <c r="AF343" t="s">
        <v>352</v>
      </c>
      <c r="AG343">
        <v>1</v>
      </c>
      <c r="AH343" t="s">
        <v>352</v>
      </c>
      <c r="AI343">
        <v>56039684</v>
      </c>
      <c r="AJ343" t="s">
        <v>602</v>
      </c>
      <c r="AL343" t="s">
        <v>605</v>
      </c>
      <c r="AM343" s="2">
        <v>45322</v>
      </c>
      <c r="AN343" t="s">
        <v>397</v>
      </c>
      <c r="AO343" t="s">
        <v>397</v>
      </c>
      <c r="AP343">
        <v>1201</v>
      </c>
      <c r="AQ343" t="s">
        <v>360</v>
      </c>
      <c r="AR343" t="s">
        <v>607</v>
      </c>
      <c r="AU343" t="s">
        <v>352</v>
      </c>
      <c r="AV343" t="s">
        <v>362</v>
      </c>
      <c r="AX343">
        <v>24001174</v>
      </c>
      <c r="AY343">
        <v>720400</v>
      </c>
      <c r="AZ343">
        <v>1201.7203999999999</v>
      </c>
      <c r="BA343" s="54" t="s">
        <v>54</v>
      </c>
    </row>
    <row r="344" spans="1:53">
      <c r="A344" t="s">
        <v>391</v>
      </c>
      <c r="B344" t="s">
        <v>392</v>
      </c>
      <c r="C344">
        <v>24001434</v>
      </c>
      <c r="D344">
        <v>1201</v>
      </c>
      <c r="E344" s="2">
        <v>45327</v>
      </c>
      <c r="F344" t="s">
        <v>602</v>
      </c>
      <c r="G344">
        <v>552.61</v>
      </c>
      <c r="H344">
        <v>552.61</v>
      </c>
      <c r="I344" t="s">
        <v>352</v>
      </c>
      <c r="J344" t="s">
        <v>352</v>
      </c>
      <c r="L344" s="61">
        <v>8732840</v>
      </c>
      <c r="N344" s="61">
        <v>8732840</v>
      </c>
      <c r="O344" t="s">
        <v>352</v>
      </c>
      <c r="Q344" t="s">
        <v>352</v>
      </c>
      <c r="R344" t="s">
        <v>353</v>
      </c>
      <c r="S344">
        <v>15803</v>
      </c>
      <c r="T344" t="s">
        <v>354</v>
      </c>
      <c r="U344" t="s">
        <v>355</v>
      </c>
      <c r="V344" t="s">
        <v>394</v>
      </c>
      <c r="W344" t="s">
        <v>395</v>
      </c>
      <c r="X344">
        <v>2098145</v>
      </c>
      <c r="Y344" s="2">
        <v>45327</v>
      </c>
      <c r="Z344" t="s">
        <v>352</v>
      </c>
      <c r="AA344">
        <v>1</v>
      </c>
      <c r="AB344" t="s">
        <v>352</v>
      </c>
      <c r="AD344" t="s">
        <v>352</v>
      </c>
      <c r="AE344" t="s">
        <v>352</v>
      </c>
      <c r="AF344" t="s">
        <v>352</v>
      </c>
      <c r="AG344">
        <v>1</v>
      </c>
      <c r="AH344" t="s">
        <v>352</v>
      </c>
      <c r="AI344">
        <v>56039684</v>
      </c>
      <c r="AJ344" t="s">
        <v>602</v>
      </c>
      <c r="AL344" t="s">
        <v>608</v>
      </c>
      <c r="AM344" s="2">
        <v>45322</v>
      </c>
      <c r="AN344" t="s">
        <v>397</v>
      </c>
      <c r="AO344" t="s">
        <v>397</v>
      </c>
      <c r="AP344">
        <v>1201</v>
      </c>
      <c r="AQ344" t="s">
        <v>360</v>
      </c>
      <c r="AR344" t="s">
        <v>609</v>
      </c>
      <c r="AU344" t="s">
        <v>352</v>
      </c>
      <c r="AV344" t="s">
        <v>362</v>
      </c>
      <c r="AX344">
        <v>24001174</v>
      </c>
      <c r="AY344">
        <v>720400</v>
      </c>
      <c r="AZ344">
        <v>1201.7203999999999</v>
      </c>
      <c r="BA344" s="54" t="s">
        <v>54</v>
      </c>
    </row>
    <row r="345" spans="1:53">
      <c r="A345" t="s">
        <v>391</v>
      </c>
      <c r="B345" t="s">
        <v>392</v>
      </c>
      <c r="C345">
        <v>24001435</v>
      </c>
      <c r="D345">
        <v>1201</v>
      </c>
      <c r="E345" s="2">
        <v>45327</v>
      </c>
      <c r="F345" t="s">
        <v>602</v>
      </c>
      <c r="G345">
        <v>0.63</v>
      </c>
      <c r="H345">
        <v>0.63</v>
      </c>
      <c r="I345" t="s">
        <v>352</v>
      </c>
      <c r="J345" t="s">
        <v>352</v>
      </c>
      <c r="L345" s="61">
        <v>10000</v>
      </c>
      <c r="N345" s="61">
        <v>10000</v>
      </c>
      <c r="O345" t="s">
        <v>352</v>
      </c>
      <c r="Q345" t="s">
        <v>352</v>
      </c>
      <c r="R345" t="s">
        <v>353</v>
      </c>
      <c r="S345">
        <v>15803</v>
      </c>
      <c r="T345" t="s">
        <v>354</v>
      </c>
      <c r="U345" t="s">
        <v>355</v>
      </c>
      <c r="V345" t="s">
        <v>394</v>
      </c>
      <c r="W345" t="s">
        <v>395</v>
      </c>
      <c r="X345">
        <v>2098145</v>
      </c>
      <c r="Y345" s="2">
        <v>45327</v>
      </c>
      <c r="Z345" t="s">
        <v>352</v>
      </c>
      <c r="AA345">
        <v>1</v>
      </c>
      <c r="AB345" t="s">
        <v>352</v>
      </c>
      <c r="AD345" t="s">
        <v>352</v>
      </c>
      <c r="AE345" t="s">
        <v>352</v>
      </c>
      <c r="AF345" t="s">
        <v>352</v>
      </c>
      <c r="AG345">
        <v>1</v>
      </c>
      <c r="AH345" t="s">
        <v>352</v>
      </c>
      <c r="AI345">
        <v>56039684</v>
      </c>
      <c r="AJ345" t="s">
        <v>602</v>
      </c>
      <c r="AL345" t="s">
        <v>608</v>
      </c>
      <c r="AM345" s="2">
        <v>45322</v>
      </c>
      <c r="AN345" t="s">
        <v>397</v>
      </c>
      <c r="AO345" t="s">
        <v>397</v>
      </c>
      <c r="AP345">
        <v>1201</v>
      </c>
      <c r="AQ345" t="s">
        <v>360</v>
      </c>
      <c r="AR345" t="s">
        <v>610</v>
      </c>
      <c r="AU345" t="s">
        <v>352</v>
      </c>
      <c r="AV345" t="s">
        <v>362</v>
      </c>
      <c r="AX345">
        <v>24001174</v>
      </c>
      <c r="AY345">
        <v>720400</v>
      </c>
      <c r="AZ345">
        <v>1201.7203999999999</v>
      </c>
      <c r="BA345" s="54" t="s">
        <v>54</v>
      </c>
    </row>
    <row r="346" spans="1:53">
      <c r="A346" t="s">
        <v>391</v>
      </c>
      <c r="B346" t="s">
        <v>392</v>
      </c>
      <c r="C346">
        <v>24001910</v>
      </c>
      <c r="D346">
        <v>1204</v>
      </c>
      <c r="E346" s="2">
        <v>45323</v>
      </c>
      <c r="F346" t="s">
        <v>433</v>
      </c>
      <c r="G346">
        <v>881.65</v>
      </c>
      <c r="H346">
        <v>881.65</v>
      </c>
      <c r="I346" t="s">
        <v>351</v>
      </c>
      <c r="J346" t="s">
        <v>351</v>
      </c>
      <c r="L346" s="61">
        <v>13611750</v>
      </c>
      <c r="N346" s="61">
        <v>13611750</v>
      </c>
      <c r="O346" t="s">
        <v>352</v>
      </c>
      <c r="Q346" t="s">
        <v>352</v>
      </c>
      <c r="R346" t="s">
        <v>353</v>
      </c>
      <c r="S346">
        <v>15439</v>
      </c>
      <c r="T346" t="s">
        <v>354</v>
      </c>
      <c r="U346" t="s">
        <v>355</v>
      </c>
      <c r="V346" t="s">
        <v>394</v>
      </c>
      <c r="W346" t="s">
        <v>395</v>
      </c>
      <c r="X346">
        <v>2096981</v>
      </c>
      <c r="Y346" s="2">
        <v>45322</v>
      </c>
      <c r="Z346" t="s">
        <v>352</v>
      </c>
      <c r="AA346">
        <v>1</v>
      </c>
      <c r="AB346" t="s">
        <v>352</v>
      </c>
      <c r="AD346" t="s">
        <v>352</v>
      </c>
      <c r="AE346" t="s">
        <v>352</v>
      </c>
      <c r="AF346" t="s">
        <v>352</v>
      </c>
      <c r="AG346">
        <v>1</v>
      </c>
      <c r="AH346" t="s">
        <v>352</v>
      </c>
      <c r="AI346">
        <v>56579074</v>
      </c>
      <c r="AJ346" t="s">
        <v>433</v>
      </c>
      <c r="AL346" t="s">
        <v>434</v>
      </c>
      <c r="AM346" s="2">
        <v>45315</v>
      </c>
      <c r="AN346" t="s">
        <v>397</v>
      </c>
      <c r="AO346" t="s">
        <v>359</v>
      </c>
      <c r="AP346">
        <v>1204</v>
      </c>
      <c r="AQ346" t="s">
        <v>360</v>
      </c>
      <c r="AR346" t="s">
        <v>435</v>
      </c>
      <c r="AU346" t="s">
        <v>352</v>
      </c>
      <c r="AV346" t="s">
        <v>362</v>
      </c>
      <c r="AX346">
        <v>24001076</v>
      </c>
      <c r="AY346">
        <v>720400</v>
      </c>
      <c r="AZ346">
        <v>1204.7203999999999</v>
      </c>
      <c r="BA346" s="54" t="s">
        <v>171</v>
      </c>
    </row>
    <row r="347" spans="1:53">
      <c r="A347" t="s">
        <v>391</v>
      </c>
      <c r="B347" t="s">
        <v>392</v>
      </c>
      <c r="C347">
        <v>24001911</v>
      </c>
      <c r="D347">
        <v>1204</v>
      </c>
      <c r="E347" s="2">
        <v>45323</v>
      </c>
      <c r="F347" t="s">
        <v>433</v>
      </c>
      <c r="G347">
        <v>0.65</v>
      </c>
      <c r="H347">
        <v>0.65</v>
      </c>
      <c r="I347" t="s">
        <v>351</v>
      </c>
      <c r="J347" t="s">
        <v>351</v>
      </c>
      <c r="L347" s="61">
        <v>10000</v>
      </c>
      <c r="N347" s="61">
        <v>10000</v>
      </c>
      <c r="O347" t="s">
        <v>352</v>
      </c>
      <c r="Q347" t="s">
        <v>352</v>
      </c>
      <c r="R347" t="s">
        <v>353</v>
      </c>
      <c r="S347">
        <v>15439</v>
      </c>
      <c r="T347" t="s">
        <v>354</v>
      </c>
      <c r="U347" t="s">
        <v>355</v>
      </c>
      <c r="V347" t="s">
        <v>394</v>
      </c>
      <c r="W347" t="s">
        <v>395</v>
      </c>
      <c r="X347">
        <v>2096981</v>
      </c>
      <c r="Y347" s="2">
        <v>45322</v>
      </c>
      <c r="Z347" t="s">
        <v>352</v>
      </c>
      <c r="AA347">
        <v>1</v>
      </c>
      <c r="AB347" t="s">
        <v>352</v>
      </c>
      <c r="AD347" t="s">
        <v>352</v>
      </c>
      <c r="AE347" t="s">
        <v>352</v>
      </c>
      <c r="AF347" t="s">
        <v>352</v>
      </c>
      <c r="AG347">
        <v>1</v>
      </c>
      <c r="AH347" t="s">
        <v>352</v>
      </c>
      <c r="AI347">
        <v>56579074</v>
      </c>
      <c r="AJ347" t="s">
        <v>433</v>
      </c>
      <c r="AL347">
        <v>56579074</v>
      </c>
      <c r="AM347" s="2">
        <v>45315</v>
      </c>
      <c r="AN347" t="s">
        <v>397</v>
      </c>
      <c r="AO347" t="s">
        <v>359</v>
      </c>
      <c r="AP347">
        <v>1204</v>
      </c>
      <c r="AQ347" t="s">
        <v>360</v>
      </c>
      <c r="AR347" t="s">
        <v>436</v>
      </c>
      <c r="AU347" t="s">
        <v>352</v>
      </c>
      <c r="AV347" t="s">
        <v>362</v>
      </c>
      <c r="AX347">
        <v>24001076</v>
      </c>
      <c r="AY347">
        <v>720400</v>
      </c>
      <c r="AZ347">
        <v>1204.7203999999999</v>
      </c>
      <c r="BA347" s="54" t="s">
        <v>171</v>
      </c>
    </row>
    <row r="348" spans="1:53">
      <c r="A348" t="s">
        <v>391</v>
      </c>
      <c r="B348" t="s">
        <v>392</v>
      </c>
      <c r="C348">
        <v>24001912</v>
      </c>
      <c r="D348">
        <v>1204</v>
      </c>
      <c r="E348" s="2">
        <v>45323</v>
      </c>
      <c r="F348" t="s">
        <v>437</v>
      </c>
      <c r="G348">
        <v>32.97</v>
      </c>
      <c r="H348">
        <v>32.97</v>
      </c>
      <c r="I348" t="s">
        <v>351</v>
      </c>
      <c r="J348" t="s">
        <v>351</v>
      </c>
      <c r="L348" s="61">
        <v>512500</v>
      </c>
      <c r="N348" s="61">
        <v>512500</v>
      </c>
      <c r="O348" t="s">
        <v>352</v>
      </c>
      <c r="Q348" t="s">
        <v>352</v>
      </c>
      <c r="R348" t="s">
        <v>353</v>
      </c>
      <c r="S348">
        <v>15545</v>
      </c>
      <c r="T348" t="s">
        <v>354</v>
      </c>
      <c r="U348" t="s">
        <v>355</v>
      </c>
      <c r="V348" t="s">
        <v>394</v>
      </c>
      <c r="W348" t="s">
        <v>395</v>
      </c>
      <c r="X348">
        <v>2096982</v>
      </c>
      <c r="Y348" s="2">
        <v>45322</v>
      </c>
      <c r="Z348" t="s">
        <v>352</v>
      </c>
      <c r="AA348">
        <v>1</v>
      </c>
      <c r="AB348" t="s">
        <v>352</v>
      </c>
      <c r="AD348" t="s">
        <v>352</v>
      </c>
      <c r="AE348" t="s">
        <v>352</v>
      </c>
      <c r="AF348" t="s">
        <v>352</v>
      </c>
      <c r="AG348">
        <v>1</v>
      </c>
      <c r="AH348" t="s">
        <v>352</v>
      </c>
      <c r="AI348">
        <v>54000358</v>
      </c>
      <c r="AJ348" t="s">
        <v>437</v>
      </c>
      <c r="AL348" t="s">
        <v>438</v>
      </c>
      <c r="AM348" s="2">
        <v>45308</v>
      </c>
      <c r="AN348" t="s">
        <v>439</v>
      </c>
      <c r="AO348" t="s">
        <v>359</v>
      </c>
      <c r="AP348">
        <v>1204</v>
      </c>
      <c r="AQ348" t="s">
        <v>360</v>
      </c>
      <c r="AR348" t="s">
        <v>440</v>
      </c>
      <c r="AU348" t="s">
        <v>352</v>
      </c>
      <c r="AV348" t="s">
        <v>362</v>
      </c>
      <c r="AX348">
        <v>24001075</v>
      </c>
      <c r="AY348">
        <v>720400</v>
      </c>
      <c r="AZ348">
        <v>1204.7203999999999</v>
      </c>
      <c r="BA348" s="54" t="s">
        <v>171</v>
      </c>
    </row>
    <row r="349" spans="1:53">
      <c r="A349" t="s">
        <v>391</v>
      </c>
      <c r="B349" t="s">
        <v>392</v>
      </c>
      <c r="C349">
        <v>24001913</v>
      </c>
      <c r="D349">
        <v>1204</v>
      </c>
      <c r="E349" s="2">
        <v>45323</v>
      </c>
      <c r="F349" t="s">
        <v>437</v>
      </c>
      <c r="G349">
        <v>32.97</v>
      </c>
      <c r="H349">
        <v>32.97</v>
      </c>
      <c r="I349" t="s">
        <v>351</v>
      </c>
      <c r="J349" t="s">
        <v>351</v>
      </c>
      <c r="L349" s="61">
        <v>512500</v>
      </c>
      <c r="N349" s="61">
        <v>512500</v>
      </c>
      <c r="O349" t="s">
        <v>352</v>
      </c>
      <c r="Q349" t="s">
        <v>352</v>
      </c>
      <c r="R349" t="s">
        <v>353</v>
      </c>
      <c r="S349">
        <v>15545</v>
      </c>
      <c r="T349" t="s">
        <v>354</v>
      </c>
      <c r="U349" t="s">
        <v>355</v>
      </c>
      <c r="V349" t="s">
        <v>394</v>
      </c>
      <c r="W349" t="s">
        <v>395</v>
      </c>
      <c r="X349">
        <v>2096982</v>
      </c>
      <c r="Y349" s="2">
        <v>45322</v>
      </c>
      <c r="Z349" t="s">
        <v>352</v>
      </c>
      <c r="AA349">
        <v>1</v>
      </c>
      <c r="AB349" t="s">
        <v>352</v>
      </c>
      <c r="AD349" t="s">
        <v>352</v>
      </c>
      <c r="AE349" t="s">
        <v>352</v>
      </c>
      <c r="AF349" t="s">
        <v>352</v>
      </c>
      <c r="AG349">
        <v>1</v>
      </c>
      <c r="AH349" t="s">
        <v>352</v>
      </c>
      <c r="AI349">
        <v>54000358</v>
      </c>
      <c r="AJ349" t="s">
        <v>437</v>
      </c>
      <c r="AL349" t="s">
        <v>441</v>
      </c>
      <c r="AM349" s="2">
        <v>45308</v>
      </c>
      <c r="AN349" t="s">
        <v>439</v>
      </c>
      <c r="AO349" t="s">
        <v>359</v>
      </c>
      <c r="AP349">
        <v>1204</v>
      </c>
      <c r="AQ349" t="s">
        <v>360</v>
      </c>
      <c r="AR349" t="s">
        <v>442</v>
      </c>
      <c r="AU349" t="s">
        <v>352</v>
      </c>
      <c r="AV349" t="s">
        <v>362</v>
      </c>
      <c r="AX349">
        <v>24001075</v>
      </c>
      <c r="AY349">
        <v>720400</v>
      </c>
      <c r="AZ349">
        <v>1204.7203999999999</v>
      </c>
      <c r="BA349" s="54" t="s">
        <v>171</v>
      </c>
    </row>
    <row r="350" spans="1:53">
      <c r="A350" t="s">
        <v>391</v>
      </c>
      <c r="B350" t="s">
        <v>392</v>
      </c>
      <c r="C350">
        <v>24001914</v>
      </c>
      <c r="D350">
        <v>1204</v>
      </c>
      <c r="E350" s="2">
        <v>45323</v>
      </c>
      <c r="F350" t="s">
        <v>437</v>
      </c>
      <c r="G350">
        <v>32.97</v>
      </c>
      <c r="H350">
        <v>32.97</v>
      </c>
      <c r="I350" t="s">
        <v>351</v>
      </c>
      <c r="J350" t="s">
        <v>351</v>
      </c>
      <c r="L350" s="61">
        <v>512500</v>
      </c>
      <c r="N350" s="61">
        <v>512500</v>
      </c>
      <c r="O350" t="s">
        <v>352</v>
      </c>
      <c r="Q350" t="s">
        <v>352</v>
      </c>
      <c r="R350" t="s">
        <v>353</v>
      </c>
      <c r="S350">
        <v>15545</v>
      </c>
      <c r="T350" t="s">
        <v>354</v>
      </c>
      <c r="U350" t="s">
        <v>355</v>
      </c>
      <c r="V350" t="s">
        <v>394</v>
      </c>
      <c r="W350" t="s">
        <v>395</v>
      </c>
      <c r="X350">
        <v>2096982</v>
      </c>
      <c r="Y350" s="2">
        <v>45322</v>
      </c>
      <c r="Z350" t="s">
        <v>352</v>
      </c>
      <c r="AA350">
        <v>1</v>
      </c>
      <c r="AB350" t="s">
        <v>352</v>
      </c>
      <c r="AD350" t="s">
        <v>352</v>
      </c>
      <c r="AE350" t="s">
        <v>352</v>
      </c>
      <c r="AF350" t="s">
        <v>352</v>
      </c>
      <c r="AG350">
        <v>1</v>
      </c>
      <c r="AH350" t="s">
        <v>352</v>
      </c>
      <c r="AI350">
        <v>54000358</v>
      </c>
      <c r="AJ350" t="s">
        <v>437</v>
      </c>
      <c r="AL350" t="s">
        <v>443</v>
      </c>
      <c r="AM350" s="2">
        <v>45308</v>
      </c>
      <c r="AN350" t="s">
        <v>439</v>
      </c>
      <c r="AO350" t="s">
        <v>359</v>
      </c>
      <c r="AP350">
        <v>1204</v>
      </c>
      <c r="AQ350" t="s">
        <v>360</v>
      </c>
      <c r="AR350" t="s">
        <v>444</v>
      </c>
      <c r="AU350" t="s">
        <v>352</v>
      </c>
      <c r="AV350" t="s">
        <v>362</v>
      </c>
      <c r="AX350">
        <v>24001075</v>
      </c>
      <c r="AY350">
        <v>720400</v>
      </c>
      <c r="AZ350">
        <v>1204.7203999999999</v>
      </c>
      <c r="BA350" s="54" t="s">
        <v>171</v>
      </c>
    </row>
    <row r="351" spans="1:53">
      <c r="A351" t="s">
        <v>391</v>
      </c>
      <c r="B351" t="s">
        <v>392</v>
      </c>
      <c r="C351">
        <v>24001915</v>
      </c>
      <c r="D351">
        <v>1204</v>
      </c>
      <c r="E351" s="2">
        <v>45323</v>
      </c>
      <c r="F351" t="s">
        <v>437</v>
      </c>
      <c r="G351">
        <v>32.97</v>
      </c>
      <c r="H351">
        <v>32.97</v>
      </c>
      <c r="I351" t="s">
        <v>351</v>
      </c>
      <c r="J351" t="s">
        <v>351</v>
      </c>
      <c r="L351" s="61">
        <v>512500</v>
      </c>
      <c r="N351" s="61">
        <v>512500</v>
      </c>
      <c r="O351" t="s">
        <v>352</v>
      </c>
      <c r="Q351" t="s">
        <v>352</v>
      </c>
      <c r="R351" t="s">
        <v>353</v>
      </c>
      <c r="S351">
        <v>15545</v>
      </c>
      <c r="T351" t="s">
        <v>354</v>
      </c>
      <c r="U351" t="s">
        <v>355</v>
      </c>
      <c r="V351" t="s">
        <v>394</v>
      </c>
      <c r="W351" t="s">
        <v>395</v>
      </c>
      <c r="X351">
        <v>2096982</v>
      </c>
      <c r="Y351" s="2">
        <v>45322</v>
      </c>
      <c r="Z351" t="s">
        <v>352</v>
      </c>
      <c r="AA351">
        <v>1</v>
      </c>
      <c r="AB351" t="s">
        <v>352</v>
      </c>
      <c r="AD351" t="s">
        <v>352</v>
      </c>
      <c r="AE351" t="s">
        <v>352</v>
      </c>
      <c r="AF351" t="s">
        <v>352</v>
      </c>
      <c r="AG351">
        <v>1</v>
      </c>
      <c r="AH351" t="s">
        <v>352</v>
      </c>
      <c r="AI351">
        <v>54000358</v>
      </c>
      <c r="AJ351" t="s">
        <v>437</v>
      </c>
      <c r="AL351" t="s">
        <v>445</v>
      </c>
      <c r="AM351" s="2">
        <v>45308</v>
      </c>
      <c r="AN351" t="s">
        <v>439</v>
      </c>
      <c r="AO351" t="s">
        <v>359</v>
      </c>
      <c r="AP351">
        <v>1204</v>
      </c>
      <c r="AQ351" t="s">
        <v>360</v>
      </c>
      <c r="AR351" t="s">
        <v>446</v>
      </c>
      <c r="AU351" t="s">
        <v>352</v>
      </c>
      <c r="AV351" t="s">
        <v>362</v>
      </c>
      <c r="AX351">
        <v>24001075</v>
      </c>
      <c r="AY351">
        <v>720400</v>
      </c>
      <c r="AZ351">
        <v>1204.7203999999999</v>
      </c>
      <c r="BA351" s="54" t="s">
        <v>171</v>
      </c>
    </row>
    <row r="352" spans="1:53">
      <c r="A352" t="s">
        <v>391</v>
      </c>
      <c r="B352" t="s">
        <v>392</v>
      </c>
      <c r="C352">
        <v>24001916</v>
      </c>
      <c r="D352">
        <v>1204</v>
      </c>
      <c r="E352" s="2">
        <v>45323</v>
      </c>
      <c r="F352" t="s">
        <v>437</v>
      </c>
      <c r="G352">
        <v>32.97</v>
      </c>
      <c r="H352">
        <v>32.97</v>
      </c>
      <c r="I352" t="s">
        <v>351</v>
      </c>
      <c r="J352" t="s">
        <v>351</v>
      </c>
      <c r="L352" s="61">
        <v>512500</v>
      </c>
      <c r="N352" s="61">
        <v>512500</v>
      </c>
      <c r="O352" t="s">
        <v>352</v>
      </c>
      <c r="Q352" t="s">
        <v>352</v>
      </c>
      <c r="R352" t="s">
        <v>353</v>
      </c>
      <c r="S352">
        <v>15545</v>
      </c>
      <c r="T352" t="s">
        <v>354</v>
      </c>
      <c r="U352" t="s">
        <v>355</v>
      </c>
      <c r="V352" t="s">
        <v>394</v>
      </c>
      <c r="W352" t="s">
        <v>395</v>
      </c>
      <c r="X352">
        <v>2096982</v>
      </c>
      <c r="Y352" s="2">
        <v>45322</v>
      </c>
      <c r="Z352" t="s">
        <v>352</v>
      </c>
      <c r="AA352">
        <v>1</v>
      </c>
      <c r="AB352" t="s">
        <v>352</v>
      </c>
      <c r="AD352" t="s">
        <v>352</v>
      </c>
      <c r="AE352" t="s">
        <v>352</v>
      </c>
      <c r="AF352" t="s">
        <v>352</v>
      </c>
      <c r="AG352">
        <v>1</v>
      </c>
      <c r="AH352" t="s">
        <v>352</v>
      </c>
      <c r="AI352">
        <v>54000358</v>
      </c>
      <c r="AJ352" t="s">
        <v>437</v>
      </c>
      <c r="AL352" t="s">
        <v>447</v>
      </c>
      <c r="AM352" s="2">
        <v>45308</v>
      </c>
      <c r="AN352" t="s">
        <v>439</v>
      </c>
      <c r="AO352" t="s">
        <v>359</v>
      </c>
      <c r="AP352">
        <v>1204</v>
      </c>
      <c r="AQ352" t="s">
        <v>360</v>
      </c>
      <c r="AR352" t="s">
        <v>448</v>
      </c>
      <c r="AU352" t="s">
        <v>352</v>
      </c>
      <c r="AV352" t="s">
        <v>362</v>
      </c>
      <c r="AX352">
        <v>24001075</v>
      </c>
      <c r="AY352">
        <v>720400</v>
      </c>
      <c r="AZ352">
        <v>1204.7203999999999</v>
      </c>
      <c r="BA352" s="54" t="s">
        <v>171</v>
      </c>
    </row>
    <row r="353" spans="1:53">
      <c r="A353" t="s">
        <v>391</v>
      </c>
      <c r="B353" t="s">
        <v>392</v>
      </c>
      <c r="C353">
        <v>24001917</v>
      </c>
      <c r="D353">
        <v>1204</v>
      </c>
      <c r="E353" s="2">
        <v>45323</v>
      </c>
      <c r="F353" t="s">
        <v>437</v>
      </c>
      <c r="G353">
        <v>32.97</v>
      </c>
      <c r="H353">
        <v>32.97</v>
      </c>
      <c r="I353" t="s">
        <v>351</v>
      </c>
      <c r="J353" t="s">
        <v>351</v>
      </c>
      <c r="L353" s="61">
        <v>512500</v>
      </c>
      <c r="N353" s="61">
        <v>512500</v>
      </c>
      <c r="O353" t="s">
        <v>352</v>
      </c>
      <c r="Q353" t="s">
        <v>352</v>
      </c>
      <c r="R353" t="s">
        <v>353</v>
      </c>
      <c r="S353">
        <v>15545</v>
      </c>
      <c r="T353" t="s">
        <v>354</v>
      </c>
      <c r="U353" t="s">
        <v>355</v>
      </c>
      <c r="V353" t="s">
        <v>394</v>
      </c>
      <c r="W353" t="s">
        <v>395</v>
      </c>
      <c r="X353">
        <v>2096982</v>
      </c>
      <c r="Y353" s="2">
        <v>45322</v>
      </c>
      <c r="Z353" t="s">
        <v>352</v>
      </c>
      <c r="AA353">
        <v>1</v>
      </c>
      <c r="AB353" t="s">
        <v>352</v>
      </c>
      <c r="AD353" t="s">
        <v>352</v>
      </c>
      <c r="AE353" t="s">
        <v>352</v>
      </c>
      <c r="AF353" t="s">
        <v>352</v>
      </c>
      <c r="AG353">
        <v>1</v>
      </c>
      <c r="AH353" t="s">
        <v>352</v>
      </c>
      <c r="AI353">
        <v>54000358</v>
      </c>
      <c r="AJ353" t="s">
        <v>437</v>
      </c>
      <c r="AL353" t="s">
        <v>449</v>
      </c>
      <c r="AM353" s="2">
        <v>45308</v>
      </c>
      <c r="AN353" t="s">
        <v>439</v>
      </c>
      <c r="AO353" t="s">
        <v>359</v>
      </c>
      <c r="AP353">
        <v>1204</v>
      </c>
      <c r="AQ353" t="s">
        <v>360</v>
      </c>
      <c r="AR353" t="s">
        <v>450</v>
      </c>
      <c r="AU353" t="s">
        <v>352</v>
      </c>
      <c r="AV353" t="s">
        <v>362</v>
      </c>
      <c r="AX353">
        <v>24001075</v>
      </c>
      <c r="AY353">
        <v>720400</v>
      </c>
      <c r="AZ353">
        <v>1204.7203999999999</v>
      </c>
      <c r="BA353" s="54" t="s">
        <v>171</v>
      </c>
    </row>
    <row r="354" spans="1:53">
      <c r="A354" t="s">
        <v>391</v>
      </c>
      <c r="B354" t="s">
        <v>392</v>
      </c>
      <c r="C354">
        <v>24001918</v>
      </c>
      <c r="D354">
        <v>1204</v>
      </c>
      <c r="E354" s="2">
        <v>45323</v>
      </c>
      <c r="F354" t="s">
        <v>451</v>
      </c>
      <c r="G354" s="61">
        <v>1185.31</v>
      </c>
      <c r="H354" s="61">
        <v>1185.31</v>
      </c>
      <c r="I354" t="s">
        <v>351</v>
      </c>
      <c r="J354" t="s">
        <v>351</v>
      </c>
      <c r="L354" s="61">
        <v>18300000</v>
      </c>
      <c r="N354" s="61">
        <v>18300000</v>
      </c>
      <c r="O354" t="s">
        <v>352</v>
      </c>
      <c r="Q354" t="s">
        <v>352</v>
      </c>
      <c r="R354" t="s">
        <v>353</v>
      </c>
      <c r="S354">
        <v>15439</v>
      </c>
      <c r="T354" t="s">
        <v>354</v>
      </c>
      <c r="U354" t="s">
        <v>355</v>
      </c>
      <c r="V354" t="s">
        <v>394</v>
      </c>
      <c r="W354" t="s">
        <v>395</v>
      </c>
      <c r="X354">
        <v>2096983</v>
      </c>
      <c r="Y354" s="2">
        <v>45322</v>
      </c>
      <c r="Z354" t="s">
        <v>352</v>
      </c>
      <c r="AA354">
        <v>1</v>
      </c>
      <c r="AB354" t="s">
        <v>352</v>
      </c>
      <c r="AD354" t="s">
        <v>352</v>
      </c>
      <c r="AE354" t="s">
        <v>352</v>
      </c>
      <c r="AF354" t="s">
        <v>352</v>
      </c>
      <c r="AG354">
        <v>1</v>
      </c>
      <c r="AH354" t="s">
        <v>352</v>
      </c>
      <c r="AI354">
        <v>57420938</v>
      </c>
      <c r="AJ354" t="s">
        <v>451</v>
      </c>
      <c r="AL354">
        <v>115392</v>
      </c>
      <c r="AM354" s="2">
        <v>45320</v>
      </c>
      <c r="AN354" t="s">
        <v>397</v>
      </c>
      <c r="AO354" t="s">
        <v>359</v>
      </c>
      <c r="AP354">
        <v>1204</v>
      </c>
      <c r="AQ354" t="s">
        <v>360</v>
      </c>
      <c r="AR354" t="s">
        <v>435</v>
      </c>
      <c r="AU354" t="s">
        <v>352</v>
      </c>
      <c r="AV354" t="s">
        <v>362</v>
      </c>
      <c r="AX354">
        <v>24001077</v>
      </c>
      <c r="AY354">
        <v>720400</v>
      </c>
      <c r="AZ354">
        <v>1204.7203999999999</v>
      </c>
      <c r="BA354" s="54" t="s">
        <v>171</v>
      </c>
    </row>
    <row r="355" spans="1:53">
      <c r="A355" t="s">
        <v>391</v>
      </c>
      <c r="B355" t="s">
        <v>392</v>
      </c>
      <c r="C355">
        <v>24001919</v>
      </c>
      <c r="D355">
        <v>1204</v>
      </c>
      <c r="E355" s="2">
        <v>45323</v>
      </c>
      <c r="F355" t="s">
        <v>452</v>
      </c>
      <c r="G355">
        <v>116.59</v>
      </c>
      <c r="H355">
        <v>116.59</v>
      </c>
      <c r="I355" t="s">
        <v>351</v>
      </c>
      <c r="J355" t="s">
        <v>351</v>
      </c>
      <c r="L355" s="61">
        <v>1800000</v>
      </c>
      <c r="N355" s="61">
        <v>1800000</v>
      </c>
      <c r="O355" t="s">
        <v>352</v>
      </c>
      <c r="Q355" t="s">
        <v>352</v>
      </c>
      <c r="R355" t="s">
        <v>353</v>
      </c>
      <c r="S355">
        <v>15439</v>
      </c>
      <c r="T355" t="s">
        <v>354</v>
      </c>
      <c r="U355" t="s">
        <v>355</v>
      </c>
      <c r="V355" t="s">
        <v>394</v>
      </c>
      <c r="W355" t="s">
        <v>395</v>
      </c>
      <c r="X355">
        <v>2096983</v>
      </c>
      <c r="Y355" s="2">
        <v>45322</v>
      </c>
      <c r="Z355" t="s">
        <v>352</v>
      </c>
      <c r="AA355">
        <v>1</v>
      </c>
      <c r="AB355" t="s">
        <v>352</v>
      </c>
      <c r="AD355" t="s">
        <v>352</v>
      </c>
      <c r="AE355" t="s">
        <v>352</v>
      </c>
      <c r="AF355" t="s">
        <v>352</v>
      </c>
      <c r="AG355">
        <v>1</v>
      </c>
      <c r="AH355" t="s">
        <v>352</v>
      </c>
      <c r="AI355">
        <v>56286757</v>
      </c>
      <c r="AJ355" t="s">
        <v>452</v>
      </c>
      <c r="AL355">
        <v>116004</v>
      </c>
      <c r="AM355" s="2">
        <v>45320</v>
      </c>
      <c r="AN355" t="s">
        <v>397</v>
      </c>
      <c r="AO355" t="s">
        <v>359</v>
      </c>
      <c r="AP355">
        <v>1204</v>
      </c>
      <c r="AQ355" t="s">
        <v>360</v>
      </c>
      <c r="AR355" t="s">
        <v>453</v>
      </c>
      <c r="AU355" t="s">
        <v>352</v>
      </c>
      <c r="AV355" t="s">
        <v>362</v>
      </c>
      <c r="AX355">
        <v>24001078</v>
      </c>
      <c r="AY355">
        <v>720400</v>
      </c>
      <c r="AZ355">
        <v>1204.7203999999999</v>
      </c>
      <c r="BA355" s="54" t="s">
        <v>171</v>
      </c>
    </row>
    <row r="356" spans="1:53">
      <c r="A356" t="s">
        <v>391</v>
      </c>
      <c r="B356" t="s">
        <v>392</v>
      </c>
      <c r="C356">
        <v>24001920</v>
      </c>
      <c r="D356">
        <v>1204</v>
      </c>
      <c r="E356" s="2">
        <v>45323</v>
      </c>
      <c r="F356" t="s">
        <v>406</v>
      </c>
      <c r="G356">
        <v>139.28</v>
      </c>
      <c r="H356">
        <v>139.28</v>
      </c>
      <c r="I356" t="s">
        <v>351</v>
      </c>
      <c r="J356" t="s">
        <v>351</v>
      </c>
      <c r="L356" s="61">
        <v>2150335</v>
      </c>
      <c r="N356" s="61">
        <v>2150335</v>
      </c>
      <c r="O356" t="s">
        <v>352</v>
      </c>
      <c r="Q356" t="s">
        <v>352</v>
      </c>
      <c r="R356" t="s">
        <v>353</v>
      </c>
      <c r="S356">
        <v>15439</v>
      </c>
      <c r="T356" t="s">
        <v>354</v>
      </c>
      <c r="U356" t="s">
        <v>355</v>
      </c>
      <c r="V356" t="s">
        <v>394</v>
      </c>
      <c r="W356" t="s">
        <v>395</v>
      </c>
      <c r="X356">
        <v>2096983</v>
      </c>
      <c r="Y356" s="2">
        <v>45322</v>
      </c>
      <c r="Z356" t="s">
        <v>352</v>
      </c>
      <c r="AA356">
        <v>1</v>
      </c>
      <c r="AB356" t="s">
        <v>352</v>
      </c>
      <c r="AD356" t="s">
        <v>352</v>
      </c>
      <c r="AE356" t="s">
        <v>352</v>
      </c>
      <c r="AF356" t="s">
        <v>352</v>
      </c>
      <c r="AG356">
        <v>1</v>
      </c>
      <c r="AH356" t="s">
        <v>352</v>
      </c>
      <c r="AI356">
        <v>55113299</v>
      </c>
      <c r="AJ356" t="s">
        <v>406</v>
      </c>
      <c r="AL356">
        <v>116004</v>
      </c>
      <c r="AM356" s="2">
        <v>45320</v>
      </c>
      <c r="AN356" t="s">
        <v>397</v>
      </c>
      <c r="AO356" t="s">
        <v>359</v>
      </c>
      <c r="AP356">
        <v>1204</v>
      </c>
      <c r="AQ356" t="s">
        <v>360</v>
      </c>
      <c r="AR356" t="s">
        <v>454</v>
      </c>
      <c r="AU356" t="s">
        <v>352</v>
      </c>
      <c r="AV356" t="s">
        <v>362</v>
      </c>
      <c r="AX356">
        <v>24001079</v>
      </c>
      <c r="AY356">
        <v>720400</v>
      </c>
      <c r="AZ356">
        <v>1204.7203999999999</v>
      </c>
      <c r="BA356" s="54" t="s">
        <v>171</v>
      </c>
    </row>
    <row r="357" spans="1:53">
      <c r="A357" t="s">
        <v>391</v>
      </c>
      <c r="B357" t="s">
        <v>392</v>
      </c>
      <c r="C357">
        <v>24001343</v>
      </c>
      <c r="D357">
        <v>1201</v>
      </c>
      <c r="E357" s="2">
        <v>45323</v>
      </c>
      <c r="F357" t="s">
        <v>455</v>
      </c>
      <c r="G357" s="61">
        <v>2090.6999999999998</v>
      </c>
      <c r="H357" s="61">
        <v>2090.6999999999998</v>
      </c>
      <c r="I357" t="s">
        <v>351</v>
      </c>
      <c r="J357" t="s">
        <v>351</v>
      </c>
      <c r="L357" s="61">
        <v>32278369</v>
      </c>
      <c r="N357" s="61">
        <v>32278369</v>
      </c>
      <c r="O357" t="s">
        <v>352</v>
      </c>
      <c r="Q357" t="s">
        <v>352</v>
      </c>
      <c r="R357" t="s">
        <v>353</v>
      </c>
      <c r="S357">
        <v>15439</v>
      </c>
      <c r="T357" t="s">
        <v>354</v>
      </c>
      <c r="U357" t="s">
        <v>355</v>
      </c>
      <c r="V357" t="s">
        <v>394</v>
      </c>
      <c r="W357" t="s">
        <v>395</v>
      </c>
      <c r="X357">
        <v>2096933</v>
      </c>
      <c r="Y357" s="2">
        <v>45322</v>
      </c>
      <c r="Z357" t="s">
        <v>352</v>
      </c>
      <c r="AA357">
        <v>1</v>
      </c>
      <c r="AB357" t="s">
        <v>352</v>
      </c>
      <c r="AD357" t="s">
        <v>352</v>
      </c>
      <c r="AE357" t="s">
        <v>352</v>
      </c>
      <c r="AF357" t="s">
        <v>352</v>
      </c>
      <c r="AG357">
        <v>1</v>
      </c>
      <c r="AH357" t="s">
        <v>352</v>
      </c>
      <c r="AI357">
        <v>55047738</v>
      </c>
      <c r="AJ357" t="s">
        <v>455</v>
      </c>
      <c r="AL357" t="s">
        <v>456</v>
      </c>
      <c r="AM357" s="2">
        <v>45307</v>
      </c>
      <c r="AN357" t="s">
        <v>397</v>
      </c>
      <c r="AO357" t="s">
        <v>359</v>
      </c>
      <c r="AP357">
        <v>1201</v>
      </c>
      <c r="AQ357" t="s">
        <v>360</v>
      </c>
      <c r="AR357" t="s">
        <v>457</v>
      </c>
      <c r="AU357" t="s">
        <v>352</v>
      </c>
      <c r="AV357" t="s">
        <v>362</v>
      </c>
      <c r="AX357">
        <v>24001129</v>
      </c>
      <c r="AY357">
        <v>730200</v>
      </c>
      <c r="AZ357">
        <v>1201.7302</v>
      </c>
      <c r="BA357" s="54" t="s">
        <v>59</v>
      </c>
    </row>
    <row r="358" spans="1:53">
      <c r="A358" t="s">
        <v>391</v>
      </c>
      <c r="B358" t="s">
        <v>392</v>
      </c>
      <c r="C358">
        <v>24001370</v>
      </c>
      <c r="D358">
        <v>1201</v>
      </c>
      <c r="E358" s="2">
        <v>45324</v>
      </c>
      <c r="F358" t="s">
        <v>568</v>
      </c>
      <c r="G358">
        <v>132.88999999999999</v>
      </c>
      <c r="H358">
        <v>132.88999999999999</v>
      </c>
      <c r="I358" t="s">
        <v>351</v>
      </c>
      <c r="J358" t="s">
        <v>351</v>
      </c>
      <c r="L358" s="61">
        <v>2100000</v>
      </c>
      <c r="N358" s="61">
        <v>2100000</v>
      </c>
      <c r="O358" t="s">
        <v>352</v>
      </c>
      <c r="Q358" t="s">
        <v>352</v>
      </c>
      <c r="R358" t="s">
        <v>353</v>
      </c>
      <c r="S358">
        <v>15803</v>
      </c>
      <c r="T358" t="s">
        <v>354</v>
      </c>
      <c r="U358" t="s">
        <v>355</v>
      </c>
      <c r="V358" t="s">
        <v>394</v>
      </c>
      <c r="W358" t="s">
        <v>395</v>
      </c>
      <c r="X358">
        <v>2097379</v>
      </c>
      <c r="Y358" s="2">
        <v>45324</v>
      </c>
      <c r="Z358" t="s">
        <v>352</v>
      </c>
      <c r="AA358">
        <v>1</v>
      </c>
      <c r="AB358" t="s">
        <v>352</v>
      </c>
      <c r="AD358" t="s">
        <v>352</v>
      </c>
      <c r="AE358" t="s">
        <v>352</v>
      </c>
      <c r="AF358" t="s">
        <v>352</v>
      </c>
      <c r="AG358">
        <v>1</v>
      </c>
      <c r="AH358" t="s">
        <v>352</v>
      </c>
      <c r="AI358">
        <v>57341586</v>
      </c>
      <c r="AJ358" t="s">
        <v>568</v>
      </c>
      <c r="AL358" t="s">
        <v>569</v>
      </c>
      <c r="AM358" s="2">
        <v>45317</v>
      </c>
      <c r="AN358" t="s">
        <v>530</v>
      </c>
      <c r="AO358" t="s">
        <v>359</v>
      </c>
      <c r="AP358">
        <v>1201</v>
      </c>
      <c r="AQ358" t="s">
        <v>360</v>
      </c>
      <c r="AR358" t="s">
        <v>570</v>
      </c>
      <c r="AU358" t="s">
        <v>352</v>
      </c>
      <c r="AV358" t="s">
        <v>362</v>
      </c>
      <c r="AX358">
        <v>24001149</v>
      </c>
      <c r="AY358">
        <v>801140</v>
      </c>
      <c r="AZ358">
        <v>1201.80114</v>
      </c>
      <c r="BA358" s="54" t="s">
        <v>337</v>
      </c>
    </row>
    <row r="359" spans="1:53">
      <c r="A359" t="s">
        <v>391</v>
      </c>
      <c r="B359" t="s">
        <v>392</v>
      </c>
      <c r="C359">
        <v>24001372</v>
      </c>
      <c r="D359">
        <v>1201</v>
      </c>
      <c r="E359" s="2">
        <v>45324</v>
      </c>
      <c r="F359" t="s">
        <v>529</v>
      </c>
      <c r="G359">
        <v>110.3</v>
      </c>
      <c r="H359">
        <v>110.3</v>
      </c>
      <c r="I359" t="s">
        <v>351</v>
      </c>
      <c r="J359" t="s">
        <v>351</v>
      </c>
      <c r="L359" s="61">
        <v>1743000</v>
      </c>
      <c r="N359" s="61">
        <v>1743000</v>
      </c>
      <c r="O359" t="s">
        <v>352</v>
      </c>
      <c r="Q359" t="s">
        <v>352</v>
      </c>
      <c r="R359" t="s">
        <v>353</v>
      </c>
      <c r="S359">
        <v>15803</v>
      </c>
      <c r="T359" t="s">
        <v>354</v>
      </c>
      <c r="U359" t="s">
        <v>355</v>
      </c>
      <c r="V359" t="s">
        <v>394</v>
      </c>
      <c r="W359" t="s">
        <v>395</v>
      </c>
      <c r="X359">
        <v>2097393</v>
      </c>
      <c r="Y359" s="2">
        <v>45324</v>
      </c>
      <c r="Z359" t="s">
        <v>352</v>
      </c>
      <c r="AA359">
        <v>1</v>
      </c>
      <c r="AB359" t="s">
        <v>352</v>
      </c>
      <c r="AD359" t="s">
        <v>352</v>
      </c>
      <c r="AE359" t="s">
        <v>352</v>
      </c>
      <c r="AF359" t="s">
        <v>352</v>
      </c>
      <c r="AG359">
        <v>1</v>
      </c>
      <c r="AH359" t="s">
        <v>352</v>
      </c>
      <c r="AI359">
        <v>55377471</v>
      </c>
      <c r="AJ359" t="s">
        <v>529</v>
      </c>
      <c r="AL359" s="2">
        <v>45310</v>
      </c>
      <c r="AM359" s="2">
        <v>45310</v>
      </c>
      <c r="AN359" t="s">
        <v>530</v>
      </c>
      <c r="AO359" t="s">
        <v>359</v>
      </c>
      <c r="AP359">
        <v>1201</v>
      </c>
      <c r="AQ359" t="s">
        <v>360</v>
      </c>
      <c r="AR359" t="s">
        <v>571</v>
      </c>
      <c r="AU359" t="s">
        <v>352</v>
      </c>
      <c r="AV359" t="s">
        <v>362</v>
      </c>
      <c r="AX359">
        <v>24001152</v>
      </c>
      <c r="AY359">
        <v>801140</v>
      </c>
      <c r="AZ359">
        <v>1201.80114</v>
      </c>
      <c r="BA359" s="54" t="s">
        <v>337</v>
      </c>
    </row>
    <row r="360" spans="1:53">
      <c r="A360" t="s">
        <v>391</v>
      </c>
      <c r="B360" t="s">
        <v>392</v>
      </c>
      <c r="C360">
        <v>24001374</v>
      </c>
      <c r="D360">
        <v>1201</v>
      </c>
      <c r="E360" s="2">
        <v>45324</v>
      </c>
      <c r="F360" t="s">
        <v>529</v>
      </c>
      <c r="G360" s="61">
        <v>1089.67</v>
      </c>
      <c r="H360" s="61">
        <v>1089.67</v>
      </c>
      <c r="I360" t="s">
        <v>351</v>
      </c>
      <c r="J360" t="s">
        <v>351</v>
      </c>
      <c r="L360" s="61">
        <v>17220000</v>
      </c>
      <c r="N360" s="61">
        <v>17220000</v>
      </c>
      <c r="O360" t="s">
        <v>352</v>
      </c>
      <c r="Q360" t="s">
        <v>352</v>
      </c>
      <c r="R360" t="s">
        <v>353</v>
      </c>
      <c r="S360">
        <v>15803</v>
      </c>
      <c r="T360" t="s">
        <v>354</v>
      </c>
      <c r="U360" t="s">
        <v>355</v>
      </c>
      <c r="V360" t="s">
        <v>394</v>
      </c>
      <c r="W360" t="s">
        <v>395</v>
      </c>
      <c r="X360">
        <v>2097397</v>
      </c>
      <c r="Y360" s="2">
        <v>45324</v>
      </c>
      <c r="Z360" t="s">
        <v>352</v>
      </c>
      <c r="AA360">
        <v>1</v>
      </c>
      <c r="AB360" t="s">
        <v>352</v>
      </c>
      <c r="AD360" t="s">
        <v>352</v>
      </c>
      <c r="AE360" t="s">
        <v>352</v>
      </c>
      <c r="AF360" t="s">
        <v>352</v>
      </c>
      <c r="AG360">
        <v>1</v>
      </c>
      <c r="AH360" t="s">
        <v>352</v>
      </c>
      <c r="AI360">
        <v>55377471</v>
      </c>
      <c r="AJ360" t="s">
        <v>529</v>
      </c>
      <c r="AL360" t="s">
        <v>572</v>
      </c>
      <c r="AM360" s="2">
        <v>45322</v>
      </c>
      <c r="AN360" t="s">
        <v>530</v>
      </c>
      <c r="AO360" t="s">
        <v>359</v>
      </c>
      <c r="AP360">
        <v>1201</v>
      </c>
      <c r="AQ360" t="s">
        <v>360</v>
      </c>
      <c r="AR360" t="s">
        <v>573</v>
      </c>
      <c r="AU360" t="s">
        <v>352</v>
      </c>
      <c r="AV360" t="s">
        <v>362</v>
      </c>
      <c r="AX360">
        <v>24001170</v>
      </c>
      <c r="AY360">
        <v>801140</v>
      </c>
      <c r="AZ360">
        <v>1201.80114</v>
      </c>
      <c r="BA360" s="54" t="s">
        <v>337</v>
      </c>
    </row>
    <row r="361" spans="1:53">
      <c r="A361" t="s">
        <v>391</v>
      </c>
      <c r="B361" t="s">
        <v>392</v>
      </c>
      <c r="C361">
        <v>24001369</v>
      </c>
      <c r="D361">
        <v>1201</v>
      </c>
      <c r="E361" s="2">
        <v>45324</v>
      </c>
      <c r="F361" t="s">
        <v>574</v>
      </c>
      <c r="G361">
        <v>184.66</v>
      </c>
      <c r="H361">
        <v>184.66</v>
      </c>
      <c r="I361" t="s">
        <v>351</v>
      </c>
      <c r="J361" t="s">
        <v>351</v>
      </c>
      <c r="L361" s="61">
        <v>2918232</v>
      </c>
      <c r="N361" s="61">
        <v>2918232</v>
      </c>
      <c r="O361" t="s">
        <v>352</v>
      </c>
      <c r="Q361" t="s">
        <v>352</v>
      </c>
      <c r="R361" t="s">
        <v>353</v>
      </c>
      <c r="S361">
        <v>15803</v>
      </c>
      <c r="T361" t="s">
        <v>354</v>
      </c>
      <c r="U361" t="s">
        <v>355</v>
      </c>
      <c r="V361" t="s">
        <v>394</v>
      </c>
      <c r="W361" t="s">
        <v>395</v>
      </c>
      <c r="X361">
        <v>2097376</v>
      </c>
      <c r="Y361" s="2">
        <v>45324</v>
      </c>
      <c r="Z361" t="s">
        <v>352</v>
      </c>
      <c r="AA361">
        <v>1</v>
      </c>
      <c r="AB361" t="s">
        <v>352</v>
      </c>
      <c r="AD361" t="s">
        <v>352</v>
      </c>
      <c r="AE361" t="s">
        <v>352</v>
      </c>
      <c r="AF361" t="s">
        <v>352</v>
      </c>
      <c r="AG361">
        <v>1</v>
      </c>
      <c r="AH361" t="s">
        <v>352</v>
      </c>
      <c r="AI361">
        <v>56807057</v>
      </c>
      <c r="AJ361" t="s">
        <v>574</v>
      </c>
      <c r="AL361" s="2">
        <v>45317</v>
      </c>
      <c r="AM361" s="2">
        <v>45317</v>
      </c>
      <c r="AN361" t="s">
        <v>530</v>
      </c>
      <c r="AO361" t="s">
        <v>359</v>
      </c>
      <c r="AP361">
        <v>1201</v>
      </c>
      <c r="AQ361" t="s">
        <v>360</v>
      </c>
      <c r="AR361" t="s">
        <v>575</v>
      </c>
      <c r="AU361" t="s">
        <v>352</v>
      </c>
      <c r="AV361" t="s">
        <v>362</v>
      </c>
      <c r="AX361">
        <v>24001150</v>
      </c>
      <c r="AY361">
        <v>808100</v>
      </c>
      <c r="AZ361">
        <v>1201.8081</v>
      </c>
      <c r="BA361" s="54" t="s">
        <v>82</v>
      </c>
    </row>
    <row r="362" spans="1:53">
      <c r="A362" t="s">
        <v>391</v>
      </c>
      <c r="B362" t="s">
        <v>392</v>
      </c>
      <c r="C362">
        <v>24001926</v>
      </c>
      <c r="D362">
        <v>1204</v>
      </c>
      <c r="E362" s="2">
        <v>45324</v>
      </c>
      <c r="F362" t="s">
        <v>576</v>
      </c>
      <c r="G362">
        <v>336.64</v>
      </c>
      <c r="H362">
        <v>336.64</v>
      </c>
      <c r="I362" t="s">
        <v>351</v>
      </c>
      <c r="J362" t="s">
        <v>351</v>
      </c>
      <c r="L362" s="61">
        <v>5320000</v>
      </c>
      <c r="N362" s="61">
        <v>5320000</v>
      </c>
      <c r="O362" t="s">
        <v>352</v>
      </c>
      <c r="Q362" t="s">
        <v>352</v>
      </c>
      <c r="R362" t="s">
        <v>353</v>
      </c>
      <c r="S362">
        <v>15803</v>
      </c>
      <c r="T362" t="s">
        <v>354</v>
      </c>
      <c r="U362" t="s">
        <v>355</v>
      </c>
      <c r="V362" t="s">
        <v>394</v>
      </c>
      <c r="W362" t="s">
        <v>395</v>
      </c>
      <c r="X362">
        <v>2097375</v>
      </c>
      <c r="Y362" s="2">
        <v>45324</v>
      </c>
      <c r="Z362" t="s">
        <v>352</v>
      </c>
      <c r="AA362">
        <v>1</v>
      </c>
      <c r="AB362" t="s">
        <v>352</v>
      </c>
      <c r="AD362" t="s">
        <v>352</v>
      </c>
      <c r="AE362" t="s">
        <v>352</v>
      </c>
      <c r="AF362" t="s">
        <v>352</v>
      </c>
      <c r="AG362">
        <v>1</v>
      </c>
      <c r="AH362" t="s">
        <v>352</v>
      </c>
      <c r="AI362">
        <v>57064734</v>
      </c>
      <c r="AJ362" t="s">
        <v>576</v>
      </c>
      <c r="AL362" t="s">
        <v>577</v>
      </c>
      <c r="AM362" s="2">
        <v>45320</v>
      </c>
      <c r="AN362" t="s">
        <v>530</v>
      </c>
      <c r="AO362" t="s">
        <v>359</v>
      </c>
      <c r="AP362">
        <v>1204</v>
      </c>
      <c r="AQ362" t="s">
        <v>360</v>
      </c>
      <c r="AR362" t="s">
        <v>578</v>
      </c>
      <c r="AU362" t="s">
        <v>352</v>
      </c>
      <c r="AV362" t="s">
        <v>362</v>
      </c>
      <c r="AX362">
        <v>24001084</v>
      </c>
      <c r="AY362">
        <v>808100</v>
      </c>
      <c r="AZ362">
        <v>1204.8081</v>
      </c>
      <c r="BA362" s="54" t="s">
        <v>201</v>
      </c>
    </row>
    <row r="363" spans="1:53">
      <c r="A363" t="s">
        <v>348</v>
      </c>
      <c r="B363" t="s">
        <v>349</v>
      </c>
      <c r="C363">
        <v>24001371</v>
      </c>
      <c r="D363">
        <v>1201</v>
      </c>
      <c r="E363" s="2">
        <v>45327</v>
      </c>
      <c r="F363" t="s">
        <v>611</v>
      </c>
      <c r="G363">
        <v>854.27</v>
      </c>
      <c r="H363">
        <v>854.27</v>
      </c>
      <c r="I363" t="s">
        <v>352</v>
      </c>
      <c r="J363" t="s">
        <v>352</v>
      </c>
      <c r="L363" s="61">
        <v>13500000</v>
      </c>
      <c r="N363" s="61">
        <v>13500000</v>
      </c>
      <c r="O363" t="s">
        <v>352</v>
      </c>
      <c r="Q363" t="s">
        <v>352</v>
      </c>
      <c r="R363" t="s">
        <v>353</v>
      </c>
      <c r="S363">
        <v>15803</v>
      </c>
      <c r="T363" t="s">
        <v>354</v>
      </c>
      <c r="U363" t="s">
        <v>355</v>
      </c>
      <c r="V363" t="s">
        <v>356</v>
      </c>
      <c r="W363" t="s">
        <v>357</v>
      </c>
      <c r="X363">
        <v>2098181</v>
      </c>
      <c r="Y363" s="2">
        <v>45327</v>
      </c>
      <c r="Z363" t="s">
        <v>352</v>
      </c>
      <c r="AA363">
        <v>1</v>
      </c>
      <c r="AB363" t="s">
        <v>352</v>
      </c>
      <c r="AD363" t="s">
        <v>352</v>
      </c>
      <c r="AE363" t="s">
        <v>352</v>
      </c>
      <c r="AF363" t="s">
        <v>352</v>
      </c>
      <c r="AG363">
        <v>3</v>
      </c>
      <c r="AH363" t="s">
        <v>352</v>
      </c>
      <c r="AI363">
        <v>56146033</v>
      </c>
      <c r="AJ363" t="s">
        <v>611</v>
      </c>
      <c r="AL363" t="s">
        <v>352</v>
      </c>
      <c r="AM363" s="2">
        <v>45327</v>
      </c>
      <c r="AN363" t="s">
        <v>612</v>
      </c>
      <c r="AO363" t="s">
        <v>612</v>
      </c>
      <c r="AP363">
        <v>1201</v>
      </c>
      <c r="AQ363" t="s">
        <v>360</v>
      </c>
      <c r="AR363" t="s">
        <v>613</v>
      </c>
      <c r="AU363" t="s">
        <v>352</v>
      </c>
      <c r="AV363" t="s">
        <v>362</v>
      </c>
      <c r="AX363">
        <v>22003583</v>
      </c>
      <c r="AY363">
        <v>810110</v>
      </c>
      <c r="AZ363">
        <v>1201.8101099999999</v>
      </c>
      <c r="BA363" s="54" t="s">
        <v>88</v>
      </c>
    </row>
    <row r="364" spans="1:53">
      <c r="A364" t="s">
        <v>391</v>
      </c>
      <c r="B364" t="s">
        <v>392</v>
      </c>
      <c r="C364">
        <v>24001925</v>
      </c>
      <c r="D364">
        <v>1204</v>
      </c>
      <c r="E364" s="2">
        <v>45324</v>
      </c>
      <c r="F364" t="s">
        <v>579</v>
      </c>
      <c r="G364">
        <v>60.12</v>
      </c>
      <c r="H364">
        <v>60.12</v>
      </c>
      <c r="I364" t="s">
        <v>351</v>
      </c>
      <c r="J364" t="s">
        <v>351</v>
      </c>
      <c r="L364" s="61">
        <v>950000</v>
      </c>
      <c r="N364" s="61">
        <v>950000</v>
      </c>
      <c r="O364" t="s">
        <v>352</v>
      </c>
      <c r="Q364" t="s">
        <v>352</v>
      </c>
      <c r="R364" t="s">
        <v>353</v>
      </c>
      <c r="S364">
        <v>15803</v>
      </c>
      <c r="T364" t="s">
        <v>354</v>
      </c>
      <c r="U364" t="s">
        <v>355</v>
      </c>
      <c r="V364" t="s">
        <v>394</v>
      </c>
      <c r="W364" t="s">
        <v>395</v>
      </c>
      <c r="X364">
        <v>2097369</v>
      </c>
      <c r="Y364" s="2">
        <v>45324</v>
      </c>
      <c r="Z364" t="s">
        <v>352</v>
      </c>
      <c r="AA364">
        <v>1</v>
      </c>
      <c r="AB364" t="s">
        <v>352</v>
      </c>
      <c r="AD364" t="s">
        <v>352</v>
      </c>
      <c r="AE364" t="s">
        <v>352</v>
      </c>
      <c r="AF364" t="s">
        <v>352</v>
      </c>
      <c r="AG364">
        <v>1</v>
      </c>
      <c r="AH364" t="s">
        <v>352</v>
      </c>
      <c r="AI364">
        <v>57414108</v>
      </c>
      <c r="AJ364" t="s">
        <v>579</v>
      </c>
      <c r="AL364" s="2">
        <v>45316</v>
      </c>
      <c r="AM364" s="2">
        <v>45316</v>
      </c>
      <c r="AN364" t="s">
        <v>530</v>
      </c>
      <c r="AO364" t="s">
        <v>359</v>
      </c>
      <c r="AP364">
        <v>1204</v>
      </c>
      <c r="AQ364" t="s">
        <v>360</v>
      </c>
      <c r="AR364" t="s">
        <v>580</v>
      </c>
      <c r="AU364" t="s">
        <v>352</v>
      </c>
      <c r="AV364" t="s">
        <v>362</v>
      </c>
      <c r="AX364">
        <v>24001081</v>
      </c>
      <c r="AY364">
        <v>810110</v>
      </c>
      <c r="AZ364">
        <v>1204.8101099999999</v>
      </c>
      <c r="BA364" s="54" t="s">
        <v>207</v>
      </c>
    </row>
    <row r="365" spans="1:53">
      <c r="A365" t="s">
        <v>391</v>
      </c>
      <c r="B365" t="s">
        <v>392</v>
      </c>
      <c r="C365">
        <v>24001158</v>
      </c>
      <c r="D365">
        <v>1205</v>
      </c>
      <c r="E365" s="2">
        <v>45324</v>
      </c>
      <c r="F365" t="s">
        <v>579</v>
      </c>
      <c r="G365">
        <v>50.62</v>
      </c>
      <c r="H365">
        <v>50.62</v>
      </c>
      <c r="I365" t="s">
        <v>351</v>
      </c>
      <c r="J365" t="s">
        <v>351</v>
      </c>
      <c r="L365" s="61">
        <v>800000</v>
      </c>
      <c r="N365" s="61">
        <v>800000</v>
      </c>
      <c r="O365" t="s">
        <v>352</v>
      </c>
      <c r="Q365" t="s">
        <v>352</v>
      </c>
      <c r="R365" t="s">
        <v>353</v>
      </c>
      <c r="S365">
        <v>15803</v>
      </c>
      <c r="T365" t="s">
        <v>354</v>
      </c>
      <c r="U365" t="s">
        <v>355</v>
      </c>
      <c r="V365" t="s">
        <v>394</v>
      </c>
      <c r="W365" t="s">
        <v>395</v>
      </c>
      <c r="X365">
        <v>2097371</v>
      </c>
      <c r="Y365" s="2">
        <v>45324</v>
      </c>
      <c r="Z365" t="s">
        <v>352</v>
      </c>
      <c r="AA365">
        <v>1</v>
      </c>
      <c r="AB365" t="s">
        <v>352</v>
      </c>
      <c r="AD365" t="s">
        <v>352</v>
      </c>
      <c r="AE365" t="s">
        <v>352</v>
      </c>
      <c r="AF365" t="s">
        <v>352</v>
      </c>
      <c r="AG365">
        <v>1</v>
      </c>
      <c r="AH365" t="s">
        <v>352</v>
      </c>
      <c r="AI365">
        <v>57414108</v>
      </c>
      <c r="AJ365" t="s">
        <v>579</v>
      </c>
      <c r="AL365" s="2">
        <v>45316</v>
      </c>
      <c r="AM365" s="2">
        <v>45316</v>
      </c>
      <c r="AN365" t="s">
        <v>530</v>
      </c>
      <c r="AO365" t="s">
        <v>359</v>
      </c>
      <c r="AP365">
        <v>1205</v>
      </c>
      <c r="AQ365" t="s">
        <v>360</v>
      </c>
      <c r="AR365" t="s">
        <v>581</v>
      </c>
      <c r="AU365" t="s">
        <v>352</v>
      </c>
      <c r="AV365" t="s">
        <v>362</v>
      </c>
      <c r="AX365">
        <v>24001064</v>
      </c>
      <c r="AY365">
        <v>810110</v>
      </c>
      <c r="AZ365">
        <v>1205.8101099999999</v>
      </c>
      <c r="BA365" s="54" t="s">
        <v>208</v>
      </c>
    </row>
    <row r="366" spans="1:53">
      <c r="A366" t="s">
        <v>391</v>
      </c>
      <c r="B366" t="s">
        <v>392</v>
      </c>
      <c r="C366">
        <v>24001367</v>
      </c>
      <c r="D366">
        <v>1201</v>
      </c>
      <c r="E366" s="2">
        <v>45324</v>
      </c>
      <c r="F366" t="s">
        <v>582</v>
      </c>
      <c r="G366">
        <v>161.36000000000001</v>
      </c>
      <c r="H366">
        <v>161.36000000000001</v>
      </c>
      <c r="I366" t="s">
        <v>351</v>
      </c>
      <c r="J366" t="s">
        <v>351</v>
      </c>
      <c r="L366" s="61">
        <v>2550000</v>
      </c>
      <c r="N366" s="61">
        <v>2550000</v>
      </c>
      <c r="O366" t="s">
        <v>352</v>
      </c>
      <c r="Q366" t="s">
        <v>352</v>
      </c>
      <c r="R366" t="s">
        <v>353</v>
      </c>
      <c r="S366">
        <v>15803</v>
      </c>
      <c r="T366" t="s">
        <v>354</v>
      </c>
      <c r="U366" t="s">
        <v>355</v>
      </c>
      <c r="V366" t="s">
        <v>394</v>
      </c>
      <c r="W366" t="s">
        <v>395</v>
      </c>
      <c r="X366">
        <v>2097373</v>
      </c>
      <c r="Y366" s="2">
        <v>45324</v>
      </c>
      <c r="Z366" t="s">
        <v>352</v>
      </c>
      <c r="AA366">
        <v>1</v>
      </c>
      <c r="AB366" t="s">
        <v>352</v>
      </c>
      <c r="AD366" t="s">
        <v>352</v>
      </c>
      <c r="AE366" t="s">
        <v>352</v>
      </c>
      <c r="AF366" t="s">
        <v>352</v>
      </c>
      <c r="AG366">
        <v>1</v>
      </c>
      <c r="AH366" t="s">
        <v>352</v>
      </c>
      <c r="AI366">
        <v>57339689</v>
      </c>
      <c r="AJ366" t="s">
        <v>582</v>
      </c>
      <c r="AL366" t="s">
        <v>583</v>
      </c>
      <c r="AM366" s="2">
        <v>45317</v>
      </c>
      <c r="AN366" t="s">
        <v>530</v>
      </c>
      <c r="AO366" t="s">
        <v>359</v>
      </c>
      <c r="AP366">
        <v>1201</v>
      </c>
      <c r="AQ366" t="s">
        <v>360</v>
      </c>
      <c r="AR366" t="s">
        <v>584</v>
      </c>
      <c r="AU366" t="s">
        <v>352</v>
      </c>
      <c r="AV366" t="s">
        <v>362</v>
      </c>
      <c r="AX366">
        <v>24001166</v>
      </c>
      <c r="AY366">
        <v>812100</v>
      </c>
      <c r="AZ366">
        <v>1201.8121000000001</v>
      </c>
      <c r="BA366" s="54" t="s">
        <v>91</v>
      </c>
    </row>
    <row r="367" spans="1:53">
      <c r="A367" t="s">
        <v>391</v>
      </c>
      <c r="B367" t="s">
        <v>392</v>
      </c>
      <c r="C367">
        <v>24001371</v>
      </c>
      <c r="D367">
        <v>1201</v>
      </c>
      <c r="E367" s="2">
        <v>45324</v>
      </c>
      <c r="F367" t="s">
        <v>585</v>
      </c>
      <c r="G367" s="61">
        <v>1176.99</v>
      </c>
      <c r="H367" s="61">
        <v>1176.99</v>
      </c>
      <c r="I367" t="s">
        <v>351</v>
      </c>
      <c r="J367" t="s">
        <v>351</v>
      </c>
      <c r="L367" s="61">
        <v>18600000</v>
      </c>
      <c r="N367" s="61">
        <v>18600000</v>
      </c>
      <c r="O367" t="s">
        <v>352</v>
      </c>
      <c r="Q367" t="s">
        <v>352</v>
      </c>
      <c r="R367" t="s">
        <v>353</v>
      </c>
      <c r="S367">
        <v>15803</v>
      </c>
      <c r="T367" t="s">
        <v>354</v>
      </c>
      <c r="U367" t="s">
        <v>355</v>
      </c>
      <c r="V367" t="s">
        <v>394</v>
      </c>
      <c r="W367" t="s">
        <v>395</v>
      </c>
      <c r="X367">
        <v>2097383</v>
      </c>
      <c r="Y367" s="2">
        <v>45324</v>
      </c>
      <c r="Z367" t="s">
        <v>352</v>
      </c>
      <c r="AA367">
        <v>1</v>
      </c>
      <c r="AB367" t="s">
        <v>352</v>
      </c>
      <c r="AD367" t="s">
        <v>352</v>
      </c>
      <c r="AE367" t="s">
        <v>352</v>
      </c>
      <c r="AF367" t="s">
        <v>352</v>
      </c>
      <c r="AG367">
        <v>1</v>
      </c>
      <c r="AH367" t="s">
        <v>352</v>
      </c>
      <c r="AI367">
        <v>57369600</v>
      </c>
      <c r="AJ367" t="s">
        <v>585</v>
      </c>
      <c r="AL367" t="s">
        <v>586</v>
      </c>
      <c r="AM367" s="2">
        <v>45313</v>
      </c>
      <c r="AN367" t="s">
        <v>530</v>
      </c>
      <c r="AO367" t="s">
        <v>359</v>
      </c>
      <c r="AP367">
        <v>1201</v>
      </c>
      <c r="AQ367" t="s">
        <v>360</v>
      </c>
      <c r="AR367" t="s">
        <v>587</v>
      </c>
      <c r="AU367" t="s">
        <v>352</v>
      </c>
      <c r="AV367" t="s">
        <v>362</v>
      </c>
      <c r="AX367">
        <v>24001140</v>
      </c>
      <c r="AY367">
        <v>812100</v>
      </c>
      <c r="AZ367">
        <v>1201.8121000000001</v>
      </c>
      <c r="BA367" s="54" t="s">
        <v>91</v>
      </c>
    </row>
    <row r="368" spans="1:53">
      <c r="A368" t="s">
        <v>348</v>
      </c>
      <c r="B368" t="s">
        <v>349</v>
      </c>
      <c r="C368">
        <v>24001695</v>
      </c>
      <c r="D368">
        <v>1204</v>
      </c>
      <c r="E368" s="2">
        <v>45323</v>
      </c>
      <c r="F368" t="s">
        <v>458</v>
      </c>
      <c r="G368">
        <v>72.12</v>
      </c>
      <c r="H368">
        <v>72.12</v>
      </c>
      <c r="I368" t="s">
        <v>351</v>
      </c>
      <c r="J368" t="s">
        <v>351</v>
      </c>
      <c r="L368" s="61">
        <v>1113500</v>
      </c>
      <c r="N368" s="61">
        <v>1113500</v>
      </c>
      <c r="O368" t="s">
        <v>352</v>
      </c>
      <c r="Q368" t="s">
        <v>352</v>
      </c>
      <c r="R368" t="s">
        <v>353</v>
      </c>
      <c r="S368">
        <v>15439</v>
      </c>
      <c r="T368" t="s">
        <v>354</v>
      </c>
      <c r="U368" t="s">
        <v>355</v>
      </c>
      <c r="V368" t="s">
        <v>356</v>
      </c>
      <c r="W368" t="s">
        <v>357</v>
      </c>
      <c r="X368">
        <v>2097099</v>
      </c>
      <c r="Y368" s="2">
        <v>45323</v>
      </c>
      <c r="Z368" t="s">
        <v>352</v>
      </c>
      <c r="AA368">
        <v>1</v>
      </c>
      <c r="AB368" t="s">
        <v>352</v>
      </c>
      <c r="AD368" t="s">
        <v>352</v>
      </c>
      <c r="AE368" t="s">
        <v>352</v>
      </c>
      <c r="AF368" t="s">
        <v>352</v>
      </c>
      <c r="AG368">
        <v>10</v>
      </c>
      <c r="AH368" t="s">
        <v>352</v>
      </c>
      <c r="AI368">
        <v>57414183</v>
      </c>
      <c r="AJ368" t="s">
        <v>458</v>
      </c>
      <c r="AL368" t="s">
        <v>352</v>
      </c>
      <c r="AM368" s="2">
        <v>45323</v>
      </c>
      <c r="AN368" t="s">
        <v>459</v>
      </c>
      <c r="AO368" t="s">
        <v>359</v>
      </c>
      <c r="AP368">
        <v>1204</v>
      </c>
      <c r="AQ368" t="s">
        <v>360</v>
      </c>
      <c r="AR368" t="s">
        <v>460</v>
      </c>
      <c r="AU368" t="s">
        <v>352</v>
      </c>
      <c r="AV368" t="s">
        <v>362</v>
      </c>
      <c r="AX368">
        <v>23002197</v>
      </c>
      <c r="AY368">
        <v>816130</v>
      </c>
      <c r="AZ368">
        <v>1204.8161299999999</v>
      </c>
      <c r="BA368" s="54" t="s">
        <v>240</v>
      </c>
    </row>
    <row r="369" spans="1:53">
      <c r="A369" t="s">
        <v>348</v>
      </c>
      <c r="B369" t="s">
        <v>349</v>
      </c>
      <c r="C369">
        <v>24001696</v>
      </c>
      <c r="D369">
        <v>1204</v>
      </c>
      <c r="E369" s="2">
        <v>45323</v>
      </c>
      <c r="F369" t="s">
        <v>461</v>
      </c>
      <c r="G369">
        <v>4.99</v>
      </c>
      <c r="H369">
        <v>4.99</v>
      </c>
      <c r="I369" t="s">
        <v>351</v>
      </c>
      <c r="J369" t="s">
        <v>351</v>
      </c>
      <c r="L369" s="61">
        <v>77000</v>
      </c>
      <c r="N369" s="61">
        <v>77000</v>
      </c>
      <c r="O369" t="s">
        <v>352</v>
      </c>
      <c r="Q369" t="s">
        <v>352</v>
      </c>
      <c r="R369" t="s">
        <v>353</v>
      </c>
      <c r="S369">
        <v>15439</v>
      </c>
      <c r="T369" t="s">
        <v>354</v>
      </c>
      <c r="U369" t="s">
        <v>355</v>
      </c>
      <c r="V369" t="s">
        <v>356</v>
      </c>
      <c r="W369" t="s">
        <v>357</v>
      </c>
      <c r="X369">
        <v>2097099</v>
      </c>
      <c r="Y369" s="2">
        <v>45323</v>
      </c>
      <c r="Z369" t="s">
        <v>352</v>
      </c>
      <c r="AA369">
        <v>1</v>
      </c>
      <c r="AB369" t="s">
        <v>352</v>
      </c>
      <c r="AD369" t="s">
        <v>352</v>
      </c>
      <c r="AE369" t="s">
        <v>352</v>
      </c>
      <c r="AF369" t="s">
        <v>352</v>
      </c>
      <c r="AG369">
        <v>6</v>
      </c>
      <c r="AH369" t="s">
        <v>352</v>
      </c>
      <c r="AI369">
        <v>56165162</v>
      </c>
      <c r="AJ369" t="s">
        <v>461</v>
      </c>
      <c r="AL369" t="s">
        <v>352</v>
      </c>
      <c r="AM369" s="2">
        <v>45323</v>
      </c>
      <c r="AN369" t="s">
        <v>459</v>
      </c>
      <c r="AO369" t="s">
        <v>359</v>
      </c>
      <c r="AP369">
        <v>1204</v>
      </c>
      <c r="AQ369" t="s">
        <v>360</v>
      </c>
      <c r="AR369" t="s">
        <v>462</v>
      </c>
      <c r="AU369" t="s">
        <v>352</v>
      </c>
      <c r="AV369" t="s">
        <v>362</v>
      </c>
      <c r="AX369">
        <v>24001062</v>
      </c>
      <c r="AY369">
        <v>816130</v>
      </c>
      <c r="AZ369">
        <v>1204.8161299999999</v>
      </c>
      <c r="BA369" s="54" t="s">
        <v>240</v>
      </c>
    </row>
    <row r="370" spans="1:53">
      <c r="A370" t="s">
        <v>348</v>
      </c>
      <c r="B370" t="s">
        <v>349</v>
      </c>
      <c r="C370">
        <v>24001697</v>
      </c>
      <c r="D370">
        <v>1204</v>
      </c>
      <c r="E370" s="2">
        <v>45323</v>
      </c>
      <c r="F370" t="s">
        <v>463</v>
      </c>
      <c r="G370">
        <v>21.99</v>
      </c>
      <c r="H370">
        <v>21.99</v>
      </c>
      <c r="I370" t="s">
        <v>351</v>
      </c>
      <c r="J370" t="s">
        <v>351</v>
      </c>
      <c r="L370" s="61">
        <v>339300</v>
      </c>
      <c r="N370" s="61">
        <v>339300</v>
      </c>
      <c r="O370" t="s">
        <v>352</v>
      </c>
      <c r="Q370" t="s">
        <v>352</v>
      </c>
      <c r="R370" t="s">
        <v>353</v>
      </c>
      <c r="S370">
        <v>15439</v>
      </c>
      <c r="T370" t="s">
        <v>354</v>
      </c>
      <c r="U370" t="s">
        <v>355</v>
      </c>
      <c r="V370" t="s">
        <v>356</v>
      </c>
      <c r="W370" t="s">
        <v>357</v>
      </c>
      <c r="X370">
        <v>2097099</v>
      </c>
      <c r="Y370" s="2">
        <v>45323</v>
      </c>
      <c r="Z370" t="s">
        <v>352</v>
      </c>
      <c r="AA370">
        <v>1</v>
      </c>
      <c r="AB370" t="s">
        <v>352</v>
      </c>
      <c r="AD370" t="s">
        <v>352</v>
      </c>
      <c r="AE370" t="s">
        <v>352</v>
      </c>
      <c r="AF370" t="s">
        <v>352</v>
      </c>
      <c r="AG370">
        <v>4</v>
      </c>
      <c r="AH370" t="s">
        <v>352</v>
      </c>
      <c r="AI370">
        <v>57163396</v>
      </c>
      <c r="AJ370" t="s">
        <v>463</v>
      </c>
      <c r="AL370" t="s">
        <v>352</v>
      </c>
      <c r="AM370" s="2">
        <v>45323</v>
      </c>
      <c r="AN370" t="s">
        <v>459</v>
      </c>
      <c r="AO370" t="s">
        <v>359</v>
      </c>
      <c r="AP370">
        <v>1204</v>
      </c>
      <c r="AQ370" t="s">
        <v>360</v>
      </c>
      <c r="AR370" t="s">
        <v>464</v>
      </c>
      <c r="AU370" t="s">
        <v>352</v>
      </c>
      <c r="AV370" t="s">
        <v>362</v>
      </c>
      <c r="AX370">
        <v>24001032</v>
      </c>
      <c r="AY370">
        <v>816130</v>
      </c>
      <c r="AZ370">
        <v>1204.8161299999999</v>
      </c>
      <c r="BA370" s="54" t="s">
        <v>240</v>
      </c>
    </row>
    <row r="371" spans="1:53">
      <c r="A371" t="s">
        <v>348</v>
      </c>
      <c r="B371" t="s">
        <v>349</v>
      </c>
      <c r="C371">
        <v>24001698</v>
      </c>
      <c r="D371">
        <v>1204</v>
      </c>
      <c r="E371" s="2">
        <v>45323</v>
      </c>
      <c r="F371" t="s">
        <v>461</v>
      </c>
      <c r="G371">
        <v>25.12</v>
      </c>
      <c r="H371">
        <v>25.12</v>
      </c>
      <c r="I371" t="s">
        <v>351</v>
      </c>
      <c r="J371" t="s">
        <v>351</v>
      </c>
      <c r="L371" s="61">
        <v>387200</v>
      </c>
      <c r="N371" s="61">
        <v>387200</v>
      </c>
      <c r="O371" t="s">
        <v>352</v>
      </c>
      <c r="Q371" t="s">
        <v>352</v>
      </c>
      <c r="R371" t="s">
        <v>353</v>
      </c>
      <c r="S371">
        <v>15439</v>
      </c>
      <c r="T371" t="s">
        <v>354</v>
      </c>
      <c r="U371" t="s">
        <v>355</v>
      </c>
      <c r="V371" t="s">
        <v>356</v>
      </c>
      <c r="W371" t="s">
        <v>357</v>
      </c>
      <c r="X371">
        <v>2097099</v>
      </c>
      <c r="Y371" s="2">
        <v>45323</v>
      </c>
      <c r="Z371" t="s">
        <v>352</v>
      </c>
      <c r="AA371">
        <v>1</v>
      </c>
      <c r="AB371" t="s">
        <v>352</v>
      </c>
      <c r="AD371" t="s">
        <v>352</v>
      </c>
      <c r="AE371" t="s">
        <v>352</v>
      </c>
      <c r="AF371" t="s">
        <v>352</v>
      </c>
      <c r="AG371">
        <v>14</v>
      </c>
      <c r="AH371" t="s">
        <v>352</v>
      </c>
      <c r="AI371">
        <v>56165162</v>
      </c>
      <c r="AJ371" t="s">
        <v>461</v>
      </c>
      <c r="AL371" t="s">
        <v>352</v>
      </c>
      <c r="AM371" s="2">
        <v>45323</v>
      </c>
      <c r="AN371" t="s">
        <v>459</v>
      </c>
      <c r="AO371" t="s">
        <v>359</v>
      </c>
      <c r="AP371">
        <v>1204</v>
      </c>
      <c r="AQ371" t="s">
        <v>360</v>
      </c>
      <c r="AR371" t="s">
        <v>465</v>
      </c>
      <c r="AU371" t="s">
        <v>352</v>
      </c>
      <c r="AV371" t="s">
        <v>362</v>
      </c>
      <c r="AX371">
        <v>24001026</v>
      </c>
      <c r="AY371">
        <v>816130</v>
      </c>
      <c r="AZ371">
        <v>1204.8161299999999</v>
      </c>
      <c r="BA371" s="54" t="s">
        <v>240</v>
      </c>
    </row>
    <row r="372" spans="1:53">
      <c r="A372" t="s">
        <v>348</v>
      </c>
      <c r="B372" t="s">
        <v>349</v>
      </c>
      <c r="C372">
        <v>24001699</v>
      </c>
      <c r="D372">
        <v>1204</v>
      </c>
      <c r="E372" s="2">
        <v>45323</v>
      </c>
      <c r="F372" t="s">
        <v>461</v>
      </c>
      <c r="G372">
        <v>43.09</v>
      </c>
      <c r="H372">
        <v>43.09</v>
      </c>
      <c r="I372" t="s">
        <v>351</v>
      </c>
      <c r="J372" t="s">
        <v>351</v>
      </c>
      <c r="L372" s="61">
        <v>665500</v>
      </c>
      <c r="N372" s="61">
        <v>665500</v>
      </c>
      <c r="O372" t="s">
        <v>352</v>
      </c>
      <c r="Q372" t="s">
        <v>352</v>
      </c>
      <c r="R372" t="s">
        <v>353</v>
      </c>
      <c r="S372">
        <v>15439</v>
      </c>
      <c r="T372" t="s">
        <v>354</v>
      </c>
      <c r="U372" t="s">
        <v>355</v>
      </c>
      <c r="V372" t="s">
        <v>356</v>
      </c>
      <c r="W372" t="s">
        <v>357</v>
      </c>
      <c r="X372">
        <v>2097099</v>
      </c>
      <c r="Y372" s="2">
        <v>45323</v>
      </c>
      <c r="Z372" t="s">
        <v>352</v>
      </c>
      <c r="AA372">
        <v>1</v>
      </c>
      <c r="AB372" t="s">
        <v>352</v>
      </c>
      <c r="AD372" t="s">
        <v>352</v>
      </c>
      <c r="AE372" t="s">
        <v>352</v>
      </c>
      <c r="AF372" t="s">
        <v>352</v>
      </c>
      <c r="AG372">
        <v>22</v>
      </c>
      <c r="AH372" t="s">
        <v>352</v>
      </c>
      <c r="AI372">
        <v>56165162</v>
      </c>
      <c r="AJ372" t="s">
        <v>461</v>
      </c>
      <c r="AL372" t="s">
        <v>352</v>
      </c>
      <c r="AM372" s="2">
        <v>45323</v>
      </c>
      <c r="AN372" t="s">
        <v>459</v>
      </c>
      <c r="AO372" t="s">
        <v>359</v>
      </c>
      <c r="AP372">
        <v>1204</v>
      </c>
      <c r="AQ372" t="s">
        <v>360</v>
      </c>
      <c r="AR372" t="s">
        <v>466</v>
      </c>
      <c r="AU372" t="s">
        <v>352</v>
      </c>
      <c r="AV372" t="s">
        <v>362</v>
      </c>
      <c r="AX372">
        <v>24001047</v>
      </c>
      <c r="AY372">
        <v>816130</v>
      </c>
      <c r="AZ372">
        <v>1204.8161299999999</v>
      </c>
      <c r="BA372" s="54" t="s">
        <v>240</v>
      </c>
    </row>
    <row r="373" spans="1:53">
      <c r="A373" t="s">
        <v>391</v>
      </c>
      <c r="B373" t="s">
        <v>392</v>
      </c>
      <c r="C373">
        <v>24001928</v>
      </c>
      <c r="D373">
        <v>1204</v>
      </c>
      <c r="E373" s="2">
        <v>45324</v>
      </c>
      <c r="F373" t="s">
        <v>532</v>
      </c>
      <c r="G373">
        <v>0.89</v>
      </c>
      <c r="H373">
        <v>0.89</v>
      </c>
      <c r="I373" t="s">
        <v>351</v>
      </c>
      <c r="J373" t="s">
        <v>351</v>
      </c>
      <c r="L373" s="61">
        <v>13680</v>
      </c>
      <c r="N373" s="61">
        <v>13680</v>
      </c>
      <c r="O373" t="s">
        <v>352</v>
      </c>
      <c r="Q373" t="s">
        <v>352</v>
      </c>
      <c r="R373" t="s">
        <v>353</v>
      </c>
      <c r="S373">
        <v>15439</v>
      </c>
      <c r="T373" t="s">
        <v>354</v>
      </c>
      <c r="U373" t="s">
        <v>355</v>
      </c>
      <c r="V373" t="s">
        <v>394</v>
      </c>
      <c r="W373" t="s">
        <v>395</v>
      </c>
      <c r="X373">
        <v>2097388</v>
      </c>
      <c r="Y373" s="2">
        <v>45324</v>
      </c>
      <c r="Z373" t="s">
        <v>352</v>
      </c>
      <c r="AA373">
        <v>1</v>
      </c>
      <c r="AB373" t="s">
        <v>352</v>
      </c>
      <c r="AD373" t="s">
        <v>352</v>
      </c>
      <c r="AE373" t="s">
        <v>352</v>
      </c>
      <c r="AF373" t="s">
        <v>352</v>
      </c>
      <c r="AH373" t="s">
        <v>352</v>
      </c>
      <c r="AI373">
        <v>57341543</v>
      </c>
      <c r="AJ373" t="s">
        <v>532</v>
      </c>
      <c r="AL373" t="s">
        <v>588</v>
      </c>
      <c r="AM373" s="2">
        <v>45320</v>
      </c>
      <c r="AN373" t="s">
        <v>530</v>
      </c>
      <c r="AO373" t="s">
        <v>359</v>
      </c>
      <c r="AP373">
        <v>1204</v>
      </c>
      <c r="AQ373" t="s">
        <v>360</v>
      </c>
      <c r="AR373" t="s">
        <v>589</v>
      </c>
      <c r="AU373" t="s">
        <v>352</v>
      </c>
      <c r="AV373" t="s">
        <v>362</v>
      </c>
      <c r="AX373" t="s">
        <v>352</v>
      </c>
      <c r="AY373">
        <v>920700</v>
      </c>
      <c r="AZ373">
        <v>1204.9206999999999</v>
      </c>
      <c r="BA373" s="54" t="s">
        <v>253</v>
      </c>
    </row>
    <row r="374" spans="1:53">
      <c r="A374" t="s">
        <v>391</v>
      </c>
      <c r="B374" t="s">
        <v>392</v>
      </c>
      <c r="C374">
        <v>24001930</v>
      </c>
      <c r="D374">
        <v>1204</v>
      </c>
      <c r="E374" s="2">
        <v>45324</v>
      </c>
      <c r="F374" t="s">
        <v>535</v>
      </c>
      <c r="G374">
        <v>0.72</v>
      </c>
      <c r="H374">
        <v>0.72</v>
      </c>
      <c r="I374" t="s">
        <v>351</v>
      </c>
      <c r="J374" t="s">
        <v>351</v>
      </c>
      <c r="L374" s="61">
        <v>11120</v>
      </c>
      <c r="N374" s="61">
        <v>11120</v>
      </c>
      <c r="O374" t="s">
        <v>352</v>
      </c>
      <c r="Q374" t="s">
        <v>352</v>
      </c>
      <c r="R374" t="s">
        <v>353</v>
      </c>
      <c r="S374">
        <v>15439</v>
      </c>
      <c r="T374" t="s">
        <v>354</v>
      </c>
      <c r="U374" t="s">
        <v>355</v>
      </c>
      <c r="V374" t="s">
        <v>394</v>
      </c>
      <c r="W374" t="s">
        <v>395</v>
      </c>
      <c r="X374">
        <v>2097391</v>
      </c>
      <c r="Y374" s="2">
        <v>45324</v>
      </c>
      <c r="Z374" t="s">
        <v>352</v>
      </c>
      <c r="AA374">
        <v>1</v>
      </c>
      <c r="AB374" t="s">
        <v>352</v>
      </c>
      <c r="AD374" t="s">
        <v>352</v>
      </c>
      <c r="AE374" t="s">
        <v>352</v>
      </c>
      <c r="AF374" t="s">
        <v>352</v>
      </c>
      <c r="AH374" t="s">
        <v>352</v>
      </c>
      <c r="AI374">
        <v>57341527</v>
      </c>
      <c r="AJ374" t="s">
        <v>535</v>
      </c>
      <c r="AL374" t="s">
        <v>588</v>
      </c>
      <c r="AM374" s="2">
        <v>45320</v>
      </c>
      <c r="AN374" t="s">
        <v>530</v>
      </c>
      <c r="AO374" t="s">
        <v>359</v>
      </c>
      <c r="AP374">
        <v>1204</v>
      </c>
      <c r="AQ374" t="s">
        <v>360</v>
      </c>
      <c r="AR374" t="s">
        <v>589</v>
      </c>
      <c r="AU374" t="s">
        <v>352</v>
      </c>
      <c r="AV374" t="s">
        <v>362</v>
      </c>
      <c r="AX374" t="s">
        <v>352</v>
      </c>
      <c r="AY374">
        <v>920700</v>
      </c>
      <c r="AZ374">
        <v>1204.9206999999999</v>
      </c>
      <c r="BA374" s="54" t="s">
        <v>253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A73E4-3D45-4236-961F-8AE7F5E6BCA3}">
  <dimension ref="A1:L210"/>
  <sheetViews>
    <sheetView workbookViewId="0">
      <selection sqref="A1:L1"/>
    </sheetView>
  </sheetViews>
  <sheetFormatPr defaultRowHeight="14.25"/>
  <cols>
    <col min="1" max="1" width="4.140625" style="64" bestFit="1" customWidth="1"/>
    <col min="2" max="2" width="13.5703125" style="64" bestFit="1" customWidth="1"/>
    <col min="3" max="3" width="32" style="64" bestFit="1" customWidth="1"/>
    <col min="4" max="4" width="14.42578125" style="64" bestFit="1" customWidth="1"/>
    <col min="5" max="5" width="9.85546875" style="64" bestFit="1" customWidth="1"/>
    <col min="6" max="6" width="8.7109375" style="64" bestFit="1" customWidth="1"/>
    <col min="7" max="8" width="8.28515625" style="64" bestFit="1" customWidth="1"/>
    <col min="9" max="9" width="8.7109375" style="64" bestFit="1" customWidth="1"/>
    <col min="10" max="11" width="9.85546875" style="64" bestFit="1" customWidth="1"/>
    <col min="12" max="12" width="11" style="64" bestFit="1" customWidth="1"/>
    <col min="13" max="16384" width="9.140625" style="64"/>
  </cols>
  <sheetData>
    <row r="1" spans="1:12" ht="18">
      <c r="A1" s="90" t="s">
        <v>519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</row>
    <row r="2" spans="1:12">
      <c r="A2" s="91" t="s">
        <v>520</v>
      </c>
      <c r="B2" s="91" t="s">
        <v>521</v>
      </c>
      <c r="C2" s="91" t="s">
        <v>522</v>
      </c>
      <c r="D2" s="91" t="s">
        <v>523</v>
      </c>
      <c r="E2" s="91" t="s">
        <v>524</v>
      </c>
      <c r="F2" s="91"/>
      <c r="G2" s="91"/>
      <c r="H2" s="91"/>
      <c r="I2" s="91"/>
      <c r="J2" s="91"/>
      <c r="K2" s="91" t="s">
        <v>525</v>
      </c>
      <c r="L2" s="91" t="s">
        <v>526</v>
      </c>
    </row>
    <row r="3" spans="1:12">
      <c r="A3" s="91"/>
      <c r="B3" s="91"/>
      <c r="C3" s="91"/>
      <c r="D3" s="91"/>
      <c r="E3" s="62">
        <v>45323</v>
      </c>
      <c r="F3" s="62">
        <v>45324</v>
      </c>
      <c r="G3" s="62">
        <v>45325</v>
      </c>
      <c r="H3" s="62">
        <v>45326</v>
      </c>
      <c r="I3" s="62">
        <v>45327</v>
      </c>
      <c r="J3" s="87" t="s">
        <v>343</v>
      </c>
      <c r="K3" s="91"/>
      <c r="L3" s="91"/>
    </row>
    <row r="4" spans="1:12">
      <c r="A4" s="63">
        <v>1</v>
      </c>
      <c r="B4" s="63" t="s">
        <v>0</v>
      </c>
      <c r="C4" s="63" t="s">
        <v>266</v>
      </c>
      <c r="D4" s="92">
        <v>260250</v>
      </c>
      <c r="E4" s="65">
        <v>0</v>
      </c>
      <c r="F4" s="65">
        <v>0</v>
      </c>
      <c r="G4" s="65">
        <v>0</v>
      </c>
      <c r="H4" s="65">
        <v>0</v>
      </c>
      <c r="I4" s="65">
        <v>0</v>
      </c>
      <c r="J4" s="65">
        <f t="shared" ref="J4:J35" si="0">SUM(E4:I4)</f>
        <v>0</v>
      </c>
      <c r="K4" s="95">
        <f>SUM(J4:J7)</f>
        <v>0</v>
      </c>
      <c r="L4" s="95">
        <f>D4-K4</f>
        <v>260250</v>
      </c>
    </row>
    <row r="5" spans="1:12">
      <c r="A5" s="63">
        <v>2</v>
      </c>
      <c r="B5" s="63" t="s">
        <v>3</v>
      </c>
      <c r="C5" s="63" t="s">
        <v>266</v>
      </c>
      <c r="D5" s="93"/>
      <c r="E5" s="65">
        <v>0</v>
      </c>
      <c r="F5" s="65">
        <v>0</v>
      </c>
      <c r="G5" s="65">
        <v>0</v>
      </c>
      <c r="H5" s="65">
        <v>0</v>
      </c>
      <c r="I5" s="65">
        <v>0</v>
      </c>
      <c r="J5" s="65">
        <f t="shared" si="0"/>
        <v>0</v>
      </c>
      <c r="K5" s="96"/>
      <c r="L5" s="96"/>
    </row>
    <row r="6" spans="1:12">
      <c r="A6" s="63">
        <v>3</v>
      </c>
      <c r="B6" s="63" t="s">
        <v>5</v>
      </c>
      <c r="C6" s="63" t="s">
        <v>266</v>
      </c>
      <c r="D6" s="93"/>
      <c r="E6" s="65">
        <v>0</v>
      </c>
      <c r="F6" s="65">
        <v>0</v>
      </c>
      <c r="G6" s="65">
        <v>0</v>
      </c>
      <c r="H6" s="65">
        <v>0</v>
      </c>
      <c r="I6" s="65">
        <v>0</v>
      </c>
      <c r="J6" s="65">
        <f t="shared" si="0"/>
        <v>0</v>
      </c>
      <c r="K6" s="96"/>
      <c r="L6" s="96"/>
    </row>
    <row r="7" spans="1:12">
      <c r="A7" s="63">
        <v>4</v>
      </c>
      <c r="B7" s="63" t="s">
        <v>8</v>
      </c>
      <c r="C7" s="63" t="s">
        <v>266</v>
      </c>
      <c r="D7" s="94"/>
      <c r="E7" s="65">
        <v>0</v>
      </c>
      <c r="F7" s="65">
        <v>0</v>
      </c>
      <c r="G7" s="65">
        <v>0</v>
      </c>
      <c r="H7" s="65">
        <v>0</v>
      </c>
      <c r="I7" s="65">
        <v>0</v>
      </c>
      <c r="J7" s="65">
        <f t="shared" si="0"/>
        <v>0</v>
      </c>
      <c r="K7" s="97"/>
      <c r="L7" s="97"/>
    </row>
    <row r="8" spans="1:12">
      <c r="A8" s="63">
        <v>5</v>
      </c>
      <c r="B8" s="63" t="s">
        <v>7</v>
      </c>
      <c r="C8" s="63" t="s">
        <v>282</v>
      </c>
      <c r="D8" s="92">
        <v>10343.979499999999</v>
      </c>
      <c r="E8" s="66">
        <v>0</v>
      </c>
      <c r="F8" s="66">
        <v>0</v>
      </c>
      <c r="G8" s="66">
        <v>0</v>
      </c>
      <c r="H8" s="66">
        <v>0</v>
      </c>
      <c r="I8" s="66">
        <v>0</v>
      </c>
      <c r="J8" s="66">
        <f t="shared" si="0"/>
        <v>0</v>
      </c>
      <c r="K8" s="92">
        <f>SUM(J8:J11)</f>
        <v>0</v>
      </c>
      <c r="L8" s="92">
        <f>D8-K8</f>
        <v>10343.979499999999</v>
      </c>
    </row>
    <row r="9" spans="1:12">
      <c r="A9" s="63">
        <v>6</v>
      </c>
      <c r="B9" s="63" t="s">
        <v>13</v>
      </c>
      <c r="C9" s="63" t="s">
        <v>282</v>
      </c>
      <c r="D9" s="93"/>
      <c r="E9" s="66">
        <v>0</v>
      </c>
      <c r="F9" s="66">
        <v>0</v>
      </c>
      <c r="G9" s="66">
        <v>0</v>
      </c>
      <c r="H9" s="66">
        <v>0</v>
      </c>
      <c r="I9" s="66">
        <v>0</v>
      </c>
      <c r="J9" s="66">
        <f t="shared" si="0"/>
        <v>0</v>
      </c>
      <c r="K9" s="93"/>
      <c r="L9" s="93"/>
    </row>
    <row r="10" spans="1:12">
      <c r="A10" s="63">
        <v>7</v>
      </c>
      <c r="B10" s="63" t="s">
        <v>18</v>
      </c>
      <c r="C10" s="63" t="s">
        <v>282</v>
      </c>
      <c r="D10" s="93"/>
      <c r="E10" s="66">
        <v>0</v>
      </c>
      <c r="F10" s="66">
        <v>0</v>
      </c>
      <c r="G10" s="66">
        <v>0</v>
      </c>
      <c r="H10" s="66">
        <v>0</v>
      </c>
      <c r="I10" s="66">
        <v>0</v>
      </c>
      <c r="J10" s="66">
        <f t="shared" si="0"/>
        <v>0</v>
      </c>
      <c r="K10" s="93"/>
      <c r="L10" s="93"/>
    </row>
    <row r="11" spans="1:12">
      <c r="A11" s="63">
        <v>8</v>
      </c>
      <c r="B11" s="63" t="s">
        <v>23</v>
      </c>
      <c r="C11" s="63" t="s">
        <v>282</v>
      </c>
      <c r="D11" s="94"/>
      <c r="E11" s="66">
        <v>0</v>
      </c>
      <c r="F11" s="66">
        <v>0</v>
      </c>
      <c r="G11" s="66">
        <v>0</v>
      </c>
      <c r="H11" s="66">
        <v>0</v>
      </c>
      <c r="I11" s="66">
        <v>0</v>
      </c>
      <c r="J11" s="66">
        <f t="shared" si="0"/>
        <v>0</v>
      </c>
      <c r="K11" s="94"/>
      <c r="L11" s="94"/>
    </row>
    <row r="12" spans="1:12">
      <c r="A12" s="63">
        <v>9</v>
      </c>
      <c r="B12" s="63" t="s">
        <v>10</v>
      </c>
      <c r="C12" s="63" t="s">
        <v>26</v>
      </c>
      <c r="D12" s="92">
        <v>15885.723</v>
      </c>
      <c r="E12" s="65">
        <v>0</v>
      </c>
      <c r="F12" s="65">
        <v>0</v>
      </c>
      <c r="G12" s="65">
        <v>0</v>
      </c>
      <c r="H12" s="65">
        <v>0</v>
      </c>
      <c r="I12" s="65">
        <v>0</v>
      </c>
      <c r="J12" s="65">
        <f t="shared" si="0"/>
        <v>0</v>
      </c>
      <c r="K12" s="95">
        <f>SUM(J12:J15)</f>
        <v>0</v>
      </c>
      <c r="L12" s="95">
        <f>D12-K12</f>
        <v>15885.723</v>
      </c>
    </row>
    <row r="13" spans="1:12">
      <c r="A13" s="63">
        <v>10</v>
      </c>
      <c r="B13" s="63" t="s">
        <v>29</v>
      </c>
      <c r="C13" s="63" t="s">
        <v>26</v>
      </c>
      <c r="D13" s="93"/>
      <c r="E13" s="65">
        <v>0</v>
      </c>
      <c r="F13" s="65">
        <v>0</v>
      </c>
      <c r="G13" s="65">
        <v>0</v>
      </c>
      <c r="H13" s="65">
        <v>0</v>
      </c>
      <c r="I13" s="65">
        <v>0</v>
      </c>
      <c r="J13" s="65">
        <f t="shared" si="0"/>
        <v>0</v>
      </c>
      <c r="K13" s="96"/>
      <c r="L13" s="96"/>
    </row>
    <row r="14" spans="1:12">
      <c r="A14" s="63">
        <v>11</v>
      </c>
      <c r="B14" s="63" t="s">
        <v>33</v>
      </c>
      <c r="C14" s="63" t="s">
        <v>26</v>
      </c>
      <c r="D14" s="93"/>
      <c r="E14" s="65">
        <v>0</v>
      </c>
      <c r="F14" s="65">
        <v>0</v>
      </c>
      <c r="G14" s="65">
        <v>0</v>
      </c>
      <c r="H14" s="65">
        <v>0</v>
      </c>
      <c r="I14" s="65">
        <v>0</v>
      </c>
      <c r="J14" s="65">
        <f t="shared" si="0"/>
        <v>0</v>
      </c>
      <c r="K14" s="96"/>
      <c r="L14" s="96"/>
    </row>
    <row r="15" spans="1:12">
      <c r="A15" s="63">
        <v>12</v>
      </c>
      <c r="B15" s="63" t="s">
        <v>37</v>
      </c>
      <c r="C15" s="63" t="s">
        <v>26</v>
      </c>
      <c r="D15" s="94"/>
      <c r="E15" s="65">
        <v>0</v>
      </c>
      <c r="F15" s="65">
        <v>0</v>
      </c>
      <c r="G15" s="65">
        <v>0</v>
      </c>
      <c r="H15" s="65">
        <v>0</v>
      </c>
      <c r="I15" s="65">
        <v>0</v>
      </c>
      <c r="J15" s="65">
        <f t="shared" si="0"/>
        <v>0</v>
      </c>
      <c r="K15" s="97"/>
      <c r="L15" s="97"/>
    </row>
    <row r="16" spans="1:12">
      <c r="A16" s="63">
        <v>13</v>
      </c>
      <c r="B16" s="63" t="s">
        <v>12</v>
      </c>
      <c r="C16" s="63" t="s">
        <v>270</v>
      </c>
      <c r="D16" s="92">
        <v>5375.03</v>
      </c>
      <c r="E16" s="66">
        <v>0</v>
      </c>
      <c r="F16" s="66">
        <v>44</v>
      </c>
      <c r="G16" s="66">
        <v>0</v>
      </c>
      <c r="H16" s="66">
        <v>0</v>
      </c>
      <c r="I16" s="66">
        <v>0</v>
      </c>
      <c r="J16" s="66">
        <f t="shared" si="0"/>
        <v>44</v>
      </c>
      <c r="K16" s="92">
        <f>SUM(J16:J19)</f>
        <v>83</v>
      </c>
      <c r="L16" s="92">
        <f>D16-K16</f>
        <v>5292.03</v>
      </c>
    </row>
    <row r="17" spans="1:12">
      <c r="A17" s="63">
        <v>14</v>
      </c>
      <c r="B17" s="63" t="s">
        <v>44</v>
      </c>
      <c r="C17" s="63" t="s">
        <v>270</v>
      </c>
      <c r="D17" s="93"/>
      <c r="E17" s="66">
        <v>0</v>
      </c>
      <c r="F17" s="66">
        <v>39</v>
      </c>
      <c r="G17" s="66">
        <v>0</v>
      </c>
      <c r="H17" s="66">
        <v>0</v>
      </c>
      <c r="I17" s="66">
        <v>0</v>
      </c>
      <c r="J17" s="66">
        <f t="shared" si="0"/>
        <v>39</v>
      </c>
      <c r="K17" s="93"/>
      <c r="L17" s="93"/>
    </row>
    <row r="18" spans="1:12">
      <c r="A18" s="63">
        <v>15</v>
      </c>
      <c r="B18" s="63" t="s">
        <v>48</v>
      </c>
      <c r="C18" s="63" t="s">
        <v>270</v>
      </c>
      <c r="D18" s="93"/>
      <c r="E18" s="66">
        <v>0</v>
      </c>
      <c r="F18" s="66">
        <v>0</v>
      </c>
      <c r="G18" s="66">
        <v>0</v>
      </c>
      <c r="H18" s="66">
        <v>0</v>
      </c>
      <c r="I18" s="66">
        <v>0</v>
      </c>
      <c r="J18" s="66">
        <f t="shared" si="0"/>
        <v>0</v>
      </c>
      <c r="K18" s="93"/>
      <c r="L18" s="93"/>
    </row>
    <row r="19" spans="1:12">
      <c r="A19" s="63">
        <v>16</v>
      </c>
      <c r="B19" s="63" t="s">
        <v>52</v>
      </c>
      <c r="C19" s="63" t="s">
        <v>270</v>
      </c>
      <c r="D19" s="94"/>
      <c r="E19" s="66">
        <v>0</v>
      </c>
      <c r="F19" s="66">
        <v>0</v>
      </c>
      <c r="G19" s="66">
        <v>0</v>
      </c>
      <c r="H19" s="66">
        <v>0</v>
      </c>
      <c r="I19" s="66">
        <v>0</v>
      </c>
      <c r="J19" s="66">
        <f t="shared" si="0"/>
        <v>0</v>
      </c>
      <c r="K19" s="94"/>
      <c r="L19" s="94"/>
    </row>
    <row r="20" spans="1:12">
      <c r="A20" s="63">
        <v>17</v>
      </c>
      <c r="B20" s="63" t="s">
        <v>16</v>
      </c>
      <c r="C20" s="63" t="s">
        <v>285</v>
      </c>
      <c r="D20" s="92">
        <v>4548.3100000000004</v>
      </c>
      <c r="E20" s="65">
        <v>0</v>
      </c>
      <c r="F20" s="65">
        <v>0</v>
      </c>
      <c r="G20" s="65">
        <v>0</v>
      </c>
      <c r="H20" s="65">
        <v>0</v>
      </c>
      <c r="I20" s="65">
        <v>0</v>
      </c>
      <c r="J20" s="65">
        <f t="shared" si="0"/>
        <v>0</v>
      </c>
      <c r="K20" s="95">
        <f>SUM(J20:J27)</f>
        <v>0</v>
      </c>
      <c r="L20" s="95">
        <f>D20-K20</f>
        <v>4548.3100000000004</v>
      </c>
    </row>
    <row r="21" spans="1:12">
      <c r="A21" s="63">
        <v>18</v>
      </c>
      <c r="B21" s="63" t="s">
        <v>58</v>
      </c>
      <c r="C21" s="63" t="s">
        <v>285</v>
      </c>
      <c r="D21" s="93"/>
      <c r="E21" s="65">
        <v>0</v>
      </c>
      <c r="F21" s="65">
        <v>0</v>
      </c>
      <c r="G21" s="65">
        <v>0</v>
      </c>
      <c r="H21" s="65">
        <v>0</v>
      </c>
      <c r="I21" s="65">
        <v>0</v>
      </c>
      <c r="J21" s="65">
        <f t="shared" si="0"/>
        <v>0</v>
      </c>
      <c r="K21" s="96"/>
      <c r="L21" s="96"/>
    </row>
    <row r="22" spans="1:12">
      <c r="A22" s="63">
        <v>19</v>
      </c>
      <c r="B22" s="63" t="s">
        <v>61</v>
      </c>
      <c r="C22" s="63" t="s">
        <v>285</v>
      </c>
      <c r="D22" s="93"/>
      <c r="E22" s="65">
        <v>0</v>
      </c>
      <c r="F22" s="65">
        <v>0</v>
      </c>
      <c r="G22" s="65">
        <v>0</v>
      </c>
      <c r="H22" s="65">
        <v>0</v>
      </c>
      <c r="I22" s="65">
        <v>0</v>
      </c>
      <c r="J22" s="65">
        <f t="shared" si="0"/>
        <v>0</v>
      </c>
      <c r="K22" s="96"/>
      <c r="L22" s="96"/>
    </row>
    <row r="23" spans="1:12">
      <c r="A23" s="63">
        <v>20</v>
      </c>
      <c r="B23" s="63" t="s">
        <v>64</v>
      </c>
      <c r="C23" s="63" t="s">
        <v>285</v>
      </c>
      <c r="D23" s="93"/>
      <c r="E23" s="65">
        <v>0</v>
      </c>
      <c r="F23" s="65">
        <v>0</v>
      </c>
      <c r="G23" s="65">
        <v>0</v>
      </c>
      <c r="H23" s="65">
        <v>0</v>
      </c>
      <c r="I23" s="65">
        <v>0</v>
      </c>
      <c r="J23" s="65">
        <f t="shared" si="0"/>
        <v>0</v>
      </c>
      <c r="K23" s="96"/>
      <c r="L23" s="96"/>
    </row>
    <row r="24" spans="1:12">
      <c r="A24" s="63">
        <v>21</v>
      </c>
      <c r="B24" s="63" t="s">
        <v>67</v>
      </c>
      <c r="C24" s="63" t="s">
        <v>271</v>
      </c>
      <c r="D24" s="93"/>
      <c r="E24" s="65">
        <v>0</v>
      </c>
      <c r="F24" s="65">
        <v>0</v>
      </c>
      <c r="G24" s="65">
        <v>0</v>
      </c>
      <c r="H24" s="65">
        <v>0</v>
      </c>
      <c r="I24" s="65">
        <v>0</v>
      </c>
      <c r="J24" s="65">
        <f t="shared" si="0"/>
        <v>0</v>
      </c>
      <c r="K24" s="96"/>
      <c r="L24" s="96"/>
    </row>
    <row r="25" spans="1:12">
      <c r="A25" s="63">
        <v>22</v>
      </c>
      <c r="B25" s="63" t="s">
        <v>70</v>
      </c>
      <c r="C25" s="63" t="s">
        <v>271</v>
      </c>
      <c r="D25" s="93"/>
      <c r="E25" s="65">
        <v>0</v>
      </c>
      <c r="F25" s="65">
        <v>0</v>
      </c>
      <c r="G25" s="65">
        <v>0</v>
      </c>
      <c r="H25" s="65">
        <v>0</v>
      </c>
      <c r="I25" s="65">
        <v>0</v>
      </c>
      <c r="J25" s="65">
        <f t="shared" si="0"/>
        <v>0</v>
      </c>
      <c r="K25" s="96"/>
      <c r="L25" s="96"/>
    </row>
    <row r="26" spans="1:12">
      <c r="A26" s="63">
        <v>23</v>
      </c>
      <c r="B26" s="63" t="s">
        <v>73</v>
      </c>
      <c r="C26" s="63" t="s">
        <v>271</v>
      </c>
      <c r="D26" s="93"/>
      <c r="E26" s="65">
        <v>0</v>
      </c>
      <c r="F26" s="65">
        <v>0</v>
      </c>
      <c r="G26" s="65">
        <v>0</v>
      </c>
      <c r="H26" s="65">
        <v>0</v>
      </c>
      <c r="I26" s="65">
        <v>0</v>
      </c>
      <c r="J26" s="65">
        <f t="shared" si="0"/>
        <v>0</v>
      </c>
      <c r="K26" s="96"/>
      <c r="L26" s="96"/>
    </row>
    <row r="27" spans="1:12">
      <c r="A27" s="63">
        <v>24</v>
      </c>
      <c r="B27" s="63" t="s">
        <v>76</v>
      </c>
      <c r="C27" s="63" t="s">
        <v>271</v>
      </c>
      <c r="D27" s="94"/>
      <c r="E27" s="65">
        <v>0</v>
      </c>
      <c r="F27" s="65">
        <v>0</v>
      </c>
      <c r="G27" s="65">
        <v>0</v>
      </c>
      <c r="H27" s="65">
        <v>0</v>
      </c>
      <c r="I27" s="65">
        <v>0</v>
      </c>
      <c r="J27" s="65">
        <f t="shared" si="0"/>
        <v>0</v>
      </c>
      <c r="K27" s="97"/>
      <c r="L27" s="97"/>
    </row>
    <row r="28" spans="1:12">
      <c r="A28" s="63">
        <v>25</v>
      </c>
      <c r="B28" s="63" t="s">
        <v>20</v>
      </c>
      <c r="C28" s="63" t="s">
        <v>286</v>
      </c>
      <c r="D28" s="92">
        <v>21536.61</v>
      </c>
      <c r="E28" s="66">
        <v>0</v>
      </c>
      <c r="F28" s="66">
        <v>0</v>
      </c>
      <c r="G28" s="66">
        <v>0</v>
      </c>
      <c r="H28" s="66">
        <v>0</v>
      </c>
      <c r="I28" s="66">
        <v>0</v>
      </c>
      <c r="J28" s="66">
        <f t="shared" si="0"/>
        <v>0</v>
      </c>
      <c r="K28" s="92">
        <f>SUM(J28:J31)</f>
        <v>654</v>
      </c>
      <c r="L28" s="92">
        <f>D28-K28</f>
        <v>20882.61</v>
      </c>
    </row>
    <row r="29" spans="1:12">
      <c r="A29" s="63">
        <v>26</v>
      </c>
      <c r="B29" s="63" t="s">
        <v>81</v>
      </c>
      <c r="C29" s="63" t="s">
        <v>286</v>
      </c>
      <c r="D29" s="93"/>
      <c r="E29" s="66">
        <v>0</v>
      </c>
      <c r="F29" s="66">
        <v>0</v>
      </c>
      <c r="G29" s="66">
        <v>0</v>
      </c>
      <c r="H29" s="66">
        <v>0</v>
      </c>
      <c r="I29" s="66">
        <v>0</v>
      </c>
      <c r="J29" s="66">
        <f t="shared" si="0"/>
        <v>0</v>
      </c>
      <c r="K29" s="93"/>
      <c r="L29" s="93"/>
    </row>
    <row r="30" spans="1:12">
      <c r="A30" s="63">
        <v>27</v>
      </c>
      <c r="B30" s="63" t="s">
        <v>84</v>
      </c>
      <c r="C30" s="63" t="s">
        <v>286</v>
      </c>
      <c r="D30" s="93"/>
      <c r="E30" s="66">
        <v>588</v>
      </c>
      <c r="F30" s="66">
        <v>66</v>
      </c>
      <c r="G30" s="66">
        <v>0</v>
      </c>
      <c r="H30" s="66">
        <v>0</v>
      </c>
      <c r="I30" s="66">
        <v>0</v>
      </c>
      <c r="J30" s="66">
        <f t="shared" si="0"/>
        <v>654</v>
      </c>
      <c r="K30" s="93"/>
      <c r="L30" s="93"/>
    </row>
    <row r="31" spans="1:12">
      <c r="A31" s="63">
        <v>28</v>
      </c>
      <c r="B31" s="63" t="s">
        <v>87</v>
      </c>
      <c r="C31" s="63" t="s">
        <v>286</v>
      </c>
      <c r="D31" s="94"/>
      <c r="E31" s="66">
        <v>0</v>
      </c>
      <c r="F31" s="66">
        <v>0</v>
      </c>
      <c r="G31" s="66">
        <v>0</v>
      </c>
      <c r="H31" s="66">
        <v>0</v>
      </c>
      <c r="I31" s="66">
        <v>0</v>
      </c>
      <c r="J31" s="66">
        <f t="shared" si="0"/>
        <v>0</v>
      </c>
      <c r="K31" s="94"/>
      <c r="L31" s="94"/>
    </row>
    <row r="32" spans="1:12">
      <c r="A32" s="63">
        <v>29</v>
      </c>
      <c r="B32" s="63" t="s">
        <v>24</v>
      </c>
      <c r="C32" s="63" t="s">
        <v>90</v>
      </c>
      <c r="D32" s="92">
        <v>257250</v>
      </c>
      <c r="E32" s="65">
        <v>0</v>
      </c>
      <c r="F32" s="65">
        <v>0</v>
      </c>
      <c r="G32" s="65">
        <v>0</v>
      </c>
      <c r="H32" s="65">
        <v>0</v>
      </c>
      <c r="I32" s="65">
        <v>0</v>
      </c>
      <c r="J32" s="65">
        <f t="shared" si="0"/>
        <v>0</v>
      </c>
      <c r="K32" s="95">
        <f>SUM(J32:J35)</f>
        <v>0</v>
      </c>
      <c r="L32" s="95">
        <f>D32-K32</f>
        <v>257250</v>
      </c>
    </row>
    <row r="33" spans="1:12">
      <c r="A33" s="63">
        <v>30</v>
      </c>
      <c r="B33" s="63" t="s">
        <v>93</v>
      </c>
      <c r="C33" s="63" t="s">
        <v>90</v>
      </c>
      <c r="D33" s="93"/>
      <c r="E33" s="65">
        <v>0</v>
      </c>
      <c r="F33" s="65">
        <v>0</v>
      </c>
      <c r="G33" s="65">
        <v>0</v>
      </c>
      <c r="H33" s="65">
        <v>0</v>
      </c>
      <c r="I33" s="65">
        <v>0</v>
      </c>
      <c r="J33" s="65">
        <f t="shared" si="0"/>
        <v>0</v>
      </c>
      <c r="K33" s="96"/>
      <c r="L33" s="96"/>
    </row>
    <row r="34" spans="1:12">
      <c r="A34" s="63">
        <v>31</v>
      </c>
      <c r="B34" s="63" t="s">
        <v>96</v>
      </c>
      <c r="C34" s="63" t="s">
        <v>90</v>
      </c>
      <c r="D34" s="93"/>
      <c r="E34" s="65">
        <v>0</v>
      </c>
      <c r="F34" s="65">
        <v>0</v>
      </c>
      <c r="G34" s="65">
        <v>0</v>
      </c>
      <c r="H34" s="65">
        <v>0</v>
      </c>
      <c r="I34" s="65">
        <v>0</v>
      </c>
      <c r="J34" s="65">
        <f t="shared" si="0"/>
        <v>0</v>
      </c>
      <c r="K34" s="96"/>
      <c r="L34" s="96"/>
    </row>
    <row r="35" spans="1:12">
      <c r="A35" s="63">
        <v>32</v>
      </c>
      <c r="B35" s="63" t="s">
        <v>99</v>
      </c>
      <c r="C35" s="63" t="s">
        <v>90</v>
      </c>
      <c r="D35" s="94"/>
      <c r="E35" s="65">
        <v>0</v>
      </c>
      <c r="F35" s="65">
        <v>0</v>
      </c>
      <c r="G35" s="65">
        <v>0</v>
      </c>
      <c r="H35" s="65">
        <v>0</v>
      </c>
      <c r="I35" s="65">
        <v>0</v>
      </c>
      <c r="J35" s="65">
        <f t="shared" si="0"/>
        <v>0</v>
      </c>
      <c r="K35" s="97"/>
      <c r="L35" s="97"/>
    </row>
    <row r="36" spans="1:12">
      <c r="A36" s="63">
        <v>33</v>
      </c>
      <c r="B36" s="63" t="s">
        <v>27</v>
      </c>
      <c r="C36" s="63" t="s">
        <v>287</v>
      </c>
      <c r="D36" s="92">
        <v>15561.89</v>
      </c>
      <c r="E36" s="66">
        <v>0</v>
      </c>
      <c r="F36" s="66">
        <v>335</v>
      </c>
      <c r="G36" s="66">
        <v>0</v>
      </c>
      <c r="H36" s="66">
        <v>0</v>
      </c>
      <c r="I36" s="66">
        <v>0</v>
      </c>
      <c r="J36" s="66">
        <f t="shared" ref="J36:J67" si="1">SUM(E36:I36)</f>
        <v>335</v>
      </c>
      <c r="K36" s="92">
        <f>SUM(J36:J63)</f>
        <v>914</v>
      </c>
      <c r="L36" s="92">
        <f>D36-K36</f>
        <v>14647.89</v>
      </c>
    </row>
    <row r="37" spans="1:12">
      <c r="A37" s="63">
        <v>34</v>
      </c>
      <c r="B37" s="63" t="s">
        <v>104</v>
      </c>
      <c r="C37" s="63" t="s">
        <v>287</v>
      </c>
      <c r="D37" s="93"/>
      <c r="E37" s="66">
        <v>0</v>
      </c>
      <c r="F37" s="66">
        <v>0</v>
      </c>
      <c r="G37" s="66">
        <v>0</v>
      </c>
      <c r="H37" s="66">
        <v>0</v>
      </c>
      <c r="I37" s="66">
        <v>0</v>
      </c>
      <c r="J37" s="66">
        <f t="shared" si="1"/>
        <v>0</v>
      </c>
      <c r="K37" s="93"/>
      <c r="L37" s="93"/>
    </row>
    <row r="38" spans="1:12">
      <c r="A38" s="63">
        <v>35</v>
      </c>
      <c r="B38" s="63" t="s">
        <v>107</v>
      </c>
      <c r="C38" s="63" t="s">
        <v>287</v>
      </c>
      <c r="D38" s="93"/>
      <c r="E38" s="66">
        <v>0</v>
      </c>
      <c r="F38" s="66">
        <v>0</v>
      </c>
      <c r="G38" s="66">
        <v>0</v>
      </c>
      <c r="H38" s="66">
        <v>0</v>
      </c>
      <c r="I38" s="66">
        <v>0</v>
      </c>
      <c r="J38" s="66">
        <f t="shared" si="1"/>
        <v>0</v>
      </c>
      <c r="K38" s="93"/>
      <c r="L38" s="93"/>
    </row>
    <row r="39" spans="1:12">
      <c r="A39" s="63">
        <v>36</v>
      </c>
      <c r="B39" s="63" t="s">
        <v>111</v>
      </c>
      <c r="C39" s="63" t="s">
        <v>287</v>
      </c>
      <c r="D39" s="93"/>
      <c r="E39" s="66">
        <v>0</v>
      </c>
      <c r="F39" s="66">
        <v>0</v>
      </c>
      <c r="G39" s="66">
        <v>0</v>
      </c>
      <c r="H39" s="66">
        <v>0</v>
      </c>
      <c r="I39" s="66">
        <v>0</v>
      </c>
      <c r="J39" s="66">
        <f t="shared" si="1"/>
        <v>0</v>
      </c>
      <c r="K39" s="93"/>
      <c r="L39" s="93"/>
    </row>
    <row r="40" spans="1:12">
      <c r="A40" s="63">
        <v>37</v>
      </c>
      <c r="B40" s="63" t="s">
        <v>115</v>
      </c>
      <c r="C40" s="63" t="s">
        <v>288</v>
      </c>
      <c r="D40" s="93"/>
      <c r="E40" s="66">
        <v>0</v>
      </c>
      <c r="F40" s="66">
        <v>0</v>
      </c>
      <c r="G40" s="66">
        <v>0</v>
      </c>
      <c r="H40" s="66">
        <v>0</v>
      </c>
      <c r="I40" s="66">
        <v>468</v>
      </c>
      <c r="J40" s="66">
        <f t="shared" si="1"/>
        <v>468</v>
      </c>
      <c r="K40" s="93"/>
      <c r="L40" s="93"/>
    </row>
    <row r="41" spans="1:12">
      <c r="A41" s="63">
        <v>38</v>
      </c>
      <c r="B41" s="63" t="s">
        <v>119</v>
      </c>
      <c r="C41" s="63" t="s">
        <v>288</v>
      </c>
      <c r="D41" s="93"/>
      <c r="E41" s="66">
        <v>0</v>
      </c>
      <c r="F41" s="66">
        <v>111</v>
      </c>
      <c r="G41" s="66">
        <v>0</v>
      </c>
      <c r="H41" s="66">
        <v>0</v>
      </c>
      <c r="I41" s="66">
        <v>0</v>
      </c>
      <c r="J41" s="66">
        <f t="shared" si="1"/>
        <v>111</v>
      </c>
      <c r="K41" s="93"/>
      <c r="L41" s="93"/>
    </row>
    <row r="42" spans="1:12">
      <c r="A42" s="63">
        <v>39</v>
      </c>
      <c r="B42" s="63" t="s">
        <v>122</v>
      </c>
      <c r="C42" s="63" t="s">
        <v>288</v>
      </c>
      <c r="D42" s="93"/>
      <c r="E42" s="66">
        <v>0</v>
      </c>
      <c r="F42" s="66">
        <v>0</v>
      </c>
      <c r="G42" s="66">
        <v>0</v>
      </c>
      <c r="H42" s="66">
        <v>0</v>
      </c>
      <c r="I42" s="66">
        <v>0</v>
      </c>
      <c r="J42" s="66">
        <f t="shared" si="1"/>
        <v>0</v>
      </c>
      <c r="K42" s="93"/>
      <c r="L42" s="93"/>
    </row>
    <row r="43" spans="1:12">
      <c r="A43" s="63">
        <v>40</v>
      </c>
      <c r="B43" s="63" t="s">
        <v>125</v>
      </c>
      <c r="C43" s="63" t="s">
        <v>288</v>
      </c>
      <c r="D43" s="93"/>
      <c r="E43" s="66">
        <v>0</v>
      </c>
      <c r="F43" s="66">
        <v>0</v>
      </c>
      <c r="G43" s="66">
        <v>0</v>
      </c>
      <c r="H43" s="66">
        <v>0</v>
      </c>
      <c r="I43" s="66">
        <v>0</v>
      </c>
      <c r="J43" s="66">
        <f t="shared" si="1"/>
        <v>0</v>
      </c>
      <c r="K43" s="93"/>
      <c r="L43" s="93"/>
    </row>
    <row r="44" spans="1:12">
      <c r="A44" s="63">
        <v>41</v>
      </c>
      <c r="B44" s="63" t="s">
        <v>128</v>
      </c>
      <c r="C44" s="63" t="s">
        <v>289</v>
      </c>
      <c r="D44" s="93"/>
      <c r="E44" s="66">
        <v>0</v>
      </c>
      <c r="F44" s="66">
        <v>0</v>
      </c>
      <c r="G44" s="66">
        <v>0</v>
      </c>
      <c r="H44" s="66">
        <v>0</v>
      </c>
      <c r="I44" s="66">
        <v>0</v>
      </c>
      <c r="J44" s="66">
        <f t="shared" si="1"/>
        <v>0</v>
      </c>
      <c r="K44" s="93"/>
      <c r="L44" s="93"/>
    </row>
    <row r="45" spans="1:12">
      <c r="A45" s="63">
        <v>42</v>
      </c>
      <c r="B45" s="63" t="s">
        <v>131</v>
      </c>
      <c r="C45" s="63" t="s">
        <v>289</v>
      </c>
      <c r="D45" s="93"/>
      <c r="E45" s="66">
        <v>0</v>
      </c>
      <c r="F45" s="66">
        <v>0</v>
      </c>
      <c r="G45" s="66">
        <v>0</v>
      </c>
      <c r="H45" s="66">
        <v>0</v>
      </c>
      <c r="I45" s="66">
        <v>0</v>
      </c>
      <c r="J45" s="66">
        <f t="shared" si="1"/>
        <v>0</v>
      </c>
      <c r="K45" s="93"/>
      <c r="L45" s="93"/>
    </row>
    <row r="46" spans="1:12">
      <c r="A46" s="63">
        <v>43</v>
      </c>
      <c r="B46" s="63" t="s">
        <v>134</v>
      </c>
      <c r="C46" s="63" t="s">
        <v>289</v>
      </c>
      <c r="D46" s="93"/>
      <c r="E46" s="66">
        <v>0</v>
      </c>
      <c r="F46" s="66">
        <v>0</v>
      </c>
      <c r="G46" s="66">
        <v>0</v>
      </c>
      <c r="H46" s="66">
        <v>0</v>
      </c>
      <c r="I46" s="66">
        <v>0</v>
      </c>
      <c r="J46" s="66">
        <f t="shared" si="1"/>
        <v>0</v>
      </c>
      <c r="K46" s="93"/>
      <c r="L46" s="93"/>
    </row>
    <row r="47" spans="1:12">
      <c r="A47" s="63">
        <v>44</v>
      </c>
      <c r="B47" s="63" t="s">
        <v>135</v>
      </c>
      <c r="C47" s="63" t="s">
        <v>289</v>
      </c>
      <c r="D47" s="93"/>
      <c r="E47" s="66">
        <v>0</v>
      </c>
      <c r="F47" s="66">
        <v>0</v>
      </c>
      <c r="G47" s="66">
        <v>0</v>
      </c>
      <c r="H47" s="66">
        <v>0</v>
      </c>
      <c r="I47" s="66">
        <v>0</v>
      </c>
      <c r="J47" s="66">
        <f t="shared" si="1"/>
        <v>0</v>
      </c>
      <c r="K47" s="93"/>
      <c r="L47" s="93"/>
    </row>
    <row r="48" spans="1:12">
      <c r="A48" s="63">
        <v>45</v>
      </c>
      <c r="B48" s="63" t="s">
        <v>136</v>
      </c>
      <c r="C48" s="63" t="s">
        <v>290</v>
      </c>
      <c r="D48" s="93"/>
      <c r="E48" s="66">
        <v>0</v>
      </c>
      <c r="F48" s="66">
        <v>0</v>
      </c>
      <c r="G48" s="66">
        <v>0</v>
      </c>
      <c r="H48" s="66">
        <v>0</v>
      </c>
      <c r="I48" s="66">
        <v>0</v>
      </c>
      <c r="J48" s="66">
        <f t="shared" si="1"/>
        <v>0</v>
      </c>
      <c r="K48" s="93"/>
      <c r="L48" s="93"/>
    </row>
    <row r="49" spans="1:12">
      <c r="A49" s="63">
        <v>46</v>
      </c>
      <c r="B49" s="63" t="s">
        <v>137</v>
      </c>
      <c r="C49" s="63" t="s">
        <v>290</v>
      </c>
      <c r="D49" s="93"/>
      <c r="E49" s="66">
        <v>0</v>
      </c>
      <c r="F49" s="66">
        <v>0</v>
      </c>
      <c r="G49" s="66">
        <v>0</v>
      </c>
      <c r="H49" s="66">
        <v>0</v>
      </c>
      <c r="I49" s="66">
        <v>0</v>
      </c>
      <c r="J49" s="66">
        <f t="shared" si="1"/>
        <v>0</v>
      </c>
      <c r="K49" s="93"/>
      <c r="L49" s="93"/>
    </row>
    <row r="50" spans="1:12">
      <c r="A50" s="63">
        <v>47</v>
      </c>
      <c r="B50" s="63" t="s">
        <v>138</v>
      </c>
      <c r="C50" s="63" t="s">
        <v>290</v>
      </c>
      <c r="D50" s="93"/>
      <c r="E50" s="66">
        <v>0</v>
      </c>
      <c r="F50" s="66">
        <v>0</v>
      </c>
      <c r="G50" s="66">
        <v>0</v>
      </c>
      <c r="H50" s="66">
        <v>0</v>
      </c>
      <c r="I50" s="66">
        <v>0</v>
      </c>
      <c r="J50" s="66">
        <f t="shared" si="1"/>
        <v>0</v>
      </c>
      <c r="K50" s="93"/>
      <c r="L50" s="93"/>
    </row>
    <row r="51" spans="1:12">
      <c r="A51" s="63">
        <v>48</v>
      </c>
      <c r="B51" s="63" t="s">
        <v>139</v>
      </c>
      <c r="C51" s="63" t="s">
        <v>290</v>
      </c>
      <c r="D51" s="93"/>
      <c r="E51" s="66">
        <v>0</v>
      </c>
      <c r="F51" s="66">
        <v>0</v>
      </c>
      <c r="G51" s="66">
        <v>0</v>
      </c>
      <c r="H51" s="66">
        <v>0</v>
      </c>
      <c r="I51" s="66">
        <v>0</v>
      </c>
      <c r="J51" s="66">
        <f t="shared" si="1"/>
        <v>0</v>
      </c>
      <c r="K51" s="93"/>
      <c r="L51" s="93"/>
    </row>
    <row r="52" spans="1:12">
      <c r="A52" s="63">
        <v>49</v>
      </c>
      <c r="B52" s="63" t="s">
        <v>140</v>
      </c>
      <c r="C52" s="63" t="s">
        <v>291</v>
      </c>
      <c r="D52" s="93"/>
      <c r="E52" s="66">
        <v>0</v>
      </c>
      <c r="F52" s="66">
        <v>0</v>
      </c>
      <c r="G52" s="66">
        <v>0</v>
      </c>
      <c r="H52" s="66">
        <v>0</v>
      </c>
      <c r="I52" s="66">
        <v>0</v>
      </c>
      <c r="J52" s="66">
        <f t="shared" si="1"/>
        <v>0</v>
      </c>
      <c r="K52" s="93"/>
      <c r="L52" s="93"/>
    </row>
    <row r="53" spans="1:12">
      <c r="A53" s="63">
        <v>50</v>
      </c>
      <c r="B53" s="63" t="s">
        <v>141</v>
      </c>
      <c r="C53" s="63" t="s">
        <v>291</v>
      </c>
      <c r="D53" s="93"/>
      <c r="E53" s="66">
        <v>0</v>
      </c>
      <c r="F53" s="66">
        <v>0</v>
      </c>
      <c r="G53" s="66">
        <v>0</v>
      </c>
      <c r="H53" s="66">
        <v>0</v>
      </c>
      <c r="I53" s="66">
        <v>0</v>
      </c>
      <c r="J53" s="66">
        <f t="shared" si="1"/>
        <v>0</v>
      </c>
      <c r="K53" s="93"/>
      <c r="L53" s="93"/>
    </row>
    <row r="54" spans="1:12">
      <c r="A54" s="63">
        <v>51</v>
      </c>
      <c r="B54" s="63" t="s">
        <v>142</v>
      </c>
      <c r="C54" s="63" t="s">
        <v>291</v>
      </c>
      <c r="D54" s="93"/>
      <c r="E54" s="66">
        <v>0</v>
      </c>
      <c r="F54" s="66">
        <v>0</v>
      </c>
      <c r="G54" s="66">
        <v>0</v>
      </c>
      <c r="H54" s="66">
        <v>0</v>
      </c>
      <c r="I54" s="66">
        <v>0</v>
      </c>
      <c r="J54" s="66">
        <f t="shared" si="1"/>
        <v>0</v>
      </c>
      <c r="K54" s="93"/>
      <c r="L54" s="93"/>
    </row>
    <row r="55" spans="1:12">
      <c r="A55" s="63">
        <v>52</v>
      </c>
      <c r="B55" s="63" t="s">
        <v>143</v>
      </c>
      <c r="C55" s="63" t="s">
        <v>291</v>
      </c>
      <c r="D55" s="93"/>
      <c r="E55" s="66">
        <v>0</v>
      </c>
      <c r="F55" s="66">
        <v>0</v>
      </c>
      <c r="G55" s="66">
        <v>0</v>
      </c>
      <c r="H55" s="66">
        <v>0</v>
      </c>
      <c r="I55" s="66">
        <v>0</v>
      </c>
      <c r="J55" s="66">
        <f t="shared" si="1"/>
        <v>0</v>
      </c>
      <c r="K55" s="93"/>
      <c r="L55" s="93"/>
    </row>
    <row r="56" spans="1:12">
      <c r="A56" s="63">
        <v>53</v>
      </c>
      <c r="B56" s="63" t="s">
        <v>144</v>
      </c>
      <c r="C56" s="63" t="s">
        <v>292</v>
      </c>
      <c r="D56" s="93"/>
      <c r="E56" s="66">
        <v>0</v>
      </c>
      <c r="F56" s="66">
        <v>0</v>
      </c>
      <c r="G56" s="66">
        <v>0</v>
      </c>
      <c r="H56" s="66">
        <v>0</v>
      </c>
      <c r="I56" s="66">
        <v>0</v>
      </c>
      <c r="J56" s="66">
        <f t="shared" si="1"/>
        <v>0</v>
      </c>
      <c r="K56" s="93"/>
      <c r="L56" s="93"/>
    </row>
    <row r="57" spans="1:12">
      <c r="A57" s="63">
        <v>54</v>
      </c>
      <c r="B57" s="63" t="s">
        <v>145</v>
      </c>
      <c r="C57" s="63" t="s">
        <v>292</v>
      </c>
      <c r="D57" s="93"/>
      <c r="E57" s="66">
        <v>0</v>
      </c>
      <c r="F57" s="66">
        <v>0</v>
      </c>
      <c r="G57" s="66">
        <v>0</v>
      </c>
      <c r="H57" s="66">
        <v>0</v>
      </c>
      <c r="I57" s="66">
        <v>0</v>
      </c>
      <c r="J57" s="66">
        <f t="shared" si="1"/>
        <v>0</v>
      </c>
      <c r="K57" s="93"/>
      <c r="L57" s="93"/>
    </row>
    <row r="58" spans="1:12">
      <c r="A58" s="63">
        <v>55</v>
      </c>
      <c r="B58" s="63" t="s">
        <v>146</v>
      </c>
      <c r="C58" s="63" t="s">
        <v>292</v>
      </c>
      <c r="D58" s="93"/>
      <c r="E58" s="66">
        <v>0</v>
      </c>
      <c r="F58" s="66">
        <v>0</v>
      </c>
      <c r="G58" s="66">
        <v>0</v>
      </c>
      <c r="H58" s="66">
        <v>0</v>
      </c>
      <c r="I58" s="66">
        <v>0</v>
      </c>
      <c r="J58" s="66">
        <f t="shared" si="1"/>
        <v>0</v>
      </c>
      <c r="K58" s="93"/>
      <c r="L58" s="93"/>
    </row>
    <row r="59" spans="1:12">
      <c r="A59" s="63">
        <v>56</v>
      </c>
      <c r="B59" s="63" t="s">
        <v>147</v>
      </c>
      <c r="C59" s="63" t="s">
        <v>292</v>
      </c>
      <c r="D59" s="93"/>
      <c r="E59" s="66">
        <v>0</v>
      </c>
      <c r="F59" s="66">
        <v>0</v>
      </c>
      <c r="G59" s="66">
        <v>0</v>
      </c>
      <c r="H59" s="66">
        <v>0</v>
      </c>
      <c r="I59" s="66">
        <v>0</v>
      </c>
      <c r="J59" s="66">
        <f t="shared" si="1"/>
        <v>0</v>
      </c>
      <c r="K59" s="93"/>
      <c r="L59" s="93"/>
    </row>
    <row r="60" spans="1:12">
      <c r="A60" s="63">
        <v>57</v>
      </c>
      <c r="B60" s="63" t="s">
        <v>148</v>
      </c>
      <c r="C60" s="63" t="s">
        <v>293</v>
      </c>
      <c r="D60" s="93"/>
      <c r="E60" s="66">
        <v>0</v>
      </c>
      <c r="F60" s="66">
        <v>0</v>
      </c>
      <c r="G60" s="66">
        <v>0</v>
      </c>
      <c r="H60" s="66">
        <v>0</v>
      </c>
      <c r="I60" s="66">
        <v>0</v>
      </c>
      <c r="J60" s="66">
        <f t="shared" si="1"/>
        <v>0</v>
      </c>
      <c r="K60" s="93"/>
      <c r="L60" s="93"/>
    </row>
    <row r="61" spans="1:12">
      <c r="A61" s="63">
        <v>58</v>
      </c>
      <c r="B61" s="63" t="s">
        <v>149</v>
      </c>
      <c r="C61" s="63" t="s">
        <v>293</v>
      </c>
      <c r="D61" s="93"/>
      <c r="E61" s="66">
        <v>0</v>
      </c>
      <c r="F61" s="66">
        <v>0</v>
      </c>
      <c r="G61" s="66">
        <v>0</v>
      </c>
      <c r="H61" s="66">
        <v>0</v>
      </c>
      <c r="I61" s="66">
        <v>0</v>
      </c>
      <c r="J61" s="66">
        <f t="shared" si="1"/>
        <v>0</v>
      </c>
      <c r="K61" s="93"/>
      <c r="L61" s="93"/>
    </row>
    <row r="62" spans="1:12">
      <c r="A62" s="63">
        <v>59</v>
      </c>
      <c r="B62" s="63" t="s">
        <v>150</v>
      </c>
      <c r="C62" s="63" t="s">
        <v>293</v>
      </c>
      <c r="D62" s="93"/>
      <c r="E62" s="66">
        <v>0</v>
      </c>
      <c r="F62" s="66">
        <v>0</v>
      </c>
      <c r="G62" s="66">
        <v>0</v>
      </c>
      <c r="H62" s="66">
        <v>0</v>
      </c>
      <c r="I62" s="66">
        <v>0</v>
      </c>
      <c r="J62" s="66">
        <f t="shared" si="1"/>
        <v>0</v>
      </c>
      <c r="K62" s="93"/>
      <c r="L62" s="93"/>
    </row>
    <row r="63" spans="1:12">
      <c r="A63" s="63">
        <v>60</v>
      </c>
      <c r="B63" s="63" t="s">
        <v>151</v>
      </c>
      <c r="C63" s="63" t="s">
        <v>293</v>
      </c>
      <c r="D63" s="94"/>
      <c r="E63" s="66">
        <v>0</v>
      </c>
      <c r="F63" s="66">
        <v>0</v>
      </c>
      <c r="G63" s="66">
        <v>0</v>
      </c>
      <c r="H63" s="66">
        <v>0</v>
      </c>
      <c r="I63" s="66">
        <v>0</v>
      </c>
      <c r="J63" s="66">
        <f t="shared" si="1"/>
        <v>0</v>
      </c>
      <c r="K63" s="94"/>
      <c r="L63" s="94"/>
    </row>
    <row r="64" spans="1:12">
      <c r="A64" s="63">
        <v>61</v>
      </c>
      <c r="B64" s="63" t="s">
        <v>31</v>
      </c>
      <c r="C64" s="63" t="s">
        <v>294</v>
      </c>
      <c r="D64" s="92">
        <v>6000</v>
      </c>
      <c r="E64" s="65">
        <v>0</v>
      </c>
      <c r="F64" s="65">
        <v>0</v>
      </c>
      <c r="G64" s="65">
        <v>0</v>
      </c>
      <c r="H64" s="65">
        <v>0</v>
      </c>
      <c r="I64" s="65">
        <v>0</v>
      </c>
      <c r="J64" s="65">
        <f t="shared" si="1"/>
        <v>0</v>
      </c>
      <c r="K64" s="95">
        <f>SUM(J64:J67)</f>
        <v>0</v>
      </c>
      <c r="L64" s="95">
        <f>D64-K64</f>
        <v>6000</v>
      </c>
    </row>
    <row r="65" spans="1:12">
      <c r="A65" s="63">
        <v>62</v>
      </c>
      <c r="B65" s="63" t="s">
        <v>152</v>
      </c>
      <c r="C65" s="63" t="s">
        <v>294</v>
      </c>
      <c r="D65" s="93"/>
      <c r="E65" s="65">
        <v>0</v>
      </c>
      <c r="F65" s="65">
        <v>0</v>
      </c>
      <c r="G65" s="65">
        <v>0</v>
      </c>
      <c r="H65" s="65">
        <v>0</v>
      </c>
      <c r="I65" s="65">
        <v>0</v>
      </c>
      <c r="J65" s="65">
        <f t="shared" si="1"/>
        <v>0</v>
      </c>
      <c r="K65" s="96"/>
      <c r="L65" s="96"/>
    </row>
    <row r="66" spans="1:12">
      <c r="A66" s="63">
        <v>63</v>
      </c>
      <c r="B66" s="63" t="s">
        <v>153</v>
      </c>
      <c r="C66" s="63" t="s">
        <v>294</v>
      </c>
      <c r="D66" s="93"/>
      <c r="E66" s="65">
        <v>0</v>
      </c>
      <c r="F66" s="65">
        <v>0</v>
      </c>
      <c r="G66" s="65">
        <v>0</v>
      </c>
      <c r="H66" s="65">
        <v>0</v>
      </c>
      <c r="I66" s="65">
        <v>0</v>
      </c>
      <c r="J66" s="65">
        <f t="shared" si="1"/>
        <v>0</v>
      </c>
      <c r="K66" s="96"/>
      <c r="L66" s="96"/>
    </row>
    <row r="67" spans="1:12">
      <c r="A67" s="63">
        <v>64</v>
      </c>
      <c r="B67" s="63" t="s">
        <v>154</v>
      </c>
      <c r="C67" s="63" t="s">
        <v>294</v>
      </c>
      <c r="D67" s="94"/>
      <c r="E67" s="65">
        <v>0</v>
      </c>
      <c r="F67" s="65">
        <v>0</v>
      </c>
      <c r="G67" s="65">
        <v>0</v>
      </c>
      <c r="H67" s="65">
        <v>0</v>
      </c>
      <c r="I67" s="65">
        <v>0</v>
      </c>
      <c r="J67" s="65">
        <f t="shared" si="1"/>
        <v>0</v>
      </c>
      <c r="K67" s="97"/>
      <c r="L67" s="97"/>
    </row>
    <row r="68" spans="1:12">
      <c r="A68" s="63">
        <v>65</v>
      </c>
      <c r="B68" s="63" t="s">
        <v>35</v>
      </c>
      <c r="C68" s="63" t="s">
        <v>295</v>
      </c>
      <c r="D68" s="92">
        <v>3679.7200000000003</v>
      </c>
      <c r="E68" s="66">
        <v>0</v>
      </c>
      <c r="F68" s="66">
        <v>0</v>
      </c>
      <c r="G68" s="66">
        <v>0</v>
      </c>
      <c r="H68" s="66">
        <v>0</v>
      </c>
      <c r="I68" s="66">
        <v>0</v>
      </c>
      <c r="J68" s="66">
        <f t="shared" ref="J68:J99" si="2">SUM(E68:I68)</f>
        <v>0</v>
      </c>
      <c r="K68" s="92">
        <f>SUM(J68:J71)</f>
        <v>0</v>
      </c>
      <c r="L68" s="92">
        <f>D68-K68</f>
        <v>3679.7200000000003</v>
      </c>
    </row>
    <row r="69" spans="1:12">
      <c r="A69" s="63">
        <v>66</v>
      </c>
      <c r="B69" s="63" t="s">
        <v>155</v>
      </c>
      <c r="C69" s="63" t="s">
        <v>295</v>
      </c>
      <c r="D69" s="93"/>
      <c r="E69" s="66">
        <v>0</v>
      </c>
      <c r="F69" s="66">
        <v>0</v>
      </c>
      <c r="G69" s="66">
        <v>0</v>
      </c>
      <c r="H69" s="66">
        <v>0</v>
      </c>
      <c r="I69" s="66">
        <v>0</v>
      </c>
      <c r="J69" s="66">
        <f t="shared" si="2"/>
        <v>0</v>
      </c>
      <c r="K69" s="93"/>
      <c r="L69" s="93"/>
    </row>
    <row r="70" spans="1:12">
      <c r="A70" s="63">
        <v>67</v>
      </c>
      <c r="B70" s="63" t="s">
        <v>156</v>
      </c>
      <c r="C70" s="63" t="s">
        <v>295</v>
      </c>
      <c r="D70" s="93"/>
      <c r="E70" s="66">
        <v>0</v>
      </c>
      <c r="F70" s="66">
        <v>0</v>
      </c>
      <c r="G70" s="66">
        <v>0</v>
      </c>
      <c r="H70" s="66">
        <v>0</v>
      </c>
      <c r="I70" s="66">
        <v>0</v>
      </c>
      <c r="J70" s="66">
        <f t="shared" si="2"/>
        <v>0</v>
      </c>
      <c r="K70" s="93"/>
      <c r="L70" s="93"/>
    </row>
    <row r="71" spans="1:12">
      <c r="A71" s="63">
        <v>68</v>
      </c>
      <c r="B71" s="63" t="s">
        <v>157</v>
      </c>
      <c r="C71" s="63" t="s">
        <v>295</v>
      </c>
      <c r="D71" s="94"/>
      <c r="E71" s="66">
        <v>0</v>
      </c>
      <c r="F71" s="66">
        <v>0</v>
      </c>
      <c r="G71" s="66">
        <v>0</v>
      </c>
      <c r="H71" s="66">
        <v>0</v>
      </c>
      <c r="I71" s="66">
        <v>0</v>
      </c>
      <c r="J71" s="66">
        <f t="shared" si="2"/>
        <v>0</v>
      </c>
      <c r="K71" s="94"/>
      <c r="L71" s="94"/>
    </row>
    <row r="72" spans="1:12">
      <c r="A72" s="63">
        <v>69</v>
      </c>
      <c r="B72" s="63" t="s">
        <v>39</v>
      </c>
      <c r="C72" s="63" t="s">
        <v>158</v>
      </c>
      <c r="D72" s="92">
        <v>5623.8399999999992</v>
      </c>
      <c r="E72" s="65">
        <v>0</v>
      </c>
      <c r="F72" s="65">
        <v>0</v>
      </c>
      <c r="G72" s="65">
        <v>0</v>
      </c>
      <c r="H72" s="65">
        <v>0</v>
      </c>
      <c r="I72" s="65">
        <v>0</v>
      </c>
      <c r="J72" s="65">
        <f t="shared" si="2"/>
        <v>0</v>
      </c>
      <c r="K72" s="95">
        <f>SUM(J72:J75)</f>
        <v>0</v>
      </c>
      <c r="L72" s="95">
        <f>D72-K72</f>
        <v>5623.8399999999992</v>
      </c>
    </row>
    <row r="73" spans="1:12">
      <c r="A73" s="63">
        <v>70</v>
      </c>
      <c r="B73" s="63" t="s">
        <v>159</v>
      </c>
      <c r="C73" s="63" t="s">
        <v>158</v>
      </c>
      <c r="D73" s="93"/>
      <c r="E73" s="65">
        <v>0</v>
      </c>
      <c r="F73" s="65">
        <v>0</v>
      </c>
      <c r="G73" s="65">
        <v>0</v>
      </c>
      <c r="H73" s="65">
        <v>0</v>
      </c>
      <c r="I73" s="65">
        <v>0</v>
      </c>
      <c r="J73" s="65">
        <f t="shared" si="2"/>
        <v>0</v>
      </c>
      <c r="K73" s="96"/>
      <c r="L73" s="96"/>
    </row>
    <row r="74" spans="1:12">
      <c r="A74" s="63">
        <v>71</v>
      </c>
      <c r="B74" s="63" t="s">
        <v>160</v>
      </c>
      <c r="C74" s="63" t="s">
        <v>158</v>
      </c>
      <c r="D74" s="93"/>
      <c r="E74" s="65">
        <v>0</v>
      </c>
      <c r="F74" s="65">
        <v>0</v>
      </c>
      <c r="G74" s="65">
        <v>0</v>
      </c>
      <c r="H74" s="65">
        <v>0</v>
      </c>
      <c r="I74" s="65">
        <v>0</v>
      </c>
      <c r="J74" s="65">
        <f t="shared" si="2"/>
        <v>0</v>
      </c>
      <c r="K74" s="96"/>
      <c r="L74" s="96"/>
    </row>
    <row r="75" spans="1:12">
      <c r="A75" s="63">
        <v>72</v>
      </c>
      <c r="B75" s="63" t="s">
        <v>161</v>
      </c>
      <c r="C75" s="63" t="s">
        <v>158</v>
      </c>
      <c r="D75" s="94"/>
      <c r="E75" s="65">
        <v>0</v>
      </c>
      <c r="F75" s="65">
        <v>0</v>
      </c>
      <c r="G75" s="65">
        <v>0</v>
      </c>
      <c r="H75" s="65">
        <v>0</v>
      </c>
      <c r="I75" s="65">
        <v>0</v>
      </c>
      <c r="J75" s="65">
        <f t="shared" si="2"/>
        <v>0</v>
      </c>
      <c r="K75" s="97"/>
      <c r="L75" s="97"/>
    </row>
    <row r="76" spans="1:12">
      <c r="A76" s="63">
        <v>73</v>
      </c>
      <c r="B76" s="63" t="s">
        <v>42</v>
      </c>
      <c r="C76" s="63" t="s">
        <v>272</v>
      </c>
      <c r="D76" s="92">
        <v>484.46</v>
      </c>
      <c r="E76" s="66">
        <v>351</v>
      </c>
      <c r="F76" s="66">
        <v>0</v>
      </c>
      <c r="G76" s="66">
        <v>0</v>
      </c>
      <c r="H76" s="66">
        <v>0</v>
      </c>
      <c r="I76" s="66">
        <v>0</v>
      </c>
      <c r="J76" s="66">
        <f t="shared" si="2"/>
        <v>351</v>
      </c>
      <c r="K76" s="92">
        <f>SUM(J76:J79)</f>
        <v>351</v>
      </c>
      <c r="L76" s="92">
        <f>D76-K76</f>
        <v>133.45999999999998</v>
      </c>
    </row>
    <row r="77" spans="1:12">
      <c r="A77" s="63">
        <v>74</v>
      </c>
      <c r="B77" s="63" t="s">
        <v>162</v>
      </c>
      <c r="C77" s="63" t="s">
        <v>272</v>
      </c>
      <c r="D77" s="93"/>
      <c r="E77" s="66">
        <v>0</v>
      </c>
      <c r="F77" s="66">
        <v>0</v>
      </c>
      <c r="G77" s="66">
        <v>0</v>
      </c>
      <c r="H77" s="66">
        <v>0</v>
      </c>
      <c r="I77" s="66">
        <v>0</v>
      </c>
      <c r="J77" s="66">
        <f t="shared" si="2"/>
        <v>0</v>
      </c>
      <c r="K77" s="93"/>
      <c r="L77" s="93"/>
    </row>
    <row r="78" spans="1:12">
      <c r="A78" s="63">
        <v>75</v>
      </c>
      <c r="B78" s="63" t="s">
        <v>163</v>
      </c>
      <c r="C78" s="63" t="s">
        <v>272</v>
      </c>
      <c r="D78" s="93"/>
      <c r="E78" s="66">
        <v>0</v>
      </c>
      <c r="F78" s="66">
        <v>0</v>
      </c>
      <c r="G78" s="66">
        <v>0</v>
      </c>
      <c r="H78" s="66">
        <v>0</v>
      </c>
      <c r="I78" s="66">
        <v>0</v>
      </c>
      <c r="J78" s="66">
        <f t="shared" si="2"/>
        <v>0</v>
      </c>
      <c r="K78" s="93"/>
      <c r="L78" s="93"/>
    </row>
    <row r="79" spans="1:12">
      <c r="A79" s="63">
        <v>76</v>
      </c>
      <c r="B79" s="63" t="s">
        <v>164</v>
      </c>
      <c r="C79" s="63" t="s">
        <v>272</v>
      </c>
      <c r="D79" s="94"/>
      <c r="E79" s="66">
        <v>0</v>
      </c>
      <c r="F79" s="66">
        <v>0</v>
      </c>
      <c r="G79" s="66">
        <v>0</v>
      </c>
      <c r="H79" s="66">
        <v>0</v>
      </c>
      <c r="I79" s="66">
        <v>0</v>
      </c>
      <c r="J79" s="66">
        <f t="shared" si="2"/>
        <v>0</v>
      </c>
      <c r="K79" s="94"/>
      <c r="L79" s="94"/>
    </row>
    <row r="80" spans="1:12">
      <c r="A80" s="63">
        <v>77</v>
      </c>
      <c r="B80" s="63" t="s">
        <v>46</v>
      </c>
      <c r="C80" s="63" t="s">
        <v>273</v>
      </c>
      <c r="D80" s="92">
        <v>20.09</v>
      </c>
      <c r="E80" s="65">
        <v>381</v>
      </c>
      <c r="F80" s="65">
        <v>0</v>
      </c>
      <c r="G80" s="65">
        <v>0</v>
      </c>
      <c r="H80" s="65">
        <v>0</v>
      </c>
      <c r="I80" s="65">
        <v>0</v>
      </c>
      <c r="J80" s="65">
        <f t="shared" si="2"/>
        <v>381</v>
      </c>
      <c r="K80" s="95">
        <f>SUM(J80:J83)</f>
        <v>493</v>
      </c>
      <c r="L80" s="95">
        <f>D80-K80</f>
        <v>-472.91</v>
      </c>
    </row>
    <row r="81" spans="1:12">
      <c r="A81" s="63">
        <v>78</v>
      </c>
      <c r="B81" s="63" t="s">
        <v>165</v>
      </c>
      <c r="C81" s="63" t="s">
        <v>273</v>
      </c>
      <c r="D81" s="93"/>
      <c r="E81" s="65">
        <v>0</v>
      </c>
      <c r="F81" s="65">
        <v>0</v>
      </c>
      <c r="G81" s="65">
        <v>0</v>
      </c>
      <c r="H81" s="65">
        <v>0</v>
      </c>
      <c r="I81" s="65">
        <v>0</v>
      </c>
      <c r="J81" s="65">
        <f t="shared" si="2"/>
        <v>0</v>
      </c>
      <c r="K81" s="96"/>
      <c r="L81" s="96"/>
    </row>
    <row r="82" spans="1:12">
      <c r="A82" s="63">
        <v>79</v>
      </c>
      <c r="B82" s="63" t="s">
        <v>166</v>
      </c>
      <c r="C82" s="63" t="s">
        <v>273</v>
      </c>
      <c r="D82" s="93"/>
      <c r="E82" s="65">
        <v>0</v>
      </c>
      <c r="F82" s="65">
        <v>35</v>
      </c>
      <c r="G82" s="65">
        <v>0</v>
      </c>
      <c r="H82" s="65">
        <v>0</v>
      </c>
      <c r="I82" s="65">
        <v>77</v>
      </c>
      <c r="J82" s="65">
        <f t="shared" si="2"/>
        <v>112</v>
      </c>
      <c r="K82" s="96"/>
      <c r="L82" s="96"/>
    </row>
    <row r="83" spans="1:12">
      <c r="A83" s="63">
        <v>80</v>
      </c>
      <c r="B83" s="63" t="s">
        <v>167</v>
      </c>
      <c r="C83" s="63" t="s">
        <v>273</v>
      </c>
      <c r="D83" s="94"/>
      <c r="E83" s="65">
        <v>0</v>
      </c>
      <c r="F83" s="65">
        <v>0</v>
      </c>
      <c r="G83" s="65">
        <v>0</v>
      </c>
      <c r="H83" s="65">
        <v>0</v>
      </c>
      <c r="I83" s="65">
        <v>0</v>
      </c>
      <c r="J83" s="65">
        <f t="shared" si="2"/>
        <v>0</v>
      </c>
      <c r="K83" s="97"/>
      <c r="L83" s="97"/>
    </row>
    <row r="84" spans="1:12">
      <c r="A84" s="63">
        <v>81</v>
      </c>
      <c r="B84" s="63" t="s">
        <v>50</v>
      </c>
      <c r="C84" s="63" t="s">
        <v>296</v>
      </c>
      <c r="D84" s="92">
        <v>37855.17</v>
      </c>
      <c r="E84" s="66">
        <v>0</v>
      </c>
      <c r="F84" s="66">
        <v>0</v>
      </c>
      <c r="G84" s="66">
        <v>0</v>
      </c>
      <c r="H84" s="66">
        <v>0</v>
      </c>
      <c r="I84" s="66">
        <v>0</v>
      </c>
      <c r="J84" s="66">
        <f t="shared" si="2"/>
        <v>0</v>
      </c>
      <c r="K84" s="92">
        <f>SUM(J84:J87)</f>
        <v>0</v>
      </c>
      <c r="L84" s="92">
        <f>D84-K84</f>
        <v>37855.17</v>
      </c>
    </row>
    <row r="85" spans="1:12">
      <c r="A85" s="63">
        <v>82</v>
      </c>
      <c r="B85" s="63" t="s">
        <v>168</v>
      </c>
      <c r="C85" s="63" t="s">
        <v>296</v>
      </c>
      <c r="D85" s="93"/>
      <c r="E85" s="66">
        <v>0</v>
      </c>
      <c r="F85" s="66">
        <v>0</v>
      </c>
      <c r="G85" s="66">
        <v>0</v>
      </c>
      <c r="H85" s="66">
        <v>0</v>
      </c>
      <c r="I85" s="66">
        <v>0</v>
      </c>
      <c r="J85" s="66">
        <f t="shared" si="2"/>
        <v>0</v>
      </c>
      <c r="K85" s="93"/>
      <c r="L85" s="93"/>
    </row>
    <row r="86" spans="1:12">
      <c r="A86" s="63">
        <v>83</v>
      </c>
      <c r="B86" s="63" t="s">
        <v>169</v>
      </c>
      <c r="C86" s="63" t="s">
        <v>296</v>
      </c>
      <c r="D86" s="93"/>
      <c r="E86" s="66">
        <v>0</v>
      </c>
      <c r="F86" s="66">
        <v>0</v>
      </c>
      <c r="G86" s="66">
        <v>0</v>
      </c>
      <c r="H86" s="66">
        <v>0</v>
      </c>
      <c r="I86" s="66">
        <v>0</v>
      </c>
      <c r="J86" s="66">
        <f t="shared" si="2"/>
        <v>0</v>
      </c>
      <c r="K86" s="93"/>
      <c r="L86" s="93"/>
    </row>
    <row r="87" spans="1:12">
      <c r="A87" s="63">
        <v>84</v>
      </c>
      <c r="B87" s="63" t="s">
        <v>170</v>
      </c>
      <c r="C87" s="63" t="s">
        <v>296</v>
      </c>
      <c r="D87" s="94"/>
      <c r="E87" s="66">
        <v>0</v>
      </c>
      <c r="F87" s="66">
        <v>0</v>
      </c>
      <c r="G87" s="66">
        <v>0</v>
      </c>
      <c r="H87" s="66">
        <v>0</v>
      </c>
      <c r="I87" s="66">
        <v>0</v>
      </c>
      <c r="J87" s="66">
        <f t="shared" si="2"/>
        <v>0</v>
      </c>
      <c r="K87" s="94"/>
      <c r="L87" s="94"/>
    </row>
    <row r="88" spans="1:12">
      <c r="A88" s="63">
        <v>85</v>
      </c>
      <c r="B88" s="63" t="s">
        <v>54</v>
      </c>
      <c r="C88" s="63" t="s">
        <v>297</v>
      </c>
      <c r="D88" s="92">
        <v>500</v>
      </c>
      <c r="E88" s="65">
        <v>6704</v>
      </c>
      <c r="F88" s="65">
        <v>0</v>
      </c>
      <c r="G88" s="65">
        <v>0</v>
      </c>
      <c r="H88" s="65">
        <v>0</v>
      </c>
      <c r="I88" s="65">
        <v>1229</v>
      </c>
      <c r="J88" s="65">
        <f t="shared" si="2"/>
        <v>7933</v>
      </c>
      <c r="K88" s="95">
        <f>SUM(J88:J91)</f>
        <v>10454</v>
      </c>
      <c r="L88" s="95">
        <f>D88-K88</f>
        <v>-9954</v>
      </c>
    </row>
    <row r="89" spans="1:12">
      <c r="A89" s="63">
        <v>86</v>
      </c>
      <c r="B89" s="63" t="s">
        <v>171</v>
      </c>
      <c r="C89" s="63" t="s">
        <v>297</v>
      </c>
      <c r="D89" s="93"/>
      <c r="E89" s="65">
        <v>2521</v>
      </c>
      <c r="F89" s="65">
        <v>0</v>
      </c>
      <c r="G89" s="65">
        <v>0</v>
      </c>
      <c r="H89" s="65">
        <v>0</v>
      </c>
      <c r="I89" s="65">
        <v>0</v>
      </c>
      <c r="J89" s="65">
        <f t="shared" si="2"/>
        <v>2521</v>
      </c>
      <c r="K89" s="96"/>
      <c r="L89" s="96"/>
    </row>
    <row r="90" spans="1:12">
      <c r="A90" s="63">
        <v>87</v>
      </c>
      <c r="B90" s="63" t="s">
        <v>172</v>
      </c>
      <c r="C90" s="63" t="s">
        <v>297</v>
      </c>
      <c r="D90" s="93"/>
      <c r="E90" s="65">
        <v>0</v>
      </c>
      <c r="F90" s="65">
        <v>0</v>
      </c>
      <c r="G90" s="65">
        <v>0</v>
      </c>
      <c r="H90" s="65">
        <v>0</v>
      </c>
      <c r="I90" s="65">
        <v>0</v>
      </c>
      <c r="J90" s="65">
        <f t="shared" si="2"/>
        <v>0</v>
      </c>
      <c r="K90" s="96"/>
      <c r="L90" s="96"/>
    </row>
    <row r="91" spans="1:12">
      <c r="A91" s="63">
        <v>88</v>
      </c>
      <c r="B91" s="63" t="s">
        <v>173</v>
      </c>
      <c r="C91" s="63" t="s">
        <v>297</v>
      </c>
      <c r="D91" s="94"/>
      <c r="E91" s="65">
        <v>0</v>
      </c>
      <c r="F91" s="65">
        <v>0</v>
      </c>
      <c r="G91" s="65">
        <v>0</v>
      </c>
      <c r="H91" s="65">
        <v>0</v>
      </c>
      <c r="I91" s="65">
        <v>0</v>
      </c>
      <c r="J91" s="65">
        <f t="shared" si="2"/>
        <v>0</v>
      </c>
      <c r="K91" s="97"/>
      <c r="L91" s="97"/>
    </row>
    <row r="92" spans="1:12">
      <c r="A92" s="63">
        <v>89</v>
      </c>
      <c r="B92" s="63" t="s">
        <v>56</v>
      </c>
      <c r="C92" s="63" t="s">
        <v>298</v>
      </c>
      <c r="D92" s="92">
        <v>10000</v>
      </c>
      <c r="E92" s="66">
        <v>0</v>
      </c>
      <c r="F92" s="66">
        <v>0</v>
      </c>
      <c r="G92" s="66">
        <v>0</v>
      </c>
      <c r="H92" s="66">
        <v>0</v>
      </c>
      <c r="I92" s="66">
        <v>0</v>
      </c>
      <c r="J92" s="66">
        <f t="shared" si="2"/>
        <v>0</v>
      </c>
      <c r="K92" s="92">
        <f>SUM(J92:J95)</f>
        <v>0</v>
      </c>
      <c r="L92" s="92">
        <f>D92-K92</f>
        <v>10000</v>
      </c>
    </row>
    <row r="93" spans="1:12">
      <c r="A93" s="63">
        <v>90</v>
      </c>
      <c r="B93" s="63" t="s">
        <v>174</v>
      </c>
      <c r="C93" s="63" t="s">
        <v>298</v>
      </c>
      <c r="D93" s="93"/>
      <c r="E93" s="66">
        <v>0</v>
      </c>
      <c r="F93" s="66">
        <v>0</v>
      </c>
      <c r="G93" s="66">
        <v>0</v>
      </c>
      <c r="H93" s="66">
        <v>0</v>
      </c>
      <c r="I93" s="66">
        <v>0</v>
      </c>
      <c r="J93" s="66">
        <f t="shared" si="2"/>
        <v>0</v>
      </c>
      <c r="K93" s="93"/>
      <c r="L93" s="93"/>
    </row>
    <row r="94" spans="1:12">
      <c r="A94" s="63">
        <v>91</v>
      </c>
      <c r="B94" s="63" t="s">
        <v>175</v>
      </c>
      <c r="C94" s="63" t="s">
        <v>298</v>
      </c>
      <c r="D94" s="93"/>
      <c r="E94" s="66">
        <v>0</v>
      </c>
      <c r="F94" s="66">
        <v>0</v>
      </c>
      <c r="G94" s="66">
        <v>0</v>
      </c>
      <c r="H94" s="66">
        <v>0</v>
      </c>
      <c r="I94" s="66">
        <v>0</v>
      </c>
      <c r="J94" s="66">
        <f t="shared" si="2"/>
        <v>0</v>
      </c>
      <c r="K94" s="93"/>
      <c r="L94" s="93"/>
    </row>
    <row r="95" spans="1:12">
      <c r="A95" s="63">
        <v>92</v>
      </c>
      <c r="B95" s="63" t="s">
        <v>176</v>
      </c>
      <c r="C95" s="63" t="s">
        <v>298</v>
      </c>
      <c r="D95" s="94"/>
      <c r="E95" s="66">
        <v>0</v>
      </c>
      <c r="F95" s="66">
        <v>0</v>
      </c>
      <c r="G95" s="66">
        <v>0</v>
      </c>
      <c r="H95" s="66">
        <v>0</v>
      </c>
      <c r="I95" s="66">
        <v>0</v>
      </c>
      <c r="J95" s="66">
        <f t="shared" si="2"/>
        <v>0</v>
      </c>
      <c r="K95" s="94"/>
      <c r="L95" s="94"/>
    </row>
    <row r="96" spans="1:12">
      <c r="A96" s="63">
        <v>93</v>
      </c>
      <c r="B96" s="63" t="s">
        <v>59</v>
      </c>
      <c r="C96" s="63" t="s">
        <v>299</v>
      </c>
      <c r="D96" s="92">
        <v>20000</v>
      </c>
      <c r="E96" s="65">
        <v>2091</v>
      </c>
      <c r="F96" s="65">
        <v>0</v>
      </c>
      <c r="G96" s="65">
        <v>0</v>
      </c>
      <c r="H96" s="65">
        <v>0</v>
      </c>
      <c r="I96" s="65">
        <v>0</v>
      </c>
      <c r="J96" s="65">
        <f t="shared" si="2"/>
        <v>2091</v>
      </c>
      <c r="K96" s="95">
        <f>SUM(J96:J99)</f>
        <v>2091</v>
      </c>
      <c r="L96" s="95">
        <f>D96-K96</f>
        <v>17909</v>
      </c>
    </row>
    <row r="97" spans="1:12">
      <c r="A97" s="63">
        <v>94</v>
      </c>
      <c r="B97" s="63" t="s">
        <v>177</v>
      </c>
      <c r="C97" s="63" t="s">
        <v>299</v>
      </c>
      <c r="D97" s="93"/>
      <c r="E97" s="65">
        <v>0</v>
      </c>
      <c r="F97" s="65">
        <v>0</v>
      </c>
      <c r="G97" s="65">
        <v>0</v>
      </c>
      <c r="H97" s="65">
        <v>0</v>
      </c>
      <c r="I97" s="65">
        <v>0</v>
      </c>
      <c r="J97" s="65">
        <f t="shared" si="2"/>
        <v>0</v>
      </c>
      <c r="K97" s="96"/>
      <c r="L97" s="96"/>
    </row>
    <row r="98" spans="1:12">
      <c r="A98" s="63">
        <v>95</v>
      </c>
      <c r="B98" s="63" t="s">
        <v>178</v>
      </c>
      <c r="C98" s="63" t="s">
        <v>299</v>
      </c>
      <c r="D98" s="93"/>
      <c r="E98" s="65">
        <v>0</v>
      </c>
      <c r="F98" s="65">
        <v>0</v>
      </c>
      <c r="G98" s="65">
        <v>0</v>
      </c>
      <c r="H98" s="65">
        <v>0</v>
      </c>
      <c r="I98" s="65">
        <v>0</v>
      </c>
      <c r="J98" s="65">
        <f t="shared" si="2"/>
        <v>0</v>
      </c>
      <c r="K98" s="96"/>
      <c r="L98" s="96"/>
    </row>
    <row r="99" spans="1:12">
      <c r="A99" s="63">
        <v>96</v>
      </c>
      <c r="B99" s="63" t="s">
        <v>179</v>
      </c>
      <c r="C99" s="63" t="s">
        <v>299</v>
      </c>
      <c r="D99" s="94"/>
      <c r="E99" s="65">
        <v>0</v>
      </c>
      <c r="F99" s="65">
        <v>0</v>
      </c>
      <c r="G99" s="65">
        <v>0</v>
      </c>
      <c r="H99" s="65">
        <v>0</v>
      </c>
      <c r="I99" s="65">
        <v>0</v>
      </c>
      <c r="J99" s="65">
        <f t="shared" si="2"/>
        <v>0</v>
      </c>
      <c r="K99" s="97"/>
      <c r="L99" s="97"/>
    </row>
    <row r="100" spans="1:12">
      <c r="A100" s="63">
        <v>97</v>
      </c>
      <c r="B100" s="63" t="s">
        <v>62</v>
      </c>
      <c r="C100" s="63" t="s">
        <v>300</v>
      </c>
      <c r="D100" s="92">
        <v>7000</v>
      </c>
      <c r="E100" s="66">
        <v>0</v>
      </c>
      <c r="F100" s="66">
        <v>0</v>
      </c>
      <c r="G100" s="66">
        <v>0</v>
      </c>
      <c r="H100" s="66">
        <v>0</v>
      </c>
      <c r="I100" s="66">
        <v>0</v>
      </c>
      <c r="J100" s="66">
        <f t="shared" ref="J100:J131" si="3">SUM(E100:I100)</f>
        <v>0</v>
      </c>
      <c r="K100" s="92">
        <f>SUM(J100:J103)</f>
        <v>0</v>
      </c>
      <c r="L100" s="92">
        <f>D100-K100</f>
        <v>7000</v>
      </c>
    </row>
    <row r="101" spans="1:12">
      <c r="A101" s="63">
        <v>98</v>
      </c>
      <c r="B101" s="63" t="s">
        <v>180</v>
      </c>
      <c r="C101" s="63" t="s">
        <v>300</v>
      </c>
      <c r="D101" s="93"/>
      <c r="E101" s="66">
        <v>0</v>
      </c>
      <c r="F101" s="66">
        <v>0</v>
      </c>
      <c r="G101" s="66">
        <v>0</v>
      </c>
      <c r="H101" s="66">
        <v>0</v>
      </c>
      <c r="I101" s="66">
        <v>0</v>
      </c>
      <c r="J101" s="66">
        <f t="shared" si="3"/>
        <v>0</v>
      </c>
      <c r="K101" s="93"/>
      <c r="L101" s="93"/>
    </row>
    <row r="102" spans="1:12">
      <c r="A102" s="63">
        <v>99</v>
      </c>
      <c r="B102" s="63" t="s">
        <v>181</v>
      </c>
      <c r="C102" s="63" t="s">
        <v>300</v>
      </c>
      <c r="D102" s="93"/>
      <c r="E102" s="66">
        <v>0</v>
      </c>
      <c r="F102" s="66">
        <v>0</v>
      </c>
      <c r="G102" s="66">
        <v>0</v>
      </c>
      <c r="H102" s="66">
        <v>0</v>
      </c>
      <c r="I102" s="66">
        <v>0</v>
      </c>
      <c r="J102" s="66">
        <f t="shared" si="3"/>
        <v>0</v>
      </c>
      <c r="K102" s="93"/>
      <c r="L102" s="93"/>
    </row>
    <row r="103" spans="1:12">
      <c r="A103" s="63">
        <v>100</v>
      </c>
      <c r="B103" s="63" t="s">
        <v>182</v>
      </c>
      <c r="C103" s="63" t="s">
        <v>300</v>
      </c>
      <c r="D103" s="94"/>
      <c r="E103" s="66">
        <v>0</v>
      </c>
      <c r="F103" s="66">
        <v>0</v>
      </c>
      <c r="G103" s="66">
        <v>0</v>
      </c>
      <c r="H103" s="66">
        <v>0</v>
      </c>
      <c r="I103" s="66">
        <v>0</v>
      </c>
      <c r="J103" s="66">
        <f t="shared" si="3"/>
        <v>0</v>
      </c>
      <c r="K103" s="94"/>
      <c r="L103" s="94"/>
    </row>
    <row r="104" spans="1:12">
      <c r="A104" s="63">
        <v>101</v>
      </c>
      <c r="B104" s="63" t="s">
        <v>65</v>
      </c>
      <c r="C104" s="63" t="s">
        <v>274</v>
      </c>
      <c r="D104" s="92">
        <v>2000</v>
      </c>
      <c r="E104" s="65">
        <v>0</v>
      </c>
      <c r="F104" s="65">
        <v>0</v>
      </c>
      <c r="G104" s="65">
        <v>0</v>
      </c>
      <c r="H104" s="65">
        <v>0</v>
      </c>
      <c r="I104" s="65">
        <v>0</v>
      </c>
      <c r="J104" s="65">
        <f t="shared" si="3"/>
        <v>0</v>
      </c>
      <c r="K104" s="95">
        <f>SUM(J104:J107)</f>
        <v>0</v>
      </c>
      <c r="L104" s="95">
        <f>D104-K104</f>
        <v>2000</v>
      </c>
    </row>
    <row r="105" spans="1:12">
      <c r="A105" s="63">
        <v>102</v>
      </c>
      <c r="B105" s="63" t="s">
        <v>183</v>
      </c>
      <c r="C105" s="63" t="s">
        <v>274</v>
      </c>
      <c r="D105" s="93"/>
      <c r="E105" s="65">
        <v>0</v>
      </c>
      <c r="F105" s="65">
        <v>0</v>
      </c>
      <c r="G105" s="65">
        <v>0</v>
      </c>
      <c r="H105" s="65">
        <v>0</v>
      </c>
      <c r="I105" s="65">
        <v>0</v>
      </c>
      <c r="J105" s="65">
        <f t="shared" si="3"/>
        <v>0</v>
      </c>
      <c r="K105" s="96"/>
      <c r="L105" s="96"/>
    </row>
    <row r="106" spans="1:12">
      <c r="A106" s="63">
        <v>103</v>
      </c>
      <c r="B106" s="63" t="s">
        <v>184</v>
      </c>
      <c r="C106" s="63" t="s">
        <v>274</v>
      </c>
      <c r="D106" s="93"/>
      <c r="E106" s="65">
        <v>0</v>
      </c>
      <c r="F106" s="65">
        <v>0</v>
      </c>
      <c r="G106" s="65">
        <v>0</v>
      </c>
      <c r="H106" s="65">
        <v>0</v>
      </c>
      <c r="I106" s="65">
        <v>0</v>
      </c>
      <c r="J106" s="65">
        <f t="shared" si="3"/>
        <v>0</v>
      </c>
      <c r="K106" s="96"/>
      <c r="L106" s="96"/>
    </row>
    <row r="107" spans="1:12">
      <c r="A107" s="63">
        <v>104</v>
      </c>
      <c r="B107" s="63" t="s">
        <v>185</v>
      </c>
      <c r="C107" s="63" t="s">
        <v>274</v>
      </c>
      <c r="D107" s="94"/>
      <c r="E107" s="65">
        <v>0</v>
      </c>
      <c r="F107" s="65">
        <v>0</v>
      </c>
      <c r="G107" s="65">
        <v>0</v>
      </c>
      <c r="H107" s="65">
        <v>0</v>
      </c>
      <c r="I107" s="65">
        <v>0</v>
      </c>
      <c r="J107" s="65">
        <f t="shared" si="3"/>
        <v>0</v>
      </c>
      <c r="K107" s="97"/>
      <c r="L107" s="97"/>
    </row>
    <row r="108" spans="1:12">
      <c r="A108" s="63">
        <v>105</v>
      </c>
      <c r="B108" s="63" t="s">
        <v>68</v>
      </c>
      <c r="C108" s="63" t="s">
        <v>282</v>
      </c>
      <c r="D108" s="92">
        <v>65254.421499999997</v>
      </c>
      <c r="E108" s="66">
        <v>0</v>
      </c>
      <c r="F108" s="66">
        <v>0</v>
      </c>
      <c r="G108" s="66">
        <v>0</v>
      </c>
      <c r="H108" s="66">
        <v>0</v>
      </c>
      <c r="I108" s="66">
        <v>0</v>
      </c>
      <c r="J108" s="66">
        <f t="shared" si="3"/>
        <v>0</v>
      </c>
      <c r="K108" s="92">
        <f>SUM(J108:J111)</f>
        <v>0</v>
      </c>
      <c r="L108" s="92">
        <f>D108-K108</f>
        <v>65254.421499999997</v>
      </c>
    </row>
    <row r="109" spans="1:12">
      <c r="A109" s="63">
        <v>106</v>
      </c>
      <c r="B109" s="63" t="s">
        <v>186</v>
      </c>
      <c r="C109" s="63" t="s">
        <v>282</v>
      </c>
      <c r="D109" s="93"/>
      <c r="E109" s="66">
        <v>0</v>
      </c>
      <c r="F109" s="66">
        <v>0</v>
      </c>
      <c r="G109" s="66">
        <v>0</v>
      </c>
      <c r="H109" s="66">
        <v>0</v>
      </c>
      <c r="I109" s="66">
        <v>0</v>
      </c>
      <c r="J109" s="66">
        <f t="shared" si="3"/>
        <v>0</v>
      </c>
      <c r="K109" s="93"/>
      <c r="L109" s="93"/>
    </row>
    <row r="110" spans="1:12">
      <c r="A110" s="63">
        <v>107</v>
      </c>
      <c r="B110" s="63" t="s">
        <v>187</v>
      </c>
      <c r="C110" s="63" t="s">
        <v>282</v>
      </c>
      <c r="D110" s="93"/>
      <c r="E110" s="66">
        <v>0</v>
      </c>
      <c r="F110" s="66">
        <v>0</v>
      </c>
      <c r="G110" s="66">
        <v>0</v>
      </c>
      <c r="H110" s="66">
        <v>0</v>
      </c>
      <c r="I110" s="66">
        <v>0</v>
      </c>
      <c r="J110" s="66">
        <f t="shared" si="3"/>
        <v>0</v>
      </c>
      <c r="K110" s="93"/>
      <c r="L110" s="93"/>
    </row>
    <row r="111" spans="1:12">
      <c r="A111" s="63">
        <v>108</v>
      </c>
      <c r="B111" s="63" t="s">
        <v>188</v>
      </c>
      <c r="C111" s="63" t="s">
        <v>282</v>
      </c>
      <c r="D111" s="94"/>
      <c r="E111" s="66">
        <v>0</v>
      </c>
      <c r="F111" s="66">
        <v>0</v>
      </c>
      <c r="G111" s="66">
        <v>0</v>
      </c>
      <c r="H111" s="66">
        <v>0</v>
      </c>
      <c r="I111" s="66">
        <v>0</v>
      </c>
      <c r="J111" s="66">
        <f t="shared" si="3"/>
        <v>0</v>
      </c>
      <c r="K111" s="94"/>
      <c r="L111" s="94"/>
    </row>
    <row r="112" spans="1:12">
      <c r="A112" s="63">
        <v>109</v>
      </c>
      <c r="B112" s="63" t="s">
        <v>71</v>
      </c>
      <c r="C112" s="63" t="s">
        <v>301</v>
      </c>
      <c r="D112" s="92">
        <v>2100</v>
      </c>
      <c r="E112" s="65">
        <v>0</v>
      </c>
      <c r="F112" s="65">
        <v>0</v>
      </c>
      <c r="G112" s="65">
        <v>0</v>
      </c>
      <c r="H112" s="65">
        <v>0</v>
      </c>
      <c r="I112" s="65">
        <v>0</v>
      </c>
      <c r="J112" s="65">
        <f t="shared" si="3"/>
        <v>0</v>
      </c>
      <c r="K112" s="95">
        <f>SUM(J112:J115)</f>
        <v>0</v>
      </c>
      <c r="L112" s="95">
        <f>D112-K112</f>
        <v>2100</v>
      </c>
    </row>
    <row r="113" spans="1:12">
      <c r="A113" s="63">
        <v>110</v>
      </c>
      <c r="B113" s="63" t="s">
        <v>189</v>
      </c>
      <c r="C113" s="63" t="s">
        <v>301</v>
      </c>
      <c r="D113" s="93"/>
      <c r="E113" s="65">
        <v>0</v>
      </c>
      <c r="F113" s="65">
        <v>0</v>
      </c>
      <c r="G113" s="65">
        <v>0</v>
      </c>
      <c r="H113" s="65">
        <v>0</v>
      </c>
      <c r="I113" s="65">
        <v>0</v>
      </c>
      <c r="J113" s="65">
        <f t="shared" si="3"/>
        <v>0</v>
      </c>
      <c r="K113" s="96"/>
      <c r="L113" s="96"/>
    </row>
    <row r="114" spans="1:12">
      <c r="A114" s="63">
        <v>111</v>
      </c>
      <c r="B114" s="63" t="s">
        <v>190</v>
      </c>
      <c r="C114" s="63" t="s">
        <v>301</v>
      </c>
      <c r="D114" s="93"/>
      <c r="E114" s="65">
        <v>0</v>
      </c>
      <c r="F114" s="65">
        <v>0</v>
      </c>
      <c r="G114" s="65">
        <v>0</v>
      </c>
      <c r="H114" s="65">
        <v>0</v>
      </c>
      <c r="I114" s="65">
        <v>0</v>
      </c>
      <c r="J114" s="65">
        <f t="shared" si="3"/>
        <v>0</v>
      </c>
      <c r="K114" s="96"/>
      <c r="L114" s="96"/>
    </row>
    <row r="115" spans="1:12">
      <c r="A115" s="63">
        <v>112</v>
      </c>
      <c r="B115" s="63" t="s">
        <v>191</v>
      </c>
      <c r="C115" s="63" t="s">
        <v>301</v>
      </c>
      <c r="D115" s="94"/>
      <c r="E115" s="65">
        <v>0</v>
      </c>
      <c r="F115" s="65">
        <v>0</v>
      </c>
      <c r="G115" s="65">
        <v>0</v>
      </c>
      <c r="H115" s="65">
        <v>0</v>
      </c>
      <c r="I115" s="65">
        <v>0</v>
      </c>
      <c r="J115" s="65">
        <f t="shared" si="3"/>
        <v>0</v>
      </c>
      <c r="K115" s="97"/>
      <c r="L115" s="97"/>
    </row>
    <row r="116" spans="1:12">
      <c r="A116" s="63">
        <v>113</v>
      </c>
      <c r="B116" s="63" t="s">
        <v>74</v>
      </c>
      <c r="C116" s="63" t="s">
        <v>302</v>
      </c>
      <c r="D116" s="92">
        <v>2403.8200000000002</v>
      </c>
      <c r="E116" s="66">
        <v>0</v>
      </c>
      <c r="F116" s="66">
        <v>0</v>
      </c>
      <c r="G116" s="66">
        <v>0</v>
      </c>
      <c r="H116" s="66">
        <v>0</v>
      </c>
      <c r="I116" s="66">
        <v>0</v>
      </c>
      <c r="J116" s="66">
        <f t="shared" si="3"/>
        <v>0</v>
      </c>
      <c r="K116" s="92">
        <f>SUM(J116:J119)</f>
        <v>0</v>
      </c>
      <c r="L116" s="92">
        <f>D116-K116</f>
        <v>2403.8200000000002</v>
      </c>
    </row>
    <row r="117" spans="1:12">
      <c r="A117" s="63">
        <v>114</v>
      </c>
      <c r="B117" s="63" t="s">
        <v>192</v>
      </c>
      <c r="C117" s="63" t="s">
        <v>302</v>
      </c>
      <c r="D117" s="93"/>
      <c r="E117" s="66">
        <v>0</v>
      </c>
      <c r="F117" s="66">
        <v>0</v>
      </c>
      <c r="G117" s="66">
        <v>0</v>
      </c>
      <c r="H117" s="66">
        <v>0</v>
      </c>
      <c r="I117" s="66">
        <v>0</v>
      </c>
      <c r="J117" s="66">
        <f t="shared" si="3"/>
        <v>0</v>
      </c>
      <c r="K117" s="93"/>
      <c r="L117" s="93"/>
    </row>
    <row r="118" spans="1:12">
      <c r="A118" s="63">
        <v>115</v>
      </c>
      <c r="B118" s="63" t="s">
        <v>193</v>
      </c>
      <c r="C118" s="63" t="s">
        <v>302</v>
      </c>
      <c r="D118" s="93"/>
      <c r="E118" s="66">
        <v>0</v>
      </c>
      <c r="F118" s="66">
        <v>0</v>
      </c>
      <c r="G118" s="66">
        <v>0</v>
      </c>
      <c r="H118" s="66">
        <v>0</v>
      </c>
      <c r="I118" s="66">
        <v>0</v>
      </c>
      <c r="J118" s="66">
        <f t="shared" si="3"/>
        <v>0</v>
      </c>
      <c r="K118" s="93"/>
      <c r="L118" s="93"/>
    </row>
    <row r="119" spans="1:12">
      <c r="A119" s="63">
        <v>116</v>
      </c>
      <c r="B119" s="63" t="s">
        <v>194</v>
      </c>
      <c r="C119" s="63" t="s">
        <v>302</v>
      </c>
      <c r="D119" s="94"/>
      <c r="E119" s="66">
        <v>0</v>
      </c>
      <c r="F119" s="66">
        <v>0</v>
      </c>
      <c r="G119" s="66">
        <v>0</v>
      </c>
      <c r="H119" s="66">
        <v>0</v>
      </c>
      <c r="I119" s="66">
        <v>0</v>
      </c>
      <c r="J119" s="66">
        <f t="shared" si="3"/>
        <v>0</v>
      </c>
      <c r="K119" s="94"/>
      <c r="L119" s="94"/>
    </row>
    <row r="120" spans="1:12">
      <c r="A120" s="63">
        <v>117</v>
      </c>
      <c r="B120" s="63" t="s">
        <v>77</v>
      </c>
      <c r="C120" s="63" t="s">
        <v>303</v>
      </c>
      <c r="D120" s="92">
        <v>309.85000000000002</v>
      </c>
      <c r="E120" s="65">
        <v>0</v>
      </c>
      <c r="F120" s="65">
        <v>0</v>
      </c>
      <c r="G120" s="65">
        <v>0</v>
      </c>
      <c r="H120" s="65">
        <v>0</v>
      </c>
      <c r="I120" s="65">
        <v>0</v>
      </c>
      <c r="J120" s="65">
        <f t="shared" si="3"/>
        <v>0</v>
      </c>
      <c r="K120" s="95">
        <f>SUM(J120:J123)</f>
        <v>0</v>
      </c>
      <c r="L120" s="95">
        <f>D120-K120</f>
        <v>309.85000000000002</v>
      </c>
    </row>
    <row r="121" spans="1:12">
      <c r="A121" s="63">
        <v>118</v>
      </c>
      <c r="B121" s="63" t="s">
        <v>195</v>
      </c>
      <c r="C121" s="63" t="s">
        <v>303</v>
      </c>
      <c r="D121" s="93"/>
      <c r="E121" s="65">
        <v>0</v>
      </c>
      <c r="F121" s="65">
        <v>0</v>
      </c>
      <c r="G121" s="65">
        <v>0</v>
      </c>
      <c r="H121" s="65">
        <v>0</v>
      </c>
      <c r="I121" s="65">
        <v>0</v>
      </c>
      <c r="J121" s="65">
        <f t="shared" si="3"/>
        <v>0</v>
      </c>
      <c r="K121" s="96"/>
      <c r="L121" s="96"/>
    </row>
    <row r="122" spans="1:12">
      <c r="A122" s="63">
        <v>119</v>
      </c>
      <c r="B122" s="63" t="s">
        <v>196</v>
      </c>
      <c r="C122" s="63" t="s">
        <v>303</v>
      </c>
      <c r="D122" s="93"/>
      <c r="E122" s="65">
        <v>0</v>
      </c>
      <c r="F122" s="65">
        <v>0</v>
      </c>
      <c r="G122" s="65">
        <v>0</v>
      </c>
      <c r="H122" s="65">
        <v>0</v>
      </c>
      <c r="I122" s="65">
        <v>0</v>
      </c>
      <c r="J122" s="65">
        <f t="shared" si="3"/>
        <v>0</v>
      </c>
      <c r="K122" s="96"/>
      <c r="L122" s="96"/>
    </row>
    <row r="123" spans="1:12">
      <c r="A123" s="63">
        <v>120</v>
      </c>
      <c r="B123" s="63" t="s">
        <v>197</v>
      </c>
      <c r="C123" s="63" t="s">
        <v>303</v>
      </c>
      <c r="D123" s="94"/>
      <c r="E123" s="65">
        <v>0</v>
      </c>
      <c r="F123" s="65">
        <v>0</v>
      </c>
      <c r="G123" s="65">
        <v>0</v>
      </c>
      <c r="H123" s="65">
        <v>0</v>
      </c>
      <c r="I123" s="65">
        <v>0</v>
      </c>
      <c r="J123" s="65">
        <f t="shared" si="3"/>
        <v>0</v>
      </c>
      <c r="K123" s="97"/>
      <c r="L123" s="97"/>
    </row>
    <row r="124" spans="1:12">
      <c r="A124" s="63">
        <v>121</v>
      </c>
      <c r="B124" s="63" t="s">
        <v>79</v>
      </c>
      <c r="C124" s="63" t="s">
        <v>275</v>
      </c>
      <c r="D124" s="92">
        <v>869.23</v>
      </c>
      <c r="E124" s="66">
        <v>0</v>
      </c>
      <c r="F124" s="66">
        <v>0</v>
      </c>
      <c r="G124" s="66">
        <v>0</v>
      </c>
      <c r="H124" s="66">
        <v>0</v>
      </c>
      <c r="I124" s="66">
        <v>0</v>
      </c>
      <c r="J124" s="66">
        <f t="shared" si="3"/>
        <v>0</v>
      </c>
      <c r="K124" s="92">
        <f>SUM(J124:J127)</f>
        <v>0</v>
      </c>
      <c r="L124" s="92">
        <f>D124-K124</f>
        <v>869.23</v>
      </c>
    </row>
    <row r="125" spans="1:12">
      <c r="A125" s="63">
        <v>122</v>
      </c>
      <c r="B125" s="63" t="s">
        <v>198</v>
      </c>
      <c r="C125" s="63" t="s">
        <v>275</v>
      </c>
      <c r="D125" s="93"/>
      <c r="E125" s="66">
        <v>0</v>
      </c>
      <c r="F125" s="66">
        <v>0</v>
      </c>
      <c r="G125" s="66">
        <v>0</v>
      </c>
      <c r="H125" s="66">
        <v>0</v>
      </c>
      <c r="I125" s="66">
        <v>0</v>
      </c>
      <c r="J125" s="66">
        <f t="shared" si="3"/>
        <v>0</v>
      </c>
      <c r="K125" s="93"/>
      <c r="L125" s="93"/>
    </row>
    <row r="126" spans="1:12">
      <c r="A126" s="63">
        <v>123</v>
      </c>
      <c r="B126" s="63" t="s">
        <v>199</v>
      </c>
      <c r="C126" s="63" t="s">
        <v>275</v>
      </c>
      <c r="D126" s="93"/>
      <c r="E126" s="66">
        <v>0</v>
      </c>
      <c r="F126" s="66">
        <v>0</v>
      </c>
      <c r="G126" s="66">
        <v>0</v>
      </c>
      <c r="H126" s="66">
        <v>0</v>
      </c>
      <c r="I126" s="66">
        <v>0</v>
      </c>
      <c r="J126" s="66">
        <f t="shared" si="3"/>
        <v>0</v>
      </c>
      <c r="K126" s="93"/>
      <c r="L126" s="93"/>
    </row>
    <row r="127" spans="1:12">
      <c r="A127" s="63">
        <v>124</v>
      </c>
      <c r="B127" s="63" t="s">
        <v>200</v>
      </c>
      <c r="C127" s="63" t="s">
        <v>275</v>
      </c>
      <c r="D127" s="94"/>
      <c r="E127" s="66">
        <v>0</v>
      </c>
      <c r="F127" s="66">
        <v>0</v>
      </c>
      <c r="G127" s="66">
        <v>0</v>
      </c>
      <c r="H127" s="66">
        <v>0</v>
      </c>
      <c r="I127" s="66">
        <v>0</v>
      </c>
      <c r="J127" s="66">
        <f t="shared" si="3"/>
        <v>0</v>
      </c>
      <c r="K127" s="94"/>
      <c r="L127" s="94"/>
    </row>
    <row r="128" spans="1:12">
      <c r="A128" s="63">
        <v>125</v>
      </c>
      <c r="B128" s="63" t="s">
        <v>82</v>
      </c>
      <c r="C128" s="63" t="s">
        <v>276</v>
      </c>
      <c r="D128" s="92">
        <v>743.73</v>
      </c>
      <c r="E128" s="65">
        <v>0</v>
      </c>
      <c r="F128" s="65">
        <v>185</v>
      </c>
      <c r="G128" s="65">
        <v>0</v>
      </c>
      <c r="H128" s="65">
        <v>0</v>
      </c>
      <c r="I128" s="65">
        <v>0</v>
      </c>
      <c r="J128" s="65">
        <f t="shared" si="3"/>
        <v>185</v>
      </c>
      <c r="K128" s="95">
        <f>SUM(J128:J131)</f>
        <v>522</v>
      </c>
      <c r="L128" s="95">
        <f>D128-K128</f>
        <v>221.73000000000002</v>
      </c>
    </row>
    <row r="129" spans="1:12">
      <c r="A129" s="63">
        <v>126</v>
      </c>
      <c r="B129" s="63" t="s">
        <v>201</v>
      </c>
      <c r="C129" s="63" t="s">
        <v>276</v>
      </c>
      <c r="D129" s="93"/>
      <c r="E129" s="65">
        <v>0</v>
      </c>
      <c r="F129" s="65">
        <v>337</v>
      </c>
      <c r="G129" s="65">
        <v>0</v>
      </c>
      <c r="H129" s="65">
        <v>0</v>
      </c>
      <c r="I129" s="65">
        <v>0</v>
      </c>
      <c r="J129" s="65">
        <f t="shared" si="3"/>
        <v>337</v>
      </c>
      <c r="K129" s="96"/>
      <c r="L129" s="96"/>
    </row>
    <row r="130" spans="1:12">
      <c r="A130" s="63">
        <v>127</v>
      </c>
      <c r="B130" s="63" t="s">
        <v>202</v>
      </c>
      <c r="C130" s="63" t="s">
        <v>276</v>
      </c>
      <c r="D130" s="93"/>
      <c r="E130" s="65">
        <v>0</v>
      </c>
      <c r="F130" s="65">
        <v>0</v>
      </c>
      <c r="G130" s="65">
        <v>0</v>
      </c>
      <c r="H130" s="65">
        <v>0</v>
      </c>
      <c r="I130" s="65">
        <v>0</v>
      </c>
      <c r="J130" s="65">
        <f t="shared" si="3"/>
        <v>0</v>
      </c>
      <c r="K130" s="96"/>
      <c r="L130" s="96"/>
    </row>
    <row r="131" spans="1:12">
      <c r="A131" s="63">
        <v>128</v>
      </c>
      <c r="B131" s="63" t="s">
        <v>203</v>
      </c>
      <c r="C131" s="63" t="s">
        <v>276</v>
      </c>
      <c r="D131" s="94"/>
      <c r="E131" s="65">
        <v>0</v>
      </c>
      <c r="F131" s="65">
        <v>0</v>
      </c>
      <c r="G131" s="65">
        <v>0</v>
      </c>
      <c r="H131" s="65">
        <v>0</v>
      </c>
      <c r="I131" s="65">
        <v>0</v>
      </c>
      <c r="J131" s="65">
        <f t="shared" si="3"/>
        <v>0</v>
      </c>
      <c r="K131" s="97"/>
      <c r="L131" s="97"/>
    </row>
    <row r="132" spans="1:12">
      <c r="A132" s="63">
        <v>129</v>
      </c>
      <c r="B132" s="63" t="s">
        <v>85</v>
      </c>
      <c r="C132" s="63" t="s">
        <v>277</v>
      </c>
      <c r="D132" s="92">
        <v>345.96999999999997</v>
      </c>
      <c r="E132" s="66">
        <v>0</v>
      </c>
      <c r="F132" s="66">
        <v>0</v>
      </c>
      <c r="G132" s="66">
        <v>0</v>
      </c>
      <c r="H132" s="66">
        <v>0</v>
      </c>
      <c r="I132" s="66">
        <v>0</v>
      </c>
      <c r="J132" s="66">
        <f t="shared" ref="J132:J163" si="4">SUM(E132:I132)</f>
        <v>0</v>
      </c>
      <c r="K132" s="92">
        <f>SUM(J132:J135)</f>
        <v>0</v>
      </c>
      <c r="L132" s="92">
        <f>D132-K132</f>
        <v>345.96999999999997</v>
      </c>
    </row>
    <row r="133" spans="1:12">
      <c r="A133" s="63">
        <v>130</v>
      </c>
      <c r="B133" s="63" t="s">
        <v>204</v>
      </c>
      <c r="C133" s="63" t="s">
        <v>277</v>
      </c>
      <c r="D133" s="93"/>
      <c r="E133" s="66">
        <v>0</v>
      </c>
      <c r="F133" s="66">
        <v>0</v>
      </c>
      <c r="G133" s="66">
        <v>0</v>
      </c>
      <c r="H133" s="66">
        <v>0</v>
      </c>
      <c r="I133" s="66">
        <v>0</v>
      </c>
      <c r="J133" s="66">
        <f t="shared" si="4"/>
        <v>0</v>
      </c>
      <c r="K133" s="93"/>
      <c r="L133" s="93"/>
    </row>
    <row r="134" spans="1:12">
      <c r="A134" s="63">
        <v>131</v>
      </c>
      <c r="B134" s="63" t="s">
        <v>205</v>
      </c>
      <c r="C134" s="63" t="s">
        <v>277</v>
      </c>
      <c r="D134" s="93"/>
      <c r="E134" s="66">
        <v>0</v>
      </c>
      <c r="F134" s="66">
        <v>0</v>
      </c>
      <c r="G134" s="66">
        <v>0</v>
      </c>
      <c r="H134" s="66">
        <v>0</v>
      </c>
      <c r="I134" s="66">
        <v>0</v>
      </c>
      <c r="J134" s="66">
        <f t="shared" si="4"/>
        <v>0</v>
      </c>
      <c r="K134" s="93"/>
      <c r="L134" s="93"/>
    </row>
    <row r="135" spans="1:12">
      <c r="A135" s="63">
        <v>132</v>
      </c>
      <c r="B135" s="63" t="s">
        <v>206</v>
      </c>
      <c r="C135" s="63" t="s">
        <v>277</v>
      </c>
      <c r="D135" s="94"/>
      <c r="E135" s="66">
        <v>0</v>
      </c>
      <c r="F135" s="66">
        <v>0</v>
      </c>
      <c r="G135" s="66">
        <v>0</v>
      </c>
      <c r="H135" s="66">
        <v>0</v>
      </c>
      <c r="I135" s="66">
        <v>0</v>
      </c>
      <c r="J135" s="66">
        <f t="shared" si="4"/>
        <v>0</v>
      </c>
      <c r="K135" s="94"/>
      <c r="L135" s="94"/>
    </row>
    <row r="136" spans="1:12">
      <c r="A136" s="63">
        <v>133</v>
      </c>
      <c r="B136" s="63" t="s">
        <v>88</v>
      </c>
      <c r="C136" s="63" t="s">
        <v>304</v>
      </c>
      <c r="D136" s="92">
        <v>3432.3599999999997</v>
      </c>
      <c r="E136" s="65">
        <v>0</v>
      </c>
      <c r="F136" s="65">
        <v>0</v>
      </c>
      <c r="G136" s="65">
        <v>0</v>
      </c>
      <c r="H136" s="65">
        <v>0</v>
      </c>
      <c r="I136" s="65">
        <v>854</v>
      </c>
      <c r="J136" s="65">
        <f t="shared" si="4"/>
        <v>854</v>
      </c>
      <c r="K136" s="95">
        <f>SUM(J136:J147)</f>
        <v>965</v>
      </c>
      <c r="L136" s="95">
        <f>D136-K136</f>
        <v>2467.3599999999997</v>
      </c>
    </row>
    <row r="137" spans="1:12">
      <c r="A137" s="63">
        <v>134</v>
      </c>
      <c r="B137" s="63" t="s">
        <v>207</v>
      </c>
      <c r="C137" s="63" t="s">
        <v>304</v>
      </c>
      <c r="D137" s="93"/>
      <c r="E137" s="65">
        <v>0</v>
      </c>
      <c r="F137" s="65">
        <v>60</v>
      </c>
      <c r="G137" s="65">
        <v>0</v>
      </c>
      <c r="H137" s="65">
        <v>0</v>
      </c>
      <c r="I137" s="65">
        <v>0</v>
      </c>
      <c r="J137" s="65">
        <f t="shared" si="4"/>
        <v>60</v>
      </c>
      <c r="K137" s="96"/>
      <c r="L137" s="96"/>
    </row>
    <row r="138" spans="1:12">
      <c r="A138" s="63">
        <v>135</v>
      </c>
      <c r="B138" s="63" t="s">
        <v>208</v>
      </c>
      <c r="C138" s="63" t="s">
        <v>304</v>
      </c>
      <c r="D138" s="93"/>
      <c r="E138" s="65">
        <v>0</v>
      </c>
      <c r="F138" s="65">
        <v>51</v>
      </c>
      <c r="G138" s="65">
        <v>0</v>
      </c>
      <c r="H138" s="65">
        <v>0</v>
      </c>
      <c r="I138" s="65">
        <v>0</v>
      </c>
      <c r="J138" s="65">
        <f t="shared" si="4"/>
        <v>51</v>
      </c>
      <c r="K138" s="96"/>
      <c r="L138" s="96"/>
    </row>
    <row r="139" spans="1:12">
      <c r="A139" s="63">
        <v>136</v>
      </c>
      <c r="B139" s="63" t="s">
        <v>209</v>
      </c>
      <c r="C139" s="63" t="s">
        <v>304</v>
      </c>
      <c r="D139" s="93"/>
      <c r="E139" s="65">
        <v>0</v>
      </c>
      <c r="F139" s="65">
        <v>0</v>
      </c>
      <c r="G139" s="65">
        <v>0</v>
      </c>
      <c r="H139" s="65">
        <v>0</v>
      </c>
      <c r="I139" s="65">
        <v>0</v>
      </c>
      <c r="J139" s="65">
        <f t="shared" si="4"/>
        <v>0</v>
      </c>
      <c r="K139" s="96"/>
      <c r="L139" s="96"/>
    </row>
    <row r="140" spans="1:12">
      <c r="A140" s="63">
        <v>137</v>
      </c>
      <c r="B140" s="63" t="s">
        <v>210</v>
      </c>
      <c r="C140" s="63" t="s">
        <v>305</v>
      </c>
      <c r="D140" s="93"/>
      <c r="E140" s="65">
        <v>0</v>
      </c>
      <c r="F140" s="65">
        <v>0</v>
      </c>
      <c r="G140" s="65">
        <v>0</v>
      </c>
      <c r="H140" s="65">
        <v>0</v>
      </c>
      <c r="I140" s="65">
        <v>0</v>
      </c>
      <c r="J140" s="65">
        <f t="shared" si="4"/>
        <v>0</v>
      </c>
      <c r="K140" s="96"/>
      <c r="L140" s="96"/>
    </row>
    <row r="141" spans="1:12">
      <c r="A141" s="63">
        <v>138</v>
      </c>
      <c r="B141" s="63" t="s">
        <v>211</v>
      </c>
      <c r="C141" s="63" t="s">
        <v>305</v>
      </c>
      <c r="D141" s="93"/>
      <c r="E141" s="65">
        <v>0</v>
      </c>
      <c r="F141" s="65">
        <v>0</v>
      </c>
      <c r="G141" s="65">
        <v>0</v>
      </c>
      <c r="H141" s="65">
        <v>0</v>
      </c>
      <c r="I141" s="65">
        <v>0</v>
      </c>
      <c r="J141" s="65">
        <f t="shared" si="4"/>
        <v>0</v>
      </c>
      <c r="K141" s="96"/>
      <c r="L141" s="96"/>
    </row>
    <row r="142" spans="1:12">
      <c r="A142" s="63">
        <v>139</v>
      </c>
      <c r="B142" s="63" t="s">
        <v>212</v>
      </c>
      <c r="C142" s="63" t="s">
        <v>305</v>
      </c>
      <c r="D142" s="93"/>
      <c r="E142" s="65">
        <v>0</v>
      </c>
      <c r="F142" s="65">
        <v>0</v>
      </c>
      <c r="G142" s="65">
        <v>0</v>
      </c>
      <c r="H142" s="65">
        <v>0</v>
      </c>
      <c r="I142" s="65">
        <v>0</v>
      </c>
      <c r="J142" s="65">
        <f t="shared" si="4"/>
        <v>0</v>
      </c>
      <c r="K142" s="96"/>
      <c r="L142" s="96"/>
    </row>
    <row r="143" spans="1:12">
      <c r="A143" s="63">
        <v>140</v>
      </c>
      <c r="B143" s="63" t="s">
        <v>213</v>
      </c>
      <c r="C143" s="63" t="s">
        <v>305</v>
      </c>
      <c r="D143" s="93"/>
      <c r="E143" s="65">
        <v>0</v>
      </c>
      <c r="F143" s="65">
        <v>0</v>
      </c>
      <c r="G143" s="65">
        <v>0</v>
      </c>
      <c r="H143" s="65">
        <v>0</v>
      </c>
      <c r="I143" s="65">
        <v>0</v>
      </c>
      <c r="J143" s="65">
        <f t="shared" si="4"/>
        <v>0</v>
      </c>
      <c r="K143" s="96"/>
      <c r="L143" s="96"/>
    </row>
    <row r="144" spans="1:12">
      <c r="A144" s="63">
        <v>141</v>
      </c>
      <c r="B144" s="63" t="s">
        <v>214</v>
      </c>
      <c r="C144" s="63" t="s">
        <v>306</v>
      </c>
      <c r="D144" s="93"/>
      <c r="E144" s="65">
        <v>0</v>
      </c>
      <c r="F144" s="65">
        <v>0</v>
      </c>
      <c r="G144" s="65">
        <v>0</v>
      </c>
      <c r="H144" s="65">
        <v>0</v>
      </c>
      <c r="I144" s="65">
        <v>0</v>
      </c>
      <c r="J144" s="65">
        <f t="shared" si="4"/>
        <v>0</v>
      </c>
      <c r="K144" s="96"/>
      <c r="L144" s="96"/>
    </row>
    <row r="145" spans="1:12">
      <c r="A145" s="63">
        <v>142</v>
      </c>
      <c r="B145" s="63" t="s">
        <v>215</v>
      </c>
      <c r="C145" s="63" t="s">
        <v>306</v>
      </c>
      <c r="D145" s="93"/>
      <c r="E145" s="65">
        <v>0</v>
      </c>
      <c r="F145" s="65">
        <v>0</v>
      </c>
      <c r="G145" s="65">
        <v>0</v>
      </c>
      <c r="H145" s="65">
        <v>0</v>
      </c>
      <c r="I145" s="65">
        <v>0</v>
      </c>
      <c r="J145" s="65">
        <f t="shared" si="4"/>
        <v>0</v>
      </c>
      <c r="K145" s="96"/>
      <c r="L145" s="96"/>
    </row>
    <row r="146" spans="1:12">
      <c r="A146" s="63">
        <v>143</v>
      </c>
      <c r="B146" s="63" t="s">
        <v>216</v>
      </c>
      <c r="C146" s="63" t="s">
        <v>306</v>
      </c>
      <c r="D146" s="93"/>
      <c r="E146" s="65">
        <v>0</v>
      </c>
      <c r="F146" s="65">
        <v>0</v>
      </c>
      <c r="G146" s="65">
        <v>0</v>
      </c>
      <c r="H146" s="65">
        <v>0</v>
      </c>
      <c r="I146" s="65">
        <v>0</v>
      </c>
      <c r="J146" s="65">
        <f t="shared" si="4"/>
        <v>0</v>
      </c>
      <c r="K146" s="96"/>
      <c r="L146" s="96"/>
    </row>
    <row r="147" spans="1:12">
      <c r="A147" s="63">
        <v>144</v>
      </c>
      <c r="B147" s="63" t="s">
        <v>217</v>
      </c>
      <c r="C147" s="63" t="s">
        <v>306</v>
      </c>
      <c r="D147" s="94"/>
      <c r="E147" s="65">
        <v>0</v>
      </c>
      <c r="F147" s="65">
        <v>0</v>
      </c>
      <c r="G147" s="65">
        <v>0</v>
      </c>
      <c r="H147" s="65">
        <v>0</v>
      </c>
      <c r="I147" s="65">
        <v>0</v>
      </c>
      <c r="J147" s="65">
        <f t="shared" si="4"/>
        <v>0</v>
      </c>
      <c r="K147" s="97"/>
      <c r="L147" s="97"/>
    </row>
    <row r="148" spans="1:12">
      <c r="A148" s="63">
        <v>145</v>
      </c>
      <c r="B148" s="63" t="s">
        <v>91</v>
      </c>
      <c r="C148" s="63" t="s">
        <v>307</v>
      </c>
      <c r="D148" s="92">
        <v>1499.6899999999998</v>
      </c>
      <c r="E148" s="66">
        <v>0</v>
      </c>
      <c r="F148" s="66">
        <v>1338</v>
      </c>
      <c r="G148" s="66">
        <v>0</v>
      </c>
      <c r="H148" s="66">
        <v>0</v>
      </c>
      <c r="I148" s="66">
        <v>0</v>
      </c>
      <c r="J148" s="66">
        <f t="shared" si="4"/>
        <v>1338</v>
      </c>
      <c r="K148" s="92">
        <f>SUM(J148:J151)</f>
        <v>1338</v>
      </c>
      <c r="L148" s="92">
        <f>D148-K148</f>
        <v>161.68999999999983</v>
      </c>
    </row>
    <row r="149" spans="1:12">
      <c r="A149" s="63">
        <v>146</v>
      </c>
      <c r="B149" s="63" t="s">
        <v>218</v>
      </c>
      <c r="C149" s="63" t="s">
        <v>307</v>
      </c>
      <c r="D149" s="93"/>
      <c r="E149" s="66">
        <v>0</v>
      </c>
      <c r="F149" s="66">
        <v>0</v>
      </c>
      <c r="G149" s="66">
        <v>0</v>
      </c>
      <c r="H149" s="66">
        <v>0</v>
      </c>
      <c r="I149" s="66">
        <v>0</v>
      </c>
      <c r="J149" s="66">
        <f t="shared" si="4"/>
        <v>0</v>
      </c>
      <c r="K149" s="93"/>
      <c r="L149" s="93"/>
    </row>
    <row r="150" spans="1:12">
      <c r="A150" s="63">
        <v>147</v>
      </c>
      <c r="B150" s="63" t="s">
        <v>219</v>
      </c>
      <c r="C150" s="63" t="s">
        <v>307</v>
      </c>
      <c r="D150" s="93"/>
      <c r="E150" s="66">
        <v>0</v>
      </c>
      <c r="F150" s="66">
        <v>0</v>
      </c>
      <c r="G150" s="66">
        <v>0</v>
      </c>
      <c r="H150" s="66">
        <v>0</v>
      </c>
      <c r="I150" s="66">
        <v>0</v>
      </c>
      <c r="J150" s="66">
        <f t="shared" si="4"/>
        <v>0</v>
      </c>
      <c r="K150" s="93"/>
      <c r="L150" s="93"/>
    </row>
    <row r="151" spans="1:12">
      <c r="A151" s="63">
        <v>148</v>
      </c>
      <c r="B151" s="63" t="s">
        <v>220</v>
      </c>
      <c r="C151" s="63" t="s">
        <v>307</v>
      </c>
      <c r="D151" s="94"/>
      <c r="E151" s="66">
        <v>0</v>
      </c>
      <c r="F151" s="66">
        <v>0</v>
      </c>
      <c r="G151" s="66">
        <v>0</v>
      </c>
      <c r="H151" s="66">
        <v>0</v>
      </c>
      <c r="I151" s="66">
        <v>0</v>
      </c>
      <c r="J151" s="66">
        <f t="shared" si="4"/>
        <v>0</v>
      </c>
      <c r="K151" s="94"/>
      <c r="L151" s="94"/>
    </row>
    <row r="152" spans="1:12">
      <c r="A152" s="63">
        <v>149</v>
      </c>
      <c r="B152" s="63" t="s">
        <v>94</v>
      </c>
      <c r="C152" s="63" t="s">
        <v>221</v>
      </c>
      <c r="D152" s="92">
        <v>750</v>
      </c>
      <c r="E152" s="65">
        <v>0</v>
      </c>
      <c r="F152" s="65">
        <v>0</v>
      </c>
      <c r="G152" s="65">
        <v>0</v>
      </c>
      <c r="H152" s="65">
        <v>0</v>
      </c>
      <c r="I152" s="65">
        <v>0</v>
      </c>
      <c r="J152" s="65">
        <f t="shared" si="4"/>
        <v>0</v>
      </c>
      <c r="K152" s="95">
        <f>SUM(J152:J155)</f>
        <v>0</v>
      </c>
      <c r="L152" s="95">
        <f>D152-K152</f>
        <v>750</v>
      </c>
    </row>
    <row r="153" spans="1:12">
      <c r="A153" s="63">
        <v>150</v>
      </c>
      <c r="B153" s="63" t="s">
        <v>222</v>
      </c>
      <c r="C153" s="63" t="s">
        <v>221</v>
      </c>
      <c r="D153" s="93"/>
      <c r="E153" s="65">
        <v>0</v>
      </c>
      <c r="F153" s="65">
        <v>0</v>
      </c>
      <c r="G153" s="65">
        <v>0</v>
      </c>
      <c r="H153" s="65">
        <v>0</v>
      </c>
      <c r="I153" s="65">
        <v>0</v>
      </c>
      <c r="J153" s="65">
        <f t="shared" si="4"/>
        <v>0</v>
      </c>
      <c r="K153" s="96"/>
      <c r="L153" s="96"/>
    </row>
    <row r="154" spans="1:12">
      <c r="A154" s="63">
        <v>151</v>
      </c>
      <c r="B154" s="63" t="s">
        <v>223</v>
      </c>
      <c r="C154" s="63" t="s">
        <v>221</v>
      </c>
      <c r="D154" s="93"/>
      <c r="E154" s="65">
        <v>0</v>
      </c>
      <c r="F154" s="65">
        <v>0</v>
      </c>
      <c r="G154" s="65">
        <v>0</v>
      </c>
      <c r="H154" s="65">
        <v>0</v>
      </c>
      <c r="I154" s="65">
        <v>0</v>
      </c>
      <c r="J154" s="65">
        <f t="shared" si="4"/>
        <v>0</v>
      </c>
      <c r="K154" s="96"/>
      <c r="L154" s="96"/>
    </row>
    <row r="155" spans="1:12">
      <c r="A155" s="63">
        <v>152</v>
      </c>
      <c r="B155" s="63" t="s">
        <v>224</v>
      </c>
      <c r="C155" s="63" t="s">
        <v>221</v>
      </c>
      <c r="D155" s="94"/>
      <c r="E155" s="65">
        <v>0</v>
      </c>
      <c r="F155" s="65">
        <v>0</v>
      </c>
      <c r="G155" s="65">
        <v>0</v>
      </c>
      <c r="H155" s="65">
        <v>0</v>
      </c>
      <c r="I155" s="65">
        <v>0</v>
      </c>
      <c r="J155" s="65">
        <f t="shared" si="4"/>
        <v>0</v>
      </c>
      <c r="K155" s="97"/>
      <c r="L155" s="97"/>
    </row>
    <row r="156" spans="1:12">
      <c r="A156" s="63">
        <v>153</v>
      </c>
      <c r="B156" s="63" t="s">
        <v>97</v>
      </c>
      <c r="C156" s="63" t="s">
        <v>308</v>
      </c>
      <c r="D156" s="92">
        <v>23465.289999999997</v>
      </c>
      <c r="E156" s="66">
        <v>0</v>
      </c>
      <c r="F156" s="66">
        <v>0</v>
      </c>
      <c r="G156" s="66">
        <v>0</v>
      </c>
      <c r="H156" s="66">
        <v>0</v>
      </c>
      <c r="I156" s="66">
        <v>0</v>
      </c>
      <c r="J156" s="66">
        <f t="shared" si="4"/>
        <v>0</v>
      </c>
      <c r="K156" s="92">
        <f>SUM(J156:J159)</f>
        <v>0</v>
      </c>
      <c r="L156" s="92">
        <f>D156-K156</f>
        <v>23465.289999999997</v>
      </c>
    </row>
    <row r="157" spans="1:12">
      <c r="A157" s="63">
        <v>154</v>
      </c>
      <c r="B157" s="63" t="s">
        <v>225</v>
      </c>
      <c r="C157" s="63" t="s">
        <v>308</v>
      </c>
      <c r="D157" s="93"/>
      <c r="E157" s="66">
        <v>0</v>
      </c>
      <c r="F157" s="66">
        <v>0</v>
      </c>
      <c r="G157" s="66">
        <v>0</v>
      </c>
      <c r="H157" s="66">
        <v>0</v>
      </c>
      <c r="I157" s="66">
        <v>0</v>
      </c>
      <c r="J157" s="66">
        <f t="shared" si="4"/>
        <v>0</v>
      </c>
      <c r="K157" s="93"/>
      <c r="L157" s="93"/>
    </row>
    <row r="158" spans="1:12">
      <c r="A158" s="63">
        <v>155</v>
      </c>
      <c r="B158" s="63" t="s">
        <v>226</v>
      </c>
      <c r="C158" s="63" t="s">
        <v>308</v>
      </c>
      <c r="D158" s="93"/>
      <c r="E158" s="66">
        <v>0</v>
      </c>
      <c r="F158" s="66">
        <v>0</v>
      </c>
      <c r="G158" s="66">
        <v>0</v>
      </c>
      <c r="H158" s="66">
        <v>0</v>
      </c>
      <c r="I158" s="66">
        <v>0</v>
      </c>
      <c r="J158" s="66">
        <f t="shared" si="4"/>
        <v>0</v>
      </c>
      <c r="K158" s="93"/>
      <c r="L158" s="93"/>
    </row>
    <row r="159" spans="1:12">
      <c r="A159" s="63">
        <v>156</v>
      </c>
      <c r="B159" s="63" t="s">
        <v>227</v>
      </c>
      <c r="C159" s="63" t="s">
        <v>308</v>
      </c>
      <c r="D159" s="94"/>
      <c r="E159" s="66">
        <v>0</v>
      </c>
      <c r="F159" s="66">
        <v>0</v>
      </c>
      <c r="G159" s="66">
        <v>0</v>
      </c>
      <c r="H159" s="66">
        <v>0</v>
      </c>
      <c r="I159" s="66">
        <v>0</v>
      </c>
      <c r="J159" s="66">
        <f t="shared" si="4"/>
        <v>0</v>
      </c>
      <c r="K159" s="94"/>
      <c r="L159" s="94"/>
    </row>
    <row r="160" spans="1:12">
      <c r="A160" s="63">
        <v>157</v>
      </c>
      <c r="B160" s="63" t="s">
        <v>100</v>
      </c>
      <c r="C160" s="63" t="s">
        <v>309</v>
      </c>
      <c r="D160" s="92">
        <v>2095.96</v>
      </c>
      <c r="E160" s="65">
        <v>0</v>
      </c>
      <c r="F160" s="65">
        <v>0</v>
      </c>
      <c r="G160" s="65">
        <v>0</v>
      </c>
      <c r="H160" s="65">
        <v>0</v>
      </c>
      <c r="I160" s="65">
        <v>0</v>
      </c>
      <c r="J160" s="65">
        <f t="shared" si="4"/>
        <v>0</v>
      </c>
      <c r="K160" s="95">
        <f>SUM(J160:J163)</f>
        <v>0</v>
      </c>
      <c r="L160" s="95">
        <f>D160-K160</f>
        <v>2095.96</v>
      </c>
    </row>
    <row r="161" spans="1:12">
      <c r="A161" s="63">
        <v>158</v>
      </c>
      <c r="B161" s="63" t="s">
        <v>228</v>
      </c>
      <c r="C161" s="63" t="s">
        <v>309</v>
      </c>
      <c r="D161" s="93"/>
      <c r="E161" s="65">
        <v>0</v>
      </c>
      <c r="F161" s="65">
        <v>0</v>
      </c>
      <c r="G161" s="65">
        <v>0</v>
      </c>
      <c r="H161" s="65">
        <v>0</v>
      </c>
      <c r="I161" s="65">
        <v>0</v>
      </c>
      <c r="J161" s="65">
        <f t="shared" si="4"/>
        <v>0</v>
      </c>
      <c r="K161" s="96"/>
      <c r="L161" s="96"/>
    </row>
    <row r="162" spans="1:12">
      <c r="A162" s="63">
        <v>159</v>
      </c>
      <c r="B162" s="63" t="s">
        <v>229</v>
      </c>
      <c r="C162" s="63" t="s">
        <v>309</v>
      </c>
      <c r="D162" s="93"/>
      <c r="E162" s="65">
        <v>0</v>
      </c>
      <c r="F162" s="65">
        <v>0</v>
      </c>
      <c r="G162" s="65">
        <v>0</v>
      </c>
      <c r="H162" s="65">
        <v>0</v>
      </c>
      <c r="I162" s="65">
        <v>0</v>
      </c>
      <c r="J162" s="65">
        <f t="shared" si="4"/>
        <v>0</v>
      </c>
      <c r="K162" s="96"/>
      <c r="L162" s="96"/>
    </row>
    <row r="163" spans="1:12">
      <c r="A163" s="63">
        <v>160</v>
      </c>
      <c r="B163" s="63" t="s">
        <v>230</v>
      </c>
      <c r="C163" s="63" t="s">
        <v>309</v>
      </c>
      <c r="D163" s="94"/>
      <c r="E163" s="65">
        <v>0</v>
      </c>
      <c r="F163" s="65">
        <v>0</v>
      </c>
      <c r="G163" s="65">
        <v>0</v>
      </c>
      <c r="H163" s="65">
        <v>0</v>
      </c>
      <c r="I163" s="65">
        <v>0</v>
      </c>
      <c r="J163" s="65">
        <f t="shared" si="4"/>
        <v>0</v>
      </c>
      <c r="K163" s="97"/>
      <c r="L163" s="97"/>
    </row>
    <row r="164" spans="1:12">
      <c r="A164" s="63">
        <v>161</v>
      </c>
      <c r="B164" s="63" t="s">
        <v>102</v>
      </c>
      <c r="C164" s="63" t="s">
        <v>310</v>
      </c>
      <c r="D164" s="92">
        <v>200</v>
      </c>
      <c r="E164" s="66">
        <v>0</v>
      </c>
      <c r="F164" s="66">
        <v>0</v>
      </c>
      <c r="G164" s="66">
        <v>0</v>
      </c>
      <c r="H164" s="66">
        <v>0</v>
      </c>
      <c r="I164" s="66">
        <v>0</v>
      </c>
      <c r="J164" s="66">
        <f t="shared" ref="J164:J195" si="5">SUM(E164:I164)</f>
        <v>0</v>
      </c>
      <c r="K164" s="92">
        <f>SUM(J164:J167)</f>
        <v>0</v>
      </c>
      <c r="L164" s="92">
        <f>D164-K164</f>
        <v>200</v>
      </c>
    </row>
    <row r="165" spans="1:12">
      <c r="A165" s="63">
        <v>162</v>
      </c>
      <c r="B165" s="63" t="s">
        <v>231</v>
      </c>
      <c r="C165" s="63" t="s">
        <v>310</v>
      </c>
      <c r="D165" s="93"/>
      <c r="E165" s="66">
        <v>0</v>
      </c>
      <c r="F165" s="66">
        <v>0</v>
      </c>
      <c r="G165" s="66">
        <v>0</v>
      </c>
      <c r="H165" s="66">
        <v>0</v>
      </c>
      <c r="I165" s="66">
        <v>0</v>
      </c>
      <c r="J165" s="66">
        <f t="shared" si="5"/>
        <v>0</v>
      </c>
      <c r="K165" s="93"/>
      <c r="L165" s="93"/>
    </row>
    <row r="166" spans="1:12">
      <c r="A166" s="63">
        <v>163</v>
      </c>
      <c r="B166" s="63" t="s">
        <v>232</v>
      </c>
      <c r="C166" s="63" t="s">
        <v>310</v>
      </c>
      <c r="D166" s="93"/>
      <c r="E166" s="66">
        <v>0</v>
      </c>
      <c r="F166" s="66">
        <v>0</v>
      </c>
      <c r="G166" s="66">
        <v>0</v>
      </c>
      <c r="H166" s="66">
        <v>0</v>
      </c>
      <c r="I166" s="66">
        <v>0</v>
      </c>
      <c r="J166" s="66">
        <f t="shared" si="5"/>
        <v>0</v>
      </c>
      <c r="K166" s="93"/>
      <c r="L166" s="93"/>
    </row>
    <row r="167" spans="1:12">
      <c r="A167" s="63">
        <v>164</v>
      </c>
      <c r="B167" s="63" t="s">
        <v>233</v>
      </c>
      <c r="C167" s="63" t="s">
        <v>310</v>
      </c>
      <c r="D167" s="94"/>
      <c r="E167" s="66">
        <v>0</v>
      </c>
      <c r="F167" s="66">
        <v>0</v>
      </c>
      <c r="G167" s="66">
        <v>0</v>
      </c>
      <c r="H167" s="66">
        <v>0</v>
      </c>
      <c r="I167" s="66">
        <v>0</v>
      </c>
      <c r="J167" s="66">
        <f t="shared" si="5"/>
        <v>0</v>
      </c>
      <c r="K167" s="94"/>
      <c r="L167" s="94"/>
    </row>
    <row r="168" spans="1:12">
      <c r="A168" s="63">
        <v>165</v>
      </c>
      <c r="B168" s="63" t="s">
        <v>105</v>
      </c>
      <c r="C168" s="63" t="s">
        <v>311</v>
      </c>
      <c r="D168" s="92">
        <v>1682.6100000000001</v>
      </c>
      <c r="E168" s="65">
        <v>0</v>
      </c>
      <c r="F168" s="65">
        <v>0</v>
      </c>
      <c r="G168" s="65">
        <v>0</v>
      </c>
      <c r="H168" s="65">
        <v>0</v>
      </c>
      <c r="I168" s="65">
        <v>0</v>
      </c>
      <c r="J168" s="65">
        <f t="shared" si="5"/>
        <v>0</v>
      </c>
      <c r="K168" s="95">
        <f>SUM(J168:J171)</f>
        <v>0</v>
      </c>
      <c r="L168" s="95">
        <f>D168-K168</f>
        <v>1682.6100000000001</v>
      </c>
    </row>
    <row r="169" spans="1:12">
      <c r="A169" s="63">
        <v>166</v>
      </c>
      <c r="B169" s="63" t="s">
        <v>234</v>
      </c>
      <c r="C169" s="63" t="s">
        <v>311</v>
      </c>
      <c r="D169" s="93"/>
      <c r="E169" s="65">
        <v>0</v>
      </c>
      <c r="F169" s="65">
        <v>0</v>
      </c>
      <c r="G169" s="65">
        <v>0</v>
      </c>
      <c r="H169" s="65">
        <v>0</v>
      </c>
      <c r="I169" s="65">
        <v>0</v>
      </c>
      <c r="J169" s="65">
        <f t="shared" si="5"/>
        <v>0</v>
      </c>
      <c r="K169" s="96"/>
      <c r="L169" s="96"/>
    </row>
    <row r="170" spans="1:12">
      <c r="A170" s="63">
        <v>167</v>
      </c>
      <c r="B170" s="63" t="s">
        <v>235</v>
      </c>
      <c r="C170" s="63" t="s">
        <v>311</v>
      </c>
      <c r="D170" s="93"/>
      <c r="E170" s="65">
        <v>0</v>
      </c>
      <c r="F170" s="65">
        <v>0</v>
      </c>
      <c r="G170" s="65">
        <v>0</v>
      </c>
      <c r="H170" s="65">
        <v>0</v>
      </c>
      <c r="I170" s="65">
        <v>0</v>
      </c>
      <c r="J170" s="65">
        <f t="shared" si="5"/>
        <v>0</v>
      </c>
      <c r="K170" s="96"/>
      <c r="L170" s="96"/>
    </row>
    <row r="171" spans="1:12">
      <c r="A171" s="63">
        <v>168</v>
      </c>
      <c r="B171" s="63" t="s">
        <v>236</v>
      </c>
      <c r="C171" s="63" t="s">
        <v>311</v>
      </c>
      <c r="D171" s="94"/>
      <c r="E171" s="65">
        <v>0</v>
      </c>
      <c r="F171" s="65">
        <v>0</v>
      </c>
      <c r="G171" s="65">
        <v>0</v>
      </c>
      <c r="H171" s="65">
        <v>0</v>
      </c>
      <c r="I171" s="65">
        <v>0</v>
      </c>
      <c r="J171" s="65">
        <f t="shared" si="5"/>
        <v>0</v>
      </c>
      <c r="K171" s="97"/>
      <c r="L171" s="97"/>
    </row>
    <row r="172" spans="1:12">
      <c r="A172" s="63">
        <v>169</v>
      </c>
      <c r="B172" s="63" t="s">
        <v>109</v>
      </c>
      <c r="C172" s="63" t="s">
        <v>312</v>
      </c>
      <c r="D172" s="92">
        <v>764.4</v>
      </c>
      <c r="E172" s="66">
        <v>0</v>
      </c>
      <c r="F172" s="66">
        <v>0</v>
      </c>
      <c r="G172" s="66">
        <v>0</v>
      </c>
      <c r="H172" s="66">
        <v>0</v>
      </c>
      <c r="I172" s="66">
        <v>0</v>
      </c>
      <c r="J172" s="66">
        <f t="shared" si="5"/>
        <v>0</v>
      </c>
      <c r="K172" s="92">
        <f>SUM(J172:J175)</f>
        <v>0</v>
      </c>
      <c r="L172" s="92">
        <f>D172-K172</f>
        <v>764.4</v>
      </c>
    </row>
    <row r="173" spans="1:12">
      <c r="A173" s="63">
        <v>170</v>
      </c>
      <c r="B173" s="63" t="s">
        <v>237</v>
      </c>
      <c r="C173" s="63" t="s">
        <v>312</v>
      </c>
      <c r="D173" s="93"/>
      <c r="E173" s="66">
        <v>0</v>
      </c>
      <c r="F173" s="66">
        <v>0</v>
      </c>
      <c r="G173" s="66">
        <v>0</v>
      </c>
      <c r="H173" s="66">
        <v>0</v>
      </c>
      <c r="I173" s="66">
        <v>0</v>
      </c>
      <c r="J173" s="66">
        <f t="shared" si="5"/>
        <v>0</v>
      </c>
      <c r="K173" s="93"/>
      <c r="L173" s="93"/>
    </row>
    <row r="174" spans="1:12">
      <c r="A174" s="63">
        <v>171</v>
      </c>
      <c r="B174" s="63" t="s">
        <v>238</v>
      </c>
      <c r="C174" s="63" t="s">
        <v>312</v>
      </c>
      <c r="D174" s="93"/>
      <c r="E174" s="66">
        <v>0</v>
      </c>
      <c r="F174" s="66">
        <v>0</v>
      </c>
      <c r="G174" s="66">
        <v>0</v>
      </c>
      <c r="H174" s="66">
        <v>0</v>
      </c>
      <c r="I174" s="66">
        <v>0</v>
      </c>
      <c r="J174" s="66">
        <f t="shared" si="5"/>
        <v>0</v>
      </c>
      <c r="K174" s="93"/>
      <c r="L174" s="93"/>
    </row>
    <row r="175" spans="1:12">
      <c r="A175" s="63">
        <v>172</v>
      </c>
      <c r="B175" s="63" t="s">
        <v>239</v>
      </c>
      <c r="C175" s="63" t="s">
        <v>312</v>
      </c>
      <c r="D175" s="94"/>
      <c r="E175" s="66">
        <v>0</v>
      </c>
      <c r="F175" s="66">
        <v>0</v>
      </c>
      <c r="G175" s="66">
        <v>0</v>
      </c>
      <c r="H175" s="66">
        <v>0</v>
      </c>
      <c r="I175" s="66">
        <v>0</v>
      </c>
      <c r="J175" s="66">
        <f t="shared" si="5"/>
        <v>0</v>
      </c>
      <c r="K175" s="94"/>
      <c r="L175" s="94"/>
    </row>
    <row r="176" spans="1:12">
      <c r="A176" s="63">
        <v>173</v>
      </c>
      <c r="B176" s="63" t="s">
        <v>113</v>
      </c>
      <c r="C176" s="63" t="s">
        <v>278</v>
      </c>
      <c r="D176" s="92">
        <v>2312.8199999999997</v>
      </c>
      <c r="E176" s="65">
        <v>0</v>
      </c>
      <c r="F176" s="65">
        <v>0</v>
      </c>
      <c r="G176" s="65">
        <v>0</v>
      </c>
      <c r="H176" s="65">
        <v>0</v>
      </c>
      <c r="I176" s="65">
        <v>0</v>
      </c>
      <c r="J176" s="65">
        <f t="shared" si="5"/>
        <v>0</v>
      </c>
      <c r="K176" s="95">
        <f>SUM(J176:J179)</f>
        <v>167</v>
      </c>
      <c r="L176" s="95">
        <f>D176-K176</f>
        <v>2145.8199999999997</v>
      </c>
    </row>
    <row r="177" spans="1:12">
      <c r="A177" s="63">
        <v>174</v>
      </c>
      <c r="B177" s="63" t="s">
        <v>240</v>
      </c>
      <c r="C177" s="63" t="s">
        <v>278</v>
      </c>
      <c r="D177" s="93"/>
      <c r="E177" s="65">
        <v>167</v>
      </c>
      <c r="F177" s="65">
        <v>0</v>
      </c>
      <c r="G177" s="65">
        <v>0</v>
      </c>
      <c r="H177" s="65">
        <v>0</v>
      </c>
      <c r="I177" s="65">
        <v>0</v>
      </c>
      <c r="J177" s="65">
        <f t="shared" si="5"/>
        <v>167</v>
      </c>
      <c r="K177" s="96"/>
      <c r="L177" s="96"/>
    </row>
    <row r="178" spans="1:12">
      <c r="A178" s="63">
        <v>175</v>
      </c>
      <c r="B178" s="63" t="s">
        <v>241</v>
      </c>
      <c r="C178" s="63" t="s">
        <v>278</v>
      </c>
      <c r="D178" s="93"/>
      <c r="E178" s="65">
        <v>0</v>
      </c>
      <c r="F178" s="65">
        <v>0</v>
      </c>
      <c r="G178" s="65">
        <v>0</v>
      </c>
      <c r="H178" s="65">
        <v>0</v>
      </c>
      <c r="I178" s="65">
        <v>0</v>
      </c>
      <c r="J178" s="65">
        <f t="shared" si="5"/>
        <v>0</v>
      </c>
      <c r="K178" s="96"/>
      <c r="L178" s="96"/>
    </row>
    <row r="179" spans="1:12">
      <c r="A179" s="63">
        <v>176</v>
      </c>
      <c r="B179" s="63" t="s">
        <v>242</v>
      </c>
      <c r="C179" s="63" t="s">
        <v>278</v>
      </c>
      <c r="D179" s="94"/>
      <c r="E179" s="65">
        <v>0</v>
      </c>
      <c r="F179" s="65">
        <v>0</v>
      </c>
      <c r="G179" s="65">
        <v>0</v>
      </c>
      <c r="H179" s="65">
        <v>0</v>
      </c>
      <c r="I179" s="65">
        <v>0</v>
      </c>
      <c r="J179" s="65">
        <f t="shared" si="5"/>
        <v>0</v>
      </c>
      <c r="K179" s="97"/>
      <c r="L179" s="97"/>
    </row>
    <row r="180" spans="1:12">
      <c r="A180" s="63">
        <v>177</v>
      </c>
      <c r="B180" s="63" t="s">
        <v>117</v>
      </c>
      <c r="C180" s="63" t="s">
        <v>313</v>
      </c>
      <c r="D180" s="92">
        <v>943.01</v>
      </c>
      <c r="E180" s="66">
        <v>0</v>
      </c>
      <c r="F180" s="66">
        <v>0</v>
      </c>
      <c r="G180" s="66">
        <v>0</v>
      </c>
      <c r="H180" s="66">
        <v>0</v>
      </c>
      <c r="I180" s="66">
        <v>0</v>
      </c>
      <c r="J180" s="66">
        <f t="shared" si="5"/>
        <v>0</v>
      </c>
      <c r="K180" s="92">
        <f>SUM(J180:J183)</f>
        <v>0</v>
      </c>
      <c r="L180" s="92">
        <f>D180-K180</f>
        <v>943.01</v>
      </c>
    </row>
    <row r="181" spans="1:12">
      <c r="A181" s="63">
        <v>178</v>
      </c>
      <c r="B181" s="63" t="s">
        <v>243</v>
      </c>
      <c r="C181" s="63" t="s">
        <v>313</v>
      </c>
      <c r="D181" s="93"/>
      <c r="E181" s="66">
        <v>0</v>
      </c>
      <c r="F181" s="66">
        <v>0</v>
      </c>
      <c r="G181" s="66">
        <v>0</v>
      </c>
      <c r="H181" s="66">
        <v>0</v>
      </c>
      <c r="I181" s="66">
        <v>0</v>
      </c>
      <c r="J181" s="66">
        <f t="shared" si="5"/>
        <v>0</v>
      </c>
      <c r="K181" s="93"/>
      <c r="L181" s="93"/>
    </row>
    <row r="182" spans="1:12">
      <c r="A182" s="63">
        <v>179</v>
      </c>
      <c r="B182" s="63" t="s">
        <v>244</v>
      </c>
      <c r="C182" s="63" t="s">
        <v>313</v>
      </c>
      <c r="D182" s="93"/>
      <c r="E182" s="66">
        <v>0</v>
      </c>
      <c r="F182" s="66">
        <v>0</v>
      </c>
      <c r="G182" s="66">
        <v>0</v>
      </c>
      <c r="H182" s="66">
        <v>0</v>
      </c>
      <c r="I182" s="66">
        <v>0</v>
      </c>
      <c r="J182" s="66">
        <f t="shared" si="5"/>
        <v>0</v>
      </c>
      <c r="K182" s="93"/>
      <c r="L182" s="93"/>
    </row>
    <row r="183" spans="1:12">
      <c r="A183" s="63">
        <v>180</v>
      </c>
      <c r="B183" s="63" t="s">
        <v>245</v>
      </c>
      <c r="C183" s="63" t="s">
        <v>313</v>
      </c>
      <c r="D183" s="94"/>
      <c r="E183" s="66">
        <v>0</v>
      </c>
      <c r="F183" s="66">
        <v>0</v>
      </c>
      <c r="G183" s="66">
        <v>0</v>
      </c>
      <c r="H183" s="66">
        <v>0</v>
      </c>
      <c r="I183" s="66">
        <v>0</v>
      </c>
      <c r="J183" s="66">
        <f t="shared" si="5"/>
        <v>0</v>
      </c>
      <c r="K183" s="94"/>
      <c r="L183" s="94"/>
    </row>
    <row r="184" spans="1:12">
      <c r="A184" s="63">
        <v>181</v>
      </c>
      <c r="B184" s="63" t="s">
        <v>120</v>
      </c>
      <c r="C184" s="63" t="s">
        <v>314</v>
      </c>
      <c r="D184" s="92">
        <v>5256.43</v>
      </c>
      <c r="E184" s="65">
        <v>0</v>
      </c>
      <c r="F184" s="65">
        <v>0</v>
      </c>
      <c r="G184" s="65">
        <v>0</v>
      </c>
      <c r="H184" s="65">
        <v>0</v>
      </c>
      <c r="I184" s="65">
        <v>0</v>
      </c>
      <c r="J184" s="65">
        <f t="shared" si="5"/>
        <v>0</v>
      </c>
      <c r="K184" s="95">
        <f>SUM(J184:J187)</f>
        <v>0</v>
      </c>
      <c r="L184" s="95">
        <f>D184-K184</f>
        <v>5256.43</v>
      </c>
    </row>
    <row r="185" spans="1:12">
      <c r="A185" s="63">
        <v>182</v>
      </c>
      <c r="B185" s="63" t="s">
        <v>246</v>
      </c>
      <c r="C185" s="63" t="s">
        <v>314</v>
      </c>
      <c r="D185" s="93"/>
      <c r="E185" s="65">
        <v>0</v>
      </c>
      <c r="F185" s="65">
        <v>0</v>
      </c>
      <c r="G185" s="65">
        <v>0</v>
      </c>
      <c r="H185" s="65">
        <v>0</v>
      </c>
      <c r="I185" s="65">
        <v>0</v>
      </c>
      <c r="J185" s="65">
        <f t="shared" si="5"/>
        <v>0</v>
      </c>
      <c r="K185" s="96"/>
      <c r="L185" s="96"/>
    </row>
    <row r="186" spans="1:12">
      <c r="A186" s="63">
        <v>183</v>
      </c>
      <c r="B186" s="63" t="s">
        <v>247</v>
      </c>
      <c r="C186" s="63" t="s">
        <v>314</v>
      </c>
      <c r="D186" s="93"/>
      <c r="E186" s="65">
        <v>0</v>
      </c>
      <c r="F186" s="65">
        <v>0</v>
      </c>
      <c r="G186" s="65">
        <v>0</v>
      </c>
      <c r="H186" s="65">
        <v>0</v>
      </c>
      <c r="I186" s="65">
        <v>0</v>
      </c>
      <c r="J186" s="65">
        <f t="shared" si="5"/>
        <v>0</v>
      </c>
      <c r="K186" s="96"/>
      <c r="L186" s="96"/>
    </row>
    <row r="187" spans="1:12">
      <c r="A187" s="63">
        <v>184</v>
      </c>
      <c r="B187" s="63" t="s">
        <v>248</v>
      </c>
      <c r="C187" s="63" t="s">
        <v>314</v>
      </c>
      <c r="D187" s="94"/>
      <c r="E187" s="65">
        <v>0</v>
      </c>
      <c r="F187" s="65">
        <v>0</v>
      </c>
      <c r="G187" s="65">
        <v>0</v>
      </c>
      <c r="H187" s="65">
        <v>0</v>
      </c>
      <c r="I187" s="65">
        <v>0</v>
      </c>
      <c r="J187" s="65">
        <f t="shared" si="5"/>
        <v>0</v>
      </c>
      <c r="K187" s="97"/>
      <c r="L187" s="97"/>
    </row>
    <row r="188" spans="1:12">
      <c r="A188" s="63">
        <v>185</v>
      </c>
      <c r="B188" s="63" t="s">
        <v>123</v>
      </c>
      <c r="C188" s="63" t="s">
        <v>315</v>
      </c>
      <c r="D188" s="92">
        <v>5000</v>
      </c>
      <c r="E188" s="66">
        <v>0</v>
      </c>
      <c r="F188" s="66">
        <v>0</v>
      </c>
      <c r="G188" s="66">
        <v>0</v>
      </c>
      <c r="H188" s="66">
        <v>0</v>
      </c>
      <c r="I188" s="66">
        <v>0</v>
      </c>
      <c r="J188" s="66">
        <f t="shared" si="5"/>
        <v>0</v>
      </c>
      <c r="K188" s="92">
        <f>SUM(J188:J191)</f>
        <v>0</v>
      </c>
      <c r="L188" s="92">
        <f>D188-K188</f>
        <v>5000</v>
      </c>
    </row>
    <row r="189" spans="1:12">
      <c r="A189" s="63">
        <v>186</v>
      </c>
      <c r="B189" s="63" t="s">
        <v>249</v>
      </c>
      <c r="C189" s="63" t="s">
        <v>315</v>
      </c>
      <c r="D189" s="93"/>
      <c r="E189" s="66">
        <v>0</v>
      </c>
      <c r="F189" s="66">
        <v>0</v>
      </c>
      <c r="G189" s="66">
        <v>0</v>
      </c>
      <c r="H189" s="66">
        <v>0</v>
      </c>
      <c r="I189" s="66">
        <v>0</v>
      </c>
      <c r="J189" s="66">
        <f t="shared" si="5"/>
        <v>0</v>
      </c>
      <c r="K189" s="93"/>
      <c r="L189" s="93"/>
    </row>
    <row r="190" spans="1:12">
      <c r="A190" s="63">
        <v>187</v>
      </c>
      <c r="B190" s="63" t="s">
        <v>250</v>
      </c>
      <c r="C190" s="63" t="s">
        <v>315</v>
      </c>
      <c r="D190" s="93"/>
      <c r="E190" s="66">
        <v>0</v>
      </c>
      <c r="F190" s="66">
        <v>0</v>
      </c>
      <c r="G190" s="66">
        <v>0</v>
      </c>
      <c r="H190" s="66">
        <v>0</v>
      </c>
      <c r="I190" s="66">
        <v>0</v>
      </c>
      <c r="J190" s="66">
        <f t="shared" si="5"/>
        <v>0</v>
      </c>
      <c r="K190" s="93"/>
      <c r="L190" s="93"/>
    </row>
    <row r="191" spans="1:12">
      <c r="A191" s="63">
        <v>188</v>
      </c>
      <c r="B191" s="63" t="s">
        <v>251</v>
      </c>
      <c r="C191" s="63" t="s">
        <v>315</v>
      </c>
      <c r="D191" s="94"/>
      <c r="E191" s="66">
        <v>0</v>
      </c>
      <c r="F191" s="66">
        <v>0</v>
      </c>
      <c r="G191" s="66">
        <v>0</v>
      </c>
      <c r="H191" s="66">
        <v>0</v>
      </c>
      <c r="I191" s="66">
        <v>0</v>
      </c>
      <c r="J191" s="66">
        <f t="shared" si="5"/>
        <v>0</v>
      </c>
      <c r="K191" s="94"/>
      <c r="L191" s="94"/>
    </row>
    <row r="192" spans="1:12">
      <c r="A192" s="63">
        <v>189</v>
      </c>
      <c r="B192" s="63" t="s">
        <v>126</v>
      </c>
      <c r="C192" s="63" t="s">
        <v>252</v>
      </c>
      <c r="D192" s="92">
        <v>27000</v>
      </c>
      <c r="E192" s="65">
        <v>0</v>
      </c>
      <c r="F192" s="65">
        <v>0</v>
      </c>
      <c r="G192" s="65">
        <v>0</v>
      </c>
      <c r="H192" s="65">
        <v>0</v>
      </c>
      <c r="I192" s="65">
        <v>0</v>
      </c>
      <c r="J192" s="65">
        <f t="shared" si="5"/>
        <v>0</v>
      </c>
      <c r="K192" s="95">
        <f>SUM(J192:J195)</f>
        <v>2</v>
      </c>
      <c r="L192" s="95">
        <f>D192-K192</f>
        <v>26998</v>
      </c>
    </row>
    <row r="193" spans="1:12">
      <c r="A193" s="63">
        <v>190</v>
      </c>
      <c r="B193" s="63" t="s">
        <v>253</v>
      </c>
      <c r="C193" s="63" t="s">
        <v>252</v>
      </c>
      <c r="D193" s="93"/>
      <c r="E193" s="65">
        <v>0</v>
      </c>
      <c r="F193" s="65">
        <v>2</v>
      </c>
      <c r="G193" s="65">
        <v>0</v>
      </c>
      <c r="H193" s="65">
        <v>0</v>
      </c>
      <c r="I193" s="65">
        <v>0</v>
      </c>
      <c r="J193" s="65">
        <f t="shared" si="5"/>
        <v>2</v>
      </c>
      <c r="K193" s="96"/>
      <c r="L193" s="96"/>
    </row>
    <row r="194" spans="1:12">
      <c r="A194" s="63">
        <v>191</v>
      </c>
      <c r="B194" s="63" t="s">
        <v>254</v>
      </c>
      <c r="C194" s="63" t="s">
        <v>252</v>
      </c>
      <c r="D194" s="93"/>
      <c r="E194" s="65">
        <v>0</v>
      </c>
      <c r="F194" s="65">
        <v>0</v>
      </c>
      <c r="G194" s="65">
        <v>0</v>
      </c>
      <c r="H194" s="65">
        <v>0</v>
      </c>
      <c r="I194" s="65">
        <v>0</v>
      </c>
      <c r="J194" s="65">
        <f t="shared" si="5"/>
        <v>0</v>
      </c>
      <c r="K194" s="96"/>
      <c r="L194" s="96"/>
    </row>
    <row r="195" spans="1:12">
      <c r="A195" s="63">
        <v>192</v>
      </c>
      <c r="B195" s="63" t="s">
        <v>255</v>
      </c>
      <c r="C195" s="63" t="s">
        <v>252</v>
      </c>
      <c r="D195" s="94"/>
      <c r="E195" s="65">
        <v>0</v>
      </c>
      <c r="F195" s="65">
        <v>0</v>
      </c>
      <c r="G195" s="65">
        <v>0</v>
      </c>
      <c r="H195" s="65">
        <v>0</v>
      </c>
      <c r="I195" s="65">
        <v>0</v>
      </c>
      <c r="J195" s="65">
        <f t="shared" si="5"/>
        <v>0</v>
      </c>
      <c r="K195" s="97"/>
      <c r="L195" s="97"/>
    </row>
    <row r="196" spans="1:12">
      <c r="A196" s="63">
        <v>193</v>
      </c>
      <c r="B196" s="63" t="s">
        <v>129</v>
      </c>
      <c r="C196" s="63" t="s">
        <v>316</v>
      </c>
      <c r="D196" s="92">
        <v>3000</v>
      </c>
      <c r="E196" s="66">
        <v>0</v>
      </c>
      <c r="F196" s="66">
        <v>0</v>
      </c>
      <c r="G196" s="66">
        <v>0</v>
      </c>
      <c r="H196" s="66">
        <v>0</v>
      </c>
      <c r="I196" s="66">
        <v>0</v>
      </c>
      <c r="J196" s="66">
        <f t="shared" ref="J196:J203" si="6">SUM(E196:I196)</f>
        <v>0</v>
      </c>
      <c r="K196" s="92">
        <f>SUM(J196:J199)</f>
        <v>0</v>
      </c>
      <c r="L196" s="92">
        <f>D196-K196</f>
        <v>3000</v>
      </c>
    </row>
    <row r="197" spans="1:12">
      <c r="A197" s="63">
        <v>194</v>
      </c>
      <c r="B197" s="63" t="s">
        <v>256</v>
      </c>
      <c r="C197" s="63" t="s">
        <v>316</v>
      </c>
      <c r="D197" s="93"/>
      <c r="E197" s="66">
        <v>0</v>
      </c>
      <c r="F197" s="66">
        <v>0</v>
      </c>
      <c r="G197" s="66">
        <v>0</v>
      </c>
      <c r="H197" s="66">
        <v>0</v>
      </c>
      <c r="I197" s="66">
        <v>0</v>
      </c>
      <c r="J197" s="66">
        <f t="shared" si="6"/>
        <v>0</v>
      </c>
      <c r="K197" s="93"/>
      <c r="L197" s="93"/>
    </row>
    <row r="198" spans="1:12">
      <c r="A198" s="63">
        <v>195</v>
      </c>
      <c r="B198" s="63" t="s">
        <v>257</v>
      </c>
      <c r="C198" s="63" t="s">
        <v>316</v>
      </c>
      <c r="D198" s="93"/>
      <c r="E198" s="66">
        <v>0</v>
      </c>
      <c r="F198" s="66">
        <v>0</v>
      </c>
      <c r="G198" s="66">
        <v>0</v>
      </c>
      <c r="H198" s="66">
        <v>0</v>
      </c>
      <c r="I198" s="66">
        <v>0</v>
      </c>
      <c r="J198" s="66">
        <f t="shared" si="6"/>
        <v>0</v>
      </c>
      <c r="K198" s="93"/>
      <c r="L198" s="93"/>
    </row>
    <row r="199" spans="1:12">
      <c r="A199" s="63">
        <v>196</v>
      </c>
      <c r="B199" s="63" t="s">
        <v>258</v>
      </c>
      <c r="C199" s="63" t="s">
        <v>316</v>
      </c>
      <c r="D199" s="94"/>
      <c r="E199" s="66">
        <v>0</v>
      </c>
      <c r="F199" s="66">
        <v>0</v>
      </c>
      <c r="G199" s="66">
        <v>0</v>
      </c>
      <c r="H199" s="66">
        <v>0</v>
      </c>
      <c r="I199" s="66">
        <v>0</v>
      </c>
      <c r="J199" s="66">
        <f t="shared" si="6"/>
        <v>0</v>
      </c>
      <c r="K199" s="94"/>
      <c r="L199" s="94"/>
    </row>
    <row r="200" spans="1:12">
      <c r="A200" s="63">
        <v>197</v>
      </c>
      <c r="B200" s="63" t="s">
        <v>132</v>
      </c>
      <c r="C200" s="63" t="s">
        <v>279</v>
      </c>
      <c r="D200" s="92">
        <v>3000</v>
      </c>
      <c r="E200" s="65">
        <v>0</v>
      </c>
      <c r="F200" s="65">
        <v>0</v>
      </c>
      <c r="G200" s="65">
        <v>0</v>
      </c>
      <c r="H200" s="65">
        <v>0</v>
      </c>
      <c r="I200" s="65">
        <v>0</v>
      </c>
      <c r="J200" s="65">
        <f t="shared" si="6"/>
        <v>0</v>
      </c>
      <c r="K200" s="95">
        <f>SUM(J200:J203)</f>
        <v>0</v>
      </c>
      <c r="L200" s="95">
        <f>D200-K200</f>
        <v>3000</v>
      </c>
    </row>
    <row r="201" spans="1:12">
      <c r="A201" s="63">
        <v>198</v>
      </c>
      <c r="B201" s="63" t="s">
        <v>259</v>
      </c>
      <c r="C201" s="63" t="s">
        <v>279</v>
      </c>
      <c r="D201" s="93"/>
      <c r="E201" s="65">
        <v>0</v>
      </c>
      <c r="F201" s="65">
        <v>0</v>
      </c>
      <c r="G201" s="65">
        <v>0</v>
      </c>
      <c r="H201" s="65">
        <v>0</v>
      </c>
      <c r="I201" s="65">
        <v>0</v>
      </c>
      <c r="J201" s="65">
        <f t="shared" si="6"/>
        <v>0</v>
      </c>
      <c r="K201" s="96"/>
      <c r="L201" s="96"/>
    </row>
    <row r="202" spans="1:12">
      <c r="A202" s="63">
        <v>199</v>
      </c>
      <c r="B202" s="63" t="s">
        <v>260</v>
      </c>
      <c r="C202" s="63" t="s">
        <v>279</v>
      </c>
      <c r="D202" s="93"/>
      <c r="E202" s="65">
        <v>0</v>
      </c>
      <c r="F202" s="65">
        <v>0</v>
      </c>
      <c r="G202" s="65">
        <v>0</v>
      </c>
      <c r="H202" s="65">
        <v>0</v>
      </c>
      <c r="I202" s="65">
        <v>0</v>
      </c>
      <c r="J202" s="65">
        <f t="shared" si="6"/>
        <v>0</v>
      </c>
      <c r="K202" s="96"/>
      <c r="L202" s="96"/>
    </row>
    <row r="203" spans="1:12">
      <c r="A203" s="63">
        <v>200</v>
      </c>
      <c r="B203" s="63" t="s">
        <v>261</v>
      </c>
      <c r="C203" s="63" t="s">
        <v>279</v>
      </c>
      <c r="D203" s="94"/>
      <c r="E203" s="65">
        <v>0</v>
      </c>
      <c r="F203" s="65">
        <v>0</v>
      </c>
      <c r="G203" s="65">
        <v>0</v>
      </c>
      <c r="H203" s="65">
        <v>0</v>
      </c>
      <c r="I203" s="65">
        <v>0</v>
      </c>
      <c r="J203" s="65">
        <f t="shared" si="6"/>
        <v>0</v>
      </c>
      <c r="K203" s="97"/>
      <c r="L203" s="97"/>
    </row>
    <row r="204" spans="1:12" s="68" customFormat="1" ht="15">
      <c r="A204" s="91" t="s">
        <v>527</v>
      </c>
      <c r="B204" s="91"/>
      <c r="C204" s="91"/>
      <c r="D204" s="67">
        <f t="shared" ref="D204:K204" si="7">SUM(D4:D203)</f>
        <v>836344.41399999976</v>
      </c>
      <c r="E204" s="67">
        <f t="shared" si="7"/>
        <v>12803</v>
      </c>
      <c r="F204" s="67">
        <f t="shared" si="7"/>
        <v>2603</v>
      </c>
      <c r="G204" s="67">
        <f t="shared" si="7"/>
        <v>0</v>
      </c>
      <c r="H204" s="67">
        <f t="shared" si="7"/>
        <v>0</v>
      </c>
      <c r="I204" s="67">
        <f t="shared" si="7"/>
        <v>2628</v>
      </c>
      <c r="J204" s="67">
        <f t="shared" si="7"/>
        <v>18034</v>
      </c>
      <c r="K204" s="67">
        <f t="shared" si="7"/>
        <v>18034</v>
      </c>
      <c r="L204" s="67">
        <f>D204-(SUM(E204:I204))</f>
        <v>818310.41399999976</v>
      </c>
    </row>
    <row r="206" spans="1:12">
      <c r="B206" s="69">
        <v>1201</v>
      </c>
      <c r="C206" s="70"/>
      <c r="D206" s="70"/>
      <c r="E206" s="71">
        <f t="shared" ref="E206:J209" si="8">E4+E8+E12+E16+E20+E24+E28+E32+E36+E40+E44+E48+E52+E56+E60+E64+E68+E72+E76+E80+E84+E88+E92+E96+E100+E104+E108+E112+E116+E120+E124+E128+E132+E136+E140+E144+E148+E152+E156+E160+E164+E168+E172+E176+E180+E184+E188+E192+E196+E200</f>
        <v>9527</v>
      </c>
      <c r="F206" s="71">
        <f t="shared" si="8"/>
        <v>1902</v>
      </c>
      <c r="G206" s="71">
        <f t="shared" si="8"/>
        <v>0</v>
      </c>
      <c r="H206" s="71">
        <f t="shared" si="8"/>
        <v>0</v>
      </c>
      <c r="I206" s="71">
        <f t="shared" si="8"/>
        <v>2551</v>
      </c>
      <c r="J206" s="72">
        <f t="shared" si="8"/>
        <v>13980</v>
      </c>
    </row>
    <row r="207" spans="1:12">
      <c r="B207" s="73">
        <v>1204</v>
      </c>
      <c r="E207" s="74">
        <f t="shared" si="8"/>
        <v>2688</v>
      </c>
      <c r="F207" s="74">
        <f t="shared" si="8"/>
        <v>549</v>
      </c>
      <c r="G207" s="74">
        <f t="shared" si="8"/>
        <v>0</v>
      </c>
      <c r="H207" s="74">
        <f t="shared" si="8"/>
        <v>0</v>
      </c>
      <c r="I207" s="74">
        <f t="shared" si="8"/>
        <v>0</v>
      </c>
      <c r="J207" s="75">
        <f t="shared" si="8"/>
        <v>3237</v>
      </c>
    </row>
    <row r="208" spans="1:12">
      <c r="B208" s="73">
        <v>1205</v>
      </c>
      <c r="E208" s="74">
        <f t="shared" si="8"/>
        <v>588</v>
      </c>
      <c r="F208" s="74">
        <f t="shared" si="8"/>
        <v>152</v>
      </c>
      <c r="G208" s="74">
        <f t="shared" si="8"/>
        <v>0</v>
      </c>
      <c r="H208" s="74">
        <f t="shared" si="8"/>
        <v>0</v>
      </c>
      <c r="I208" s="74">
        <f t="shared" si="8"/>
        <v>77</v>
      </c>
      <c r="J208" s="75">
        <f t="shared" si="8"/>
        <v>817</v>
      </c>
    </row>
    <row r="209" spans="2:10">
      <c r="B209" s="73">
        <v>1206</v>
      </c>
      <c r="E209" s="74">
        <f t="shared" si="8"/>
        <v>0</v>
      </c>
      <c r="F209" s="74">
        <f t="shared" si="8"/>
        <v>0</v>
      </c>
      <c r="G209" s="74">
        <f t="shared" si="8"/>
        <v>0</v>
      </c>
      <c r="H209" s="74">
        <f t="shared" si="8"/>
        <v>0</v>
      </c>
      <c r="I209" s="74">
        <f t="shared" si="8"/>
        <v>0</v>
      </c>
      <c r="J209" s="75">
        <f t="shared" si="8"/>
        <v>0</v>
      </c>
    </row>
    <row r="210" spans="2:10">
      <c r="B210" s="76"/>
      <c r="C210" s="77"/>
      <c r="D210" s="77"/>
      <c r="E210" s="78">
        <f t="shared" ref="E210:J210" si="9">SUM(E206:E209)</f>
        <v>12803</v>
      </c>
      <c r="F210" s="78">
        <f t="shared" si="9"/>
        <v>2603</v>
      </c>
      <c r="G210" s="78">
        <f t="shared" si="9"/>
        <v>0</v>
      </c>
      <c r="H210" s="78">
        <f t="shared" si="9"/>
        <v>0</v>
      </c>
      <c r="I210" s="78">
        <f t="shared" si="9"/>
        <v>2628</v>
      </c>
      <c r="J210" s="79">
        <f t="shared" si="9"/>
        <v>18034</v>
      </c>
    </row>
  </sheetData>
  <mergeCells count="132">
    <mergeCell ref="D196:D199"/>
    <mergeCell ref="K196:K199"/>
    <mergeCell ref="L196:L199"/>
    <mergeCell ref="D200:D203"/>
    <mergeCell ref="K200:K203"/>
    <mergeCell ref="L200:L203"/>
    <mergeCell ref="D188:D191"/>
    <mergeCell ref="K188:K191"/>
    <mergeCell ref="L188:L191"/>
    <mergeCell ref="D192:D195"/>
    <mergeCell ref="K192:K195"/>
    <mergeCell ref="L192:L195"/>
    <mergeCell ref="D180:D183"/>
    <mergeCell ref="K180:K183"/>
    <mergeCell ref="L180:L183"/>
    <mergeCell ref="D184:D187"/>
    <mergeCell ref="K184:K187"/>
    <mergeCell ref="L184:L187"/>
    <mergeCell ref="D172:D175"/>
    <mergeCell ref="K172:K175"/>
    <mergeCell ref="L172:L175"/>
    <mergeCell ref="D176:D179"/>
    <mergeCell ref="K176:K179"/>
    <mergeCell ref="L176:L179"/>
    <mergeCell ref="D164:D167"/>
    <mergeCell ref="K164:K167"/>
    <mergeCell ref="L164:L167"/>
    <mergeCell ref="D168:D171"/>
    <mergeCell ref="K168:K171"/>
    <mergeCell ref="L168:L171"/>
    <mergeCell ref="D156:D159"/>
    <mergeCell ref="K156:K159"/>
    <mergeCell ref="L156:L159"/>
    <mergeCell ref="D160:D163"/>
    <mergeCell ref="K160:K163"/>
    <mergeCell ref="L160:L163"/>
    <mergeCell ref="D148:D151"/>
    <mergeCell ref="K148:K151"/>
    <mergeCell ref="L148:L151"/>
    <mergeCell ref="D152:D155"/>
    <mergeCell ref="K152:K155"/>
    <mergeCell ref="L152:L155"/>
    <mergeCell ref="D132:D135"/>
    <mergeCell ref="K132:K135"/>
    <mergeCell ref="L132:L135"/>
    <mergeCell ref="D136:D147"/>
    <mergeCell ref="K136:K147"/>
    <mergeCell ref="L136:L147"/>
    <mergeCell ref="D124:D127"/>
    <mergeCell ref="K124:K127"/>
    <mergeCell ref="L124:L127"/>
    <mergeCell ref="D128:D131"/>
    <mergeCell ref="K128:K131"/>
    <mergeCell ref="L128:L131"/>
    <mergeCell ref="D116:D119"/>
    <mergeCell ref="K116:K119"/>
    <mergeCell ref="L116:L119"/>
    <mergeCell ref="D120:D123"/>
    <mergeCell ref="K120:K123"/>
    <mergeCell ref="L120:L123"/>
    <mergeCell ref="D108:D111"/>
    <mergeCell ref="K108:K111"/>
    <mergeCell ref="L108:L111"/>
    <mergeCell ref="D112:D115"/>
    <mergeCell ref="K112:K115"/>
    <mergeCell ref="L112:L115"/>
    <mergeCell ref="D100:D103"/>
    <mergeCell ref="K100:K103"/>
    <mergeCell ref="L100:L103"/>
    <mergeCell ref="D104:D107"/>
    <mergeCell ref="K104:K107"/>
    <mergeCell ref="L104:L107"/>
    <mergeCell ref="D92:D95"/>
    <mergeCell ref="K92:K95"/>
    <mergeCell ref="L92:L95"/>
    <mergeCell ref="D96:D99"/>
    <mergeCell ref="K96:K99"/>
    <mergeCell ref="L96:L99"/>
    <mergeCell ref="D84:D87"/>
    <mergeCell ref="K84:K87"/>
    <mergeCell ref="L84:L87"/>
    <mergeCell ref="D88:D91"/>
    <mergeCell ref="K88:K91"/>
    <mergeCell ref="L88:L91"/>
    <mergeCell ref="L32:L35"/>
    <mergeCell ref="D76:D79"/>
    <mergeCell ref="K76:K79"/>
    <mergeCell ref="L76:L79"/>
    <mergeCell ref="D80:D83"/>
    <mergeCell ref="K80:K83"/>
    <mergeCell ref="L80:L83"/>
    <mergeCell ref="D68:D71"/>
    <mergeCell ref="K68:K71"/>
    <mergeCell ref="L68:L71"/>
    <mergeCell ref="D72:D75"/>
    <mergeCell ref="K72:K75"/>
    <mergeCell ref="L72:L75"/>
    <mergeCell ref="D20:D27"/>
    <mergeCell ref="K20:K27"/>
    <mergeCell ref="L20:L27"/>
    <mergeCell ref="A204:C204"/>
    <mergeCell ref="D4:D7"/>
    <mergeCell ref="K4:K7"/>
    <mergeCell ref="L4:L7"/>
    <mergeCell ref="D8:D11"/>
    <mergeCell ref="K8:K11"/>
    <mergeCell ref="L8:L11"/>
    <mergeCell ref="D12:D15"/>
    <mergeCell ref="K12:K15"/>
    <mergeCell ref="L12:L15"/>
    <mergeCell ref="D36:D63"/>
    <mergeCell ref="K36:K63"/>
    <mergeCell ref="L36:L63"/>
    <mergeCell ref="D64:D67"/>
    <mergeCell ref="K64:K67"/>
    <mergeCell ref="L64:L67"/>
    <mergeCell ref="D28:D31"/>
    <mergeCell ref="K28:K31"/>
    <mergeCell ref="L28:L31"/>
    <mergeCell ref="D32:D35"/>
    <mergeCell ref="K32:K35"/>
    <mergeCell ref="A1:L1"/>
    <mergeCell ref="A2:A3"/>
    <mergeCell ref="B2:B3"/>
    <mergeCell ref="C2:C3"/>
    <mergeCell ref="D2:D3"/>
    <mergeCell ref="K2:K3"/>
    <mergeCell ref="E2:J2"/>
    <mergeCell ref="L2:L3"/>
    <mergeCell ref="D16:D19"/>
    <mergeCell ref="K16:K19"/>
    <mergeCell ref="L16:L19"/>
  </mergeCells>
  <conditionalFormatting sqref="L4:L204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7899E-7E37-4919-8694-988BF865E663}">
  <sheetPr filterMode="1"/>
  <dimension ref="A1:M211"/>
  <sheetViews>
    <sheetView workbookViewId="0">
      <selection activeCell="E2" sqref="E2:J2"/>
    </sheetView>
  </sheetViews>
  <sheetFormatPr defaultRowHeight="14.25"/>
  <cols>
    <col min="1" max="1" width="4.140625" style="64" bestFit="1" customWidth="1"/>
    <col min="2" max="2" width="13.5703125" style="64" bestFit="1" customWidth="1"/>
    <col min="3" max="3" width="32" style="64" bestFit="1" customWidth="1"/>
    <col min="4" max="4" width="14.42578125" style="64" bestFit="1" customWidth="1"/>
    <col min="5" max="5" width="9.85546875" style="64" hidden="1" customWidth="1"/>
    <col min="6" max="6" width="8.7109375" style="64" hidden="1" customWidth="1"/>
    <col min="7" max="8" width="8.28515625" style="64" hidden="1" customWidth="1"/>
    <col min="9" max="9" width="8.7109375" style="64" hidden="1" customWidth="1"/>
    <col min="10" max="11" width="9.85546875" style="64" bestFit="1" customWidth="1"/>
    <col min="12" max="12" width="9.85546875" style="64" hidden="1" customWidth="1"/>
    <col min="13" max="13" width="11" style="64" bestFit="1" customWidth="1"/>
    <col min="14" max="16384" width="9.140625" style="64"/>
  </cols>
  <sheetData>
    <row r="1" spans="1:13" ht="18">
      <c r="A1" s="101" t="s">
        <v>528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</row>
    <row r="2" spans="1:13">
      <c r="A2" s="91" t="s">
        <v>520</v>
      </c>
      <c r="B2" s="91" t="s">
        <v>521</v>
      </c>
      <c r="C2" s="91" t="s">
        <v>522</v>
      </c>
      <c r="D2" s="91" t="s">
        <v>523</v>
      </c>
      <c r="E2" s="98" t="s">
        <v>524</v>
      </c>
      <c r="F2" s="99"/>
      <c r="G2" s="99"/>
      <c r="H2" s="99"/>
      <c r="I2" s="99"/>
      <c r="J2" s="100"/>
      <c r="K2" s="91" t="s">
        <v>525</v>
      </c>
      <c r="L2" s="87"/>
      <c r="M2" s="91" t="s">
        <v>526</v>
      </c>
    </row>
    <row r="3" spans="1:13">
      <c r="A3" s="91"/>
      <c r="B3" s="91"/>
      <c r="C3" s="91"/>
      <c r="D3" s="91"/>
      <c r="E3" s="62">
        <v>45323</v>
      </c>
      <c r="F3" s="62">
        <v>45324</v>
      </c>
      <c r="G3" s="62">
        <v>45325</v>
      </c>
      <c r="H3" s="62">
        <v>45326</v>
      </c>
      <c r="I3" s="62">
        <v>45327</v>
      </c>
      <c r="J3" s="87" t="s">
        <v>343</v>
      </c>
      <c r="K3" s="91"/>
      <c r="L3" s="87"/>
      <c r="M3" s="91"/>
    </row>
    <row r="4" spans="1:13">
      <c r="A4" s="87"/>
      <c r="B4" s="87"/>
      <c r="C4" s="87"/>
      <c r="D4" s="80"/>
      <c r="E4" s="62"/>
      <c r="F4" s="62"/>
      <c r="G4" s="62"/>
      <c r="H4" s="62"/>
      <c r="I4" s="62"/>
      <c r="J4" s="87"/>
      <c r="K4" s="80"/>
      <c r="L4" s="80"/>
      <c r="M4" s="80"/>
    </row>
    <row r="5" spans="1:13" hidden="1">
      <c r="A5" s="63">
        <v>1</v>
      </c>
      <c r="B5" s="63" t="s">
        <v>0</v>
      </c>
      <c r="C5" s="63" t="s">
        <v>266</v>
      </c>
      <c r="D5" s="92">
        <v>260250</v>
      </c>
      <c r="E5" s="65">
        <v>0</v>
      </c>
      <c r="F5" s="65">
        <v>0</v>
      </c>
      <c r="G5" s="65">
        <v>0</v>
      </c>
      <c r="H5" s="65">
        <v>0</v>
      </c>
      <c r="I5" s="65">
        <v>0</v>
      </c>
      <c r="J5" s="65">
        <f t="shared" ref="J5:J68" si="0">SUM(E5:I5)</f>
        <v>0</v>
      </c>
      <c r="K5" s="95">
        <f>SUM(J5:J8)</f>
        <v>0</v>
      </c>
      <c r="L5" s="84">
        <v>260250</v>
      </c>
      <c r="M5" s="95">
        <f>D5-K5</f>
        <v>260250</v>
      </c>
    </row>
    <row r="6" spans="1:13" hidden="1">
      <c r="A6" s="63">
        <v>2</v>
      </c>
      <c r="B6" s="63" t="s">
        <v>3</v>
      </c>
      <c r="C6" s="63" t="s">
        <v>266</v>
      </c>
      <c r="D6" s="93"/>
      <c r="E6" s="65">
        <v>0</v>
      </c>
      <c r="F6" s="65">
        <v>0</v>
      </c>
      <c r="G6" s="65">
        <v>0</v>
      </c>
      <c r="H6" s="65">
        <v>0</v>
      </c>
      <c r="I6" s="65">
        <v>0</v>
      </c>
      <c r="J6" s="65">
        <f t="shared" si="0"/>
        <v>0</v>
      </c>
      <c r="K6" s="96"/>
      <c r="L6" s="85">
        <v>260250</v>
      </c>
      <c r="M6" s="96"/>
    </row>
    <row r="7" spans="1:13" hidden="1">
      <c r="A7" s="63">
        <v>3</v>
      </c>
      <c r="B7" s="63" t="s">
        <v>5</v>
      </c>
      <c r="C7" s="63" t="s">
        <v>266</v>
      </c>
      <c r="D7" s="93"/>
      <c r="E7" s="65">
        <v>0</v>
      </c>
      <c r="F7" s="65">
        <v>0</v>
      </c>
      <c r="G7" s="65">
        <v>0</v>
      </c>
      <c r="H7" s="65">
        <v>0</v>
      </c>
      <c r="I7" s="65">
        <v>0</v>
      </c>
      <c r="J7" s="65">
        <f t="shared" si="0"/>
        <v>0</v>
      </c>
      <c r="K7" s="96"/>
      <c r="L7" s="85">
        <v>260250</v>
      </c>
      <c r="M7" s="96"/>
    </row>
    <row r="8" spans="1:13" hidden="1">
      <c r="A8" s="63">
        <v>4</v>
      </c>
      <c r="B8" s="63" t="s">
        <v>8</v>
      </c>
      <c r="C8" s="63" t="s">
        <v>266</v>
      </c>
      <c r="D8" s="94"/>
      <c r="E8" s="65">
        <v>0</v>
      </c>
      <c r="F8" s="65">
        <v>0</v>
      </c>
      <c r="G8" s="65">
        <v>0</v>
      </c>
      <c r="H8" s="65">
        <v>0</v>
      </c>
      <c r="I8" s="65">
        <v>0</v>
      </c>
      <c r="J8" s="65">
        <f t="shared" si="0"/>
        <v>0</v>
      </c>
      <c r="K8" s="97"/>
      <c r="L8" s="86">
        <v>260250</v>
      </c>
      <c r="M8" s="97"/>
    </row>
    <row r="9" spans="1:13" hidden="1">
      <c r="A9" s="63">
        <v>5</v>
      </c>
      <c r="B9" s="63" t="s">
        <v>7</v>
      </c>
      <c r="C9" s="63" t="s">
        <v>282</v>
      </c>
      <c r="D9" s="92">
        <v>10343.979499999999</v>
      </c>
      <c r="E9" s="66">
        <v>0</v>
      </c>
      <c r="F9" s="66">
        <v>0</v>
      </c>
      <c r="G9" s="66">
        <v>0</v>
      </c>
      <c r="H9" s="66">
        <v>0</v>
      </c>
      <c r="I9" s="66">
        <v>0</v>
      </c>
      <c r="J9" s="66">
        <f t="shared" si="0"/>
        <v>0</v>
      </c>
      <c r="K9" s="92">
        <f>SUM(J9:J12)</f>
        <v>0</v>
      </c>
      <c r="L9" s="81">
        <v>10343.979499999999</v>
      </c>
      <c r="M9" s="92">
        <f>D9-K9</f>
        <v>10343.979499999999</v>
      </c>
    </row>
    <row r="10" spans="1:13" hidden="1">
      <c r="A10" s="63">
        <v>6</v>
      </c>
      <c r="B10" s="63" t="s">
        <v>13</v>
      </c>
      <c r="C10" s="63" t="s">
        <v>282</v>
      </c>
      <c r="D10" s="93"/>
      <c r="E10" s="66">
        <v>0</v>
      </c>
      <c r="F10" s="66">
        <v>0</v>
      </c>
      <c r="G10" s="66">
        <v>0</v>
      </c>
      <c r="H10" s="66">
        <v>0</v>
      </c>
      <c r="I10" s="66">
        <v>0</v>
      </c>
      <c r="J10" s="66">
        <f t="shared" si="0"/>
        <v>0</v>
      </c>
      <c r="K10" s="93"/>
      <c r="L10" s="82">
        <v>10343.979499999999</v>
      </c>
      <c r="M10" s="93"/>
    </row>
    <row r="11" spans="1:13" hidden="1">
      <c r="A11" s="63">
        <v>7</v>
      </c>
      <c r="B11" s="63" t="s">
        <v>18</v>
      </c>
      <c r="C11" s="63" t="s">
        <v>282</v>
      </c>
      <c r="D11" s="93"/>
      <c r="E11" s="66">
        <v>0</v>
      </c>
      <c r="F11" s="66">
        <v>0</v>
      </c>
      <c r="G11" s="66">
        <v>0</v>
      </c>
      <c r="H11" s="66">
        <v>0</v>
      </c>
      <c r="I11" s="66">
        <v>0</v>
      </c>
      <c r="J11" s="66">
        <f t="shared" si="0"/>
        <v>0</v>
      </c>
      <c r="K11" s="93"/>
      <c r="L11" s="82">
        <v>10343.979499999999</v>
      </c>
      <c r="M11" s="93"/>
    </row>
    <row r="12" spans="1:13" hidden="1">
      <c r="A12" s="63">
        <v>8</v>
      </c>
      <c r="B12" s="63" t="s">
        <v>23</v>
      </c>
      <c r="C12" s="63" t="s">
        <v>282</v>
      </c>
      <c r="D12" s="94"/>
      <c r="E12" s="66">
        <v>0</v>
      </c>
      <c r="F12" s="66">
        <v>0</v>
      </c>
      <c r="G12" s="66">
        <v>0</v>
      </c>
      <c r="H12" s="66">
        <v>0</v>
      </c>
      <c r="I12" s="66">
        <v>0</v>
      </c>
      <c r="J12" s="66">
        <f t="shared" si="0"/>
        <v>0</v>
      </c>
      <c r="K12" s="94"/>
      <c r="L12" s="83">
        <v>10343.979499999999</v>
      </c>
      <c r="M12" s="94"/>
    </row>
    <row r="13" spans="1:13" hidden="1">
      <c r="A13" s="63">
        <v>9</v>
      </c>
      <c r="B13" s="63" t="s">
        <v>10</v>
      </c>
      <c r="C13" s="63" t="s">
        <v>26</v>
      </c>
      <c r="D13" s="92">
        <v>15885.723</v>
      </c>
      <c r="E13" s="65">
        <v>0</v>
      </c>
      <c r="F13" s="65">
        <v>0</v>
      </c>
      <c r="G13" s="65">
        <v>0</v>
      </c>
      <c r="H13" s="65">
        <v>0</v>
      </c>
      <c r="I13" s="65">
        <v>0</v>
      </c>
      <c r="J13" s="65">
        <f t="shared" si="0"/>
        <v>0</v>
      </c>
      <c r="K13" s="95">
        <f>SUM(J13:J16)</f>
        <v>0</v>
      </c>
      <c r="L13" s="84">
        <v>15885.723</v>
      </c>
      <c r="M13" s="95">
        <f>D13-K13</f>
        <v>15885.723</v>
      </c>
    </row>
    <row r="14" spans="1:13" hidden="1">
      <c r="A14" s="63">
        <v>10</v>
      </c>
      <c r="B14" s="63" t="s">
        <v>29</v>
      </c>
      <c r="C14" s="63" t="s">
        <v>26</v>
      </c>
      <c r="D14" s="93"/>
      <c r="E14" s="65">
        <v>0</v>
      </c>
      <c r="F14" s="65">
        <v>0</v>
      </c>
      <c r="G14" s="65">
        <v>0</v>
      </c>
      <c r="H14" s="65">
        <v>0</v>
      </c>
      <c r="I14" s="65">
        <v>0</v>
      </c>
      <c r="J14" s="65">
        <f t="shared" si="0"/>
        <v>0</v>
      </c>
      <c r="K14" s="96"/>
      <c r="L14" s="85">
        <v>15885.723</v>
      </c>
      <c r="M14" s="96"/>
    </row>
    <row r="15" spans="1:13" hidden="1">
      <c r="A15" s="63">
        <v>11</v>
      </c>
      <c r="B15" s="63" t="s">
        <v>33</v>
      </c>
      <c r="C15" s="63" t="s">
        <v>26</v>
      </c>
      <c r="D15" s="93"/>
      <c r="E15" s="65">
        <v>0</v>
      </c>
      <c r="F15" s="65">
        <v>0</v>
      </c>
      <c r="G15" s="65">
        <v>0</v>
      </c>
      <c r="H15" s="65">
        <v>0</v>
      </c>
      <c r="I15" s="65">
        <v>0</v>
      </c>
      <c r="J15" s="65">
        <f t="shared" si="0"/>
        <v>0</v>
      </c>
      <c r="K15" s="96"/>
      <c r="L15" s="85">
        <v>15885.723</v>
      </c>
      <c r="M15" s="96"/>
    </row>
    <row r="16" spans="1:13" hidden="1">
      <c r="A16" s="63">
        <v>12</v>
      </c>
      <c r="B16" s="63" t="s">
        <v>37</v>
      </c>
      <c r="C16" s="63" t="s">
        <v>26</v>
      </c>
      <c r="D16" s="94"/>
      <c r="E16" s="65">
        <v>0</v>
      </c>
      <c r="F16" s="65">
        <v>0</v>
      </c>
      <c r="G16" s="65">
        <v>0</v>
      </c>
      <c r="H16" s="65">
        <v>0</v>
      </c>
      <c r="I16" s="65">
        <v>0</v>
      </c>
      <c r="J16" s="65">
        <f t="shared" si="0"/>
        <v>0</v>
      </c>
      <c r="K16" s="97"/>
      <c r="L16" s="86">
        <v>15885.723</v>
      </c>
      <c r="M16" s="97"/>
    </row>
    <row r="17" spans="1:13" hidden="1">
      <c r="A17" s="63">
        <v>13</v>
      </c>
      <c r="B17" s="63" t="s">
        <v>12</v>
      </c>
      <c r="C17" s="63" t="s">
        <v>270</v>
      </c>
      <c r="D17" s="92">
        <v>5375.03</v>
      </c>
      <c r="E17" s="66">
        <v>0</v>
      </c>
      <c r="F17" s="66">
        <v>44</v>
      </c>
      <c r="G17" s="66">
        <v>0</v>
      </c>
      <c r="H17" s="66">
        <v>0</v>
      </c>
      <c r="I17" s="66">
        <v>0</v>
      </c>
      <c r="J17" s="66">
        <f t="shared" si="0"/>
        <v>44</v>
      </c>
      <c r="K17" s="92">
        <f>SUM(J17:J20)</f>
        <v>83</v>
      </c>
      <c r="L17" s="81">
        <v>5292.03</v>
      </c>
      <c r="M17" s="92">
        <f>D17-K17</f>
        <v>5292.03</v>
      </c>
    </row>
    <row r="18" spans="1:13" hidden="1">
      <c r="A18" s="63">
        <v>14</v>
      </c>
      <c r="B18" s="63" t="s">
        <v>44</v>
      </c>
      <c r="C18" s="63" t="s">
        <v>270</v>
      </c>
      <c r="D18" s="93"/>
      <c r="E18" s="66">
        <v>0</v>
      </c>
      <c r="F18" s="66">
        <v>39</v>
      </c>
      <c r="G18" s="66">
        <v>0</v>
      </c>
      <c r="H18" s="66">
        <v>0</v>
      </c>
      <c r="I18" s="66">
        <v>0</v>
      </c>
      <c r="J18" s="66">
        <f t="shared" si="0"/>
        <v>39</v>
      </c>
      <c r="K18" s="93"/>
      <c r="L18" s="82">
        <v>5292.03</v>
      </c>
      <c r="M18" s="93"/>
    </row>
    <row r="19" spans="1:13" hidden="1">
      <c r="A19" s="63">
        <v>15</v>
      </c>
      <c r="B19" s="63" t="s">
        <v>48</v>
      </c>
      <c r="C19" s="63" t="s">
        <v>270</v>
      </c>
      <c r="D19" s="93"/>
      <c r="E19" s="66">
        <v>0</v>
      </c>
      <c r="F19" s="66">
        <v>0</v>
      </c>
      <c r="G19" s="66">
        <v>0</v>
      </c>
      <c r="H19" s="66">
        <v>0</v>
      </c>
      <c r="I19" s="66">
        <v>0</v>
      </c>
      <c r="J19" s="66">
        <f t="shared" si="0"/>
        <v>0</v>
      </c>
      <c r="K19" s="93"/>
      <c r="L19" s="82">
        <v>5292.03</v>
      </c>
      <c r="M19" s="93"/>
    </row>
    <row r="20" spans="1:13" hidden="1">
      <c r="A20" s="63">
        <v>16</v>
      </c>
      <c r="B20" s="63" t="s">
        <v>52</v>
      </c>
      <c r="C20" s="63" t="s">
        <v>270</v>
      </c>
      <c r="D20" s="94"/>
      <c r="E20" s="66">
        <v>0</v>
      </c>
      <c r="F20" s="66">
        <v>0</v>
      </c>
      <c r="G20" s="66">
        <v>0</v>
      </c>
      <c r="H20" s="66">
        <v>0</v>
      </c>
      <c r="I20" s="66">
        <v>0</v>
      </c>
      <c r="J20" s="66">
        <f t="shared" si="0"/>
        <v>0</v>
      </c>
      <c r="K20" s="94"/>
      <c r="L20" s="83">
        <v>5292.03</v>
      </c>
      <c r="M20" s="94"/>
    </row>
    <row r="21" spans="1:13" hidden="1">
      <c r="A21" s="63">
        <v>17</v>
      </c>
      <c r="B21" s="63" t="s">
        <v>16</v>
      </c>
      <c r="C21" s="63" t="s">
        <v>285</v>
      </c>
      <c r="D21" s="92">
        <v>4548.3100000000004</v>
      </c>
      <c r="E21" s="65">
        <v>0</v>
      </c>
      <c r="F21" s="65">
        <v>0</v>
      </c>
      <c r="G21" s="65">
        <v>0</v>
      </c>
      <c r="H21" s="65">
        <v>0</v>
      </c>
      <c r="I21" s="65">
        <v>0</v>
      </c>
      <c r="J21" s="65">
        <f t="shared" si="0"/>
        <v>0</v>
      </c>
      <c r="K21" s="95">
        <f>SUM(J21:J28)</f>
        <v>0</v>
      </c>
      <c r="L21" s="84">
        <v>4548.3100000000004</v>
      </c>
      <c r="M21" s="95">
        <f>D21-K21</f>
        <v>4548.3100000000004</v>
      </c>
    </row>
    <row r="22" spans="1:13" hidden="1">
      <c r="A22" s="63">
        <v>18</v>
      </c>
      <c r="B22" s="63" t="s">
        <v>58</v>
      </c>
      <c r="C22" s="63" t="s">
        <v>285</v>
      </c>
      <c r="D22" s="93"/>
      <c r="E22" s="65">
        <v>0</v>
      </c>
      <c r="F22" s="65">
        <v>0</v>
      </c>
      <c r="G22" s="65">
        <v>0</v>
      </c>
      <c r="H22" s="65">
        <v>0</v>
      </c>
      <c r="I22" s="65">
        <v>0</v>
      </c>
      <c r="J22" s="65">
        <f t="shared" si="0"/>
        <v>0</v>
      </c>
      <c r="K22" s="96"/>
      <c r="L22" s="85">
        <v>4548.3100000000004</v>
      </c>
      <c r="M22" s="96"/>
    </row>
    <row r="23" spans="1:13" hidden="1">
      <c r="A23" s="63">
        <v>19</v>
      </c>
      <c r="B23" s="63" t="s">
        <v>61</v>
      </c>
      <c r="C23" s="63" t="s">
        <v>285</v>
      </c>
      <c r="D23" s="93"/>
      <c r="E23" s="65">
        <v>0</v>
      </c>
      <c r="F23" s="65">
        <v>0</v>
      </c>
      <c r="G23" s="65">
        <v>0</v>
      </c>
      <c r="H23" s="65">
        <v>0</v>
      </c>
      <c r="I23" s="65">
        <v>0</v>
      </c>
      <c r="J23" s="65">
        <f t="shared" si="0"/>
        <v>0</v>
      </c>
      <c r="K23" s="96"/>
      <c r="L23" s="85">
        <v>4548.3100000000004</v>
      </c>
      <c r="M23" s="96"/>
    </row>
    <row r="24" spans="1:13" hidden="1">
      <c r="A24" s="63">
        <v>20</v>
      </c>
      <c r="B24" s="63" t="s">
        <v>64</v>
      </c>
      <c r="C24" s="63" t="s">
        <v>285</v>
      </c>
      <c r="D24" s="93"/>
      <c r="E24" s="65">
        <v>0</v>
      </c>
      <c r="F24" s="65">
        <v>0</v>
      </c>
      <c r="G24" s="65">
        <v>0</v>
      </c>
      <c r="H24" s="65">
        <v>0</v>
      </c>
      <c r="I24" s="65">
        <v>0</v>
      </c>
      <c r="J24" s="65">
        <f t="shared" si="0"/>
        <v>0</v>
      </c>
      <c r="K24" s="96"/>
      <c r="L24" s="85">
        <v>4548.3100000000004</v>
      </c>
      <c r="M24" s="96"/>
    </row>
    <row r="25" spans="1:13" hidden="1">
      <c r="A25" s="63">
        <v>21</v>
      </c>
      <c r="B25" s="63" t="s">
        <v>67</v>
      </c>
      <c r="C25" s="63" t="s">
        <v>271</v>
      </c>
      <c r="D25" s="93"/>
      <c r="E25" s="65">
        <v>0</v>
      </c>
      <c r="F25" s="65">
        <v>0</v>
      </c>
      <c r="G25" s="65">
        <v>0</v>
      </c>
      <c r="H25" s="65">
        <v>0</v>
      </c>
      <c r="I25" s="65">
        <v>0</v>
      </c>
      <c r="J25" s="65">
        <f t="shared" si="0"/>
        <v>0</v>
      </c>
      <c r="K25" s="96"/>
      <c r="L25" s="85">
        <v>4548.3100000000004</v>
      </c>
      <c r="M25" s="96"/>
    </row>
    <row r="26" spans="1:13" hidden="1">
      <c r="A26" s="63">
        <v>22</v>
      </c>
      <c r="B26" s="63" t="s">
        <v>70</v>
      </c>
      <c r="C26" s="63" t="s">
        <v>271</v>
      </c>
      <c r="D26" s="93"/>
      <c r="E26" s="65">
        <v>0</v>
      </c>
      <c r="F26" s="65">
        <v>0</v>
      </c>
      <c r="G26" s="65">
        <v>0</v>
      </c>
      <c r="H26" s="65">
        <v>0</v>
      </c>
      <c r="I26" s="65">
        <v>0</v>
      </c>
      <c r="J26" s="65">
        <f t="shared" si="0"/>
        <v>0</v>
      </c>
      <c r="K26" s="96"/>
      <c r="L26" s="85">
        <v>4548.3100000000004</v>
      </c>
      <c r="M26" s="96"/>
    </row>
    <row r="27" spans="1:13" hidden="1">
      <c r="A27" s="63">
        <v>23</v>
      </c>
      <c r="B27" s="63" t="s">
        <v>73</v>
      </c>
      <c r="C27" s="63" t="s">
        <v>271</v>
      </c>
      <c r="D27" s="93"/>
      <c r="E27" s="65">
        <v>0</v>
      </c>
      <c r="F27" s="65">
        <v>0</v>
      </c>
      <c r="G27" s="65">
        <v>0</v>
      </c>
      <c r="H27" s="65">
        <v>0</v>
      </c>
      <c r="I27" s="65">
        <v>0</v>
      </c>
      <c r="J27" s="65">
        <f t="shared" si="0"/>
        <v>0</v>
      </c>
      <c r="K27" s="96"/>
      <c r="L27" s="85">
        <v>4548.3100000000004</v>
      </c>
      <c r="M27" s="96"/>
    </row>
    <row r="28" spans="1:13" hidden="1">
      <c r="A28" s="63">
        <v>24</v>
      </c>
      <c r="B28" s="63" t="s">
        <v>76</v>
      </c>
      <c r="C28" s="63" t="s">
        <v>271</v>
      </c>
      <c r="D28" s="94"/>
      <c r="E28" s="65">
        <v>0</v>
      </c>
      <c r="F28" s="65">
        <v>0</v>
      </c>
      <c r="G28" s="65">
        <v>0</v>
      </c>
      <c r="H28" s="65">
        <v>0</v>
      </c>
      <c r="I28" s="65">
        <v>0</v>
      </c>
      <c r="J28" s="65">
        <f t="shared" si="0"/>
        <v>0</v>
      </c>
      <c r="K28" s="97"/>
      <c r="L28" s="86">
        <v>4548.3100000000004</v>
      </c>
      <c r="M28" s="97"/>
    </row>
    <row r="29" spans="1:13" hidden="1">
      <c r="A29" s="63">
        <v>25</v>
      </c>
      <c r="B29" s="63" t="s">
        <v>20</v>
      </c>
      <c r="C29" s="63" t="s">
        <v>286</v>
      </c>
      <c r="D29" s="92">
        <v>21536.61</v>
      </c>
      <c r="E29" s="66">
        <v>0</v>
      </c>
      <c r="F29" s="66">
        <v>0</v>
      </c>
      <c r="G29" s="66">
        <v>0</v>
      </c>
      <c r="H29" s="66">
        <v>0</v>
      </c>
      <c r="I29" s="66">
        <v>0</v>
      </c>
      <c r="J29" s="66">
        <f t="shared" si="0"/>
        <v>0</v>
      </c>
      <c r="K29" s="92">
        <f>SUM(J29:J32)</f>
        <v>654</v>
      </c>
      <c r="L29" s="81">
        <v>20882.61</v>
      </c>
      <c r="M29" s="92">
        <f>D29-K29</f>
        <v>20882.61</v>
      </c>
    </row>
    <row r="30" spans="1:13" hidden="1">
      <c r="A30" s="63">
        <v>26</v>
      </c>
      <c r="B30" s="63" t="s">
        <v>81</v>
      </c>
      <c r="C30" s="63" t="s">
        <v>286</v>
      </c>
      <c r="D30" s="93"/>
      <c r="E30" s="66">
        <v>0</v>
      </c>
      <c r="F30" s="66">
        <v>0</v>
      </c>
      <c r="G30" s="66">
        <v>0</v>
      </c>
      <c r="H30" s="66">
        <v>0</v>
      </c>
      <c r="I30" s="66">
        <v>0</v>
      </c>
      <c r="J30" s="66">
        <f t="shared" si="0"/>
        <v>0</v>
      </c>
      <c r="K30" s="93"/>
      <c r="L30" s="82">
        <v>20882.61</v>
      </c>
      <c r="M30" s="93"/>
    </row>
    <row r="31" spans="1:13" hidden="1">
      <c r="A31" s="63">
        <v>27</v>
      </c>
      <c r="B31" s="63" t="s">
        <v>84</v>
      </c>
      <c r="C31" s="63" t="s">
        <v>286</v>
      </c>
      <c r="D31" s="93"/>
      <c r="E31" s="66">
        <v>588</v>
      </c>
      <c r="F31" s="66">
        <v>66</v>
      </c>
      <c r="G31" s="66">
        <v>0</v>
      </c>
      <c r="H31" s="66">
        <v>0</v>
      </c>
      <c r="I31" s="66">
        <v>0</v>
      </c>
      <c r="J31" s="66">
        <f t="shared" si="0"/>
        <v>654</v>
      </c>
      <c r="K31" s="93"/>
      <c r="L31" s="82">
        <v>20882.61</v>
      </c>
      <c r="M31" s="93"/>
    </row>
    <row r="32" spans="1:13" hidden="1">
      <c r="A32" s="63">
        <v>28</v>
      </c>
      <c r="B32" s="63" t="s">
        <v>87</v>
      </c>
      <c r="C32" s="63" t="s">
        <v>286</v>
      </c>
      <c r="D32" s="94"/>
      <c r="E32" s="66">
        <v>0</v>
      </c>
      <c r="F32" s="66">
        <v>0</v>
      </c>
      <c r="G32" s="66">
        <v>0</v>
      </c>
      <c r="H32" s="66">
        <v>0</v>
      </c>
      <c r="I32" s="66">
        <v>0</v>
      </c>
      <c r="J32" s="66">
        <f t="shared" si="0"/>
        <v>0</v>
      </c>
      <c r="K32" s="94"/>
      <c r="L32" s="83">
        <v>20882.61</v>
      </c>
      <c r="M32" s="94"/>
    </row>
    <row r="33" spans="1:13" hidden="1">
      <c r="A33" s="63">
        <v>29</v>
      </c>
      <c r="B33" s="63" t="s">
        <v>24</v>
      </c>
      <c r="C33" s="63" t="s">
        <v>90</v>
      </c>
      <c r="D33" s="92">
        <v>257250</v>
      </c>
      <c r="E33" s="65">
        <v>0</v>
      </c>
      <c r="F33" s="65">
        <v>0</v>
      </c>
      <c r="G33" s="65">
        <v>0</v>
      </c>
      <c r="H33" s="65">
        <v>0</v>
      </c>
      <c r="I33" s="65">
        <v>0</v>
      </c>
      <c r="J33" s="65">
        <f t="shared" si="0"/>
        <v>0</v>
      </c>
      <c r="K33" s="95">
        <f>SUM(J33:J36)</f>
        <v>0</v>
      </c>
      <c r="L33" s="84">
        <v>257250</v>
      </c>
      <c r="M33" s="95">
        <f>D33-K33</f>
        <v>257250</v>
      </c>
    </row>
    <row r="34" spans="1:13" hidden="1">
      <c r="A34" s="63">
        <v>30</v>
      </c>
      <c r="B34" s="63" t="s">
        <v>93</v>
      </c>
      <c r="C34" s="63" t="s">
        <v>90</v>
      </c>
      <c r="D34" s="93"/>
      <c r="E34" s="65">
        <v>0</v>
      </c>
      <c r="F34" s="65">
        <v>0</v>
      </c>
      <c r="G34" s="65">
        <v>0</v>
      </c>
      <c r="H34" s="65">
        <v>0</v>
      </c>
      <c r="I34" s="65">
        <v>0</v>
      </c>
      <c r="J34" s="65">
        <f t="shared" si="0"/>
        <v>0</v>
      </c>
      <c r="K34" s="96"/>
      <c r="L34" s="85">
        <v>257250</v>
      </c>
      <c r="M34" s="96"/>
    </row>
    <row r="35" spans="1:13" hidden="1">
      <c r="A35" s="63">
        <v>31</v>
      </c>
      <c r="B35" s="63" t="s">
        <v>96</v>
      </c>
      <c r="C35" s="63" t="s">
        <v>90</v>
      </c>
      <c r="D35" s="93"/>
      <c r="E35" s="65">
        <v>0</v>
      </c>
      <c r="F35" s="65">
        <v>0</v>
      </c>
      <c r="G35" s="65">
        <v>0</v>
      </c>
      <c r="H35" s="65">
        <v>0</v>
      </c>
      <c r="I35" s="65">
        <v>0</v>
      </c>
      <c r="J35" s="65">
        <f t="shared" si="0"/>
        <v>0</v>
      </c>
      <c r="K35" s="96"/>
      <c r="L35" s="85">
        <v>257250</v>
      </c>
      <c r="M35" s="96"/>
    </row>
    <row r="36" spans="1:13" hidden="1">
      <c r="A36" s="63">
        <v>32</v>
      </c>
      <c r="B36" s="63" t="s">
        <v>99</v>
      </c>
      <c r="C36" s="63" t="s">
        <v>90</v>
      </c>
      <c r="D36" s="94"/>
      <c r="E36" s="65">
        <v>0</v>
      </c>
      <c r="F36" s="65">
        <v>0</v>
      </c>
      <c r="G36" s="65">
        <v>0</v>
      </c>
      <c r="H36" s="65">
        <v>0</v>
      </c>
      <c r="I36" s="65">
        <v>0</v>
      </c>
      <c r="J36" s="65">
        <f t="shared" si="0"/>
        <v>0</v>
      </c>
      <c r="K36" s="97"/>
      <c r="L36" s="86">
        <v>257250</v>
      </c>
      <c r="M36" s="97"/>
    </row>
    <row r="37" spans="1:13" hidden="1">
      <c r="A37" s="63">
        <v>33</v>
      </c>
      <c r="B37" s="63" t="s">
        <v>27</v>
      </c>
      <c r="C37" s="63" t="s">
        <v>287</v>
      </c>
      <c r="D37" s="92">
        <v>15561.89</v>
      </c>
      <c r="E37" s="66">
        <v>0</v>
      </c>
      <c r="F37" s="66">
        <v>335</v>
      </c>
      <c r="G37" s="66">
        <v>0</v>
      </c>
      <c r="H37" s="66">
        <v>0</v>
      </c>
      <c r="I37" s="66">
        <v>0</v>
      </c>
      <c r="J37" s="66">
        <f t="shared" si="0"/>
        <v>335</v>
      </c>
      <c r="K37" s="92">
        <f>SUM(J37:J64)</f>
        <v>914</v>
      </c>
      <c r="L37" s="81">
        <v>14647.89</v>
      </c>
      <c r="M37" s="92">
        <f>D37-K37</f>
        <v>14647.89</v>
      </c>
    </row>
    <row r="38" spans="1:13" hidden="1">
      <c r="A38" s="63">
        <v>34</v>
      </c>
      <c r="B38" s="63" t="s">
        <v>104</v>
      </c>
      <c r="C38" s="63" t="s">
        <v>287</v>
      </c>
      <c r="D38" s="93"/>
      <c r="E38" s="66">
        <v>0</v>
      </c>
      <c r="F38" s="66">
        <v>0</v>
      </c>
      <c r="G38" s="66">
        <v>0</v>
      </c>
      <c r="H38" s="66">
        <v>0</v>
      </c>
      <c r="I38" s="66">
        <v>0</v>
      </c>
      <c r="J38" s="66">
        <f t="shared" si="0"/>
        <v>0</v>
      </c>
      <c r="K38" s="93"/>
      <c r="L38" s="82">
        <v>14647.89</v>
      </c>
      <c r="M38" s="93"/>
    </row>
    <row r="39" spans="1:13" hidden="1">
      <c r="A39" s="63">
        <v>35</v>
      </c>
      <c r="B39" s="63" t="s">
        <v>107</v>
      </c>
      <c r="C39" s="63" t="s">
        <v>287</v>
      </c>
      <c r="D39" s="93"/>
      <c r="E39" s="66">
        <v>0</v>
      </c>
      <c r="F39" s="66">
        <v>0</v>
      </c>
      <c r="G39" s="66">
        <v>0</v>
      </c>
      <c r="H39" s="66">
        <v>0</v>
      </c>
      <c r="I39" s="66">
        <v>0</v>
      </c>
      <c r="J39" s="66">
        <f t="shared" si="0"/>
        <v>0</v>
      </c>
      <c r="K39" s="93"/>
      <c r="L39" s="82">
        <v>14647.89</v>
      </c>
      <c r="M39" s="93"/>
    </row>
    <row r="40" spans="1:13" hidden="1">
      <c r="A40" s="63">
        <v>36</v>
      </c>
      <c r="B40" s="63" t="s">
        <v>111</v>
      </c>
      <c r="C40" s="63" t="s">
        <v>287</v>
      </c>
      <c r="D40" s="93"/>
      <c r="E40" s="66">
        <v>0</v>
      </c>
      <c r="F40" s="66">
        <v>0</v>
      </c>
      <c r="G40" s="66">
        <v>0</v>
      </c>
      <c r="H40" s="66">
        <v>0</v>
      </c>
      <c r="I40" s="66">
        <v>0</v>
      </c>
      <c r="J40" s="66">
        <f t="shared" si="0"/>
        <v>0</v>
      </c>
      <c r="K40" s="93"/>
      <c r="L40" s="82">
        <v>14647.89</v>
      </c>
      <c r="M40" s="93"/>
    </row>
    <row r="41" spans="1:13" hidden="1">
      <c r="A41" s="63">
        <v>37</v>
      </c>
      <c r="B41" s="63" t="s">
        <v>115</v>
      </c>
      <c r="C41" s="63" t="s">
        <v>288</v>
      </c>
      <c r="D41" s="93"/>
      <c r="E41" s="66">
        <v>0</v>
      </c>
      <c r="F41" s="66">
        <v>0</v>
      </c>
      <c r="G41" s="66">
        <v>0</v>
      </c>
      <c r="H41" s="66">
        <v>0</v>
      </c>
      <c r="I41" s="66">
        <v>468</v>
      </c>
      <c r="J41" s="66">
        <f t="shared" si="0"/>
        <v>468</v>
      </c>
      <c r="K41" s="93"/>
      <c r="L41" s="82">
        <v>14647.89</v>
      </c>
      <c r="M41" s="93"/>
    </row>
    <row r="42" spans="1:13" hidden="1">
      <c r="A42" s="63">
        <v>38</v>
      </c>
      <c r="B42" s="63" t="s">
        <v>119</v>
      </c>
      <c r="C42" s="63" t="s">
        <v>288</v>
      </c>
      <c r="D42" s="93"/>
      <c r="E42" s="66">
        <v>0</v>
      </c>
      <c r="F42" s="66">
        <v>111</v>
      </c>
      <c r="G42" s="66">
        <v>0</v>
      </c>
      <c r="H42" s="66">
        <v>0</v>
      </c>
      <c r="I42" s="66">
        <v>0</v>
      </c>
      <c r="J42" s="66">
        <f t="shared" si="0"/>
        <v>111</v>
      </c>
      <c r="K42" s="93"/>
      <c r="L42" s="82">
        <v>14647.89</v>
      </c>
      <c r="M42" s="93"/>
    </row>
    <row r="43" spans="1:13" hidden="1">
      <c r="A43" s="63">
        <v>39</v>
      </c>
      <c r="B43" s="63" t="s">
        <v>122</v>
      </c>
      <c r="C43" s="63" t="s">
        <v>288</v>
      </c>
      <c r="D43" s="93"/>
      <c r="E43" s="66">
        <v>0</v>
      </c>
      <c r="F43" s="66">
        <v>0</v>
      </c>
      <c r="G43" s="66">
        <v>0</v>
      </c>
      <c r="H43" s="66">
        <v>0</v>
      </c>
      <c r="I43" s="66">
        <v>0</v>
      </c>
      <c r="J43" s="66">
        <f t="shared" si="0"/>
        <v>0</v>
      </c>
      <c r="K43" s="93"/>
      <c r="L43" s="82">
        <v>14647.89</v>
      </c>
      <c r="M43" s="93"/>
    </row>
    <row r="44" spans="1:13" hidden="1">
      <c r="A44" s="63">
        <v>40</v>
      </c>
      <c r="B44" s="63" t="s">
        <v>125</v>
      </c>
      <c r="C44" s="63" t="s">
        <v>288</v>
      </c>
      <c r="D44" s="93"/>
      <c r="E44" s="66">
        <v>0</v>
      </c>
      <c r="F44" s="66">
        <v>0</v>
      </c>
      <c r="G44" s="66">
        <v>0</v>
      </c>
      <c r="H44" s="66">
        <v>0</v>
      </c>
      <c r="I44" s="66">
        <v>0</v>
      </c>
      <c r="J44" s="66">
        <f t="shared" si="0"/>
        <v>0</v>
      </c>
      <c r="K44" s="93"/>
      <c r="L44" s="82">
        <v>14647.89</v>
      </c>
      <c r="M44" s="93"/>
    </row>
    <row r="45" spans="1:13" hidden="1">
      <c r="A45" s="63">
        <v>41</v>
      </c>
      <c r="B45" s="63" t="s">
        <v>128</v>
      </c>
      <c r="C45" s="63" t="s">
        <v>289</v>
      </c>
      <c r="D45" s="93"/>
      <c r="E45" s="66">
        <v>0</v>
      </c>
      <c r="F45" s="66">
        <v>0</v>
      </c>
      <c r="G45" s="66">
        <v>0</v>
      </c>
      <c r="H45" s="66">
        <v>0</v>
      </c>
      <c r="I45" s="66">
        <v>0</v>
      </c>
      <c r="J45" s="66">
        <f t="shared" si="0"/>
        <v>0</v>
      </c>
      <c r="K45" s="93"/>
      <c r="L45" s="82">
        <v>14647.89</v>
      </c>
      <c r="M45" s="93"/>
    </row>
    <row r="46" spans="1:13" hidden="1">
      <c r="A46" s="63">
        <v>42</v>
      </c>
      <c r="B46" s="63" t="s">
        <v>131</v>
      </c>
      <c r="C46" s="63" t="s">
        <v>289</v>
      </c>
      <c r="D46" s="93"/>
      <c r="E46" s="66">
        <v>0</v>
      </c>
      <c r="F46" s="66">
        <v>0</v>
      </c>
      <c r="G46" s="66">
        <v>0</v>
      </c>
      <c r="H46" s="66">
        <v>0</v>
      </c>
      <c r="I46" s="66">
        <v>0</v>
      </c>
      <c r="J46" s="66">
        <f t="shared" si="0"/>
        <v>0</v>
      </c>
      <c r="K46" s="93"/>
      <c r="L46" s="82">
        <v>14647.89</v>
      </c>
      <c r="M46" s="93"/>
    </row>
    <row r="47" spans="1:13" hidden="1">
      <c r="A47" s="63">
        <v>43</v>
      </c>
      <c r="B47" s="63" t="s">
        <v>134</v>
      </c>
      <c r="C47" s="63" t="s">
        <v>289</v>
      </c>
      <c r="D47" s="93"/>
      <c r="E47" s="66">
        <v>0</v>
      </c>
      <c r="F47" s="66">
        <v>0</v>
      </c>
      <c r="G47" s="66">
        <v>0</v>
      </c>
      <c r="H47" s="66">
        <v>0</v>
      </c>
      <c r="I47" s="66">
        <v>0</v>
      </c>
      <c r="J47" s="66">
        <f t="shared" si="0"/>
        <v>0</v>
      </c>
      <c r="K47" s="93"/>
      <c r="L47" s="82">
        <v>14647.89</v>
      </c>
      <c r="M47" s="93"/>
    </row>
    <row r="48" spans="1:13" hidden="1">
      <c r="A48" s="63">
        <v>44</v>
      </c>
      <c r="B48" s="63" t="s">
        <v>135</v>
      </c>
      <c r="C48" s="63" t="s">
        <v>289</v>
      </c>
      <c r="D48" s="93"/>
      <c r="E48" s="66">
        <v>0</v>
      </c>
      <c r="F48" s="66">
        <v>0</v>
      </c>
      <c r="G48" s="66">
        <v>0</v>
      </c>
      <c r="H48" s="66">
        <v>0</v>
      </c>
      <c r="I48" s="66">
        <v>0</v>
      </c>
      <c r="J48" s="66">
        <f t="shared" si="0"/>
        <v>0</v>
      </c>
      <c r="K48" s="93"/>
      <c r="L48" s="82">
        <v>14647.89</v>
      </c>
      <c r="M48" s="93"/>
    </row>
    <row r="49" spans="1:13" hidden="1">
      <c r="A49" s="63">
        <v>45</v>
      </c>
      <c r="B49" s="63" t="s">
        <v>136</v>
      </c>
      <c r="C49" s="63" t="s">
        <v>290</v>
      </c>
      <c r="D49" s="93"/>
      <c r="E49" s="66">
        <v>0</v>
      </c>
      <c r="F49" s="66">
        <v>0</v>
      </c>
      <c r="G49" s="66">
        <v>0</v>
      </c>
      <c r="H49" s="66">
        <v>0</v>
      </c>
      <c r="I49" s="66">
        <v>0</v>
      </c>
      <c r="J49" s="66">
        <f t="shared" si="0"/>
        <v>0</v>
      </c>
      <c r="K49" s="93"/>
      <c r="L49" s="82">
        <v>14647.89</v>
      </c>
      <c r="M49" s="93"/>
    </row>
    <row r="50" spans="1:13" hidden="1">
      <c r="A50" s="63">
        <v>46</v>
      </c>
      <c r="B50" s="63" t="s">
        <v>137</v>
      </c>
      <c r="C50" s="63" t="s">
        <v>290</v>
      </c>
      <c r="D50" s="93"/>
      <c r="E50" s="66">
        <v>0</v>
      </c>
      <c r="F50" s="66">
        <v>0</v>
      </c>
      <c r="G50" s="66">
        <v>0</v>
      </c>
      <c r="H50" s="66">
        <v>0</v>
      </c>
      <c r="I50" s="66">
        <v>0</v>
      </c>
      <c r="J50" s="66">
        <f t="shared" si="0"/>
        <v>0</v>
      </c>
      <c r="K50" s="93"/>
      <c r="L50" s="82">
        <v>14647.89</v>
      </c>
      <c r="M50" s="93"/>
    </row>
    <row r="51" spans="1:13" hidden="1">
      <c r="A51" s="63">
        <v>47</v>
      </c>
      <c r="B51" s="63" t="s">
        <v>138</v>
      </c>
      <c r="C51" s="63" t="s">
        <v>290</v>
      </c>
      <c r="D51" s="93"/>
      <c r="E51" s="66">
        <v>0</v>
      </c>
      <c r="F51" s="66">
        <v>0</v>
      </c>
      <c r="G51" s="66">
        <v>0</v>
      </c>
      <c r="H51" s="66">
        <v>0</v>
      </c>
      <c r="I51" s="66">
        <v>0</v>
      </c>
      <c r="J51" s="66">
        <f t="shared" si="0"/>
        <v>0</v>
      </c>
      <c r="K51" s="93"/>
      <c r="L51" s="82">
        <v>14647.89</v>
      </c>
      <c r="M51" s="93"/>
    </row>
    <row r="52" spans="1:13" hidden="1">
      <c r="A52" s="63">
        <v>48</v>
      </c>
      <c r="B52" s="63" t="s">
        <v>139</v>
      </c>
      <c r="C52" s="63" t="s">
        <v>290</v>
      </c>
      <c r="D52" s="93"/>
      <c r="E52" s="66">
        <v>0</v>
      </c>
      <c r="F52" s="66">
        <v>0</v>
      </c>
      <c r="G52" s="66">
        <v>0</v>
      </c>
      <c r="H52" s="66">
        <v>0</v>
      </c>
      <c r="I52" s="66">
        <v>0</v>
      </c>
      <c r="J52" s="66">
        <f t="shared" si="0"/>
        <v>0</v>
      </c>
      <c r="K52" s="93"/>
      <c r="L52" s="82">
        <v>14647.89</v>
      </c>
      <c r="M52" s="93"/>
    </row>
    <row r="53" spans="1:13" hidden="1">
      <c r="A53" s="63">
        <v>49</v>
      </c>
      <c r="B53" s="63" t="s">
        <v>140</v>
      </c>
      <c r="C53" s="63" t="s">
        <v>291</v>
      </c>
      <c r="D53" s="93"/>
      <c r="E53" s="66">
        <v>0</v>
      </c>
      <c r="F53" s="66">
        <v>0</v>
      </c>
      <c r="G53" s="66">
        <v>0</v>
      </c>
      <c r="H53" s="66">
        <v>0</v>
      </c>
      <c r="I53" s="66">
        <v>0</v>
      </c>
      <c r="J53" s="66">
        <f t="shared" si="0"/>
        <v>0</v>
      </c>
      <c r="K53" s="93"/>
      <c r="L53" s="82">
        <v>14647.89</v>
      </c>
      <c r="M53" s="93"/>
    </row>
    <row r="54" spans="1:13" hidden="1">
      <c r="A54" s="63">
        <v>50</v>
      </c>
      <c r="B54" s="63" t="s">
        <v>141</v>
      </c>
      <c r="C54" s="63" t="s">
        <v>291</v>
      </c>
      <c r="D54" s="93"/>
      <c r="E54" s="66">
        <v>0</v>
      </c>
      <c r="F54" s="66">
        <v>0</v>
      </c>
      <c r="G54" s="66">
        <v>0</v>
      </c>
      <c r="H54" s="66">
        <v>0</v>
      </c>
      <c r="I54" s="66">
        <v>0</v>
      </c>
      <c r="J54" s="66">
        <f t="shared" si="0"/>
        <v>0</v>
      </c>
      <c r="K54" s="93"/>
      <c r="L54" s="82">
        <v>14647.89</v>
      </c>
      <c r="M54" s="93"/>
    </row>
    <row r="55" spans="1:13" hidden="1">
      <c r="A55" s="63">
        <v>51</v>
      </c>
      <c r="B55" s="63" t="s">
        <v>142</v>
      </c>
      <c r="C55" s="63" t="s">
        <v>291</v>
      </c>
      <c r="D55" s="93"/>
      <c r="E55" s="66">
        <v>0</v>
      </c>
      <c r="F55" s="66">
        <v>0</v>
      </c>
      <c r="G55" s="66">
        <v>0</v>
      </c>
      <c r="H55" s="66">
        <v>0</v>
      </c>
      <c r="I55" s="66">
        <v>0</v>
      </c>
      <c r="J55" s="66">
        <f t="shared" si="0"/>
        <v>0</v>
      </c>
      <c r="K55" s="93"/>
      <c r="L55" s="82">
        <v>14647.89</v>
      </c>
      <c r="M55" s="93"/>
    </row>
    <row r="56" spans="1:13" hidden="1">
      <c r="A56" s="63">
        <v>52</v>
      </c>
      <c r="B56" s="63" t="s">
        <v>143</v>
      </c>
      <c r="C56" s="63" t="s">
        <v>291</v>
      </c>
      <c r="D56" s="93"/>
      <c r="E56" s="66">
        <v>0</v>
      </c>
      <c r="F56" s="66">
        <v>0</v>
      </c>
      <c r="G56" s="66">
        <v>0</v>
      </c>
      <c r="H56" s="66">
        <v>0</v>
      </c>
      <c r="I56" s="66">
        <v>0</v>
      </c>
      <c r="J56" s="66">
        <f t="shared" si="0"/>
        <v>0</v>
      </c>
      <c r="K56" s="93"/>
      <c r="L56" s="82">
        <v>14647.89</v>
      </c>
      <c r="M56" s="93"/>
    </row>
    <row r="57" spans="1:13" hidden="1">
      <c r="A57" s="63">
        <v>53</v>
      </c>
      <c r="B57" s="63" t="s">
        <v>144</v>
      </c>
      <c r="C57" s="63" t="s">
        <v>292</v>
      </c>
      <c r="D57" s="93"/>
      <c r="E57" s="66">
        <v>0</v>
      </c>
      <c r="F57" s="66">
        <v>0</v>
      </c>
      <c r="G57" s="66">
        <v>0</v>
      </c>
      <c r="H57" s="66">
        <v>0</v>
      </c>
      <c r="I57" s="66">
        <v>0</v>
      </c>
      <c r="J57" s="66">
        <f t="shared" si="0"/>
        <v>0</v>
      </c>
      <c r="K57" s="93"/>
      <c r="L57" s="82">
        <v>14647.89</v>
      </c>
      <c r="M57" s="93"/>
    </row>
    <row r="58" spans="1:13" hidden="1">
      <c r="A58" s="63">
        <v>54</v>
      </c>
      <c r="B58" s="63" t="s">
        <v>145</v>
      </c>
      <c r="C58" s="63" t="s">
        <v>292</v>
      </c>
      <c r="D58" s="93"/>
      <c r="E58" s="66">
        <v>0</v>
      </c>
      <c r="F58" s="66">
        <v>0</v>
      </c>
      <c r="G58" s="66">
        <v>0</v>
      </c>
      <c r="H58" s="66">
        <v>0</v>
      </c>
      <c r="I58" s="66">
        <v>0</v>
      </c>
      <c r="J58" s="66">
        <f t="shared" si="0"/>
        <v>0</v>
      </c>
      <c r="K58" s="93"/>
      <c r="L58" s="82">
        <v>14647.89</v>
      </c>
      <c r="M58" s="93"/>
    </row>
    <row r="59" spans="1:13" hidden="1">
      <c r="A59" s="63">
        <v>55</v>
      </c>
      <c r="B59" s="63" t="s">
        <v>146</v>
      </c>
      <c r="C59" s="63" t="s">
        <v>292</v>
      </c>
      <c r="D59" s="93"/>
      <c r="E59" s="66">
        <v>0</v>
      </c>
      <c r="F59" s="66">
        <v>0</v>
      </c>
      <c r="G59" s="66">
        <v>0</v>
      </c>
      <c r="H59" s="66">
        <v>0</v>
      </c>
      <c r="I59" s="66">
        <v>0</v>
      </c>
      <c r="J59" s="66">
        <f t="shared" si="0"/>
        <v>0</v>
      </c>
      <c r="K59" s="93"/>
      <c r="L59" s="82">
        <v>14647.89</v>
      </c>
      <c r="M59" s="93"/>
    </row>
    <row r="60" spans="1:13" hidden="1">
      <c r="A60" s="63">
        <v>56</v>
      </c>
      <c r="B60" s="63" t="s">
        <v>147</v>
      </c>
      <c r="C60" s="63" t="s">
        <v>292</v>
      </c>
      <c r="D60" s="93"/>
      <c r="E60" s="66">
        <v>0</v>
      </c>
      <c r="F60" s="66">
        <v>0</v>
      </c>
      <c r="G60" s="66">
        <v>0</v>
      </c>
      <c r="H60" s="66">
        <v>0</v>
      </c>
      <c r="I60" s="66">
        <v>0</v>
      </c>
      <c r="J60" s="66">
        <f t="shared" si="0"/>
        <v>0</v>
      </c>
      <c r="K60" s="93"/>
      <c r="L60" s="82">
        <v>14647.89</v>
      </c>
      <c r="M60" s="93"/>
    </row>
    <row r="61" spans="1:13" hidden="1">
      <c r="A61" s="63">
        <v>57</v>
      </c>
      <c r="B61" s="63" t="s">
        <v>148</v>
      </c>
      <c r="C61" s="63" t="s">
        <v>293</v>
      </c>
      <c r="D61" s="93"/>
      <c r="E61" s="66">
        <v>0</v>
      </c>
      <c r="F61" s="66">
        <v>0</v>
      </c>
      <c r="G61" s="66">
        <v>0</v>
      </c>
      <c r="H61" s="66">
        <v>0</v>
      </c>
      <c r="I61" s="66">
        <v>0</v>
      </c>
      <c r="J61" s="66">
        <f t="shared" si="0"/>
        <v>0</v>
      </c>
      <c r="K61" s="93"/>
      <c r="L61" s="82">
        <v>14647.89</v>
      </c>
      <c r="M61" s="93"/>
    </row>
    <row r="62" spans="1:13" hidden="1">
      <c r="A62" s="63">
        <v>58</v>
      </c>
      <c r="B62" s="63" t="s">
        <v>149</v>
      </c>
      <c r="C62" s="63" t="s">
        <v>293</v>
      </c>
      <c r="D62" s="93"/>
      <c r="E62" s="66">
        <v>0</v>
      </c>
      <c r="F62" s="66">
        <v>0</v>
      </c>
      <c r="G62" s="66">
        <v>0</v>
      </c>
      <c r="H62" s="66">
        <v>0</v>
      </c>
      <c r="I62" s="66">
        <v>0</v>
      </c>
      <c r="J62" s="66">
        <f t="shared" si="0"/>
        <v>0</v>
      </c>
      <c r="K62" s="93"/>
      <c r="L62" s="82">
        <v>14647.89</v>
      </c>
      <c r="M62" s="93"/>
    </row>
    <row r="63" spans="1:13" hidden="1">
      <c r="A63" s="63">
        <v>59</v>
      </c>
      <c r="B63" s="63" t="s">
        <v>150</v>
      </c>
      <c r="C63" s="63" t="s">
        <v>293</v>
      </c>
      <c r="D63" s="93"/>
      <c r="E63" s="66">
        <v>0</v>
      </c>
      <c r="F63" s="66">
        <v>0</v>
      </c>
      <c r="G63" s="66">
        <v>0</v>
      </c>
      <c r="H63" s="66">
        <v>0</v>
      </c>
      <c r="I63" s="66">
        <v>0</v>
      </c>
      <c r="J63" s="66">
        <f t="shared" si="0"/>
        <v>0</v>
      </c>
      <c r="K63" s="93"/>
      <c r="L63" s="82">
        <v>14647.89</v>
      </c>
      <c r="M63" s="93"/>
    </row>
    <row r="64" spans="1:13" hidden="1">
      <c r="A64" s="63">
        <v>60</v>
      </c>
      <c r="B64" s="63" t="s">
        <v>151</v>
      </c>
      <c r="C64" s="63" t="s">
        <v>293</v>
      </c>
      <c r="D64" s="94"/>
      <c r="E64" s="66">
        <v>0</v>
      </c>
      <c r="F64" s="66">
        <v>0</v>
      </c>
      <c r="G64" s="66">
        <v>0</v>
      </c>
      <c r="H64" s="66">
        <v>0</v>
      </c>
      <c r="I64" s="66">
        <v>0</v>
      </c>
      <c r="J64" s="66">
        <f t="shared" si="0"/>
        <v>0</v>
      </c>
      <c r="K64" s="94"/>
      <c r="L64" s="83">
        <v>14647.89</v>
      </c>
      <c r="M64" s="94"/>
    </row>
    <row r="65" spans="1:13" hidden="1">
      <c r="A65" s="63">
        <v>61</v>
      </c>
      <c r="B65" s="63" t="s">
        <v>31</v>
      </c>
      <c r="C65" s="63" t="s">
        <v>294</v>
      </c>
      <c r="D65" s="92">
        <v>6000</v>
      </c>
      <c r="E65" s="65">
        <v>0</v>
      </c>
      <c r="F65" s="65">
        <v>0</v>
      </c>
      <c r="G65" s="65">
        <v>0</v>
      </c>
      <c r="H65" s="65">
        <v>0</v>
      </c>
      <c r="I65" s="65">
        <v>0</v>
      </c>
      <c r="J65" s="65">
        <f t="shared" si="0"/>
        <v>0</v>
      </c>
      <c r="K65" s="95">
        <f>SUM(J65:J68)</f>
        <v>0</v>
      </c>
      <c r="L65" s="84">
        <v>6000</v>
      </c>
      <c r="M65" s="95">
        <f>D65-K65</f>
        <v>6000</v>
      </c>
    </row>
    <row r="66" spans="1:13" hidden="1">
      <c r="A66" s="63">
        <v>62</v>
      </c>
      <c r="B66" s="63" t="s">
        <v>152</v>
      </c>
      <c r="C66" s="63" t="s">
        <v>294</v>
      </c>
      <c r="D66" s="93"/>
      <c r="E66" s="65">
        <v>0</v>
      </c>
      <c r="F66" s="65">
        <v>0</v>
      </c>
      <c r="G66" s="65">
        <v>0</v>
      </c>
      <c r="H66" s="65">
        <v>0</v>
      </c>
      <c r="I66" s="65">
        <v>0</v>
      </c>
      <c r="J66" s="65">
        <f t="shared" si="0"/>
        <v>0</v>
      </c>
      <c r="K66" s="96"/>
      <c r="L66" s="85">
        <v>6000</v>
      </c>
      <c r="M66" s="96"/>
    </row>
    <row r="67" spans="1:13" hidden="1">
      <c r="A67" s="63">
        <v>63</v>
      </c>
      <c r="B67" s="63" t="s">
        <v>153</v>
      </c>
      <c r="C67" s="63" t="s">
        <v>294</v>
      </c>
      <c r="D67" s="93"/>
      <c r="E67" s="65">
        <v>0</v>
      </c>
      <c r="F67" s="65">
        <v>0</v>
      </c>
      <c r="G67" s="65">
        <v>0</v>
      </c>
      <c r="H67" s="65">
        <v>0</v>
      </c>
      <c r="I67" s="65">
        <v>0</v>
      </c>
      <c r="J67" s="65">
        <f t="shared" si="0"/>
        <v>0</v>
      </c>
      <c r="K67" s="96"/>
      <c r="L67" s="85">
        <v>6000</v>
      </c>
      <c r="M67" s="96"/>
    </row>
    <row r="68" spans="1:13" hidden="1">
      <c r="A68" s="63">
        <v>64</v>
      </c>
      <c r="B68" s="63" t="s">
        <v>154</v>
      </c>
      <c r="C68" s="63" t="s">
        <v>294</v>
      </c>
      <c r="D68" s="94"/>
      <c r="E68" s="65">
        <v>0</v>
      </c>
      <c r="F68" s="65">
        <v>0</v>
      </c>
      <c r="G68" s="65">
        <v>0</v>
      </c>
      <c r="H68" s="65">
        <v>0</v>
      </c>
      <c r="I68" s="65">
        <v>0</v>
      </c>
      <c r="J68" s="65">
        <f t="shared" si="0"/>
        <v>0</v>
      </c>
      <c r="K68" s="97"/>
      <c r="L68" s="86">
        <v>6000</v>
      </c>
      <c r="M68" s="97"/>
    </row>
    <row r="69" spans="1:13" hidden="1">
      <c r="A69" s="63">
        <v>65</v>
      </c>
      <c r="B69" s="63" t="s">
        <v>35</v>
      </c>
      <c r="C69" s="63" t="s">
        <v>295</v>
      </c>
      <c r="D69" s="92">
        <v>3679.7200000000003</v>
      </c>
      <c r="E69" s="66">
        <v>0</v>
      </c>
      <c r="F69" s="66">
        <v>0</v>
      </c>
      <c r="G69" s="66">
        <v>0</v>
      </c>
      <c r="H69" s="66">
        <v>0</v>
      </c>
      <c r="I69" s="66">
        <v>0</v>
      </c>
      <c r="J69" s="66">
        <f t="shared" ref="J69:J132" si="1">SUM(E69:I69)</f>
        <v>0</v>
      </c>
      <c r="K69" s="92">
        <f>SUM(J69:J72)</f>
        <v>0</v>
      </c>
      <c r="L69" s="81">
        <v>3679.7200000000003</v>
      </c>
      <c r="M69" s="92">
        <f>D69-K69</f>
        <v>3679.7200000000003</v>
      </c>
    </row>
    <row r="70" spans="1:13" hidden="1">
      <c r="A70" s="63">
        <v>66</v>
      </c>
      <c r="B70" s="63" t="s">
        <v>155</v>
      </c>
      <c r="C70" s="63" t="s">
        <v>295</v>
      </c>
      <c r="D70" s="93"/>
      <c r="E70" s="66">
        <v>0</v>
      </c>
      <c r="F70" s="66">
        <v>0</v>
      </c>
      <c r="G70" s="66">
        <v>0</v>
      </c>
      <c r="H70" s="66">
        <v>0</v>
      </c>
      <c r="I70" s="66">
        <v>0</v>
      </c>
      <c r="J70" s="66">
        <f t="shared" si="1"/>
        <v>0</v>
      </c>
      <c r="K70" s="93"/>
      <c r="L70" s="82">
        <v>3679.7200000000003</v>
      </c>
      <c r="M70" s="93"/>
    </row>
    <row r="71" spans="1:13" hidden="1">
      <c r="A71" s="63">
        <v>67</v>
      </c>
      <c r="B71" s="63" t="s">
        <v>156</v>
      </c>
      <c r="C71" s="63" t="s">
        <v>295</v>
      </c>
      <c r="D71" s="93"/>
      <c r="E71" s="66">
        <v>0</v>
      </c>
      <c r="F71" s="66">
        <v>0</v>
      </c>
      <c r="G71" s="66">
        <v>0</v>
      </c>
      <c r="H71" s="66">
        <v>0</v>
      </c>
      <c r="I71" s="66">
        <v>0</v>
      </c>
      <c r="J71" s="66">
        <f t="shared" si="1"/>
        <v>0</v>
      </c>
      <c r="K71" s="93"/>
      <c r="L71" s="82">
        <v>3679.7200000000003</v>
      </c>
      <c r="M71" s="93"/>
    </row>
    <row r="72" spans="1:13" hidden="1">
      <c r="A72" s="63">
        <v>68</v>
      </c>
      <c r="B72" s="63" t="s">
        <v>157</v>
      </c>
      <c r="C72" s="63" t="s">
        <v>295</v>
      </c>
      <c r="D72" s="94"/>
      <c r="E72" s="66">
        <v>0</v>
      </c>
      <c r="F72" s="66">
        <v>0</v>
      </c>
      <c r="G72" s="66">
        <v>0</v>
      </c>
      <c r="H72" s="66">
        <v>0</v>
      </c>
      <c r="I72" s="66">
        <v>0</v>
      </c>
      <c r="J72" s="66">
        <f t="shared" si="1"/>
        <v>0</v>
      </c>
      <c r="K72" s="94"/>
      <c r="L72" s="83">
        <v>3679.7200000000003</v>
      </c>
      <c r="M72" s="94"/>
    </row>
    <row r="73" spans="1:13" hidden="1">
      <c r="A73" s="63">
        <v>69</v>
      </c>
      <c r="B73" s="63" t="s">
        <v>39</v>
      </c>
      <c r="C73" s="63" t="s">
        <v>158</v>
      </c>
      <c r="D73" s="92">
        <v>5623.8399999999992</v>
      </c>
      <c r="E73" s="65">
        <v>0</v>
      </c>
      <c r="F73" s="65">
        <v>0</v>
      </c>
      <c r="G73" s="65">
        <v>0</v>
      </c>
      <c r="H73" s="65">
        <v>0</v>
      </c>
      <c r="I73" s="65">
        <v>0</v>
      </c>
      <c r="J73" s="65">
        <f t="shared" si="1"/>
        <v>0</v>
      </c>
      <c r="K73" s="95">
        <f>SUM(J73:J76)</f>
        <v>0</v>
      </c>
      <c r="L73" s="84">
        <v>5623.8399999999992</v>
      </c>
      <c r="M73" s="95">
        <f>D73-K73</f>
        <v>5623.8399999999992</v>
      </c>
    </row>
    <row r="74" spans="1:13" hidden="1">
      <c r="A74" s="63">
        <v>70</v>
      </c>
      <c r="B74" s="63" t="s">
        <v>159</v>
      </c>
      <c r="C74" s="63" t="s">
        <v>158</v>
      </c>
      <c r="D74" s="93"/>
      <c r="E74" s="65">
        <v>0</v>
      </c>
      <c r="F74" s="65">
        <v>0</v>
      </c>
      <c r="G74" s="65">
        <v>0</v>
      </c>
      <c r="H74" s="65">
        <v>0</v>
      </c>
      <c r="I74" s="65">
        <v>0</v>
      </c>
      <c r="J74" s="65">
        <f t="shared" si="1"/>
        <v>0</v>
      </c>
      <c r="K74" s="96"/>
      <c r="L74" s="85">
        <v>5623.8399999999992</v>
      </c>
      <c r="M74" s="96"/>
    </row>
    <row r="75" spans="1:13" hidden="1">
      <c r="A75" s="63">
        <v>71</v>
      </c>
      <c r="B75" s="63" t="s">
        <v>160</v>
      </c>
      <c r="C75" s="63" t="s">
        <v>158</v>
      </c>
      <c r="D75" s="93"/>
      <c r="E75" s="65">
        <v>0</v>
      </c>
      <c r="F75" s="65">
        <v>0</v>
      </c>
      <c r="G75" s="65">
        <v>0</v>
      </c>
      <c r="H75" s="65">
        <v>0</v>
      </c>
      <c r="I75" s="65">
        <v>0</v>
      </c>
      <c r="J75" s="65">
        <f t="shared" si="1"/>
        <v>0</v>
      </c>
      <c r="K75" s="96"/>
      <c r="L75" s="85">
        <v>5623.8399999999992</v>
      </c>
      <c r="M75" s="96"/>
    </row>
    <row r="76" spans="1:13" hidden="1">
      <c r="A76" s="63">
        <v>72</v>
      </c>
      <c r="B76" s="63" t="s">
        <v>161</v>
      </c>
      <c r="C76" s="63" t="s">
        <v>158</v>
      </c>
      <c r="D76" s="94"/>
      <c r="E76" s="65">
        <v>0</v>
      </c>
      <c r="F76" s="65">
        <v>0</v>
      </c>
      <c r="G76" s="65">
        <v>0</v>
      </c>
      <c r="H76" s="65">
        <v>0</v>
      </c>
      <c r="I76" s="65">
        <v>0</v>
      </c>
      <c r="J76" s="65">
        <f t="shared" si="1"/>
        <v>0</v>
      </c>
      <c r="K76" s="97"/>
      <c r="L76" s="86">
        <v>5623.8399999999992</v>
      </c>
      <c r="M76" s="97"/>
    </row>
    <row r="77" spans="1:13" hidden="1">
      <c r="A77" s="63">
        <v>73</v>
      </c>
      <c r="B77" s="63" t="s">
        <v>42</v>
      </c>
      <c r="C77" s="63" t="s">
        <v>272</v>
      </c>
      <c r="D77" s="92">
        <v>484.46</v>
      </c>
      <c r="E77" s="66">
        <v>351</v>
      </c>
      <c r="F77" s="66">
        <v>0</v>
      </c>
      <c r="G77" s="66">
        <v>0</v>
      </c>
      <c r="H77" s="66">
        <v>0</v>
      </c>
      <c r="I77" s="66">
        <v>0</v>
      </c>
      <c r="J77" s="66">
        <f t="shared" si="1"/>
        <v>351</v>
      </c>
      <c r="K77" s="92">
        <f>SUM(J77:J80)</f>
        <v>351</v>
      </c>
      <c r="L77" s="81">
        <v>133.45999999999998</v>
      </c>
      <c r="M77" s="92">
        <f>D77-K77</f>
        <v>133.45999999999998</v>
      </c>
    </row>
    <row r="78" spans="1:13" hidden="1">
      <c r="A78" s="63">
        <v>74</v>
      </c>
      <c r="B78" s="63" t="s">
        <v>162</v>
      </c>
      <c r="C78" s="63" t="s">
        <v>272</v>
      </c>
      <c r="D78" s="93"/>
      <c r="E78" s="66">
        <v>0</v>
      </c>
      <c r="F78" s="66">
        <v>0</v>
      </c>
      <c r="G78" s="66">
        <v>0</v>
      </c>
      <c r="H78" s="66">
        <v>0</v>
      </c>
      <c r="I78" s="66">
        <v>0</v>
      </c>
      <c r="J78" s="66">
        <f t="shared" si="1"/>
        <v>0</v>
      </c>
      <c r="K78" s="93"/>
      <c r="L78" s="82">
        <v>133.45999999999998</v>
      </c>
      <c r="M78" s="93"/>
    </row>
    <row r="79" spans="1:13" hidden="1">
      <c r="A79" s="63">
        <v>75</v>
      </c>
      <c r="B79" s="63" t="s">
        <v>163</v>
      </c>
      <c r="C79" s="63" t="s">
        <v>272</v>
      </c>
      <c r="D79" s="93"/>
      <c r="E79" s="66">
        <v>0</v>
      </c>
      <c r="F79" s="66">
        <v>0</v>
      </c>
      <c r="G79" s="66">
        <v>0</v>
      </c>
      <c r="H79" s="66">
        <v>0</v>
      </c>
      <c r="I79" s="66">
        <v>0</v>
      </c>
      <c r="J79" s="66">
        <f t="shared" si="1"/>
        <v>0</v>
      </c>
      <c r="K79" s="93"/>
      <c r="L79" s="82">
        <v>133.45999999999998</v>
      </c>
      <c r="M79" s="93"/>
    </row>
    <row r="80" spans="1:13" hidden="1">
      <c r="A80" s="63">
        <v>76</v>
      </c>
      <c r="B80" s="63" t="s">
        <v>164</v>
      </c>
      <c r="C80" s="63" t="s">
        <v>272</v>
      </c>
      <c r="D80" s="94"/>
      <c r="E80" s="66">
        <v>0</v>
      </c>
      <c r="F80" s="66">
        <v>0</v>
      </c>
      <c r="G80" s="66">
        <v>0</v>
      </c>
      <c r="H80" s="66">
        <v>0</v>
      </c>
      <c r="I80" s="66">
        <v>0</v>
      </c>
      <c r="J80" s="66">
        <f t="shared" si="1"/>
        <v>0</v>
      </c>
      <c r="K80" s="94"/>
      <c r="L80" s="83">
        <v>133.45999999999998</v>
      </c>
      <c r="M80" s="94"/>
    </row>
    <row r="81" spans="1:13">
      <c r="A81" s="63">
        <v>77</v>
      </c>
      <c r="B81" s="63" t="s">
        <v>46</v>
      </c>
      <c r="C81" s="63" t="s">
        <v>273</v>
      </c>
      <c r="D81" s="92">
        <v>20.09</v>
      </c>
      <c r="E81" s="65">
        <v>381</v>
      </c>
      <c r="F81" s="65">
        <v>0</v>
      </c>
      <c r="G81" s="65">
        <v>0</v>
      </c>
      <c r="H81" s="65">
        <v>0</v>
      </c>
      <c r="I81" s="65">
        <v>0</v>
      </c>
      <c r="J81" s="65">
        <f t="shared" si="1"/>
        <v>381</v>
      </c>
      <c r="K81" s="95">
        <f>SUM(J81:J84)</f>
        <v>493</v>
      </c>
      <c r="L81" s="84">
        <v>-472.91</v>
      </c>
      <c r="M81" s="95">
        <f>D81-K81</f>
        <v>-472.91</v>
      </c>
    </row>
    <row r="82" spans="1:13">
      <c r="A82" s="63">
        <v>78</v>
      </c>
      <c r="B82" s="63" t="s">
        <v>165</v>
      </c>
      <c r="C82" s="63" t="s">
        <v>273</v>
      </c>
      <c r="D82" s="93"/>
      <c r="E82" s="65">
        <v>0</v>
      </c>
      <c r="F82" s="65">
        <v>0</v>
      </c>
      <c r="G82" s="65">
        <v>0</v>
      </c>
      <c r="H82" s="65">
        <v>0</v>
      </c>
      <c r="I82" s="65">
        <v>0</v>
      </c>
      <c r="J82" s="65">
        <f t="shared" si="1"/>
        <v>0</v>
      </c>
      <c r="K82" s="96"/>
      <c r="L82" s="85">
        <v>-472.91</v>
      </c>
      <c r="M82" s="96"/>
    </row>
    <row r="83" spans="1:13">
      <c r="A83" s="63">
        <v>79</v>
      </c>
      <c r="B83" s="63" t="s">
        <v>166</v>
      </c>
      <c r="C83" s="63" t="s">
        <v>273</v>
      </c>
      <c r="D83" s="93"/>
      <c r="E83" s="65">
        <v>0</v>
      </c>
      <c r="F83" s="65">
        <v>35</v>
      </c>
      <c r="G83" s="65">
        <v>0</v>
      </c>
      <c r="H83" s="65">
        <v>0</v>
      </c>
      <c r="I83" s="65">
        <v>77</v>
      </c>
      <c r="J83" s="65">
        <f t="shared" si="1"/>
        <v>112</v>
      </c>
      <c r="K83" s="96"/>
      <c r="L83" s="85">
        <v>-472.91</v>
      </c>
      <c r="M83" s="96"/>
    </row>
    <row r="84" spans="1:13">
      <c r="A84" s="63">
        <v>80</v>
      </c>
      <c r="B84" s="63" t="s">
        <v>167</v>
      </c>
      <c r="C84" s="63" t="s">
        <v>273</v>
      </c>
      <c r="D84" s="94"/>
      <c r="E84" s="65">
        <v>0</v>
      </c>
      <c r="F84" s="65">
        <v>0</v>
      </c>
      <c r="G84" s="65">
        <v>0</v>
      </c>
      <c r="H84" s="65">
        <v>0</v>
      </c>
      <c r="I84" s="65">
        <v>0</v>
      </c>
      <c r="J84" s="65">
        <f t="shared" si="1"/>
        <v>0</v>
      </c>
      <c r="K84" s="97"/>
      <c r="L84" s="86">
        <v>-472.91</v>
      </c>
      <c r="M84" s="97"/>
    </row>
    <row r="85" spans="1:13" hidden="1">
      <c r="A85" s="63">
        <v>81</v>
      </c>
      <c r="B85" s="63" t="s">
        <v>50</v>
      </c>
      <c r="C85" s="63" t="s">
        <v>296</v>
      </c>
      <c r="D85" s="92">
        <v>37855.17</v>
      </c>
      <c r="E85" s="66">
        <v>0</v>
      </c>
      <c r="F85" s="66">
        <v>0</v>
      </c>
      <c r="G85" s="66">
        <v>0</v>
      </c>
      <c r="H85" s="66">
        <v>0</v>
      </c>
      <c r="I85" s="66">
        <v>0</v>
      </c>
      <c r="J85" s="66">
        <f t="shared" si="1"/>
        <v>0</v>
      </c>
      <c r="K85" s="92">
        <f>SUM(J85:J88)</f>
        <v>0</v>
      </c>
      <c r="L85" s="81">
        <v>37855.17</v>
      </c>
      <c r="M85" s="92">
        <f>D85-K85</f>
        <v>37855.17</v>
      </c>
    </row>
    <row r="86" spans="1:13" hidden="1">
      <c r="A86" s="63">
        <v>82</v>
      </c>
      <c r="B86" s="63" t="s">
        <v>168</v>
      </c>
      <c r="C86" s="63" t="s">
        <v>296</v>
      </c>
      <c r="D86" s="93"/>
      <c r="E86" s="66">
        <v>0</v>
      </c>
      <c r="F86" s="66">
        <v>0</v>
      </c>
      <c r="G86" s="66">
        <v>0</v>
      </c>
      <c r="H86" s="66">
        <v>0</v>
      </c>
      <c r="I86" s="66">
        <v>0</v>
      </c>
      <c r="J86" s="66">
        <f t="shared" si="1"/>
        <v>0</v>
      </c>
      <c r="K86" s="93"/>
      <c r="L86" s="82">
        <v>37855.17</v>
      </c>
      <c r="M86" s="93"/>
    </row>
    <row r="87" spans="1:13" hidden="1">
      <c r="A87" s="63">
        <v>83</v>
      </c>
      <c r="B87" s="63" t="s">
        <v>169</v>
      </c>
      <c r="C87" s="63" t="s">
        <v>296</v>
      </c>
      <c r="D87" s="93"/>
      <c r="E87" s="66">
        <v>0</v>
      </c>
      <c r="F87" s="66">
        <v>0</v>
      </c>
      <c r="G87" s="66">
        <v>0</v>
      </c>
      <c r="H87" s="66">
        <v>0</v>
      </c>
      <c r="I87" s="66">
        <v>0</v>
      </c>
      <c r="J87" s="66">
        <f t="shared" si="1"/>
        <v>0</v>
      </c>
      <c r="K87" s="93"/>
      <c r="L87" s="82">
        <v>37855.17</v>
      </c>
      <c r="M87" s="93"/>
    </row>
    <row r="88" spans="1:13" hidden="1">
      <c r="A88" s="63">
        <v>84</v>
      </c>
      <c r="B88" s="63" t="s">
        <v>170</v>
      </c>
      <c r="C88" s="63" t="s">
        <v>296</v>
      </c>
      <c r="D88" s="94"/>
      <c r="E88" s="66">
        <v>0</v>
      </c>
      <c r="F88" s="66">
        <v>0</v>
      </c>
      <c r="G88" s="66">
        <v>0</v>
      </c>
      <c r="H88" s="66">
        <v>0</v>
      </c>
      <c r="I88" s="66">
        <v>0</v>
      </c>
      <c r="J88" s="66">
        <f t="shared" si="1"/>
        <v>0</v>
      </c>
      <c r="K88" s="94"/>
      <c r="L88" s="83">
        <v>37855.17</v>
      </c>
      <c r="M88" s="94"/>
    </row>
    <row r="89" spans="1:13">
      <c r="A89" s="63">
        <v>85</v>
      </c>
      <c r="B89" s="63" t="s">
        <v>54</v>
      </c>
      <c r="C89" s="63" t="s">
        <v>297</v>
      </c>
      <c r="D89" s="92">
        <v>500</v>
      </c>
      <c r="E89" s="65">
        <v>6704</v>
      </c>
      <c r="F89" s="65">
        <v>0</v>
      </c>
      <c r="G89" s="65">
        <v>0</v>
      </c>
      <c r="H89" s="65">
        <v>0</v>
      </c>
      <c r="I89" s="65">
        <v>1229</v>
      </c>
      <c r="J89" s="65">
        <f t="shared" si="1"/>
        <v>7933</v>
      </c>
      <c r="K89" s="95">
        <f>SUM(J89:J92)</f>
        <v>10454</v>
      </c>
      <c r="L89" s="84">
        <v>-9954</v>
      </c>
      <c r="M89" s="95">
        <f>D89-K89</f>
        <v>-9954</v>
      </c>
    </row>
    <row r="90" spans="1:13">
      <c r="A90" s="63">
        <v>86</v>
      </c>
      <c r="B90" s="63" t="s">
        <v>171</v>
      </c>
      <c r="C90" s="63" t="s">
        <v>297</v>
      </c>
      <c r="D90" s="93"/>
      <c r="E90" s="65">
        <v>2521</v>
      </c>
      <c r="F90" s="65">
        <v>0</v>
      </c>
      <c r="G90" s="65">
        <v>0</v>
      </c>
      <c r="H90" s="65">
        <v>0</v>
      </c>
      <c r="I90" s="65">
        <v>0</v>
      </c>
      <c r="J90" s="65">
        <f t="shared" si="1"/>
        <v>2521</v>
      </c>
      <c r="K90" s="96"/>
      <c r="L90" s="85">
        <v>-9954</v>
      </c>
      <c r="M90" s="96"/>
    </row>
    <row r="91" spans="1:13">
      <c r="A91" s="63">
        <v>87</v>
      </c>
      <c r="B91" s="63" t="s">
        <v>172</v>
      </c>
      <c r="C91" s="63" t="s">
        <v>297</v>
      </c>
      <c r="D91" s="93"/>
      <c r="E91" s="65">
        <v>0</v>
      </c>
      <c r="F91" s="65">
        <v>0</v>
      </c>
      <c r="G91" s="65">
        <v>0</v>
      </c>
      <c r="H91" s="65">
        <v>0</v>
      </c>
      <c r="I91" s="65">
        <v>0</v>
      </c>
      <c r="J91" s="65">
        <f t="shared" si="1"/>
        <v>0</v>
      </c>
      <c r="K91" s="96"/>
      <c r="L91" s="85">
        <v>-9954</v>
      </c>
      <c r="M91" s="96"/>
    </row>
    <row r="92" spans="1:13">
      <c r="A92" s="63">
        <v>88</v>
      </c>
      <c r="B92" s="63" t="s">
        <v>173</v>
      </c>
      <c r="C92" s="63" t="s">
        <v>297</v>
      </c>
      <c r="D92" s="94"/>
      <c r="E92" s="65">
        <v>0</v>
      </c>
      <c r="F92" s="65">
        <v>0</v>
      </c>
      <c r="G92" s="65">
        <v>0</v>
      </c>
      <c r="H92" s="65">
        <v>0</v>
      </c>
      <c r="I92" s="65">
        <v>0</v>
      </c>
      <c r="J92" s="65">
        <f t="shared" si="1"/>
        <v>0</v>
      </c>
      <c r="K92" s="97"/>
      <c r="L92" s="86">
        <v>-9954</v>
      </c>
      <c r="M92" s="97"/>
    </row>
    <row r="93" spans="1:13" hidden="1">
      <c r="A93" s="63">
        <v>89</v>
      </c>
      <c r="B93" s="63" t="s">
        <v>56</v>
      </c>
      <c r="C93" s="63" t="s">
        <v>298</v>
      </c>
      <c r="D93" s="92">
        <v>10000</v>
      </c>
      <c r="E93" s="66">
        <v>0</v>
      </c>
      <c r="F93" s="66">
        <v>0</v>
      </c>
      <c r="G93" s="66">
        <v>0</v>
      </c>
      <c r="H93" s="66">
        <v>0</v>
      </c>
      <c r="I93" s="66">
        <v>0</v>
      </c>
      <c r="J93" s="66">
        <f t="shared" si="1"/>
        <v>0</v>
      </c>
      <c r="K93" s="92">
        <f>SUM(J93:J96)</f>
        <v>0</v>
      </c>
      <c r="L93" s="81">
        <v>10000</v>
      </c>
      <c r="M93" s="92">
        <f>D93-K93</f>
        <v>10000</v>
      </c>
    </row>
    <row r="94" spans="1:13" hidden="1">
      <c r="A94" s="63">
        <v>90</v>
      </c>
      <c r="B94" s="63" t="s">
        <v>174</v>
      </c>
      <c r="C94" s="63" t="s">
        <v>298</v>
      </c>
      <c r="D94" s="93"/>
      <c r="E94" s="66">
        <v>0</v>
      </c>
      <c r="F94" s="66">
        <v>0</v>
      </c>
      <c r="G94" s="66">
        <v>0</v>
      </c>
      <c r="H94" s="66">
        <v>0</v>
      </c>
      <c r="I94" s="66">
        <v>0</v>
      </c>
      <c r="J94" s="66">
        <f t="shared" si="1"/>
        <v>0</v>
      </c>
      <c r="K94" s="93"/>
      <c r="L94" s="82">
        <v>10000</v>
      </c>
      <c r="M94" s="93"/>
    </row>
    <row r="95" spans="1:13" hidden="1">
      <c r="A95" s="63">
        <v>91</v>
      </c>
      <c r="B95" s="63" t="s">
        <v>175</v>
      </c>
      <c r="C95" s="63" t="s">
        <v>298</v>
      </c>
      <c r="D95" s="93"/>
      <c r="E95" s="66">
        <v>0</v>
      </c>
      <c r="F95" s="66">
        <v>0</v>
      </c>
      <c r="G95" s="66">
        <v>0</v>
      </c>
      <c r="H95" s="66">
        <v>0</v>
      </c>
      <c r="I95" s="66">
        <v>0</v>
      </c>
      <c r="J95" s="66">
        <f t="shared" si="1"/>
        <v>0</v>
      </c>
      <c r="K95" s="93"/>
      <c r="L95" s="82">
        <v>10000</v>
      </c>
      <c r="M95" s="93"/>
    </row>
    <row r="96" spans="1:13" hidden="1">
      <c r="A96" s="63">
        <v>92</v>
      </c>
      <c r="B96" s="63" t="s">
        <v>176</v>
      </c>
      <c r="C96" s="63" t="s">
        <v>298</v>
      </c>
      <c r="D96" s="94"/>
      <c r="E96" s="66">
        <v>0</v>
      </c>
      <c r="F96" s="66">
        <v>0</v>
      </c>
      <c r="G96" s="66">
        <v>0</v>
      </c>
      <c r="H96" s="66">
        <v>0</v>
      </c>
      <c r="I96" s="66">
        <v>0</v>
      </c>
      <c r="J96" s="66">
        <f t="shared" si="1"/>
        <v>0</v>
      </c>
      <c r="K96" s="94"/>
      <c r="L96" s="83">
        <v>10000</v>
      </c>
      <c r="M96" s="94"/>
    </row>
    <row r="97" spans="1:13" hidden="1">
      <c r="A97" s="63">
        <v>93</v>
      </c>
      <c r="B97" s="63" t="s">
        <v>59</v>
      </c>
      <c r="C97" s="63" t="s">
        <v>299</v>
      </c>
      <c r="D97" s="92">
        <v>20000</v>
      </c>
      <c r="E97" s="65">
        <v>2091</v>
      </c>
      <c r="F97" s="65">
        <v>0</v>
      </c>
      <c r="G97" s="65">
        <v>0</v>
      </c>
      <c r="H97" s="65">
        <v>0</v>
      </c>
      <c r="I97" s="65">
        <v>0</v>
      </c>
      <c r="J97" s="65">
        <f t="shared" si="1"/>
        <v>2091</v>
      </c>
      <c r="K97" s="95">
        <f>SUM(J97:J100)</f>
        <v>2091</v>
      </c>
      <c r="L97" s="84">
        <v>17909</v>
      </c>
      <c r="M97" s="95">
        <f>D97-K97</f>
        <v>17909</v>
      </c>
    </row>
    <row r="98" spans="1:13" hidden="1">
      <c r="A98" s="63">
        <v>94</v>
      </c>
      <c r="B98" s="63" t="s">
        <v>177</v>
      </c>
      <c r="C98" s="63" t="s">
        <v>299</v>
      </c>
      <c r="D98" s="93"/>
      <c r="E98" s="65">
        <v>0</v>
      </c>
      <c r="F98" s="65">
        <v>0</v>
      </c>
      <c r="G98" s="65">
        <v>0</v>
      </c>
      <c r="H98" s="65">
        <v>0</v>
      </c>
      <c r="I98" s="65">
        <v>0</v>
      </c>
      <c r="J98" s="65">
        <f t="shared" si="1"/>
        <v>0</v>
      </c>
      <c r="K98" s="96"/>
      <c r="L98" s="85">
        <v>17909</v>
      </c>
      <c r="M98" s="96"/>
    </row>
    <row r="99" spans="1:13" hidden="1">
      <c r="A99" s="63">
        <v>95</v>
      </c>
      <c r="B99" s="63" t="s">
        <v>178</v>
      </c>
      <c r="C99" s="63" t="s">
        <v>299</v>
      </c>
      <c r="D99" s="93"/>
      <c r="E99" s="65">
        <v>0</v>
      </c>
      <c r="F99" s="65">
        <v>0</v>
      </c>
      <c r="G99" s="65">
        <v>0</v>
      </c>
      <c r="H99" s="65">
        <v>0</v>
      </c>
      <c r="I99" s="65">
        <v>0</v>
      </c>
      <c r="J99" s="65">
        <f t="shared" si="1"/>
        <v>0</v>
      </c>
      <c r="K99" s="96"/>
      <c r="L99" s="85">
        <v>17909</v>
      </c>
      <c r="M99" s="96"/>
    </row>
    <row r="100" spans="1:13" hidden="1">
      <c r="A100" s="63">
        <v>96</v>
      </c>
      <c r="B100" s="63" t="s">
        <v>179</v>
      </c>
      <c r="C100" s="63" t="s">
        <v>299</v>
      </c>
      <c r="D100" s="94"/>
      <c r="E100" s="65">
        <v>0</v>
      </c>
      <c r="F100" s="65">
        <v>0</v>
      </c>
      <c r="G100" s="65">
        <v>0</v>
      </c>
      <c r="H100" s="65">
        <v>0</v>
      </c>
      <c r="I100" s="65">
        <v>0</v>
      </c>
      <c r="J100" s="65">
        <f t="shared" si="1"/>
        <v>0</v>
      </c>
      <c r="K100" s="97"/>
      <c r="L100" s="86">
        <v>17909</v>
      </c>
      <c r="M100" s="97"/>
    </row>
    <row r="101" spans="1:13" hidden="1">
      <c r="A101" s="63">
        <v>97</v>
      </c>
      <c r="B101" s="63" t="s">
        <v>62</v>
      </c>
      <c r="C101" s="63" t="s">
        <v>300</v>
      </c>
      <c r="D101" s="92">
        <v>7000</v>
      </c>
      <c r="E101" s="66">
        <v>0</v>
      </c>
      <c r="F101" s="66">
        <v>0</v>
      </c>
      <c r="G101" s="66">
        <v>0</v>
      </c>
      <c r="H101" s="66">
        <v>0</v>
      </c>
      <c r="I101" s="66">
        <v>0</v>
      </c>
      <c r="J101" s="66">
        <f t="shared" si="1"/>
        <v>0</v>
      </c>
      <c r="K101" s="92">
        <f>SUM(J101:J104)</f>
        <v>0</v>
      </c>
      <c r="L101" s="81">
        <v>7000</v>
      </c>
      <c r="M101" s="92">
        <f>D101-K101</f>
        <v>7000</v>
      </c>
    </row>
    <row r="102" spans="1:13" hidden="1">
      <c r="A102" s="63">
        <v>98</v>
      </c>
      <c r="B102" s="63" t="s">
        <v>180</v>
      </c>
      <c r="C102" s="63" t="s">
        <v>300</v>
      </c>
      <c r="D102" s="93"/>
      <c r="E102" s="66">
        <v>0</v>
      </c>
      <c r="F102" s="66">
        <v>0</v>
      </c>
      <c r="G102" s="66">
        <v>0</v>
      </c>
      <c r="H102" s="66">
        <v>0</v>
      </c>
      <c r="I102" s="66">
        <v>0</v>
      </c>
      <c r="J102" s="66">
        <f t="shared" si="1"/>
        <v>0</v>
      </c>
      <c r="K102" s="93"/>
      <c r="L102" s="82">
        <v>7000</v>
      </c>
      <c r="M102" s="93"/>
    </row>
    <row r="103" spans="1:13" hidden="1">
      <c r="A103" s="63">
        <v>99</v>
      </c>
      <c r="B103" s="63" t="s">
        <v>181</v>
      </c>
      <c r="C103" s="63" t="s">
        <v>300</v>
      </c>
      <c r="D103" s="93"/>
      <c r="E103" s="66">
        <v>0</v>
      </c>
      <c r="F103" s="66">
        <v>0</v>
      </c>
      <c r="G103" s="66">
        <v>0</v>
      </c>
      <c r="H103" s="66">
        <v>0</v>
      </c>
      <c r="I103" s="66">
        <v>0</v>
      </c>
      <c r="J103" s="66">
        <f t="shared" si="1"/>
        <v>0</v>
      </c>
      <c r="K103" s="93"/>
      <c r="L103" s="82">
        <v>7000</v>
      </c>
      <c r="M103" s="93"/>
    </row>
    <row r="104" spans="1:13" hidden="1">
      <c r="A104" s="63">
        <v>100</v>
      </c>
      <c r="B104" s="63" t="s">
        <v>182</v>
      </c>
      <c r="C104" s="63" t="s">
        <v>300</v>
      </c>
      <c r="D104" s="94"/>
      <c r="E104" s="66">
        <v>0</v>
      </c>
      <c r="F104" s="66">
        <v>0</v>
      </c>
      <c r="G104" s="66">
        <v>0</v>
      </c>
      <c r="H104" s="66">
        <v>0</v>
      </c>
      <c r="I104" s="66">
        <v>0</v>
      </c>
      <c r="J104" s="66">
        <f t="shared" si="1"/>
        <v>0</v>
      </c>
      <c r="K104" s="94"/>
      <c r="L104" s="83">
        <v>7000</v>
      </c>
      <c r="M104" s="94"/>
    </row>
    <row r="105" spans="1:13" hidden="1">
      <c r="A105" s="63">
        <v>101</v>
      </c>
      <c r="B105" s="63" t="s">
        <v>65</v>
      </c>
      <c r="C105" s="63" t="s">
        <v>274</v>
      </c>
      <c r="D105" s="92">
        <v>2000</v>
      </c>
      <c r="E105" s="65">
        <v>0</v>
      </c>
      <c r="F105" s="65">
        <v>0</v>
      </c>
      <c r="G105" s="65">
        <v>0</v>
      </c>
      <c r="H105" s="65">
        <v>0</v>
      </c>
      <c r="I105" s="65">
        <v>0</v>
      </c>
      <c r="J105" s="65">
        <f t="shared" si="1"/>
        <v>0</v>
      </c>
      <c r="K105" s="95">
        <f>SUM(J105:J108)</f>
        <v>0</v>
      </c>
      <c r="L105" s="84">
        <v>2000</v>
      </c>
      <c r="M105" s="95">
        <f>D105-K105</f>
        <v>2000</v>
      </c>
    </row>
    <row r="106" spans="1:13" hidden="1">
      <c r="A106" s="63">
        <v>102</v>
      </c>
      <c r="B106" s="63" t="s">
        <v>183</v>
      </c>
      <c r="C106" s="63" t="s">
        <v>274</v>
      </c>
      <c r="D106" s="93"/>
      <c r="E106" s="65">
        <v>0</v>
      </c>
      <c r="F106" s="65">
        <v>0</v>
      </c>
      <c r="G106" s="65">
        <v>0</v>
      </c>
      <c r="H106" s="65">
        <v>0</v>
      </c>
      <c r="I106" s="65">
        <v>0</v>
      </c>
      <c r="J106" s="65">
        <f t="shared" si="1"/>
        <v>0</v>
      </c>
      <c r="K106" s="96"/>
      <c r="L106" s="85">
        <v>2000</v>
      </c>
      <c r="M106" s="96"/>
    </row>
    <row r="107" spans="1:13" hidden="1">
      <c r="A107" s="63">
        <v>103</v>
      </c>
      <c r="B107" s="63" t="s">
        <v>184</v>
      </c>
      <c r="C107" s="63" t="s">
        <v>274</v>
      </c>
      <c r="D107" s="93"/>
      <c r="E107" s="65">
        <v>0</v>
      </c>
      <c r="F107" s="65">
        <v>0</v>
      </c>
      <c r="G107" s="65">
        <v>0</v>
      </c>
      <c r="H107" s="65">
        <v>0</v>
      </c>
      <c r="I107" s="65">
        <v>0</v>
      </c>
      <c r="J107" s="65">
        <f t="shared" si="1"/>
        <v>0</v>
      </c>
      <c r="K107" s="96"/>
      <c r="L107" s="85">
        <v>2000</v>
      </c>
      <c r="M107" s="96"/>
    </row>
    <row r="108" spans="1:13" hidden="1">
      <c r="A108" s="63">
        <v>104</v>
      </c>
      <c r="B108" s="63" t="s">
        <v>185</v>
      </c>
      <c r="C108" s="63" t="s">
        <v>274</v>
      </c>
      <c r="D108" s="94"/>
      <c r="E108" s="65">
        <v>0</v>
      </c>
      <c r="F108" s="65">
        <v>0</v>
      </c>
      <c r="G108" s="65">
        <v>0</v>
      </c>
      <c r="H108" s="65">
        <v>0</v>
      </c>
      <c r="I108" s="65">
        <v>0</v>
      </c>
      <c r="J108" s="65">
        <f t="shared" si="1"/>
        <v>0</v>
      </c>
      <c r="K108" s="97"/>
      <c r="L108" s="86">
        <v>2000</v>
      </c>
      <c r="M108" s="97"/>
    </row>
    <row r="109" spans="1:13" hidden="1">
      <c r="A109" s="63">
        <v>105</v>
      </c>
      <c r="B109" s="63" t="s">
        <v>68</v>
      </c>
      <c r="C109" s="63" t="s">
        <v>282</v>
      </c>
      <c r="D109" s="92">
        <v>65254.421499999997</v>
      </c>
      <c r="E109" s="66">
        <v>0</v>
      </c>
      <c r="F109" s="66">
        <v>0</v>
      </c>
      <c r="G109" s="66">
        <v>0</v>
      </c>
      <c r="H109" s="66">
        <v>0</v>
      </c>
      <c r="I109" s="66">
        <v>0</v>
      </c>
      <c r="J109" s="66">
        <f t="shared" si="1"/>
        <v>0</v>
      </c>
      <c r="K109" s="92">
        <f>SUM(J109:J112)</f>
        <v>0</v>
      </c>
      <c r="L109" s="81">
        <v>65254.421499999997</v>
      </c>
      <c r="M109" s="92">
        <f>D109-K109</f>
        <v>65254.421499999997</v>
      </c>
    </row>
    <row r="110" spans="1:13" hidden="1">
      <c r="A110" s="63">
        <v>106</v>
      </c>
      <c r="B110" s="63" t="s">
        <v>186</v>
      </c>
      <c r="C110" s="63" t="s">
        <v>282</v>
      </c>
      <c r="D110" s="93"/>
      <c r="E110" s="66">
        <v>0</v>
      </c>
      <c r="F110" s="66">
        <v>0</v>
      </c>
      <c r="G110" s="66">
        <v>0</v>
      </c>
      <c r="H110" s="66">
        <v>0</v>
      </c>
      <c r="I110" s="66">
        <v>0</v>
      </c>
      <c r="J110" s="66">
        <f t="shared" si="1"/>
        <v>0</v>
      </c>
      <c r="K110" s="93"/>
      <c r="L110" s="82">
        <v>65254.421499999997</v>
      </c>
      <c r="M110" s="93"/>
    </row>
    <row r="111" spans="1:13" hidden="1">
      <c r="A111" s="63">
        <v>107</v>
      </c>
      <c r="B111" s="63" t="s">
        <v>187</v>
      </c>
      <c r="C111" s="63" t="s">
        <v>282</v>
      </c>
      <c r="D111" s="93"/>
      <c r="E111" s="66">
        <v>0</v>
      </c>
      <c r="F111" s="66">
        <v>0</v>
      </c>
      <c r="G111" s="66">
        <v>0</v>
      </c>
      <c r="H111" s="66">
        <v>0</v>
      </c>
      <c r="I111" s="66">
        <v>0</v>
      </c>
      <c r="J111" s="66">
        <f t="shared" si="1"/>
        <v>0</v>
      </c>
      <c r="K111" s="93"/>
      <c r="L111" s="82">
        <v>65254.421499999997</v>
      </c>
      <c r="M111" s="93"/>
    </row>
    <row r="112" spans="1:13" hidden="1">
      <c r="A112" s="63">
        <v>108</v>
      </c>
      <c r="B112" s="63" t="s">
        <v>188</v>
      </c>
      <c r="C112" s="63" t="s">
        <v>282</v>
      </c>
      <c r="D112" s="94"/>
      <c r="E112" s="66">
        <v>0</v>
      </c>
      <c r="F112" s="66">
        <v>0</v>
      </c>
      <c r="G112" s="66">
        <v>0</v>
      </c>
      <c r="H112" s="66">
        <v>0</v>
      </c>
      <c r="I112" s="66">
        <v>0</v>
      </c>
      <c r="J112" s="66">
        <f t="shared" si="1"/>
        <v>0</v>
      </c>
      <c r="K112" s="94"/>
      <c r="L112" s="83">
        <v>65254.421499999997</v>
      </c>
      <c r="M112" s="94"/>
    </row>
    <row r="113" spans="1:13" hidden="1">
      <c r="A113" s="63">
        <v>109</v>
      </c>
      <c r="B113" s="63" t="s">
        <v>71</v>
      </c>
      <c r="C113" s="63" t="s">
        <v>301</v>
      </c>
      <c r="D113" s="92">
        <v>2100</v>
      </c>
      <c r="E113" s="65">
        <v>0</v>
      </c>
      <c r="F113" s="65">
        <v>0</v>
      </c>
      <c r="G113" s="65">
        <v>0</v>
      </c>
      <c r="H113" s="65">
        <v>0</v>
      </c>
      <c r="I113" s="65">
        <v>0</v>
      </c>
      <c r="J113" s="65">
        <f t="shared" si="1"/>
        <v>0</v>
      </c>
      <c r="K113" s="95">
        <f>SUM(J113:J116)</f>
        <v>0</v>
      </c>
      <c r="L113" s="84">
        <v>2100</v>
      </c>
      <c r="M113" s="95">
        <f>D113-K113</f>
        <v>2100</v>
      </c>
    </row>
    <row r="114" spans="1:13" hidden="1">
      <c r="A114" s="63">
        <v>110</v>
      </c>
      <c r="B114" s="63" t="s">
        <v>189</v>
      </c>
      <c r="C114" s="63" t="s">
        <v>301</v>
      </c>
      <c r="D114" s="93"/>
      <c r="E114" s="65">
        <v>0</v>
      </c>
      <c r="F114" s="65">
        <v>0</v>
      </c>
      <c r="G114" s="65">
        <v>0</v>
      </c>
      <c r="H114" s="65">
        <v>0</v>
      </c>
      <c r="I114" s="65">
        <v>0</v>
      </c>
      <c r="J114" s="65">
        <f t="shared" si="1"/>
        <v>0</v>
      </c>
      <c r="K114" s="96"/>
      <c r="L114" s="85">
        <v>2100</v>
      </c>
      <c r="M114" s="96"/>
    </row>
    <row r="115" spans="1:13" hidden="1">
      <c r="A115" s="63">
        <v>111</v>
      </c>
      <c r="B115" s="63" t="s">
        <v>190</v>
      </c>
      <c r="C115" s="63" t="s">
        <v>301</v>
      </c>
      <c r="D115" s="93"/>
      <c r="E115" s="65">
        <v>0</v>
      </c>
      <c r="F115" s="65">
        <v>0</v>
      </c>
      <c r="G115" s="65">
        <v>0</v>
      </c>
      <c r="H115" s="65">
        <v>0</v>
      </c>
      <c r="I115" s="65">
        <v>0</v>
      </c>
      <c r="J115" s="65">
        <f t="shared" si="1"/>
        <v>0</v>
      </c>
      <c r="K115" s="96"/>
      <c r="L115" s="85">
        <v>2100</v>
      </c>
      <c r="M115" s="96"/>
    </row>
    <row r="116" spans="1:13" hidden="1">
      <c r="A116" s="63">
        <v>112</v>
      </c>
      <c r="B116" s="63" t="s">
        <v>191</v>
      </c>
      <c r="C116" s="63" t="s">
        <v>301</v>
      </c>
      <c r="D116" s="94"/>
      <c r="E116" s="65">
        <v>0</v>
      </c>
      <c r="F116" s="65">
        <v>0</v>
      </c>
      <c r="G116" s="65">
        <v>0</v>
      </c>
      <c r="H116" s="65">
        <v>0</v>
      </c>
      <c r="I116" s="65">
        <v>0</v>
      </c>
      <c r="J116" s="65">
        <f t="shared" si="1"/>
        <v>0</v>
      </c>
      <c r="K116" s="97"/>
      <c r="L116" s="86">
        <v>2100</v>
      </c>
      <c r="M116" s="97"/>
    </row>
    <row r="117" spans="1:13" hidden="1">
      <c r="A117" s="63">
        <v>113</v>
      </c>
      <c r="B117" s="63" t="s">
        <v>74</v>
      </c>
      <c r="C117" s="63" t="s">
        <v>302</v>
      </c>
      <c r="D117" s="92">
        <v>2403.8200000000002</v>
      </c>
      <c r="E117" s="66">
        <v>0</v>
      </c>
      <c r="F117" s="66">
        <v>0</v>
      </c>
      <c r="G117" s="66">
        <v>0</v>
      </c>
      <c r="H117" s="66">
        <v>0</v>
      </c>
      <c r="I117" s="66">
        <v>0</v>
      </c>
      <c r="J117" s="66">
        <f t="shared" si="1"/>
        <v>0</v>
      </c>
      <c r="K117" s="92">
        <f>SUM(J117:J120)</f>
        <v>0</v>
      </c>
      <c r="L117" s="81">
        <v>2403.8200000000002</v>
      </c>
      <c r="M117" s="92">
        <f>D117-K117</f>
        <v>2403.8200000000002</v>
      </c>
    </row>
    <row r="118" spans="1:13" hidden="1">
      <c r="A118" s="63">
        <v>114</v>
      </c>
      <c r="B118" s="63" t="s">
        <v>192</v>
      </c>
      <c r="C118" s="63" t="s">
        <v>302</v>
      </c>
      <c r="D118" s="93"/>
      <c r="E118" s="66">
        <v>0</v>
      </c>
      <c r="F118" s="66">
        <v>0</v>
      </c>
      <c r="G118" s="66">
        <v>0</v>
      </c>
      <c r="H118" s="66">
        <v>0</v>
      </c>
      <c r="I118" s="66">
        <v>0</v>
      </c>
      <c r="J118" s="66">
        <f t="shared" si="1"/>
        <v>0</v>
      </c>
      <c r="K118" s="93"/>
      <c r="L118" s="82">
        <v>2403.8200000000002</v>
      </c>
      <c r="M118" s="93"/>
    </row>
    <row r="119" spans="1:13" hidden="1">
      <c r="A119" s="63">
        <v>115</v>
      </c>
      <c r="B119" s="63" t="s">
        <v>193</v>
      </c>
      <c r="C119" s="63" t="s">
        <v>302</v>
      </c>
      <c r="D119" s="93"/>
      <c r="E119" s="66">
        <v>0</v>
      </c>
      <c r="F119" s="66">
        <v>0</v>
      </c>
      <c r="G119" s="66">
        <v>0</v>
      </c>
      <c r="H119" s="66">
        <v>0</v>
      </c>
      <c r="I119" s="66">
        <v>0</v>
      </c>
      <c r="J119" s="66">
        <f t="shared" si="1"/>
        <v>0</v>
      </c>
      <c r="K119" s="93"/>
      <c r="L119" s="82">
        <v>2403.8200000000002</v>
      </c>
      <c r="M119" s="93"/>
    </row>
    <row r="120" spans="1:13" hidden="1">
      <c r="A120" s="63">
        <v>116</v>
      </c>
      <c r="B120" s="63" t="s">
        <v>194</v>
      </c>
      <c r="C120" s="63" t="s">
        <v>302</v>
      </c>
      <c r="D120" s="94"/>
      <c r="E120" s="66">
        <v>0</v>
      </c>
      <c r="F120" s="66">
        <v>0</v>
      </c>
      <c r="G120" s="66">
        <v>0</v>
      </c>
      <c r="H120" s="66">
        <v>0</v>
      </c>
      <c r="I120" s="66">
        <v>0</v>
      </c>
      <c r="J120" s="66">
        <f t="shared" si="1"/>
        <v>0</v>
      </c>
      <c r="K120" s="94"/>
      <c r="L120" s="83">
        <v>2403.8200000000002</v>
      </c>
      <c r="M120" s="94"/>
    </row>
    <row r="121" spans="1:13" hidden="1">
      <c r="A121" s="63">
        <v>117</v>
      </c>
      <c r="B121" s="63" t="s">
        <v>77</v>
      </c>
      <c r="C121" s="63" t="s">
        <v>303</v>
      </c>
      <c r="D121" s="92">
        <v>309.85000000000002</v>
      </c>
      <c r="E121" s="65">
        <v>0</v>
      </c>
      <c r="F121" s="65">
        <v>0</v>
      </c>
      <c r="G121" s="65">
        <v>0</v>
      </c>
      <c r="H121" s="65">
        <v>0</v>
      </c>
      <c r="I121" s="65">
        <v>0</v>
      </c>
      <c r="J121" s="65">
        <f t="shared" si="1"/>
        <v>0</v>
      </c>
      <c r="K121" s="95">
        <f>SUM(J121:J124)</f>
        <v>0</v>
      </c>
      <c r="L121" s="84">
        <v>309.85000000000002</v>
      </c>
      <c r="M121" s="95">
        <f>D121-K121</f>
        <v>309.85000000000002</v>
      </c>
    </row>
    <row r="122" spans="1:13" hidden="1">
      <c r="A122" s="63">
        <v>118</v>
      </c>
      <c r="B122" s="63" t="s">
        <v>195</v>
      </c>
      <c r="C122" s="63" t="s">
        <v>303</v>
      </c>
      <c r="D122" s="93"/>
      <c r="E122" s="65">
        <v>0</v>
      </c>
      <c r="F122" s="65">
        <v>0</v>
      </c>
      <c r="G122" s="65">
        <v>0</v>
      </c>
      <c r="H122" s="65">
        <v>0</v>
      </c>
      <c r="I122" s="65">
        <v>0</v>
      </c>
      <c r="J122" s="65">
        <f t="shared" si="1"/>
        <v>0</v>
      </c>
      <c r="K122" s="96"/>
      <c r="L122" s="85">
        <v>309.85000000000002</v>
      </c>
      <c r="M122" s="96"/>
    </row>
    <row r="123" spans="1:13" hidden="1">
      <c r="A123" s="63">
        <v>119</v>
      </c>
      <c r="B123" s="63" t="s">
        <v>196</v>
      </c>
      <c r="C123" s="63" t="s">
        <v>303</v>
      </c>
      <c r="D123" s="93"/>
      <c r="E123" s="65">
        <v>0</v>
      </c>
      <c r="F123" s="65">
        <v>0</v>
      </c>
      <c r="G123" s="65">
        <v>0</v>
      </c>
      <c r="H123" s="65">
        <v>0</v>
      </c>
      <c r="I123" s="65">
        <v>0</v>
      </c>
      <c r="J123" s="65">
        <f t="shared" si="1"/>
        <v>0</v>
      </c>
      <c r="K123" s="96"/>
      <c r="L123" s="85">
        <v>309.85000000000002</v>
      </c>
      <c r="M123" s="96"/>
    </row>
    <row r="124" spans="1:13" hidden="1">
      <c r="A124" s="63">
        <v>120</v>
      </c>
      <c r="B124" s="63" t="s">
        <v>197</v>
      </c>
      <c r="C124" s="63" t="s">
        <v>303</v>
      </c>
      <c r="D124" s="94"/>
      <c r="E124" s="65">
        <v>0</v>
      </c>
      <c r="F124" s="65">
        <v>0</v>
      </c>
      <c r="G124" s="65">
        <v>0</v>
      </c>
      <c r="H124" s="65">
        <v>0</v>
      </c>
      <c r="I124" s="65">
        <v>0</v>
      </c>
      <c r="J124" s="65">
        <f t="shared" si="1"/>
        <v>0</v>
      </c>
      <c r="K124" s="97"/>
      <c r="L124" s="86">
        <v>309.85000000000002</v>
      </c>
      <c r="M124" s="97"/>
    </row>
    <row r="125" spans="1:13" hidden="1">
      <c r="A125" s="63">
        <v>121</v>
      </c>
      <c r="B125" s="63" t="s">
        <v>79</v>
      </c>
      <c r="C125" s="63" t="s">
        <v>275</v>
      </c>
      <c r="D125" s="92">
        <v>869.23</v>
      </c>
      <c r="E125" s="66">
        <v>0</v>
      </c>
      <c r="F125" s="66">
        <v>0</v>
      </c>
      <c r="G125" s="66">
        <v>0</v>
      </c>
      <c r="H125" s="66">
        <v>0</v>
      </c>
      <c r="I125" s="66">
        <v>0</v>
      </c>
      <c r="J125" s="66">
        <f t="shared" si="1"/>
        <v>0</v>
      </c>
      <c r="K125" s="92">
        <f>SUM(J125:J128)</f>
        <v>0</v>
      </c>
      <c r="L125" s="81">
        <v>869.23</v>
      </c>
      <c r="M125" s="92">
        <f>D125-K125</f>
        <v>869.23</v>
      </c>
    </row>
    <row r="126" spans="1:13" hidden="1">
      <c r="A126" s="63">
        <v>122</v>
      </c>
      <c r="B126" s="63" t="s">
        <v>198</v>
      </c>
      <c r="C126" s="63" t="s">
        <v>275</v>
      </c>
      <c r="D126" s="93"/>
      <c r="E126" s="66">
        <v>0</v>
      </c>
      <c r="F126" s="66">
        <v>0</v>
      </c>
      <c r="G126" s="66">
        <v>0</v>
      </c>
      <c r="H126" s="66">
        <v>0</v>
      </c>
      <c r="I126" s="66">
        <v>0</v>
      </c>
      <c r="J126" s="66">
        <f t="shared" si="1"/>
        <v>0</v>
      </c>
      <c r="K126" s="93"/>
      <c r="L126" s="82">
        <v>869.23</v>
      </c>
      <c r="M126" s="93"/>
    </row>
    <row r="127" spans="1:13" hidden="1">
      <c r="A127" s="63">
        <v>123</v>
      </c>
      <c r="B127" s="63" t="s">
        <v>199</v>
      </c>
      <c r="C127" s="63" t="s">
        <v>275</v>
      </c>
      <c r="D127" s="93"/>
      <c r="E127" s="66">
        <v>0</v>
      </c>
      <c r="F127" s="66">
        <v>0</v>
      </c>
      <c r="G127" s="66">
        <v>0</v>
      </c>
      <c r="H127" s="66">
        <v>0</v>
      </c>
      <c r="I127" s="66">
        <v>0</v>
      </c>
      <c r="J127" s="66">
        <f t="shared" si="1"/>
        <v>0</v>
      </c>
      <c r="K127" s="93"/>
      <c r="L127" s="82">
        <v>869.23</v>
      </c>
      <c r="M127" s="93"/>
    </row>
    <row r="128" spans="1:13" hidden="1">
      <c r="A128" s="63">
        <v>124</v>
      </c>
      <c r="B128" s="63" t="s">
        <v>200</v>
      </c>
      <c r="C128" s="63" t="s">
        <v>275</v>
      </c>
      <c r="D128" s="94"/>
      <c r="E128" s="66">
        <v>0</v>
      </c>
      <c r="F128" s="66">
        <v>0</v>
      </c>
      <c r="G128" s="66">
        <v>0</v>
      </c>
      <c r="H128" s="66">
        <v>0</v>
      </c>
      <c r="I128" s="66">
        <v>0</v>
      </c>
      <c r="J128" s="66">
        <f t="shared" si="1"/>
        <v>0</v>
      </c>
      <c r="K128" s="94"/>
      <c r="L128" s="83">
        <v>869.23</v>
      </c>
      <c r="M128" s="94"/>
    </row>
    <row r="129" spans="1:13" hidden="1">
      <c r="A129" s="63">
        <v>125</v>
      </c>
      <c r="B129" s="63" t="s">
        <v>82</v>
      </c>
      <c r="C129" s="63" t="s">
        <v>276</v>
      </c>
      <c r="D129" s="92">
        <v>743.73</v>
      </c>
      <c r="E129" s="65">
        <v>0</v>
      </c>
      <c r="F129" s="65">
        <v>185</v>
      </c>
      <c r="G129" s="65">
        <v>0</v>
      </c>
      <c r="H129" s="65">
        <v>0</v>
      </c>
      <c r="I129" s="65">
        <v>0</v>
      </c>
      <c r="J129" s="65">
        <f t="shared" si="1"/>
        <v>185</v>
      </c>
      <c r="K129" s="95">
        <f>SUM(J129:J132)</f>
        <v>522</v>
      </c>
      <c r="L129" s="84">
        <v>221.73000000000002</v>
      </c>
      <c r="M129" s="95">
        <f>D129-K129</f>
        <v>221.73000000000002</v>
      </c>
    </row>
    <row r="130" spans="1:13" hidden="1">
      <c r="A130" s="63">
        <v>126</v>
      </c>
      <c r="B130" s="63" t="s">
        <v>201</v>
      </c>
      <c r="C130" s="63" t="s">
        <v>276</v>
      </c>
      <c r="D130" s="93"/>
      <c r="E130" s="65">
        <v>0</v>
      </c>
      <c r="F130" s="65">
        <v>337</v>
      </c>
      <c r="G130" s="65">
        <v>0</v>
      </c>
      <c r="H130" s="65">
        <v>0</v>
      </c>
      <c r="I130" s="65">
        <v>0</v>
      </c>
      <c r="J130" s="65">
        <f t="shared" si="1"/>
        <v>337</v>
      </c>
      <c r="K130" s="96"/>
      <c r="L130" s="85">
        <v>221.73000000000002</v>
      </c>
      <c r="M130" s="96"/>
    </row>
    <row r="131" spans="1:13" hidden="1">
      <c r="A131" s="63">
        <v>127</v>
      </c>
      <c r="B131" s="63" t="s">
        <v>202</v>
      </c>
      <c r="C131" s="63" t="s">
        <v>276</v>
      </c>
      <c r="D131" s="93"/>
      <c r="E131" s="65">
        <v>0</v>
      </c>
      <c r="F131" s="65">
        <v>0</v>
      </c>
      <c r="G131" s="65">
        <v>0</v>
      </c>
      <c r="H131" s="65">
        <v>0</v>
      </c>
      <c r="I131" s="65">
        <v>0</v>
      </c>
      <c r="J131" s="65">
        <f t="shared" si="1"/>
        <v>0</v>
      </c>
      <c r="K131" s="96"/>
      <c r="L131" s="85">
        <v>221.73000000000002</v>
      </c>
      <c r="M131" s="96"/>
    </row>
    <row r="132" spans="1:13" hidden="1">
      <c r="A132" s="63">
        <v>128</v>
      </c>
      <c r="B132" s="63" t="s">
        <v>203</v>
      </c>
      <c r="C132" s="63" t="s">
        <v>276</v>
      </c>
      <c r="D132" s="94"/>
      <c r="E132" s="65">
        <v>0</v>
      </c>
      <c r="F132" s="65">
        <v>0</v>
      </c>
      <c r="G132" s="65">
        <v>0</v>
      </c>
      <c r="H132" s="65">
        <v>0</v>
      </c>
      <c r="I132" s="65">
        <v>0</v>
      </c>
      <c r="J132" s="65">
        <f t="shared" si="1"/>
        <v>0</v>
      </c>
      <c r="K132" s="97"/>
      <c r="L132" s="86">
        <v>221.73000000000002</v>
      </c>
      <c r="M132" s="97"/>
    </row>
    <row r="133" spans="1:13" hidden="1">
      <c r="A133" s="63">
        <v>129</v>
      </c>
      <c r="B133" s="63" t="s">
        <v>85</v>
      </c>
      <c r="C133" s="63" t="s">
        <v>277</v>
      </c>
      <c r="D133" s="92">
        <v>345.96999999999997</v>
      </c>
      <c r="E133" s="66">
        <v>0</v>
      </c>
      <c r="F133" s="66">
        <v>0</v>
      </c>
      <c r="G133" s="66">
        <v>0</v>
      </c>
      <c r="H133" s="66">
        <v>0</v>
      </c>
      <c r="I133" s="66">
        <v>0</v>
      </c>
      <c r="J133" s="66">
        <f t="shared" ref="J133:J196" si="2">SUM(E133:I133)</f>
        <v>0</v>
      </c>
      <c r="K133" s="92">
        <f>SUM(J133:J136)</f>
        <v>0</v>
      </c>
      <c r="L133" s="81">
        <v>345.96999999999997</v>
      </c>
      <c r="M133" s="92">
        <f>D133-K133</f>
        <v>345.96999999999997</v>
      </c>
    </row>
    <row r="134" spans="1:13" hidden="1">
      <c r="A134" s="63">
        <v>130</v>
      </c>
      <c r="B134" s="63" t="s">
        <v>204</v>
      </c>
      <c r="C134" s="63" t="s">
        <v>277</v>
      </c>
      <c r="D134" s="93"/>
      <c r="E134" s="66">
        <v>0</v>
      </c>
      <c r="F134" s="66">
        <v>0</v>
      </c>
      <c r="G134" s="66">
        <v>0</v>
      </c>
      <c r="H134" s="66">
        <v>0</v>
      </c>
      <c r="I134" s="66">
        <v>0</v>
      </c>
      <c r="J134" s="66">
        <f t="shared" si="2"/>
        <v>0</v>
      </c>
      <c r="K134" s="93"/>
      <c r="L134" s="82">
        <v>345.96999999999997</v>
      </c>
      <c r="M134" s="93"/>
    </row>
    <row r="135" spans="1:13" hidden="1">
      <c r="A135" s="63">
        <v>131</v>
      </c>
      <c r="B135" s="63" t="s">
        <v>205</v>
      </c>
      <c r="C135" s="63" t="s">
        <v>277</v>
      </c>
      <c r="D135" s="93"/>
      <c r="E135" s="66">
        <v>0</v>
      </c>
      <c r="F135" s="66">
        <v>0</v>
      </c>
      <c r="G135" s="66">
        <v>0</v>
      </c>
      <c r="H135" s="66">
        <v>0</v>
      </c>
      <c r="I135" s="66">
        <v>0</v>
      </c>
      <c r="J135" s="66">
        <f t="shared" si="2"/>
        <v>0</v>
      </c>
      <c r="K135" s="93"/>
      <c r="L135" s="82">
        <v>345.96999999999997</v>
      </c>
      <c r="M135" s="93"/>
    </row>
    <row r="136" spans="1:13" hidden="1">
      <c r="A136" s="63">
        <v>132</v>
      </c>
      <c r="B136" s="63" t="s">
        <v>206</v>
      </c>
      <c r="C136" s="63" t="s">
        <v>277</v>
      </c>
      <c r="D136" s="94"/>
      <c r="E136" s="66">
        <v>0</v>
      </c>
      <c r="F136" s="66">
        <v>0</v>
      </c>
      <c r="G136" s="66">
        <v>0</v>
      </c>
      <c r="H136" s="66">
        <v>0</v>
      </c>
      <c r="I136" s="66">
        <v>0</v>
      </c>
      <c r="J136" s="66">
        <f t="shared" si="2"/>
        <v>0</v>
      </c>
      <c r="K136" s="94"/>
      <c r="L136" s="83">
        <v>345.96999999999997</v>
      </c>
      <c r="M136" s="94"/>
    </row>
    <row r="137" spans="1:13" hidden="1">
      <c r="A137" s="63">
        <v>133</v>
      </c>
      <c r="B137" s="63" t="s">
        <v>88</v>
      </c>
      <c r="C137" s="63" t="s">
        <v>304</v>
      </c>
      <c r="D137" s="92">
        <v>3432.3599999999997</v>
      </c>
      <c r="E137" s="65">
        <v>0</v>
      </c>
      <c r="F137" s="65">
        <v>0</v>
      </c>
      <c r="G137" s="65">
        <v>0</v>
      </c>
      <c r="H137" s="65">
        <v>0</v>
      </c>
      <c r="I137" s="65">
        <v>854</v>
      </c>
      <c r="J137" s="65">
        <f t="shared" si="2"/>
        <v>854</v>
      </c>
      <c r="K137" s="95">
        <f>SUM(J137:J148)</f>
        <v>965</v>
      </c>
      <c r="L137" s="84">
        <v>2467.3599999999997</v>
      </c>
      <c r="M137" s="95">
        <f>D137-K137</f>
        <v>2467.3599999999997</v>
      </c>
    </row>
    <row r="138" spans="1:13" hidden="1">
      <c r="A138" s="63">
        <v>134</v>
      </c>
      <c r="B138" s="63" t="s">
        <v>207</v>
      </c>
      <c r="C138" s="63" t="s">
        <v>304</v>
      </c>
      <c r="D138" s="93"/>
      <c r="E138" s="65">
        <v>0</v>
      </c>
      <c r="F138" s="65">
        <v>60</v>
      </c>
      <c r="G138" s="65">
        <v>0</v>
      </c>
      <c r="H138" s="65">
        <v>0</v>
      </c>
      <c r="I138" s="65">
        <v>0</v>
      </c>
      <c r="J138" s="65">
        <f t="shared" si="2"/>
        <v>60</v>
      </c>
      <c r="K138" s="96"/>
      <c r="L138" s="85">
        <v>2467.3599999999997</v>
      </c>
      <c r="M138" s="96"/>
    </row>
    <row r="139" spans="1:13" hidden="1">
      <c r="A139" s="63">
        <v>135</v>
      </c>
      <c r="B139" s="63" t="s">
        <v>208</v>
      </c>
      <c r="C139" s="63" t="s">
        <v>304</v>
      </c>
      <c r="D139" s="93"/>
      <c r="E139" s="65">
        <v>0</v>
      </c>
      <c r="F139" s="65">
        <v>51</v>
      </c>
      <c r="G139" s="65">
        <v>0</v>
      </c>
      <c r="H139" s="65">
        <v>0</v>
      </c>
      <c r="I139" s="65">
        <v>0</v>
      </c>
      <c r="J139" s="65">
        <f t="shared" si="2"/>
        <v>51</v>
      </c>
      <c r="K139" s="96"/>
      <c r="L139" s="85">
        <v>2467.3599999999997</v>
      </c>
      <c r="M139" s="96"/>
    </row>
    <row r="140" spans="1:13" hidden="1">
      <c r="A140" s="63">
        <v>136</v>
      </c>
      <c r="B140" s="63" t="s">
        <v>209</v>
      </c>
      <c r="C140" s="63" t="s">
        <v>304</v>
      </c>
      <c r="D140" s="93"/>
      <c r="E140" s="65">
        <v>0</v>
      </c>
      <c r="F140" s="65">
        <v>0</v>
      </c>
      <c r="G140" s="65">
        <v>0</v>
      </c>
      <c r="H140" s="65">
        <v>0</v>
      </c>
      <c r="I140" s="65">
        <v>0</v>
      </c>
      <c r="J140" s="65">
        <f t="shared" si="2"/>
        <v>0</v>
      </c>
      <c r="K140" s="96"/>
      <c r="L140" s="85">
        <v>2467.3599999999997</v>
      </c>
      <c r="M140" s="96"/>
    </row>
    <row r="141" spans="1:13" hidden="1">
      <c r="A141" s="63">
        <v>137</v>
      </c>
      <c r="B141" s="63" t="s">
        <v>210</v>
      </c>
      <c r="C141" s="63" t="s">
        <v>305</v>
      </c>
      <c r="D141" s="93"/>
      <c r="E141" s="65">
        <v>0</v>
      </c>
      <c r="F141" s="65">
        <v>0</v>
      </c>
      <c r="G141" s="65">
        <v>0</v>
      </c>
      <c r="H141" s="65">
        <v>0</v>
      </c>
      <c r="I141" s="65">
        <v>0</v>
      </c>
      <c r="J141" s="65">
        <f t="shared" si="2"/>
        <v>0</v>
      </c>
      <c r="K141" s="96"/>
      <c r="L141" s="85">
        <v>2467.3599999999997</v>
      </c>
      <c r="M141" s="96"/>
    </row>
    <row r="142" spans="1:13" hidden="1">
      <c r="A142" s="63">
        <v>138</v>
      </c>
      <c r="B142" s="63" t="s">
        <v>211</v>
      </c>
      <c r="C142" s="63" t="s">
        <v>305</v>
      </c>
      <c r="D142" s="93"/>
      <c r="E142" s="65">
        <v>0</v>
      </c>
      <c r="F142" s="65">
        <v>0</v>
      </c>
      <c r="G142" s="65">
        <v>0</v>
      </c>
      <c r="H142" s="65">
        <v>0</v>
      </c>
      <c r="I142" s="65">
        <v>0</v>
      </c>
      <c r="J142" s="65">
        <f t="shared" si="2"/>
        <v>0</v>
      </c>
      <c r="K142" s="96"/>
      <c r="L142" s="85">
        <v>2467.3599999999997</v>
      </c>
      <c r="M142" s="96"/>
    </row>
    <row r="143" spans="1:13" hidden="1">
      <c r="A143" s="63">
        <v>139</v>
      </c>
      <c r="B143" s="63" t="s">
        <v>212</v>
      </c>
      <c r="C143" s="63" t="s">
        <v>305</v>
      </c>
      <c r="D143" s="93"/>
      <c r="E143" s="65">
        <v>0</v>
      </c>
      <c r="F143" s="65">
        <v>0</v>
      </c>
      <c r="G143" s="65">
        <v>0</v>
      </c>
      <c r="H143" s="65">
        <v>0</v>
      </c>
      <c r="I143" s="65">
        <v>0</v>
      </c>
      <c r="J143" s="65">
        <f t="shared" si="2"/>
        <v>0</v>
      </c>
      <c r="K143" s="96"/>
      <c r="L143" s="85">
        <v>2467.3599999999997</v>
      </c>
      <c r="M143" s="96"/>
    </row>
    <row r="144" spans="1:13" hidden="1">
      <c r="A144" s="63">
        <v>140</v>
      </c>
      <c r="B144" s="63" t="s">
        <v>213</v>
      </c>
      <c r="C144" s="63" t="s">
        <v>305</v>
      </c>
      <c r="D144" s="93"/>
      <c r="E144" s="65">
        <v>0</v>
      </c>
      <c r="F144" s="65">
        <v>0</v>
      </c>
      <c r="G144" s="65">
        <v>0</v>
      </c>
      <c r="H144" s="65">
        <v>0</v>
      </c>
      <c r="I144" s="65">
        <v>0</v>
      </c>
      <c r="J144" s="65">
        <f t="shared" si="2"/>
        <v>0</v>
      </c>
      <c r="K144" s="96"/>
      <c r="L144" s="85">
        <v>2467.3599999999997</v>
      </c>
      <c r="M144" s="96"/>
    </row>
    <row r="145" spans="1:13" hidden="1">
      <c r="A145" s="63">
        <v>141</v>
      </c>
      <c r="B145" s="63" t="s">
        <v>214</v>
      </c>
      <c r="C145" s="63" t="s">
        <v>306</v>
      </c>
      <c r="D145" s="93"/>
      <c r="E145" s="65">
        <v>0</v>
      </c>
      <c r="F145" s="65">
        <v>0</v>
      </c>
      <c r="G145" s="65">
        <v>0</v>
      </c>
      <c r="H145" s="65">
        <v>0</v>
      </c>
      <c r="I145" s="65">
        <v>0</v>
      </c>
      <c r="J145" s="65">
        <f t="shared" si="2"/>
        <v>0</v>
      </c>
      <c r="K145" s="96"/>
      <c r="L145" s="85">
        <v>2467.3599999999997</v>
      </c>
      <c r="M145" s="96"/>
    </row>
    <row r="146" spans="1:13" hidden="1">
      <c r="A146" s="63">
        <v>142</v>
      </c>
      <c r="B146" s="63" t="s">
        <v>215</v>
      </c>
      <c r="C146" s="63" t="s">
        <v>306</v>
      </c>
      <c r="D146" s="93"/>
      <c r="E146" s="65">
        <v>0</v>
      </c>
      <c r="F146" s="65">
        <v>0</v>
      </c>
      <c r="G146" s="65">
        <v>0</v>
      </c>
      <c r="H146" s="65">
        <v>0</v>
      </c>
      <c r="I146" s="65">
        <v>0</v>
      </c>
      <c r="J146" s="65">
        <f t="shared" si="2"/>
        <v>0</v>
      </c>
      <c r="K146" s="96"/>
      <c r="L146" s="85">
        <v>2467.3599999999997</v>
      </c>
      <c r="M146" s="96"/>
    </row>
    <row r="147" spans="1:13" hidden="1">
      <c r="A147" s="63">
        <v>143</v>
      </c>
      <c r="B147" s="63" t="s">
        <v>216</v>
      </c>
      <c r="C147" s="63" t="s">
        <v>306</v>
      </c>
      <c r="D147" s="93"/>
      <c r="E147" s="65">
        <v>0</v>
      </c>
      <c r="F147" s="65">
        <v>0</v>
      </c>
      <c r="G147" s="65">
        <v>0</v>
      </c>
      <c r="H147" s="65">
        <v>0</v>
      </c>
      <c r="I147" s="65">
        <v>0</v>
      </c>
      <c r="J147" s="65">
        <f t="shared" si="2"/>
        <v>0</v>
      </c>
      <c r="K147" s="96"/>
      <c r="L147" s="85">
        <v>2467.3599999999997</v>
      </c>
      <c r="M147" s="96"/>
    </row>
    <row r="148" spans="1:13" hidden="1">
      <c r="A148" s="63">
        <v>144</v>
      </c>
      <c r="B148" s="63" t="s">
        <v>217</v>
      </c>
      <c r="C148" s="63" t="s">
        <v>306</v>
      </c>
      <c r="D148" s="94"/>
      <c r="E148" s="65">
        <v>0</v>
      </c>
      <c r="F148" s="65">
        <v>0</v>
      </c>
      <c r="G148" s="65">
        <v>0</v>
      </c>
      <c r="H148" s="65">
        <v>0</v>
      </c>
      <c r="I148" s="65">
        <v>0</v>
      </c>
      <c r="J148" s="65">
        <f t="shared" si="2"/>
        <v>0</v>
      </c>
      <c r="K148" s="97"/>
      <c r="L148" s="86">
        <v>2467.3599999999997</v>
      </c>
      <c r="M148" s="97"/>
    </row>
    <row r="149" spans="1:13" hidden="1">
      <c r="A149" s="63">
        <v>145</v>
      </c>
      <c r="B149" s="63" t="s">
        <v>91</v>
      </c>
      <c r="C149" s="63" t="s">
        <v>307</v>
      </c>
      <c r="D149" s="92">
        <v>1499.6899999999998</v>
      </c>
      <c r="E149" s="66">
        <v>0</v>
      </c>
      <c r="F149" s="66">
        <v>1338</v>
      </c>
      <c r="G149" s="66">
        <v>0</v>
      </c>
      <c r="H149" s="66">
        <v>0</v>
      </c>
      <c r="I149" s="66">
        <v>0</v>
      </c>
      <c r="J149" s="66">
        <f t="shared" si="2"/>
        <v>1338</v>
      </c>
      <c r="K149" s="92">
        <f>SUM(J149:J152)</f>
        <v>1338</v>
      </c>
      <c r="L149" s="81">
        <v>161.68999999999983</v>
      </c>
      <c r="M149" s="92">
        <f>D149-K149</f>
        <v>161.68999999999983</v>
      </c>
    </row>
    <row r="150" spans="1:13" hidden="1">
      <c r="A150" s="63">
        <v>146</v>
      </c>
      <c r="B150" s="63" t="s">
        <v>218</v>
      </c>
      <c r="C150" s="63" t="s">
        <v>307</v>
      </c>
      <c r="D150" s="93"/>
      <c r="E150" s="66">
        <v>0</v>
      </c>
      <c r="F150" s="66">
        <v>0</v>
      </c>
      <c r="G150" s="66">
        <v>0</v>
      </c>
      <c r="H150" s="66">
        <v>0</v>
      </c>
      <c r="I150" s="66">
        <v>0</v>
      </c>
      <c r="J150" s="66">
        <f t="shared" si="2"/>
        <v>0</v>
      </c>
      <c r="K150" s="93"/>
      <c r="L150" s="82">
        <v>161.68999999999983</v>
      </c>
      <c r="M150" s="93"/>
    </row>
    <row r="151" spans="1:13" hidden="1">
      <c r="A151" s="63">
        <v>147</v>
      </c>
      <c r="B151" s="63" t="s">
        <v>219</v>
      </c>
      <c r="C151" s="63" t="s">
        <v>307</v>
      </c>
      <c r="D151" s="93"/>
      <c r="E151" s="66">
        <v>0</v>
      </c>
      <c r="F151" s="66">
        <v>0</v>
      </c>
      <c r="G151" s="66">
        <v>0</v>
      </c>
      <c r="H151" s="66">
        <v>0</v>
      </c>
      <c r="I151" s="66">
        <v>0</v>
      </c>
      <c r="J151" s="66">
        <f t="shared" si="2"/>
        <v>0</v>
      </c>
      <c r="K151" s="93"/>
      <c r="L151" s="82">
        <v>161.68999999999983</v>
      </c>
      <c r="M151" s="93"/>
    </row>
    <row r="152" spans="1:13" hidden="1">
      <c r="A152" s="63">
        <v>148</v>
      </c>
      <c r="B152" s="63" t="s">
        <v>220</v>
      </c>
      <c r="C152" s="63" t="s">
        <v>307</v>
      </c>
      <c r="D152" s="94"/>
      <c r="E152" s="66">
        <v>0</v>
      </c>
      <c r="F152" s="66">
        <v>0</v>
      </c>
      <c r="G152" s="66">
        <v>0</v>
      </c>
      <c r="H152" s="66">
        <v>0</v>
      </c>
      <c r="I152" s="66">
        <v>0</v>
      </c>
      <c r="J152" s="66">
        <f t="shared" si="2"/>
        <v>0</v>
      </c>
      <c r="K152" s="94"/>
      <c r="L152" s="83">
        <v>161.68999999999983</v>
      </c>
      <c r="M152" s="94"/>
    </row>
    <row r="153" spans="1:13" hidden="1">
      <c r="A153" s="63">
        <v>149</v>
      </c>
      <c r="B153" s="63" t="s">
        <v>94</v>
      </c>
      <c r="C153" s="63" t="s">
        <v>221</v>
      </c>
      <c r="D153" s="92">
        <v>750</v>
      </c>
      <c r="E153" s="65">
        <v>0</v>
      </c>
      <c r="F153" s="65">
        <v>0</v>
      </c>
      <c r="G153" s="65">
        <v>0</v>
      </c>
      <c r="H153" s="65">
        <v>0</v>
      </c>
      <c r="I153" s="65">
        <v>0</v>
      </c>
      <c r="J153" s="65">
        <f t="shared" si="2"/>
        <v>0</v>
      </c>
      <c r="K153" s="95">
        <f>SUM(J153:J156)</f>
        <v>0</v>
      </c>
      <c r="L153" s="84">
        <v>750</v>
      </c>
      <c r="M153" s="95">
        <f>D153-K153</f>
        <v>750</v>
      </c>
    </row>
    <row r="154" spans="1:13" hidden="1">
      <c r="A154" s="63">
        <v>150</v>
      </c>
      <c r="B154" s="63" t="s">
        <v>222</v>
      </c>
      <c r="C154" s="63" t="s">
        <v>221</v>
      </c>
      <c r="D154" s="93"/>
      <c r="E154" s="65">
        <v>0</v>
      </c>
      <c r="F154" s="65">
        <v>0</v>
      </c>
      <c r="G154" s="65">
        <v>0</v>
      </c>
      <c r="H154" s="65">
        <v>0</v>
      </c>
      <c r="I154" s="65">
        <v>0</v>
      </c>
      <c r="J154" s="65">
        <f t="shared" si="2"/>
        <v>0</v>
      </c>
      <c r="K154" s="96"/>
      <c r="L154" s="85">
        <v>750</v>
      </c>
      <c r="M154" s="96"/>
    </row>
    <row r="155" spans="1:13" hidden="1">
      <c r="A155" s="63">
        <v>151</v>
      </c>
      <c r="B155" s="63" t="s">
        <v>223</v>
      </c>
      <c r="C155" s="63" t="s">
        <v>221</v>
      </c>
      <c r="D155" s="93"/>
      <c r="E155" s="65">
        <v>0</v>
      </c>
      <c r="F155" s="65">
        <v>0</v>
      </c>
      <c r="G155" s="65">
        <v>0</v>
      </c>
      <c r="H155" s="65">
        <v>0</v>
      </c>
      <c r="I155" s="65">
        <v>0</v>
      </c>
      <c r="J155" s="65">
        <f t="shared" si="2"/>
        <v>0</v>
      </c>
      <c r="K155" s="96"/>
      <c r="L155" s="85">
        <v>750</v>
      </c>
      <c r="M155" s="96"/>
    </row>
    <row r="156" spans="1:13" hidden="1">
      <c r="A156" s="63">
        <v>152</v>
      </c>
      <c r="B156" s="63" t="s">
        <v>224</v>
      </c>
      <c r="C156" s="63" t="s">
        <v>221</v>
      </c>
      <c r="D156" s="94"/>
      <c r="E156" s="65">
        <v>0</v>
      </c>
      <c r="F156" s="65">
        <v>0</v>
      </c>
      <c r="G156" s="65">
        <v>0</v>
      </c>
      <c r="H156" s="65">
        <v>0</v>
      </c>
      <c r="I156" s="65">
        <v>0</v>
      </c>
      <c r="J156" s="65">
        <f t="shared" si="2"/>
        <v>0</v>
      </c>
      <c r="K156" s="97"/>
      <c r="L156" s="86">
        <v>750</v>
      </c>
      <c r="M156" s="97"/>
    </row>
    <row r="157" spans="1:13" hidden="1">
      <c r="A157" s="63">
        <v>153</v>
      </c>
      <c r="B157" s="63" t="s">
        <v>97</v>
      </c>
      <c r="C157" s="63" t="s">
        <v>308</v>
      </c>
      <c r="D157" s="92">
        <v>23465.289999999997</v>
      </c>
      <c r="E157" s="66">
        <v>0</v>
      </c>
      <c r="F157" s="66">
        <v>0</v>
      </c>
      <c r="G157" s="66">
        <v>0</v>
      </c>
      <c r="H157" s="66">
        <v>0</v>
      </c>
      <c r="I157" s="66">
        <v>0</v>
      </c>
      <c r="J157" s="66">
        <f t="shared" si="2"/>
        <v>0</v>
      </c>
      <c r="K157" s="92">
        <f>SUM(J157:J160)</f>
        <v>0</v>
      </c>
      <c r="L157" s="81">
        <v>23465.289999999997</v>
      </c>
      <c r="M157" s="92">
        <f>D157-K157</f>
        <v>23465.289999999997</v>
      </c>
    </row>
    <row r="158" spans="1:13" hidden="1">
      <c r="A158" s="63">
        <v>154</v>
      </c>
      <c r="B158" s="63" t="s">
        <v>225</v>
      </c>
      <c r="C158" s="63" t="s">
        <v>308</v>
      </c>
      <c r="D158" s="93"/>
      <c r="E158" s="66">
        <v>0</v>
      </c>
      <c r="F158" s="66">
        <v>0</v>
      </c>
      <c r="G158" s="66">
        <v>0</v>
      </c>
      <c r="H158" s="66">
        <v>0</v>
      </c>
      <c r="I158" s="66">
        <v>0</v>
      </c>
      <c r="J158" s="66">
        <f t="shared" si="2"/>
        <v>0</v>
      </c>
      <c r="K158" s="93"/>
      <c r="L158" s="82">
        <v>23465.289999999997</v>
      </c>
      <c r="M158" s="93"/>
    </row>
    <row r="159" spans="1:13" hidden="1">
      <c r="A159" s="63">
        <v>155</v>
      </c>
      <c r="B159" s="63" t="s">
        <v>226</v>
      </c>
      <c r="C159" s="63" t="s">
        <v>308</v>
      </c>
      <c r="D159" s="93"/>
      <c r="E159" s="66">
        <v>0</v>
      </c>
      <c r="F159" s="66">
        <v>0</v>
      </c>
      <c r="G159" s="66">
        <v>0</v>
      </c>
      <c r="H159" s="66">
        <v>0</v>
      </c>
      <c r="I159" s="66">
        <v>0</v>
      </c>
      <c r="J159" s="66">
        <f t="shared" si="2"/>
        <v>0</v>
      </c>
      <c r="K159" s="93"/>
      <c r="L159" s="82">
        <v>23465.289999999997</v>
      </c>
      <c r="M159" s="93"/>
    </row>
    <row r="160" spans="1:13" hidden="1">
      <c r="A160" s="63">
        <v>156</v>
      </c>
      <c r="B160" s="63" t="s">
        <v>227</v>
      </c>
      <c r="C160" s="63" t="s">
        <v>308</v>
      </c>
      <c r="D160" s="94"/>
      <c r="E160" s="66">
        <v>0</v>
      </c>
      <c r="F160" s="66">
        <v>0</v>
      </c>
      <c r="G160" s="66">
        <v>0</v>
      </c>
      <c r="H160" s="66">
        <v>0</v>
      </c>
      <c r="I160" s="66">
        <v>0</v>
      </c>
      <c r="J160" s="66">
        <f t="shared" si="2"/>
        <v>0</v>
      </c>
      <c r="K160" s="94"/>
      <c r="L160" s="83">
        <v>23465.289999999997</v>
      </c>
      <c r="M160" s="94"/>
    </row>
    <row r="161" spans="1:13" hidden="1">
      <c r="A161" s="63">
        <v>157</v>
      </c>
      <c r="B161" s="63" t="s">
        <v>100</v>
      </c>
      <c r="C161" s="63" t="s">
        <v>309</v>
      </c>
      <c r="D161" s="92">
        <v>2095.96</v>
      </c>
      <c r="E161" s="65">
        <v>0</v>
      </c>
      <c r="F161" s="65">
        <v>0</v>
      </c>
      <c r="G161" s="65">
        <v>0</v>
      </c>
      <c r="H161" s="65">
        <v>0</v>
      </c>
      <c r="I161" s="65">
        <v>0</v>
      </c>
      <c r="J161" s="65">
        <f t="shared" si="2"/>
        <v>0</v>
      </c>
      <c r="K161" s="95">
        <f>SUM(J161:J164)</f>
        <v>0</v>
      </c>
      <c r="L161" s="84">
        <v>2095.96</v>
      </c>
      <c r="M161" s="95">
        <f>D161-K161</f>
        <v>2095.96</v>
      </c>
    </row>
    <row r="162" spans="1:13" hidden="1">
      <c r="A162" s="63">
        <v>158</v>
      </c>
      <c r="B162" s="63" t="s">
        <v>228</v>
      </c>
      <c r="C162" s="63" t="s">
        <v>309</v>
      </c>
      <c r="D162" s="93"/>
      <c r="E162" s="65">
        <v>0</v>
      </c>
      <c r="F162" s="65">
        <v>0</v>
      </c>
      <c r="G162" s="65">
        <v>0</v>
      </c>
      <c r="H162" s="65">
        <v>0</v>
      </c>
      <c r="I162" s="65">
        <v>0</v>
      </c>
      <c r="J162" s="65">
        <f t="shared" si="2"/>
        <v>0</v>
      </c>
      <c r="K162" s="96"/>
      <c r="L162" s="85">
        <v>2095.96</v>
      </c>
      <c r="M162" s="96"/>
    </row>
    <row r="163" spans="1:13" hidden="1">
      <c r="A163" s="63">
        <v>159</v>
      </c>
      <c r="B163" s="63" t="s">
        <v>229</v>
      </c>
      <c r="C163" s="63" t="s">
        <v>309</v>
      </c>
      <c r="D163" s="93"/>
      <c r="E163" s="65">
        <v>0</v>
      </c>
      <c r="F163" s="65">
        <v>0</v>
      </c>
      <c r="G163" s="65">
        <v>0</v>
      </c>
      <c r="H163" s="65">
        <v>0</v>
      </c>
      <c r="I163" s="65">
        <v>0</v>
      </c>
      <c r="J163" s="65">
        <f t="shared" si="2"/>
        <v>0</v>
      </c>
      <c r="K163" s="96"/>
      <c r="L163" s="85">
        <v>2095.96</v>
      </c>
      <c r="M163" s="96"/>
    </row>
    <row r="164" spans="1:13" hidden="1">
      <c r="A164" s="63">
        <v>160</v>
      </c>
      <c r="B164" s="63" t="s">
        <v>230</v>
      </c>
      <c r="C164" s="63" t="s">
        <v>309</v>
      </c>
      <c r="D164" s="94"/>
      <c r="E164" s="65">
        <v>0</v>
      </c>
      <c r="F164" s="65">
        <v>0</v>
      </c>
      <c r="G164" s="65">
        <v>0</v>
      </c>
      <c r="H164" s="65">
        <v>0</v>
      </c>
      <c r="I164" s="65">
        <v>0</v>
      </c>
      <c r="J164" s="65">
        <f t="shared" si="2"/>
        <v>0</v>
      </c>
      <c r="K164" s="97"/>
      <c r="L164" s="86">
        <v>2095.96</v>
      </c>
      <c r="M164" s="97"/>
    </row>
    <row r="165" spans="1:13" hidden="1">
      <c r="A165" s="63">
        <v>161</v>
      </c>
      <c r="B165" s="63" t="s">
        <v>102</v>
      </c>
      <c r="C165" s="63" t="s">
        <v>310</v>
      </c>
      <c r="D165" s="92">
        <v>200</v>
      </c>
      <c r="E165" s="66">
        <v>0</v>
      </c>
      <c r="F165" s="66">
        <v>0</v>
      </c>
      <c r="G165" s="66">
        <v>0</v>
      </c>
      <c r="H165" s="66">
        <v>0</v>
      </c>
      <c r="I165" s="66">
        <v>0</v>
      </c>
      <c r="J165" s="66">
        <f t="shared" si="2"/>
        <v>0</v>
      </c>
      <c r="K165" s="92">
        <f>SUM(J165:J168)</f>
        <v>0</v>
      </c>
      <c r="L165" s="81">
        <v>200</v>
      </c>
      <c r="M165" s="92">
        <f>D165-K165</f>
        <v>200</v>
      </c>
    </row>
    <row r="166" spans="1:13" hidden="1">
      <c r="A166" s="63">
        <v>162</v>
      </c>
      <c r="B166" s="63" t="s">
        <v>231</v>
      </c>
      <c r="C166" s="63" t="s">
        <v>310</v>
      </c>
      <c r="D166" s="93"/>
      <c r="E166" s="66">
        <v>0</v>
      </c>
      <c r="F166" s="66">
        <v>0</v>
      </c>
      <c r="G166" s="66">
        <v>0</v>
      </c>
      <c r="H166" s="66">
        <v>0</v>
      </c>
      <c r="I166" s="66">
        <v>0</v>
      </c>
      <c r="J166" s="66">
        <f t="shared" si="2"/>
        <v>0</v>
      </c>
      <c r="K166" s="93"/>
      <c r="L166" s="82">
        <v>200</v>
      </c>
      <c r="M166" s="93"/>
    </row>
    <row r="167" spans="1:13" hidden="1">
      <c r="A167" s="63">
        <v>163</v>
      </c>
      <c r="B167" s="63" t="s">
        <v>232</v>
      </c>
      <c r="C167" s="63" t="s">
        <v>310</v>
      </c>
      <c r="D167" s="93"/>
      <c r="E167" s="66">
        <v>0</v>
      </c>
      <c r="F167" s="66">
        <v>0</v>
      </c>
      <c r="G167" s="66">
        <v>0</v>
      </c>
      <c r="H167" s="66">
        <v>0</v>
      </c>
      <c r="I167" s="66">
        <v>0</v>
      </c>
      <c r="J167" s="66">
        <f t="shared" si="2"/>
        <v>0</v>
      </c>
      <c r="K167" s="93"/>
      <c r="L167" s="82">
        <v>200</v>
      </c>
      <c r="M167" s="93"/>
    </row>
    <row r="168" spans="1:13" hidden="1">
      <c r="A168" s="63">
        <v>164</v>
      </c>
      <c r="B168" s="63" t="s">
        <v>233</v>
      </c>
      <c r="C168" s="63" t="s">
        <v>310</v>
      </c>
      <c r="D168" s="94"/>
      <c r="E168" s="66">
        <v>0</v>
      </c>
      <c r="F168" s="66">
        <v>0</v>
      </c>
      <c r="G168" s="66">
        <v>0</v>
      </c>
      <c r="H168" s="66">
        <v>0</v>
      </c>
      <c r="I168" s="66">
        <v>0</v>
      </c>
      <c r="J168" s="66">
        <f t="shared" si="2"/>
        <v>0</v>
      </c>
      <c r="K168" s="94"/>
      <c r="L168" s="83">
        <v>200</v>
      </c>
      <c r="M168" s="94"/>
    </row>
    <row r="169" spans="1:13" hidden="1">
      <c r="A169" s="63">
        <v>165</v>
      </c>
      <c r="B169" s="63" t="s">
        <v>105</v>
      </c>
      <c r="C169" s="63" t="s">
        <v>311</v>
      </c>
      <c r="D169" s="92">
        <v>1682.6100000000001</v>
      </c>
      <c r="E169" s="65">
        <v>0</v>
      </c>
      <c r="F169" s="65">
        <v>0</v>
      </c>
      <c r="G169" s="65">
        <v>0</v>
      </c>
      <c r="H169" s="65">
        <v>0</v>
      </c>
      <c r="I169" s="65">
        <v>0</v>
      </c>
      <c r="J169" s="65">
        <f t="shared" si="2"/>
        <v>0</v>
      </c>
      <c r="K169" s="95">
        <f>SUM(J169:J172)</f>
        <v>0</v>
      </c>
      <c r="L169" s="84">
        <v>1682.6100000000001</v>
      </c>
      <c r="M169" s="95">
        <f>D169-K169</f>
        <v>1682.6100000000001</v>
      </c>
    </row>
    <row r="170" spans="1:13" hidden="1">
      <c r="A170" s="63">
        <v>166</v>
      </c>
      <c r="B170" s="63" t="s">
        <v>234</v>
      </c>
      <c r="C170" s="63" t="s">
        <v>311</v>
      </c>
      <c r="D170" s="93"/>
      <c r="E170" s="65">
        <v>0</v>
      </c>
      <c r="F170" s="65">
        <v>0</v>
      </c>
      <c r="G170" s="65">
        <v>0</v>
      </c>
      <c r="H170" s="65">
        <v>0</v>
      </c>
      <c r="I170" s="65">
        <v>0</v>
      </c>
      <c r="J170" s="65">
        <f t="shared" si="2"/>
        <v>0</v>
      </c>
      <c r="K170" s="96"/>
      <c r="L170" s="85">
        <v>1682.6100000000001</v>
      </c>
      <c r="M170" s="96"/>
    </row>
    <row r="171" spans="1:13" hidden="1">
      <c r="A171" s="63">
        <v>167</v>
      </c>
      <c r="B171" s="63" t="s">
        <v>235</v>
      </c>
      <c r="C171" s="63" t="s">
        <v>311</v>
      </c>
      <c r="D171" s="93"/>
      <c r="E171" s="65">
        <v>0</v>
      </c>
      <c r="F171" s="65">
        <v>0</v>
      </c>
      <c r="G171" s="65">
        <v>0</v>
      </c>
      <c r="H171" s="65">
        <v>0</v>
      </c>
      <c r="I171" s="65">
        <v>0</v>
      </c>
      <c r="J171" s="65">
        <f t="shared" si="2"/>
        <v>0</v>
      </c>
      <c r="K171" s="96"/>
      <c r="L171" s="85">
        <v>1682.6100000000001</v>
      </c>
      <c r="M171" s="96"/>
    </row>
    <row r="172" spans="1:13" hidden="1">
      <c r="A172" s="63">
        <v>168</v>
      </c>
      <c r="B172" s="63" t="s">
        <v>236</v>
      </c>
      <c r="C172" s="63" t="s">
        <v>311</v>
      </c>
      <c r="D172" s="94"/>
      <c r="E172" s="65">
        <v>0</v>
      </c>
      <c r="F172" s="65">
        <v>0</v>
      </c>
      <c r="G172" s="65">
        <v>0</v>
      </c>
      <c r="H172" s="65">
        <v>0</v>
      </c>
      <c r="I172" s="65">
        <v>0</v>
      </c>
      <c r="J172" s="65">
        <f t="shared" si="2"/>
        <v>0</v>
      </c>
      <c r="K172" s="97"/>
      <c r="L172" s="86">
        <v>1682.6100000000001</v>
      </c>
      <c r="M172" s="97"/>
    </row>
    <row r="173" spans="1:13" hidden="1">
      <c r="A173" s="63">
        <v>169</v>
      </c>
      <c r="B173" s="63" t="s">
        <v>109</v>
      </c>
      <c r="C173" s="63" t="s">
        <v>312</v>
      </c>
      <c r="D173" s="92">
        <v>764.4</v>
      </c>
      <c r="E173" s="66">
        <v>0</v>
      </c>
      <c r="F173" s="66">
        <v>0</v>
      </c>
      <c r="G173" s="66">
        <v>0</v>
      </c>
      <c r="H173" s="66">
        <v>0</v>
      </c>
      <c r="I173" s="66">
        <v>0</v>
      </c>
      <c r="J173" s="66">
        <f t="shared" si="2"/>
        <v>0</v>
      </c>
      <c r="K173" s="92">
        <f>SUM(J173:J176)</f>
        <v>0</v>
      </c>
      <c r="L173" s="81">
        <v>764.4</v>
      </c>
      <c r="M173" s="92">
        <f>D173-K173</f>
        <v>764.4</v>
      </c>
    </row>
    <row r="174" spans="1:13" hidden="1">
      <c r="A174" s="63">
        <v>170</v>
      </c>
      <c r="B174" s="63" t="s">
        <v>237</v>
      </c>
      <c r="C174" s="63" t="s">
        <v>312</v>
      </c>
      <c r="D174" s="93"/>
      <c r="E174" s="66">
        <v>0</v>
      </c>
      <c r="F174" s="66">
        <v>0</v>
      </c>
      <c r="G174" s="66">
        <v>0</v>
      </c>
      <c r="H174" s="66">
        <v>0</v>
      </c>
      <c r="I174" s="66">
        <v>0</v>
      </c>
      <c r="J174" s="66">
        <f t="shared" si="2"/>
        <v>0</v>
      </c>
      <c r="K174" s="93"/>
      <c r="L174" s="82">
        <v>764.4</v>
      </c>
      <c r="M174" s="93"/>
    </row>
    <row r="175" spans="1:13" hidden="1">
      <c r="A175" s="63">
        <v>171</v>
      </c>
      <c r="B175" s="63" t="s">
        <v>238</v>
      </c>
      <c r="C175" s="63" t="s">
        <v>312</v>
      </c>
      <c r="D175" s="93"/>
      <c r="E175" s="66">
        <v>0</v>
      </c>
      <c r="F175" s="66">
        <v>0</v>
      </c>
      <c r="G175" s="66">
        <v>0</v>
      </c>
      <c r="H175" s="66">
        <v>0</v>
      </c>
      <c r="I175" s="66">
        <v>0</v>
      </c>
      <c r="J175" s="66">
        <f t="shared" si="2"/>
        <v>0</v>
      </c>
      <c r="K175" s="93"/>
      <c r="L175" s="82">
        <v>764.4</v>
      </c>
      <c r="M175" s="93"/>
    </row>
    <row r="176" spans="1:13" hidden="1">
      <c r="A176" s="63">
        <v>172</v>
      </c>
      <c r="B176" s="63" t="s">
        <v>239</v>
      </c>
      <c r="C176" s="63" t="s">
        <v>312</v>
      </c>
      <c r="D176" s="94"/>
      <c r="E176" s="66">
        <v>0</v>
      </c>
      <c r="F176" s="66">
        <v>0</v>
      </c>
      <c r="G176" s="66">
        <v>0</v>
      </c>
      <c r="H176" s="66">
        <v>0</v>
      </c>
      <c r="I176" s="66">
        <v>0</v>
      </c>
      <c r="J176" s="66">
        <f t="shared" si="2"/>
        <v>0</v>
      </c>
      <c r="K176" s="94"/>
      <c r="L176" s="83">
        <v>764.4</v>
      </c>
      <c r="M176" s="94"/>
    </row>
    <row r="177" spans="1:13" hidden="1">
      <c r="A177" s="63">
        <v>173</v>
      </c>
      <c r="B177" s="63" t="s">
        <v>113</v>
      </c>
      <c r="C177" s="63" t="s">
        <v>278</v>
      </c>
      <c r="D177" s="92">
        <v>2312.8199999999997</v>
      </c>
      <c r="E177" s="65">
        <v>0</v>
      </c>
      <c r="F177" s="65">
        <v>0</v>
      </c>
      <c r="G177" s="65">
        <v>0</v>
      </c>
      <c r="H177" s="65">
        <v>0</v>
      </c>
      <c r="I177" s="65">
        <v>0</v>
      </c>
      <c r="J177" s="65">
        <f t="shared" si="2"/>
        <v>0</v>
      </c>
      <c r="K177" s="95">
        <f>SUM(J177:J180)</f>
        <v>167</v>
      </c>
      <c r="L177" s="84">
        <v>2145.8199999999997</v>
      </c>
      <c r="M177" s="95">
        <f>D177-K177</f>
        <v>2145.8199999999997</v>
      </c>
    </row>
    <row r="178" spans="1:13" hidden="1">
      <c r="A178" s="63">
        <v>174</v>
      </c>
      <c r="B178" s="63" t="s">
        <v>240</v>
      </c>
      <c r="C178" s="63" t="s">
        <v>278</v>
      </c>
      <c r="D178" s="93"/>
      <c r="E178" s="65">
        <v>167</v>
      </c>
      <c r="F178" s="65">
        <v>0</v>
      </c>
      <c r="G178" s="65">
        <v>0</v>
      </c>
      <c r="H178" s="65">
        <v>0</v>
      </c>
      <c r="I178" s="65">
        <v>0</v>
      </c>
      <c r="J178" s="65">
        <f t="shared" si="2"/>
        <v>167</v>
      </c>
      <c r="K178" s="96"/>
      <c r="L178" s="85">
        <v>2145.8199999999997</v>
      </c>
      <c r="M178" s="96"/>
    </row>
    <row r="179" spans="1:13" hidden="1">
      <c r="A179" s="63">
        <v>175</v>
      </c>
      <c r="B179" s="63" t="s">
        <v>241</v>
      </c>
      <c r="C179" s="63" t="s">
        <v>278</v>
      </c>
      <c r="D179" s="93"/>
      <c r="E179" s="65">
        <v>0</v>
      </c>
      <c r="F179" s="65">
        <v>0</v>
      </c>
      <c r="G179" s="65">
        <v>0</v>
      </c>
      <c r="H179" s="65">
        <v>0</v>
      </c>
      <c r="I179" s="65">
        <v>0</v>
      </c>
      <c r="J179" s="65">
        <f t="shared" si="2"/>
        <v>0</v>
      </c>
      <c r="K179" s="96"/>
      <c r="L179" s="85">
        <v>2145.8199999999997</v>
      </c>
      <c r="M179" s="96"/>
    </row>
    <row r="180" spans="1:13" hidden="1">
      <c r="A180" s="63">
        <v>176</v>
      </c>
      <c r="B180" s="63" t="s">
        <v>242</v>
      </c>
      <c r="C180" s="63" t="s">
        <v>278</v>
      </c>
      <c r="D180" s="94"/>
      <c r="E180" s="65">
        <v>0</v>
      </c>
      <c r="F180" s="65">
        <v>0</v>
      </c>
      <c r="G180" s="65">
        <v>0</v>
      </c>
      <c r="H180" s="65">
        <v>0</v>
      </c>
      <c r="I180" s="65">
        <v>0</v>
      </c>
      <c r="J180" s="65">
        <f t="shared" si="2"/>
        <v>0</v>
      </c>
      <c r="K180" s="97"/>
      <c r="L180" s="86">
        <v>2145.8199999999997</v>
      </c>
      <c r="M180" s="97"/>
    </row>
    <row r="181" spans="1:13" hidden="1">
      <c r="A181" s="63">
        <v>177</v>
      </c>
      <c r="B181" s="63" t="s">
        <v>117</v>
      </c>
      <c r="C181" s="63" t="s">
        <v>313</v>
      </c>
      <c r="D181" s="92">
        <v>943.01</v>
      </c>
      <c r="E181" s="66">
        <v>0</v>
      </c>
      <c r="F181" s="66">
        <v>0</v>
      </c>
      <c r="G181" s="66">
        <v>0</v>
      </c>
      <c r="H181" s="66">
        <v>0</v>
      </c>
      <c r="I181" s="66">
        <v>0</v>
      </c>
      <c r="J181" s="66">
        <f t="shared" si="2"/>
        <v>0</v>
      </c>
      <c r="K181" s="92">
        <f>SUM(J181:J184)</f>
        <v>0</v>
      </c>
      <c r="L181" s="81">
        <v>943.01</v>
      </c>
      <c r="M181" s="92">
        <f>D181-K181</f>
        <v>943.01</v>
      </c>
    </row>
    <row r="182" spans="1:13" hidden="1">
      <c r="A182" s="63">
        <v>178</v>
      </c>
      <c r="B182" s="63" t="s">
        <v>243</v>
      </c>
      <c r="C182" s="63" t="s">
        <v>313</v>
      </c>
      <c r="D182" s="93"/>
      <c r="E182" s="66">
        <v>0</v>
      </c>
      <c r="F182" s="66">
        <v>0</v>
      </c>
      <c r="G182" s="66">
        <v>0</v>
      </c>
      <c r="H182" s="66">
        <v>0</v>
      </c>
      <c r="I182" s="66">
        <v>0</v>
      </c>
      <c r="J182" s="66">
        <f t="shared" si="2"/>
        <v>0</v>
      </c>
      <c r="K182" s="93"/>
      <c r="L182" s="82">
        <v>943.01</v>
      </c>
      <c r="M182" s="93"/>
    </row>
    <row r="183" spans="1:13" hidden="1">
      <c r="A183" s="63">
        <v>179</v>
      </c>
      <c r="B183" s="63" t="s">
        <v>244</v>
      </c>
      <c r="C183" s="63" t="s">
        <v>313</v>
      </c>
      <c r="D183" s="93"/>
      <c r="E183" s="66">
        <v>0</v>
      </c>
      <c r="F183" s="66">
        <v>0</v>
      </c>
      <c r="G183" s="66">
        <v>0</v>
      </c>
      <c r="H183" s="66">
        <v>0</v>
      </c>
      <c r="I183" s="66">
        <v>0</v>
      </c>
      <c r="J183" s="66">
        <f t="shared" si="2"/>
        <v>0</v>
      </c>
      <c r="K183" s="93"/>
      <c r="L183" s="82">
        <v>943.01</v>
      </c>
      <c r="M183" s="93"/>
    </row>
    <row r="184" spans="1:13" hidden="1">
      <c r="A184" s="63">
        <v>180</v>
      </c>
      <c r="B184" s="63" t="s">
        <v>245</v>
      </c>
      <c r="C184" s="63" t="s">
        <v>313</v>
      </c>
      <c r="D184" s="94"/>
      <c r="E184" s="66">
        <v>0</v>
      </c>
      <c r="F184" s="66">
        <v>0</v>
      </c>
      <c r="G184" s="66">
        <v>0</v>
      </c>
      <c r="H184" s="66">
        <v>0</v>
      </c>
      <c r="I184" s="66">
        <v>0</v>
      </c>
      <c r="J184" s="66">
        <f t="shared" si="2"/>
        <v>0</v>
      </c>
      <c r="K184" s="94"/>
      <c r="L184" s="83">
        <v>943.01</v>
      </c>
      <c r="M184" s="94"/>
    </row>
    <row r="185" spans="1:13" hidden="1">
      <c r="A185" s="63">
        <v>181</v>
      </c>
      <c r="B185" s="63" t="s">
        <v>120</v>
      </c>
      <c r="C185" s="63" t="s">
        <v>314</v>
      </c>
      <c r="D185" s="92">
        <v>5256.43</v>
      </c>
      <c r="E185" s="65">
        <v>0</v>
      </c>
      <c r="F185" s="65">
        <v>0</v>
      </c>
      <c r="G185" s="65">
        <v>0</v>
      </c>
      <c r="H185" s="65">
        <v>0</v>
      </c>
      <c r="I185" s="65">
        <v>0</v>
      </c>
      <c r="J185" s="65">
        <f t="shared" si="2"/>
        <v>0</v>
      </c>
      <c r="K185" s="95">
        <f>SUM(J185:J188)</f>
        <v>0</v>
      </c>
      <c r="L185" s="84">
        <v>5256.43</v>
      </c>
      <c r="M185" s="95">
        <f>D185-K185</f>
        <v>5256.43</v>
      </c>
    </row>
    <row r="186" spans="1:13" hidden="1">
      <c r="A186" s="63">
        <v>182</v>
      </c>
      <c r="B186" s="63" t="s">
        <v>246</v>
      </c>
      <c r="C186" s="63" t="s">
        <v>314</v>
      </c>
      <c r="D186" s="93"/>
      <c r="E186" s="65">
        <v>0</v>
      </c>
      <c r="F186" s="65">
        <v>0</v>
      </c>
      <c r="G186" s="65">
        <v>0</v>
      </c>
      <c r="H186" s="65">
        <v>0</v>
      </c>
      <c r="I186" s="65">
        <v>0</v>
      </c>
      <c r="J186" s="65">
        <f t="shared" si="2"/>
        <v>0</v>
      </c>
      <c r="K186" s="96"/>
      <c r="L186" s="85">
        <v>5256.43</v>
      </c>
      <c r="M186" s="96"/>
    </row>
    <row r="187" spans="1:13" hidden="1">
      <c r="A187" s="63">
        <v>183</v>
      </c>
      <c r="B187" s="63" t="s">
        <v>247</v>
      </c>
      <c r="C187" s="63" t="s">
        <v>314</v>
      </c>
      <c r="D187" s="93"/>
      <c r="E187" s="65">
        <v>0</v>
      </c>
      <c r="F187" s="65">
        <v>0</v>
      </c>
      <c r="G187" s="65">
        <v>0</v>
      </c>
      <c r="H187" s="65">
        <v>0</v>
      </c>
      <c r="I187" s="65">
        <v>0</v>
      </c>
      <c r="J187" s="65">
        <f t="shared" si="2"/>
        <v>0</v>
      </c>
      <c r="K187" s="96"/>
      <c r="L187" s="85">
        <v>5256.43</v>
      </c>
      <c r="M187" s="96"/>
    </row>
    <row r="188" spans="1:13" hidden="1">
      <c r="A188" s="63">
        <v>184</v>
      </c>
      <c r="B188" s="63" t="s">
        <v>248</v>
      </c>
      <c r="C188" s="63" t="s">
        <v>314</v>
      </c>
      <c r="D188" s="94"/>
      <c r="E188" s="65">
        <v>0</v>
      </c>
      <c r="F188" s="65">
        <v>0</v>
      </c>
      <c r="G188" s="65">
        <v>0</v>
      </c>
      <c r="H188" s="65">
        <v>0</v>
      </c>
      <c r="I188" s="65">
        <v>0</v>
      </c>
      <c r="J188" s="65">
        <f t="shared" si="2"/>
        <v>0</v>
      </c>
      <c r="K188" s="97"/>
      <c r="L188" s="86">
        <v>5256.43</v>
      </c>
      <c r="M188" s="97"/>
    </row>
    <row r="189" spans="1:13" hidden="1">
      <c r="A189" s="63">
        <v>185</v>
      </c>
      <c r="B189" s="63" t="s">
        <v>123</v>
      </c>
      <c r="C189" s="63" t="s">
        <v>315</v>
      </c>
      <c r="D189" s="92">
        <v>5000</v>
      </c>
      <c r="E189" s="66">
        <v>0</v>
      </c>
      <c r="F189" s="66">
        <v>0</v>
      </c>
      <c r="G189" s="66">
        <v>0</v>
      </c>
      <c r="H189" s="66">
        <v>0</v>
      </c>
      <c r="I189" s="66">
        <v>0</v>
      </c>
      <c r="J189" s="66">
        <f t="shared" si="2"/>
        <v>0</v>
      </c>
      <c r="K189" s="92">
        <f>SUM(J189:J192)</f>
        <v>0</v>
      </c>
      <c r="L189" s="81">
        <v>5000</v>
      </c>
      <c r="M189" s="92">
        <f>D189-K189</f>
        <v>5000</v>
      </c>
    </row>
    <row r="190" spans="1:13" hidden="1">
      <c r="A190" s="63">
        <v>186</v>
      </c>
      <c r="B190" s="63" t="s">
        <v>249</v>
      </c>
      <c r="C190" s="63" t="s">
        <v>315</v>
      </c>
      <c r="D190" s="93"/>
      <c r="E190" s="66">
        <v>0</v>
      </c>
      <c r="F190" s="66">
        <v>0</v>
      </c>
      <c r="G190" s="66">
        <v>0</v>
      </c>
      <c r="H190" s="66">
        <v>0</v>
      </c>
      <c r="I190" s="66">
        <v>0</v>
      </c>
      <c r="J190" s="66">
        <f t="shared" si="2"/>
        <v>0</v>
      </c>
      <c r="K190" s="93"/>
      <c r="L190" s="82">
        <v>5000</v>
      </c>
      <c r="M190" s="93"/>
    </row>
    <row r="191" spans="1:13" hidden="1">
      <c r="A191" s="63">
        <v>187</v>
      </c>
      <c r="B191" s="63" t="s">
        <v>250</v>
      </c>
      <c r="C191" s="63" t="s">
        <v>315</v>
      </c>
      <c r="D191" s="93"/>
      <c r="E191" s="66">
        <v>0</v>
      </c>
      <c r="F191" s="66">
        <v>0</v>
      </c>
      <c r="G191" s="66">
        <v>0</v>
      </c>
      <c r="H191" s="66">
        <v>0</v>
      </c>
      <c r="I191" s="66">
        <v>0</v>
      </c>
      <c r="J191" s="66">
        <f t="shared" si="2"/>
        <v>0</v>
      </c>
      <c r="K191" s="93"/>
      <c r="L191" s="82">
        <v>5000</v>
      </c>
      <c r="M191" s="93"/>
    </row>
    <row r="192" spans="1:13" hidden="1">
      <c r="A192" s="63">
        <v>188</v>
      </c>
      <c r="B192" s="63" t="s">
        <v>251</v>
      </c>
      <c r="C192" s="63" t="s">
        <v>315</v>
      </c>
      <c r="D192" s="94"/>
      <c r="E192" s="66">
        <v>0</v>
      </c>
      <c r="F192" s="66">
        <v>0</v>
      </c>
      <c r="G192" s="66">
        <v>0</v>
      </c>
      <c r="H192" s="66">
        <v>0</v>
      </c>
      <c r="I192" s="66">
        <v>0</v>
      </c>
      <c r="J192" s="66">
        <f t="shared" si="2"/>
        <v>0</v>
      </c>
      <c r="K192" s="94"/>
      <c r="L192" s="83">
        <v>5000</v>
      </c>
      <c r="M192" s="94"/>
    </row>
    <row r="193" spans="1:13" hidden="1">
      <c r="A193" s="63">
        <v>189</v>
      </c>
      <c r="B193" s="63" t="s">
        <v>126</v>
      </c>
      <c r="C193" s="63" t="s">
        <v>252</v>
      </c>
      <c r="D193" s="92">
        <v>27000</v>
      </c>
      <c r="E193" s="65">
        <v>0</v>
      </c>
      <c r="F193" s="65">
        <v>0</v>
      </c>
      <c r="G193" s="65">
        <v>0</v>
      </c>
      <c r="H193" s="65">
        <v>0</v>
      </c>
      <c r="I193" s="65">
        <v>0</v>
      </c>
      <c r="J193" s="65">
        <f t="shared" si="2"/>
        <v>0</v>
      </c>
      <c r="K193" s="95">
        <f>SUM(J193:J196)</f>
        <v>2</v>
      </c>
      <c r="L193" s="84">
        <v>26998</v>
      </c>
      <c r="M193" s="95">
        <f>D193-K193</f>
        <v>26998</v>
      </c>
    </row>
    <row r="194" spans="1:13" hidden="1">
      <c r="A194" s="63">
        <v>190</v>
      </c>
      <c r="B194" s="63" t="s">
        <v>253</v>
      </c>
      <c r="C194" s="63" t="s">
        <v>252</v>
      </c>
      <c r="D194" s="93"/>
      <c r="E194" s="65">
        <v>0</v>
      </c>
      <c r="F194" s="65">
        <v>2</v>
      </c>
      <c r="G194" s="65">
        <v>0</v>
      </c>
      <c r="H194" s="65">
        <v>0</v>
      </c>
      <c r="I194" s="65">
        <v>0</v>
      </c>
      <c r="J194" s="65">
        <f t="shared" si="2"/>
        <v>2</v>
      </c>
      <c r="K194" s="96"/>
      <c r="L194" s="85">
        <v>26998</v>
      </c>
      <c r="M194" s="96"/>
    </row>
    <row r="195" spans="1:13" hidden="1">
      <c r="A195" s="63">
        <v>191</v>
      </c>
      <c r="B195" s="63" t="s">
        <v>254</v>
      </c>
      <c r="C195" s="63" t="s">
        <v>252</v>
      </c>
      <c r="D195" s="93"/>
      <c r="E195" s="65">
        <v>0</v>
      </c>
      <c r="F195" s="65">
        <v>0</v>
      </c>
      <c r="G195" s="65">
        <v>0</v>
      </c>
      <c r="H195" s="65">
        <v>0</v>
      </c>
      <c r="I195" s="65">
        <v>0</v>
      </c>
      <c r="J195" s="65">
        <f t="shared" si="2"/>
        <v>0</v>
      </c>
      <c r="K195" s="96"/>
      <c r="L195" s="85">
        <v>26998</v>
      </c>
      <c r="M195" s="96"/>
    </row>
    <row r="196" spans="1:13" hidden="1">
      <c r="A196" s="63">
        <v>192</v>
      </c>
      <c r="B196" s="63" t="s">
        <v>255</v>
      </c>
      <c r="C196" s="63" t="s">
        <v>252</v>
      </c>
      <c r="D196" s="94"/>
      <c r="E196" s="65">
        <v>0</v>
      </c>
      <c r="F196" s="65">
        <v>0</v>
      </c>
      <c r="G196" s="65">
        <v>0</v>
      </c>
      <c r="H196" s="65">
        <v>0</v>
      </c>
      <c r="I196" s="65">
        <v>0</v>
      </c>
      <c r="J196" s="65">
        <f t="shared" si="2"/>
        <v>0</v>
      </c>
      <c r="K196" s="97"/>
      <c r="L196" s="86">
        <v>26998</v>
      </c>
      <c r="M196" s="97"/>
    </row>
    <row r="197" spans="1:13" hidden="1">
      <c r="A197" s="63">
        <v>193</v>
      </c>
      <c r="B197" s="63" t="s">
        <v>129</v>
      </c>
      <c r="C197" s="63" t="s">
        <v>316</v>
      </c>
      <c r="D197" s="92">
        <v>3000</v>
      </c>
      <c r="E197" s="66">
        <v>0</v>
      </c>
      <c r="F197" s="66">
        <v>0</v>
      </c>
      <c r="G197" s="66">
        <v>0</v>
      </c>
      <c r="H197" s="66">
        <v>0</v>
      </c>
      <c r="I197" s="66">
        <v>0</v>
      </c>
      <c r="J197" s="66">
        <f t="shared" ref="J197:J204" si="3">SUM(E197:I197)</f>
        <v>0</v>
      </c>
      <c r="K197" s="92">
        <f>SUM(J197:J200)</f>
        <v>0</v>
      </c>
      <c r="L197" s="81">
        <v>3000</v>
      </c>
      <c r="M197" s="92">
        <f>D197-K197</f>
        <v>3000</v>
      </c>
    </row>
    <row r="198" spans="1:13" hidden="1">
      <c r="A198" s="63">
        <v>194</v>
      </c>
      <c r="B198" s="63" t="s">
        <v>256</v>
      </c>
      <c r="C198" s="63" t="s">
        <v>316</v>
      </c>
      <c r="D198" s="93"/>
      <c r="E198" s="66">
        <v>0</v>
      </c>
      <c r="F198" s="66">
        <v>0</v>
      </c>
      <c r="G198" s="66">
        <v>0</v>
      </c>
      <c r="H198" s="66">
        <v>0</v>
      </c>
      <c r="I198" s="66">
        <v>0</v>
      </c>
      <c r="J198" s="66">
        <f t="shared" si="3"/>
        <v>0</v>
      </c>
      <c r="K198" s="93"/>
      <c r="L198" s="82">
        <v>3000</v>
      </c>
      <c r="M198" s="93"/>
    </row>
    <row r="199" spans="1:13" hidden="1">
      <c r="A199" s="63">
        <v>195</v>
      </c>
      <c r="B199" s="63" t="s">
        <v>257</v>
      </c>
      <c r="C199" s="63" t="s">
        <v>316</v>
      </c>
      <c r="D199" s="93"/>
      <c r="E199" s="66">
        <v>0</v>
      </c>
      <c r="F199" s="66">
        <v>0</v>
      </c>
      <c r="G199" s="66">
        <v>0</v>
      </c>
      <c r="H199" s="66">
        <v>0</v>
      </c>
      <c r="I199" s="66">
        <v>0</v>
      </c>
      <c r="J199" s="66">
        <f t="shared" si="3"/>
        <v>0</v>
      </c>
      <c r="K199" s="93"/>
      <c r="L199" s="82">
        <v>3000</v>
      </c>
      <c r="M199" s="93"/>
    </row>
    <row r="200" spans="1:13" hidden="1">
      <c r="A200" s="63">
        <v>196</v>
      </c>
      <c r="B200" s="63" t="s">
        <v>258</v>
      </c>
      <c r="C200" s="63" t="s">
        <v>316</v>
      </c>
      <c r="D200" s="94"/>
      <c r="E200" s="66">
        <v>0</v>
      </c>
      <c r="F200" s="66">
        <v>0</v>
      </c>
      <c r="G200" s="66">
        <v>0</v>
      </c>
      <c r="H200" s="66">
        <v>0</v>
      </c>
      <c r="I200" s="66">
        <v>0</v>
      </c>
      <c r="J200" s="66">
        <f t="shared" si="3"/>
        <v>0</v>
      </c>
      <c r="K200" s="94"/>
      <c r="L200" s="83">
        <v>3000</v>
      </c>
      <c r="M200" s="94"/>
    </row>
    <row r="201" spans="1:13" hidden="1">
      <c r="A201" s="63">
        <v>197</v>
      </c>
      <c r="B201" s="63" t="s">
        <v>132</v>
      </c>
      <c r="C201" s="63" t="s">
        <v>279</v>
      </c>
      <c r="D201" s="92">
        <v>3000</v>
      </c>
      <c r="E201" s="65">
        <v>0</v>
      </c>
      <c r="F201" s="65">
        <v>0</v>
      </c>
      <c r="G201" s="65">
        <v>0</v>
      </c>
      <c r="H201" s="65">
        <v>0</v>
      </c>
      <c r="I201" s="65">
        <v>0</v>
      </c>
      <c r="J201" s="65">
        <f t="shared" si="3"/>
        <v>0</v>
      </c>
      <c r="K201" s="95">
        <f>SUM(J201:J204)</f>
        <v>0</v>
      </c>
      <c r="L201" s="84">
        <v>3000</v>
      </c>
      <c r="M201" s="95">
        <f>D201-K201</f>
        <v>3000</v>
      </c>
    </row>
    <row r="202" spans="1:13" hidden="1">
      <c r="A202" s="63">
        <v>198</v>
      </c>
      <c r="B202" s="63" t="s">
        <v>259</v>
      </c>
      <c r="C202" s="63" t="s">
        <v>279</v>
      </c>
      <c r="D202" s="93"/>
      <c r="E202" s="65">
        <v>0</v>
      </c>
      <c r="F202" s="65">
        <v>0</v>
      </c>
      <c r="G202" s="65">
        <v>0</v>
      </c>
      <c r="H202" s="65">
        <v>0</v>
      </c>
      <c r="I202" s="65">
        <v>0</v>
      </c>
      <c r="J202" s="65">
        <f t="shared" si="3"/>
        <v>0</v>
      </c>
      <c r="K202" s="96"/>
      <c r="L202" s="85">
        <v>3000</v>
      </c>
      <c r="M202" s="96"/>
    </row>
    <row r="203" spans="1:13" hidden="1">
      <c r="A203" s="63">
        <v>199</v>
      </c>
      <c r="B203" s="63" t="s">
        <v>260</v>
      </c>
      <c r="C203" s="63" t="s">
        <v>279</v>
      </c>
      <c r="D203" s="93"/>
      <c r="E203" s="65">
        <v>0</v>
      </c>
      <c r="F203" s="65">
        <v>0</v>
      </c>
      <c r="G203" s="65">
        <v>0</v>
      </c>
      <c r="H203" s="65">
        <v>0</v>
      </c>
      <c r="I203" s="65">
        <v>0</v>
      </c>
      <c r="J203" s="65">
        <f t="shared" si="3"/>
        <v>0</v>
      </c>
      <c r="K203" s="96"/>
      <c r="L203" s="85">
        <v>3000</v>
      </c>
      <c r="M203" s="96"/>
    </row>
    <row r="204" spans="1:13" hidden="1">
      <c r="A204" s="63">
        <v>200</v>
      </c>
      <c r="B204" s="63" t="s">
        <v>261</v>
      </c>
      <c r="C204" s="63" t="s">
        <v>279</v>
      </c>
      <c r="D204" s="94"/>
      <c r="E204" s="65">
        <v>0</v>
      </c>
      <c r="F204" s="65">
        <v>0</v>
      </c>
      <c r="G204" s="65">
        <v>0</v>
      </c>
      <c r="H204" s="65">
        <v>0</v>
      </c>
      <c r="I204" s="65">
        <v>0</v>
      </c>
      <c r="J204" s="65">
        <f t="shared" si="3"/>
        <v>0</v>
      </c>
      <c r="K204" s="97"/>
      <c r="L204" s="86">
        <v>3000</v>
      </c>
      <c r="M204" s="97"/>
    </row>
    <row r="205" spans="1:13" s="68" customFormat="1" ht="15" hidden="1">
      <c r="A205" s="91" t="s">
        <v>527</v>
      </c>
      <c r="B205" s="91"/>
      <c r="C205" s="91"/>
      <c r="D205" s="67">
        <f t="shared" ref="D205:K205" si="4">SUM(D5:D204)</f>
        <v>836344.41399999976</v>
      </c>
      <c r="E205" s="67">
        <f t="shared" si="4"/>
        <v>12803</v>
      </c>
      <c r="F205" s="67">
        <f t="shared" si="4"/>
        <v>2603</v>
      </c>
      <c r="G205" s="67">
        <f t="shared" si="4"/>
        <v>0</v>
      </c>
      <c r="H205" s="67">
        <f t="shared" si="4"/>
        <v>0</v>
      </c>
      <c r="I205" s="67">
        <f t="shared" si="4"/>
        <v>2628</v>
      </c>
      <c r="J205" s="67">
        <f t="shared" si="4"/>
        <v>18034</v>
      </c>
      <c r="K205" s="67">
        <f t="shared" si="4"/>
        <v>18034</v>
      </c>
      <c r="L205" s="67"/>
      <c r="M205" s="67">
        <f>D205-(SUM(E205:I205))</f>
        <v>818310.41399999976</v>
      </c>
    </row>
    <row r="207" spans="1:13">
      <c r="B207" s="69">
        <v>1201</v>
      </c>
      <c r="C207" s="70"/>
      <c r="D207" s="70"/>
      <c r="E207" s="71">
        <f t="shared" ref="E207:J210" si="5">E5+E9+E13+E17+E21+E25+E29+E33+E37+E41+E45+E49+E53+E57+E61+E65+E69+E73+E77+E81+E85+E89+E93+E97+E101+E105+E109+E113+E117+E121+E125+E129+E133+E137+E141+E145+E149+E153+E157+E161+E165+E169+E173+E177+E181+E185+E189+E193+E197+E201</f>
        <v>9527</v>
      </c>
      <c r="F207" s="71">
        <f t="shared" si="5"/>
        <v>1902</v>
      </c>
      <c r="G207" s="71">
        <f t="shared" si="5"/>
        <v>0</v>
      </c>
      <c r="H207" s="71">
        <f t="shared" si="5"/>
        <v>0</v>
      </c>
      <c r="I207" s="71">
        <f t="shared" si="5"/>
        <v>2551</v>
      </c>
      <c r="J207" s="72">
        <f t="shared" si="5"/>
        <v>13980</v>
      </c>
    </row>
    <row r="208" spans="1:13">
      <c r="B208" s="73">
        <v>1204</v>
      </c>
      <c r="E208" s="74">
        <f t="shared" si="5"/>
        <v>2688</v>
      </c>
      <c r="F208" s="74">
        <f t="shared" si="5"/>
        <v>549</v>
      </c>
      <c r="G208" s="74">
        <f t="shared" si="5"/>
        <v>0</v>
      </c>
      <c r="H208" s="74">
        <f t="shared" si="5"/>
        <v>0</v>
      </c>
      <c r="I208" s="74">
        <f t="shared" si="5"/>
        <v>0</v>
      </c>
      <c r="J208" s="75">
        <f t="shared" si="5"/>
        <v>3237</v>
      </c>
    </row>
    <row r="209" spans="2:10">
      <c r="B209" s="73">
        <v>1205</v>
      </c>
      <c r="E209" s="74">
        <f t="shared" si="5"/>
        <v>588</v>
      </c>
      <c r="F209" s="74">
        <f t="shared" si="5"/>
        <v>152</v>
      </c>
      <c r="G209" s="74">
        <f t="shared" si="5"/>
        <v>0</v>
      </c>
      <c r="H209" s="74">
        <f t="shared" si="5"/>
        <v>0</v>
      </c>
      <c r="I209" s="74">
        <f t="shared" si="5"/>
        <v>77</v>
      </c>
      <c r="J209" s="75">
        <f t="shared" si="5"/>
        <v>817</v>
      </c>
    </row>
    <row r="210" spans="2:10">
      <c r="B210" s="73">
        <v>1206</v>
      </c>
      <c r="E210" s="74">
        <f t="shared" si="5"/>
        <v>0</v>
      </c>
      <c r="F210" s="74">
        <f t="shared" si="5"/>
        <v>0</v>
      </c>
      <c r="G210" s="74">
        <f t="shared" si="5"/>
        <v>0</v>
      </c>
      <c r="H210" s="74">
        <f t="shared" si="5"/>
        <v>0</v>
      </c>
      <c r="I210" s="74">
        <f t="shared" si="5"/>
        <v>0</v>
      </c>
      <c r="J210" s="75">
        <f t="shared" si="5"/>
        <v>0</v>
      </c>
    </row>
    <row r="211" spans="2:10">
      <c r="B211" s="76"/>
      <c r="C211" s="77"/>
      <c r="D211" s="77"/>
      <c r="E211" s="78">
        <f t="shared" ref="E211:J211" si="6">SUM(E207:E210)</f>
        <v>12803</v>
      </c>
      <c r="F211" s="78">
        <f t="shared" si="6"/>
        <v>2603</v>
      </c>
      <c r="G211" s="78">
        <f t="shared" si="6"/>
        <v>0</v>
      </c>
      <c r="H211" s="78">
        <f t="shared" si="6"/>
        <v>0</v>
      </c>
      <c r="I211" s="78">
        <f t="shared" si="6"/>
        <v>2628</v>
      </c>
      <c r="J211" s="79">
        <f t="shared" si="6"/>
        <v>18034</v>
      </c>
    </row>
  </sheetData>
  <autoFilter ref="A4:M205" xr:uid="{4AD7899E-7E37-4919-8694-988BF865E663}">
    <filterColumn colId="11">
      <customFilters>
        <customFilter operator="lessThan" val="0"/>
      </customFilters>
    </filterColumn>
  </autoFilter>
  <mergeCells count="132">
    <mergeCell ref="D201:D204"/>
    <mergeCell ref="K201:K204"/>
    <mergeCell ref="M201:M204"/>
    <mergeCell ref="A205:C205"/>
    <mergeCell ref="A1:M1"/>
    <mergeCell ref="D193:D196"/>
    <mergeCell ref="K193:K196"/>
    <mergeCell ref="M193:M196"/>
    <mergeCell ref="D197:D200"/>
    <mergeCell ref="K197:K200"/>
    <mergeCell ref="M197:M200"/>
    <mergeCell ref="D185:D188"/>
    <mergeCell ref="K185:K188"/>
    <mergeCell ref="M185:M188"/>
    <mergeCell ref="D189:D192"/>
    <mergeCell ref="K189:K192"/>
    <mergeCell ref="M189:M192"/>
    <mergeCell ref="D177:D180"/>
    <mergeCell ref="K177:K180"/>
    <mergeCell ref="M177:M180"/>
    <mergeCell ref="D181:D184"/>
    <mergeCell ref="K181:K184"/>
    <mergeCell ref="M181:M184"/>
    <mergeCell ref="D169:D172"/>
    <mergeCell ref="K169:K172"/>
    <mergeCell ref="M169:M172"/>
    <mergeCell ref="D173:D176"/>
    <mergeCell ref="K173:K176"/>
    <mergeCell ref="M173:M176"/>
    <mergeCell ref="D161:D164"/>
    <mergeCell ref="K161:K164"/>
    <mergeCell ref="M161:M164"/>
    <mergeCell ref="D165:D168"/>
    <mergeCell ref="K165:K168"/>
    <mergeCell ref="M165:M168"/>
    <mergeCell ref="D153:D156"/>
    <mergeCell ref="K153:K156"/>
    <mergeCell ref="M153:M156"/>
    <mergeCell ref="D157:D160"/>
    <mergeCell ref="K157:K160"/>
    <mergeCell ref="M157:M160"/>
    <mergeCell ref="D137:D148"/>
    <mergeCell ref="K137:K148"/>
    <mergeCell ref="M137:M148"/>
    <mergeCell ref="D149:D152"/>
    <mergeCell ref="K149:K152"/>
    <mergeCell ref="M149:M152"/>
    <mergeCell ref="D129:D132"/>
    <mergeCell ref="K129:K132"/>
    <mergeCell ref="M129:M132"/>
    <mergeCell ref="D133:D136"/>
    <mergeCell ref="K133:K136"/>
    <mergeCell ref="M133:M136"/>
    <mergeCell ref="D121:D124"/>
    <mergeCell ref="K121:K124"/>
    <mergeCell ref="M121:M124"/>
    <mergeCell ref="D125:D128"/>
    <mergeCell ref="K125:K128"/>
    <mergeCell ref="M125:M128"/>
    <mergeCell ref="D113:D116"/>
    <mergeCell ref="K113:K116"/>
    <mergeCell ref="M113:M116"/>
    <mergeCell ref="D117:D120"/>
    <mergeCell ref="K117:K120"/>
    <mergeCell ref="M117:M120"/>
    <mergeCell ref="D105:D108"/>
    <mergeCell ref="K105:K108"/>
    <mergeCell ref="M105:M108"/>
    <mergeCell ref="D109:D112"/>
    <mergeCell ref="K109:K112"/>
    <mergeCell ref="M109:M112"/>
    <mergeCell ref="D97:D100"/>
    <mergeCell ref="K97:K100"/>
    <mergeCell ref="M97:M100"/>
    <mergeCell ref="D101:D104"/>
    <mergeCell ref="K101:K104"/>
    <mergeCell ref="M101:M104"/>
    <mergeCell ref="D89:D92"/>
    <mergeCell ref="K89:K92"/>
    <mergeCell ref="M89:M92"/>
    <mergeCell ref="D93:D96"/>
    <mergeCell ref="K93:K96"/>
    <mergeCell ref="M93:M96"/>
    <mergeCell ref="D81:D84"/>
    <mergeCell ref="K81:K84"/>
    <mergeCell ref="M81:M84"/>
    <mergeCell ref="D85:D88"/>
    <mergeCell ref="K85:K88"/>
    <mergeCell ref="M85:M88"/>
    <mergeCell ref="D73:D76"/>
    <mergeCell ref="K73:K76"/>
    <mergeCell ref="M73:M76"/>
    <mergeCell ref="D77:D80"/>
    <mergeCell ref="K77:K80"/>
    <mergeCell ref="M77:M80"/>
    <mergeCell ref="D65:D68"/>
    <mergeCell ref="K65:K68"/>
    <mergeCell ref="M65:M68"/>
    <mergeCell ref="D69:D72"/>
    <mergeCell ref="K69:K72"/>
    <mergeCell ref="M69:M72"/>
    <mergeCell ref="D33:D36"/>
    <mergeCell ref="K33:K36"/>
    <mergeCell ref="M33:M36"/>
    <mergeCell ref="D37:D64"/>
    <mergeCell ref="K37:K64"/>
    <mergeCell ref="M37:M64"/>
    <mergeCell ref="D21:D28"/>
    <mergeCell ref="K21:K28"/>
    <mergeCell ref="M21:M28"/>
    <mergeCell ref="D29:D32"/>
    <mergeCell ref="K29:K32"/>
    <mergeCell ref="M29:M32"/>
    <mergeCell ref="D13:D16"/>
    <mergeCell ref="K13:K16"/>
    <mergeCell ref="M13:M16"/>
    <mergeCell ref="D17:D20"/>
    <mergeCell ref="K17:K20"/>
    <mergeCell ref="M17:M20"/>
    <mergeCell ref="D5:D8"/>
    <mergeCell ref="K5:K8"/>
    <mergeCell ref="M5:M8"/>
    <mergeCell ref="D9:D12"/>
    <mergeCell ref="K9:K12"/>
    <mergeCell ref="M9:M12"/>
    <mergeCell ref="A2:A3"/>
    <mergeCell ref="B2:B3"/>
    <mergeCell ref="C2:C3"/>
    <mergeCell ref="D2:D3"/>
    <mergeCell ref="E2:J2"/>
    <mergeCell ref="K2:K3"/>
    <mergeCell ref="M2:M3"/>
  </mergeCells>
  <conditionalFormatting sqref="M5:M205">
    <cfRule type="cellIs" dxfId="0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PETUNJUK</vt:lpstr>
      <vt:lpstr>Sheet1</vt:lpstr>
      <vt:lpstr>BREAKDOWN</vt:lpstr>
      <vt:lpstr>FILE JDE</vt:lpstr>
      <vt:lpstr>TABEL</vt:lpstr>
      <vt:lpstr>RESUME OVER BUDGET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Aldi Prasetyo hari</dc:creator>
  <cp:lastModifiedBy>user</cp:lastModifiedBy>
  <dcterms:created xsi:type="dcterms:W3CDTF">2022-08-31T02:37:20Z</dcterms:created>
  <dcterms:modified xsi:type="dcterms:W3CDTF">2024-02-07T07:29:24Z</dcterms:modified>
</cp:coreProperties>
</file>