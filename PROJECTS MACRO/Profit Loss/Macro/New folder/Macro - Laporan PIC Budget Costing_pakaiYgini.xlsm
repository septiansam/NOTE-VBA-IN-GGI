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New folder\"/>
    </mc:Choice>
  </mc:AlternateContent>
  <xr:revisionPtr revIDLastSave="0" documentId="8_{5E21FF3A-A5E0-48FA-98AE-667A6BDBC80E}" xr6:coauthVersionLast="47" xr6:coauthVersionMax="47" xr10:uidLastSave="{00000000-0000-0000-0000-000000000000}"/>
  <bookViews>
    <workbookView xWindow="-120" yWindow="-120" windowWidth="20640" windowHeight="11160" activeTab="4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Costing'!$A$5:$Q$168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0" i="1" l="1"/>
  <c r="P60" i="1" s="1"/>
  <c r="K60" i="1"/>
  <c r="L60" i="1"/>
  <c r="I59" i="1"/>
  <c r="P59" i="1" s="1"/>
  <c r="K59" i="1"/>
  <c r="L59" i="1"/>
  <c r="I58" i="1"/>
  <c r="P58" i="1" s="1"/>
  <c r="K58" i="1"/>
  <c r="L58" i="1"/>
  <c r="I57" i="1"/>
  <c r="P57" i="1" s="1"/>
  <c r="K57" i="1"/>
  <c r="L57" i="1"/>
  <c r="I19" i="1"/>
  <c r="P19" i="1" s="1"/>
  <c r="K19" i="1"/>
  <c r="L19" i="1"/>
  <c r="L24" i="107" l="1"/>
  <c r="L36" i="107"/>
  <c r="L35" i="107"/>
  <c r="L34" i="107"/>
  <c r="L33" i="107"/>
  <c r="M33" i="107" s="1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30" i="107"/>
  <c r="H9" i="108"/>
  <c r="H8" i="108" l="1"/>
  <c r="H7" i="108"/>
  <c r="I7" i="1"/>
  <c r="I8" i="1"/>
  <c r="I9" i="1"/>
  <c r="I39" i="1"/>
  <c r="I40" i="1"/>
  <c r="I41" i="1"/>
  <c r="I10" i="1"/>
  <c r="I11" i="1"/>
  <c r="I12" i="1"/>
  <c r="I13" i="1"/>
  <c r="I14" i="1"/>
  <c r="I15" i="1"/>
  <c r="I16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43" i="1"/>
  <c r="I44" i="1"/>
  <c r="I45" i="1"/>
  <c r="I46" i="1"/>
  <c r="I47" i="1"/>
  <c r="I48" i="1"/>
  <c r="I49" i="1"/>
  <c r="I50" i="1"/>
  <c r="I51" i="1"/>
  <c r="I17" i="1"/>
  <c r="I18" i="1"/>
  <c r="I52" i="1"/>
  <c r="I53" i="1"/>
  <c r="I54" i="1"/>
  <c r="I55" i="1"/>
  <c r="I56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00" i="1"/>
  <c r="I101" i="1"/>
  <c r="I102" i="1"/>
  <c r="I103" i="1"/>
  <c r="I104" i="1"/>
  <c r="I105" i="1"/>
  <c r="I106" i="1"/>
  <c r="I107" i="1"/>
  <c r="I108" i="1"/>
  <c r="I109" i="1"/>
  <c r="H10" i="108" l="1"/>
  <c r="P7" i="1"/>
  <c r="P8" i="1"/>
  <c r="P9" i="1"/>
  <c r="P39" i="1"/>
  <c r="P40" i="1"/>
  <c r="P41" i="1"/>
  <c r="P10" i="1"/>
  <c r="P11" i="1"/>
  <c r="P12" i="1"/>
  <c r="P13" i="1"/>
  <c r="P14" i="1"/>
  <c r="P15" i="1"/>
  <c r="P16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43" i="1"/>
  <c r="P44" i="1"/>
  <c r="P45" i="1"/>
  <c r="P46" i="1"/>
  <c r="P47" i="1"/>
  <c r="P48" i="1"/>
  <c r="P49" i="1"/>
  <c r="P50" i="1"/>
  <c r="P51" i="1"/>
  <c r="P17" i="1"/>
  <c r="P18" i="1"/>
  <c r="P52" i="1"/>
  <c r="P53" i="1"/>
  <c r="P54" i="1"/>
  <c r="P55" i="1"/>
  <c r="P56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00" i="1"/>
  <c r="P101" i="1"/>
  <c r="P102" i="1"/>
  <c r="P103" i="1"/>
  <c r="P104" i="1"/>
  <c r="P105" i="1"/>
  <c r="P106" i="1"/>
  <c r="P107" i="1"/>
  <c r="P108" i="1"/>
  <c r="P109" i="1"/>
  <c r="I6" i="1"/>
  <c r="A1" i="133" l="1"/>
  <c r="A3" i="1" l="1"/>
  <c r="A3" i="133" s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39" i="1"/>
  <c r="L40" i="1"/>
  <c r="L41" i="1"/>
  <c r="L10" i="1"/>
  <c r="L11" i="1"/>
  <c r="L12" i="1"/>
  <c r="L13" i="1"/>
  <c r="L14" i="1"/>
  <c r="L15" i="1"/>
  <c r="L16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43" i="1"/>
  <c r="M43" i="1" s="1"/>
  <c r="L44" i="1"/>
  <c r="L45" i="1"/>
  <c r="L46" i="1"/>
  <c r="L47" i="1"/>
  <c r="L48" i="1"/>
  <c r="L49" i="1"/>
  <c r="L50" i="1"/>
  <c r="L51" i="1"/>
  <c r="L17" i="1"/>
  <c r="L18" i="1"/>
  <c r="L52" i="1"/>
  <c r="L53" i="1"/>
  <c r="L54" i="1"/>
  <c r="L55" i="1"/>
  <c r="L56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M135" i="1" s="1"/>
  <c r="L136" i="1"/>
  <c r="L137" i="1"/>
  <c r="L138" i="1"/>
  <c r="L139" i="1"/>
  <c r="L140" i="1"/>
  <c r="L141" i="1"/>
  <c r="L142" i="1"/>
  <c r="L143" i="1"/>
  <c r="L144" i="1"/>
  <c r="L145" i="1"/>
  <c r="L146" i="1"/>
  <c r="L100" i="1"/>
  <c r="L101" i="1"/>
  <c r="L102" i="1"/>
  <c r="L103" i="1"/>
  <c r="L104" i="1"/>
  <c r="L105" i="1"/>
  <c r="L106" i="1"/>
  <c r="L107" i="1"/>
  <c r="L108" i="1"/>
  <c r="L109" i="1"/>
  <c r="K7" i="1"/>
  <c r="K8" i="1"/>
  <c r="K9" i="1"/>
  <c r="K39" i="1"/>
  <c r="K40" i="1"/>
  <c r="K41" i="1"/>
  <c r="K10" i="1"/>
  <c r="K11" i="1"/>
  <c r="K12" i="1"/>
  <c r="K13" i="1"/>
  <c r="K14" i="1"/>
  <c r="K15" i="1"/>
  <c r="K16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43" i="1"/>
  <c r="K44" i="1"/>
  <c r="K45" i="1"/>
  <c r="K46" i="1"/>
  <c r="K47" i="1"/>
  <c r="K48" i="1"/>
  <c r="K49" i="1"/>
  <c r="K50" i="1"/>
  <c r="K51" i="1"/>
  <c r="K17" i="1"/>
  <c r="K18" i="1"/>
  <c r="K52" i="1"/>
  <c r="K53" i="1"/>
  <c r="K54" i="1"/>
  <c r="K55" i="1"/>
  <c r="K56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00" i="1"/>
  <c r="K101" i="1"/>
  <c r="K102" i="1"/>
  <c r="K103" i="1"/>
  <c r="K104" i="1"/>
  <c r="K105" i="1"/>
  <c r="K106" i="1"/>
  <c r="K107" i="1"/>
  <c r="K108" i="1"/>
  <c r="K109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O36" i="107" s="1"/>
  <c r="G35" i="107"/>
  <c r="H35" i="107" s="1"/>
  <c r="O35" i="107" s="1"/>
  <c r="G34" i="107"/>
  <c r="H34" i="107" s="1"/>
  <c r="O34" i="107" s="1"/>
  <c r="G33" i="107"/>
  <c r="H33" i="107" s="1"/>
  <c r="O33" i="107" s="1"/>
  <c r="G32" i="107"/>
  <c r="H32" i="107" s="1"/>
  <c r="O32" i="107" s="1"/>
  <c r="G31" i="107"/>
  <c r="H31" i="107" s="1"/>
  <c r="O31" i="107" s="1"/>
  <c r="G30" i="107"/>
  <c r="G29" i="107"/>
  <c r="H29" i="107" s="1"/>
  <c r="O29" i="107" s="1"/>
  <c r="G28" i="107"/>
  <c r="H28" i="107" s="1"/>
  <c r="O28" i="107" s="1"/>
  <c r="G27" i="107"/>
  <c r="H27" i="107" s="1"/>
  <c r="O27" i="107" s="1"/>
  <c r="G26" i="107"/>
  <c r="H26" i="107" s="1"/>
  <c r="O26" i="107" s="1"/>
  <c r="G25" i="107"/>
  <c r="H25" i="107" s="1"/>
  <c r="O25" i="107" s="1"/>
  <c r="G24" i="107"/>
  <c r="H24" i="107" s="1"/>
  <c r="O24" i="107" s="1"/>
  <c r="G23" i="107"/>
  <c r="H23" i="107" s="1"/>
  <c r="O23" i="107" s="1"/>
  <c r="G22" i="107"/>
  <c r="H22" i="107" s="1"/>
  <c r="O22" i="107" s="1"/>
  <c r="G21" i="107"/>
  <c r="H21" i="107" s="1"/>
  <c r="O21" i="107" s="1"/>
  <c r="G20" i="107"/>
  <c r="H20" i="107" s="1"/>
  <c r="O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B10" i="108"/>
  <c r="N6" i="1"/>
  <c r="N109" i="1"/>
  <c r="H58" i="107"/>
  <c r="G58" i="107"/>
  <c r="N40" i="1"/>
  <c r="N39" i="1"/>
  <c r="N7" i="1"/>
  <c r="N8" i="1"/>
  <c r="N9" i="1"/>
  <c r="N91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H37" i="107" l="1"/>
  <c r="B13" i="108" s="1"/>
  <c r="B14" i="108" s="1"/>
  <c r="B139" i="108" s="1"/>
  <c r="O19" i="107"/>
  <c r="J113" i="1"/>
  <c r="M113" i="1" s="1"/>
  <c r="J121" i="1"/>
  <c r="M121" i="1" s="1"/>
  <c r="J129" i="1"/>
  <c r="M129" i="1" s="1"/>
  <c r="J137" i="1"/>
  <c r="J145" i="1"/>
  <c r="M145" i="1" s="1"/>
  <c r="J136" i="1"/>
  <c r="M136" i="1" s="1"/>
  <c r="J114" i="1"/>
  <c r="J122" i="1"/>
  <c r="M122" i="1" s="1"/>
  <c r="J130" i="1"/>
  <c r="M130" i="1" s="1"/>
  <c r="J138" i="1"/>
  <c r="M138" i="1" s="1"/>
  <c r="J146" i="1"/>
  <c r="M146" i="1" s="1"/>
  <c r="J133" i="1"/>
  <c r="M133" i="1" s="1"/>
  <c r="J127" i="1"/>
  <c r="M127" i="1" s="1"/>
  <c r="J112" i="1"/>
  <c r="M112" i="1" s="1"/>
  <c r="J115" i="1"/>
  <c r="M115" i="1" s="1"/>
  <c r="J123" i="1"/>
  <c r="M123" i="1" s="1"/>
  <c r="J131" i="1"/>
  <c r="M131" i="1" s="1"/>
  <c r="J139" i="1"/>
  <c r="M139" i="1" s="1"/>
  <c r="J116" i="1"/>
  <c r="M116" i="1" s="1"/>
  <c r="J124" i="1"/>
  <c r="M124" i="1" s="1"/>
  <c r="J132" i="1"/>
  <c r="J140" i="1"/>
  <c r="M140" i="1" s="1"/>
  <c r="J125" i="1"/>
  <c r="M125" i="1" s="1"/>
  <c r="J111" i="1"/>
  <c r="M111" i="1" s="1"/>
  <c r="J143" i="1"/>
  <c r="M143" i="1" s="1"/>
  <c r="J128" i="1"/>
  <c r="M128" i="1" s="1"/>
  <c r="J117" i="1"/>
  <c r="M117" i="1" s="1"/>
  <c r="J141" i="1"/>
  <c r="M141" i="1" s="1"/>
  <c r="J119" i="1"/>
  <c r="M119" i="1" s="1"/>
  <c r="J120" i="1"/>
  <c r="M120" i="1" s="1"/>
  <c r="J110" i="1"/>
  <c r="M110" i="1" s="1"/>
  <c r="J118" i="1"/>
  <c r="M118" i="1" s="1"/>
  <c r="J126" i="1"/>
  <c r="M126" i="1" s="1"/>
  <c r="J134" i="1"/>
  <c r="M134" i="1" s="1"/>
  <c r="J142" i="1"/>
  <c r="M142" i="1" s="1"/>
  <c r="J135" i="1"/>
  <c r="J144" i="1"/>
  <c r="M144" i="1" s="1"/>
  <c r="J106" i="1"/>
  <c r="M106" i="1" s="1"/>
  <c r="J107" i="1"/>
  <c r="M107" i="1" s="1"/>
  <c r="J105" i="1"/>
  <c r="M105" i="1" s="1"/>
  <c r="J100" i="1"/>
  <c r="M100" i="1" s="1"/>
  <c r="J108" i="1"/>
  <c r="M108" i="1" s="1"/>
  <c r="J104" i="1"/>
  <c r="M104" i="1" s="1"/>
  <c r="J101" i="1"/>
  <c r="M101" i="1" s="1"/>
  <c r="J109" i="1"/>
  <c r="M109" i="1" s="1"/>
  <c r="J102" i="1"/>
  <c r="M102" i="1" s="1"/>
  <c r="J103" i="1"/>
  <c r="M103" i="1" s="1"/>
  <c r="J148" i="1"/>
  <c r="M148" i="1" s="1"/>
  <c r="J156" i="1"/>
  <c r="M156" i="1" s="1"/>
  <c r="J164" i="1"/>
  <c r="M164" i="1" s="1"/>
  <c r="J147" i="1"/>
  <c r="M147" i="1" s="1"/>
  <c r="J149" i="1"/>
  <c r="J157" i="1"/>
  <c r="M157" i="1" s="1"/>
  <c r="J165" i="1"/>
  <c r="M165" i="1" s="1"/>
  <c r="J150" i="1"/>
  <c r="M150" i="1" s="1"/>
  <c r="J158" i="1"/>
  <c r="M158" i="1" s="1"/>
  <c r="J166" i="1"/>
  <c r="M166" i="1" s="1"/>
  <c r="J162" i="1"/>
  <c r="M162" i="1" s="1"/>
  <c r="J163" i="1"/>
  <c r="J151" i="1"/>
  <c r="M151" i="1" s="1"/>
  <c r="J159" i="1"/>
  <c r="M159" i="1" s="1"/>
  <c r="J167" i="1"/>
  <c r="M167" i="1" s="1"/>
  <c r="J152" i="1"/>
  <c r="M152" i="1" s="1"/>
  <c r="J168" i="1"/>
  <c r="M168" i="1" s="1"/>
  <c r="J160" i="1"/>
  <c r="M160" i="1" s="1"/>
  <c r="J153" i="1"/>
  <c r="M153" i="1" s="1"/>
  <c r="J161" i="1"/>
  <c r="J154" i="1"/>
  <c r="M154" i="1" s="1"/>
  <c r="J155" i="1"/>
  <c r="M155" i="1" s="1"/>
  <c r="J43" i="1"/>
  <c r="J51" i="1"/>
  <c r="M51" i="1" s="1"/>
  <c r="J61" i="1"/>
  <c r="M61" i="1" s="1"/>
  <c r="J69" i="1"/>
  <c r="M69" i="1" s="1"/>
  <c r="J77" i="1"/>
  <c r="M77" i="1" s="1"/>
  <c r="J85" i="1"/>
  <c r="M85" i="1" s="1"/>
  <c r="J93" i="1"/>
  <c r="M93" i="1" s="1"/>
  <c r="J56" i="1"/>
  <c r="M56" i="1" s="1"/>
  <c r="J44" i="1"/>
  <c r="M44" i="1" s="1"/>
  <c r="J17" i="1"/>
  <c r="M17" i="1" s="1"/>
  <c r="J62" i="1"/>
  <c r="M62" i="1" s="1"/>
  <c r="J70" i="1"/>
  <c r="M70" i="1" s="1"/>
  <c r="J78" i="1"/>
  <c r="M78" i="1" s="1"/>
  <c r="J86" i="1"/>
  <c r="M86" i="1" s="1"/>
  <c r="J94" i="1"/>
  <c r="M94" i="1" s="1"/>
  <c r="J67" i="1"/>
  <c r="M67" i="1" s="1"/>
  <c r="J99" i="1"/>
  <c r="M99" i="1" s="1"/>
  <c r="J84" i="1"/>
  <c r="J45" i="1"/>
  <c r="M45" i="1" s="1"/>
  <c r="J18" i="1"/>
  <c r="M18" i="1" s="1"/>
  <c r="J63" i="1"/>
  <c r="M63" i="1" s="1"/>
  <c r="J71" i="1"/>
  <c r="M71" i="1" s="1"/>
  <c r="J79" i="1"/>
  <c r="M79" i="1" s="1"/>
  <c r="J87" i="1"/>
  <c r="M87" i="1" s="1"/>
  <c r="J95" i="1"/>
  <c r="M95" i="1" s="1"/>
  <c r="J50" i="1"/>
  <c r="M50" i="1" s="1"/>
  <c r="J46" i="1"/>
  <c r="M46" i="1" s="1"/>
  <c r="J52" i="1"/>
  <c r="M52" i="1" s="1"/>
  <c r="J64" i="1"/>
  <c r="M64" i="1" s="1"/>
  <c r="J72" i="1"/>
  <c r="J80" i="1"/>
  <c r="M80" i="1" s="1"/>
  <c r="J88" i="1"/>
  <c r="M88" i="1" s="1"/>
  <c r="J96" i="1"/>
  <c r="M96" i="1" s="1"/>
  <c r="J83" i="1"/>
  <c r="M83" i="1" s="1"/>
  <c r="J92" i="1"/>
  <c r="M92" i="1" s="1"/>
  <c r="J47" i="1"/>
  <c r="M47" i="1" s="1"/>
  <c r="J53" i="1"/>
  <c r="M53" i="1" s="1"/>
  <c r="J65" i="1"/>
  <c r="M65" i="1" s="1"/>
  <c r="J73" i="1"/>
  <c r="M73" i="1" s="1"/>
  <c r="J81" i="1"/>
  <c r="M81" i="1" s="1"/>
  <c r="J89" i="1"/>
  <c r="M89" i="1" s="1"/>
  <c r="J97" i="1"/>
  <c r="M97" i="1" s="1"/>
  <c r="J55" i="1"/>
  <c r="M55" i="1" s="1"/>
  <c r="J91" i="1"/>
  <c r="M91" i="1" s="1"/>
  <c r="J76" i="1"/>
  <c r="M76" i="1" s="1"/>
  <c r="J48" i="1"/>
  <c r="M48" i="1" s="1"/>
  <c r="J54" i="1"/>
  <c r="M54" i="1" s="1"/>
  <c r="J66" i="1"/>
  <c r="M66" i="1" s="1"/>
  <c r="J74" i="1"/>
  <c r="M74" i="1" s="1"/>
  <c r="J82" i="1"/>
  <c r="M82" i="1" s="1"/>
  <c r="J90" i="1"/>
  <c r="M90" i="1" s="1"/>
  <c r="J98" i="1"/>
  <c r="M98" i="1" s="1"/>
  <c r="J49" i="1"/>
  <c r="M49" i="1" s="1"/>
  <c r="J75" i="1"/>
  <c r="M75" i="1" s="1"/>
  <c r="J68" i="1"/>
  <c r="M68" i="1" s="1"/>
  <c r="J37" i="1"/>
  <c r="M37" i="1" s="1"/>
  <c r="J35" i="1"/>
  <c r="J36" i="1"/>
  <c r="J38" i="1"/>
  <c r="M38" i="1" s="1"/>
  <c r="J25" i="1"/>
  <c r="M25" i="1" s="1"/>
  <c r="J24" i="1"/>
  <c r="J23" i="1"/>
  <c r="M23" i="1" s="1"/>
  <c r="J22" i="1"/>
  <c r="M22" i="1" s="1"/>
  <c r="J21" i="1"/>
  <c r="M21" i="1" s="1"/>
  <c r="J20" i="1"/>
  <c r="M20" i="1" s="1"/>
  <c r="J31" i="1"/>
  <c r="J32" i="1"/>
  <c r="M32" i="1" s="1"/>
  <c r="J30" i="1"/>
  <c r="M30" i="1" s="1"/>
  <c r="J33" i="1"/>
  <c r="M33" i="1" s="1"/>
  <c r="J26" i="1"/>
  <c r="M26" i="1" s="1"/>
  <c r="J34" i="1"/>
  <c r="M34" i="1" s="1"/>
  <c r="J29" i="1"/>
  <c r="M29" i="1" s="1"/>
  <c r="J27" i="1"/>
  <c r="M27" i="1" s="1"/>
  <c r="J28" i="1"/>
  <c r="M28" i="1" s="1"/>
  <c r="J6" i="1"/>
  <c r="M6" i="1" s="1"/>
  <c r="J15" i="1"/>
  <c r="M15" i="1" s="1"/>
  <c r="J39" i="1"/>
  <c r="M39" i="1" s="1"/>
  <c r="J14" i="1"/>
  <c r="M14" i="1" s="1"/>
  <c r="J9" i="1"/>
  <c r="M9" i="1" s="1"/>
  <c r="J41" i="1"/>
  <c r="M41" i="1" s="1"/>
  <c r="J13" i="1"/>
  <c r="M13" i="1" s="1"/>
  <c r="J8" i="1"/>
  <c r="J12" i="1"/>
  <c r="M12" i="1" s="1"/>
  <c r="J7" i="1"/>
  <c r="M7" i="1" s="1"/>
  <c r="J40" i="1"/>
  <c r="M40" i="1" s="1"/>
  <c r="J11" i="1"/>
  <c r="M11" i="1" s="1"/>
  <c r="J16" i="1"/>
  <c r="M16" i="1" s="1"/>
  <c r="J10" i="1"/>
  <c r="M10" i="1" s="1"/>
  <c r="B140" i="108"/>
  <c r="B41" i="108"/>
  <c r="M24" i="1"/>
  <c r="N97" i="1"/>
  <c r="N85" i="1"/>
  <c r="N139" i="1"/>
  <c r="N32" i="1"/>
  <c r="N133" i="1"/>
  <c r="N47" i="1"/>
  <c r="N121" i="1"/>
  <c r="N127" i="1"/>
  <c r="N150" i="1"/>
  <c r="N37" i="1"/>
  <c r="N26" i="1"/>
  <c r="N21" i="1"/>
  <c r="N79" i="1"/>
  <c r="N73" i="1"/>
  <c r="N104" i="1"/>
  <c r="N162" i="1"/>
  <c r="N67" i="1"/>
  <c r="N12" i="1"/>
  <c r="N115" i="1"/>
  <c r="N168" i="1"/>
  <c r="N145" i="1"/>
  <c r="N156" i="1"/>
  <c r="N61" i="1"/>
  <c r="N144" i="1"/>
  <c r="N114" i="1"/>
  <c r="N137" i="1"/>
  <c r="N113" i="1"/>
  <c r="N95" i="1"/>
  <c r="N142" i="1"/>
  <c r="N124" i="1"/>
  <c r="N165" i="1"/>
  <c r="N147" i="1"/>
  <c r="N88" i="1"/>
  <c r="N70" i="1"/>
  <c r="N50" i="1"/>
  <c r="N106" i="1"/>
  <c r="N141" i="1"/>
  <c r="N135" i="1"/>
  <c r="N123" i="1"/>
  <c r="N111" i="1"/>
  <c r="N158" i="1"/>
  <c r="N99" i="1"/>
  <c r="N87" i="1"/>
  <c r="N75" i="1"/>
  <c r="N53" i="1"/>
  <c r="N43" i="1"/>
  <c r="N105" i="1"/>
  <c r="N146" i="1"/>
  <c r="N140" i="1"/>
  <c r="N134" i="1"/>
  <c r="N128" i="1"/>
  <c r="N122" i="1"/>
  <c r="N116" i="1"/>
  <c r="N110" i="1"/>
  <c r="N163" i="1"/>
  <c r="N157" i="1"/>
  <c r="N151" i="1"/>
  <c r="N98" i="1"/>
  <c r="N92" i="1"/>
  <c r="N86" i="1"/>
  <c r="N80" i="1"/>
  <c r="N74" i="1"/>
  <c r="N68" i="1"/>
  <c r="N62" i="1"/>
  <c r="N52" i="1"/>
  <c r="N48" i="1"/>
  <c r="N38" i="1"/>
  <c r="N33" i="1"/>
  <c r="N27" i="1"/>
  <c r="N22" i="1"/>
  <c r="N13" i="1"/>
  <c r="N132" i="1"/>
  <c r="N167" i="1"/>
  <c r="N161" i="1"/>
  <c r="N155" i="1"/>
  <c r="N149" i="1"/>
  <c r="N96" i="1"/>
  <c r="N90" i="1"/>
  <c r="N84" i="1"/>
  <c r="N78" i="1"/>
  <c r="N72" i="1"/>
  <c r="N66" i="1"/>
  <c r="N56" i="1"/>
  <c r="N46" i="1"/>
  <c r="N36" i="1"/>
  <c r="N31" i="1"/>
  <c r="N20" i="1"/>
  <c r="N11" i="1"/>
  <c r="N138" i="1"/>
  <c r="N108" i="1"/>
  <c r="N131" i="1"/>
  <c r="N166" i="1"/>
  <c r="N148" i="1"/>
  <c r="N89" i="1"/>
  <c r="N83" i="1"/>
  <c r="N77" i="1"/>
  <c r="N71" i="1"/>
  <c r="N65" i="1"/>
  <c r="N55" i="1"/>
  <c r="N51" i="1"/>
  <c r="N45" i="1"/>
  <c r="N35" i="1"/>
  <c r="N30" i="1"/>
  <c r="N25" i="1"/>
  <c r="N16" i="1"/>
  <c r="N10" i="1"/>
  <c r="N103" i="1"/>
  <c r="N126" i="1"/>
  <c r="N102" i="1"/>
  <c r="N125" i="1"/>
  <c r="N154" i="1"/>
  <c r="N101" i="1"/>
  <c r="N130" i="1"/>
  <c r="N112" i="1"/>
  <c r="N153" i="1"/>
  <c r="N82" i="1"/>
  <c r="N64" i="1"/>
  <c r="N44" i="1"/>
  <c r="N29" i="1"/>
  <c r="N24" i="1"/>
  <c r="N15" i="1"/>
  <c r="N41" i="1"/>
  <c r="N120" i="1"/>
  <c r="N143" i="1"/>
  <c r="N119" i="1"/>
  <c r="N160" i="1"/>
  <c r="N107" i="1"/>
  <c r="N136" i="1"/>
  <c r="N118" i="1"/>
  <c r="N159" i="1"/>
  <c r="N94" i="1"/>
  <c r="N76" i="1"/>
  <c r="N54" i="1"/>
  <c r="N100" i="1"/>
  <c r="N129" i="1"/>
  <c r="N117" i="1"/>
  <c r="N164" i="1"/>
  <c r="N152" i="1"/>
  <c r="N93" i="1"/>
  <c r="N81" i="1"/>
  <c r="N69" i="1"/>
  <c r="N63" i="1"/>
  <c r="N49" i="1"/>
  <c r="N34" i="1"/>
  <c r="N28" i="1"/>
  <c r="N23" i="1"/>
  <c r="N14" i="1"/>
  <c r="J11" i="16"/>
  <c r="K7" i="16"/>
  <c r="K6" i="16"/>
  <c r="M163" i="1"/>
  <c r="K10" i="16"/>
  <c r="K4" i="16"/>
  <c r="M132" i="1"/>
  <c r="M114" i="1"/>
  <c r="M161" i="1"/>
  <c r="M149" i="1"/>
  <c r="M84" i="1"/>
  <c r="M72" i="1"/>
  <c r="M36" i="1"/>
  <c r="M31" i="1"/>
  <c r="M8" i="1"/>
  <c r="I11" i="16"/>
  <c r="H10" i="16" s="1"/>
  <c r="K9" i="16"/>
  <c r="K3" i="16"/>
  <c r="M137" i="1"/>
  <c r="M35" i="1"/>
  <c r="K5" i="16"/>
  <c r="K8" i="16"/>
  <c r="A1" i="1"/>
  <c r="B3" i="108" l="1"/>
  <c r="O6" i="1"/>
  <c r="O63" i="1"/>
  <c r="O100" i="1"/>
  <c r="O160" i="1"/>
  <c r="O44" i="1"/>
  <c r="O125" i="1"/>
  <c r="O35" i="1"/>
  <c r="O9" i="1"/>
  <c r="O146" i="1"/>
  <c r="O49" i="1"/>
  <c r="O129" i="1"/>
  <c r="O107" i="1"/>
  <c r="O29" i="1"/>
  <c r="O154" i="1"/>
  <c r="O30" i="1"/>
  <c r="O83" i="1"/>
  <c r="O20" i="1"/>
  <c r="O78" i="1"/>
  <c r="O132" i="1"/>
  <c r="O52" i="1"/>
  <c r="O151" i="1"/>
  <c r="O140" i="1"/>
  <c r="O158" i="1"/>
  <c r="O88" i="1"/>
  <c r="O114" i="1"/>
  <c r="O12" i="1"/>
  <c r="O37" i="1"/>
  <c r="O85" i="1"/>
  <c r="O157" i="1"/>
  <c r="O67" i="1"/>
  <c r="O69" i="1"/>
  <c r="O54" i="1"/>
  <c r="O119" i="1"/>
  <c r="O64" i="1"/>
  <c r="O102" i="1"/>
  <c r="O45" i="1"/>
  <c r="O148" i="1"/>
  <c r="O36" i="1"/>
  <c r="O90" i="1"/>
  <c r="O13" i="1"/>
  <c r="O68" i="1"/>
  <c r="O163" i="1"/>
  <c r="O105" i="1"/>
  <c r="O123" i="1"/>
  <c r="O165" i="1"/>
  <c r="O18" i="1"/>
  <c r="O162" i="1"/>
  <c r="O127" i="1"/>
  <c r="O7" i="1"/>
  <c r="O31" i="1"/>
  <c r="O144" i="1"/>
  <c r="O81" i="1"/>
  <c r="O76" i="1"/>
  <c r="O143" i="1"/>
  <c r="O82" i="1"/>
  <c r="O126" i="1"/>
  <c r="O51" i="1"/>
  <c r="O166" i="1"/>
  <c r="O46" i="1"/>
  <c r="O96" i="1"/>
  <c r="O22" i="1"/>
  <c r="O74" i="1"/>
  <c r="O110" i="1"/>
  <c r="O43" i="1"/>
  <c r="O135" i="1"/>
  <c r="O124" i="1"/>
  <c r="O61" i="1"/>
  <c r="O104" i="1"/>
  <c r="O121" i="1"/>
  <c r="O8" i="1"/>
  <c r="O89" i="1"/>
  <c r="O111" i="1"/>
  <c r="O14" i="1"/>
  <c r="O93" i="1"/>
  <c r="O94" i="1"/>
  <c r="O120" i="1"/>
  <c r="O153" i="1"/>
  <c r="O103" i="1"/>
  <c r="O55" i="1"/>
  <c r="O131" i="1"/>
  <c r="O17" i="1"/>
  <c r="O149" i="1"/>
  <c r="O27" i="1"/>
  <c r="O80" i="1"/>
  <c r="O116" i="1"/>
  <c r="O53" i="1"/>
  <c r="O141" i="1"/>
  <c r="O142" i="1"/>
  <c r="O156" i="1"/>
  <c r="O73" i="1"/>
  <c r="O47" i="1"/>
  <c r="O62" i="1"/>
  <c r="O97" i="1"/>
  <c r="O23" i="1"/>
  <c r="O152" i="1"/>
  <c r="O159" i="1"/>
  <c r="O41" i="1"/>
  <c r="O112" i="1"/>
  <c r="O10" i="1"/>
  <c r="O65" i="1"/>
  <c r="O108" i="1"/>
  <c r="O56" i="1"/>
  <c r="O155" i="1"/>
  <c r="O33" i="1"/>
  <c r="O86" i="1"/>
  <c r="O122" i="1"/>
  <c r="O75" i="1"/>
  <c r="O106" i="1"/>
  <c r="O95" i="1"/>
  <c r="O145" i="1"/>
  <c r="O79" i="1"/>
  <c r="O133" i="1"/>
  <c r="O91" i="1"/>
  <c r="O109" i="1"/>
  <c r="O150" i="1"/>
  <c r="O28" i="1"/>
  <c r="O164" i="1"/>
  <c r="O118" i="1"/>
  <c r="O15" i="1"/>
  <c r="O130" i="1"/>
  <c r="O16" i="1"/>
  <c r="O71" i="1"/>
  <c r="O138" i="1"/>
  <c r="O66" i="1"/>
  <c r="O161" i="1"/>
  <c r="O38" i="1"/>
  <c r="O92" i="1"/>
  <c r="O128" i="1"/>
  <c r="O87" i="1"/>
  <c r="O50" i="1"/>
  <c r="O113" i="1"/>
  <c r="O168" i="1"/>
  <c r="O21" i="1"/>
  <c r="O32" i="1"/>
  <c r="O40" i="1"/>
  <c r="O84" i="1"/>
  <c r="O147" i="1"/>
  <c r="O34" i="1"/>
  <c r="O117" i="1"/>
  <c r="O136" i="1"/>
  <c r="O24" i="1"/>
  <c r="O101" i="1"/>
  <c r="O25" i="1"/>
  <c r="O77" i="1"/>
  <c r="O11" i="1"/>
  <c r="O72" i="1"/>
  <c r="O167" i="1"/>
  <c r="O48" i="1"/>
  <c r="O98" i="1"/>
  <c r="O134" i="1"/>
  <c r="O99" i="1"/>
  <c r="O70" i="1"/>
  <c r="O137" i="1"/>
  <c r="O115" i="1"/>
  <c r="O26" i="1"/>
  <c r="O139" i="1"/>
  <c r="O39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00000000-0006-0000-0500-000001000000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00000000-0006-0000-0500-000002000000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00000000-0006-0000-0500-000003000000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00000000-0006-0000-0500-000004000000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00000000-0006-0000-0500-000005000000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00000000-0006-0000-0500-000006000000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00000000-0006-0000-0500-000007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00000000-0006-0000-0500-000008000000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00000000-0006-0000-0500-000009000000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00000000-0006-0000-0500-00000A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00000000-0006-0000-0500-00000B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00000000-0006-0000-0500-00000C00000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00000000-0006-0000-0500-00000D000000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00000000-0006-0000-0500-00000E000000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00000000-0006-0000-0500-00000F000000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00000000-0006-0000-0500-000010000000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00000000-0006-0000-0500-000011000000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00000000-0006-0000-0500-000012000000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0000000-0006-0000-0500-000013000000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<sst xmlns="http://schemas.openxmlformats.org/spreadsheetml/2006/main" count="2725" uniqueCount="596">
  <si>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</si>
  <si>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</si>
  <si>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</si>
  <si>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</si>
  <si>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</si>
  <si>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</si>
  <si>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</si>
  <si>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</si>
  <si>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</si>
  <si>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</si>
  <si>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</si>
  <si>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</si>
  <si>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</si>
  <si>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</si>
  <si>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</si>
  <si>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</si>
  <si>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</si>
  <si>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</si>
  <si>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</si>
  <si>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</si>
  <si>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</si>
  <si>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</si>
  <si>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</si>
  <si>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</si>
  <si>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</si>
  <si>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</si>
  <si>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</si>
  <si>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</si>
  <si>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</si>
  <si>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</si>
  <si>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</si>
  <si>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</si>
  <si>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</si>
  <si>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</si>
  <si>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</si>
  <si>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</si>
  <si>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</si>
  <si>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</si>
  <si>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</si>
  <si>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</si>
  <si>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</si>
  <si>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</si>
  <si>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</si>
  <si>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</si>
  <si>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</si>
  <si>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</si>
  <si>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</si>
  <si>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</si>
  <si>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</si>
  <si>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</si>
  <si>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</si>
  <si>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</si>
  <si>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</si>
  <si>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</si>
  <si>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</si>
  <si>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</si>
  <si>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</si>
  <si>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</si>
  <si>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</si>
  <si>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</si>
  <si>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</si>
  <si>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</si>
  <si>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</si>
  <si>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</si>
  <si>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</si>
  <si>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</si>
  <si>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</si>
  <si>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</si>
  <si>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</si>
  <si>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</si>
  <si>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</si>
  <si>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</si>
  <si>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</si>
  <si>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</si>
  <si>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</si>
  <si>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</si>
  <si>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</si>
  <si>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</si>
  <si>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</si>
  <si>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</si>
  <si>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</si>
  <si>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</si>
  <si>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</si>
  <si>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</si>
  <si>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</si>
  <si>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</si>
  <si>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</si>
  <si>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</si>
  <si>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</si>
  <si>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</si>
  <si>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</si>
  <si>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</si>
  <si>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</si>
  <si>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</si>
  <si>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</si>
  <si>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</si>
  <si>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</si>
  <si>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</si>
  <si>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</si>
  <si>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</si>
  <si>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</si>
  <si>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</si>
  <si>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</si>
  <si>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</si>
  <si>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</si>
  <si>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</si>
  <si>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</si>
  <si>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</si>
  <si>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</si>
  <si>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</si>
  <si>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</si>
  <si>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</si>
  <si>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</si>
  <si>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</si>
  <si>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</si>
  <si>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</si>
  <si>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</si>
  <si>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</si>
  <si>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</si>
  <si>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</si>
  <si>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</si>
  <si>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</si>
  <si>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</si>
  <si>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</si>
  <si>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</si>
  <si>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</si>
  <si>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</si>
  <si>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</si>
  <si>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</si>
  <si>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</si>
  <si>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</si>
  <si>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</si>
  <si>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</si>
  <si>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</si>
  <si>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</si>
  <si>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</si>
  <si>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</si>
  <si>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</si>
  <si>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</si>
  <si>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</si>
  <si>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</si>
  <si>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</si>
  <si>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</si>
  <si>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</si>
  <si>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</si>
  <si>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</si>
  <si>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</si>
  <si>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</si>
  <si>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</si>
  <si>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</si>
  <si>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</si>
  <si>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</si>
  <si>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</si>
  <si>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</si>
  <si>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</si>
  <si>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</si>
  <si>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</si>
  <si>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</si>
  <si>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</si>
  <si>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</si>
  <si>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</si>
  <si>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</si>
  <si>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</si>
  <si>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</si>
  <si>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</si>
  <si>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</si>
  <si>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</si>
  <si>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</si>
  <si>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</si>
  <si>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</si>
  <si>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</si>
  <si>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</si>
  <si>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</si>
  <si>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</si>
  <si>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</si>
  <si>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</si>
  <si>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</si>
  <si>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</si>
  <si>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</si>
  <si>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</si>
  <si>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</si>
  <si>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</si>
  <si>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</si>
  <si>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</si>
  <si>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</si>
  <si>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</si>
  <si>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</si>
  <si>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</si>
  <si>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</si>
  <si>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</si>
  <si>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</si>
  <si>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</si>
  <si>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</si>
  <si>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</si>
  <si>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</si>
  <si>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</si>
  <si>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</si>
  <si>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</si>
  <si>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</si>
  <si>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</si>
  <si>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</si>
  <si>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</si>
  <si>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</si>
  <si>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</si>
  <si>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</si>
  <si>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</si>
  <si>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</si>
  <si>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</si>
  <si>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</si>
  <si>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</si>
  <si>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</si>
  <si>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</si>
  <si>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</si>
  <si>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</si>
  <si>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</si>
  <si>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</si>
  <si>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</si>
  <si>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</si>
  <si>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</si>
  <si>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</si>
  <si>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</si>
  <si>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</si>
  <si>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</si>
  <si>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</si>
  <si>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</si>
  <si>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</si>
  <si>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</si>
  <si>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</si>
  <si>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</si>
  <si>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</si>
  <si>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</si>
  <si>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</si>
  <si>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</si>
  <si>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</si>
  <si>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</si>
  <si>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</si>
  <si>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</si>
  <si>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</si>
  <si>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</si>
  <si>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</si>
  <si>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</si>
  <si>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</si>
  <si>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</si>
  <si>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</si>
  <si>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</si>
  <si>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</si>
  <si>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</si>
  <si>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</si>
  <si>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</si>
  <si>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</si>
  <si>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</si>
  <si>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</si>
  <si>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</si>
  <si>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</si>
  <si>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</si>
  <si>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</si>
  <si>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</si>
  <si>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</si>
  <si>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</si>
  <si>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</si>
  <si>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</si>
  <si>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</si>
  <si>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</si>
  <si>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</si>
  <si>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</si>
  <si>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</si>
  <si>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</si>
  <si>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</si>
  <si>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</si>
  <si>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</si>
  <si>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</si>
  <si>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</si>
  <si>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</si>
  <si>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</si>
  <si>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</si>
  <si>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</si>
  <si>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</si>
  <si>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</si>
  <si>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</si>
  <si>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</si>
  <si>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</si>
  <si>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</si>
  <si>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</si>
  <si>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</si>
  <si>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</si>
  <si>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</si>
  <si>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</si>
  <si>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</si>
  <si>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</si>
  <si>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</si>
  <si>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</si>
  <si>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</si>
  <si>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</si>
  <si>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</si>
  <si>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</si>
  <si>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</si>
  <si>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</si>
  <si>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</si>
  <si>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</si>
  <si>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</si>
  <si>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</si>
  <si>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</si>
  <si>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</si>
  <si>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</si>
  <si>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</si>
  <si>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</si>
  <si>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</si>
  <si>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</si>
  <si>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</si>
  <si>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</si>
  <si>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</si>
  <si>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</si>
  <si>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</si>
  <si>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</si>
  <si>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</si>
  <si>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</si>
  <si>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</si>
  <si>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</si>
  <si>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</si>
  <si>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</si>
  <si>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</si>
  <si>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</si>
  <si>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</si>
  <si>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</si>
  <si>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</si>
  <si>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</si>
  <si>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</si>
  <si>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</si>
  <si>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</si>
  <si>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</si>
  <si>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</si>
  <si>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</si>
  <si>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</si>
  <si>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</si>
  <si>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</si>
  <si>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</si>
  <si>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</si>
  <si>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</si>
  <si>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</si>
  <si>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</si>
  <si>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</si>
  <si>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</si>
  <si>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</si>
  <si>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</si>
  <si>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</si>
  <si>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</si>
  <si>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</si>
  <si>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</si>
  <si>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</si>
  <si>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</si>
  <si>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</si>
  <si>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</si>
  <si>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</si>
  <si>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</si>
  <si>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</si>
  <si>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</si>
  <si>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</si>
  <si>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</si>
  <si>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</si>
  <si>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</si>
  <si>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</si>
  <si>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</si>
  <si>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</si>
  <si>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</si>
  <si>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</si>
  <si>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</si>
  <si>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</si>
  <si>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</si>
  <si>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</si>
  <si>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</si>
  <si>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</si>
  <si>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</si>
  <si>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</si>
  <si>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</si>
  <si>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</si>
  <si>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</si>
  <si>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</si>
  <si>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</si>
  <si>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</si>
  <si>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</si>
  <si>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</si>
  <si>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</si>
  <si>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</si>
  <si>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</si>
  <si>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</si>
  <si>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</si>
  <si>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</si>
  <si>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</si>
  <si>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</si>
  <si>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</si>
  <si>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</si>
  <si>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</si>
  <si>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</si>
  <si>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</si>
  <si>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</si>
  <si>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</si>
  <si>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</si>
  <si>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</si>
  <si>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</si>
  <si>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</si>
  <si>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</si>
  <si>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</si>
  <si>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</si>
  <si>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</si>
  <si>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</si>
  <si>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</si>
  <si>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</si>
  <si>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</si>
  <si>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</si>
  <si>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</si>
  <si>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</si>
  <si>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</si>
  <si>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</si>
  <si>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</si>
  <si>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</si>
  <si>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</si>
  <si>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</si>
  <si>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</si>
  <si>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</si>
  <si>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</si>
  <si>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</si>
  <si>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</si>
  <si>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</si>
  <si>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</si>
  <si>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</si>
  <si>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</si>
  <si>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</si>
  <si>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</si>
  <si>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</si>
  <si>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</si>
  <si>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</si>
  <si>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</si>
  <si>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</si>
  <si>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</si>
  <si>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</si>
  <si>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</si>
  <si>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</si>
  <si>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</si>
  <si>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</si>
  <si>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</si>
  <si>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</si>
  <si>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</si>
  <si>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</si>
  <si>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</si>
  <si>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</si>
  <si>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</si>
  <si>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</si>
  <si>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</si>
  <si>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</si>
  <si>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</si>
  <si>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</si>
  <si>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</si>
  <si>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</si>
  <si>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</si>
  <si>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</si>
  <si>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</si>
  <si>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</si>
  <si>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</si>
  <si>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</si>
  <si>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</si>
  <si>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</si>
  <si>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</si>
  <si>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</si>
  <si>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</si>
  <si>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</si>
  <si>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</si>
  <si>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</si>
  <si>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</si>
  <si>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</si>
  <si>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</si>
  <si>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</si>
  <si>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</si>
  <si>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</si>
  <si>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</si>
  <si>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</si>
  <si>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</si>
  <si>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</si>
  <si>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</si>
  <si>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</si>
  <si>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</si>
  <si>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</si>
  <si>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</si>
  <si>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</si>
  <si>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</si>
  <si>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</si>
  <si>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</si>
  <si>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</si>
  <si>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</si>
  <si>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</si>
  <si>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</si>
  <si>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</si>
  <si>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</si>
  <si>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</si>
  <si>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</si>
  <si>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</si>
  <si>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</si>
  <si>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</si>
  <si>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</si>
  <si>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</si>
  <si>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</si>
  <si>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</si>
  <si>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</si>
  <si>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</si>
  <si>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</si>
  <si>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</si>
  <si>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</si>
  <si>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</si>
  <si>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</si>
  <si>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</si>
  <si>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</si>
  <si>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</si>
  <si>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</si>
  <si>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</si>
  <si>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</si>
  <si>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</si>
  <si>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</si>
  <si>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</si>
  <si>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</si>
  <si>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</si>
  <si>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</si>
  <si>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</si>
  <si>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</si>
  <si>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</si>
  <si>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</si>
  <si>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</si>
  <si>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</si>
  <si>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</si>
  <si>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</si>
  <si>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</si>
  <si>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</si>
  <si>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</si>
  <si>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</si>
  <si>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</si>
  <si>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</si>
  <si>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</si>
  <si>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</si>
  <si>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</si>
  <si>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</si>
  <si>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</si>
  <si>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</si>
  <si>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</si>
  <si>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</si>
  <si>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</si>
  <si>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</si>
  <si>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</si>
  <si>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</si>
  <si>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</si>
  <si>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</si>
  <si>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</si>
  <si>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</si>
  <si>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</si>
  <si>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</si>
  <si>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</si>
  <si>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</si>
  <si>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</si>
  <si>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</si>
  <si>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</si>
  <si>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</si>
  <si>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</si>
  <si>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</si>
  <si>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</si>
  <si>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</si>
  <si>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</si>
  <si>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</si>
  <si>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</si>
  <si>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</si>
  <si>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</si>
  <si>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</si>
  <si>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</si>
  <si>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</si>
  <si>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</si>
  <si>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</si>
  <si>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</si>
  <si>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</si>
  <si>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</si>
  <si>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</si>
  <si>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</si>
  <si>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</si>
  <si>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</si>
  <si>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</si>
  <si>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</si>
  <si>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</si>
  <si>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</si>
  <si>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</si>
  <si>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</si>
  <si>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Biaya Import/Biaya kurir barang masuk</t>
  </si>
  <si>
    <t>Biaya Dokter/Obat &amp; Security Fee &amp; biaya Produksi lainnya</t>
  </si>
  <si>
    <t>OFFICER TRANSPORT EXPENSES</t>
  </si>
  <si>
    <t>Biaya Sewa Mobil</t>
  </si>
  <si>
    <t>Dokter&amp; Obat &amp; Security</t>
  </si>
  <si>
    <t>1201.804100</t>
  </si>
  <si>
    <t>1204.804100</t>
  </si>
  <si>
    <t>1205.804100</t>
  </si>
  <si>
    <t>1206.804100</t>
  </si>
  <si>
    <t>1205.630530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</si>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</sst>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  <font>
      <u/>
      <sz val="11"/>
      <color theme="1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62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11" borderId="0" xfId="0" applyFont="1" applyFill="1" applyAlignment="1">
      <alignment horizontal="left" vertical="center"/>
    </xf>
    <xf numFmtId="0" fontId="9" fillId="11" borderId="0" xfId="3" applyFill="1" applyAlignment="1">
      <alignment vertical="center"/>
    </xf>
    <xf numFmtId="0" fontId="31" fillId="11" borderId="0" xfId="0" applyFont="1" applyFill="1" applyAlignment="1">
      <alignment horizontal="center" vertical="center"/>
    </xf>
    <xf numFmtId="164" fontId="31" fillId="11" borderId="0" xfId="1" applyNumberFormat="1" applyFont="1" applyFill="1" applyAlignment="1">
      <alignment horizontal="center" vertical="center"/>
    </xf>
    <xf numFmtId="10" fontId="31" fillId="11" borderId="0" xfId="2" applyNumberFormat="1" applyFont="1" applyFill="1" applyAlignment="1">
      <alignment horizontal="center" vertical="center"/>
    </xf>
    <xf numFmtId="9" fontId="31" fillId="11" borderId="0" xfId="2" applyFont="1" applyFill="1" applyAlignment="1">
      <alignment horizontal="center" vertical="center"/>
    </xf>
    <xf numFmtId="0" fontId="31" fillId="11" borderId="0" xfId="0" applyFont="1" applyFill="1" applyAlignment="1">
      <alignment vertical="center"/>
    </xf>
    <xf numFmtId="0" fontId="2" fillId="11" borderId="0" xfId="0" applyFont="1" applyFill="1" applyAlignment="1">
      <alignment vertical="center" wrapText="1"/>
    </xf>
    <xf numFmtId="0" fontId="31" fillId="9" borderId="0" xfId="0" applyFont="1" applyFill="1" applyAlignment="1">
      <alignment horizontal="left" vertical="center"/>
    </xf>
    <xf numFmtId="0" fontId="9" fillId="9" borderId="0" xfId="3" applyFill="1" applyAlignment="1">
      <alignment vertical="center"/>
    </xf>
    <xf numFmtId="0" fontId="31" fillId="9" borderId="0" xfId="0" applyFont="1" applyFill="1" applyAlignment="1">
      <alignment horizontal="center" vertical="center"/>
    </xf>
    <xf numFmtId="164" fontId="31" fillId="9" borderId="0" xfId="1" applyNumberFormat="1" applyFont="1" applyFill="1" applyAlignment="1">
      <alignment horizontal="center" vertical="center"/>
    </xf>
    <xf numFmtId="10" fontId="31" fillId="9" borderId="0" xfId="2" applyNumberFormat="1" applyFont="1" applyFill="1" applyAlignment="1">
      <alignment horizontal="center" vertical="center"/>
    </xf>
    <xf numFmtId="9" fontId="31" fillId="9" borderId="0" xfId="2" applyFont="1" applyFill="1" applyAlignment="1">
      <alignment horizontal="center" vertical="center"/>
    </xf>
    <xf numFmtId="0" fontId="31" fillId="9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71" fillId="0" borderId="0" xfId="3" applyFont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52" fillId="6" borderId="21" xfId="5" applyFont="1" applyFill="1" applyBorder="1" applyAlignment="1">
      <alignment horizontal="left"/>
    </xf>
    <xf numFmtId="0" fontId="31" fillId="11" borderId="0" xfId="0" quotePrefix="1" applyFont="1" applyFill="1" applyAlignment="1">
      <alignment vertic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0" fontId="31" fillId="9" borderId="0" xfId="0" quotePrefix="1" applyFont="1" applyFill="1" applyAlignment="1">
      <alignment vertical="center"/>
    </xf>
  </cellXfs>
  <cellStyles count="9">
    <cellStyle name="Comma" xfId="1" builtinId="3"/>
    <cellStyle name="Hyperlink" xfId="3" builtinId="8"/>
    <cellStyle name="Normal" xfId="0" builtinId="0"/>
    <cellStyle name="Normal 14" xfId="8" xr:uid="{00000000-0005-0000-0000-000003000000}"/>
    <cellStyle name="Normal 21" xfId="6" xr:uid="{00000000-0005-0000-0000-000004000000}"/>
    <cellStyle name="Normal 25 6 4 5 4 7" xfId="7" xr:uid="{00000000-0005-0000-0000-000005000000}"/>
    <cellStyle name="Normal 3 2" xfId="4" xr:uid="{00000000-0005-0000-0000-000006000000}"/>
    <cellStyle name="Normal_COSTU-05" xfId="5" xr:uid="{00000000-0005-0000-0000-000007000000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70704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../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../07-02-2024/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../Report%20Monthly%20Budeting" TargetMode="External"/><Relationship Id="rId6" Type="http://schemas.openxmlformats.org/officeDocument/2006/relationships/hyperlink" Target="../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07-02-2024/Macro/07-02-2024/Macro/Tarikan%20JDE/1205.812100.xlsx" TargetMode="External"/><Relationship Id="rId21" Type="http://schemas.openxmlformats.org/officeDocument/2006/relationships/hyperlink" Target="../../07-02-2024/Macro/07-02-2024/Macro/Tarikan%20JDE/1201.730300.xlsx" TargetMode="External"/><Relationship Id="rId42" Type="http://schemas.openxmlformats.org/officeDocument/2006/relationships/hyperlink" Target="../../07-02-2024/Macro/07-02-2024/Macro/Tarikan%20JDE/1201.630530.xlsx" TargetMode="External"/><Relationship Id="rId63" Type="http://schemas.openxmlformats.org/officeDocument/2006/relationships/hyperlink" Target="../../07-02-2024/Macro/07-02-2024/Macro/Tarikan%20JDE/1204.630760.xlsx" TargetMode="External"/><Relationship Id="rId84" Type="http://schemas.openxmlformats.org/officeDocument/2006/relationships/hyperlink" Target="../../07-02-2024/Macro/07-02-2024/Macro/Tarikan%20JDE/1201.631100.xlsx" TargetMode="External"/><Relationship Id="rId138" Type="http://schemas.openxmlformats.org/officeDocument/2006/relationships/hyperlink" Target="../../07-02-2024/Macro/07-02-2024/Macro/Tarikan%20JDE/1204.630300.xlsx" TargetMode="External"/><Relationship Id="rId159" Type="http://schemas.openxmlformats.org/officeDocument/2006/relationships/hyperlink" Target="../../07-02-2024/Macro/07-02-2024/Macro/Tarikan%20JDE/1204.631100.xlsx" TargetMode="External"/><Relationship Id="rId107" Type="http://schemas.openxmlformats.org/officeDocument/2006/relationships/hyperlink" Target="../../07-02-2024/Macro/07-02-2024/Macro/Tarikan%20JDE/1206.801110.xlsx" TargetMode="External"/><Relationship Id="rId11" Type="http://schemas.openxmlformats.org/officeDocument/2006/relationships/hyperlink" Target="../../07-02-2024/Macro/07-02-2024/Macro/Tarikan%20JDE/1201.720100.xlsx" TargetMode="External"/><Relationship Id="rId32" Type="http://schemas.openxmlformats.org/officeDocument/2006/relationships/hyperlink" Target="../../07-02-2024/Macro/07-02-2024/Macro/Tarikan%20JDE/1201.710200.xlsx" TargetMode="External"/><Relationship Id="rId53" Type="http://schemas.openxmlformats.org/officeDocument/2006/relationships/hyperlink" Target="../../07-02-2024/Macro/07-02-2024/Macro/Tarikan%20JDE/1201.809100.xlsx" TargetMode="External"/><Relationship Id="rId74" Type="http://schemas.openxmlformats.org/officeDocument/2006/relationships/hyperlink" Target="../../07-02-2024/Macro/07-02-2024/Macro/Tarikan%20JDE/1204.816130.xlsx" TargetMode="External"/><Relationship Id="rId128" Type="http://schemas.openxmlformats.org/officeDocument/2006/relationships/hyperlink" Target="../../07-02-2024/Macro/07-02-2024/Macro/Tarikan%20JDE/1204.813100.xlsx" TargetMode="External"/><Relationship Id="rId149" Type="http://schemas.openxmlformats.org/officeDocument/2006/relationships/hyperlink" Target="../../07-02-2024/Macro/07-02-2024/Macro/Tarikan%20JDE/1201.920120.xlsx" TargetMode="External"/><Relationship Id="rId5" Type="http://schemas.openxmlformats.org/officeDocument/2006/relationships/hyperlink" Target="../../07-02-2024/Macro/07-02-2024/Macro/Tarikan%20JDE/1205.631100.xlsx" TargetMode="External"/><Relationship Id="rId95" Type="http://schemas.openxmlformats.org/officeDocument/2006/relationships/hyperlink" Target="../../07-02-2024/Macro/07-02-2024/Macro/Tarikan%20JDE/1206.630300.xlsx" TargetMode="External"/><Relationship Id="rId160" Type="http://schemas.openxmlformats.org/officeDocument/2006/relationships/hyperlink" Target="../../07-02-2024/Macro/07-02-2024/Macro/Tarikan%20JDE/1201.630900.xlsx" TargetMode="External"/><Relationship Id="rId22" Type="http://schemas.openxmlformats.org/officeDocument/2006/relationships/hyperlink" Target="../../07-02-2024/Macro/07-02-2024/Macro/Tarikan%20JDE/1201.730300.xlsx" TargetMode="External"/><Relationship Id="rId43" Type="http://schemas.openxmlformats.org/officeDocument/2006/relationships/hyperlink" Target="../../07-02-2024/Macro/07-02-2024/Macro/Tarikan%20JDE/1204.630530.xlsx" TargetMode="External"/><Relationship Id="rId64" Type="http://schemas.openxmlformats.org/officeDocument/2006/relationships/hyperlink" Target="../../07-02-2024/Macro/07-02-2024/Macro/Tarikan%20JDE/1201.630730.xlsx" TargetMode="External"/><Relationship Id="rId118" Type="http://schemas.openxmlformats.org/officeDocument/2006/relationships/hyperlink" Target="../../07-02-2024/Macro/07-02-2024/Macro/Tarikan%20JDE/1205.630400.xlsx" TargetMode="External"/><Relationship Id="rId139" Type="http://schemas.openxmlformats.org/officeDocument/2006/relationships/hyperlink" Target="../../07-02-2024/Macro/07-02-2024/Macro/Tarikan%20JDE/1204.630200.xlsx" TargetMode="External"/><Relationship Id="rId85" Type="http://schemas.openxmlformats.org/officeDocument/2006/relationships/hyperlink" Target="../../07-02-2024/Macro/07-02-2024/Macro/Tarikan%20JDE/1201.631100.xlsx" TargetMode="External"/><Relationship Id="rId150" Type="http://schemas.openxmlformats.org/officeDocument/2006/relationships/hyperlink" Target="../../07-02-2024/Macro/07-02-2024/Macro/Tarikan%20JDE/1201.805120.xlsx" TargetMode="External"/><Relationship Id="rId12" Type="http://schemas.openxmlformats.org/officeDocument/2006/relationships/hyperlink" Target="../../07-02-2024/Macro/07-02-2024/Macro/Tarikan%20JDE/1205.720100.xlsx" TargetMode="External"/><Relationship Id="rId17" Type="http://schemas.openxmlformats.org/officeDocument/2006/relationships/hyperlink" Target="../../07-02-2024/Macro/07-02-2024/Macro/Tarikan%20JDE/1201.630600.xlsx" TargetMode="External"/><Relationship Id="rId33" Type="http://schemas.openxmlformats.org/officeDocument/2006/relationships/hyperlink" Target="../../07-02-2024/Macro/07-02-2024/Macro/Tarikan%20JDE/1201.720500.xlsx" TargetMode="External"/><Relationship Id="rId38" Type="http://schemas.openxmlformats.org/officeDocument/2006/relationships/hyperlink" Target="../../07-02-2024/Macro/07-02-2024/Macro/Tarikan%20JDE/1201.813100.xlsx" TargetMode="External"/><Relationship Id="rId59" Type="http://schemas.openxmlformats.org/officeDocument/2006/relationships/hyperlink" Target="../../07-02-2024/Macro/07-02-2024/Macro/Tarikan%20JDE/1201.630750.xlsx" TargetMode="External"/><Relationship Id="rId103" Type="http://schemas.openxmlformats.org/officeDocument/2006/relationships/hyperlink" Target="../../07-02-2024/Macro/07-02-2024/Macro/Tarikan%20JDE/1206.812100.xlsx" TargetMode="External"/><Relationship Id="rId108" Type="http://schemas.openxmlformats.org/officeDocument/2006/relationships/hyperlink" Target="../../07-02-2024/Macro/07-02-2024/Macro/Tarikan%20JDE/1206.631180.xlsx" TargetMode="External"/><Relationship Id="rId124" Type="http://schemas.openxmlformats.org/officeDocument/2006/relationships/hyperlink" Target="../../07-02-2024/Macro/07-02-2024/Macro/Tarikan%20JDE/1205.630720.xlsx" TargetMode="External"/><Relationship Id="rId129" Type="http://schemas.openxmlformats.org/officeDocument/2006/relationships/hyperlink" Target="../../07-02-2024/Macro/07-02-2024/Macro/Tarikan%20JDE/1204.801160.xlsx" TargetMode="External"/><Relationship Id="rId54" Type="http://schemas.openxmlformats.org/officeDocument/2006/relationships/hyperlink" Target="../../07-02-2024/Macro/07-02-2024/Macro/Tarikan%20JDE/1206.809100.xlsx" TargetMode="External"/><Relationship Id="rId70" Type="http://schemas.openxmlformats.org/officeDocument/2006/relationships/hyperlink" Target="../../07-02-2024/Macro/07-02-2024/Macro/Tarikan%20JDE/1201.630130.xlsx" TargetMode="External"/><Relationship Id="rId75" Type="http://schemas.openxmlformats.org/officeDocument/2006/relationships/hyperlink" Target="../../07-02-2024/Macro/07-02-2024/Macro/Tarikan%20JDE/1206.631100.xlsx" TargetMode="External"/><Relationship Id="rId91" Type="http://schemas.openxmlformats.org/officeDocument/2006/relationships/hyperlink" Target="../../07-02-2024/Macro/07-02-2024/Macro/Tarikan%20JDE/1206.631000.xlsx" TargetMode="External"/><Relationship Id="rId96" Type="http://schemas.openxmlformats.org/officeDocument/2006/relationships/hyperlink" Target="../../07-02-2024/Macro/07-02-2024/Macro/Tarikan%20JDE/1206.630770.xlsx" TargetMode="External"/><Relationship Id="rId140" Type="http://schemas.openxmlformats.org/officeDocument/2006/relationships/hyperlink" Target="../../07-02-2024/Macro/07-02-2024/Macro/Tarikan%20JDE/1204.630110.xlsx" TargetMode="External"/><Relationship Id="rId145" Type="http://schemas.openxmlformats.org/officeDocument/2006/relationships/hyperlink" Target="../../07-02-2024/Macro/07-02-2024/Macro/Tarikan%20JDE/1204.631110.xlsx" TargetMode="External"/><Relationship Id="rId161" Type="http://schemas.openxmlformats.org/officeDocument/2006/relationships/hyperlink" Target="../../07-02-2024/Macro/07-02-2024/Macro/Tarikan%20JDE/1201.630900.xlsx" TargetMode="External"/><Relationship Id="rId1" Type="http://schemas.openxmlformats.org/officeDocument/2006/relationships/hyperlink" Target="../../07-02-2024/Macro/07-02-2024/Macro/Tarikan%20JDE/1204.720400.xlsx" TargetMode="External"/><Relationship Id="rId6" Type="http://schemas.openxmlformats.org/officeDocument/2006/relationships/hyperlink" Target="../../07-02-2024/Macro/07-02-2024/Macro/Tarikan%20JDE/1204.631100.xlsx" TargetMode="External"/><Relationship Id="rId23" Type="http://schemas.openxmlformats.org/officeDocument/2006/relationships/hyperlink" Target="../../07-02-2024/Macro/07-02-2024/Macro/Tarikan%20JDE/1201.730300.xlsx" TargetMode="External"/><Relationship Id="rId28" Type="http://schemas.openxmlformats.org/officeDocument/2006/relationships/hyperlink" Target="../../07-02-2024/Macro/07-02-2024/Macro/Tarikan%20JDE/1201.710200.xlsx" TargetMode="External"/><Relationship Id="rId49" Type="http://schemas.openxmlformats.org/officeDocument/2006/relationships/hyperlink" Target="../../07-02-2024/Macro/07-02-2024/Macro/Tarikan%20JDE/1201.802140.xlsx" TargetMode="External"/><Relationship Id="rId114" Type="http://schemas.openxmlformats.org/officeDocument/2006/relationships/hyperlink" Target="../../07-02-2024/Macro/07-02-2024/Macro/Tarikan%20JDE/1205.630130.xlsx" TargetMode="External"/><Relationship Id="rId119" Type="http://schemas.openxmlformats.org/officeDocument/2006/relationships/hyperlink" Target="../../07-02-2024/Macro/07-02-2024/Macro/Tarikan%20JDE/1205.630300.xlsx" TargetMode="External"/><Relationship Id="rId44" Type="http://schemas.openxmlformats.org/officeDocument/2006/relationships/hyperlink" Target="../../07-02-2024/Macro/07-02-2024/Macro/Tarikan%20JDE/1201.808100.xlsx" TargetMode="External"/><Relationship Id="rId60" Type="http://schemas.openxmlformats.org/officeDocument/2006/relationships/hyperlink" Target="../../07-02-2024/Macro/07-02-2024/Macro/Tarikan%20JDE/1201.630720.xlsx" TargetMode="External"/><Relationship Id="rId65" Type="http://schemas.openxmlformats.org/officeDocument/2006/relationships/hyperlink" Target="../../07-02-2024/Macro/07-02-2024/Macro/Tarikan%20JDE/1201.630740.xlsx" TargetMode="External"/><Relationship Id="rId81" Type="http://schemas.openxmlformats.org/officeDocument/2006/relationships/hyperlink" Target="../../07-02-2024/Macro/07-02-2024/Macro/Tarikan%20JDE/1201.802120.xlsx" TargetMode="External"/><Relationship Id="rId86" Type="http://schemas.openxmlformats.org/officeDocument/2006/relationships/hyperlink" Target="../../07-02-2024/Macro/07-02-2024/Macro/Tarikan%20JDE/1205.631100.xlsx" TargetMode="External"/><Relationship Id="rId130" Type="http://schemas.openxmlformats.org/officeDocument/2006/relationships/hyperlink" Target="../../07-02-2024/Macro/07-02-2024/Macro/Tarikan%20JDE/1204.630710.xlsx" TargetMode="External"/><Relationship Id="rId135" Type="http://schemas.openxmlformats.org/officeDocument/2006/relationships/hyperlink" Target="../../07-02-2024/Macro/07-02-2024/Macro/Tarikan%20JDE/1204.720500.xlsx" TargetMode="External"/><Relationship Id="rId151" Type="http://schemas.openxmlformats.org/officeDocument/2006/relationships/hyperlink" Target="../../07-02-2024/Macro/07-02-2024/Macro/Tarikan%20JDE/1201.920700.xlsx" TargetMode="External"/><Relationship Id="rId156" Type="http://schemas.openxmlformats.org/officeDocument/2006/relationships/hyperlink" Target="../../07-02-2024/Macro/07-02-2024/Macro/Tarikan%20JDE/1204.801110.xlsx" TargetMode="External"/><Relationship Id="rId13" Type="http://schemas.openxmlformats.org/officeDocument/2006/relationships/hyperlink" Target="../../07-02-2024/Macro/07-02-2024/Macro/Tarikan%20JDE/1204.720100.xlsx" TargetMode="External"/><Relationship Id="rId18" Type="http://schemas.openxmlformats.org/officeDocument/2006/relationships/hyperlink" Target="../../07-02-2024/Macro/07-02-2024/Macro/Tarikan%20JDE/1205.630600.xlsx" TargetMode="External"/><Relationship Id="rId39" Type="http://schemas.openxmlformats.org/officeDocument/2006/relationships/hyperlink" Target="../../07-02-2024/Macro/07-02-2024/Macro/Tarikan%20JDE/1201.630300.xlsx" TargetMode="External"/><Relationship Id="rId109" Type="http://schemas.openxmlformats.org/officeDocument/2006/relationships/hyperlink" Target="../../07-02-2024/Macro/07-02-2024/Macro/Tarikan%20JDE/1206.630600.xlsx" TargetMode="External"/><Relationship Id="rId34" Type="http://schemas.openxmlformats.org/officeDocument/2006/relationships/hyperlink" Target="../../07-02-2024/Macro/07-02-2024/Macro/Tarikan%20JDE/1201.812100.xlsx" TargetMode="External"/><Relationship Id="rId50" Type="http://schemas.openxmlformats.org/officeDocument/2006/relationships/hyperlink" Target="../../07-02-2024/Macro/07-02-2024/Macro/Tarikan%20JDE/1204.802140.xlsx" TargetMode="External"/><Relationship Id="rId55" Type="http://schemas.openxmlformats.org/officeDocument/2006/relationships/hyperlink" Target="../../07-02-2024/Macro/07-02-2024/Macro/Tarikan%20JDE/1205.809100.xlsx" TargetMode="External"/><Relationship Id="rId76" Type="http://schemas.openxmlformats.org/officeDocument/2006/relationships/hyperlink" Target="../../07-02-2024/Macro/07-02-2024/Macro/Tarikan%20JDE/1201.631110.xlsx" TargetMode="External"/><Relationship Id="rId97" Type="http://schemas.openxmlformats.org/officeDocument/2006/relationships/hyperlink" Target="../../07-02-2024/Macro/07-02-2024/Macro/Tarikan%20JDE/1206.630750.xlsx" TargetMode="External"/><Relationship Id="rId104" Type="http://schemas.openxmlformats.org/officeDocument/2006/relationships/hyperlink" Target="../../07-02-2024/Macro/07-02-2024/Macro/Tarikan%20JDE/1206.630400.xlsx" TargetMode="External"/><Relationship Id="rId120" Type="http://schemas.openxmlformats.org/officeDocument/2006/relationships/hyperlink" Target="../../07-02-2024/Macro/07-02-2024/Macro/Tarikan%20JDE/1205.630200.xlsx" TargetMode="External"/><Relationship Id="rId125" Type="http://schemas.openxmlformats.org/officeDocument/2006/relationships/hyperlink" Target="../../07-02-2024/Macro/07-02-2024/Macro/Tarikan%20JDE/1205.630730.xlsx" TargetMode="External"/><Relationship Id="rId141" Type="http://schemas.openxmlformats.org/officeDocument/2006/relationships/hyperlink" Target="../../07-02-2024/Macro/07-02-2024/Macro/Tarikan%20JDE/1204.630770.xlsx" TargetMode="External"/><Relationship Id="rId146" Type="http://schemas.openxmlformats.org/officeDocument/2006/relationships/hyperlink" Target="../../07-02-2024/Macro/07-02-2024/Macro/Tarikan%20JDE/1204.631140.xlsx" TargetMode="External"/><Relationship Id="rId7" Type="http://schemas.openxmlformats.org/officeDocument/2006/relationships/hyperlink" Target="../../07-02-2024/Macro/07-02-2024/Macro/Tarikan%20JDE/1201.631180.xlsx" TargetMode="External"/><Relationship Id="rId71" Type="http://schemas.openxmlformats.org/officeDocument/2006/relationships/hyperlink" Target="../../07-02-2024/Macro/07-02-2024/Macro/Tarikan%20JDE/1201.816130.xlsx" TargetMode="External"/><Relationship Id="rId92" Type="http://schemas.openxmlformats.org/officeDocument/2006/relationships/hyperlink" Target="../../07-02-2024/Macro/07-02-2024/Macro/Tarikan%20JDE/1206.815110.xlsx" TargetMode="External"/><Relationship Id="rId162" Type="http://schemas.openxmlformats.org/officeDocument/2006/relationships/hyperlink" Target="../../07-02-2024/Macro/07-02-2024/Macro/Tarikan%20JDE/1201.630900.xlsx" TargetMode="External"/><Relationship Id="rId2" Type="http://schemas.openxmlformats.org/officeDocument/2006/relationships/hyperlink" Target="../../07-02-2024/Macro/07-02-2024/Macro/Tarikan%20JDE/1201.816110.xlsx" TargetMode="External"/><Relationship Id="rId29" Type="http://schemas.openxmlformats.org/officeDocument/2006/relationships/hyperlink" Target="../../07-02-2024/Macro/07-02-2024/Macro/Tarikan%20JDE/1201.730300.xlsx" TargetMode="External"/><Relationship Id="rId24" Type="http://schemas.openxmlformats.org/officeDocument/2006/relationships/hyperlink" Target="../../07-02-2024/Macro/07-02-2024/Macro/Tarikan%20JDE/1201.730200.xlsx" TargetMode="External"/><Relationship Id="rId40" Type="http://schemas.openxmlformats.org/officeDocument/2006/relationships/hyperlink" Target="../../07-02-2024/Macro/07-02-2024/Macro/Tarikan%20JDE/1201.630200.xlsx" TargetMode="External"/><Relationship Id="rId45" Type="http://schemas.openxmlformats.org/officeDocument/2006/relationships/hyperlink" Target="../../07-02-2024/Macro/07-02-2024/Macro/Tarikan%20JDE/1205.808100.xlsx" TargetMode="External"/><Relationship Id="rId66" Type="http://schemas.openxmlformats.org/officeDocument/2006/relationships/hyperlink" Target="../../07-02-2024/Macro/07-02-2024/Macro/Tarikan%20JDE/1201.810110.xlsx" TargetMode="External"/><Relationship Id="rId87" Type="http://schemas.openxmlformats.org/officeDocument/2006/relationships/hyperlink" Target="../../07-02-2024/Macro/07-02-2024/Macro/Tarikan%20JDE/1204.631100.xlsx" TargetMode="External"/><Relationship Id="rId110" Type="http://schemas.openxmlformats.org/officeDocument/2006/relationships/hyperlink" Target="../../07-02-2024/Macro/07-02-2024/Macro/Tarikan%20JDE/1205.813100.xlsx" TargetMode="External"/><Relationship Id="rId115" Type="http://schemas.openxmlformats.org/officeDocument/2006/relationships/hyperlink" Target="../../07-02-2024/Macro/07-02-2024/Macro/Tarikan%20JDE/1205.815110.xlsx" TargetMode="External"/><Relationship Id="rId131" Type="http://schemas.openxmlformats.org/officeDocument/2006/relationships/hyperlink" Target="../../07-02-2024/Macro/07-02-2024/Macro/Tarikan%20JDE/1204.630740.xlsx" TargetMode="External"/><Relationship Id="rId136" Type="http://schemas.openxmlformats.org/officeDocument/2006/relationships/hyperlink" Target="../../07-02-2024/Macro/07-02-2024/Macro/Tarikan%20JDE/1204.812100.xlsx" TargetMode="External"/><Relationship Id="rId157" Type="http://schemas.openxmlformats.org/officeDocument/2006/relationships/hyperlink" Target="../../07-02-2024/Macro/Tarikan%20JDE/1201.720400.xlsx" TargetMode="External"/><Relationship Id="rId61" Type="http://schemas.openxmlformats.org/officeDocument/2006/relationships/hyperlink" Target="../../07-02-2024/Macro/07-02-2024/Macro/Tarikan%20JDE/1201.630760.xlsx" TargetMode="External"/><Relationship Id="rId82" Type="http://schemas.openxmlformats.org/officeDocument/2006/relationships/hyperlink" Target="../../07-02-2024/Macro/07-02-2024/Macro/Tarikan%20JDE/1201.814110.xlsx" TargetMode="External"/><Relationship Id="rId152" Type="http://schemas.openxmlformats.org/officeDocument/2006/relationships/hyperlink" Target="../../07-02-2024/Macro/07-02-2024/Macro/Tarikan%20JDE/1206.920700.xlsx" TargetMode="External"/><Relationship Id="rId19" Type="http://schemas.openxmlformats.org/officeDocument/2006/relationships/hyperlink" Target="../../07-02-2024/Macro/07-02-2024/Macro/Tarikan%20JDE/1204.630600.xlsx" TargetMode="External"/><Relationship Id="rId14" Type="http://schemas.openxmlformats.org/officeDocument/2006/relationships/hyperlink" Target="../../07-02-2024/Macro/07-02-2024/Macro/Tarikan%20JDE/1201.630600.xlsx" TargetMode="External"/><Relationship Id="rId30" Type="http://schemas.openxmlformats.org/officeDocument/2006/relationships/hyperlink" Target="../../07-02-2024/Macro/07-02-2024/Macro/Tarikan%20JDE/1201.730200.xlsx" TargetMode="External"/><Relationship Id="rId35" Type="http://schemas.openxmlformats.org/officeDocument/2006/relationships/hyperlink" Target="../../07-02-2024/Macro/07-02-2024/Macro/Tarikan%20JDE/1201.807100.xlsx" TargetMode="External"/><Relationship Id="rId56" Type="http://schemas.openxmlformats.org/officeDocument/2006/relationships/hyperlink" Target="../../07-02-2024/Macro/07-02-2024/Macro/Tarikan%20JDE/1204.809100.xlsx" TargetMode="External"/><Relationship Id="rId77" Type="http://schemas.openxmlformats.org/officeDocument/2006/relationships/hyperlink" Target="../../07-02-2024/Macro/07-02-2024/Macro/Tarikan%20JDE/1201.631140.xlsx" TargetMode="External"/><Relationship Id="rId100" Type="http://schemas.openxmlformats.org/officeDocument/2006/relationships/hyperlink" Target="../../07-02-2024/Macro/07-02-2024/Macro/Tarikan%20JDE/1206.630730.xlsx" TargetMode="External"/><Relationship Id="rId105" Type="http://schemas.openxmlformats.org/officeDocument/2006/relationships/hyperlink" Target="../../07-02-2024/Macro/07-02-2024/Macro/Tarikan%20JDE/1206.808100.xlsx" TargetMode="External"/><Relationship Id="rId126" Type="http://schemas.openxmlformats.org/officeDocument/2006/relationships/hyperlink" Target="../../07-02-2024/Macro/07-02-2024/Macro/Tarikan%20JDE/1205.801110.xlsx" TargetMode="External"/><Relationship Id="rId147" Type="http://schemas.openxmlformats.org/officeDocument/2006/relationships/hyperlink" Target="../../07-02-2024/Macro/07-02-2024/Macro/Tarikan%20JDE/1201.816120.xlsx" TargetMode="External"/><Relationship Id="rId8" Type="http://schemas.openxmlformats.org/officeDocument/2006/relationships/hyperlink" Target="../../07-02-2024/Macro/07-02-2024/Macro/Tarikan%20JDE/1204.631180.xlsx" TargetMode="External"/><Relationship Id="rId51" Type="http://schemas.openxmlformats.org/officeDocument/2006/relationships/hyperlink" Target="../../07-02-2024/Macro/07-02-2024/Macro/Tarikan%20JDE/1201.801160.xlsx" TargetMode="External"/><Relationship Id="rId72" Type="http://schemas.openxmlformats.org/officeDocument/2006/relationships/hyperlink" Target="../../07-02-2024/Macro/07-02-2024/Macro/Tarikan%20JDE/1206.816130.xlsx" TargetMode="External"/><Relationship Id="rId93" Type="http://schemas.openxmlformats.org/officeDocument/2006/relationships/hyperlink" Target="../../07-02-2024/Macro/07-02-2024/Macro/Tarikan%20JDE/1206.802120.xlsx" TargetMode="External"/><Relationship Id="rId98" Type="http://schemas.openxmlformats.org/officeDocument/2006/relationships/hyperlink" Target="../../07-02-2024/Macro/07-02-2024/Macro/Tarikan%20JDE/1206.630720.xlsx" TargetMode="External"/><Relationship Id="rId121" Type="http://schemas.openxmlformats.org/officeDocument/2006/relationships/hyperlink" Target="../../07-02-2024/Macro/07-02-2024/Macro/Tarikan%20JDE/1205.630110.xlsx" TargetMode="External"/><Relationship Id="rId142" Type="http://schemas.openxmlformats.org/officeDocument/2006/relationships/hyperlink" Target="../../07-02-2024/Macro/07-02-2024/Macro/Tarikan%20JDE/1204.630750.xlsx" TargetMode="External"/><Relationship Id="rId163" Type="http://schemas.openxmlformats.org/officeDocument/2006/relationships/printerSettings" Target="../printerSettings/printerSettings1.bin"/><Relationship Id="rId3" Type="http://schemas.openxmlformats.org/officeDocument/2006/relationships/hyperlink" Target="../../07-02-2024/Macro/07-02-2024/Macro/Tarikan%20JDE/1204.816110.xlsx" TargetMode="External"/><Relationship Id="rId25" Type="http://schemas.openxmlformats.org/officeDocument/2006/relationships/hyperlink" Target="../../07-02-2024/Macro/07-02-2024/Macro/Tarikan%20JDE/1201.710200.xlsx" TargetMode="External"/><Relationship Id="rId46" Type="http://schemas.openxmlformats.org/officeDocument/2006/relationships/hyperlink" Target="../../07-02-2024/Macro/07-02-2024/Macro/Tarikan%20JDE/1204.808100.xlsx" TargetMode="External"/><Relationship Id="rId67" Type="http://schemas.openxmlformats.org/officeDocument/2006/relationships/hyperlink" Target="../../07-02-2024/Macro/07-02-2024/Macro/Tarikan%20JDE/1206.810110.xlsx" TargetMode="External"/><Relationship Id="rId116" Type="http://schemas.openxmlformats.org/officeDocument/2006/relationships/hyperlink" Target="../../07-02-2024/Macro/07-02-2024/Macro/Tarikan%20JDE/1205.631100.xlsx" TargetMode="External"/><Relationship Id="rId137" Type="http://schemas.openxmlformats.org/officeDocument/2006/relationships/hyperlink" Target="../../07-02-2024/Macro/07-02-2024/Macro/Tarikan%20JDE/1204.630400.xlsx" TargetMode="External"/><Relationship Id="rId158" Type="http://schemas.openxmlformats.org/officeDocument/2006/relationships/hyperlink" Target="../../07-02-2024/Macro/07-02-2024/Macro/Tarikan%20JDE/1204.630530.xlsx" TargetMode="External"/><Relationship Id="rId20" Type="http://schemas.openxmlformats.org/officeDocument/2006/relationships/hyperlink" Target="../../07-02-2024/Macro/07-02-2024/Macro/Tarikan%20JDE/1201.730300.xlsx" TargetMode="External"/><Relationship Id="rId41" Type="http://schemas.openxmlformats.org/officeDocument/2006/relationships/hyperlink" Target="../../07-02-2024/Macro/07-02-2024/Macro/Tarikan%20JDE/1201.630200.xlsx" TargetMode="External"/><Relationship Id="rId62" Type="http://schemas.openxmlformats.org/officeDocument/2006/relationships/hyperlink" Target="../../07-02-2024/Macro/07-02-2024/Macro/Tarikan%20JDE/1205.630760.xlsx" TargetMode="External"/><Relationship Id="rId83" Type="http://schemas.openxmlformats.org/officeDocument/2006/relationships/hyperlink" Target="../../07-02-2024/Macro/07-02-2024/Macro/Tarikan%20JDE/1201.630450.xlsx" TargetMode="External"/><Relationship Id="rId88" Type="http://schemas.openxmlformats.org/officeDocument/2006/relationships/hyperlink" Target="../../07-02-2024/Macro/07-02-2024/Macro/Tarikan%20JDE/1206.801160.xlsx" TargetMode="External"/><Relationship Id="rId111" Type="http://schemas.openxmlformats.org/officeDocument/2006/relationships/hyperlink" Target="../../07-02-2024/Macro/07-02-2024/Macro/Tarikan%20JDE/1205.801160.xlsx" TargetMode="External"/><Relationship Id="rId132" Type="http://schemas.openxmlformats.org/officeDocument/2006/relationships/hyperlink" Target="../../07-02-2024/Macro/07-02-2024/Macro/Tarikan%20JDE/1204.630130.xlsx" TargetMode="External"/><Relationship Id="rId153" Type="http://schemas.openxmlformats.org/officeDocument/2006/relationships/hyperlink" Target="../../07-02-2024/Macro/07-02-2024/Macro/Tarikan%20JDE/1205.920700.xlsx" TargetMode="External"/><Relationship Id="rId15" Type="http://schemas.openxmlformats.org/officeDocument/2006/relationships/hyperlink" Target="../../07-02-2024/Macro/07-02-2024/Macro/Tarikan%20JDE/1205.630600.xlsx" TargetMode="External"/><Relationship Id="rId36" Type="http://schemas.openxmlformats.org/officeDocument/2006/relationships/hyperlink" Target="../../07-02-2024/Macro/07-02-2024/Macro/Tarikan%20JDE/1204.807100.xlsx" TargetMode="External"/><Relationship Id="rId57" Type="http://schemas.openxmlformats.org/officeDocument/2006/relationships/hyperlink" Target="../../07-02-2024/Macro/07-02-2024/Macro/Tarikan%20JDE/1201.630710.xlsx" TargetMode="External"/><Relationship Id="rId106" Type="http://schemas.openxmlformats.org/officeDocument/2006/relationships/hyperlink" Target="../../07-02-2024/Macro/07-02-2024/Macro/Tarikan%20JDE/1206.630110.xlsx" TargetMode="External"/><Relationship Id="rId127" Type="http://schemas.openxmlformats.org/officeDocument/2006/relationships/hyperlink" Target="../../07-02-2024/Macro/07-02-2024/Macro/Tarikan%20JDE/1205.631110.xlsx" TargetMode="External"/><Relationship Id="rId10" Type="http://schemas.openxmlformats.org/officeDocument/2006/relationships/hyperlink" Target="../../07-02-2024/Macro/07-02-2024/Macro/Tarikan%20JDE/1201.631150.xlsx" TargetMode="External"/><Relationship Id="rId31" Type="http://schemas.openxmlformats.org/officeDocument/2006/relationships/hyperlink" Target="../../07-02-2024/Macro/07-02-2024/Macro/Tarikan%20JDE/1201.710200.xlsx" TargetMode="External"/><Relationship Id="rId52" Type="http://schemas.openxmlformats.org/officeDocument/2006/relationships/hyperlink" Target="../../07-02-2024/Macro/07-02-2024/Macro/Tarikan%20JDE/1201.630110.xlsx" TargetMode="External"/><Relationship Id="rId73" Type="http://schemas.openxmlformats.org/officeDocument/2006/relationships/hyperlink" Target="../../07-02-2024/Macro/07-02-2024/Macro/Tarikan%20JDE/1205.816130.xlsx" TargetMode="External"/><Relationship Id="rId78" Type="http://schemas.openxmlformats.org/officeDocument/2006/relationships/hyperlink" Target="../../07-02-2024/Macro/07-02-2024/Macro/Tarikan%20JDE/1201.631000.xlsx" TargetMode="External"/><Relationship Id="rId94" Type="http://schemas.openxmlformats.org/officeDocument/2006/relationships/hyperlink" Target="../../07-02-2024/Macro/07-02-2024/Macro/Tarikan%20JDE/1206.630450.xlsx" TargetMode="External"/><Relationship Id="rId99" Type="http://schemas.openxmlformats.org/officeDocument/2006/relationships/hyperlink" Target="../../07-02-2024/Macro/07-02-2024/Macro/Tarikan%20JDE/1206.630760.xlsx" TargetMode="External"/><Relationship Id="rId101" Type="http://schemas.openxmlformats.org/officeDocument/2006/relationships/hyperlink" Target="../../07-02-2024/Macro/07-02-2024/Macro/Tarikan%20JDE/1206.630740.xlsx" TargetMode="External"/><Relationship Id="rId122" Type="http://schemas.openxmlformats.org/officeDocument/2006/relationships/hyperlink" Target="../../07-02-2024/Macro/07-02-2024/Macro/Tarikan%20JDE/1205.630770.xlsx" TargetMode="External"/><Relationship Id="rId143" Type="http://schemas.openxmlformats.org/officeDocument/2006/relationships/hyperlink" Target="../../07-02-2024/Macro/07-02-2024/Macro/Tarikan%20JDE/1204.630720.xlsx" TargetMode="External"/><Relationship Id="rId148" Type="http://schemas.openxmlformats.org/officeDocument/2006/relationships/hyperlink" Target="../../07-02-2024/Macro/07-02-2024/Macro/Tarikan%20JDE/1201.920410.xlsx" TargetMode="External"/><Relationship Id="rId4" Type="http://schemas.openxmlformats.org/officeDocument/2006/relationships/hyperlink" Target="../../07-02-2024/Macro/07-02-2024/Macro/Tarikan%20JDE/1201.631100.xlsx" TargetMode="External"/><Relationship Id="rId9" Type="http://schemas.openxmlformats.org/officeDocument/2006/relationships/hyperlink" Target="../../07-02-2024/Macro/07-02-2024/Macro/Tarikan%20JDE/1205.631180.xlsx" TargetMode="External"/><Relationship Id="rId26" Type="http://schemas.openxmlformats.org/officeDocument/2006/relationships/hyperlink" Target="../../07-02-2024/Macro/07-02-2024/Macro/Tarikan%20JDE/1201.710200.xlsx" TargetMode="External"/><Relationship Id="rId47" Type="http://schemas.openxmlformats.org/officeDocument/2006/relationships/hyperlink" Target="../../07-02-2024/Macro/07-02-2024/Macro/Tarikan%20JDE/1201.630900.xlsx" TargetMode="External"/><Relationship Id="rId68" Type="http://schemas.openxmlformats.org/officeDocument/2006/relationships/hyperlink" Target="../../07-02-2024/Macro/07-02-2024/Macro/Tarikan%20JDE/1205.810110.xlsx" TargetMode="External"/><Relationship Id="rId89" Type="http://schemas.openxmlformats.org/officeDocument/2006/relationships/hyperlink" Target="../../07-02-2024/Macro/07-02-2024/Macro/Tarikan%20JDE/1206.630710.xlsx" TargetMode="External"/><Relationship Id="rId112" Type="http://schemas.openxmlformats.org/officeDocument/2006/relationships/hyperlink" Target="../../07-02-2024/Macro/07-02-2024/Macro/Tarikan%20JDE/1205.630710.xlsx" TargetMode="External"/><Relationship Id="rId133" Type="http://schemas.openxmlformats.org/officeDocument/2006/relationships/hyperlink" Target="../../07-02-2024/Macro/07-02-2024/Macro/Tarikan%20JDE/1204.815110.xlsx" TargetMode="External"/><Relationship Id="rId154" Type="http://schemas.openxmlformats.org/officeDocument/2006/relationships/hyperlink" Target="../../07-02-2024/Macro/07-02-2024/Macro/Tarikan%20JDE/1204.920700.xlsx" TargetMode="External"/><Relationship Id="rId16" Type="http://schemas.openxmlformats.org/officeDocument/2006/relationships/hyperlink" Target="../../07-02-2024/Macro/07-02-2024/Macro/Tarikan%20JDE/1204.630600.xlsx" TargetMode="External"/><Relationship Id="rId37" Type="http://schemas.openxmlformats.org/officeDocument/2006/relationships/hyperlink" Target="../../07-02-2024/Macro/07-02-2024/Macro/Tarikan%20JDE/1201.630400.xlsx" TargetMode="External"/><Relationship Id="rId58" Type="http://schemas.openxmlformats.org/officeDocument/2006/relationships/hyperlink" Target="../../07-02-2024/Macro/07-02-2024/Macro/Tarikan%20JDE/1201.630770.xlsx" TargetMode="External"/><Relationship Id="rId79" Type="http://schemas.openxmlformats.org/officeDocument/2006/relationships/hyperlink" Target="../../07-02-2024/Macro/07-02-2024/Macro/Tarikan%20JDE/1201.815110.xlsx" TargetMode="External"/><Relationship Id="rId102" Type="http://schemas.openxmlformats.org/officeDocument/2006/relationships/hyperlink" Target="../../07-02-2024/Macro/07-02-2024/Macro/Tarikan%20JDE/1206.631110.xlsx" TargetMode="External"/><Relationship Id="rId123" Type="http://schemas.openxmlformats.org/officeDocument/2006/relationships/hyperlink" Target="../../07-02-2024/Macro/07-02-2024/Macro/Tarikan%20JDE/1205.630750.xlsx" TargetMode="External"/><Relationship Id="rId144" Type="http://schemas.openxmlformats.org/officeDocument/2006/relationships/hyperlink" Target="../../07-02-2024/Macro/07-02-2024/Macro/Tarikan%20JDE/1204.630730.xlsx" TargetMode="External"/><Relationship Id="rId90" Type="http://schemas.openxmlformats.org/officeDocument/2006/relationships/hyperlink" Target="../../07-02-2024/Macro/07-02-2024/Macro/Tarikan%20JDE/1206.630130.xlsx" TargetMode="External"/><Relationship Id="rId27" Type="http://schemas.openxmlformats.org/officeDocument/2006/relationships/hyperlink" Target="../../07-02-2024/Macro/07-02-2024/Macro/Tarikan%20JDE/1201.710200.xlsx" TargetMode="External"/><Relationship Id="rId48" Type="http://schemas.openxmlformats.org/officeDocument/2006/relationships/hyperlink" Target="../../07-02-2024/Macro/07-02-2024/Macro/Tarikan%20JDE/1204.630900.xlsx" TargetMode="External"/><Relationship Id="rId69" Type="http://schemas.openxmlformats.org/officeDocument/2006/relationships/hyperlink" Target="../../07-02-2024/Macro/07-02-2024/Macro/Tarikan%20JDE/1204.810110.xlsx" TargetMode="External"/><Relationship Id="rId113" Type="http://schemas.openxmlformats.org/officeDocument/2006/relationships/hyperlink" Target="../../07-02-2024/Macro/07-02-2024/Macro/Tarikan%20JDE/1205.630740.xlsx" TargetMode="External"/><Relationship Id="rId134" Type="http://schemas.openxmlformats.org/officeDocument/2006/relationships/hyperlink" Target="../../07-02-2024/Macro/07-02-2024/Macro/Tarikan%20JDE/1204.631100.xlsx" TargetMode="External"/><Relationship Id="rId80" Type="http://schemas.openxmlformats.org/officeDocument/2006/relationships/hyperlink" Target="../../07-02-2024/Macro/07-02-2024/Macro/Tarikan%20JDE/1201.815120.xlsx" TargetMode="External"/><Relationship Id="rId155" Type="http://schemas.openxmlformats.org/officeDocument/2006/relationships/hyperlink" Target="../../07-02-2024/Macro/07-02-2024/Macro/Tarikan%20JDE/1201.801110.xlsx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../Tarikan%20JDE/1201.630710.xlsx" TargetMode="External"/><Relationship Id="rId18" Type="http://schemas.openxmlformats.org/officeDocument/2006/relationships/hyperlink" Target="../../Tarikan%20JDE/1205.631100.xlsx" TargetMode="External"/><Relationship Id="rId26" Type="http://schemas.openxmlformats.org/officeDocument/2006/relationships/hyperlink" Target="../../Tarikan%20JDE/1205.631110.xlsx" TargetMode="External"/><Relationship Id="rId3" Type="http://schemas.openxmlformats.org/officeDocument/2006/relationships/hyperlink" Target="../../Tarikan%20JDE/1204.816110.xlsx" TargetMode="External"/><Relationship Id="rId21" Type="http://schemas.openxmlformats.org/officeDocument/2006/relationships/hyperlink" Target="../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../Tarikan%20JDE/1201.710200.xlsx" TargetMode="External"/><Relationship Id="rId12" Type="http://schemas.openxmlformats.org/officeDocument/2006/relationships/hyperlink" Target="../../Tarikan%20JDE/1204.809100.xlsx" TargetMode="External"/><Relationship Id="rId17" Type="http://schemas.openxmlformats.org/officeDocument/2006/relationships/hyperlink" Target="../../Tarikan%20JDE/1206.631100.xlsx" TargetMode="External"/><Relationship Id="rId25" Type="http://schemas.openxmlformats.org/officeDocument/2006/relationships/hyperlink" Target="../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../Tarikan%20JDE/1201.816110.xlsx" TargetMode="External"/><Relationship Id="rId16" Type="http://schemas.openxmlformats.org/officeDocument/2006/relationships/hyperlink" Target="../../Tarikan%20JDE/1206.816130.xlsx" TargetMode="External"/><Relationship Id="rId20" Type="http://schemas.openxmlformats.org/officeDocument/2006/relationships/hyperlink" Target="../../Tarikan%20JDE/1206.630130.xlsx" TargetMode="External"/><Relationship Id="rId29" Type="http://schemas.openxmlformats.org/officeDocument/2006/relationships/hyperlink" Target="../../Tarikan%20JDE/1204.630400.xlsx" TargetMode="External"/><Relationship Id="rId1" Type="http://schemas.openxmlformats.org/officeDocument/2006/relationships/hyperlink" Target="../../Tarikan%20JDE/1201.720400.xlsx" TargetMode="External"/><Relationship Id="rId6" Type="http://schemas.openxmlformats.org/officeDocument/2006/relationships/hyperlink" Target="../../Tarikan%20JDE/1205.630600.xlsx" TargetMode="External"/><Relationship Id="rId11" Type="http://schemas.openxmlformats.org/officeDocument/2006/relationships/hyperlink" Target="../../Tarikan%20JDE/1201.630530.xlsx" TargetMode="External"/><Relationship Id="rId24" Type="http://schemas.openxmlformats.org/officeDocument/2006/relationships/hyperlink" Target="../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../Tarikan%20JDE/1205.720100.xlsx" TargetMode="External"/><Relationship Id="rId15" Type="http://schemas.openxmlformats.org/officeDocument/2006/relationships/hyperlink" Target="../../Tarikan%20JDE/1201.810110.xlsx" TargetMode="External"/><Relationship Id="rId23" Type="http://schemas.openxmlformats.org/officeDocument/2006/relationships/hyperlink" Target="../../Tarikan%20JDE/1206.630400.xlsx" TargetMode="External"/><Relationship Id="rId28" Type="http://schemas.openxmlformats.org/officeDocument/2006/relationships/hyperlink" Target="../../Tarikan%20JDE/1204.720500.xlsx" TargetMode="External"/><Relationship Id="rId10" Type="http://schemas.openxmlformats.org/officeDocument/2006/relationships/hyperlink" Target="../../Tarikan%20JDE/1201.720500.xlsx" TargetMode="External"/><Relationship Id="rId19" Type="http://schemas.openxmlformats.org/officeDocument/2006/relationships/hyperlink" Target="../../Tarikan%20JDE/1204.631100.xlsx" TargetMode="External"/><Relationship Id="rId31" Type="http://schemas.openxmlformats.org/officeDocument/2006/relationships/hyperlink" Target="../../Tarikan%20JDE/1204.631110.xlsx" TargetMode="External"/><Relationship Id="rId4" Type="http://schemas.openxmlformats.org/officeDocument/2006/relationships/hyperlink" Target="../../Tarikan%20JDE/1205.631100.xlsx" TargetMode="External"/><Relationship Id="rId9" Type="http://schemas.openxmlformats.org/officeDocument/2006/relationships/hyperlink" Target="../../Tarikan%20JDE/1201.730200.xlsx" TargetMode="External"/><Relationship Id="rId14" Type="http://schemas.openxmlformats.org/officeDocument/2006/relationships/hyperlink" Target="../../Tarikan%20JDE/1201.630720.xlsx" TargetMode="External"/><Relationship Id="rId22" Type="http://schemas.openxmlformats.org/officeDocument/2006/relationships/hyperlink" Target="../../Tarikan%20JDE/1206.631110.xlsx" TargetMode="External"/><Relationship Id="rId27" Type="http://schemas.openxmlformats.org/officeDocument/2006/relationships/hyperlink" Target="../../Tarikan%20JDE/1204.630130.xlsx" TargetMode="External"/><Relationship Id="rId30" Type="http://schemas.openxmlformats.org/officeDocument/2006/relationships/hyperlink" Target="../../Tarikan%20JDE/1204.630720.xlsx" TargetMode="External"/><Relationship Id="rId8" Type="http://schemas.openxmlformats.org/officeDocument/2006/relationships/hyperlink" Target="../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Home">
    <tabColor rgb="FF00B0F0"/>
  </sheetPr>
  <dimension ref="A1:H35"/>
  <sheetViews>
    <sheetView showGridLines="0" zoomScaleNormal="100" workbookViewId="0">
      <selection activeCell="C19" sqref="C19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60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29" t="s">
        <v>315</v>
      </c>
      <c r="D1" s="229"/>
      <c r="E1" s="229"/>
      <c r="F1" s="2"/>
    </row>
    <row r="2" spans="1:8" ht="33" customHeight="1">
      <c r="C2" s="238" t="s">
        <v>325</v>
      </c>
      <c r="D2" s="239"/>
      <c r="E2" s="240"/>
      <c r="F2" s="12" t="s">
        <v>209</v>
      </c>
    </row>
    <row r="3" spans="1:8" ht="12" customHeight="1">
      <c r="C3" s="241"/>
      <c r="D3" s="242"/>
      <c r="E3" s="243"/>
      <c r="F3" s="12"/>
    </row>
    <row r="4" spans="1:8" ht="12" customHeight="1">
      <c r="C4" s="241"/>
      <c r="D4" s="242"/>
      <c r="E4" s="243"/>
      <c r="F4" s="12"/>
    </row>
    <row r="5" spans="1:8" ht="12" customHeight="1">
      <c r="B5" s="140"/>
      <c r="C5" s="241"/>
      <c r="D5" s="242"/>
      <c r="E5" s="243"/>
      <c r="F5" s="139"/>
    </row>
    <row r="6" spans="1:8" ht="4.5" customHeight="1">
      <c r="B6" s="230"/>
      <c r="C6" s="230"/>
      <c r="D6" s="230"/>
      <c r="E6" s="230"/>
      <c r="F6" s="230"/>
    </row>
    <row r="7" spans="1:8" ht="18" customHeight="1">
      <c r="B7" s="137"/>
      <c r="C7" s="232" t="s">
        <v>529</v>
      </c>
      <c r="D7" s="233"/>
      <c r="E7" s="234"/>
      <c r="F7" s="138"/>
    </row>
    <row r="8" spans="1:8" ht="12" customHeight="1">
      <c r="C8" s="232"/>
      <c r="D8" s="233"/>
      <c r="E8" s="234"/>
      <c r="F8" s="12"/>
    </row>
    <row r="9" spans="1:8" ht="6.75" customHeight="1">
      <c r="A9" s="230"/>
      <c r="B9" s="230"/>
      <c r="C9" s="235"/>
      <c r="D9" s="236"/>
      <c r="E9" s="237"/>
      <c r="F9" s="12"/>
    </row>
    <row r="10" spans="1:8" ht="18" customHeight="1">
      <c r="A10" s="230"/>
      <c r="B10" s="230"/>
      <c r="C10" s="231" t="s">
        <v>316</v>
      </c>
      <c r="D10" s="231"/>
      <c r="E10" s="231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28" t="s">
        <v>533</v>
      </c>
      <c r="D12" s="228"/>
      <c r="E12" s="6" t="s">
        <v>358</v>
      </c>
      <c r="F12" s="12" t="s">
        <v>209</v>
      </c>
    </row>
    <row r="13" spans="1:8">
      <c r="C13" s="11" t="s">
        <v>532</v>
      </c>
      <c r="D13" s="11"/>
      <c r="E13" s="6" t="s">
        <v>326</v>
      </c>
      <c r="F13" s="12" t="s">
        <v>209</v>
      </c>
    </row>
    <row r="14" spans="1:8">
      <c r="C14" s="228" t="s">
        <v>530</v>
      </c>
      <c r="D14" s="228"/>
      <c r="E14" s="15" t="s">
        <v>346</v>
      </c>
      <c r="F14" s="12" t="s">
        <v>209</v>
      </c>
    </row>
    <row r="15" spans="1:8">
      <c r="C15" s="11" t="s">
        <v>531</v>
      </c>
      <c r="D15" s="11"/>
      <c r="E15" s="15" t="s">
        <v>347</v>
      </c>
      <c r="F15" s="12" t="s">
        <v>209</v>
      </c>
    </row>
    <row r="16" spans="1:8">
      <c r="C16" s="11" t="s">
        <v>581</v>
      </c>
      <c r="D16" s="11"/>
      <c r="E16" s="17" t="s">
        <v>580</v>
      </c>
      <c r="F16" s="12" t="s">
        <v>209</v>
      </c>
      <c r="H16" t="s">
        <v>542</v>
      </c>
    </row>
    <row r="17" spans="3:8">
      <c r="C17" s="11" t="s">
        <v>534</v>
      </c>
      <c r="D17" s="11"/>
      <c r="E17" s="6" t="s">
        <v>550</v>
      </c>
      <c r="F17" s="12" t="s">
        <v>209</v>
      </c>
      <c r="H17" s="141" t="s">
        <v>550</v>
      </c>
    </row>
    <row r="18" spans="3:8">
      <c r="C18" s="11" t="s">
        <v>582</v>
      </c>
      <c r="D18" s="11"/>
      <c r="E18" s="141" t="s">
        <v>583</v>
      </c>
      <c r="F18" s="12" t="s">
        <v>209</v>
      </c>
    </row>
    <row r="19" spans="3:8">
      <c r="C19" s="11" t="s">
        <v>579</v>
      </c>
      <c r="D19" s="11"/>
      <c r="E19" s="141" t="s">
        <v>584</v>
      </c>
      <c r="F19" s="12" t="s">
        <v>209</v>
      </c>
    </row>
    <row r="20" spans="3:8">
      <c r="C20" s="11"/>
      <c r="D20" s="11"/>
      <c r="E20" s="141"/>
      <c r="F20" s="12"/>
    </row>
    <row r="21" spans="3:8" ht="1.5" customHeight="1">
      <c r="C21" s="227"/>
      <c r="D21" s="227"/>
      <c r="E21" s="227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00000000-0004-0000-0000-000000000000}"/>
    <hyperlink ref="E13" r:id="rId2" xr:uid="{00000000-0004-0000-0000-000001000000}"/>
    <hyperlink ref="E12" r:id="rId3" xr:uid="{00000000-0004-0000-0000-000002000000}"/>
    <hyperlink ref="H17" r:id="rId4" xr:uid="{00000000-0004-0000-0000-000003000000}"/>
    <hyperlink ref="E17" r:id="rId5" xr:uid="{00000000-0004-0000-0000-000004000000}"/>
    <hyperlink ref="E18" r:id="rId6" xr:uid="{00000000-0004-0000-0000-000005000000}"/>
    <hyperlink ref="E19" r:id="rId7" xr:uid="{00000000-0004-0000-0000-000006000000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28" r:id="rId10" name="btn_ActualCost">
          <controlPr defaultSize="0" autoLine="0" r:id="rId1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10" name="btn_ActualCost"/>
      </mc:Fallback>
    </mc:AlternateContent>
    <mc:AlternateContent xmlns:mc="http://schemas.openxmlformats.org/markup-compatibility/2006">
      <mc:Choice Requires="x14">
        <control shapeId="9226" r:id="rId12" name="btn_UpdateRemark">
          <controlPr defaultSize="0" autoLine="0" autoPict="0" r:id="rId13">
            <anchor moveWithCells="1">
              <from>
                <xdr:col>4</xdr:col>
                <xdr:colOff>2495550</xdr:colOff>
                <xdr:row>1</xdr:row>
                <xdr:rowOff>47625</xdr:rowOff>
              </from>
              <to>
                <xdr:col>4</xdr:col>
                <xdr:colOff>3867150</xdr:colOff>
                <xdr:row>1</xdr:row>
                <xdr:rowOff>381000</xdr:rowOff>
              </to>
            </anchor>
          </controlPr>
        </control>
      </mc:Choice>
      <mc:Fallback>
        <control shapeId="9226" r:id="rId12" name="btn_UpdateRemark"/>
      </mc:Fallback>
    </mc:AlternateContent>
    <mc:AlternateContent xmlns:mc="http://schemas.openxmlformats.org/markup-compatibility/2006">
      <mc:Choice Requires="x14">
        <control shapeId="9225" r:id="rId14" name="btn_RPA_AccLedger">
          <controlPr defaultSize="0" autoLine="0" r:id="rId15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4" name="btn_RPA_AccLedger"/>
      </mc:Fallback>
    </mc:AlternateContent>
    <mc:AlternateContent xmlns:mc="http://schemas.openxmlformats.org/markup-compatibility/2006">
      <mc:Choice Requires="x14">
        <control shapeId="9218" r:id="rId16" name="btn_Execute">
          <controlPr defaultSize="0" autoLine="0" autoPict="0" r:id="rId17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6" name="btn_Execute"/>
      </mc:Fallback>
    </mc:AlternateContent>
    <mc:AlternateContent xmlns:mc="http://schemas.openxmlformats.org/markup-compatibility/2006">
      <mc:Choice Requires="x14">
        <control shapeId="9224" r:id="rId18" name="btn_UpdateDataAccount">
          <controlPr defaultSize="0" autoLine="0" autoPict="0" r:id="rId19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8" name="btn_UpdateDataAccount"/>
      </mc:Fallback>
    </mc:AlternateContent>
    <mc:AlternateContent xmlns:mc="http://schemas.openxmlformats.org/markup-compatibility/2006">
      <mc:Choice Requires="x14">
        <control shapeId="9230" r:id="rId20" name="btn_ShareDataCosting">
          <controlPr defaultSize="0" autoLine="0" autoPict="0" r:id="rId2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20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L21"/>
  <sheetViews>
    <sheetView workbookViewId="0">
      <selection activeCell="C2" sqref="C2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46" t="s">
        <v>323</v>
      </c>
      <c r="B1" s="247"/>
      <c r="C1" s="248"/>
      <c r="D1" s="70"/>
      <c r="E1" s="70"/>
      <c r="F1" s="70"/>
      <c r="G1" s="249" t="s">
        <v>345</v>
      </c>
      <c r="H1" s="250"/>
      <c r="I1" s="250"/>
      <c r="J1" s="250"/>
      <c r="K1" s="250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5"/>
      <c r="E2" s="85"/>
      <c r="F2" s="85"/>
      <c r="G2" s="78" t="s">
        <v>320</v>
      </c>
      <c r="H2" s="79" t="s">
        <v>321</v>
      </c>
      <c r="I2" s="80" t="s">
        <v>170</v>
      </c>
      <c r="J2" s="80" t="s">
        <v>327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62731.05</v>
      </c>
      <c r="D3" s="69"/>
      <c r="E3" s="69"/>
      <c r="F3" s="69"/>
      <c r="G3" s="52" t="s">
        <v>9</v>
      </c>
      <c r="H3" s="84">
        <f t="shared" ref="H3:H10" si="0">I3/$I$11</f>
        <v>7.469205809242635E-2</v>
      </c>
      <c r="I3" s="83">
        <f>SUMIF('All Costing'!$A$6:$A$1048576,RESUME!G3,'All Costing'!$G$6:$H$1048576)</f>
        <v>62731.05</v>
      </c>
      <c r="J3" s="83">
        <f>SUMIF('All Costing'!$A$6:$A$1048576,RESUME!G3,'All Costing'!$H$6:$H$1048576)</f>
        <v>45607.05</v>
      </c>
      <c r="K3" s="83">
        <f t="shared" ref="K3:K10" si="1">I3-J3</f>
        <v>17124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s="52" t="s">
        <v>35</v>
      </c>
      <c r="H4" s="84">
        <f t="shared" si="0"/>
        <v>0.27500938762048516</v>
      </c>
      <c r="I4" s="83">
        <f>SUMIF('All Costing'!$A$6:$A$1048576,RESUME!G4,'All Costing'!$G$6:$H$1048576)</f>
        <v>230970.03999999998</v>
      </c>
      <c r="J4" s="83">
        <f>SUMIF('All Costing'!$A$6:$A$1048576,RESUME!G4,'All Costing'!$H$6:$H$1048576)</f>
        <v>12242.990000000002</v>
      </c>
      <c r="K4" s="83">
        <f t="shared" si="1"/>
        <v>218727.05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s="52" t="s">
        <v>43</v>
      </c>
      <c r="H5" s="84">
        <f t="shared" si="0"/>
        <v>1.0120705675827584E-2</v>
      </c>
      <c r="I5" s="83">
        <f>SUMIF('All Costing'!$A$6:$A$1048576,RESUME!G5,'All Costing'!$G$6:$H$1048576)</f>
        <v>8500</v>
      </c>
      <c r="J5" s="83">
        <f>SUMIF('All Costing'!$A$6:$A$1048576,RESUME!G5,'All Costing'!$H$6:$H$1048576)</f>
        <v>386.13</v>
      </c>
      <c r="K5" s="83">
        <f t="shared" si="1"/>
        <v>8113.87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s="52" t="s">
        <v>311</v>
      </c>
      <c r="H6" s="84">
        <f t="shared" si="0"/>
        <v>1.1906712559797159E-3</v>
      </c>
      <c r="I6" s="83">
        <f>SUMIF('All Costing'!$A$6:$A$1048576,RESUME!G6,'All Costing'!$G$6:$H$1048576)</f>
        <v>1000</v>
      </c>
      <c r="J6" s="83">
        <f>SUMIF('All Costing'!$A$6:$A$1048576,RESUME!G6,'All Costing'!$H$6:$H$1048576)</f>
        <v>2723.49</v>
      </c>
      <c r="K6" s="83">
        <f t="shared" si="1"/>
        <v>-1723.4899999999998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100002.22999999998</v>
      </c>
      <c r="D7" s="69"/>
      <c r="E7" s="69"/>
      <c r="F7" s="69"/>
      <c r="G7" s="52" t="s">
        <v>65</v>
      </c>
      <c r="H7" s="84">
        <f t="shared" si="0"/>
        <v>0.11906978079487239</v>
      </c>
      <c r="I7" s="83">
        <f>SUMIF('All Costing'!$A$6:$A$1048576,RESUME!G7,'All Costing'!$G$6:$H$1048576)</f>
        <v>100002.22999999998</v>
      </c>
      <c r="J7" s="83">
        <f>SUMIF('All Costing'!$A$6:$A$1048576,RESUME!G7,'All Costing'!$H$6:$H$1048576)</f>
        <v>36205.400000000023</v>
      </c>
      <c r="K7" s="83">
        <f t="shared" si="1"/>
        <v>63796.829999999958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s="52" t="s">
        <v>139</v>
      </c>
      <c r="H8" s="84">
        <f t="shared" si="0"/>
        <v>0.11965864432651641</v>
      </c>
      <c r="I8" s="83">
        <f>SUMIF('All Costing'!$A$6:$A$1048576,RESUME!G8,'All Costing'!$G$6:$H$1048576)</f>
        <v>100496.79432973135</v>
      </c>
      <c r="J8" s="83">
        <f>SUMIF('All Costing'!$A$6:$A$1048576,RESUME!G8,'All Costing'!$H$6:$H$1048576)</f>
        <v>15400.28</v>
      </c>
      <c r="K8" s="83">
        <f t="shared" si="1"/>
        <v>85096.514329731348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s="52" t="s">
        <v>322</v>
      </c>
      <c r="H9" s="84">
        <f t="shared" si="0"/>
        <v>0.29507347230198733</v>
      </c>
      <c r="I9" s="83">
        <f>SUMIF('All Costing'!$A$6:$A$1048576,RESUME!G9,'All Costing'!$G$6:$H$1048576)</f>
        <v>247821.11000000002</v>
      </c>
      <c r="J9" s="83">
        <f>SUMIF('All Costing'!$A$6:$A$1048576,RESUME!G9,'All Costing'!$H$6:$H$1048576)</f>
        <v>38261.370000000003</v>
      </c>
      <c r="K9" s="83">
        <f t="shared" si="1"/>
        <v>209559.74000000002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s="52" t="s">
        <v>157</v>
      </c>
      <c r="H10" s="84">
        <f t="shared" si="0"/>
        <v>0.10518527993190503</v>
      </c>
      <c r="I10" s="83">
        <f>SUMIF('All Costing'!$A$6:$A$1048576,RESUME!G10,'All Costing'!$G$6:$H$1048576)</f>
        <v>88341.16</v>
      </c>
      <c r="J10" s="83">
        <f>SUMIF('All Costing'!$A$6:$A$1048576,RESUME!G10,'All Costing'!$H$6:$H$1048576)</f>
        <v>6677.2400000000007</v>
      </c>
      <c r="K10" s="83">
        <f t="shared" si="1"/>
        <v>81663.92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44" t="s">
        <v>34</v>
      </c>
      <c r="H11" s="245"/>
      <c r="I11" s="86">
        <f>SUM(I3:I10)</f>
        <v>839862.38432973134</v>
      </c>
      <c r="J11" s="86">
        <f>SUM(J3:J10)</f>
        <v>157503.95000000001</v>
      </c>
      <c r="K11" s="86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 s="16"/>
      <c r="I12"/>
      <c r="J12"/>
      <c r="K12"/>
    </row>
    <row r="13" spans="1:12">
      <c r="A13" s="244" t="s">
        <v>34</v>
      </c>
      <c r="B13" s="245"/>
      <c r="C13" s="87"/>
      <c r="D13" s="69"/>
      <c r="E13" s="69"/>
      <c r="F13" s="69"/>
      <c r="H13" s="16"/>
      <c r="I13"/>
      <c r="J13"/>
      <c r="K13"/>
    </row>
    <row r="14" spans="1:12">
      <c r="D14" s="69"/>
      <c r="E14" s="69"/>
      <c r="F14" s="69"/>
      <c r="H14" s="16"/>
      <c r="I14"/>
      <c r="J14"/>
      <c r="K14"/>
    </row>
    <row r="15" spans="1:12">
      <c r="D15" s="69"/>
      <c r="E15" s="69"/>
      <c r="F15" s="69"/>
      <c r="H15" s="16"/>
      <c r="I15"/>
      <c r="J15"/>
      <c r="K15"/>
    </row>
    <row r="16" spans="1:12">
      <c r="D16" s="69"/>
      <c r="E16" s="69"/>
      <c r="F16" s="69"/>
      <c r="H16" s="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A168"/>
  <sheetViews>
    <sheetView tabSelected="1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16" sqref="O16"/>
    </sheetView>
  </sheetViews>
  <sheetFormatPr defaultColWidth="16.28515625" defaultRowHeight="15.75"/>
  <cols>
    <col min="1" max="1" width="27.5703125" style="203" bestFit="1" customWidth="1"/>
    <col min="2" max="2" width="35.42578125" style="203" customWidth="1"/>
    <col min="3" max="3" width="51.85546875" style="203" customWidth="1"/>
    <col min="4" max="4" width="19.85546875" style="204" customWidth="1"/>
    <col min="5" max="5" width="17.42578125" style="204" hidden="1" customWidth="1"/>
    <col min="6" max="6" width="36.85546875" style="204" hidden="1" customWidth="1"/>
    <col min="7" max="7" width="20.7109375" style="205" hidden="1" customWidth="1"/>
    <col min="8" max="8" width="22.7109375" style="205" hidden="1" customWidth="1"/>
    <col min="9" max="9" width="19" style="205" hidden="1" customWidth="1"/>
    <col min="10" max="10" width="16.28515625" style="206" hidden="1" customWidth="1"/>
    <col min="11" max="11" width="24.28515625" style="207" hidden="1" customWidth="1"/>
    <col min="12" max="12" width="21.28515625" style="207" hidden="1" customWidth="1"/>
    <col min="13" max="13" width="26.28515625" style="207" hidden="1" customWidth="1"/>
    <col min="14" max="14" width="33.28515625" style="208" bestFit="1" customWidth="1"/>
    <col min="15" max="15" width="27.28515625" style="204" customWidth="1"/>
    <col min="16" max="16" width="19.28515625" style="204" customWidth="1"/>
    <col min="17" max="17" width="79.140625" style="20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44" t="str">
        <f ca="1">"MONTHLY BUDGET TH "&amp;YEAR(TODAY())</f>
        <v>MONTHLY BUDGET TH 2024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36"/>
      <c r="O1" s="136"/>
      <c r="P1" s="144"/>
      <c r="Q1" s="144"/>
      <c r="R1" s="132"/>
    </row>
    <row r="2" spans="1:27" ht="15.75" customHeigh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36"/>
      <c r="O2" s="136"/>
      <c r="P2" s="144"/>
      <c r="Q2" s="144"/>
      <c r="R2" s="132"/>
    </row>
    <row r="3" spans="1:27" s="41" customFormat="1" ht="17.25" customHeight="1">
      <c r="A3" s="135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6"/>
      <c r="M3" s="126"/>
      <c r="N3" s="40"/>
      <c r="O3" s="37"/>
      <c r="P3" s="37"/>
      <c r="Q3" s="43"/>
      <c r="R3" s="133"/>
    </row>
    <row r="4" spans="1:27" s="41" customFormat="1" ht="16.5" customHeight="1">
      <c r="A4" s="43"/>
      <c r="B4" s="43"/>
      <c r="C4" s="43"/>
      <c r="D4" s="37"/>
      <c r="E4" s="37"/>
      <c r="F4" s="37"/>
      <c r="G4" s="155"/>
      <c r="H4" s="156"/>
      <c r="I4" s="42"/>
      <c r="J4" s="39"/>
      <c r="K4" s="129">
        <v>0.8</v>
      </c>
      <c r="L4" s="129">
        <v>1</v>
      </c>
      <c r="M4" s="128"/>
      <c r="N4" s="40"/>
      <c r="O4" s="37"/>
      <c r="P4" s="37"/>
      <c r="Q4" s="37"/>
      <c r="R4" s="133"/>
    </row>
    <row r="5" spans="1:27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58" t="s">
        <v>523</v>
      </c>
      <c r="H5" s="143" t="s">
        <v>6</v>
      </c>
      <c r="I5" s="143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134"/>
    </row>
    <row r="6" spans="1:27">
      <c r="A6" s="187" t="s">
        <v>9</v>
      </c>
      <c r="B6" s="141" t="s">
        <v>10</v>
      </c>
      <c r="C6" s="187" t="s">
        <v>11</v>
      </c>
      <c r="D6" s="189" t="s">
        <v>12</v>
      </c>
      <c r="E6" s="189" t="s">
        <v>13</v>
      </c>
      <c r="F6" s="189"/>
      <c r="G6" s="190">
        <v>10000</v>
      </c>
      <c r="H6" s="190">
        <v>15169.11</v>
      </c>
      <c r="I6" s="190">
        <f t="shared" ref="I6:I41" si="0">G6-H6</f>
        <v>-5169.1100000000006</v>
      </c>
      <c r="J6" s="191">
        <f>IFERROR(G6/VLOOKUP(A6,RESUME!$G$3:$I$10,3,FALSE),0)</f>
        <v>0.15941069055914095</v>
      </c>
      <c r="K6" s="190">
        <f t="shared" ref="K6:K41" si="1">G6*$K$4</f>
        <v>8000</v>
      </c>
      <c r="L6" s="190">
        <f t="shared" ref="L6:L41" si="2">G6*$L$4</f>
        <v>10000</v>
      </c>
      <c r="M6" s="192">
        <f t="shared" ref="M6:M18" si="3">IF(L6=0,0,IF(H6&gt;L6,0,L6/IF(H6&gt;=K6,H6,K6)*J6))</f>
        <v>0</v>
      </c>
      <c r="N6" s="193" t="str">
        <f>_xlfn.IFNA(VLOOKUP(A6&amp;"-"&amp;B6&amp;"-"&amp;D6,Ref_Account!$A:$F,6,FALSE),"ACCOUNT TIDAK DITEMUKAN")</f>
        <v>1201.720400</v>
      </c>
      <c r="O6" s="189">
        <f t="shared" ref="O6:O18" si="4">IF(N6="ACCOUNT TIDAK DITEMUKAN","9999",COUNTIF($N$6:$N$170,N6))</f>
        <v>1</v>
      </c>
      <c r="P6" s="189" t="str">
        <f t="shared" ref="P6:P41" si="5">IF(I6&gt;0,"OK","OVER")</f>
        <v>OVER</v>
      </c>
      <c r="Q6" s="194" t="s">
        <v>551</v>
      </c>
      <c r="R6" s="145"/>
      <c r="AA6" s="148"/>
    </row>
    <row r="7" spans="1:27">
      <c r="A7" s="195" t="s">
        <v>9</v>
      </c>
      <c r="B7" s="196" t="s">
        <v>10</v>
      </c>
      <c r="C7" s="195" t="s">
        <v>11</v>
      </c>
      <c r="D7" s="197" t="s">
        <v>14</v>
      </c>
      <c r="E7" s="197" t="s">
        <v>15</v>
      </c>
      <c r="F7" s="197"/>
      <c r="G7" s="198">
        <v>10000</v>
      </c>
      <c r="H7" s="198">
        <v>7555.56</v>
      </c>
      <c r="I7" s="198">
        <f t="shared" si="0"/>
        <v>2444.4399999999996</v>
      </c>
      <c r="J7" s="199">
        <f>IFERROR(G7/VLOOKUP(A7,RESUME!$G$3:$I$10,3,FALSE),0)</f>
        <v>0.15941069055914095</v>
      </c>
      <c r="K7" s="198">
        <f t="shared" si="1"/>
        <v>8000</v>
      </c>
      <c r="L7" s="198">
        <f t="shared" si="2"/>
        <v>10000</v>
      </c>
      <c r="M7" s="200">
        <f t="shared" si="3"/>
        <v>0.19926336319892618</v>
      </c>
      <c r="N7" s="201" t="str">
        <f>_xlfn.IFNA(VLOOKUP(A7&amp;"-"&amp;B7&amp;"-"&amp;D7,Ref_Account!$A:$F,6,FALSE),"ACCOUNT TIDAK DITEMUKAN")</f>
        <v>1204.720400</v>
      </c>
      <c r="O7" s="197">
        <f t="shared" si="4"/>
        <v>1</v>
      </c>
      <c r="P7" s="197" t="str">
        <f t="shared" si="5"/>
        <v>OK</v>
      </c>
      <c r="Q7" s="202" t="s">
        <v>528</v>
      </c>
      <c r="R7" s="145"/>
      <c r="AA7" s="148"/>
    </row>
    <row r="8" spans="1:27">
      <c r="A8" s="187" t="s">
        <v>9</v>
      </c>
      <c r="B8" s="188" t="s">
        <v>16</v>
      </c>
      <c r="C8" s="187" t="s">
        <v>17</v>
      </c>
      <c r="D8" s="189" t="s">
        <v>12</v>
      </c>
      <c r="E8" s="189" t="s">
        <v>18</v>
      </c>
      <c r="F8" s="189"/>
      <c r="G8" s="190">
        <v>1987.05</v>
      </c>
      <c r="H8" s="190">
        <v>2284</v>
      </c>
      <c r="I8" s="190">
        <f t="shared" si="0"/>
        <v>-296.95000000000005</v>
      </c>
      <c r="J8" s="191">
        <f>IFERROR(G8/VLOOKUP(A8,RESUME!$G$3:$I$10,3,FALSE),0)</f>
        <v>3.1675701267554104E-2</v>
      </c>
      <c r="K8" s="190">
        <f t="shared" si="1"/>
        <v>1589.64</v>
      </c>
      <c r="L8" s="190">
        <f t="shared" si="2"/>
        <v>1987.05</v>
      </c>
      <c r="M8" s="192">
        <f t="shared" si="3"/>
        <v>0</v>
      </c>
      <c r="N8" s="193" t="str">
        <f>_xlfn.IFNA(VLOOKUP(A8&amp;"-"&amp;B8&amp;"-"&amp;D8,Ref_Account!$A:$F,6,FALSE),"ACCOUNT TIDAK DITEMUKAN")</f>
        <v>1201.816110</v>
      </c>
      <c r="O8" s="189">
        <f t="shared" si="4"/>
        <v>1</v>
      </c>
      <c r="P8" s="189" t="str">
        <f t="shared" si="5"/>
        <v>OVER</v>
      </c>
      <c r="Q8" s="194" t="s">
        <v>552</v>
      </c>
      <c r="R8" s="145"/>
      <c r="AA8" s="148"/>
    </row>
    <row r="9" spans="1:27">
      <c r="A9" s="195" t="s">
        <v>9</v>
      </c>
      <c r="B9" s="196" t="s">
        <v>16</v>
      </c>
      <c r="C9" s="195" t="s">
        <v>17</v>
      </c>
      <c r="D9" s="197" t="s">
        <v>14</v>
      </c>
      <c r="E9" s="197" t="s">
        <v>19</v>
      </c>
      <c r="F9" s="197"/>
      <c r="G9" s="198">
        <v>326</v>
      </c>
      <c r="H9" s="198">
        <v>394.88</v>
      </c>
      <c r="I9" s="198">
        <f t="shared" si="0"/>
        <v>-68.88</v>
      </c>
      <c r="J9" s="199">
        <f>IFERROR(G9/VLOOKUP(A9,RESUME!$G$3:$I$10,3,FALSE),0)</f>
        <v>5.1967885122279952E-3</v>
      </c>
      <c r="K9" s="198">
        <f t="shared" si="1"/>
        <v>260.8</v>
      </c>
      <c r="L9" s="198">
        <f t="shared" si="2"/>
        <v>326</v>
      </c>
      <c r="M9" s="200">
        <f t="shared" si="3"/>
        <v>0</v>
      </c>
      <c r="N9" s="201" t="str">
        <f>_xlfn.IFNA(VLOOKUP(A9&amp;"-"&amp;B9&amp;"-"&amp;D9,Ref_Account!$A:$F,6,FALSE),"ACCOUNT TIDAK DITEMUKAN")</f>
        <v>1204.816110</v>
      </c>
      <c r="O9" s="197">
        <f t="shared" si="4"/>
        <v>1</v>
      </c>
      <c r="P9" s="197" t="str">
        <f t="shared" si="5"/>
        <v>OVER</v>
      </c>
      <c r="Q9" s="202" t="s">
        <v>553</v>
      </c>
      <c r="R9" s="145"/>
      <c r="AA9" s="148"/>
    </row>
    <row r="10" spans="1:27">
      <c r="A10" s="195" t="s">
        <v>9</v>
      </c>
      <c r="B10" s="196" t="s">
        <v>25</v>
      </c>
      <c r="C10" s="195" t="s">
        <v>26</v>
      </c>
      <c r="D10" s="197" t="s">
        <v>12</v>
      </c>
      <c r="E10" s="197" t="s">
        <v>27</v>
      </c>
      <c r="F10" s="197"/>
      <c r="G10" s="198">
        <v>639</v>
      </c>
      <c r="H10" s="198">
        <v>513.23</v>
      </c>
      <c r="I10" s="198">
        <f t="shared" si="0"/>
        <v>125.76999999999998</v>
      </c>
      <c r="J10" s="199">
        <f>IFERROR(G10/VLOOKUP(A10,RESUME!$G$3:$I$10,3,FALSE),0)</f>
        <v>1.0186343126729107E-2</v>
      </c>
      <c r="K10" s="198">
        <f t="shared" si="1"/>
        <v>511.20000000000005</v>
      </c>
      <c r="L10" s="198">
        <f t="shared" si="2"/>
        <v>639</v>
      </c>
      <c r="M10" s="200">
        <f t="shared" si="3"/>
        <v>1.268256582425014E-2</v>
      </c>
      <c r="N10" s="201" t="str">
        <f>_xlfn.IFNA(VLOOKUP(A10&amp;"-"&amp;B10&amp;"-"&amp;D10,Ref_Account!$A:$F,6,FALSE),"ACCOUNT TIDAK DITEMUKAN")</f>
        <v>1201.631180</v>
      </c>
      <c r="O10" s="197">
        <f t="shared" si="4"/>
        <v>1</v>
      </c>
      <c r="P10" s="197" t="str">
        <f t="shared" si="5"/>
        <v>OK</v>
      </c>
      <c r="Q10" s="202" t="s">
        <v>528</v>
      </c>
      <c r="R10" s="145"/>
      <c r="AA10" s="148"/>
    </row>
    <row r="11" spans="1:27">
      <c r="A11" s="187" t="s">
        <v>9</v>
      </c>
      <c r="B11" s="188" t="s">
        <v>25</v>
      </c>
      <c r="C11" s="187" t="s">
        <v>26</v>
      </c>
      <c r="D11" s="189" t="s">
        <v>23</v>
      </c>
      <c r="E11" s="189" t="s">
        <v>28</v>
      </c>
      <c r="F11" s="189"/>
      <c r="G11" s="190">
        <v>1265</v>
      </c>
      <c r="H11" s="190">
        <v>839.63</v>
      </c>
      <c r="I11" s="190">
        <f t="shared" si="0"/>
        <v>425.37</v>
      </c>
      <c r="J11" s="191">
        <f>IFERROR(G11/VLOOKUP(A11,RESUME!$G$3:$I$10,3,FALSE),0)</f>
        <v>2.016545235573133E-2</v>
      </c>
      <c r="K11" s="190">
        <f t="shared" si="1"/>
        <v>1012</v>
      </c>
      <c r="L11" s="190">
        <f t="shared" si="2"/>
        <v>1265</v>
      </c>
      <c r="M11" s="192">
        <f t="shared" si="3"/>
        <v>2.5206815444664164E-2</v>
      </c>
      <c r="N11" s="193" t="str">
        <f>_xlfn.IFNA(VLOOKUP(A11&amp;"-"&amp;B11&amp;"-"&amp;D11,Ref_Account!$A:$F,6,FALSE),"ACCOUNT TIDAK DITEMUKAN")</f>
        <v>1204.631180</v>
      </c>
      <c r="O11" s="189">
        <f t="shared" si="4"/>
        <v>1</v>
      </c>
      <c r="P11" s="189" t="str">
        <f t="shared" si="5"/>
        <v>OK</v>
      </c>
      <c r="Q11" s="194" t="s">
        <v>528</v>
      </c>
      <c r="R11" s="145"/>
      <c r="AA11" s="148"/>
    </row>
    <row r="12" spans="1:27">
      <c r="A12" s="195" t="s">
        <v>9</v>
      </c>
      <c r="B12" s="196" t="s">
        <v>25</v>
      </c>
      <c r="C12" s="195" t="s">
        <v>26</v>
      </c>
      <c r="D12" s="197" t="s">
        <v>14</v>
      </c>
      <c r="E12" s="197" t="s">
        <v>28</v>
      </c>
      <c r="F12" s="197"/>
      <c r="G12" s="198">
        <v>2489</v>
      </c>
      <c r="H12" s="198">
        <v>457.93</v>
      </c>
      <c r="I12" s="198">
        <f t="shared" si="0"/>
        <v>2031.07</v>
      </c>
      <c r="J12" s="199">
        <f>IFERROR(G12/VLOOKUP(A12,RESUME!$G$3:$I$10,3,FALSE),0)</f>
        <v>3.9677320880170182E-2</v>
      </c>
      <c r="K12" s="198">
        <f t="shared" si="1"/>
        <v>1991.2</v>
      </c>
      <c r="L12" s="198">
        <f t="shared" si="2"/>
        <v>2489</v>
      </c>
      <c r="M12" s="200">
        <f t="shared" si="3"/>
        <v>4.9596651100212726E-2</v>
      </c>
      <c r="N12" s="201" t="str">
        <f>_xlfn.IFNA(VLOOKUP(A12&amp;"-"&amp;B12&amp;"-"&amp;D12,Ref_Account!$A:$F,6,FALSE),"ACCOUNT TIDAK DITEMUKAN")</f>
        <v>1205.631180</v>
      </c>
      <c r="O12" s="197">
        <f t="shared" si="4"/>
        <v>1</v>
      </c>
      <c r="P12" s="197" t="str">
        <f t="shared" si="5"/>
        <v>OK</v>
      </c>
      <c r="Q12" s="202" t="s">
        <v>528</v>
      </c>
      <c r="R12" s="145"/>
      <c r="AA12" s="148"/>
    </row>
    <row r="13" spans="1:27">
      <c r="A13" s="187" t="s">
        <v>9</v>
      </c>
      <c r="B13" s="188" t="s">
        <v>29</v>
      </c>
      <c r="C13" s="187" t="s">
        <v>30</v>
      </c>
      <c r="D13" s="189" t="s">
        <v>12</v>
      </c>
      <c r="E13" s="189" t="s">
        <v>27</v>
      </c>
      <c r="F13" s="189"/>
      <c r="G13" s="190">
        <v>1025</v>
      </c>
      <c r="H13" s="190">
        <v>29</v>
      </c>
      <c r="I13" s="190">
        <f t="shared" si="0"/>
        <v>996</v>
      </c>
      <c r="J13" s="191">
        <f>IFERROR(G13/VLOOKUP(A13,RESUME!$G$3:$I$10,3,FALSE),0)</f>
        <v>1.633959578231195E-2</v>
      </c>
      <c r="K13" s="190">
        <f t="shared" si="1"/>
        <v>820</v>
      </c>
      <c r="L13" s="190">
        <f t="shared" si="2"/>
        <v>1025</v>
      </c>
      <c r="M13" s="192">
        <f t="shared" si="3"/>
        <v>2.0424494727889937E-2</v>
      </c>
      <c r="N13" s="193" t="str">
        <f>_xlfn.IFNA(VLOOKUP(A13&amp;"-"&amp;B13&amp;"-"&amp;D13,Ref_Account!$A:$F,6,FALSE),"ACCOUNT TIDAK DITEMUKAN")</f>
        <v>1201.631150</v>
      </c>
      <c r="O13" s="189">
        <f t="shared" si="4"/>
        <v>1</v>
      </c>
      <c r="P13" s="189" t="str">
        <f t="shared" si="5"/>
        <v>OK</v>
      </c>
      <c r="Q13" s="194" t="s">
        <v>528</v>
      </c>
      <c r="R13" s="145"/>
      <c r="AA13" s="148"/>
    </row>
    <row r="14" spans="1:27">
      <c r="A14" s="195" t="s">
        <v>9</v>
      </c>
      <c r="B14" s="196" t="s">
        <v>31</v>
      </c>
      <c r="C14" s="195" t="s">
        <v>32</v>
      </c>
      <c r="D14" s="197" t="s">
        <v>12</v>
      </c>
      <c r="E14" s="197" t="s">
        <v>33</v>
      </c>
      <c r="F14" s="197"/>
      <c r="G14" s="198">
        <v>8000</v>
      </c>
      <c r="H14" s="198">
        <v>7427.99</v>
      </c>
      <c r="I14" s="198">
        <f t="shared" si="0"/>
        <v>572.01000000000022</v>
      </c>
      <c r="J14" s="199">
        <f>IFERROR(G14/VLOOKUP(A14,RESUME!$G$3:$I$10,3,FALSE),0)</f>
        <v>0.12752855244731276</v>
      </c>
      <c r="K14" s="198">
        <f t="shared" si="1"/>
        <v>6400</v>
      </c>
      <c r="L14" s="198">
        <f t="shared" si="2"/>
        <v>8000</v>
      </c>
      <c r="M14" s="200">
        <f t="shared" si="3"/>
        <v>0.13734919131265688</v>
      </c>
      <c r="N14" s="201" t="str">
        <f>_xlfn.IFNA(VLOOKUP(A14&amp;"-"&amp;B14&amp;"-"&amp;D14,Ref_Account!$A:$F,6,FALSE),"ACCOUNT TIDAK DITEMUKAN")</f>
        <v>1201.720100</v>
      </c>
      <c r="O14" s="197">
        <f t="shared" si="4"/>
        <v>1</v>
      </c>
      <c r="P14" s="197" t="str">
        <f t="shared" si="5"/>
        <v>OK</v>
      </c>
      <c r="Q14" s="202" t="s">
        <v>528</v>
      </c>
      <c r="R14" s="145"/>
      <c r="AA14" s="148"/>
    </row>
    <row r="15" spans="1:27">
      <c r="A15" s="187" t="s">
        <v>9</v>
      </c>
      <c r="B15" s="188" t="s">
        <v>31</v>
      </c>
      <c r="C15" s="187" t="s">
        <v>32</v>
      </c>
      <c r="D15" s="189" t="s">
        <v>23</v>
      </c>
      <c r="E15" s="189" t="s">
        <v>33</v>
      </c>
      <c r="F15" s="189"/>
      <c r="G15" s="190">
        <v>1000</v>
      </c>
      <c r="H15" s="190">
        <v>2612.3200000000002</v>
      </c>
      <c r="I15" s="190">
        <f t="shared" si="0"/>
        <v>-1612.3200000000002</v>
      </c>
      <c r="J15" s="191">
        <f>IFERROR(G15/VLOOKUP(A15,RESUME!$G$3:$I$10,3,FALSE),0)</f>
        <v>1.5941069055914095E-2</v>
      </c>
      <c r="K15" s="190">
        <f t="shared" si="1"/>
        <v>800</v>
      </c>
      <c r="L15" s="190">
        <f t="shared" si="2"/>
        <v>1000</v>
      </c>
      <c r="M15" s="192">
        <f t="shared" si="3"/>
        <v>0</v>
      </c>
      <c r="N15" s="193" t="str">
        <f>_xlfn.IFNA(VLOOKUP(A15&amp;"-"&amp;B15&amp;"-"&amp;D15,Ref_Account!$A:$F,6,FALSE),"ACCOUNT TIDAK DITEMUKAN")</f>
        <v>1205.720100</v>
      </c>
      <c r="O15" s="189">
        <f t="shared" si="4"/>
        <v>1</v>
      </c>
      <c r="P15" s="189" t="str">
        <f t="shared" si="5"/>
        <v>OVER</v>
      </c>
      <c r="Q15" s="194" t="s">
        <v>555</v>
      </c>
      <c r="R15" s="145"/>
      <c r="AA15" s="148"/>
    </row>
    <row r="16" spans="1:27">
      <c r="A16" s="195" t="s">
        <v>9</v>
      </c>
      <c r="B16" s="196" t="s">
        <v>31</v>
      </c>
      <c r="C16" s="195" t="s">
        <v>32</v>
      </c>
      <c r="D16" s="197" t="s">
        <v>14</v>
      </c>
      <c r="E16" s="197" t="s">
        <v>33</v>
      </c>
      <c r="F16" s="197"/>
      <c r="G16" s="198">
        <v>1000</v>
      </c>
      <c r="H16" s="198"/>
      <c r="I16" s="198">
        <f t="shared" si="0"/>
        <v>1000</v>
      </c>
      <c r="J16" s="199">
        <f>IFERROR(G16/VLOOKUP(A16,RESUME!$G$3:$I$10,3,FALSE),0)</f>
        <v>1.5941069055914095E-2</v>
      </c>
      <c r="K16" s="198">
        <f t="shared" si="1"/>
        <v>800</v>
      </c>
      <c r="L16" s="198">
        <f t="shared" si="2"/>
        <v>1000</v>
      </c>
      <c r="M16" s="200">
        <f t="shared" si="3"/>
        <v>1.9926336319892619E-2</v>
      </c>
      <c r="N16" s="201" t="str">
        <f>_xlfn.IFNA(VLOOKUP(A16&amp;"-"&amp;B16&amp;"-"&amp;D16,Ref_Account!$A:$F,6,FALSE),"ACCOUNT TIDAK DITEMUKAN")</f>
        <v>1204.720100</v>
      </c>
      <c r="O16" s="197">
        <f t="shared" si="4"/>
        <v>1</v>
      </c>
      <c r="P16" s="197" t="str">
        <f t="shared" si="5"/>
        <v>OK</v>
      </c>
      <c r="Q16" s="202" t="s">
        <v>528</v>
      </c>
      <c r="R16" s="145"/>
      <c r="AA16" s="148"/>
    </row>
    <row r="17" spans="1:27">
      <c r="A17" s="195" t="s">
        <v>9</v>
      </c>
      <c r="B17" s="188" t="s">
        <v>83</v>
      </c>
      <c r="C17" s="187" t="s">
        <v>585</v>
      </c>
      <c r="D17" s="189" t="s">
        <v>12</v>
      </c>
      <c r="E17" s="189" t="s">
        <v>22</v>
      </c>
      <c r="F17" s="189"/>
      <c r="G17" s="190">
        <v>15000</v>
      </c>
      <c r="H17" s="190">
        <v>8323.4</v>
      </c>
      <c r="I17" s="190">
        <f t="shared" si="0"/>
        <v>6676.6</v>
      </c>
      <c r="J17" s="191">
        <f>IFERROR(G17/VLOOKUP(A17,RESUME!$G$3:$I$10,3,FALSE),0)</f>
        <v>0.23911603583871144</v>
      </c>
      <c r="K17" s="190">
        <f t="shared" si="1"/>
        <v>12000</v>
      </c>
      <c r="L17" s="190">
        <f t="shared" si="2"/>
        <v>15000</v>
      </c>
      <c r="M17" s="192">
        <f t="shared" si="3"/>
        <v>0.2988950447983893</v>
      </c>
      <c r="N17" s="226" t="s">
        <v>225</v>
      </c>
      <c r="O17" s="189">
        <f t="shared" si="4"/>
        <v>1</v>
      </c>
      <c r="P17" s="189" t="str">
        <f t="shared" si="5"/>
        <v>OK</v>
      </c>
      <c r="Q17" s="194" t="s">
        <v>558</v>
      </c>
      <c r="R17" s="145"/>
      <c r="AA17" s="148"/>
    </row>
    <row r="18" spans="1:27">
      <c r="A18" s="195" t="s">
        <v>9</v>
      </c>
      <c r="B18" s="196" t="s">
        <v>83</v>
      </c>
      <c r="C18" s="187" t="s">
        <v>585</v>
      </c>
      <c r="D18" s="197" t="s">
        <v>14</v>
      </c>
      <c r="E18" s="189" t="s">
        <v>24</v>
      </c>
      <c r="F18" s="197"/>
      <c r="G18" s="198">
        <v>5000</v>
      </c>
      <c r="H18" s="198"/>
      <c r="I18" s="198">
        <f t="shared" si="0"/>
        <v>5000</v>
      </c>
      <c r="J18" s="199">
        <f>IFERROR(G18/VLOOKUP(A18,RESUME!$G$3:$I$10,3,FALSE),0)</f>
        <v>7.9705345279570475E-2</v>
      </c>
      <c r="K18" s="198">
        <f t="shared" si="1"/>
        <v>4000</v>
      </c>
      <c r="L18" s="198">
        <f t="shared" si="2"/>
        <v>5000</v>
      </c>
      <c r="M18" s="200">
        <f t="shared" si="3"/>
        <v>9.963168159946309E-2</v>
      </c>
      <c r="N18" s="261" t="s">
        <v>194</v>
      </c>
      <c r="O18" s="197">
        <f t="shared" si="4"/>
        <v>1</v>
      </c>
      <c r="P18" s="197" t="str">
        <f t="shared" si="5"/>
        <v>OK</v>
      </c>
      <c r="Q18" s="202" t="s">
        <v>528</v>
      </c>
      <c r="R18" s="145"/>
      <c r="AA18" s="148"/>
    </row>
    <row r="19" spans="1:27">
      <c r="A19" s="195" t="s">
        <v>9</v>
      </c>
      <c r="B19" s="196" t="s">
        <v>83</v>
      </c>
      <c r="C19" s="187" t="s">
        <v>585</v>
      </c>
      <c r="D19" s="197" t="s">
        <v>23</v>
      </c>
      <c r="E19" s="189" t="s">
        <v>24</v>
      </c>
      <c r="F19" s="197"/>
      <c r="G19" s="198">
        <v>5000</v>
      </c>
      <c r="H19" s="198"/>
      <c r="I19" s="198">
        <f t="shared" si="0"/>
        <v>5000</v>
      </c>
      <c r="J19" s="199"/>
      <c r="K19" s="198">
        <f t="shared" si="1"/>
        <v>4000</v>
      </c>
      <c r="L19" s="198">
        <f t="shared" si="2"/>
        <v>5000</v>
      </c>
      <c r="M19" s="200"/>
      <c r="N19" s="261" t="s">
        <v>594</v>
      </c>
      <c r="O19" s="197"/>
      <c r="P19" s="197" t="str">
        <f t="shared" si="5"/>
        <v>OK</v>
      </c>
      <c r="Q19" s="202"/>
      <c r="R19" s="145"/>
      <c r="AA19" s="148"/>
    </row>
    <row r="20" spans="1:27">
      <c r="A20" s="187" t="s">
        <v>35</v>
      </c>
      <c r="B20" s="188" t="s">
        <v>36</v>
      </c>
      <c r="C20" s="187" t="s">
        <v>37</v>
      </c>
      <c r="D20" s="189" t="s">
        <v>12</v>
      </c>
      <c r="E20" s="189" t="s">
        <v>38</v>
      </c>
      <c r="F20" s="189"/>
      <c r="G20" s="190">
        <v>151561</v>
      </c>
      <c r="H20" s="190"/>
      <c r="I20" s="190">
        <f t="shared" si="0"/>
        <v>151561</v>
      </c>
      <c r="J20" s="191">
        <f>IFERROR(G20/VLOOKUP(A20,RESUME!$G$3:$I$10,3,FALSE),0)</f>
        <v>0.65619333139484248</v>
      </c>
      <c r="K20" s="190">
        <f t="shared" si="1"/>
        <v>121248.8</v>
      </c>
      <c r="L20" s="190">
        <f t="shared" si="2"/>
        <v>151561</v>
      </c>
      <c r="M20" s="192">
        <f t="shared" ref="M20:M41" si="6">IF(L20=0,0,IF(H20&gt;L20,0,L20/IF(H20&gt;=K20,H20,K20)*J20))</f>
        <v>0.82024166424355305</v>
      </c>
      <c r="N20" s="193" t="str">
        <f>_xlfn.IFNA(VLOOKUP(A20&amp;"-"&amp;B20&amp;"-"&amp;D20,Ref_Account!$A:$F,6,FALSE),"ACCOUNT TIDAK DITEMUKAN")</f>
        <v>1201.630600</v>
      </c>
      <c r="O20" s="189">
        <f t="shared" ref="O20:O41" si="7">IF(N20="ACCOUNT TIDAK DITEMUKAN","9999",COUNTIF($N$6:$N$170,N20))</f>
        <v>2</v>
      </c>
      <c r="P20" s="189" t="str">
        <f t="shared" si="5"/>
        <v>OK</v>
      </c>
      <c r="Q20" s="194" t="s">
        <v>528</v>
      </c>
      <c r="R20" s="145"/>
      <c r="AA20" s="148"/>
    </row>
    <row r="21" spans="1:27">
      <c r="A21" s="195" t="s">
        <v>35</v>
      </c>
      <c r="B21" s="196" t="s">
        <v>36</v>
      </c>
      <c r="C21" s="195" t="s">
        <v>37</v>
      </c>
      <c r="D21" s="197" t="s">
        <v>23</v>
      </c>
      <c r="E21" s="197" t="s">
        <v>38</v>
      </c>
      <c r="F21" s="197"/>
      <c r="G21" s="198">
        <v>26883.15</v>
      </c>
      <c r="H21" s="198"/>
      <c r="I21" s="198">
        <f t="shared" si="0"/>
        <v>26883.15</v>
      </c>
      <c r="J21" s="199">
        <f>IFERROR(G21/VLOOKUP(A21,RESUME!$G$3:$I$10,3,FALSE),0)</f>
        <v>0.11639236846475848</v>
      </c>
      <c r="K21" s="198">
        <f t="shared" si="1"/>
        <v>21506.520000000004</v>
      </c>
      <c r="L21" s="198">
        <f t="shared" si="2"/>
        <v>26883.15</v>
      </c>
      <c r="M21" s="200">
        <f t="shared" si="6"/>
        <v>0.14549046058094808</v>
      </c>
      <c r="N21" s="201" t="str">
        <f>_xlfn.IFNA(VLOOKUP(A21&amp;"-"&amp;B21&amp;"-"&amp;D21,Ref_Account!$A:$F,6,FALSE),"ACCOUNT TIDAK DITEMUKAN")</f>
        <v>1205.630600</v>
      </c>
      <c r="O21" s="197">
        <f t="shared" si="7"/>
        <v>2</v>
      </c>
      <c r="P21" s="197" t="str">
        <f t="shared" si="5"/>
        <v>OK</v>
      </c>
      <c r="Q21" s="202" t="s">
        <v>528</v>
      </c>
      <c r="R21" s="145"/>
      <c r="AA21" s="148"/>
    </row>
    <row r="22" spans="1:27">
      <c r="A22" s="187" t="s">
        <v>35</v>
      </c>
      <c r="B22" s="188" t="s">
        <v>36</v>
      </c>
      <c r="C22" s="187" t="s">
        <v>37</v>
      </c>
      <c r="D22" s="189" t="s">
        <v>14</v>
      </c>
      <c r="E22" s="189" t="s">
        <v>39</v>
      </c>
      <c r="F22" s="189"/>
      <c r="G22" s="190">
        <v>32525.89</v>
      </c>
      <c r="H22" s="190"/>
      <c r="I22" s="190">
        <f t="shared" si="0"/>
        <v>32525.89</v>
      </c>
      <c r="J22" s="191">
        <f>IFERROR(G22/VLOOKUP(A22,RESUME!$G$3:$I$10,3,FALSE),0)</f>
        <v>0.14082298292886819</v>
      </c>
      <c r="K22" s="190">
        <f t="shared" si="1"/>
        <v>26020.712</v>
      </c>
      <c r="L22" s="190">
        <f t="shared" si="2"/>
        <v>32525.89</v>
      </c>
      <c r="M22" s="192">
        <f t="shared" si="6"/>
        <v>0.17602872866108524</v>
      </c>
      <c r="N22" s="193" t="str">
        <f>_xlfn.IFNA(VLOOKUP(A22&amp;"-"&amp;B22&amp;"-"&amp;D22,Ref_Account!$A:$F,6,FALSE),"ACCOUNT TIDAK DITEMUKAN")</f>
        <v>1204.630600</v>
      </c>
      <c r="O22" s="189">
        <f t="shared" si="7"/>
        <v>2</v>
      </c>
      <c r="P22" s="189" t="str">
        <f t="shared" si="5"/>
        <v>OK</v>
      </c>
      <c r="Q22" s="194" t="s">
        <v>528</v>
      </c>
      <c r="R22" s="145"/>
      <c r="AA22" s="148"/>
    </row>
    <row r="23" spans="1:27">
      <c r="A23" s="195" t="s">
        <v>35</v>
      </c>
      <c r="B23" s="196" t="s">
        <v>36</v>
      </c>
      <c r="C23" s="195" t="s">
        <v>40</v>
      </c>
      <c r="D23" s="197" t="s">
        <v>12</v>
      </c>
      <c r="E23" s="197" t="s">
        <v>41</v>
      </c>
      <c r="F23" s="197"/>
      <c r="G23" s="198">
        <v>5000</v>
      </c>
      <c r="H23" s="198">
        <v>846.54</v>
      </c>
      <c r="I23" s="198">
        <f t="shared" si="0"/>
        <v>4153.46</v>
      </c>
      <c r="J23" s="199">
        <f>IFERROR(G23/VLOOKUP(A23,RESUME!$G$3:$I$10,3,FALSE),0)</f>
        <v>2.1647829302882747E-2</v>
      </c>
      <c r="K23" s="198">
        <f t="shared" si="1"/>
        <v>4000</v>
      </c>
      <c r="L23" s="198">
        <f t="shared" si="2"/>
        <v>5000</v>
      </c>
      <c r="M23" s="200">
        <f t="shared" si="6"/>
        <v>2.7059786628603436E-2</v>
      </c>
      <c r="N23" s="201" t="str">
        <f>_xlfn.IFNA(VLOOKUP(A23&amp;"-"&amp;B23&amp;"-"&amp;D23,Ref_Account!$A:$F,6,FALSE),"ACCOUNT TIDAK DITEMUKAN")</f>
        <v>1201.630600</v>
      </c>
      <c r="O23" s="197">
        <f t="shared" si="7"/>
        <v>2</v>
      </c>
      <c r="P23" s="197" t="str">
        <f t="shared" si="5"/>
        <v>OK</v>
      </c>
      <c r="Q23" s="202" t="s">
        <v>528</v>
      </c>
      <c r="R23" s="145"/>
      <c r="AA23" s="148"/>
    </row>
    <row r="24" spans="1:27">
      <c r="A24" s="187" t="s">
        <v>35</v>
      </c>
      <c r="B24" s="188" t="s">
        <v>36</v>
      </c>
      <c r="C24" s="187" t="s">
        <v>37</v>
      </c>
      <c r="D24" s="189" t="s">
        <v>23</v>
      </c>
      <c r="E24" s="189" t="s">
        <v>42</v>
      </c>
      <c r="F24" s="189"/>
      <c r="G24" s="190">
        <v>7500</v>
      </c>
      <c r="H24" s="190">
        <v>11331.25</v>
      </c>
      <c r="I24" s="190">
        <f t="shared" si="0"/>
        <v>-3831.25</v>
      </c>
      <c r="J24" s="191">
        <f>IFERROR(G24/VLOOKUP(A24,RESUME!$G$3:$I$10,3,FALSE),0)</f>
        <v>3.2471743954324124E-2</v>
      </c>
      <c r="K24" s="190">
        <f t="shared" si="1"/>
        <v>6000</v>
      </c>
      <c r="L24" s="190">
        <f t="shared" si="2"/>
        <v>7500</v>
      </c>
      <c r="M24" s="192">
        <f t="shared" si="6"/>
        <v>0</v>
      </c>
      <c r="N24" s="193" t="str">
        <f>_xlfn.IFNA(VLOOKUP(A24&amp;"-"&amp;B24&amp;"-"&amp;D24,Ref_Account!$A:$F,6,FALSE),"ACCOUNT TIDAK DITEMUKAN")</f>
        <v>1205.630600</v>
      </c>
      <c r="O24" s="189">
        <f t="shared" si="7"/>
        <v>2</v>
      </c>
      <c r="P24" s="189" t="str">
        <f t="shared" si="5"/>
        <v>OVER</v>
      </c>
      <c r="Q24" s="194" t="s">
        <v>556</v>
      </c>
      <c r="R24" s="145"/>
      <c r="AA24" s="148"/>
    </row>
    <row r="25" spans="1:27">
      <c r="A25" s="195" t="s">
        <v>35</v>
      </c>
      <c r="B25" s="196" t="s">
        <v>36</v>
      </c>
      <c r="C25" s="195" t="s">
        <v>37</v>
      </c>
      <c r="D25" s="197" t="s">
        <v>14</v>
      </c>
      <c r="E25" s="197" t="s">
        <v>41</v>
      </c>
      <c r="F25" s="197"/>
      <c r="G25" s="198">
        <v>7500</v>
      </c>
      <c r="H25" s="198">
        <v>65.2</v>
      </c>
      <c r="I25" s="198">
        <f t="shared" si="0"/>
        <v>7434.8</v>
      </c>
      <c r="J25" s="199">
        <f>IFERROR(G25/VLOOKUP(A25,RESUME!$G$3:$I$10,3,FALSE),0)</f>
        <v>3.2471743954324124E-2</v>
      </c>
      <c r="K25" s="198">
        <f t="shared" si="1"/>
        <v>6000</v>
      </c>
      <c r="L25" s="198">
        <f t="shared" si="2"/>
        <v>7500</v>
      </c>
      <c r="M25" s="200">
        <f t="shared" si="6"/>
        <v>4.0589679942905153E-2</v>
      </c>
      <c r="N25" s="201" t="str">
        <f>_xlfn.IFNA(VLOOKUP(A25&amp;"-"&amp;B25&amp;"-"&amp;D25,Ref_Account!$A:$F,6,FALSE),"ACCOUNT TIDAK DITEMUKAN")</f>
        <v>1204.630600</v>
      </c>
      <c r="O25" s="197">
        <f t="shared" si="7"/>
        <v>2</v>
      </c>
      <c r="P25" s="197" t="str">
        <f t="shared" si="5"/>
        <v>OK</v>
      </c>
      <c r="Q25" s="202" t="s">
        <v>528</v>
      </c>
      <c r="R25" s="145"/>
      <c r="AA25" s="148"/>
    </row>
    <row r="26" spans="1:27">
      <c r="A26" s="187" t="s">
        <v>43</v>
      </c>
      <c r="B26" s="188" t="s">
        <v>44</v>
      </c>
      <c r="C26" s="187" t="s">
        <v>45</v>
      </c>
      <c r="D26" s="189" t="s">
        <v>12</v>
      </c>
      <c r="E26" s="189" t="s">
        <v>46</v>
      </c>
      <c r="F26" s="189" t="s">
        <v>47</v>
      </c>
      <c r="G26" s="190">
        <v>450</v>
      </c>
      <c r="H26" s="190"/>
      <c r="I26" s="190">
        <f t="shared" si="0"/>
        <v>450</v>
      </c>
      <c r="J26" s="191">
        <f>IFERROR(G26/VLOOKUP(A26,RESUME!$G$3:$I$10,3,FALSE),0)</f>
        <v>5.2941176470588235E-2</v>
      </c>
      <c r="K26" s="190">
        <f t="shared" si="1"/>
        <v>360</v>
      </c>
      <c r="L26" s="190">
        <f t="shared" si="2"/>
        <v>450</v>
      </c>
      <c r="M26" s="192">
        <f t="shared" si="6"/>
        <v>6.6176470588235295E-2</v>
      </c>
      <c r="N26" s="193" t="str">
        <f>_xlfn.IFNA(VLOOKUP(A26&amp;"-"&amp;B26&amp;"-"&amp;D26,Ref_Account!$A:$F,6,FALSE),"ACCOUNT TIDAK DITEMUKAN")</f>
        <v>1201.730300</v>
      </c>
      <c r="O26" s="189">
        <f t="shared" si="7"/>
        <v>5</v>
      </c>
      <c r="P26" s="189" t="str">
        <f t="shared" si="5"/>
        <v>OK</v>
      </c>
      <c r="Q26" s="194" t="s">
        <v>528</v>
      </c>
      <c r="R26" s="145"/>
      <c r="AA26" s="148"/>
    </row>
    <row r="27" spans="1:27">
      <c r="A27" s="195" t="s">
        <v>43</v>
      </c>
      <c r="B27" s="196" t="s">
        <v>44</v>
      </c>
      <c r="C27" s="195" t="s">
        <v>45</v>
      </c>
      <c r="D27" s="197" t="s">
        <v>12</v>
      </c>
      <c r="E27" s="197" t="s">
        <v>48</v>
      </c>
      <c r="F27" s="197" t="s">
        <v>49</v>
      </c>
      <c r="G27" s="198">
        <v>450</v>
      </c>
      <c r="H27" s="198"/>
      <c r="I27" s="198">
        <f t="shared" si="0"/>
        <v>450</v>
      </c>
      <c r="J27" s="199">
        <f>IFERROR(G27/VLOOKUP(A27,RESUME!$G$3:$I$10,3,FALSE),0)</f>
        <v>5.2941176470588235E-2</v>
      </c>
      <c r="K27" s="198">
        <f t="shared" si="1"/>
        <v>360</v>
      </c>
      <c r="L27" s="198">
        <f t="shared" si="2"/>
        <v>450</v>
      </c>
      <c r="M27" s="200">
        <f t="shared" si="6"/>
        <v>6.6176470588235295E-2</v>
      </c>
      <c r="N27" s="201" t="str">
        <f>_xlfn.IFNA(VLOOKUP(A27&amp;"-"&amp;B27&amp;"-"&amp;D27,Ref_Account!$A:$F,6,FALSE),"ACCOUNT TIDAK DITEMUKAN")</f>
        <v>1201.730300</v>
      </c>
      <c r="O27" s="197">
        <f t="shared" si="7"/>
        <v>5</v>
      </c>
      <c r="P27" s="197" t="str">
        <f t="shared" si="5"/>
        <v>OK</v>
      </c>
      <c r="Q27" s="202" t="s">
        <v>528</v>
      </c>
      <c r="R27" s="145"/>
      <c r="AA27" s="148"/>
    </row>
    <row r="28" spans="1:27">
      <c r="A28" s="187" t="s">
        <v>43</v>
      </c>
      <c r="B28" s="188" t="s">
        <v>44</v>
      </c>
      <c r="C28" s="187" t="s">
        <v>45</v>
      </c>
      <c r="D28" s="189" t="s">
        <v>12</v>
      </c>
      <c r="E28" s="189" t="s">
        <v>50</v>
      </c>
      <c r="F28" s="189" t="s">
        <v>51</v>
      </c>
      <c r="G28" s="190">
        <v>450</v>
      </c>
      <c r="H28" s="190"/>
      <c r="I28" s="190">
        <f t="shared" si="0"/>
        <v>450</v>
      </c>
      <c r="J28" s="191">
        <f>IFERROR(G28/VLOOKUP(A28,RESUME!$G$3:$I$10,3,FALSE),0)</f>
        <v>5.2941176470588235E-2</v>
      </c>
      <c r="K28" s="190">
        <f t="shared" si="1"/>
        <v>360</v>
      </c>
      <c r="L28" s="190">
        <f t="shared" si="2"/>
        <v>450</v>
      </c>
      <c r="M28" s="192">
        <f t="shared" si="6"/>
        <v>6.6176470588235295E-2</v>
      </c>
      <c r="N28" s="193" t="str">
        <f>_xlfn.IFNA(VLOOKUP(A28&amp;"-"&amp;B28&amp;"-"&amp;D28,Ref_Account!$A:$F,6,FALSE),"ACCOUNT TIDAK DITEMUKAN")</f>
        <v>1201.730300</v>
      </c>
      <c r="O28" s="189">
        <f t="shared" si="7"/>
        <v>5</v>
      </c>
      <c r="P28" s="189" t="str">
        <f t="shared" si="5"/>
        <v>OK</v>
      </c>
      <c r="Q28" s="194" t="s">
        <v>528</v>
      </c>
      <c r="R28" s="145"/>
      <c r="AA28" s="148"/>
    </row>
    <row r="29" spans="1:27">
      <c r="A29" s="195" t="s">
        <v>43</v>
      </c>
      <c r="B29" s="196" t="s">
        <v>44</v>
      </c>
      <c r="C29" s="195" t="s">
        <v>45</v>
      </c>
      <c r="D29" s="197" t="s">
        <v>12</v>
      </c>
      <c r="E29" s="197" t="s">
        <v>52</v>
      </c>
      <c r="F29" s="197" t="s">
        <v>53</v>
      </c>
      <c r="G29" s="198">
        <v>450</v>
      </c>
      <c r="H29" s="198"/>
      <c r="I29" s="198">
        <f t="shared" si="0"/>
        <v>450</v>
      </c>
      <c r="J29" s="199">
        <f>IFERROR(G29/VLOOKUP(A29,RESUME!$G$3:$I$10,3,FALSE),0)</f>
        <v>5.2941176470588235E-2</v>
      </c>
      <c r="K29" s="198">
        <f t="shared" si="1"/>
        <v>360</v>
      </c>
      <c r="L29" s="198">
        <f t="shared" si="2"/>
        <v>450</v>
      </c>
      <c r="M29" s="200">
        <f t="shared" si="6"/>
        <v>6.6176470588235295E-2</v>
      </c>
      <c r="N29" s="201" t="str">
        <f>_xlfn.IFNA(VLOOKUP(A29&amp;"-"&amp;B29&amp;"-"&amp;D29,Ref_Account!$A:$F,6,FALSE),"ACCOUNT TIDAK DITEMUKAN")</f>
        <v>1201.730300</v>
      </c>
      <c r="O29" s="197">
        <f t="shared" si="7"/>
        <v>5</v>
      </c>
      <c r="P29" s="197" t="str">
        <f t="shared" si="5"/>
        <v>OK</v>
      </c>
      <c r="Q29" s="202" t="s">
        <v>528</v>
      </c>
      <c r="R29" s="145"/>
      <c r="AA29" s="148"/>
    </row>
    <row r="30" spans="1:27">
      <c r="A30" s="187" t="s">
        <v>43</v>
      </c>
      <c r="B30" s="188" t="s">
        <v>54</v>
      </c>
      <c r="C30" s="187" t="s">
        <v>55</v>
      </c>
      <c r="D30" s="189" t="s">
        <v>12</v>
      </c>
      <c r="E30" s="189" t="s">
        <v>52</v>
      </c>
      <c r="F30" s="189" t="s">
        <v>56</v>
      </c>
      <c r="G30" s="190">
        <v>6300</v>
      </c>
      <c r="H30" s="190"/>
      <c r="I30" s="190">
        <f t="shared" si="0"/>
        <v>6300</v>
      </c>
      <c r="J30" s="191">
        <f>IFERROR(G30/VLOOKUP(A30,RESUME!$G$3:$I$10,3,FALSE),0)</f>
        <v>0.74117647058823533</v>
      </c>
      <c r="K30" s="190">
        <f t="shared" si="1"/>
        <v>5040</v>
      </c>
      <c r="L30" s="190">
        <f t="shared" si="2"/>
        <v>6300</v>
      </c>
      <c r="M30" s="192">
        <f t="shared" si="6"/>
        <v>0.92647058823529416</v>
      </c>
      <c r="N30" s="193" t="str">
        <f>_xlfn.IFNA(VLOOKUP(A30&amp;"-"&amp;B30&amp;"-"&amp;D30,Ref_Account!$A:$F,6,FALSE),"ACCOUNT TIDAK DITEMUKAN")</f>
        <v>1201.730200</v>
      </c>
      <c r="O30" s="189">
        <f t="shared" si="7"/>
        <v>2</v>
      </c>
      <c r="P30" s="189" t="str">
        <f t="shared" si="5"/>
        <v>OK</v>
      </c>
      <c r="Q30" s="194" t="s">
        <v>528</v>
      </c>
      <c r="R30" s="145"/>
      <c r="AA30" s="148"/>
    </row>
    <row r="31" spans="1:27" ht="47.25">
      <c r="A31" s="195" t="s">
        <v>43</v>
      </c>
      <c r="B31" s="196" t="s">
        <v>57</v>
      </c>
      <c r="C31" s="195" t="s">
        <v>58</v>
      </c>
      <c r="D31" s="197" t="s">
        <v>12</v>
      </c>
      <c r="E31" s="197" t="s">
        <v>46</v>
      </c>
      <c r="F31" s="197" t="s">
        <v>47</v>
      </c>
      <c r="G31" s="198">
        <v>100</v>
      </c>
      <c r="H31" s="198">
        <v>357.33</v>
      </c>
      <c r="I31" s="198">
        <f t="shared" si="0"/>
        <v>-257.33</v>
      </c>
      <c r="J31" s="199">
        <f>IFERROR(G31/VLOOKUP(A31,RESUME!$G$3:$I$10,3,FALSE),0)</f>
        <v>1.1764705882352941E-2</v>
      </c>
      <c r="K31" s="198">
        <f t="shared" si="1"/>
        <v>80</v>
      </c>
      <c r="L31" s="198">
        <f t="shared" si="2"/>
        <v>100</v>
      </c>
      <c r="M31" s="200">
        <f t="shared" si="6"/>
        <v>0</v>
      </c>
      <c r="N31" s="201" t="str">
        <f>_xlfn.IFNA(VLOOKUP(A31&amp;"-"&amp;B31&amp;"-"&amp;D31,Ref_Account!$A:$F,6,FALSE),"ACCOUNT TIDAK DITEMUKAN")</f>
        <v>1201.710200</v>
      </c>
      <c r="O31" s="197">
        <f t="shared" si="7"/>
        <v>6</v>
      </c>
      <c r="P31" s="197" t="str">
        <f t="shared" si="5"/>
        <v>OVER</v>
      </c>
      <c r="Q31" s="202" t="s">
        <v>557</v>
      </c>
      <c r="R31" s="145"/>
      <c r="AA31" s="148"/>
    </row>
    <row r="32" spans="1:27">
      <c r="A32" s="187" t="s">
        <v>43</v>
      </c>
      <c r="B32" s="188" t="s">
        <v>57</v>
      </c>
      <c r="C32" s="187" t="s">
        <v>58</v>
      </c>
      <c r="D32" s="189" t="s">
        <v>12</v>
      </c>
      <c r="E32" s="189" t="s">
        <v>48</v>
      </c>
      <c r="F32" s="189" t="s">
        <v>49</v>
      </c>
      <c r="G32" s="190">
        <v>100</v>
      </c>
      <c r="H32" s="190">
        <v>28.8</v>
      </c>
      <c r="I32" s="190">
        <f t="shared" si="0"/>
        <v>71.2</v>
      </c>
      <c r="J32" s="191">
        <f>IFERROR(G32/VLOOKUP(A32,RESUME!$G$3:$I$10,3,FALSE),0)</f>
        <v>1.1764705882352941E-2</v>
      </c>
      <c r="K32" s="190">
        <f t="shared" si="1"/>
        <v>80</v>
      </c>
      <c r="L32" s="190">
        <f t="shared" si="2"/>
        <v>100</v>
      </c>
      <c r="M32" s="192">
        <f t="shared" si="6"/>
        <v>1.4705882352941176E-2</v>
      </c>
      <c r="N32" s="193" t="str">
        <f>_xlfn.IFNA(VLOOKUP(A32&amp;"-"&amp;B32&amp;"-"&amp;D32,Ref_Account!$A:$F,6,FALSE),"ACCOUNT TIDAK DITEMUKAN")</f>
        <v>1201.710200</v>
      </c>
      <c r="O32" s="189">
        <f t="shared" si="7"/>
        <v>6</v>
      </c>
      <c r="P32" s="189" t="str">
        <f t="shared" si="5"/>
        <v>OK</v>
      </c>
      <c r="Q32" s="194" t="s">
        <v>528</v>
      </c>
      <c r="R32" s="145"/>
      <c r="AA32" s="148"/>
    </row>
    <row r="33" spans="1:27">
      <c r="A33" s="195" t="s">
        <v>43</v>
      </c>
      <c r="B33" s="196" t="s">
        <v>57</v>
      </c>
      <c r="C33" s="195" t="s">
        <v>58</v>
      </c>
      <c r="D33" s="197" t="s">
        <v>12</v>
      </c>
      <c r="E33" s="197" t="s">
        <v>50</v>
      </c>
      <c r="F33" s="197" t="s">
        <v>51</v>
      </c>
      <c r="G33" s="198">
        <v>100</v>
      </c>
      <c r="H33" s="198"/>
      <c r="I33" s="198">
        <f t="shared" si="0"/>
        <v>100</v>
      </c>
      <c r="J33" s="199">
        <f>IFERROR(G33/VLOOKUP(A33,RESUME!$G$3:$I$10,3,FALSE),0)</f>
        <v>1.1764705882352941E-2</v>
      </c>
      <c r="K33" s="198">
        <f t="shared" si="1"/>
        <v>80</v>
      </c>
      <c r="L33" s="198">
        <f t="shared" si="2"/>
        <v>100</v>
      </c>
      <c r="M33" s="200">
        <f t="shared" si="6"/>
        <v>1.4705882352941176E-2</v>
      </c>
      <c r="N33" s="201" t="str">
        <f>_xlfn.IFNA(VLOOKUP(A33&amp;"-"&amp;B33&amp;"-"&amp;D33,Ref_Account!$A:$F,6,FALSE),"ACCOUNT TIDAK DITEMUKAN")</f>
        <v>1201.710200</v>
      </c>
      <c r="O33" s="197">
        <f t="shared" si="7"/>
        <v>6</v>
      </c>
      <c r="P33" s="197" t="str">
        <f t="shared" si="5"/>
        <v>OK</v>
      </c>
      <c r="Q33" s="202" t="s">
        <v>528</v>
      </c>
      <c r="R33" s="145"/>
      <c r="AA33" s="148"/>
    </row>
    <row r="34" spans="1:27">
      <c r="A34" s="187" t="s">
        <v>43</v>
      </c>
      <c r="B34" s="188" t="s">
        <v>57</v>
      </c>
      <c r="C34" s="187" t="s">
        <v>58</v>
      </c>
      <c r="D34" s="189" t="s">
        <v>12</v>
      </c>
      <c r="E34" s="189" t="s">
        <v>52</v>
      </c>
      <c r="F34" s="189" t="s">
        <v>53</v>
      </c>
      <c r="G34" s="190">
        <v>100</v>
      </c>
      <c r="H34" s="190"/>
      <c r="I34" s="190">
        <f t="shared" si="0"/>
        <v>100</v>
      </c>
      <c r="J34" s="191">
        <f>IFERROR(G34/VLOOKUP(A34,RESUME!$G$3:$I$10,3,FALSE),0)</f>
        <v>1.1764705882352941E-2</v>
      </c>
      <c r="K34" s="190">
        <f t="shared" si="1"/>
        <v>80</v>
      </c>
      <c r="L34" s="190">
        <f t="shared" si="2"/>
        <v>100</v>
      </c>
      <c r="M34" s="192">
        <f t="shared" si="6"/>
        <v>1.4705882352941176E-2</v>
      </c>
      <c r="N34" s="193" t="str">
        <f>_xlfn.IFNA(VLOOKUP(A34&amp;"-"&amp;B34&amp;"-"&amp;D34,Ref_Account!$A:$F,6,FALSE),"ACCOUNT TIDAK DITEMUKAN")</f>
        <v>1201.710200</v>
      </c>
      <c r="O34" s="189">
        <f t="shared" si="7"/>
        <v>6</v>
      </c>
      <c r="P34" s="189" t="str">
        <f t="shared" si="5"/>
        <v>OK</v>
      </c>
      <c r="Q34" s="194" t="s">
        <v>528</v>
      </c>
      <c r="R34" s="145"/>
      <c r="AA34" s="148"/>
    </row>
    <row r="35" spans="1:27">
      <c r="A35" s="195" t="s">
        <v>311</v>
      </c>
      <c r="B35" s="196" t="s">
        <v>44</v>
      </c>
      <c r="C35" s="195" t="s">
        <v>45</v>
      </c>
      <c r="D35" s="197" t="s">
        <v>12</v>
      </c>
      <c r="E35" s="197" t="s">
        <v>59</v>
      </c>
      <c r="F35" s="197" t="s">
        <v>60</v>
      </c>
      <c r="G35" s="198">
        <v>200</v>
      </c>
      <c r="H35" s="198">
        <v>632.79</v>
      </c>
      <c r="I35" s="198">
        <f t="shared" si="0"/>
        <v>-432.78999999999996</v>
      </c>
      <c r="J35" s="199">
        <f>IFERROR(G35/VLOOKUP(A35,RESUME!$G$3:$I$10,3,FALSE),0)</f>
        <v>0.2</v>
      </c>
      <c r="K35" s="198">
        <f t="shared" si="1"/>
        <v>160</v>
      </c>
      <c r="L35" s="198">
        <f t="shared" si="2"/>
        <v>200</v>
      </c>
      <c r="M35" s="200">
        <f t="shared" si="6"/>
        <v>0</v>
      </c>
      <c r="N35" s="201" t="str">
        <f>_xlfn.IFNA(VLOOKUP(A35&amp;"-"&amp;B35&amp;"-"&amp;D35,Ref_Account!$A:$F,6,FALSE),"ACCOUNT TIDAK DITEMUKAN")</f>
        <v>1201.730300</v>
      </c>
      <c r="O35" s="197">
        <f t="shared" si="7"/>
        <v>5</v>
      </c>
      <c r="P35" s="197" t="str">
        <f t="shared" si="5"/>
        <v>OVER</v>
      </c>
      <c r="Q35" s="202" t="s">
        <v>564</v>
      </c>
      <c r="R35" s="145"/>
      <c r="AA35" s="148"/>
    </row>
    <row r="36" spans="1:27" ht="31.5">
      <c r="A36" s="187" t="s">
        <v>311</v>
      </c>
      <c r="B36" s="188" t="s">
        <v>54</v>
      </c>
      <c r="C36" s="187" t="s">
        <v>55</v>
      </c>
      <c r="D36" s="189" t="s">
        <v>12</v>
      </c>
      <c r="E36" s="189" t="s">
        <v>61</v>
      </c>
      <c r="F36" s="189" t="s">
        <v>62</v>
      </c>
      <c r="G36" s="190">
        <v>700</v>
      </c>
      <c r="H36" s="190">
        <v>2090.6999999999998</v>
      </c>
      <c r="I36" s="190">
        <f t="shared" si="0"/>
        <v>-1390.6999999999998</v>
      </c>
      <c r="J36" s="191">
        <f>IFERROR(G36/VLOOKUP(A36,RESUME!$G$3:$I$10,3,FALSE),0)</f>
        <v>0.7</v>
      </c>
      <c r="K36" s="190">
        <f t="shared" si="1"/>
        <v>560</v>
      </c>
      <c r="L36" s="190">
        <f t="shared" si="2"/>
        <v>700</v>
      </c>
      <c r="M36" s="192">
        <f t="shared" si="6"/>
        <v>0</v>
      </c>
      <c r="N36" s="193" t="str">
        <f>_xlfn.IFNA(VLOOKUP(A36&amp;"-"&amp;B36&amp;"-"&amp;D36,Ref_Account!$A:$F,6,FALSE),"ACCOUNT TIDAK DITEMUKAN")</f>
        <v>1201.730200</v>
      </c>
      <c r="O36" s="189">
        <f t="shared" si="7"/>
        <v>2</v>
      </c>
      <c r="P36" s="189" t="str">
        <f t="shared" si="5"/>
        <v>OVER</v>
      </c>
      <c r="Q36" s="194" t="s">
        <v>565</v>
      </c>
      <c r="R36" s="145"/>
      <c r="AA36" s="148"/>
    </row>
    <row r="37" spans="1:27">
      <c r="A37" s="195" t="s">
        <v>311</v>
      </c>
      <c r="B37" s="196" t="s">
        <v>57</v>
      </c>
      <c r="C37" s="195" t="s">
        <v>58</v>
      </c>
      <c r="D37" s="197" t="s">
        <v>12</v>
      </c>
      <c r="E37" s="197" t="s">
        <v>61</v>
      </c>
      <c r="F37" s="197" t="s">
        <v>60</v>
      </c>
      <c r="G37" s="198">
        <v>50</v>
      </c>
      <c r="H37" s="198"/>
      <c r="I37" s="198">
        <f t="shared" si="0"/>
        <v>50</v>
      </c>
      <c r="J37" s="199">
        <f>IFERROR(G37/VLOOKUP(A37,RESUME!$G$3:$I$10,3,FALSE),0)</f>
        <v>0.05</v>
      </c>
      <c r="K37" s="198">
        <f t="shared" si="1"/>
        <v>40</v>
      </c>
      <c r="L37" s="198">
        <f t="shared" si="2"/>
        <v>50</v>
      </c>
      <c r="M37" s="200">
        <f t="shared" si="6"/>
        <v>6.25E-2</v>
      </c>
      <c r="N37" s="201" t="str">
        <f>_xlfn.IFNA(VLOOKUP(A37&amp;"-"&amp;B37&amp;"-"&amp;D37,Ref_Account!$A:$F,6,FALSE),"ACCOUNT TIDAK DITEMUKAN")</f>
        <v>1201.710200</v>
      </c>
      <c r="O37" s="197">
        <f t="shared" si="7"/>
        <v>6</v>
      </c>
      <c r="P37" s="197" t="str">
        <f t="shared" si="5"/>
        <v>OK</v>
      </c>
      <c r="Q37" s="202" t="s">
        <v>528</v>
      </c>
      <c r="R37" s="145"/>
      <c r="AA37" s="148"/>
    </row>
    <row r="38" spans="1:27">
      <c r="A38" s="187" t="s">
        <v>311</v>
      </c>
      <c r="B38" s="188" t="s">
        <v>57</v>
      </c>
      <c r="C38" s="187" t="s">
        <v>58</v>
      </c>
      <c r="D38" s="189" t="s">
        <v>12</v>
      </c>
      <c r="E38" s="189" t="s">
        <v>63</v>
      </c>
      <c r="F38" s="189" t="s">
        <v>64</v>
      </c>
      <c r="G38" s="190">
        <v>50</v>
      </c>
      <c r="H38" s="190"/>
      <c r="I38" s="190">
        <f t="shared" si="0"/>
        <v>50</v>
      </c>
      <c r="J38" s="191">
        <f>IFERROR(G38/VLOOKUP(A38,RESUME!$G$3:$I$10,3,FALSE),0)</f>
        <v>0.05</v>
      </c>
      <c r="K38" s="190">
        <f t="shared" si="1"/>
        <v>40</v>
      </c>
      <c r="L38" s="190">
        <f t="shared" si="2"/>
        <v>50</v>
      </c>
      <c r="M38" s="192">
        <f t="shared" si="6"/>
        <v>6.25E-2</v>
      </c>
      <c r="N38" s="193" t="str">
        <f>_xlfn.IFNA(VLOOKUP(A38&amp;"-"&amp;B38&amp;"-"&amp;D38,Ref_Account!$A:$F,6,FALSE),"ACCOUNT TIDAK DITEMUKAN")</f>
        <v>1201.710200</v>
      </c>
      <c r="O38" s="189">
        <f t="shared" si="7"/>
        <v>6</v>
      </c>
      <c r="P38" s="189" t="str">
        <f t="shared" si="5"/>
        <v>OK</v>
      </c>
      <c r="Q38" s="194" t="s">
        <v>528</v>
      </c>
      <c r="R38" s="145"/>
      <c r="AA38" s="148"/>
    </row>
    <row r="39" spans="1:27">
      <c r="A39" s="187" t="s">
        <v>65</v>
      </c>
      <c r="B39" s="188" t="s">
        <v>20</v>
      </c>
      <c r="C39" s="187" t="s">
        <v>586</v>
      </c>
      <c r="D39" s="189" t="s">
        <v>12</v>
      </c>
      <c r="E39" s="189" t="s">
        <v>73</v>
      </c>
      <c r="F39" s="189"/>
      <c r="G39" s="190">
        <v>4000</v>
      </c>
      <c r="H39" s="190">
        <v>5880.0999999999985</v>
      </c>
      <c r="I39" s="190">
        <f t="shared" si="0"/>
        <v>-1880.0999999999985</v>
      </c>
      <c r="J39" s="191">
        <f>IFERROR(G39/VLOOKUP(A39,RESUME!$G$3:$I$10,3,FALSE),0)</f>
        <v>3.9999108019891164E-2</v>
      </c>
      <c r="K39" s="190">
        <f t="shared" si="1"/>
        <v>3200</v>
      </c>
      <c r="L39" s="190">
        <f t="shared" si="2"/>
        <v>4000</v>
      </c>
      <c r="M39" s="192">
        <f t="shared" si="6"/>
        <v>0</v>
      </c>
      <c r="N39" s="193" t="str">
        <f>_xlfn.IFNA(VLOOKUP(A39&amp;"-"&amp;B39&amp;"-"&amp;D39,Ref_Account!$A:$F,6,FALSE),"ACCOUNT TIDAK DITEMUKAN")</f>
        <v>1201.631100</v>
      </c>
      <c r="O39" s="189">
        <f t="shared" si="7"/>
        <v>3</v>
      </c>
      <c r="P39" s="189" t="str">
        <f t="shared" si="5"/>
        <v>OVER</v>
      </c>
      <c r="Q39" s="194" t="s">
        <v>528</v>
      </c>
      <c r="R39" s="145"/>
      <c r="AA39" s="148"/>
    </row>
    <row r="40" spans="1:27">
      <c r="A40" s="187" t="s">
        <v>65</v>
      </c>
      <c r="B40" s="196" t="s">
        <v>20</v>
      </c>
      <c r="C40" s="187" t="s">
        <v>586</v>
      </c>
      <c r="D40" s="197" t="s">
        <v>23</v>
      </c>
      <c r="E40" s="197" t="s">
        <v>73</v>
      </c>
      <c r="F40" s="197"/>
      <c r="G40" s="198">
        <v>3000</v>
      </c>
      <c r="H40" s="198">
        <v>706.3</v>
      </c>
      <c r="I40" s="198">
        <f t="shared" si="0"/>
        <v>2293.6999999999998</v>
      </c>
      <c r="J40" s="199">
        <f>IFERROR(G40/VLOOKUP(A40,RESUME!$G$3:$I$10,3,FALSE),0)</f>
        <v>2.9999331014918373E-2</v>
      </c>
      <c r="K40" s="198">
        <f t="shared" si="1"/>
        <v>2400</v>
      </c>
      <c r="L40" s="198">
        <f t="shared" si="2"/>
        <v>3000</v>
      </c>
      <c r="M40" s="200">
        <f t="shared" si="6"/>
        <v>3.7499163768647967E-2</v>
      </c>
      <c r="N40" s="201" t="str">
        <f>_xlfn.IFNA(VLOOKUP(A40&amp;"-"&amp;B40&amp;"-"&amp;D40,Ref_Account!$A:$F,6,FALSE),"ACCOUNT TIDAK DITEMUKAN")</f>
        <v>1205.631100</v>
      </c>
      <c r="O40" s="197">
        <f t="shared" si="7"/>
        <v>3</v>
      </c>
      <c r="P40" s="197" t="str">
        <f t="shared" si="5"/>
        <v>OK</v>
      </c>
      <c r="Q40" s="202" t="s">
        <v>554</v>
      </c>
      <c r="R40" s="145"/>
      <c r="AA40" s="148"/>
    </row>
    <row r="41" spans="1:27">
      <c r="A41" s="187" t="s">
        <v>65</v>
      </c>
      <c r="B41" s="188" t="s">
        <v>20</v>
      </c>
      <c r="C41" s="187" t="s">
        <v>586</v>
      </c>
      <c r="D41" s="189" t="s">
        <v>14</v>
      </c>
      <c r="E41" s="189" t="s">
        <v>73</v>
      </c>
      <c r="F41" s="189"/>
      <c r="G41" s="190">
        <v>3000</v>
      </c>
      <c r="H41" s="190">
        <v>5170.79000000003</v>
      </c>
      <c r="I41" s="190">
        <f t="shared" si="0"/>
        <v>-2170.79000000003</v>
      </c>
      <c r="J41" s="191">
        <f>IFERROR(G41/VLOOKUP(A41,RESUME!$G$3:$I$10,3,FALSE),0)</f>
        <v>2.9999331014918373E-2</v>
      </c>
      <c r="K41" s="190">
        <f t="shared" si="1"/>
        <v>2400</v>
      </c>
      <c r="L41" s="190">
        <f t="shared" si="2"/>
        <v>3000</v>
      </c>
      <c r="M41" s="192">
        <f t="shared" si="6"/>
        <v>0</v>
      </c>
      <c r="N41" s="193" t="str">
        <f>_xlfn.IFNA(VLOOKUP(A41&amp;"-"&amp;B41&amp;"-"&amp;D41,Ref_Account!$A:$F,6,FALSE),"ACCOUNT TIDAK DITEMUKAN")</f>
        <v>1204.631100</v>
      </c>
      <c r="O41" s="189">
        <f t="shared" si="7"/>
        <v>3</v>
      </c>
      <c r="P41" s="189" t="str">
        <f t="shared" si="5"/>
        <v>OVER</v>
      </c>
      <c r="Q41" s="194" t="s">
        <v>528</v>
      </c>
      <c r="R41" s="145"/>
      <c r="AA41" s="148"/>
    </row>
    <row r="42" spans="1:27">
      <c r="A42" s="187" t="s">
        <v>65</v>
      </c>
      <c r="B42" s="188" t="s">
        <v>20</v>
      </c>
      <c r="C42" s="187" t="s">
        <v>586</v>
      </c>
      <c r="D42" s="189" t="s">
        <v>99</v>
      </c>
      <c r="E42" s="189" t="s">
        <v>73</v>
      </c>
      <c r="F42" s="189"/>
      <c r="G42" s="190">
        <v>2855</v>
      </c>
      <c r="H42" s="190"/>
      <c r="I42" s="190"/>
      <c r="J42" s="191"/>
      <c r="K42" s="190"/>
      <c r="L42" s="190"/>
      <c r="M42" s="192"/>
      <c r="N42" s="226" t="s">
        <v>181</v>
      </c>
      <c r="O42" s="189"/>
      <c r="P42" s="189"/>
      <c r="Q42" s="194"/>
      <c r="R42" s="145" t="s">
        <v>595</v>
      </c>
      <c r="AA42" s="148"/>
    </row>
    <row r="43" spans="1:27">
      <c r="A43" s="195" t="s">
        <v>65</v>
      </c>
      <c r="B43" s="196" t="s">
        <v>66</v>
      </c>
      <c r="C43" s="195" t="s">
        <v>67</v>
      </c>
      <c r="D43" s="197" t="s">
        <v>12</v>
      </c>
      <c r="E43" s="197" t="s">
        <v>18</v>
      </c>
      <c r="F43" s="197"/>
      <c r="G43" s="198"/>
      <c r="H43" s="198">
        <v>165.91</v>
      </c>
      <c r="I43" s="198">
        <f t="shared" ref="I43:I74" si="8">G43-H43</f>
        <v>-165.91</v>
      </c>
      <c r="J43" s="199">
        <f>IFERROR(G43/VLOOKUP(A43,RESUME!$G$3:$I$10,3,FALSE),0)</f>
        <v>0</v>
      </c>
      <c r="K43" s="198">
        <f t="shared" ref="K43:K74" si="9">G43*$K$4</f>
        <v>0</v>
      </c>
      <c r="L43" s="198">
        <f t="shared" ref="L43:L74" si="10">G43*$L$4</f>
        <v>0</v>
      </c>
      <c r="M43" s="200">
        <f t="shared" ref="M43:M56" si="11">IF(L43=0,0,IF(H43&gt;L43,0,L43/IF(H43&gt;=K43,H43,K43)*J43))</f>
        <v>0</v>
      </c>
      <c r="N43" s="201" t="str">
        <f>_xlfn.IFNA(VLOOKUP(A43&amp;"-"&amp;B43&amp;"-"&amp;D43,Ref_Account!$A:$F,6,FALSE),"ACCOUNT TIDAK DITEMUKAN")</f>
        <v>1201.720500</v>
      </c>
      <c r="O43" s="197">
        <f t="shared" ref="O43:O56" si="12">IF(N43="ACCOUNT TIDAK DITEMUKAN","9999",COUNTIF($N$6:$N$170,N43))</f>
        <v>1</v>
      </c>
      <c r="P43" s="197" t="str">
        <f t="shared" ref="P43:P74" si="13">IF(I43&gt;0,"OK","OVER")</f>
        <v>OVER</v>
      </c>
      <c r="Q43" s="202" t="s">
        <v>558</v>
      </c>
      <c r="R43" s="145"/>
      <c r="AA43" s="148"/>
    </row>
    <row r="44" spans="1:27">
      <c r="A44" s="187" t="s">
        <v>65</v>
      </c>
      <c r="B44" s="188" t="s">
        <v>68</v>
      </c>
      <c r="C44" s="187" t="s">
        <v>69</v>
      </c>
      <c r="D44" s="189" t="s">
        <v>12</v>
      </c>
      <c r="E44" s="189" t="s">
        <v>70</v>
      </c>
      <c r="F44" s="189"/>
      <c r="G44" s="190">
        <v>4917.96</v>
      </c>
      <c r="H44" s="190">
        <v>2781.48</v>
      </c>
      <c r="I44" s="190">
        <f t="shared" si="8"/>
        <v>2136.48</v>
      </c>
      <c r="J44" s="191">
        <f>IFERROR(G44/VLOOKUP(A44,RESUME!$G$3:$I$10,3,FALSE),0)</f>
        <v>4.9178503319375989E-2</v>
      </c>
      <c r="K44" s="190">
        <f t="shared" si="9"/>
        <v>3934.3680000000004</v>
      </c>
      <c r="L44" s="190">
        <f t="shared" si="10"/>
        <v>4917.96</v>
      </c>
      <c r="M44" s="192">
        <f t="shared" si="11"/>
        <v>6.1473129149219978E-2</v>
      </c>
      <c r="N44" s="193" t="str">
        <f>_xlfn.IFNA(VLOOKUP(A44&amp;"-"&amp;B44&amp;"-"&amp;D44,Ref_Account!$A:$F,6,FALSE),"ACCOUNT TIDAK DITEMUKAN")</f>
        <v>1201.812100</v>
      </c>
      <c r="O44" s="189">
        <f t="shared" si="12"/>
        <v>1</v>
      </c>
      <c r="P44" s="189" t="str">
        <f t="shared" si="13"/>
        <v>OK</v>
      </c>
      <c r="Q44" s="194" t="s">
        <v>528</v>
      </c>
      <c r="R44" s="145"/>
      <c r="AA44" s="148"/>
    </row>
    <row r="45" spans="1:27">
      <c r="A45" s="195" t="s">
        <v>65</v>
      </c>
      <c r="B45" s="196" t="s">
        <v>71</v>
      </c>
      <c r="C45" s="195" t="s">
        <v>72</v>
      </c>
      <c r="D45" s="197" t="s">
        <v>12</v>
      </c>
      <c r="E45" s="197" t="s">
        <v>73</v>
      </c>
      <c r="F45" s="197"/>
      <c r="G45" s="198">
        <v>281</v>
      </c>
      <c r="H45" s="198">
        <v>158.19999999999999</v>
      </c>
      <c r="I45" s="198">
        <f t="shared" si="8"/>
        <v>122.80000000000001</v>
      </c>
      <c r="J45" s="199">
        <f>IFERROR(G45/VLOOKUP(A45,RESUME!$G$3:$I$10,3,FALSE),0)</f>
        <v>2.8099373383973542E-3</v>
      </c>
      <c r="K45" s="198">
        <f t="shared" si="9"/>
        <v>224.8</v>
      </c>
      <c r="L45" s="198">
        <f t="shared" si="10"/>
        <v>281</v>
      </c>
      <c r="M45" s="200">
        <f t="shared" si="11"/>
        <v>3.5124216729966926E-3</v>
      </c>
      <c r="N45" s="201" t="str">
        <f>_xlfn.IFNA(VLOOKUP(A45&amp;"-"&amp;B45&amp;"-"&amp;D45,Ref_Account!$A:$F,6,FALSE),"ACCOUNT TIDAK DITEMUKAN")</f>
        <v>1201.807100</v>
      </c>
      <c r="O45" s="197">
        <f t="shared" si="12"/>
        <v>1</v>
      </c>
      <c r="P45" s="197" t="str">
        <f t="shared" si="13"/>
        <v>OK</v>
      </c>
      <c r="Q45" s="202" t="s">
        <v>528</v>
      </c>
      <c r="R45" s="145"/>
      <c r="AA45" s="148"/>
    </row>
    <row r="46" spans="1:27">
      <c r="A46" s="187" t="s">
        <v>65</v>
      </c>
      <c r="B46" s="188" t="s">
        <v>71</v>
      </c>
      <c r="C46" s="187" t="s">
        <v>72</v>
      </c>
      <c r="D46" s="189" t="s">
        <v>14</v>
      </c>
      <c r="E46" s="189" t="s">
        <v>73</v>
      </c>
      <c r="F46" s="189"/>
      <c r="G46" s="190">
        <v>64.58</v>
      </c>
      <c r="H46" s="190">
        <v>63.28</v>
      </c>
      <c r="I46" s="190">
        <f t="shared" si="8"/>
        <v>1.2999999999999972</v>
      </c>
      <c r="J46" s="191">
        <f>IFERROR(G46/VLOOKUP(A46,RESUME!$G$3:$I$10,3,FALSE),0)</f>
        <v>6.4578559898114285E-4</v>
      </c>
      <c r="K46" s="190">
        <f t="shared" si="9"/>
        <v>51.664000000000001</v>
      </c>
      <c r="L46" s="190">
        <f t="shared" si="10"/>
        <v>64.58</v>
      </c>
      <c r="M46" s="192">
        <f t="shared" si="11"/>
        <v>6.5905237013593875E-4</v>
      </c>
      <c r="N46" s="193" t="str">
        <f>_xlfn.IFNA(VLOOKUP(A46&amp;"-"&amp;B46&amp;"-"&amp;D46,Ref_Account!$A:$F,6,FALSE),"ACCOUNT TIDAK DITEMUKAN")</f>
        <v>1204.807100</v>
      </c>
      <c r="O46" s="189">
        <f t="shared" si="12"/>
        <v>1</v>
      </c>
      <c r="P46" s="189" t="str">
        <f t="shared" si="13"/>
        <v>OK</v>
      </c>
      <c r="Q46" s="194" t="s">
        <v>528</v>
      </c>
      <c r="R46" s="145"/>
      <c r="AA46" s="148"/>
    </row>
    <row r="47" spans="1:27">
      <c r="A47" s="195" t="s">
        <v>65</v>
      </c>
      <c r="B47" s="196" t="s">
        <v>74</v>
      </c>
      <c r="C47" s="195" t="s">
        <v>75</v>
      </c>
      <c r="D47" s="197" t="s">
        <v>12</v>
      </c>
      <c r="E47" s="197" t="s">
        <v>73</v>
      </c>
      <c r="F47" s="197"/>
      <c r="G47" s="198">
        <v>2027.63</v>
      </c>
      <c r="H47" s="198">
        <v>1863.9</v>
      </c>
      <c r="I47" s="198">
        <f t="shared" si="8"/>
        <v>163.73000000000002</v>
      </c>
      <c r="J47" s="199">
        <f>IFERROR(G47/VLOOKUP(A47,RESUME!$G$3:$I$10,3,FALSE),0)</f>
        <v>2.027584784859298E-2</v>
      </c>
      <c r="K47" s="198">
        <f t="shared" si="9"/>
        <v>1622.1040000000003</v>
      </c>
      <c r="L47" s="198">
        <f t="shared" si="10"/>
        <v>2027.63</v>
      </c>
      <c r="M47" s="200">
        <f t="shared" si="11"/>
        <v>2.2056932975611666E-2</v>
      </c>
      <c r="N47" s="201" t="str">
        <f>_xlfn.IFNA(VLOOKUP(A47&amp;"-"&amp;B47&amp;"-"&amp;D47,Ref_Account!$A:$F,6,FALSE),"ACCOUNT TIDAK DITEMUKAN")</f>
        <v>1201.630400</v>
      </c>
      <c r="O47" s="197">
        <f t="shared" si="12"/>
        <v>1</v>
      </c>
      <c r="P47" s="197" t="str">
        <f t="shared" si="13"/>
        <v>OK</v>
      </c>
      <c r="Q47" s="202" t="s">
        <v>528</v>
      </c>
      <c r="R47" s="145"/>
      <c r="AA47" s="148"/>
    </row>
    <row r="48" spans="1:27">
      <c r="A48" s="187" t="s">
        <v>65</v>
      </c>
      <c r="B48" s="188" t="s">
        <v>76</v>
      </c>
      <c r="C48" s="187" t="s">
        <v>77</v>
      </c>
      <c r="D48" s="189" t="s">
        <v>12</v>
      </c>
      <c r="E48" s="189" t="s">
        <v>73</v>
      </c>
      <c r="F48" s="189"/>
      <c r="G48" s="190">
        <v>1453.67</v>
      </c>
      <c r="H48" s="190">
        <v>922.87</v>
      </c>
      <c r="I48" s="190">
        <f t="shared" si="8"/>
        <v>530.80000000000007</v>
      </c>
      <c r="J48" s="191">
        <f>IFERROR(G48/VLOOKUP(A48,RESUME!$G$3:$I$10,3,FALSE),0)</f>
        <v>1.4536375838818798E-2</v>
      </c>
      <c r="K48" s="190">
        <f t="shared" si="9"/>
        <v>1162.9360000000001</v>
      </c>
      <c r="L48" s="190">
        <f t="shared" si="10"/>
        <v>1453.67</v>
      </c>
      <c r="M48" s="192">
        <f t="shared" si="11"/>
        <v>1.8170469798523499E-2</v>
      </c>
      <c r="N48" s="193" t="str">
        <f>_xlfn.IFNA(VLOOKUP(A48&amp;"-"&amp;B48&amp;"-"&amp;D48,Ref_Account!$A:$F,6,FALSE),"ACCOUNT TIDAK DITEMUKAN")</f>
        <v>1201.813100</v>
      </c>
      <c r="O48" s="189">
        <f t="shared" si="12"/>
        <v>1</v>
      </c>
      <c r="P48" s="189" t="str">
        <f t="shared" si="13"/>
        <v>OK</v>
      </c>
      <c r="Q48" s="194" t="s">
        <v>528</v>
      </c>
      <c r="R48" s="145"/>
      <c r="AA48" s="148"/>
    </row>
    <row r="49" spans="1:27">
      <c r="A49" s="195" t="s">
        <v>65</v>
      </c>
      <c r="B49" s="196" t="s">
        <v>78</v>
      </c>
      <c r="C49" s="195" t="s">
        <v>79</v>
      </c>
      <c r="D49" s="197" t="s">
        <v>12</v>
      </c>
      <c r="E49" s="197" t="s">
        <v>80</v>
      </c>
      <c r="F49" s="197"/>
      <c r="G49" s="198">
        <v>531</v>
      </c>
      <c r="H49" s="198">
        <v>156.87</v>
      </c>
      <c r="I49" s="198">
        <f t="shared" si="8"/>
        <v>374.13</v>
      </c>
      <c r="J49" s="199">
        <f>IFERROR(G49/VLOOKUP(A49,RESUME!$G$3:$I$10,3,FALSE),0)</f>
        <v>5.3098815896405523E-3</v>
      </c>
      <c r="K49" s="198">
        <f t="shared" si="9"/>
        <v>424.8</v>
      </c>
      <c r="L49" s="198">
        <f t="shared" si="10"/>
        <v>531</v>
      </c>
      <c r="M49" s="200">
        <f t="shared" si="11"/>
        <v>6.6373519870506908E-3</v>
      </c>
      <c r="N49" s="201" t="str">
        <f>_xlfn.IFNA(VLOOKUP(A49&amp;"-"&amp;B49&amp;"-"&amp;D49,Ref_Account!$A:$F,6,FALSE),"ACCOUNT TIDAK DITEMUKAN")</f>
        <v>1201.630300</v>
      </c>
      <c r="O49" s="197">
        <f t="shared" si="12"/>
        <v>1</v>
      </c>
      <c r="P49" s="197" t="str">
        <f t="shared" si="13"/>
        <v>OK</v>
      </c>
      <c r="Q49" s="202" t="s">
        <v>528</v>
      </c>
      <c r="R49" s="145"/>
      <c r="AA49" s="148"/>
    </row>
    <row r="50" spans="1:27">
      <c r="A50" s="187" t="s">
        <v>65</v>
      </c>
      <c r="B50" s="188" t="s">
        <v>152</v>
      </c>
      <c r="C50" s="187" t="s">
        <v>81</v>
      </c>
      <c r="D50" s="189" t="s">
        <v>12</v>
      </c>
      <c r="E50" s="189" t="s">
        <v>73</v>
      </c>
      <c r="F50" s="189"/>
      <c r="G50" s="190">
        <v>2429</v>
      </c>
      <c r="H50" s="190">
        <v>91.44</v>
      </c>
      <c r="I50" s="190">
        <f t="shared" si="8"/>
        <v>2337.56</v>
      </c>
      <c r="J50" s="191">
        <f>IFERROR(G50/VLOOKUP(A50,RESUME!$G$3:$I$10,3,FALSE),0)</f>
        <v>2.428945834507891E-2</v>
      </c>
      <c r="K50" s="190">
        <f t="shared" si="9"/>
        <v>1943.2</v>
      </c>
      <c r="L50" s="190">
        <f t="shared" si="10"/>
        <v>2429</v>
      </c>
      <c r="M50" s="192">
        <f t="shared" si="11"/>
        <v>3.0361822931348637E-2</v>
      </c>
      <c r="N50" s="193" t="str">
        <f>_xlfn.IFNA(VLOOKUP(A50&amp;"-"&amp;B50&amp;"-"&amp;D50,Ref_Account!$A:$F,6,FALSE),"ACCOUNT TIDAK DITEMUKAN")</f>
        <v>1201.630200</v>
      </c>
      <c r="O50" s="189">
        <f t="shared" si="12"/>
        <v>2</v>
      </c>
      <c r="P50" s="189" t="str">
        <f t="shared" si="13"/>
        <v>OK</v>
      </c>
      <c r="Q50" s="194" t="s">
        <v>528</v>
      </c>
      <c r="R50" s="145"/>
      <c r="AA50" s="148"/>
    </row>
    <row r="51" spans="1:27">
      <c r="A51" s="195" t="s">
        <v>65</v>
      </c>
      <c r="B51" s="196" t="s">
        <v>152</v>
      </c>
      <c r="C51" s="195" t="s">
        <v>82</v>
      </c>
      <c r="D51" s="197" t="s">
        <v>12</v>
      </c>
      <c r="E51" s="197" t="s">
        <v>73</v>
      </c>
      <c r="F51" s="197"/>
      <c r="G51" s="198">
        <v>200</v>
      </c>
      <c r="H51" s="198">
        <v>70.88</v>
      </c>
      <c r="I51" s="198">
        <f t="shared" si="8"/>
        <v>129.12</v>
      </c>
      <c r="J51" s="199">
        <f>IFERROR(G51/VLOOKUP(A51,RESUME!$G$3:$I$10,3,FALSE),0)</f>
        <v>1.9999554009945582E-3</v>
      </c>
      <c r="K51" s="198">
        <f t="shared" si="9"/>
        <v>160</v>
      </c>
      <c r="L51" s="198">
        <f t="shared" si="10"/>
        <v>200</v>
      </c>
      <c r="M51" s="200">
        <f t="shared" si="11"/>
        <v>2.4999442512431977E-3</v>
      </c>
      <c r="N51" s="201" t="str">
        <f>_xlfn.IFNA(VLOOKUP(A51&amp;"-"&amp;B51&amp;"-"&amp;D51,Ref_Account!$A:$F,6,FALSE),"ACCOUNT TIDAK DITEMUKAN")</f>
        <v>1201.630200</v>
      </c>
      <c r="O51" s="197">
        <f t="shared" si="12"/>
        <v>2</v>
      </c>
      <c r="P51" s="197" t="str">
        <f t="shared" si="13"/>
        <v>OK</v>
      </c>
      <c r="Q51" s="202" t="s">
        <v>528</v>
      </c>
      <c r="R51" s="145"/>
      <c r="AA51" s="148"/>
    </row>
    <row r="52" spans="1:27">
      <c r="A52" s="187" t="s">
        <v>65</v>
      </c>
      <c r="B52" s="188" t="s">
        <v>85</v>
      </c>
      <c r="C52" s="187" t="s">
        <v>86</v>
      </c>
      <c r="D52" s="189" t="s">
        <v>12</v>
      </c>
      <c r="E52" s="189" t="s">
        <v>73</v>
      </c>
      <c r="F52" s="189"/>
      <c r="G52" s="190">
        <v>938.47</v>
      </c>
      <c r="H52" s="190">
        <v>634.54999999999995</v>
      </c>
      <c r="I52" s="190">
        <f t="shared" si="8"/>
        <v>303.92000000000007</v>
      </c>
      <c r="J52" s="191">
        <f>IFERROR(G52/VLOOKUP(A52,RESUME!$G$3:$I$10,3,FALSE),0)</f>
        <v>9.3844907258568162E-3</v>
      </c>
      <c r="K52" s="190">
        <f t="shared" si="9"/>
        <v>750.77600000000007</v>
      </c>
      <c r="L52" s="190">
        <f t="shared" si="10"/>
        <v>938.47</v>
      </c>
      <c r="M52" s="192">
        <f t="shared" si="11"/>
        <v>1.173061340732102E-2</v>
      </c>
      <c r="N52" s="193" t="str">
        <f>_xlfn.IFNA(VLOOKUP(A52&amp;"-"&amp;B52&amp;"-"&amp;D52,Ref_Account!$A:$F,6,FALSE),"ACCOUNT TIDAK DITEMUKAN")</f>
        <v>1201.808100</v>
      </c>
      <c r="O52" s="189">
        <f t="shared" si="12"/>
        <v>1</v>
      </c>
      <c r="P52" s="189" t="str">
        <f t="shared" si="13"/>
        <v>OK</v>
      </c>
      <c r="Q52" s="194" t="s">
        <v>528</v>
      </c>
      <c r="R52" s="145"/>
      <c r="AA52" s="148"/>
    </row>
    <row r="53" spans="1:27">
      <c r="A53" s="195" t="s">
        <v>65</v>
      </c>
      <c r="B53" s="196" t="s">
        <v>85</v>
      </c>
      <c r="C53" s="195" t="s">
        <v>86</v>
      </c>
      <c r="D53" s="197" t="s">
        <v>23</v>
      </c>
      <c r="E53" s="197" t="s">
        <v>73</v>
      </c>
      <c r="F53" s="197"/>
      <c r="G53" s="198">
        <v>175.55</v>
      </c>
      <c r="H53" s="198"/>
      <c r="I53" s="198">
        <f t="shared" si="8"/>
        <v>175.55</v>
      </c>
      <c r="J53" s="199">
        <f>IFERROR(G53/VLOOKUP(A53,RESUME!$G$3:$I$10,3,FALSE),0)</f>
        <v>1.7554608532229735E-3</v>
      </c>
      <c r="K53" s="198">
        <f t="shared" si="9"/>
        <v>140.44000000000003</v>
      </c>
      <c r="L53" s="198">
        <f t="shared" si="10"/>
        <v>175.55</v>
      </c>
      <c r="M53" s="200">
        <f t="shared" si="11"/>
        <v>2.1943260665287165E-3</v>
      </c>
      <c r="N53" s="201" t="str">
        <f>_xlfn.IFNA(VLOOKUP(A53&amp;"-"&amp;B53&amp;"-"&amp;D53,Ref_Account!$A:$F,6,FALSE),"ACCOUNT TIDAK DITEMUKAN")</f>
        <v>1205.808100</v>
      </c>
      <c r="O53" s="197">
        <f t="shared" si="12"/>
        <v>1</v>
      </c>
      <c r="P53" s="197" t="str">
        <f t="shared" si="13"/>
        <v>OK</v>
      </c>
      <c r="Q53" s="202" t="s">
        <v>528</v>
      </c>
      <c r="R53" s="145"/>
      <c r="AA53" s="148"/>
    </row>
    <row r="54" spans="1:27">
      <c r="A54" s="187" t="s">
        <v>65</v>
      </c>
      <c r="B54" s="188" t="s">
        <v>85</v>
      </c>
      <c r="C54" s="187" t="s">
        <v>86</v>
      </c>
      <c r="D54" s="189" t="s">
        <v>14</v>
      </c>
      <c r="E54" s="189" t="s">
        <v>73</v>
      </c>
      <c r="F54" s="189"/>
      <c r="G54" s="190">
        <v>2294.39</v>
      </c>
      <c r="H54" s="190">
        <v>1371.93</v>
      </c>
      <c r="I54" s="190">
        <f t="shared" si="8"/>
        <v>922.45999999999981</v>
      </c>
      <c r="J54" s="191">
        <f>IFERROR(G54/VLOOKUP(A54,RESUME!$G$3:$I$10,3,FALSE),0)</f>
        <v>2.2943388362439521E-2</v>
      </c>
      <c r="K54" s="190">
        <f t="shared" si="9"/>
        <v>1835.5119999999999</v>
      </c>
      <c r="L54" s="190">
        <f t="shared" si="10"/>
        <v>2294.39</v>
      </c>
      <c r="M54" s="192">
        <f t="shared" si="11"/>
        <v>2.8679235453049401E-2</v>
      </c>
      <c r="N54" s="193" t="str">
        <f>_xlfn.IFNA(VLOOKUP(A54&amp;"-"&amp;B54&amp;"-"&amp;D54,Ref_Account!$A:$F,6,FALSE),"ACCOUNT TIDAK DITEMUKAN")</f>
        <v>1204.808100</v>
      </c>
      <c r="O54" s="189">
        <f t="shared" si="12"/>
        <v>1</v>
      </c>
      <c r="P54" s="189" t="str">
        <f t="shared" si="13"/>
        <v>OK</v>
      </c>
      <c r="Q54" s="194" t="s">
        <v>528</v>
      </c>
      <c r="R54" s="145"/>
      <c r="AA54" s="148"/>
    </row>
    <row r="55" spans="1:27">
      <c r="A55" s="195" t="s">
        <v>65</v>
      </c>
      <c r="B55" s="196" t="s">
        <v>87</v>
      </c>
      <c r="C55" s="195" t="s">
        <v>88</v>
      </c>
      <c r="D55" s="197" t="s">
        <v>12</v>
      </c>
      <c r="E55" s="197" t="s">
        <v>73</v>
      </c>
      <c r="F55" s="197"/>
      <c r="G55" s="198">
        <v>1987.05</v>
      </c>
      <c r="H55" s="198"/>
      <c r="I55" s="198">
        <f t="shared" si="8"/>
        <v>1987.05</v>
      </c>
      <c r="J55" s="199">
        <f>IFERROR(G55/VLOOKUP(A55,RESUME!$G$3:$I$10,3,FALSE),0)</f>
        <v>1.9870056897731185E-2</v>
      </c>
      <c r="K55" s="198">
        <f t="shared" si="9"/>
        <v>1589.64</v>
      </c>
      <c r="L55" s="198">
        <f t="shared" si="10"/>
        <v>1987.05</v>
      </c>
      <c r="M55" s="200">
        <f t="shared" si="11"/>
        <v>2.4837571122163983E-2</v>
      </c>
      <c r="N55" s="201" t="str">
        <f>_xlfn.IFNA(VLOOKUP(A55&amp;"-"&amp;B55&amp;"-"&amp;D55,Ref_Account!$A:$F,6,FALSE),"ACCOUNT TIDAK DITEMUKAN")</f>
        <v>1201.630900</v>
      </c>
      <c r="O55" s="197">
        <f t="shared" si="12"/>
        <v>1</v>
      </c>
      <c r="P55" s="197" t="str">
        <f t="shared" si="13"/>
        <v>OK</v>
      </c>
      <c r="Q55" s="202" t="s">
        <v>528</v>
      </c>
      <c r="R55" s="145"/>
      <c r="AA55" s="148"/>
    </row>
    <row r="56" spans="1:27">
      <c r="A56" s="187" t="s">
        <v>65</v>
      </c>
      <c r="B56" s="188" t="s">
        <v>87</v>
      </c>
      <c r="C56" s="187" t="s">
        <v>88</v>
      </c>
      <c r="D56" s="189" t="s">
        <v>14</v>
      </c>
      <c r="E56" s="189" t="s">
        <v>73</v>
      </c>
      <c r="F56" s="189"/>
      <c r="G56" s="190">
        <v>1692.67</v>
      </c>
      <c r="H56" s="190"/>
      <c r="I56" s="190">
        <f t="shared" si="8"/>
        <v>1692.67</v>
      </c>
      <c r="J56" s="191">
        <f>IFERROR(G56/VLOOKUP(A56,RESUME!$G$3:$I$10,3,FALSE),0)</f>
        <v>1.6926322543007296E-2</v>
      </c>
      <c r="K56" s="190">
        <f t="shared" si="9"/>
        <v>1354.1360000000002</v>
      </c>
      <c r="L56" s="190">
        <f t="shared" si="10"/>
        <v>1692.67</v>
      </c>
      <c r="M56" s="192">
        <f t="shared" si="11"/>
        <v>2.1157903178759117E-2</v>
      </c>
      <c r="N56" s="193" t="str">
        <f>_xlfn.IFNA(VLOOKUP(A56&amp;"-"&amp;B56&amp;"-"&amp;D56,Ref_Account!$A:$F,6,FALSE),"ACCOUNT TIDAK DITEMUKAN")</f>
        <v>1204.630900</v>
      </c>
      <c r="O56" s="189">
        <f t="shared" si="12"/>
        <v>1</v>
      </c>
      <c r="P56" s="189" t="str">
        <f t="shared" si="13"/>
        <v>OK</v>
      </c>
      <c r="Q56" s="194" t="s">
        <v>528</v>
      </c>
      <c r="R56" s="145"/>
      <c r="AA56" s="148"/>
    </row>
    <row r="57" spans="1:27">
      <c r="A57" s="187" t="s">
        <v>65</v>
      </c>
      <c r="B57" s="196" t="s">
        <v>587</v>
      </c>
      <c r="C57" s="187" t="s">
        <v>588</v>
      </c>
      <c r="D57" s="189" t="s">
        <v>12</v>
      </c>
      <c r="E57" s="189" t="s">
        <v>73</v>
      </c>
      <c r="F57" s="189"/>
      <c r="G57" s="190">
        <v>2400</v>
      </c>
      <c r="H57" s="190"/>
      <c r="I57" s="190">
        <f t="shared" si="8"/>
        <v>2400</v>
      </c>
      <c r="J57" s="191"/>
      <c r="K57" s="190">
        <f t="shared" si="9"/>
        <v>1920</v>
      </c>
      <c r="L57" s="190">
        <f t="shared" si="10"/>
        <v>2400</v>
      </c>
      <c r="M57" s="192"/>
      <c r="N57" s="226" t="s">
        <v>590</v>
      </c>
      <c r="O57" s="189"/>
      <c r="P57" s="189" t="str">
        <f t="shared" si="13"/>
        <v>OK</v>
      </c>
      <c r="Q57" s="194"/>
      <c r="R57" s="145"/>
      <c r="AA57" s="148"/>
    </row>
    <row r="58" spans="1:27">
      <c r="A58" s="187" t="s">
        <v>65</v>
      </c>
      <c r="B58" s="196" t="s">
        <v>587</v>
      </c>
      <c r="C58" s="187" t="s">
        <v>588</v>
      </c>
      <c r="D58" s="197" t="s">
        <v>23</v>
      </c>
      <c r="E58" s="189" t="s">
        <v>73</v>
      </c>
      <c r="F58" s="189"/>
      <c r="G58" s="190"/>
      <c r="H58" s="190"/>
      <c r="I58" s="190">
        <f t="shared" si="8"/>
        <v>0</v>
      </c>
      <c r="J58" s="191"/>
      <c r="K58" s="190">
        <f t="shared" si="9"/>
        <v>0</v>
      </c>
      <c r="L58" s="190">
        <f t="shared" si="10"/>
        <v>0</v>
      </c>
      <c r="M58" s="192"/>
      <c r="N58" s="226" t="s">
        <v>591</v>
      </c>
      <c r="O58" s="189"/>
      <c r="P58" s="189" t="str">
        <f t="shared" si="13"/>
        <v>OVER</v>
      </c>
      <c r="Q58" s="194"/>
      <c r="R58" s="145"/>
      <c r="AA58" s="148"/>
    </row>
    <row r="59" spans="1:27">
      <c r="A59" s="187" t="s">
        <v>65</v>
      </c>
      <c r="B59" s="196" t="s">
        <v>587</v>
      </c>
      <c r="C59" s="187" t="s">
        <v>588</v>
      </c>
      <c r="D59" s="189" t="s">
        <v>14</v>
      </c>
      <c r="E59" s="189" t="s">
        <v>73</v>
      </c>
      <c r="F59" s="189"/>
      <c r="G59" s="190">
        <v>1400</v>
      </c>
      <c r="H59" s="190"/>
      <c r="I59" s="190">
        <f t="shared" si="8"/>
        <v>1400</v>
      </c>
      <c r="J59" s="191"/>
      <c r="K59" s="190">
        <f t="shared" si="9"/>
        <v>1120</v>
      </c>
      <c r="L59" s="190">
        <f t="shared" si="10"/>
        <v>1400</v>
      </c>
      <c r="M59" s="192"/>
      <c r="N59" s="226" t="s">
        <v>592</v>
      </c>
      <c r="O59" s="189"/>
      <c r="P59" s="189" t="str">
        <f t="shared" si="13"/>
        <v>OK</v>
      </c>
      <c r="Q59" s="194"/>
      <c r="R59" s="145"/>
      <c r="AA59" s="148"/>
    </row>
    <row r="60" spans="1:27">
      <c r="A60" s="187" t="s">
        <v>65</v>
      </c>
      <c r="B60" s="196" t="s">
        <v>587</v>
      </c>
      <c r="C60" s="187" t="s">
        <v>588</v>
      </c>
      <c r="D60" s="189" t="s">
        <v>99</v>
      </c>
      <c r="E60" s="189" t="s">
        <v>73</v>
      </c>
      <c r="F60" s="189"/>
      <c r="G60" s="190">
        <v>750</v>
      </c>
      <c r="H60" s="190"/>
      <c r="I60" s="190">
        <f t="shared" si="8"/>
        <v>750</v>
      </c>
      <c r="J60" s="191"/>
      <c r="K60" s="190">
        <f t="shared" si="9"/>
        <v>600</v>
      </c>
      <c r="L60" s="190">
        <f t="shared" si="10"/>
        <v>750</v>
      </c>
      <c r="M60" s="192"/>
      <c r="N60" s="226" t="s">
        <v>593</v>
      </c>
      <c r="O60" s="189"/>
      <c r="P60" s="189" t="str">
        <f t="shared" si="13"/>
        <v>OK</v>
      </c>
      <c r="Q60" s="194"/>
      <c r="R60" s="145"/>
      <c r="AA60" s="148"/>
    </row>
    <row r="61" spans="1:27">
      <c r="A61" s="195" t="s">
        <v>65</v>
      </c>
      <c r="B61" s="196" t="s">
        <v>89</v>
      </c>
      <c r="C61" s="195" t="s">
        <v>90</v>
      </c>
      <c r="D61" s="197" t="s">
        <v>12</v>
      </c>
      <c r="E61" s="197" t="s">
        <v>73</v>
      </c>
      <c r="F61" s="197"/>
      <c r="G61" s="198">
        <v>569</v>
      </c>
      <c r="H61" s="198">
        <v>460.21</v>
      </c>
      <c r="I61" s="198">
        <f t="shared" si="8"/>
        <v>108.79000000000002</v>
      </c>
      <c r="J61" s="199">
        <f>IFERROR(G61/VLOOKUP(A61,RESUME!$G$3:$I$10,3,FALSE),0)</f>
        <v>5.6898731158295177E-3</v>
      </c>
      <c r="K61" s="198">
        <f t="shared" si="9"/>
        <v>455.20000000000005</v>
      </c>
      <c r="L61" s="198">
        <f t="shared" si="10"/>
        <v>569</v>
      </c>
      <c r="M61" s="200">
        <f t="shared" ref="M61:M92" si="14">IF(L61=0,0,IF(H61&gt;L61,0,L61/IF(H61&gt;=K61,H61,K61)*J61))</f>
        <v>7.0349140672888374E-3</v>
      </c>
      <c r="N61" s="201" t="str">
        <f>_xlfn.IFNA(VLOOKUP(A61&amp;"-"&amp;B61&amp;"-"&amp;D61,Ref_Account!$A:$F,6,FALSE),"ACCOUNT TIDAK DITEMUKAN")</f>
        <v>1201.802140</v>
      </c>
      <c r="O61" s="197">
        <f t="shared" ref="O61:O92" si="15">IF(N61="ACCOUNT TIDAK DITEMUKAN","9999",COUNTIF($N$6:$N$170,N61))</f>
        <v>1</v>
      </c>
      <c r="P61" s="197" t="str">
        <f t="shared" si="13"/>
        <v>OK</v>
      </c>
      <c r="Q61" s="202" t="s">
        <v>528</v>
      </c>
      <c r="R61" s="145"/>
      <c r="AA61" s="148"/>
    </row>
    <row r="62" spans="1:27">
      <c r="A62" s="187" t="s">
        <v>65</v>
      </c>
      <c r="B62" s="188" t="s">
        <v>89</v>
      </c>
      <c r="C62" s="187" t="s">
        <v>90</v>
      </c>
      <c r="D62" s="189" t="s">
        <v>14</v>
      </c>
      <c r="E62" s="189" t="s">
        <v>73</v>
      </c>
      <c r="F62" s="189"/>
      <c r="G62" s="190">
        <v>300</v>
      </c>
      <c r="H62" s="190"/>
      <c r="I62" s="190">
        <f t="shared" si="8"/>
        <v>300</v>
      </c>
      <c r="J62" s="191">
        <f>IFERROR(G62/VLOOKUP(A62,RESUME!$G$3:$I$10,3,FALSE),0)</f>
        <v>2.9999331014918373E-3</v>
      </c>
      <c r="K62" s="190">
        <f t="shared" si="9"/>
        <v>240</v>
      </c>
      <c r="L62" s="190">
        <f t="shared" si="10"/>
        <v>300</v>
      </c>
      <c r="M62" s="192">
        <f t="shared" si="14"/>
        <v>3.7499163768647966E-3</v>
      </c>
      <c r="N62" s="193" t="str">
        <f>_xlfn.IFNA(VLOOKUP(A62&amp;"-"&amp;B62&amp;"-"&amp;D62,Ref_Account!$A:$F,6,FALSE),"ACCOUNT TIDAK DITEMUKAN")</f>
        <v>1204.802140</v>
      </c>
      <c r="O62" s="189">
        <f t="shared" si="15"/>
        <v>1</v>
      </c>
      <c r="P62" s="189" t="str">
        <f t="shared" si="13"/>
        <v>OK</v>
      </c>
      <c r="Q62" s="194" t="s">
        <v>528</v>
      </c>
      <c r="R62" s="145"/>
      <c r="AA62" s="148"/>
    </row>
    <row r="63" spans="1:27">
      <c r="A63" s="195" t="s">
        <v>65</v>
      </c>
      <c r="B63" s="196" t="s">
        <v>91</v>
      </c>
      <c r="C63" s="195" t="s">
        <v>92</v>
      </c>
      <c r="D63" s="197" t="s">
        <v>12</v>
      </c>
      <c r="E63" s="197" t="s">
        <v>93</v>
      </c>
      <c r="F63" s="197"/>
      <c r="G63" s="198">
        <v>2288.86</v>
      </c>
      <c r="H63" s="198"/>
      <c r="I63" s="198">
        <f t="shared" si="8"/>
        <v>2288.86</v>
      </c>
      <c r="J63" s="199">
        <f>IFERROR(G63/VLOOKUP(A63,RESUME!$G$3:$I$10,3,FALSE),0)</f>
        <v>2.2888089595602023E-2</v>
      </c>
      <c r="K63" s="198">
        <f t="shared" si="9"/>
        <v>1831.0880000000002</v>
      </c>
      <c r="L63" s="198">
        <f t="shared" si="10"/>
        <v>2288.86</v>
      </c>
      <c r="M63" s="200">
        <f t="shared" si="14"/>
        <v>2.861011199450253E-2</v>
      </c>
      <c r="N63" s="201" t="str">
        <f>_xlfn.IFNA(VLOOKUP(A63&amp;"-"&amp;B63&amp;"-"&amp;D63,Ref_Account!$A:$F,6,FALSE),"ACCOUNT TIDAK DITEMUKAN")</f>
        <v>1201.801160</v>
      </c>
      <c r="O63" s="197">
        <f t="shared" si="15"/>
        <v>1</v>
      </c>
      <c r="P63" s="197" t="str">
        <f t="shared" si="13"/>
        <v>OK</v>
      </c>
      <c r="Q63" s="202" t="s">
        <v>528</v>
      </c>
      <c r="R63" s="145"/>
      <c r="AA63" s="148"/>
    </row>
    <row r="64" spans="1:27">
      <c r="A64" s="187" t="s">
        <v>65</v>
      </c>
      <c r="B64" s="188" t="s">
        <v>94</v>
      </c>
      <c r="C64" s="187" t="s">
        <v>95</v>
      </c>
      <c r="D64" s="189" t="s">
        <v>12</v>
      </c>
      <c r="E64" s="189" t="s">
        <v>96</v>
      </c>
      <c r="F64" s="189"/>
      <c r="G64" s="190">
        <v>36500.160000000003</v>
      </c>
      <c r="H64" s="190">
        <v>122.79</v>
      </c>
      <c r="I64" s="190">
        <f t="shared" si="8"/>
        <v>36377.370000000003</v>
      </c>
      <c r="J64" s="191">
        <f>IFERROR(G64/VLOOKUP(A64,RESUME!$G$3:$I$10,3,FALSE),0)</f>
        <v>0.36499346064582772</v>
      </c>
      <c r="K64" s="190">
        <f t="shared" si="9"/>
        <v>29200.128000000004</v>
      </c>
      <c r="L64" s="190">
        <f t="shared" si="10"/>
        <v>36500.160000000003</v>
      </c>
      <c r="M64" s="192">
        <f t="shared" si="14"/>
        <v>0.45624182580728467</v>
      </c>
      <c r="N64" s="193" t="str">
        <f>_xlfn.IFNA(VLOOKUP(A64&amp;"-"&amp;B64&amp;"-"&amp;D64,Ref_Account!$A:$F,6,FALSE),"ACCOUNT TIDAK DITEMUKAN")</f>
        <v>1201.630110</v>
      </c>
      <c r="O64" s="189">
        <f t="shared" si="15"/>
        <v>1</v>
      </c>
      <c r="P64" s="189" t="str">
        <f t="shared" si="13"/>
        <v>OK</v>
      </c>
      <c r="Q64" s="194" t="s">
        <v>528</v>
      </c>
      <c r="R64" s="145"/>
      <c r="AA64" s="148"/>
    </row>
    <row r="65" spans="1:27">
      <c r="A65" s="195" t="s">
        <v>65</v>
      </c>
      <c r="B65" s="196" t="s">
        <v>97</v>
      </c>
      <c r="C65" s="195" t="s">
        <v>98</v>
      </c>
      <c r="D65" s="197" t="s">
        <v>12</v>
      </c>
      <c r="E65" s="197" t="s">
        <v>73</v>
      </c>
      <c r="F65" s="197"/>
      <c r="G65" s="198">
        <v>1440.17</v>
      </c>
      <c r="H65" s="198">
        <v>0.63</v>
      </c>
      <c r="I65" s="198">
        <f t="shared" si="8"/>
        <v>1439.54</v>
      </c>
      <c r="J65" s="199">
        <f>IFERROR(G65/VLOOKUP(A65,RESUME!$G$3:$I$10,3,FALSE),0)</f>
        <v>1.4401378849251665E-2</v>
      </c>
      <c r="K65" s="198">
        <f t="shared" si="9"/>
        <v>1152.1360000000002</v>
      </c>
      <c r="L65" s="198">
        <f t="shared" si="10"/>
        <v>1440.17</v>
      </c>
      <c r="M65" s="200">
        <f t="shared" si="14"/>
        <v>1.8001723561564577E-2</v>
      </c>
      <c r="N65" s="201" t="str">
        <f>_xlfn.IFNA(VLOOKUP(A65&amp;"-"&amp;B65&amp;"-"&amp;D65,Ref_Account!$A:$F,6,FALSE),"ACCOUNT TIDAK DITEMUKAN")</f>
        <v>1201.809100</v>
      </c>
      <c r="O65" s="197">
        <f t="shared" si="15"/>
        <v>1</v>
      </c>
      <c r="P65" s="197" t="str">
        <f t="shared" si="13"/>
        <v>OK</v>
      </c>
      <c r="Q65" s="202" t="s">
        <v>528</v>
      </c>
      <c r="R65" s="145"/>
      <c r="AA65" s="148"/>
    </row>
    <row r="66" spans="1:27">
      <c r="A66" s="187" t="s">
        <v>65</v>
      </c>
      <c r="B66" s="188" t="s">
        <v>97</v>
      </c>
      <c r="C66" s="187" t="s">
        <v>98</v>
      </c>
      <c r="D66" s="189" t="s">
        <v>99</v>
      </c>
      <c r="E66" s="189" t="s">
        <v>73</v>
      </c>
      <c r="F66" s="189"/>
      <c r="G66" s="190">
        <v>14.27</v>
      </c>
      <c r="H66" s="190"/>
      <c r="I66" s="190">
        <f t="shared" si="8"/>
        <v>14.27</v>
      </c>
      <c r="J66" s="191">
        <f>IFERROR(G66/VLOOKUP(A66,RESUME!$G$3:$I$10,3,FALSE),0)</f>
        <v>1.4269681786096173E-4</v>
      </c>
      <c r="K66" s="190">
        <f t="shared" si="9"/>
        <v>11.416</v>
      </c>
      <c r="L66" s="190">
        <f t="shared" si="10"/>
        <v>14.27</v>
      </c>
      <c r="M66" s="192">
        <f t="shared" si="14"/>
        <v>1.7837102232620217E-4</v>
      </c>
      <c r="N66" s="193" t="str">
        <f>_xlfn.IFNA(VLOOKUP(A66&amp;"-"&amp;B66&amp;"-"&amp;D66,Ref_Account!$A:$F,6,FALSE),"ACCOUNT TIDAK DITEMUKAN")</f>
        <v>1206.809100</v>
      </c>
      <c r="O66" s="189">
        <f t="shared" si="15"/>
        <v>1</v>
      </c>
      <c r="P66" s="189" t="str">
        <f t="shared" si="13"/>
        <v>OK</v>
      </c>
      <c r="Q66" s="194" t="s">
        <v>528</v>
      </c>
      <c r="R66" s="145"/>
      <c r="AA66" s="148"/>
    </row>
    <row r="67" spans="1:27">
      <c r="A67" s="195" t="s">
        <v>65</v>
      </c>
      <c r="B67" s="196" t="s">
        <v>97</v>
      </c>
      <c r="C67" s="195" t="s">
        <v>98</v>
      </c>
      <c r="D67" s="197" t="s">
        <v>23</v>
      </c>
      <c r="E67" s="197" t="s">
        <v>73</v>
      </c>
      <c r="F67" s="197"/>
      <c r="G67" s="198">
        <v>35.56</v>
      </c>
      <c r="H67" s="198"/>
      <c r="I67" s="198">
        <f t="shared" si="8"/>
        <v>35.56</v>
      </c>
      <c r="J67" s="199">
        <f>IFERROR(G67/VLOOKUP(A67,RESUME!$G$3:$I$10,3,FALSE),0)</f>
        <v>3.5559207029683249E-4</v>
      </c>
      <c r="K67" s="198">
        <f t="shared" si="9"/>
        <v>28.448000000000004</v>
      </c>
      <c r="L67" s="198">
        <f t="shared" si="10"/>
        <v>35.56</v>
      </c>
      <c r="M67" s="200">
        <f t="shared" si="14"/>
        <v>4.444900878710406E-4</v>
      </c>
      <c r="N67" s="201" t="str">
        <f>_xlfn.IFNA(VLOOKUP(A67&amp;"-"&amp;B67&amp;"-"&amp;D67,Ref_Account!$A:$F,6,FALSE),"ACCOUNT TIDAK DITEMUKAN")</f>
        <v>1205.809100</v>
      </c>
      <c r="O67" s="197">
        <f t="shared" si="15"/>
        <v>1</v>
      </c>
      <c r="P67" s="197" t="str">
        <f t="shared" si="13"/>
        <v>OK</v>
      </c>
      <c r="Q67" s="202" t="s">
        <v>528</v>
      </c>
      <c r="R67" s="145"/>
      <c r="AA67" s="148"/>
    </row>
    <row r="68" spans="1:27">
      <c r="A68" s="187" t="s">
        <v>65</v>
      </c>
      <c r="B68" s="188" t="s">
        <v>97</v>
      </c>
      <c r="C68" s="187" t="s">
        <v>98</v>
      </c>
      <c r="D68" s="189" t="s">
        <v>14</v>
      </c>
      <c r="E68" s="189" t="s">
        <v>73</v>
      </c>
      <c r="F68" s="189"/>
      <c r="G68" s="190">
        <v>9.69</v>
      </c>
      <c r="H68" s="190">
        <v>20.88</v>
      </c>
      <c r="I68" s="190">
        <f t="shared" si="8"/>
        <v>-11.19</v>
      </c>
      <c r="J68" s="191">
        <f>IFERROR(G68/VLOOKUP(A68,RESUME!$G$3:$I$10,3,FALSE),0)</f>
        <v>9.6897839178186336E-5</v>
      </c>
      <c r="K68" s="190">
        <f t="shared" si="9"/>
        <v>7.7519999999999998</v>
      </c>
      <c r="L68" s="190">
        <f t="shared" si="10"/>
        <v>9.69</v>
      </c>
      <c r="M68" s="192">
        <f t="shared" si="14"/>
        <v>0</v>
      </c>
      <c r="N68" s="193" t="str">
        <f>_xlfn.IFNA(VLOOKUP(A68&amp;"-"&amp;B68&amp;"-"&amp;D68,Ref_Account!$A:$F,6,FALSE),"ACCOUNT TIDAK DITEMUKAN")</f>
        <v>1204.809100</v>
      </c>
      <c r="O68" s="189">
        <f t="shared" si="15"/>
        <v>1</v>
      </c>
      <c r="P68" s="189" t="str">
        <f t="shared" si="13"/>
        <v>OVER</v>
      </c>
      <c r="Q68" s="194" t="s">
        <v>559</v>
      </c>
      <c r="R68" s="145"/>
      <c r="AA68" s="148"/>
    </row>
    <row r="69" spans="1:27">
      <c r="A69" s="195" t="s">
        <v>65</v>
      </c>
      <c r="B69" s="196" t="s">
        <v>100</v>
      </c>
      <c r="C69" s="195" t="s">
        <v>101</v>
      </c>
      <c r="D69" s="197" t="s">
        <v>12</v>
      </c>
      <c r="E69" s="197" t="s">
        <v>73</v>
      </c>
      <c r="F69" s="197"/>
      <c r="G69" s="198">
        <v>400</v>
      </c>
      <c r="H69" s="198">
        <v>1454.06</v>
      </c>
      <c r="I69" s="198">
        <f t="shared" si="8"/>
        <v>-1054.06</v>
      </c>
      <c r="J69" s="199">
        <f>IFERROR(G69/VLOOKUP(A69,RESUME!$G$3:$I$10,3,FALSE),0)</f>
        <v>3.9999108019891164E-3</v>
      </c>
      <c r="K69" s="198">
        <f t="shared" si="9"/>
        <v>320</v>
      </c>
      <c r="L69" s="198">
        <f t="shared" si="10"/>
        <v>400</v>
      </c>
      <c r="M69" s="200">
        <f t="shared" si="14"/>
        <v>0</v>
      </c>
      <c r="N69" s="201" t="str">
        <f>_xlfn.IFNA(VLOOKUP(A69&amp;"-"&amp;B69&amp;"-"&amp;D69,Ref_Account!$A:$F,6,FALSE),"ACCOUNT TIDAK DITEMUKAN")</f>
        <v>1201.630710</v>
      </c>
      <c r="O69" s="197">
        <f t="shared" si="15"/>
        <v>1</v>
      </c>
      <c r="P69" s="197" t="str">
        <f t="shared" si="13"/>
        <v>OVER</v>
      </c>
      <c r="Q69" s="202" t="s">
        <v>560</v>
      </c>
      <c r="R69" s="145"/>
      <c r="AA69" s="148"/>
    </row>
    <row r="70" spans="1:27">
      <c r="A70" s="187" t="s">
        <v>65</v>
      </c>
      <c r="B70" s="188" t="s">
        <v>102</v>
      </c>
      <c r="C70" s="187" t="s">
        <v>103</v>
      </c>
      <c r="D70" s="189" t="s">
        <v>12</v>
      </c>
      <c r="E70" s="189" t="s">
        <v>80</v>
      </c>
      <c r="F70" s="189"/>
      <c r="G70" s="190">
        <v>100</v>
      </c>
      <c r="H70" s="190"/>
      <c r="I70" s="190">
        <f t="shared" si="8"/>
        <v>100</v>
      </c>
      <c r="J70" s="191">
        <f>IFERROR(G70/VLOOKUP(A70,RESUME!$G$3:$I$10,3,FALSE),0)</f>
        <v>9.9997770049727909E-4</v>
      </c>
      <c r="K70" s="190">
        <f t="shared" si="9"/>
        <v>80</v>
      </c>
      <c r="L70" s="190">
        <f t="shared" si="10"/>
        <v>100</v>
      </c>
      <c r="M70" s="192">
        <f t="shared" si="14"/>
        <v>1.2499721256215989E-3</v>
      </c>
      <c r="N70" s="193" t="str">
        <f>_xlfn.IFNA(VLOOKUP(A70&amp;"-"&amp;B70&amp;"-"&amp;D70,Ref_Account!$A:$F,6,FALSE),"ACCOUNT TIDAK DITEMUKAN")</f>
        <v>1201.630770</v>
      </c>
      <c r="O70" s="189">
        <f t="shared" si="15"/>
        <v>1</v>
      </c>
      <c r="P70" s="189" t="str">
        <f t="shared" si="13"/>
        <v>OK</v>
      </c>
      <c r="Q70" s="194" t="s">
        <v>528</v>
      </c>
      <c r="R70" s="145"/>
      <c r="AA70" s="148"/>
    </row>
    <row r="71" spans="1:27">
      <c r="A71" s="195" t="s">
        <v>65</v>
      </c>
      <c r="B71" s="196" t="s">
        <v>104</v>
      </c>
      <c r="C71" s="195" t="s">
        <v>105</v>
      </c>
      <c r="D71" s="197" t="s">
        <v>12</v>
      </c>
      <c r="E71" s="197" t="s">
        <v>80</v>
      </c>
      <c r="F71" s="197"/>
      <c r="G71" s="198">
        <v>100</v>
      </c>
      <c r="H71" s="198"/>
      <c r="I71" s="198">
        <f t="shared" si="8"/>
        <v>100</v>
      </c>
      <c r="J71" s="199">
        <f>IFERROR(G71/VLOOKUP(A71,RESUME!$G$3:$I$10,3,FALSE),0)</f>
        <v>9.9997770049727909E-4</v>
      </c>
      <c r="K71" s="198">
        <f t="shared" si="9"/>
        <v>80</v>
      </c>
      <c r="L71" s="198">
        <f t="shared" si="10"/>
        <v>100</v>
      </c>
      <c r="M71" s="200">
        <f t="shared" si="14"/>
        <v>1.2499721256215989E-3</v>
      </c>
      <c r="N71" s="201" t="str">
        <f>_xlfn.IFNA(VLOOKUP(A71&amp;"-"&amp;B71&amp;"-"&amp;D71,Ref_Account!$A:$F,6,FALSE),"ACCOUNT TIDAK DITEMUKAN")</f>
        <v>1201.630750</v>
      </c>
      <c r="O71" s="197">
        <f t="shared" si="15"/>
        <v>1</v>
      </c>
      <c r="P71" s="197" t="str">
        <f t="shared" si="13"/>
        <v>OK</v>
      </c>
      <c r="Q71" s="202" t="s">
        <v>528</v>
      </c>
      <c r="R71" s="145"/>
      <c r="AA71" s="148"/>
    </row>
    <row r="72" spans="1:27">
      <c r="A72" s="187" t="s">
        <v>65</v>
      </c>
      <c r="B72" s="188" t="s">
        <v>106</v>
      </c>
      <c r="C72" s="187" t="s">
        <v>107</v>
      </c>
      <c r="D72" s="189" t="s">
        <v>12</v>
      </c>
      <c r="E72" s="189" t="s">
        <v>80</v>
      </c>
      <c r="F72" s="189"/>
      <c r="G72" s="190">
        <v>100</v>
      </c>
      <c r="H72" s="190">
        <v>510.61</v>
      </c>
      <c r="I72" s="190">
        <f t="shared" si="8"/>
        <v>-410.61</v>
      </c>
      <c r="J72" s="191">
        <f>IFERROR(G72/VLOOKUP(A72,RESUME!$G$3:$I$10,3,FALSE),0)</f>
        <v>9.9997770049727909E-4</v>
      </c>
      <c r="K72" s="190">
        <f t="shared" si="9"/>
        <v>80</v>
      </c>
      <c r="L72" s="190">
        <f t="shared" si="10"/>
        <v>100</v>
      </c>
      <c r="M72" s="192">
        <f t="shared" si="14"/>
        <v>0</v>
      </c>
      <c r="N72" s="193" t="str">
        <f>_xlfn.IFNA(VLOOKUP(A72&amp;"-"&amp;B72&amp;"-"&amp;D72,Ref_Account!$A:$F,6,FALSE),"ACCOUNT TIDAK DITEMUKAN")</f>
        <v>1201.630720</v>
      </c>
      <c r="O72" s="189">
        <f t="shared" si="15"/>
        <v>1</v>
      </c>
      <c r="P72" s="189" t="str">
        <f t="shared" si="13"/>
        <v>OVER</v>
      </c>
      <c r="Q72" s="194" t="s">
        <v>558</v>
      </c>
      <c r="R72" s="145"/>
      <c r="AA72" s="148"/>
    </row>
    <row r="73" spans="1:27">
      <c r="A73" s="195" t="s">
        <v>65</v>
      </c>
      <c r="B73" s="196" t="s">
        <v>108</v>
      </c>
      <c r="C73" s="195" t="s">
        <v>109</v>
      </c>
      <c r="D73" s="197" t="s">
        <v>12</v>
      </c>
      <c r="E73" s="197" t="s">
        <v>80</v>
      </c>
      <c r="F73" s="197"/>
      <c r="G73" s="198">
        <v>100</v>
      </c>
      <c r="H73" s="198"/>
      <c r="I73" s="198">
        <f t="shared" si="8"/>
        <v>100</v>
      </c>
      <c r="J73" s="199">
        <f>IFERROR(G73/VLOOKUP(A73,RESUME!$G$3:$I$10,3,FALSE),0)</f>
        <v>9.9997770049727909E-4</v>
      </c>
      <c r="K73" s="198">
        <f t="shared" si="9"/>
        <v>80</v>
      </c>
      <c r="L73" s="198">
        <f t="shared" si="10"/>
        <v>100</v>
      </c>
      <c r="M73" s="200">
        <f t="shared" si="14"/>
        <v>1.2499721256215989E-3</v>
      </c>
      <c r="N73" s="201" t="str">
        <f>_xlfn.IFNA(VLOOKUP(A73&amp;"-"&amp;B73&amp;"-"&amp;D73,Ref_Account!$A:$F,6,FALSE),"ACCOUNT TIDAK DITEMUKAN")</f>
        <v>1201.630760</v>
      </c>
      <c r="O73" s="197">
        <f t="shared" si="15"/>
        <v>1</v>
      </c>
      <c r="P73" s="197" t="str">
        <f t="shared" si="13"/>
        <v>OK</v>
      </c>
      <c r="Q73" s="202" t="s">
        <v>528</v>
      </c>
      <c r="R73" s="145"/>
      <c r="AA73" s="148"/>
    </row>
    <row r="74" spans="1:27">
      <c r="A74" s="187" t="s">
        <v>65</v>
      </c>
      <c r="B74" s="188" t="s">
        <v>108</v>
      </c>
      <c r="C74" s="187" t="s">
        <v>109</v>
      </c>
      <c r="D74" s="189" t="s">
        <v>23</v>
      </c>
      <c r="E74" s="189" t="s">
        <v>73</v>
      </c>
      <c r="F74" s="189"/>
      <c r="G74" s="190">
        <v>250</v>
      </c>
      <c r="H74" s="190"/>
      <c r="I74" s="190">
        <f t="shared" si="8"/>
        <v>250</v>
      </c>
      <c r="J74" s="191">
        <f>IFERROR(G74/VLOOKUP(A74,RESUME!$G$3:$I$10,3,FALSE),0)</f>
        <v>2.4999442512431977E-3</v>
      </c>
      <c r="K74" s="190">
        <f t="shared" si="9"/>
        <v>200</v>
      </c>
      <c r="L74" s="190">
        <f t="shared" si="10"/>
        <v>250</v>
      </c>
      <c r="M74" s="192">
        <f t="shared" si="14"/>
        <v>3.1249303140539969E-3</v>
      </c>
      <c r="N74" s="193" t="str">
        <f>_xlfn.IFNA(VLOOKUP(A74&amp;"-"&amp;B74&amp;"-"&amp;D74,Ref_Account!$A:$F,6,FALSE),"ACCOUNT TIDAK DITEMUKAN")</f>
        <v>1205.630760</v>
      </c>
      <c r="O74" s="189">
        <f t="shared" si="15"/>
        <v>1</v>
      </c>
      <c r="P74" s="189" t="str">
        <f t="shared" si="13"/>
        <v>OK</v>
      </c>
      <c r="Q74" s="194" t="s">
        <v>528</v>
      </c>
      <c r="R74" s="145"/>
      <c r="AA74" s="148"/>
    </row>
    <row r="75" spans="1:27">
      <c r="A75" s="195" t="s">
        <v>65</v>
      </c>
      <c r="B75" s="196" t="s">
        <v>108</v>
      </c>
      <c r="C75" s="195" t="s">
        <v>109</v>
      </c>
      <c r="D75" s="197" t="s">
        <v>14</v>
      </c>
      <c r="E75" s="197" t="s">
        <v>73</v>
      </c>
      <c r="F75" s="197"/>
      <c r="G75" s="198">
        <v>300</v>
      </c>
      <c r="H75" s="198"/>
      <c r="I75" s="198">
        <f t="shared" ref="I75:I106" si="16">G75-H75</f>
        <v>300</v>
      </c>
      <c r="J75" s="199">
        <f>IFERROR(G75/VLOOKUP(A75,RESUME!$G$3:$I$10,3,FALSE),0)</f>
        <v>2.9999331014918373E-3</v>
      </c>
      <c r="K75" s="198">
        <f t="shared" ref="K75:K106" si="17">G75*$K$4</f>
        <v>240</v>
      </c>
      <c r="L75" s="198">
        <f t="shared" ref="L75:L106" si="18">G75*$L$4</f>
        <v>300</v>
      </c>
      <c r="M75" s="200">
        <f t="shared" si="14"/>
        <v>3.7499163768647966E-3</v>
      </c>
      <c r="N75" s="201" t="str">
        <f>_xlfn.IFNA(VLOOKUP(A75&amp;"-"&amp;B75&amp;"-"&amp;D75,Ref_Account!$A:$F,6,FALSE),"ACCOUNT TIDAK DITEMUKAN")</f>
        <v>1204.630760</v>
      </c>
      <c r="O75" s="197">
        <f t="shared" si="15"/>
        <v>1</v>
      </c>
      <c r="P75" s="197" t="str">
        <f t="shared" ref="P75:P106" si="19">IF(I75&gt;0,"OK","OVER")</f>
        <v>OK</v>
      </c>
      <c r="Q75" s="202" t="s">
        <v>528</v>
      </c>
      <c r="R75" s="145"/>
      <c r="AA75" s="148"/>
    </row>
    <row r="76" spans="1:27">
      <c r="A76" s="187" t="s">
        <v>65</v>
      </c>
      <c r="B76" s="188" t="s">
        <v>110</v>
      </c>
      <c r="C76" s="187" t="s">
        <v>111</v>
      </c>
      <c r="D76" s="189" t="s">
        <v>12</v>
      </c>
      <c r="E76" s="189" t="s">
        <v>80</v>
      </c>
      <c r="F76" s="189"/>
      <c r="G76" s="190">
        <v>100</v>
      </c>
      <c r="H76" s="190"/>
      <c r="I76" s="190">
        <f t="shared" si="16"/>
        <v>100</v>
      </c>
      <c r="J76" s="191">
        <f>IFERROR(G76/VLOOKUP(A76,RESUME!$G$3:$I$10,3,FALSE),0)</f>
        <v>9.9997770049727909E-4</v>
      </c>
      <c r="K76" s="190">
        <f t="shared" si="17"/>
        <v>80</v>
      </c>
      <c r="L76" s="190">
        <f t="shared" si="18"/>
        <v>100</v>
      </c>
      <c r="M76" s="192">
        <f t="shared" si="14"/>
        <v>1.2499721256215989E-3</v>
      </c>
      <c r="N76" s="193" t="str">
        <f>_xlfn.IFNA(VLOOKUP(A76&amp;"-"&amp;B76&amp;"-"&amp;D76,Ref_Account!$A:$F,6,FALSE),"ACCOUNT TIDAK DITEMUKAN")</f>
        <v>1201.630730</v>
      </c>
      <c r="O76" s="189">
        <f t="shared" si="15"/>
        <v>1</v>
      </c>
      <c r="P76" s="189" t="str">
        <f t="shared" si="19"/>
        <v>OK</v>
      </c>
      <c r="Q76" s="194" t="s">
        <v>528</v>
      </c>
      <c r="R76" s="145"/>
      <c r="AA76" s="148"/>
    </row>
    <row r="77" spans="1:27">
      <c r="A77" s="195" t="s">
        <v>65</v>
      </c>
      <c r="B77" s="196" t="s">
        <v>112</v>
      </c>
      <c r="C77" s="195" t="s">
        <v>113</v>
      </c>
      <c r="D77" s="197" t="s">
        <v>12</v>
      </c>
      <c r="E77" s="197" t="s">
        <v>80</v>
      </c>
      <c r="F77" s="197"/>
      <c r="G77" s="198">
        <v>100</v>
      </c>
      <c r="H77" s="198"/>
      <c r="I77" s="198">
        <f t="shared" si="16"/>
        <v>100</v>
      </c>
      <c r="J77" s="199">
        <f>IFERROR(G77/VLOOKUP(A77,RESUME!$G$3:$I$10,3,FALSE),0)</f>
        <v>9.9997770049727909E-4</v>
      </c>
      <c r="K77" s="198">
        <f t="shared" si="17"/>
        <v>80</v>
      </c>
      <c r="L77" s="198">
        <f t="shared" si="18"/>
        <v>100</v>
      </c>
      <c r="M77" s="200">
        <f t="shared" si="14"/>
        <v>1.2499721256215989E-3</v>
      </c>
      <c r="N77" s="201" t="str">
        <f>_xlfn.IFNA(VLOOKUP(A77&amp;"-"&amp;B77&amp;"-"&amp;D77,Ref_Account!$A:$F,6,FALSE),"ACCOUNT TIDAK DITEMUKAN")</f>
        <v>1201.630740</v>
      </c>
      <c r="O77" s="197">
        <f t="shared" si="15"/>
        <v>1</v>
      </c>
      <c r="P77" s="197" t="str">
        <f t="shared" si="19"/>
        <v>OK</v>
      </c>
      <c r="Q77" s="202" t="s">
        <v>528</v>
      </c>
      <c r="R77" s="145"/>
      <c r="AA77" s="148"/>
    </row>
    <row r="78" spans="1:27">
      <c r="A78" s="187" t="s">
        <v>65</v>
      </c>
      <c r="B78" s="188" t="s">
        <v>114</v>
      </c>
      <c r="C78" s="187" t="s">
        <v>115</v>
      </c>
      <c r="D78" s="189" t="s">
        <v>12</v>
      </c>
      <c r="E78" s="189" t="s">
        <v>73</v>
      </c>
      <c r="F78" s="189"/>
      <c r="G78" s="190">
        <v>328.75</v>
      </c>
      <c r="H78" s="190">
        <v>854.27</v>
      </c>
      <c r="I78" s="190">
        <f t="shared" si="16"/>
        <v>-525.52</v>
      </c>
      <c r="J78" s="191">
        <f>IFERROR(G78/VLOOKUP(A78,RESUME!$G$3:$I$10,3,FALSE),0)</f>
        <v>3.2874266903848049E-3</v>
      </c>
      <c r="K78" s="190">
        <f t="shared" si="17"/>
        <v>263</v>
      </c>
      <c r="L78" s="190">
        <f t="shared" si="18"/>
        <v>328.75</v>
      </c>
      <c r="M78" s="192">
        <f t="shared" si="14"/>
        <v>0</v>
      </c>
      <c r="N78" s="193" t="str">
        <f>_xlfn.IFNA(VLOOKUP(A78&amp;"-"&amp;B78&amp;"-"&amp;D78,Ref_Account!$A:$F,6,FALSE),"ACCOUNT TIDAK DITEMUKAN")</f>
        <v>1201.810110</v>
      </c>
      <c r="O78" s="189">
        <f t="shared" si="15"/>
        <v>1</v>
      </c>
      <c r="P78" s="189" t="str">
        <f t="shared" si="19"/>
        <v>OVER</v>
      </c>
      <c r="Q78" s="194" t="s">
        <v>561</v>
      </c>
      <c r="R78" s="145"/>
      <c r="AA78" s="148"/>
    </row>
    <row r="79" spans="1:27">
      <c r="A79" s="195" t="s">
        <v>65</v>
      </c>
      <c r="B79" s="196" t="s">
        <v>114</v>
      </c>
      <c r="C79" s="195" t="s">
        <v>115</v>
      </c>
      <c r="D79" s="197" t="s">
        <v>99</v>
      </c>
      <c r="E79" s="197" t="s">
        <v>73</v>
      </c>
      <c r="F79" s="197"/>
      <c r="G79" s="198">
        <v>109.79</v>
      </c>
      <c r="H79" s="198"/>
      <c r="I79" s="198">
        <f t="shared" si="16"/>
        <v>109.79</v>
      </c>
      <c r="J79" s="199">
        <f>IFERROR(G79/VLOOKUP(A79,RESUME!$G$3:$I$10,3,FALSE),0)</f>
        <v>1.0978755173759627E-3</v>
      </c>
      <c r="K79" s="198">
        <f t="shared" si="17"/>
        <v>87.832000000000008</v>
      </c>
      <c r="L79" s="198">
        <f t="shared" si="18"/>
        <v>109.79</v>
      </c>
      <c r="M79" s="200">
        <f t="shared" si="14"/>
        <v>1.3723443967199535E-3</v>
      </c>
      <c r="N79" s="201" t="str">
        <f>_xlfn.IFNA(VLOOKUP(A79&amp;"-"&amp;B79&amp;"-"&amp;D79,Ref_Account!$A:$F,6,FALSE),"ACCOUNT TIDAK DITEMUKAN")</f>
        <v>1206.810110</v>
      </c>
      <c r="O79" s="197">
        <f t="shared" si="15"/>
        <v>1</v>
      </c>
      <c r="P79" s="197" t="str">
        <f t="shared" si="19"/>
        <v>OK</v>
      </c>
      <c r="Q79" s="202" t="s">
        <v>528</v>
      </c>
      <c r="R79" s="145"/>
      <c r="AA79" s="148"/>
    </row>
    <row r="80" spans="1:27">
      <c r="A80" s="187" t="s">
        <v>65</v>
      </c>
      <c r="B80" s="188" t="s">
        <v>114</v>
      </c>
      <c r="C80" s="187" t="s">
        <v>115</v>
      </c>
      <c r="D80" s="189" t="s">
        <v>23</v>
      </c>
      <c r="E80" s="189" t="s">
        <v>73</v>
      </c>
      <c r="F80" s="189"/>
      <c r="G80" s="190">
        <v>169.38</v>
      </c>
      <c r="H80" s="190">
        <v>50.62</v>
      </c>
      <c r="I80" s="190">
        <f t="shared" si="16"/>
        <v>118.75999999999999</v>
      </c>
      <c r="J80" s="191">
        <f>IFERROR(G80/VLOOKUP(A80,RESUME!$G$3:$I$10,3,FALSE),0)</f>
        <v>1.6937622291022913E-3</v>
      </c>
      <c r="K80" s="190">
        <f t="shared" si="17"/>
        <v>135.50399999999999</v>
      </c>
      <c r="L80" s="190">
        <f t="shared" si="18"/>
        <v>169.38</v>
      </c>
      <c r="M80" s="192">
        <f t="shared" si="14"/>
        <v>2.1172027863778642E-3</v>
      </c>
      <c r="N80" s="193" t="str">
        <f>_xlfn.IFNA(VLOOKUP(A80&amp;"-"&amp;B80&amp;"-"&amp;D80,Ref_Account!$A:$F,6,FALSE),"ACCOUNT TIDAK DITEMUKAN")</f>
        <v>1205.810110</v>
      </c>
      <c r="O80" s="189">
        <f t="shared" si="15"/>
        <v>1</v>
      </c>
      <c r="P80" s="189" t="str">
        <f t="shared" si="19"/>
        <v>OK</v>
      </c>
      <c r="Q80" s="194" t="s">
        <v>528</v>
      </c>
      <c r="R80" s="145"/>
      <c r="AA80" s="148"/>
    </row>
    <row r="81" spans="1:27">
      <c r="A81" s="195" t="s">
        <v>65</v>
      </c>
      <c r="B81" s="196" t="s">
        <v>114</v>
      </c>
      <c r="C81" s="195" t="s">
        <v>115</v>
      </c>
      <c r="D81" s="197" t="s">
        <v>14</v>
      </c>
      <c r="E81" s="197" t="s">
        <v>73</v>
      </c>
      <c r="F81" s="197"/>
      <c r="G81" s="198">
        <v>142.08000000000001</v>
      </c>
      <c r="H81" s="198">
        <v>60.12</v>
      </c>
      <c r="I81" s="198">
        <f t="shared" si="16"/>
        <v>81.960000000000008</v>
      </c>
      <c r="J81" s="199">
        <f>IFERROR(G81/VLOOKUP(A81,RESUME!$G$3:$I$10,3,FALSE),0)</f>
        <v>1.4207683168665343E-3</v>
      </c>
      <c r="K81" s="198">
        <f t="shared" si="17"/>
        <v>113.66400000000002</v>
      </c>
      <c r="L81" s="198">
        <f t="shared" si="18"/>
        <v>142.08000000000001</v>
      </c>
      <c r="M81" s="200">
        <f t="shared" si="14"/>
        <v>1.7759603960831678E-3</v>
      </c>
      <c r="N81" s="201" t="str">
        <f>_xlfn.IFNA(VLOOKUP(A81&amp;"-"&amp;B81&amp;"-"&amp;D81,Ref_Account!$A:$F,6,FALSE),"ACCOUNT TIDAK DITEMUKAN")</f>
        <v>1204.810110</v>
      </c>
      <c r="O81" s="197">
        <f t="shared" si="15"/>
        <v>1</v>
      </c>
      <c r="P81" s="197" t="str">
        <f t="shared" si="19"/>
        <v>OK</v>
      </c>
      <c r="Q81" s="202" t="s">
        <v>528</v>
      </c>
      <c r="R81" s="145"/>
      <c r="AA81" s="148"/>
    </row>
    <row r="82" spans="1:27">
      <c r="A82" s="187" t="s">
        <v>65</v>
      </c>
      <c r="B82" s="188" t="s">
        <v>116</v>
      </c>
      <c r="C82" s="187" t="s">
        <v>117</v>
      </c>
      <c r="D82" s="189" t="s">
        <v>12</v>
      </c>
      <c r="E82" s="189" t="s">
        <v>73</v>
      </c>
      <c r="F82" s="189"/>
      <c r="G82" s="190">
        <v>4300</v>
      </c>
      <c r="H82" s="190">
        <v>2655.51</v>
      </c>
      <c r="I82" s="190">
        <f t="shared" si="16"/>
        <v>1644.4899999999998</v>
      </c>
      <c r="J82" s="191">
        <f>IFERROR(G82/VLOOKUP(A82,RESUME!$G$3:$I$10,3,FALSE),0)</f>
        <v>4.2999041121383003E-2</v>
      </c>
      <c r="K82" s="190">
        <f t="shared" si="17"/>
        <v>3440</v>
      </c>
      <c r="L82" s="190">
        <f t="shared" si="18"/>
        <v>4300</v>
      </c>
      <c r="M82" s="192">
        <f t="shared" si="14"/>
        <v>5.3748801401728753E-2</v>
      </c>
      <c r="N82" s="193" t="str">
        <f>_xlfn.IFNA(VLOOKUP(A82&amp;"-"&amp;B82&amp;"-"&amp;D82,Ref_Account!$A:$F,6,FALSE),"ACCOUNT TIDAK DITEMUKAN")</f>
        <v>1201.630130</v>
      </c>
      <c r="O82" s="189">
        <f t="shared" si="15"/>
        <v>1</v>
      </c>
      <c r="P82" s="189" t="str">
        <f t="shared" si="19"/>
        <v>OK</v>
      </c>
      <c r="Q82" s="194" t="s">
        <v>528</v>
      </c>
      <c r="R82" s="145"/>
      <c r="AA82" s="148"/>
    </row>
    <row r="83" spans="1:27">
      <c r="A83" s="195" t="s">
        <v>65</v>
      </c>
      <c r="B83" s="196" t="s">
        <v>118</v>
      </c>
      <c r="C83" s="195" t="s">
        <v>119</v>
      </c>
      <c r="D83" s="197" t="s">
        <v>12</v>
      </c>
      <c r="E83" s="197" t="s">
        <v>120</v>
      </c>
      <c r="F83" s="197"/>
      <c r="G83" s="198">
        <v>1495.98</v>
      </c>
      <c r="H83" s="198">
        <v>402.21</v>
      </c>
      <c r="I83" s="198">
        <f t="shared" si="16"/>
        <v>1093.77</v>
      </c>
      <c r="J83" s="199">
        <f>IFERROR(G83/VLOOKUP(A83,RESUME!$G$3:$I$10,3,FALSE),0)</f>
        <v>1.4959466403899196E-2</v>
      </c>
      <c r="K83" s="198">
        <f t="shared" si="17"/>
        <v>1196.7840000000001</v>
      </c>
      <c r="L83" s="198">
        <f t="shared" si="18"/>
        <v>1495.98</v>
      </c>
      <c r="M83" s="200">
        <f t="shared" si="14"/>
        <v>1.8699333004873996E-2</v>
      </c>
      <c r="N83" s="201" t="str">
        <f>_xlfn.IFNA(VLOOKUP(A83&amp;"-"&amp;B83&amp;"-"&amp;D83,Ref_Account!$A:$F,6,FALSE),"ACCOUNT TIDAK DITEMUKAN")</f>
        <v>1201.816130</v>
      </c>
      <c r="O83" s="197">
        <f t="shared" si="15"/>
        <v>1</v>
      </c>
      <c r="P83" s="197" t="str">
        <f t="shared" si="19"/>
        <v>OK</v>
      </c>
      <c r="Q83" s="202" t="s">
        <v>528</v>
      </c>
      <c r="R83" s="145"/>
      <c r="AA83" s="148"/>
    </row>
    <row r="84" spans="1:27">
      <c r="A84" s="187" t="s">
        <v>65</v>
      </c>
      <c r="B84" s="188" t="s">
        <v>118</v>
      </c>
      <c r="C84" s="187" t="s">
        <v>119</v>
      </c>
      <c r="D84" s="189" t="s">
        <v>99</v>
      </c>
      <c r="E84" s="189" t="s">
        <v>120</v>
      </c>
      <c r="F84" s="189"/>
      <c r="G84" s="190">
        <v>516.97</v>
      </c>
      <c r="H84" s="190">
        <v>562.23</v>
      </c>
      <c r="I84" s="190">
        <f t="shared" si="16"/>
        <v>-45.259999999999991</v>
      </c>
      <c r="J84" s="191">
        <f>IFERROR(G84/VLOOKUP(A84,RESUME!$G$3:$I$10,3,FALSE),0)</f>
        <v>5.1695847182607838E-3</v>
      </c>
      <c r="K84" s="190">
        <f t="shared" si="17"/>
        <v>413.57600000000002</v>
      </c>
      <c r="L84" s="190">
        <f t="shared" si="18"/>
        <v>516.97</v>
      </c>
      <c r="M84" s="192">
        <f t="shared" si="14"/>
        <v>0</v>
      </c>
      <c r="N84" s="193" t="str">
        <f>_xlfn.IFNA(VLOOKUP(A84&amp;"-"&amp;B84&amp;"-"&amp;D84,Ref_Account!$A:$F,6,FALSE),"ACCOUNT TIDAK DITEMUKAN")</f>
        <v>1206.816130</v>
      </c>
      <c r="O84" s="189">
        <f t="shared" si="15"/>
        <v>1</v>
      </c>
      <c r="P84" s="189" t="str">
        <f t="shared" si="19"/>
        <v>OVER</v>
      </c>
      <c r="Q84" s="194" t="s">
        <v>562</v>
      </c>
      <c r="R84" s="145"/>
      <c r="AA84" s="148"/>
    </row>
    <row r="85" spans="1:27">
      <c r="A85" s="195" t="s">
        <v>65</v>
      </c>
      <c r="B85" s="196" t="s">
        <v>118</v>
      </c>
      <c r="C85" s="195" t="s">
        <v>119</v>
      </c>
      <c r="D85" s="197" t="s">
        <v>23</v>
      </c>
      <c r="E85" s="197" t="s">
        <v>120</v>
      </c>
      <c r="F85" s="197"/>
      <c r="G85" s="198">
        <v>1463.62</v>
      </c>
      <c r="H85" s="198">
        <v>1068.93</v>
      </c>
      <c r="I85" s="198">
        <f t="shared" si="16"/>
        <v>394.68999999999983</v>
      </c>
      <c r="J85" s="199">
        <f>IFERROR(G85/VLOOKUP(A85,RESUME!$G$3:$I$10,3,FALSE),0)</f>
        <v>1.4635873620018275E-2</v>
      </c>
      <c r="K85" s="198">
        <f t="shared" si="17"/>
        <v>1170.896</v>
      </c>
      <c r="L85" s="198">
        <f t="shared" si="18"/>
        <v>1463.62</v>
      </c>
      <c r="M85" s="200">
        <f t="shared" si="14"/>
        <v>1.8294842025022844E-2</v>
      </c>
      <c r="N85" s="201" t="str">
        <f>_xlfn.IFNA(VLOOKUP(A85&amp;"-"&amp;B85&amp;"-"&amp;D85,Ref_Account!$A:$F,6,FALSE),"ACCOUNT TIDAK DITEMUKAN")</f>
        <v>1205.816130</v>
      </c>
      <c r="O85" s="197">
        <f t="shared" si="15"/>
        <v>1</v>
      </c>
      <c r="P85" s="197" t="str">
        <f t="shared" si="19"/>
        <v>OK</v>
      </c>
      <c r="Q85" s="202" t="s">
        <v>528</v>
      </c>
      <c r="R85" s="145"/>
      <c r="AA85" s="148"/>
    </row>
    <row r="86" spans="1:27">
      <c r="A86" s="187" t="s">
        <v>65</v>
      </c>
      <c r="B86" s="188" t="s">
        <v>118</v>
      </c>
      <c r="C86" s="187" t="s">
        <v>119</v>
      </c>
      <c r="D86" s="189" t="s">
        <v>14</v>
      </c>
      <c r="E86" s="189" t="s">
        <v>120</v>
      </c>
      <c r="F86" s="189"/>
      <c r="G86" s="190">
        <v>1779.8599999999997</v>
      </c>
      <c r="H86" s="190">
        <v>1304.79</v>
      </c>
      <c r="I86" s="190">
        <f t="shared" si="16"/>
        <v>475.06999999999971</v>
      </c>
      <c r="J86" s="191">
        <f>IFERROR(G86/VLOOKUP(A86,RESUME!$G$3:$I$10,3,FALSE),0)</f>
        <v>1.7798203100070867E-2</v>
      </c>
      <c r="K86" s="190">
        <f t="shared" si="17"/>
        <v>1423.8879999999999</v>
      </c>
      <c r="L86" s="190">
        <f t="shared" si="18"/>
        <v>1779.8599999999997</v>
      </c>
      <c r="M86" s="192">
        <f t="shared" si="14"/>
        <v>2.224775387508858E-2</v>
      </c>
      <c r="N86" s="193" t="str">
        <f>_xlfn.IFNA(VLOOKUP(A86&amp;"-"&amp;B86&amp;"-"&amp;D86,Ref_Account!$A:$F,6,FALSE),"ACCOUNT TIDAK DITEMUKAN")</f>
        <v>1204.816130</v>
      </c>
      <c r="O86" s="189">
        <f t="shared" si="15"/>
        <v>1</v>
      </c>
      <c r="P86" s="189" t="str">
        <f t="shared" si="19"/>
        <v>OK</v>
      </c>
      <c r="Q86" s="194" t="s">
        <v>528</v>
      </c>
      <c r="R86" s="145"/>
      <c r="AA86" s="148"/>
    </row>
    <row r="87" spans="1:27">
      <c r="A87" s="195" t="s">
        <v>65</v>
      </c>
      <c r="B87" s="196" t="s">
        <v>20</v>
      </c>
      <c r="C87" s="195" t="s">
        <v>121</v>
      </c>
      <c r="D87" s="197" t="s">
        <v>99</v>
      </c>
      <c r="E87" s="197" t="s">
        <v>73</v>
      </c>
      <c r="F87" s="197"/>
      <c r="G87" s="198">
        <v>1115.46</v>
      </c>
      <c r="H87" s="198">
        <v>1165.8</v>
      </c>
      <c r="I87" s="198">
        <f t="shared" si="16"/>
        <v>-50.339999999999918</v>
      </c>
      <c r="J87" s="199">
        <f>IFERROR(G87/VLOOKUP(A87,RESUME!$G$3:$I$10,3,FALSE),0)</f>
        <v>1.115435125796695E-2</v>
      </c>
      <c r="K87" s="198">
        <f t="shared" si="17"/>
        <v>892.36800000000005</v>
      </c>
      <c r="L87" s="198">
        <f t="shared" si="18"/>
        <v>1115.46</v>
      </c>
      <c r="M87" s="200">
        <f t="shared" si="14"/>
        <v>0</v>
      </c>
      <c r="N87" s="201" t="str">
        <f>_xlfn.IFNA(VLOOKUP(A87&amp;"-"&amp;B87&amp;"-"&amp;D87,Ref_Account!$A:$F,6,FALSE),"ACCOUNT TIDAK DITEMUKAN")</f>
        <v>1206.631100</v>
      </c>
      <c r="O87" s="197">
        <f t="shared" si="15"/>
        <v>2</v>
      </c>
      <c r="P87" s="197" t="str">
        <f t="shared" si="19"/>
        <v>OVER</v>
      </c>
      <c r="Q87" s="202" t="s">
        <v>563</v>
      </c>
      <c r="R87" s="145"/>
      <c r="AA87" s="148"/>
    </row>
    <row r="88" spans="1:27">
      <c r="A88" s="187" t="s">
        <v>65</v>
      </c>
      <c r="B88" s="188" t="s">
        <v>122</v>
      </c>
      <c r="C88" s="187" t="s">
        <v>123</v>
      </c>
      <c r="D88" s="189" t="s">
        <v>12</v>
      </c>
      <c r="E88" s="189" t="s">
        <v>80</v>
      </c>
      <c r="F88" s="189"/>
      <c r="G88" s="190">
        <v>651</v>
      </c>
      <c r="H88" s="190">
        <v>121.46</v>
      </c>
      <c r="I88" s="190">
        <f t="shared" si="16"/>
        <v>529.54</v>
      </c>
      <c r="J88" s="191">
        <f>IFERROR(G88/VLOOKUP(A88,RESUME!$G$3:$I$10,3,FALSE),0)</f>
        <v>6.5098548302372867E-3</v>
      </c>
      <c r="K88" s="190">
        <f t="shared" si="17"/>
        <v>520.80000000000007</v>
      </c>
      <c r="L88" s="190">
        <f t="shared" si="18"/>
        <v>651</v>
      </c>
      <c r="M88" s="192">
        <f t="shared" si="14"/>
        <v>8.1373185377966069E-3</v>
      </c>
      <c r="N88" s="193" t="str">
        <f>_xlfn.IFNA(VLOOKUP(A88&amp;"-"&amp;B88&amp;"-"&amp;D88,Ref_Account!$A:$F,6,FALSE),"ACCOUNT TIDAK DITEMUKAN")</f>
        <v>1201.631110</v>
      </c>
      <c r="O88" s="189">
        <f t="shared" si="15"/>
        <v>1</v>
      </c>
      <c r="P88" s="189" t="str">
        <f t="shared" si="19"/>
        <v>OK</v>
      </c>
      <c r="Q88" s="194" t="s">
        <v>528</v>
      </c>
      <c r="R88" s="145"/>
      <c r="AA88" s="148"/>
    </row>
    <row r="89" spans="1:27">
      <c r="A89" s="195" t="s">
        <v>65</v>
      </c>
      <c r="B89" s="196" t="s">
        <v>124</v>
      </c>
      <c r="C89" s="195" t="s">
        <v>125</v>
      </c>
      <c r="D89" s="197" t="s">
        <v>12</v>
      </c>
      <c r="E89" s="197" t="s">
        <v>80</v>
      </c>
      <c r="F89" s="197"/>
      <c r="G89" s="198">
        <v>466</v>
      </c>
      <c r="H89" s="198"/>
      <c r="I89" s="198">
        <f t="shared" si="16"/>
        <v>466</v>
      </c>
      <c r="J89" s="199">
        <f>IFERROR(G89/VLOOKUP(A89,RESUME!$G$3:$I$10,3,FALSE),0)</f>
        <v>4.6598960843173207E-3</v>
      </c>
      <c r="K89" s="198">
        <f t="shared" si="17"/>
        <v>372.8</v>
      </c>
      <c r="L89" s="198">
        <f t="shared" si="18"/>
        <v>466</v>
      </c>
      <c r="M89" s="200">
        <f t="shared" si="14"/>
        <v>5.8248701053966508E-3</v>
      </c>
      <c r="N89" s="201" t="str">
        <f>_xlfn.IFNA(VLOOKUP(A89&amp;"-"&amp;B89&amp;"-"&amp;D89,Ref_Account!$A:$F,6,FALSE),"ACCOUNT TIDAK DITEMUKAN")</f>
        <v>1201.631140</v>
      </c>
      <c r="O89" s="197">
        <f t="shared" si="15"/>
        <v>1</v>
      </c>
      <c r="P89" s="197" t="str">
        <f t="shared" si="19"/>
        <v>OK</v>
      </c>
      <c r="Q89" s="202" t="s">
        <v>528</v>
      </c>
      <c r="R89" s="145"/>
      <c r="AA89" s="148"/>
    </row>
    <row r="90" spans="1:27">
      <c r="A90" s="187" t="s">
        <v>65</v>
      </c>
      <c r="B90" s="188" t="s">
        <v>126</v>
      </c>
      <c r="C90" s="187" t="s">
        <v>127</v>
      </c>
      <c r="D90" s="189" t="s">
        <v>12</v>
      </c>
      <c r="E90" s="189" t="s">
        <v>73</v>
      </c>
      <c r="F90" s="189"/>
      <c r="G90" s="190">
        <v>1388.61</v>
      </c>
      <c r="H90" s="190"/>
      <c r="I90" s="190">
        <f t="shared" si="16"/>
        <v>1388.61</v>
      </c>
      <c r="J90" s="191">
        <f>IFERROR(G90/VLOOKUP(A90,RESUME!$G$3:$I$10,3,FALSE),0)</f>
        <v>1.3885790346875267E-2</v>
      </c>
      <c r="K90" s="190">
        <f t="shared" si="17"/>
        <v>1110.8879999999999</v>
      </c>
      <c r="L90" s="190">
        <f t="shared" si="18"/>
        <v>1388.61</v>
      </c>
      <c r="M90" s="192">
        <f t="shared" si="14"/>
        <v>1.7357237933594082E-2</v>
      </c>
      <c r="N90" s="193" t="str">
        <f>_xlfn.IFNA(VLOOKUP(A90&amp;"-"&amp;B90&amp;"-"&amp;D90,Ref_Account!$A:$F,6,FALSE),"ACCOUNT TIDAK DITEMUKAN")</f>
        <v>1201.631000</v>
      </c>
      <c r="O90" s="189">
        <f t="shared" si="15"/>
        <v>1</v>
      </c>
      <c r="P90" s="189" t="str">
        <f t="shared" si="19"/>
        <v>OK</v>
      </c>
      <c r="Q90" s="194" t="s">
        <v>528</v>
      </c>
      <c r="R90" s="145"/>
      <c r="AA90" s="148"/>
    </row>
    <row r="91" spans="1:27">
      <c r="A91" s="195" t="s">
        <v>65</v>
      </c>
      <c r="B91" s="196" t="s">
        <v>128</v>
      </c>
      <c r="C91" s="195" t="s">
        <v>129</v>
      </c>
      <c r="D91" s="197" t="s">
        <v>12</v>
      </c>
      <c r="E91" s="197" t="s">
        <v>73</v>
      </c>
      <c r="F91" s="197"/>
      <c r="G91" s="198">
        <v>221.29</v>
      </c>
      <c r="H91" s="198"/>
      <c r="I91" s="198">
        <f t="shared" si="16"/>
        <v>221.29</v>
      </c>
      <c r="J91" s="199">
        <f>IFERROR(G91/VLOOKUP(A91,RESUME!$G$3:$I$10,3,FALSE),0)</f>
        <v>2.2128506534304288E-3</v>
      </c>
      <c r="K91" s="198">
        <f t="shared" si="17"/>
        <v>177.03200000000001</v>
      </c>
      <c r="L91" s="198">
        <f t="shared" si="18"/>
        <v>221.29</v>
      </c>
      <c r="M91" s="200">
        <f t="shared" si="14"/>
        <v>2.7660633167880355E-3</v>
      </c>
      <c r="N91" s="201" t="str">
        <f>_xlfn.IFNA(VLOOKUP(A91&amp;"-"&amp;B91&amp;"-"&amp;D91,Ref_Account!$A:$F,6,FALSE),"ACCOUNT TIDAK DITEMUKAN")</f>
        <v>1201.815110</v>
      </c>
      <c r="O91" s="197">
        <f t="shared" si="15"/>
        <v>1</v>
      </c>
      <c r="P91" s="197" t="str">
        <f t="shared" si="19"/>
        <v>OK</v>
      </c>
      <c r="Q91" s="202" t="s">
        <v>528</v>
      </c>
      <c r="R91" s="145"/>
      <c r="AA91" s="148"/>
    </row>
    <row r="92" spans="1:27">
      <c r="A92" s="187" t="s">
        <v>65</v>
      </c>
      <c r="B92" s="188" t="s">
        <v>130</v>
      </c>
      <c r="C92" s="187" t="s">
        <v>131</v>
      </c>
      <c r="D92" s="189" t="s">
        <v>12</v>
      </c>
      <c r="E92" s="189" t="s">
        <v>73</v>
      </c>
      <c r="F92" s="189"/>
      <c r="G92" s="190">
        <v>764.4</v>
      </c>
      <c r="H92" s="190"/>
      <c r="I92" s="190">
        <f t="shared" si="16"/>
        <v>764.4</v>
      </c>
      <c r="J92" s="191">
        <f>IFERROR(G92/VLOOKUP(A92,RESUME!$G$3:$I$10,3,FALSE),0)</f>
        <v>7.6438295426012014E-3</v>
      </c>
      <c r="K92" s="190">
        <f t="shared" si="17"/>
        <v>611.52</v>
      </c>
      <c r="L92" s="190">
        <f t="shared" si="18"/>
        <v>764.4</v>
      </c>
      <c r="M92" s="192">
        <f t="shared" si="14"/>
        <v>9.5547869282515026E-3</v>
      </c>
      <c r="N92" s="193" t="str">
        <f>_xlfn.IFNA(VLOOKUP(A92&amp;"-"&amp;B92&amp;"-"&amp;D92,Ref_Account!$A:$F,6,FALSE),"ACCOUNT TIDAK DITEMUKAN")</f>
        <v>1201.815120</v>
      </c>
      <c r="O92" s="189">
        <f t="shared" si="15"/>
        <v>1</v>
      </c>
      <c r="P92" s="189" t="str">
        <f t="shared" si="19"/>
        <v>OK</v>
      </c>
      <c r="Q92" s="194" t="s">
        <v>528</v>
      </c>
      <c r="R92" s="145"/>
      <c r="AA92" s="148"/>
    </row>
    <row r="93" spans="1:27">
      <c r="A93" s="195" t="s">
        <v>65</v>
      </c>
      <c r="B93" s="196" t="s">
        <v>132</v>
      </c>
      <c r="C93" s="195" t="s">
        <v>133</v>
      </c>
      <c r="D93" s="197" t="s">
        <v>12</v>
      </c>
      <c r="E93" s="197" t="s">
        <v>73</v>
      </c>
      <c r="F93" s="197"/>
      <c r="G93" s="198">
        <v>255</v>
      </c>
      <c r="H93" s="198">
        <v>139.61000000000001</v>
      </c>
      <c r="I93" s="198">
        <f t="shared" si="16"/>
        <v>115.38999999999999</v>
      </c>
      <c r="J93" s="199">
        <f>IFERROR(G93/VLOOKUP(A93,RESUME!$G$3:$I$10,3,FALSE),0)</f>
        <v>2.5499431362680618E-3</v>
      </c>
      <c r="K93" s="198">
        <f t="shared" si="17"/>
        <v>204</v>
      </c>
      <c r="L93" s="198">
        <f t="shared" si="18"/>
        <v>255</v>
      </c>
      <c r="M93" s="200">
        <f t="shared" ref="M93:M124" si="20">IF(L93=0,0,IF(H93&gt;L93,0,L93/IF(H93&gt;=K93,H93,K93)*J93))</f>
        <v>3.1874289203350772E-3</v>
      </c>
      <c r="N93" s="201" t="str">
        <f>_xlfn.IFNA(VLOOKUP(A93&amp;"-"&amp;B93&amp;"-"&amp;D93,Ref_Account!$A:$F,6,FALSE),"ACCOUNT TIDAK DITEMUKAN")</f>
        <v>1201.802120</v>
      </c>
      <c r="O93" s="197">
        <f t="shared" ref="O93:O124" si="21">IF(N93="ACCOUNT TIDAK DITEMUKAN","9999",COUNTIF($N$6:$N$170,N93))</f>
        <v>1</v>
      </c>
      <c r="P93" s="197" t="str">
        <f t="shared" si="19"/>
        <v>OK</v>
      </c>
      <c r="Q93" s="202" t="s">
        <v>528</v>
      </c>
      <c r="R93" s="145"/>
      <c r="AA93" s="148"/>
    </row>
    <row r="94" spans="1:27">
      <c r="A94" s="187" t="s">
        <v>65</v>
      </c>
      <c r="B94" s="188" t="s">
        <v>134</v>
      </c>
      <c r="C94" s="187" t="s">
        <v>135</v>
      </c>
      <c r="D94" s="189" t="s">
        <v>12</v>
      </c>
      <c r="E94" s="189" t="s">
        <v>73</v>
      </c>
      <c r="F94" s="189"/>
      <c r="G94" s="190">
        <v>200</v>
      </c>
      <c r="H94" s="190"/>
      <c r="I94" s="190">
        <f t="shared" si="16"/>
        <v>200</v>
      </c>
      <c r="J94" s="191">
        <f>IFERROR(G94/VLOOKUP(A94,RESUME!$G$3:$I$10,3,FALSE),0)</f>
        <v>1.9999554009945582E-3</v>
      </c>
      <c r="K94" s="190">
        <f t="shared" si="17"/>
        <v>160</v>
      </c>
      <c r="L94" s="190">
        <f t="shared" si="18"/>
        <v>200</v>
      </c>
      <c r="M94" s="192">
        <f t="shared" si="20"/>
        <v>2.4999442512431977E-3</v>
      </c>
      <c r="N94" s="193" t="str">
        <f>_xlfn.IFNA(VLOOKUP(A94&amp;"-"&amp;B94&amp;"-"&amp;D94,Ref_Account!$A:$F,6,FALSE),"ACCOUNT TIDAK DITEMUKAN")</f>
        <v>1201.814110</v>
      </c>
      <c r="O94" s="189">
        <f t="shared" si="21"/>
        <v>1</v>
      </c>
      <c r="P94" s="189" t="str">
        <f t="shared" si="19"/>
        <v>OK</v>
      </c>
      <c r="Q94" s="194" t="s">
        <v>528</v>
      </c>
      <c r="R94" s="145"/>
      <c r="AA94" s="148"/>
    </row>
    <row r="95" spans="1:27">
      <c r="A95" s="195" t="s">
        <v>65</v>
      </c>
      <c r="B95" s="196" t="s">
        <v>136</v>
      </c>
      <c r="C95" s="195" t="s">
        <v>137</v>
      </c>
      <c r="D95" s="197" t="s">
        <v>12</v>
      </c>
      <c r="E95" s="197" t="s">
        <v>73</v>
      </c>
      <c r="F95" s="197"/>
      <c r="G95" s="198">
        <v>464.37</v>
      </c>
      <c r="H95" s="198">
        <v>73.55</v>
      </c>
      <c r="I95" s="198">
        <f t="shared" si="16"/>
        <v>390.82</v>
      </c>
      <c r="J95" s="199">
        <f>IFERROR(G95/VLOOKUP(A95,RESUME!$G$3:$I$10,3,FALSE),0)</f>
        <v>4.6435964477992151E-3</v>
      </c>
      <c r="K95" s="198">
        <f t="shared" si="17"/>
        <v>371.49600000000004</v>
      </c>
      <c r="L95" s="198">
        <f t="shared" si="18"/>
        <v>464.37</v>
      </c>
      <c r="M95" s="200">
        <f t="shared" si="20"/>
        <v>5.8044955597490178E-3</v>
      </c>
      <c r="N95" s="201" t="str">
        <f>_xlfn.IFNA(VLOOKUP(A95&amp;"-"&amp;B95&amp;"-"&amp;D95,Ref_Account!$A:$F,6,FALSE),"ACCOUNT TIDAK DITEMUKAN")</f>
        <v>1201.630450</v>
      </c>
      <c r="O95" s="197">
        <f t="shared" si="21"/>
        <v>1</v>
      </c>
      <c r="P95" s="197" t="str">
        <f t="shared" si="19"/>
        <v>OK</v>
      </c>
      <c r="Q95" s="202" t="s">
        <v>528</v>
      </c>
      <c r="R95" s="145"/>
      <c r="AA95" s="148"/>
    </row>
    <row r="96" spans="1:27">
      <c r="A96" s="187" t="s">
        <v>65</v>
      </c>
      <c r="B96" s="188" t="s">
        <v>20</v>
      </c>
      <c r="C96" s="187" t="s">
        <v>589</v>
      </c>
      <c r="D96" s="189" t="s">
        <v>12</v>
      </c>
      <c r="E96" s="189" t="s">
        <v>73</v>
      </c>
      <c r="F96" s="189"/>
      <c r="G96" s="190">
        <v>515.79999999999995</v>
      </c>
      <c r="H96" s="190">
        <v>442.95</v>
      </c>
      <c r="I96" s="190">
        <f t="shared" si="16"/>
        <v>72.849999999999966</v>
      </c>
      <c r="J96" s="191">
        <f>IFERROR(G96/VLOOKUP(A96,RESUME!$G$3:$I$10,3,FALSE),0)</f>
        <v>5.157884979164965E-3</v>
      </c>
      <c r="K96" s="190">
        <f t="shared" si="17"/>
        <v>412.64</v>
      </c>
      <c r="L96" s="190">
        <f t="shared" si="18"/>
        <v>515.79999999999995</v>
      </c>
      <c r="M96" s="192">
        <f t="shared" si="20"/>
        <v>6.0061791900965994E-3</v>
      </c>
      <c r="N96" s="193" t="str">
        <f>_xlfn.IFNA(VLOOKUP(A96&amp;"-"&amp;B96&amp;"-"&amp;D96,Ref_Account!$A:$F,6,FALSE),"ACCOUNT TIDAK DITEMUKAN")</f>
        <v>1201.631100</v>
      </c>
      <c r="O96" s="189">
        <f t="shared" si="21"/>
        <v>3</v>
      </c>
      <c r="P96" s="189" t="str">
        <f t="shared" si="19"/>
        <v>OK</v>
      </c>
      <c r="Q96" s="194" t="s">
        <v>528</v>
      </c>
      <c r="R96" s="145"/>
      <c r="AA96" s="148"/>
    </row>
    <row r="97" spans="1:27">
      <c r="A97" s="195" t="s">
        <v>65</v>
      </c>
      <c r="B97" s="196" t="s">
        <v>20</v>
      </c>
      <c r="C97" s="187" t="s">
        <v>589</v>
      </c>
      <c r="D97" s="197" t="s">
        <v>12</v>
      </c>
      <c r="E97" s="197" t="s">
        <v>73</v>
      </c>
      <c r="F97" s="197"/>
      <c r="G97" s="198">
        <v>1891.43</v>
      </c>
      <c r="H97" s="198">
        <v>1881.2</v>
      </c>
      <c r="I97" s="198">
        <f t="shared" si="16"/>
        <v>10.230000000000018</v>
      </c>
      <c r="J97" s="199">
        <f>IFERROR(G97/VLOOKUP(A97,RESUME!$G$3:$I$10,3,FALSE),0)</f>
        <v>1.8913878220515688E-2</v>
      </c>
      <c r="K97" s="198">
        <f t="shared" si="17"/>
        <v>1513.1440000000002</v>
      </c>
      <c r="L97" s="198">
        <f t="shared" si="18"/>
        <v>1891.43</v>
      </c>
      <c r="M97" s="200">
        <f t="shared" si="20"/>
        <v>1.9016732236141819E-2</v>
      </c>
      <c r="N97" s="201" t="str">
        <f>_xlfn.IFNA(VLOOKUP(A97&amp;"-"&amp;B97&amp;"-"&amp;D97,Ref_Account!$A:$F,6,FALSE),"ACCOUNT TIDAK DITEMUKAN")</f>
        <v>1201.631100</v>
      </c>
      <c r="O97" s="197">
        <f t="shared" si="21"/>
        <v>3</v>
      </c>
      <c r="P97" s="197" t="str">
        <f t="shared" si="19"/>
        <v>OK</v>
      </c>
      <c r="Q97" s="202" t="s">
        <v>528</v>
      </c>
      <c r="R97" s="145"/>
      <c r="AA97" s="148"/>
    </row>
    <row r="98" spans="1:27" ht="16.5" customHeight="1">
      <c r="A98" s="187" t="s">
        <v>65</v>
      </c>
      <c r="B98" s="188" t="s">
        <v>20</v>
      </c>
      <c r="C98" s="187" t="s">
        <v>589</v>
      </c>
      <c r="D98" s="189" t="s">
        <v>23</v>
      </c>
      <c r="E98" s="189" t="s">
        <v>73</v>
      </c>
      <c r="F98" s="189"/>
      <c r="G98" s="190">
        <v>1328.48</v>
      </c>
      <c r="H98" s="190">
        <v>1436.85</v>
      </c>
      <c r="I98" s="190">
        <f t="shared" si="16"/>
        <v>-108.36999999999989</v>
      </c>
      <c r="J98" s="191">
        <f>IFERROR(G98/VLOOKUP(A98,RESUME!$G$3:$I$10,3,FALSE),0)</f>
        <v>1.3284503755566253E-2</v>
      </c>
      <c r="K98" s="190">
        <f t="shared" si="17"/>
        <v>1062.7840000000001</v>
      </c>
      <c r="L98" s="190">
        <f t="shared" si="18"/>
        <v>1328.48</v>
      </c>
      <c r="M98" s="192">
        <f t="shared" si="20"/>
        <v>0</v>
      </c>
      <c r="N98" s="193" t="str">
        <f>_xlfn.IFNA(VLOOKUP(A98&amp;"-"&amp;B98&amp;"-"&amp;D98,Ref_Account!$A:$F,6,FALSE),"ACCOUNT TIDAK DITEMUKAN")</f>
        <v>1205.631100</v>
      </c>
      <c r="O98" s="189">
        <f t="shared" si="21"/>
        <v>3</v>
      </c>
      <c r="P98" s="189" t="str">
        <f t="shared" si="19"/>
        <v>OVER</v>
      </c>
      <c r="Q98" s="194" t="s">
        <v>563</v>
      </c>
      <c r="R98" s="145"/>
      <c r="AA98" s="148"/>
    </row>
    <row r="99" spans="1:27">
      <c r="A99" s="195" t="s">
        <v>65</v>
      </c>
      <c r="B99" s="196" t="s">
        <v>20</v>
      </c>
      <c r="C99" s="187" t="s">
        <v>589</v>
      </c>
      <c r="D99" s="197" t="s">
        <v>14</v>
      </c>
      <c r="E99" s="197" t="s">
        <v>73</v>
      </c>
      <c r="F99" s="197"/>
      <c r="G99" s="198">
        <v>1328.28</v>
      </c>
      <c r="H99" s="198">
        <v>1377.62</v>
      </c>
      <c r="I99" s="198">
        <f t="shared" si="16"/>
        <v>-49.339999999999918</v>
      </c>
      <c r="J99" s="199">
        <f>IFERROR(G99/VLOOKUP(A99,RESUME!$G$3:$I$10,3,FALSE),0)</f>
        <v>1.3282503800165258E-2</v>
      </c>
      <c r="K99" s="198">
        <f t="shared" si="17"/>
        <v>1062.624</v>
      </c>
      <c r="L99" s="198">
        <f t="shared" si="18"/>
        <v>1328.28</v>
      </c>
      <c r="M99" s="200">
        <f t="shared" si="20"/>
        <v>0</v>
      </c>
      <c r="N99" s="201" t="str">
        <f>_xlfn.IFNA(VLOOKUP(A99&amp;"-"&amp;B99&amp;"-"&amp;D99,Ref_Account!$A:$F,6,FALSE),"ACCOUNT TIDAK DITEMUKAN")</f>
        <v>1204.631100</v>
      </c>
      <c r="O99" s="197">
        <f t="shared" si="21"/>
        <v>3</v>
      </c>
      <c r="P99" s="197" t="str">
        <f t="shared" si="19"/>
        <v>OVER</v>
      </c>
      <c r="Q99" s="202" t="s">
        <v>563</v>
      </c>
      <c r="R99" s="145"/>
      <c r="AA99" s="148"/>
    </row>
    <row r="100" spans="1:27">
      <c r="A100" s="195" t="s">
        <v>157</v>
      </c>
      <c r="B100" s="196" t="s">
        <v>158</v>
      </c>
      <c r="C100" s="195" t="s">
        <v>159</v>
      </c>
      <c r="D100" s="197" t="s">
        <v>12</v>
      </c>
      <c r="E100" s="197" t="s">
        <v>73</v>
      </c>
      <c r="F100" s="197"/>
      <c r="G100" s="198">
        <v>943.01</v>
      </c>
      <c r="H100" s="198">
        <v>474.59</v>
      </c>
      <c r="I100" s="198">
        <f t="shared" si="16"/>
        <v>468.42</v>
      </c>
      <c r="J100" s="199">
        <f>IFERROR(G100/VLOOKUP(A100,RESUME!$G$3:$I$10,3,FALSE),0)</f>
        <v>1.0674639092355137E-2</v>
      </c>
      <c r="K100" s="198">
        <f t="shared" si="17"/>
        <v>754.40800000000002</v>
      </c>
      <c r="L100" s="198">
        <f t="shared" si="18"/>
        <v>943.01</v>
      </c>
      <c r="M100" s="200">
        <f t="shared" si="20"/>
        <v>1.3343298865443921E-2</v>
      </c>
      <c r="N100" s="201" t="str">
        <f>_xlfn.IFNA(VLOOKUP(A100&amp;"-"&amp;B100&amp;"-"&amp;D100,Ref_Account!$A:$F,6,FALSE),"ACCOUNT TIDAK DITEMUKAN")</f>
        <v>1201.816120</v>
      </c>
      <c r="O100" s="197">
        <f t="shared" si="21"/>
        <v>1</v>
      </c>
      <c r="P100" s="197" t="str">
        <f t="shared" si="19"/>
        <v>OK</v>
      </c>
      <c r="Q100" s="202" t="s">
        <v>528</v>
      </c>
      <c r="R100" s="145"/>
      <c r="AA100" s="148"/>
    </row>
    <row r="101" spans="1:27">
      <c r="A101" s="187" t="s">
        <v>157</v>
      </c>
      <c r="B101" s="188" t="s">
        <v>160</v>
      </c>
      <c r="C101" s="187" t="s">
        <v>161</v>
      </c>
      <c r="D101" s="189" t="s">
        <v>12</v>
      </c>
      <c r="E101" s="189" t="s">
        <v>70</v>
      </c>
      <c r="F101" s="189"/>
      <c r="G101" s="190">
        <v>3000</v>
      </c>
      <c r="H101" s="190">
        <v>680.2</v>
      </c>
      <c r="I101" s="190">
        <f t="shared" si="16"/>
        <v>2319.8000000000002</v>
      </c>
      <c r="J101" s="191">
        <f>IFERROR(G101/VLOOKUP(A101,RESUME!$G$3:$I$10,3,FALSE),0)</f>
        <v>3.3959255232781635E-2</v>
      </c>
      <c r="K101" s="190">
        <f t="shared" si="17"/>
        <v>2400</v>
      </c>
      <c r="L101" s="190">
        <f t="shared" si="18"/>
        <v>3000</v>
      </c>
      <c r="M101" s="192">
        <f t="shared" si="20"/>
        <v>4.2449069040977047E-2</v>
      </c>
      <c r="N101" s="193" t="str">
        <f>_xlfn.IFNA(VLOOKUP(A101&amp;"-"&amp;B101&amp;"-"&amp;D101,Ref_Account!$A:$F,6,FALSE),"ACCOUNT TIDAK DITEMUKAN")</f>
        <v>1201.920410</v>
      </c>
      <c r="O101" s="189">
        <f t="shared" si="21"/>
        <v>1</v>
      </c>
      <c r="P101" s="189" t="str">
        <f t="shared" si="19"/>
        <v>OK</v>
      </c>
      <c r="Q101" s="194" t="s">
        <v>528</v>
      </c>
      <c r="R101" s="145"/>
      <c r="AA101" s="148"/>
    </row>
    <row r="102" spans="1:27">
      <c r="A102" s="195" t="s">
        <v>157</v>
      </c>
      <c r="B102" s="196" t="s">
        <v>162</v>
      </c>
      <c r="C102" s="195" t="s">
        <v>163</v>
      </c>
      <c r="D102" s="197" t="s">
        <v>12</v>
      </c>
      <c r="E102" s="197" t="s">
        <v>164</v>
      </c>
      <c r="F102" s="197"/>
      <c r="G102" s="198">
        <v>27000</v>
      </c>
      <c r="H102" s="198">
        <v>4859.3</v>
      </c>
      <c r="I102" s="198">
        <f t="shared" si="16"/>
        <v>22140.7</v>
      </c>
      <c r="J102" s="199">
        <f>IFERROR(G102/VLOOKUP(A102,RESUME!$G$3:$I$10,3,FALSE),0)</f>
        <v>0.30563329709503473</v>
      </c>
      <c r="K102" s="198">
        <f t="shared" si="17"/>
        <v>21600</v>
      </c>
      <c r="L102" s="198">
        <f t="shared" si="18"/>
        <v>27000</v>
      </c>
      <c r="M102" s="200">
        <f t="shared" si="20"/>
        <v>0.38204162136879338</v>
      </c>
      <c r="N102" s="201" t="str">
        <f>_xlfn.IFNA(VLOOKUP(A102&amp;"-"&amp;B102&amp;"-"&amp;D102,Ref_Account!$A:$F,6,FALSE),"ACCOUNT TIDAK DITEMUKAN")</f>
        <v>1201.920120</v>
      </c>
      <c r="O102" s="197">
        <f t="shared" si="21"/>
        <v>1</v>
      </c>
      <c r="P102" s="197" t="str">
        <f t="shared" si="19"/>
        <v>OK</v>
      </c>
      <c r="Q102" s="202" t="s">
        <v>528</v>
      </c>
      <c r="R102" s="145"/>
      <c r="AA102" s="148"/>
    </row>
    <row r="103" spans="1:27">
      <c r="A103" s="187" t="s">
        <v>157</v>
      </c>
      <c r="B103" s="188" t="s">
        <v>165</v>
      </c>
      <c r="C103" s="187" t="s">
        <v>166</v>
      </c>
      <c r="D103" s="189" t="s">
        <v>12</v>
      </c>
      <c r="E103" s="189" t="s">
        <v>70</v>
      </c>
      <c r="F103" s="189"/>
      <c r="G103" s="190">
        <v>743.73</v>
      </c>
      <c r="H103" s="190"/>
      <c r="I103" s="190">
        <f t="shared" si="16"/>
        <v>743.73</v>
      </c>
      <c r="J103" s="191">
        <f>IFERROR(G103/VLOOKUP(A103,RESUME!$G$3:$I$10,3,FALSE),0)</f>
        <v>8.4188389647588957E-3</v>
      </c>
      <c r="K103" s="190">
        <f t="shared" si="17"/>
        <v>594.98400000000004</v>
      </c>
      <c r="L103" s="190">
        <f t="shared" si="18"/>
        <v>743.73</v>
      </c>
      <c r="M103" s="192">
        <f t="shared" si="20"/>
        <v>1.052354870594862E-2</v>
      </c>
      <c r="N103" s="193" t="str">
        <f>_xlfn.IFNA(VLOOKUP(A103&amp;"-"&amp;B103&amp;"-"&amp;D103,Ref_Account!$A:$F,6,FALSE),"ACCOUNT TIDAK DITEMUKAN")</f>
        <v>1201.805120</v>
      </c>
      <c r="O103" s="189">
        <f t="shared" si="21"/>
        <v>1</v>
      </c>
      <c r="P103" s="189" t="str">
        <f t="shared" si="19"/>
        <v>OK</v>
      </c>
      <c r="Q103" s="194" t="s">
        <v>528</v>
      </c>
      <c r="R103" s="145"/>
      <c r="AA103" s="148"/>
    </row>
    <row r="104" spans="1:27">
      <c r="A104" s="195" t="s">
        <v>157</v>
      </c>
      <c r="B104" s="196" t="s">
        <v>167</v>
      </c>
      <c r="C104" s="195" t="s">
        <v>168</v>
      </c>
      <c r="D104" s="197" t="s">
        <v>12</v>
      </c>
      <c r="E104" s="197" t="s">
        <v>169</v>
      </c>
      <c r="F104" s="197"/>
      <c r="G104" s="198">
        <v>2000</v>
      </c>
      <c r="H104" s="198">
        <v>171.94</v>
      </c>
      <c r="I104" s="198">
        <f t="shared" si="16"/>
        <v>1828.06</v>
      </c>
      <c r="J104" s="199">
        <f>IFERROR(G104/VLOOKUP(A104,RESUME!$G$3:$I$10,3,FALSE),0)</f>
        <v>2.263950348852109E-2</v>
      </c>
      <c r="K104" s="198">
        <f t="shared" si="17"/>
        <v>1600</v>
      </c>
      <c r="L104" s="198">
        <f t="shared" si="18"/>
        <v>2000</v>
      </c>
      <c r="M104" s="200">
        <f t="shared" si="20"/>
        <v>2.8299379360651362E-2</v>
      </c>
      <c r="N104" s="201" t="str">
        <f>_xlfn.IFNA(VLOOKUP(A104&amp;"-"&amp;B104&amp;"-"&amp;D104,Ref_Account!$A:$F,6,FALSE),"ACCOUNT TIDAK DITEMUKAN")</f>
        <v>1201.920700</v>
      </c>
      <c r="O104" s="197">
        <f t="shared" si="21"/>
        <v>1</v>
      </c>
      <c r="P104" s="197" t="str">
        <f t="shared" si="19"/>
        <v>OK</v>
      </c>
      <c r="Q104" s="202" t="s">
        <v>528</v>
      </c>
      <c r="R104" s="145"/>
      <c r="AA104" s="148"/>
    </row>
    <row r="105" spans="1:27">
      <c r="A105" s="187" t="s">
        <v>157</v>
      </c>
      <c r="B105" s="188" t="s">
        <v>167</v>
      </c>
      <c r="C105" s="187" t="s">
        <v>168</v>
      </c>
      <c r="D105" s="189" t="s">
        <v>99</v>
      </c>
      <c r="E105" s="189" t="s">
        <v>169</v>
      </c>
      <c r="F105" s="189"/>
      <c r="G105" s="190">
        <v>1000</v>
      </c>
      <c r="H105" s="190">
        <v>91.72</v>
      </c>
      <c r="I105" s="190">
        <f t="shared" si="16"/>
        <v>908.28</v>
      </c>
      <c r="J105" s="191">
        <f>IFERROR(G105/VLOOKUP(A105,RESUME!$G$3:$I$10,3,FALSE),0)</f>
        <v>1.1319751744260545E-2</v>
      </c>
      <c r="K105" s="190">
        <f t="shared" si="17"/>
        <v>800</v>
      </c>
      <c r="L105" s="190">
        <f t="shared" si="18"/>
        <v>1000</v>
      </c>
      <c r="M105" s="192">
        <f t="shared" si="20"/>
        <v>1.4149689680325681E-2</v>
      </c>
      <c r="N105" s="193" t="str">
        <f>_xlfn.IFNA(VLOOKUP(A105&amp;"-"&amp;B105&amp;"-"&amp;D105,Ref_Account!$A:$F,6,FALSE),"ACCOUNT TIDAK DITEMUKAN")</f>
        <v>1206.920700</v>
      </c>
      <c r="O105" s="189">
        <f t="shared" si="21"/>
        <v>1</v>
      </c>
      <c r="P105" s="189" t="str">
        <f t="shared" si="19"/>
        <v>OK</v>
      </c>
      <c r="Q105" s="194" t="s">
        <v>528</v>
      </c>
      <c r="R105" s="145"/>
      <c r="AA105" s="148"/>
    </row>
    <row r="106" spans="1:27">
      <c r="A106" s="195" t="s">
        <v>157</v>
      </c>
      <c r="B106" s="196" t="s">
        <v>167</v>
      </c>
      <c r="C106" s="195" t="s">
        <v>168</v>
      </c>
      <c r="D106" s="197" t="s">
        <v>23</v>
      </c>
      <c r="E106" s="197" t="s">
        <v>169</v>
      </c>
      <c r="F106" s="197"/>
      <c r="G106" s="198">
        <v>1000</v>
      </c>
      <c r="H106" s="198">
        <v>212.18</v>
      </c>
      <c r="I106" s="198">
        <f t="shared" si="16"/>
        <v>787.81999999999994</v>
      </c>
      <c r="J106" s="199">
        <f>IFERROR(G106/VLOOKUP(A106,RESUME!$G$3:$I$10,3,FALSE),0)</f>
        <v>1.1319751744260545E-2</v>
      </c>
      <c r="K106" s="198">
        <f t="shared" si="17"/>
        <v>800</v>
      </c>
      <c r="L106" s="198">
        <f t="shared" si="18"/>
        <v>1000</v>
      </c>
      <c r="M106" s="200">
        <f t="shared" si="20"/>
        <v>1.4149689680325681E-2</v>
      </c>
      <c r="N106" s="201" t="str">
        <f>_xlfn.IFNA(VLOOKUP(A106&amp;"-"&amp;B106&amp;"-"&amp;D106,Ref_Account!$A:$F,6,FALSE),"ACCOUNT TIDAK DITEMUKAN")</f>
        <v>1205.920700</v>
      </c>
      <c r="O106" s="197">
        <f t="shared" si="21"/>
        <v>1</v>
      </c>
      <c r="P106" s="197" t="str">
        <f t="shared" si="19"/>
        <v>OK</v>
      </c>
      <c r="Q106" s="202" t="s">
        <v>528</v>
      </c>
      <c r="R106" s="145"/>
      <c r="AA106" s="148"/>
    </row>
    <row r="107" spans="1:27">
      <c r="A107" s="187" t="s">
        <v>157</v>
      </c>
      <c r="B107" s="188" t="s">
        <v>167</v>
      </c>
      <c r="C107" s="187" t="s">
        <v>168</v>
      </c>
      <c r="D107" s="189" t="s">
        <v>14</v>
      </c>
      <c r="E107" s="189" t="s">
        <v>169</v>
      </c>
      <c r="F107" s="189"/>
      <c r="G107" s="190">
        <v>1000</v>
      </c>
      <c r="H107" s="190">
        <v>187.31</v>
      </c>
      <c r="I107" s="190">
        <f t="shared" ref="I107:I138" si="22">G107-H107</f>
        <v>812.69</v>
      </c>
      <c r="J107" s="191">
        <f>IFERROR(G107/VLOOKUP(A107,RESUME!$G$3:$I$10,3,FALSE),0)</f>
        <v>1.1319751744260545E-2</v>
      </c>
      <c r="K107" s="190">
        <f t="shared" ref="K107:K138" si="23">G107*$K$4</f>
        <v>800</v>
      </c>
      <c r="L107" s="190">
        <f t="shared" ref="L107:L138" si="24">G107*$L$4</f>
        <v>1000</v>
      </c>
      <c r="M107" s="192">
        <f t="shared" si="20"/>
        <v>1.4149689680325681E-2</v>
      </c>
      <c r="N107" s="193" t="str">
        <f>_xlfn.IFNA(VLOOKUP(A107&amp;"-"&amp;B107&amp;"-"&amp;D107,Ref_Account!$A:$F,6,FALSE),"ACCOUNT TIDAK DITEMUKAN")</f>
        <v>1204.920700</v>
      </c>
      <c r="O107" s="189">
        <f t="shared" si="21"/>
        <v>1</v>
      </c>
      <c r="P107" s="189" t="str">
        <f t="shared" ref="P107:P138" si="25">IF(I107&gt;0,"OK","OVER")</f>
        <v>OK</v>
      </c>
      <c r="Q107" s="194" t="s">
        <v>528</v>
      </c>
      <c r="R107" s="145"/>
      <c r="AA107" s="148"/>
    </row>
    <row r="108" spans="1:27">
      <c r="A108" s="195" t="s">
        <v>157</v>
      </c>
      <c r="B108" s="196" t="s">
        <v>144</v>
      </c>
      <c r="C108" s="195" t="s">
        <v>145</v>
      </c>
      <c r="D108" s="197" t="s">
        <v>12</v>
      </c>
      <c r="E108" s="197" t="s">
        <v>146</v>
      </c>
      <c r="F108" s="197"/>
      <c r="G108" s="198">
        <v>45654.420000000006</v>
      </c>
      <c r="H108" s="198"/>
      <c r="I108" s="198">
        <f t="shared" si="22"/>
        <v>45654.420000000006</v>
      </c>
      <c r="J108" s="199">
        <f>IFERROR(G108/VLOOKUP(A108,RESUME!$G$3:$I$10,3,FALSE),0)</f>
        <v>0.51679670042820358</v>
      </c>
      <c r="K108" s="198">
        <f t="shared" si="23"/>
        <v>36523.536000000007</v>
      </c>
      <c r="L108" s="198">
        <f t="shared" si="24"/>
        <v>45654.420000000006</v>
      </c>
      <c r="M108" s="200">
        <f t="shared" si="20"/>
        <v>0.6459958755352545</v>
      </c>
      <c r="N108" s="201" t="str">
        <f>_xlfn.IFNA(VLOOKUP(A108&amp;"-"&amp;B108&amp;"-"&amp;D108,Ref_Account!$A:$F,6,FALSE),"ACCOUNT TIDAK DITEMUKAN")</f>
        <v>1201.801110</v>
      </c>
      <c r="O108" s="197">
        <f t="shared" si="21"/>
        <v>1</v>
      </c>
      <c r="P108" s="197" t="str">
        <f t="shared" si="25"/>
        <v>OK</v>
      </c>
      <c r="Q108" s="202" t="s">
        <v>528</v>
      </c>
      <c r="R108" s="145"/>
      <c r="AA108" s="148"/>
    </row>
    <row r="109" spans="1:27">
      <c r="A109" s="187" t="s">
        <v>157</v>
      </c>
      <c r="B109" s="188" t="s">
        <v>144</v>
      </c>
      <c r="C109" s="187" t="s">
        <v>145</v>
      </c>
      <c r="D109" s="189" t="s">
        <v>14</v>
      </c>
      <c r="E109" s="189" t="s">
        <v>146</v>
      </c>
      <c r="F109" s="189"/>
      <c r="G109" s="190">
        <v>6000</v>
      </c>
      <c r="H109" s="190"/>
      <c r="I109" s="190">
        <f t="shared" si="22"/>
        <v>6000</v>
      </c>
      <c r="J109" s="191">
        <f>IFERROR(G109/VLOOKUP(A109,RESUME!$G$3:$I$10,3,FALSE),0)</f>
        <v>6.791851046556327E-2</v>
      </c>
      <c r="K109" s="190">
        <f t="shared" si="23"/>
        <v>4800</v>
      </c>
      <c r="L109" s="190">
        <f t="shared" si="24"/>
        <v>6000</v>
      </c>
      <c r="M109" s="192">
        <f t="shared" si="20"/>
        <v>8.4898138081954094E-2</v>
      </c>
      <c r="N109" s="193" t="str">
        <f>_xlfn.IFNA(VLOOKUP(A109&amp;"-"&amp;B109&amp;"-"&amp;D109,Ref_Account!$A:$F,6,FALSE),"ACCOUNT TIDAK DITEMUKAN")</f>
        <v>1204.801110</v>
      </c>
      <c r="O109" s="189">
        <f t="shared" si="21"/>
        <v>1</v>
      </c>
      <c r="P109" s="189" t="str">
        <f t="shared" si="25"/>
        <v>OK</v>
      </c>
      <c r="Q109" s="194" t="s">
        <v>528</v>
      </c>
      <c r="R109" s="145"/>
      <c r="AA109" s="148"/>
    </row>
    <row r="110" spans="1:27">
      <c r="A110" s="187" t="s">
        <v>322</v>
      </c>
      <c r="B110" s="188" t="s">
        <v>76</v>
      </c>
      <c r="C110" s="187" t="s">
        <v>77</v>
      </c>
      <c r="D110" s="189" t="s">
        <v>23</v>
      </c>
      <c r="E110" s="189" t="s">
        <v>70</v>
      </c>
      <c r="F110" s="189"/>
      <c r="G110" s="190">
        <v>137.53</v>
      </c>
      <c r="H110" s="190"/>
      <c r="I110" s="190">
        <f t="shared" si="22"/>
        <v>137.53</v>
      </c>
      <c r="J110" s="191">
        <f>IFERROR(G110/VLOOKUP(A110,RESUME!$G$3:$I$10,3,FALSE),0)</f>
        <v>5.5495675892985874E-4</v>
      </c>
      <c r="K110" s="190">
        <f t="shared" si="23"/>
        <v>110.024</v>
      </c>
      <c r="L110" s="190">
        <f t="shared" si="24"/>
        <v>137.53</v>
      </c>
      <c r="M110" s="192">
        <f t="shared" si="20"/>
        <v>6.9369594866232343E-4</v>
      </c>
      <c r="N110" s="193" t="str">
        <f>_xlfn.IFNA(VLOOKUP(A110&amp;"-"&amp;B110&amp;"-"&amp;D110,Ref_Account!$A:$F,6,FALSE),"ACCOUNT TIDAK DITEMUKAN")</f>
        <v>1205.813100</v>
      </c>
      <c r="O110" s="189">
        <f t="shared" si="21"/>
        <v>1</v>
      </c>
      <c r="P110" s="189" t="str">
        <f t="shared" si="25"/>
        <v>OK</v>
      </c>
      <c r="Q110" s="194" t="s">
        <v>528</v>
      </c>
      <c r="R110" s="145"/>
      <c r="AA110" s="148"/>
    </row>
    <row r="111" spans="1:27">
      <c r="A111" s="195" t="s">
        <v>322</v>
      </c>
      <c r="B111" s="196" t="s">
        <v>91</v>
      </c>
      <c r="C111" s="195" t="s">
        <v>92</v>
      </c>
      <c r="D111" s="197" t="s">
        <v>23</v>
      </c>
      <c r="E111" s="197" t="s">
        <v>93</v>
      </c>
      <c r="F111" s="197"/>
      <c r="G111" s="198">
        <v>5157.3999999999996</v>
      </c>
      <c r="H111" s="198"/>
      <c r="I111" s="198">
        <f t="shared" si="22"/>
        <v>5157.3999999999996</v>
      </c>
      <c r="J111" s="199">
        <f>IFERROR(G111/VLOOKUP(A111,RESUME!$G$3:$I$10,3,FALSE),0)</f>
        <v>2.0810979339088584E-2</v>
      </c>
      <c r="K111" s="198">
        <f t="shared" si="23"/>
        <v>4125.92</v>
      </c>
      <c r="L111" s="198">
        <f t="shared" si="24"/>
        <v>5157.3999999999996</v>
      </c>
      <c r="M111" s="200">
        <f t="shared" si="20"/>
        <v>2.601372417386073E-2</v>
      </c>
      <c r="N111" s="201" t="str">
        <f>_xlfn.IFNA(VLOOKUP(A111&amp;"-"&amp;B111&amp;"-"&amp;D111,Ref_Account!$A:$F,6,FALSE),"ACCOUNT TIDAK DITEMUKAN")</f>
        <v>1205.801160</v>
      </c>
      <c r="O111" s="197">
        <f t="shared" si="21"/>
        <v>1</v>
      </c>
      <c r="P111" s="197" t="str">
        <f t="shared" si="25"/>
        <v>OK</v>
      </c>
      <c r="Q111" s="202" t="s">
        <v>528</v>
      </c>
      <c r="R111" s="145"/>
      <c r="AA111" s="148"/>
    </row>
    <row r="112" spans="1:27">
      <c r="A112" s="187" t="s">
        <v>322</v>
      </c>
      <c r="B112" s="188" t="s">
        <v>100</v>
      </c>
      <c r="C112" s="187" t="s">
        <v>101</v>
      </c>
      <c r="D112" s="189" t="s">
        <v>23</v>
      </c>
      <c r="E112" s="189" t="s">
        <v>73</v>
      </c>
      <c r="F112" s="189"/>
      <c r="G112" s="190">
        <v>500</v>
      </c>
      <c r="H112" s="190">
        <v>90.17</v>
      </c>
      <c r="I112" s="190">
        <f t="shared" si="22"/>
        <v>409.83</v>
      </c>
      <c r="J112" s="191">
        <f>IFERROR(G112/VLOOKUP(A112,RESUME!$G$3:$I$10,3,FALSE),0)</f>
        <v>2.0175843776988971E-3</v>
      </c>
      <c r="K112" s="190">
        <f t="shared" si="23"/>
        <v>400</v>
      </c>
      <c r="L112" s="190">
        <f t="shared" si="24"/>
        <v>500</v>
      </c>
      <c r="M112" s="192">
        <f t="shared" si="20"/>
        <v>2.5219804721236215E-3</v>
      </c>
      <c r="N112" s="193" t="str">
        <f>_xlfn.IFNA(VLOOKUP(A112&amp;"-"&amp;B112&amp;"-"&amp;D112,Ref_Account!$A:$F,6,FALSE),"ACCOUNT TIDAK DITEMUKAN")</f>
        <v>1205.630710</v>
      </c>
      <c r="O112" s="189">
        <f t="shared" si="21"/>
        <v>1</v>
      </c>
      <c r="P112" s="189" t="str">
        <f t="shared" si="25"/>
        <v>OK</v>
      </c>
      <c r="Q112" s="194" t="s">
        <v>528</v>
      </c>
      <c r="R112" s="145"/>
      <c r="AA112" s="148"/>
    </row>
    <row r="113" spans="1:27">
      <c r="A113" s="195" t="s">
        <v>322</v>
      </c>
      <c r="B113" s="196" t="s">
        <v>112</v>
      </c>
      <c r="C113" s="195" t="s">
        <v>113</v>
      </c>
      <c r="D113" s="197" t="s">
        <v>23</v>
      </c>
      <c r="E113" s="197" t="s">
        <v>73</v>
      </c>
      <c r="F113" s="197"/>
      <c r="G113" s="198">
        <v>250</v>
      </c>
      <c r="H113" s="198"/>
      <c r="I113" s="198">
        <f t="shared" si="22"/>
        <v>250</v>
      </c>
      <c r="J113" s="199">
        <f>IFERROR(G113/VLOOKUP(A113,RESUME!$G$3:$I$10,3,FALSE),0)</f>
        <v>1.0087921888494486E-3</v>
      </c>
      <c r="K113" s="198">
        <f t="shared" si="23"/>
        <v>200</v>
      </c>
      <c r="L113" s="198">
        <f t="shared" si="24"/>
        <v>250</v>
      </c>
      <c r="M113" s="200">
        <f t="shared" si="20"/>
        <v>1.2609902360618108E-3</v>
      </c>
      <c r="N113" s="201" t="str">
        <f>_xlfn.IFNA(VLOOKUP(A113&amp;"-"&amp;B113&amp;"-"&amp;D113,Ref_Account!$A:$F,6,FALSE),"ACCOUNT TIDAK DITEMUKAN")</f>
        <v>1205.630740</v>
      </c>
      <c r="O113" s="197">
        <f t="shared" si="21"/>
        <v>1</v>
      </c>
      <c r="P113" s="197" t="str">
        <f t="shared" si="25"/>
        <v>OK</v>
      </c>
      <c r="Q113" s="202" t="s">
        <v>528</v>
      </c>
      <c r="R113" s="145"/>
      <c r="AA113" s="148"/>
    </row>
    <row r="114" spans="1:27">
      <c r="A114" s="187" t="s">
        <v>322</v>
      </c>
      <c r="B114" s="188" t="s">
        <v>116</v>
      </c>
      <c r="C114" s="187" t="s">
        <v>117</v>
      </c>
      <c r="D114" s="189" t="s">
        <v>23</v>
      </c>
      <c r="E114" s="189" t="s">
        <v>93</v>
      </c>
      <c r="F114" s="189"/>
      <c r="G114" s="190">
        <v>3183.98</v>
      </c>
      <c r="H114" s="190">
        <v>3929.89</v>
      </c>
      <c r="I114" s="190">
        <f t="shared" si="22"/>
        <v>-745.90999999999985</v>
      </c>
      <c r="J114" s="191">
        <f>IFERROR(G114/VLOOKUP(A114,RESUME!$G$3:$I$10,3,FALSE),0)</f>
        <v>1.284789661381147E-2</v>
      </c>
      <c r="K114" s="190">
        <f t="shared" si="23"/>
        <v>2547.1840000000002</v>
      </c>
      <c r="L114" s="190">
        <f t="shared" si="24"/>
        <v>3183.98</v>
      </c>
      <c r="M114" s="192">
        <f t="shared" si="20"/>
        <v>0</v>
      </c>
      <c r="N114" s="193" t="str">
        <f>_xlfn.IFNA(VLOOKUP(A114&amp;"-"&amp;B114&amp;"-"&amp;D114,Ref_Account!$A:$F,6,FALSE),"ACCOUNT TIDAK DITEMUKAN")</f>
        <v>1205.630130</v>
      </c>
      <c r="O114" s="189">
        <f t="shared" si="21"/>
        <v>1</v>
      </c>
      <c r="P114" s="189" t="str">
        <f t="shared" si="25"/>
        <v>OVER</v>
      </c>
      <c r="Q114" s="194" t="s">
        <v>571</v>
      </c>
      <c r="R114" s="145"/>
      <c r="AA114" s="148"/>
    </row>
    <row r="115" spans="1:27">
      <c r="A115" s="195" t="s">
        <v>322</v>
      </c>
      <c r="B115" s="196" t="s">
        <v>128</v>
      </c>
      <c r="C115" s="195" t="s">
        <v>140</v>
      </c>
      <c r="D115" s="197" t="s">
        <v>23</v>
      </c>
      <c r="E115" s="197" t="s">
        <v>73</v>
      </c>
      <c r="F115" s="197"/>
      <c r="G115" s="198">
        <v>126.99</v>
      </c>
      <c r="H115" s="198"/>
      <c r="I115" s="198">
        <f t="shared" si="22"/>
        <v>126.99</v>
      </c>
      <c r="J115" s="199">
        <f>IFERROR(G115/VLOOKUP(A115,RESUME!$G$3:$I$10,3,FALSE),0)</f>
        <v>5.124260802479659E-4</v>
      </c>
      <c r="K115" s="198">
        <f t="shared" si="23"/>
        <v>101.592</v>
      </c>
      <c r="L115" s="198">
        <f t="shared" si="24"/>
        <v>126.99</v>
      </c>
      <c r="M115" s="200">
        <f t="shared" si="20"/>
        <v>6.4053260030995742E-4</v>
      </c>
      <c r="N115" s="201" t="str">
        <f>_xlfn.IFNA(VLOOKUP(A115&amp;"-"&amp;B115&amp;"-"&amp;D115,Ref_Account!$A:$F,6,FALSE),"ACCOUNT TIDAK DITEMUKAN")</f>
        <v>1205.815110</v>
      </c>
      <c r="O115" s="197">
        <f t="shared" si="21"/>
        <v>1</v>
      </c>
      <c r="P115" s="197" t="str">
        <f t="shared" si="25"/>
        <v>OK</v>
      </c>
      <c r="Q115" s="202" t="s">
        <v>528</v>
      </c>
      <c r="R115" s="145"/>
      <c r="AA115" s="148"/>
    </row>
    <row r="116" spans="1:27">
      <c r="A116" s="187" t="s">
        <v>322</v>
      </c>
      <c r="B116" s="188" t="s">
        <v>20</v>
      </c>
      <c r="C116" s="187" t="s">
        <v>150</v>
      </c>
      <c r="D116" s="189" t="s">
        <v>23</v>
      </c>
      <c r="E116" s="189" t="s">
        <v>73</v>
      </c>
      <c r="F116" s="189"/>
      <c r="G116" s="190">
        <v>754.58</v>
      </c>
      <c r="H116" s="190">
        <v>182.02</v>
      </c>
      <c r="I116" s="190">
        <f t="shared" si="22"/>
        <v>572.56000000000006</v>
      </c>
      <c r="J116" s="191">
        <f>IFERROR(G116/VLOOKUP(A116,RESUME!$G$3:$I$10,3,FALSE),0)</f>
        <v>3.0448576394480681E-3</v>
      </c>
      <c r="K116" s="190">
        <f t="shared" si="23"/>
        <v>603.6640000000001</v>
      </c>
      <c r="L116" s="190">
        <f t="shared" si="24"/>
        <v>754.58</v>
      </c>
      <c r="M116" s="192">
        <f t="shared" si="20"/>
        <v>3.8060720493100844E-3</v>
      </c>
      <c r="N116" s="193" t="str">
        <f>_xlfn.IFNA(VLOOKUP(A116&amp;"-"&amp;B116&amp;"-"&amp;D116,Ref_Account!$A:$F,6,FALSE),"ACCOUNT TIDAK DITEMUKAN")</f>
        <v>1205.631100</v>
      </c>
      <c r="O116" s="189">
        <f t="shared" si="21"/>
        <v>3</v>
      </c>
      <c r="P116" s="189" t="str">
        <f t="shared" si="25"/>
        <v>OK</v>
      </c>
      <c r="Q116" s="194" t="s">
        <v>528</v>
      </c>
      <c r="R116" s="145"/>
      <c r="AA116" s="148"/>
    </row>
    <row r="117" spans="1:27">
      <c r="A117" s="195" t="s">
        <v>322</v>
      </c>
      <c r="B117" s="196" t="s">
        <v>68</v>
      </c>
      <c r="C117" s="195" t="s">
        <v>69</v>
      </c>
      <c r="D117" s="197" t="s">
        <v>23</v>
      </c>
      <c r="E117" s="197" t="s">
        <v>70</v>
      </c>
      <c r="F117" s="197"/>
      <c r="G117" s="198">
        <v>6722.26</v>
      </c>
      <c r="H117" s="198">
        <v>3755.27</v>
      </c>
      <c r="I117" s="198">
        <f t="shared" si="22"/>
        <v>2966.9900000000002</v>
      </c>
      <c r="J117" s="199">
        <f>IFERROR(G117/VLOOKUP(A117,RESUME!$G$3:$I$10,3,FALSE),0)</f>
        <v>2.7125453517660381E-2</v>
      </c>
      <c r="K117" s="198">
        <f t="shared" si="23"/>
        <v>5377.8080000000009</v>
      </c>
      <c r="L117" s="198">
        <f t="shared" si="24"/>
        <v>6722.26</v>
      </c>
      <c r="M117" s="200">
        <f t="shared" si="20"/>
        <v>3.3906816897075469E-2</v>
      </c>
      <c r="N117" s="201" t="str">
        <f>_xlfn.IFNA(VLOOKUP(A117&amp;"-"&amp;B117&amp;"-"&amp;D117,Ref_Account!$A:$F,6,FALSE),"ACCOUNT TIDAK DITEMUKAN")</f>
        <v>1205.812100</v>
      </c>
      <c r="O117" s="197">
        <f t="shared" si="21"/>
        <v>1</v>
      </c>
      <c r="P117" s="197" t="str">
        <f t="shared" si="25"/>
        <v>OK</v>
      </c>
      <c r="Q117" s="202" t="s">
        <v>528</v>
      </c>
      <c r="R117" s="145"/>
      <c r="AA117" s="148"/>
    </row>
    <row r="118" spans="1:27">
      <c r="A118" s="187" t="s">
        <v>322</v>
      </c>
      <c r="B118" s="188" t="s">
        <v>74</v>
      </c>
      <c r="C118" s="187" t="s">
        <v>75</v>
      </c>
      <c r="D118" s="189" t="s">
        <v>23</v>
      </c>
      <c r="E118" s="189" t="s">
        <v>73</v>
      </c>
      <c r="F118" s="189"/>
      <c r="G118" s="190">
        <v>5152.29</v>
      </c>
      <c r="H118" s="190">
        <v>4098.6000000000004</v>
      </c>
      <c r="I118" s="190">
        <f t="shared" si="22"/>
        <v>1053.6899999999996</v>
      </c>
      <c r="J118" s="191">
        <f>IFERROR(G118/VLOOKUP(A118,RESUME!$G$3:$I$10,3,FALSE),0)</f>
        <v>2.0790359626748502E-2</v>
      </c>
      <c r="K118" s="190">
        <f t="shared" si="23"/>
        <v>4121.8320000000003</v>
      </c>
      <c r="L118" s="190">
        <f t="shared" si="24"/>
        <v>5152.29</v>
      </c>
      <c r="M118" s="192">
        <f t="shared" si="20"/>
        <v>2.5987949533435625E-2</v>
      </c>
      <c r="N118" s="193" t="str">
        <f>_xlfn.IFNA(VLOOKUP(A118&amp;"-"&amp;B118&amp;"-"&amp;D118,Ref_Account!$A:$F,6,FALSE),"ACCOUNT TIDAK DITEMUKAN")</f>
        <v>1205.630400</v>
      </c>
      <c r="O118" s="189">
        <f t="shared" si="21"/>
        <v>1</v>
      </c>
      <c r="P118" s="189" t="str">
        <f t="shared" si="25"/>
        <v>OK</v>
      </c>
      <c r="Q118" s="194" t="s">
        <v>528</v>
      </c>
      <c r="R118" s="145"/>
      <c r="AA118" s="148"/>
    </row>
    <row r="119" spans="1:27">
      <c r="A119" s="195" t="s">
        <v>322</v>
      </c>
      <c r="B119" s="196" t="s">
        <v>78</v>
      </c>
      <c r="C119" s="195" t="s">
        <v>79</v>
      </c>
      <c r="D119" s="197" t="s">
        <v>23</v>
      </c>
      <c r="E119" s="197" t="s">
        <v>151</v>
      </c>
      <c r="F119" s="197"/>
      <c r="G119" s="198">
        <v>3188</v>
      </c>
      <c r="H119" s="198">
        <v>827.12</v>
      </c>
      <c r="I119" s="198">
        <f t="shared" si="22"/>
        <v>2360.88</v>
      </c>
      <c r="J119" s="199">
        <f>IFERROR(G119/VLOOKUP(A119,RESUME!$G$3:$I$10,3,FALSE),0)</f>
        <v>1.2864117992208169E-2</v>
      </c>
      <c r="K119" s="198">
        <f t="shared" si="23"/>
        <v>2550.4</v>
      </c>
      <c r="L119" s="198">
        <f t="shared" si="24"/>
        <v>3188</v>
      </c>
      <c r="M119" s="200">
        <f t="shared" si="20"/>
        <v>1.608014749026021E-2</v>
      </c>
      <c r="N119" s="201" t="str">
        <f>_xlfn.IFNA(VLOOKUP(A119&amp;"-"&amp;B119&amp;"-"&amp;D119,Ref_Account!$A:$F,6,FALSE),"ACCOUNT TIDAK DITEMUKAN")</f>
        <v>1205.630300</v>
      </c>
      <c r="O119" s="197">
        <f t="shared" si="21"/>
        <v>1</v>
      </c>
      <c r="P119" s="197" t="str">
        <f t="shared" si="25"/>
        <v>OK</v>
      </c>
      <c r="Q119" s="202" t="s">
        <v>528</v>
      </c>
      <c r="R119" s="145"/>
      <c r="AA119" s="148"/>
    </row>
    <row r="120" spans="1:27">
      <c r="A120" s="187" t="s">
        <v>322</v>
      </c>
      <c r="B120" s="188" t="s">
        <v>152</v>
      </c>
      <c r="C120" s="187" t="s">
        <v>82</v>
      </c>
      <c r="D120" s="189" t="s">
        <v>23</v>
      </c>
      <c r="E120" s="189" t="s">
        <v>73</v>
      </c>
      <c r="F120" s="189"/>
      <c r="G120" s="190">
        <v>2043.4899999999998</v>
      </c>
      <c r="H120" s="190"/>
      <c r="I120" s="190">
        <f t="shared" si="22"/>
        <v>2043.4899999999998</v>
      </c>
      <c r="J120" s="191">
        <f>IFERROR(G120/VLOOKUP(A120,RESUME!$G$3:$I$10,3,FALSE),0)</f>
        <v>8.2458269999678389E-3</v>
      </c>
      <c r="K120" s="190">
        <f t="shared" si="23"/>
        <v>1634.7919999999999</v>
      </c>
      <c r="L120" s="190">
        <f t="shared" si="24"/>
        <v>2043.4899999999998</v>
      </c>
      <c r="M120" s="192">
        <f t="shared" si="20"/>
        <v>1.03072837499598E-2</v>
      </c>
      <c r="N120" s="193" t="str">
        <f>_xlfn.IFNA(VLOOKUP(A120&amp;"-"&amp;B120&amp;"-"&amp;D120,Ref_Account!$A:$F,6,FALSE),"ACCOUNT TIDAK DITEMUKAN")</f>
        <v>1205.630200</v>
      </c>
      <c r="O120" s="189">
        <f t="shared" si="21"/>
        <v>1</v>
      </c>
      <c r="P120" s="189" t="str">
        <f t="shared" si="25"/>
        <v>OK</v>
      </c>
      <c r="Q120" s="194" t="s">
        <v>528</v>
      </c>
      <c r="R120" s="145"/>
      <c r="AA120" s="148"/>
    </row>
    <row r="121" spans="1:27">
      <c r="A121" s="195" t="s">
        <v>322</v>
      </c>
      <c r="B121" s="196" t="s">
        <v>94</v>
      </c>
      <c r="C121" s="195" t="s">
        <v>95</v>
      </c>
      <c r="D121" s="197" t="s">
        <v>23</v>
      </c>
      <c r="E121" s="197" t="s">
        <v>153</v>
      </c>
      <c r="F121" s="197"/>
      <c r="G121" s="198">
        <v>78109.679999999993</v>
      </c>
      <c r="H121" s="198">
        <v>901.67</v>
      </c>
      <c r="I121" s="198">
        <f t="shared" si="22"/>
        <v>77208.009999999995</v>
      </c>
      <c r="J121" s="199">
        <f>IFERROR(G121/VLOOKUP(A121,RESUME!$G$3:$I$10,3,FALSE),0)</f>
        <v>0.31518574023011997</v>
      </c>
      <c r="K121" s="198">
        <f t="shared" si="23"/>
        <v>62487.743999999999</v>
      </c>
      <c r="L121" s="198">
        <f t="shared" si="24"/>
        <v>78109.679999999993</v>
      </c>
      <c r="M121" s="200">
        <f t="shared" si="20"/>
        <v>0.39398217528764995</v>
      </c>
      <c r="N121" s="201" t="str">
        <f>_xlfn.IFNA(VLOOKUP(A121&amp;"-"&amp;B121&amp;"-"&amp;D121,Ref_Account!$A:$F,6,FALSE),"ACCOUNT TIDAK DITEMUKAN")</f>
        <v>1205.630110</v>
      </c>
      <c r="O121" s="197">
        <f t="shared" si="21"/>
        <v>1</v>
      </c>
      <c r="P121" s="197" t="str">
        <f t="shared" si="25"/>
        <v>OK</v>
      </c>
      <c r="Q121" s="202" t="s">
        <v>528</v>
      </c>
      <c r="R121" s="145"/>
      <c r="AA121" s="148"/>
    </row>
    <row r="122" spans="1:27">
      <c r="A122" s="187" t="s">
        <v>322</v>
      </c>
      <c r="B122" s="188" t="s">
        <v>102</v>
      </c>
      <c r="C122" s="187" t="s">
        <v>103</v>
      </c>
      <c r="D122" s="189" t="s">
        <v>23</v>
      </c>
      <c r="E122" s="189" t="s">
        <v>151</v>
      </c>
      <c r="F122" s="189"/>
      <c r="G122" s="190">
        <v>250</v>
      </c>
      <c r="H122" s="190"/>
      <c r="I122" s="190">
        <f t="shared" si="22"/>
        <v>250</v>
      </c>
      <c r="J122" s="191">
        <f>IFERROR(G122/VLOOKUP(A122,RESUME!$G$3:$I$10,3,FALSE),0)</f>
        <v>1.0087921888494486E-3</v>
      </c>
      <c r="K122" s="190">
        <f t="shared" si="23"/>
        <v>200</v>
      </c>
      <c r="L122" s="190">
        <f t="shared" si="24"/>
        <v>250</v>
      </c>
      <c r="M122" s="192">
        <f t="shared" si="20"/>
        <v>1.2609902360618108E-3</v>
      </c>
      <c r="N122" s="193" t="str">
        <f>_xlfn.IFNA(VLOOKUP(A122&amp;"-"&amp;B122&amp;"-"&amp;D122,Ref_Account!$A:$F,6,FALSE),"ACCOUNT TIDAK DITEMUKAN")</f>
        <v>1205.630770</v>
      </c>
      <c r="O122" s="189">
        <f t="shared" si="21"/>
        <v>1</v>
      </c>
      <c r="P122" s="189" t="str">
        <f t="shared" si="25"/>
        <v>OK</v>
      </c>
      <c r="Q122" s="194" t="s">
        <v>528</v>
      </c>
      <c r="R122" s="145"/>
      <c r="AA122" s="148"/>
    </row>
    <row r="123" spans="1:27">
      <c r="A123" s="195" t="s">
        <v>322</v>
      </c>
      <c r="B123" s="196" t="s">
        <v>104</v>
      </c>
      <c r="C123" s="195" t="s">
        <v>105</v>
      </c>
      <c r="D123" s="197" t="s">
        <v>23</v>
      </c>
      <c r="E123" s="197" t="s">
        <v>151</v>
      </c>
      <c r="F123" s="197"/>
      <c r="G123" s="198">
        <v>250</v>
      </c>
      <c r="H123" s="198"/>
      <c r="I123" s="198">
        <f t="shared" si="22"/>
        <v>250</v>
      </c>
      <c r="J123" s="199">
        <f>IFERROR(G123/VLOOKUP(A123,RESUME!$G$3:$I$10,3,FALSE),0)</f>
        <v>1.0087921888494486E-3</v>
      </c>
      <c r="K123" s="198">
        <f t="shared" si="23"/>
        <v>200</v>
      </c>
      <c r="L123" s="198">
        <f t="shared" si="24"/>
        <v>250</v>
      </c>
      <c r="M123" s="200">
        <f t="shared" si="20"/>
        <v>1.2609902360618108E-3</v>
      </c>
      <c r="N123" s="201" t="str">
        <f>_xlfn.IFNA(VLOOKUP(A123&amp;"-"&amp;B123&amp;"-"&amp;D123,Ref_Account!$A:$F,6,FALSE),"ACCOUNT TIDAK DITEMUKAN")</f>
        <v>1205.630750</v>
      </c>
      <c r="O123" s="197">
        <f t="shared" si="21"/>
        <v>1</v>
      </c>
      <c r="P123" s="197" t="str">
        <f t="shared" si="25"/>
        <v>OK</v>
      </c>
      <c r="Q123" s="202" t="s">
        <v>528</v>
      </c>
      <c r="R123" s="145"/>
      <c r="AA123" s="148"/>
    </row>
    <row r="124" spans="1:27">
      <c r="A124" s="187" t="s">
        <v>322</v>
      </c>
      <c r="B124" s="188" t="s">
        <v>106</v>
      </c>
      <c r="C124" s="187" t="s">
        <v>107</v>
      </c>
      <c r="D124" s="189" t="s">
        <v>23</v>
      </c>
      <c r="E124" s="189" t="s">
        <v>151</v>
      </c>
      <c r="F124" s="189"/>
      <c r="G124" s="190">
        <v>250</v>
      </c>
      <c r="H124" s="190">
        <v>158.19999999999999</v>
      </c>
      <c r="I124" s="190">
        <f t="shared" si="22"/>
        <v>91.800000000000011</v>
      </c>
      <c r="J124" s="191">
        <f>IFERROR(G124/VLOOKUP(A124,RESUME!$G$3:$I$10,3,FALSE),0)</f>
        <v>1.0087921888494486E-3</v>
      </c>
      <c r="K124" s="190">
        <f t="shared" si="23"/>
        <v>200</v>
      </c>
      <c r="L124" s="190">
        <f t="shared" si="24"/>
        <v>250</v>
      </c>
      <c r="M124" s="192">
        <f t="shared" si="20"/>
        <v>1.2609902360618108E-3</v>
      </c>
      <c r="N124" s="193" t="str">
        <f>_xlfn.IFNA(VLOOKUP(A124&amp;"-"&amp;B124&amp;"-"&amp;D124,Ref_Account!$A:$F,6,FALSE),"ACCOUNT TIDAK DITEMUKAN")</f>
        <v>1205.630720</v>
      </c>
      <c r="O124" s="189">
        <f t="shared" si="21"/>
        <v>1</v>
      </c>
      <c r="P124" s="189" t="str">
        <f t="shared" si="25"/>
        <v>OK</v>
      </c>
      <c r="Q124" s="194" t="s">
        <v>528</v>
      </c>
      <c r="R124" s="145"/>
      <c r="AA124" s="148"/>
    </row>
    <row r="125" spans="1:27">
      <c r="A125" s="195" t="s">
        <v>322</v>
      </c>
      <c r="B125" s="196" t="s">
        <v>110</v>
      </c>
      <c r="C125" s="195" t="s">
        <v>111</v>
      </c>
      <c r="D125" s="197" t="s">
        <v>23</v>
      </c>
      <c r="E125" s="197" t="s">
        <v>151</v>
      </c>
      <c r="F125" s="197"/>
      <c r="G125" s="198">
        <v>250</v>
      </c>
      <c r="H125" s="198">
        <v>471.43</v>
      </c>
      <c r="I125" s="198">
        <f t="shared" si="22"/>
        <v>-221.43</v>
      </c>
      <c r="J125" s="199">
        <f>IFERROR(G125/VLOOKUP(A125,RESUME!$G$3:$I$10,3,FALSE),0)</f>
        <v>1.0087921888494486E-3</v>
      </c>
      <c r="K125" s="198">
        <f t="shared" si="23"/>
        <v>200</v>
      </c>
      <c r="L125" s="198">
        <f t="shared" si="24"/>
        <v>250</v>
      </c>
      <c r="M125" s="200">
        <f t="shared" ref="M125:M156" si="26">IF(L125=0,0,IF(H125&gt;L125,0,L125/IF(H125&gt;=K125,H125,K125)*J125))</f>
        <v>0</v>
      </c>
      <c r="N125" s="201" t="str">
        <f>_xlfn.IFNA(VLOOKUP(A125&amp;"-"&amp;B125&amp;"-"&amp;D125,Ref_Account!$A:$F,6,FALSE),"ACCOUNT TIDAK DITEMUKAN")</f>
        <v>1205.630730</v>
      </c>
      <c r="O125" s="197">
        <f t="shared" ref="O125:O156" si="27">IF(N125="ACCOUNT TIDAK DITEMUKAN","9999",COUNTIF($N$6:$N$170,N125))</f>
        <v>1</v>
      </c>
      <c r="P125" s="197" t="str">
        <f t="shared" si="25"/>
        <v>OVER</v>
      </c>
      <c r="Q125" s="202" t="s">
        <v>572</v>
      </c>
      <c r="R125" s="145"/>
      <c r="AA125" s="148"/>
    </row>
    <row r="126" spans="1:27">
      <c r="A126" s="187" t="s">
        <v>322</v>
      </c>
      <c r="B126" s="188" t="s">
        <v>144</v>
      </c>
      <c r="C126" s="187" t="s">
        <v>145</v>
      </c>
      <c r="D126" s="189" t="s">
        <v>23</v>
      </c>
      <c r="E126" s="189" t="s">
        <v>146</v>
      </c>
      <c r="F126" s="189"/>
      <c r="G126" s="190">
        <v>10800</v>
      </c>
      <c r="H126" s="190"/>
      <c r="I126" s="190">
        <f t="shared" si="22"/>
        <v>10800</v>
      </c>
      <c r="J126" s="191">
        <f>IFERROR(G126/VLOOKUP(A126,RESUME!$G$3:$I$10,3,FALSE),0)</f>
        <v>4.3579822558296184E-2</v>
      </c>
      <c r="K126" s="190">
        <f t="shared" si="23"/>
        <v>8640</v>
      </c>
      <c r="L126" s="190">
        <f t="shared" si="24"/>
        <v>10800</v>
      </c>
      <c r="M126" s="192">
        <f t="shared" si="26"/>
        <v>5.4474778197870229E-2</v>
      </c>
      <c r="N126" s="193" t="str">
        <f>_xlfn.IFNA(VLOOKUP(A126&amp;"-"&amp;B126&amp;"-"&amp;D126,Ref_Account!$A:$F,6,FALSE),"ACCOUNT TIDAK DITEMUKAN")</f>
        <v>1205.801110</v>
      </c>
      <c r="O126" s="189">
        <f t="shared" si="27"/>
        <v>1</v>
      </c>
      <c r="P126" s="189" t="str">
        <f t="shared" si="25"/>
        <v>OK</v>
      </c>
      <c r="Q126" s="194" t="s">
        <v>528</v>
      </c>
      <c r="R126" s="145"/>
      <c r="AA126" s="148"/>
    </row>
    <row r="127" spans="1:27" ht="31.5">
      <c r="A127" s="195" t="s">
        <v>322</v>
      </c>
      <c r="B127" s="196" t="s">
        <v>122</v>
      </c>
      <c r="C127" s="195" t="s">
        <v>123</v>
      </c>
      <c r="D127" s="197" t="s">
        <v>23</v>
      </c>
      <c r="E127" s="197" t="s">
        <v>151</v>
      </c>
      <c r="F127" s="197"/>
      <c r="G127" s="198">
        <v>1500</v>
      </c>
      <c r="H127" s="198">
        <v>3525.46</v>
      </c>
      <c r="I127" s="198">
        <f t="shared" si="22"/>
        <v>-2025.46</v>
      </c>
      <c r="J127" s="199">
        <f>IFERROR(G127/VLOOKUP(A127,RESUME!$G$3:$I$10,3,FALSE),0)</f>
        <v>6.0527531330966918E-3</v>
      </c>
      <c r="K127" s="198">
        <f t="shared" si="23"/>
        <v>1200</v>
      </c>
      <c r="L127" s="198">
        <f t="shared" si="24"/>
        <v>1500</v>
      </c>
      <c r="M127" s="200">
        <f t="shared" si="26"/>
        <v>0</v>
      </c>
      <c r="N127" s="201" t="str">
        <f>_xlfn.IFNA(VLOOKUP(A127&amp;"-"&amp;B127&amp;"-"&amp;D127,Ref_Account!$A:$F,6,FALSE),"ACCOUNT TIDAK DITEMUKAN")</f>
        <v>1205.631110</v>
      </c>
      <c r="O127" s="197">
        <f t="shared" si="27"/>
        <v>1</v>
      </c>
      <c r="P127" s="197" t="str">
        <f t="shared" si="25"/>
        <v>OVER</v>
      </c>
      <c r="Q127" s="202" t="s">
        <v>573</v>
      </c>
      <c r="R127" s="145"/>
      <c r="AA127" s="148"/>
    </row>
    <row r="128" spans="1:27">
      <c r="A128" s="187" t="s">
        <v>322</v>
      </c>
      <c r="B128" s="188" t="s">
        <v>76</v>
      </c>
      <c r="C128" s="187" t="s">
        <v>77</v>
      </c>
      <c r="D128" s="189" t="s">
        <v>14</v>
      </c>
      <c r="E128" s="189" t="s">
        <v>70</v>
      </c>
      <c r="F128" s="189"/>
      <c r="G128" s="190">
        <v>504.76</v>
      </c>
      <c r="H128" s="190"/>
      <c r="I128" s="190">
        <f t="shared" si="22"/>
        <v>504.76</v>
      </c>
      <c r="J128" s="191">
        <f>IFERROR(G128/VLOOKUP(A128,RESUME!$G$3:$I$10,3,FALSE),0)</f>
        <v>2.0367917809745906E-3</v>
      </c>
      <c r="K128" s="190">
        <f t="shared" si="23"/>
        <v>403.80799999999999</v>
      </c>
      <c r="L128" s="190">
        <f t="shared" si="24"/>
        <v>504.76</v>
      </c>
      <c r="M128" s="192">
        <f t="shared" si="26"/>
        <v>2.5459897262182381E-3</v>
      </c>
      <c r="N128" s="193" t="str">
        <f>_xlfn.IFNA(VLOOKUP(A128&amp;"-"&amp;B128&amp;"-"&amp;D128,Ref_Account!$A:$F,6,FALSE),"ACCOUNT TIDAK DITEMUKAN")</f>
        <v>1204.813100</v>
      </c>
      <c r="O128" s="189">
        <f t="shared" si="27"/>
        <v>1</v>
      </c>
      <c r="P128" s="189" t="str">
        <f t="shared" si="25"/>
        <v>OK</v>
      </c>
      <c r="Q128" s="194" t="s">
        <v>528</v>
      </c>
      <c r="R128" s="145"/>
      <c r="AA128" s="148"/>
    </row>
    <row r="129" spans="1:27">
      <c r="A129" s="195" t="s">
        <v>322</v>
      </c>
      <c r="B129" s="196" t="s">
        <v>91</v>
      </c>
      <c r="C129" s="195" t="s">
        <v>92</v>
      </c>
      <c r="D129" s="197" t="s">
        <v>14</v>
      </c>
      <c r="E129" s="197" t="s">
        <v>93</v>
      </c>
      <c r="F129" s="197"/>
      <c r="G129" s="198">
        <v>5702.68</v>
      </c>
      <c r="H129" s="198"/>
      <c r="I129" s="198">
        <f t="shared" si="22"/>
        <v>5702.68</v>
      </c>
      <c r="J129" s="199">
        <f>IFERROR(G129/VLOOKUP(A129,RESUME!$G$3:$I$10,3,FALSE),0)</f>
        <v>2.3011276158031897E-2</v>
      </c>
      <c r="K129" s="198">
        <f t="shared" si="23"/>
        <v>4562.1440000000002</v>
      </c>
      <c r="L129" s="198">
        <f t="shared" si="24"/>
        <v>5702.68</v>
      </c>
      <c r="M129" s="200">
        <f t="shared" si="26"/>
        <v>2.876409519753987E-2</v>
      </c>
      <c r="N129" s="201" t="str">
        <f>_xlfn.IFNA(VLOOKUP(A129&amp;"-"&amp;B129&amp;"-"&amp;D129,Ref_Account!$A:$F,6,FALSE),"ACCOUNT TIDAK DITEMUKAN")</f>
        <v>1204.801160</v>
      </c>
      <c r="O129" s="197">
        <f t="shared" si="27"/>
        <v>1</v>
      </c>
      <c r="P129" s="197" t="str">
        <f t="shared" si="25"/>
        <v>OK</v>
      </c>
      <c r="Q129" s="202" t="s">
        <v>528</v>
      </c>
      <c r="R129" s="145"/>
      <c r="AA129" s="148"/>
    </row>
    <row r="130" spans="1:27">
      <c r="A130" s="187" t="s">
        <v>322</v>
      </c>
      <c r="B130" s="188" t="s">
        <v>100</v>
      </c>
      <c r="C130" s="187" t="s">
        <v>101</v>
      </c>
      <c r="D130" s="189" t="s">
        <v>14</v>
      </c>
      <c r="E130" s="189" t="s">
        <v>73</v>
      </c>
      <c r="F130" s="189"/>
      <c r="G130" s="190">
        <v>700</v>
      </c>
      <c r="H130" s="190">
        <v>443.59</v>
      </c>
      <c r="I130" s="190">
        <f t="shared" si="22"/>
        <v>256.41000000000003</v>
      </c>
      <c r="J130" s="191">
        <f>IFERROR(G130/VLOOKUP(A130,RESUME!$G$3:$I$10,3,FALSE),0)</f>
        <v>2.8246181287784563E-3</v>
      </c>
      <c r="K130" s="190">
        <f t="shared" si="23"/>
        <v>560</v>
      </c>
      <c r="L130" s="190">
        <f t="shared" si="24"/>
        <v>700</v>
      </c>
      <c r="M130" s="192">
        <f t="shared" si="26"/>
        <v>3.5307726609730703E-3</v>
      </c>
      <c r="N130" s="193" t="str">
        <f>_xlfn.IFNA(VLOOKUP(A130&amp;"-"&amp;B130&amp;"-"&amp;D130,Ref_Account!$A:$F,6,FALSE),"ACCOUNT TIDAK DITEMUKAN")</f>
        <v>1204.630710</v>
      </c>
      <c r="O130" s="189">
        <f t="shared" si="27"/>
        <v>1</v>
      </c>
      <c r="P130" s="189" t="str">
        <f t="shared" si="25"/>
        <v>OK</v>
      </c>
      <c r="Q130" s="194" t="s">
        <v>528</v>
      </c>
      <c r="R130" s="145"/>
      <c r="AA130" s="148"/>
    </row>
    <row r="131" spans="1:27">
      <c r="A131" s="195" t="s">
        <v>322</v>
      </c>
      <c r="B131" s="196" t="s">
        <v>112</v>
      </c>
      <c r="C131" s="195" t="s">
        <v>113</v>
      </c>
      <c r="D131" s="197" t="s">
        <v>14</v>
      </c>
      <c r="E131" s="197" t="s">
        <v>73</v>
      </c>
      <c r="F131" s="197"/>
      <c r="G131" s="198">
        <v>300</v>
      </c>
      <c r="H131" s="198"/>
      <c r="I131" s="198">
        <f t="shared" si="22"/>
        <v>300</v>
      </c>
      <c r="J131" s="199">
        <f>IFERROR(G131/VLOOKUP(A131,RESUME!$G$3:$I$10,3,FALSE),0)</f>
        <v>1.2105506266193384E-3</v>
      </c>
      <c r="K131" s="198">
        <f t="shared" si="23"/>
        <v>240</v>
      </c>
      <c r="L131" s="198">
        <f t="shared" si="24"/>
        <v>300</v>
      </c>
      <c r="M131" s="200">
        <f t="shared" si="26"/>
        <v>1.5131882832741729E-3</v>
      </c>
      <c r="N131" s="201" t="str">
        <f>_xlfn.IFNA(VLOOKUP(A131&amp;"-"&amp;B131&amp;"-"&amp;D131,Ref_Account!$A:$F,6,FALSE),"ACCOUNT TIDAK DITEMUKAN")</f>
        <v>1204.630740</v>
      </c>
      <c r="O131" s="197">
        <f t="shared" si="27"/>
        <v>1</v>
      </c>
      <c r="P131" s="197" t="str">
        <f t="shared" si="25"/>
        <v>OK</v>
      </c>
      <c r="Q131" s="202" t="s">
        <v>528</v>
      </c>
      <c r="R131" s="145"/>
      <c r="AA131" s="148"/>
    </row>
    <row r="132" spans="1:27" ht="31.5">
      <c r="A132" s="187" t="s">
        <v>322</v>
      </c>
      <c r="B132" s="188" t="s">
        <v>116</v>
      </c>
      <c r="C132" s="187" t="s">
        <v>117</v>
      </c>
      <c r="D132" s="189" t="s">
        <v>14</v>
      </c>
      <c r="E132" s="189" t="s">
        <v>93</v>
      </c>
      <c r="F132" s="189"/>
      <c r="G132" s="190">
        <v>3500</v>
      </c>
      <c r="H132" s="190">
        <v>4436.3599999999997</v>
      </c>
      <c r="I132" s="190">
        <f t="shared" si="22"/>
        <v>-936.35999999999967</v>
      </c>
      <c r="J132" s="191">
        <f>IFERROR(G132/VLOOKUP(A132,RESUME!$G$3:$I$10,3,FALSE),0)</f>
        <v>1.4123090643892281E-2</v>
      </c>
      <c r="K132" s="190">
        <f t="shared" si="23"/>
        <v>2800</v>
      </c>
      <c r="L132" s="190">
        <f t="shared" si="24"/>
        <v>3500</v>
      </c>
      <c r="M132" s="192">
        <f t="shared" si="26"/>
        <v>0</v>
      </c>
      <c r="N132" s="193" t="str">
        <f>_xlfn.IFNA(VLOOKUP(A132&amp;"-"&amp;B132&amp;"-"&amp;D132,Ref_Account!$A:$F,6,FALSE),"ACCOUNT TIDAK DITEMUKAN")</f>
        <v>1204.630130</v>
      </c>
      <c r="O132" s="189">
        <f t="shared" si="27"/>
        <v>1</v>
      </c>
      <c r="P132" s="189" t="str">
        <f t="shared" si="25"/>
        <v>OVER</v>
      </c>
      <c r="Q132" s="194" t="s">
        <v>574</v>
      </c>
      <c r="R132" s="145"/>
      <c r="AA132" s="148"/>
    </row>
    <row r="133" spans="1:27">
      <c r="A133" s="195" t="s">
        <v>322</v>
      </c>
      <c r="B133" s="196" t="s">
        <v>128</v>
      </c>
      <c r="C133" s="195" t="s">
        <v>154</v>
      </c>
      <c r="D133" s="197" t="s">
        <v>14</v>
      </c>
      <c r="E133" s="197" t="s">
        <v>73</v>
      </c>
      <c r="F133" s="197"/>
      <c r="G133" s="198">
        <v>512.71</v>
      </c>
      <c r="H133" s="198"/>
      <c r="I133" s="198">
        <f t="shared" si="22"/>
        <v>512.71</v>
      </c>
      <c r="J133" s="199">
        <f>IFERROR(G133/VLOOKUP(A133,RESUME!$G$3:$I$10,3,FALSE),0)</f>
        <v>2.0688713725800032E-3</v>
      </c>
      <c r="K133" s="198">
        <f t="shared" si="23"/>
        <v>410.16800000000006</v>
      </c>
      <c r="L133" s="198">
        <f t="shared" si="24"/>
        <v>512.71</v>
      </c>
      <c r="M133" s="200">
        <f t="shared" si="26"/>
        <v>2.586089215725004E-3</v>
      </c>
      <c r="N133" s="201" t="str">
        <f>_xlfn.IFNA(VLOOKUP(A133&amp;"-"&amp;B133&amp;"-"&amp;D133,Ref_Account!$A:$F,6,FALSE),"ACCOUNT TIDAK DITEMUKAN")</f>
        <v>1204.815110</v>
      </c>
      <c r="O133" s="197">
        <f t="shared" si="27"/>
        <v>1</v>
      </c>
      <c r="P133" s="197" t="str">
        <f t="shared" si="25"/>
        <v>OK</v>
      </c>
      <c r="Q133" s="202" t="s">
        <v>528</v>
      </c>
      <c r="R133" s="145"/>
      <c r="AA133" s="148"/>
    </row>
    <row r="134" spans="1:27">
      <c r="A134" s="187" t="s">
        <v>322</v>
      </c>
      <c r="B134" s="188" t="s">
        <v>20</v>
      </c>
      <c r="C134" s="187" t="s">
        <v>150</v>
      </c>
      <c r="D134" s="189" t="s">
        <v>14</v>
      </c>
      <c r="E134" s="189" t="s">
        <v>73</v>
      </c>
      <c r="F134" s="189"/>
      <c r="G134" s="190">
        <v>754.58</v>
      </c>
      <c r="H134" s="190">
        <v>729.12999999999988</v>
      </c>
      <c r="I134" s="190">
        <f t="shared" si="22"/>
        <v>25.450000000000159</v>
      </c>
      <c r="J134" s="191">
        <f>IFERROR(G134/VLOOKUP(A134,RESUME!$G$3:$I$10,3,FALSE),0)</f>
        <v>3.0448576394480681E-3</v>
      </c>
      <c r="K134" s="190">
        <f t="shared" si="23"/>
        <v>603.6640000000001</v>
      </c>
      <c r="L134" s="190">
        <f t="shared" si="24"/>
        <v>754.58</v>
      </c>
      <c r="M134" s="192">
        <f t="shared" si="26"/>
        <v>3.1511372150024326E-3</v>
      </c>
      <c r="N134" s="193" t="str">
        <f>_xlfn.IFNA(VLOOKUP(A134&amp;"-"&amp;B134&amp;"-"&amp;D134,Ref_Account!$A:$F,6,FALSE),"ACCOUNT TIDAK DITEMUKAN")</f>
        <v>1204.631100</v>
      </c>
      <c r="O134" s="189">
        <f t="shared" si="27"/>
        <v>3</v>
      </c>
      <c r="P134" s="189" t="str">
        <f t="shared" si="25"/>
        <v>OK</v>
      </c>
      <c r="Q134" s="194" t="s">
        <v>528</v>
      </c>
      <c r="R134" s="145"/>
      <c r="AA134" s="148"/>
    </row>
    <row r="135" spans="1:27" ht="31.5">
      <c r="A135" s="195" t="s">
        <v>322</v>
      </c>
      <c r="B135" s="196" t="s">
        <v>66</v>
      </c>
      <c r="C135" s="195" t="s">
        <v>67</v>
      </c>
      <c r="D135" s="197" t="s">
        <v>14</v>
      </c>
      <c r="E135" s="197" t="s">
        <v>155</v>
      </c>
      <c r="F135" s="197"/>
      <c r="G135" s="198"/>
      <c r="H135" s="198">
        <v>529.23</v>
      </c>
      <c r="I135" s="198">
        <f t="shared" si="22"/>
        <v>-529.23</v>
      </c>
      <c r="J135" s="199">
        <f>IFERROR(G135/VLOOKUP(A135,RESUME!$G$3:$I$10,3,FALSE),0)</f>
        <v>0</v>
      </c>
      <c r="K135" s="198">
        <f t="shared" si="23"/>
        <v>0</v>
      </c>
      <c r="L135" s="198">
        <f t="shared" si="24"/>
        <v>0</v>
      </c>
      <c r="M135" s="200">
        <f t="shared" si="26"/>
        <v>0</v>
      </c>
      <c r="N135" s="201" t="str">
        <f>_xlfn.IFNA(VLOOKUP(A135&amp;"-"&amp;B135&amp;"-"&amp;D135,Ref_Account!$A:$F,6,FALSE),"ACCOUNT TIDAK DITEMUKAN")</f>
        <v>1204.720500</v>
      </c>
      <c r="O135" s="197">
        <f t="shared" si="27"/>
        <v>1</v>
      </c>
      <c r="P135" s="197" t="str">
        <f t="shared" si="25"/>
        <v>OVER</v>
      </c>
      <c r="Q135" s="202" t="s">
        <v>575</v>
      </c>
      <c r="R135" s="145"/>
      <c r="AA135" s="148"/>
    </row>
    <row r="136" spans="1:27">
      <c r="A136" s="187" t="s">
        <v>322</v>
      </c>
      <c r="B136" s="188" t="s">
        <v>68</v>
      </c>
      <c r="C136" s="187" t="s">
        <v>69</v>
      </c>
      <c r="D136" s="189" t="s">
        <v>14</v>
      </c>
      <c r="E136" s="189" t="s">
        <v>70</v>
      </c>
      <c r="F136" s="189"/>
      <c r="G136" s="190">
        <v>5672.9500000000007</v>
      </c>
      <c r="H136" s="190">
        <v>2872.63</v>
      </c>
      <c r="I136" s="190">
        <f t="shared" si="22"/>
        <v>2800.3200000000006</v>
      </c>
      <c r="J136" s="191">
        <f>IFERROR(G136/VLOOKUP(A136,RESUME!$G$3:$I$10,3,FALSE),0)</f>
        <v>2.2891310590933921E-2</v>
      </c>
      <c r="K136" s="190">
        <f t="shared" si="23"/>
        <v>4538.3600000000006</v>
      </c>
      <c r="L136" s="190">
        <f t="shared" si="24"/>
        <v>5672.9500000000007</v>
      </c>
      <c r="M136" s="192">
        <f t="shared" si="26"/>
        <v>2.8614138238667403E-2</v>
      </c>
      <c r="N136" s="193" t="str">
        <f>_xlfn.IFNA(VLOOKUP(A136&amp;"-"&amp;B136&amp;"-"&amp;D136,Ref_Account!$A:$F,6,FALSE),"ACCOUNT TIDAK DITEMUKAN")</f>
        <v>1204.812100</v>
      </c>
      <c r="O136" s="189">
        <f t="shared" si="27"/>
        <v>1</v>
      </c>
      <c r="P136" s="189" t="str">
        <f t="shared" si="25"/>
        <v>OK</v>
      </c>
      <c r="Q136" s="194" t="s">
        <v>528</v>
      </c>
      <c r="R136" s="145"/>
      <c r="AA136" s="148"/>
    </row>
    <row r="137" spans="1:27" ht="31.5">
      <c r="A137" s="195" t="s">
        <v>322</v>
      </c>
      <c r="B137" s="196" t="s">
        <v>74</v>
      </c>
      <c r="C137" s="195" t="s">
        <v>75</v>
      </c>
      <c r="D137" s="197" t="s">
        <v>14</v>
      </c>
      <c r="E137" s="197" t="s">
        <v>73</v>
      </c>
      <c r="F137" s="197"/>
      <c r="G137" s="198">
        <v>4918.54</v>
      </c>
      <c r="H137" s="198">
        <v>5107.6000000000004</v>
      </c>
      <c r="I137" s="198">
        <f t="shared" si="22"/>
        <v>-189.0600000000004</v>
      </c>
      <c r="J137" s="199">
        <f>IFERROR(G137/VLOOKUP(A137,RESUME!$G$3:$I$10,3,FALSE),0)</f>
        <v>1.9847138930174268E-2</v>
      </c>
      <c r="K137" s="198">
        <f t="shared" si="23"/>
        <v>3934.8320000000003</v>
      </c>
      <c r="L137" s="198">
        <f t="shared" si="24"/>
        <v>4918.54</v>
      </c>
      <c r="M137" s="200">
        <f t="shared" si="26"/>
        <v>0</v>
      </c>
      <c r="N137" s="201" t="str">
        <f>_xlfn.IFNA(VLOOKUP(A137&amp;"-"&amp;B137&amp;"-"&amp;D137,Ref_Account!$A:$F,6,FALSE),"ACCOUNT TIDAK DITEMUKAN")</f>
        <v>1204.630400</v>
      </c>
      <c r="O137" s="197">
        <f t="shared" si="27"/>
        <v>1</v>
      </c>
      <c r="P137" s="197" t="str">
        <f t="shared" si="25"/>
        <v>OVER</v>
      </c>
      <c r="Q137" s="202" t="s">
        <v>576</v>
      </c>
      <c r="R137" s="145"/>
      <c r="AA137" s="148"/>
    </row>
    <row r="138" spans="1:27">
      <c r="A138" s="187" t="s">
        <v>322</v>
      </c>
      <c r="B138" s="188" t="s">
        <v>78</v>
      </c>
      <c r="C138" s="187" t="s">
        <v>79</v>
      </c>
      <c r="D138" s="189" t="s">
        <v>14</v>
      </c>
      <c r="E138" s="189" t="s">
        <v>156</v>
      </c>
      <c r="F138" s="189"/>
      <c r="G138" s="190">
        <v>1600</v>
      </c>
      <c r="H138" s="190">
        <v>436.66</v>
      </c>
      <c r="I138" s="190">
        <f t="shared" si="22"/>
        <v>1163.3399999999999</v>
      </c>
      <c r="J138" s="191">
        <f>IFERROR(G138/VLOOKUP(A138,RESUME!$G$3:$I$10,3,FALSE),0)</f>
        <v>6.4562700086364709E-3</v>
      </c>
      <c r="K138" s="190">
        <f t="shared" si="23"/>
        <v>1280</v>
      </c>
      <c r="L138" s="190">
        <f t="shared" si="24"/>
        <v>1600</v>
      </c>
      <c r="M138" s="192">
        <f t="shared" si="26"/>
        <v>8.0703375107955885E-3</v>
      </c>
      <c r="N138" s="193" t="str">
        <f>_xlfn.IFNA(VLOOKUP(A138&amp;"-"&amp;B138&amp;"-"&amp;D138,Ref_Account!$A:$F,6,FALSE),"ACCOUNT TIDAK DITEMUKAN")</f>
        <v>1204.630300</v>
      </c>
      <c r="O138" s="189">
        <f t="shared" si="27"/>
        <v>1</v>
      </c>
      <c r="P138" s="189" t="str">
        <f t="shared" si="25"/>
        <v>OK</v>
      </c>
      <c r="Q138" s="194" t="s">
        <v>528</v>
      </c>
      <c r="R138" s="145"/>
      <c r="AA138" s="148"/>
    </row>
    <row r="139" spans="1:27">
      <c r="A139" s="195" t="s">
        <v>322</v>
      </c>
      <c r="B139" s="196" t="s">
        <v>152</v>
      </c>
      <c r="C139" s="195" t="s">
        <v>82</v>
      </c>
      <c r="D139" s="197" t="s">
        <v>14</v>
      </c>
      <c r="E139" s="197" t="s">
        <v>73</v>
      </c>
      <c r="F139" s="197"/>
      <c r="G139" s="198">
        <v>3106.38</v>
      </c>
      <c r="H139" s="198">
        <v>160.61000000000001</v>
      </c>
      <c r="I139" s="198">
        <f t="shared" ref="I139:I168" si="28">G139-H139</f>
        <v>2945.77</v>
      </c>
      <c r="J139" s="199">
        <f>IFERROR(G139/VLOOKUP(A139,RESUME!$G$3:$I$10,3,FALSE),0)</f>
        <v>1.2534767518392602E-2</v>
      </c>
      <c r="K139" s="198">
        <f t="shared" ref="K139:K168" si="29">G139*$K$4</f>
        <v>2485.1040000000003</v>
      </c>
      <c r="L139" s="198">
        <f t="shared" ref="L139:L168" si="30">G139*$L$4</f>
        <v>3106.38</v>
      </c>
      <c r="M139" s="200">
        <f t="shared" si="26"/>
        <v>1.5668459397990754E-2</v>
      </c>
      <c r="N139" s="201" t="str">
        <f>_xlfn.IFNA(VLOOKUP(A139&amp;"-"&amp;B139&amp;"-"&amp;D139,Ref_Account!$A:$F,6,FALSE),"ACCOUNT TIDAK DITEMUKAN")</f>
        <v>1204.630200</v>
      </c>
      <c r="O139" s="197">
        <f t="shared" si="27"/>
        <v>1</v>
      </c>
      <c r="P139" s="197" t="str">
        <f t="shared" ref="P139:P168" si="31">IF(I139&gt;0,"OK","OVER")</f>
        <v>OK</v>
      </c>
      <c r="Q139" s="202" t="s">
        <v>528</v>
      </c>
      <c r="R139" s="145"/>
      <c r="AA139" s="148"/>
    </row>
    <row r="140" spans="1:27">
      <c r="A140" s="187" t="s">
        <v>322</v>
      </c>
      <c r="B140" s="188" t="s">
        <v>94</v>
      </c>
      <c r="C140" s="187" t="s">
        <v>95</v>
      </c>
      <c r="D140" s="189" t="s">
        <v>14</v>
      </c>
      <c r="E140" s="189" t="s">
        <v>155</v>
      </c>
      <c r="F140" s="189"/>
      <c r="G140" s="190">
        <v>97892.700000000012</v>
      </c>
      <c r="H140" s="190">
        <v>901.66</v>
      </c>
      <c r="I140" s="190">
        <f t="shared" si="28"/>
        <v>96991.040000000008</v>
      </c>
      <c r="J140" s="191">
        <f>IFERROR(G140/VLOOKUP(A140,RESUME!$G$3:$I$10,3,FALSE),0)</f>
        <v>0.39501356442152974</v>
      </c>
      <c r="K140" s="190">
        <f t="shared" si="29"/>
        <v>78314.160000000018</v>
      </c>
      <c r="L140" s="190">
        <f t="shared" si="30"/>
        <v>97892.700000000012</v>
      </c>
      <c r="M140" s="192">
        <f t="shared" si="26"/>
        <v>0.49376695552691208</v>
      </c>
      <c r="N140" s="193" t="str">
        <f>_xlfn.IFNA(VLOOKUP(A140&amp;"-"&amp;B140&amp;"-"&amp;D140,Ref_Account!$A:$F,6,FALSE),"ACCOUNT TIDAK DITEMUKAN")</f>
        <v>1204.630110</v>
      </c>
      <c r="O140" s="189">
        <f t="shared" si="27"/>
        <v>1</v>
      </c>
      <c r="P140" s="189" t="str">
        <f t="shared" si="31"/>
        <v>OK</v>
      </c>
      <c r="Q140" s="194" t="s">
        <v>528</v>
      </c>
      <c r="R140" s="145"/>
      <c r="AA140" s="148"/>
    </row>
    <row r="141" spans="1:27">
      <c r="A141" s="195" t="s">
        <v>322</v>
      </c>
      <c r="B141" s="196" t="s">
        <v>102</v>
      </c>
      <c r="C141" s="195" t="s">
        <v>103</v>
      </c>
      <c r="D141" s="197" t="s">
        <v>14</v>
      </c>
      <c r="E141" s="197" t="s">
        <v>156</v>
      </c>
      <c r="F141" s="197"/>
      <c r="G141" s="198">
        <v>300</v>
      </c>
      <c r="H141" s="198"/>
      <c r="I141" s="198">
        <f t="shared" si="28"/>
        <v>300</v>
      </c>
      <c r="J141" s="199">
        <f>IFERROR(G141/VLOOKUP(A141,RESUME!$G$3:$I$10,3,FALSE),0)</f>
        <v>1.2105506266193384E-3</v>
      </c>
      <c r="K141" s="198">
        <f t="shared" si="29"/>
        <v>240</v>
      </c>
      <c r="L141" s="198">
        <f t="shared" si="30"/>
        <v>300</v>
      </c>
      <c r="M141" s="200">
        <f t="shared" si="26"/>
        <v>1.5131882832741729E-3</v>
      </c>
      <c r="N141" s="201" t="str">
        <f>_xlfn.IFNA(VLOOKUP(A141&amp;"-"&amp;B141&amp;"-"&amp;D141,Ref_Account!$A:$F,6,FALSE),"ACCOUNT TIDAK DITEMUKAN")</f>
        <v>1204.630770</v>
      </c>
      <c r="O141" s="197">
        <f t="shared" si="27"/>
        <v>1</v>
      </c>
      <c r="P141" s="197" t="str">
        <f t="shared" si="31"/>
        <v>OK</v>
      </c>
      <c r="Q141" s="202" t="s">
        <v>528</v>
      </c>
      <c r="R141" s="145"/>
      <c r="AA141" s="148"/>
    </row>
    <row r="142" spans="1:27">
      <c r="A142" s="187" t="s">
        <v>322</v>
      </c>
      <c r="B142" s="188" t="s">
        <v>104</v>
      </c>
      <c r="C142" s="187" t="s">
        <v>105</v>
      </c>
      <c r="D142" s="189" t="s">
        <v>14</v>
      </c>
      <c r="E142" s="189" t="s">
        <v>156</v>
      </c>
      <c r="F142" s="189"/>
      <c r="G142" s="190">
        <v>300</v>
      </c>
      <c r="H142" s="190"/>
      <c r="I142" s="190">
        <f t="shared" si="28"/>
        <v>300</v>
      </c>
      <c r="J142" s="191">
        <f>IFERROR(G142/VLOOKUP(A142,RESUME!$G$3:$I$10,3,FALSE),0)</f>
        <v>1.2105506266193384E-3</v>
      </c>
      <c r="K142" s="190">
        <f t="shared" si="29"/>
        <v>240</v>
      </c>
      <c r="L142" s="190">
        <f t="shared" si="30"/>
        <v>300</v>
      </c>
      <c r="M142" s="192">
        <f t="shared" si="26"/>
        <v>1.5131882832741729E-3</v>
      </c>
      <c r="N142" s="193" t="str">
        <f>_xlfn.IFNA(VLOOKUP(A142&amp;"-"&amp;B142&amp;"-"&amp;D142,Ref_Account!$A:$F,6,FALSE),"ACCOUNT TIDAK DITEMUKAN")</f>
        <v>1204.630750</v>
      </c>
      <c r="O142" s="189">
        <f t="shared" si="27"/>
        <v>1</v>
      </c>
      <c r="P142" s="189" t="str">
        <f t="shared" si="31"/>
        <v>OK</v>
      </c>
      <c r="Q142" s="194" t="s">
        <v>528</v>
      </c>
      <c r="R142" s="145"/>
      <c r="AA142" s="148"/>
    </row>
    <row r="143" spans="1:27">
      <c r="A143" s="195" t="s">
        <v>322</v>
      </c>
      <c r="B143" s="196" t="s">
        <v>106</v>
      </c>
      <c r="C143" s="195" t="s">
        <v>107</v>
      </c>
      <c r="D143" s="197" t="s">
        <v>14</v>
      </c>
      <c r="E143" s="197" t="s">
        <v>156</v>
      </c>
      <c r="F143" s="197"/>
      <c r="G143" s="198">
        <v>300</v>
      </c>
      <c r="H143" s="198">
        <v>538.35</v>
      </c>
      <c r="I143" s="198">
        <f t="shared" si="28"/>
        <v>-238.35000000000002</v>
      </c>
      <c r="J143" s="199">
        <f>IFERROR(G143/VLOOKUP(A143,RESUME!$G$3:$I$10,3,FALSE),0)</f>
        <v>1.2105506266193384E-3</v>
      </c>
      <c r="K143" s="198">
        <f t="shared" si="29"/>
        <v>240</v>
      </c>
      <c r="L143" s="198">
        <f t="shared" si="30"/>
        <v>300</v>
      </c>
      <c r="M143" s="200">
        <f t="shared" si="26"/>
        <v>0</v>
      </c>
      <c r="N143" s="201" t="str">
        <f>_xlfn.IFNA(VLOOKUP(A143&amp;"-"&amp;B143&amp;"-"&amp;D143,Ref_Account!$A:$F,6,FALSE),"ACCOUNT TIDAK DITEMUKAN")</f>
        <v>1204.630720</v>
      </c>
      <c r="O143" s="197">
        <f t="shared" si="27"/>
        <v>1</v>
      </c>
      <c r="P143" s="197" t="str">
        <f t="shared" si="31"/>
        <v>OVER</v>
      </c>
      <c r="Q143" s="202" t="s">
        <v>577</v>
      </c>
      <c r="R143" s="145"/>
      <c r="AA143" s="148"/>
    </row>
    <row r="144" spans="1:27">
      <c r="A144" s="187" t="s">
        <v>322</v>
      </c>
      <c r="B144" s="188" t="s">
        <v>110</v>
      </c>
      <c r="C144" s="187" t="s">
        <v>111</v>
      </c>
      <c r="D144" s="189" t="s">
        <v>14</v>
      </c>
      <c r="E144" s="189" t="s">
        <v>156</v>
      </c>
      <c r="F144" s="189"/>
      <c r="G144" s="190">
        <v>300</v>
      </c>
      <c r="H144" s="190">
        <v>120.24</v>
      </c>
      <c r="I144" s="190">
        <f t="shared" si="28"/>
        <v>179.76</v>
      </c>
      <c r="J144" s="191">
        <f>IFERROR(G144/VLOOKUP(A144,RESUME!$G$3:$I$10,3,FALSE),0)</f>
        <v>1.2105506266193384E-3</v>
      </c>
      <c r="K144" s="190">
        <f t="shared" si="29"/>
        <v>240</v>
      </c>
      <c r="L144" s="190">
        <f t="shared" si="30"/>
        <v>300</v>
      </c>
      <c r="M144" s="192">
        <f t="shared" si="26"/>
        <v>1.5131882832741729E-3</v>
      </c>
      <c r="N144" s="193" t="str">
        <f>_xlfn.IFNA(VLOOKUP(A144&amp;"-"&amp;B144&amp;"-"&amp;D144,Ref_Account!$A:$F,6,FALSE),"ACCOUNT TIDAK DITEMUKAN")</f>
        <v>1204.630730</v>
      </c>
      <c r="O144" s="189">
        <f t="shared" si="27"/>
        <v>1</v>
      </c>
      <c r="P144" s="189" t="str">
        <f t="shared" si="31"/>
        <v>OK</v>
      </c>
      <c r="Q144" s="194" t="s">
        <v>528</v>
      </c>
      <c r="R144" s="145"/>
      <c r="AA144" s="148"/>
    </row>
    <row r="145" spans="1:27" ht="31.5">
      <c r="A145" s="195" t="s">
        <v>322</v>
      </c>
      <c r="B145" s="196" t="s">
        <v>122</v>
      </c>
      <c r="C145" s="195" t="s">
        <v>123</v>
      </c>
      <c r="D145" s="197" t="s">
        <v>14</v>
      </c>
      <c r="E145" s="197" t="s">
        <v>156</v>
      </c>
      <c r="F145" s="197"/>
      <c r="G145" s="198">
        <v>2346.61</v>
      </c>
      <c r="H145" s="198">
        <v>4045.48</v>
      </c>
      <c r="I145" s="198">
        <f t="shared" si="28"/>
        <v>-1698.87</v>
      </c>
      <c r="J145" s="199">
        <f>IFERROR(G145/VLOOKUP(A145,RESUME!$G$3:$I$10,3,FALSE),0)</f>
        <v>9.46896735310402E-3</v>
      </c>
      <c r="K145" s="198">
        <f t="shared" si="29"/>
        <v>1877.2880000000002</v>
      </c>
      <c r="L145" s="198">
        <f t="shared" si="30"/>
        <v>2346.61</v>
      </c>
      <c r="M145" s="200">
        <f t="shared" si="26"/>
        <v>0</v>
      </c>
      <c r="N145" s="201" t="str">
        <f>_xlfn.IFNA(VLOOKUP(A145&amp;"-"&amp;B145&amp;"-"&amp;D145,Ref_Account!$A:$F,6,FALSE),"ACCOUNT TIDAK DITEMUKAN")</f>
        <v>1204.631110</v>
      </c>
      <c r="O145" s="197">
        <f t="shared" si="27"/>
        <v>1</v>
      </c>
      <c r="P145" s="197" t="str">
        <f t="shared" si="31"/>
        <v>OVER</v>
      </c>
      <c r="Q145" s="202" t="s">
        <v>578</v>
      </c>
      <c r="R145" s="145"/>
      <c r="AA145" s="148"/>
    </row>
    <row r="146" spans="1:27">
      <c r="A146" s="187" t="s">
        <v>322</v>
      </c>
      <c r="B146" s="188" t="s">
        <v>124</v>
      </c>
      <c r="C146" s="187" t="s">
        <v>125</v>
      </c>
      <c r="D146" s="189" t="s">
        <v>14</v>
      </c>
      <c r="E146" s="189" t="s">
        <v>156</v>
      </c>
      <c r="F146" s="189"/>
      <c r="G146" s="190">
        <v>483</v>
      </c>
      <c r="H146" s="190"/>
      <c r="I146" s="190">
        <f t="shared" si="28"/>
        <v>483</v>
      </c>
      <c r="J146" s="191">
        <f>IFERROR(G146/VLOOKUP(A146,RESUME!$G$3:$I$10,3,FALSE),0)</f>
        <v>1.9489865088571348E-3</v>
      </c>
      <c r="K146" s="190">
        <f t="shared" si="29"/>
        <v>386.40000000000003</v>
      </c>
      <c r="L146" s="190">
        <f t="shared" si="30"/>
        <v>483</v>
      </c>
      <c r="M146" s="192">
        <f t="shared" si="26"/>
        <v>2.4362331360714183E-3</v>
      </c>
      <c r="N146" s="193" t="str">
        <f>_xlfn.IFNA(VLOOKUP(A146&amp;"-"&amp;B146&amp;"-"&amp;D146,Ref_Account!$A:$F,6,FALSE),"ACCOUNT TIDAK DITEMUKAN")</f>
        <v>1204.631140</v>
      </c>
      <c r="O146" s="189">
        <f t="shared" si="27"/>
        <v>1</v>
      </c>
      <c r="P146" s="189" t="str">
        <f t="shared" si="31"/>
        <v>OK</v>
      </c>
      <c r="Q146" s="194" t="s">
        <v>528</v>
      </c>
      <c r="R146" s="145"/>
      <c r="AA146" s="148"/>
    </row>
    <row r="147" spans="1:27">
      <c r="A147" s="187" t="s">
        <v>139</v>
      </c>
      <c r="B147" s="188" t="s">
        <v>91</v>
      </c>
      <c r="C147" s="187" t="s">
        <v>92</v>
      </c>
      <c r="D147" s="189" t="s">
        <v>99</v>
      </c>
      <c r="E147" s="189" t="s">
        <v>93</v>
      </c>
      <c r="F147" s="189"/>
      <c r="G147" s="190">
        <v>2736.7799999999997</v>
      </c>
      <c r="H147" s="190"/>
      <c r="I147" s="190">
        <f t="shared" si="28"/>
        <v>2736.7799999999997</v>
      </c>
      <c r="J147" s="191">
        <f>IFERROR(G147/VLOOKUP(A147,RESUME!$G$3:$I$10,3,FALSE),0)</f>
        <v>2.7232510432328692E-2</v>
      </c>
      <c r="K147" s="190">
        <f t="shared" si="29"/>
        <v>2189.424</v>
      </c>
      <c r="L147" s="190">
        <f t="shared" si="30"/>
        <v>2736.7799999999997</v>
      </c>
      <c r="M147" s="192">
        <f t="shared" si="26"/>
        <v>3.4040638040410867E-2</v>
      </c>
      <c r="N147" s="193" t="str">
        <f>_xlfn.IFNA(VLOOKUP(A147&amp;"-"&amp;B147&amp;"-"&amp;D147,Ref_Account!$A:$F,6,FALSE),"ACCOUNT TIDAK DITEMUKAN")</f>
        <v>1206.801160</v>
      </c>
      <c r="O147" s="189">
        <f t="shared" si="27"/>
        <v>1</v>
      </c>
      <c r="P147" s="189" t="str">
        <f t="shared" si="31"/>
        <v>OK</v>
      </c>
      <c r="Q147" s="194" t="s">
        <v>528</v>
      </c>
      <c r="R147" s="145"/>
      <c r="AA147" s="148"/>
    </row>
    <row r="148" spans="1:27">
      <c r="A148" s="195" t="s">
        <v>139</v>
      </c>
      <c r="B148" s="196" t="s">
        <v>100</v>
      </c>
      <c r="C148" s="195" t="s">
        <v>101</v>
      </c>
      <c r="D148" s="197" t="s">
        <v>99</v>
      </c>
      <c r="E148" s="197" t="s">
        <v>73</v>
      </c>
      <c r="F148" s="197"/>
      <c r="G148" s="198">
        <v>200</v>
      </c>
      <c r="H148" s="198"/>
      <c r="I148" s="198">
        <f t="shared" si="28"/>
        <v>200</v>
      </c>
      <c r="J148" s="199">
        <f>IFERROR(G148/VLOOKUP(A148,RESUME!$G$3:$I$10,3,FALSE),0)</f>
        <v>1.990113230316554E-3</v>
      </c>
      <c r="K148" s="198">
        <f t="shared" si="29"/>
        <v>160</v>
      </c>
      <c r="L148" s="198">
        <f t="shared" si="30"/>
        <v>200</v>
      </c>
      <c r="M148" s="200">
        <f t="shared" si="26"/>
        <v>2.4876415378956925E-3</v>
      </c>
      <c r="N148" s="201" t="str">
        <f>_xlfn.IFNA(VLOOKUP(A148&amp;"-"&amp;B148&amp;"-"&amp;D148,Ref_Account!$A:$F,6,FALSE),"ACCOUNT TIDAK DITEMUKAN")</f>
        <v>1206.630710</v>
      </c>
      <c r="O148" s="197">
        <f t="shared" si="27"/>
        <v>1</v>
      </c>
      <c r="P148" s="197" t="str">
        <f t="shared" si="31"/>
        <v>OK</v>
      </c>
      <c r="Q148" s="202" t="s">
        <v>528</v>
      </c>
      <c r="R148" s="145"/>
      <c r="AA148" s="148"/>
    </row>
    <row r="149" spans="1:27">
      <c r="A149" s="187" t="s">
        <v>139</v>
      </c>
      <c r="B149" s="188" t="s">
        <v>116</v>
      </c>
      <c r="C149" s="187" t="s">
        <v>117</v>
      </c>
      <c r="D149" s="189" t="s">
        <v>99</v>
      </c>
      <c r="E149" s="189" t="s">
        <v>93</v>
      </c>
      <c r="F149" s="189"/>
      <c r="G149" s="190">
        <v>1460</v>
      </c>
      <c r="H149" s="190">
        <v>2181.4299999999998</v>
      </c>
      <c r="I149" s="190">
        <f t="shared" si="28"/>
        <v>-721.42999999999984</v>
      </c>
      <c r="J149" s="191">
        <f>IFERROR(G149/VLOOKUP(A149,RESUME!$G$3:$I$10,3,FALSE),0)</f>
        <v>1.4527826581310844E-2</v>
      </c>
      <c r="K149" s="190">
        <f t="shared" si="29"/>
        <v>1168</v>
      </c>
      <c r="L149" s="190">
        <f t="shared" si="30"/>
        <v>1460</v>
      </c>
      <c r="M149" s="192">
        <f t="shared" si="26"/>
        <v>0</v>
      </c>
      <c r="N149" s="193" t="str">
        <f>_xlfn.IFNA(VLOOKUP(A149&amp;"-"&amp;B149&amp;"-"&amp;D149,Ref_Account!$A:$F,6,FALSE),"ACCOUNT TIDAK DITEMUKAN")</f>
        <v>1206.630130</v>
      </c>
      <c r="O149" s="189">
        <f t="shared" si="27"/>
        <v>1</v>
      </c>
      <c r="P149" s="189" t="str">
        <f t="shared" si="31"/>
        <v>OVER</v>
      </c>
      <c r="Q149" s="194" t="s">
        <v>567</v>
      </c>
      <c r="R149" s="145"/>
      <c r="AA149" s="148"/>
    </row>
    <row r="150" spans="1:27">
      <c r="A150" s="195" t="s">
        <v>139</v>
      </c>
      <c r="B150" s="196" t="s">
        <v>126</v>
      </c>
      <c r="C150" s="195" t="s">
        <v>127</v>
      </c>
      <c r="D150" s="197" t="s">
        <v>99</v>
      </c>
      <c r="E150" s="197" t="s">
        <v>73</v>
      </c>
      <c r="F150" s="197"/>
      <c r="G150" s="198">
        <v>4235.2299999999996</v>
      </c>
      <c r="H150" s="198"/>
      <c r="I150" s="198">
        <f t="shared" si="28"/>
        <v>4235.2299999999996</v>
      </c>
      <c r="J150" s="199">
        <f>IFERROR(G150/VLOOKUP(A150,RESUME!$G$3:$I$10,3,FALSE),0)</f>
        <v>4.2142936282167892E-2</v>
      </c>
      <c r="K150" s="198">
        <f t="shared" si="29"/>
        <v>3388.1839999999997</v>
      </c>
      <c r="L150" s="198">
        <f t="shared" si="30"/>
        <v>4235.2299999999996</v>
      </c>
      <c r="M150" s="200">
        <f t="shared" si="26"/>
        <v>5.2678670352709865E-2</v>
      </c>
      <c r="N150" s="201" t="str">
        <f>_xlfn.IFNA(VLOOKUP(A150&amp;"-"&amp;B150&amp;"-"&amp;D150,Ref_Account!$A:$F,6,FALSE),"ACCOUNT TIDAK DITEMUKAN")</f>
        <v>1206.631000</v>
      </c>
      <c r="O150" s="197">
        <f t="shared" si="27"/>
        <v>1</v>
      </c>
      <c r="P150" s="197" t="str">
        <f t="shared" si="31"/>
        <v>OK</v>
      </c>
      <c r="Q150" s="202" t="s">
        <v>528</v>
      </c>
      <c r="R150" s="145"/>
      <c r="AA150" s="148"/>
    </row>
    <row r="151" spans="1:27">
      <c r="A151" s="187" t="s">
        <v>139</v>
      </c>
      <c r="B151" s="188" t="s">
        <v>128</v>
      </c>
      <c r="C151" s="187" t="s">
        <v>140</v>
      </c>
      <c r="D151" s="189" t="s">
        <v>99</v>
      </c>
      <c r="E151" s="189" t="s">
        <v>73</v>
      </c>
      <c r="F151" s="189"/>
      <c r="G151" s="190">
        <v>821.62</v>
      </c>
      <c r="H151" s="190"/>
      <c r="I151" s="190">
        <f t="shared" si="28"/>
        <v>821.62</v>
      </c>
      <c r="J151" s="191">
        <f>IFERROR(G151/VLOOKUP(A151,RESUME!$G$3:$I$10,3,FALSE),0)</f>
        <v>8.175584161463436E-3</v>
      </c>
      <c r="K151" s="190">
        <f t="shared" si="29"/>
        <v>657.29600000000005</v>
      </c>
      <c r="L151" s="190">
        <f t="shared" si="30"/>
        <v>821.62</v>
      </c>
      <c r="M151" s="192">
        <f t="shared" si="26"/>
        <v>1.0219480201829296E-2</v>
      </c>
      <c r="N151" s="193" t="str">
        <f>_xlfn.IFNA(VLOOKUP(A151&amp;"-"&amp;B151&amp;"-"&amp;D151,Ref_Account!$A:$F,6,FALSE),"ACCOUNT TIDAK DITEMUKAN")</f>
        <v>1206.815110</v>
      </c>
      <c r="O151" s="189">
        <f t="shared" si="27"/>
        <v>1</v>
      </c>
      <c r="P151" s="189" t="str">
        <f t="shared" si="31"/>
        <v>OK</v>
      </c>
      <c r="Q151" s="194" t="s">
        <v>528</v>
      </c>
      <c r="R151" s="145"/>
      <c r="AA151" s="148"/>
    </row>
    <row r="152" spans="1:27">
      <c r="A152" s="195" t="s">
        <v>139</v>
      </c>
      <c r="B152" s="196" t="s">
        <v>132</v>
      </c>
      <c r="C152" s="195" t="s">
        <v>133</v>
      </c>
      <c r="D152" s="197" t="s">
        <v>99</v>
      </c>
      <c r="E152" s="197" t="s">
        <v>73</v>
      </c>
      <c r="F152" s="197"/>
      <c r="G152" s="198">
        <v>55</v>
      </c>
      <c r="H152" s="198"/>
      <c r="I152" s="198">
        <f t="shared" si="28"/>
        <v>55</v>
      </c>
      <c r="J152" s="199">
        <f>IFERROR(G152/VLOOKUP(A152,RESUME!$G$3:$I$10,3,FALSE),0)</f>
        <v>5.4728113833705236E-4</v>
      </c>
      <c r="K152" s="198">
        <f t="shared" si="29"/>
        <v>44</v>
      </c>
      <c r="L152" s="198">
        <f t="shared" si="30"/>
        <v>55</v>
      </c>
      <c r="M152" s="200">
        <f t="shared" si="26"/>
        <v>6.8410142292131548E-4</v>
      </c>
      <c r="N152" s="201" t="str">
        <f>_xlfn.IFNA(VLOOKUP(A152&amp;"-"&amp;B152&amp;"-"&amp;D152,Ref_Account!$A:$F,6,FALSE),"ACCOUNT TIDAK DITEMUKAN")</f>
        <v>1206.802120</v>
      </c>
      <c r="O152" s="197">
        <f t="shared" si="27"/>
        <v>1</v>
      </c>
      <c r="P152" s="197" t="str">
        <f t="shared" si="31"/>
        <v>OK</v>
      </c>
      <c r="Q152" s="202" t="s">
        <v>528</v>
      </c>
      <c r="R152" s="145"/>
      <c r="AA152" s="148"/>
    </row>
    <row r="153" spans="1:27">
      <c r="A153" s="187" t="s">
        <v>139</v>
      </c>
      <c r="B153" s="188" t="s">
        <v>136</v>
      </c>
      <c r="C153" s="187" t="s">
        <v>137</v>
      </c>
      <c r="D153" s="189" t="s">
        <v>99</v>
      </c>
      <c r="E153" s="189" t="s">
        <v>73</v>
      </c>
      <c r="F153" s="189"/>
      <c r="G153" s="190">
        <v>20.09</v>
      </c>
      <c r="H153" s="190"/>
      <c r="I153" s="190">
        <f t="shared" si="28"/>
        <v>20.09</v>
      </c>
      <c r="J153" s="191">
        <f>IFERROR(G153/VLOOKUP(A153,RESUME!$G$3:$I$10,3,FALSE),0)</f>
        <v>1.9990687398529784E-4</v>
      </c>
      <c r="K153" s="190">
        <f t="shared" si="29"/>
        <v>16.071999999999999</v>
      </c>
      <c r="L153" s="190">
        <f t="shared" si="30"/>
        <v>20.09</v>
      </c>
      <c r="M153" s="192">
        <f t="shared" si="26"/>
        <v>2.4988359248162231E-4</v>
      </c>
      <c r="N153" s="193" t="str">
        <f>_xlfn.IFNA(VLOOKUP(A153&amp;"-"&amp;B153&amp;"-"&amp;D153,Ref_Account!$A:$F,6,FALSE),"ACCOUNT TIDAK DITEMUKAN")</f>
        <v>1206.630450</v>
      </c>
      <c r="O153" s="189">
        <f t="shared" si="27"/>
        <v>1</v>
      </c>
      <c r="P153" s="189" t="str">
        <f t="shared" si="31"/>
        <v>OK</v>
      </c>
      <c r="Q153" s="194" t="s">
        <v>528</v>
      </c>
      <c r="R153" s="145"/>
      <c r="AA153" s="148"/>
    </row>
    <row r="154" spans="1:27">
      <c r="A154" s="195" t="s">
        <v>139</v>
      </c>
      <c r="B154" s="196" t="s">
        <v>78</v>
      </c>
      <c r="C154" s="195" t="s">
        <v>79</v>
      </c>
      <c r="D154" s="197" t="s">
        <v>99</v>
      </c>
      <c r="E154" s="197" t="s">
        <v>141</v>
      </c>
      <c r="F154" s="197"/>
      <c r="G154" s="198">
        <v>563</v>
      </c>
      <c r="H154" s="198">
        <v>84.77</v>
      </c>
      <c r="I154" s="198">
        <f t="shared" si="28"/>
        <v>478.23</v>
      </c>
      <c r="J154" s="199">
        <f>IFERROR(G154/VLOOKUP(A154,RESUME!$G$3:$I$10,3,FALSE),0)</f>
        <v>5.6021687433410999E-3</v>
      </c>
      <c r="K154" s="198">
        <f t="shared" si="29"/>
        <v>450.40000000000003</v>
      </c>
      <c r="L154" s="198">
        <f t="shared" si="30"/>
        <v>563</v>
      </c>
      <c r="M154" s="200">
        <f t="shared" si="26"/>
        <v>7.0027109291763753E-3</v>
      </c>
      <c r="N154" s="201" t="str">
        <f>_xlfn.IFNA(VLOOKUP(A154&amp;"-"&amp;B154&amp;"-"&amp;D154,Ref_Account!$A:$F,6,FALSE),"ACCOUNT TIDAK DITEMUKAN")</f>
        <v>1206.630300</v>
      </c>
      <c r="O154" s="197">
        <f t="shared" si="27"/>
        <v>1</v>
      </c>
      <c r="P154" s="197" t="str">
        <f t="shared" si="31"/>
        <v>OK</v>
      </c>
      <c r="Q154" s="202" t="s">
        <v>528</v>
      </c>
      <c r="R154" s="145"/>
      <c r="AA154" s="148"/>
    </row>
    <row r="155" spans="1:27">
      <c r="A155" s="187" t="s">
        <v>139</v>
      </c>
      <c r="B155" s="188" t="s">
        <v>102</v>
      </c>
      <c r="C155" s="187" t="s">
        <v>103</v>
      </c>
      <c r="D155" s="189" t="s">
        <v>99</v>
      </c>
      <c r="E155" s="189" t="s">
        <v>141</v>
      </c>
      <c r="F155" s="189"/>
      <c r="G155" s="190">
        <v>50</v>
      </c>
      <c r="H155" s="190"/>
      <c r="I155" s="190">
        <f t="shared" si="28"/>
        <v>50</v>
      </c>
      <c r="J155" s="191">
        <f>IFERROR(G155/VLOOKUP(A155,RESUME!$G$3:$I$10,3,FALSE),0)</f>
        <v>4.9752830757913849E-4</v>
      </c>
      <c r="K155" s="190">
        <f t="shared" si="29"/>
        <v>40</v>
      </c>
      <c r="L155" s="190">
        <f t="shared" si="30"/>
        <v>50</v>
      </c>
      <c r="M155" s="192">
        <f t="shared" si="26"/>
        <v>6.2191038447392312E-4</v>
      </c>
      <c r="N155" s="193" t="str">
        <f>_xlfn.IFNA(VLOOKUP(A155&amp;"-"&amp;B155&amp;"-"&amp;D155,Ref_Account!$A:$F,6,FALSE),"ACCOUNT TIDAK DITEMUKAN")</f>
        <v>1206.630770</v>
      </c>
      <c r="O155" s="189">
        <f t="shared" si="27"/>
        <v>1</v>
      </c>
      <c r="P155" s="189" t="str">
        <f t="shared" si="31"/>
        <v>OK</v>
      </c>
      <c r="Q155" s="194" t="s">
        <v>528</v>
      </c>
      <c r="R155" s="145"/>
      <c r="AA155" s="148"/>
    </row>
    <row r="156" spans="1:27">
      <c r="A156" s="195" t="s">
        <v>139</v>
      </c>
      <c r="B156" s="196" t="s">
        <v>104</v>
      </c>
      <c r="C156" s="195" t="s">
        <v>105</v>
      </c>
      <c r="D156" s="197" t="s">
        <v>99</v>
      </c>
      <c r="E156" s="197" t="s">
        <v>141</v>
      </c>
      <c r="F156" s="197"/>
      <c r="G156" s="198">
        <v>50</v>
      </c>
      <c r="H156" s="198"/>
      <c r="I156" s="198">
        <f t="shared" si="28"/>
        <v>50</v>
      </c>
      <c r="J156" s="199">
        <f>IFERROR(G156/VLOOKUP(A156,RESUME!$G$3:$I$10,3,FALSE),0)</f>
        <v>4.9752830757913849E-4</v>
      </c>
      <c r="K156" s="198">
        <f t="shared" si="29"/>
        <v>40</v>
      </c>
      <c r="L156" s="198">
        <f t="shared" si="30"/>
        <v>50</v>
      </c>
      <c r="M156" s="200">
        <f t="shared" si="26"/>
        <v>6.2191038447392312E-4</v>
      </c>
      <c r="N156" s="201" t="str">
        <f>_xlfn.IFNA(VLOOKUP(A156&amp;"-"&amp;B156&amp;"-"&amp;D156,Ref_Account!$A:$F,6,FALSE),"ACCOUNT TIDAK DITEMUKAN")</f>
        <v>1206.630750</v>
      </c>
      <c r="O156" s="197">
        <f t="shared" si="27"/>
        <v>1</v>
      </c>
      <c r="P156" s="197" t="str">
        <f t="shared" si="31"/>
        <v>OK</v>
      </c>
      <c r="Q156" s="202" t="s">
        <v>528</v>
      </c>
      <c r="R156" s="145"/>
      <c r="AA156" s="148"/>
    </row>
    <row r="157" spans="1:27">
      <c r="A157" s="187" t="s">
        <v>139</v>
      </c>
      <c r="B157" s="188" t="s">
        <v>106</v>
      </c>
      <c r="C157" s="187" t="s">
        <v>107</v>
      </c>
      <c r="D157" s="189" t="s">
        <v>99</v>
      </c>
      <c r="E157" s="189" t="s">
        <v>141</v>
      </c>
      <c r="F157" s="189"/>
      <c r="G157" s="190">
        <v>50</v>
      </c>
      <c r="H157" s="190">
        <v>1313.04</v>
      </c>
      <c r="I157" s="190">
        <f t="shared" si="28"/>
        <v>-1263.04</v>
      </c>
      <c r="J157" s="191">
        <f>IFERROR(G157/VLOOKUP(A157,RESUME!$G$3:$I$10,3,FALSE),0)</f>
        <v>4.9752830757913849E-4</v>
      </c>
      <c r="K157" s="190">
        <f t="shared" si="29"/>
        <v>40</v>
      </c>
      <c r="L157" s="190">
        <f t="shared" si="30"/>
        <v>50</v>
      </c>
      <c r="M157" s="192">
        <f t="shared" ref="M157:M168" si="32">IF(L157=0,0,IF(H157&gt;L157,0,L157/IF(H157&gt;=K157,H157,K157)*J157))</f>
        <v>0</v>
      </c>
      <c r="N157" s="193" t="str">
        <f>_xlfn.IFNA(VLOOKUP(A157&amp;"-"&amp;B157&amp;"-"&amp;D157,Ref_Account!$A:$F,6,FALSE),"ACCOUNT TIDAK DITEMUKAN")</f>
        <v>1206.630720</v>
      </c>
      <c r="O157" s="189">
        <f t="shared" ref="O157:O168" si="33">IF(N157="ACCOUNT TIDAK DITEMUKAN","9999",COUNTIF($N$6:$N$170,N157))</f>
        <v>1</v>
      </c>
      <c r="P157" s="189" t="str">
        <f t="shared" si="31"/>
        <v>OVER</v>
      </c>
      <c r="Q157" s="194" t="s">
        <v>568</v>
      </c>
      <c r="R157" s="145"/>
      <c r="AA157" s="148"/>
    </row>
    <row r="158" spans="1:27">
      <c r="A158" s="195" t="s">
        <v>139</v>
      </c>
      <c r="B158" s="196" t="s">
        <v>108</v>
      </c>
      <c r="C158" s="195" t="s">
        <v>109</v>
      </c>
      <c r="D158" s="197" t="s">
        <v>99</v>
      </c>
      <c r="E158" s="197" t="s">
        <v>141</v>
      </c>
      <c r="F158" s="197"/>
      <c r="G158" s="198">
        <v>50</v>
      </c>
      <c r="H158" s="198"/>
      <c r="I158" s="198">
        <f t="shared" si="28"/>
        <v>50</v>
      </c>
      <c r="J158" s="199">
        <f>IFERROR(G158/VLOOKUP(A158,RESUME!$G$3:$I$10,3,FALSE),0)</f>
        <v>4.9752830757913849E-4</v>
      </c>
      <c r="K158" s="198">
        <f t="shared" si="29"/>
        <v>40</v>
      </c>
      <c r="L158" s="198">
        <f t="shared" si="30"/>
        <v>50</v>
      </c>
      <c r="M158" s="200">
        <f t="shared" si="32"/>
        <v>6.2191038447392312E-4</v>
      </c>
      <c r="N158" s="201" t="str">
        <f>_xlfn.IFNA(VLOOKUP(A158&amp;"-"&amp;B158&amp;"-"&amp;D158,Ref_Account!$A:$F,6,FALSE),"ACCOUNT TIDAK DITEMUKAN")</f>
        <v>1206.630760</v>
      </c>
      <c r="O158" s="197">
        <f t="shared" si="33"/>
        <v>1</v>
      </c>
      <c r="P158" s="197" t="str">
        <f t="shared" si="31"/>
        <v>OK</v>
      </c>
      <c r="Q158" s="202" t="s">
        <v>528</v>
      </c>
      <c r="R158" s="145"/>
      <c r="AA158" s="148"/>
    </row>
    <row r="159" spans="1:27">
      <c r="A159" s="187" t="s">
        <v>139</v>
      </c>
      <c r="B159" s="188" t="s">
        <v>110</v>
      </c>
      <c r="C159" s="187" t="s">
        <v>111</v>
      </c>
      <c r="D159" s="189" t="s">
        <v>99</v>
      </c>
      <c r="E159" s="189" t="s">
        <v>141</v>
      </c>
      <c r="F159" s="189"/>
      <c r="G159" s="190">
        <v>50</v>
      </c>
      <c r="H159" s="190"/>
      <c r="I159" s="190">
        <f t="shared" si="28"/>
        <v>50</v>
      </c>
      <c r="J159" s="191">
        <f>IFERROR(G159/VLOOKUP(A159,RESUME!$G$3:$I$10,3,FALSE),0)</f>
        <v>4.9752830757913849E-4</v>
      </c>
      <c r="K159" s="190">
        <f t="shared" si="29"/>
        <v>40</v>
      </c>
      <c r="L159" s="190">
        <f t="shared" si="30"/>
        <v>50</v>
      </c>
      <c r="M159" s="192">
        <f t="shared" si="32"/>
        <v>6.2191038447392312E-4</v>
      </c>
      <c r="N159" s="193" t="str">
        <f>_xlfn.IFNA(VLOOKUP(A159&amp;"-"&amp;B159&amp;"-"&amp;D159,Ref_Account!$A:$F,6,FALSE),"ACCOUNT TIDAK DITEMUKAN")</f>
        <v>1206.630730</v>
      </c>
      <c r="O159" s="189">
        <f t="shared" si="33"/>
        <v>1</v>
      </c>
      <c r="P159" s="189" t="str">
        <f t="shared" si="31"/>
        <v>OK</v>
      </c>
      <c r="Q159" s="194" t="s">
        <v>528</v>
      </c>
      <c r="R159" s="145"/>
      <c r="AA159" s="148"/>
    </row>
    <row r="160" spans="1:27">
      <c r="A160" s="195" t="s">
        <v>139</v>
      </c>
      <c r="B160" s="196" t="s">
        <v>112</v>
      </c>
      <c r="C160" s="195" t="s">
        <v>113</v>
      </c>
      <c r="D160" s="197" t="s">
        <v>99</v>
      </c>
      <c r="E160" s="197" t="s">
        <v>141</v>
      </c>
      <c r="F160" s="197"/>
      <c r="G160" s="198">
        <v>50</v>
      </c>
      <c r="H160" s="198"/>
      <c r="I160" s="198">
        <f t="shared" si="28"/>
        <v>50</v>
      </c>
      <c r="J160" s="199">
        <f>IFERROR(G160/VLOOKUP(A160,RESUME!$G$3:$I$10,3,FALSE),0)</f>
        <v>4.9752830757913849E-4</v>
      </c>
      <c r="K160" s="198">
        <f t="shared" si="29"/>
        <v>40</v>
      </c>
      <c r="L160" s="198">
        <f t="shared" si="30"/>
        <v>50</v>
      </c>
      <c r="M160" s="200">
        <f t="shared" si="32"/>
        <v>6.2191038447392312E-4</v>
      </c>
      <c r="N160" s="201" t="str">
        <f>_xlfn.IFNA(VLOOKUP(A160&amp;"-"&amp;B160&amp;"-"&amp;D160,Ref_Account!$A:$F,6,FALSE),"ACCOUNT TIDAK DITEMUKAN")</f>
        <v>1206.630740</v>
      </c>
      <c r="O160" s="197">
        <f t="shared" si="33"/>
        <v>1</v>
      </c>
      <c r="P160" s="197" t="str">
        <f t="shared" si="31"/>
        <v>OK</v>
      </c>
      <c r="Q160" s="202" t="s">
        <v>528</v>
      </c>
      <c r="R160" s="145"/>
      <c r="AA160" s="148"/>
    </row>
    <row r="161" spans="1:27">
      <c r="A161" s="187" t="s">
        <v>139</v>
      </c>
      <c r="B161" s="188" t="s">
        <v>122</v>
      </c>
      <c r="C161" s="187" t="s">
        <v>123</v>
      </c>
      <c r="D161" s="189" t="s">
        <v>99</v>
      </c>
      <c r="E161" s="189" t="s">
        <v>141</v>
      </c>
      <c r="F161" s="189"/>
      <c r="G161" s="190">
        <v>3978</v>
      </c>
      <c r="H161" s="190">
        <v>4309.0600000000004</v>
      </c>
      <c r="I161" s="190">
        <f t="shared" si="28"/>
        <v>-331.0600000000004</v>
      </c>
      <c r="J161" s="191">
        <f>IFERROR(G161/VLOOKUP(A161,RESUME!$G$3:$I$10,3,FALSE),0)</f>
        <v>3.9583352150996259E-2</v>
      </c>
      <c r="K161" s="190">
        <f t="shared" si="29"/>
        <v>3182.4</v>
      </c>
      <c r="L161" s="190">
        <f t="shared" si="30"/>
        <v>3978</v>
      </c>
      <c r="M161" s="192">
        <f t="shared" si="32"/>
        <v>0</v>
      </c>
      <c r="N161" s="193" t="str">
        <f>_xlfn.IFNA(VLOOKUP(A161&amp;"-"&amp;B161&amp;"-"&amp;D161,Ref_Account!$A:$F,6,FALSE),"ACCOUNT TIDAK DITEMUKAN")</f>
        <v>1206.631110</v>
      </c>
      <c r="O161" s="189">
        <f t="shared" si="33"/>
        <v>1</v>
      </c>
      <c r="P161" s="189" t="str">
        <f t="shared" si="31"/>
        <v>OVER</v>
      </c>
      <c r="Q161" s="194" t="s">
        <v>569</v>
      </c>
      <c r="R161" s="145"/>
      <c r="AA161" s="148"/>
    </row>
    <row r="162" spans="1:27">
      <c r="A162" s="195" t="s">
        <v>139</v>
      </c>
      <c r="B162" s="196" t="s">
        <v>68</v>
      </c>
      <c r="C162" s="195" t="s">
        <v>69</v>
      </c>
      <c r="D162" s="197" t="s">
        <v>99</v>
      </c>
      <c r="E162" s="197" t="s">
        <v>142</v>
      </c>
      <c r="F162" s="197"/>
      <c r="G162" s="198">
        <v>5000</v>
      </c>
      <c r="H162" s="198">
        <v>3055.97</v>
      </c>
      <c r="I162" s="198">
        <f t="shared" si="28"/>
        <v>1944.0300000000002</v>
      </c>
      <c r="J162" s="199">
        <f>IFERROR(G162/VLOOKUP(A162,RESUME!$G$3:$I$10,3,FALSE),0)</f>
        <v>4.9752830757913848E-2</v>
      </c>
      <c r="K162" s="198">
        <f t="shared" si="29"/>
        <v>4000</v>
      </c>
      <c r="L162" s="198">
        <f t="shared" si="30"/>
        <v>5000</v>
      </c>
      <c r="M162" s="200">
        <f t="shared" si="32"/>
        <v>6.2191038447392308E-2</v>
      </c>
      <c r="N162" s="201" t="str">
        <f>_xlfn.IFNA(VLOOKUP(A162&amp;"-"&amp;B162&amp;"-"&amp;D162,Ref_Account!$A:$F,6,FALSE),"ACCOUNT TIDAK DITEMUKAN")</f>
        <v>1206.812100</v>
      </c>
      <c r="O162" s="197">
        <f t="shared" si="33"/>
        <v>1</v>
      </c>
      <c r="P162" s="197" t="str">
        <f t="shared" si="31"/>
        <v>OK</v>
      </c>
      <c r="Q162" s="202" t="s">
        <v>528</v>
      </c>
      <c r="R162" s="145"/>
      <c r="AA162" s="148"/>
    </row>
    <row r="163" spans="1:27">
      <c r="A163" s="187" t="s">
        <v>139</v>
      </c>
      <c r="B163" s="188" t="s">
        <v>74</v>
      </c>
      <c r="C163" s="187" t="s">
        <v>75</v>
      </c>
      <c r="D163" s="189" t="s">
        <v>99</v>
      </c>
      <c r="E163" s="189" t="s">
        <v>73</v>
      </c>
      <c r="F163" s="189"/>
      <c r="G163" s="190">
        <v>3463.43</v>
      </c>
      <c r="H163" s="190">
        <v>3779.14</v>
      </c>
      <c r="I163" s="190">
        <f t="shared" si="28"/>
        <v>-315.71000000000004</v>
      </c>
      <c r="J163" s="191">
        <f>IFERROR(G163/VLOOKUP(A163,RESUME!$G$3:$I$10,3,FALSE),0)</f>
        <v>3.446308932637631E-2</v>
      </c>
      <c r="K163" s="190">
        <f t="shared" si="29"/>
        <v>2770.7440000000001</v>
      </c>
      <c r="L163" s="190">
        <f t="shared" si="30"/>
        <v>3463.43</v>
      </c>
      <c r="M163" s="192">
        <f t="shared" si="32"/>
        <v>0</v>
      </c>
      <c r="N163" s="193" t="str">
        <f>_xlfn.IFNA(VLOOKUP(A163&amp;"-"&amp;B163&amp;"-"&amp;D163,Ref_Account!$A:$F,6,FALSE),"ACCOUNT TIDAK DITEMUKAN")</f>
        <v>1206.630400</v>
      </c>
      <c r="O163" s="189">
        <f t="shared" si="33"/>
        <v>1</v>
      </c>
      <c r="P163" s="189" t="str">
        <f t="shared" si="31"/>
        <v>OVER</v>
      </c>
      <c r="Q163" s="194" t="s">
        <v>570</v>
      </c>
      <c r="R163" s="145"/>
      <c r="AA163" s="148"/>
    </row>
    <row r="164" spans="1:27">
      <c r="A164" s="195" t="s">
        <v>139</v>
      </c>
      <c r="B164" s="196" t="s">
        <v>85</v>
      </c>
      <c r="C164" s="195" t="s">
        <v>86</v>
      </c>
      <c r="D164" s="197" t="s">
        <v>99</v>
      </c>
      <c r="E164" s="197" t="s">
        <v>73</v>
      </c>
      <c r="F164" s="197"/>
      <c r="G164" s="198">
        <v>23.95</v>
      </c>
      <c r="H164" s="198"/>
      <c r="I164" s="198">
        <f t="shared" si="28"/>
        <v>23.95</v>
      </c>
      <c r="J164" s="199">
        <f>IFERROR(G164/VLOOKUP(A164,RESUME!$G$3:$I$10,3,FALSE),0)</f>
        <v>2.3831605933040734E-4</v>
      </c>
      <c r="K164" s="198">
        <f t="shared" si="29"/>
        <v>19.16</v>
      </c>
      <c r="L164" s="198">
        <f t="shared" si="30"/>
        <v>23.95</v>
      </c>
      <c r="M164" s="200">
        <f t="shared" si="32"/>
        <v>2.9789507416300918E-4</v>
      </c>
      <c r="N164" s="201" t="str">
        <f>_xlfn.IFNA(VLOOKUP(A164&amp;"-"&amp;B164&amp;"-"&amp;D164,Ref_Account!$A:$F,6,FALSE),"ACCOUNT TIDAK DITEMUKAN")</f>
        <v>1206.808100</v>
      </c>
      <c r="O164" s="197">
        <f t="shared" si="33"/>
        <v>1</v>
      </c>
      <c r="P164" s="197" t="str">
        <f t="shared" si="31"/>
        <v>OK</v>
      </c>
      <c r="Q164" s="202" t="s">
        <v>528</v>
      </c>
      <c r="R164" s="145"/>
      <c r="AA164" s="148"/>
    </row>
    <row r="165" spans="1:27">
      <c r="A165" s="187" t="s">
        <v>139</v>
      </c>
      <c r="B165" s="188" t="s">
        <v>94</v>
      </c>
      <c r="C165" s="187" t="s">
        <v>95</v>
      </c>
      <c r="D165" s="189" t="s">
        <v>99</v>
      </c>
      <c r="E165" s="189" t="s">
        <v>143</v>
      </c>
      <c r="F165" s="189"/>
      <c r="G165" s="190">
        <v>47747.46</v>
      </c>
      <c r="H165" s="190"/>
      <c r="I165" s="190">
        <f t="shared" si="28"/>
        <v>47747.46</v>
      </c>
      <c r="J165" s="191">
        <f>IFERROR(G165/VLOOKUP(A165,RESUME!$G$3:$I$10,3,FALSE),0)</f>
        <v>0.47511425930005224</v>
      </c>
      <c r="K165" s="190">
        <f t="shared" si="29"/>
        <v>38197.968000000001</v>
      </c>
      <c r="L165" s="190">
        <f t="shared" si="30"/>
        <v>47747.46</v>
      </c>
      <c r="M165" s="192">
        <f t="shared" si="32"/>
        <v>0.59389282412506528</v>
      </c>
      <c r="N165" s="193" t="str">
        <f>_xlfn.IFNA(VLOOKUP(A165&amp;"-"&amp;B165&amp;"-"&amp;D165,Ref_Account!$A:$F,6,FALSE),"ACCOUNT TIDAK DITEMUKAN")</f>
        <v>1206.630110</v>
      </c>
      <c r="O165" s="189">
        <f t="shared" si="33"/>
        <v>1</v>
      </c>
      <c r="P165" s="189" t="str">
        <f t="shared" si="31"/>
        <v>OK</v>
      </c>
      <c r="Q165" s="194" t="s">
        <v>528</v>
      </c>
      <c r="R165" s="145"/>
      <c r="AA165" s="148"/>
    </row>
    <row r="166" spans="1:27">
      <c r="A166" s="195" t="s">
        <v>139</v>
      </c>
      <c r="B166" s="196" t="s">
        <v>144</v>
      </c>
      <c r="C166" s="195" t="s">
        <v>145</v>
      </c>
      <c r="D166" s="197" t="s">
        <v>99</v>
      </c>
      <c r="E166" s="197" t="s">
        <v>146</v>
      </c>
      <c r="F166" s="197"/>
      <c r="G166" s="198">
        <v>2800</v>
      </c>
      <c r="H166" s="198"/>
      <c r="I166" s="198">
        <f t="shared" si="28"/>
        <v>2800</v>
      </c>
      <c r="J166" s="199">
        <f>IFERROR(G166/VLOOKUP(A166,RESUME!$G$3:$I$10,3,FALSE),0)</f>
        <v>2.7861585224431756E-2</v>
      </c>
      <c r="K166" s="198">
        <f t="shared" si="29"/>
        <v>2240</v>
      </c>
      <c r="L166" s="198">
        <f t="shared" si="30"/>
        <v>2800</v>
      </c>
      <c r="M166" s="200">
        <f t="shared" si="32"/>
        <v>3.4826981530539695E-2</v>
      </c>
      <c r="N166" s="201" t="str">
        <f>_xlfn.IFNA(VLOOKUP(A166&amp;"-"&amp;B166&amp;"-"&amp;D166,Ref_Account!$A:$F,6,FALSE),"ACCOUNT TIDAK DITEMUKAN")</f>
        <v>1206.801110</v>
      </c>
      <c r="O166" s="197">
        <f t="shared" si="33"/>
        <v>1</v>
      </c>
      <c r="P166" s="197" t="str">
        <f t="shared" si="31"/>
        <v>OK</v>
      </c>
      <c r="Q166" s="202" t="s">
        <v>528</v>
      </c>
      <c r="R166" s="145"/>
      <c r="AA166" s="148"/>
    </row>
    <row r="167" spans="1:27">
      <c r="A167" s="187" t="s">
        <v>139</v>
      </c>
      <c r="B167" s="188" t="s">
        <v>25</v>
      </c>
      <c r="C167" s="187" t="s">
        <v>26</v>
      </c>
      <c r="D167" s="189" t="s">
        <v>99</v>
      </c>
      <c r="E167" s="189" t="s">
        <v>147</v>
      </c>
      <c r="F167" s="189"/>
      <c r="G167" s="190">
        <v>812</v>
      </c>
      <c r="H167" s="190">
        <v>676.87</v>
      </c>
      <c r="I167" s="190">
        <f t="shared" si="28"/>
        <v>135.13</v>
      </c>
      <c r="J167" s="191">
        <f>IFERROR(G167/VLOOKUP(A167,RESUME!$G$3:$I$10,3,FALSE),0)</f>
        <v>8.0798597150852098E-3</v>
      </c>
      <c r="K167" s="190">
        <f t="shared" si="29"/>
        <v>649.6</v>
      </c>
      <c r="L167" s="190">
        <f t="shared" si="30"/>
        <v>812</v>
      </c>
      <c r="M167" s="192">
        <f t="shared" si="32"/>
        <v>9.6929190075630348E-3</v>
      </c>
      <c r="N167" s="193" t="str">
        <f>_xlfn.IFNA(VLOOKUP(A167&amp;"-"&amp;B167&amp;"-"&amp;D167,Ref_Account!$A:$F,6,FALSE),"ACCOUNT TIDAK DITEMUKAN")</f>
        <v>1206.631180</v>
      </c>
      <c r="O167" s="189">
        <f t="shared" si="33"/>
        <v>1</v>
      </c>
      <c r="P167" s="189" t="str">
        <f t="shared" si="31"/>
        <v>OK</v>
      </c>
      <c r="Q167" s="194" t="s">
        <v>528</v>
      </c>
      <c r="R167" s="145"/>
      <c r="AA167" s="148"/>
    </row>
    <row r="168" spans="1:27">
      <c r="A168" s="195" t="s">
        <v>139</v>
      </c>
      <c r="B168" s="196" t="s">
        <v>36</v>
      </c>
      <c r="C168" s="195" t="s">
        <v>37</v>
      </c>
      <c r="D168" s="197" t="s">
        <v>148</v>
      </c>
      <c r="E168" s="197" t="s">
        <v>149</v>
      </c>
      <c r="F168" s="197"/>
      <c r="G168" s="198">
        <v>26280.234329731342</v>
      </c>
      <c r="H168" s="198"/>
      <c r="I168" s="198">
        <f t="shared" si="28"/>
        <v>26280.234329731342</v>
      </c>
      <c r="J168" s="199">
        <f>IFERROR(G168/VLOOKUP(A168,RESUME!$G$3:$I$10,3,FALSE),0)</f>
        <v>0.26150321017708822</v>
      </c>
      <c r="K168" s="198">
        <f t="shared" si="29"/>
        <v>21024.187463785074</v>
      </c>
      <c r="L168" s="198">
        <f t="shared" si="30"/>
        <v>26280.234329731342</v>
      </c>
      <c r="M168" s="200">
        <f t="shared" si="32"/>
        <v>0.32687901272136027</v>
      </c>
      <c r="N168" s="201" t="str">
        <f>_xlfn.IFNA(VLOOKUP(A168&amp;"-"&amp;B168&amp;"-"&amp;D168,Ref_Account!$A:$F,6,FALSE),"ACCOUNT TIDAK DITEMUKAN")</f>
        <v>1206.630600</v>
      </c>
      <c r="O168" s="197">
        <f t="shared" si="33"/>
        <v>1</v>
      </c>
      <c r="P168" s="197" t="str">
        <f t="shared" si="31"/>
        <v>OK</v>
      </c>
      <c r="Q168" s="202" t="s">
        <v>528</v>
      </c>
      <c r="R168" s="145"/>
      <c r="AA168" s="148"/>
    </row>
  </sheetData>
  <autoFilter ref="A5:Q168" xr:uid="{00000000-0009-0000-0000-000004000000}"/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hyperlinks>
    <hyperlink ref="B7" r:id="rId1" xr:uid="{00000000-0004-0000-0400-000000000000}"/>
    <hyperlink ref="B8" r:id="rId2" xr:uid="{00000000-0004-0000-0400-000001000000}"/>
    <hyperlink ref="B9" r:id="rId3" xr:uid="{00000000-0004-0000-0400-000002000000}"/>
    <hyperlink ref="B39" r:id="rId4" xr:uid="{00000000-0004-0000-0400-000003000000}"/>
    <hyperlink ref="B40" r:id="rId5" xr:uid="{00000000-0004-0000-0400-000004000000}"/>
    <hyperlink ref="B41" r:id="rId6" xr:uid="{00000000-0004-0000-0400-000005000000}"/>
    <hyperlink ref="B10" r:id="rId7" xr:uid="{00000000-0004-0000-0400-000006000000}"/>
    <hyperlink ref="B11" r:id="rId8" xr:uid="{00000000-0004-0000-0400-000007000000}"/>
    <hyperlink ref="B12" r:id="rId9" xr:uid="{00000000-0004-0000-0400-000008000000}"/>
    <hyperlink ref="B13" r:id="rId10" xr:uid="{00000000-0004-0000-0400-000009000000}"/>
    <hyperlink ref="B14" r:id="rId11" xr:uid="{00000000-0004-0000-0400-00000A000000}"/>
    <hyperlink ref="B15" r:id="rId12" xr:uid="{00000000-0004-0000-0400-00000B000000}"/>
    <hyperlink ref="B16" r:id="rId13" xr:uid="{00000000-0004-0000-0400-00000C000000}"/>
    <hyperlink ref="B20" r:id="rId14" xr:uid="{00000000-0004-0000-0400-00000D000000}"/>
    <hyperlink ref="B21" r:id="rId15" xr:uid="{00000000-0004-0000-0400-00000E000000}"/>
    <hyperlink ref="B22" r:id="rId16" xr:uid="{00000000-0004-0000-0400-00000F000000}"/>
    <hyperlink ref="B23" r:id="rId17" xr:uid="{00000000-0004-0000-0400-000010000000}"/>
    <hyperlink ref="B24" r:id="rId18" xr:uid="{00000000-0004-0000-0400-000011000000}"/>
    <hyperlink ref="B25" r:id="rId19" xr:uid="{00000000-0004-0000-0400-000012000000}"/>
    <hyperlink ref="B26" r:id="rId20" xr:uid="{00000000-0004-0000-0400-000013000000}"/>
    <hyperlink ref="B27" r:id="rId21" xr:uid="{00000000-0004-0000-0400-000014000000}"/>
    <hyperlink ref="B28" r:id="rId22" xr:uid="{00000000-0004-0000-0400-000015000000}"/>
    <hyperlink ref="B29" r:id="rId23" xr:uid="{00000000-0004-0000-0400-000016000000}"/>
    <hyperlink ref="B30" r:id="rId24" xr:uid="{00000000-0004-0000-0400-000017000000}"/>
    <hyperlink ref="B31" r:id="rId25" xr:uid="{00000000-0004-0000-0400-000018000000}"/>
    <hyperlink ref="B32" r:id="rId26" xr:uid="{00000000-0004-0000-0400-000019000000}"/>
    <hyperlink ref="B33" r:id="rId27" xr:uid="{00000000-0004-0000-0400-00001A000000}"/>
    <hyperlink ref="B34" r:id="rId28" xr:uid="{00000000-0004-0000-0400-00001B000000}"/>
    <hyperlink ref="B35" r:id="rId29" xr:uid="{00000000-0004-0000-0400-00001C000000}"/>
    <hyperlink ref="B36" r:id="rId30" xr:uid="{00000000-0004-0000-0400-00001D000000}"/>
    <hyperlink ref="B37" r:id="rId31" xr:uid="{00000000-0004-0000-0400-00001E000000}"/>
    <hyperlink ref="B38" r:id="rId32" xr:uid="{00000000-0004-0000-0400-00001F000000}"/>
    <hyperlink ref="B43" r:id="rId33" xr:uid="{00000000-0004-0000-0400-000020000000}"/>
    <hyperlink ref="B44" r:id="rId34" xr:uid="{00000000-0004-0000-0400-000021000000}"/>
    <hyperlink ref="B45" r:id="rId35" xr:uid="{00000000-0004-0000-0400-000022000000}"/>
    <hyperlink ref="B46" r:id="rId36" xr:uid="{00000000-0004-0000-0400-000023000000}"/>
    <hyperlink ref="B47" r:id="rId37" xr:uid="{00000000-0004-0000-0400-000024000000}"/>
    <hyperlink ref="B48" r:id="rId38" xr:uid="{00000000-0004-0000-0400-000025000000}"/>
    <hyperlink ref="B49" r:id="rId39" xr:uid="{00000000-0004-0000-0400-000026000000}"/>
    <hyperlink ref="B50" r:id="rId40" xr:uid="{00000000-0004-0000-0400-000027000000}"/>
    <hyperlink ref="B51" r:id="rId41" xr:uid="{00000000-0004-0000-0400-000028000000}"/>
    <hyperlink ref="B17" r:id="rId42" xr:uid="{00000000-0004-0000-0400-000029000000}"/>
    <hyperlink ref="B18" r:id="rId43" xr:uid="{00000000-0004-0000-0400-00002A000000}"/>
    <hyperlink ref="B52" r:id="rId44" xr:uid="{00000000-0004-0000-0400-00002B000000}"/>
    <hyperlink ref="B53" r:id="rId45" xr:uid="{00000000-0004-0000-0400-00002C000000}"/>
    <hyperlink ref="B54" r:id="rId46" xr:uid="{00000000-0004-0000-0400-00002D000000}"/>
    <hyperlink ref="B55" r:id="rId47" xr:uid="{00000000-0004-0000-0400-00002E000000}"/>
    <hyperlink ref="B56" r:id="rId48" xr:uid="{00000000-0004-0000-0400-00002F000000}"/>
    <hyperlink ref="B61" r:id="rId49" xr:uid="{00000000-0004-0000-0400-000030000000}"/>
    <hyperlink ref="B62" r:id="rId50" xr:uid="{00000000-0004-0000-0400-000031000000}"/>
    <hyperlink ref="B63" r:id="rId51" xr:uid="{00000000-0004-0000-0400-000032000000}"/>
    <hyperlink ref="B64" r:id="rId52" xr:uid="{00000000-0004-0000-0400-000033000000}"/>
    <hyperlink ref="B65" r:id="rId53" xr:uid="{00000000-0004-0000-0400-000034000000}"/>
    <hyperlink ref="B66" r:id="rId54" xr:uid="{00000000-0004-0000-0400-000035000000}"/>
    <hyperlink ref="B67" r:id="rId55" xr:uid="{00000000-0004-0000-0400-000036000000}"/>
    <hyperlink ref="B68" r:id="rId56" xr:uid="{00000000-0004-0000-0400-000037000000}"/>
    <hyperlink ref="B69" r:id="rId57" xr:uid="{00000000-0004-0000-0400-000038000000}"/>
    <hyperlink ref="B70" r:id="rId58" xr:uid="{00000000-0004-0000-0400-000039000000}"/>
    <hyperlink ref="B71" r:id="rId59" xr:uid="{00000000-0004-0000-0400-00003A000000}"/>
    <hyperlink ref="B72" r:id="rId60" xr:uid="{00000000-0004-0000-0400-00003B000000}"/>
    <hyperlink ref="B73" r:id="rId61" xr:uid="{00000000-0004-0000-0400-00003C000000}"/>
    <hyperlink ref="B74" r:id="rId62" xr:uid="{00000000-0004-0000-0400-00003D000000}"/>
    <hyperlink ref="B75" r:id="rId63" xr:uid="{00000000-0004-0000-0400-00003E000000}"/>
    <hyperlink ref="B76" r:id="rId64" xr:uid="{00000000-0004-0000-0400-00003F000000}"/>
    <hyperlink ref="B77" r:id="rId65" xr:uid="{00000000-0004-0000-0400-000040000000}"/>
    <hyperlink ref="B78" r:id="rId66" xr:uid="{00000000-0004-0000-0400-000041000000}"/>
    <hyperlink ref="B79" r:id="rId67" xr:uid="{00000000-0004-0000-0400-000042000000}"/>
    <hyperlink ref="B80" r:id="rId68" xr:uid="{00000000-0004-0000-0400-000043000000}"/>
    <hyperlink ref="B81" r:id="rId69" xr:uid="{00000000-0004-0000-0400-000044000000}"/>
    <hyperlink ref="B82" r:id="rId70" xr:uid="{00000000-0004-0000-0400-000045000000}"/>
    <hyperlink ref="B83" r:id="rId71" xr:uid="{00000000-0004-0000-0400-000046000000}"/>
    <hyperlink ref="B84" r:id="rId72" xr:uid="{00000000-0004-0000-0400-000047000000}"/>
    <hyperlink ref="B85" r:id="rId73" xr:uid="{00000000-0004-0000-0400-000048000000}"/>
    <hyperlink ref="B86" r:id="rId74" xr:uid="{00000000-0004-0000-0400-000049000000}"/>
    <hyperlink ref="B87" r:id="rId75" xr:uid="{00000000-0004-0000-0400-00004A000000}"/>
    <hyperlink ref="B88" r:id="rId76" xr:uid="{00000000-0004-0000-0400-00004B000000}"/>
    <hyperlink ref="B89" r:id="rId77" xr:uid="{00000000-0004-0000-0400-00004C000000}"/>
    <hyperlink ref="B90" r:id="rId78" xr:uid="{00000000-0004-0000-0400-00004D000000}"/>
    <hyperlink ref="B91" r:id="rId79" xr:uid="{00000000-0004-0000-0400-00004E000000}"/>
    <hyperlink ref="B92" r:id="rId80" xr:uid="{00000000-0004-0000-0400-00004F000000}"/>
    <hyperlink ref="B93" r:id="rId81" xr:uid="{00000000-0004-0000-0400-000050000000}"/>
    <hyperlink ref="B94" r:id="rId82" xr:uid="{00000000-0004-0000-0400-000051000000}"/>
    <hyperlink ref="B95" r:id="rId83" xr:uid="{00000000-0004-0000-0400-000052000000}"/>
    <hyperlink ref="B96" r:id="rId84" xr:uid="{00000000-0004-0000-0400-000053000000}"/>
    <hyperlink ref="B97" r:id="rId85" xr:uid="{00000000-0004-0000-0400-000054000000}"/>
    <hyperlink ref="B98" r:id="rId86" xr:uid="{00000000-0004-0000-0400-000055000000}"/>
    <hyperlink ref="B99" r:id="rId87" xr:uid="{00000000-0004-0000-0400-000056000000}"/>
    <hyperlink ref="B147" r:id="rId88" xr:uid="{00000000-0004-0000-0400-000057000000}"/>
    <hyperlink ref="B148" r:id="rId89" xr:uid="{00000000-0004-0000-0400-000058000000}"/>
    <hyperlink ref="B149" r:id="rId90" xr:uid="{00000000-0004-0000-0400-000059000000}"/>
    <hyperlink ref="B150" r:id="rId91" xr:uid="{00000000-0004-0000-0400-00005A000000}"/>
    <hyperlink ref="B151" r:id="rId92" xr:uid="{00000000-0004-0000-0400-00005B000000}"/>
    <hyperlink ref="B152" r:id="rId93" xr:uid="{00000000-0004-0000-0400-00005C000000}"/>
    <hyperlink ref="B153" r:id="rId94" xr:uid="{00000000-0004-0000-0400-00005D000000}"/>
    <hyperlink ref="B154" r:id="rId95" xr:uid="{00000000-0004-0000-0400-00005E000000}"/>
    <hyperlink ref="B155" r:id="rId96" xr:uid="{00000000-0004-0000-0400-00005F000000}"/>
    <hyperlink ref="B156" r:id="rId97" xr:uid="{00000000-0004-0000-0400-000060000000}"/>
    <hyperlink ref="B157" r:id="rId98" xr:uid="{00000000-0004-0000-0400-000061000000}"/>
    <hyperlink ref="B158" r:id="rId99" xr:uid="{00000000-0004-0000-0400-000062000000}"/>
    <hyperlink ref="B159" r:id="rId100" xr:uid="{00000000-0004-0000-0400-000063000000}"/>
    <hyperlink ref="B160" r:id="rId101" xr:uid="{00000000-0004-0000-0400-000064000000}"/>
    <hyperlink ref="B161" r:id="rId102" xr:uid="{00000000-0004-0000-0400-000065000000}"/>
    <hyperlink ref="B162" r:id="rId103" xr:uid="{00000000-0004-0000-0400-000066000000}"/>
    <hyperlink ref="B163" r:id="rId104" xr:uid="{00000000-0004-0000-0400-000067000000}"/>
    <hyperlink ref="B164" r:id="rId105" xr:uid="{00000000-0004-0000-0400-000068000000}"/>
    <hyperlink ref="B165" r:id="rId106" xr:uid="{00000000-0004-0000-0400-000069000000}"/>
    <hyperlink ref="B166" r:id="rId107" xr:uid="{00000000-0004-0000-0400-00006A000000}"/>
    <hyperlink ref="B167" r:id="rId108" xr:uid="{00000000-0004-0000-0400-00006B000000}"/>
    <hyperlink ref="B168" r:id="rId109" xr:uid="{00000000-0004-0000-0400-00006C000000}"/>
    <hyperlink ref="B110" r:id="rId110" xr:uid="{00000000-0004-0000-0400-00006D000000}"/>
    <hyperlink ref="B111" r:id="rId111" xr:uid="{00000000-0004-0000-0400-00006E000000}"/>
    <hyperlink ref="B112" r:id="rId112" xr:uid="{00000000-0004-0000-0400-00006F000000}"/>
    <hyperlink ref="B113" r:id="rId113" xr:uid="{00000000-0004-0000-0400-000070000000}"/>
    <hyperlink ref="B114" r:id="rId114" xr:uid="{00000000-0004-0000-0400-000071000000}"/>
    <hyperlink ref="B115" r:id="rId115" xr:uid="{00000000-0004-0000-0400-000072000000}"/>
    <hyperlink ref="B116" r:id="rId116" xr:uid="{00000000-0004-0000-0400-000073000000}"/>
    <hyperlink ref="B117" r:id="rId117" xr:uid="{00000000-0004-0000-0400-000074000000}"/>
    <hyperlink ref="B118" r:id="rId118" xr:uid="{00000000-0004-0000-0400-000075000000}"/>
    <hyperlink ref="B119" r:id="rId119" xr:uid="{00000000-0004-0000-0400-000076000000}"/>
    <hyperlink ref="B120" r:id="rId120" xr:uid="{00000000-0004-0000-0400-000077000000}"/>
    <hyperlink ref="B121" r:id="rId121" xr:uid="{00000000-0004-0000-0400-000078000000}"/>
    <hyperlink ref="B122" r:id="rId122" xr:uid="{00000000-0004-0000-0400-000079000000}"/>
    <hyperlink ref="B123" r:id="rId123" xr:uid="{00000000-0004-0000-0400-00007A000000}"/>
    <hyperlink ref="B124" r:id="rId124" xr:uid="{00000000-0004-0000-0400-00007B000000}"/>
    <hyperlink ref="B125" r:id="rId125" xr:uid="{00000000-0004-0000-0400-00007C000000}"/>
    <hyperlink ref="B126" r:id="rId126" xr:uid="{00000000-0004-0000-0400-00007D000000}"/>
    <hyperlink ref="B127" r:id="rId127" xr:uid="{00000000-0004-0000-0400-00007E000000}"/>
    <hyperlink ref="B128" r:id="rId128" xr:uid="{00000000-0004-0000-0400-00007F000000}"/>
    <hyperlink ref="B129" r:id="rId129" xr:uid="{00000000-0004-0000-0400-000080000000}"/>
    <hyperlink ref="B130" r:id="rId130" xr:uid="{00000000-0004-0000-0400-000081000000}"/>
    <hyperlink ref="B131" r:id="rId131" xr:uid="{00000000-0004-0000-0400-000082000000}"/>
    <hyperlink ref="B132" r:id="rId132" xr:uid="{00000000-0004-0000-0400-000083000000}"/>
    <hyperlink ref="B133" r:id="rId133" xr:uid="{00000000-0004-0000-0400-000084000000}"/>
    <hyperlink ref="B134" r:id="rId134" xr:uid="{00000000-0004-0000-0400-000085000000}"/>
    <hyperlink ref="B135" r:id="rId135" xr:uid="{00000000-0004-0000-0400-000086000000}"/>
    <hyperlink ref="B136" r:id="rId136" xr:uid="{00000000-0004-0000-0400-000087000000}"/>
    <hyperlink ref="B137" r:id="rId137" xr:uid="{00000000-0004-0000-0400-000088000000}"/>
    <hyperlink ref="B138" r:id="rId138" xr:uid="{00000000-0004-0000-0400-000089000000}"/>
    <hyperlink ref="B139" r:id="rId139" xr:uid="{00000000-0004-0000-0400-00008A000000}"/>
    <hyperlink ref="B140" r:id="rId140" xr:uid="{00000000-0004-0000-0400-00008B000000}"/>
    <hyperlink ref="B141" r:id="rId141" xr:uid="{00000000-0004-0000-0400-00008C000000}"/>
    <hyperlink ref="B142" r:id="rId142" xr:uid="{00000000-0004-0000-0400-00008D000000}"/>
    <hyperlink ref="B143" r:id="rId143" xr:uid="{00000000-0004-0000-0400-00008E000000}"/>
    <hyperlink ref="B144" r:id="rId144" xr:uid="{00000000-0004-0000-0400-00008F000000}"/>
    <hyperlink ref="B145" r:id="rId145" xr:uid="{00000000-0004-0000-0400-000090000000}"/>
    <hyperlink ref="B146" r:id="rId146" xr:uid="{00000000-0004-0000-0400-000091000000}"/>
    <hyperlink ref="B100" r:id="rId147" xr:uid="{00000000-0004-0000-0400-000092000000}"/>
    <hyperlink ref="B101" r:id="rId148" xr:uid="{00000000-0004-0000-0400-000093000000}"/>
    <hyperlink ref="B102" r:id="rId149" xr:uid="{00000000-0004-0000-0400-000094000000}"/>
    <hyperlink ref="B103" r:id="rId150" xr:uid="{00000000-0004-0000-0400-000095000000}"/>
    <hyperlink ref="B104" r:id="rId151" xr:uid="{00000000-0004-0000-0400-000096000000}"/>
    <hyperlink ref="B105" r:id="rId152" xr:uid="{00000000-0004-0000-0400-000097000000}"/>
    <hyperlink ref="B106" r:id="rId153" xr:uid="{00000000-0004-0000-0400-000098000000}"/>
    <hyperlink ref="B107" r:id="rId154" xr:uid="{00000000-0004-0000-0400-000099000000}"/>
    <hyperlink ref="B108" r:id="rId155" xr:uid="{00000000-0004-0000-0400-00009A000000}"/>
    <hyperlink ref="B109" r:id="rId156" xr:uid="{00000000-0004-0000-0400-00009B000000}"/>
    <hyperlink ref="B6" r:id="rId157" xr:uid="{00000000-0004-0000-0400-00009C000000}"/>
    <hyperlink ref="B19" r:id="rId158" xr:uid="{00000000-0004-0000-0400-00009D000000}"/>
    <hyperlink ref="B42" r:id="rId159" xr:uid="{00000000-0004-0000-0400-00009E000000}"/>
    <hyperlink ref="B57" r:id="rId160" display="INSURANCEEXP.OFBUILD.&amp;" xr:uid="{00000000-0004-0000-0400-00009F000000}"/>
    <hyperlink ref="B58:B59" r:id="rId161" display="INSURANCEEXP.OFBUILD.&amp;" xr:uid="{00000000-0004-0000-0400-0000A0000000}"/>
    <hyperlink ref="B60" r:id="rId162" display="INSURANCEEXP.OFBUILD.&amp;" xr:uid="{00000000-0004-0000-0400-0000A1000000}"/>
  </hyperlinks>
  <pageMargins left="0.7" right="0.7" top="0.75" bottom="0.75" header="0.3" footer="0.3"/>
  <pageSetup paperSize="9" orientation="portrait" r:id="rId16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V162"/>
  <sheetViews>
    <sheetView zoomScale="70" zoomScaleNormal="70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S17" sqref="S17:S20"/>
    </sheetView>
  </sheetViews>
  <sheetFormatPr defaultColWidth="16.28515625" defaultRowHeight="15.75"/>
  <cols>
    <col min="1" max="1" width="27.42578125" style="45" bestFit="1" customWidth="1"/>
    <col min="2" max="2" width="30.7109375" style="45" bestFit="1" customWidth="1"/>
    <col min="3" max="3" width="85.28515625" style="45" customWidth="1"/>
    <col min="4" max="4" width="19.5703125" style="35" bestFit="1" customWidth="1"/>
    <col min="5" max="5" width="14.85546875" style="35" bestFit="1" customWidth="1"/>
    <col min="6" max="6" width="37.140625" style="35" bestFit="1" customWidth="1"/>
    <col min="7" max="7" width="26.7109375" style="36" bestFit="1" customWidth="1"/>
    <col min="8" max="8" width="19.28515625" style="153" bestFit="1" customWidth="1"/>
    <col min="9" max="9" width="21" style="153" bestFit="1" customWidth="1"/>
    <col min="10" max="10" width="16.7109375" style="34" hidden="1" customWidth="1"/>
    <col min="11" max="11" width="14.42578125" style="35" hidden="1" customWidth="1"/>
    <col min="12" max="12" width="19.7109375" style="220" hidden="1" customWidth="1"/>
    <col min="13" max="13" width="26.28515625" style="220" hidden="1" customWidth="1"/>
    <col min="14" max="14" width="23.42578125" style="220" hidden="1" customWidth="1"/>
    <col min="15" max="15" width="27.28515625" style="220" hidden="1" customWidth="1"/>
    <col min="16" max="16" width="17.7109375" style="35" bestFit="1" customWidth="1"/>
    <col min="17" max="17" width="165.7109375" style="220" hidden="1" customWidth="1"/>
    <col min="18" max="18" width="15.85546875" style="224" customWidth="1"/>
    <col min="19" max="19" width="16.7109375" style="224" customWidth="1"/>
    <col min="20" max="20" width="16.28515625" style="224" customWidth="1"/>
    <col min="21" max="21" width="16.140625" style="224" customWidth="1"/>
    <col min="22" max="22" width="15.5703125" style="220" customWidth="1"/>
    <col min="23" max="26" width="16.28515625" style="1"/>
    <col min="27" max="27" width="75" style="1" bestFit="1" customWidth="1"/>
    <col min="28" max="28" width="3.85546875" style="1" bestFit="1" customWidth="1"/>
    <col min="29" max="16384" width="16.28515625" style="1"/>
  </cols>
  <sheetData>
    <row r="1" spans="1:22" ht="15.75" customHeight="1">
      <c r="A1" s="251" t="str">
        <f ca="1">"MONTHLY BUDGET TH "&amp;YEAR(TODAY())</f>
        <v>MONTHLY BUDGET TH 2024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</row>
    <row r="2" spans="1:22" ht="28.5" customHeight="1">
      <c r="A2" s="251"/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</row>
    <row r="3" spans="1:22" s="41" customFormat="1" ht="17.25" customHeight="1">
      <c r="A3" s="135" t="str">
        <f>'All Costing'!A3</f>
        <v>Periode : February-2024</v>
      </c>
      <c r="B3" s="43"/>
      <c r="C3" s="43"/>
      <c r="D3" s="37"/>
      <c r="E3" s="37"/>
      <c r="F3" s="37"/>
      <c r="G3" s="38"/>
      <c r="H3" s="149"/>
      <c r="I3" s="149"/>
      <c r="J3" s="39"/>
      <c r="K3" s="37"/>
      <c r="L3" s="43"/>
      <c r="M3" s="43"/>
      <c r="N3" s="43"/>
      <c r="O3" s="43"/>
      <c r="P3" s="37"/>
      <c r="Q3" s="43"/>
      <c r="R3" s="210"/>
      <c r="S3" s="210"/>
      <c r="T3" s="210"/>
      <c r="U3" s="210"/>
      <c r="V3" s="43"/>
    </row>
    <row r="4" spans="1:22" s="41" customFormat="1" ht="16.5" customHeight="1">
      <c r="A4" s="43"/>
      <c r="B4" s="43"/>
      <c r="C4" s="43"/>
      <c r="D4" s="37"/>
      <c r="E4" s="37"/>
      <c r="F4" s="37"/>
      <c r="G4" s="42"/>
      <c r="H4" s="149" t="s">
        <v>209</v>
      </c>
      <c r="I4" s="212"/>
      <c r="J4" s="150"/>
      <c r="K4" s="37"/>
      <c r="L4" s="43"/>
      <c r="M4" s="43"/>
      <c r="N4" s="43"/>
      <c r="O4" s="43"/>
      <c r="P4" s="37"/>
      <c r="Q4" s="43"/>
      <c r="R4" s="210"/>
      <c r="S4" s="210"/>
      <c r="T4" s="210"/>
      <c r="U4" s="210"/>
      <c r="V4" s="43"/>
    </row>
    <row r="5" spans="1:22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43" t="s">
        <v>523</v>
      </c>
      <c r="H5" s="143" t="s">
        <v>6</v>
      </c>
      <c r="I5" s="211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211" t="s">
        <v>537</v>
      </c>
      <c r="S5" s="211" t="s">
        <v>538</v>
      </c>
      <c r="T5" s="211" t="s">
        <v>539</v>
      </c>
      <c r="U5" s="211" t="s">
        <v>540</v>
      </c>
      <c r="V5" s="31" t="s">
        <v>541</v>
      </c>
    </row>
    <row r="6" spans="1:22" s="184" customFormat="1">
      <c r="A6" s="178" t="s">
        <v>9</v>
      </c>
      <c r="B6" s="219" t="s">
        <v>10</v>
      </c>
      <c r="C6" s="178" t="s">
        <v>11</v>
      </c>
      <c r="D6" s="179" t="s">
        <v>12</v>
      </c>
      <c r="E6" s="179" t="s">
        <v>13</v>
      </c>
      <c r="F6" s="180"/>
      <c r="G6" s="181">
        <v>10000</v>
      </c>
      <c r="H6" s="182">
        <v>15169.11</v>
      </c>
      <c r="I6" s="182">
        <v>-5169.1100000000006</v>
      </c>
      <c r="J6" s="183">
        <v>0.14728026373771388</v>
      </c>
      <c r="K6" s="179">
        <v>8000</v>
      </c>
      <c r="L6" s="221">
        <v>10000</v>
      </c>
      <c r="M6" s="221">
        <v>0</v>
      </c>
      <c r="N6" s="221" t="s">
        <v>319</v>
      </c>
      <c r="O6" s="221">
        <v>1</v>
      </c>
      <c r="P6" s="179" t="s">
        <v>566</v>
      </c>
      <c r="Q6" s="221" t="s">
        <v>551</v>
      </c>
      <c r="R6" s="222">
        <v>6704.4400000000023</v>
      </c>
      <c r="S6" s="222">
        <v>1706.9900000000002</v>
      </c>
      <c r="T6" s="222">
        <v>178.94</v>
      </c>
      <c r="U6" s="223">
        <v>6578.7400000000007</v>
      </c>
      <c r="V6" s="221"/>
    </row>
    <row r="7" spans="1:22" s="184" customFormat="1">
      <c r="A7" s="178" t="s">
        <v>9</v>
      </c>
      <c r="B7" s="219" t="s">
        <v>16</v>
      </c>
      <c r="C7" s="178" t="s">
        <v>17</v>
      </c>
      <c r="D7" s="179" t="s">
        <v>12</v>
      </c>
      <c r="E7" s="179" t="s">
        <v>18</v>
      </c>
      <c r="F7" s="180"/>
      <c r="G7" s="185">
        <v>1987.05</v>
      </c>
      <c r="H7" s="182">
        <v>2284</v>
      </c>
      <c r="I7" s="185">
        <v>-296.95000000000005</v>
      </c>
      <c r="J7" s="183">
        <v>2.9265324806002437E-2</v>
      </c>
      <c r="K7" s="179">
        <v>1589.64</v>
      </c>
      <c r="L7" s="221">
        <v>1987.05</v>
      </c>
      <c r="M7" s="221">
        <v>0</v>
      </c>
      <c r="N7" s="221" t="s">
        <v>211</v>
      </c>
      <c r="O7" s="221">
        <v>1</v>
      </c>
      <c r="P7" s="179" t="s">
        <v>566</v>
      </c>
      <c r="Q7" s="221" t="s">
        <v>552</v>
      </c>
      <c r="R7" s="222"/>
      <c r="S7" s="222"/>
      <c r="T7" s="222"/>
      <c r="U7" s="223">
        <v>2284</v>
      </c>
      <c r="V7" s="221"/>
    </row>
    <row r="8" spans="1:22" s="184" customFormat="1">
      <c r="A8" s="178" t="s">
        <v>9</v>
      </c>
      <c r="B8" s="219" t="s">
        <v>16</v>
      </c>
      <c r="C8" s="178" t="s">
        <v>17</v>
      </c>
      <c r="D8" s="179" t="s">
        <v>14</v>
      </c>
      <c r="E8" s="179" t="s">
        <v>19</v>
      </c>
      <c r="F8" s="180"/>
      <c r="G8" s="185">
        <v>326</v>
      </c>
      <c r="H8" s="182">
        <v>394.88</v>
      </c>
      <c r="I8" s="185">
        <v>-68.88</v>
      </c>
      <c r="J8" s="183">
        <v>4.8013365978494729E-3</v>
      </c>
      <c r="K8" s="179">
        <v>260.8</v>
      </c>
      <c r="L8" s="221">
        <v>326</v>
      </c>
      <c r="M8" s="221">
        <v>0</v>
      </c>
      <c r="N8" s="221" t="s">
        <v>192</v>
      </c>
      <c r="O8" s="221">
        <v>1</v>
      </c>
      <c r="P8" s="179" t="s">
        <v>566</v>
      </c>
      <c r="Q8" s="221" t="s">
        <v>553</v>
      </c>
      <c r="R8" s="222"/>
      <c r="S8" s="223">
        <v>394.88</v>
      </c>
      <c r="T8" s="222"/>
      <c r="U8" s="222"/>
      <c r="V8" s="221"/>
    </row>
    <row r="9" spans="1:22" s="184" customFormat="1">
      <c r="A9" s="178" t="s">
        <v>9</v>
      </c>
      <c r="B9" s="219" t="s">
        <v>20</v>
      </c>
      <c r="C9" s="178" t="s">
        <v>21</v>
      </c>
      <c r="D9" s="179" t="s">
        <v>23</v>
      </c>
      <c r="E9" s="179" t="s">
        <v>24</v>
      </c>
      <c r="F9" s="180"/>
      <c r="G9" s="185">
        <v>26.7199999999998</v>
      </c>
      <c r="H9" s="182">
        <v>706.3</v>
      </c>
      <c r="I9" s="185">
        <v>-679.58000000000015</v>
      </c>
      <c r="J9" s="183">
        <v>3.9353286470716859E-4</v>
      </c>
      <c r="K9" s="179">
        <v>21.375999999999841</v>
      </c>
      <c r="L9" s="221">
        <v>26.7199999999998</v>
      </c>
      <c r="M9" s="221">
        <v>0</v>
      </c>
      <c r="N9" s="221" t="s">
        <v>184</v>
      </c>
      <c r="O9" s="221">
        <v>3</v>
      </c>
      <c r="P9" s="179" t="s">
        <v>566</v>
      </c>
      <c r="Q9" s="221" t="s">
        <v>554</v>
      </c>
      <c r="R9" s="222"/>
      <c r="S9" s="222"/>
      <c r="T9" s="223">
        <v>475.78</v>
      </c>
      <c r="U9" s="223">
        <v>1849.3899999999999</v>
      </c>
      <c r="V9" s="221"/>
    </row>
    <row r="10" spans="1:22" s="184" customFormat="1">
      <c r="A10" s="178" t="s">
        <v>9</v>
      </c>
      <c r="B10" s="219" t="s">
        <v>31</v>
      </c>
      <c r="C10" s="178" t="s">
        <v>32</v>
      </c>
      <c r="D10" s="179" t="s">
        <v>23</v>
      </c>
      <c r="E10" s="179" t="s">
        <v>33</v>
      </c>
      <c r="F10" s="180"/>
      <c r="G10" s="185">
        <v>1000</v>
      </c>
      <c r="H10" s="182">
        <v>2612.3200000000002</v>
      </c>
      <c r="I10" s="185">
        <v>-1612.3200000000002</v>
      </c>
      <c r="J10" s="183">
        <v>1.4728026373771389E-2</v>
      </c>
      <c r="K10" s="179">
        <v>800</v>
      </c>
      <c r="L10" s="221">
        <v>1000</v>
      </c>
      <c r="M10" s="221">
        <v>0</v>
      </c>
      <c r="N10" s="221" t="s">
        <v>312</v>
      </c>
      <c r="O10" s="221">
        <v>1</v>
      </c>
      <c r="P10" s="179" t="s">
        <v>566</v>
      </c>
      <c r="Q10" s="221" t="s">
        <v>555</v>
      </c>
      <c r="R10" s="222"/>
      <c r="S10" s="223">
        <v>2590.0100000000002</v>
      </c>
      <c r="T10" s="222"/>
      <c r="U10" s="223">
        <v>22.31</v>
      </c>
      <c r="V10" s="221"/>
    </row>
    <row r="11" spans="1:22" s="184" customFormat="1">
      <c r="A11" s="178" t="s">
        <v>35</v>
      </c>
      <c r="B11" s="219" t="s">
        <v>36</v>
      </c>
      <c r="C11" s="178" t="s">
        <v>37</v>
      </c>
      <c r="D11" s="179" t="s">
        <v>23</v>
      </c>
      <c r="E11" s="179" t="s">
        <v>42</v>
      </c>
      <c r="F11" s="180"/>
      <c r="G11" s="185">
        <v>7500</v>
      </c>
      <c r="H11" s="182">
        <v>11331.25</v>
      </c>
      <c r="I11" s="185">
        <v>-3831.25</v>
      </c>
      <c r="J11" s="183">
        <v>3.2471743954324124E-2</v>
      </c>
      <c r="K11" s="179">
        <v>6000</v>
      </c>
      <c r="L11" s="221">
        <v>7500</v>
      </c>
      <c r="M11" s="221">
        <v>0</v>
      </c>
      <c r="N11" s="221" t="s">
        <v>215</v>
      </c>
      <c r="O11" s="221">
        <v>2</v>
      </c>
      <c r="P11" s="179" t="s">
        <v>566</v>
      </c>
      <c r="Q11" s="221" t="s">
        <v>556</v>
      </c>
      <c r="R11" s="222">
        <v>653.94000000000005</v>
      </c>
      <c r="S11" s="222">
        <v>1928.4</v>
      </c>
      <c r="T11" s="223">
        <v>8113.71</v>
      </c>
      <c r="U11" s="223">
        <v>635.20000000000005</v>
      </c>
      <c r="V11" s="221"/>
    </row>
    <row r="12" spans="1:22" s="184" customFormat="1">
      <c r="A12" s="178" t="s">
        <v>43</v>
      </c>
      <c r="B12" s="219" t="s">
        <v>57</v>
      </c>
      <c r="C12" s="178" t="s">
        <v>58</v>
      </c>
      <c r="D12" s="179" t="s">
        <v>12</v>
      </c>
      <c r="E12" s="179" t="s">
        <v>46</v>
      </c>
      <c r="F12" s="180" t="s">
        <v>47</v>
      </c>
      <c r="G12" s="185">
        <v>100</v>
      </c>
      <c r="H12" s="182">
        <v>357.33</v>
      </c>
      <c r="I12" s="185">
        <v>-257.33</v>
      </c>
      <c r="J12" s="183">
        <v>1.1764705882352941E-2</v>
      </c>
      <c r="K12" s="179">
        <v>80</v>
      </c>
      <c r="L12" s="221">
        <v>100</v>
      </c>
      <c r="M12" s="221">
        <v>0</v>
      </c>
      <c r="N12" s="221" t="s">
        <v>218</v>
      </c>
      <c r="O12" s="221">
        <v>6</v>
      </c>
      <c r="P12" s="179" t="s">
        <v>566</v>
      </c>
      <c r="Q12" s="221" t="s">
        <v>557</v>
      </c>
      <c r="R12" s="223">
        <v>380.95000000000005</v>
      </c>
      <c r="S12" s="223">
        <v>5.18</v>
      </c>
      <c r="T12" s="223">
        <v>0</v>
      </c>
      <c r="U12" s="223">
        <v>5.0599999999999996</v>
      </c>
      <c r="V12" s="221"/>
    </row>
    <row r="13" spans="1:22" s="184" customFormat="1">
      <c r="A13" s="178" t="s">
        <v>311</v>
      </c>
      <c r="B13" s="219" t="s">
        <v>44</v>
      </c>
      <c r="C13" s="178" t="s">
        <v>45</v>
      </c>
      <c r="D13" s="179" t="s">
        <v>12</v>
      </c>
      <c r="E13" s="179" t="s">
        <v>59</v>
      </c>
      <c r="F13" s="180" t="s">
        <v>60</v>
      </c>
      <c r="G13" s="185">
        <v>200</v>
      </c>
      <c r="H13" s="182">
        <v>632.79</v>
      </c>
      <c r="I13" s="185">
        <v>-432.78999999999996</v>
      </c>
      <c r="J13" s="183">
        <v>0.2</v>
      </c>
      <c r="K13" s="179">
        <v>160</v>
      </c>
      <c r="L13" s="221">
        <v>200</v>
      </c>
      <c r="M13" s="221">
        <v>0</v>
      </c>
      <c r="N13" s="221" t="s">
        <v>217</v>
      </c>
      <c r="O13" s="221">
        <v>5</v>
      </c>
      <c r="P13" s="179" t="s">
        <v>566</v>
      </c>
      <c r="Q13" s="221" t="s">
        <v>564</v>
      </c>
      <c r="R13" s="222"/>
      <c r="S13" s="222"/>
      <c r="T13" s="223">
        <v>632.79</v>
      </c>
      <c r="U13" s="222"/>
      <c r="V13" s="221"/>
    </row>
    <row r="14" spans="1:22" s="184" customFormat="1">
      <c r="A14" s="178" t="s">
        <v>311</v>
      </c>
      <c r="B14" s="219" t="s">
        <v>54</v>
      </c>
      <c r="C14" s="178" t="s">
        <v>55</v>
      </c>
      <c r="D14" s="179" t="s">
        <v>12</v>
      </c>
      <c r="E14" s="179" t="s">
        <v>61</v>
      </c>
      <c r="F14" s="180" t="s">
        <v>62</v>
      </c>
      <c r="G14" s="185">
        <v>700</v>
      </c>
      <c r="H14" s="182">
        <v>2090.6999999999998</v>
      </c>
      <c r="I14" s="185">
        <v>-1390.6999999999998</v>
      </c>
      <c r="J14" s="183">
        <v>0.7</v>
      </c>
      <c r="K14" s="179">
        <v>560</v>
      </c>
      <c r="L14" s="221">
        <v>700</v>
      </c>
      <c r="M14" s="221">
        <v>0</v>
      </c>
      <c r="N14" s="221" t="s">
        <v>210</v>
      </c>
      <c r="O14" s="221">
        <v>2</v>
      </c>
      <c r="P14" s="179" t="s">
        <v>566</v>
      </c>
      <c r="Q14" s="221" t="s">
        <v>565</v>
      </c>
      <c r="R14" s="223">
        <v>2090.6999999999998</v>
      </c>
      <c r="S14" s="222"/>
      <c r="T14" s="222"/>
      <c r="U14" s="222"/>
      <c r="V14" s="221"/>
    </row>
    <row r="15" spans="1:22" s="184" customFormat="1">
      <c r="A15" s="178" t="s">
        <v>65</v>
      </c>
      <c r="B15" s="219" t="s">
        <v>66</v>
      </c>
      <c r="C15" s="178" t="s">
        <v>67</v>
      </c>
      <c r="D15" s="179" t="s">
        <v>12</v>
      </c>
      <c r="E15" s="179" t="s">
        <v>18</v>
      </c>
      <c r="F15" s="180"/>
      <c r="G15" s="185"/>
      <c r="H15" s="182">
        <v>165.91</v>
      </c>
      <c r="I15" s="185">
        <v>-165.91</v>
      </c>
      <c r="J15" s="183">
        <v>0</v>
      </c>
      <c r="K15" s="179">
        <v>0</v>
      </c>
      <c r="L15" s="221">
        <v>0</v>
      </c>
      <c r="M15" s="221">
        <v>0</v>
      </c>
      <c r="N15" s="221" t="s">
        <v>177</v>
      </c>
      <c r="O15" s="221">
        <v>1</v>
      </c>
      <c r="P15" s="179" t="s">
        <v>566</v>
      </c>
      <c r="Q15" s="221" t="s">
        <v>558</v>
      </c>
      <c r="R15" s="222"/>
      <c r="S15" s="222"/>
      <c r="T15" s="222"/>
      <c r="U15" s="223">
        <v>165.91</v>
      </c>
      <c r="V15" s="221"/>
    </row>
    <row r="16" spans="1:22" s="184" customFormat="1">
      <c r="A16" s="178" t="s">
        <v>65</v>
      </c>
      <c r="B16" s="219" t="s">
        <v>83</v>
      </c>
      <c r="C16" s="178" t="s">
        <v>84</v>
      </c>
      <c r="D16" s="179" t="s">
        <v>12</v>
      </c>
      <c r="E16" s="179" t="s">
        <v>73</v>
      </c>
      <c r="F16" s="180"/>
      <c r="G16" s="185">
        <v>3004.76</v>
      </c>
      <c r="H16" s="182">
        <v>8323.4</v>
      </c>
      <c r="I16" s="185">
        <v>-5318.6399999999994</v>
      </c>
      <c r="J16" s="183">
        <v>3.4479790933649633E-2</v>
      </c>
      <c r="K16" s="179">
        <v>2403.8080000000004</v>
      </c>
      <c r="L16" s="221">
        <v>3004.76</v>
      </c>
      <c r="M16" s="221">
        <v>0</v>
      </c>
      <c r="N16" s="221" t="s">
        <v>225</v>
      </c>
      <c r="O16" s="221">
        <v>1</v>
      </c>
      <c r="P16" s="179" t="s">
        <v>566</v>
      </c>
      <c r="Q16" s="221" t="s">
        <v>558</v>
      </c>
      <c r="R16" s="222"/>
      <c r="S16" s="222"/>
      <c r="T16" s="222">
        <v>783.81999999999994</v>
      </c>
      <c r="U16" s="223">
        <v>7539.58</v>
      </c>
      <c r="V16" s="221"/>
    </row>
    <row r="17" spans="1:22" s="184" customFormat="1">
      <c r="A17" s="178" t="s">
        <v>65</v>
      </c>
      <c r="B17" s="219" t="s">
        <v>97</v>
      </c>
      <c r="C17" s="178" t="s">
        <v>98</v>
      </c>
      <c r="D17" s="179" t="s">
        <v>14</v>
      </c>
      <c r="E17" s="179" t="s">
        <v>73</v>
      </c>
      <c r="F17" s="180"/>
      <c r="G17" s="185">
        <v>9.69</v>
      </c>
      <c r="H17" s="182">
        <v>20.88</v>
      </c>
      <c r="I17" s="185">
        <v>-11.19</v>
      </c>
      <c r="J17" s="183">
        <v>1.1119329801616931E-4</v>
      </c>
      <c r="K17" s="179">
        <v>7.7519999999999998</v>
      </c>
      <c r="L17" s="221">
        <v>9.69</v>
      </c>
      <c r="M17" s="221">
        <v>0</v>
      </c>
      <c r="N17" s="221" t="s">
        <v>200</v>
      </c>
      <c r="O17" s="221">
        <v>1</v>
      </c>
      <c r="P17" s="179" t="s">
        <v>566</v>
      </c>
      <c r="Q17" s="221" t="s">
        <v>559</v>
      </c>
      <c r="R17" s="222"/>
      <c r="S17" s="223">
        <v>20.88</v>
      </c>
      <c r="T17" s="222"/>
      <c r="U17" s="222"/>
      <c r="V17" s="221"/>
    </row>
    <row r="18" spans="1:22" s="184" customFormat="1">
      <c r="A18" s="178" t="s">
        <v>65</v>
      </c>
      <c r="B18" s="219" t="s">
        <v>100</v>
      </c>
      <c r="C18" s="178" t="s">
        <v>101</v>
      </c>
      <c r="D18" s="179" t="s">
        <v>12</v>
      </c>
      <c r="E18" s="179" t="s">
        <v>73</v>
      </c>
      <c r="F18" s="180"/>
      <c r="G18" s="185">
        <v>400</v>
      </c>
      <c r="H18" s="182">
        <v>1454.06</v>
      </c>
      <c r="I18" s="185">
        <v>-1054.06</v>
      </c>
      <c r="J18" s="183">
        <v>4.5900226219264938E-3</v>
      </c>
      <c r="K18" s="179">
        <v>320</v>
      </c>
      <c r="L18" s="221">
        <v>400</v>
      </c>
      <c r="M18" s="221">
        <v>0</v>
      </c>
      <c r="N18" s="221" t="s">
        <v>231</v>
      </c>
      <c r="O18" s="221">
        <v>1</v>
      </c>
      <c r="P18" s="179" t="s">
        <v>566</v>
      </c>
      <c r="Q18" s="221" t="s">
        <v>560</v>
      </c>
      <c r="R18" s="222">
        <v>335.38</v>
      </c>
      <c r="S18" s="223">
        <v>542.84</v>
      </c>
      <c r="T18" s="223">
        <v>278.43</v>
      </c>
      <c r="U18" s="223">
        <v>297.41000000000003</v>
      </c>
      <c r="V18" s="221"/>
    </row>
    <row r="19" spans="1:22" s="184" customFormat="1">
      <c r="A19" s="178" t="s">
        <v>65</v>
      </c>
      <c r="B19" s="219" t="s">
        <v>106</v>
      </c>
      <c r="C19" s="178" t="s">
        <v>107</v>
      </c>
      <c r="D19" s="179" t="s">
        <v>12</v>
      </c>
      <c r="E19" s="179" t="s">
        <v>80</v>
      </c>
      <c r="F19" s="180"/>
      <c r="G19" s="185">
        <v>100</v>
      </c>
      <c r="H19" s="182">
        <v>510.61</v>
      </c>
      <c r="I19" s="185">
        <v>-410.61</v>
      </c>
      <c r="J19" s="183">
        <v>1.1475056554816235E-3</v>
      </c>
      <c r="K19" s="179">
        <v>80</v>
      </c>
      <c r="L19" s="221">
        <v>100</v>
      </c>
      <c r="M19" s="221">
        <v>0</v>
      </c>
      <c r="N19" s="221" t="s">
        <v>234</v>
      </c>
      <c r="O19" s="221">
        <v>1</v>
      </c>
      <c r="P19" s="179" t="s">
        <v>566</v>
      </c>
      <c r="Q19" s="221" t="s">
        <v>558</v>
      </c>
      <c r="R19" s="222"/>
      <c r="S19" s="223">
        <v>459.99</v>
      </c>
      <c r="T19" s="223">
        <v>50.62</v>
      </c>
      <c r="U19" s="222"/>
      <c r="V19" s="221"/>
    </row>
    <row r="20" spans="1:22" s="184" customFormat="1">
      <c r="A20" s="178" t="s">
        <v>65</v>
      </c>
      <c r="B20" s="219" t="s">
        <v>114</v>
      </c>
      <c r="C20" s="178" t="s">
        <v>115</v>
      </c>
      <c r="D20" s="179" t="s">
        <v>12</v>
      </c>
      <c r="E20" s="179" t="s">
        <v>73</v>
      </c>
      <c r="F20" s="180"/>
      <c r="G20" s="185">
        <v>328.75</v>
      </c>
      <c r="H20" s="182">
        <v>854.27</v>
      </c>
      <c r="I20" s="185">
        <v>-525.52</v>
      </c>
      <c r="J20" s="183">
        <v>3.7724248423958375E-3</v>
      </c>
      <c r="K20" s="179">
        <v>263</v>
      </c>
      <c r="L20" s="221">
        <v>328.75</v>
      </c>
      <c r="M20" s="221">
        <v>0</v>
      </c>
      <c r="N20" s="221" t="s">
        <v>238</v>
      </c>
      <c r="O20" s="221">
        <v>1</v>
      </c>
      <c r="P20" s="179" t="s">
        <v>566</v>
      </c>
      <c r="Q20" s="221" t="s">
        <v>561</v>
      </c>
      <c r="R20" s="222"/>
      <c r="S20" s="223">
        <v>854.27</v>
      </c>
      <c r="T20" s="222"/>
      <c r="U20" s="222"/>
      <c r="V20" s="221"/>
    </row>
    <row r="21" spans="1:22" s="184" customFormat="1">
      <c r="A21" s="178" t="s">
        <v>65</v>
      </c>
      <c r="B21" s="219" t="s">
        <v>118</v>
      </c>
      <c r="C21" s="178" t="s">
        <v>119</v>
      </c>
      <c r="D21" s="179" t="s">
        <v>99</v>
      </c>
      <c r="E21" s="179" t="s">
        <v>120</v>
      </c>
      <c r="F21" s="180"/>
      <c r="G21" s="185">
        <v>516.97</v>
      </c>
      <c r="H21" s="182">
        <v>562.23</v>
      </c>
      <c r="I21" s="185">
        <v>-45.259999999999991</v>
      </c>
      <c r="J21" s="183">
        <v>5.9322599871433493E-3</v>
      </c>
      <c r="K21" s="179">
        <v>413.57600000000002</v>
      </c>
      <c r="L21" s="221">
        <v>516.97</v>
      </c>
      <c r="M21" s="221">
        <v>0</v>
      </c>
      <c r="N21" s="221" t="s">
        <v>206</v>
      </c>
      <c r="O21" s="221">
        <v>1</v>
      </c>
      <c r="P21" s="179" t="s">
        <v>566</v>
      </c>
      <c r="Q21" s="221" t="s">
        <v>562</v>
      </c>
      <c r="R21" s="222"/>
      <c r="S21" s="222">
        <v>508.13</v>
      </c>
      <c r="T21" s="223">
        <v>54.1</v>
      </c>
      <c r="U21" s="222"/>
      <c r="V21" s="221"/>
    </row>
    <row r="22" spans="1:22" s="184" customFormat="1">
      <c r="A22" s="178" t="s">
        <v>65</v>
      </c>
      <c r="B22" s="219" t="s">
        <v>20</v>
      </c>
      <c r="C22" s="178" t="s">
        <v>121</v>
      </c>
      <c r="D22" s="179" t="s">
        <v>99</v>
      </c>
      <c r="E22" s="179" t="s">
        <v>73</v>
      </c>
      <c r="F22" s="180"/>
      <c r="G22" s="185">
        <v>1115.46</v>
      </c>
      <c r="H22" s="182">
        <v>1165.8</v>
      </c>
      <c r="I22" s="185">
        <v>-50.339999999999918</v>
      </c>
      <c r="J22" s="183">
        <v>1.2799966584635319E-2</v>
      </c>
      <c r="K22" s="179">
        <v>892.36800000000005</v>
      </c>
      <c r="L22" s="221">
        <v>1115.46</v>
      </c>
      <c r="M22" s="221">
        <v>0</v>
      </c>
      <c r="N22" s="221" t="s">
        <v>181</v>
      </c>
      <c r="O22" s="221">
        <v>1</v>
      </c>
      <c r="P22" s="179" t="s">
        <v>566</v>
      </c>
      <c r="Q22" s="221" t="s">
        <v>563</v>
      </c>
      <c r="R22" s="222"/>
      <c r="S22" s="222"/>
      <c r="T22" s="222"/>
      <c r="U22" s="223">
        <v>1165.8000000000002</v>
      </c>
      <c r="V22" s="221"/>
    </row>
    <row r="23" spans="1:22" s="184" customFormat="1">
      <c r="A23" s="178" t="s">
        <v>65</v>
      </c>
      <c r="B23" s="219" t="s">
        <v>20</v>
      </c>
      <c r="C23" s="178" t="s">
        <v>121</v>
      </c>
      <c r="D23" s="179" t="s">
        <v>23</v>
      </c>
      <c r="E23" s="179" t="s">
        <v>73</v>
      </c>
      <c r="F23" s="179"/>
      <c r="G23" s="185">
        <v>1328.48</v>
      </c>
      <c r="H23" s="185">
        <v>1436.85</v>
      </c>
      <c r="I23" s="185">
        <v>-108.36999999999989</v>
      </c>
      <c r="J23" s="183">
        <v>1.5244383131942272E-2</v>
      </c>
      <c r="K23" s="179">
        <v>1062.7840000000001</v>
      </c>
      <c r="L23" s="221">
        <v>1328.48</v>
      </c>
      <c r="M23" s="221">
        <v>0</v>
      </c>
      <c r="N23" s="221" t="s">
        <v>184</v>
      </c>
      <c r="O23" s="221">
        <v>3</v>
      </c>
      <c r="P23" s="179" t="s">
        <v>566</v>
      </c>
      <c r="Q23" s="221" t="s">
        <v>563</v>
      </c>
      <c r="R23" s="222"/>
      <c r="S23" s="222"/>
      <c r="T23" s="222">
        <v>475.78</v>
      </c>
      <c r="U23" s="223">
        <v>1849.3899999999999</v>
      </c>
      <c r="V23" s="221"/>
    </row>
    <row r="24" spans="1:22" s="184" customFormat="1">
      <c r="A24" s="178" t="s">
        <v>65</v>
      </c>
      <c r="B24" s="219" t="s">
        <v>20</v>
      </c>
      <c r="C24" s="178" t="s">
        <v>121</v>
      </c>
      <c r="D24" s="179" t="s">
        <v>14</v>
      </c>
      <c r="E24" s="179" t="s">
        <v>73</v>
      </c>
      <c r="F24" s="179"/>
      <c r="G24" s="185">
        <v>1328.28</v>
      </c>
      <c r="H24" s="185">
        <v>1377.62</v>
      </c>
      <c r="I24" s="185">
        <v>-49.339999999999918</v>
      </c>
      <c r="J24" s="183">
        <v>1.5242088120631308E-2</v>
      </c>
      <c r="K24" s="179">
        <v>1062.624</v>
      </c>
      <c r="L24" s="221">
        <v>1328.28</v>
      </c>
      <c r="M24" s="221">
        <v>0</v>
      </c>
      <c r="N24" s="221" t="s">
        <v>183</v>
      </c>
      <c r="O24" s="221">
        <v>3</v>
      </c>
      <c r="P24" s="179" t="s">
        <v>566</v>
      </c>
      <c r="Q24" s="221" t="s">
        <v>563</v>
      </c>
      <c r="R24" s="222"/>
      <c r="S24" s="222">
        <v>18.11</v>
      </c>
      <c r="T24" s="223">
        <v>4939.9099999999262</v>
      </c>
      <c r="U24" s="223">
        <v>2319.5199999999995</v>
      </c>
      <c r="V24" s="221"/>
    </row>
    <row r="25" spans="1:22" s="184" customFormat="1">
      <c r="A25" s="178" t="s">
        <v>139</v>
      </c>
      <c r="B25" s="219" t="s">
        <v>116</v>
      </c>
      <c r="C25" s="178" t="s">
        <v>117</v>
      </c>
      <c r="D25" s="179" t="s">
        <v>99</v>
      </c>
      <c r="E25" s="179" t="s">
        <v>93</v>
      </c>
      <c r="F25" s="179"/>
      <c r="G25" s="185">
        <v>1460</v>
      </c>
      <c r="H25" s="185">
        <v>2181.4299999999998</v>
      </c>
      <c r="I25" s="185">
        <v>-721.42999999999984</v>
      </c>
      <c r="J25" s="183">
        <v>1.4527826581310844E-2</v>
      </c>
      <c r="K25" s="179">
        <v>1168</v>
      </c>
      <c r="L25" s="221">
        <v>1460</v>
      </c>
      <c r="M25" s="221">
        <v>0</v>
      </c>
      <c r="N25" s="221" t="s">
        <v>251</v>
      </c>
      <c r="O25" s="221">
        <v>1</v>
      </c>
      <c r="P25" s="179" t="s">
        <v>566</v>
      </c>
      <c r="Q25" s="221" t="s">
        <v>567</v>
      </c>
      <c r="R25" s="222"/>
      <c r="S25" s="223">
        <v>2181.4299999999998</v>
      </c>
      <c r="T25" s="222"/>
      <c r="U25" s="222"/>
      <c r="V25" s="221"/>
    </row>
    <row r="26" spans="1:22" s="184" customFormat="1">
      <c r="A26" s="178" t="s">
        <v>139</v>
      </c>
      <c r="B26" s="219" t="s">
        <v>106</v>
      </c>
      <c r="C26" s="178" t="s">
        <v>107</v>
      </c>
      <c r="D26" s="179" t="s">
        <v>99</v>
      </c>
      <c r="E26" s="179" t="s">
        <v>141</v>
      </c>
      <c r="F26" s="179"/>
      <c r="G26" s="185">
        <v>50</v>
      </c>
      <c r="H26" s="185">
        <v>1313.04</v>
      </c>
      <c r="I26" s="185">
        <v>-1263.04</v>
      </c>
      <c r="J26" s="183">
        <v>4.9752830757913849E-4</v>
      </c>
      <c r="K26" s="179">
        <v>40</v>
      </c>
      <c r="L26" s="221">
        <v>50</v>
      </c>
      <c r="M26" s="221">
        <v>0</v>
      </c>
      <c r="N26" s="221" t="s">
        <v>259</v>
      </c>
      <c r="O26" s="221">
        <v>1</v>
      </c>
      <c r="P26" s="179" t="s">
        <v>566</v>
      </c>
      <c r="Q26" s="221" t="s">
        <v>568</v>
      </c>
      <c r="R26" s="222"/>
      <c r="S26" s="222"/>
      <c r="T26" s="222"/>
      <c r="U26" s="223">
        <v>1313.04</v>
      </c>
      <c r="V26" s="221"/>
    </row>
    <row r="27" spans="1:22" s="184" customFormat="1">
      <c r="A27" s="178" t="s">
        <v>139</v>
      </c>
      <c r="B27" s="219" t="s">
        <v>122</v>
      </c>
      <c r="C27" s="178" t="s">
        <v>123</v>
      </c>
      <c r="D27" s="179" t="s">
        <v>99</v>
      </c>
      <c r="E27" s="179" t="s">
        <v>141</v>
      </c>
      <c r="F27" s="179"/>
      <c r="G27" s="185">
        <v>3978</v>
      </c>
      <c r="H27" s="185">
        <v>4309.0600000000004</v>
      </c>
      <c r="I27" s="185">
        <v>-331.0600000000004</v>
      </c>
      <c r="J27" s="183">
        <v>3.9583352150996259E-2</v>
      </c>
      <c r="K27" s="179">
        <v>3182.4</v>
      </c>
      <c r="L27" s="221">
        <v>3978</v>
      </c>
      <c r="M27" s="221">
        <v>0</v>
      </c>
      <c r="N27" s="221" t="s">
        <v>263</v>
      </c>
      <c r="O27" s="221">
        <v>1</v>
      </c>
      <c r="P27" s="179" t="s">
        <v>566</v>
      </c>
      <c r="Q27" s="221" t="s">
        <v>569</v>
      </c>
      <c r="R27" s="222">
        <v>560.26</v>
      </c>
      <c r="S27" s="222">
        <v>1112.7300000000002</v>
      </c>
      <c r="T27" s="222">
        <v>1171.0300000000002</v>
      </c>
      <c r="U27" s="223">
        <v>1465.0399999999995</v>
      </c>
      <c r="V27" s="221"/>
    </row>
    <row r="28" spans="1:22" s="184" customFormat="1">
      <c r="A28" s="178" t="s">
        <v>139</v>
      </c>
      <c r="B28" s="219" t="s">
        <v>74</v>
      </c>
      <c r="C28" s="178" t="s">
        <v>75</v>
      </c>
      <c r="D28" s="179" t="s">
        <v>99</v>
      </c>
      <c r="E28" s="179" t="s">
        <v>73</v>
      </c>
      <c r="F28" s="179"/>
      <c r="G28" s="185">
        <v>3463.43</v>
      </c>
      <c r="H28" s="185">
        <v>3779.14</v>
      </c>
      <c r="I28" s="185">
        <v>-315.71000000000004</v>
      </c>
      <c r="J28" s="183">
        <v>3.446308932637631E-2</v>
      </c>
      <c r="K28" s="179">
        <v>2770.7440000000001</v>
      </c>
      <c r="L28" s="221">
        <v>3463.43</v>
      </c>
      <c r="M28" s="221">
        <v>0</v>
      </c>
      <c r="N28" s="221" t="s">
        <v>265</v>
      </c>
      <c r="O28" s="221">
        <v>1</v>
      </c>
      <c r="P28" s="179" t="s">
        <v>566</v>
      </c>
      <c r="Q28" s="221" t="s">
        <v>570</v>
      </c>
      <c r="R28" s="222"/>
      <c r="S28" s="222"/>
      <c r="T28" s="223">
        <v>3779.14</v>
      </c>
      <c r="U28" s="222"/>
      <c r="V28" s="221"/>
    </row>
    <row r="29" spans="1:22" s="184" customFormat="1">
      <c r="A29" s="178" t="s">
        <v>322</v>
      </c>
      <c r="B29" s="219" t="s">
        <v>116</v>
      </c>
      <c r="C29" s="178" t="s">
        <v>117</v>
      </c>
      <c r="D29" s="179" t="s">
        <v>23</v>
      </c>
      <c r="E29" s="179" t="s">
        <v>93</v>
      </c>
      <c r="F29" s="179"/>
      <c r="G29" s="185">
        <v>3183.98</v>
      </c>
      <c r="H29" s="185">
        <v>3929.89</v>
      </c>
      <c r="I29" s="185">
        <v>-745.90999999999985</v>
      </c>
      <c r="J29" s="183">
        <v>1.284789661381147E-2</v>
      </c>
      <c r="K29" s="179">
        <v>2547.1840000000002</v>
      </c>
      <c r="L29" s="221">
        <v>3183.98</v>
      </c>
      <c r="M29" s="221">
        <v>0</v>
      </c>
      <c r="N29" s="221" t="s">
        <v>274</v>
      </c>
      <c r="O29" s="221">
        <v>1</v>
      </c>
      <c r="P29" s="179" t="s">
        <v>566</v>
      </c>
      <c r="Q29" s="221" t="s">
        <v>571</v>
      </c>
      <c r="R29" s="222"/>
      <c r="S29" s="223">
        <v>3929.89</v>
      </c>
      <c r="T29" s="222"/>
      <c r="U29" s="222"/>
      <c r="V29" s="221"/>
    </row>
    <row r="30" spans="1:22" s="184" customFormat="1">
      <c r="A30" s="178" t="s">
        <v>322</v>
      </c>
      <c r="B30" s="219" t="s">
        <v>110</v>
      </c>
      <c r="C30" s="178" t="s">
        <v>111</v>
      </c>
      <c r="D30" s="179" t="s">
        <v>23</v>
      </c>
      <c r="E30" s="179" t="s">
        <v>151</v>
      </c>
      <c r="F30" s="179"/>
      <c r="G30" s="185">
        <v>250</v>
      </c>
      <c r="H30" s="185">
        <v>471.43</v>
      </c>
      <c r="I30" s="185">
        <v>-221.43</v>
      </c>
      <c r="J30" s="183">
        <v>1.0087921888494486E-3</v>
      </c>
      <c r="K30" s="179">
        <v>200</v>
      </c>
      <c r="L30" s="221">
        <v>250</v>
      </c>
      <c r="M30" s="221">
        <v>0</v>
      </c>
      <c r="N30" s="221" t="s">
        <v>284</v>
      </c>
      <c r="O30" s="221">
        <v>1</v>
      </c>
      <c r="P30" s="179" t="s">
        <v>566</v>
      </c>
      <c r="Q30" s="221" t="s">
        <v>572</v>
      </c>
      <c r="R30" s="222"/>
      <c r="S30" s="222"/>
      <c r="T30" s="222"/>
      <c r="U30" s="223">
        <v>471.43</v>
      </c>
      <c r="V30" s="221"/>
    </row>
    <row r="31" spans="1:22" s="184" customFormat="1">
      <c r="A31" s="178" t="s">
        <v>322</v>
      </c>
      <c r="B31" s="219" t="s">
        <v>122</v>
      </c>
      <c r="C31" s="178" t="s">
        <v>123</v>
      </c>
      <c r="D31" s="179" t="s">
        <v>23</v>
      </c>
      <c r="E31" s="179" t="s">
        <v>151</v>
      </c>
      <c r="F31" s="179"/>
      <c r="G31" s="185">
        <v>1500</v>
      </c>
      <c r="H31" s="185">
        <v>3525.46</v>
      </c>
      <c r="I31" s="185">
        <v>-2025.46</v>
      </c>
      <c r="J31" s="183">
        <v>6.0527531330966918E-3</v>
      </c>
      <c r="K31" s="179">
        <v>1200</v>
      </c>
      <c r="L31" s="221">
        <v>1500</v>
      </c>
      <c r="M31" s="221">
        <v>0</v>
      </c>
      <c r="N31" s="221" t="s">
        <v>286</v>
      </c>
      <c r="O31" s="221">
        <v>1</v>
      </c>
      <c r="P31" s="179" t="s">
        <v>566</v>
      </c>
      <c r="Q31" s="221" t="s">
        <v>573</v>
      </c>
      <c r="R31" s="222">
        <v>906.59</v>
      </c>
      <c r="S31" s="222">
        <v>487.23999999999978</v>
      </c>
      <c r="T31" s="223">
        <v>1136.3599999999997</v>
      </c>
      <c r="U31" s="223">
        <v>995.27</v>
      </c>
      <c r="V31" s="221"/>
    </row>
    <row r="32" spans="1:22" s="184" customFormat="1">
      <c r="A32" s="178" t="s">
        <v>322</v>
      </c>
      <c r="B32" s="219" t="s">
        <v>116</v>
      </c>
      <c r="C32" s="178" t="s">
        <v>117</v>
      </c>
      <c r="D32" s="179" t="s">
        <v>14</v>
      </c>
      <c r="E32" s="179" t="s">
        <v>93</v>
      </c>
      <c r="F32" s="179"/>
      <c r="G32" s="185">
        <v>3500</v>
      </c>
      <c r="H32" s="185">
        <v>4436.3599999999997</v>
      </c>
      <c r="I32" s="185">
        <v>-936.35999999999967</v>
      </c>
      <c r="J32" s="183">
        <v>1.4123090643892281E-2</v>
      </c>
      <c r="K32" s="179">
        <v>2800</v>
      </c>
      <c r="L32" s="221">
        <v>3500</v>
      </c>
      <c r="M32" s="221">
        <v>0</v>
      </c>
      <c r="N32" s="221" t="s">
        <v>291</v>
      </c>
      <c r="O32" s="221">
        <v>1</v>
      </c>
      <c r="P32" s="179" t="s">
        <v>566</v>
      </c>
      <c r="Q32" s="221" t="s">
        <v>574</v>
      </c>
      <c r="R32" s="222"/>
      <c r="S32" s="223">
        <v>4436.3599999999997</v>
      </c>
      <c r="T32" s="222"/>
      <c r="U32" s="222"/>
      <c r="V32" s="221"/>
    </row>
    <row r="33" spans="1:22" s="184" customFormat="1">
      <c r="A33" s="178" t="s">
        <v>322</v>
      </c>
      <c r="B33" s="219" t="s">
        <v>66</v>
      </c>
      <c r="C33" s="178" t="s">
        <v>67</v>
      </c>
      <c r="D33" s="179" t="s">
        <v>14</v>
      </c>
      <c r="E33" s="179" t="s">
        <v>155</v>
      </c>
      <c r="F33" s="179"/>
      <c r="G33" s="185"/>
      <c r="H33" s="185">
        <v>529.23</v>
      </c>
      <c r="I33" s="185">
        <v>-529.23</v>
      </c>
      <c r="J33" s="183">
        <v>0</v>
      </c>
      <c r="K33" s="179">
        <v>0</v>
      </c>
      <c r="L33" s="221">
        <v>0</v>
      </c>
      <c r="M33" s="221">
        <v>0</v>
      </c>
      <c r="N33" s="221" t="s">
        <v>178</v>
      </c>
      <c r="O33" s="221">
        <v>1</v>
      </c>
      <c r="P33" s="179" t="s">
        <v>566</v>
      </c>
      <c r="Q33" s="221" t="s">
        <v>575</v>
      </c>
      <c r="R33" s="222"/>
      <c r="S33" s="222"/>
      <c r="T33" s="222"/>
      <c r="U33" s="223">
        <v>529.23</v>
      </c>
      <c r="V33" s="221"/>
    </row>
    <row r="34" spans="1:22" s="184" customFormat="1">
      <c r="A34" s="178" t="s">
        <v>322</v>
      </c>
      <c r="B34" s="219" t="s">
        <v>74</v>
      </c>
      <c r="C34" s="178" t="s">
        <v>75</v>
      </c>
      <c r="D34" s="179" t="s">
        <v>14</v>
      </c>
      <c r="E34" s="179" t="s">
        <v>73</v>
      </c>
      <c r="F34" s="179"/>
      <c r="G34" s="185">
        <v>4918.54</v>
      </c>
      <c r="H34" s="185">
        <v>5107.6000000000004</v>
      </c>
      <c r="I34" s="185">
        <v>-189.0600000000004</v>
      </c>
      <c r="J34" s="183">
        <v>1.9847138930174268E-2</v>
      </c>
      <c r="K34" s="179">
        <v>3934.8320000000003</v>
      </c>
      <c r="L34" s="221">
        <v>4918.54</v>
      </c>
      <c r="M34" s="221">
        <v>0</v>
      </c>
      <c r="N34" s="221" t="s">
        <v>294</v>
      </c>
      <c r="O34" s="221">
        <v>1</v>
      </c>
      <c r="P34" s="179" t="s">
        <v>566</v>
      </c>
      <c r="Q34" s="221" t="s">
        <v>576</v>
      </c>
      <c r="R34" s="222"/>
      <c r="S34" s="222"/>
      <c r="T34" s="223">
        <v>5107.6000000000004</v>
      </c>
      <c r="U34" s="222"/>
      <c r="V34" s="221"/>
    </row>
    <row r="35" spans="1:22" s="184" customFormat="1">
      <c r="A35" s="178" t="s">
        <v>322</v>
      </c>
      <c r="B35" s="219" t="s">
        <v>106</v>
      </c>
      <c r="C35" s="178" t="s">
        <v>107</v>
      </c>
      <c r="D35" s="179" t="s">
        <v>14</v>
      </c>
      <c r="E35" s="179" t="s">
        <v>156</v>
      </c>
      <c r="F35" s="179"/>
      <c r="G35" s="185">
        <v>300</v>
      </c>
      <c r="H35" s="185">
        <v>538.35</v>
      </c>
      <c r="I35" s="185">
        <v>-238.35000000000002</v>
      </c>
      <c r="J35" s="183">
        <v>1.2105506266193384E-3</v>
      </c>
      <c r="K35" s="179">
        <v>240</v>
      </c>
      <c r="L35" s="221">
        <v>300</v>
      </c>
      <c r="M35" s="221">
        <v>0</v>
      </c>
      <c r="N35" s="221" t="s">
        <v>300</v>
      </c>
      <c r="O35" s="221">
        <v>1</v>
      </c>
      <c r="P35" s="179" t="s">
        <v>566</v>
      </c>
      <c r="Q35" s="221" t="s">
        <v>577</v>
      </c>
      <c r="R35" s="222">
        <v>110.74</v>
      </c>
      <c r="S35" s="222"/>
      <c r="T35" s="222"/>
      <c r="U35" s="223">
        <v>427.60999999999996</v>
      </c>
      <c r="V35" s="221"/>
    </row>
    <row r="36" spans="1:22" s="184" customFormat="1">
      <c r="A36" s="178" t="s">
        <v>322</v>
      </c>
      <c r="B36" s="219" t="s">
        <v>122</v>
      </c>
      <c r="C36" s="178" t="s">
        <v>123</v>
      </c>
      <c r="D36" s="179" t="s">
        <v>14</v>
      </c>
      <c r="E36" s="179" t="s">
        <v>156</v>
      </c>
      <c r="F36" s="179"/>
      <c r="G36" s="185">
        <v>2346.61</v>
      </c>
      <c r="H36" s="185">
        <v>4045.48</v>
      </c>
      <c r="I36" s="185">
        <v>-1698.87</v>
      </c>
      <c r="J36" s="183">
        <v>9.46896735310402E-3</v>
      </c>
      <c r="K36" s="179">
        <v>1877.2880000000002</v>
      </c>
      <c r="L36" s="221">
        <v>2346.61</v>
      </c>
      <c r="M36" s="221">
        <v>0</v>
      </c>
      <c r="N36" s="221" t="s">
        <v>302</v>
      </c>
      <c r="O36" s="221">
        <v>1</v>
      </c>
      <c r="P36" s="179" t="s">
        <v>566</v>
      </c>
      <c r="Q36" s="221" t="s">
        <v>578</v>
      </c>
      <c r="R36" s="222">
        <v>1024.2</v>
      </c>
      <c r="S36" s="222">
        <v>386.89000000000016</v>
      </c>
      <c r="T36" s="222">
        <v>827.00999999999988</v>
      </c>
      <c r="U36" s="223">
        <v>1807.3799999999997</v>
      </c>
      <c r="V36" s="221"/>
    </row>
    <row r="37" spans="1:22">
      <c r="B37" s="220"/>
      <c r="G37" s="152"/>
      <c r="H37" s="152"/>
      <c r="I37" s="152"/>
      <c r="J37" s="151"/>
    </row>
    <row r="38" spans="1:22">
      <c r="B38" s="220"/>
      <c r="G38" s="152"/>
      <c r="H38" s="152"/>
      <c r="I38" s="152"/>
      <c r="J38" s="151"/>
    </row>
    <row r="39" spans="1:22">
      <c r="B39" s="220"/>
      <c r="G39" s="152"/>
      <c r="H39" s="152"/>
      <c r="I39" s="152"/>
      <c r="J39" s="151"/>
    </row>
    <row r="40" spans="1:22">
      <c r="B40" s="220"/>
      <c r="G40" s="152"/>
      <c r="H40" s="152"/>
      <c r="I40" s="152"/>
      <c r="J40" s="151"/>
      <c r="Q40" s="220" t="s">
        <v>528</v>
      </c>
    </row>
    <row r="41" spans="1:22">
      <c r="B41" s="220"/>
      <c r="G41" s="152"/>
      <c r="H41" s="152"/>
      <c r="I41" s="152"/>
      <c r="J41" s="151"/>
      <c r="Q41" s="220" t="s">
        <v>528</v>
      </c>
    </row>
    <row r="42" spans="1:22">
      <c r="B42" s="220"/>
      <c r="G42" s="152"/>
      <c r="H42" s="152"/>
      <c r="I42" s="152"/>
      <c r="J42" s="151"/>
      <c r="Q42" s="220" t="s">
        <v>528</v>
      </c>
    </row>
    <row r="43" spans="1:22">
      <c r="B43" s="220"/>
      <c r="G43" s="152"/>
      <c r="H43" s="152"/>
      <c r="I43" s="152"/>
      <c r="J43" s="151"/>
      <c r="Q43" s="220" t="s">
        <v>528</v>
      </c>
    </row>
    <row r="44" spans="1:22">
      <c r="B44" s="220"/>
      <c r="G44" s="152"/>
      <c r="H44" s="152"/>
      <c r="I44" s="152"/>
      <c r="J44" s="151"/>
      <c r="Q44" s="220" t="s">
        <v>528</v>
      </c>
    </row>
    <row r="45" spans="1:22">
      <c r="B45" s="220"/>
      <c r="G45" s="152"/>
      <c r="H45" s="152"/>
      <c r="I45" s="152"/>
      <c r="J45" s="151"/>
      <c r="Q45" s="220" t="s">
        <v>528</v>
      </c>
    </row>
    <row r="46" spans="1:22">
      <c r="B46" s="220"/>
      <c r="G46" s="152"/>
      <c r="H46" s="152"/>
      <c r="I46" s="152"/>
      <c r="J46" s="151"/>
      <c r="Q46" s="220" t="s">
        <v>528</v>
      </c>
    </row>
    <row r="47" spans="1:22">
      <c r="B47" s="220"/>
      <c r="G47" s="152"/>
      <c r="H47" s="152"/>
      <c r="I47" s="152"/>
      <c r="J47" s="151"/>
      <c r="Q47" s="220" t="s">
        <v>528</v>
      </c>
    </row>
    <row r="48" spans="1:22">
      <c r="B48" s="220"/>
      <c r="G48" s="152"/>
      <c r="H48" s="152"/>
      <c r="I48" s="152"/>
      <c r="J48" s="151"/>
      <c r="Q48" s="220" t="s">
        <v>528</v>
      </c>
    </row>
    <row r="49" spans="2:17">
      <c r="B49" s="220"/>
      <c r="G49" s="152"/>
      <c r="H49" s="152"/>
      <c r="I49" s="152"/>
      <c r="J49" s="151"/>
      <c r="Q49" s="220" t="s">
        <v>528</v>
      </c>
    </row>
    <row r="50" spans="2:17">
      <c r="B50" s="220"/>
      <c r="G50" s="152"/>
      <c r="H50" s="152"/>
      <c r="I50" s="152"/>
      <c r="J50" s="151"/>
      <c r="Q50" s="220" t="s">
        <v>528</v>
      </c>
    </row>
    <row r="51" spans="2:17">
      <c r="B51" s="220"/>
      <c r="G51" s="152"/>
      <c r="H51" s="152"/>
      <c r="I51" s="152"/>
      <c r="J51" s="151"/>
      <c r="Q51" s="220" t="s">
        <v>528</v>
      </c>
    </row>
    <row r="52" spans="2:17">
      <c r="B52" s="220"/>
      <c r="G52" s="152"/>
      <c r="H52" s="152"/>
      <c r="I52" s="152"/>
      <c r="J52" s="151"/>
      <c r="Q52" s="220" t="s">
        <v>528</v>
      </c>
    </row>
    <row r="53" spans="2:17">
      <c r="B53" s="220"/>
      <c r="G53" s="152"/>
      <c r="H53" s="152"/>
      <c r="I53" s="152"/>
      <c r="J53" s="151"/>
      <c r="Q53" s="220" t="s">
        <v>528</v>
      </c>
    </row>
    <row r="54" spans="2:17">
      <c r="B54" s="220"/>
      <c r="G54" s="152"/>
      <c r="H54" s="152"/>
      <c r="I54" s="152"/>
      <c r="J54" s="151"/>
      <c r="Q54" s="220" t="s">
        <v>528</v>
      </c>
    </row>
    <row r="55" spans="2:17">
      <c r="B55" s="220"/>
      <c r="G55" s="152"/>
      <c r="H55" s="152"/>
      <c r="I55" s="152"/>
      <c r="J55" s="151"/>
      <c r="Q55" s="220" t="s">
        <v>528</v>
      </c>
    </row>
    <row r="56" spans="2:17">
      <c r="B56" s="220"/>
      <c r="G56" s="152"/>
      <c r="H56" s="152"/>
      <c r="I56" s="152"/>
      <c r="J56" s="151"/>
      <c r="Q56" s="220" t="s">
        <v>528</v>
      </c>
    </row>
    <row r="57" spans="2:17">
      <c r="B57" s="220"/>
      <c r="G57" s="152"/>
      <c r="H57" s="152"/>
      <c r="I57" s="152"/>
      <c r="J57" s="151"/>
      <c r="Q57" s="220" t="s">
        <v>528</v>
      </c>
    </row>
    <row r="58" spans="2:17">
      <c r="B58" s="220"/>
      <c r="G58" s="152"/>
      <c r="H58" s="152"/>
      <c r="I58" s="152"/>
      <c r="J58" s="151"/>
      <c r="Q58" s="220" t="s">
        <v>528</v>
      </c>
    </row>
    <row r="59" spans="2:17">
      <c r="B59" s="220"/>
      <c r="G59" s="152"/>
      <c r="H59" s="152"/>
      <c r="I59" s="152"/>
      <c r="J59" s="151"/>
      <c r="Q59" s="220" t="s">
        <v>528</v>
      </c>
    </row>
    <row r="60" spans="2:17">
      <c r="B60" s="220"/>
      <c r="G60" s="152"/>
      <c r="H60" s="152"/>
      <c r="I60" s="152"/>
      <c r="J60" s="151"/>
      <c r="Q60" s="220" t="s">
        <v>528</v>
      </c>
    </row>
    <row r="61" spans="2:17">
      <c r="B61" s="220"/>
      <c r="G61" s="152"/>
      <c r="H61" s="152"/>
      <c r="I61" s="152"/>
      <c r="J61" s="151"/>
      <c r="Q61" s="220" t="s">
        <v>528</v>
      </c>
    </row>
    <row r="62" spans="2:17">
      <c r="B62" s="220"/>
      <c r="G62" s="152"/>
      <c r="H62" s="152"/>
      <c r="I62" s="152"/>
      <c r="J62" s="151"/>
      <c r="Q62" s="220" t="s">
        <v>528</v>
      </c>
    </row>
    <row r="63" spans="2:17">
      <c r="B63" s="220"/>
      <c r="G63" s="152"/>
      <c r="H63" s="152"/>
      <c r="I63" s="152"/>
      <c r="J63" s="151"/>
      <c r="Q63" s="220" t="s">
        <v>528</v>
      </c>
    </row>
    <row r="64" spans="2:17">
      <c r="B64" s="220"/>
      <c r="G64" s="152"/>
      <c r="H64" s="152"/>
      <c r="I64" s="152"/>
      <c r="J64" s="151"/>
      <c r="Q64" s="220" t="s">
        <v>528</v>
      </c>
    </row>
    <row r="65" spans="2:17">
      <c r="B65" s="220"/>
      <c r="G65" s="152"/>
      <c r="H65" s="152"/>
      <c r="I65" s="152"/>
      <c r="J65" s="151"/>
      <c r="Q65" s="220" t="s">
        <v>528</v>
      </c>
    </row>
    <row r="66" spans="2:17">
      <c r="B66" s="220"/>
      <c r="G66" s="152"/>
      <c r="H66" s="152"/>
      <c r="I66" s="152"/>
      <c r="J66" s="151"/>
      <c r="Q66" s="220" t="s">
        <v>528</v>
      </c>
    </row>
    <row r="67" spans="2:17">
      <c r="B67" s="220"/>
      <c r="G67" s="152"/>
      <c r="H67" s="152"/>
      <c r="I67" s="152"/>
      <c r="J67" s="151"/>
      <c r="Q67" s="220" t="s">
        <v>528</v>
      </c>
    </row>
    <row r="68" spans="2:17">
      <c r="B68" s="220"/>
      <c r="G68" s="152"/>
      <c r="H68" s="152"/>
      <c r="I68" s="152"/>
      <c r="J68" s="151"/>
      <c r="Q68" s="220" t="s">
        <v>528</v>
      </c>
    </row>
    <row r="69" spans="2:17">
      <c r="B69" s="220"/>
      <c r="G69" s="152"/>
      <c r="H69" s="152"/>
      <c r="I69" s="152"/>
      <c r="J69" s="151"/>
      <c r="Q69" s="220" t="s">
        <v>528</v>
      </c>
    </row>
    <row r="70" spans="2:17">
      <c r="B70" s="220"/>
      <c r="G70" s="152"/>
      <c r="H70" s="152"/>
      <c r="I70" s="152"/>
      <c r="J70" s="151"/>
      <c r="Q70" s="220" t="s">
        <v>528</v>
      </c>
    </row>
    <row r="71" spans="2:17">
      <c r="B71" s="220"/>
      <c r="G71" s="152"/>
      <c r="H71" s="152"/>
      <c r="I71" s="152"/>
      <c r="J71" s="151"/>
      <c r="Q71" s="220" t="s">
        <v>528</v>
      </c>
    </row>
    <row r="72" spans="2:17">
      <c r="B72" s="220"/>
      <c r="G72" s="152"/>
      <c r="H72" s="152"/>
      <c r="I72" s="152"/>
      <c r="J72" s="151"/>
      <c r="Q72" s="220" t="s">
        <v>528</v>
      </c>
    </row>
    <row r="73" spans="2:17">
      <c r="B73" s="220"/>
      <c r="G73" s="152"/>
      <c r="H73" s="152"/>
      <c r="I73" s="152"/>
      <c r="J73" s="151"/>
      <c r="Q73" s="220" t="s">
        <v>528</v>
      </c>
    </row>
    <row r="74" spans="2:17">
      <c r="B74" s="220"/>
      <c r="G74" s="152"/>
      <c r="H74" s="152"/>
      <c r="I74" s="152"/>
      <c r="J74" s="151"/>
      <c r="Q74" s="220" t="s">
        <v>528</v>
      </c>
    </row>
    <row r="75" spans="2:17">
      <c r="B75" s="220"/>
      <c r="G75" s="152"/>
      <c r="H75" s="152"/>
      <c r="I75" s="152"/>
      <c r="J75" s="151"/>
      <c r="Q75" s="220" t="s">
        <v>528</v>
      </c>
    </row>
    <row r="76" spans="2:17">
      <c r="B76" s="220"/>
      <c r="G76" s="152"/>
      <c r="H76" s="152"/>
      <c r="I76" s="152"/>
      <c r="J76" s="151"/>
      <c r="Q76" s="220" t="s">
        <v>528</v>
      </c>
    </row>
    <row r="77" spans="2:17">
      <c r="B77" s="220"/>
      <c r="G77" s="152"/>
      <c r="H77" s="152"/>
      <c r="I77" s="152"/>
      <c r="J77" s="151"/>
      <c r="Q77" s="220" t="s">
        <v>528</v>
      </c>
    </row>
    <row r="78" spans="2:17">
      <c r="B78" s="220"/>
      <c r="G78" s="152"/>
      <c r="H78" s="152"/>
      <c r="I78" s="152"/>
      <c r="J78" s="151"/>
      <c r="Q78" s="220" t="s">
        <v>528</v>
      </c>
    </row>
    <row r="79" spans="2:17">
      <c r="B79" s="220"/>
      <c r="G79" s="152"/>
      <c r="H79" s="152"/>
      <c r="I79" s="152"/>
      <c r="J79" s="151"/>
      <c r="Q79" s="220" t="s">
        <v>528</v>
      </c>
    </row>
    <row r="80" spans="2:17">
      <c r="B80" s="220"/>
      <c r="G80" s="152"/>
      <c r="H80" s="152"/>
      <c r="I80" s="152"/>
      <c r="J80" s="151"/>
      <c r="Q80" s="220" t="s">
        <v>528</v>
      </c>
    </row>
    <row r="81" spans="2:17">
      <c r="B81" s="220"/>
      <c r="G81" s="152"/>
      <c r="H81" s="152"/>
      <c r="I81" s="152"/>
      <c r="J81" s="151"/>
      <c r="Q81" s="220" t="s">
        <v>528</v>
      </c>
    </row>
    <row r="82" spans="2:17">
      <c r="B82" s="220"/>
      <c r="G82" s="152"/>
      <c r="H82" s="152"/>
      <c r="I82" s="152"/>
      <c r="J82" s="151"/>
      <c r="Q82" s="220" t="s">
        <v>528</v>
      </c>
    </row>
    <row r="83" spans="2:17">
      <c r="B83" s="220"/>
      <c r="G83" s="152"/>
      <c r="H83" s="152"/>
      <c r="I83" s="152"/>
      <c r="J83" s="151"/>
      <c r="Q83" s="220" t="s">
        <v>528</v>
      </c>
    </row>
    <row r="84" spans="2:17">
      <c r="B84" s="220"/>
      <c r="G84" s="152"/>
      <c r="H84" s="152"/>
      <c r="I84" s="152"/>
      <c r="J84" s="151"/>
      <c r="Q84" s="220" t="s">
        <v>528</v>
      </c>
    </row>
    <row r="85" spans="2:17">
      <c r="B85" s="220"/>
      <c r="G85" s="152"/>
      <c r="H85" s="152"/>
      <c r="I85" s="152"/>
      <c r="J85" s="151"/>
      <c r="Q85" s="220" t="s">
        <v>528</v>
      </c>
    </row>
    <row r="86" spans="2:17">
      <c r="B86" s="220"/>
      <c r="G86" s="152"/>
      <c r="H86" s="152"/>
      <c r="I86" s="152"/>
      <c r="J86" s="151"/>
      <c r="Q86" s="220" t="s">
        <v>528</v>
      </c>
    </row>
    <row r="87" spans="2:17">
      <c r="B87" s="220"/>
      <c r="G87" s="152"/>
      <c r="H87" s="152"/>
      <c r="I87" s="152"/>
      <c r="J87" s="151"/>
      <c r="Q87" s="220" t="s">
        <v>528</v>
      </c>
    </row>
    <row r="88" spans="2:17">
      <c r="B88" s="220"/>
      <c r="G88" s="152"/>
      <c r="H88" s="152"/>
      <c r="I88" s="152"/>
      <c r="J88" s="151"/>
      <c r="Q88" s="220" t="s">
        <v>528</v>
      </c>
    </row>
    <row r="89" spans="2:17">
      <c r="B89" s="220"/>
      <c r="G89" s="152"/>
      <c r="H89" s="152"/>
      <c r="I89" s="152"/>
      <c r="J89" s="151"/>
      <c r="Q89" s="220" t="s">
        <v>528</v>
      </c>
    </row>
    <row r="90" spans="2:17">
      <c r="B90" s="220"/>
      <c r="G90" s="152"/>
      <c r="H90" s="152"/>
      <c r="I90" s="152"/>
      <c r="J90" s="151"/>
      <c r="Q90" s="220" t="s">
        <v>528</v>
      </c>
    </row>
    <row r="91" spans="2:17">
      <c r="B91" s="220"/>
      <c r="G91" s="152"/>
      <c r="H91" s="152"/>
      <c r="I91" s="152"/>
      <c r="J91" s="151"/>
      <c r="Q91" s="220" t="s">
        <v>528</v>
      </c>
    </row>
    <row r="92" spans="2:17" ht="16.5" customHeight="1">
      <c r="B92" s="220"/>
      <c r="G92" s="152"/>
      <c r="H92" s="152"/>
      <c r="I92" s="152"/>
      <c r="J92" s="151"/>
      <c r="Q92" s="220" t="s">
        <v>528</v>
      </c>
    </row>
    <row r="93" spans="2:17">
      <c r="B93" s="220"/>
      <c r="G93" s="152"/>
      <c r="H93" s="152"/>
      <c r="I93" s="152"/>
      <c r="J93" s="151"/>
      <c r="Q93" s="220" t="s">
        <v>528</v>
      </c>
    </row>
    <row r="94" spans="2:17">
      <c r="B94" s="220"/>
      <c r="G94" s="152"/>
      <c r="H94" s="152"/>
      <c r="I94" s="152"/>
      <c r="J94" s="151"/>
      <c r="Q94" s="220" t="s">
        <v>528</v>
      </c>
    </row>
    <row r="95" spans="2:17">
      <c r="B95" s="220"/>
      <c r="G95" s="152"/>
      <c r="H95" s="152"/>
      <c r="I95" s="152"/>
      <c r="J95" s="151"/>
      <c r="Q95" s="220" t="s">
        <v>528</v>
      </c>
    </row>
    <row r="96" spans="2:17">
      <c r="B96" s="220"/>
      <c r="G96" s="152"/>
      <c r="H96" s="152"/>
      <c r="I96" s="152"/>
      <c r="J96" s="151"/>
      <c r="Q96" s="220" t="s">
        <v>528</v>
      </c>
    </row>
    <row r="97" spans="2:17">
      <c r="B97" s="220"/>
      <c r="G97" s="152"/>
      <c r="H97" s="152"/>
      <c r="I97" s="152"/>
      <c r="J97" s="151"/>
      <c r="Q97" s="220" t="s">
        <v>528</v>
      </c>
    </row>
    <row r="98" spans="2:17">
      <c r="B98" s="220"/>
      <c r="G98" s="152"/>
      <c r="H98" s="152"/>
      <c r="I98" s="152"/>
      <c r="J98" s="151"/>
      <c r="Q98" s="220" t="s">
        <v>528</v>
      </c>
    </row>
    <row r="99" spans="2:17">
      <c r="B99" s="220"/>
      <c r="G99" s="152"/>
      <c r="H99" s="152"/>
      <c r="I99" s="152"/>
      <c r="J99" s="151"/>
      <c r="Q99" s="220" t="s">
        <v>528</v>
      </c>
    </row>
    <row r="100" spans="2:17">
      <c r="B100" s="220"/>
      <c r="G100" s="152"/>
      <c r="H100" s="152"/>
      <c r="I100" s="152"/>
      <c r="J100" s="151"/>
      <c r="Q100" s="220" t="s">
        <v>528</v>
      </c>
    </row>
    <row r="101" spans="2:17">
      <c r="B101" s="220"/>
      <c r="G101" s="152"/>
      <c r="H101" s="152"/>
      <c r="I101" s="152"/>
      <c r="J101" s="151"/>
      <c r="Q101" s="220" t="s">
        <v>528</v>
      </c>
    </row>
    <row r="102" spans="2:17">
      <c r="B102" s="220"/>
      <c r="G102" s="152"/>
      <c r="H102" s="152"/>
      <c r="I102" s="152"/>
      <c r="J102" s="151"/>
      <c r="Q102" s="220" t="s">
        <v>528</v>
      </c>
    </row>
    <row r="103" spans="2:17">
      <c r="B103" s="220"/>
      <c r="G103" s="152"/>
      <c r="H103" s="152"/>
      <c r="I103" s="152"/>
      <c r="J103" s="151"/>
      <c r="Q103" s="220" t="s">
        <v>528</v>
      </c>
    </row>
    <row r="104" spans="2:17">
      <c r="B104" s="220"/>
      <c r="G104" s="152"/>
      <c r="H104" s="152"/>
      <c r="I104" s="152"/>
      <c r="J104" s="151"/>
      <c r="Q104" s="220" t="s">
        <v>528</v>
      </c>
    </row>
    <row r="105" spans="2:17">
      <c r="B105" s="220"/>
      <c r="G105" s="152"/>
      <c r="H105" s="152"/>
      <c r="I105" s="152"/>
      <c r="J105" s="151"/>
      <c r="Q105" s="220" t="s">
        <v>528</v>
      </c>
    </row>
    <row r="106" spans="2:17">
      <c r="B106" s="220"/>
      <c r="G106" s="152"/>
      <c r="H106" s="152"/>
      <c r="I106" s="152"/>
      <c r="J106" s="151"/>
      <c r="Q106" s="220" t="s">
        <v>528</v>
      </c>
    </row>
    <row r="107" spans="2:17">
      <c r="B107" s="220"/>
      <c r="G107" s="152"/>
      <c r="H107" s="152"/>
      <c r="I107" s="152"/>
      <c r="J107" s="151"/>
      <c r="Q107" s="220" t="s">
        <v>528</v>
      </c>
    </row>
    <row r="108" spans="2:17">
      <c r="B108" s="220"/>
      <c r="G108" s="152"/>
      <c r="H108" s="152"/>
      <c r="I108" s="152"/>
      <c r="J108" s="151"/>
      <c r="Q108" s="220" t="s">
        <v>528</v>
      </c>
    </row>
    <row r="109" spans="2:17">
      <c r="B109" s="220"/>
      <c r="G109" s="152"/>
      <c r="H109" s="152"/>
      <c r="I109" s="152"/>
      <c r="J109" s="151"/>
      <c r="Q109" s="220" t="s">
        <v>528</v>
      </c>
    </row>
    <row r="110" spans="2:17">
      <c r="B110" s="220"/>
      <c r="G110" s="152"/>
      <c r="H110" s="152"/>
      <c r="I110" s="152"/>
      <c r="J110" s="151"/>
      <c r="Q110" s="220" t="s">
        <v>528</v>
      </c>
    </row>
    <row r="111" spans="2:17">
      <c r="B111" s="220"/>
      <c r="G111" s="152"/>
      <c r="H111" s="152"/>
      <c r="I111" s="152"/>
      <c r="J111" s="151"/>
      <c r="Q111" s="220" t="s">
        <v>528</v>
      </c>
    </row>
    <row r="112" spans="2:17">
      <c r="B112" s="220"/>
      <c r="G112" s="152"/>
      <c r="H112" s="152"/>
      <c r="I112" s="152"/>
      <c r="J112" s="151"/>
      <c r="Q112" s="220" t="s">
        <v>528</v>
      </c>
    </row>
    <row r="113" spans="2:17">
      <c r="B113" s="220"/>
      <c r="G113" s="152"/>
      <c r="H113" s="152"/>
      <c r="I113" s="152"/>
      <c r="J113" s="151"/>
      <c r="Q113" s="220" t="s">
        <v>528</v>
      </c>
    </row>
    <row r="114" spans="2:17">
      <c r="B114" s="220"/>
      <c r="G114" s="152"/>
      <c r="H114" s="152"/>
      <c r="I114" s="152"/>
      <c r="J114" s="151"/>
      <c r="Q114" s="220" t="s">
        <v>528</v>
      </c>
    </row>
    <row r="115" spans="2:17">
      <c r="B115" s="220"/>
      <c r="G115" s="152"/>
      <c r="H115" s="152"/>
      <c r="I115" s="152"/>
      <c r="J115" s="151"/>
      <c r="Q115" s="220" t="s">
        <v>528</v>
      </c>
    </row>
    <row r="116" spans="2:17">
      <c r="B116" s="220"/>
      <c r="G116" s="152"/>
      <c r="H116" s="152"/>
      <c r="I116" s="152"/>
      <c r="J116" s="151"/>
      <c r="Q116" s="220" t="s">
        <v>528</v>
      </c>
    </row>
    <row r="117" spans="2:17">
      <c r="B117" s="220"/>
      <c r="G117" s="152"/>
      <c r="H117" s="152"/>
      <c r="I117" s="152"/>
      <c r="J117" s="151"/>
      <c r="Q117" s="220" t="s">
        <v>528</v>
      </c>
    </row>
    <row r="118" spans="2:17">
      <c r="B118" s="220"/>
      <c r="G118" s="152"/>
      <c r="H118" s="152"/>
      <c r="I118" s="152"/>
      <c r="J118" s="151"/>
      <c r="Q118" s="220" t="s">
        <v>528</v>
      </c>
    </row>
    <row r="119" spans="2:17">
      <c r="B119" s="220"/>
      <c r="G119" s="152"/>
      <c r="H119" s="152"/>
      <c r="I119" s="152"/>
      <c r="J119" s="151"/>
      <c r="Q119" s="220" t="s">
        <v>528</v>
      </c>
    </row>
    <row r="120" spans="2:17">
      <c r="B120" s="220"/>
      <c r="G120" s="152"/>
      <c r="H120" s="152"/>
      <c r="I120" s="152"/>
      <c r="J120" s="151"/>
      <c r="Q120" s="220" t="s">
        <v>528</v>
      </c>
    </row>
    <row r="121" spans="2:17">
      <c r="B121" s="220"/>
      <c r="G121" s="152"/>
      <c r="H121" s="152"/>
      <c r="I121" s="152"/>
      <c r="J121" s="151"/>
      <c r="Q121" s="220" t="s">
        <v>528</v>
      </c>
    </row>
    <row r="122" spans="2:17">
      <c r="B122" s="220"/>
      <c r="G122" s="152"/>
      <c r="H122" s="152"/>
      <c r="I122" s="152"/>
      <c r="J122" s="151"/>
      <c r="Q122" s="220" t="s">
        <v>528</v>
      </c>
    </row>
    <row r="123" spans="2:17">
      <c r="B123" s="220"/>
      <c r="G123" s="152"/>
      <c r="H123" s="152"/>
      <c r="I123" s="152"/>
      <c r="J123" s="151"/>
      <c r="Q123" s="220" t="s">
        <v>528</v>
      </c>
    </row>
    <row r="124" spans="2:17">
      <c r="B124" s="220"/>
      <c r="G124" s="152"/>
      <c r="H124" s="152"/>
      <c r="I124" s="152"/>
      <c r="J124" s="151"/>
      <c r="Q124" s="220" t="s">
        <v>528</v>
      </c>
    </row>
    <row r="125" spans="2:17">
      <c r="B125" s="220"/>
      <c r="G125" s="152"/>
      <c r="H125" s="152"/>
      <c r="I125" s="152"/>
      <c r="J125" s="151"/>
      <c r="Q125" s="220" t="s">
        <v>528</v>
      </c>
    </row>
    <row r="126" spans="2:17">
      <c r="B126" s="220"/>
      <c r="G126" s="152"/>
      <c r="H126" s="152"/>
      <c r="I126" s="152"/>
      <c r="J126" s="151"/>
      <c r="Q126" s="220" t="s">
        <v>528</v>
      </c>
    </row>
    <row r="127" spans="2:17">
      <c r="B127" s="220"/>
      <c r="G127" s="152"/>
      <c r="H127" s="152"/>
      <c r="I127" s="152"/>
      <c r="J127" s="151"/>
      <c r="Q127" s="220" t="s">
        <v>528</v>
      </c>
    </row>
    <row r="128" spans="2:17">
      <c r="B128" s="220"/>
      <c r="G128" s="152"/>
      <c r="H128" s="152"/>
      <c r="I128" s="152"/>
      <c r="J128" s="151"/>
      <c r="Q128" s="220" t="s">
        <v>528</v>
      </c>
    </row>
    <row r="129" spans="2:17">
      <c r="B129" s="220"/>
      <c r="G129" s="152"/>
      <c r="H129" s="152"/>
      <c r="I129" s="152"/>
      <c r="J129" s="151"/>
      <c r="Q129" s="220" t="s">
        <v>528</v>
      </c>
    </row>
    <row r="130" spans="2:17">
      <c r="B130" s="220"/>
      <c r="G130" s="152"/>
      <c r="H130" s="152"/>
      <c r="I130" s="152"/>
      <c r="J130" s="151"/>
      <c r="Q130" s="220" t="s">
        <v>528</v>
      </c>
    </row>
    <row r="131" spans="2:17">
      <c r="B131" s="220"/>
      <c r="G131" s="152"/>
      <c r="H131" s="152"/>
      <c r="I131" s="152"/>
      <c r="J131" s="151"/>
      <c r="Q131" s="220" t="s">
        <v>528</v>
      </c>
    </row>
    <row r="132" spans="2:17">
      <c r="B132" s="220"/>
      <c r="G132" s="152"/>
      <c r="H132" s="152"/>
      <c r="I132" s="152"/>
      <c r="J132" s="151"/>
      <c r="Q132" s="220" t="s">
        <v>528</v>
      </c>
    </row>
    <row r="133" spans="2:17">
      <c r="B133" s="220"/>
      <c r="G133" s="152"/>
      <c r="H133" s="152"/>
      <c r="I133" s="152"/>
      <c r="J133" s="151"/>
      <c r="Q133" s="220" t="s">
        <v>528</v>
      </c>
    </row>
    <row r="134" spans="2:17">
      <c r="B134" s="220"/>
      <c r="G134" s="152"/>
      <c r="H134" s="152"/>
      <c r="I134" s="152"/>
      <c r="J134" s="151"/>
      <c r="Q134" s="220" t="s">
        <v>528</v>
      </c>
    </row>
    <row r="135" spans="2:17">
      <c r="B135" s="220"/>
      <c r="G135" s="152"/>
      <c r="H135" s="152"/>
      <c r="I135" s="152"/>
      <c r="J135" s="151"/>
      <c r="Q135" s="220" t="s">
        <v>528</v>
      </c>
    </row>
    <row r="136" spans="2:17">
      <c r="B136" s="220"/>
      <c r="G136" s="152"/>
      <c r="H136" s="152"/>
      <c r="I136" s="152"/>
      <c r="J136" s="151"/>
      <c r="Q136" s="220" t="s">
        <v>528</v>
      </c>
    </row>
    <row r="137" spans="2:17">
      <c r="B137" s="220"/>
      <c r="G137" s="152"/>
      <c r="H137" s="152"/>
      <c r="I137" s="152"/>
      <c r="J137" s="151"/>
      <c r="Q137" s="220" t="s">
        <v>528</v>
      </c>
    </row>
    <row r="138" spans="2:17">
      <c r="B138" s="220"/>
      <c r="G138" s="152"/>
      <c r="H138" s="152"/>
      <c r="I138" s="152"/>
      <c r="J138" s="151"/>
      <c r="Q138" s="220" t="s">
        <v>528</v>
      </c>
    </row>
    <row r="139" spans="2:17">
      <c r="B139" s="220"/>
      <c r="G139" s="152"/>
      <c r="H139" s="152"/>
      <c r="I139" s="152"/>
      <c r="J139" s="151"/>
      <c r="Q139" s="220" t="s">
        <v>528</v>
      </c>
    </row>
    <row r="140" spans="2:17">
      <c r="B140" s="220"/>
      <c r="G140" s="152"/>
      <c r="H140" s="152"/>
      <c r="I140" s="152"/>
      <c r="J140" s="151"/>
      <c r="Q140" s="220" t="s">
        <v>528</v>
      </c>
    </row>
    <row r="141" spans="2:17">
      <c r="B141" s="220"/>
      <c r="G141" s="152"/>
      <c r="H141" s="152"/>
      <c r="I141" s="152"/>
      <c r="J141" s="151"/>
      <c r="Q141" s="220" t="s">
        <v>528</v>
      </c>
    </row>
    <row r="142" spans="2:17">
      <c r="B142" s="220"/>
      <c r="G142" s="152"/>
      <c r="H142" s="152"/>
      <c r="I142" s="152"/>
      <c r="J142" s="151"/>
      <c r="Q142" s="220" t="s">
        <v>528</v>
      </c>
    </row>
    <row r="143" spans="2:17">
      <c r="B143" s="220"/>
      <c r="G143" s="152"/>
      <c r="H143" s="152"/>
      <c r="I143" s="152"/>
      <c r="J143" s="151"/>
      <c r="Q143" s="220" t="s">
        <v>528</v>
      </c>
    </row>
    <row r="144" spans="2:17">
      <c r="B144" s="220"/>
      <c r="G144" s="152"/>
      <c r="H144" s="152"/>
      <c r="I144" s="152"/>
      <c r="J144" s="151"/>
      <c r="Q144" s="220" t="s">
        <v>528</v>
      </c>
    </row>
    <row r="145" spans="2:17">
      <c r="B145" s="220"/>
      <c r="G145" s="152"/>
      <c r="H145" s="152"/>
      <c r="I145" s="152"/>
      <c r="J145" s="151"/>
      <c r="Q145" s="220" t="s">
        <v>528</v>
      </c>
    </row>
    <row r="146" spans="2:17">
      <c r="B146" s="220"/>
      <c r="G146" s="152"/>
      <c r="H146" s="152"/>
      <c r="I146" s="152"/>
      <c r="J146" s="151"/>
      <c r="Q146" s="220" t="s">
        <v>528</v>
      </c>
    </row>
    <row r="147" spans="2:17">
      <c r="B147" s="220"/>
      <c r="G147" s="152"/>
      <c r="H147" s="152"/>
      <c r="I147" s="152"/>
      <c r="J147" s="151"/>
      <c r="Q147" s="220" t="s">
        <v>528</v>
      </c>
    </row>
    <row r="148" spans="2:17">
      <c r="B148" s="220"/>
      <c r="G148" s="152"/>
      <c r="H148" s="152"/>
      <c r="I148" s="152"/>
      <c r="J148" s="151"/>
      <c r="Q148" s="220" t="s">
        <v>528</v>
      </c>
    </row>
    <row r="149" spans="2:17">
      <c r="B149" s="220"/>
      <c r="G149" s="152"/>
      <c r="H149" s="152"/>
      <c r="I149" s="152"/>
      <c r="J149" s="151"/>
      <c r="Q149" s="220" t="s">
        <v>528</v>
      </c>
    </row>
    <row r="150" spans="2:17">
      <c r="B150" s="220"/>
      <c r="G150" s="152"/>
      <c r="H150" s="152"/>
      <c r="I150" s="152"/>
      <c r="J150" s="151"/>
      <c r="Q150" s="220" t="s">
        <v>528</v>
      </c>
    </row>
    <row r="151" spans="2:17">
      <c r="B151" s="220"/>
      <c r="G151" s="152"/>
      <c r="H151" s="152"/>
      <c r="I151" s="152"/>
      <c r="J151" s="151"/>
      <c r="Q151" s="220" t="s">
        <v>528</v>
      </c>
    </row>
    <row r="152" spans="2:17">
      <c r="B152" s="220"/>
      <c r="G152" s="152"/>
      <c r="H152" s="152"/>
      <c r="I152" s="152"/>
      <c r="J152" s="151"/>
      <c r="Q152" s="220" t="s">
        <v>528</v>
      </c>
    </row>
    <row r="153" spans="2:17">
      <c r="B153" s="220"/>
      <c r="G153" s="152"/>
      <c r="H153" s="152"/>
      <c r="I153" s="152"/>
      <c r="J153" s="151"/>
      <c r="Q153" s="220" t="s">
        <v>528</v>
      </c>
    </row>
    <row r="154" spans="2:17">
      <c r="B154" s="220"/>
      <c r="G154" s="152"/>
      <c r="H154" s="152"/>
      <c r="I154" s="152"/>
      <c r="J154" s="151"/>
      <c r="Q154" s="220" t="s">
        <v>528</v>
      </c>
    </row>
    <row r="155" spans="2:17">
      <c r="B155" s="220"/>
      <c r="G155" s="152"/>
      <c r="H155" s="152"/>
      <c r="I155" s="152"/>
      <c r="J155" s="151"/>
      <c r="Q155" s="220" t="s">
        <v>528</v>
      </c>
    </row>
    <row r="156" spans="2:17">
      <c r="B156" s="220"/>
      <c r="G156" s="152"/>
      <c r="H156" s="152"/>
      <c r="I156" s="152"/>
      <c r="J156" s="151"/>
      <c r="Q156" s="220" t="s">
        <v>528</v>
      </c>
    </row>
    <row r="157" spans="2:17">
      <c r="B157" s="220"/>
      <c r="G157" s="152"/>
      <c r="H157" s="152"/>
      <c r="I157" s="152"/>
      <c r="J157" s="151"/>
      <c r="Q157" s="220" t="s">
        <v>528</v>
      </c>
    </row>
    <row r="158" spans="2:17">
      <c r="B158" s="220"/>
      <c r="G158" s="152"/>
      <c r="H158" s="152"/>
      <c r="I158" s="152"/>
      <c r="J158" s="151"/>
      <c r="Q158" s="220" t="s">
        <v>528</v>
      </c>
    </row>
    <row r="159" spans="2:17">
      <c r="B159" s="220"/>
      <c r="G159" s="152"/>
      <c r="H159" s="152"/>
      <c r="I159" s="152"/>
      <c r="J159" s="151"/>
      <c r="Q159" s="220" t="s">
        <v>528</v>
      </c>
    </row>
    <row r="160" spans="2:17">
      <c r="B160" s="220"/>
      <c r="G160" s="152"/>
      <c r="H160" s="152"/>
      <c r="I160" s="152"/>
      <c r="J160" s="151"/>
      <c r="Q160" s="220" t="s">
        <v>528</v>
      </c>
    </row>
    <row r="161" spans="2:17">
      <c r="B161" s="220"/>
      <c r="G161" s="152"/>
      <c r="H161" s="152"/>
      <c r="I161" s="152"/>
      <c r="J161" s="151"/>
      <c r="Q161" s="220" t="s">
        <v>528</v>
      </c>
    </row>
    <row r="162" spans="2:17">
      <c r="B162" s="220"/>
      <c r="G162" s="152"/>
      <c r="H162" s="152"/>
      <c r="I162" s="152"/>
      <c r="J162" s="151"/>
      <c r="Q162" s="220" t="s">
        <v>528</v>
      </c>
    </row>
  </sheetData>
  <autoFilter ref="A5:AB36" xr:uid="{00000000-0009-0000-0000-000005000000}"/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00000000-0004-0000-0500-000000000000}"/>
    <hyperlink ref="B7" r:id="rId2" xr:uid="{00000000-0004-0000-0500-000001000000}"/>
    <hyperlink ref="B8" r:id="rId3" xr:uid="{00000000-0004-0000-0500-000002000000}"/>
    <hyperlink ref="B9" r:id="rId4" xr:uid="{00000000-0004-0000-0500-000003000000}"/>
    <hyperlink ref="B10" r:id="rId5" xr:uid="{00000000-0004-0000-0500-000004000000}"/>
    <hyperlink ref="B11" r:id="rId6" xr:uid="{00000000-0004-0000-0500-000005000000}"/>
    <hyperlink ref="B12" r:id="rId7" xr:uid="{00000000-0004-0000-0500-000006000000}"/>
    <hyperlink ref="B13" r:id="rId8" xr:uid="{00000000-0004-0000-0500-000007000000}"/>
    <hyperlink ref="B14" r:id="rId9" xr:uid="{00000000-0004-0000-0500-000008000000}"/>
    <hyperlink ref="B15" r:id="rId10" xr:uid="{00000000-0004-0000-0500-000009000000}"/>
    <hyperlink ref="B16" r:id="rId11" xr:uid="{00000000-0004-0000-0500-00000A000000}"/>
    <hyperlink ref="B17" r:id="rId12" xr:uid="{00000000-0004-0000-0500-00000B000000}"/>
    <hyperlink ref="B18" r:id="rId13" xr:uid="{00000000-0004-0000-0500-00000C000000}"/>
    <hyperlink ref="B19" r:id="rId14" xr:uid="{00000000-0004-0000-0500-00000D000000}"/>
    <hyperlink ref="B20" r:id="rId15" xr:uid="{00000000-0004-0000-0500-00000E000000}"/>
    <hyperlink ref="B21" r:id="rId16" xr:uid="{00000000-0004-0000-0500-00000F000000}"/>
    <hyperlink ref="B22" r:id="rId17" xr:uid="{00000000-0004-0000-0500-000010000000}"/>
    <hyperlink ref="B23" r:id="rId18" xr:uid="{00000000-0004-0000-0500-000011000000}"/>
    <hyperlink ref="B24" r:id="rId19" xr:uid="{00000000-0004-0000-0500-000012000000}"/>
    <hyperlink ref="B25" r:id="rId20" xr:uid="{00000000-0004-0000-0500-000013000000}"/>
    <hyperlink ref="B26" r:id="rId21" xr:uid="{00000000-0004-0000-0500-000014000000}"/>
    <hyperlink ref="B27" r:id="rId22" xr:uid="{00000000-0004-0000-0500-000015000000}"/>
    <hyperlink ref="B28" r:id="rId23" xr:uid="{00000000-0004-0000-0500-000016000000}"/>
    <hyperlink ref="B29" r:id="rId24" xr:uid="{00000000-0004-0000-0500-000017000000}"/>
    <hyperlink ref="B30" r:id="rId25" xr:uid="{00000000-0004-0000-0500-000018000000}"/>
    <hyperlink ref="B31" r:id="rId26" xr:uid="{00000000-0004-0000-0500-000019000000}"/>
    <hyperlink ref="B32" r:id="rId27" xr:uid="{00000000-0004-0000-0500-00001A000000}"/>
    <hyperlink ref="B33" r:id="rId28" xr:uid="{00000000-0004-0000-0500-00001B000000}"/>
    <hyperlink ref="B34" r:id="rId29" xr:uid="{00000000-0004-0000-0500-00001C000000}"/>
    <hyperlink ref="B35" r:id="rId30" xr:uid="{00000000-0004-0000-0500-00001D000000}"/>
    <hyperlink ref="B36" r:id="rId31" xr:uid="{00000000-0004-0000-0500-00001E000000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O19" sqref="O1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53" t="s">
        <v>479</v>
      </c>
      <c r="C1" s="253"/>
      <c r="D1" s="253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186"/>
      <c r="P1" s="69"/>
    </row>
    <row r="2" spans="1:16" ht="16.5">
      <c r="A2" s="69"/>
      <c r="B2" s="253"/>
      <c r="C2" s="253"/>
      <c r="D2" s="253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186"/>
      <c r="P2" s="69"/>
    </row>
    <row r="3" spans="1:16">
      <c r="A3" s="69"/>
      <c r="B3" s="253"/>
      <c r="C3" s="253"/>
      <c r="D3" s="253"/>
      <c r="E3" s="252" t="s">
        <v>524</v>
      </c>
      <c r="F3" s="252"/>
      <c r="G3" s="252"/>
      <c r="H3" s="252"/>
      <c r="I3" s="255" t="s">
        <v>6</v>
      </c>
      <c r="J3" s="255"/>
      <c r="K3" s="255"/>
      <c r="L3" s="255"/>
      <c r="M3" s="255"/>
      <c r="N3" s="255"/>
      <c r="O3" s="213"/>
      <c r="P3" s="69"/>
    </row>
    <row r="4" spans="1:16" s="46" customFormat="1" ht="24" customHeight="1">
      <c r="A4" s="70"/>
      <c r="B4" s="44" t="s">
        <v>480</v>
      </c>
      <c r="C4" s="44" t="s">
        <v>481</v>
      </c>
      <c r="D4" s="30" t="s">
        <v>368</v>
      </c>
      <c r="E4" s="30" t="s">
        <v>373</v>
      </c>
      <c r="F4" s="30" t="s">
        <v>482</v>
      </c>
      <c r="G4" s="30" t="s">
        <v>483</v>
      </c>
      <c r="H4" s="30" t="s">
        <v>484</v>
      </c>
      <c r="I4" s="157" t="s">
        <v>543</v>
      </c>
      <c r="J4" s="157" t="s">
        <v>373</v>
      </c>
      <c r="K4" s="157" t="s">
        <v>482</v>
      </c>
      <c r="L4" s="30" t="s">
        <v>483</v>
      </c>
      <c r="M4" s="30" t="s">
        <v>485</v>
      </c>
      <c r="N4" s="157" t="s">
        <v>484</v>
      </c>
      <c r="O4" s="214"/>
      <c r="P4" s="70"/>
    </row>
    <row r="5" spans="1:16" hidden="1">
      <c r="A5" s="69"/>
      <c r="B5" s="21" t="s">
        <v>486</v>
      </c>
      <c r="C5" s="21" t="s">
        <v>487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9"/>
      <c r="J5" s="160"/>
      <c r="K5" s="176"/>
      <c r="L5" s="22">
        <v>100</v>
      </c>
      <c r="M5" s="24">
        <f>N5/L5</f>
        <v>0.75</v>
      </c>
      <c r="N5" s="22">
        <v>75</v>
      </c>
      <c r="O5" s="215"/>
      <c r="P5" s="69"/>
    </row>
    <row r="6" spans="1:16" hidden="1">
      <c r="A6" s="69"/>
      <c r="B6" s="21"/>
      <c r="C6" s="21" t="s">
        <v>488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9"/>
      <c r="J6" s="160"/>
      <c r="K6" s="176"/>
      <c r="L6" s="22">
        <v>101</v>
      </c>
      <c r="M6" s="25">
        <f>N6/L6</f>
        <v>0.59405940594059403</v>
      </c>
      <c r="N6" s="22">
        <v>60</v>
      </c>
      <c r="O6" s="215"/>
      <c r="P6" s="69"/>
    </row>
    <row r="7" spans="1:16" hidden="1">
      <c r="A7" s="69"/>
      <c r="B7" s="21"/>
      <c r="C7" s="21" t="s">
        <v>489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9"/>
      <c r="J7" s="160"/>
      <c r="K7" s="176"/>
      <c r="L7" s="22"/>
      <c r="M7" s="22"/>
      <c r="N7" s="22"/>
      <c r="O7" s="215"/>
      <c r="P7" s="69"/>
    </row>
    <row r="8" spans="1:16" hidden="1">
      <c r="A8" s="69"/>
      <c r="B8" s="21"/>
      <c r="C8" s="21" t="s">
        <v>490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9"/>
      <c r="J8" s="161"/>
      <c r="K8" s="160"/>
      <c r="L8" s="22"/>
      <c r="M8" s="22"/>
      <c r="N8" s="22"/>
      <c r="O8" s="215"/>
      <c r="P8" s="69"/>
    </row>
    <row r="9" spans="1:16" hidden="1">
      <c r="A9" s="69"/>
      <c r="B9" s="21"/>
      <c r="C9" s="21" t="s">
        <v>491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9"/>
      <c r="J9" s="160"/>
      <c r="K9" s="160"/>
      <c r="L9" s="22"/>
      <c r="M9" s="22"/>
      <c r="N9" s="22"/>
      <c r="O9" s="215"/>
      <c r="P9" s="69"/>
    </row>
    <row r="10" spans="1:16" hidden="1">
      <c r="A10" s="69"/>
      <c r="B10" s="21"/>
      <c r="C10" s="21" t="s">
        <v>492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9"/>
      <c r="J10" s="161"/>
      <c r="K10" s="160"/>
      <c r="L10" s="22"/>
      <c r="M10" s="22"/>
      <c r="N10" s="22"/>
      <c r="O10" s="215"/>
      <c r="P10" s="69"/>
    </row>
    <row r="11" spans="1:16" hidden="1">
      <c r="A11" s="69"/>
      <c r="B11" s="21"/>
      <c r="C11" s="21" t="s">
        <v>493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9"/>
      <c r="J11" s="161"/>
      <c r="K11" s="160"/>
      <c r="L11" s="22"/>
      <c r="M11" s="22"/>
      <c r="N11" s="22"/>
      <c r="O11" s="215"/>
      <c r="P11" s="69"/>
    </row>
    <row r="12" spans="1:16" hidden="1">
      <c r="A12" s="69"/>
      <c r="B12" s="21"/>
      <c r="C12" s="21" t="s">
        <v>494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9"/>
      <c r="J12" s="160"/>
      <c r="K12" s="176"/>
      <c r="L12" s="22"/>
      <c r="M12" s="22"/>
      <c r="N12" s="22"/>
      <c r="O12" s="215"/>
      <c r="P12" s="69"/>
    </row>
    <row r="13" spans="1:16" hidden="1">
      <c r="A13" s="69"/>
      <c r="B13" s="21"/>
      <c r="C13" s="21" t="s">
        <v>495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9"/>
      <c r="J13" s="160"/>
      <c r="K13" s="160"/>
      <c r="L13" s="22"/>
      <c r="M13" s="22"/>
      <c r="N13" s="22"/>
      <c r="O13" s="215"/>
      <c r="P13" s="69"/>
    </row>
    <row r="14" spans="1:16" hidden="1">
      <c r="A14" s="69"/>
      <c r="B14" s="21"/>
      <c r="C14" s="21" t="s">
        <v>496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9"/>
      <c r="J14" s="160"/>
      <c r="K14" s="176"/>
      <c r="L14" s="22"/>
      <c r="M14" s="22"/>
      <c r="N14" s="22"/>
      <c r="O14" s="215"/>
      <c r="P14" s="69"/>
    </row>
    <row r="15" spans="1:16" hidden="1">
      <c r="A15" s="69"/>
      <c r="B15" s="21"/>
      <c r="C15" s="21" t="s">
        <v>497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9"/>
      <c r="J15" s="160"/>
      <c r="K15" s="176"/>
      <c r="L15" s="22"/>
      <c r="M15" s="22"/>
      <c r="N15" s="22"/>
      <c r="O15" s="215"/>
      <c r="P15" s="69"/>
    </row>
    <row r="16" spans="1:16" hidden="1">
      <c r="A16" s="69"/>
      <c r="B16" s="21"/>
      <c r="C16" s="21" t="s">
        <v>498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9"/>
      <c r="J16" s="161"/>
      <c r="K16" s="160"/>
      <c r="L16" s="22"/>
      <c r="M16" s="22"/>
      <c r="N16" s="22"/>
      <c r="O16" s="215"/>
      <c r="P16" s="69"/>
    </row>
    <row r="17" spans="1:16" hidden="1">
      <c r="A17" s="69"/>
      <c r="B17" s="21"/>
      <c r="C17" s="21" t="s">
        <v>499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9"/>
      <c r="J17" s="161"/>
      <c r="K17" s="160"/>
      <c r="L17" s="22"/>
      <c r="M17" s="22"/>
      <c r="N17" s="22"/>
      <c r="O17" s="215"/>
      <c r="P17" s="69"/>
    </row>
    <row r="18" spans="1:16" hidden="1">
      <c r="A18" s="69"/>
      <c r="B18" s="47" t="s">
        <v>500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0"/>
      <c r="J18" s="162">
        <f t="shared" si="2"/>
        <v>0</v>
      </c>
      <c r="K18" s="162">
        <f t="shared" si="2"/>
        <v>0</v>
      </c>
      <c r="L18" s="49">
        <f t="shared" si="2"/>
        <v>201</v>
      </c>
      <c r="M18" s="49"/>
      <c r="N18" s="49">
        <f>SUM(N5:N17)</f>
        <v>135</v>
      </c>
      <c r="O18" s="216"/>
      <c r="P18" s="69"/>
    </row>
    <row r="19" spans="1:16">
      <c r="A19" s="69"/>
      <c r="B19" s="50" t="s">
        <v>501</v>
      </c>
      <c r="C19" s="50" t="s">
        <v>487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1">
        <v>1204</v>
      </c>
      <c r="J19" s="163"/>
      <c r="K19" s="163">
        <v>4127.76</v>
      </c>
      <c r="L19" s="51">
        <f>J19+K19</f>
        <v>4127.76</v>
      </c>
      <c r="M19" s="130">
        <f>IFERROR(N19/L19,0)</f>
        <v>0.70139494544256442</v>
      </c>
      <c r="N19" s="51">
        <v>2895.19</v>
      </c>
      <c r="O19" s="217">
        <f>H19-N19</f>
        <v>881969.29720000003</v>
      </c>
      <c r="P19" s="69"/>
    </row>
    <row r="20" spans="1:16">
      <c r="A20" s="69"/>
      <c r="B20" s="62"/>
      <c r="C20" s="62" t="s">
        <v>502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2"/>
      <c r="J20" s="164"/>
      <c r="K20" s="164"/>
      <c r="L20" s="63">
        <f t="shared" ref="L20:L36" si="4">J20+K20</f>
        <v>0</v>
      </c>
      <c r="M20" s="131">
        <f t="shared" ref="M20:M36" si="5">IFERROR(N20/L20,0)</f>
        <v>0</v>
      </c>
      <c r="N20" s="63"/>
      <c r="O20" s="217">
        <f t="shared" ref="O20:O36" si="6">H20-N20</f>
        <v>39856.741199999997</v>
      </c>
      <c r="P20" s="69"/>
    </row>
    <row r="21" spans="1:16">
      <c r="A21" s="69"/>
      <c r="B21" s="50"/>
      <c r="C21" s="50" t="s">
        <v>503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1"/>
      <c r="J21" s="163"/>
      <c r="K21" s="163"/>
      <c r="L21" s="51">
        <f t="shared" si="4"/>
        <v>0</v>
      </c>
      <c r="M21" s="130">
        <f t="shared" si="5"/>
        <v>0</v>
      </c>
      <c r="N21" s="51"/>
      <c r="O21" s="217">
        <f t="shared" si="6"/>
        <v>585.73199999999997</v>
      </c>
      <c r="P21" s="69"/>
    </row>
    <row r="22" spans="1:16">
      <c r="A22" s="69"/>
      <c r="B22" s="62"/>
      <c r="C22" s="62" t="s">
        <v>504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2"/>
      <c r="J22" s="164"/>
      <c r="K22" s="164"/>
      <c r="L22" s="63">
        <f t="shared" si="4"/>
        <v>0</v>
      </c>
      <c r="M22" s="131">
        <f t="shared" si="5"/>
        <v>0</v>
      </c>
      <c r="N22" s="63"/>
      <c r="O22" s="217">
        <f t="shared" si="6"/>
        <v>44896.6</v>
      </c>
      <c r="P22" s="69"/>
    </row>
    <row r="23" spans="1:16">
      <c r="A23" s="69"/>
      <c r="B23" s="50"/>
      <c r="C23" s="50" t="s">
        <v>488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1"/>
      <c r="J23" s="163"/>
      <c r="K23" s="163"/>
      <c r="L23" s="51">
        <f t="shared" si="4"/>
        <v>0</v>
      </c>
      <c r="M23" s="130">
        <f t="shared" si="5"/>
        <v>0</v>
      </c>
      <c r="N23" s="51"/>
      <c r="O23" s="217">
        <f t="shared" si="6"/>
        <v>49030.799999999996</v>
      </c>
      <c r="P23" s="69"/>
    </row>
    <row r="24" spans="1:16">
      <c r="A24" s="69"/>
      <c r="B24" s="62"/>
      <c r="C24" s="62" t="s">
        <v>489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2">
        <v>1204</v>
      </c>
      <c r="J24" s="164"/>
      <c r="K24" s="164">
        <v>17403.52</v>
      </c>
      <c r="L24" s="63">
        <f>J24+K24</f>
        <v>17403.52</v>
      </c>
      <c r="M24" s="131">
        <f t="shared" si="5"/>
        <v>0.6330041279005626</v>
      </c>
      <c r="N24" s="63">
        <v>11016.5</v>
      </c>
      <c r="O24" s="218">
        <f t="shared" si="6"/>
        <v>-52.282400000000052</v>
      </c>
      <c r="P24" s="69"/>
    </row>
    <row r="25" spans="1:16">
      <c r="A25" s="69"/>
      <c r="B25" s="50"/>
      <c r="C25" s="50" t="s">
        <v>491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1"/>
      <c r="J25" s="163"/>
      <c r="K25" s="163"/>
      <c r="L25" s="51">
        <f t="shared" si="4"/>
        <v>0</v>
      </c>
      <c r="M25" s="130">
        <f t="shared" si="5"/>
        <v>0</v>
      </c>
      <c r="N25" s="51"/>
      <c r="O25" s="217">
        <f t="shared" si="6"/>
        <v>43163.423999999999</v>
      </c>
      <c r="P25" s="69"/>
    </row>
    <row r="26" spans="1:16">
      <c r="A26" s="69"/>
      <c r="B26" s="62"/>
      <c r="C26" s="62" t="s">
        <v>492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2">
        <v>1201</v>
      </c>
      <c r="J26" s="164">
        <v>38110.050000000003</v>
      </c>
      <c r="K26" s="164"/>
      <c r="L26" s="63">
        <f t="shared" si="4"/>
        <v>38110.050000000003</v>
      </c>
      <c r="M26" s="131">
        <f t="shared" si="5"/>
        <v>3.5491950286079391E-2</v>
      </c>
      <c r="N26" s="63">
        <v>1352.6</v>
      </c>
      <c r="O26" s="217">
        <f t="shared" si="6"/>
        <v>322.61750000000006</v>
      </c>
      <c r="P26" s="69"/>
    </row>
    <row r="27" spans="1:16">
      <c r="A27" s="69"/>
      <c r="B27" s="50"/>
      <c r="C27" s="50" t="s">
        <v>505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1"/>
      <c r="J27" s="163"/>
      <c r="K27" s="163"/>
      <c r="L27" s="51">
        <f t="shared" si="4"/>
        <v>0</v>
      </c>
      <c r="M27" s="130">
        <f t="shared" si="5"/>
        <v>0</v>
      </c>
      <c r="N27" s="51"/>
      <c r="O27" s="217">
        <f t="shared" si="6"/>
        <v>0</v>
      </c>
      <c r="P27" s="69"/>
    </row>
    <row r="28" spans="1:16">
      <c r="A28" s="69"/>
      <c r="B28" s="62"/>
      <c r="C28" s="62" t="s">
        <v>493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2"/>
      <c r="J28" s="164"/>
      <c r="K28" s="164"/>
      <c r="L28" s="63">
        <f t="shared" si="4"/>
        <v>0</v>
      </c>
      <c r="M28" s="131">
        <f t="shared" si="5"/>
        <v>0</v>
      </c>
      <c r="N28" s="63"/>
      <c r="O28" s="217">
        <f t="shared" si="6"/>
        <v>428.65350000000001</v>
      </c>
      <c r="P28" s="69"/>
    </row>
    <row r="29" spans="1:16">
      <c r="A29" s="69"/>
      <c r="B29" s="50"/>
      <c r="C29" s="50" t="s">
        <v>506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1">
        <v>1201</v>
      </c>
      <c r="J29" s="163"/>
      <c r="K29" s="163">
        <v>257836.78</v>
      </c>
      <c r="L29" s="51">
        <f t="shared" si="4"/>
        <v>257836.78</v>
      </c>
      <c r="M29" s="130">
        <f t="shared" si="5"/>
        <v>0.3764771651274888</v>
      </c>
      <c r="N29" s="51">
        <v>97069.66</v>
      </c>
      <c r="O29" s="217">
        <f t="shared" si="6"/>
        <v>69330.213920000009</v>
      </c>
      <c r="P29" s="69"/>
    </row>
    <row r="30" spans="1:16">
      <c r="A30" s="69"/>
      <c r="B30" s="62"/>
      <c r="C30" s="62" t="s">
        <v>507</v>
      </c>
      <c r="D30" s="74"/>
      <c r="E30" s="63"/>
      <c r="F30" s="63"/>
      <c r="G30" s="63">
        <f t="shared" si="0"/>
        <v>0</v>
      </c>
      <c r="H30" s="63"/>
      <c r="I30" s="172"/>
      <c r="J30" s="164"/>
      <c r="K30" s="164"/>
      <c r="L30" s="63">
        <f t="shared" si="4"/>
        <v>0</v>
      </c>
      <c r="M30" s="131">
        <f t="shared" si="5"/>
        <v>0</v>
      </c>
      <c r="N30" s="63"/>
      <c r="O30" s="217">
        <f t="shared" si="6"/>
        <v>0</v>
      </c>
      <c r="P30" s="69"/>
    </row>
    <row r="31" spans="1:16">
      <c r="A31" s="69"/>
      <c r="B31" s="50"/>
      <c r="C31" s="50" t="s">
        <v>508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1"/>
      <c r="J31" s="163"/>
      <c r="K31" s="163"/>
      <c r="L31" s="51">
        <f t="shared" si="4"/>
        <v>0</v>
      </c>
      <c r="M31" s="130">
        <f t="shared" si="5"/>
        <v>0</v>
      </c>
      <c r="N31" s="51"/>
      <c r="O31" s="217">
        <f t="shared" si="6"/>
        <v>12262.9398</v>
      </c>
      <c r="P31" s="69"/>
    </row>
    <row r="32" spans="1:16">
      <c r="A32" s="69"/>
      <c r="B32" s="62"/>
      <c r="C32" s="62" t="s">
        <v>509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2"/>
      <c r="J32" s="164"/>
      <c r="K32" s="164"/>
      <c r="L32" s="63">
        <f t="shared" si="4"/>
        <v>0</v>
      </c>
      <c r="M32" s="131">
        <f t="shared" si="5"/>
        <v>0</v>
      </c>
      <c r="N32" s="63"/>
      <c r="O32" s="217">
        <f t="shared" si="6"/>
        <v>1656</v>
      </c>
      <c r="P32" s="69"/>
    </row>
    <row r="33" spans="1:16">
      <c r="A33" s="69"/>
      <c r="B33" s="50"/>
      <c r="C33" s="50" t="s">
        <v>495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1">
        <v>1204</v>
      </c>
      <c r="J33" s="163"/>
      <c r="K33" s="163">
        <v>10157.61</v>
      </c>
      <c r="L33" s="51">
        <f t="shared" si="4"/>
        <v>10157.61</v>
      </c>
      <c r="M33" s="130">
        <f>IFERROR(N33/L33,0)</f>
        <v>2.899876053520464</v>
      </c>
      <c r="N33" s="51">
        <v>29455.81</v>
      </c>
      <c r="O33" s="218">
        <f t="shared" si="6"/>
        <v>-23355.81</v>
      </c>
      <c r="P33" s="69"/>
    </row>
    <row r="34" spans="1:16">
      <c r="A34" s="69"/>
      <c r="B34" s="62"/>
      <c r="C34" s="62" t="s">
        <v>510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2"/>
      <c r="J34" s="164"/>
      <c r="K34" s="164"/>
      <c r="L34" s="63">
        <f t="shared" si="4"/>
        <v>0</v>
      </c>
      <c r="M34" s="131">
        <f t="shared" si="5"/>
        <v>0</v>
      </c>
      <c r="N34" s="63"/>
      <c r="O34" s="217">
        <f t="shared" si="6"/>
        <v>0</v>
      </c>
      <c r="P34" s="69"/>
    </row>
    <row r="35" spans="1:16">
      <c r="A35" s="69"/>
      <c r="B35" s="50"/>
      <c r="C35" s="50" t="s">
        <v>498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1">
        <v>1201</v>
      </c>
      <c r="J35" s="163"/>
      <c r="K35" s="163">
        <v>18708.3</v>
      </c>
      <c r="L35" s="51">
        <f t="shared" si="4"/>
        <v>18708.3</v>
      </c>
      <c r="M35" s="130">
        <f t="shared" si="5"/>
        <v>1.1044295847297724E-2</v>
      </c>
      <c r="N35" s="51">
        <v>206.62</v>
      </c>
      <c r="O35" s="217">
        <f t="shared" si="6"/>
        <v>220.55899999999997</v>
      </c>
      <c r="P35" s="69"/>
    </row>
    <row r="36" spans="1:16">
      <c r="A36" s="69"/>
      <c r="B36" s="62"/>
      <c r="C36" s="62" t="s">
        <v>511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2"/>
      <c r="J36" s="164"/>
      <c r="K36" s="164"/>
      <c r="L36" s="63">
        <f t="shared" si="4"/>
        <v>0</v>
      </c>
      <c r="M36" s="131">
        <f t="shared" si="5"/>
        <v>0</v>
      </c>
      <c r="N36" s="63"/>
      <c r="O36" s="217">
        <f t="shared" si="6"/>
        <v>0</v>
      </c>
      <c r="P36" s="69"/>
    </row>
    <row r="37" spans="1:16">
      <c r="A37" s="69"/>
      <c r="B37" s="67" t="s">
        <v>512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73"/>
      <c r="J37" s="165">
        <f t="shared" si="7"/>
        <v>38110.050000000003</v>
      </c>
      <c r="K37" s="165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513</v>
      </c>
      <c r="C38" s="52" t="s">
        <v>487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4"/>
      <c r="J38" s="166"/>
      <c r="K38" s="166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502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4"/>
      <c r="J39" s="166"/>
      <c r="K39" s="166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504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4"/>
      <c r="J40" s="166"/>
      <c r="K40" s="166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503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4"/>
      <c r="J41" s="166"/>
      <c r="K41" s="166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514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4"/>
      <c r="J42" s="166"/>
      <c r="K42" s="166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488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4"/>
      <c r="J43" s="166"/>
      <c r="K43" s="166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515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4"/>
      <c r="J44" s="166"/>
      <c r="K44" s="166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489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4"/>
      <c r="J45" s="166"/>
      <c r="K45" s="166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516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4"/>
      <c r="J46" s="167"/>
      <c r="K46" s="166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506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4"/>
      <c r="J47" s="167"/>
      <c r="K47" s="166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492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4"/>
      <c r="J48" s="166"/>
      <c r="K48" s="166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493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4"/>
      <c r="J49" s="167"/>
      <c r="K49" s="166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517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4"/>
      <c r="J50" s="167"/>
      <c r="K50" s="166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507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4"/>
      <c r="J51" s="166"/>
      <c r="K51" s="166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509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4"/>
      <c r="J52" s="166"/>
      <c r="K52" s="166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508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4"/>
      <c r="J53" s="166"/>
      <c r="K53" s="166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510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4"/>
      <c r="J54" s="167"/>
      <c r="K54" s="166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498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4"/>
      <c r="J55" s="167"/>
      <c r="K55" s="166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518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4"/>
      <c r="J56" s="166"/>
      <c r="K56" s="166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519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4"/>
      <c r="J57" s="167"/>
      <c r="K57" s="166"/>
      <c r="L57" s="53"/>
      <c r="M57" s="53"/>
      <c r="N57" s="53"/>
      <c r="O57" s="53"/>
      <c r="P57" s="69"/>
    </row>
    <row r="58" spans="1:16" hidden="1">
      <c r="A58" s="69"/>
      <c r="B58" s="59" t="s">
        <v>520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5"/>
      <c r="J58" s="168">
        <f t="shared" si="8"/>
        <v>0</v>
      </c>
      <c r="K58" s="168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7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R146"/>
  <sheetViews>
    <sheetView zoomScale="90" zoomScaleNormal="90" workbookViewId="0">
      <pane xSplit="1" ySplit="4" topLeftCell="B68" activePane="bottomRight" state="frozen"/>
      <selection activeCell="C4" sqref="C4"/>
      <selection pane="topRight" activeCell="C4" sqref="C4"/>
      <selection pane="bottomLeft" activeCell="C4" sqref="C4"/>
      <selection pane="bottomRight" activeCell="B77" sqref="B7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56" t="s">
        <v>359</v>
      </c>
      <c r="B1" s="256"/>
      <c r="C1" s="256"/>
      <c r="D1" s="256"/>
      <c r="E1" s="256"/>
      <c r="F1" s="256"/>
      <c r="G1" s="256"/>
      <c r="H1" s="256"/>
    </row>
    <row r="2" spans="1:18" ht="15.75">
      <c r="A2" s="257" t="s">
        <v>360</v>
      </c>
      <c r="B2" s="257"/>
      <c r="C2" s="257"/>
      <c r="D2" s="257"/>
      <c r="E2" s="257"/>
      <c r="F2" s="257"/>
      <c r="G2" s="257"/>
      <c r="H2" s="257"/>
    </row>
    <row r="3" spans="1:18">
      <c r="A3" s="88" t="s">
        <v>361</v>
      </c>
      <c r="B3" s="124">
        <f>B140</f>
        <v>-58146.039720000234</v>
      </c>
      <c r="C3" s="258"/>
      <c r="D3" s="230"/>
      <c r="E3" s="230"/>
      <c r="F3" s="230"/>
      <c r="G3" s="259"/>
      <c r="H3" s="124">
        <f>H140</f>
        <v>101908.52000000002</v>
      </c>
    </row>
    <row r="4" spans="1:18" ht="24.75" customHeight="1">
      <c r="A4" s="89" t="s">
        <v>362</v>
      </c>
      <c r="B4" s="97" t="s">
        <v>363</v>
      </c>
      <c r="C4" s="89" t="s">
        <v>364</v>
      </c>
      <c r="D4" s="89" t="s">
        <v>365</v>
      </c>
      <c r="E4" s="89" t="s">
        <v>366</v>
      </c>
      <c r="F4" s="89" t="s">
        <v>367</v>
      </c>
      <c r="G4" s="90" t="s">
        <v>368</v>
      </c>
      <c r="H4" s="97" t="s">
        <v>369</v>
      </c>
      <c r="I4" s="159" t="s">
        <v>545</v>
      </c>
      <c r="J4" s="154" t="s">
        <v>544</v>
      </c>
      <c r="L4" s="16"/>
      <c r="N4" s="16"/>
      <c r="O4" s="16"/>
      <c r="P4" s="16"/>
      <c r="Q4" s="16"/>
    </row>
    <row r="5" spans="1:18" ht="15.75">
      <c r="A5" s="123" t="s">
        <v>370</v>
      </c>
      <c r="B5" s="101"/>
      <c r="C5" s="102"/>
      <c r="D5" s="102"/>
      <c r="E5" s="102"/>
      <c r="F5" s="98"/>
      <c r="G5" s="98"/>
      <c r="H5" s="102"/>
      <c r="I5" t="s">
        <v>528</v>
      </c>
      <c r="M5" s="18"/>
      <c r="N5" s="18"/>
      <c r="O5" s="18"/>
      <c r="P5" s="18"/>
      <c r="Q5" s="18"/>
      <c r="R5" s="18"/>
    </row>
    <row r="6" spans="1:18">
      <c r="A6" s="103" t="s">
        <v>371</v>
      </c>
      <c r="B6" s="101"/>
      <c r="C6" s="104"/>
      <c r="D6" s="104"/>
      <c r="E6" s="104"/>
      <c r="F6" s="102"/>
      <c r="G6" s="105"/>
      <c r="H6" s="104"/>
      <c r="I6" t="s">
        <v>528</v>
      </c>
      <c r="M6" s="18"/>
      <c r="N6" s="18"/>
      <c r="O6" s="18"/>
      <c r="P6" s="18"/>
      <c r="Q6" s="18"/>
      <c r="R6" s="18"/>
    </row>
    <row r="7" spans="1:18">
      <c r="A7" s="106" t="s">
        <v>372</v>
      </c>
      <c r="B7" s="146">
        <f>Material_Cost!F37</f>
        <v>2059808.14</v>
      </c>
      <c r="C7" s="107">
        <v>276545.08</v>
      </c>
      <c r="D7" s="104">
        <v>31688.89</v>
      </c>
      <c r="E7" s="104">
        <v>0</v>
      </c>
      <c r="F7" s="104">
        <v>0</v>
      </c>
      <c r="G7" s="108">
        <f>IFERROR(H7/$H$10,"")</f>
        <v>0.88996475238694761</v>
      </c>
      <c r="H7" s="107">
        <f>SUM(C7:F7)</f>
        <v>308233.97000000003</v>
      </c>
      <c r="I7" t="s">
        <v>528</v>
      </c>
      <c r="M7" s="18"/>
      <c r="N7" s="18"/>
      <c r="O7" s="18"/>
      <c r="P7" s="18"/>
      <c r="Q7" s="18"/>
      <c r="R7" s="18"/>
    </row>
    <row r="8" spans="1:18">
      <c r="A8" s="106" t="s">
        <v>373</v>
      </c>
      <c r="B8" s="146">
        <f>Material_Cost!E37</f>
        <v>56825.2</v>
      </c>
      <c r="C8" s="109">
        <v>38110.050000000003</v>
      </c>
      <c r="D8" s="104">
        <v>0</v>
      </c>
      <c r="E8" s="104">
        <v>0</v>
      </c>
      <c r="F8" s="104">
        <v>0</v>
      </c>
      <c r="G8" s="108">
        <f t="shared" ref="G8:G71" si="0">IFERROR(H8/$H$10,"")</f>
        <v>0.11003524761305249</v>
      </c>
      <c r="H8" s="107">
        <f>SUM(C8:F8)</f>
        <v>38110.050000000003</v>
      </c>
      <c r="I8" t="s">
        <v>528</v>
      </c>
      <c r="M8" s="18"/>
      <c r="N8" s="18"/>
      <c r="O8" s="18"/>
      <c r="P8" s="18"/>
      <c r="Q8" s="18"/>
      <c r="R8" s="18"/>
    </row>
    <row r="9" spans="1:18">
      <c r="A9" s="106" t="s">
        <v>374</v>
      </c>
      <c r="B9" s="110"/>
      <c r="C9" s="111"/>
      <c r="D9" s="104"/>
      <c r="E9" s="104"/>
      <c r="F9" s="104"/>
      <c r="G9" s="108">
        <f t="shared" si="0"/>
        <v>0</v>
      </c>
      <c r="H9" s="107">
        <f>SUM(C9:F9)</f>
        <v>0</v>
      </c>
      <c r="I9" t="s">
        <v>528</v>
      </c>
      <c r="M9" s="18"/>
      <c r="N9" s="18"/>
      <c r="O9" s="18"/>
      <c r="P9" s="18"/>
      <c r="Q9" s="18"/>
      <c r="R9" s="18"/>
    </row>
    <row r="10" spans="1:18" ht="15.75">
      <c r="A10" s="99" t="s">
        <v>375</v>
      </c>
      <c r="B10" s="113">
        <f t="shared" ref="B10:F10" si="1">B7+B8+B9</f>
        <v>2116633.34</v>
      </c>
      <c r="C10" s="113">
        <f t="shared" si="1"/>
        <v>314655.13</v>
      </c>
      <c r="D10" s="113">
        <f t="shared" si="1"/>
        <v>31688.89</v>
      </c>
      <c r="E10" s="113">
        <f t="shared" si="1"/>
        <v>0</v>
      </c>
      <c r="F10" s="113">
        <f t="shared" si="1"/>
        <v>0</v>
      </c>
      <c r="G10" s="108">
        <f t="shared" si="0"/>
        <v>1</v>
      </c>
      <c r="H10" s="113">
        <f>SUM(H7:H9)</f>
        <v>346344.02</v>
      </c>
      <c r="I10" t="s">
        <v>528</v>
      </c>
      <c r="M10" s="18"/>
      <c r="N10" s="18"/>
      <c r="O10" s="18"/>
      <c r="P10" s="18"/>
      <c r="Q10" s="18"/>
      <c r="R10" s="18"/>
    </row>
    <row r="11" spans="1:18">
      <c r="A11" s="112"/>
      <c r="B11" s="101"/>
      <c r="C11" s="104"/>
      <c r="D11" s="104"/>
      <c r="E11" s="104"/>
      <c r="F11" s="104"/>
      <c r="G11" s="108">
        <f t="shared" si="0"/>
        <v>0</v>
      </c>
      <c r="H11" s="104"/>
      <c r="I11" t="s">
        <v>528</v>
      </c>
      <c r="M11" s="18"/>
      <c r="N11" s="18"/>
      <c r="O11" s="18"/>
      <c r="P11" s="18"/>
      <c r="Q11" s="18"/>
      <c r="R11" s="18"/>
    </row>
    <row r="12" spans="1:18">
      <c r="A12" s="103" t="s">
        <v>376</v>
      </c>
      <c r="B12" s="101"/>
      <c r="C12" s="104"/>
      <c r="D12" s="104"/>
      <c r="E12" s="104"/>
      <c r="F12" s="104"/>
      <c r="G12" s="108">
        <f t="shared" si="0"/>
        <v>0</v>
      </c>
      <c r="H12" s="104"/>
      <c r="I12" t="s">
        <v>528</v>
      </c>
      <c r="M12" s="18"/>
      <c r="N12" s="18"/>
      <c r="O12" s="18"/>
      <c r="P12" s="18"/>
      <c r="Q12" s="18"/>
      <c r="R12" s="18"/>
    </row>
    <row r="13" spans="1:18">
      <c r="A13" s="106" t="s">
        <v>377</v>
      </c>
      <c r="B13" s="101">
        <f>Material_Cost!H37</f>
        <v>1262311.8657199999</v>
      </c>
      <c r="C13" s="101">
        <v>98628.88</v>
      </c>
      <c r="D13" s="101">
        <v>43367.5</v>
      </c>
      <c r="E13" s="101">
        <v>0</v>
      </c>
      <c r="F13" s="101">
        <v>0</v>
      </c>
      <c r="G13" s="108">
        <f t="shared" si="0"/>
        <v>0.40998652149386033</v>
      </c>
      <c r="H13" s="104">
        <f>SUM(C13:F13)</f>
        <v>141996.38</v>
      </c>
      <c r="I13" t="s">
        <v>528</v>
      </c>
      <c r="M13" s="18"/>
      <c r="N13" s="18"/>
      <c r="O13" s="18"/>
      <c r="P13" s="18"/>
      <c r="Q13" s="18"/>
      <c r="R13" s="18"/>
    </row>
    <row r="14" spans="1:18">
      <c r="A14" s="112" t="s">
        <v>378</v>
      </c>
      <c r="B14" s="113">
        <f>B13</f>
        <v>1262311.8657199999</v>
      </c>
      <c r="C14" s="113">
        <f>C13</f>
        <v>98628.88</v>
      </c>
      <c r="D14" s="113">
        <f>D13</f>
        <v>43367.5</v>
      </c>
      <c r="E14" s="113">
        <f>E13</f>
        <v>0</v>
      </c>
      <c r="F14" s="113">
        <f>F13</f>
        <v>0</v>
      </c>
      <c r="G14" s="108">
        <f t="shared" si="0"/>
        <v>0.40998652149386033</v>
      </c>
      <c r="H14" s="113">
        <f>H13</f>
        <v>141996.38</v>
      </c>
      <c r="I14" t="s">
        <v>528</v>
      </c>
      <c r="M14" s="18"/>
      <c r="N14" s="18"/>
      <c r="O14" s="18"/>
      <c r="P14" s="18"/>
      <c r="Q14" s="18"/>
      <c r="R14" s="18"/>
    </row>
    <row r="15" spans="1:18">
      <c r="A15" s="114"/>
      <c r="B15" s="101"/>
      <c r="C15" s="104"/>
      <c r="D15" s="104"/>
      <c r="E15" s="104"/>
      <c r="F15" s="104"/>
      <c r="G15" s="108">
        <f t="shared" si="0"/>
        <v>0</v>
      </c>
      <c r="H15" s="115"/>
      <c r="I15" t="s">
        <v>528</v>
      </c>
      <c r="M15" s="18"/>
      <c r="N15" s="18"/>
      <c r="O15" s="18"/>
      <c r="P15" s="18"/>
      <c r="Q15" s="18"/>
      <c r="R15" s="18"/>
    </row>
    <row r="16" spans="1:18">
      <c r="A16" s="103" t="s">
        <v>379</v>
      </c>
      <c r="B16" s="101"/>
      <c r="C16" s="104"/>
      <c r="D16" s="104"/>
      <c r="E16" s="104"/>
      <c r="F16" s="104"/>
      <c r="G16" s="108"/>
      <c r="H16" s="104"/>
      <c r="I16" t="s">
        <v>528</v>
      </c>
      <c r="M16" s="18"/>
      <c r="N16" s="18"/>
      <c r="O16" s="18"/>
      <c r="P16" s="18"/>
      <c r="Q16" s="18"/>
      <c r="R16" s="18"/>
    </row>
    <row r="17" spans="1:18">
      <c r="A17" s="106" t="s">
        <v>380</v>
      </c>
      <c r="B17" s="111">
        <v>260250</v>
      </c>
      <c r="C17" s="104">
        <v>122.79</v>
      </c>
      <c r="D17" s="104">
        <v>901.66</v>
      </c>
      <c r="E17" s="104">
        <v>901.67</v>
      </c>
      <c r="F17" s="104">
        <v>0</v>
      </c>
      <c r="G17" s="108">
        <f t="shared" si="0"/>
        <v>5.5612913426367223E-3</v>
      </c>
      <c r="H17" s="104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6" t="s">
        <v>381</v>
      </c>
      <c r="B18" s="111">
        <v>20600</v>
      </c>
      <c r="C18" s="104">
        <v>0</v>
      </c>
      <c r="D18" s="104">
        <v>0</v>
      </c>
      <c r="E18" s="104">
        <v>0</v>
      </c>
      <c r="F18" s="104">
        <v>0</v>
      </c>
      <c r="G18" s="108">
        <f t="shared" si="0"/>
        <v>0</v>
      </c>
      <c r="H18" s="104">
        <f t="shared" si="2"/>
        <v>0</v>
      </c>
      <c r="I18" t="s">
        <v>209</v>
      </c>
      <c r="J18" t="s">
        <v>546</v>
      </c>
      <c r="M18" s="18"/>
      <c r="N18" s="18"/>
      <c r="O18" s="18"/>
      <c r="P18" s="18"/>
      <c r="Q18" s="18"/>
      <c r="R18" s="18"/>
    </row>
    <row r="19" spans="1:18">
      <c r="A19" s="106" t="s">
        <v>382</v>
      </c>
      <c r="B19" s="111">
        <v>0</v>
      </c>
      <c r="C19" s="104">
        <v>0</v>
      </c>
      <c r="D19" s="104">
        <v>0</v>
      </c>
      <c r="E19" s="104">
        <v>0</v>
      </c>
      <c r="F19" s="104">
        <v>0</v>
      </c>
      <c r="G19" s="108">
        <f t="shared" si="0"/>
        <v>0</v>
      </c>
      <c r="H19" s="104">
        <f t="shared" si="2"/>
        <v>0</v>
      </c>
      <c r="I19" t="s">
        <v>528</v>
      </c>
      <c r="M19" s="18"/>
      <c r="N19" s="18"/>
      <c r="O19" s="18"/>
      <c r="P19" s="18"/>
      <c r="Q19" s="18"/>
      <c r="R19" s="18"/>
    </row>
    <row r="20" spans="1:18">
      <c r="A20" s="106" t="s">
        <v>383</v>
      </c>
      <c r="B20" s="111">
        <v>0</v>
      </c>
      <c r="C20" s="104">
        <v>0</v>
      </c>
      <c r="D20" s="104">
        <v>0</v>
      </c>
      <c r="E20" s="104">
        <v>0</v>
      </c>
      <c r="F20" s="104">
        <v>0</v>
      </c>
      <c r="G20" s="108">
        <f t="shared" si="0"/>
        <v>0</v>
      </c>
      <c r="H20" s="104">
        <f t="shared" si="2"/>
        <v>0</v>
      </c>
      <c r="I20" t="s">
        <v>528</v>
      </c>
      <c r="M20" s="18"/>
      <c r="N20" s="18"/>
      <c r="O20" s="18"/>
      <c r="P20" s="18"/>
      <c r="Q20" s="18"/>
      <c r="R20" s="18"/>
    </row>
    <row r="21" spans="1:18">
      <c r="A21" s="106" t="s">
        <v>384</v>
      </c>
      <c r="B21" s="111">
        <v>10343.979499999999</v>
      </c>
      <c r="C21" s="104">
        <v>2655.51</v>
      </c>
      <c r="D21" s="104">
        <v>4436.3599999999997</v>
      </c>
      <c r="E21" s="104">
        <v>3929.89</v>
      </c>
      <c r="F21" s="104">
        <v>2181.4299999999998</v>
      </c>
      <c r="G21" s="108">
        <f t="shared" si="0"/>
        <v>3.8121605217840922E-2</v>
      </c>
      <c r="H21" s="104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6" t="s">
        <v>385</v>
      </c>
      <c r="B22" s="111">
        <v>0</v>
      </c>
      <c r="C22" s="104">
        <v>0</v>
      </c>
      <c r="D22" s="104">
        <v>0</v>
      </c>
      <c r="E22" s="104">
        <v>0</v>
      </c>
      <c r="F22" s="104">
        <v>0</v>
      </c>
      <c r="G22" s="108">
        <f t="shared" si="0"/>
        <v>0</v>
      </c>
      <c r="H22" s="104">
        <f t="shared" si="2"/>
        <v>0</v>
      </c>
      <c r="I22" t="s">
        <v>528</v>
      </c>
      <c r="M22" s="18"/>
      <c r="N22" s="18"/>
      <c r="O22" s="18"/>
      <c r="P22" s="18"/>
      <c r="Q22" s="18"/>
      <c r="R22" s="18"/>
    </row>
    <row r="23" spans="1:18">
      <c r="A23" s="106" t="s">
        <v>386</v>
      </c>
      <c r="B23" s="111">
        <v>15885.723</v>
      </c>
      <c r="C23" s="104">
        <v>0</v>
      </c>
      <c r="D23" s="104">
        <v>0</v>
      </c>
      <c r="E23" s="104">
        <v>0</v>
      </c>
      <c r="F23" s="104">
        <v>0</v>
      </c>
      <c r="G23" s="108">
        <f t="shared" si="0"/>
        <v>0</v>
      </c>
      <c r="H23" s="104">
        <f t="shared" si="2"/>
        <v>0</v>
      </c>
      <c r="I23" t="s">
        <v>91</v>
      </c>
      <c r="J23" t="s">
        <v>548</v>
      </c>
      <c r="M23" s="18"/>
      <c r="N23" s="18"/>
      <c r="O23" s="18"/>
      <c r="P23" s="18"/>
      <c r="Q23" s="18"/>
      <c r="R23" s="18"/>
    </row>
    <row r="24" spans="1:18">
      <c r="A24" s="116" t="s">
        <v>387</v>
      </c>
      <c r="B24" s="113">
        <f>SUM(B17:B23)</f>
        <v>307079.70250000001</v>
      </c>
      <c r="C24" s="113">
        <f>SUM(C17:C23)</f>
        <v>2778.3</v>
      </c>
      <c r="D24" s="113">
        <f>SUM(D17:D23)</f>
        <v>5338.0199999999995</v>
      </c>
      <c r="E24" s="113">
        <f>SUM(E17:E23)</f>
        <v>4831.5599999999995</v>
      </c>
      <c r="F24" s="113">
        <f>SUM(F17:F23)</f>
        <v>2181.4299999999998</v>
      </c>
      <c r="G24" s="108">
        <f t="shared" si="0"/>
        <v>4.3682896560477642E-2</v>
      </c>
      <c r="H24" s="102">
        <f>SUM(H16:H23)</f>
        <v>15129.310000000001</v>
      </c>
      <c r="I24" t="s">
        <v>528</v>
      </c>
      <c r="M24" s="18"/>
      <c r="N24" s="18"/>
      <c r="O24" s="18"/>
      <c r="P24" s="18"/>
      <c r="Q24" s="18"/>
      <c r="R24" s="18"/>
    </row>
    <row r="25" spans="1:18">
      <c r="A25" s="116"/>
      <c r="B25" s="101"/>
      <c r="C25" s="104"/>
      <c r="D25" s="104"/>
      <c r="E25" s="104"/>
      <c r="F25" s="104"/>
      <c r="G25" s="108">
        <f t="shared" si="0"/>
        <v>0</v>
      </c>
      <c r="H25" s="104"/>
      <c r="I25" t="s">
        <v>528</v>
      </c>
      <c r="M25" s="18"/>
      <c r="N25" s="18"/>
      <c r="O25" s="18"/>
      <c r="P25" s="18"/>
      <c r="Q25" s="18"/>
      <c r="R25" s="18"/>
    </row>
    <row r="26" spans="1:18">
      <c r="A26" s="103" t="s">
        <v>388</v>
      </c>
      <c r="B26" s="101"/>
      <c r="C26" s="104"/>
      <c r="D26" s="104"/>
      <c r="E26" s="104"/>
      <c r="F26" s="104"/>
      <c r="G26" s="108">
        <f t="shared" si="0"/>
        <v>0</v>
      </c>
      <c r="H26" s="104"/>
      <c r="I26" t="s">
        <v>528</v>
      </c>
      <c r="M26" s="18"/>
      <c r="N26" s="18"/>
      <c r="O26" s="18"/>
      <c r="P26" s="18"/>
      <c r="Q26" s="18"/>
      <c r="R26" s="18"/>
    </row>
    <row r="27" spans="1:18">
      <c r="A27" s="106" t="s">
        <v>152</v>
      </c>
      <c r="B27" s="111">
        <v>5375.03</v>
      </c>
      <c r="C27" s="104">
        <v>91.44</v>
      </c>
      <c r="D27" s="104">
        <v>160.61000000000001</v>
      </c>
      <c r="E27" s="104">
        <v>0</v>
      </c>
      <c r="F27" s="104">
        <v>0</v>
      </c>
      <c r="G27" s="108">
        <f t="shared" si="0"/>
        <v>7.2774462801465428E-4</v>
      </c>
      <c r="H27" s="104">
        <f t="shared" si="2"/>
        <v>252.05</v>
      </c>
      <c r="I27" t="s">
        <v>152</v>
      </c>
      <c r="J27" t="s">
        <v>549</v>
      </c>
      <c r="M27" s="18"/>
      <c r="N27" s="18"/>
      <c r="O27" s="18"/>
      <c r="P27" s="18"/>
      <c r="Q27" s="18"/>
      <c r="R27" s="18"/>
    </row>
    <row r="28" spans="1:18">
      <c r="A28" s="106" t="s">
        <v>83</v>
      </c>
      <c r="B28" s="111">
        <v>25000</v>
      </c>
      <c r="C28" s="104">
        <v>8323.4</v>
      </c>
      <c r="D28" s="104">
        <v>0</v>
      </c>
      <c r="E28" s="104">
        <v>0</v>
      </c>
      <c r="F28" s="104">
        <v>0</v>
      </c>
      <c r="G28" s="108">
        <f t="shared" si="0"/>
        <v>2.40321747146089E-2</v>
      </c>
      <c r="H28" s="104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6" t="s">
        <v>78</v>
      </c>
      <c r="B29" s="111">
        <v>21536.61</v>
      </c>
      <c r="C29" s="104">
        <v>156.87</v>
      </c>
      <c r="D29" s="104">
        <v>436.66</v>
      </c>
      <c r="E29" s="104">
        <v>827.12</v>
      </c>
      <c r="F29" s="104">
        <v>84.77</v>
      </c>
      <c r="G29" s="108">
        <f t="shared" si="0"/>
        <v>4.3466031259901646E-3</v>
      </c>
      <c r="H29" s="104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6" t="s">
        <v>389</v>
      </c>
      <c r="B30" s="111">
        <v>257250</v>
      </c>
      <c r="C30" s="104">
        <v>0</v>
      </c>
      <c r="D30" s="104">
        <v>0</v>
      </c>
      <c r="E30" s="104">
        <v>0</v>
      </c>
      <c r="F30" s="104">
        <v>0</v>
      </c>
      <c r="G30" s="108">
        <f t="shared" si="0"/>
        <v>0</v>
      </c>
      <c r="H30" s="104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6" t="s">
        <v>74</v>
      </c>
      <c r="B31" s="111">
        <v>15561.89</v>
      </c>
      <c r="C31" s="104">
        <v>1863.9</v>
      </c>
      <c r="D31" s="104">
        <v>5107.6000000000004</v>
      </c>
      <c r="E31" s="104">
        <v>4098.6000000000004</v>
      </c>
      <c r="F31" s="104">
        <v>3779.14</v>
      </c>
      <c r="G31" s="108">
        <f t="shared" si="0"/>
        <v>4.2874249712756697E-2</v>
      </c>
      <c r="H31" s="104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6" t="s">
        <v>390</v>
      </c>
      <c r="B32" s="111">
        <v>6000</v>
      </c>
      <c r="C32" s="104">
        <v>0</v>
      </c>
      <c r="D32" s="104">
        <v>0</v>
      </c>
      <c r="E32" s="104">
        <v>0</v>
      </c>
      <c r="F32" s="104">
        <v>0</v>
      </c>
      <c r="G32" s="108">
        <f t="shared" si="0"/>
        <v>0</v>
      </c>
      <c r="H32" s="104">
        <f t="shared" si="2"/>
        <v>0</v>
      </c>
      <c r="I32" t="s">
        <v>209</v>
      </c>
      <c r="J32" t="s">
        <v>546</v>
      </c>
      <c r="M32" s="18"/>
      <c r="N32" s="18"/>
      <c r="O32" s="18"/>
      <c r="P32" s="18"/>
      <c r="Q32" s="18"/>
      <c r="R32" s="18"/>
    </row>
    <row r="33" spans="1:18">
      <c r="A33" s="117" t="s">
        <v>391</v>
      </c>
      <c r="B33" s="111">
        <v>54459.64</v>
      </c>
      <c r="C33" s="104">
        <v>0</v>
      </c>
      <c r="D33" s="104">
        <v>0</v>
      </c>
      <c r="E33" s="104">
        <v>0</v>
      </c>
      <c r="F33" s="104">
        <v>0</v>
      </c>
      <c r="G33" s="108">
        <f t="shared" si="0"/>
        <v>0</v>
      </c>
      <c r="H33" s="104">
        <f t="shared" si="2"/>
        <v>0</v>
      </c>
      <c r="I33" t="s">
        <v>209</v>
      </c>
      <c r="J33" t="s">
        <v>546</v>
      </c>
      <c r="M33" s="18"/>
      <c r="N33" s="18"/>
      <c r="O33" s="18"/>
      <c r="P33" s="18"/>
      <c r="Q33" s="18"/>
      <c r="R33" s="18"/>
    </row>
    <row r="34" spans="1:18">
      <c r="A34" s="106" t="s">
        <v>392</v>
      </c>
      <c r="B34" s="111">
        <v>3679.7200000000003</v>
      </c>
      <c r="C34" s="104">
        <v>0</v>
      </c>
      <c r="D34" s="104">
        <v>0</v>
      </c>
      <c r="E34" s="104">
        <v>0</v>
      </c>
      <c r="F34" s="104">
        <v>0</v>
      </c>
      <c r="G34" s="108">
        <f t="shared" si="0"/>
        <v>0</v>
      </c>
      <c r="H34" s="104">
        <f t="shared" si="2"/>
        <v>0</v>
      </c>
      <c r="I34" t="s">
        <v>209</v>
      </c>
      <c r="J34" t="s">
        <v>546</v>
      </c>
      <c r="M34" s="18"/>
      <c r="N34" s="18"/>
      <c r="O34" s="18"/>
      <c r="P34" s="18"/>
      <c r="Q34" s="18"/>
      <c r="R34" s="18"/>
    </row>
    <row r="35" spans="1:18">
      <c r="A35" s="106" t="s">
        <v>393</v>
      </c>
      <c r="B35" s="111">
        <v>5623.8399999999992</v>
      </c>
      <c r="C35" s="104">
        <v>0</v>
      </c>
      <c r="D35" s="104">
        <v>0</v>
      </c>
      <c r="E35" s="104">
        <v>0</v>
      </c>
      <c r="F35" s="104">
        <v>0</v>
      </c>
      <c r="G35" s="108">
        <f t="shared" si="0"/>
        <v>0</v>
      </c>
      <c r="H35" s="104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6" t="s">
        <v>136</v>
      </c>
      <c r="B36" s="111">
        <v>484.46</v>
      </c>
      <c r="C36" s="104">
        <v>73.55</v>
      </c>
      <c r="D36" s="104">
        <v>0</v>
      </c>
      <c r="E36" s="104">
        <v>0</v>
      </c>
      <c r="F36" s="104">
        <v>0</v>
      </c>
      <c r="G36" s="108">
        <f t="shared" si="0"/>
        <v>2.123611084724373E-4</v>
      </c>
      <c r="H36" s="104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6" t="s">
        <v>394</v>
      </c>
      <c r="B37" s="111">
        <v>12855.169999999998</v>
      </c>
      <c r="C37" s="104">
        <v>0</v>
      </c>
      <c r="D37" s="104">
        <v>0</v>
      </c>
      <c r="E37" s="104">
        <v>0</v>
      </c>
      <c r="F37" s="104">
        <v>0</v>
      </c>
      <c r="G37" s="108">
        <f t="shared" si="0"/>
        <v>0</v>
      </c>
      <c r="H37" s="104">
        <f t="shared" si="2"/>
        <v>0</v>
      </c>
      <c r="I37" t="s">
        <v>209</v>
      </c>
      <c r="J37" t="s">
        <v>546</v>
      </c>
      <c r="M37" s="18"/>
      <c r="N37" s="18"/>
      <c r="O37" s="18"/>
      <c r="P37" s="18"/>
      <c r="Q37" s="18"/>
      <c r="R37" s="18"/>
    </row>
    <row r="38" spans="1:18">
      <c r="A38" s="112" t="s">
        <v>395</v>
      </c>
      <c r="B38" s="113">
        <f>SUM(B27:B37)</f>
        <v>407826.36000000004</v>
      </c>
      <c r="C38" s="113">
        <f>SUM(C27:C37)</f>
        <v>10509.16</v>
      </c>
      <c r="D38" s="113">
        <f>SUM(D27:D37)</f>
        <v>5704.8700000000008</v>
      </c>
      <c r="E38" s="113">
        <f>SUM(E27:E37)</f>
        <v>4925.72</v>
      </c>
      <c r="F38" s="113">
        <f>SUM(F27:F37)</f>
        <v>3863.91</v>
      </c>
      <c r="G38" s="108">
        <f t="shared" si="0"/>
        <v>7.2193133289842851E-2</v>
      </c>
      <c r="H38" s="102">
        <f>SUM(H27:H37)</f>
        <v>25003.66</v>
      </c>
      <c r="I38" t="s">
        <v>528</v>
      </c>
      <c r="M38" s="18"/>
      <c r="N38" s="18"/>
      <c r="O38" s="18"/>
      <c r="P38" s="18"/>
      <c r="Q38" s="18"/>
      <c r="R38" s="18"/>
    </row>
    <row r="39" spans="1:18">
      <c r="A39" s="116" t="s">
        <v>396</v>
      </c>
      <c r="B39" s="113">
        <f>B24+B38</f>
        <v>714906.0625</v>
      </c>
      <c r="C39" s="113">
        <f>C24+C38</f>
        <v>13287.46</v>
      </c>
      <c r="D39" s="113">
        <f>D24+D38</f>
        <v>11042.89</v>
      </c>
      <c r="E39" s="113">
        <f>E24+E38</f>
        <v>9757.2799999999988</v>
      </c>
      <c r="F39" s="113">
        <f>F24+F38</f>
        <v>6045.34</v>
      </c>
      <c r="G39" s="108">
        <f t="shared" si="0"/>
        <v>0.1158760298503205</v>
      </c>
      <c r="H39" s="102">
        <f t="shared" si="2"/>
        <v>40132.97</v>
      </c>
      <c r="I39" t="s">
        <v>528</v>
      </c>
      <c r="M39" s="18"/>
      <c r="N39" s="18"/>
      <c r="O39" s="18"/>
      <c r="P39" s="18"/>
      <c r="Q39" s="18"/>
      <c r="R39" s="18"/>
    </row>
    <row r="40" spans="1:18">
      <c r="A40" s="116"/>
      <c r="B40" s="98"/>
      <c r="C40" s="98"/>
      <c r="D40" s="98"/>
      <c r="E40" s="98"/>
      <c r="F40" s="98"/>
      <c r="G40" s="108">
        <f t="shared" si="0"/>
        <v>0</v>
      </c>
      <c r="H40" s="102"/>
      <c r="I40" t="s">
        <v>528</v>
      </c>
      <c r="M40" s="18"/>
      <c r="N40" s="18"/>
      <c r="O40" s="18"/>
      <c r="P40" s="18"/>
      <c r="Q40" s="18"/>
      <c r="R40" s="18"/>
    </row>
    <row r="41" spans="1:18">
      <c r="A41" s="100" t="s">
        <v>397</v>
      </c>
      <c r="B41" s="113">
        <f>B10-B14-B39</f>
        <v>139415.41177999997</v>
      </c>
      <c r="C41" s="113">
        <f>C10-C14-C39</f>
        <v>202738.79</v>
      </c>
      <c r="D41" s="113">
        <f>D10-D14-D39</f>
        <v>-22721.5</v>
      </c>
      <c r="E41" s="113">
        <f>E10-E14-E39</f>
        <v>-9757.2799999999988</v>
      </c>
      <c r="F41" s="113">
        <f>F10-F14-F39</f>
        <v>-6045.34</v>
      </c>
      <c r="G41" s="108">
        <f t="shared" si="0"/>
        <v>0.47413744865581914</v>
      </c>
      <c r="H41" s="102">
        <f t="shared" si="2"/>
        <v>164214.67000000001</v>
      </c>
      <c r="I41" t="s">
        <v>528</v>
      </c>
      <c r="M41" s="18"/>
      <c r="N41" s="18"/>
      <c r="O41" s="18"/>
      <c r="P41" s="18"/>
      <c r="Q41" s="18"/>
      <c r="R41" s="18"/>
    </row>
    <row r="42" spans="1:18">
      <c r="A42" s="116"/>
      <c r="B42" s="101"/>
      <c r="C42" s="104"/>
      <c r="D42" s="104"/>
      <c r="E42" s="104"/>
      <c r="F42" s="104"/>
      <c r="G42" s="108">
        <f t="shared" si="0"/>
        <v>0</v>
      </c>
      <c r="H42" s="104"/>
      <c r="I42" t="s">
        <v>528</v>
      </c>
      <c r="M42" s="18"/>
      <c r="N42" s="18"/>
      <c r="O42" s="18"/>
      <c r="P42" s="18"/>
      <c r="Q42" s="18"/>
      <c r="R42" s="18"/>
    </row>
    <row r="43" spans="1:18">
      <c r="A43" s="100" t="s">
        <v>398</v>
      </c>
      <c r="B43" s="101"/>
      <c r="C43" s="118"/>
      <c r="D43" s="104"/>
      <c r="E43" s="104"/>
      <c r="F43" s="104"/>
      <c r="G43" s="108">
        <f t="shared" si="0"/>
        <v>0</v>
      </c>
      <c r="H43" s="104"/>
      <c r="I43" t="s">
        <v>528</v>
      </c>
      <c r="M43" s="18"/>
      <c r="N43" s="18"/>
      <c r="O43" s="18"/>
      <c r="P43" s="18"/>
      <c r="Q43" s="18"/>
      <c r="R43" s="18"/>
    </row>
    <row r="44" spans="1:18">
      <c r="A44" s="103" t="s">
        <v>399</v>
      </c>
      <c r="B44" s="101"/>
      <c r="C44" s="118"/>
      <c r="D44" s="104"/>
      <c r="E44" s="104"/>
      <c r="F44" s="104"/>
      <c r="G44" s="108">
        <f t="shared" si="0"/>
        <v>0</v>
      </c>
      <c r="H44" s="104"/>
      <c r="I44" t="s">
        <v>528</v>
      </c>
      <c r="M44" s="18"/>
      <c r="N44" s="18"/>
      <c r="O44" s="18"/>
      <c r="P44" s="18"/>
      <c r="Q44" s="18"/>
      <c r="R44" s="18"/>
    </row>
    <row r="45" spans="1:18">
      <c r="A45" s="119" t="s">
        <v>400</v>
      </c>
      <c r="B45" s="101"/>
      <c r="C45" s="118"/>
      <c r="D45" s="104"/>
      <c r="E45" s="104"/>
      <c r="F45" s="104"/>
      <c r="G45" s="108">
        <f t="shared" si="0"/>
        <v>0</v>
      </c>
      <c r="H45" s="104"/>
      <c r="I45" t="s">
        <v>528</v>
      </c>
      <c r="M45" s="18"/>
      <c r="N45" s="18"/>
      <c r="O45" s="18"/>
      <c r="P45" s="18"/>
      <c r="Q45" s="18"/>
      <c r="R45" s="18"/>
    </row>
    <row r="46" spans="1:18">
      <c r="A46" s="106" t="s">
        <v>401</v>
      </c>
      <c r="B46" s="111">
        <v>0</v>
      </c>
      <c r="C46" s="118">
        <v>0</v>
      </c>
      <c r="D46" s="104">
        <v>0</v>
      </c>
      <c r="E46" s="104">
        <v>0</v>
      </c>
      <c r="F46" s="104">
        <v>0</v>
      </c>
      <c r="G46" s="108">
        <f t="shared" si="0"/>
        <v>0</v>
      </c>
      <c r="H46" s="104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6" t="s">
        <v>402</v>
      </c>
      <c r="B47" s="111">
        <v>500</v>
      </c>
      <c r="C47" s="104">
        <v>357.33</v>
      </c>
      <c r="D47" s="104">
        <v>0</v>
      </c>
      <c r="E47" s="104">
        <v>0</v>
      </c>
      <c r="F47" s="104">
        <v>0</v>
      </c>
      <c r="G47" s="108">
        <f t="shared" si="0"/>
        <v>1.0317198489524951E-3</v>
      </c>
      <c r="H47" s="104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9" t="s">
        <v>403</v>
      </c>
      <c r="B48" s="111">
        <v>0</v>
      </c>
      <c r="C48" s="104"/>
      <c r="D48" s="104"/>
      <c r="E48" s="104"/>
      <c r="F48" s="104"/>
      <c r="G48" s="108">
        <f t="shared" si="0"/>
        <v>0</v>
      </c>
      <c r="H48" s="104">
        <f t="shared" si="2"/>
        <v>0</v>
      </c>
      <c r="I48" t="s">
        <v>528</v>
      </c>
      <c r="M48" s="18"/>
      <c r="N48" s="18"/>
      <c r="O48" s="18"/>
      <c r="P48" s="18"/>
      <c r="Q48" s="18"/>
      <c r="R48" s="18"/>
    </row>
    <row r="49" spans="1:18">
      <c r="A49" s="106" t="s">
        <v>404</v>
      </c>
      <c r="B49" s="111">
        <v>10000</v>
      </c>
      <c r="C49" s="104">
        <v>7427.99</v>
      </c>
      <c r="D49" s="104">
        <v>0</v>
      </c>
      <c r="E49" s="104">
        <v>2612.3200000000002</v>
      </c>
      <c r="F49" s="104">
        <v>0</v>
      </c>
      <c r="G49" s="108">
        <f t="shared" si="0"/>
        <v>2.8989413473921099E-2</v>
      </c>
      <c r="H49" s="104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6" t="s">
        <v>405</v>
      </c>
      <c r="B50" s="111">
        <v>0</v>
      </c>
      <c r="C50" s="104">
        <v>0</v>
      </c>
      <c r="D50" s="104">
        <v>0</v>
      </c>
      <c r="E50" s="104">
        <v>0</v>
      </c>
      <c r="F50" s="104">
        <v>0</v>
      </c>
      <c r="G50" s="108">
        <f t="shared" si="0"/>
        <v>0</v>
      </c>
      <c r="H50" s="104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6" t="s">
        <v>406</v>
      </c>
      <c r="B51" s="111">
        <v>20000</v>
      </c>
      <c r="C51" s="104">
        <v>15169.11</v>
      </c>
      <c r="D51" s="104">
        <v>7555.56</v>
      </c>
      <c r="E51" s="104">
        <v>0</v>
      </c>
      <c r="F51" s="104">
        <v>0</v>
      </c>
      <c r="G51" s="108">
        <f t="shared" si="0"/>
        <v>6.5612999467985614E-2</v>
      </c>
      <c r="H51" s="104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6" t="s">
        <v>407</v>
      </c>
      <c r="B52" s="111">
        <v>0</v>
      </c>
      <c r="C52" s="104">
        <v>0</v>
      </c>
      <c r="D52" s="120">
        <v>0</v>
      </c>
      <c r="E52" s="104">
        <v>0</v>
      </c>
      <c r="F52" s="104">
        <v>0</v>
      </c>
      <c r="G52" s="108">
        <f t="shared" si="0"/>
        <v>0</v>
      </c>
      <c r="H52" s="104">
        <f t="shared" si="2"/>
        <v>0</v>
      </c>
      <c r="I52" t="s">
        <v>528</v>
      </c>
      <c r="M52" s="18"/>
      <c r="N52" s="18"/>
      <c r="O52" s="18"/>
      <c r="P52" s="18"/>
      <c r="Q52" s="18"/>
      <c r="R52" s="18"/>
    </row>
    <row r="53" spans="1:18">
      <c r="A53" s="106" t="s">
        <v>408</v>
      </c>
      <c r="B53" s="111">
        <v>0</v>
      </c>
      <c r="C53" s="104">
        <v>0</v>
      </c>
      <c r="D53" s="104">
        <v>0</v>
      </c>
      <c r="E53" s="104">
        <v>0</v>
      </c>
      <c r="F53" s="104">
        <v>0</v>
      </c>
      <c r="G53" s="108">
        <f t="shared" si="0"/>
        <v>0</v>
      </c>
      <c r="H53" s="104">
        <f t="shared" si="2"/>
        <v>0</v>
      </c>
      <c r="I53" t="s">
        <v>528</v>
      </c>
      <c r="M53" s="18"/>
      <c r="N53" s="18"/>
      <c r="O53" s="18"/>
      <c r="P53" s="18"/>
      <c r="Q53" s="18"/>
      <c r="R53" s="18"/>
    </row>
    <row r="54" spans="1:18">
      <c r="A54" s="119" t="s">
        <v>409</v>
      </c>
      <c r="B54" s="111"/>
      <c r="C54" s="104"/>
      <c r="D54" s="104"/>
      <c r="E54" s="104"/>
      <c r="F54" s="104"/>
      <c r="G54" s="108">
        <f t="shared" si="0"/>
        <v>0</v>
      </c>
      <c r="H54" s="104">
        <f t="shared" si="2"/>
        <v>0</v>
      </c>
      <c r="I54" t="s">
        <v>528</v>
      </c>
      <c r="M54" s="18"/>
      <c r="N54" s="18"/>
      <c r="O54" s="18"/>
      <c r="P54" s="18"/>
      <c r="Q54" s="18"/>
      <c r="R54" s="18"/>
    </row>
    <row r="55" spans="1:18">
      <c r="A55" s="106" t="s">
        <v>410</v>
      </c>
      <c r="B55" s="111">
        <v>0</v>
      </c>
      <c r="C55" s="104">
        <v>0</v>
      </c>
      <c r="D55" s="104">
        <v>0</v>
      </c>
      <c r="E55" s="104">
        <v>0</v>
      </c>
      <c r="F55" s="104">
        <v>0</v>
      </c>
      <c r="G55" s="108">
        <f t="shared" si="0"/>
        <v>0</v>
      </c>
      <c r="H55" s="104">
        <f t="shared" si="2"/>
        <v>0</v>
      </c>
      <c r="I55" t="s">
        <v>528</v>
      </c>
      <c r="M55" s="18"/>
      <c r="N55" s="18"/>
      <c r="O55" s="18"/>
      <c r="P55" s="18"/>
      <c r="Q55" s="18"/>
      <c r="R55" s="18"/>
    </row>
    <row r="56" spans="1:18">
      <c r="A56" s="106" t="s">
        <v>411</v>
      </c>
      <c r="B56" s="111">
        <v>7000</v>
      </c>
      <c r="C56" s="104">
        <v>0</v>
      </c>
      <c r="D56" s="104">
        <v>0</v>
      </c>
      <c r="E56" s="104">
        <v>0</v>
      </c>
      <c r="F56" s="104">
        <v>0</v>
      </c>
      <c r="G56" s="108">
        <f t="shared" si="0"/>
        <v>0</v>
      </c>
      <c r="H56" s="104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6" t="s">
        <v>412</v>
      </c>
      <c r="B57" s="111">
        <v>2000</v>
      </c>
      <c r="C57" s="104">
        <v>0</v>
      </c>
      <c r="D57" s="104">
        <v>0</v>
      </c>
      <c r="E57" s="104">
        <v>0</v>
      </c>
      <c r="F57" s="104">
        <v>0</v>
      </c>
      <c r="G57" s="108">
        <f t="shared" si="0"/>
        <v>0</v>
      </c>
      <c r="H57" s="104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6" t="s">
        <v>413</v>
      </c>
      <c r="B58" s="111">
        <v>0</v>
      </c>
      <c r="C58" s="104">
        <v>0</v>
      </c>
      <c r="D58" s="104">
        <v>0</v>
      </c>
      <c r="E58" s="104">
        <v>0</v>
      </c>
      <c r="F58" s="104">
        <v>0</v>
      </c>
      <c r="G58" s="108">
        <f t="shared" si="0"/>
        <v>0</v>
      </c>
      <c r="H58" s="104">
        <f t="shared" si="2"/>
        <v>0</v>
      </c>
      <c r="I58" t="s">
        <v>528</v>
      </c>
      <c r="M58" s="18"/>
      <c r="N58" s="18"/>
      <c r="O58" s="18"/>
      <c r="P58" s="18"/>
      <c r="Q58" s="18"/>
      <c r="R58" s="18"/>
    </row>
    <row r="59" spans="1:18">
      <c r="A59" s="112" t="s">
        <v>414</v>
      </c>
      <c r="B59" s="113">
        <f>SUM(B46:B58)</f>
        <v>39500</v>
      </c>
      <c r="C59" s="113">
        <f>SUM(C46:C58)</f>
        <v>22954.43</v>
      </c>
      <c r="D59" s="113">
        <f>SUM(D46:D58)</f>
        <v>7555.56</v>
      </c>
      <c r="E59" s="113">
        <f>SUM(E46:E58)</f>
        <v>2612.3200000000002</v>
      </c>
      <c r="F59" s="113">
        <f>SUM(F46:F58)</f>
        <v>0</v>
      </c>
      <c r="G59" s="108">
        <f t="shared" si="0"/>
        <v>9.5634132790859208E-2</v>
      </c>
      <c r="H59" s="102">
        <f>SUM(H46:H58)</f>
        <v>33122.31</v>
      </c>
      <c r="I59" t="s">
        <v>528</v>
      </c>
      <c r="M59" s="18"/>
      <c r="N59" s="18"/>
      <c r="O59" s="18"/>
      <c r="P59" s="18"/>
      <c r="Q59" s="18"/>
      <c r="R59" s="18"/>
    </row>
    <row r="60" spans="1:18">
      <c r="A60" s="116"/>
      <c r="B60" s="101"/>
      <c r="C60" s="104"/>
      <c r="D60" s="104"/>
      <c r="E60" s="104"/>
      <c r="F60" s="104"/>
      <c r="G60" s="108">
        <f t="shared" si="0"/>
        <v>0</v>
      </c>
      <c r="H60" s="104"/>
      <c r="I60" t="s">
        <v>528</v>
      </c>
      <c r="M60" s="18"/>
      <c r="N60" s="18"/>
      <c r="O60" s="18"/>
      <c r="P60" s="18"/>
      <c r="Q60" s="18"/>
      <c r="R60" s="18"/>
    </row>
    <row r="61" spans="1:18">
      <c r="A61" s="103" t="s">
        <v>415</v>
      </c>
      <c r="B61" s="101"/>
      <c r="C61" s="104"/>
      <c r="D61" s="104"/>
      <c r="E61" s="104"/>
      <c r="F61" s="104"/>
      <c r="G61" s="108">
        <f t="shared" si="0"/>
        <v>0</v>
      </c>
      <c r="H61" s="104"/>
      <c r="I61" t="s">
        <v>528</v>
      </c>
      <c r="M61" s="18"/>
      <c r="N61" s="18"/>
      <c r="O61" s="18"/>
      <c r="P61" s="18"/>
      <c r="Q61" s="18"/>
      <c r="R61" s="18"/>
    </row>
    <row r="62" spans="1:18">
      <c r="A62" s="119" t="s">
        <v>416</v>
      </c>
      <c r="B62" s="101"/>
      <c r="C62" s="104"/>
      <c r="D62" s="104"/>
      <c r="E62" s="104"/>
      <c r="F62" s="104"/>
      <c r="G62" s="108">
        <f t="shared" si="0"/>
        <v>0</v>
      </c>
      <c r="H62" s="104"/>
      <c r="I62" t="s">
        <v>528</v>
      </c>
      <c r="M62" s="18"/>
      <c r="N62" s="18"/>
      <c r="O62" s="18"/>
      <c r="P62" s="18"/>
      <c r="Q62" s="18"/>
      <c r="R62" s="18"/>
    </row>
    <row r="63" spans="1:18">
      <c r="A63" s="106" t="s">
        <v>417</v>
      </c>
      <c r="B63" s="111">
        <v>65254.421499999997</v>
      </c>
      <c r="C63" s="104">
        <v>0</v>
      </c>
      <c r="D63" s="104">
        <v>0</v>
      </c>
      <c r="E63" s="104">
        <v>0</v>
      </c>
      <c r="F63" s="104">
        <v>0</v>
      </c>
      <c r="G63" s="108">
        <f t="shared" si="0"/>
        <v>0</v>
      </c>
      <c r="H63" s="104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6" t="s">
        <v>381</v>
      </c>
      <c r="B64" s="111">
        <v>3000</v>
      </c>
      <c r="C64" s="104">
        <v>0</v>
      </c>
      <c r="D64" s="104">
        <v>0</v>
      </c>
      <c r="E64" s="104">
        <v>0</v>
      </c>
      <c r="F64" s="104">
        <v>0</v>
      </c>
      <c r="G64" s="108">
        <f t="shared" si="0"/>
        <v>0</v>
      </c>
      <c r="H64" s="104">
        <f t="shared" si="2"/>
        <v>0</v>
      </c>
      <c r="I64" t="s">
        <v>209</v>
      </c>
      <c r="J64" t="s">
        <v>546</v>
      </c>
      <c r="M64" s="18"/>
      <c r="N64" s="18"/>
      <c r="O64" s="18"/>
      <c r="P64" s="18"/>
      <c r="Q64" s="18"/>
      <c r="R64" s="18"/>
    </row>
    <row r="65" spans="1:18">
      <c r="A65" s="106" t="s">
        <v>382</v>
      </c>
      <c r="B65" s="111">
        <v>0</v>
      </c>
      <c r="C65" s="104">
        <v>0</v>
      </c>
      <c r="D65" s="104">
        <v>0</v>
      </c>
      <c r="E65" s="104">
        <v>0</v>
      </c>
      <c r="F65" s="104">
        <v>0</v>
      </c>
      <c r="G65" s="108">
        <f t="shared" si="0"/>
        <v>0</v>
      </c>
      <c r="H65" s="104">
        <f t="shared" si="2"/>
        <v>0</v>
      </c>
      <c r="I65" t="s">
        <v>528</v>
      </c>
      <c r="M65" s="18"/>
      <c r="N65" s="18"/>
      <c r="O65" s="18"/>
      <c r="P65" s="18"/>
      <c r="Q65" s="18"/>
      <c r="R65" s="18"/>
    </row>
    <row r="66" spans="1:18">
      <c r="A66" s="106" t="s">
        <v>383</v>
      </c>
      <c r="B66" s="111">
        <v>0</v>
      </c>
      <c r="C66" s="104">
        <v>0</v>
      </c>
      <c r="D66" s="104">
        <v>0</v>
      </c>
      <c r="E66" s="104">
        <v>0</v>
      </c>
      <c r="F66" s="104">
        <v>0</v>
      </c>
      <c r="G66" s="108">
        <f t="shared" si="0"/>
        <v>0</v>
      </c>
      <c r="H66" s="104">
        <f t="shared" si="2"/>
        <v>0</v>
      </c>
      <c r="I66" t="s">
        <v>528</v>
      </c>
      <c r="M66" s="18"/>
      <c r="N66" s="18"/>
      <c r="O66" s="18"/>
      <c r="P66" s="18"/>
      <c r="Q66" s="18"/>
      <c r="R66" s="18"/>
    </row>
    <row r="67" spans="1:18">
      <c r="A67" s="106" t="s">
        <v>384</v>
      </c>
      <c r="B67" s="111">
        <v>0</v>
      </c>
      <c r="C67" s="104">
        <v>0</v>
      </c>
      <c r="D67" s="104">
        <v>0</v>
      </c>
      <c r="E67" s="104">
        <v>0</v>
      </c>
      <c r="F67" s="104">
        <v>0</v>
      </c>
      <c r="G67" s="108">
        <f t="shared" si="0"/>
        <v>0</v>
      </c>
      <c r="H67" s="104">
        <f t="shared" si="2"/>
        <v>0</v>
      </c>
      <c r="J67" t="s">
        <v>547</v>
      </c>
      <c r="M67" s="18"/>
      <c r="N67" s="18"/>
      <c r="O67" s="18"/>
      <c r="P67" s="18"/>
      <c r="Q67" s="18"/>
      <c r="R67" s="18"/>
    </row>
    <row r="68" spans="1:18">
      <c r="A68" s="106" t="s">
        <v>385</v>
      </c>
      <c r="B68" s="111">
        <v>0</v>
      </c>
      <c r="C68" s="98">
        <v>0</v>
      </c>
      <c r="D68" s="104">
        <v>0</v>
      </c>
      <c r="E68" s="104">
        <v>0</v>
      </c>
      <c r="F68" s="104">
        <v>0</v>
      </c>
      <c r="G68" s="108">
        <f t="shared" si="0"/>
        <v>0</v>
      </c>
      <c r="H68" s="104">
        <f t="shared" si="2"/>
        <v>0</v>
      </c>
      <c r="I68" t="s">
        <v>528</v>
      </c>
      <c r="M68" s="18"/>
      <c r="N68" s="18"/>
      <c r="O68" s="18"/>
      <c r="P68" s="18"/>
      <c r="Q68" s="18"/>
      <c r="R68" s="18"/>
    </row>
    <row r="69" spans="1:18">
      <c r="A69" s="106" t="s">
        <v>386</v>
      </c>
      <c r="B69" s="111">
        <v>733.20000000000016</v>
      </c>
      <c r="C69" s="98">
        <v>0</v>
      </c>
      <c r="D69" s="104">
        <v>0</v>
      </c>
      <c r="E69" s="104">
        <v>0</v>
      </c>
      <c r="F69" s="104">
        <v>0</v>
      </c>
      <c r="G69" s="108">
        <f t="shared" si="0"/>
        <v>0</v>
      </c>
      <c r="H69" s="104">
        <f t="shared" si="2"/>
        <v>0</v>
      </c>
      <c r="I69" t="s">
        <v>91</v>
      </c>
      <c r="J69" t="s">
        <v>548</v>
      </c>
      <c r="M69" s="18"/>
      <c r="N69" s="18"/>
      <c r="O69" s="18"/>
      <c r="P69" s="18"/>
      <c r="Q69" s="18"/>
      <c r="R69" s="18"/>
    </row>
    <row r="70" spans="1:18">
      <c r="A70" s="106" t="s">
        <v>152</v>
      </c>
      <c r="B70" s="111">
        <v>2403.8200000000002</v>
      </c>
      <c r="C70" s="104">
        <v>91.44</v>
      </c>
      <c r="D70" s="104">
        <v>160.61000000000001</v>
      </c>
      <c r="E70" s="104">
        <v>0</v>
      </c>
      <c r="F70" s="104">
        <v>0</v>
      </c>
      <c r="G70" s="108">
        <f t="shared" si="0"/>
        <v>7.2774462801465428E-4</v>
      </c>
      <c r="H70" s="104">
        <f t="shared" si="2"/>
        <v>252.05</v>
      </c>
      <c r="I70" t="s">
        <v>152</v>
      </c>
      <c r="J70" t="s">
        <v>549</v>
      </c>
      <c r="M70" s="18"/>
      <c r="N70" s="18"/>
      <c r="O70" s="18"/>
      <c r="P70" s="18"/>
      <c r="Q70" s="18"/>
      <c r="R70" s="18"/>
    </row>
    <row r="71" spans="1:18">
      <c r="A71" s="119" t="s">
        <v>418</v>
      </c>
      <c r="B71" s="111"/>
      <c r="C71" s="104"/>
      <c r="D71" s="104"/>
      <c r="E71" s="104"/>
      <c r="F71" s="104"/>
      <c r="G71" s="108">
        <f t="shared" si="0"/>
        <v>0</v>
      </c>
      <c r="H71" s="104"/>
      <c r="I71" t="s">
        <v>528</v>
      </c>
      <c r="M71" s="18"/>
      <c r="N71" s="18"/>
      <c r="O71" s="18"/>
      <c r="P71" s="18"/>
      <c r="Q71" s="18"/>
      <c r="R71" s="18"/>
    </row>
    <row r="72" spans="1:18">
      <c r="A72" s="106" t="s">
        <v>419</v>
      </c>
      <c r="B72" s="111">
        <v>0</v>
      </c>
      <c r="C72" s="104">
        <v>0</v>
      </c>
      <c r="D72" s="104">
        <v>0</v>
      </c>
      <c r="E72" s="104">
        <v>0</v>
      </c>
      <c r="F72" s="104">
        <v>0</v>
      </c>
      <c r="G72" s="108">
        <f t="shared" ref="G72:G135" si="3">IFERROR(H72/$H$10,"")</f>
        <v>0</v>
      </c>
      <c r="H72" s="104">
        <f t="shared" si="2"/>
        <v>0</v>
      </c>
      <c r="I72" t="s">
        <v>528</v>
      </c>
      <c r="M72" s="18"/>
      <c r="N72" s="18"/>
      <c r="O72" s="18"/>
      <c r="P72" s="18"/>
      <c r="Q72" s="18"/>
      <c r="R72" s="18"/>
    </row>
    <row r="73" spans="1:18">
      <c r="A73" s="106" t="s">
        <v>420</v>
      </c>
      <c r="B73" s="111">
        <v>309.85000000000002</v>
      </c>
      <c r="C73" s="104">
        <v>139.61000000000001</v>
      </c>
      <c r="D73" s="104">
        <v>0</v>
      </c>
      <c r="E73" s="104">
        <v>0</v>
      </c>
      <c r="F73" s="104">
        <v>0</v>
      </c>
      <c r="G73" s="108">
        <f t="shared" si="3"/>
        <v>4.0309632024251494E-4</v>
      </c>
      <c r="H73" s="104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6" t="s">
        <v>421</v>
      </c>
      <c r="B74" s="111">
        <v>0</v>
      </c>
      <c r="C74" s="104">
        <v>0</v>
      </c>
      <c r="D74" s="104">
        <v>0</v>
      </c>
      <c r="E74" s="104">
        <v>0</v>
      </c>
      <c r="F74" s="104">
        <v>0</v>
      </c>
      <c r="G74" s="108">
        <f t="shared" si="3"/>
        <v>0</v>
      </c>
      <c r="H74" s="104">
        <f t="shared" si="2"/>
        <v>0</v>
      </c>
      <c r="I74" t="s">
        <v>528</v>
      </c>
      <c r="M74" s="18"/>
      <c r="N74" s="18"/>
      <c r="O74" s="18"/>
      <c r="P74" s="18"/>
      <c r="Q74" s="18"/>
      <c r="R74" s="18"/>
    </row>
    <row r="75" spans="1:18">
      <c r="A75" s="106" t="s">
        <v>422</v>
      </c>
      <c r="B75" s="111">
        <v>869.23</v>
      </c>
      <c r="C75" s="104">
        <v>460.21</v>
      </c>
      <c r="D75" s="104">
        <v>0</v>
      </c>
      <c r="E75" s="104">
        <v>0</v>
      </c>
      <c r="F75" s="104">
        <v>0</v>
      </c>
      <c r="G75" s="108">
        <f t="shared" si="3"/>
        <v>1.3287655435771635E-3</v>
      </c>
      <c r="H75" s="104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6" t="s">
        <v>423</v>
      </c>
      <c r="B76" s="111">
        <v>0</v>
      </c>
      <c r="C76" s="104">
        <v>0</v>
      </c>
      <c r="D76" s="104">
        <v>0</v>
      </c>
      <c r="E76" s="104">
        <v>0</v>
      </c>
      <c r="F76" s="104">
        <v>0</v>
      </c>
      <c r="G76" s="108">
        <f t="shared" si="3"/>
        <v>0</v>
      </c>
      <c r="H76" s="104">
        <f t="shared" si="2"/>
        <v>0</v>
      </c>
      <c r="I76" t="s">
        <v>528</v>
      </c>
      <c r="M76" s="18"/>
      <c r="N76" s="18"/>
      <c r="O76" s="18"/>
      <c r="P76" s="18"/>
      <c r="Q76" s="18"/>
      <c r="R76" s="18"/>
    </row>
    <row r="77" spans="1:18">
      <c r="A77" s="225" t="s">
        <v>424</v>
      </c>
      <c r="B77" s="111">
        <v>4548.3100000000004</v>
      </c>
      <c r="C77" s="104">
        <v>0</v>
      </c>
      <c r="D77" s="104">
        <v>0</v>
      </c>
      <c r="E77" s="104">
        <v>0</v>
      </c>
      <c r="F77" s="104">
        <v>0</v>
      </c>
      <c r="G77" s="108">
        <f t="shared" si="3"/>
        <v>0</v>
      </c>
      <c r="H77" s="104">
        <f t="shared" si="2"/>
        <v>0</v>
      </c>
      <c r="I77" t="s">
        <v>209</v>
      </c>
      <c r="J77" t="s">
        <v>546</v>
      </c>
      <c r="M77" s="18"/>
      <c r="N77" s="18"/>
      <c r="O77" s="18"/>
      <c r="P77" s="18"/>
      <c r="Q77" s="18"/>
      <c r="R77" s="18"/>
    </row>
    <row r="78" spans="1:18">
      <c r="A78" s="106" t="s">
        <v>425</v>
      </c>
      <c r="B78" s="111">
        <v>743.73</v>
      </c>
      <c r="C78" s="104">
        <v>0</v>
      </c>
      <c r="D78" s="104">
        <v>0</v>
      </c>
      <c r="E78" s="104">
        <v>0</v>
      </c>
      <c r="F78" s="104">
        <v>0</v>
      </c>
      <c r="G78" s="108">
        <f t="shared" si="3"/>
        <v>0</v>
      </c>
      <c r="H78" s="104">
        <f t="shared" si="2"/>
        <v>0</v>
      </c>
      <c r="I78" t="s">
        <v>209</v>
      </c>
      <c r="J78" t="s">
        <v>546</v>
      </c>
      <c r="M78" s="18"/>
      <c r="N78" s="18"/>
      <c r="O78" s="18"/>
      <c r="P78" s="18"/>
      <c r="Q78" s="18"/>
      <c r="R78" s="18"/>
    </row>
    <row r="79" spans="1:18">
      <c r="A79" s="121" t="s">
        <v>426</v>
      </c>
      <c r="B79" s="111">
        <v>0</v>
      </c>
      <c r="C79" s="104">
        <v>0</v>
      </c>
      <c r="D79" s="104">
        <v>0</v>
      </c>
      <c r="E79" s="104">
        <v>0</v>
      </c>
      <c r="F79" s="104">
        <v>0</v>
      </c>
      <c r="G79" s="108">
        <f t="shared" si="3"/>
        <v>0</v>
      </c>
      <c r="H79" s="104">
        <f t="shared" si="2"/>
        <v>0</v>
      </c>
      <c r="I79" t="s">
        <v>528</v>
      </c>
      <c r="M79" s="18"/>
      <c r="N79" s="18"/>
      <c r="O79" s="18"/>
      <c r="P79" s="18"/>
      <c r="Q79" s="18"/>
      <c r="R79" s="18"/>
    </row>
    <row r="80" spans="1:18">
      <c r="A80" s="121" t="s">
        <v>71</v>
      </c>
      <c r="B80" s="111">
        <v>345.96999999999997</v>
      </c>
      <c r="C80" s="104">
        <v>158.19999999999999</v>
      </c>
      <c r="D80" s="104">
        <v>63.28</v>
      </c>
      <c r="E80" s="104">
        <v>0</v>
      </c>
      <c r="F80" s="104">
        <v>0</v>
      </c>
      <c r="G80" s="108">
        <f t="shared" si="3"/>
        <v>6.3947978660061741E-4</v>
      </c>
      <c r="H80" s="104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6" t="s">
        <v>85</v>
      </c>
      <c r="B81" s="111">
        <v>3432.3599999999997</v>
      </c>
      <c r="C81" s="104">
        <v>634.54999999999995</v>
      </c>
      <c r="D81" s="104">
        <v>1371.93</v>
      </c>
      <c r="E81" s="104">
        <v>0</v>
      </c>
      <c r="F81" s="104">
        <v>0</v>
      </c>
      <c r="G81" s="108">
        <f t="shared" si="3"/>
        <v>5.7933149820227877E-3</v>
      </c>
      <c r="H81" s="104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6" t="s">
        <v>427</v>
      </c>
      <c r="B82" s="111">
        <v>1499.6899999999998</v>
      </c>
      <c r="C82" s="104">
        <v>0.63</v>
      </c>
      <c r="D82" s="104">
        <v>20.88</v>
      </c>
      <c r="E82" s="104">
        <v>0</v>
      </c>
      <c r="F82" s="104">
        <v>0</v>
      </c>
      <c r="G82" s="108">
        <f t="shared" si="3"/>
        <v>6.2105879581810005E-5</v>
      </c>
      <c r="H82" s="104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6" t="s">
        <v>428</v>
      </c>
      <c r="B83" s="111">
        <v>0</v>
      </c>
      <c r="C83" s="104">
        <v>0</v>
      </c>
      <c r="D83" s="104">
        <v>0</v>
      </c>
      <c r="E83" s="104">
        <v>0</v>
      </c>
      <c r="F83" s="104">
        <v>0</v>
      </c>
      <c r="G83" s="108">
        <f t="shared" si="3"/>
        <v>0</v>
      </c>
      <c r="H83" s="104">
        <f t="shared" si="4"/>
        <v>0</v>
      </c>
      <c r="I83" t="s">
        <v>528</v>
      </c>
      <c r="M83" s="18"/>
      <c r="N83" s="18"/>
      <c r="O83" s="18"/>
      <c r="P83" s="18"/>
      <c r="Q83" s="18"/>
      <c r="R83" s="18"/>
    </row>
    <row r="84" spans="1:18">
      <c r="A84" s="106" t="s">
        <v>429</v>
      </c>
      <c r="B84" s="111">
        <v>750</v>
      </c>
      <c r="C84" s="104">
        <v>0</v>
      </c>
      <c r="D84" s="104">
        <v>0</v>
      </c>
      <c r="E84" s="104">
        <v>0</v>
      </c>
      <c r="F84" s="104">
        <v>0</v>
      </c>
      <c r="G84" s="108">
        <f t="shared" si="3"/>
        <v>0</v>
      </c>
      <c r="H84" s="104">
        <f t="shared" si="4"/>
        <v>0</v>
      </c>
      <c r="I84" t="s">
        <v>209</v>
      </c>
      <c r="J84" t="s">
        <v>546</v>
      </c>
      <c r="M84" s="18"/>
      <c r="N84" s="18"/>
      <c r="O84" s="18"/>
      <c r="P84" s="18"/>
      <c r="Q84" s="18"/>
      <c r="R84" s="18"/>
    </row>
    <row r="85" spans="1:18">
      <c r="A85" s="117" t="s">
        <v>391</v>
      </c>
      <c r="B85" s="111">
        <v>2450.3500000000004</v>
      </c>
      <c r="C85" s="104">
        <v>0</v>
      </c>
      <c r="D85" s="104">
        <v>0</v>
      </c>
      <c r="E85" s="104">
        <v>0</v>
      </c>
      <c r="F85" s="104">
        <v>0</v>
      </c>
      <c r="G85" s="108">
        <f t="shared" si="3"/>
        <v>0</v>
      </c>
      <c r="H85" s="104">
        <f t="shared" si="4"/>
        <v>0</v>
      </c>
      <c r="I85" t="s">
        <v>209</v>
      </c>
      <c r="J85" t="s">
        <v>546</v>
      </c>
      <c r="M85" s="18"/>
      <c r="N85" s="18"/>
      <c r="O85" s="18"/>
      <c r="P85" s="18"/>
      <c r="Q85" s="18"/>
      <c r="R85" s="18"/>
    </row>
    <row r="86" spans="1:18">
      <c r="A86" s="106" t="s">
        <v>430</v>
      </c>
      <c r="B86" s="111">
        <v>23465.289999999997</v>
      </c>
      <c r="C86" s="104">
        <v>2781.48</v>
      </c>
      <c r="D86" s="104">
        <v>2872.63</v>
      </c>
      <c r="E86" s="104">
        <v>3755.27</v>
      </c>
      <c r="F86" s="104">
        <v>3055.97</v>
      </c>
      <c r="G86" s="108">
        <f t="shared" si="3"/>
        <v>3.5991237844961201E-2</v>
      </c>
      <c r="H86" s="104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1" t="s">
        <v>431</v>
      </c>
      <c r="B87" s="111">
        <v>2095.96</v>
      </c>
      <c r="C87" s="104">
        <v>922.87</v>
      </c>
      <c r="D87" s="104">
        <v>0</v>
      </c>
      <c r="E87" s="104">
        <v>0</v>
      </c>
      <c r="F87" s="104">
        <v>0</v>
      </c>
      <c r="G87" s="108">
        <f t="shared" si="3"/>
        <v>2.664604978599024E-3</v>
      </c>
      <c r="H87" s="104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1" t="s">
        <v>134</v>
      </c>
      <c r="B88" s="111">
        <v>200</v>
      </c>
      <c r="C88" s="104">
        <v>0</v>
      </c>
      <c r="D88" s="104">
        <v>0</v>
      </c>
      <c r="E88" s="104">
        <v>0</v>
      </c>
      <c r="F88" s="104">
        <v>0</v>
      </c>
      <c r="G88" s="108">
        <f t="shared" si="3"/>
        <v>0</v>
      </c>
      <c r="H88" s="104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6" t="s">
        <v>432</v>
      </c>
      <c r="B89" s="111">
        <v>1682.6100000000001</v>
      </c>
      <c r="C89" s="104">
        <v>0</v>
      </c>
      <c r="D89" s="104">
        <v>0</v>
      </c>
      <c r="E89" s="104">
        <v>0</v>
      </c>
      <c r="F89" s="104">
        <v>0</v>
      </c>
      <c r="G89" s="108">
        <f t="shared" si="3"/>
        <v>0</v>
      </c>
      <c r="H89" s="104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6" t="s">
        <v>433</v>
      </c>
      <c r="B90" s="111">
        <v>764.4</v>
      </c>
      <c r="C90" s="104">
        <v>0</v>
      </c>
      <c r="D90" s="104">
        <v>0</v>
      </c>
      <c r="E90" s="104">
        <v>0</v>
      </c>
      <c r="F90" s="104">
        <v>0</v>
      </c>
      <c r="G90" s="108">
        <f t="shared" si="3"/>
        <v>0</v>
      </c>
      <c r="H90" s="104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6" t="s">
        <v>434</v>
      </c>
      <c r="B91" s="111">
        <v>2312.8199999999997</v>
      </c>
      <c r="C91" s="104">
        <v>2284</v>
      </c>
      <c r="D91" s="104">
        <v>394.88</v>
      </c>
      <c r="E91" s="104">
        <v>0</v>
      </c>
      <c r="F91" s="104">
        <v>0</v>
      </c>
      <c r="G91" s="108">
        <f t="shared" si="3"/>
        <v>7.7347372707633295E-3</v>
      </c>
      <c r="H91" s="104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6" t="s">
        <v>435</v>
      </c>
      <c r="B92" s="111">
        <v>0</v>
      </c>
      <c r="C92" s="104">
        <v>0</v>
      </c>
      <c r="D92" s="104">
        <v>0</v>
      </c>
      <c r="E92" s="104">
        <v>0</v>
      </c>
      <c r="F92" s="104">
        <v>0</v>
      </c>
      <c r="G92" s="108">
        <f t="shared" si="3"/>
        <v>0</v>
      </c>
      <c r="H92" s="104">
        <f t="shared" si="4"/>
        <v>0</v>
      </c>
      <c r="I92" t="s">
        <v>528</v>
      </c>
      <c r="M92" s="18"/>
      <c r="N92" s="18"/>
      <c r="O92" s="18"/>
      <c r="P92" s="18"/>
      <c r="Q92" s="18"/>
      <c r="R92" s="18"/>
    </row>
    <row r="93" spans="1:18">
      <c r="A93" s="106" t="s">
        <v>436</v>
      </c>
      <c r="B93" s="111">
        <v>0</v>
      </c>
      <c r="C93" s="104">
        <v>0</v>
      </c>
      <c r="D93" s="104">
        <v>0</v>
      </c>
      <c r="E93" s="104">
        <v>0</v>
      </c>
      <c r="F93" s="104">
        <v>0</v>
      </c>
      <c r="G93" s="108">
        <f t="shared" si="3"/>
        <v>0</v>
      </c>
      <c r="H93" s="104">
        <f t="shared" si="4"/>
        <v>0</v>
      </c>
      <c r="I93" t="s">
        <v>528</v>
      </c>
      <c r="M93" s="18"/>
      <c r="N93" s="18"/>
      <c r="O93" s="18"/>
      <c r="P93" s="18"/>
      <c r="Q93" s="18"/>
      <c r="R93" s="18"/>
    </row>
    <row r="94" spans="1:18">
      <c r="A94" s="106" t="s">
        <v>437</v>
      </c>
      <c r="B94" s="111">
        <v>943.01</v>
      </c>
      <c r="C94" s="104">
        <v>474.59</v>
      </c>
      <c r="D94" s="104">
        <v>0</v>
      </c>
      <c r="E94" s="104">
        <v>0</v>
      </c>
      <c r="F94" s="104">
        <v>0</v>
      </c>
      <c r="G94" s="108">
        <f t="shared" si="3"/>
        <v>1.3702849554035896E-3</v>
      </c>
      <c r="H94" s="104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6" t="s">
        <v>438</v>
      </c>
      <c r="B95" s="111">
        <v>5256.43</v>
      </c>
      <c r="C95" s="104">
        <v>402.21</v>
      </c>
      <c r="D95" s="104">
        <v>1304.79</v>
      </c>
      <c r="E95" s="104">
        <v>1068.93</v>
      </c>
      <c r="F95" s="104">
        <v>562.23</v>
      </c>
      <c r="G95" s="108">
        <f t="shared" si="3"/>
        <v>9.6382781489918606E-3</v>
      </c>
      <c r="H95" s="104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1" t="s">
        <v>439</v>
      </c>
      <c r="B96" s="111">
        <v>0</v>
      </c>
      <c r="C96" s="104">
        <v>0</v>
      </c>
      <c r="D96" s="104">
        <v>0</v>
      </c>
      <c r="E96" s="104">
        <v>0</v>
      </c>
      <c r="F96" s="104">
        <v>0</v>
      </c>
      <c r="G96" s="108">
        <f t="shared" si="3"/>
        <v>0</v>
      </c>
      <c r="H96" s="104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1" t="s">
        <v>440</v>
      </c>
      <c r="B97" s="111">
        <v>0</v>
      </c>
      <c r="C97" s="104">
        <v>0</v>
      </c>
      <c r="D97" s="104">
        <v>0</v>
      </c>
      <c r="E97" s="104">
        <v>0</v>
      </c>
      <c r="F97" s="104">
        <v>0</v>
      </c>
      <c r="G97" s="108">
        <f t="shared" si="3"/>
        <v>0</v>
      </c>
      <c r="H97" s="104">
        <f t="shared" si="4"/>
        <v>0</v>
      </c>
      <c r="I97" t="s">
        <v>528</v>
      </c>
      <c r="M97" s="18"/>
      <c r="N97" s="18"/>
      <c r="O97" s="18"/>
      <c r="P97" s="18"/>
      <c r="Q97" s="18"/>
      <c r="R97" s="18"/>
    </row>
    <row r="98" spans="1:18">
      <c r="A98" s="112" t="s">
        <v>441</v>
      </c>
      <c r="B98" s="113">
        <f>SUM(B63:B97)</f>
        <v>123061.4515</v>
      </c>
      <c r="C98" s="113">
        <f>SUM(C63:C97)</f>
        <v>8349.7899999999991</v>
      </c>
      <c r="D98" s="113">
        <f>SUM(D63:D97)</f>
        <v>6189</v>
      </c>
      <c r="E98" s="113">
        <f>SUM(E63:E97)</f>
        <v>4824.2</v>
      </c>
      <c r="F98" s="113">
        <f>SUM(F63:F97)</f>
        <v>3618.2</v>
      </c>
      <c r="G98" s="108">
        <f t="shared" si="3"/>
        <v>6.6353650338758549E-2</v>
      </c>
      <c r="H98" s="102">
        <f>SUM(C98:F98)</f>
        <v>22981.19</v>
      </c>
      <c r="I98" t="s">
        <v>528</v>
      </c>
      <c r="M98" s="18"/>
      <c r="N98" s="18"/>
      <c r="O98" s="18"/>
      <c r="P98" s="18"/>
      <c r="Q98" s="18"/>
      <c r="R98" s="18"/>
    </row>
    <row r="99" spans="1:18">
      <c r="A99" s="116" t="s">
        <v>442</v>
      </c>
      <c r="B99" s="113">
        <f>B98+B59</f>
        <v>162561.4515</v>
      </c>
      <c r="C99" s="113">
        <f>C98+C59</f>
        <v>31304.22</v>
      </c>
      <c r="D99" s="113">
        <f>D98+D59</f>
        <v>13744.560000000001</v>
      </c>
      <c r="E99" s="113">
        <f>E98+E59</f>
        <v>7436.52</v>
      </c>
      <c r="F99" s="113">
        <f>F98+F59</f>
        <v>3618.2</v>
      </c>
      <c r="G99" s="108">
        <f t="shared" si="3"/>
        <v>0.16198778312961776</v>
      </c>
      <c r="H99" s="102">
        <f>SUM(C99:F99)</f>
        <v>56103.5</v>
      </c>
      <c r="I99" t="s">
        <v>528</v>
      </c>
      <c r="M99" s="18"/>
      <c r="N99" s="18"/>
      <c r="O99" s="18"/>
      <c r="P99" s="18"/>
      <c r="Q99" s="18"/>
      <c r="R99" s="18"/>
    </row>
    <row r="100" spans="1:18">
      <c r="A100" s="116"/>
      <c r="B100" s="111"/>
      <c r="C100" s="104"/>
      <c r="D100" s="104"/>
      <c r="E100" s="104"/>
      <c r="F100" s="104"/>
      <c r="G100" s="108">
        <f t="shared" si="3"/>
        <v>0</v>
      </c>
      <c r="H100" s="104"/>
      <c r="I100" t="s">
        <v>528</v>
      </c>
      <c r="M100" s="18"/>
      <c r="N100" s="18"/>
      <c r="O100" s="18"/>
      <c r="P100" s="18"/>
      <c r="Q100" s="18"/>
      <c r="R100" s="18"/>
    </row>
    <row r="101" spans="1:18">
      <c r="A101" s="100" t="s">
        <v>443</v>
      </c>
      <c r="B101" s="111"/>
      <c r="C101" s="104"/>
      <c r="D101" s="104"/>
      <c r="E101" s="104"/>
      <c r="F101" s="104"/>
      <c r="G101" s="108">
        <f t="shared" si="3"/>
        <v>0</v>
      </c>
      <c r="H101" s="104"/>
      <c r="I101" t="s">
        <v>528</v>
      </c>
      <c r="M101" s="18"/>
      <c r="N101" s="18"/>
      <c r="O101" s="18"/>
      <c r="P101" s="18"/>
      <c r="Q101" s="18"/>
      <c r="R101" s="18"/>
    </row>
    <row r="102" spans="1:18">
      <c r="A102" s="119" t="s">
        <v>444</v>
      </c>
      <c r="B102" s="111"/>
      <c r="C102" s="104"/>
      <c r="D102" s="104"/>
      <c r="E102" s="104"/>
      <c r="F102" s="104"/>
      <c r="G102" s="108">
        <f t="shared" si="3"/>
        <v>0</v>
      </c>
      <c r="H102" s="104"/>
      <c r="I102" t="s">
        <v>528</v>
      </c>
      <c r="M102" s="18"/>
      <c r="N102" s="18"/>
      <c r="O102" s="18"/>
      <c r="P102" s="18"/>
      <c r="Q102" s="18"/>
      <c r="R102" s="18"/>
    </row>
    <row r="103" spans="1:18">
      <c r="A103" s="106" t="s">
        <v>445</v>
      </c>
      <c r="B103" s="111">
        <v>0</v>
      </c>
      <c r="C103" s="104">
        <v>0</v>
      </c>
      <c r="D103" s="104">
        <v>0</v>
      </c>
      <c r="E103" s="104">
        <v>0</v>
      </c>
      <c r="F103" s="104">
        <v>0</v>
      </c>
      <c r="G103" s="108">
        <f t="shared" si="3"/>
        <v>0</v>
      </c>
      <c r="H103" s="104">
        <f t="shared" si="4"/>
        <v>0</v>
      </c>
      <c r="I103" t="s">
        <v>528</v>
      </c>
      <c r="M103" s="18"/>
      <c r="N103" s="18"/>
      <c r="O103" s="18"/>
      <c r="P103" s="18"/>
      <c r="Q103" s="18"/>
      <c r="R103" s="18"/>
    </row>
    <row r="104" spans="1:18">
      <c r="A104" s="106" t="s">
        <v>446</v>
      </c>
      <c r="B104" s="111">
        <v>0</v>
      </c>
      <c r="C104" s="104">
        <v>0</v>
      </c>
      <c r="D104" s="104">
        <v>0</v>
      </c>
      <c r="E104" s="104">
        <v>0</v>
      </c>
      <c r="F104" s="104">
        <v>0</v>
      </c>
      <c r="G104" s="108">
        <f t="shared" si="3"/>
        <v>0</v>
      </c>
      <c r="H104" s="104">
        <f t="shared" si="4"/>
        <v>0</v>
      </c>
      <c r="I104" t="s">
        <v>528</v>
      </c>
      <c r="M104" s="18"/>
      <c r="N104" s="18"/>
      <c r="O104" s="18"/>
      <c r="P104" s="18"/>
      <c r="Q104" s="18"/>
      <c r="R104" s="18"/>
    </row>
    <row r="105" spans="1:18">
      <c r="A105" s="106" t="s">
        <v>447</v>
      </c>
      <c r="B105" s="111">
        <v>0</v>
      </c>
      <c r="C105" s="104">
        <v>0</v>
      </c>
      <c r="D105" s="104">
        <v>0</v>
      </c>
      <c r="E105" s="104">
        <v>0</v>
      </c>
      <c r="F105" s="104">
        <v>0</v>
      </c>
      <c r="G105" s="108">
        <f t="shared" si="3"/>
        <v>0</v>
      </c>
      <c r="H105" s="104">
        <f t="shared" si="4"/>
        <v>0</v>
      </c>
      <c r="I105" t="s">
        <v>528</v>
      </c>
      <c r="M105" s="18"/>
      <c r="N105" s="18"/>
      <c r="O105" s="18"/>
      <c r="P105" s="18"/>
      <c r="Q105" s="18"/>
      <c r="R105" s="18"/>
    </row>
    <row r="106" spans="1:18">
      <c r="A106" s="106" t="s">
        <v>448</v>
      </c>
      <c r="B106" s="111">
        <v>0</v>
      </c>
      <c r="C106" s="104">
        <v>0</v>
      </c>
      <c r="D106" s="104">
        <v>0</v>
      </c>
      <c r="E106" s="104">
        <v>0</v>
      </c>
      <c r="F106" s="104">
        <v>0</v>
      </c>
      <c r="G106" s="108">
        <f t="shared" si="3"/>
        <v>0</v>
      </c>
      <c r="H106" s="104">
        <f t="shared" si="4"/>
        <v>0</v>
      </c>
      <c r="I106" t="s">
        <v>528</v>
      </c>
      <c r="M106" s="18"/>
      <c r="N106" s="18"/>
      <c r="O106" s="18"/>
      <c r="P106" s="18"/>
      <c r="Q106" s="18"/>
      <c r="R106" s="18"/>
    </row>
    <row r="107" spans="1:18">
      <c r="A107" s="106" t="s">
        <v>449</v>
      </c>
      <c r="B107" s="111">
        <v>0</v>
      </c>
      <c r="C107" s="104">
        <v>0</v>
      </c>
      <c r="D107" s="104">
        <v>0</v>
      </c>
      <c r="E107" s="104">
        <v>0</v>
      </c>
      <c r="F107" s="104">
        <v>0</v>
      </c>
      <c r="G107" s="108">
        <f t="shared" si="3"/>
        <v>0</v>
      </c>
      <c r="H107" s="104">
        <f t="shared" si="4"/>
        <v>0</v>
      </c>
      <c r="I107" t="s">
        <v>528</v>
      </c>
      <c r="M107" s="18"/>
      <c r="N107" s="18"/>
      <c r="O107" s="18"/>
      <c r="P107" s="18"/>
      <c r="Q107" s="18"/>
      <c r="R107" s="18"/>
    </row>
    <row r="108" spans="1:18">
      <c r="A108" s="106" t="s">
        <v>450</v>
      </c>
      <c r="B108" s="111">
        <v>0</v>
      </c>
      <c r="C108" s="104">
        <v>0</v>
      </c>
      <c r="D108" s="104">
        <v>0</v>
      </c>
      <c r="E108" s="104">
        <v>0</v>
      </c>
      <c r="F108" s="104">
        <v>0</v>
      </c>
      <c r="G108" s="108">
        <f t="shared" si="3"/>
        <v>0</v>
      </c>
      <c r="H108" s="104">
        <f t="shared" si="4"/>
        <v>0</v>
      </c>
      <c r="I108" t="s">
        <v>528</v>
      </c>
      <c r="M108" s="18"/>
      <c r="N108" s="18"/>
      <c r="O108" s="18"/>
      <c r="P108" s="18"/>
      <c r="Q108" s="18"/>
      <c r="R108" s="18"/>
    </row>
    <row r="109" spans="1:18">
      <c r="A109" s="106" t="s">
        <v>451</v>
      </c>
      <c r="B109" s="111">
        <v>0</v>
      </c>
      <c r="C109" s="104">
        <v>0</v>
      </c>
      <c r="D109" s="104">
        <v>0</v>
      </c>
      <c r="E109" s="104">
        <v>0</v>
      </c>
      <c r="F109" s="104">
        <v>0</v>
      </c>
      <c r="G109" s="108">
        <f t="shared" si="3"/>
        <v>0</v>
      </c>
      <c r="H109" s="104">
        <f t="shared" si="4"/>
        <v>0</v>
      </c>
      <c r="I109" t="s">
        <v>528</v>
      </c>
      <c r="M109" s="18"/>
      <c r="N109" s="18"/>
      <c r="O109" s="18"/>
      <c r="P109" s="18"/>
      <c r="Q109" s="18"/>
      <c r="R109" s="18"/>
    </row>
    <row r="110" spans="1:18">
      <c r="A110" s="106" t="s">
        <v>452</v>
      </c>
      <c r="B110" s="111">
        <v>0</v>
      </c>
      <c r="C110" s="104">
        <v>0</v>
      </c>
      <c r="D110" s="104">
        <v>0</v>
      </c>
      <c r="E110" s="104">
        <v>0</v>
      </c>
      <c r="F110" s="104">
        <v>0</v>
      </c>
      <c r="G110" s="108">
        <f t="shared" si="3"/>
        <v>0</v>
      </c>
      <c r="H110" s="104">
        <f t="shared" si="4"/>
        <v>0</v>
      </c>
      <c r="I110" t="s">
        <v>528</v>
      </c>
      <c r="M110" s="18"/>
      <c r="N110" s="18"/>
      <c r="O110" s="18"/>
      <c r="P110" s="18"/>
      <c r="Q110" s="18"/>
      <c r="R110" s="18"/>
    </row>
    <row r="111" spans="1:18">
      <c r="A111" s="106" t="s">
        <v>453</v>
      </c>
      <c r="B111" s="111">
        <v>0</v>
      </c>
      <c r="C111" s="104">
        <v>0</v>
      </c>
      <c r="D111" s="104">
        <v>0</v>
      </c>
      <c r="E111" s="104">
        <v>0</v>
      </c>
      <c r="F111" s="104">
        <v>0</v>
      </c>
      <c r="G111" s="108">
        <f t="shared" si="3"/>
        <v>0</v>
      </c>
      <c r="H111" s="104">
        <f t="shared" si="4"/>
        <v>0</v>
      </c>
      <c r="I111" t="s">
        <v>528</v>
      </c>
      <c r="M111" s="18"/>
      <c r="N111" s="18"/>
      <c r="O111" s="18"/>
      <c r="P111" s="18"/>
      <c r="Q111" s="18"/>
      <c r="R111" s="18"/>
    </row>
    <row r="112" spans="1:18">
      <c r="A112" s="106" t="s">
        <v>454</v>
      </c>
      <c r="B112" s="111">
        <v>0</v>
      </c>
      <c r="C112" s="104">
        <v>0</v>
      </c>
      <c r="D112" s="104">
        <v>0</v>
      </c>
      <c r="E112" s="104">
        <v>0</v>
      </c>
      <c r="F112" s="104">
        <v>0</v>
      </c>
      <c r="G112" s="108">
        <f t="shared" si="3"/>
        <v>0</v>
      </c>
      <c r="H112" s="104">
        <f t="shared" si="4"/>
        <v>0</v>
      </c>
      <c r="I112" t="s">
        <v>528</v>
      </c>
      <c r="M112" s="18"/>
      <c r="N112" s="18"/>
      <c r="O112" s="18"/>
      <c r="P112" s="18"/>
      <c r="Q112" s="18"/>
      <c r="R112" s="18"/>
    </row>
    <row r="113" spans="1:18">
      <c r="A113" s="106" t="s">
        <v>455</v>
      </c>
      <c r="B113" s="111">
        <v>0</v>
      </c>
      <c r="C113" s="104">
        <v>0</v>
      </c>
      <c r="D113" s="104">
        <v>0</v>
      </c>
      <c r="E113" s="104">
        <v>0</v>
      </c>
      <c r="F113" s="104">
        <v>0</v>
      </c>
      <c r="G113" s="108">
        <f t="shared" si="3"/>
        <v>0</v>
      </c>
      <c r="H113" s="104">
        <f t="shared" si="4"/>
        <v>0</v>
      </c>
      <c r="I113" t="s">
        <v>528</v>
      </c>
      <c r="M113" s="18"/>
      <c r="N113" s="18"/>
      <c r="O113" s="18"/>
      <c r="P113" s="18"/>
      <c r="Q113" s="18"/>
      <c r="R113" s="18"/>
    </row>
    <row r="114" spans="1:18">
      <c r="A114" s="106" t="s">
        <v>456</v>
      </c>
      <c r="B114" s="111">
        <v>0</v>
      </c>
      <c r="C114" s="104">
        <v>0</v>
      </c>
      <c r="D114" s="104">
        <v>0</v>
      </c>
      <c r="E114" s="104">
        <v>0</v>
      </c>
      <c r="F114" s="104">
        <v>0</v>
      </c>
      <c r="G114" s="108">
        <f t="shared" si="3"/>
        <v>0</v>
      </c>
      <c r="H114" s="104">
        <f t="shared" si="4"/>
        <v>0</v>
      </c>
      <c r="I114" t="s">
        <v>528</v>
      </c>
      <c r="M114" s="18"/>
      <c r="N114" s="18"/>
      <c r="O114" s="18"/>
      <c r="P114" s="18"/>
      <c r="Q114" s="18"/>
      <c r="R114" s="18"/>
    </row>
    <row r="115" spans="1:18">
      <c r="A115" s="112" t="s">
        <v>457</v>
      </c>
      <c r="B115" s="113">
        <f>SUM(B103:B114)</f>
        <v>0</v>
      </c>
      <c r="C115" s="113">
        <f>SUM(C103:C114)</f>
        <v>0</v>
      </c>
      <c r="D115" s="113">
        <f>SUM(D103:D114)</f>
        <v>0</v>
      </c>
      <c r="E115" s="113">
        <f>SUM(E103:E114)</f>
        <v>0</v>
      </c>
      <c r="F115" s="113">
        <f>SUM(F103:F114)</f>
        <v>0</v>
      </c>
      <c r="G115" s="108">
        <f t="shared" si="3"/>
        <v>0</v>
      </c>
      <c r="H115" s="102">
        <f>SUM(H103:H114)</f>
        <v>0</v>
      </c>
      <c r="I115" t="s">
        <v>528</v>
      </c>
      <c r="M115" s="18"/>
      <c r="N115" s="18"/>
      <c r="O115" s="18"/>
      <c r="P115" s="18"/>
      <c r="Q115" s="18"/>
      <c r="R115" s="18"/>
    </row>
    <row r="116" spans="1:18">
      <c r="A116" s="106"/>
      <c r="B116" s="111"/>
      <c r="C116" s="104"/>
      <c r="D116" s="104"/>
      <c r="E116" s="104"/>
      <c r="F116" s="104"/>
      <c r="G116" s="108">
        <f t="shared" si="3"/>
        <v>0</v>
      </c>
      <c r="H116" s="104"/>
      <c r="I116" t="s">
        <v>528</v>
      </c>
      <c r="M116" s="18"/>
      <c r="N116" s="18"/>
      <c r="O116" s="18"/>
      <c r="P116" s="18"/>
      <c r="Q116" s="18"/>
      <c r="R116" s="18"/>
    </row>
    <row r="117" spans="1:18">
      <c r="A117" s="119" t="s">
        <v>458</v>
      </c>
      <c r="B117" s="111"/>
      <c r="C117" s="104"/>
      <c r="D117" s="104"/>
      <c r="E117" s="104"/>
      <c r="F117" s="104"/>
      <c r="G117" s="108">
        <f t="shared" si="3"/>
        <v>0</v>
      </c>
      <c r="H117" s="104"/>
      <c r="I117" t="s">
        <v>528</v>
      </c>
      <c r="M117" s="18"/>
      <c r="N117" s="18"/>
      <c r="O117" s="18"/>
      <c r="P117" s="18"/>
      <c r="Q117" s="18"/>
      <c r="R117" s="18"/>
    </row>
    <row r="118" spans="1:18">
      <c r="A118" s="106" t="s">
        <v>459</v>
      </c>
      <c r="B118" s="111">
        <v>0</v>
      </c>
      <c r="C118" s="104">
        <v>0</v>
      </c>
      <c r="D118" s="104">
        <v>0</v>
      </c>
      <c r="E118" s="104">
        <v>0</v>
      </c>
      <c r="F118" s="104">
        <v>0</v>
      </c>
      <c r="G118" s="108">
        <f t="shared" si="3"/>
        <v>0</v>
      </c>
      <c r="H118" s="104">
        <f t="shared" si="4"/>
        <v>0</v>
      </c>
      <c r="I118" t="s">
        <v>528</v>
      </c>
      <c r="M118" s="18"/>
      <c r="N118" s="18"/>
      <c r="O118" s="18"/>
      <c r="P118" s="18"/>
      <c r="Q118" s="18"/>
      <c r="R118" s="18"/>
    </row>
    <row r="119" spans="1:18">
      <c r="A119" s="106" t="s">
        <v>439</v>
      </c>
      <c r="B119" s="111">
        <v>5000</v>
      </c>
      <c r="C119" s="104">
        <v>171.94</v>
      </c>
      <c r="D119" s="98">
        <v>187.31</v>
      </c>
      <c r="E119" s="98">
        <v>212.18</v>
      </c>
      <c r="F119" s="98">
        <v>91.72</v>
      </c>
      <c r="G119" s="108">
        <f t="shared" si="3"/>
        <v>1.9147147394085223E-3</v>
      </c>
      <c r="H119" s="104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6" t="s">
        <v>460</v>
      </c>
      <c r="B120" s="111">
        <v>0</v>
      </c>
      <c r="C120" s="104">
        <v>0</v>
      </c>
      <c r="D120" s="104">
        <v>0</v>
      </c>
      <c r="E120" s="104">
        <v>0</v>
      </c>
      <c r="F120" s="104">
        <v>0</v>
      </c>
      <c r="G120" s="108">
        <f t="shared" si="3"/>
        <v>0</v>
      </c>
      <c r="H120" s="104">
        <f t="shared" si="4"/>
        <v>0</v>
      </c>
      <c r="I120" t="s">
        <v>528</v>
      </c>
      <c r="M120" s="18"/>
      <c r="N120" s="18"/>
      <c r="O120" s="18"/>
      <c r="P120" s="18"/>
      <c r="Q120" s="18"/>
      <c r="R120" s="18"/>
    </row>
    <row r="121" spans="1:18">
      <c r="A121" s="106" t="s">
        <v>448</v>
      </c>
      <c r="B121" s="111">
        <v>0</v>
      </c>
      <c r="C121" s="104">
        <v>0</v>
      </c>
      <c r="D121" s="104">
        <v>0</v>
      </c>
      <c r="E121" s="104">
        <v>0</v>
      </c>
      <c r="F121" s="104">
        <v>0</v>
      </c>
      <c r="G121" s="108">
        <f t="shared" si="3"/>
        <v>0</v>
      </c>
      <c r="H121" s="104">
        <f t="shared" si="4"/>
        <v>0</v>
      </c>
      <c r="I121" t="s">
        <v>528</v>
      </c>
      <c r="M121" s="18"/>
      <c r="N121" s="18"/>
      <c r="O121" s="18"/>
      <c r="P121" s="18"/>
      <c r="Q121" s="18"/>
      <c r="R121" s="18"/>
    </row>
    <row r="122" spans="1:18">
      <c r="A122" s="106" t="s">
        <v>461</v>
      </c>
      <c r="B122" s="111">
        <v>0</v>
      </c>
      <c r="C122" s="104">
        <v>0</v>
      </c>
      <c r="D122" s="104">
        <v>0</v>
      </c>
      <c r="E122" s="104">
        <v>0</v>
      </c>
      <c r="F122" s="104">
        <v>0</v>
      </c>
      <c r="G122" s="108">
        <f t="shared" si="3"/>
        <v>0</v>
      </c>
      <c r="H122" s="104">
        <f t="shared" si="4"/>
        <v>0</v>
      </c>
      <c r="I122" t="s">
        <v>528</v>
      </c>
      <c r="M122" s="18"/>
      <c r="N122" s="18"/>
      <c r="O122" s="18"/>
      <c r="P122" s="18"/>
      <c r="Q122" s="18"/>
      <c r="R122" s="18"/>
    </row>
    <row r="123" spans="1:18">
      <c r="A123" s="106" t="s">
        <v>462</v>
      </c>
      <c r="B123" s="111">
        <v>0</v>
      </c>
      <c r="C123" s="104">
        <v>0</v>
      </c>
      <c r="D123" s="104">
        <v>0</v>
      </c>
      <c r="E123" s="104">
        <v>0</v>
      </c>
      <c r="F123" s="104">
        <v>0</v>
      </c>
      <c r="G123" s="108">
        <f t="shared" si="3"/>
        <v>0</v>
      </c>
      <c r="H123" s="104">
        <f t="shared" si="4"/>
        <v>0</v>
      </c>
      <c r="I123" t="s">
        <v>528</v>
      </c>
      <c r="M123" s="18"/>
      <c r="N123" s="18"/>
      <c r="O123" s="18"/>
      <c r="P123" s="18"/>
      <c r="Q123" s="18"/>
      <c r="R123" s="18"/>
    </row>
    <row r="124" spans="1:18">
      <c r="A124" s="117" t="s">
        <v>463</v>
      </c>
      <c r="B124" s="111">
        <v>0</v>
      </c>
      <c r="C124" s="104">
        <v>0</v>
      </c>
      <c r="D124" s="104">
        <v>0</v>
      </c>
      <c r="E124" s="104">
        <v>0</v>
      </c>
      <c r="F124" s="104">
        <v>0</v>
      </c>
      <c r="G124" s="108">
        <f t="shared" si="3"/>
        <v>0</v>
      </c>
      <c r="H124" s="104">
        <f t="shared" si="4"/>
        <v>0</v>
      </c>
      <c r="I124" t="s">
        <v>528</v>
      </c>
      <c r="M124" s="18"/>
      <c r="N124" s="18"/>
      <c r="O124" s="18"/>
      <c r="P124" s="18"/>
      <c r="Q124" s="18"/>
      <c r="R124" s="18"/>
    </row>
    <row r="125" spans="1:18">
      <c r="A125" s="117" t="s">
        <v>464</v>
      </c>
      <c r="B125" s="111">
        <v>27000</v>
      </c>
      <c r="C125" s="122">
        <v>4859.3</v>
      </c>
      <c r="D125" s="122">
        <v>0</v>
      </c>
      <c r="E125" s="122">
        <v>0</v>
      </c>
      <c r="F125" s="122">
        <v>0</v>
      </c>
      <c r="G125" s="108">
        <f t="shared" si="3"/>
        <v>1.4030269672333305E-2</v>
      </c>
      <c r="H125" s="104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6" t="s">
        <v>465</v>
      </c>
      <c r="B126" s="111">
        <v>0</v>
      </c>
      <c r="C126" s="98">
        <v>0</v>
      </c>
      <c r="D126" s="98">
        <v>0</v>
      </c>
      <c r="E126" s="98">
        <v>0</v>
      </c>
      <c r="F126" s="98">
        <v>0</v>
      </c>
      <c r="G126" s="108">
        <f t="shared" si="3"/>
        <v>0</v>
      </c>
      <c r="H126" s="104">
        <f t="shared" si="4"/>
        <v>0</v>
      </c>
      <c r="I126" t="s">
        <v>528</v>
      </c>
      <c r="M126" s="18"/>
      <c r="N126" s="18"/>
      <c r="O126" s="18"/>
      <c r="P126" s="18"/>
      <c r="Q126" s="18"/>
      <c r="R126" s="18"/>
    </row>
    <row r="127" spans="1:18">
      <c r="A127" s="106" t="s">
        <v>466</v>
      </c>
      <c r="B127" s="111">
        <v>0</v>
      </c>
      <c r="C127" s="104">
        <v>0</v>
      </c>
      <c r="D127" s="104">
        <v>0</v>
      </c>
      <c r="E127" s="104">
        <v>0</v>
      </c>
      <c r="F127" s="104">
        <v>0</v>
      </c>
      <c r="G127" s="108">
        <f t="shared" si="3"/>
        <v>0</v>
      </c>
      <c r="H127" s="104">
        <f t="shared" si="4"/>
        <v>0</v>
      </c>
      <c r="I127" t="s">
        <v>528</v>
      </c>
      <c r="M127" s="18"/>
      <c r="N127" s="18"/>
      <c r="O127" s="18"/>
      <c r="P127" s="18"/>
      <c r="Q127" s="18"/>
      <c r="R127" s="18"/>
    </row>
    <row r="128" spans="1:18">
      <c r="A128" s="106" t="s">
        <v>467</v>
      </c>
      <c r="B128" s="111">
        <v>0</v>
      </c>
      <c r="C128" s="104">
        <v>0</v>
      </c>
      <c r="D128" s="104">
        <v>0</v>
      </c>
      <c r="E128" s="104">
        <v>0</v>
      </c>
      <c r="F128" s="104">
        <v>0</v>
      </c>
      <c r="G128" s="108">
        <f t="shared" si="3"/>
        <v>0</v>
      </c>
      <c r="H128" s="104">
        <f t="shared" si="4"/>
        <v>0</v>
      </c>
      <c r="I128" t="s">
        <v>528</v>
      </c>
      <c r="M128" s="18"/>
      <c r="N128" s="18"/>
      <c r="O128" s="18"/>
      <c r="P128" s="18"/>
      <c r="Q128" s="18"/>
      <c r="R128" s="18"/>
    </row>
    <row r="129" spans="1:18">
      <c r="A129" s="106" t="s">
        <v>468</v>
      </c>
      <c r="B129" s="111">
        <v>0</v>
      </c>
      <c r="C129" s="104">
        <v>0</v>
      </c>
      <c r="D129" s="104">
        <v>0</v>
      </c>
      <c r="E129" s="104">
        <v>0</v>
      </c>
      <c r="F129" s="104">
        <v>0</v>
      </c>
      <c r="G129" s="108">
        <f t="shared" si="3"/>
        <v>0</v>
      </c>
      <c r="H129" s="104">
        <f t="shared" si="4"/>
        <v>0</v>
      </c>
      <c r="I129" t="s">
        <v>528</v>
      </c>
      <c r="M129" s="18"/>
      <c r="N129" s="18"/>
      <c r="O129" s="18"/>
      <c r="P129" s="18"/>
      <c r="Q129" s="18"/>
      <c r="R129" s="18"/>
    </row>
    <row r="130" spans="1:18">
      <c r="A130" s="106" t="s">
        <v>469</v>
      </c>
      <c r="B130" s="111">
        <v>0</v>
      </c>
      <c r="C130" s="122">
        <v>0</v>
      </c>
      <c r="D130" s="122">
        <v>0</v>
      </c>
      <c r="E130" s="122">
        <v>0</v>
      </c>
      <c r="F130" s="122">
        <v>0</v>
      </c>
      <c r="G130" s="108">
        <f t="shared" si="3"/>
        <v>0</v>
      </c>
      <c r="H130" s="104">
        <f t="shared" si="4"/>
        <v>0</v>
      </c>
      <c r="I130" t="s">
        <v>528</v>
      </c>
      <c r="M130" s="18"/>
      <c r="N130" s="18"/>
      <c r="O130" s="18"/>
      <c r="P130" s="18"/>
      <c r="Q130" s="18"/>
      <c r="R130" s="18"/>
    </row>
    <row r="131" spans="1:18">
      <c r="A131" s="106" t="s">
        <v>470</v>
      </c>
      <c r="B131" s="111">
        <v>3000</v>
      </c>
      <c r="C131" s="104">
        <v>680.2</v>
      </c>
      <c r="D131" s="104">
        <v>0</v>
      </c>
      <c r="E131" s="104">
        <v>0</v>
      </c>
      <c r="F131" s="104">
        <v>0</v>
      </c>
      <c r="G131" s="108">
        <f t="shared" si="3"/>
        <v>1.9639432492583532E-3</v>
      </c>
      <c r="H131" s="104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6" t="s">
        <v>471</v>
      </c>
      <c r="B132" s="111">
        <v>0</v>
      </c>
      <c r="C132" s="104">
        <v>0</v>
      </c>
      <c r="D132" s="104">
        <v>0</v>
      </c>
      <c r="E132" s="104">
        <v>0</v>
      </c>
      <c r="F132" s="104">
        <v>0</v>
      </c>
      <c r="G132" s="108">
        <f t="shared" si="3"/>
        <v>0</v>
      </c>
      <c r="H132" s="104">
        <f t="shared" si="4"/>
        <v>0</v>
      </c>
      <c r="I132" t="s">
        <v>528</v>
      </c>
      <c r="M132" s="18"/>
      <c r="N132" s="18"/>
      <c r="O132" s="18"/>
      <c r="P132" s="18"/>
      <c r="Q132" s="18"/>
      <c r="R132" s="18"/>
    </row>
    <row r="133" spans="1:18">
      <c r="A133" s="106" t="s">
        <v>472</v>
      </c>
      <c r="B133" s="111">
        <v>0</v>
      </c>
      <c r="C133" s="104">
        <v>0</v>
      </c>
      <c r="D133" s="104">
        <v>0</v>
      </c>
      <c r="E133" s="104">
        <v>0</v>
      </c>
      <c r="F133" s="104">
        <v>0</v>
      </c>
      <c r="G133" s="108">
        <f t="shared" si="3"/>
        <v>0</v>
      </c>
      <c r="H133" s="104">
        <f t="shared" si="4"/>
        <v>0</v>
      </c>
      <c r="I133" t="s">
        <v>528</v>
      </c>
      <c r="M133" s="18"/>
      <c r="N133" s="18"/>
      <c r="O133" s="18"/>
      <c r="P133" s="18"/>
      <c r="Q133" s="18"/>
      <c r="R133" s="18"/>
    </row>
    <row r="134" spans="1:18">
      <c r="A134" s="106" t="s">
        <v>473</v>
      </c>
      <c r="B134" s="111">
        <v>0</v>
      </c>
      <c r="C134" s="104">
        <v>0</v>
      </c>
      <c r="D134" s="104">
        <v>0</v>
      </c>
      <c r="E134" s="104">
        <v>0</v>
      </c>
      <c r="F134" s="104">
        <v>0</v>
      </c>
      <c r="G134" s="108">
        <f t="shared" si="3"/>
        <v>0</v>
      </c>
      <c r="H134" s="104">
        <f t="shared" si="4"/>
        <v>0</v>
      </c>
      <c r="I134" t="s">
        <v>528</v>
      </c>
      <c r="M134" s="18"/>
      <c r="N134" s="18"/>
      <c r="O134" s="18"/>
      <c r="P134" s="18"/>
      <c r="Q134" s="18"/>
      <c r="R134" s="18"/>
    </row>
    <row r="135" spans="1:18">
      <c r="A135" s="106" t="s">
        <v>474</v>
      </c>
      <c r="B135" s="111">
        <v>0</v>
      </c>
      <c r="C135" s="104">
        <v>0</v>
      </c>
      <c r="D135" s="104">
        <v>0</v>
      </c>
      <c r="E135" s="104">
        <v>0</v>
      </c>
      <c r="F135" s="104">
        <v>0</v>
      </c>
      <c r="G135" s="108">
        <f t="shared" si="3"/>
        <v>0</v>
      </c>
      <c r="H135" s="104">
        <f t="shared" si="4"/>
        <v>0</v>
      </c>
      <c r="I135" t="s">
        <v>528</v>
      </c>
      <c r="M135" s="18"/>
      <c r="N135" s="18"/>
      <c r="O135" s="18"/>
      <c r="P135" s="18"/>
      <c r="Q135" s="18"/>
      <c r="R135" s="18"/>
    </row>
    <row r="136" spans="1:18">
      <c r="A136" s="112" t="s">
        <v>475</v>
      </c>
      <c r="B136" s="113">
        <f>SUM(B118:B135)</f>
        <v>35000</v>
      </c>
      <c r="C136" s="113">
        <f>SUM(C118:C135)</f>
        <v>5711.44</v>
      </c>
      <c r="D136" s="113">
        <f>SUM(D118:D135)</f>
        <v>187.31</v>
      </c>
      <c r="E136" s="113">
        <f>SUM(E118:E135)</f>
        <v>212.18</v>
      </c>
      <c r="F136" s="113">
        <f>SUM(F118:F135)</f>
        <v>91.72</v>
      </c>
      <c r="G136" s="108">
        <f t="shared" ref="G136:G137" si="5">IFERROR(H136/$H$10,"")</f>
        <v>1.7908927661000183E-2</v>
      </c>
      <c r="H136" s="102">
        <f>SUM(H118:H135)</f>
        <v>6202.6500000000005</v>
      </c>
      <c r="I136" t="s">
        <v>528</v>
      </c>
      <c r="M136" s="18"/>
      <c r="N136" s="18"/>
      <c r="O136" s="18"/>
      <c r="P136" s="18"/>
      <c r="Q136" s="18"/>
      <c r="R136" s="18"/>
    </row>
    <row r="137" spans="1:18">
      <c r="A137" s="116" t="s">
        <v>476</v>
      </c>
      <c r="B137" s="113">
        <f>B115+B136</f>
        <v>35000</v>
      </c>
      <c r="C137" s="113">
        <f>C115+C136</f>
        <v>5711.44</v>
      </c>
      <c r="D137" s="113">
        <f>D115+D136</f>
        <v>187.31</v>
      </c>
      <c r="E137" s="113">
        <f>E115+E136</f>
        <v>212.18</v>
      </c>
      <c r="F137" s="113">
        <f>F115+F136</f>
        <v>91.72</v>
      </c>
      <c r="G137" s="108">
        <f t="shared" si="5"/>
        <v>1.7908927661000183E-2</v>
      </c>
      <c r="H137" s="102">
        <f t="shared" si="4"/>
        <v>6202.6500000000005</v>
      </c>
      <c r="I137" t="s">
        <v>528</v>
      </c>
      <c r="M137" s="18"/>
      <c r="N137" s="18"/>
      <c r="O137" s="18"/>
      <c r="P137" s="18"/>
      <c r="Q137" s="18"/>
      <c r="R137" s="18"/>
    </row>
    <row r="138" spans="1:18" ht="6" customHeight="1">
      <c r="A138" s="260"/>
      <c r="B138" s="260"/>
      <c r="C138" s="260"/>
      <c r="D138" s="260"/>
      <c r="E138" s="260"/>
      <c r="F138" s="260"/>
      <c r="G138" s="260"/>
      <c r="H138" s="260"/>
      <c r="M138" s="18"/>
      <c r="N138" s="18"/>
      <c r="O138" s="18"/>
      <c r="Q138" s="18"/>
      <c r="R138" s="18"/>
    </row>
    <row r="139" spans="1:18">
      <c r="A139" s="94" t="s">
        <v>477</v>
      </c>
      <c r="B139" s="95">
        <f>B14+B39+B99+B137</f>
        <v>2174779.3797200001</v>
      </c>
      <c r="C139" s="95">
        <f>C14+C39+C99+C137</f>
        <v>148932</v>
      </c>
      <c r="D139" s="95">
        <f>D14+D39+D99+D137</f>
        <v>68342.259999999995</v>
      </c>
      <c r="E139" s="95">
        <f>E14+E39+E99+E137</f>
        <v>17405.98</v>
      </c>
      <c r="F139" s="95">
        <f>F14+F39+F99+F137</f>
        <v>9755.26</v>
      </c>
      <c r="G139" s="96">
        <f>H139/$H$10</f>
        <v>0.70575926213479878</v>
      </c>
      <c r="H139" s="95">
        <f>H14+H39+H99+H137</f>
        <v>244435.5</v>
      </c>
      <c r="M139" s="18"/>
      <c r="N139" s="18"/>
      <c r="O139" s="18"/>
      <c r="Q139" s="18"/>
      <c r="R139" s="18"/>
    </row>
    <row r="140" spans="1:18">
      <c r="A140" s="91" t="s">
        <v>478</v>
      </c>
      <c r="B140" s="92">
        <f>B10-B139</f>
        <v>-58146.039720000234</v>
      </c>
      <c r="C140" s="92">
        <f t="shared" ref="C140:H140" si="6">C10-C139</f>
        <v>165723.13</v>
      </c>
      <c r="D140" s="92">
        <f t="shared" si="6"/>
        <v>-36653.369999999995</v>
      </c>
      <c r="E140" s="92">
        <f t="shared" si="6"/>
        <v>-17405.98</v>
      </c>
      <c r="F140" s="92">
        <f t="shared" si="6"/>
        <v>-9755.26</v>
      </c>
      <c r="G140" s="93">
        <f>H140/$H$10</f>
        <v>0.29424073786520122</v>
      </c>
      <c r="H140" s="92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7" t="s">
        <v>536</v>
      </c>
      <c r="B1" s="147" t="s">
        <v>535</v>
      </c>
    </row>
    <row r="2" spans="1:2">
      <c r="A2">
        <v>5</v>
      </c>
      <c r="B2" t="s">
        <v>528</v>
      </c>
    </row>
    <row r="3" spans="1:2">
      <c r="A3">
        <v>6</v>
      </c>
      <c r="B3" t="s">
        <v>528</v>
      </c>
    </row>
    <row r="4" spans="1:2">
      <c r="A4">
        <v>7</v>
      </c>
      <c r="B4" t="s">
        <v>528</v>
      </c>
    </row>
    <row r="5" spans="1:2">
      <c r="A5">
        <v>8</v>
      </c>
      <c r="B5" t="s">
        <v>528</v>
      </c>
    </row>
    <row r="6" spans="1:2">
      <c r="A6">
        <v>9</v>
      </c>
      <c r="B6" t="s">
        <v>528</v>
      </c>
    </row>
    <row r="7" spans="1:2">
      <c r="A7">
        <v>10</v>
      </c>
      <c r="B7" t="s">
        <v>528</v>
      </c>
    </row>
    <row r="8" spans="1:2">
      <c r="A8">
        <v>11</v>
      </c>
      <c r="B8" t="s">
        <v>528</v>
      </c>
    </row>
    <row r="9" spans="1:2">
      <c r="A9">
        <v>12</v>
      </c>
      <c r="B9" t="s">
        <v>528</v>
      </c>
    </row>
    <row r="10" spans="1:2">
      <c r="A10">
        <v>13</v>
      </c>
      <c r="B10" t="s">
        <v>528</v>
      </c>
    </row>
    <row r="11" spans="1:2">
      <c r="A11">
        <v>14</v>
      </c>
      <c r="B11" t="s">
        <v>528</v>
      </c>
    </row>
    <row r="12" spans="1:2">
      <c r="A12">
        <v>15</v>
      </c>
      <c r="B12" t="s">
        <v>528</v>
      </c>
    </row>
    <row r="13" spans="1:2">
      <c r="A13">
        <v>16</v>
      </c>
      <c r="B13" t="s">
        <v>528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528</v>
      </c>
    </row>
    <row r="17" spans="1:2">
      <c r="A17">
        <v>20</v>
      </c>
      <c r="B17" t="s">
        <v>528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528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528</v>
      </c>
    </row>
    <row r="22" spans="1:2">
      <c r="A22">
        <v>25</v>
      </c>
      <c r="B22" t="s">
        <v>528</v>
      </c>
    </row>
    <row r="23" spans="1:2">
      <c r="A23">
        <v>26</v>
      </c>
      <c r="B23" t="s">
        <v>528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528</v>
      </c>
    </row>
    <row r="36" spans="1:2">
      <c r="A36">
        <v>39</v>
      </c>
      <c r="B36" t="s">
        <v>528</v>
      </c>
    </row>
    <row r="37" spans="1:2">
      <c r="A37">
        <v>40</v>
      </c>
      <c r="B37" t="s">
        <v>528</v>
      </c>
    </row>
    <row r="38" spans="1:2">
      <c r="A38">
        <v>41</v>
      </c>
      <c r="B38" t="s">
        <v>528</v>
      </c>
    </row>
    <row r="39" spans="1:2">
      <c r="A39">
        <v>42</v>
      </c>
      <c r="B39" t="s">
        <v>528</v>
      </c>
    </row>
    <row r="40" spans="1:2">
      <c r="A40">
        <v>43</v>
      </c>
      <c r="B40" t="s">
        <v>528</v>
      </c>
    </row>
    <row r="41" spans="1:2">
      <c r="A41">
        <v>44</v>
      </c>
      <c r="B41" t="s">
        <v>528</v>
      </c>
    </row>
    <row r="42" spans="1:2">
      <c r="A42">
        <v>45</v>
      </c>
      <c r="B42" t="s">
        <v>528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528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528</v>
      </c>
    </row>
    <row r="50" spans="1:2">
      <c r="A50">
        <v>53</v>
      </c>
      <c r="B50" t="s">
        <v>528</v>
      </c>
    </row>
    <row r="51" spans="1:2">
      <c r="A51">
        <v>54</v>
      </c>
      <c r="B51" t="s">
        <v>528</v>
      </c>
    </row>
    <row r="52" spans="1:2">
      <c r="A52">
        <v>55</v>
      </c>
      <c r="B52" t="s">
        <v>528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528</v>
      </c>
    </row>
    <row r="56" spans="1:2">
      <c r="A56">
        <v>59</v>
      </c>
      <c r="B56" t="s">
        <v>528</v>
      </c>
    </row>
    <row r="57" spans="1:2">
      <c r="A57">
        <v>60</v>
      </c>
      <c r="B57" t="s">
        <v>528</v>
      </c>
    </row>
    <row r="58" spans="1:2">
      <c r="A58">
        <v>61</v>
      </c>
      <c r="B58" t="s">
        <v>528</v>
      </c>
    </row>
    <row r="59" spans="1:2">
      <c r="A59">
        <v>62</v>
      </c>
      <c r="B59" t="s">
        <v>528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528</v>
      </c>
    </row>
    <row r="63" spans="1:2">
      <c r="A63">
        <v>66</v>
      </c>
      <c r="B63" t="s">
        <v>528</v>
      </c>
    </row>
    <row r="64" spans="1:2">
      <c r="A64">
        <v>67</v>
      </c>
    </row>
    <row r="65" spans="1:2">
      <c r="A65">
        <v>68</v>
      </c>
      <c r="B65" t="s">
        <v>528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528</v>
      </c>
    </row>
    <row r="69" spans="1:2">
      <c r="A69">
        <v>72</v>
      </c>
      <c r="B69" t="s">
        <v>528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528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528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528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528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528</v>
      </c>
    </row>
    <row r="90" spans="1:2">
      <c r="A90">
        <v>93</v>
      </c>
      <c r="B90" t="s">
        <v>528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528</v>
      </c>
    </row>
    <row r="95" spans="1:2">
      <c r="A95">
        <v>98</v>
      </c>
      <c r="B95" t="s">
        <v>528</v>
      </c>
    </row>
    <row r="96" spans="1:2">
      <c r="A96">
        <v>99</v>
      </c>
      <c r="B96" t="s">
        <v>528</v>
      </c>
    </row>
    <row r="97" spans="1:2">
      <c r="A97">
        <v>100</v>
      </c>
      <c r="B97" t="s">
        <v>528</v>
      </c>
    </row>
    <row r="98" spans="1:2">
      <c r="A98">
        <v>101</v>
      </c>
      <c r="B98" t="s">
        <v>528</v>
      </c>
    </row>
    <row r="99" spans="1:2">
      <c r="A99">
        <v>102</v>
      </c>
      <c r="B99" t="s">
        <v>528</v>
      </c>
    </row>
    <row r="100" spans="1:2">
      <c r="A100">
        <v>103</v>
      </c>
      <c r="B100" t="s">
        <v>528</v>
      </c>
    </row>
    <row r="101" spans="1:2">
      <c r="A101">
        <v>104</v>
      </c>
      <c r="B101" t="s">
        <v>528</v>
      </c>
    </row>
    <row r="102" spans="1:2">
      <c r="A102">
        <v>105</v>
      </c>
      <c r="B102" t="s">
        <v>528</v>
      </c>
    </row>
    <row r="103" spans="1:2">
      <c r="A103">
        <v>106</v>
      </c>
      <c r="B103" t="s">
        <v>528</v>
      </c>
    </row>
    <row r="104" spans="1:2">
      <c r="A104">
        <v>107</v>
      </c>
      <c r="B104" t="s">
        <v>528</v>
      </c>
    </row>
    <row r="105" spans="1:2">
      <c r="A105">
        <v>108</v>
      </c>
      <c r="B105" t="s">
        <v>528</v>
      </c>
    </row>
    <row r="106" spans="1:2">
      <c r="A106">
        <v>109</v>
      </c>
      <c r="B106" t="s">
        <v>528</v>
      </c>
    </row>
    <row r="107" spans="1:2">
      <c r="A107">
        <v>110</v>
      </c>
      <c r="B107" t="s">
        <v>528</v>
      </c>
    </row>
    <row r="108" spans="1:2">
      <c r="A108">
        <v>111</v>
      </c>
      <c r="B108" t="s">
        <v>528</v>
      </c>
    </row>
    <row r="109" spans="1:2">
      <c r="A109">
        <v>112</v>
      </c>
      <c r="B109" t="s">
        <v>528</v>
      </c>
    </row>
    <row r="110" spans="1:2">
      <c r="A110">
        <v>113</v>
      </c>
      <c r="B110" t="s">
        <v>528</v>
      </c>
    </row>
    <row r="111" spans="1:2">
      <c r="A111">
        <v>114</v>
      </c>
      <c r="B111" t="s">
        <v>528</v>
      </c>
    </row>
    <row r="112" spans="1:2">
      <c r="A112">
        <v>115</v>
      </c>
      <c r="B112" t="s">
        <v>528</v>
      </c>
    </row>
    <row r="113" spans="1:2">
      <c r="A113">
        <v>116</v>
      </c>
      <c r="B113" t="s">
        <v>528</v>
      </c>
    </row>
    <row r="114" spans="1:2">
      <c r="A114">
        <v>117</v>
      </c>
      <c r="B114" t="s">
        <v>528</v>
      </c>
    </row>
    <row r="115" spans="1:2">
      <c r="A115">
        <v>118</v>
      </c>
      <c r="B115" t="s">
        <v>528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528</v>
      </c>
    </row>
    <row r="118" spans="1:2">
      <c r="A118">
        <v>121</v>
      </c>
      <c r="B118" t="s">
        <v>528</v>
      </c>
    </row>
    <row r="119" spans="1:2">
      <c r="A119">
        <v>122</v>
      </c>
      <c r="B119" t="s">
        <v>528</v>
      </c>
    </row>
    <row r="120" spans="1:2">
      <c r="A120">
        <v>123</v>
      </c>
      <c r="B120" t="s">
        <v>528</v>
      </c>
    </row>
    <row r="121" spans="1:2">
      <c r="A121">
        <v>124</v>
      </c>
      <c r="B121" t="s">
        <v>528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528</v>
      </c>
    </row>
    <row r="124" spans="1:2">
      <c r="A124">
        <v>127</v>
      </c>
      <c r="B124" t="s">
        <v>528</v>
      </c>
    </row>
    <row r="125" spans="1:2">
      <c r="A125">
        <v>128</v>
      </c>
      <c r="B125" t="s">
        <v>528</v>
      </c>
    </row>
    <row r="126" spans="1:2">
      <c r="A126">
        <v>129</v>
      </c>
      <c r="B126" t="s">
        <v>528</v>
      </c>
    </row>
    <row r="127" spans="1:2">
      <c r="A127">
        <v>130</v>
      </c>
      <c r="B127" t="s">
        <v>528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528</v>
      </c>
    </row>
    <row r="130" spans="1:2">
      <c r="A130">
        <v>133</v>
      </c>
      <c r="B130" t="s">
        <v>528</v>
      </c>
    </row>
    <row r="131" spans="1:2">
      <c r="A131">
        <v>134</v>
      </c>
      <c r="B131" t="s">
        <v>528</v>
      </c>
    </row>
    <row r="132" spans="1:2">
      <c r="A132">
        <v>135</v>
      </c>
      <c r="B132" t="s">
        <v>528</v>
      </c>
    </row>
    <row r="133" spans="1:2">
      <c r="A133">
        <v>136</v>
      </c>
      <c r="B133" t="s">
        <v>528</v>
      </c>
    </row>
    <row r="134" spans="1:2">
      <c r="A134">
        <v>137</v>
      </c>
      <c r="B134" t="s">
        <v>528</v>
      </c>
    </row>
  </sheetData>
  <autoFilter ref="A1:B134" xr:uid="{00000000-0009-0000-0000-000008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2024-03-01T10:09:47Z</dcterms:modified>
</cp:coreProperties>
</file>